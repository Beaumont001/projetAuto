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beaumont\Desktop\Cours\mémoire\"/>
    </mc:Choice>
  </mc:AlternateContent>
  <bookViews>
    <workbookView xWindow="-15" yWindow="45" windowWidth="2610" windowHeight="5760" tabRatio="732" firstSheet="2" activeTab="4"/>
  </bookViews>
  <sheets>
    <sheet name="Révisions" sheetId="32" r:id="rId1"/>
    <sheet name="paramètres" sheetId="1" r:id="rId2"/>
    <sheet name="Catalogue" sheetId="34" r:id="rId3"/>
    <sheet name="Capacitaire " sheetId="33" r:id="rId4"/>
    <sheet name="UO_Operations" sheetId="15" r:id="rId5"/>
    <sheet name="prepa revue" sheetId="45" r:id="rId6"/>
    <sheet name="Feuille_temps_iPMP" sheetId="40" r:id="rId7"/>
    <sheet name="Check Capacitaire" sheetId="42" r:id="rId8"/>
    <sheet name="UO_Contract" sheetId="36" r:id="rId9"/>
    <sheet name="Graphiques CRM" sheetId="22" r:id="rId10"/>
    <sheet name="Co-contracting Follow-up" sheetId="41" r:id="rId11"/>
    <sheet name="iPMP_traitement_pointage" sheetId="38" r:id="rId12"/>
    <sheet name="iPMP_pointage" sheetId="37" r:id="rId13"/>
    <sheet name="iPMP_detail_pointage" sheetId="39" r:id="rId14"/>
    <sheet name="NB.JOURS.OUVRES" sheetId="31" r:id="rId15"/>
    <sheet name="BL_parametre" sheetId="43" r:id="rId16"/>
    <sheet name="auto_BL" sheetId="44" r:id="rId17"/>
  </sheets>
  <externalReferences>
    <externalReference r:id="rId18"/>
    <externalReference r:id="rId19"/>
    <externalReference r:id="rId20"/>
  </externalReferences>
  <definedNames>
    <definedName name="_xlnm._FilterDatabase" localSheetId="3" hidden="1">'Capacitaire '!$A$17:$AD$70</definedName>
    <definedName name="_xlnm._FilterDatabase" localSheetId="5" hidden="1">'prepa revue'!$A$2:$I$50</definedName>
    <definedName name="_xlnm._FilterDatabase" localSheetId="8" hidden="1">UO_Contract!#REF!</definedName>
    <definedName name="_xlnm._FilterDatabase" localSheetId="4" hidden="1">UO_Operations!$AX$4:$BE$51</definedName>
    <definedName name="codir.A380.4.2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DCR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dfgg" hidden="1">{"PageGarde1",#N/A,TRUE,"Page de garde";"Page0_1",#N/A,TRUE,"0.1 Fiche Descriptif Programme";"Page0_2",#N/A,TRUE,"0.2 Organisation";"Page1_1",#N/A,TRUE,"1.1 Faits Marquants";"Page1_2",#N/A,TRUE,"1.2 Décisions-Actions";"Page1_3",#N/A,TRUE,"1.3 Indicateur Satisfaction";"Page2_1",#N/A,TRUE,"2.1 Planning Directeur";"Page2_2",#N/A,TRUE,"2.2 Jalons Contractuels";"Page2_3",#N/A,TRUE,"2.3 IMD-IRD";"Page2_4",#N/A,TRUE,"2.4 Avancement Jalons";"Page2_5",#N/A,TRUE,"2.5 DFT";"Page2_6",#N/A,TRUE,"2.6 Obligations Client";"Page3_1",#N/A,TRUE,"3.1 Risques";"Page3_2",#N/A,TRUE,"3.2 Opportunités";"4_Performances",#N/A,TRUE,"4 Perfs et Exigences Critiques";"Page5_Charges",#N/A,TRUE,"5 Charges-Capacité";"6 Proch Etapes",#N/A,TRUE,"6 Proch. Etapes";"7 Reporting Spec",#N/A,TRUE,"7 Reporting Spec.";"Chap8",#N/A,TRUE,"Chap8";"Page8_1",#N/A,TRUE,"8.1 COP-CEP";"Page8_2",#N/A,TRUE,"8.2 CPP-CPE ";"Page8_3",#N/A,TRUE,"8.3 CPP-CPE par WP";"Page8_4",#N/A,TRUE,"8.4 Dépenses CPR-PPS";"Page8_5",#N/A,TRUE,"8.5 Compte d'Exploitation";"Page8_6",#N/A,TRUE,"8.6 Rentabilité"}</definedName>
    <definedName name="heures_an">paramètres!$B$3</definedName>
    <definedName name="heures_jour">paramètres!$B$1</definedName>
    <definedName name="jours_an">paramètres!$B$2</definedName>
    <definedName name="Lancer_la_requête_à_partir_de_Projectorria_SII" localSheetId="13" hidden="1">iPMP_detail_pointage!$D$6:$K$952</definedName>
    <definedName name="Lancer_la_requête_à_partir_de_Projectorria_SII" localSheetId="12" hidden="1">iPMP_pointage!$D$5:$K$2842</definedName>
    <definedName name="Taux_Change_AIB">paramètres!$B$12</definedName>
    <definedName name="Taux_Change_SII">paramètres!$B$11</definedName>
    <definedName name="Taux_de_GP">[1]paramètres!$B$6</definedName>
    <definedName name="test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toto2" hidden="1">{#N/A,#N/A,TRUE,"Page de garde";#N/A,#N/A,TRUE,"0.1 Fiche desciptif programme";#N/A,#N/A,TRUE,"0.2 Orga indus";#N/A,#N/A,TRUE,"1.1 Faits marquants";#N/A,#N/A,TRUE,"1.2 Décisions-actions";#N/A,#N/A,TRUE,"1.3 Indicateur satisfaction";#N/A,#N/A,TRUE,"2.1 Planning directeur";#N/A,#N/A,TRUE,"2.2 Jalons contractuels";#N/A,#N/A,TRUE,"2.3 IMD-IRD";#N/A,#N/A,TRUE,"2.4 DFT";#N/A,#N/A,TRUE,"2.5 Buyers obligations";#N/A,#N/A,TRUE,"3.1 Risques";#N/A,#N/A,TRUE,"3.2 Opportunités";#N/A,#N/A,TRUE,"4.1 Perfs et exigences critique";#N/A,#N/A,TRUE,"5 Charges-capacité";#N/A,#N/A,TRUE,"6 Proch. étapes";#N/A,#N/A,TRUE,"7.1 Statut actions";#N/A,#N/A,TRUE,"7.2 Actions";#N/A,#N/A,TRUE,"7.3 Scurve DRL";#N/A,#N/A,TRUE,"7.4 Gantt"}</definedName>
    <definedName name="_xlnm.Print_Area" localSheetId="8">UO_Contract!$A$4:$X$163</definedName>
  </definedNames>
  <calcPr calcId="162913"/>
  <pivotCaches>
    <pivotCache cacheId="0" r:id="rId21"/>
    <pivotCache cacheId="1" r:id="rId22"/>
    <pivotCache cacheId="2" r:id="rId23"/>
    <pivotCache cacheId="3" r:id="rId24"/>
  </pivotCaches>
</workbook>
</file>

<file path=xl/calcChain.xml><?xml version="1.0" encoding="utf-8"?>
<calcChain xmlns="http://schemas.openxmlformats.org/spreadsheetml/2006/main">
  <c r="DP55" i="15" l="1"/>
  <c r="BO16" i="15" l="1"/>
  <c r="BQ16" i="15"/>
  <c r="BR16" i="15" s="1"/>
  <c r="BS16" i="15"/>
  <c r="BT16" i="15" s="1"/>
  <c r="BO25" i="15"/>
  <c r="BQ25" i="15"/>
  <c r="BR25" i="15" s="1"/>
  <c r="BS25" i="15"/>
  <c r="BT25" i="15" s="1"/>
  <c r="BP25" i="15" l="1"/>
  <c r="BY25" i="15" s="1"/>
  <c r="DN25" i="15"/>
  <c r="DQ25" i="15" s="1"/>
  <c r="BP16" i="15"/>
  <c r="BY16" i="15" s="1"/>
  <c r="DN16" i="15"/>
  <c r="DQ16" i="15" s="1"/>
  <c r="CA16" i="15"/>
  <c r="BZ16" i="15"/>
  <c r="BU16" i="15"/>
  <c r="BV16" i="15"/>
  <c r="CA25" i="15"/>
  <c r="BZ25" i="15"/>
  <c r="BV25" i="15"/>
  <c r="BU25" i="15"/>
  <c r="R10" i="33"/>
  <c r="P10" i="33"/>
  <c r="X28" i="33" l="1"/>
  <c r="K29" i="33"/>
  <c r="AA28" i="33"/>
  <c r="K35" i="33" l="1"/>
  <c r="X33" i="33"/>
  <c r="DN32" i="15" l="1"/>
  <c r="DN35" i="15"/>
  <c r="DN36" i="15"/>
  <c r="DN37" i="15"/>
  <c r="DN38" i="15"/>
  <c r="DN39" i="15"/>
  <c r="DN40" i="15"/>
  <c r="DN41" i="15"/>
  <c r="DN42" i="15"/>
  <c r="DN43" i="15"/>
  <c r="DN44" i="15"/>
  <c r="DN45" i="15"/>
  <c r="DN46" i="15"/>
  <c r="CN11" i="15"/>
  <c r="DA11" i="15"/>
  <c r="CN12" i="15"/>
  <c r="DA12" i="15"/>
  <c r="CN13" i="15"/>
  <c r="DA13" i="15"/>
  <c r="BY11" i="15"/>
  <c r="BZ11" i="15"/>
  <c r="CA11" i="15"/>
  <c r="BY12" i="15"/>
  <c r="BZ12" i="15"/>
  <c r="CA12" i="15"/>
  <c r="BY13" i="15"/>
  <c r="BZ13" i="15"/>
  <c r="CA13" i="15"/>
  <c r="BQ5" i="15"/>
  <c r="BR5" i="15" s="1"/>
  <c r="BS5" i="15"/>
  <c r="BT5" i="15" s="1"/>
  <c r="BQ6" i="15"/>
  <c r="BR6" i="15" s="1"/>
  <c r="BS6" i="15"/>
  <c r="BT6" i="15" s="1"/>
  <c r="BQ7" i="15"/>
  <c r="BR7" i="15" s="1"/>
  <c r="BS7" i="15"/>
  <c r="BT7" i="15" s="1"/>
  <c r="BQ8" i="15"/>
  <c r="BR8" i="15" s="1"/>
  <c r="BS8" i="15"/>
  <c r="BT8" i="15" s="1"/>
  <c r="BQ9" i="15"/>
  <c r="BR9" i="15" s="1"/>
  <c r="BS9" i="15"/>
  <c r="BT9" i="15" s="1"/>
  <c r="BQ10" i="15"/>
  <c r="BR10" i="15" s="1"/>
  <c r="BS10" i="15"/>
  <c r="BT10" i="15" s="1"/>
  <c r="BQ11" i="15"/>
  <c r="BR11" i="15" s="1"/>
  <c r="BS11" i="15"/>
  <c r="BT11" i="15" s="1"/>
  <c r="BQ12" i="15"/>
  <c r="BR12" i="15" s="1"/>
  <c r="BS12" i="15"/>
  <c r="BT12" i="15" s="1"/>
  <c r="BQ13" i="15"/>
  <c r="BR13" i="15" s="1"/>
  <c r="BS13" i="15"/>
  <c r="BT13" i="15" s="1"/>
  <c r="BQ14" i="15"/>
  <c r="BR14" i="15" s="1"/>
  <c r="BS14" i="15"/>
  <c r="BT14" i="15" s="1"/>
  <c r="BQ15" i="15"/>
  <c r="BR15" i="15" s="1"/>
  <c r="BS15" i="15"/>
  <c r="BT15" i="15" s="1"/>
  <c r="BQ17" i="15"/>
  <c r="BR17" i="15" s="1"/>
  <c r="BS17" i="15"/>
  <c r="BT17" i="15" s="1"/>
  <c r="BQ18" i="15"/>
  <c r="BR18" i="15" s="1"/>
  <c r="BS18" i="15"/>
  <c r="BT18" i="15" s="1"/>
  <c r="BQ19" i="15"/>
  <c r="BR19" i="15" s="1"/>
  <c r="BS19" i="15"/>
  <c r="BT19" i="15" s="1"/>
  <c r="BQ20" i="15"/>
  <c r="BR20" i="15" s="1"/>
  <c r="BS20" i="15"/>
  <c r="BT20" i="15" s="1"/>
  <c r="BQ21" i="15"/>
  <c r="BR21" i="15" s="1"/>
  <c r="BS21" i="15"/>
  <c r="BT21" i="15" s="1"/>
  <c r="BQ22" i="15"/>
  <c r="BR22" i="15" s="1"/>
  <c r="BS22" i="15"/>
  <c r="BT22" i="15" s="1"/>
  <c r="BQ23" i="15"/>
  <c r="BR23" i="15" s="1"/>
  <c r="BS23" i="15"/>
  <c r="BT23" i="15" s="1"/>
  <c r="BQ24" i="15"/>
  <c r="BR24" i="15" s="1"/>
  <c r="BS24" i="15"/>
  <c r="BT24" i="15" s="1"/>
  <c r="BQ26" i="15"/>
  <c r="BR26" i="15" s="1"/>
  <c r="BS26" i="15"/>
  <c r="BT26" i="15" s="1"/>
  <c r="BQ27" i="15"/>
  <c r="BR27" i="15" s="1"/>
  <c r="BS27" i="15"/>
  <c r="BT27" i="15" s="1"/>
  <c r="BQ28" i="15"/>
  <c r="BR28" i="15" s="1"/>
  <c r="BS28" i="15"/>
  <c r="BT28" i="15" s="1"/>
  <c r="BQ29" i="15"/>
  <c r="BR29" i="15" s="1"/>
  <c r="BS29" i="15"/>
  <c r="BT29" i="15" s="1"/>
  <c r="BQ30" i="15"/>
  <c r="BR30" i="15" s="1"/>
  <c r="BS30" i="15"/>
  <c r="BT30" i="15" s="1"/>
  <c r="BQ31" i="15"/>
  <c r="BR31" i="15" s="1"/>
  <c r="BS31" i="15"/>
  <c r="BT31" i="15" s="1"/>
  <c r="BQ32" i="15"/>
  <c r="BR32" i="15" s="1"/>
  <c r="BS32" i="15"/>
  <c r="BT32" i="15" s="1"/>
  <c r="BQ33" i="15"/>
  <c r="BR33" i="15" s="1"/>
  <c r="BS33" i="15"/>
  <c r="BT33" i="15" s="1"/>
  <c r="BQ34" i="15"/>
  <c r="BR34" i="15" s="1"/>
  <c r="BS34" i="15"/>
  <c r="BT34" i="15" s="1"/>
  <c r="BQ35" i="15"/>
  <c r="BR35" i="15" s="1"/>
  <c r="BS35" i="15"/>
  <c r="BT35" i="15" s="1"/>
  <c r="BQ36" i="15"/>
  <c r="BR36" i="15" s="1"/>
  <c r="BS36" i="15"/>
  <c r="BT36" i="15" s="1"/>
  <c r="BQ37" i="15"/>
  <c r="BR37" i="15" s="1"/>
  <c r="BS37" i="15"/>
  <c r="BT37" i="15" s="1"/>
  <c r="BQ38" i="15"/>
  <c r="BR38" i="15" s="1"/>
  <c r="BS38" i="15"/>
  <c r="BT38" i="15" s="1"/>
  <c r="BQ39" i="15"/>
  <c r="BR39" i="15" s="1"/>
  <c r="BS39" i="15"/>
  <c r="BT39" i="15" s="1"/>
  <c r="BQ40" i="15"/>
  <c r="BR40" i="15" s="1"/>
  <c r="BS40" i="15"/>
  <c r="BT40" i="15" s="1"/>
  <c r="BQ41" i="15"/>
  <c r="BR41" i="15" s="1"/>
  <c r="BS41" i="15"/>
  <c r="BT41" i="15" s="1"/>
  <c r="BQ42" i="15"/>
  <c r="BR42" i="15" s="1"/>
  <c r="BS42" i="15"/>
  <c r="BT42" i="15" s="1"/>
  <c r="BQ43" i="15"/>
  <c r="BR43" i="15" s="1"/>
  <c r="BS43" i="15"/>
  <c r="BT43" i="15" s="1"/>
  <c r="BQ44" i="15"/>
  <c r="BR44" i="15" s="1"/>
  <c r="BS44" i="15"/>
  <c r="BT44" i="15" s="1"/>
  <c r="BQ45" i="15"/>
  <c r="BR45" i="15" s="1"/>
  <c r="BS45" i="15"/>
  <c r="BT45" i="15" s="1"/>
  <c r="BQ46" i="15"/>
  <c r="BR46" i="15" s="1"/>
  <c r="BS46" i="15"/>
  <c r="BT46" i="15" s="1"/>
  <c r="BQ47" i="15"/>
  <c r="BR47" i="15" s="1"/>
  <c r="BS47" i="15"/>
  <c r="BT47" i="15" s="1"/>
  <c r="BQ48" i="15"/>
  <c r="BR48" i="15" s="1"/>
  <c r="BS48" i="15"/>
  <c r="BT48" i="15" s="1"/>
  <c r="BQ49" i="15"/>
  <c r="BR49" i="15" s="1"/>
  <c r="BS49" i="15"/>
  <c r="BT49" i="15" s="1"/>
  <c r="CA49" i="15" l="1"/>
  <c r="BZ49" i="15"/>
  <c r="BZ17" i="15"/>
  <c r="CA17" i="15"/>
  <c r="BZ7" i="15"/>
  <c r="CA7" i="15"/>
  <c r="BZ5" i="15"/>
  <c r="CA5" i="15"/>
  <c r="CA8" i="15"/>
  <c r="CA9" i="15"/>
  <c r="BZ8" i="15"/>
  <c r="BZ9" i="15"/>
  <c r="BV49" i="15"/>
  <c r="BV46" i="15"/>
  <c r="BV42" i="15"/>
  <c r="BV22" i="15"/>
  <c r="BV18" i="15"/>
  <c r="BV6" i="15"/>
  <c r="BU36" i="15"/>
  <c r="BU5" i="15"/>
  <c r="BU29" i="15"/>
  <c r="BU40" i="15"/>
  <c r="BU12" i="15"/>
  <c r="BU48" i="15"/>
  <c r="BV38" i="15"/>
  <c r="BU32" i="15"/>
  <c r="BV30" i="15"/>
  <c r="BU24" i="15"/>
  <c r="BV14" i="15"/>
  <c r="BU8" i="15"/>
  <c r="CA14" i="15"/>
  <c r="CA10" i="15"/>
  <c r="CA6" i="15"/>
  <c r="CA48" i="15"/>
  <c r="BZ47" i="15"/>
  <c r="CA44" i="15"/>
  <c r="BZ43" i="15"/>
  <c r="CA40" i="15"/>
  <c r="BZ39" i="15"/>
  <c r="CA36" i="15"/>
  <c r="BZ35" i="15"/>
  <c r="CA32" i="15"/>
  <c r="BZ31" i="15"/>
  <c r="CA29" i="15"/>
  <c r="BZ28" i="15"/>
  <c r="CA24" i="15"/>
  <c r="BZ23" i="15"/>
  <c r="CA20" i="15"/>
  <c r="BZ19" i="15"/>
  <c r="BU44" i="15"/>
  <c r="BV34" i="15"/>
  <c r="BV27" i="15"/>
  <c r="BU20" i="15"/>
  <c r="BV10" i="15"/>
  <c r="CA15" i="15"/>
  <c r="BZ14" i="15"/>
  <c r="BZ10" i="15"/>
  <c r="BZ6" i="15"/>
  <c r="BZ48" i="15"/>
  <c r="CA45" i="15"/>
  <c r="BZ44" i="15"/>
  <c r="CA41" i="15"/>
  <c r="BZ40" i="15"/>
  <c r="CA37" i="15"/>
  <c r="BZ36" i="15"/>
  <c r="CA33" i="15"/>
  <c r="BZ32" i="15"/>
  <c r="BZ29" i="15"/>
  <c r="CA26" i="15"/>
  <c r="BZ24" i="15"/>
  <c r="CA21" i="15"/>
  <c r="BZ20" i="15"/>
  <c r="BZ15" i="15"/>
  <c r="CA46" i="15"/>
  <c r="BZ45" i="15"/>
  <c r="CA42" i="15"/>
  <c r="BZ41" i="15"/>
  <c r="CA38" i="15"/>
  <c r="BZ37" i="15"/>
  <c r="CA34" i="15"/>
  <c r="BZ33" i="15"/>
  <c r="CA30" i="15"/>
  <c r="CA27" i="15"/>
  <c r="BZ26" i="15"/>
  <c r="CA22" i="15"/>
  <c r="BZ21" i="15"/>
  <c r="CA18" i="15"/>
  <c r="CA47" i="15"/>
  <c r="BZ46" i="15"/>
  <c r="CA43" i="15"/>
  <c r="BZ42" i="15"/>
  <c r="CA39" i="15"/>
  <c r="BZ38" i="15"/>
  <c r="CA35" i="15"/>
  <c r="BZ34" i="15"/>
  <c r="CA31" i="15"/>
  <c r="BZ30" i="15"/>
  <c r="CA28" i="15"/>
  <c r="BZ27" i="15"/>
  <c r="CA23" i="15"/>
  <c r="BZ22" i="15"/>
  <c r="CA19" i="15"/>
  <c r="BZ18" i="15"/>
  <c r="DQ43" i="15"/>
  <c r="DQ39" i="15"/>
  <c r="DQ35" i="15"/>
  <c r="DQ46" i="15"/>
  <c r="DQ42" i="15"/>
  <c r="DQ38" i="15"/>
  <c r="DQ45" i="15"/>
  <c r="DQ41" i="15"/>
  <c r="DQ37" i="15"/>
  <c r="DQ44" i="15"/>
  <c r="DQ40" i="15"/>
  <c r="DQ36" i="15"/>
  <c r="DQ32" i="15"/>
  <c r="BU47" i="15"/>
  <c r="BV45" i="15"/>
  <c r="BU43" i="15"/>
  <c r="BV41" i="15"/>
  <c r="BU39" i="15"/>
  <c r="BV37" i="15"/>
  <c r="BU35" i="15"/>
  <c r="BV33" i="15"/>
  <c r="BU31" i="15"/>
  <c r="BU28" i="15"/>
  <c r="BV26" i="15"/>
  <c r="BU23" i="15"/>
  <c r="BV21" i="15"/>
  <c r="BU19" i="15"/>
  <c r="BV17" i="15"/>
  <c r="BU15" i="15"/>
  <c r="BV13" i="15"/>
  <c r="BU11" i="15"/>
  <c r="BV9" i="15"/>
  <c r="BU7" i="15"/>
  <c r="BV5" i="15"/>
  <c r="BV47" i="15"/>
  <c r="BU45" i="15"/>
  <c r="BV43" i="15"/>
  <c r="BU41" i="15"/>
  <c r="BV39" i="15"/>
  <c r="BU37" i="15"/>
  <c r="BV35" i="15"/>
  <c r="BU33" i="15"/>
  <c r="BV31" i="15"/>
  <c r="BV28" i="15"/>
  <c r="BU26" i="15"/>
  <c r="BV23" i="15"/>
  <c r="BU21" i="15"/>
  <c r="BV19" i="15"/>
  <c r="BU17" i="15"/>
  <c r="BV15" i="15"/>
  <c r="BU13" i="15"/>
  <c r="BV11" i="15"/>
  <c r="BU9" i="15"/>
  <c r="BV7" i="15"/>
  <c r="BU49" i="15"/>
  <c r="BV48" i="15"/>
  <c r="BU46" i="15"/>
  <c r="BV44" i="15"/>
  <c r="BU42" i="15"/>
  <c r="BV40" i="15"/>
  <c r="BU38" i="15"/>
  <c r="BV36" i="15"/>
  <c r="BU34" i="15"/>
  <c r="BV32" i="15"/>
  <c r="BU30" i="15"/>
  <c r="BV29" i="15"/>
  <c r="BU27" i="15"/>
  <c r="BV24" i="15"/>
  <c r="BU22" i="15"/>
  <c r="BV20" i="15"/>
  <c r="BU18" i="15"/>
  <c r="BU14" i="15"/>
  <c r="BV12" i="15"/>
  <c r="BU10" i="15"/>
  <c r="BV8" i="15"/>
  <c r="BU6" i="15"/>
  <c r="T84" i="33"/>
  <c r="Q84" i="33"/>
  <c r="Y66" i="33"/>
  <c r="M66" i="33"/>
  <c r="N66" i="33"/>
  <c r="O66" i="33"/>
  <c r="P66" i="33"/>
  <c r="Q66" i="33"/>
  <c r="R66" i="33"/>
  <c r="S66" i="33"/>
  <c r="T66" i="33"/>
  <c r="U66" i="33"/>
  <c r="V66" i="33"/>
  <c r="W66" i="33"/>
  <c r="L66" i="33"/>
  <c r="X26" i="33"/>
  <c r="K27" i="33"/>
  <c r="K28" i="33"/>
  <c r="I39" i="45" l="1"/>
  <c r="X57" i="33" l="1"/>
  <c r="X58" i="33"/>
  <c r="X59" i="33"/>
  <c r="X60" i="33"/>
  <c r="X61" i="33"/>
  <c r="X62" i="33"/>
  <c r="X63" i="33"/>
  <c r="X64" i="33"/>
  <c r="X65" i="33"/>
  <c r="K21" i="33"/>
  <c r="K30" i="33"/>
  <c r="K59" i="33"/>
  <c r="K60" i="33"/>
  <c r="K61" i="33"/>
  <c r="K62" i="33"/>
  <c r="K63" i="33"/>
  <c r="K64" i="33"/>
  <c r="K65" i="33"/>
  <c r="AA58" i="33"/>
  <c r="AC58" i="33"/>
  <c r="AA60" i="33"/>
  <c r="AA63" i="33"/>
  <c r="AC65" i="33"/>
  <c r="AC61" i="33"/>
  <c r="AA57" i="33"/>
  <c r="AA56" i="33"/>
  <c r="AA65" i="33"/>
  <c r="AC59" i="33"/>
  <c r="AC62" i="33"/>
  <c r="AC64" i="33"/>
  <c r="AA64" i="33"/>
  <c r="AC63" i="33"/>
  <c r="AC57" i="33"/>
  <c r="AA59" i="33"/>
  <c r="AA62" i="33"/>
  <c r="AA61" i="33"/>
  <c r="AC60" i="33"/>
  <c r="D4" i="31" l="1"/>
  <c r="X36" i="33" l="1"/>
  <c r="X37" i="33"/>
  <c r="X38" i="33"/>
  <c r="X39" i="33"/>
  <c r="X40" i="33"/>
  <c r="X41" i="33"/>
  <c r="X42" i="33"/>
  <c r="X43" i="33"/>
  <c r="X44" i="33"/>
  <c r="X45" i="33"/>
  <c r="X46" i="33"/>
  <c r="X47" i="33"/>
  <c r="X48" i="33"/>
  <c r="X50" i="33"/>
  <c r="X51" i="33"/>
  <c r="X49" i="33"/>
  <c r="X31" i="33"/>
  <c r="X32" i="33"/>
  <c r="X52" i="33"/>
  <c r="X53" i="33"/>
  <c r="X54" i="33"/>
  <c r="X55" i="33"/>
  <c r="X56" i="33"/>
  <c r="X35" i="33"/>
  <c r="X18" i="33"/>
  <c r="X19" i="33"/>
  <c r="X20" i="33"/>
  <c r="X21" i="33"/>
  <c r="X22" i="33"/>
  <c r="X23" i="33"/>
  <c r="X24" i="33"/>
  <c r="X25" i="33"/>
  <c r="X27" i="33"/>
  <c r="X29" i="33"/>
  <c r="X30" i="33"/>
  <c r="X34" i="33"/>
  <c r="AA52" i="33"/>
  <c r="AC47" i="33"/>
  <c r="AC40" i="33"/>
  <c r="AC32" i="33"/>
  <c r="AC22" i="33"/>
  <c r="AA36" i="33"/>
  <c r="AA38" i="33"/>
  <c r="AC25" i="33"/>
  <c r="AA42" i="33"/>
  <c r="AA24" i="33"/>
  <c r="AC23" i="33"/>
  <c r="AA47" i="33"/>
  <c r="AC46" i="33"/>
  <c r="AA22" i="33"/>
  <c r="AA31" i="33"/>
  <c r="AA39" i="33"/>
  <c r="AA32" i="33"/>
  <c r="AA45" i="33"/>
  <c r="AC27" i="33"/>
  <c r="AC43" i="33"/>
  <c r="AC21" i="33"/>
  <c r="AC55" i="33"/>
  <c r="AA18" i="33"/>
  <c r="AC29" i="33"/>
  <c r="AA37" i="33"/>
  <c r="AA46" i="33"/>
  <c r="AC37" i="33"/>
  <c r="AC53" i="33"/>
  <c r="AC30" i="33"/>
  <c r="AC18" i="33"/>
  <c r="AA29" i="33"/>
  <c r="AA40" i="33"/>
  <c r="AC39" i="33"/>
  <c r="AA20" i="33"/>
  <c r="AC20" i="33"/>
  <c r="AA21" i="33"/>
  <c r="AC45" i="33"/>
  <c r="AC38" i="33"/>
  <c r="AA25" i="33"/>
  <c r="AA53" i="33"/>
  <c r="AA41" i="33"/>
  <c r="AA27" i="33"/>
  <c r="AA30" i="33"/>
  <c r="AA23" i="33"/>
  <c r="AA34" i="33"/>
  <c r="AC41" i="33"/>
  <c r="AA43" i="33"/>
  <c r="AC56" i="33"/>
  <c r="AA19" i="33"/>
  <c r="AC42" i="33"/>
  <c r="AC24" i="33"/>
  <c r="AC36" i="33"/>
  <c r="AC19" i="33"/>
  <c r="AA55" i="33"/>
  <c r="AC34" i="33"/>
  <c r="AC31" i="33"/>
  <c r="AA66" i="33" l="1"/>
  <c r="AC66" i="33"/>
  <c r="A194" i="36" l="1"/>
  <c r="Z194" i="36" s="1"/>
  <c r="Y194" i="36"/>
  <c r="BE194" i="36" s="1"/>
  <c r="BF194" i="36" s="1"/>
  <c r="AD194" i="36"/>
  <c r="AJ194" i="36"/>
  <c r="AK194" i="36"/>
  <c r="CY194" i="36" s="1"/>
  <c r="AV194" i="36"/>
  <c r="BB194" i="36"/>
  <c r="BH194" i="36"/>
  <c r="BN194" i="36"/>
  <c r="BT194" i="36"/>
  <c r="BZ194" i="36"/>
  <c r="CF194" i="36"/>
  <c r="CL194" i="36"/>
  <c r="CR194" i="36"/>
  <c r="CZ194" i="36"/>
  <c r="AM194" i="36" l="1"/>
  <c r="AN194" i="36" s="1"/>
  <c r="BQ194" i="36"/>
  <c r="BR194" i="36" s="1"/>
  <c r="AY194" i="36"/>
  <c r="AZ194" i="36" s="1"/>
  <c r="DB194" i="36"/>
  <c r="CI194" i="36"/>
  <c r="CJ194" i="36" s="1"/>
  <c r="BW194" i="36"/>
  <c r="BX194" i="36" s="1"/>
  <c r="AS194" i="36"/>
  <c r="AT194" i="36" s="1"/>
  <c r="CU194" i="36"/>
  <c r="CV194" i="36" s="1"/>
  <c r="CO194" i="36"/>
  <c r="CP194" i="36" s="1"/>
  <c r="CC194" i="36"/>
  <c r="CD194" i="36" s="1"/>
  <c r="BK194" i="36"/>
  <c r="BL194" i="36" s="1"/>
  <c r="AG194" i="36"/>
  <c r="AB194" i="36"/>
  <c r="DC194" i="36" l="1"/>
  <c r="DF194" i="36" s="1"/>
  <c r="AH194" i="36"/>
  <c r="K26" i="33" l="1"/>
  <c r="BO33" i="15" l="1"/>
  <c r="BP33" i="15" l="1"/>
  <c r="BY33" i="15" s="1"/>
  <c r="DN33" i="15"/>
  <c r="DQ33" i="15" s="1"/>
  <c r="Y80" i="36" l="1"/>
  <c r="Y81" i="36"/>
  <c r="Y82" i="36"/>
  <c r="Y83" i="36"/>
  <c r="Y84" i="36"/>
  <c r="Y85" i="36"/>
  <c r="Y86" i="36"/>
  <c r="Y87" i="36"/>
  <c r="Y88" i="36"/>
  <c r="Y89" i="36"/>
  <c r="Y90" i="36"/>
  <c r="AM90" i="36" s="1"/>
  <c r="AN90" i="36" s="1"/>
  <c r="A90" i="36"/>
  <c r="Z90" i="36" s="1"/>
  <c r="A91" i="36"/>
  <c r="AB91" i="36" s="1"/>
  <c r="A92" i="36"/>
  <c r="Z92" i="36" s="1"/>
  <c r="A93" i="36"/>
  <c r="AB93" i="36" s="1"/>
  <c r="A94" i="36"/>
  <c r="AB94" i="36" s="1"/>
  <c r="A95" i="36"/>
  <c r="AB95" i="36" s="1"/>
  <c r="A96" i="36"/>
  <c r="AB96" i="36" s="1"/>
  <c r="A97" i="36"/>
  <c r="AB97" i="36" s="1"/>
  <c r="A98" i="36"/>
  <c r="AB98" i="36" s="1"/>
  <c r="A99" i="36"/>
  <c r="A100" i="36"/>
  <c r="AB100" i="36" s="1"/>
  <c r="A101" i="36"/>
  <c r="AB101" i="36" s="1"/>
  <c r="Y91" i="36"/>
  <c r="AG91" i="36" s="1"/>
  <c r="Y92" i="36"/>
  <c r="AG92" i="36" s="1"/>
  <c r="Y93" i="36"/>
  <c r="BK93" i="36" s="1"/>
  <c r="BL93" i="36" s="1"/>
  <c r="Y94" i="36"/>
  <c r="AG94" i="36" s="1"/>
  <c r="AH94" i="36" s="1"/>
  <c r="Y95" i="36"/>
  <c r="AM95" i="36" s="1"/>
  <c r="AN95" i="36" s="1"/>
  <c r="Y96" i="36"/>
  <c r="AG96" i="36" s="1"/>
  <c r="Y97" i="36"/>
  <c r="AG97" i="36" s="1"/>
  <c r="AH97" i="36" s="1"/>
  <c r="Y98" i="36"/>
  <c r="AM98" i="36" s="1"/>
  <c r="AN98" i="36" s="1"/>
  <c r="Y99" i="36"/>
  <c r="AM99" i="36" s="1"/>
  <c r="AN99" i="36" s="1"/>
  <c r="Y100" i="36"/>
  <c r="AG100" i="36" s="1"/>
  <c r="Y101" i="36"/>
  <c r="BW101" i="36" s="1"/>
  <c r="BX101" i="36" s="1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J90" i="36"/>
  <c r="AJ91" i="36"/>
  <c r="AJ92" i="36"/>
  <c r="AJ93" i="36"/>
  <c r="AJ94" i="36"/>
  <c r="AJ95" i="36"/>
  <c r="AJ96" i="36"/>
  <c r="AJ97" i="36"/>
  <c r="AJ98" i="36"/>
  <c r="AJ99" i="36"/>
  <c r="AJ100" i="36"/>
  <c r="AJ101" i="36"/>
  <c r="AK90" i="36"/>
  <c r="CY90" i="36" s="1"/>
  <c r="AK91" i="36"/>
  <c r="CY91" i="36" s="1"/>
  <c r="AK92" i="36"/>
  <c r="CY92" i="36" s="1"/>
  <c r="AK93" i="36"/>
  <c r="CY93" i="36" s="1"/>
  <c r="AK94" i="36"/>
  <c r="CY94" i="36" s="1"/>
  <c r="AK95" i="36"/>
  <c r="CY95" i="36" s="1"/>
  <c r="AK96" i="36"/>
  <c r="CY96" i="36" s="1"/>
  <c r="AK97" i="36"/>
  <c r="CY97" i="36" s="1"/>
  <c r="AK98" i="36"/>
  <c r="CY98" i="36" s="1"/>
  <c r="AK99" i="36"/>
  <c r="CY99" i="36" s="1"/>
  <c r="AK100" i="36"/>
  <c r="CY100" i="36" s="1"/>
  <c r="AK101" i="36"/>
  <c r="CY101" i="36" s="1"/>
  <c r="AV90" i="36"/>
  <c r="AV91" i="36"/>
  <c r="AV92" i="36"/>
  <c r="AV93" i="36"/>
  <c r="AV94" i="36"/>
  <c r="AV95" i="36"/>
  <c r="AV96" i="36"/>
  <c r="AV97" i="36"/>
  <c r="AV98" i="36"/>
  <c r="AV99" i="36"/>
  <c r="AV100" i="36"/>
  <c r="AV101" i="36"/>
  <c r="AY96" i="36"/>
  <c r="AZ96" i="36" s="1"/>
  <c r="BB90" i="36"/>
  <c r="BB91" i="36"/>
  <c r="BB92" i="36"/>
  <c r="BB93" i="36"/>
  <c r="BB94" i="36"/>
  <c r="BB95" i="36"/>
  <c r="BB96" i="36"/>
  <c r="BB97" i="36"/>
  <c r="BB98" i="36"/>
  <c r="BB99" i="36"/>
  <c r="BB100" i="36"/>
  <c r="BB101" i="36"/>
  <c r="BH90" i="36"/>
  <c r="BH91" i="36"/>
  <c r="BH92" i="36"/>
  <c r="BH93" i="36"/>
  <c r="BH94" i="36"/>
  <c r="BH95" i="36"/>
  <c r="BH96" i="36"/>
  <c r="BH97" i="36"/>
  <c r="BH98" i="36"/>
  <c r="BH99" i="36"/>
  <c r="BH100" i="36"/>
  <c r="BH101" i="36"/>
  <c r="BK100" i="36"/>
  <c r="BL100" i="36" s="1"/>
  <c r="BN90" i="36"/>
  <c r="BN91" i="36"/>
  <c r="BN92" i="36"/>
  <c r="BN93" i="36"/>
  <c r="BN94" i="36"/>
  <c r="BN95" i="36"/>
  <c r="BN96" i="36"/>
  <c r="BN97" i="36"/>
  <c r="BN98" i="36"/>
  <c r="BN99" i="36"/>
  <c r="BN100" i="36"/>
  <c r="BN101" i="36"/>
  <c r="BT90" i="36"/>
  <c r="BT91" i="36"/>
  <c r="BT92" i="36"/>
  <c r="BT93" i="36"/>
  <c r="BT94" i="36"/>
  <c r="BT95" i="36"/>
  <c r="BT96" i="36"/>
  <c r="BT97" i="36"/>
  <c r="BT98" i="36"/>
  <c r="BT99" i="36"/>
  <c r="BT100" i="36"/>
  <c r="BT101" i="36"/>
  <c r="BW96" i="36"/>
  <c r="BX96" i="36" s="1"/>
  <c r="BW100" i="36"/>
  <c r="BX100" i="36" s="1"/>
  <c r="BZ90" i="36"/>
  <c r="BZ91" i="36"/>
  <c r="BZ92" i="36"/>
  <c r="BZ93" i="36"/>
  <c r="BZ94" i="36"/>
  <c r="BZ95" i="36"/>
  <c r="BZ96" i="36"/>
  <c r="BZ97" i="36"/>
  <c r="BZ98" i="36"/>
  <c r="BZ99" i="36"/>
  <c r="BZ100" i="36"/>
  <c r="BZ101" i="36"/>
  <c r="CF90" i="36"/>
  <c r="CF91" i="36"/>
  <c r="CF92" i="36"/>
  <c r="CF93" i="36"/>
  <c r="CF94" i="36"/>
  <c r="CF95" i="36"/>
  <c r="CF96" i="36"/>
  <c r="CF97" i="36"/>
  <c r="CF98" i="36"/>
  <c r="CF99" i="36"/>
  <c r="CF100" i="36"/>
  <c r="CF101" i="36"/>
  <c r="CI96" i="36"/>
  <c r="CJ96" i="36" s="1"/>
  <c r="CO96" i="36"/>
  <c r="CP96" i="36" s="1"/>
  <c r="CR90" i="36"/>
  <c r="CR91" i="36"/>
  <c r="CR92" i="36"/>
  <c r="CR93" i="36"/>
  <c r="CR94" i="36"/>
  <c r="CR95" i="36"/>
  <c r="CR96" i="36"/>
  <c r="CR97" i="36"/>
  <c r="CR98" i="36"/>
  <c r="CR99" i="36"/>
  <c r="CR100" i="36"/>
  <c r="CR101" i="36"/>
  <c r="CU92" i="36"/>
  <c r="CV92" i="36" s="1"/>
  <c r="CZ90" i="36"/>
  <c r="CZ91" i="36"/>
  <c r="CZ92" i="36"/>
  <c r="CZ93" i="36"/>
  <c r="CZ94" i="36"/>
  <c r="CZ95" i="36"/>
  <c r="CZ96" i="36"/>
  <c r="CZ97" i="36"/>
  <c r="CZ98" i="36"/>
  <c r="CZ99" i="36"/>
  <c r="CZ100" i="36"/>
  <c r="CZ101" i="36"/>
  <c r="A102" i="36"/>
  <c r="AB102" i="36" s="1"/>
  <c r="A103" i="36"/>
  <c r="AB103" i="36" s="1"/>
  <c r="A104" i="36"/>
  <c r="AB104" i="36" s="1"/>
  <c r="A105" i="36"/>
  <c r="AB105" i="36" s="1"/>
  <c r="A106" i="36"/>
  <c r="AB106" i="36" s="1"/>
  <c r="A107" i="36"/>
  <c r="AB107" i="36" s="1"/>
  <c r="A108" i="36"/>
  <c r="AB108" i="36" s="1"/>
  <c r="A109" i="36"/>
  <c r="Z109" i="36" s="1"/>
  <c r="A110" i="36"/>
  <c r="Z110" i="36" s="1"/>
  <c r="A111" i="36"/>
  <c r="AB111" i="36" s="1"/>
  <c r="A112" i="36"/>
  <c r="AB112" i="36" s="1"/>
  <c r="A113" i="36"/>
  <c r="Y102" i="36"/>
  <c r="AG102" i="36" s="1"/>
  <c r="AH102" i="36" s="1"/>
  <c r="Y103" i="36"/>
  <c r="AY103" i="36" s="1"/>
  <c r="AZ103" i="36" s="1"/>
  <c r="Y104" i="36"/>
  <c r="BK104" i="36" s="1"/>
  <c r="BL104" i="36" s="1"/>
  <c r="Y105" i="36"/>
  <c r="CC105" i="36" s="1"/>
  <c r="CD105" i="36" s="1"/>
  <c r="Y106" i="36"/>
  <c r="AG106" i="36" s="1"/>
  <c r="AH106" i="36" s="1"/>
  <c r="Y107" i="36"/>
  <c r="AY107" i="36" s="1"/>
  <c r="AZ107" i="36" s="1"/>
  <c r="Y108" i="36"/>
  <c r="AM108" i="36" s="1"/>
  <c r="AN108" i="36" s="1"/>
  <c r="Y109" i="36"/>
  <c r="BK109" i="36" s="1"/>
  <c r="BL109" i="36" s="1"/>
  <c r="Y110" i="36"/>
  <c r="AG110" i="36" s="1"/>
  <c r="AH110" i="36" s="1"/>
  <c r="Y111" i="36"/>
  <c r="AY111" i="36" s="1"/>
  <c r="AZ111" i="36" s="1"/>
  <c r="Y112" i="36"/>
  <c r="BQ112" i="36" s="1"/>
  <c r="BR112" i="36" s="1"/>
  <c r="Y113" i="36"/>
  <c r="AS113" i="36" s="1"/>
  <c r="AT113" i="36" s="1"/>
  <c r="Z102" i="36"/>
  <c r="Z103" i="36"/>
  <c r="Z104" i="36"/>
  <c r="Z105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J102" i="36"/>
  <c r="AJ103" i="36"/>
  <c r="AJ104" i="36"/>
  <c r="AJ105" i="36"/>
  <c r="AJ106" i="36"/>
  <c r="AJ107" i="36"/>
  <c r="AJ108" i="36"/>
  <c r="AJ109" i="36"/>
  <c r="AJ110" i="36"/>
  <c r="AJ111" i="36"/>
  <c r="AJ112" i="36"/>
  <c r="AJ113" i="36"/>
  <c r="AK102" i="36"/>
  <c r="CY102" i="36" s="1"/>
  <c r="AK103" i="36"/>
  <c r="CY103" i="36" s="1"/>
  <c r="AK104" i="36"/>
  <c r="CY104" i="36" s="1"/>
  <c r="AK105" i="36"/>
  <c r="CY105" i="36" s="1"/>
  <c r="AK106" i="36"/>
  <c r="CY106" i="36" s="1"/>
  <c r="AK107" i="36"/>
  <c r="CY107" i="36" s="1"/>
  <c r="AK108" i="36"/>
  <c r="CY108" i="36" s="1"/>
  <c r="AK109" i="36"/>
  <c r="CY109" i="36" s="1"/>
  <c r="AK110" i="36"/>
  <c r="CY110" i="36" s="1"/>
  <c r="AK111" i="36"/>
  <c r="CY111" i="36" s="1"/>
  <c r="AK112" i="36"/>
  <c r="CY112" i="36" s="1"/>
  <c r="AK113" i="36"/>
  <c r="CY113" i="36" s="1"/>
  <c r="AV102" i="36"/>
  <c r="AV103" i="36"/>
  <c r="AV104" i="36"/>
  <c r="AV105" i="36"/>
  <c r="AV106" i="36"/>
  <c r="AV107" i="36"/>
  <c r="AV108" i="36"/>
  <c r="AV109" i="36"/>
  <c r="AV110" i="36"/>
  <c r="AV111" i="36"/>
  <c r="AV112" i="36"/>
  <c r="AV113" i="36"/>
  <c r="BB102" i="36"/>
  <c r="BB103" i="36"/>
  <c r="BB104" i="36"/>
  <c r="BB105" i="36"/>
  <c r="BB106" i="36"/>
  <c r="BB107" i="36"/>
  <c r="BB108" i="36"/>
  <c r="BB109" i="36"/>
  <c r="BB110" i="36"/>
  <c r="BB111" i="36"/>
  <c r="BB112" i="36"/>
  <c r="BB113" i="36"/>
  <c r="BH102" i="36"/>
  <c r="BH103" i="36"/>
  <c r="BH104" i="36"/>
  <c r="BH105" i="36"/>
  <c r="BH106" i="36"/>
  <c r="BH107" i="36"/>
  <c r="BH108" i="36"/>
  <c r="BH109" i="36"/>
  <c r="BH110" i="36"/>
  <c r="BH111" i="36"/>
  <c r="BH112" i="36"/>
  <c r="BH113" i="36"/>
  <c r="BN102" i="36"/>
  <c r="BN103" i="36"/>
  <c r="BN104" i="36"/>
  <c r="BN105" i="36"/>
  <c r="BN106" i="36"/>
  <c r="BN107" i="36"/>
  <c r="BN108" i="36"/>
  <c r="BN109" i="36"/>
  <c r="BN110" i="36"/>
  <c r="BN111" i="36"/>
  <c r="BN112" i="36"/>
  <c r="BN113" i="36"/>
  <c r="BT102" i="36"/>
  <c r="BT103" i="36"/>
  <c r="BT104" i="36"/>
  <c r="BT105" i="36"/>
  <c r="BT106" i="36"/>
  <c r="BT107" i="36"/>
  <c r="BT108" i="36"/>
  <c r="BT109" i="36"/>
  <c r="BT110" i="36"/>
  <c r="BT111" i="36"/>
  <c r="BT112" i="36"/>
  <c r="BT113" i="36"/>
  <c r="BZ102" i="36"/>
  <c r="BZ103" i="36"/>
  <c r="BZ104" i="36"/>
  <c r="BZ105" i="36"/>
  <c r="BZ106" i="36"/>
  <c r="BZ107" i="36"/>
  <c r="BZ108" i="36"/>
  <c r="BZ109" i="36"/>
  <c r="BZ110" i="36"/>
  <c r="BZ111" i="36"/>
  <c r="BZ112" i="36"/>
  <c r="BZ113" i="36"/>
  <c r="CF102" i="36"/>
  <c r="CF103" i="36"/>
  <c r="CF104" i="36"/>
  <c r="CF105" i="36"/>
  <c r="CF106" i="36"/>
  <c r="CF107" i="36"/>
  <c r="CF108" i="36"/>
  <c r="CF109" i="36"/>
  <c r="CF110" i="36"/>
  <c r="CF111" i="36"/>
  <c r="CF112" i="36"/>
  <c r="CF113" i="36"/>
  <c r="CR102" i="36"/>
  <c r="CR103" i="36"/>
  <c r="CR104" i="36"/>
  <c r="CR105" i="36"/>
  <c r="CR106" i="36"/>
  <c r="CR107" i="36"/>
  <c r="CR108" i="36"/>
  <c r="CR109" i="36"/>
  <c r="CR110" i="36"/>
  <c r="CR111" i="36"/>
  <c r="CR112" i="36"/>
  <c r="CR113" i="36"/>
  <c r="CZ102" i="36"/>
  <c r="CZ103" i="36"/>
  <c r="CZ104" i="36"/>
  <c r="CZ105" i="36"/>
  <c r="CZ106" i="36"/>
  <c r="CZ107" i="36"/>
  <c r="CZ108" i="36"/>
  <c r="CZ109" i="36"/>
  <c r="CZ110" i="36"/>
  <c r="CZ111" i="36"/>
  <c r="CZ112" i="36"/>
  <c r="CZ113" i="36"/>
  <c r="A114" i="36"/>
  <c r="AB114" i="36" s="1"/>
  <c r="A115" i="36"/>
  <c r="AB115" i="36" s="1"/>
  <c r="A116" i="36"/>
  <c r="AB116" i="36" s="1"/>
  <c r="A117" i="36"/>
  <c r="AB117" i="36" s="1"/>
  <c r="A118" i="36"/>
  <c r="AB118" i="36" s="1"/>
  <c r="A119" i="36"/>
  <c r="AB119" i="36" s="1"/>
  <c r="A120" i="36"/>
  <c r="AB120" i="36" s="1"/>
  <c r="A121" i="36"/>
  <c r="A122" i="36"/>
  <c r="AB122" i="36" s="1"/>
  <c r="A123" i="36"/>
  <c r="AB123" i="36" s="1"/>
  <c r="A124" i="36"/>
  <c r="AB124" i="36" s="1"/>
  <c r="A125" i="36"/>
  <c r="AB125" i="36" s="1"/>
  <c r="Y114" i="36"/>
  <c r="BW114" i="36" s="1"/>
  <c r="BX114" i="36" s="1"/>
  <c r="Y115" i="36"/>
  <c r="BW115" i="36" s="1"/>
  <c r="BX115" i="36" s="1"/>
  <c r="Y116" i="36"/>
  <c r="BW116" i="36" s="1"/>
  <c r="BX116" i="36" s="1"/>
  <c r="Y117" i="36"/>
  <c r="CI117" i="36" s="1"/>
  <c r="CJ117" i="36" s="1"/>
  <c r="Y118" i="36"/>
  <c r="BK118" i="36" s="1"/>
  <c r="BL118" i="36" s="1"/>
  <c r="Y119" i="36"/>
  <c r="BW119" i="36" s="1"/>
  <c r="BX119" i="36" s="1"/>
  <c r="Y120" i="36"/>
  <c r="BW120" i="36" s="1"/>
  <c r="BX120" i="36" s="1"/>
  <c r="Y121" i="36"/>
  <c r="BW121" i="36" s="1"/>
  <c r="BX121" i="36" s="1"/>
  <c r="Y122" i="36"/>
  <c r="BW122" i="36" s="1"/>
  <c r="BX122" i="36" s="1"/>
  <c r="Y123" i="36"/>
  <c r="BW123" i="36" s="1"/>
  <c r="BX123" i="36" s="1"/>
  <c r="Y124" i="36"/>
  <c r="BW124" i="36" s="1"/>
  <c r="BX124" i="36" s="1"/>
  <c r="Y125" i="36"/>
  <c r="CO125" i="36" s="1"/>
  <c r="CP125" i="36" s="1"/>
  <c r="Z114" i="36"/>
  <c r="Z115" i="36"/>
  <c r="Z116" i="36"/>
  <c r="Z117" i="36"/>
  <c r="Z118" i="36"/>
  <c r="Z119" i="36"/>
  <c r="Z120" i="36"/>
  <c r="Z121" i="36"/>
  <c r="Z122" i="36"/>
  <c r="Z123" i="36"/>
  <c r="Z124" i="36"/>
  <c r="Z125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J114" i="36"/>
  <c r="AJ115" i="36"/>
  <c r="AJ116" i="36"/>
  <c r="AJ117" i="36"/>
  <c r="AJ118" i="36"/>
  <c r="AJ119" i="36"/>
  <c r="AJ120" i="36"/>
  <c r="AJ121" i="36"/>
  <c r="AJ122" i="36"/>
  <c r="AJ123" i="36"/>
  <c r="AJ124" i="36"/>
  <c r="AJ125" i="36"/>
  <c r="AK114" i="36"/>
  <c r="CY114" i="36" s="1"/>
  <c r="AK115" i="36"/>
  <c r="CY115" i="36" s="1"/>
  <c r="AK116" i="36"/>
  <c r="CY116" i="36" s="1"/>
  <c r="AK117" i="36"/>
  <c r="CY117" i="36" s="1"/>
  <c r="AK118" i="36"/>
  <c r="CY118" i="36" s="1"/>
  <c r="DB118" i="36" s="1"/>
  <c r="AK119" i="36"/>
  <c r="CY119" i="36" s="1"/>
  <c r="AK120" i="36"/>
  <c r="CY120" i="36" s="1"/>
  <c r="AK121" i="36"/>
  <c r="CY121" i="36" s="1"/>
  <c r="AK122" i="36"/>
  <c r="CY122" i="36" s="1"/>
  <c r="AK123" i="36"/>
  <c r="CY123" i="36" s="1"/>
  <c r="AK124" i="36"/>
  <c r="CY124" i="36" s="1"/>
  <c r="AK125" i="36"/>
  <c r="CY125" i="36" s="1"/>
  <c r="AV114" i="36"/>
  <c r="AV115" i="36"/>
  <c r="AV116" i="36"/>
  <c r="AV117" i="36"/>
  <c r="AV118" i="36"/>
  <c r="AV119" i="36"/>
  <c r="AV120" i="36"/>
  <c r="AV121" i="36"/>
  <c r="AV122" i="36"/>
  <c r="AV123" i="36"/>
  <c r="AV124" i="36"/>
  <c r="AV125" i="36"/>
  <c r="BB114" i="36"/>
  <c r="BB115" i="36"/>
  <c r="BB116" i="36"/>
  <c r="BB117" i="36"/>
  <c r="BB118" i="36"/>
  <c r="BB119" i="36"/>
  <c r="BB120" i="36"/>
  <c r="BB121" i="36"/>
  <c r="BB122" i="36"/>
  <c r="BB123" i="36"/>
  <c r="BB124" i="36"/>
  <c r="BB125" i="36"/>
  <c r="BH114" i="36"/>
  <c r="BH115" i="36"/>
  <c r="BH116" i="36"/>
  <c r="BH117" i="36"/>
  <c r="BH118" i="36"/>
  <c r="BH119" i="36"/>
  <c r="BH120" i="36"/>
  <c r="BH121" i="36"/>
  <c r="BH122" i="36"/>
  <c r="BH123" i="36"/>
  <c r="BH124" i="36"/>
  <c r="BH125" i="36"/>
  <c r="BN114" i="36"/>
  <c r="BN115" i="36"/>
  <c r="BN116" i="36"/>
  <c r="BN117" i="36"/>
  <c r="BN118" i="36"/>
  <c r="BN119" i="36"/>
  <c r="BN120" i="36"/>
  <c r="BN121" i="36"/>
  <c r="BN122" i="36"/>
  <c r="BN123" i="36"/>
  <c r="BN124" i="36"/>
  <c r="BN125" i="36"/>
  <c r="BT114" i="36"/>
  <c r="BT115" i="36"/>
  <c r="BT116" i="36"/>
  <c r="BT117" i="36"/>
  <c r="BT118" i="36"/>
  <c r="BT119" i="36"/>
  <c r="BT120" i="36"/>
  <c r="BT121" i="36"/>
  <c r="BT122" i="36"/>
  <c r="BT123" i="36"/>
  <c r="BT124" i="36"/>
  <c r="BT125" i="36"/>
  <c r="BZ114" i="36"/>
  <c r="BZ115" i="36"/>
  <c r="BZ116" i="36"/>
  <c r="BZ117" i="36"/>
  <c r="BZ118" i="36"/>
  <c r="BZ119" i="36"/>
  <c r="BZ120" i="36"/>
  <c r="BZ121" i="36"/>
  <c r="BZ122" i="36"/>
  <c r="BZ123" i="36"/>
  <c r="BZ124" i="36"/>
  <c r="BZ125" i="36"/>
  <c r="CF114" i="36"/>
  <c r="CF115" i="36"/>
  <c r="CF116" i="36"/>
  <c r="CF117" i="36"/>
  <c r="CF118" i="36"/>
  <c r="CF119" i="36"/>
  <c r="CF120" i="36"/>
  <c r="CF121" i="36"/>
  <c r="CF122" i="36"/>
  <c r="CF123" i="36"/>
  <c r="CF124" i="36"/>
  <c r="CF125" i="36"/>
  <c r="CR114" i="36"/>
  <c r="CR115" i="36"/>
  <c r="CR116" i="36"/>
  <c r="CR117" i="36"/>
  <c r="CR118" i="36"/>
  <c r="CR119" i="36"/>
  <c r="CR120" i="36"/>
  <c r="CR121" i="36"/>
  <c r="CR122" i="36"/>
  <c r="CR123" i="36"/>
  <c r="CR124" i="36"/>
  <c r="CR125" i="36"/>
  <c r="CZ114" i="36"/>
  <c r="CZ115" i="36"/>
  <c r="CZ116" i="36"/>
  <c r="CZ117" i="36"/>
  <c r="CZ118" i="36"/>
  <c r="CZ119" i="36"/>
  <c r="CZ120" i="36"/>
  <c r="CZ121" i="36"/>
  <c r="CZ122" i="36"/>
  <c r="CZ123" i="36"/>
  <c r="CZ124" i="36"/>
  <c r="CZ125" i="36"/>
  <c r="A126" i="36"/>
  <c r="AB126" i="36" s="1"/>
  <c r="A127" i="36"/>
  <c r="AB127" i="36" s="1"/>
  <c r="A128" i="36"/>
  <c r="AB128" i="36" s="1"/>
  <c r="A129" i="36"/>
  <c r="AB129" i="36" s="1"/>
  <c r="A130" i="36"/>
  <c r="AB130" i="36" s="1"/>
  <c r="A131" i="36"/>
  <c r="AB131" i="36" s="1"/>
  <c r="A132" i="36"/>
  <c r="AB132" i="36" s="1"/>
  <c r="A133" i="36"/>
  <c r="AB133" i="36" s="1"/>
  <c r="A134" i="36"/>
  <c r="AB134" i="36" s="1"/>
  <c r="A135" i="36"/>
  <c r="AB135" i="36" s="1"/>
  <c r="A136" i="36"/>
  <c r="AB136" i="36" s="1"/>
  <c r="A137" i="36"/>
  <c r="AB137" i="36" s="1"/>
  <c r="Y126" i="36"/>
  <c r="AS126" i="36" s="1"/>
  <c r="AT126" i="36" s="1"/>
  <c r="Y127" i="36"/>
  <c r="AS127" i="36" s="1"/>
  <c r="AT127" i="36" s="1"/>
  <c r="Y128" i="36"/>
  <c r="AG128" i="36" s="1"/>
  <c r="AH128" i="36" s="1"/>
  <c r="Y129" i="36"/>
  <c r="BK129" i="36" s="1"/>
  <c r="BL129" i="36" s="1"/>
  <c r="Y130" i="36"/>
  <c r="BE130" i="36" s="1"/>
  <c r="BF130" i="36" s="1"/>
  <c r="Y131" i="36"/>
  <c r="AS131" i="36" s="1"/>
  <c r="AT131" i="36" s="1"/>
  <c r="Y132" i="36"/>
  <c r="AG132" i="36" s="1"/>
  <c r="AH132" i="36" s="1"/>
  <c r="Y133" i="36"/>
  <c r="AY133" i="36" s="1"/>
  <c r="AZ133" i="36" s="1"/>
  <c r="Y134" i="36"/>
  <c r="AS134" i="36" s="1"/>
  <c r="AT134" i="36" s="1"/>
  <c r="Y135" i="36"/>
  <c r="AS135" i="36" s="1"/>
  <c r="AT135" i="36" s="1"/>
  <c r="Y136" i="36"/>
  <c r="AM136" i="36" s="1"/>
  <c r="AN136" i="36" s="1"/>
  <c r="Y137" i="36"/>
  <c r="BK137" i="36" s="1"/>
  <c r="BL137" i="36" s="1"/>
  <c r="Z126" i="36"/>
  <c r="Z127" i="36"/>
  <c r="Z128" i="36"/>
  <c r="Z129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J126" i="36"/>
  <c r="AJ127" i="36"/>
  <c r="AJ128" i="36"/>
  <c r="AJ129" i="36"/>
  <c r="AJ130" i="36"/>
  <c r="AJ131" i="36"/>
  <c r="AJ132" i="36"/>
  <c r="AJ133" i="36"/>
  <c r="AJ134" i="36"/>
  <c r="AJ135" i="36"/>
  <c r="AJ136" i="36"/>
  <c r="AJ137" i="36"/>
  <c r="AK126" i="36"/>
  <c r="CY126" i="36" s="1"/>
  <c r="AK127" i="36"/>
  <c r="CY127" i="36" s="1"/>
  <c r="AK128" i="36"/>
  <c r="CY128" i="36" s="1"/>
  <c r="AK129" i="36"/>
  <c r="CY129" i="36" s="1"/>
  <c r="AK130" i="36"/>
  <c r="CY130" i="36" s="1"/>
  <c r="AK131" i="36"/>
  <c r="CY131" i="36" s="1"/>
  <c r="AK132" i="36"/>
  <c r="CY132" i="36" s="1"/>
  <c r="AK133" i="36"/>
  <c r="CY133" i="36" s="1"/>
  <c r="AK134" i="36"/>
  <c r="CY134" i="36" s="1"/>
  <c r="AK135" i="36"/>
  <c r="CY135" i="36" s="1"/>
  <c r="AK136" i="36"/>
  <c r="CY136" i="36" s="1"/>
  <c r="AK137" i="36"/>
  <c r="CY137" i="36" s="1"/>
  <c r="AV126" i="36"/>
  <c r="AV127" i="36"/>
  <c r="AV128" i="36"/>
  <c r="AV129" i="36"/>
  <c r="AV130" i="36"/>
  <c r="AV131" i="36"/>
  <c r="AV132" i="36"/>
  <c r="AV133" i="36"/>
  <c r="AV134" i="36"/>
  <c r="AV135" i="36"/>
  <c r="AV136" i="36"/>
  <c r="AV137" i="36"/>
  <c r="BB126" i="36"/>
  <c r="BB127" i="36"/>
  <c r="BB128" i="36"/>
  <c r="BB129" i="36"/>
  <c r="BB130" i="36"/>
  <c r="BB131" i="36"/>
  <c r="BB132" i="36"/>
  <c r="BB133" i="36"/>
  <c r="BB134" i="36"/>
  <c r="BB135" i="36"/>
  <c r="BB136" i="36"/>
  <c r="BB137" i="36"/>
  <c r="BH126" i="36"/>
  <c r="BH127" i="36"/>
  <c r="BH128" i="36"/>
  <c r="BH129" i="36"/>
  <c r="BH130" i="36"/>
  <c r="BH131" i="36"/>
  <c r="BH132" i="36"/>
  <c r="BH133" i="36"/>
  <c r="BH134" i="36"/>
  <c r="BH135" i="36"/>
  <c r="BH136" i="36"/>
  <c r="BH137" i="36"/>
  <c r="BN126" i="36"/>
  <c r="BN127" i="36"/>
  <c r="BN128" i="36"/>
  <c r="BN129" i="36"/>
  <c r="BN130" i="36"/>
  <c r="BN131" i="36"/>
  <c r="BN132" i="36"/>
  <c r="BN133" i="36"/>
  <c r="BN134" i="36"/>
  <c r="BN135" i="36"/>
  <c r="BN136" i="36"/>
  <c r="BN137" i="36"/>
  <c r="BT126" i="36"/>
  <c r="BT127" i="36"/>
  <c r="BT128" i="36"/>
  <c r="BT129" i="36"/>
  <c r="BT130" i="36"/>
  <c r="BT131" i="36"/>
  <c r="BT132" i="36"/>
  <c r="BT133" i="36"/>
  <c r="BT134" i="36"/>
  <c r="BT135" i="36"/>
  <c r="BT136" i="36"/>
  <c r="BT137" i="36"/>
  <c r="BZ126" i="36"/>
  <c r="BZ127" i="36"/>
  <c r="BZ128" i="36"/>
  <c r="BZ129" i="36"/>
  <c r="BZ130" i="36"/>
  <c r="BZ131" i="36"/>
  <c r="BZ132" i="36"/>
  <c r="BZ133" i="36"/>
  <c r="BZ134" i="36"/>
  <c r="BZ135" i="36"/>
  <c r="BZ136" i="36"/>
  <c r="BZ137" i="36"/>
  <c r="CF126" i="36"/>
  <c r="CF127" i="36"/>
  <c r="CF128" i="36"/>
  <c r="CF129" i="36"/>
  <c r="CF130" i="36"/>
  <c r="CF131" i="36"/>
  <c r="CF132" i="36"/>
  <c r="CF133" i="36"/>
  <c r="CF134" i="36"/>
  <c r="CF135" i="36"/>
  <c r="CF136" i="36"/>
  <c r="CF137" i="36"/>
  <c r="CR126" i="36"/>
  <c r="CR127" i="36"/>
  <c r="CR128" i="36"/>
  <c r="CR129" i="36"/>
  <c r="CR130" i="36"/>
  <c r="CR131" i="36"/>
  <c r="CR132" i="36"/>
  <c r="CR133" i="36"/>
  <c r="CR134" i="36"/>
  <c r="CR135" i="36"/>
  <c r="CR136" i="36"/>
  <c r="CR137" i="36"/>
  <c r="CZ126" i="36"/>
  <c r="CZ127" i="36"/>
  <c r="CZ128" i="36"/>
  <c r="CZ129" i="36"/>
  <c r="CZ130" i="36"/>
  <c r="CZ131" i="36"/>
  <c r="CZ132" i="36"/>
  <c r="CZ133" i="36"/>
  <c r="CZ134" i="36"/>
  <c r="CZ135" i="36"/>
  <c r="CZ136" i="36"/>
  <c r="CZ137" i="36"/>
  <c r="A138" i="36"/>
  <c r="AB138" i="36" s="1"/>
  <c r="A139" i="36"/>
  <c r="A140" i="36"/>
  <c r="AB140" i="36" s="1"/>
  <c r="A141" i="36"/>
  <c r="Z141" i="36" s="1"/>
  <c r="A142" i="36"/>
  <c r="AB142" i="36" s="1"/>
  <c r="A143" i="36"/>
  <c r="Z143" i="36" s="1"/>
  <c r="A144" i="36"/>
  <c r="AB144" i="36" s="1"/>
  <c r="A145" i="36"/>
  <c r="Z145" i="36" s="1"/>
  <c r="A146" i="36"/>
  <c r="AB146" i="36" s="1"/>
  <c r="A147" i="36"/>
  <c r="Z147" i="36" s="1"/>
  <c r="A148" i="36"/>
  <c r="AB148" i="36" s="1"/>
  <c r="A149" i="36"/>
  <c r="Z149" i="36" s="1"/>
  <c r="Y138" i="36"/>
  <c r="AY138" i="36" s="1"/>
  <c r="AZ138" i="36" s="1"/>
  <c r="Y139" i="36"/>
  <c r="AY139" i="36" s="1"/>
  <c r="AZ139" i="36" s="1"/>
  <c r="Y140" i="36"/>
  <c r="BQ140" i="36" s="1"/>
  <c r="BR140" i="36" s="1"/>
  <c r="Y141" i="36"/>
  <c r="AY141" i="36" s="1"/>
  <c r="AZ141" i="36" s="1"/>
  <c r="Y142" i="36"/>
  <c r="AY142" i="36" s="1"/>
  <c r="AZ142" i="36" s="1"/>
  <c r="Y143" i="36"/>
  <c r="AY143" i="36" s="1"/>
  <c r="AZ143" i="36" s="1"/>
  <c r="Y144" i="36"/>
  <c r="BK144" i="36" s="1"/>
  <c r="BL144" i="36" s="1"/>
  <c r="Y145" i="36"/>
  <c r="AY145" i="36" s="1"/>
  <c r="AZ145" i="36" s="1"/>
  <c r="Y146" i="36"/>
  <c r="AY146" i="36" s="1"/>
  <c r="AZ146" i="36" s="1"/>
  <c r="Y147" i="36"/>
  <c r="AY147" i="36" s="1"/>
  <c r="AZ147" i="36" s="1"/>
  <c r="Y148" i="36"/>
  <c r="BE148" i="36" s="1"/>
  <c r="BF148" i="36" s="1"/>
  <c r="Y149" i="36"/>
  <c r="AY149" i="36" s="1"/>
  <c r="AZ149" i="36" s="1"/>
  <c r="Z138" i="36"/>
  <c r="Z139" i="36"/>
  <c r="Z140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J138" i="36"/>
  <c r="AJ139" i="36"/>
  <c r="AJ140" i="36"/>
  <c r="AJ141" i="36"/>
  <c r="AJ142" i="36"/>
  <c r="AJ143" i="36"/>
  <c r="AJ144" i="36"/>
  <c r="AJ145" i="36"/>
  <c r="AJ146" i="36"/>
  <c r="AJ147" i="36"/>
  <c r="AJ148" i="36"/>
  <c r="AJ149" i="36"/>
  <c r="AK138" i="36"/>
  <c r="CY138" i="36" s="1"/>
  <c r="AK139" i="36"/>
  <c r="CY139" i="36" s="1"/>
  <c r="AK140" i="36"/>
  <c r="CY140" i="36" s="1"/>
  <c r="AK141" i="36"/>
  <c r="CY141" i="36" s="1"/>
  <c r="AK142" i="36"/>
  <c r="CY142" i="36" s="1"/>
  <c r="AK143" i="36"/>
  <c r="CY143" i="36" s="1"/>
  <c r="AK144" i="36"/>
  <c r="CY144" i="36" s="1"/>
  <c r="AK145" i="36"/>
  <c r="CY145" i="36" s="1"/>
  <c r="AK146" i="36"/>
  <c r="CY146" i="36" s="1"/>
  <c r="AK147" i="36"/>
  <c r="CY147" i="36" s="1"/>
  <c r="AK148" i="36"/>
  <c r="CY148" i="36" s="1"/>
  <c r="AK149" i="36"/>
  <c r="CY149" i="36" s="1"/>
  <c r="AM149" i="36"/>
  <c r="AN149" i="36" s="1"/>
  <c r="AV138" i="36"/>
  <c r="AV139" i="36"/>
  <c r="AV140" i="36"/>
  <c r="AV141" i="36"/>
  <c r="AV142" i="36"/>
  <c r="AV143" i="36"/>
  <c r="AV144" i="36"/>
  <c r="AV145" i="36"/>
  <c r="AV146" i="36"/>
  <c r="AV147" i="36"/>
  <c r="AV148" i="36"/>
  <c r="AV149" i="36"/>
  <c r="BB138" i="36"/>
  <c r="BB139" i="36"/>
  <c r="BB140" i="36"/>
  <c r="BB141" i="36"/>
  <c r="BB142" i="36"/>
  <c r="BB143" i="36"/>
  <c r="BB144" i="36"/>
  <c r="BB145" i="36"/>
  <c r="BB146" i="36"/>
  <c r="BB147" i="36"/>
  <c r="BB148" i="36"/>
  <c r="BB149" i="36"/>
  <c r="BH138" i="36"/>
  <c r="BH139" i="36"/>
  <c r="BH140" i="36"/>
  <c r="BH141" i="36"/>
  <c r="BH142" i="36"/>
  <c r="BH143" i="36"/>
  <c r="BH144" i="36"/>
  <c r="BH145" i="36"/>
  <c r="BH146" i="36"/>
  <c r="BH147" i="36"/>
  <c r="BH148" i="36"/>
  <c r="BH149" i="36"/>
  <c r="BN138" i="36"/>
  <c r="BN139" i="36"/>
  <c r="BN140" i="36"/>
  <c r="BN141" i="36"/>
  <c r="BN142" i="36"/>
  <c r="BN143" i="36"/>
  <c r="BN144" i="36"/>
  <c r="BN145" i="36"/>
  <c r="BN146" i="36"/>
  <c r="BN147" i="36"/>
  <c r="BN148" i="36"/>
  <c r="BN149" i="36"/>
  <c r="BT138" i="36"/>
  <c r="BT139" i="36"/>
  <c r="BT140" i="36"/>
  <c r="BT141" i="36"/>
  <c r="BT142" i="36"/>
  <c r="BT143" i="36"/>
  <c r="BT144" i="36"/>
  <c r="BT145" i="36"/>
  <c r="BT146" i="36"/>
  <c r="BT147" i="36"/>
  <c r="BT148" i="36"/>
  <c r="BT149" i="36"/>
  <c r="BZ138" i="36"/>
  <c r="BZ139" i="36"/>
  <c r="BZ140" i="36"/>
  <c r="BZ141" i="36"/>
  <c r="BZ142" i="36"/>
  <c r="BZ143" i="36"/>
  <c r="BZ144" i="36"/>
  <c r="BZ145" i="36"/>
  <c r="BZ146" i="36"/>
  <c r="BZ147" i="36"/>
  <c r="BZ148" i="36"/>
  <c r="BZ149" i="36"/>
  <c r="CF138" i="36"/>
  <c r="CF139" i="36"/>
  <c r="CF140" i="36"/>
  <c r="CF141" i="36"/>
  <c r="CF142" i="36"/>
  <c r="CF143" i="36"/>
  <c r="CF144" i="36"/>
  <c r="CF145" i="36"/>
  <c r="CF146" i="36"/>
  <c r="CF147" i="36"/>
  <c r="CF148" i="36"/>
  <c r="CF149" i="36"/>
  <c r="CR138" i="36"/>
  <c r="CR139" i="36"/>
  <c r="CR140" i="36"/>
  <c r="CR141" i="36"/>
  <c r="CR142" i="36"/>
  <c r="CR143" i="36"/>
  <c r="CR144" i="36"/>
  <c r="CR145" i="36"/>
  <c r="CR146" i="36"/>
  <c r="CR147" i="36"/>
  <c r="CR148" i="36"/>
  <c r="CR149" i="36"/>
  <c r="CZ138" i="36"/>
  <c r="CZ139" i="36"/>
  <c r="CZ140" i="36"/>
  <c r="CZ141" i="36"/>
  <c r="CZ142" i="36"/>
  <c r="CZ143" i="36"/>
  <c r="CZ144" i="36"/>
  <c r="CZ145" i="36"/>
  <c r="CZ146" i="36"/>
  <c r="CZ147" i="36"/>
  <c r="CZ148" i="36"/>
  <c r="CZ149" i="36"/>
  <c r="A150" i="36"/>
  <c r="AB150" i="36" s="1"/>
  <c r="A151" i="36"/>
  <c r="AB151" i="36" s="1"/>
  <c r="A152" i="36"/>
  <c r="AB152" i="36" s="1"/>
  <c r="A153" i="36"/>
  <c r="AB153" i="36" s="1"/>
  <c r="A154" i="36"/>
  <c r="AB154" i="36" s="1"/>
  <c r="A155" i="36"/>
  <c r="Z155" i="36" s="1"/>
  <c r="A156" i="36"/>
  <c r="Z156" i="36" s="1"/>
  <c r="A157" i="36"/>
  <c r="Z157" i="36" s="1"/>
  <c r="A158" i="36"/>
  <c r="Z158" i="36" s="1"/>
  <c r="A159" i="36"/>
  <c r="Z159" i="36" s="1"/>
  <c r="A160" i="36"/>
  <c r="AB160" i="36" s="1"/>
  <c r="A161" i="36"/>
  <c r="AB161" i="36" s="1"/>
  <c r="Y150" i="36"/>
  <c r="CU150" i="36" s="1"/>
  <c r="Y151" i="36"/>
  <c r="CU151" i="36" s="1"/>
  <c r="CV151" i="36" s="1"/>
  <c r="Y152" i="36"/>
  <c r="CU152" i="36" s="1"/>
  <c r="CV152" i="36" s="1"/>
  <c r="Y153" i="36"/>
  <c r="BW153" i="36" s="1"/>
  <c r="BX153" i="36" s="1"/>
  <c r="Y154" i="36"/>
  <c r="CU154" i="36" s="1"/>
  <c r="Y155" i="36"/>
  <c r="CU155" i="36" s="1"/>
  <c r="Y156" i="36"/>
  <c r="CU156" i="36" s="1"/>
  <c r="CV156" i="36" s="1"/>
  <c r="Y157" i="36"/>
  <c r="AM157" i="36" s="1"/>
  <c r="AN157" i="36" s="1"/>
  <c r="Y158" i="36"/>
  <c r="CU158" i="36" s="1"/>
  <c r="Y159" i="36"/>
  <c r="CU159" i="36" s="1"/>
  <c r="CV159" i="36" s="1"/>
  <c r="Y160" i="36"/>
  <c r="CU160" i="36" s="1"/>
  <c r="CV160" i="36" s="1"/>
  <c r="Y161" i="36"/>
  <c r="CC161" i="36" s="1"/>
  <c r="CD161" i="36" s="1"/>
  <c r="Z150" i="36"/>
  <c r="Z151" i="36"/>
  <c r="Z152" i="36"/>
  <c r="Z153" i="36"/>
  <c r="Z154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J150" i="36"/>
  <c r="AJ151" i="36"/>
  <c r="AJ152" i="36"/>
  <c r="AJ153" i="36"/>
  <c r="AJ154" i="36"/>
  <c r="AJ155" i="36"/>
  <c r="AJ156" i="36"/>
  <c r="AJ157" i="36"/>
  <c r="AJ158" i="36"/>
  <c r="AJ159" i="36"/>
  <c r="AJ160" i="36"/>
  <c r="AJ161" i="36"/>
  <c r="AK150" i="36"/>
  <c r="CY150" i="36" s="1"/>
  <c r="AK151" i="36"/>
  <c r="CY151" i="36" s="1"/>
  <c r="AK152" i="36"/>
  <c r="CY152" i="36" s="1"/>
  <c r="AK153" i="36"/>
  <c r="CY153" i="36" s="1"/>
  <c r="AK154" i="36"/>
  <c r="CY154" i="36" s="1"/>
  <c r="AK155" i="36"/>
  <c r="CY155" i="36" s="1"/>
  <c r="AK156" i="36"/>
  <c r="CY156" i="36" s="1"/>
  <c r="AK157" i="36"/>
  <c r="CY157" i="36" s="1"/>
  <c r="AK158" i="36"/>
  <c r="CY158" i="36" s="1"/>
  <c r="AK159" i="36"/>
  <c r="CY159" i="36" s="1"/>
  <c r="AK160" i="36"/>
  <c r="CY160" i="36" s="1"/>
  <c r="AK161" i="36"/>
  <c r="CY161" i="36" s="1"/>
  <c r="AV150" i="36"/>
  <c r="AV151" i="36"/>
  <c r="AV152" i="36"/>
  <c r="AV153" i="36"/>
  <c r="AV154" i="36"/>
  <c r="AV155" i="36"/>
  <c r="AV156" i="36"/>
  <c r="AV157" i="36"/>
  <c r="AV158" i="36"/>
  <c r="AV159" i="36"/>
  <c r="AV160" i="36"/>
  <c r="AV161" i="36"/>
  <c r="BB150" i="36"/>
  <c r="BB151" i="36"/>
  <c r="BB152" i="36"/>
  <c r="BB153" i="36"/>
  <c r="BB154" i="36"/>
  <c r="BB155" i="36"/>
  <c r="BB156" i="36"/>
  <c r="BB157" i="36"/>
  <c r="BB158" i="36"/>
  <c r="BB159" i="36"/>
  <c r="BB160" i="36"/>
  <c r="BB161" i="36"/>
  <c r="BH150" i="36"/>
  <c r="BH151" i="36"/>
  <c r="BH152" i="36"/>
  <c r="BH153" i="36"/>
  <c r="BH154" i="36"/>
  <c r="BH155" i="36"/>
  <c r="BH156" i="36"/>
  <c r="BH157" i="36"/>
  <c r="BH158" i="36"/>
  <c r="BH159" i="36"/>
  <c r="BH160" i="36"/>
  <c r="BH161" i="36"/>
  <c r="BN150" i="36"/>
  <c r="BN151" i="36"/>
  <c r="BN152" i="36"/>
  <c r="BN153" i="36"/>
  <c r="BN154" i="36"/>
  <c r="BN155" i="36"/>
  <c r="BN156" i="36"/>
  <c r="BN157" i="36"/>
  <c r="BN158" i="36"/>
  <c r="BN159" i="36"/>
  <c r="BN160" i="36"/>
  <c r="BN161" i="36"/>
  <c r="BT150" i="36"/>
  <c r="BT151" i="36"/>
  <c r="BT152" i="36"/>
  <c r="BT153" i="36"/>
  <c r="BT154" i="36"/>
  <c r="BT155" i="36"/>
  <c r="BT156" i="36"/>
  <c r="BT157" i="36"/>
  <c r="BT158" i="36"/>
  <c r="BT159" i="36"/>
  <c r="BT160" i="36"/>
  <c r="BT161" i="36"/>
  <c r="BZ150" i="36"/>
  <c r="BZ151" i="36"/>
  <c r="BZ152" i="36"/>
  <c r="BZ153" i="36"/>
  <c r="BZ155" i="36"/>
  <c r="BZ156" i="36"/>
  <c r="BZ157" i="36"/>
  <c r="BZ158" i="36"/>
  <c r="BZ159" i="36"/>
  <c r="BZ160" i="36"/>
  <c r="BZ161" i="36"/>
  <c r="CF150" i="36"/>
  <c r="CF151" i="36"/>
  <c r="CF152" i="36"/>
  <c r="CF153" i="36"/>
  <c r="CF154" i="36"/>
  <c r="CF155" i="36"/>
  <c r="CF156" i="36"/>
  <c r="CF157" i="36"/>
  <c r="CF158" i="36"/>
  <c r="CF159" i="36"/>
  <c r="CF160" i="36"/>
  <c r="CF161" i="36"/>
  <c r="CR150" i="36"/>
  <c r="CR151" i="36"/>
  <c r="CR152" i="36"/>
  <c r="CR153" i="36"/>
  <c r="CR154" i="36"/>
  <c r="CR155" i="36"/>
  <c r="CR156" i="36"/>
  <c r="CR157" i="36"/>
  <c r="CR158" i="36"/>
  <c r="CR159" i="36"/>
  <c r="CR160" i="36"/>
  <c r="CR161" i="36"/>
  <c r="CZ150" i="36"/>
  <c r="CZ151" i="36"/>
  <c r="CZ152" i="36"/>
  <c r="CZ153" i="36"/>
  <c r="CZ154" i="36"/>
  <c r="CZ155" i="36"/>
  <c r="CZ156" i="36"/>
  <c r="CZ157" i="36"/>
  <c r="CZ158" i="36"/>
  <c r="CZ159" i="36"/>
  <c r="CZ160" i="36"/>
  <c r="CZ161" i="36"/>
  <c r="A162" i="36"/>
  <c r="AB162" i="36" s="1"/>
  <c r="A163" i="36"/>
  <c r="AB163" i="36" s="1"/>
  <c r="A164" i="36"/>
  <c r="AB164" i="36" s="1"/>
  <c r="A165" i="36"/>
  <c r="AB165" i="36" s="1"/>
  <c r="A166" i="36"/>
  <c r="AB166" i="36" s="1"/>
  <c r="A167" i="36"/>
  <c r="AB167" i="36" s="1"/>
  <c r="A168" i="36"/>
  <c r="AB168" i="36" s="1"/>
  <c r="A169" i="36"/>
  <c r="AB169" i="36" s="1"/>
  <c r="A170" i="36"/>
  <c r="AB170" i="36" s="1"/>
  <c r="A171" i="36"/>
  <c r="AB171" i="36" s="1"/>
  <c r="A172" i="36"/>
  <c r="AB172" i="36" s="1"/>
  <c r="A173" i="36"/>
  <c r="AB173" i="36" s="1"/>
  <c r="Y162" i="36"/>
  <c r="AS162" i="36" s="1"/>
  <c r="AT162" i="36" s="1"/>
  <c r="Y163" i="36"/>
  <c r="BQ163" i="36" s="1"/>
  <c r="BR163" i="36" s="1"/>
  <c r="Y164" i="36"/>
  <c r="BW164" i="36" s="1"/>
  <c r="BX164" i="36" s="1"/>
  <c r="Y165" i="36"/>
  <c r="AM165" i="36" s="1"/>
  <c r="AN165" i="36" s="1"/>
  <c r="Y166" i="36"/>
  <c r="BQ166" i="36" s="1"/>
  <c r="BR166" i="36" s="1"/>
  <c r="Y167" i="36"/>
  <c r="BW167" i="36" s="1"/>
  <c r="BX167" i="36" s="1"/>
  <c r="Y168" i="36"/>
  <c r="BW168" i="36" s="1"/>
  <c r="BX168" i="36" s="1"/>
  <c r="Y169" i="36"/>
  <c r="AS169" i="36" s="1"/>
  <c r="AT169" i="36" s="1"/>
  <c r="Y170" i="36"/>
  <c r="AM170" i="36" s="1"/>
  <c r="AN170" i="36" s="1"/>
  <c r="Y171" i="36"/>
  <c r="BQ171" i="36" s="1"/>
  <c r="BR171" i="36" s="1"/>
  <c r="Y172" i="36"/>
  <c r="BW172" i="36" s="1"/>
  <c r="BX172" i="36" s="1"/>
  <c r="Y173" i="36"/>
  <c r="AS173" i="36" s="1"/>
  <c r="AT173" i="36" s="1"/>
  <c r="Z162" i="36"/>
  <c r="Z163" i="36"/>
  <c r="Z164" i="36"/>
  <c r="Z165" i="36"/>
  <c r="Z166" i="36"/>
  <c r="Z167" i="36"/>
  <c r="Z168" i="36"/>
  <c r="Z169" i="36"/>
  <c r="Z170" i="36"/>
  <c r="Z171" i="36"/>
  <c r="Z172" i="36"/>
  <c r="Z173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J162" i="36"/>
  <c r="AJ163" i="36"/>
  <c r="AJ164" i="36"/>
  <c r="AJ165" i="36"/>
  <c r="AJ166" i="36"/>
  <c r="AJ167" i="36"/>
  <c r="AJ168" i="36"/>
  <c r="AJ169" i="36"/>
  <c r="AJ170" i="36"/>
  <c r="AJ171" i="36"/>
  <c r="AJ172" i="36"/>
  <c r="AJ173" i="36"/>
  <c r="AK162" i="36"/>
  <c r="CY162" i="36" s="1"/>
  <c r="AK163" i="36"/>
  <c r="CY163" i="36" s="1"/>
  <c r="AK164" i="36"/>
  <c r="CY164" i="36" s="1"/>
  <c r="AK165" i="36"/>
  <c r="CY165" i="36" s="1"/>
  <c r="AK166" i="36"/>
  <c r="CY166" i="36" s="1"/>
  <c r="AK167" i="36"/>
  <c r="CY167" i="36" s="1"/>
  <c r="AK168" i="36"/>
  <c r="CY168" i="36" s="1"/>
  <c r="AK169" i="36"/>
  <c r="CY169" i="36" s="1"/>
  <c r="AK170" i="36"/>
  <c r="CY170" i="36" s="1"/>
  <c r="AK171" i="36"/>
  <c r="CY171" i="36" s="1"/>
  <c r="AK172" i="36"/>
  <c r="CY172" i="36" s="1"/>
  <c r="AK173" i="36"/>
  <c r="CY173" i="36" s="1"/>
  <c r="AV162" i="36"/>
  <c r="AV163" i="36"/>
  <c r="AV164" i="36"/>
  <c r="AV165" i="36"/>
  <c r="AV166" i="36"/>
  <c r="AV167" i="36"/>
  <c r="AV168" i="36"/>
  <c r="AV169" i="36"/>
  <c r="AV170" i="36"/>
  <c r="AV171" i="36"/>
  <c r="AV172" i="36"/>
  <c r="AV173" i="36"/>
  <c r="BB162" i="36"/>
  <c r="BB163" i="36"/>
  <c r="BB164" i="36"/>
  <c r="BB165" i="36"/>
  <c r="BB166" i="36"/>
  <c r="BB167" i="36"/>
  <c r="BB168" i="36"/>
  <c r="BB169" i="36"/>
  <c r="BB170" i="36"/>
  <c r="BB171" i="36"/>
  <c r="BB172" i="36"/>
  <c r="BB173" i="36"/>
  <c r="BH162" i="36"/>
  <c r="BH163" i="36"/>
  <c r="BH164" i="36"/>
  <c r="BH165" i="36"/>
  <c r="BH166" i="36"/>
  <c r="BH167" i="36"/>
  <c r="BH168" i="36"/>
  <c r="BH169" i="36"/>
  <c r="BH170" i="36"/>
  <c r="BH171" i="36"/>
  <c r="BH172" i="36"/>
  <c r="BH173" i="36"/>
  <c r="BN162" i="36"/>
  <c r="BN163" i="36"/>
  <c r="BN164" i="36"/>
  <c r="BN165" i="36"/>
  <c r="BN166" i="36"/>
  <c r="BN167" i="36"/>
  <c r="BN168" i="36"/>
  <c r="BN169" i="36"/>
  <c r="BN170" i="36"/>
  <c r="BN171" i="36"/>
  <c r="BN172" i="36"/>
  <c r="BN173" i="36"/>
  <c r="BT162" i="36"/>
  <c r="BT163" i="36"/>
  <c r="BT164" i="36"/>
  <c r="BT165" i="36"/>
  <c r="BT166" i="36"/>
  <c r="BT167" i="36"/>
  <c r="BT168" i="36"/>
  <c r="BT169" i="36"/>
  <c r="BT170" i="36"/>
  <c r="BT171" i="36"/>
  <c r="BT172" i="36"/>
  <c r="BT173" i="36"/>
  <c r="BZ162" i="36"/>
  <c r="BZ163" i="36"/>
  <c r="BZ164" i="36"/>
  <c r="BZ165" i="36"/>
  <c r="BZ166" i="36"/>
  <c r="BZ167" i="36"/>
  <c r="BZ168" i="36"/>
  <c r="BZ169" i="36"/>
  <c r="BZ170" i="36"/>
  <c r="BZ171" i="36"/>
  <c r="BZ172" i="36"/>
  <c r="BZ173" i="36"/>
  <c r="CF162" i="36"/>
  <c r="CF163" i="36"/>
  <c r="CF164" i="36"/>
  <c r="CF165" i="36"/>
  <c r="CF166" i="36"/>
  <c r="CF167" i="36"/>
  <c r="CF168" i="36"/>
  <c r="CF169" i="36"/>
  <c r="CF170" i="36"/>
  <c r="CF171" i="36"/>
  <c r="CF172" i="36"/>
  <c r="CF173" i="36"/>
  <c r="CR162" i="36"/>
  <c r="CR163" i="36"/>
  <c r="CR164" i="36"/>
  <c r="CR165" i="36"/>
  <c r="CR166" i="36"/>
  <c r="CR167" i="36"/>
  <c r="CR168" i="36"/>
  <c r="CR169" i="36"/>
  <c r="CR170" i="36"/>
  <c r="CR171" i="36"/>
  <c r="CR172" i="36"/>
  <c r="CR173" i="36"/>
  <c r="CZ162" i="36"/>
  <c r="CZ163" i="36"/>
  <c r="CZ164" i="36"/>
  <c r="CZ165" i="36"/>
  <c r="CZ166" i="36"/>
  <c r="CZ167" i="36"/>
  <c r="CZ168" i="36"/>
  <c r="CZ169" i="36"/>
  <c r="CZ170" i="36"/>
  <c r="CZ171" i="36"/>
  <c r="CZ172" i="36"/>
  <c r="CZ173" i="36"/>
  <c r="BQ93" i="36" l="1"/>
  <c r="BR93" i="36" s="1"/>
  <c r="CC101" i="36"/>
  <c r="CD101" i="36" s="1"/>
  <c r="AB121" i="36"/>
  <c r="AB113" i="36"/>
  <c r="CO92" i="36"/>
  <c r="CP92" i="36" s="1"/>
  <c r="CC100" i="36"/>
  <c r="CD100" i="36" s="1"/>
  <c r="BQ100" i="36"/>
  <c r="BR100" i="36" s="1"/>
  <c r="BK96" i="36"/>
  <c r="BL96" i="36" s="1"/>
  <c r="AY92" i="36"/>
  <c r="AZ92" i="36" s="1"/>
  <c r="CU96" i="36"/>
  <c r="CV96" i="36" s="1"/>
  <c r="CI100" i="36"/>
  <c r="CJ100" i="36" s="1"/>
  <c r="CC96" i="36"/>
  <c r="CD96" i="36" s="1"/>
  <c r="BQ96" i="36"/>
  <c r="BR96" i="36" s="1"/>
  <c r="BE100" i="36"/>
  <c r="BF100" i="36" s="1"/>
  <c r="AS96" i="36"/>
  <c r="AT96" i="36" s="1"/>
  <c r="BE96" i="36"/>
  <c r="BF96" i="36" s="1"/>
  <c r="CI101" i="36"/>
  <c r="CJ101" i="36" s="1"/>
  <c r="BW93" i="36"/>
  <c r="BX93" i="36" s="1"/>
  <c r="Z99" i="36"/>
  <c r="BK92" i="36"/>
  <c r="BL92" i="36" s="1"/>
  <c r="CI92" i="36"/>
  <c r="CJ92" i="36" s="1"/>
  <c r="CC92" i="36"/>
  <c r="CD92" i="36" s="1"/>
  <c r="BW92" i="36"/>
  <c r="BX92" i="36" s="1"/>
  <c r="BQ92" i="36"/>
  <c r="BR92" i="36" s="1"/>
  <c r="CO100" i="36"/>
  <c r="CP100" i="36" s="1"/>
  <c r="AY100" i="36"/>
  <c r="AZ100" i="36" s="1"/>
  <c r="AS92" i="36"/>
  <c r="AT92" i="36" s="1"/>
  <c r="CU100" i="36"/>
  <c r="CV100" i="36" s="1"/>
  <c r="BE92" i="36"/>
  <c r="BF92" i="36" s="1"/>
  <c r="AS100" i="36"/>
  <c r="AT100" i="36" s="1"/>
  <c r="DB96" i="36"/>
  <c r="DB92" i="36"/>
  <c r="Z95" i="36"/>
  <c r="Z96" i="36"/>
  <c r="AM114" i="36"/>
  <c r="AN114" i="36" s="1"/>
  <c r="AB99" i="36"/>
  <c r="Z135" i="36"/>
  <c r="Z131" i="36"/>
  <c r="AY122" i="36"/>
  <c r="AZ122" i="36" s="1"/>
  <c r="Z137" i="36"/>
  <c r="AY114" i="36"/>
  <c r="AZ114" i="36" s="1"/>
  <c r="Z133" i="36"/>
  <c r="Z134" i="36"/>
  <c r="Z136" i="36"/>
  <c r="Z132" i="36"/>
  <c r="Z130" i="36"/>
  <c r="AM109" i="36"/>
  <c r="AN109" i="36" s="1"/>
  <c r="AM107" i="36"/>
  <c r="AN107" i="36" s="1"/>
  <c r="CC106" i="36"/>
  <c r="CD106" i="36" s="1"/>
  <c r="BE97" i="36"/>
  <c r="BF97" i="36" s="1"/>
  <c r="AY125" i="36"/>
  <c r="AZ125" i="36" s="1"/>
  <c r="AS143" i="36"/>
  <c r="AT143" i="36" s="1"/>
  <c r="AG127" i="36"/>
  <c r="AH127" i="36" s="1"/>
  <c r="AY115" i="36"/>
  <c r="AZ115" i="36" s="1"/>
  <c r="AB159" i="36"/>
  <c r="AG111" i="36"/>
  <c r="AH111" i="36" s="1"/>
  <c r="CO130" i="36"/>
  <c r="CP130" i="36" s="1"/>
  <c r="AM122" i="36"/>
  <c r="AN122" i="36" s="1"/>
  <c r="AS130" i="36"/>
  <c r="AT130" i="36" s="1"/>
  <c r="CU148" i="36"/>
  <c r="CV148" i="36" s="1"/>
  <c r="CI130" i="36"/>
  <c r="CJ130" i="36" s="1"/>
  <c r="AM130" i="36"/>
  <c r="AN130" i="36" s="1"/>
  <c r="BE123" i="36"/>
  <c r="BF123" i="36" s="1"/>
  <c r="AY123" i="36"/>
  <c r="AZ123" i="36" s="1"/>
  <c r="AS141" i="36"/>
  <c r="AT141" i="36" s="1"/>
  <c r="BW130" i="36"/>
  <c r="BX130" i="36" s="1"/>
  <c r="AM127" i="36"/>
  <c r="AN127" i="36" s="1"/>
  <c r="DB134" i="36"/>
  <c r="DB130" i="36"/>
  <c r="BE120" i="36"/>
  <c r="BF120" i="36" s="1"/>
  <c r="AS119" i="36"/>
  <c r="AT119" i="36" s="1"/>
  <c r="AG107" i="36"/>
  <c r="AH107" i="36" s="1"/>
  <c r="CU130" i="36"/>
  <c r="CV130" i="36" s="1"/>
  <c r="BK130" i="36"/>
  <c r="BL130" i="36" s="1"/>
  <c r="BE119" i="36"/>
  <c r="BF119" i="36" s="1"/>
  <c r="AY119" i="36"/>
  <c r="AZ119" i="36" s="1"/>
  <c r="AS115" i="36"/>
  <c r="AT115" i="36" s="1"/>
  <c r="AG125" i="36"/>
  <c r="AH125" i="36" s="1"/>
  <c r="AM112" i="36"/>
  <c r="AN112" i="36" s="1"/>
  <c r="AM104" i="36"/>
  <c r="AN104" i="36" s="1"/>
  <c r="DB112" i="36"/>
  <c r="DB104" i="36"/>
  <c r="DB149" i="36"/>
  <c r="DB141" i="36"/>
  <c r="AM125" i="36"/>
  <c r="AN125" i="36" s="1"/>
  <c r="AG117" i="36"/>
  <c r="AH117" i="36" s="1"/>
  <c r="AM111" i="36"/>
  <c r="AN111" i="36" s="1"/>
  <c r="AM103" i="36"/>
  <c r="AN103" i="36" s="1"/>
  <c r="DB111" i="36"/>
  <c r="AG103" i="36"/>
  <c r="AH103" i="36" s="1"/>
  <c r="DB148" i="36"/>
  <c r="DB140" i="36"/>
  <c r="AM131" i="36"/>
  <c r="AN131" i="36" s="1"/>
  <c r="BE115" i="36"/>
  <c r="BF115" i="36" s="1"/>
  <c r="AY120" i="36"/>
  <c r="AZ120" i="36" s="1"/>
  <c r="AS123" i="36"/>
  <c r="AT123" i="36" s="1"/>
  <c r="AG115" i="36"/>
  <c r="AH115" i="36" s="1"/>
  <c r="AM102" i="36"/>
  <c r="AN102" i="36" s="1"/>
  <c r="DB106" i="36"/>
  <c r="AM115" i="36"/>
  <c r="AN115" i="36" s="1"/>
  <c r="DB123" i="36"/>
  <c r="DB119" i="36"/>
  <c r="DB115" i="36"/>
  <c r="AG119" i="36"/>
  <c r="AH119" i="36" s="1"/>
  <c r="Z113" i="36"/>
  <c r="AB139" i="36"/>
  <c r="AM123" i="36"/>
  <c r="AN123" i="36" s="1"/>
  <c r="AG109" i="36"/>
  <c r="AH109" i="36" s="1"/>
  <c r="Z111" i="36"/>
  <c r="AM119" i="36"/>
  <c r="AN119" i="36" s="1"/>
  <c r="AG123" i="36"/>
  <c r="AH123" i="36" s="1"/>
  <c r="AM120" i="36"/>
  <c r="AN120" i="36" s="1"/>
  <c r="AG112" i="36"/>
  <c r="AH112" i="36" s="1"/>
  <c r="AG104" i="36"/>
  <c r="AH104" i="36" s="1"/>
  <c r="AM142" i="36"/>
  <c r="AN142" i="36" s="1"/>
  <c r="DB146" i="36"/>
  <c r="DB138" i="36"/>
  <c r="Z107" i="36"/>
  <c r="AG122" i="36"/>
  <c r="AH122" i="36" s="1"/>
  <c r="AG114" i="36"/>
  <c r="AH114" i="36" s="1"/>
  <c r="DB103" i="36"/>
  <c r="AB156" i="36"/>
  <c r="Z146" i="36"/>
  <c r="DB135" i="36"/>
  <c r="DB127" i="36"/>
  <c r="AG131" i="36"/>
  <c r="AH131" i="36" s="1"/>
  <c r="AM121" i="36"/>
  <c r="AN121" i="36" s="1"/>
  <c r="AG158" i="36"/>
  <c r="AH158" i="36" s="1"/>
  <c r="AM148" i="36"/>
  <c r="AN148" i="36" s="1"/>
  <c r="AM135" i="36"/>
  <c r="AN135" i="36" s="1"/>
  <c r="AG137" i="36"/>
  <c r="AH137" i="36" s="1"/>
  <c r="AG135" i="36"/>
  <c r="AH135" i="36" s="1"/>
  <c r="AG160" i="36"/>
  <c r="AH160" i="36" s="1"/>
  <c r="AB158" i="36"/>
  <c r="AG138" i="36"/>
  <c r="AH138" i="36" s="1"/>
  <c r="AG152" i="36"/>
  <c r="AH152" i="36" s="1"/>
  <c r="AG146" i="36"/>
  <c r="AH146" i="36" s="1"/>
  <c r="Z144" i="36"/>
  <c r="AG142" i="36"/>
  <c r="AH142" i="36" s="1"/>
  <c r="AG159" i="36"/>
  <c r="AH159" i="36" s="1"/>
  <c r="AM141" i="36"/>
  <c r="AN141" i="36" s="1"/>
  <c r="AG145" i="36"/>
  <c r="AH145" i="36" s="1"/>
  <c r="AG130" i="36"/>
  <c r="AH130" i="36" s="1"/>
  <c r="AG169" i="36"/>
  <c r="AH169" i="36" s="1"/>
  <c r="Z161" i="36"/>
  <c r="AG149" i="36"/>
  <c r="AH149" i="36" s="1"/>
  <c r="AG141" i="36"/>
  <c r="AH141" i="36" s="1"/>
  <c r="AG167" i="36"/>
  <c r="AH167" i="36" s="1"/>
  <c r="Z142" i="36"/>
  <c r="AG168" i="36"/>
  <c r="AH168" i="36" s="1"/>
  <c r="AG151" i="36"/>
  <c r="AH151" i="36" s="1"/>
  <c r="AG147" i="36"/>
  <c r="AH147" i="36" s="1"/>
  <c r="AG143" i="36"/>
  <c r="AH143" i="36" s="1"/>
  <c r="AG139" i="36"/>
  <c r="AH139" i="36" s="1"/>
  <c r="AB143" i="36"/>
  <c r="AG170" i="36"/>
  <c r="AH170" i="36" s="1"/>
  <c r="AG162" i="36"/>
  <c r="AH162" i="36" s="1"/>
  <c r="DB161" i="36"/>
  <c r="DB157" i="36"/>
  <c r="DB153" i="36"/>
  <c r="AG161" i="36"/>
  <c r="AH161" i="36" s="1"/>
  <c r="AG157" i="36"/>
  <c r="AH157" i="36" s="1"/>
  <c r="AG150" i="36"/>
  <c r="AH150" i="36" s="1"/>
  <c r="AB157" i="36"/>
  <c r="AS148" i="36"/>
  <c r="AT148" i="36" s="1"/>
  <c r="AS140" i="36"/>
  <c r="AT140" i="36" s="1"/>
  <c r="AM147" i="36"/>
  <c r="AN147" i="36" s="1"/>
  <c r="AM140" i="36"/>
  <c r="AN140" i="36" s="1"/>
  <c r="DB147" i="36"/>
  <c r="DB143" i="36"/>
  <c r="DB139" i="36"/>
  <c r="AB147" i="36"/>
  <c r="DB136" i="36"/>
  <c r="DB132" i="36"/>
  <c r="DB128" i="36"/>
  <c r="AG136" i="36"/>
  <c r="AH136" i="36" s="1"/>
  <c r="AG129" i="36"/>
  <c r="AH129" i="36" s="1"/>
  <c r="AY117" i="36"/>
  <c r="AZ117" i="36" s="1"/>
  <c r="AS120" i="36"/>
  <c r="AT120" i="36" s="1"/>
  <c r="DB121" i="36"/>
  <c r="AM106" i="36"/>
  <c r="AN106" i="36" s="1"/>
  <c r="AB110" i="36"/>
  <c r="Z98" i="36"/>
  <c r="AG153" i="36"/>
  <c r="AH153" i="36" s="1"/>
  <c r="AS147" i="36"/>
  <c r="AT147" i="36" s="1"/>
  <c r="AS139" i="36"/>
  <c r="AT139" i="36" s="1"/>
  <c r="AM143" i="36"/>
  <c r="AN143" i="36" s="1"/>
  <c r="AM139" i="36"/>
  <c r="AN139" i="36" s="1"/>
  <c r="AG148" i="36"/>
  <c r="AH148" i="36" s="1"/>
  <c r="AG144" i="36"/>
  <c r="AH144" i="36" s="1"/>
  <c r="AG140" i="36"/>
  <c r="AH140" i="36" s="1"/>
  <c r="AM128" i="36"/>
  <c r="AN128" i="36" s="1"/>
  <c r="AY121" i="36"/>
  <c r="AZ121" i="36" s="1"/>
  <c r="AM117" i="36"/>
  <c r="AN117" i="36" s="1"/>
  <c r="DB120" i="36"/>
  <c r="AG120" i="36"/>
  <c r="AH120" i="36" s="1"/>
  <c r="AM110" i="36"/>
  <c r="AN110" i="36" s="1"/>
  <c r="Z97" i="36"/>
  <c r="AG108" i="36"/>
  <c r="AH108" i="36" s="1"/>
  <c r="AM134" i="36"/>
  <c r="AN134" i="36" s="1"/>
  <c r="AM126" i="36"/>
  <c r="AN126" i="36" s="1"/>
  <c r="BE118" i="36"/>
  <c r="BF118" i="36" s="1"/>
  <c r="AS118" i="36"/>
  <c r="AT118" i="36" s="1"/>
  <c r="AG121" i="36"/>
  <c r="AH121" i="36" s="1"/>
  <c r="AM113" i="36"/>
  <c r="AN113" i="36" s="1"/>
  <c r="AM105" i="36"/>
  <c r="AN105" i="36" s="1"/>
  <c r="AG166" i="36"/>
  <c r="AH166" i="36" s="1"/>
  <c r="Z148" i="36"/>
  <c r="AM133" i="36"/>
  <c r="AN133" i="36" s="1"/>
  <c r="DB137" i="36"/>
  <c r="DB129" i="36"/>
  <c r="DB108" i="36"/>
  <c r="Z112" i="36"/>
  <c r="AG173" i="36"/>
  <c r="AH173" i="36" s="1"/>
  <c r="AG165" i="36"/>
  <c r="AH165" i="36" s="1"/>
  <c r="AS149" i="36"/>
  <c r="AT149" i="36" s="1"/>
  <c r="AS138" i="36"/>
  <c r="AT138" i="36" s="1"/>
  <c r="AM146" i="36"/>
  <c r="AN146" i="36" s="1"/>
  <c r="AM138" i="36"/>
  <c r="AN138" i="36" s="1"/>
  <c r="AS129" i="36"/>
  <c r="AT129" i="36" s="1"/>
  <c r="AM132" i="36"/>
  <c r="AN132" i="36" s="1"/>
  <c r="AY118" i="36"/>
  <c r="AZ118" i="36" s="1"/>
  <c r="AM118" i="36"/>
  <c r="AN118" i="36" s="1"/>
  <c r="AG113" i="36"/>
  <c r="AH113" i="36" s="1"/>
  <c r="AG105" i="36"/>
  <c r="AH105" i="36" s="1"/>
  <c r="AG156" i="36"/>
  <c r="AH156" i="36" s="1"/>
  <c r="AM145" i="36"/>
  <c r="AN145" i="36" s="1"/>
  <c r="AG134" i="36"/>
  <c r="AH134" i="36" s="1"/>
  <c r="AG126" i="36"/>
  <c r="AH126" i="36" s="1"/>
  <c r="AG118" i="36"/>
  <c r="AH118" i="36" s="1"/>
  <c r="AG171" i="36"/>
  <c r="AH171" i="36" s="1"/>
  <c r="AG163" i="36"/>
  <c r="AH163" i="36" s="1"/>
  <c r="AG155" i="36"/>
  <c r="AH155" i="36" s="1"/>
  <c r="AM144" i="36"/>
  <c r="AN144" i="36" s="1"/>
  <c r="AB145" i="36"/>
  <c r="AG133" i="36"/>
  <c r="AH133" i="36" s="1"/>
  <c r="AY124" i="36"/>
  <c r="AZ124" i="36" s="1"/>
  <c r="AY116" i="36"/>
  <c r="AZ116" i="36" s="1"/>
  <c r="AM124" i="36"/>
  <c r="AN124" i="36" s="1"/>
  <c r="AM116" i="36"/>
  <c r="AN116" i="36" s="1"/>
  <c r="DB113" i="36"/>
  <c r="DB105" i="36"/>
  <c r="AB109" i="36"/>
  <c r="Z160" i="36"/>
  <c r="AG172" i="36"/>
  <c r="AH172" i="36" s="1"/>
  <c r="AG164" i="36"/>
  <c r="AH164" i="36" s="1"/>
  <c r="AG154" i="36"/>
  <c r="AH154" i="36" s="1"/>
  <c r="AS146" i="36"/>
  <c r="AT146" i="36" s="1"/>
  <c r="AM137" i="36"/>
  <c r="AN137" i="36" s="1"/>
  <c r="AM129" i="36"/>
  <c r="AN129" i="36" s="1"/>
  <c r="BE121" i="36"/>
  <c r="BF121" i="36" s="1"/>
  <c r="AS121" i="36"/>
  <c r="AT121" i="36" s="1"/>
  <c r="AG124" i="36"/>
  <c r="AH124" i="36" s="1"/>
  <c r="AG116" i="36"/>
  <c r="AH116" i="36" s="1"/>
  <c r="Z108" i="36"/>
  <c r="Z106" i="36"/>
  <c r="AB155" i="36"/>
  <c r="AS145" i="36"/>
  <c r="AT145" i="36" s="1"/>
  <c r="DB145" i="36"/>
  <c r="AB149" i="36"/>
  <c r="AB141" i="36"/>
  <c r="BK126" i="36"/>
  <c r="BL126" i="36" s="1"/>
  <c r="DB126" i="36"/>
  <c r="BE125" i="36"/>
  <c r="BF125" i="36" s="1"/>
  <c r="BE117" i="36"/>
  <c r="BF117" i="36" s="1"/>
  <c r="AS125" i="36"/>
  <c r="AT125" i="36" s="1"/>
  <c r="AS117" i="36"/>
  <c r="AT117" i="36" s="1"/>
  <c r="DB125" i="36"/>
  <c r="DB117" i="36"/>
  <c r="DB110" i="36"/>
  <c r="DB102" i="36"/>
  <c r="BW150" i="36"/>
  <c r="BX150" i="36" s="1"/>
  <c r="AS144" i="36"/>
  <c r="AT144" i="36" s="1"/>
  <c r="DB144" i="36"/>
  <c r="CI126" i="36"/>
  <c r="CJ126" i="36" s="1"/>
  <c r="DB133" i="36"/>
  <c r="BE124" i="36"/>
  <c r="BF124" i="36" s="1"/>
  <c r="BE116" i="36"/>
  <c r="BF116" i="36" s="1"/>
  <c r="AS124" i="36"/>
  <c r="AT124" i="36" s="1"/>
  <c r="AS116" i="36"/>
  <c r="AT116" i="36" s="1"/>
  <c r="DB124" i="36"/>
  <c r="DB116" i="36"/>
  <c r="DB109" i="36"/>
  <c r="AY134" i="36"/>
  <c r="AZ134" i="36" s="1"/>
  <c r="AS142" i="36"/>
  <c r="AT142" i="36" s="1"/>
  <c r="DB142" i="36"/>
  <c r="BW134" i="36"/>
  <c r="BX134" i="36" s="1"/>
  <c r="AY130" i="36"/>
  <c r="AZ130" i="36" s="1"/>
  <c r="DB131" i="36"/>
  <c r="BE122" i="36"/>
  <c r="BF122" i="36" s="1"/>
  <c r="BE114" i="36"/>
  <c r="BF114" i="36" s="1"/>
  <c r="AS122" i="36"/>
  <c r="AT122" i="36" s="1"/>
  <c r="AS114" i="36"/>
  <c r="AT114" i="36" s="1"/>
  <c r="DB122" i="36"/>
  <c r="DB114" i="36"/>
  <c r="DB107" i="36"/>
  <c r="Z94" i="36"/>
  <c r="BW126" i="36"/>
  <c r="BX126" i="36" s="1"/>
  <c r="BE126" i="36"/>
  <c r="BF126" i="36" s="1"/>
  <c r="Z101" i="36"/>
  <c r="Z93" i="36"/>
  <c r="CU126" i="36"/>
  <c r="CV126" i="36" s="1"/>
  <c r="CC134" i="36"/>
  <c r="CD134" i="36" s="1"/>
  <c r="BK134" i="36"/>
  <c r="BL134" i="36" s="1"/>
  <c r="Z100" i="36"/>
  <c r="AM166" i="36"/>
  <c r="AN166" i="36" s="1"/>
  <c r="CU134" i="36"/>
  <c r="CV134" i="36" s="1"/>
  <c r="CI134" i="36"/>
  <c r="CJ134" i="36" s="1"/>
  <c r="CC126" i="36"/>
  <c r="CD126" i="36" s="1"/>
  <c r="BQ130" i="36"/>
  <c r="BR130" i="36" s="1"/>
  <c r="BE134" i="36"/>
  <c r="BF134" i="36" s="1"/>
  <c r="AY126" i="36"/>
  <c r="AZ126" i="36" s="1"/>
  <c r="CI140" i="36"/>
  <c r="CJ140" i="36" s="1"/>
  <c r="AM101" i="36"/>
  <c r="AN101" i="36" s="1"/>
  <c r="BK124" i="36"/>
  <c r="BL124" i="36" s="1"/>
  <c r="CO93" i="36"/>
  <c r="CP93" i="36" s="1"/>
  <c r="CC97" i="36"/>
  <c r="CD97" i="36" s="1"/>
  <c r="BW97" i="36"/>
  <c r="BX97" i="36" s="1"/>
  <c r="BK101" i="36"/>
  <c r="BL101" i="36" s="1"/>
  <c r="BE101" i="36"/>
  <c r="BF101" i="36" s="1"/>
  <c r="AS93" i="36"/>
  <c r="AT93" i="36" s="1"/>
  <c r="DB101" i="36"/>
  <c r="DB97" i="36"/>
  <c r="DB93" i="36"/>
  <c r="CU101" i="36"/>
  <c r="CV101" i="36" s="1"/>
  <c r="AS101" i="36"/>
  <c r="AT101" i="36" s="1"/>
  <c r="AS163" i="36"/>
  <c r="AT163" i="36" s="1"/>
  <c r="BE140" i="36"/>
  <c r="BF140" i="36" s="1"/>
  <c r="CU97" i="36"/>
  <c r="CV97" i="36" s="1"/>
  <c r="AY93" i="36"/>
  <c r="AZ93" i="36" s="1"/>
  <c r="AM97" i="36"/>
  <c r="AN97" i="36" s="1"/>
  <c r="BQ129" i="36"/>
  <c r="BR129" i="36" s="1"/>
  <c r="AY167" i="36"/>
  <c r="AZ167" i="36" s="1"/>
  <c r="CU144" i="36"/>
  <c r="CV144" i="36" s="1"/>
  <c r="BW148" i="36"/>
  <c r="BX148" i="36" s="1"/>
  <c r="AY140" i="36"/>
  <c r="AZ140" i="36" s="1"/>
  <c r="CO129" i="36"/>
  <c r="CP129" i="36" s="1"/>
  <c r="BE129" i="36"/>
  <c r="BF129" i="36" s="1"/>
  <c r="BW140" i="36"/>
  <c r="BX140" i="36" s="1"/>
  <c r="CC129" i="36"/>
  <c r="CD129" i="36" s="1"/>
  <c r="CO144" i="36"/>
  <c r="CP144" i="36" s="1"/>
  <c r="AM167" i="36"/>
  <c r="AN167" i="36" s="1"/>
  <c r="CI148" i="36"/>
  <c r="CJ148" i="36" s="1"/>
  <c r="BK140" i="36"/>
  <c r="BL140" i="36" s="1"/>
  <c r="CO148" i="36"/>
  <c r="CP148" i="36" s="1"/>
  <c r="CC144" i="36"/>
  <c r="CD144" i="36" s="1"/>
  <c r="BQ144" i="36"/>
  <c r="BR144" i="36" s="1"/>
  <c r="AY144" i="36"/>
  <c r="AZ144" i="36" s="1"/>
  <c r="CU137" i="36"/>
  <c r="CV137" i="36" s="1"/>
  <c r="CU129" i="36"/>
  <c r="CV129" i="36" s="1"/>
  <c r="CO137" i="36"/>
  <c r="CP137" i="36" s="1"/>
  <c r="CI133" i="36"/>
  <c r="CJ133" i="36" s="1"/>
  <c r="CC137" i="36"/>
  <c r="CD137" i="36" s="1"/>
  <c r="BW137" i="36"/>
  <c r="BX137" i="36" s="1"/>
  <c r="BW129" i="36"/>
  <c r="BX129" i="36" s="1"/>
  <c r="BQ137" i="36"/>
  <c r="BR137" i="36" s="1"/>
  <c r="BK133" i="36"/>
  <c r="BL133" i="36" s="1"/>
  <c r="BE137" i="36"/>
  <c r="BF137" i="36" s="1"/>
  <c r="AY137" i="36"/>
  <c r="AZ137" i="36" s="1"/>
  <c r="AY129" i="36"/>
  <c r="AZ129" i="36" s="1"/>
  <c r="AS137" i="36"/>
  <c r="AT137" i="36" s="1"/>
  <c r="BK116" i="36"/>
  <c r="BL116" i="36" s="1"/>
  <c r="CU105" i="36"/>
  <c r="CV105" i="36" s="1"/>
  <c r="AM163" i="36"/>
  <c r="AN163" i="36" s="1"/>
  <c r="CO133" i="36"/>
  <c r="CP133" i="36" s="1"/>
  <c r="BQ133" i="36"/>
  <c r="BR133" i="36" s="1"/>
  <c r="AS133" i="36"/>
  <c r="AT133" i="36" s="1"/>
  <c r="AM171" i="36"/>
  <c r="AN171" i="36" s="1"/>
  <c r="AS171" i="36"/>
  <c r="AT171" i="36" s="1"/>
  <c r="DB173" i="36"/>
  <c r="DB169" i="36"/>
  <c r="DB165" i="36"/>
  <c r="BW144" i="36"/>
  <c r="BX144" i="36" s="1"/>
  <c r="BE144" i="36"/>
  <c r="BF144" i="36" s="1"/>
  <c r="CU133" i="36"/>
  <c r="CV133" i="36" s="1"/>
  <c r="CI137" i="36"/>
  <c r="CJ137" i="36" s="1"/>
  <c r="CI129" i="36"/>
  <c r="CJ129" i="36" s="1"/>
  <c r="CC133" i="36"/>
  <c r="CD133" i="36" s="1"/>
  <c r="BW133" i="36"/>
  <c r="BX133" i="36" s="1"/>
  <c r="BE133" i="36"/>
  <c r="BF133" i="36" s="1"/>
  <c r="BW105" i="36"/>
  <c r="BX105" i="36" s="1"/>
  <c r="AG101" i="36"/>
  <c r="AH101" i="36" s="1"/>
  <c r="CI113" i="36"/>
  <c r="CJ113" i="36" s="1"/>
  <c r="BQ113" i="36"/>
  <c r="BR113" i="36" s="1"/>
  <c r="AY163" i="36"/>
  <c r="AZ163" i="36" s="1"/>
  <c r="AS167" i="36"/>
  <c r="AT167" i="36" s="1"/>
  <c r="DB171" i="36"/>
  <c r="DB167" i="36"/>
  <c r="DB163" i="36"/>
  <c r="CU140" i="36"/>
  <c r="CV140" i="36" s="1"/>
  <c r="CC140" i="36"/>
  <c r="CD140" i="36" s="1"/>
  <c r="BQ148" i="36"/>
  <c r="BR148" i="36" s="1"/>
  <c r="BK148" i="36"/>
  <c r="BL148" i="36" s="1"/>
  <c r="AY148" i="36"/>
  <c r="AZ148" i="36" s="1"/>
  <c r="CO134" i="36"/>
  <c r="CP134" i="36" s="1"/>
  <c r="CO126" i="36"/>
  <c r="CP126" i="36" s="1"/>
  <c r="CC130" i="36"/>
  <c r="CD130" i="36" s="1"/>
  <c r="BQ134" i="36"/>
  <c r="BR134" i="36" s="1"/>
  <c r="BQ126" i="36"/>
  <c r="BR126" i="36" s="1"/>
  <c r="BQ116" i="36"/>
  <c r="BR116" i="36" s="1"/>
  <c r="CI109" i="36"/>
  <c r="CJ109" i="36" s="1"/>
  <c r="BE112" i="36"/>
  <c r="BF112" i="36" s="1"/>
  <c r="BE109" i="36"/>
  <c r="BF109" i="36" s="1"/>
  <c r="AS108" i="36"/>
  <c r="AT108" i="36" s="1"/>
  <c r="BK108" i="36"/>
  <c r="BL108" i="36" s="1"/>
  <c r="BW108" i="36"/>
  <c r="BX108" i="36" s="1"/>
  <c r="CI108" i="36"/>
  <c r="CJ108" i="36" s="1"/>
  <c r="CU108" i="36"/>
  <c r="CV108" i="36" s="1"/>
  <c r="BQ173" i="36"/>
  <c r="BR173" i="36" s="1"/>
  <c r="AM173" i="36"/>
  <c r="AN173" i="36" s="1"/>
  <c r="BK169" i="36"/>
  <c r="BL169" i="36" s="1"/>
  <c r="AM169" i="36"/>
  <c r="AN169" i="36" s="1"/>
  <c r="BQ165" i="36"/>
  <c r="BR165" i="36" s="1"/>
  <c r="AS165" i="36"/>
  <c r="AT165" i="36" s="1"/>
  <c r="BQ170" i="36"/>
  <c r="BR170" i="36" s="1"/>
  <c r="AS170" i="36"/>
  <c r="AT170" i="36" s="1"/>
  <c r="BQ162" i="36"/>
  <c r="BR162" i="36" s="1"/>
  <c r="AM162" i="36"/>
  <c r="AN162" i="36" s="1"/>
  <c r="AS136" i="36"/>
  <c r="AT136" i="36" s="1"/>
  <c r="AY136" i="36"/>
  <c r="AZ136" i="36" s="1"/>
  <c r="BE136" i="36"/>
  <c r="BF136" i="36" s="1"/>
  <c r="BK136" i="36"/>
  <c r="BL136" i="36" s="1"/>
  <c r="BQ136" i="36"/>
  <c r="BR136" i="36" s="1"/>
  <c r="BW136" i="36"/>
  <c r="BX136" i="36" s="1"/>
  <c r="CC136" i="36"/>
  <c r="CD136" i="36" s="1"/>
  <c r="CI136" i="36"/>
  <c r="CJ136" i="36" s="1"/>
  <c r="CO136" i="36"/>
  <c r="CP136" i="36" s="1"/>
  <c r="CU136" i="36"/>
  <c r="CV136" i="36" s="1"/>
  <c r="AS132" i="36"/>
  <c r="AT132" i="36" s="1"/>
  <c r="AY132" i="36"/>
  <c r="AZ132" i="36" s="1"/>
  <c r="BE132" i="36"/>
  <c r="BF132" i="36" s="1"/>
  <c r="BK132" i="36"/>
  <c r="BL132" i="36" s="1"/>
  <c r="BQ132" i="36"/>
  <c r="BR132" i="36" s="1"/>
  <c r="BW132" i="36"/>
  <c r="BX132" i="36" s="1"/>
  <c r="CC132" i="36"/>
  <c r="CD132" i="36" s="1"/>
  <c r="CI132" i="36"/>
  <c r="CJ132" i="36" s="1"/>
  <c r="CO132" i="36"/>
  <c r="CP132" i="36" s="1"/>
  <c r="CU132" i="36"/>
  <c r="CV132" i="36" s="1"/>
  <c r="AS128" i="36"/>
  <c r="AT128" i="36" s="1"/>
  <c r="AY128" i="36"/>
  <c r="AZ128" i="36" s="1"/>
  <c r="BE128" i="36"/>
  <c r="BF128" i="36" s="1"/>
  <c r="BK128" i="36"/>
  <c r="BL128" i="36" s="1"/>
  <c r="BQ128" i="36"/>
  <c r="BR128" i="36" s="1"/>
  <c r="BW128" i="36"/>
  <c r="BX128" i="36" s="1"/>
  <c r="CC128" i="36"/>
  <c r="CD128" i="36" s="1"/>
  <c r="CI128" i="36"/>
  <c r="CJ128" i="36" s="1"/>
  <c r="CO128" i="36"/>
  <c r="CP128" i="36" s="1"/>
  <c r="CU128" i="36"/>
  <c r="CV128" i="36" s="1"/>
  <c r="DB170" i="36"/>
  <c r="DB166" i="36"/>
  <c r="DB162" i="36"/>
  <c r="CO140" i="36"/>
  <c r="CP140" i="36" s="1"/>
  <c r="CI144" i="36"/>
  <c r="CJ144" i="36" s="1"/>
  <c r="CC148" i="36"/>
  <c r="CD148" i="36" s="1"/>
  <c r="CU135" i="36"/>
  <c r="CV135" i="36" s="1"/>
  <c r="CU131" i="36"/>
  <c r="CV131" i="36" s="1"/>
  <c r="CU127" i="36"/>
  <c r="CV127" i="36" s="1"/>
  <c r="CO135" i="36"/>
  <c r="CP135" i="36" s="1"/>
  <c r="CO131" i="36"/>
  <c r="CP131" i="36" s="1"/>
  <c r="CO127" i="36"/>
  <c r="CP127" i="36" s="1"/>
  <c r="CI135" i="36"/>
  <c r="CJ135" i="36" s="1"/>
  <c r="CI131" i="36"/>
  <c r="CJ131" i="36" s="1"/>
  <c r="CI127" i="36"/>
  <c r="CJ127" i="36" s="1"/>
  <c r="CC135" i="36"/>
  <c r="CD135" i="36" s="1"/>
  <c r="CC131" i="36"/>
  <c r="CD131" i="36" s="1"/>
  <c r="CC127" i="36"/>
  <c r="CD127" i="36" s="1"/>
  <c r="BW135" i="36"/>
  <c r="BX135" i="36" s="1"/>
  <c r="BW131" i="36"/>
  <c r="BX131" i="36" s="1"/>
  <c r="BW127" i="36"/>
  <c r="BX127" i="36" s="1"/>
  <c r="BQ135" i="36"/>
  <c r="BR135" i="36" s="1"/>
  <c r="BQ131" i="36"/>
  <c r="BR131" i="36" s="1"/>
  <c r="BQ127" i="36"/>
  <c r="BR127" i="36" s="1"/>
  <c r="BK135" i="36"/>
  <c r="BL135" i="36" s="1"/>
  <c r="BK131" i="36"/>
  <c r="BL131" i="36" s="1"/>
  <c r="BK127" i="36"/>
  <c r="BL127" i="36" s="1"/>
  <c r="BE135" i="36"/>
  <c r="BF135" i="36" s="1"/>
  <c r="BE131" i="36"/>
  <c r="BF131" i="36" s="1"/>
  <c r="BE127" i="36"/>
  <c r="BF127" i="36" s="1"/>
  <c r="AY135" i="36"/>
  <c r="AZ135" i="36" s="1"/>
  <c r="AY131" i="36"/>
  <c r="AZ131" i="36" s="1"/>
  <c r="AY127" i="36"/>
  <c r="AZ127" i="36" s="1"/>
  <c r="BQ105" i="36"/>
  <c r="BR105" i="36" s="1"/>
  <c r="AS109" i="36"/>
  <c r="AT109" i="36" s="1"/>
  <c r="CO94" i="36"/>
  <c r="CP94" i="36" s="1"/>
  <c r="CO143" i="36"/>
  <c r="CP143" i="36" s="1"/>
  <c r="CI143" i="36"/>
  <c r="CJ143" i="36" s="1"/>
  <c r="BW143" i="36"/>
  <c r="BX143" i="36" s="1"/>
  <c r="BQ143" i="36"/>
  <c r="BR143" i="36" s="1"/>
  <c r="BE143" i="36"/>
  <c r="BF143" i="36" s="1"/>
  <c r="CU143" i="36"/>
  <c r="CV143" i="36" s="1"/>
  <c r="CC143" i="36"/>
  <c r="CD143" i="36" s="1"/>
  <c r="BK143" i="36"/>
  <c r="BL143" i="36" s="1"/>
  <c r="AS166" i="36"/>
  <c r="AT166" i="36" s="1"/>
  <c r="CU147" i="36"/>
  <c r="CV147" i="36" s="1"/>
  <c r="CU139" i="36"/>
  <c r="CV139" i="36" s="1"/>
  <c r="CO147" i="36"/>
  <c r="CP147" i="36" s="1"/>
  <c r="CO139" i="36"/>
  <c r="CP139" i="36" s="1"/>
  <c r="CI147" i="36"/>
  <c r="CJ147" i="36" s="1"/>
  <c r="CI139" i="36"/>
  <c r="CJ139" i="36" s="1"/>
  <c r="CC147" i="36"/>
  <c r="CD147" i="36" s="1"/>
  <c r="CC139" i="36"/>
  <c r="CD139" i="36" s="1"/>
  <c r="BW147" i="36"/>
  <c r="BX147" i="36" s="1"/>
  <c r="BW139" i="36"/>
  <c r="BX139" i="36" s="1"/>
  <c r="BQ147" i="36"/>
  <c r="BR147" i="36" s="1"/>
  <c r="BQ139" i="36"/>
  <c r="BR139" i="36" s="1"/>
  <c r="BK147" i="36"/>
  <c r="BL147" i="36" s="1"/>
  <c r="BK139" i="36"/>
  <c r="BL139" i="36" s="1"/>
  <c r="BE147" i="36"/>
  <c r="BF147" i="36" s="1"/>
  <c r="BE139" i="36"/>
  <c r="BF139" i="36" s="1"/>
  <c r="AY110" i="36"/>
  <c r="AZ110" i="36" s="1"/>
  <c r="CU110" i="36"/>
  <c r="CV110" i="36" s="1"/>
  <c r="BQ110" i="36"/>
  <c r="BR110" i="36" s="1"/>
  <c r="AY106" i="36"/>
  <c r="AZ106" i="36" s="1"/>
  <c r="BW106" i="36"/>
  <c r="BX106" i="36" s="1"/>
  <c r="CI106" i="36"/>
  <c r="CJ106" i="36" s="1"/>
  <c r="BK106" i="36"/>
  <c r="BL106" i="36" s="1"/>
  <c r="AY102" i="36"/>
  <c r="AZ102" i="36" s="1"/>
  <c r="CO102" i="36"/>
  <c r="CP102" i="36" s="1"/>
  <c r="CU102" i="36"/>
  <c r="CV102" i="36" s="1"/>
  <c r="BQ102" i="36"/>
  <c r="BR102" i="36" s="1"/>
  <c r="CC102" i="36"/>
  <c r="CD102" i="36" s="1"/>
  <c r="CU146" i="36"/>
  <c r="CV146" i="36" s="1"/>
  <c r="CU142" i="36"/>
  <c r="CV142" i="36" s="1"/>
  <c r="CU138" i="36"/>
  <c r="CV138" i="36" s="1"/>
  <c r="CO146" i="36"/>
  <c r="CP146" i="36" s="1"/>
  <c r="CO142" i="36"/>
  <c r="CP142" i="36" s="1"/>
  <c r="CO138" i="36"/>
  <c r="CP138" i="36" s="1"/>
  <c r="CI146" i="36"/>
  <c r="CJ146" i="36" s="1"/>
  <c r="CI142" i="36"/>
  <c r="CJ142" i="36" s="1"/>
  <c r="CI138" i="36"/>
  <c r="CJ138" i="36" s="1"/>
  <c r="CC146" i="36"/>
  <c r="CD146" i="36" s="1"/>
  <c r="CC142" i="36"/>
  <c r="CD142" i="36" s="1"/>
  <c r="CC138" i="36"/>
  <c r="CD138" i="36" s="1"/>
  <c r="BW146" i="36"/>
  <c r="BX146" i="36" s="1"/>
  <c r="BW142" i="36"/>
  <c r="BX142" i="36" s="1"/>
  <c r="BW138" i="36"/>
  <c r="BX138" i="36" s="1"/>
  <c r="BQ146" i="36"/>
  <c r="BR146" i="36" s="1"/>
  <c r="BQ142" i="36"/>
  <c r="BR142" i="36" s="1"/>
  <c r="BQ138" i="36"/>
  <c r="BR138" i="36" s="1"/>
  <c r="BK146" i="36"/>
  <c r="BL146" i="36" s="1"/>
  <c r="BK142" i="36"/>
  <c r="BL142" i="36" s="1"/>
  <c r="BK138" i="36"/>
  <c r="BL138" i="36" s="1"/>
  <c r="BE146" i="36"/>
  <c r="BF146" i="36" s="1"/>
  <c r="BE142" i="36"/>
  <c r="BF142" i="36" s="1"/>
  <c r="BE138" i="36"/>
  <c r="BF138" i="36" s="1"/>
  <c r="BK105" i="36"/>
  <c r="BL105" i="36" s="1"/>
  <c r="AY113" i="36"/>
  <c r="AZ113" i="36" s="1"/>
  <c r="BK90" i="36"/>
  <c r="BL90" i="36" s="1"/>
  <c r="AS172" i="36"/>
  <c r="AT172" i="36" s="1"/>
  <c r="AS168" i="36"/>
  <c r="AT168" i="36" s="1"/>
  <c r="AS164" i="36"/>
  <c r="AT164" i="36" s="1"/>
  <c r="AM172" i="36"/>
  <c r="AN172" i="36" s="1"/>
  <c r="AM168" i="36"/>
  <c r="AN168" i="36" s="1"/>
  <c r="AM164" i="36"/>
  <c r="AN164" i="36" s="1"/>
  <c r="DB172" i="36"/>
  <c r="DB168" i="36"/>
  <c r="DB164" i="36"/>
  <c r="CU149" i="36"/>
  <c r="CV149" i="36" s="1"/>
  <c r="CU145" i="36"/>
  <c r="CV145" i="36" s="1"/>
  <c r="CU141" i="36"/>
  <c r="CV141" i="36" s="1"/>
  <c r="CO149" i="36"/>
  <c r="CP149" i="36" s="1"/>
  <c r="CO145" i="36"/>
  <c r="CP145" i="36" s="1"/>
  <c r="CO141" i="36"/>
  <c r="CP141" i="36" s="1"/>
  <c r="CI149" i="36"/>
  <c r="CJ149" i="36" s="1"/>
  <c r="CI145" i="36"/>
  <c r="CJ145" i="36" s="1"/>
  <c r="CI141" i="36"/>
  <c r="CJ141" i="36" s="1"/>
  <c r="CC149" i="36"/>
  <c r="CD149" i="36" s="1"/>
  <c r="CC145" i="36"/>
  <c r="CD145" i="36" s="1"/>
  <c r="CC141" i="36"/>
  <c r="CD141" i="36" s="1"/>
  <c r="BW149" i="36"/>
  <c r="BX149" i="36" s="1"/>
  <c r="BW145" i="36"/>
  <c r="BX145" i="36" s="1"/>
  <c r="BW141" i="36"/>
  <c r="BX141" i="36" s="1"/>
  <c r="BQ149" i="36"/>
  <c r="BR149" i="36" s="1"/>
  <c r="BQ145" i="36"/>
  <c r="BR145" i="36" s="1"/>
  <c r="BQ141" i="36"/>
  <c r="BR141" i="36" s="1"/>
  <c r="BK149" i="36"/>
  <c r="BL149" i="36" s="1"/>
  <c r="BK145" i="36"/>
  <c r="BL145" i="36" s="1"/>
  <c r="BK141" i="36"/>
  <c r="BL141" i="36" s="1"/>
  <c r="BE149" i="36"/>
  <c r="BF149" i="36" s="1"/>
  <c r="BE145" i="36"/>
  <c r="BF145" i="36" s="1"/>
  <c r="BE141" i="36"/>
  <c r="BF141" i="36" s="1"/>
  <c r="BQ109" i="36"/>
  <c r="BR109" i="36" s="1"/>
  <c r="BE113" i="36"/>
  <c r="BF113" i="36" s="1"/>
  <c r="AY105" i="36"/>
  <c r="AZ105" i="36" s="1"/>
  <c r="CI90" i="36"/>
  <c r="CJ90" i="36" s="1"/>
  <c r="CO110" i="36"/>
  <c r="CP110" i="36" s="1"/>
  <c r="CI110" i="36"/>
  <c r="CJ110" i="36" s="1"/>
  <c r="CI102" i="36"/>
  <c r="CJ102" i="36" s="1"/>
  <c r="BW110" i="36"/>
  <c r="BX110" i="36" s="1"/>
  <c r="BW102" i="36"/>
  <c r="BX102" i="36" s="1"/>
  <c r="BQ106" i="36"/>
  <c r="BR106" i="36" s="1"/>
  <c r="BQ94" i="36"/>
  <c r="BR94" i="36" s="1"/>
  <c r="AS94" i="36"/>
  <c r="AT94" i="36" s="1"/>
  <c r="AY171" i="36"/>
  <c r="AZ171" i="36" s="1"/>
  <c r="CI153" i="36"/>
  <c r="CJ153" i="36" s="1"/>
  <c r="CU106" i="36"/>
  <c r="CV106" i="36" s="1"/>
  <c r="CO106" i="36"/>
  <c r="CP106" i="36" s="1"/>
  <c r="CC110" i="36"/>
  <c r="CD110" i="36" s="1"/>
  <c r="BK110" i="36"/>
  <c r="BL110" i="36" s="1"/>
  <c r="BK102" i="36"/>
  <c r="BL102" i="36" s="1"/>
  <c r="BW98" i="36"/>
  <c r="BX98" i="36" s="1"/>
  <c r="AY166" i="36"/>
  <c r="AZ166" i="36" s="1"/>
  <c r="CC125" i="36"/>
  <c r="CD125" i="36" s="1"/>
  <c r="BW125" i="36"/>
  <c r="BX125" i="36" s="1"/>
  <c r="AY169" i="36"/>
  <c r="AZ169" i="36" s="1"/>
  <c r="CU117" i="36"/>
  <c r="CV117" i="36" s="1"/>
  <c r="BE164" i="36"/>
  <c r="BF164" i="36" s="1"/>
  <c r="AY173" i="36"/>
  <c r="AZ173" i="36" s="1"/>
  <c r="CI125" i="36"/>
  <c r="CJ125" i="36" s="1"/>
  <c r="AY170" i="36"/>
  <c r="AZ170" i="36" s="1"/>
  <c r="AY165" i="36"/>
  <c r="AZ165" i="36" s="1"/>
  <c r="CU118" i="36"/>
  <c r="CV118" i="36" s="1"/>
  <c r="CI118" i="36"/>
  <c r="CJ118" i="36" s="1"/>
  <c r="BQ124" i="36"/>
  <c r="BR124" i="36" s="1"/>
  <c r="BK114" i="36"/>
  <c r="BL114" i="36" s="1"/>
  <c r="CU113" i="36"/>
  <c r="CV113" i="36" s="1"/>
  <c r="CO109" i="36"/>
  <c r="CP109" i="36" s="1"/>
  <c r="CC109" i="36"/>
  <c r="CD109" i="36" s="1"/>
  <c r="BW109" i="36"/>
  <c r="BX109" i="36" s="1"/>
  <c r="BK113" i="36"/>
  <c r="BL113" i="36" s="1"/>
  <c r="BE105" i="36"/>
  <c r="BF105" i="36" s="1"/>
  <c r="AY109" i="36"/>
  <c r="AZ109" i="36" s="1"/>
  <c r="AS105" i="36"/>
  <c r="AT105" i="36" s="1"/>
  <c r="BQ122" i="36"/>
  <c r="BR122" i="36" s="1"/>
  <c r="CI172" i="36"/>
  <c r="CJ172" i="36" s="1"/>
  <c r="AY162" i="36"/>
  <c r="AZ162" i="36" s="1"/>
  <c r="CO118" i="36"/>
  <c r="CP118" i="36" s="1"/>
  <c r="CC118" i="36"/>
  <c r="CD118" i="36" s="1"/>
  <c r="BQ120" i="36"/>
  <c r="BR120" i="36" s="1"/>
  <c r="BK120" i="36"/>
  <c r="BL120" i="36" s="1"/>
  <c r="CU109" i="36"/>
  <c r="CV109" i="36" s="1"/>
  <c r="CO113" i="36"/>
  <c r="CP113" i="36" s="1"/>
  <c r="CO105" i="36"/>
  <c r="CP105" i="36" s="1"/>
  <c r="CI105" i="36"/>
  <c r="CJ105" i="36" s="1"/>
  <c r="CC113" i="36"/>
  <c r="CD113" i="36" s="1"/>
  <c r="BW113" i="36"/>
  <c r="BX113" i="36" s="1"/>
  <c r="BE173" i="36"/>
  <c r="BF173" i="36" s="1"/>
  <c r="AY172" i="36"/>
  <c r="AZ172" i="36" s="1"/>
  <c r="AY168" i="36"/>
  <c r="AZ168" i="36" s="1"/>
  <c r="AY164" i="36"/>
  <c r="AZ164" i="36" s="1"/>
  <c r="CU125" i="36"/>
  <c r="CV125" i="36" s="1"/>
  <c r="CO121" i="36"/>
  <c r="CP121" i="36" s="1"/>
  <c r="CI121" i="36"/>
  <c r="CJ121" i="36" s="1"/>
  <c r="CC121" i="36"/>
  <c r="CD121" i="36" s="1"/>
  <c r="BW117" i="36"/>
  <c r="BX117" i="36" s="1"/>
  <c r="BK122" i="36"/>
  <c r="BL122" i="36" s="1"/>
  <c r="AY104" i="36"/>
  <c r="AZ104" i="36" s="1"/>
  <c r="BE172" i="36"/>
  <c r="BF172" i="36" s="1"/>
  <c r="CU121" i="36"/>
  <c r="CV121" i="36" s="1"/>
  <c r="BQ114" i="36"/>
  <c r="BR114" i="36" s="1"/>
  <c r="BE104" i="36"/>
  <c r="BF104" i="36" s="1"/>
  <c r="AY112" i="36"/>
  <c r="AZ112" i="36" s="1"/>
  <c r="BE168" i="36"/>
  <c r="BF168" i="36" s="1"/>
  <c r="CO117" i="36"/>
  <c r="CP117" i="36" s="1"/>
  <c r="CC117" i="36"/>
  <c r="CD117" i="36" s="1"/>
  <c r="CU112" i="36"/>
  <c r="CV112" i="36" s="1"/>
  <c r="CO104" i="36"/>
  <c r="CP104" i="36" s="1"/>
  <c r="CI112" i="36"/>
  <c r="CJ112" i="36" s="1"/>
  <c r="CC104" i="36"/>
  <c r="CD104" i="36" s="1"/>
  <c r="BW112" i="36"/>
  <c r="BX112" i="36" s="1"/>
  <c r="BQ104" i="36"/>
  <c r="BR104" i="36" s="1"/>
  <c r="BK112" i="36"/>
  <c r="BL112" i="36" s="1"/>
  <c r="AS112" i="36"/>
  <c r="AT112" i="36" s="1"/>
  <c r="AS104" i="36"/>
  <c r="AT104" i="36" s="1"/>
  <c r="CO108" i="36"/>
  <c r="CP108" i="36" s="1"/>
  <c r="CC108" i="36"/>
  <c r="CD108" i="36" s="1"/>
  <c r="BQ108" i="36"/>
  <c r="BR108" i="36" s="1"/>
  <c r="BE108" i="36"/>
  <c r="BF108" i="36" s="1"/>
  <c r="AY108" i="36"/>
  <c r="AZ108" i="36" s="1"/>
  <c r="BE165" i="36"/>
  <c r="BF165" i="36" s="1"/>
  <c r="BW118" i="36"/>
  <c r="BX118" i="36" s="1"/>
  <c r="BQ118" i="36"/>
  <c r="BR118" i="36" s="1"/>
  <c r="CU104" i="36"/>
  <c r="CV104" i="36" s="1"/>
  <c r="CO112" i="36"/>
  <c r="CP112" i="36" s="1"/>
  <c r="CI104" i="36"/>
  <c r="CJ104" i="36" s="1"/>
  <c r="CC112" i="36"/>
  <c r="CD112" i="36" s="1"/>
  <c r="BW104" i="36"/>
  <c r="BX104" i="36" s="1"/>
  <c r="BQ123" i="36"/>
  <c r="BR123" i="36" s="1"/>
  <c r="BQ119" i="36"/>
  <c r="BR119" i="36" s="1"/>
  <c r="BQ115" i="36"/>
  <c r="BR115" i="36" s="1"/>
  <c r="BK123" i="36"/>
  <c r="BL123" i="36" s="1"/>
  <c r="BK119" i="36"/>
  <c r="BL119" i="36" s="1"/>
  <c r="BK115" i="36"/>
  <c r="BL115" i="36" s="1"/>
  <c r="AS111" i="36"/>
  <c r="AT111" i="36" s="1"/>
  <c r="AS107" i="36"/>
  <c r="AT107" i="36" s="1"/>
  <c r="AS103" i="36"/>
  <c r="AT103" i="36" s="1"/>
  <c r="BE169" i="36"/>
  <c r="BF169" i="36" s="1"/>
  <c r="CU111" i="36"/>
  <c r="CV111" i="36" s="1"/>
  <c r="CU107" i="36"/>
  <c r="CV107" i="36" s="1"/>
  <c r="CU103" i="36"/>
  <c r="CV103" i="36" s="1"/>
  <c r="CO111" i="36"/>
  <c r="CP111" i="36" s="1"/>
  <c r="CO107" i="36"/>
  <c r="CP107" i="36" s="1"/>
  <c r="CO103" i="36"/>
  <c r="CP103" i="36" s="1"/>
  <c r="CI111" i="36"/>
  <c r="CJ111" i="36" s="1"/>
  <c r="CI107" i="36"/>
  <c r="CJ107" i="36" s="1"/>
  <c r="CI103" i="36"/>
  <c r="CJ103" i="36" s="1"/>
  <c r="CC111" i="36"/>
  <c r="CD111" i="36" s="1"/>
  <c r="CC107" i="36"/>
  <c r="CD107" i="36" s="1"/>
  <c r="CC103" i="36"/>
  <c r="CD103" i="36" s="1"/>
  <c r="BW111" i="36"/>
  <c r="BX111" i="36" s="1"/>
  <c r="BW107" i="36"/>
  <c r="BX107" i="36" s="1"/>
  <c r="BW103" i="36"/>
  <c r="BX103" i="36" s="1"/>
  <c r="BQ111" i="36"/>
  <c r="BR111" i="36" s="1"/>
  <c r="BQ107" i="36"/>
  <c r="BR107" i="36" s="1"/>
  <c r="BQ103" i="36"/>
  <c r="BR103" i="36" s="1"/>
  <c r="BK111" i="36"/>
  <c r="BL111" i="36" s="1"/>
  <c r="BK107" i="36"/>
  <c r="BL107" i="36" s="1"/>
  <c r="BK103" i="36"/>
  <c r="BL103" i="36" s="1"/>
  <c r="BE111" i="36"/>
  <c r="BF111" i="36" s="1"/>
  <c r="BE107" i="36"/>
  <c r="BF107" i="36" s="1"/>
  <c r="BE103" i="36"/>
  <c r="BF103" i="36" s="1"/>
  <c r="AS110" i="36"/>
  <c r="AT110" i="36" s="1"/>
  <c r="AS106" i="36"/>
  <c r="AT106" i="36" s="1"/>
  <c r="AS102" i="36"/>
  <c r="AT102" i="36" s="1"/>
  <c r="BQ125" i="36"/>
  <c r="BR125" i="36" s="1"/>
  <c r="BQ121" i="36"/>
  <c r="BR121" i="36" s="1"/>
  <c r="BQ117" i="36"/>
  <c r="BR117" i="36" s="1"/>
  <c r="BK125" i="36"/>
  <c r="BL125" i="36" s="1"/>
  <c r="BK121" i="36"/>
  <c r="BL121" i="36" s="1"/>
  <c r="BK117" i="36"/>
  <c r="BL117" i="36" s="1"/>
  <c r="BE110" i="36"/>
  <c r="BF110" i="36" s="1"/>
  <c r="BE106" i="36"/>
  <c r="BF106" i="36" s="1"/>
  <c r="BE102" i="36"/>
  <c r="BF102" i="36" s="1"/>
  <c r="BK151" i="36"/>
  <c r="BL151" i="36" s="1"/>
  <c r="CO151" i="36"/>
  <c r="CP151" i="36" s="1"/>
  <c r="BE171" i="36"/>
  <c r="BF171" i="36" s="1"/>
  <c r="BE167" i="36"/>
  <c r="BF167" i="36" s="1"/>
  <c r="BE163" i="36"/>
  <c r="BF163" i="36" s="1"/>
  <c r="BE170" i="36"/>
  <c r="BF170" i="36" s="1"/>
  <c r="BE166" i="36"/>
  <c r="BF166" i="36" s="1"/>
  <c r="BE162" i="36"/>
  <c r="BF162" i="36" s="1"/>
  <c r="CU153" i="36"/>
  <c r="CV153" i="36" s="1"/>
  <c r="BQ161" i="36"/>
  <c r="BR161" i="36" s="1"/>
  <c r="AY94" i="36"/>
  <c r="AZ94" i="36" s="1"/>
  <c r="CO153" i="36"/>
  <c r="CP153" i="36" s="1"/>
  <c r="BW157" i="36"/>
  <c r="BX157" i="36" s="1"/>
  <c r="BW173" i="36"/>
  <c r="BX173" i="36" s="1"/>
  <c r="BE161" i="36"/>
  <c r="BF161" i="36" s="1"/>
  <c r="AG90" i="36"/>
  <c r="AH90" i="36" s="1"/>
  <c r="CO161" i="36"/>
  <c r="CP161" i="36" s="1"/>
  <c r="CC153" i="36"/>
  <c r="CD153" i="36" s="1"/>
  <c r="BK161" i="36"/>
  <c r="BL161" i="36" s="1"/>
  <c r="AS153" i="36"/>
  <c r="AT153" i="36" s="1"/>
  <c r="AY161" i="36"/>
  <c r="AZ161" i="36" s="1"/>
  <c r="AM161" i="36"/>
  <c r="AN161" i="36" s="1"/>
  <c r="AS161" i="36"/>
  <c r="AT161" i="36" s="1"/>
  <c r="CI151" i="36"/>
  <c r="CJ151" i="36" s="1"/>
  <c r="BW155" i="36"/>
  <c r="BX155" i="36" s="1"/>
  <c r="BQ151" i="36"/>
  <c r="BR151" i="36" s="1"/>
  <c r="BE151" i="36"/>
  <c r="BF151" i="36" s="1"/>
  <c r="AS155" i="36"/>
  <c r="AT155" i="36" s="1"/>
  <c r="CC155" i="36"/>
  <c r="CD155" i="36" s="1"/>
  <c r="BW151" i="36"/>
  <c r="BX151" i="36" s="1"/>
  <c r="AM151" i="36"/>
  <c r="AN151" i="36" s="1"/>
  <c r="BW171" i="36"/>
  <c r="BX171" i="36" s="1"/>
  <c r="CU90" i="36"/>
  <c r="CV90" i="36" s="1"/>
  <c r="CI94" i="36"/>
  <c r="CJ94" i="36" s="1"/>
  <c r="CU157" i="36"/>
  <c r="CV157" i="36" s="1"/>
  <c r="CO157" i="36"/>
  <c r="CP157" i="36" s="1"/>
  <c r="CI157" i="36"/>
  <c r="CJ157" i="36" s="1"/>
  <c r="CC157" i="36"/>
  <c r="CD157" i="36" s="1"/>
  <c r="BW161" i="36"/>
  <c r="BX161" i="36" s="1"/>
  <c r="BQ153" i="36"/>
  <c r="BR153" i="36" s="1"/>
  <c r="BK153" i="36"/>
  <c r="BL153" i="36" s="1"/>
  <c r="BE153" i="36"/>
  <c r="BF153" i="36" s="1"/>
  <c r="AY153" i="36"/>
  <c r="AZ153" i="36" s="1"/>
  <c r="AM153" i="36"/>
  <c r="AN153" i="36" s="1"/>
  <c r="CU122" i="36"/>
  <c r="CV122" i="36" s="1"/>
  <c r="CU114" i="36"/>
  <c r="CV114" i="36" s="1"/>
  <c r="CO122" i="36"/>
  <c r="CP122" i="36" s="1"/>
  <c r="CO114" i="36"/>
  <c r="CP114" i="36" s="1"/>
  <c r="CI122" i="36"/>
  <c r="CJ122" i="36" s="1"/>
  <c r="CI114" i="36"/>
  <c r="CJ114" i="36" s="1"/>
  <c r="CC122" i="36"/>
  <c r="CD122" i="36" s="1"/>
  <c r="CC114" i="36"/>
  <c r="CD114" i="36" s="1"/>
  <c r="CU98" i="36"/>
  <c r="CV98" i="36" s="1"/>
  <c r="CU93" i="36"/>
  <c r="CV93" i="36" s="1"/>
  <c r="CO101" i="36"/>
  <c r="CP101" i="36" s="1"/>
  <c r="CO90" i="36"/>
  <c r="CP90" i="36" s="1"/>
  <c r="CI97" i="36"/>
  <c r="CJ97" i="36" s="1"/>
  <c r="CC98" i="36"/>
  <c r="CD98" i="36" s="1"/>
  <c r="CC93" i="36"/>
  <c r="CD93" i="36" s="1"/>
  <c r="BW94" i="36"/>
  <c r="BX94" i="36" s="1"/>
  <c r="BQ101" i="36"/>
  <c r="BR101" i="36" s="1"/>
  <c r="BQ90" i="36"/>
  <c r="BR90" i="36" s="1"/>
  <c r="BK97" i="36"/>
  <c r="BL97" i="36" s="1"/>
  <c r="BE98" i="36"/>
  <c r="BF98" i="36" s="1"/>
  <c r="BE93" i="36"/>
  <c r="BF93" i="36" s="1"/>
  <c r="AY101" i="36"/>
  <c r="AZ101" i="36" s="1"/>
  <c r="AY90" i="36"/>
  <c r="AZ90" i="36" s="1"/>
  <c r="AS90" i="36"/>
  <c r="AT90" i="36" s="1"/>
  <c r="AM93" i="36"/>
  <c r="AN93" i="36" s="1"/>
  <c r="AG93" i="36"/>
  <c r="AH93" i="36" s="1"/>
  <c r="AB92" i="36"/>
  <c r="CO98" i="36"/>
  <c r="CP98" i="36" s="1"/>
  <c r="CC90" i="36"/>
  <c r="CD90" i="36" s="1"/>
  <c r="BQ98" i="36"/>
  <c r="BR98" i="36" s="1"/>
  <c r="BK94" i="36"/>
  <c r="BL94" i="36" s="1"/>
  <c r="BE90" i="36"/>
  <c r="BF90" i="36" s="1"/>
  <c r="AY98" i="36"/>
  <c r="AZ98" i="36" s="1"/>
  <c r="AG98" i="36"/>
  <c r="AH98" i="36" s="1"/>
  <c r="BW162" i="36"/>
  <c r="BX162" i="36" s="1"/>
  <c r="CU161" i="36"/>
  <c r="CV161" i="36" s="1"/>
  <c r="CO158" i="36"/>
  <c r="CP158" i="36" s="1"/>
  <c r="CI161" i="36"/>
  <c r="CJ161" i="36" s="1"/>
  <c r="BQ157" i="36"/>
  <c r="BR157" i="36" s="1"/>
  <c r="BK157" i="36"/>
  <c r="BL157" i="36" s="1"/>
  <c r="BE157" i="36"/>
  <c r="BF157" i="36" s="1"/>
  <c r="AY157" i="36"/>
  <c r="AZ157" i="36" s="1"/>
  <c r="AS157" i="36"/>
  <c r="AT157" i="36" s="1"/>
  <c r="CU94" i="36"/>
  <c r="CV94" i="36" s="1"/>
  <c r="CO97" i="36"/>
  <c r="CP97" i="36" s="1"/>
  <c r="CI98" i="36"/>
  <c r="CJ98" i="36" s="1"/>
  <c r="CI93" i="36"/>
  <c r="CJ93" i="36" s="1"/>
  <c r="CC94" i="36"/>
  <c r="CD94" i="36" s="1"/>
  <c r="BW90" i="36"/>
  <c r="BX90" i="36" s="1"/>
  <c r="BQ97" i="36"/>
  <c r="BR97" i="36" s="1"/>
  <c r="BK98" i="36"/>
  <c r="BL98" i="36" s="1"/>
  <c r="BE94" i="36"/>
  <c r="BF94" i="36" s="1"/>
  <c r="AY97" i="36"/>
  <c r="AZ97" i="36" s="1"/>
  <c r="AS97" i="36"/>
  <c r="AT97" i="36" s="1"/>
  <c r="AM94" i="36"/>
  <c r="AN94" i="36" s="1"/>
  <c r="CU168" i="36"/>
  <c r="CV168" i="36" s="1"/>
  <c r="CO168" i="36"/>
  <c r="CP168" i="36" s="1"/>
  <c r="CI167" i="36"/>
  <c r="CJ167" i="36" s="1"/>
  <c r="BQ172" i="36"/>
  <c r="BR172" i="36" s="1"/>
  <c r="CO155" i="36"/>
  <c r="CP155" i="36" s="1"/>
  <c r="CO150" i="36"/>
  <c r="CP150" i="36" s="1"/>
  <c r="CI155" i="36"/>
  <c r="CJ155" i="36" s="1"/>
  <c r="CI150" i="36"/>
  <c r="CJ150" i="36" s="1"/>
  <c r="CC151" i="36"/>
  <c r="CD151" i="36" s="1"/>
  <c r="BW154" i="36"/>
  <c r="BX154" i="36" s="1"/>
  <c r="BQ155" i="36"/>
  <c r="BR155" i="36" s="1"/>
  <c r="BQ150" i="36"/>
  <c r="BR150" i="36" s="1"/>
  <c r="BK155" i="36"/>
  <c r="BL155" i="36" s="1"/>
  <c r="BK150" i="36"/>
  <c r="BL150" i="36" s="1"/>
  <c r="BE150" i="36"/>
  <c r="BF150" i="36" s="1"/>
  <c r="AY154" i="36"/>
  <c r="AZ154" i="36" s="1"/>
  <c r="CU124" i="36"/>
  <c r="CV124" i="36" s="1"/>
  <c r="CU120" i="36"/>
  <c r="CV120" i="36" s="1"/>
  <c r="CU116" i="36"/>
  <c r="CV116" i="36" s="1"/>
  <c r="CO124" i="36"/>
  <c r="CP124" i="36" s="1"/>
  <c r="CO120" i="36"/>
  <c r="CP120" i="36" s="1"/>
  <c r="CO116" i="36"/>
  <c r="CP116" i="36" s="1"/>
  <c r="CI124" i="36"/>
  <c r="CJ124" i="36" s="1"/>
  <c r="CI120" i="36"/>
  <c r="CJ120" i="36" s="1"/>
  <c r="CI116" i="36"/>
  <c r="CJ116" i="36" s="1"/>
  <c r="CC124" i="36"/>
  <c r="CD124" i="36" s="1"/>
  <c r="CC120" i="36"/>
  <c r="CD120" i="36" s="1"/>
  <c r="CC116" i="36"/>
  <c r="CD116" i="36" s="1"/>
  <c r="CI168" i="36"/>
  <c r="CJ168" i="36" s="1"/>
  <c r="CO163" i="36"/>
  <c r="CP163" i="36" s="1"/>
  <c r="BK168" i="36"/>
  <c r="BL168" i="36" s="1"/>
  <c r="CO154" i="36"/>
  <c r="CP154" i="36" s="1"/>
  <c r="CI154" i="36"/>
  <c r="CJ154" i="36" s="1"/>
  <c r="CC150" i="36"/>
  <c r="CD150" i="36" s="1"/>
  <c r="BQ154" i="36"/>
  <c r="BR154" i="36" s="1"/>
  <c r="BK154" i="36"/>
  <c r="BL154" i="36" s="1"/>
  <c r="BE154" i="36"/>
  <c r="BF154" i="36" s="1"/>
  <c r="CU123" i="36"/>
  <c r="CV123" i="36" s="1"/>
  <c r="CU119" i="36"/>
  <c r="CV119" i="36" s="1"/>
  <c r="CU115" i="36"/>
  <c r="CV115" i="36" s="1"/>
  <c r="CO123" i="36"/>
  <c r="CP123" i="36" s="1"/>
  <c r="CO119" i="36"/>
  <c r="CP119" i="36" s="1"/>
  <c r="CO115" i="36"/>
  <c r="CP115" i="36" s="1"/>
  <c r="CI123" i="36"/>
  <c r="CJ123" i="36" s="1"/>
  <c r="CI119" i="36"/>
  <c r="CJ119" i="36" s="1"/>
  <c r="CI115" i="36"/>
  <c r="CJ115" i="36" s="1"/>
  <c r="CC123" i="36"/>
  <c r="CD123" i="36" s="1"/>
  <c r="CC119" i="36"/>
  <c r="CD119" i="36" s="1"/>
  <c r="CC115" i="36"/>
  <c r="CD115" i="36" s="1"/>
  <c r="CC154" i="36"/>
  <c r="CD154" i="36" s="1"/>
  <c r="BQ158" i="36"/>
  <c r="BR158" i="36" s="1"/>
  <c r="BK158" i="36"/>
  <c r="BL158" i="36" s="1"/>
  <c r="AY150" i="36"/>
  <c r="AZ150" i="36" s="1"/>
  <c r="BW159" i="36"/>
  <c r="BX159" i="36" s="1"/>
  <c r="BW158" i="36"/>
  <c r="BX158" i="36" s="1"/>
  <c r="AY159" i="36"/>
  <c r="AZ159" i="36" s="1"/>
  <c r="AM159" i="36"/>
  <c r="AN159" i="36" s="1"/>
  <c r="CC159" i="36"/>
  <c r="CD159" i="36" s="1"/>
  <c r="CI159" i="36"/>
  <c r="CJ159" i="36" s="1"/>
  <c r="CC158" i="36"/>
  <c r="CD158" i="36" s="1"/>
  <c r="BE158" i="36"/>
  <c r="BF158" i="36" s="1"/>
  <c r="CO159" i="36"/>
  <c r="CP159" i="36" s="1"/>
  <c r="CI158" i="36"/>
  <c r="CJ158" i="36" s="1"/>
  <c r="BQ159" i="36"/>
  <c r="BR159" i="36" s="1"/>
  <c r="AY158" i="36"/>
  <c r="AZ158" i="36" s="1"/>
  <c r="BE159" i="36"/>
  <c r="BF159" i="36" s="1"/>
  <c r="AY155" i="36"/>
  <c r="AZ155" i="36" s="1"/>
  <c r="AS159" i="36"/>
  <c r="AT159" i="36" s="1"/>
  <c r="AS151" i="36"/>
  <c r="AT151" i="36" s="1"/>
  <c r="DB159" i="36"/>
  <c r="DB155" i="36"/>
  <c r="DB151" i="36"/>
  <c r="BK159" i="36"/>
  <c r="BL159" i="36" s="1"/>
  <c r="BE155" i="36"/>
  <c r="BF155" i="36" s="1"/>
  <c r="AY151" i="36"/>
  <c r="AZ151" i="36" s="1"/>
  <c r="AM155" i="36"/>
  <c r="AN155" i="36" s="1"/>
  <c r="AS160" i="36"/>
  <c r="AT160" i="36" s="1"/>
  <c r="AS156" i="36"/>
  <c r="AT156" i="36" s="1"/>
  <c r="AS152" i="36"/>
  <c r="AT152" i="36" s="1"/>
  <c r="AM160" i="36"/>
  <c r="AN160" i="36" s="1"/>
  <c r="AM156" i="36"/>
  <c r="AN156" i="36" s="1"/>
  <c r="AM152" i="36"/>
  <c r="AN152" i="36" s="1"/>
  <c r="DB160" i="36"/>
  <c r="DB156" i="36"/>
  <c r="DB152" i="36"/>
  <c r="CO160" i="36"/>
  <c r="CP160" i="36" s="1"/>
  <c r="CO156" i="36"/>
  <c r="CP156" i="36" s="1"/>
  <c r="CO152" i="36"/>
  <c r="CP152" i="36" s="1"/>
  <c r="CI160" i="36"/>
  <c r="CJ160" i="36" s="1"/>
  <c r="CI156" i="36"/>
  <c r="CJ156" i="36" s="1"/>
  <c r="CI152" i="36"/>
  <c r="CJ152" i="36" s="1"/>
  <c r="BW160" i="36"/>
  <c r="BX160" i="36" s="1"/>
  <c r="BW156" i="36"/>
  <c r="BX156" i="36" s="1"/>
  <c r="BW152" i="36"/>
  <c r="BX152" i="36" s="1"/>
  <c r="CC160" i="36"/>
  <c r="CD160" i="36" s="1"/>
  <c r="CC156" i="36"/>
  <c r="CD156" i="36" s="1"/>
  <c r="CC152" i="36"/>
  <c r="CD152" i="36" s="1"/>
  <c r="BQ160" i="36"/>
  <c r="BR160" i="36" s="1"/>
  <c r="BQ156" i="36"/>
  <c r="BR156" i="36" s="1"/>
  <c r="BQ152" i="36"/>
  <c r="BR152" i="36" s="1"/>
  <c r="BK160" i="36"/>
  <c r="BL160" i="36" s="1"/>
  <c r="BK156" i="36"/>
  <c r="BL156" i="36" s="1"/>
  <c r="BK152" i="36"/>
  <c r="BL152" i="36" s="1"/>
  <c r="BE160" i="36"/>
  <c r="BF160" i="36" s="1"/>
  <c r="BE156" i="36"/>
  <c r="BF156" i="36" s="1"/>
  <c r="BE152" i="36"/>
  <c r="BF152" i="36" s="1"/>
  <c r="AY160" i="36"/>
  <c r="AZ160" i="36" s="1"/>
  <c r="AY156" i="36"/>
  <c r="AZ156" i="36" s="1"/>
  <c r="AY152" i="36"/>
  <c r="AZ152" i="36" s="1"/>
  <c r="CI173" i="36"/>
  <c r="CJ173" i="36" s="1"/>
  <c r="CC167" i="36"/>
  <c r="CD167" i="36" s="1"/>
  <c r="AS158" i="36"/>
  <c r="AT158" i="36" s="1"/>
  <c r="AS154" i="36"/>
  <c r="AT154" i="36" s="1"/>
  <c r="AS150" i="36"/>
  <c r="AT150" i="36" s="1"/>
  <c r="AM158" i="36"/>
  <c r="AN158" i="36" s="1"/>
  <c r="AM154" i="36"/>
  <c r="AN154" i="36" s="1"/>
  <c r="AM150" i="36"/>
  <c r="AN150" i="36" s="1"/>
  <c r="DB158" i="36"/>
  <c r="DB154" i="36"/>
  <c r="DB150" i="36"/>
  <c r="CC166" i="36"/>
  <c r="CD166" i="36" s="1"/>
  <c r="BW170" i="36"/>
  <c r="BX170" i="36" s="1"/>
  <c r="CU99" i="36"/>
  <c r="CV99" i="36" s="1"/>
  <c r="CU95" i="36"/>
  <c r="CV95" i="36" s="1"/>
  <c r="CU91" i="36"/>
  <c r="CV91" i="36" s="1"/>
  <c r="CO99" i="36"/>
  <c r="CP99" i="36" s="1"/>
  <c r="CO95" i="36"/>
  <c r="CP95" i="36" s="1"/>
  <c r="CO91" i="36"/>
  <c r="CP91" i="36" s="1"/>
  <c r="CI99" i="36"/>
  <c r="CJ99" i="36" s="1"/>
  <c r="CI95" i="36"/>
  <c r="CJ95" i="36" s="1"/>
  <c r="CI91" i="36"/>
  <c r="CJ91" i="36" s="1"/>
  <c r="BK99" i="36"/>
  <c r="BL99" i="36" s="1"/>
  <c r="BK95" i="36"/>
  <c r="BL95" i="36" s="1"/>
  <c r="BK91" i="36"/>
  <c r="BL91" i="36" s="1"/>
  <c r="CC162" i="36"/>
  <c r="CD162" i="36" s="1"/>
  <c r="BW166" i="36"/>
  <c r="BX166" i="36" s="1"/>
  <c r="BW99" i="36"/>
  <c r="BX99" i="36" s="1"/>
  <c r="BW95" i="36"/>
  <c r="BX95" i="36" s="1"/>
  <c r="BW91" i="36"/>
  <c r="BX91" i="36" s="1"/>
  <c r="AS98" i="36"/>
  <c r="AT98" i="36" s="1"/>
  <c r="DB98" i="36"/>
  <c r="DB94" i="36"/>
  <c r="DB90" i="36"/>
  <c r="BW165" i="36"/>
  <c r="BX165" i="36" s="1"/>
  <c r="BK173" i="36"/>
  <c r="BL173" i="36" s="1"/>
  <c r="BK165" i="36"/>
  <c r="BL165" i="36" s="1"/>
  <c r="CU173" i="36"/>
  <c r="CV173" i="36" s="1"/>
  <c r="CU165" i="36"/>
  <c r="CV165" i="36" s="1"/>
  <c r="CO165" i="36"/>
  <c r="CP165" i="36" s="1"/>
  <c r="CI165" i="36"/>
  <c r="CJ165" i="36" s="1"/>
  <c r="BQ169" i="36"/>
  <c r="BR169" i="36" s="1"/>
  <c r="CU172" i="36"/>
  <c r="CV172" i="36" s="1"/>
  <c r="CO173" i="36"/>
  <c r="CP173" i="36" s="1"/>
  <c r="CO164" i="36"/>
  <c r="CP164" i="36" s="1"/>
  <c r="CI169" i="36"/>
  <c r="CJ169" i="36" s="1"/>
  <c r="CC173" i="36"/>
  <c r="CD173" i="36" s="1"/>
  <c r="CC165" i="36"/>
  <c r="CD165" i="36" s="1"/>
  <c r="BQ168" i="36"/>
  <c r="BR168" i="36" s="1"/>
  <c r="BK172" i="36"/>
  <c r="BL172" i="36" s="1"/>
  <c r="BK164" i="36"/>
  <c r="BL164" i="36" s="1"/>
  <c r="BE99" i="36"/>
  <c r="BF99" i="36" s="1"/>
  <c r="BE95" i="36"/>
  <c r="BF95" i="36" s="1"/>
  <c r="BE91" i="36"/>
  <c r="BF91" i="36" s="1"/>
  <c r="CU169" i="36"/>
  <c r="CV169" i="36" s="1"/>
  <c r="CO169" i="36"/>
  <c r="CP169" i="36" s="1"/>
  <c r="CC169" i="36"/>
  <c r="CD169" i="36" s="1"/>
  <c r="BW169" i="36"/>
  <c r="BX169" i="36" s="1"/>
  <c r="CC99" i="36"/>
  <c r="CD99" i="36" s="1"/>
  <c r="CC95" i="36"/>
  <c r="CD95" i="36" s="1"/>
  <c r="CC91" i="36"/>
  <c r="CD91" i="36" s="1"/>
  <c r="BQ99" i="36"/>
  <c r="BR99" i="36" s="1"/>
  <c r="BQ95" i="36"/>
  <c r="BR95" i="36" s="1"/>
  <c r="BQ91" i="36"/>
  <c r="BR91" i="36" s="1"/>
  <c r="CI171" i="36"/>
  <c r="CJ171" i="36" s="1"/>
  <c r="BQ167" i="36"/>
  <c r="BR167" i="36" s="1"/>
  <c r="CU167" i="36"/>
  <c r="CV167" i="36" s="1"/>
  <c r="CO167" i="36"/>
  <c r="CP167" i="36" s="1"/>
  <c r="CC171" i="36"/>
  <c r="CD171" i="36" s="1"/>
  <c r="BK171" i="36"/>
  <c r="BL171" i="36" s="1"/>
  <c r="BK167" i="36"/>
  <c r="BL167" i="36" s="1"/>
  <c r="BK163" i="36"/>
  <c r="BL163" i="36" s="1"/>
  <c r="CU171" i="36"/>
  <c r="CV171" i="36" s="1"/>
  <c r="CO171" i="36"/>
  <c r="CP171" i="36" s="1"/>
  <c r="CI163" i="36"/>
  <c r="CJ163" i="36" s="1"/>
  <c r="CC170" i="36"/>
  <c r="CD170" i="36" s="1"/>
  <c r="BW163" i="36"/>
  <c r="BX163" i="36" s="1"/>
  <c r="BK170" i="36"/>
  <c r="BL170" i="36" s="1"/>
  <c r="BK166" i="36"/>
  <c r="BL166" i="36" s="1"/>
  <c r="BK162" i="36"/>
  <c r="BL162" i="36" s="1"/>
  <c r="AG95" i="36"/>
  <c r="AH95" i="36" s="1"/>
  <c r="CU163" i="36"/>
  <c r="CV163" i="36" s="1"/>
  <c r="CC163" i="36"/>
  <c r="CD163" i="36" s="1"/>
  <c r="AY99" i="36"/>
  <c r="AZ99" i="36" s="1"/>
  <c r="AY95" i="36"/>
  <c r="AZ95" i="36" s="1"/>
  <c r="AY91" i="36"/>
  <c r="AZ91" i="36" s="1"/>
  <c r="AS99" i="36"/>
  <c r="AT99" i="36" s="1"/>
  <c r="AS95" i="36"/>
  <c r="AT95" i="36" s="1"/>
  <c r="AS91" i="36"/>
  <c r="AT91" i="36" s="1"/>
  <c r="AH91" i="36"/>
  <c r="AM91" i="36"/>
  <c r="AN91" i="36" s="1"/>
  <c r="DB99" i="36"/>
  <c r="DB95" i="36"/>
  <c r="DB91" i="36"/>
  <c r="AG99" i="36"/>
  <c r="BQ164" i="36"/>
  <c r="BR164" i="36" s="1"/>
  <c r="AH100" i="36"/>
  <c r="AH96" i="36"/>
  <c r="AH92" i="36"/>
  <c r="AM100" i="36"/>
  <c r="AN100" i="36" s="1"/>
  <c r="AM96" i="36"/>
  <c r="AN96" i="36" s="1"/>
  <c r="AM92" i="36"/>
  <c r="AN92" i="36" s="1"/>
  <c r="DB100" i="36"/>
  <c r="CU164" i="36"/>
  <c r="CV164" i="36" s="1"/>
  <c r="CO172" i="36"/>
  <c r="CP172" i="36" s="1"/>
  <c r="CI164" i="36"/>
  <c r="CJ164" i="36" s="1"/>
  <c r="CC172" i="36"/>
  <c r="CD172" i="36" s="1"/>
  <c r="CC168" i="36"/>
  <c r="CD168" i="36" s="1"/>
  <c r="CC164" i="36"/>
  <c r="CD164" i="36" s="1"/>
  <c r="CV155" i="36"/>
  <c r="CV154" i="36"/>
  <c r="CV158" i="36"/>
  <c r="CV150" i="36"/>
  <c r="CU170" i="36"/>
  <c r="CV170" i="36" s="1"/>
  <c r="CU166" i="36"/>
  <c r="CV166" i="36" s="1"/>
  <c r="CU162" i="36"/>
  <c r="CV162" i="36" s="1"/>
  <c r="CO170" i="36"/>
  <c r="CP170" i="36" s="1"/>
  <c r="CO166" i="36"/>
  <c r="CP166" i="36" s="1"/>
  <c r="CO162" i="36"/>
  <c r="CP162" i="36" s="1"/>
  <c r="CI170" i="36"/>
  <c r="CJ170" i="36" s="1"/>
  <c r="CI166" i="36"/>
  <c r="CJ166" i="36" s="1"/>
  <c r="CI162" i="36"/>
  <c r="CJ162" i="36" s="1"/>
  <c r="Z91" i="36"/>
  <c r="AB90" i="36"/>
  <c r="BB5" i="36"/>
  <c r="CD195" i="36" l="1"/>
  <c r="DC130" i="36"/>
  <c r="DF130" i="36" s="1"/>
  <c r="DC139" i="36"/>
  <c r="DF139" i="36" s="1"/>
  <c r="DC140" i="36"/>
  <c r="DF140" i="36" s="1"/>
  <c r="DC126" i="36"/>
  <c r="DF126" i="36" s="1"/>
  <c r="DC144" i="36"/>
  <c r="DF144" i="36" s="1"/>
  <c r="DC129" i="36"/>
  <c r="DF129" i="36" s="1"/>
  <c r="DC133" i="36"/>
  <c r="DF133" i="36" s="1"/>
  <c r="DC128" i="36"/>
  <c r="DF128" i="36" s="1"/>
  <c r="DC137" i="36"/>
  <c r="DF137" i="36" s="1"/>
  <c r="DC134" i="36"/>
  <c r="DF134" i="36" s="1"/>
  <c r="DC127" i="36"/>
  <c r="DF127" i="36" s="1"/>
  <c r="DC148" i="36"/>
  <c r="DF148" i="36" s="1"/>
  <c r="DC132" i="36"/>
  <c r="DF132" i="36" s="1"/>
  <c r="DC136" i="36"/>
  <c r="DF136" i="36" s="1"/>
  <c r="DC143" i="36"/>
  <c r="DF143" i="36" s="1"/>
  <c r="DC135" i="36"/>
  <c r="DF135" i="36" s="1"/>
  <c r="DC145" i="36"/>
  <c r="DF145" i="36" s="1"/>
  <c r="DC131" i="36"/>
  <c r="DF131" i="36" s="1"/>
  <c r="DC149" i="36"/>
  <c r="DF149" i="36" s="1"/>
  <c r="DC147" i="36"/>
  <c r="DF147" i="36" s="1"/>
  <c r="DC146" i="36"/>
  <c r="DF146" i="36" s="1"/>
  <c r="DC142" i="36"/>
  <c r="DF142" i="36" s="1"/>
  <c r="DC141" i="36"/>
  <c r="DF141" i="36" s="1"/>
  <c r="DC138" i="36"/>
  <c r="DF138" i="36" s="1"/>
  <c r="DC113" i="36"/>
  <c r="DF113" i="36" s="1"/>
  <c r="DC106" i="36"/>
  <c r="DF106" i="36" s="1"/>
  <c r="DC118" i="36"/>
  <c r="DF118" i="36" s="1"/>
  <c r="DC109" i="36"/>
  <c r="DF109" i="36" s="1"/>
  <c r="DC105" i="36"/>
  <c r="DF105" i="36" s="1"/>
  <c r="DC110" i="36"/>
  <c r="DF110" i="36" s="1"/>
  <c r="DC117" i="36"/>
  <c r="DF117" i="36" s="1"/>
  <c r="DC104" i="36"/>
  <c r="DF104" i="36" s="1"/>
  <c r="DC108" i="36"/>
  <c r="DF108" i="36" s="1"/>
  <c r="DC111" i="36"/>
  <c r="DF111" i="36" s="1"/>
  <c r="DC121" i="36"/>
  <c r="DF121" i="36" s="1"/>
  <c r="DC112" i="36"/>
  <c r="DF112" i="36" s="1"/>
  <c r="DC102" i="36"/>
  <c r="DF102" i="36" s="1"/>
  <c r="DC125" i="36"/>
  <c r="DF125" i="36" s="1"/>
  <c r="DC107" i="36"/>
  <c r="DF107" i="36" s="1"/>
  <c r="DC103" i="36"/>
  <c r="DF103" i="36" s="1"/>
  <c r="DC98" i="36"/>
  <c r="DF98" i="36" s="1"/>
  <c r="DC115" i="36"/>
  <c r="DF115" i="36" s="1"/>
  <c r="DC122" i="36"/>
  <c r="DF122" i="36" s="1"/>
  <c r="DC157" i="36"/>
  <c r="DF157" i="36" s="1"/>
  <c r="DC161" i="36"/>
  <c r="DF161" i="36" s="1"/>
  <c r="DC97" i="36"/>
  <c r="DF97" i="36" s="1"/>
  <c r="DC90" i="36"/>
  <c r="DF90" i="36" s="1"/>
  <c r="DC93" i="36"/>
  <c r="DF93" i="36" s="1"/>
  <c r="DC124" i="36"/>
  <c r="DF124" i="36" s="1"/>
  <c r="DC153" i="36"/>
  <c r="DF153" i="36" s="1"/>
  <c r="DC114" i="36"/>
  <c r="DF114" i="36" s="1"/>
  <c r="DC101" i="36"/>
  <c r="DF101" i="36" s="1"/>
  <c r="DC94" i="36"/>
  <c r="DF94" i="36" s="1"/>
  <c r="DC119" i="36"/>
  <c r="DF119" i="36" s="1"/>
  <c r="DC116" i="36"/>
  <c r="DF116" i="36" s="1"/>
  <c r="DC123" i="36"/>
  <c r="DF123" i="36" s="1"/>
  <c r="DC155" i="36"/>
  <c r="DF155" i="36" s="1"/>
  <c r="DC120" i="36"/>
  <c r="DF120" i="36" s="1"/>
  <c r="DC158" i="36"/>
  <c r="DF158" i="36" s="1"/>
  <c r="DC151" i="36"/>
  <c r="DF151" i="36" s="1"/>
  <c r="DC159" i="36"/>
  <c r="DF159" i="36" s="1"/>
  <c r="DC150" i="36"/>
  <c r="DF150" i="36" s="1"/>
  <c r="DC154" i="36"/>
  <c r="DF154" i="36" s="1"/>
  <c r="DC152" i="36"/>
  <c r="DF152" i="36" s="1"/>
  <c r="DC156" i="36"/>
  <c r="DF156" i="36" s="1"/>
  <c r="DC160" i="36"/>
  <c r="DF160" i="36" s="1"/>
  <c r="DC165" i="36"/>
  <c r="DF165" i="36" s="1"/>
  <c r="DC169" i="36"/>
  <c r="DF169" i="36" s="1"/>
  <c r="DC167" i="36"/>
  <c r="DF167" i="36" s="1"/>
  <c r="DC173" i="36"/>
  <c r="DF173" i="36" s="1"/>
  <c r="DC171" i="36"/>
  <c r="DF171" i="36" s="1"/>
  <c r="DC163" i="36"/>
  <c r="DF163" i="36" s="1"/>
  <c r="DC168" i="36"/>
  <c r="DF168" i="36" s="1"/>
  <c r="DC95" i="36"/>
  <c r="DF95" i="36" s="1"/>
  <c r="DC172" i="36"/>
  <c r="DF172" i="36" s="1"/>
  <c r="DC99" i="36"/>
  <c r="DF99" i="36" s="1"/>
  <c r="AH99" i="36"/>
  <c r="DC91" i="36"/>
  <c r="DF91" i="36" s="1"/>
  <c r="DC164" i="36"/>
  <c r="DF164" i="36" s="1"/>
  <c r="DC96" i="36"/>
  <c r="DF96" i="36" s="1"/>
  <c r="DC92" i="36"/>
  <c r="DF92" i="36" s="1"/>
  <c r="DC100" i="36"/>
  <c r="DF100" i="36" s="1"/>
  <c r="DC166" i="36"/>
  <c r="DF166" i="36" s="1"/>
  <c r="DC170" i="36"/>
  <c r="DF170" i="36" s="1"/>
  <c r="DC162" i="36"/>
  <c r="DF162" i="36" s="1"/>
  <c r="K18" i="33" l="1"/>
  <c r="BO8" i="15" l="1"/>
  <c r="BP8" i="15" l="1"/>
  <c r="BY8" i="15" s="1"/>
  <c r="DN8" i="15"/>
  <c r="DQ8" i="15" s="1"/>
  <c r="K25" i="33"/>
  <c r="K31" i="33"/>
  <c r="K32" i="33"/>
  <c r="K37" i="33"/>
  <c r="K38" i="33"/>
  <c r="K39" i="33"/>
  <c r="K40" i="33"/>
  <c r="K41" i="33"/>
  <c r="K42" i="33"/>
  <c r="K44" i="33"/>
  <c r="K46" i="33"/>
  <c r="K47" i="33"/>
  <c r="K48" i="33"/>
  <c r="K49" i="33"/>
  <c r="K52" i="33"/>
  <c r="K33" i="33"/>
  <c r="K34" i="33"/>
  <c r="K54" i="33"/>
  <c r="K55" i="33"/>
  <c r="K57" i="33"/>
  <c r="K58" i="33"/>
  <c r="AW66" i="36" l="1"/>
  <c r="I5" i="45" l="1"/>
  <c r="Y33" i="36" l="1"/>
  <c r="AH53" i="36" l="1"/>
  <c r="AE195" i="36" l="1"/>
  <c r="AF195" i="36"/>
  <c r="AI195" i="36"/>
  <c r="AL195" i="36"/>
  <c r="AO195" i="36"/>
  <c r="AQ195" i="36"/>
  <c r="AR195" i="36"/>
  <c r="AU195" i="36"/>
  <c r="AW195" i="36"/>
  <c r="AX195" i="36"/>
  <c r="BA195" i="36"/>
  <c r="BC195" i="36"/>
  <c r="BD195" i="36"/>
  <c r="BG195" i="36"/>
  <c r="BI195" i="36"/>
  <c r="BJ195" i="36"/>
  <c r="BM195" i="36"/>
  <c r="BO195" i="36"/>
  <c r="BP195" i="36"/>
  <c r="BS195" i="36"/>
  <c r="BU195" i="36"/>
  <c r="BV195" i="36"/>
  <c r="BY195" i="36"/>
  <c r="CA195" i="36"/>
  <c r="CB195" i="36"/>
  <c r="CE195" i="36"/>
  <c r="CG195" i="36"/>
  <c r="CH195" i="36"/>
  <c r="CK195" i="36"/>
  <c r="CM195" i="36"/>
  <c r="CN195" i="36"/>
  <c r="CQ195" i="36"/>
  <c r="CS195" i="36"/>
  <c r="CT195" i="36"/>
  <c r="CW195" i="36"/>
  <c r="BO39" i="15" l="1"/>
  <c r="BP39" i="15" s="1"/>
  <c r="BY39" i="15" l="1"/>
  <c r="BO11" i="15"/>
  <c r="BP11" i="15" l="1"/>
  <c r="DN11" i="15"/>
  <c r="DQ11" i="15" s="1"/>
  <c r="AK193" i="36"/>
  <c r="AK192" i="36"/>
  <c r="AK191" i="36"/>
  <c r="AK190" i="36"/>
  <c r="AK189" i="36"/>
  <c r="AK188" i="36"/>
  <c r="AK187" i="36"/>
  <c r="AK186" i="36"/>
  <c r="AK185" i="36"/>
  <c r="AK184" i="36"/>
  <c r="AK183" i="36"/>
  <c r="AK182" i="36"/>
  <c r="AK181" i="36"/>
  <c r="AK180" i="36"/>
  <c r="AK179" i="36"/>
  <c r="AK178" i="36"/>
  <c r="AK177" i="36"/>
  <c r="AK176" i="36"/>
  <c r="AK175" i="36"/>
  <c r="AK174" i="36"/>
  <c r="AK89" i="36"/>
  <c r="AK88" i="36"/>
  <c r="AK87" i="36"/>
  <c r="AK86" i="36"/>
  <c r="AK85" i="36"/>
  <c r="AK84" i="36"/>
  <c r="AK83" i="36"/>
  <c r="AK82" i="36"/>
  <c r="AK81" i="36"/>
  <c r="AK80" i="36"/>
  <c r="AK79" i="36"/>
  <c r="AK78" i="36"/>
  <c r="AK77" i="36"/>
  <c r="AK76" i="36"/>
  <c r="AK75" i="36"/>
  <c r="AK74" i="36"/>
  <c r="AK73" i="36"/>
  <c r="AK72" i="36"/>
  <c r="AK71" i="36"/>
  <c r="AK70" i="36"/>
  <c r="AK69" i="36"/>
  <c r="AK68" i="36"/>
  <c r="AK67" i="36"/>
  <c r="AK66" i="36"/>
  <c r="AK65" i="36"/>
  <c r="AK64" i="36"/>
  <c r="AK63" i="36"/>
  <c r="AK62" i="36"/>
  <c r="AK61" i="36"/>
  <c r="AK60" i="36"/>
  <c r="AK59" i="36"/>
  <c r="AK58" i="36"/>
  <c r="AK57" i="36"/>
  <c r="AK56" i="36"/>
  <c r="AK55" i="36"/>
  <c r="AK54" i="36"/>
  <c r="AK53" i="36"/>
  <c r="AK52" i="36"/>
  <c r="AK51" i="36"/>
  <c r="AK50" i="36"/>
  <c r="AK49" i="36"/>
  <c r="AK48" i="36"/>
  <c r="AK47" i="36"/>
  <c r="AK46" i="36"/>
  <c r="AK45" i="36"/>
  <c r="AK44" i="36"/>
  <c r="AK43" i="36"/>
  <c r="AK42" i="36"/>
  <c r="AK41" i="36"/>
  <c r="AK40" i="36"/>
  <c r="AK39" i="36"/>
  <c r="AK38" i="36"/>
  <c r="AK37" i="36"/>
  <c r="AK36" i="36"/>
  <c r="AK35" i="36"/>
  <c r="AK34" i="36"/>
  <c r="AK33" i="36"/>
  <c r="AK32" i="36"/>
  <c r="AK31" i="36"/>
  <c r="AK30" i="36"/>
  <c r="AK29" i="36"/>
  <c r="AK28" i="36"/>
  <c r="AK27" i="36"/>
  <c r="AK26" i="36"/>
  <c r="AK25" i="36"/>
  <c r="AK24" i="36"/>
  <c r="AK23" i="36"/>
  <c r="AK22" i="36"/>
  <c r="AK21" i="36"/>
  <c r="AK20" i="36"/>
  <c r="AK19" i="36"/>
  <c r="AK18" i="36"/>
  <c r="AK17" i="36"/>
  <c r="AK16" i="36"/>
  <c r="AK15" i="36"/>
  <c r="AK14" i="36"/>
  <c r="AK13" i="36"/>
  <c r="AK12" i="36"/>
  <c r="AK11" i="36"/>
  <c r="AK10" i="36"/>
  <c r="AK9" i="36"/>
  <c r="AK8" i="36"/>
  <c r="AK7" i="36"/>
  <c r="AK6" i="36"/>
  <c r="AK5" i="36"/>
  <c r="AK195" i="36" l="1"/>
  <c r="BO9" i="15" l="1"/>
  <c r="BP9" i="15" l="1"/>
  <c r="BY9" i="15" s="1"/>
  <c r="DN9" i="15"/>
  <c r="DQ9" i="15" s="1"/>
  <c r="BO18" i="15"/>
  <c r="BP18" i="15" l="1"/>
  <c r="BY18" i="15" s="1"/>
  <c r="DN18" i="15"/>
  <c r="DQ18" i="15" s="1"/>
  <c r="BO6" i="15"/>
  <c r="BO7" i="15"/>
  <c r="BO10" i="15"/>
  <c r="BO12" i="15"/>
  <c r="BO13" i="15"/>
  <c r="BO14" i="15"/>
  <c r="BO15" i="15"/>
  <c r="BO17" i="15"/>
  <c r="BO19" i="15"/>
  <c r="BO20" i="15"/>
  <c r="BO21" i="15"/>
  <c r="BO22" i="15"/>
  <c r="BO23" i="15"/>
  <c r="BO24" i="15"/>
  <c r="BO26" i="15"/>
  <c r="BO27" i="15"/>
  <c r="BO28" i="15"/>
  <c r="BO29" i="15"/>
  <c r="BO30" i="15"/>
  <c r="BO31" i="15"/>
  <c r="BO32" i="15"/>
  <c r="BP32" i="15" s="1"/>
  <c r="BO34" i="15"/>
  <c r="BO35" i="15"/>
  <c r="BP35" i="15" s="1"/>
  <c r="BO36" i="15"/>
  <c r="BP36" i="15" s="1"/>
  <c r="BO37" i="15"/>
  <c r="BP37" i="15" s="1"/>
  <c r="BO38" i="15"/>
  <c r="BP38" i="15" s="1"/>
  <c r="BO40" i="15"/>
  <c r="BP40" i="15" s="1"/>
  <c r="BO41" i="15"/>
  <c r="BP41" i="15" s="1"/>
  <c r="BO42" i="15"/>
  <c r="BP42" i="15" s="1"/>
  <c r="BO43" i="15"/>
  <c r="BP43" i="15" s="1"/>
  <c r="BO44" i="15"/>
  <c r="BP44" i="15" s="1"/>
  <c r="BO45" i="15"/>
  <c r="BP45" i="15" s="1"/>
  <c r="BO46" i="15"/>
  <c r="BP46" i="15" s="1"/>
  <c r="BO47" i="15"/>
  <c r="BO48" i="15"/>
  <c r="BO49" i="15"/>
  <c r="BP30" i="15" l="1"/>
  <c r="BY30" i="15" s="1"/>
  <c r="DN30" i="15"/>
  <c r="DQ30" i="15" s="1"/>
  <c r="BP17" i="15"/>
  <c r="BY17" i="15" s="1"/>
  <c r="DN17" i="15"/>
  <c r="DQ17" i="15" s="1"/>
  <c r="BP13" i="15"/>
  <c r="DN13" i="15"/>
  <c r="DQ13" i="15" s="1"/>
  <c r="BP6" i="15"/>
  <c r="DN6" i="15"/>
  <c r="DQ6" i="15" s="1"/>
  <c r="BP48" i="15"/>
  <c r="BY48" i="15" s="1"/>
  <c r="DN48" i="15"/>
  <c r="DQ48" i="15" s="1"/>
  <c r="BP26" i="15"/>
  <c r="BY26" i="15" s="1"/>
  <c r="DN26" i="15"/>
  <c r="DQ26" i="15" s="1"/>
  <c r="BP21" i="15"/>
  <c r="DN21" i="15"/>
  <c r="DQ21" i="15" s="1"/>
  <c r="BP12" i="15"/>
  <c r="DN12" i="15"/>
  <c r="DQ12" i="15" s="1"/>
  <c r="BP22" i="15"/>
  <c r="DN22" i="15"/>
  <c r="DQ22" i="15" s="1"/>
  <c r="BP47" i="15"/>
  <c r="BY47" i="15" s="1"/>
  <c r="DN47" i="15"/>
  <c r="DQ47" i="15" s="1"/>
  <c r="BP34" i="15"/>
  <c r="DN34" i="15"/>
  <c r="DQ34" i="15" s="1"/>
  <c r="BP29" i="15"/>
  <c r="BY29" i="15" s="1"/>
  <c r="DN29" i="15"/>
  <c r="DQ29" i="15" s="1"/>
  <c r="BP24" i="15"/>
  <c r="BY24" i="15" s="1"/>
  <c r="DN24" i="15"/>
  <c r="DQ24" i="15" s="1"/>
  <c r="BP20" i="15"/>
  <c r="BY20" i="15" s="1"/>
  <c r="DN20" i="15"/>
  <c r="DQ20" i="15" s="1"/>
  <c r="BP15" i="15"/>
  <c r="BY15" i="15" s="1"/>
  <c r="DN15" i="15"/>
  <c r="DQ15" i="15" s="1"/>
  <c r="BP10" i="15"/>
  <c r="BY10" i="15" s="1"/>
  <c r="DN10" i="15"/>
  <c r="DQ10" i="15" s="1"/>
  <c r="BP31" i="15"/>
  <c r="BY31" i="15" s="1"/>
  <c r="DN31" i="15"/>
  <c r="DQ31" i="15" s="1"/>
  <c r="BP27" i="15"/>
  <c r="BY27" i="15" s="1"/>
  <c r="DN27" i="15"/>
  <c r="DQ27" i="15" s="1"/>
  <c r="BP49" i="15"/>
  <c r="BY49" i="15" s="1"/>
  <c r="DN49" i="15"/>
  <c r="DQ49" i="15" s="1"/>
  <c r="BP28" i="15"/>
  <c r="BY28" i="15" s="1"/>
  <c r="DN28" i="15"/>
  <c r="DQ28" i="15" s="1"/>
  <c r="BP23" i="15"/>
  <c r="BY23" i="15" s="1"/>
  <c r="DN23" i="15"/>
  <c r="DQ23" i="15" s="1"/>
  <c r="BP19" i="15"/>
  <c r="BY19" i="15" s="1"/>
  <c r="DN19" i="15"/>
  <c r="DQ19" i="15" s="1"/>
  <c r="BP14" i="15"/>
  <c r="BY14" i="15" s="1"/>
  <c r="DN14" i="15"/>
  <c r="DQ14" i="15" s="1"/>
  <c r="BP7" i="15"/>
  <c r="BY7" i="15" s="1"/>
  <c r="DN7" i="15"/>
  <c r="DQ7" i="15" s="1"/>
  <c r="BY44" i="15"/>
  <c r="BY40" i="15"/>
  <c r="BY35" i="15"/>
  <c r="BY21" i="15"/>
  <c r="BY43" i="15"/>
  <c r="BY38" i="15"/>
  <c r="BY34" i="15"/>
  <c r="BY46" i="15"/>
  <c r="BY42" i="15"/>
  <c r="BY37" i="15"/>
  <c r="BY32" i="15"/>
  <c r="BY45" i="15"/>
  <c r="BY41" i="15"/>
  <c r="BY36" i="15"/>
  <c r="BY22" i="15"/>
  <c r="BY6" i="15"/>
  <c r="D21" i="44"/>
  <c r="E21" i="44"/>
  <c r="F21" i="44"/>
  <c r="D22" i="44"/>
  <c r="E22" i="44"/>
  <c r="F22" i="44"/>
  <c r="D23" i="44"/>
  <c r="E23" i="44"/>
  <c r="F23" i="44"/>
  <c r="D24" i="44"/>
  <c r="E24" i="44"/>
  <c r="F24" i="44"/>
  <c r="D25" i="44"/>
  <c r="E25" i="44"/>
  <c r="F25" i="44"/>
  <c r="D26" i="44"/>
  <c r="E26" i="44"/>
  <c r="F26" i="44"/>
  <c r="D27" i="44"/>
  <c r="E27" i="44"/>
  <c r="F27" i="44"/>
  <c r="D28" i="44"/>
  <c r="E28" i="44"/>
  <c r="F28" i="44"/>
  <c r="D29" i="44"/>
  <c r="E29" i="44"/>
  <c r="F29" i="44"/>
  <c r="D30" i="44"/>
  <c r="E30" i="44"/>
  <c r="F30" i="44"/>
  <c r="D31" i="44"/>
  <c r="E31" i="44"/>
  <c r="F31" i="44"/>
  <c r="D32" i="44"/>
  <c r="E32" i="44"/>
  <c r="F32" i="44"/>
  <c r="D33" i="44"/>
  <c r="E33" i="44"/>
  <c r="F33" i="44"/>
  <c r="D34" i="44"/>
  <c r="E34" i="44"/>
  <c r="F34" i="44"/>
  <c r="D35" i="44"/>
  <c r="E35" i="44"/>
  <c r="F35" i="44"/>
  <c r="D36" i="44"/>
  <c r="E36" i="44"/>
  <c r="F36" i="44"/>
  <c r="D37" i="44"/>
  <c r="E37" i="44"/>
  <c r="F37" i="44"/>
  <c r="D38" i="44"/>
  <c r="E38" i="44"/>
  <c r="F38" i="44"/>
  <c r="D39" i="44"/>
  <c r="E39" i="44"/>
  <c r="F39" i="44"/>
  <c r="D40" i="44"/>
  <c r="E40" i="44"/>
  <c r="F40" i="44"/>
  <c r="D41" i="44"/>
  <c r="E41" i="44"/>
  <c r="F41" i="44"/>
  <c r="D42" i="44"/>
  <c r="E42" i="44"/>
  <c r="F42" i="44"/>
  <c r="D43" i="44"/>
  <c r="E43" i="44"/>
  <c r="F43" i="44"/>
  <c r="D44" i="44"/>
  <c r="E44" i="44"/>
  <c r="F44" i="44"/>
  <c r="D45" i="44"/>
  <c r="E45" i="44"/>
  <c r="F45" i="44"/>
  <c r="D46" i="44"/>
  <c r="E46" i="44"/>
  <c r="F46" i="44"/>
  <c r="D47" i="44"/>
  <c r="E47" i="44"/>
  <c r="F47" i="44"/>
  <c r="D48" i="44"/>
  <c r="E48" i="44"/>
  <c r="F48" i="44"/>
  <c r="D49" i="44"/>
  <c r="E49" i="44"/>
  <c r="F49" i="44"/>
  <c r="D50" i="44"/>
  <c r="E50" i="44"/>
  <c r="F50" i="44"/>
  <c r="D51" i="44"/>
  <c r="E51" i="44"/>
  <c r="F51" i="44"/>
  <c r="F20" i="44"/>
  <c r="E20" i="44"/>
  <c r="D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33" i="44"/>
  <c r="C34" i="44"/>
  <c r="C35" i="44"/>
  <c r="C36" i="44"/>
  <c r="C37" i="44"/>
  <c r="C38" i="44"/>
  <c r="C39" i="44"/>
  <c r="C40" i="44"/>
  <c r="C41" i="44"/>
  <c r="C42" i="44"/>
  <c r="C43" i="44"/>
  <c r="C44" i="44"/>
  <c r="C45" i="44"/>
  <c r="C46" i="44"/>
  <c r="C47" i="44"/>
  <c r="C48" i="44"/>
  <c r="C49" i="44"/>
  <c r="C50" i="44"/>
  <c r="C51" i="44"/>
  <c r="C20" i="44"/>
  <c r="B21" i="44"/>
  <c r="B22" i="44"/>
  <c r="B23" i="44"/>
  <c r="B24" i="44"/>
  <c r="B25" i="44"/>
  <c r="B26" i="44"/>
  <c r="B27" i="44"/>
  <c r="B28" i="44"/>
  <c r="B29" i="44"/>
  <c r="B30" i="44"/>
  <c r="B31" i="44"/>
  <c r="B32" i="44"/>
  <c r="B33" i="44"/>
  <c r="B34" i="44"/>
  <c r="B35" i="44"/>
  <c r="B36" i="44"/>
  <c r="B37" i="44"/>
  <c r="B38" i="44"/>
  <c r="B39" i="44"/>
  <c r="B40" i="44"/>
  <c r="B41" i="44"/>
  <c r="B42" i="44"/>
  <c r="B43" i="44"/>
  <c r="B44" i="44"/>
  <c r="B45" i="44"/>
  <c r="B46" i="44"/>
  <c r="B47" i="44"/>
  <c r="B48" i="44"/>
  <c r="B49" i="44"/>
  <c r="B50" i="44"/>
  <c r="B51" i="44"/>
  <c r="B20" i="44"/>
  <c r="D3" i="31"/>
  <c r="L16" i="33" s="1"/>
  <c r="H50" i="44"/>
  <c r="G24" i="44"/>
  <c r="G28" i="44"/>
  <c r="G20" i="44"/>
  <c r="G36" i="44"/>
  <c r="H37" i="44"/>
  <c r="H21" i="44"/>
  <c r="H46" i="44"/>
  <c r="G27" i="44"/>
  <c r="H28" i="44"/>
  <c r="H43" i="44"/>
  <c r="G51" i="44"/>
  <c r="H47" i="44"/>
  <c r="G42" i="44"/>
  <c r="H42" i="44"/>
  <c r="G48" i="44"/>
  <c r="H25" i="44"/>
  <c r="G39" i="44"/>
  <c r="H38" i="44"/>
  <c r="G43" i="44"/>
  <c r="G50" i="44"/>
  <c r="G47" i="44"/>
  <c r="H33" i="44"/>
  <c r="H23" i="44"/>
  <c r="H51" i="44"/>
  <c r="G23" i="44"/>
  <c r="H24" i="44"/>
  <c r="H32" i="44"/>
  <c r="G35" i="44"/>
  <c r="H45" i="44"/>
  <c r="G34" i="44"/>
  <c r="G31" i="44"/>
  <c r="H48" i="44"/>
  <c r="H41" i="44"/>
  <c r="H35" i="44"/>
  <c r="H40" i="44"/>
  <c r="H31" i="44"/>
  <c r="H49" i="44"/>
  <c r="H34" i="44"/>
  <c r="G38" i="44"/>
  <c r="G26" i="44"/>
  <c r="H36" i="44"/>
  <c r="H44" i="44"/>
  <c r="H29" i="44"/>
  <c r="G46" i="44"/>
  <c r="G32" i="44"/>
  <c r="H22" i="44"/>
  <c r="G30" i="44"/>
  <c r="G22" i="44"/>
  <c r="G21" i="44"/>
  <c r="G45" i="44"/>
  <c r="G29" i="44"/>
  <c r="G33" i="44"/>
  <c r="H20" i="44"/>
  <c r="G40" i="44"/>
  <c r="H27" i="44"/>
  <c r="H39" i="44"/>
  <c r="G25" i="44"/>
  <c r="G41" i="44"/>
  <c r="G49" i="44"/>
  <c r="H30" i="44"/>
  <c r="G44" i="44"/>
  <c r="G37" i="44"/>
  <c r="H26" i="44"/>
  <c r="A5" i="41" l="1"/>
  <c r="A10" i="41"/>
  <c r="E10" i="41" s="1"/>
  <c r="A9" i="41"/>
  <c r="E9" i="41" s="1"/>
  <c r="A8" i="41"/>
  <c r="D8" i="41" s="1"/>
  <c r="F8" i="41" s="1"/>
  <c r="A7" i="41"/>
  <c r="D7" i="41" s="1"/>
  <c r="F7" i="41" s="1"/>
  <c r="A6" i="41"/>
  <c r="E6" i="41" s="1"/>
  <c r="E8" i="41" l="1"/>
  <c r="G8" i="41" s="1"/>
  <c r="D9" i="41"/>
  <c r="F9" i="41" s="1"/>
  <c r="G9" i="41" s="1"/>
  <c r="D10" i="41"/>
  <c r="F10" i="41" s="1"/>
  <c r="G10" i="41" s="1"/>
  <c r="D6" i="41"/>
  <c r="F6" i="41" s="1"/>
  <c r="G6" i="41" s="1"/>
  <c r="E7" i="41"/>
  <c r="G7" i="41" s="1"/>
  <c r="BB6" i="36"/>
  <c r="BB7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B39" i="36"/>
  <c r="BB40" i="36"/>
  <c r="BB41" i="36"/>
  <c r="BB42" i="36"/>
  <c r="BB43" i="36"/>
  <c r="BB44" i="36"/>
  <c r="BB45" i="36"/>
  <c r="BB46" i="36"/>
  <c r="BB47" i="36"/>
  <c r="BB48" i="36"/>
  <c r="BB49" i="36"/>
  <c r="BB50" i="36"/>
  <c r="BB51" i="36"/>
  <c r="BB52" i="36"/>
  <c r="BB53" i="36"/>
  <c r="BB54" i="36"/>
  <c r="BB55" i="36"/>
  <c r="BB56" i="36"/>
  <c r="BB57" i="36"/>
  <c r="BB58" i="36"/>
  <c r="BB59" i="36"/>
  <c r="BB60" i="36"/>
  <c r="BB61" i="36"/>
  <c r="BB62" i="36"/>
  <c r="BB63" i="36"/>
  <c r="BB64" i="36"/>
  <c r="BB65" i="36"/>
  <c r="BB66" i="36"/>
  <c r="BB67" i="36"/>
  <c r="BB68" i="36"/>
  <c r="BB69" i="36"/>
  <c r="BB70" i="36"/>
  <c r="BB71" i="36"/>
  <c r="BB72" i="36"/>
  <c r="BB73" i="36"/>
  <c r="BB74" i="36"/>
  <c r="BB75" i="36"/>
  <c r="BB76" i="36"/>
  <c r="BB77" i="36"/>
  <c r="BB78" i="36"/>
  <c r="BB79" i="36"/>
  <c r="BB80" i="36"/>
  <c r="BB81" i="36"/>
  <c r="BB82" i="36"/>
  <c r="BB83" i="36"/>
  <c r="BB84" i="36"/>
  <c r="BB85" i="36"/>
  <c r="BB86" i="36"/>
  <c r="BB87" i="36"/>
  <c r="BB88" i="36"/>
  <c r="BB89" i="36"/>
  <c r="BB174" i="36"/>
  <c r="BB175" i="36"/>
  <c r="BB176" i="36"/>
  <c r="BB177" i="36"/>
  <c r="BB178" i="36"/>
  <c r="BB179" i="36"/>
  <c r="BB180" i="36"/>
  <c r="BB181" i="36"/>
  <c r="BB182" i="36"/>
  <c r="BB183" i="36"/>
  <c r="BB184" i="36"/>
  <c r="BB185" i="36"/>
  <c r="BB186" i="36"/>
  <c r="BB187" i="36"/>
  <c r="BB188" i="36"/>
  <c r="BB189" i="36"/>
  <c r="BB190" i="36"/>
  <c r="BB191" i="36"/>
  <c r="BB192" i="36"/>
  <c r="BB193" i="36"/>
  <c r="CR5" i="36"/>
  <c r="BB195" i="36" l="1"/>
  <c r="K19" i="33"/>
  <c r="K20" i="33"/>
  <c r="K22" i="33"/>
  <c r="K24" i="33"/>
  <c r="I6" i="38"/>
  <c r="K67" i="33" l="1"/>
  <c r="BZ3" i="15"/>
  <c r="BY3" i="15"/>
  <c r="BX3" i="15"/>
  <c r="BW3" i="15"/>
  <c r="BV3" i="15"/>
  <c r="BU3" i="15"/>
  <c r="BT3" i="15"/>
  <c r="BS3" i="15"/>
  <c r="BR3" i="15"/>
  <c r="BQ3" i="15"/>
  <c r="BP3" i="15"/>
  <c r="BO3" i="15"/>
  <c r="CO25" i="15" l="1"/>
  <c r="CO16" i="15"/>
  <c r="CS16" i="15"/>
  <c r="CS25" i="15"/>
  <c r="CP25" i="15"/>
  <c r="CP16" i="15"/>
  <c r="CT16" i="15"/>
  <c r="CT25" i="15"/>
  <c r="CX25" i="15"/>
  <c r="CX16" i="15"/>
  <c r="CY16" i="15"/>
  <c r="CY25" i="15"/>
  <c r="CZ16" i="15"/>
  <c r="CZ25" i="15"/>
  <c r="CQ16" i="15"/>
  <c r="CQ25" i="15"/>
  <c r="CU16" i="15"/>
  <c r="CU25" i="15"/>
  <c r="CR16" i="15"/>
  <c r="CR25" i="15"/>
  <c r="CV16" i="15"/>
  <c r="CV25" i="15"/>
  <c r="CW16" i="15"/>
  <c r="CW25" i="15"/>
  <c r="CP11" i="15"/>
  <c r="CP13" i="15"/>
  <c r="CP17" i="15"/>
  <c r="CP7" i="15"/>
  <c r="CP20" i="15"/>
  <c r="CP12" i="15"/>
  <c r="CP21" i="15"/>
  <c r="CP22" i="15"/>
  <c r="CP31" i="15"/>
  <c r="CP32" i="15"/>
  <c r="CP33" i="15"/>
  <c r="CP34" i="15"/>
  <c r="CP35" i="15"/>
  <c r="CP36" i="15"/>
  <c r="CP37" i="15"/>
  <c r="CP38" i="15"/>
  <c r="CP39" i="15"/>
  <c r="CP40" i="15"/>
  <c r="CP41" i="15"/>
  <c r="CP42" i="15"/>
  <c r="CP49" i="15"/>
  <c r="CP43" i="15"/>
  <c r="CP44" i="15"/>
  <c r="CP45" i="15"/>
  <c r="CP46" i="15"/>
  <c r="CP47" i="15"/>
  <c r="CP48" i="15"/>
  <c r="CP8" i="15"/>
  <c r="CP9" i="15"/>
  <c r="CP18" i="15"/>
  <c r="CP23" i="15"/>
  <c r="CP30" i="15"/>
  <c r="CP26" i="15"/>
  <c r="CP29" i="15"/>
  <c r="CP27" i="15"/>
  <c r="CP15" i="15"/>
  <c r="CP28" i="15"/>
  <c r="CP19" i="15"/>
  <c r="CP14" i="15"/>
  <c r="CP6" i="15"/>
  <c r="CP24" i="15"/>
  <c r="CP10" i="15"/>
  <c r="CT8" i="15"/>
  <c r="CT10" i="15"/>
  <c r="CT14" i="15"/>
  <c r="CT18" i="15"/>
  <c r="CT6" i="15"/>
  <c r="CT11" i="15"/>
  <c r="CT13" i="15"/>
  <c r="CT17" i="15"/>
  <c r="CT7" i="15"/>
  <c r="CT9" i="15"/>
  <c r="CT15" i="15"/>
  <c r="CT19" i="15"/>
  <c r="CT5" i="15"/>
  <c r="CT12" i="15"/>
  <c r="CT23" i="15"/>
  <c r="CT26" i="15"/>
  <c r="CT28" i="15"/>
  <c r="CT21" i="15"/>
  <c r="CT22" i="15"/>
  <c r="CT24" i="15"/>
  <c r="CT27" i="15"/>
  <c r="CT29" i="15"/>
  <c r="CT30" i="15"/>
  <c r="CT20" i="15"/>
  <c r="CT31" i="15"/>
  <c r="CT32" i="15"/>
  <c r="CT33" i="15"/>
  <c r="CT34" i="15"/>
  <c r="CT35" i="15"/>
  <c r="CT36" i="15"/>
  <c r="CT37" i="15"/>
  <c r="CT38" i="15"/>
  <c r="CT39" i="15"/>
  <c r="CT40" i="15"/>
  <c r="CT41" i="15"/>
  <c r="CT42" i="15"/>
  <c r="CT49" i="15"/>
  <c r="CT43" i="15"/>
  <c r="CT44" i="15"/>
  <c r="CT45" i="15"/>
  <c r="CT46" i="15"/>
  <c r="CT47" i="15"/>
  <c r="CT48" i="15"/>
  <c r="CX8" i="15"/>
  <c r="CX10" i="15"/>
  <c r="CX14" i="15"/>
  <c r="CX18" i="15"/>
  <c r="CX6" i="15"/>
  <c r="CX11" i="15"/>
  <c r="CX13" i="15"/>
  <c r="CX17" i="15"/>
  <c r="CX7" i="15"/>
  <c r="CX9" i="15"/>
  <c r="CX15" i="15"/>
  <c r="CX19" i="15"/>
  <c r="CX5" i="15"/>
  <c r="CX12" i="15"/>
  <c r="CX23" i="15"/>
  <c r="CX26" i="15"/>
  <c r="CX28" i="15"/>
  <c r="CX20" i="15"/>
  <c r="CX21" i="15"/>
  <c r="CX22" i="15"/>
  <c r="CX24" i="15"/>
  <c r="CX27" i="15"/>
  <c r="CX29" i="15"/>
  <c r="CX30" i="15"/>
  <c r="CX31" i="15"/>
  <c r="CX32" i="15"/>
  <c r="CX33" i="15"/>
  <c r="CX34" i="15"/>
  <c r="CX35" i="15"/>
  <c r="CX36" i="15"/>
  <c r="CX37" i="15"/>
  <c r="CX38" i="15"/>
  <c r="CX39" i="15"/>
  <c r="CX40" i="15"/>
  <c r="CX41" i="15"/>
  <c r="CX42" i="15"/>
  <c r="CX49" i="15"/>
  <c r="CX43" i="15"/>
  <c r="CX44" i="15"/>
  <c r="CX45" i="15"/>
  <c r="CX46" i="15"/>
  <c r="CX47" i="15"/>
  <c r="CX48" i="15"/>
  <c r="CQ12" i="15"/>
  <c r="CQ11" i="15"/>
  <c r="CQ13" i="15"/>
  <c r="CQ17" i="15"/>
  <c r="CQ7" i="15"/>
  <c r="CQ20" i="15"/>
  <c r="CQ21" i="15"/>
  <c r="CQ22" i="15"/>
  <c r="CQ31" i="15"/>
  <c r="CQ32" i="15"/>
  <c r="CQ33" i="15"/>
  <c r="CQ34" i="15"/>
  <c r="CQ35" i="15"/>
  <c r="CQ36" i="15"/>
  <c r="CQ37" i="15"/>
  <c r="CQ38" i="15"/>
  <c r="CQ39" i="15"/>
  <c r="CQ40" i="15"/>
  <c r="CQ41" i="15"/>
  <c r="CQ42" i="15"/>
  <c r="CQ43" i="15"/>
  <c r="CQ44" i="15"/>
  <c r="CQ45" i="15"/>
  <c r="CQ46" i="15"/>
  <c r="CQ47" i="15"/>
  <c r="CQ48" i="15"/>
  <c r="CQ49" i="15"/>
  <c r="CQ8" i="15"/>
  <c r="CQ9" i="15"/>
  <c r="CQ18" i="15"/>
  <c r="CQ24" i="15"/>
  <c r="CQ10" i="15"/>
  <c r="CQ6" i="15"/>
  <c r="CQ23" i="15"/>
  <c r="CQ30" i="15"/>
  <c r="CQ26" i="15"/>
  <c r="CQ29" i="15"/>
  <c r="CQ15" i="15"/>
  <c r="CQ28" i="15"/>
  <c r="CQ19" i="15"/>
  <c r="CQ14" i="15"/>
  <c r="CQ27" i="15"/>
  <c r="CU5" i="15"/>
  <c r="CU12" i="15"/>
  <c r="CU8" i="15"/>
  <c r="CU10" i="15"/>
  <c r="CU14" i="15"/>
  <c r="CU18" i="15"/>
  <c r="CU6" i="15"/>
  <c r="CU11" i="15"/>
  <c r="CU13" i="15"/>
  <c r="CU17" i="15"/>
  <c r="CU7" i="15"/>
  <c r="CU9" i="15"/>
  <c r="CU15" i="15"/>
  <c r="CU19" i="15"/>
  <c r="CU20" i="15"/>
  <c r="CU23" i="15"/>
  <c r="CU26" i="15"/>
  <c r="CU28" i="15"/>
  <c r="CU21" i="15"/>
  <c r="CU22" i="15"/>
  <c r="CU24" i="15"/>
  <c r="CU27" i="15"/>
  <c r="CU29" i="15"/>
  <c r="CU30" i="15"/>
  <c r="CU31" i="15"/>
  <c r="CU32" i="15"/>
  <c r="CU33" i="15"/>
  <c r="CU34" i="15"/>
  <c r="CU35" i="15"/>
  <c r="CU36" i="15"/>
  <c r="CU37" i="15"/>
  <c r="CU38" i="15"/>
  <c r="CU39" i="15"/>
  <c r="CU40" i="15"/>
  <c r="CU41" i="15"/>
  <c r="CU42" i="15"/>
  <c r="CU43" i="15"/>
  <c r="CU44" i="15"/>
  <c r="CU45" i="15"/>
  <c r="CU46" i="15"/>
  <c r="CU47" i="15"/>
  <c r="CU48" i="15"/>
  <c r="CU49" i="15"/>
  <c r="CY5" i="15"/>
  <c r="CZ7" i="15"/>
  <c r="CZ9" i="15"/>
  <c r="CY12" i="15"/>
  <c r="CZ15" i="15"/>
  <c r="CZ19" i="15"/>
  <c r="CZ5" i="15"/>
  <c r="CY8" i="15"/>
  <c r="CY10" i="15"/>
  <c r="CZ12" i="15"/>
  <c r="CY14" i="15"/>
  <c r="CY18" i="15"/>
  <c r="CY6" i="15"/>
  <c r="CZ8" i="15"/>
  <c r="CZ10" i="15"/>
  <c r="CY11" i="15"/>
  <c r="CY13" i="15"/>
  <c r="CZ14" i="15"/>
  <c r="CY17" i="15"/>
  <c r="CZ18" i="15"/>
  <c r="CZ6" i="15"/>
  <c r="CY7" i="15"/>
  <c r="CY9" i="15"/>
  <c r="CZ11" i="15"/>
  <c r="CZ13" i="15"/>
  <c r="CY15" i="15"/>
  <c r="CZ17" i="15"/>
  <c r="CY19" i="15"/>
  <c r="CZ20" i="15"/>
  <c r="CZ21" i="15"/>
  <c r="CZ22" i="15"/>
  <c r="CZ24" i="15"/>
  <c r="CZ27" i="15"/>
  <c r="CZ29" i="15"/>
  <c r="CZ30" i="15"/>
  <c r="CY23" i="15"/>
  <c r="CY26" i="15"/>
  <c r="CY28" i="15"/>
  <c r="CZ23" i="15"/>
  <c r="CZ26" i="15"/>
  <c r="CZ28" i="15"/>
  <c r="CY20" i="15"/>
  <c r="CY21" i="15"/>
  <c r="CY22" i="15"/>
  <c r="CY24" i="15"/>
  <c r="CY27" i="15"/>
  <c r="CY29" i="15"/>
  <c r="CY30" i="15"/>
  <c r="CZ31" i="15"/>
  <c r="CZ32" i="15"/>
  <c r="CZ33" i="15"/>
  <c r="CZ34" i="15"/>
  <c r="CZ35" i="15"/>
  <c r="CZ36" i="15"/>
  <c r="CZ37" i="15"/>
  <c r="CZ38" i="15"/>
  <c r="CZ39" i="15"/>
  <c r="CZ40" i="15"/>
  <c r="CZ41" i="15"/>
  <c r="CZ42" i="15"/>
  <c r="CY31" i="15"/>
  <c r="CY32" i="15"/>
  <c r="CY33" i="15"/>
  <c r="CY34" i="15"/>
  <c r="CY35" i="15"/>
  <c r="CY36" i="15"/>
  <c r="CY37" i="15"/>
  <c r="CY38" i="15"/>
  <c r="CY39" i="15"/>
  <c r="CY40" i="15"/>
  <c r="CY41" i="15"/>
  <c r="CY42" i="15"/>
  <c r="CY43" i="15"/>
  <c r="CY44" i="15"/>
  <c r="CY45" i="15"/>
  <c r="CY46" i="15"/>
  <c r="CY47" i="15"/>
  <c r="CY48" i="15"/>
  <c r="CZ49" i="15"/>
  <c r="CZ43" i="15"/>
  <c r="CZ44" i="15"/>
  <c r="CZ45" i="15"/>
  <c r="CZ46" i="15"/>
  <c r="CZ47" i="15"/>
  <c r="CZ48" i="15"/>
  <c r="CY49" i="15"/>
  <c r="CR7" i="15"/>
  <c r="CR9" i="15"/>
  <c r="CR15" i="15"/>
  <c r="CR19" i="15"/>
  <c r="CR20" i="15"/>
  <c r="CR5" i="15"/>
  <c r="CR12" i="15"/>
  <c r="CR8" i="15"/>
  <c r="CR10" i="15"/>
  <c r="CR14" i="15"/>
  <c r="CR18" i="15"/>
  <c r="CR6" i="15"/>
  <c r="CR11" i="15"/>
  <c r="CR13" i="15"/>
  <c r="CR17" i="15"/>
  <c r="CR21" i="15"/>
  <c r="CR22" i="15"/>
  <c r="CR24" i="15"/>
  <c r="CR27" i="15"/>
  <c r="CR29" i="15"/>
  <c r="CR30" i="15"/>
  <c r="CR23" i="15"/>
  <c r="CR26" i="15"/>
  <c r="CR28" i="15"/>
  <c r="CR31" i="15"/>
  <c r="CR32" i="15"/>
  <c r="CR33" i="15"/>
  <c r="CR34" i="15"/>
  <c r="CR35" i="15"/>
  <c r="CR36" i="15"/>
  <c r="CR37" i="15"/>
  <c r="CR38" i="15"/>
  <c r="CR39" i="15"/>
  <c r="CR40" i="15"/>
  <c r="CR41" i="15"/>
  <c r="CR42" i="15"/>
  <c r="CR49" i="15"/>
  <c r="CR43" i="15"/>
  <c r="CR44" i="15"/>
  <c r="CR45" i="15"/>
  <c r="CR46" i="15"/>
  <c r="CR47" i="15"/>
  <c r="CR48" i="15"/>
  <c r="CV7" i="15"/>
  <c r="CV9" i="15"/>
  <c r="CV15" i="15"/>
  <c r="CV19" i="15"/>
  <c r="CV5" i="15"/>
  <c r="CV12" i="15"/>
  <c r="CV8" i="15"/>
  <c r="CV10" i="15"/>
  <c r="CV14" i="15"/>
  <c r="CV18" i="15"/>
  <c r="CV6" i="15"/>
  <c r="CV11" i="15"/>
  <c r="CV13" i="15"/>
  <c r="CV17" i="15"/>
  <c r="CV20" i="15"/>
  <c r="CV21" i="15"/>
  <c r="CV22" i="15"/>
  <c r="CV24" i="15"/>
  <c r="CV27" i="15"/>
  <c r="CV29" i="15"/>
  <c r="CV30" i="15"/>
  <c r="CV23" i="15"/>
  <c r="CV26" i="15"/>
  <c r="CV28" i="15"/>
  <c r="CV31" i="15"/>
  <c r="CV32" i="15"/>
  <c r="CV33" i="15"/>
  <c r="CV34" i="15"/>
  <c r="CV35" i="15"/>
  <c r="CV36" i="15"/>
  <c r="CV37" i="15"/>
  <c r="CV38" i="15"/>
  <c r="CV39" i="15"/>
  <c r="CV40" i="15"/>
  <c r="CV41" i="15"/>
  <c r="CV42" i="15"/>
  <c r="CV49" i="15"/>
  <c r="CV43" i="15"/>
  <c r="CV44" i="15"/>
  <c r="CV45" i="15"/>
  <c r="CV46" i="15"/>
  <c r="CV47" i="15"/>
  <c r="CV48" i="15"/>
  <c r="CO11" i="15"/>
  <c r="CO13" i="15"/>
  <c r="CO17" i="15"/>
  <c r="CO7" i="15"/>
  <c r="CO20" i="15"/>
  <c r="CO12" i="15"/>
  <c r="CO21" i="15"/>
  <c r="CO22" i="15"/>
  <c r="CO31" i="15"/>
  <c r="CO32" i="15"/>
  <c r="CO33" i="15"/>
  <c r="CO34" i="15"/>
  <c r="CO35" i="15"/>
  <c r="CO36" i="15"/>
  <c r="CO37" i="15"/>
  <c r="CO38" i="15"/>
  <c r="CO39" i="15"/>
  <c r="CO40" i="15"/>
  <c r="CO41" i="15"/>
  <c r="CO42" i="15"/>
  <c r="CO49" i="15"/>
  <c r="CO43" i="15"/>
  <c r="CO44" i="15"/>
  <c r="CO45" i="15"/>
  <c r="CO46" i="15"/>
  <c r="CO47" i="15"/>
  <c r="CO48" i="15"/>
  <c r="CO8" i="15"/>
  <c r="CO9" i="15"/>
  <c r="CO18" i="15"/>
  <c r="CO26" i="15"/>
  <c r="CO29" i="15"/>
  <c r="CO28" i="15"/>
  <c r="CO19" i="15"/>
  <c r="CO27" i="15"/>
  <c r="CO24" i="15"/>
  <c r="CO15" i="15"/>
  <c r="CO14" i="15"/>
  <c r="CO6" i="15"/>
  <c r="CO10" i="15"/>
  <c r="CO23" i="15"/>
  <c r="CO30" i="15"/>
  <c r="CS6" i="15"/>
  <c r="CS11" i="15"/>
  <c r="CS13" i="15"/>
  <c r="CS17" i="15"/>
  <c r="CS7" i="15"/>
  <c r="CS9" i="15"/>
  <c r="CS15" i="15"/>
  <c r="CS19" i="15"/>
  <c r="CS20" i="15"/>
  <c r="CS5" i="15"/>
  <c r="CS12" i="15"/>
  <c r="CS8" i="15"/>
  <c r="CS10" i="15"/>
  <c r="CS14" i="15"/>
  <c r="CS18" i="15"/>
  <c r="CS21" i="15"/>
  <c r="CS22" i="15"/>
  <c r="CS24" i="15"/>
  <c r="CS27" i="15"/>
  <c r="CS29" i="15"/>
  <c r="CS30" i="15"/>
  <c r="CS23" i="15"/>
  <c r="CS26" i="15"/>
  <c r="CS28" i="15"/>
  <c r="CS31" i="15"/>
  <c r="CS32" i="15"/>
  <c r="CS33" i="15"/>
  <c r="CS34" i="15"/>
  <c r="CS35" i="15"/>
  <c r="CS36" i="15"/>
  <c r="CS37" i="15"/>
  <c r="CS38" i="15"/>
  <c r="CS39" i="15"/>
  <c r="CS40" i="15"/>
  <c r="CS41" i="15"/>
  <c r="CS42" i="15"/>
  <c r="CS49" i="15"/>
  <c r="CS43" i="15"/>
  <c r="CS44" i="15"/>
  <c r="CS45" i="15"/>
  <c r="CS46" i="15"/>
  <c r="CS47" i="15"/>
  <c r="CS48" i="15"/>
  <c r="CW6" i="15"/>
  <c r="CW11" i="15"/>
  <c r="CW13" i="15"/>
  <c r="CW17" i="15"/>
  <c r="CW7" i="15"/>
  <c r="CW9" i="15"/>
  <c r="CW15" i="15"/>
  <c r="CW19" i="15"/>
  <c r="CW5" i="15"/>
  <c r="CW12" i="15"/>
  <c r="CW8" i="15"/>
  <c r="CW10" i="15"/>
  <c r="CW14" i="15"/>
  <c r="CW18" i="15"/>
  <c r="CW20" i="15"/>
  <c r="CW21" i="15"/>
  <c r="CW22" i="15"/>
  <c r="CW24" i="15"/>
  <c r="CW27" i="15"/>
  <c r="CW29" i="15"/>
  <c r="CW30" i="15"/>
  <c r="CW23" i="15"/>
  <c r="CW26" i="15"/>
  <c r="CW28" i="15"/>
  <c r="CW31" i="15"/>
  <c r="CW32" i="15"/>
  <c r="CW33" i="15"/>
  <c r="CW34" i="15"/>
  <c r="CW35" i="15"/>
  <c r="CW36" i="15"/>
  <c r="CW37" i="15"/>
  <c r="CW38" i="15"/>
  <c r="CW39" i="15"/>
  <c r="CW40" i="15"/>
  <c r="CW41" i="15"/>
  <c r="CW42" i="15"/>
  <c r="CW49" i="15"/>
  <c r="CW43" i="15"/>
  <c r="CW44" i="15"/>
  <c r="CW45" i="15"/>
  <c r="CW46" i="15"/>
  <c r="CW47" i="15"/>
  <c r="CW48" i="15"/>
  <c r="B1" i="1"/>
  <c r="DA16" i="15" l="1"/>
  <c r="DA25" i="15"/>
  <c r="DA49" i="15"/>
  <c r="DA17" i="15"/>
  <c r="DA7" i="15"/>
  <c r="DA10" i="15"/>
  <c r="DA14" i="15"/>
  <c r="DA19" i="15"/>
  <c r="DA26" i="15"/>
  <c r="DA48" i="15"/>
  <c r="DA44" i="15"/>
  <c r="DA40" i="15"/>
  <c r="DA36" i="15"/>
  <c r="DA32" i="15"/>
  <c r="DA21" i="15"/>
  <c r="DA15" i="15"/>
  <c r="DA28" i="15"/>
  <c r="DA18" i="15"/>
  <c r="DA47" i="15"/>
  <c r="DA43" i="15"/>
  <c r="DA39" i="15"/>
  <c r="DA35" i="15"/>
  <c r="DA31" i="15"/>
  <c r="DA20" i="15"/>
  <c r="DA30" i="15"/>
  <c r="DA24" i="15"/>
  <c r="DA29" i="15"/>
  <c r="DA9" i="15"/>
  <c r="DA46" i="15"/>
  <c r="DA42" i="15"/>
  <c r="DA38" i="15"/>
  <c r="DA34" i="15"/>
  <c r="DA23" i="15"/>
  <c r="DA6" i="15"/>
  <c r="DA27" i="15"/>
  <c r="DA8" i="15"/>
  <c r="DA45" i="15"/>
  <c r="DA41" i="15"/>
  <c r="DA37" i="15"/>
  <c r="DA33" i="15"/>
  <c r="DA22" i="15"/>
  <c r="BW50" i="15"/>
  <c r="BX50" i="15"/>
  <c r="DB50" i="15"/>
  <c r="DC50" i="15"/>
  <c r="DE50" i="15"/>
  <c r="DF50" i="15"/>
  <c r="DG50" i="15"/>
  <c r="DH50" i="15"/>
  <c r="DI50" i="15"/>
  <c r="DJ50" i="15"/>
  <c r="DK50" i="15"/>
  <c r="DM50" i="15"/>
  <c r="BO5" i="15"/>
  <c r="BP5" i="15" l="1"/>
  <c r="CP5" i="15" s="1"/>
  <c r="DN5" i="15"/>
  <c r="DQ5" i="15" s="1"/>
  <c r="B5" i="41"/>
  <c r="Y5" i="36"/>
  <c r="Y6" i="36"/>
  <c r="Y7" i="36"/>
  <c r="Y8" i="36"/>
  <c r="Y9" i="36"/>
  <c r="Y10" i="36"/>
  <c r="Y11" i="36"/>
  <c r="Y12" i="36"/>
  <c r="Y13" i="36"/>
  <c r="Y14" i="36"/>
  <c r="Y15" i="36"/>
  <c r="Y16" i="36"/>
  <c r="Y17" i="36"/>
  <c r="Y18" i="36"/>
  <c r="Y19" i="36"/>
  <c r="Y20" i="36"/>
  <c r="Y21" i="36"/>
  <c r="Y22" i="36"/>
  <c r="Y23" i="36"/>
  <c r="Y24" i="36"/>
  <c r="Y25" i="36"/>
  <c r="Y26" i="36"/>
  <c r="Y27" i="36"/>
  <c r="Y28" i="36"/>
  <c r="Y29" i="36"/>
  <c r="Y30" i="36"/>
  <c r="Y31" i="36"/>
  <c r="Y32" i="36"/>
  <c r="Y34" i="36"/>
  <c r="Y35" i="36"/>
  <c r="Y36" i="36"/>
  <c r="Y37" i="36"/>
  <c r="Y38" i="36"/>
  <c r="Y39" i="36"/>
  <c r="Y40" i="36"/>
  <c r="Y41" i="36"/>
  <c r="Y42" i="36"/>
  <c r="Y43" i="36"/>
  <c r="Y44" i="36"/>
  <c r="Y45" i="36"/>
  <c r="Y46" i="36"/>
  <c r="Y47" i="36"/>
  <c r="Y48" i="36"/>
  <c r="Y49" i="36"/>
  <c r="Y50" i="36"/>
  <c r="Y51" i="36"/>
  <c r="Y52" i="36"/>
  <c r="Y53" i="36"/>
  <c r="Y54" i="36"/>
  <c r="Y55" i="36"/>
  <c r="Y56" i="36"/>
  <c r="Y57" i="36"/>
  <c r="Y58" i="36"/>
  <c r="Y59" i="36"/>
  <c r="Y60" i="36"/>
  <c r="Y61" i="36"/>
  <c r="Y62" i="36"/>
  <c r="Y63" i="36"/>
  <c r="Y64" i="36"/>
  <c r="Y65" i="36"/>
  <c r="Y66" i="36"/>
  <c r="Y67" i="36"/>
  <c r="Y68" i="36"/>
  <c r="Y69" i="36"/>
  <c r="Y70" i="36"/>
  <c r="Y71" i="36"/>
  <c r="Y72" i="36"/>
  <c r="Y73" i="36"/>
  <c r="Y74" i="36"/>
  <c r="Y75" i="36"/>
  <c r="Y76" i="36"/>
  <c r="Y77" i="36"/>
  <c r="Y78" i="36"/>
  <c r="AY78" i="36" s="1"/>
  <c r="Y79" i="36"/>
  <c r="Y174" i="36"/>
  <c r="Y175" i="36"/>
  <c r="Y176" i="36"/>
  <c r="Y177" i="36"/>
  <c r="Y178" i="36"/>
  <c r="Y179" i="36"/>
  <c r="Y180" i="36"/>
  <c r="Y181" i="36"/>
  <c r="Y182" i="36"/>
  <c r="Y183" i="36"/>
  <c r="Y184" i="36"/>
  <c r="Y185" i="36"/>
  <c r="Y186" i="36"/>
  <c r="Y187" i="36"/>
  <c r="Y188" i="36"/>
  <c r="Y189" i="36"/>
  <c r="Y190" i="36"/>
  <c r="Y191" i="36"/>
  <c r="Y192" i="36"/>
  <c r="Y193" i="36"/>
  <c r="CQ5" i="15" l="1"/>
  <c r="CO5" i="15"/>
  <c r="CP50" i="15"/>
  <c r="BY5" i="15"/>
  <c r="DD50" i="15"/>
  <c r="AP159" i="36"/>
  <c r="AP144" i="36"/>
  <c r="AP128" i="36"/>
  <c r="AP112" i="36"/>
  <c r="AP97" i="36"/>
  <c r="AP167" i="36"/>
  <c r="AP150" i="36"/>
  <c r="AP135" i="36"/>
  <c r="AP119" i="36"/>
  <c r="AP103" i="36"/>
  <c r="AP172" i="36"/>
  <c r="AP161" i="36"/>
  <c r="AP142" i="36"/>
  <c r="AP126" i="36"/>
  <c r="AP110" i="36"/>
  <c r="AP95" i="36"/>
  <c r="AP165" i="36"/>
  <c r="AP149" i="36"/>
  <c r="AP133" i="36"/>
  <c r="AP117" i="36"/>
  <c r="AP98" i="36"/>
  <c r="AP155" i="36"/>
  <c r="AP140" i="36"/>
  <c r="AP124" i="36"/>
  <c r="AP108" i="36"/>
  <c r="AP93" i="36"/>
  <c r="AP163" i="36"/>
  <c r="AP147" i="36"/>
  <c r="AP131" i="36"/>
  <c r="AP115" i="36"/>
  <c r="AP100" i="36"/>
  <c r="AP170" i="36"/>
  <c r="AP157" i="36"/>
  <c r="AP138" i="36"/>
  <c r="AP122" i="36"/>
  <c r="AP106" i="36"/>
  <c r="AP91" i="36"/>
  <c r="AP160" i="36"/>
  <c r="AP145" i="36"/>
  <c r="AP129" i="36"/>
  <c r="AP113" i="36"/>
  <c r="AP94" i="36"/>
  <c r="AP151" i="36"/>
  <c r="AP136" i="36"/>
  <c r="AP120" i="36"/>
  <c r="AP104" i="36"/>
  <c r="AP168" i="36"/>
  <c r="AP158" i="36"/>
  <c r="AP143" i="36"/>
  <c r="AP127" i="36"/>
  <c r="AP111" i="36"/>
  <c r="AP96" i="36"/>
  <c r="AP166" i="36"/>
  <c r="AP153" i="36"/>
  <c r="AP134" i="36"/>
  <c r="AP118" i="36"/>
  <c r="AP102" i="36"/>
  <c r="AP173" i="36"/>
  <c r="AP156" i="36"/>
  <c r="AP141" i="36"/>
  <c r="AP125" i="36"/>
  <c r="AP109" i="36"/>
  <c r="AP90" i="36"/>
  <c r="AP164" i="36"/>
  <c r="AP148" i="36"/>
  <c r="AP132" i="36"/>
  <c r="AP116" i="36"/>
  <c r="AP101" i="36"/>
  <c r="AP171" i="36"/>
  <c r="AP154" i="36"/>
  <c r="AP139" i="36"/>
  <c r="AP123" i="36"/>
  <c r="AP107" i="36"/>
  <c r="AP92" i="36"/>
  <c r="AP162" i="36"/>
  <c r="AP146" i="36"/>
  <c r="AP130" i="36"/>
  <c r="AP114" i="36"/>
  <c r="AP99" i="36"/>
  <c r="AP169" i="36"/>
  <c r="AP152" i="36"/>
  <c r="AP137" i="36"/>
  <c r="AP121" i="36"/>
  <c r="AP105" i="36"/>
  <c r="AP194" i="36"/>
  <c r="CX194" i="36" s="1"/>
  <c r="DA5" i="15"/>
  <c r="DL50" i="15"/>
  <c r="CL93" i="36"/>
  <c r="CL97" i="36"/>
  <c r="CL101" i="36"/>
  <c r="CL103" i="36"/>
  <c r="CX103" i="36" s="1"/>
  <c r="CL107" i="36"/>
  <c r="CL111" i="36"/>
  <c r="CL114" i="36"/>
  <c r="CL118" i="36"/>
  <c r="CL122" i="36"/>
  <c r="CL126" i="36"/>
  <c r="CL130" i="36"/>
  <c r="CL134" i="36"/>
  <c r="CX134" i="36" s="1"/>
  <c r="CL138" i="36"/>
  <c r="CL142" i="36"/>
  <c r="CL146" i="36"/>
  <c r="CL153" i="36"/>
  <c r="CX153" i="36" s="1"/>
  <c r="CL157" i="36"/>
  <c r="CX157" i="36" s="1"/>
  <c r="CL161" i="36"/>
  <c r="CX161" i="36" s="1"/>
  <c r="CL165" i="36"/>
  <c r="CX165" i="36" s="1"/>
  <c r="CL169" i="36"/>
  <c r="CL173" i="36"/>
  <c r="CL164" i="36"/>
  <c r="CX164" i="36" s="1"/>
  <c r="CL90" i="36"/>
  <c r="CL94" i="36"/>
  <c r="CX94" i="36" s="1"/>
  <c r="CL98" i="36"/>
  <c r="CX98" i="36" s="1"/>
  <c r="CL104" i="36"/>
  <c r="CL108" i="36"/>
  <c r="CX108" i="36" s="1"/>
  <c r="CL112" i="36"/>
  <c r="CX112" i="36" s="1"/>
  <c r="CL115" i="36"/>
  <c r="CL119" i="36"/>
  <c r="CL123" i="36"/>
  <c r="CL127" i="36"/>
  <c r="CL131" i="36"/>
  <c r="CX131" i="36" s="1"/>
  <c r="CL135" i="36"/>
  <c r="CX135" i="36" s="1"/>
  <c r="CL139" i="36"/>
  <c r="CL143" i="36"/>
  <c r="CX143" i="36" s="1"/>
  <c r="CL147" i="36"/>
  <c r="CL150" i="36"/>
  <c r="CL154" i="36"/>
  <c r="CL158" i="36"/>
  <c r="CL162" i="36"/>
  <c r="CL166" i="36"/>
  <c r="CL170" i="36"/>
  <c r="CL172" i="36"/>
  <c r="CX172" i="36" s="1"/>
  <c r="CL91" i="36"/>
  <c r="CX91" i="36" s="1"/>
  <c r="CL95" i="36"/>
  <c r="CX95" i="36" s="1"/>
  <c r="CL99" i="36"/>
  <c r="CL105" i="36"/>
  <c r="CL109" i="36"/>
  <c r="CL113" i="36"/>
  <c r="CL116" i="36"/>
  <c r="CL120" i="36"/>
  <c r="CX120" i="36" s="1"/>
  <c r="CL124" i="36"/>
  <c r="CL128" i="36"/>
  <c r="CL132" i="36"/>
  <c r="CL136" i="36"/>
  <c r="CX136" i="36" s="1"/>
  <c r="CL140" i="36"/>
  <c r="CL144" i="36"/>
  <c r="CL148" i="36"/>
  <c r="CX148" i="36" s="1"/>
  <c r="CL151" i="36"/>
  <c r="CX151" i="36" s="1"/>
  <c r="CL155" i="36"/>
  <c r="CL159" i="36"/>
  <c r="CL163" i="36"/>
  <c r="CL167" i="36"/>
  <c r="CX167" i="36" s="1"/>
  <c r="CL171" i="36"/>
  <c r="CL160" i="36"/>
  <c r="CL168" i="36"/>
  <c r="CL92" i="36"/>
  <c r="CX92" i="36" s="1"/>
  <c r="CL96" i="36"/>
  <c r="CL100" i="36"/>
  <c r="CL102" i="36"/>
  <c r="CX102" i="36" s="1"/>
  <c r="CL106" i="36"/>
  <c r="CX106" i="36" s="1"/>
  <c r="CL110" i="36"/>
  <c r="CL117" i="36"/>
  <c r="CX117" i="36" s="1"/>
  <c r="CL121" i="36"/>
  <c r="CL125" i="36"/>
  <c r="CL129" i="36"/>
  <c r="CX129" i="36" s="1"/>
  <c r="CL133" i="36"/>
  <c r="CL137" i="36"/>
  <c r="CL141" i="36"/>
  <c r="CX141" i="36" s="1"/>
  <c r="CL145" i="36"/>
  <c r="CL149" i="36"/>
  <c r="CL152" i="36"/>
  <c r="CL156" i="36"/>
  <c r="CX156" i="36" s="1"/>
  <c r="BP50" i="15"/>
  <c r="CR50" i="15"/>
  <c r="CU50" i="15"/>
  <c r="CW50" i="15"/>
  <c r="CX50" i="15"/>
  <c r="CV50" i="15"/>
  <c r="CY50" i="15"/>
  <c r="CT50" i="15"/>
  <c r="CZ50" i="15"/>
  <c r="CS50" i="15"/>
  <c r="BS50" i="15"/>
  <c r="BQ50" i="15"/>
  <c r="CX130" i="36" l="1"/>
  <c r="CX163" i="36"/>
  <c r="CX150" i="36"/>
  <c r="CX133" i="36"/>
  <c r="CX128" i="36"/>
  <c r="DA128" i="36" s="1"/>
  <c r="CX145" i="36"/>
  <c r="CX110" i="36"/>
  <c r="CX140" i="36"/>
  <c r="DA140" i="36" s="1"/>
  <c r="CX122" i="36"/>
  <c r="DA122" i="36" s="1"/>
  <c r="CX162" i="36"/>
  <c r="CX152" i="36"/>
  <c r="DA152" i="36" s="1"/>
  <c r="CX168" i="36"/>
  <c r="DG168" i="36" s="1"/>
  <c r="CX100" i="36"/>
  <c r="DA100" i="36" s="1"/>
  <c r="CX159" i="36"/>
  <c r="DG159" i="36" s="1"/>
  <c r="CX113" i="36"/>
  <c r="DG113" i="36" s="1"/>
  <c r="CX166" i="36"/>
  <c r="DA166" i="36" s="1"/>
  <c r="CX119" i="36"/>
  <c r="DA119" i="36" s="1"/>
  <c r="CX142" i="36"/>
  <c r="DA142" i="36" s="1"/>
  <c r="CX97" i="36"/>
  <c r="DG97" i="36" s="1"/>
  <c r="CX111" i="36"/>
  <c r="DA111" i="36" s="1"/>
  <c r="CX149" i="36"/>
  <c r="DA149" i="36" s="1"/>
  <c r="CX160" i="36"/>
  <c r="DA160" i="36" s="1"/>
  <c r="CX144" i="36"/>
  <c r="DA144" i="36" s="1"/>
  <c r="CX104" i="36"/>
  <c r="DG104" i="36" s="1"/>
  <c r="CX126" i="36"/>
  <c r="DG126" i="36" s="1"/>
  <c r="CX155" i="36"/>
  <c r="DA155" i="36" s="1"/>
  <c r="CX109" i="36"/>
  <c r="DA109" i="36" s="1"/>
  <c r="CX115" i="36"/>
  <c r="DA115" i="36" s="1"/>
  <c r="CX173" i="36"/>
  <c r="DA173" i="36" s="1"/>
  <c r="CX138" i="36"/>
  <c r="DG138" i="36" s="1"/>
  <c r="CX93" i="36"/>
  <c r="DG93" i="36" s="1"/>
  <c r="CX127" i="36"/>
  <c r="DG127" i="36" s="1"/>
  <c r="CX137" i="36"/>
  <c r="DG137" i="36" s="1"/>
  <c r="CX121" i="36"/>
  <c r="DG121" i="36" s="1"/>
  <c r="CX132" i="36"/>
  <c r="DA132" i="36" s="1"/>
  <c r="CX116" i="36"/>
  <c r="DA116" i="36" s="1"/>
  <c r="CX99" i="36"/>
  <c r="DA99" i="36" s="1"/>
  <c r="CX154" i="36"/>
  <c r="DG154" i="36" s="1"/>
  <c r="CX139" i="36"/>
  <c r="DA139" i="36" s="1"/>
  <c r="CX90" i="36"/>
  <c r="DA90" i="36" s="1"/>
  <c r="CX171" i="36"/>
  <c r="DG171" i="36" s="1"/>
  <c r="CX107" i="36"/>
  <c r="DG107" i="36" s="1"/>
  <c r="CX125" i="36"/>
  <c r="DG125" i="36" s="1"/>
  <c r="CX96" i="36"/>
  <c r="DA96" i="36" s="1"/>
  <c r="CX124" i="36"/>
  <c r="DG124" i="36" s="1"/>
  <c r="CX147" i="36"/>
  <c r="DG147" i="36" s="1"/>
  <c r="CX105" i="36"/>
  <c r="DG105" i="36" s="1"/>
  <c r="CX158" i="36"/>
  <c r="DG158" i="36" s="1"/>
  <c r="CX169" i="36"/>
  <c r="DG169" i="36" s="1"/>
  <c r="CX118" i="36"/>
  <c r="DA118" i="36" s="1"/>
  <c r="CX170" i="36"/>
  <c r="DG170" i="36" s="1"/>
  <c r="CX123" i="36"/>
  <c r="DA123" i="36" s="1"/>
  <c r="CX146" i="36"/>
  <c r="DA146" i="36" s="1"/>
  <c r="CX114" i="36"/>
  <c r="DG114" i="36" s="1"/>
  <c r="CX101" i="36"/>
  <c r="DG101" i="36" s="1"/>
  <c r="DG194" i="36"/>
  <c r="DA194" i="36"/>
  <c r="CQ50" i="15"/>
  <c r="CO50" i="15"/>
  <c r="DA156" i="36"/>
  <c r="DG156" i="36"/>
  <c r="DA141" i="36"/>
  <c r="DG141" i="36"/>
  <c r="DA106" i="36"/>
  <c r="DG106" i="36"/>
  <c r="DA92" i="36"/>
  <c r="DG92" i="36"/>
  <c r="DA167" i="36"/>
  <c r="DG167" i="36"/>
  <c r="DA151" i="36"/>
  <c r="DG151" i="36"/>
  <c r="DA136" i="36"/>
  <c r="DG136" i="36"/>
  <c r="DA120" i="36"/>
  <c r="DG120" i="36"/>
  <c r="DA172" i="36"/>
  <c r="DG172" i="36"/>
  <c r="DA143" i="36"/>
  <c r="DG143" i="36"/>
  <c r="DG112" i="36"/>
  <c r="DA112" i="36"/>
  <c r="DG94" i="36"/>
  <c r="DA94" i="36"/>
  <c r="DA153" i="36"/>
  <c r="DG153" i="36"/>
  <c r="DA134" i="36"/>
  <c r="DG134" i="36"/>
  <c r="DA103" i="36"/>
  <c r="DG103" i="36"/>
  <c r="DG152" i="36"/>
  <c r="DA102" i="36"/>
  <c r="DG102" i="36"/>
  <c r="DA168" i="36"/>
  <c r="DG163" i="36"/>
  <c r="DA163" i="36"/>
  <c r="DA148" i="36"/>
  <c r="DG148" i="36"/>
  <c r="DA108" i="36"/>
  <c r="DG108" i="36"/>
  <c r="DA165" i="36"/>
  <c r="DG165" i="36"/>
  <c r="DA130" i="36"/>
  <c r="DG130" i="36"/>
  <c r="DA133" i="36"/>
  <c r="DG133" i="36"/>
  <c r="DA117" i="36"/>
  <c r="DG117" i="36"/>
  <c r="DA95" i="36"/>
  <c r="DG95" i="36"/>
  <c r="DG150" i="36"/>
  <c r="DA150" i="36"/>
  <c r="DG135" i="36"/>
  <c r="DA135" i="36"/>
  <c r="DA164" i="36"/>
  <c r="DG164" i="36"/>
  <c r="DA161" i="36"/>
  <c r="DG161" i="36"/>
  <c r="DA145" i="36"/>
  <c r="DG145" i="36"/>
  <c r="DA129" i="36"/>
  <c r="DG129" i="36"/>
  <c r="DA110" i="36"/>
  <c r="DG110" i="36"/>
  <c r="DA91" i="36"/>
  <c r="DG91" i="36"/>
  <c r="DG162" i="36"/>
  <c r="DA162" i="36"/>
  <c r="DA131" i="36"/>
  <c r="DG131" i="36"/>
  <c r="DG98" i="36"/>
  <c r="DA98" i="36"/>
  <c r="DA157" i="36"/>
  <c r="DG157" i="36"/>
  <c r="BR50" i="15"/>
  <c r="A5" i="36"/>
  <c r="CR6" i="36"/>
  <c r="CR7" i="36"/>
  <c r="CR8" i="36"/>
  <c r="CR9" i="36"/>
  <c r="CR10" i="36"/>
  <c r="CR11" i="36"/>
  <c r="CR12" i="36"/>
  <c r="CR13" i="36"/>
  <c r="CR14" i="36"/>
  <c r="CR15" i="36"/>
  <c r="CR16" i="36"/>
  <c r="CR17" i="36"/>
  <c r="CR18" i="36"/>
  <c r="CR19" i="36"/>
  <c r="CR20" i="36"/>
  <c r="CR21" i="36"/>
  <c r="CR22" i="36"/>
  <c r="CR23" i="36"/>
  <c r="CR24" i="36"/>
  <c r="CR25" i="36"/>
  <c r="CR26" i="36"/>
  <c r="CR27" i="36"/>
  <c r="CR28" i="36"/>
  <c r="CR29" i="36"/>
  <c r="CR30" i="36"/>
  <c r="CR31" i="36"/>
  <c r="CR32" i="36"/>
  <c r="CR33" i="36"/>
  <c r="CR34" i="36"/>
  <c r="CR35" i="36"/>
  <c r="CR36" i="36"/>
  <c r="CR37" i="36"/>
  <c r="CR38" i="36"/>
  <c r="CR39" i="36"/>
  <c r="CR40" i="36"/>
  <c r="CR41" i="36"/>
  <c r="CR42" i="36"/>
  <c r="CR43" i="36"/>
  <c r="CR44" i="36"/>
  <c r="CR45" i="36"/>
  <c r="CR46" i="36"/>
  <c r="CR47" i="36"/>
  <c r="CR48" i="36"/>
  <c r="CR49" i="36"/>
  <c r="CR50" i="36"/>
  <c r="CR51" i="36"/>
  <c r="CR52" i="36"/>
  <c r="CR53" i="36"/>
  <c r="CR54" i="36"/>
  <c r="CR55" i="36"/>
  <c r="CR56" i="36"/>
  <c r="CR57" i="36"/>
  <c r="CR58" i="36"/>
  <c r="CR59" i="36"/>
  <c r="CR60" i="36"/>
  <c r="CR61" i="36"/>
  <c r="CR62" i="36"/>
  <c r="CR63" i="36"/>
  <c r="CR64" i="36"/>
  <c r="CR65" i="36"/>
  <c r="CR66" i="36"/>
  <c r="CR67" i="36"/>
  <c r="CR68" i="36"/>
  <c r="CR69" i="36"/>
  <c r="CR70" i="36"/>
  <c r="CR71" i="36"/>
  <c r="CR72" i="36"/>
  <c r="CR73" i="36"/>
  <c r="CR74" i="36"/>
  <c r="CR75" i="36"/>
  <c r="CR76" i="36"/>
  <c r="CR77" i="36"/>
  <c r="CR78" i="36"/>
  <c r="CR79" i="36"/>
  <c r="CR80" i="36"/>
  <c r="CR81" i="36"/>
  <c r="CR82" i="36"/>
  <c r="CR83" i="36"/>
  <c r="CR84" i="36"/>
  <c r="CR85" i="36"/>
  <c r="CR86" i="36"/>
  <c r="CR87" i="36"/>
  <c r="CR88" i="36"/>
  <c r="CR89" i="36"/>
  <c r="CR174" i="36"/>
  <c r="CR175" i="36"/>
  <c r="CR176" i="36"/>
  <c r="CR177" i="36"/>
  <c r="CR178" i="36"/>
  <c r="CR179" i="36"/>
  <c r="CR180" i="36"/>
  <c r="CR181" i="36"/>
  <c r="CR182" i="36"/>
  <c r="CR183" i="36"/>
  <c r="CR184" i="36"/>
  <c r="CR185" i="36"/>
  <c r="CR186" i="36"/>
  <c r="CR187" i="36"/>
  <c r="CR188" i="36"/>
  <c r="CR189" i="36"/>
  <c r="CR190" i="36"/>
  <c r="CR191" i="36"/>
  <c r="CR192" i="36"/>
  <c r="CR193" i="36"/>
  <c r="CL5" i="36"/>
  <c r="CL6" i="36"/>
  <c r="CL7" i="36"/>
  <c r="CL8" i="36"/>
  <c r="CL9" i="36"/>
  <c r="CL10" i="36"/>
  <c r="CL11" i="36"/>
  <c r="CL12" i="36"/>
  <c r="CL13" i="36"/>
  <c r="CL14" i="36"/>
  <c r="CL15" i="36"/>
  <c r="CL16" i="36"/>
  <c r="CL17" i="36"/>
  <c r="CL18" i="36"/>
  <c r="CL19" i="36"/>
  <c r="CL20" i="36"/>
  <c r="CL21" i="36"/>
  <c r="CL22" i="36"/>
  <c r="CL23" i="36"/>
  <c r="CL24" i="36"/>
  <c r="CL25" i="36"/>
  <c r="CL26" i="36"/>
  <c r="CL27" i="36"/>
  <c r="CL28" i="36"/>
  <c r="CL29" i="36"/>
  <c r="CL30" i="36"/>
  <c r="CL31" i="36"/>
  <c r="CL32" i="36"/>
  <c r="CL33" i="36"/>
  <c r="CL34" i="36"/>
  <c r="CL35" i="36"/>
  <c r="CL36" i="36"/>
  <c r="CL37" i="36"/>
  <c r="CL38" i="36"/>
  <c r="CL39" i="36"/>
  <c r="CL40" i="36"/>
  <c r="CL41" i="36"/>
  <c r="CL42" i="36"/>
  <c r="CL43" i="36"/>
  <c r="CL44" i="36"/>
  <c r="CL45" i="36"/>
  <c r="CL46" i="36"/>
  <c r="CL47" i="36"/>
  <c r="CL48" i="36"/>
  <c r="CL49" i="36"/>
  <c r="CL50" i="36"/>
  <c r="CL51" i="36"/>
  <c r="CL52" i="36"/>
  <c r="CL53" i="36"/>
  <c r="CL54" i="36"/>
  <c r="CL55" i="36"/>
  <c r="CL56" i="36"/>
  <c r="CL57" i="36"/>
  <c r="CL58" i="36"/>
  <c r="CL59" i="36"/>
  <c r="CL60" i="36"/>
  <c r="CL61" i="36"/>
  <c r="CL62" i="36"/>
  <c r="CL63" i="36"/>
  <c r="CL64" i="36"/>
  <c r="CL65" i="36"/>
  <c r="CL66" i="36"/>
  <c r="CL67" i="36"/>
  <c r="CL68" i="36"/>
  <c r="CL69" i="36"/>
  <c r="CL70" i="36"/>
  <c r="CL71" i="36"/>
  <c r="CL72" i="36"/>
  <c r="CL73" i="36"/>
  <c r="CL74" i="36"/>
  <c r="CL75" i="36"/>
  <c r="CL76" i="36"/>
  <c r="CL77" i="36"/>
  <c r="CL78" i="36"/>
  <c r="CL79" i="36"/>
  <c r="CL80" i="36"/>
  <c r="CL81" i="36"/>
  <c r="CL82" i="36"/>
  <c r="CL83" i="36"/>
  <c r="CL84" i="36"/>
  <c r="CL85" i="36"/>
  <c r="CL86" i="36"/>
  <c r="CL87" i="36"/>
  <c r="CL88" i="36"/>
  <c r="CL89" i="36"/>
  <c r="CL174" i="36"/>
  <c r="CL175" i="36"/>
  <c r="CL176" i="36"/>
  <c r="CL177" i="36"/>
  <c r="CL178" i="36"/>
  <c r="CL179" i="36"/>
  <c r="CL180" i="36"/>
  <c r="CL181" i="36"/>
  <c r="CL182" i="36"/>
  <c r="CL183" i="36"/>
  <c r="CL184" i="36"/>
  <c r="CL185" i="36"/>
  <c r="CL186" i="36"/>
  <c r="CL187" i="36"/>
  <c r="CL188" i="36"/>
  <c r="CL189" i="36"/>
  <c r="CL190" i="36"/>
  <c r="CL191" i="36"/>
  <c r="CL192" i="36"/>
  <c r="CL193" i="36"/>
  <c r="CF5" i="36"/>
  <c r="CF6" i="36"/>
  <c r="CF7" i="36"/>
  <c r="CF8" i="36"/>
  <c r="CF9" i="36"/>
  <c r="CF10" i="36"/>
  <c r="CF11" i="36"/>
  <c r="CF12" i="36"/>
  <c r="CF13" i="36"/>
  <c r="CF14" i="36"/>
  <c r="CF15" i="36"/>
  <c r="CF16" i="36"/>
  <c r="CF17" i="36"/>
  <c r="CF18" i="36"/>
  <c r="CF19" i="36"/>
  <c r="CF20" i="36"/>
  <c r="CF21" i="36"/>
  <c r="CF22" i="36"/>
  <c r="CF23" i="36"/>
  <c r="CF24" i="36"/>
  <c r="CF25" i="36"/>
  <c r="CF26" i="36"/>
  <c r="CF27" i="36"/>
  <c r="CF28" i="36"/>
  <c r="CF29" i="36"/>
  <c r="CF30" i="36"/>
  <c r="CF31" i="36"/>
  <c r="CF32" i="36"/>
  <c r="CF33" i="36"/>
  <c r="CF34" i="36"/>
  <c r="CF35" i="36"/>
  <c r="CF36" i="36"/>
  <c r="CF37" i="36"/>
  <c r="CF38" i="36"/>
  <c r="CF39" i="36"/>
  <c r="CF40" i="36"/>
  <c r="CF41" i="36"/>
  <c r="CF42" i="36"/>
  <c r="CF43" i="36"/>
  <c r="CF44" i="36"/>
  <c r="CF45" i="36"/>
  <c r="CF46" i="36"/>
  <c r="CF47" i="36"/>
  <c r="CF48" i="36"/>
  <c r="CF49" i="36"/>
  <c r="CF50" i="36"/>
  <c r="CF51" i="36"/>
  <c r="CF52" i="36"/>
  <c r="CF53" i="36"/>
  <c r="CF54" i="36"/>
  <c r="CF55" i="36"/>
  <c r="CF56" i="36"/>
  <c r="CF57" i="36"/>
  <c r="CF58" i="36"/>
  <c r="CF59" i="36"/>
  <c r="CF60" i="36"/>
  <c r="CF61" i="36"/>
  <c r="CF62" i="36"/>
  <c r="CF63" i="36"/>
  <c r="CF64" i="36"/>
  <c r="CF65" i="36"/>
  <c r="CF66" i="36"/>
  <c r="CF67" i="36"/>
  <c r="CF68" i="36"/>
  <c r="CF69" i="36"/>
  <c r="CF70" i="36"/>
  <c r="CF71" i="36"/>
  <c r="CF72" i="36"/>
  <c r="CF73" i="36"/>
  <c r="CF74" i="36"/>
  <c r="CF75" i="36"/>
  <c r="CF76" i="36"/>
  <c r="CF77" i="36"/>
  <c r="CF78" i="36"/>
  <c r="CF79" i="36"/>
  <c r="CF80" i="36"/>
  <c r="CF81" i="36"/>
  <c r="CF82" i="36"/>
  <c r="CF83" i="36"/>
  <c r="CF84" i="36"/>
  <c r="CF85" i="36"/>
  <c r="CF86" i="36"/>
  <c r="CF87" i="36"/>
  <c r="CF88" i="36"/>
  <c r="CF89" i="36"/>
  <c r="CF174" i="36"/>
  <c r="CF175" i="36"/>
  <c r="CF176" i="36"/>
  <c r="CF177" i="36"/>
  <c r="CF178" i="36"/>
  <c r="CF179" i="36"/>
  <c r="CF180" i="36"/>
  <c r="CF181" i="36"/>
  <c r="CF182" i="36"/>
  <c r="CF183" i="36"/>
  <c r="CF184" i="36"/>
  <c r="CF185" i="36"/>
  <c r="CF186" i="36"/>
  <c r="CF187" i="36"/>
  <c r="CF188" i="36"/>
  <c r="CF189" i="36"/>
  <c r="CF190" i="36"/>
  <c r="CF191" i="36"/>
  <c r="CF192" i="36"/>
  <c r="CF193" i="36"/>
  <c r="BZ5" i="36"/>
  <c r="BZ6" i="36"/>
  <c r="BZ7" i="36"/>
  <c r="BZ8" i="36"/>
  <c r="BZ9" i="36"/>
  <c r="BZ10" i="36"/>
  <c r="BZ11" i="36"/>
  <c r="BZ12" i="36"/>
  <c r="BZ13" i="36"/>
  <c r="BZ14" i="36"/>
  <c r="BZ15" i="36"/>
  <c r="BZ16" i="36"/>
  <c r="BZ17" i="36"/>
  <c r="BZ18" i="36"/>
  <c r="BZ19" i="36"/>
  <c r="BZ20" i="36"/>
  <c r="BZ21" i="36"/>
  <c r="BZ22" i="36"/>
  <c r="BZ23" i="36"/>
  <c r="BZ24" i="36"/>
  <c r="BZ25" i="36"/>
  <c r="BZ26" i="36"/>
  <c r="BZ27" i="36"/>
  <c r="BZ28" i="36"/>
  <c r="BZ29" i="36"/>
  <c r="BZ30" i="36"/>
  <c r="BZ31" i="36"/>
  <c r="BZ32" i="36"/>
  <c r="BZ33" i="36"/>
  <c r="BZ34" i="36"/>
  <c r="BZ35" i="36"/>
  <c r="BZ36" i="36"/>
  <c r="BZ37" i="36"/>
  <c r="BZ38" i="36"/>
  <c r="BZ39" i="36"/>
  <c r="BZ40" i="36"/>
  <c r="BZ41" i="36"/>
  <c r="BZ42" i="36"/>
  <c r="BZ43" i="36"/>
  <c r="BZ44" i="36"/>
  <c r="BZ45" i="36"/>
  <c r="BZ46" i="36"/>
  <c r="BZ47" i="36"/>
  <c r="BZ48" i="36"/>
  <c r="BZ49" i="36"/>
  <c r="BZ50" i="36"/>
  <c r="BZ51" i="36"/>
  <c r="BZ52" i="36"/>
  <c r="BZ53" i="36"/>
  <c r="BZ54" i="36"/>
  <c r="BZ55" i="36"/>
  <c r="BZ56" i="36"/>
  <c r="BZ57" i="36"/>
  <c r="BZ58" i="36"/>
  <c r="BZ59" i="36"/>
  <c r="BZ60" i="36"/>
  <c r="BZ61" i="36"/>
  <c r="BZ62" i="36"/>
  <c r="BZ63" i="36"/>
  <c r="BZ64" i="36"/>
  <c r="BZ65" i="36"/>
  <c r="BZ66" i="36"/>
  <c r="BZ67" i="36"/>
  <c r="BZ68" i="36"/>
  <c r="BZ69" i="36"/>
  <c r="BZ70" i="36"/>
  <c r="BZ71" i="36"/>
  <c r="BZ72" i="36"/>
  <c r="BZ73" i="36"/>
  <c r="BZ74" i="36"/>
  <c r="BZ75" i="36"/>
  <c r="BZ76" i="36"/>
  <c r="BZ77" i="36"/>
  <c r="BZ78" i="36"/>
  <c r="BZ79" i="36"/>
  <c r="BZ80" i="36"/>
  <c r="BZ81" i="36"/>
  <c r="BZ82" i="36"/>
  <c r="BZ83" i="36"/>
  <c r="BZ84" i="36"/>
  <c r="BZ85" i="36"/>
  <c r="BZ86" i="36"/>
  <c r="BZ87" i="36"/>
  <c r="BZ88" i="36"/>
  <c r="BZ89" i="36"/>
  <c r="BZ174" i="36"/>
  <c r="BZ175" i="36"/>
  <c r="BZ176" i="36"/>
  <c r="BZ177" i="36"/>
  <c r="BZ178" i="36"/>
  <c r="BZ179" i="36"/>
  <c r="BZ180" i="36"/>
  <c r="BZ181" i="36"/>
  <c r="BZ182" i="36"/>
  <c r="BZ183" i="36"/>
  <c r="BZ184" i="36"/>
  <c r="BZ185" i="36"/>
  <c r="BZ186" i="36"/>
  <c r="BZ187" i="36"/>
  <c r="BZ188" i="36"/>
  <c r="BZ189" i="36"/>
  <c r="BZ190" i="36"/>
  <c r="BZ191" i="36"/>
  <c r="BZ192" i="36"/>
  <c r="BZ193" i="36"/>
  <c r="BT5" i="36"/>
  <c r="BT6" i="36"/>
  <c r="BT7" i="36"/>
  <c r="BT8" i="36"/>
  <c r="BT9" i="36"/>
  <c r="BT10" i="36"/>
  <c r="BT11" i="36"/>
  <c r="BT12" i="36"/>
  <c r="BT13" i="36"/>
  <c r="BT14" i="36"/>
  <c r="BT15" i="36"/>
  <c r="BT16" i="36"/>
  <c r="BT17" i="36"/>
  <c r="BT18" i="36"/>
  <c r="BT19" i="36"/>
  <c r="BT20" i="36"/>
  <c r="BT21" i="36"/>
  <c r="BT22" i="36"/>
  <c r="BT23" i="36"/>
  <c r="BT24" i="36"/>
  <c r="BT25" i="36"/>
  <c r="BT26" i="36"/>
  <c r="BT27" i="36"/>
  <c r="BT28" i="36"/>
  <c r="BT29" i="36"/>
  <c r="BT30" i="36"/>
  <c r="BT31" i="36"/>
  <c r="BT32" i="36"/>
  <c r="BT33" i="36"/>
  <c r="BT34" i="36"/>
  <c r="BT35" i="36"/>
  <c r="BT36" i="36"/>
  <c r="BT37" i="36"/>
  <c r="BT38" i="36"/>
  <c r="BT39" i="36"/>
  <c r="BT40" i="36"/>
  <c r="BT41" i="36"/>
  <c r="BT42" i="36"/>
  <c r="BT43" i="36"/>
  <c r="BT44" i="36"/>
  <c r="BT45" i="36"/>
  <c r="BT46" i="36"/>
  <c r="BT47" i="36"/>
  <c r="BT48" i="36"/>
  <c r="BT49" i="36"/>
  <c r="BT50" i="36"/>
  <c r="BT51" i="36"/>
  <c r="BT52" i="36"/>
  <c r="BT53" i="36"/>
  <c r="BT54" i="36"/>
  <c r="BT55" i="36"/>
  <c r="BT56" i="36"/>
  <c r="BT57" i="36"/>
  <c r="BT58" i="36"/>
  <c r="BT59" i="36"/>
  <c r="BT60" i="36"/>
  <c r="BT61" i="36"/>
  <c r="BT62" i="36"/>
  <c r="BT63" i="36"/>
  <c r="BT64" i="36"/>
  <c r="BT65" i="36"/>
  <c r="BT66" i="36"/>
  <c r="BT67" i="36"/>
  <c r="BT68" i="36"/>
  <c r="BT69" i="36"/>
  <c r="BT70" i="36"/>
  <c r="BT71" i="36"/>
  <c r="BT72" i="36"/>
  <c r="BT73" i="36"/>
  <c r="BT74" i="36"/>
  <c r="BT75" i="36"/>
  <c r="BT76" i="36"/>
  <c r="BT77" i="36"/>
  <c r="BT78" i="36"/>
  <c r="BT79" i="36"/>
  <c r="BT80" i="36"/>
  <c r="BT81" i="36"/>
  <c r="BT82" i="36"/>
  <c r="BT83" i="36"/>
  <c r="BT84" i="36"/>
  <c r="BT85" i="36"/>
  <c r="BT86" i="36"/>
  <c r="BT87" i="36"/>
  <c r="BT88" i="36"/>
  <c r="BT89" i="36"/>
  <c r="BT174" i="36"/>
  <c r="BT175" i="36"/>
  <c r="BT176" i="36"/>
  <c r="BT177" i="36"/>
  <c r="BT178" i="36"/>
  <c r="BT179" i="36"/>
  <c r="BT180" i="36"/>
  <c r="BT181" i="36"/>
  <c r="BT182" i="36"/>
  <c r="BT183" i="36"/>
  <c r="BT184" i="36"/>
  <c r="BT185" i="36"/>
  <c r="BT186" i="36"/>
  <c r="BT187" i="36"/>
  <c r="BT188" i="36"/>
  <c r="BT189" i="36"/>
  <c r="BT190" i="36"/>
  <c r="BT191" i="36"/>
  <c r="BT192" i="36"/>
  <c r="BT193" i="36"/>
  <c r="BN5" i="36"/>
  <c r="BN6" i="36"/>
  <c r="BN7" i="36"/>
  <c r="BN8" i="36"/>
  <c r="BN9" i="36"/>
  <c r="BN10" i="36"/>
  <c r="BN11" i="36"/>
  <c r="BN12" i="36"/>
  <c r="BN13" i="36"/>
  <c r="BN14" i="36"/>
  <c r="BN15" i="36"/>
  <c r="BN16" i="36"/>
  <c r="BN17" i="36"/>
  <c r="BN18" i="36"/>
  <c r="BN19" i="36"/>
  <c r="BN20" i="36"/>
  <c r="BN21" i="36"/>
  <c r="BN22" i="36"/>
  <c r="BN23" i="36"/>
  <c r="BN24" i="36"/>
  <c r="BN25" i="36"/>
  <c r="BN26" i="36"/>
  <c r="BN27" i="36"/>
  <c r="BN28" i="36"/>
  <c r="BN29" i="36"/>
  <c r="BN30" i="36"/>
  <c r="BN31" i="36"/>
  <c r="BN32" i="36"/>
  <c r="BN33" i="36"/>
  <c r="BN34" i="36"/>
  <c r="BN35" i="36"/>
  <c r="BN36" i="36"/>
  <c r="BN37" i="36"/>
  <c r="BN38" i="36"/>
  <c r="BN39" i="36"/>
  <c r="BN40" i="36"/>
  <c r="BN41" i="36"/>
  <c r="BN42" i="36"/>
  <c r="BN43" i="36"/>
  <c r="BN44" i="36"/>
  <c r="BN45" i="36"/>
  <c r="BN46" i="36"/>
  <c r="BN47" i="36"/>
  <c r="BN48" i="36"/>
  <c r="BN49" i="36"/>
  <c r="BN50" i="36"/>
  <c r="BN51" i="36"/>
  <c r="BN52" i="36"/>
  <c r="BN53" i="36"/>
  <c r="BN54" i="36"/>
  <c r="BN55" i="36"/>
  <c r="BN56" i="36"/>
  <c r="BN57" i="36"/>
  <c r="BN58" i="36"/>
  <c r="BN59" i="36"/>
  <c r="BN60" i="36"/>
  <c r="BN61" i="36"/>
  <c r="BN62" i="36"/>
  <c r="BN63" i="36"/>
  <c r="BN64" i="36"/>
  <c r="BN65" i="36"/>
  <c r="BN66" i="36"/>
  <c r="BN67" i="36"/>
  <c r="BN68" i="36"/>
  <c r="BN69" i="36"/>
  <c r="BN70" i="36"/>
  <c r="BN71" i="36"/>
  <c r="BN72" i="36"/>
  <c r="BN73" i="36"/>
  <c r="BN74" i="36"/>
  <c r="BN75" i="36"/>
  <c r="BN76" i="36"/>
  <c r="BN77" i="36"/>
  <c r="BN78" i="36"/>
  <c r="BN79" i="36"/>
  <c r="BN80" i="36"/>
  <c r="BN81" i="36"/>
  <c r="BN82" i="36"/>
  <c r="BN83" i="36"/>
  <c r="BN84" i="36"/>
  <c r="BN85" i="36"/>
  <c r="BN86" i="36"/>
  <c r="BN87" i="36"/>
  <c r="BN88" i="36"/>
  <c r="BN89" i="36"/>
  <c r="BN174" i="36"/>
  <c r="BN175" i="36"/>
  <c r="BN176" i="36"/>
  <c r="BN177" i="36"/>
  <c r="BN178" i="36"/>
  <c r="BN179" i="36"/>
  <c r="BN180" i="36"/>
  <c r="BN181" i="36"/>
  <c r="BN182" i="36"/>
  <c r="BN183" i="36"/>
  <c r="BN184" i="36"/>
  <c r="BN185" i="36"/>
  <c r="BN186" i="36"/>
  <c r="BN187" i="36"/>
  <c r="BN188" i="36"/>
  <c r="BN189" i="36"/>
  <c r="BN190" i="36"/>
  <c r="BN191" i="36"/>
  <c r="BN192" i="36"/>
  <c r="BN193" i="36"/>
  <c r="BH5" i="36"/>
  <c r="BH6" i="36"/>
  <c r="BH7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H39" i="36"/>
  <c r="BH40" i="36"/>
  <c r="BH41" i="36"/>
  <c r="BH42" i="36"/>
  <c r="BH43" i="36"/>
  <c r="BH44" i="36"/>
  <c r="BH45" i="36"/>
  <c r="BH46" i="36"/>
  <c r="BH47" i="36"/>
  <c r="BH48" i="36"/>
  <c r="BH49" i="36"/>
  <c r="BH50" i="36"/>
  <c r="BH51" i="36"/>
  <c r="BH52" i="36"/>
  <c r="BH53" i="36"/>
  <c r="BH54" i="36"/>
  <c r="BH55" i="36"/>
  <c r="BH56" i="36"/>
  <c r="BH57" i="36"/>
  <c r="BH58" i="36"/>
  <c r="BH59" i="36"/>
  <c r="BH60" i="36"/>
  <c r="BH61" i="36"/>
  <c r="BH62" i="36"/>
  <c r="BH63" i="36"/>
  <c r="BH64" i="36"/>
  <c r="BH65" i="36"/>
  <c r="BH66" i="36"/>
  <c r="BH67" i="36"/>
  <c r="BH68" i="36"/>
  <c r="BH69" i="36"/>
  <c r="BH70" i="36"/>
  <c r="BH71" i="36"/>
  <c r="BH72" i="36"/>
  <c r="BH73" i="36"/>
  <c r="BH74" i="36"/>
  <c r="BH75" i="36"/>
  <c r="BH76" i="36"/>
  <c r="BH77" i="36"/>
  <c r="BH78" i="36"/>
  <c r="BH79" i="36"/>
  <c r="BH80" i="36"/>
  <c r="BH81" i="36"/>
  <c r="BH82" i="36"/>
  <c r="BH83" i="36"/>
  <c r="BH84" i="36"/>
  <c r="BH85" i="36"/>
  <c r="BH86" i="36"/>
  <c r="BH87" i="36"/>
  <c r="BH88" i="36"/>
  <c r="BH89" i="36"/>
  <c r="BH174" i="36"/>
  <c r="BH175" i="36"/>
  <c r="BH176" i="36"/>
  <c r="BH177" i="36"/>
  <c r="BH178" i="36"/>
  <c r="BH179" i="36"/>
  <c r="BH180" i="36"/>
  <c r="BH181" i="36"/>
  <c r="BH182" i="36"/>
  <c r="BH183" i="36"/>
  <c r="BH184" i="36"/>
  <c r="BH185" i="36"/>
  <c r="BH186" i="36"/>
  <c r="BH187" i="36"/>
  <c r="BH188" i="36"/>
  <c r="BH189" i="36"/>
  <c r="BH190" i="36"/>
  <c r="BH191" i="36"/>
  <c r="BH192" i="36"/>
  <c r="BH193" i="36"/>
  <c r="AV5" i="36"/>
  <c r="AV6" i="36"/>
  <c r="AV7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V39" i="36"/>
  <c r="AV40" i="36"/>
  <c r="AV41" i="36"/>
  <c r="AV42" i="36"/>
  <c r="AV43" i="36"/>
  <c r="AV44" i="36"/>
  <c r="AV45" i="36"/>
  <c r="AV46" i="36"/>
  <c r="AV47" i="36"/>
  <c r="AV48" i="36"/>
  <c r="AV49" i="36"/>
  <c r="AV50" i="36"/>
  <c r="AV51" i="36"/>
  <c r="AV52" i="36"/>
  <c r="AV53" i="36"/>
  <c r="AV54" i="36"/>
  <c r="AV55" i="36"/>
  <c r="AV56" i="36"/>
  <c r="AV57" i="36"/>
  <c r="AV58" i="36"/>
  <c r="AV59" i="36"/>
  <c r="AV60" i="36"/>
  <c r="AV61" i="36"/>
  <c r="AV62" i="36"/>
  <c r="AV63" i="36"/>
  <c r="AV64" i="36"/>
  <c r="AV65" i="36"/>
  <c r="AV66" i="36"/>
  <c r="AV67" i="36"/>
  <c r="AV68" i="36"/>
  <c r="AV69" i="36"/>
  <c r="AV70" i="36"/>
  <c r="AV71" i="36"/>
  <c r="AV72" i="36"/>
  <c r="AV73" i="36"/>
  <c r="AV74" i="36"/>
  <c r="AV75" i="36"/>
  <c r="AV76" i="36"/>
  <c r="AV77" i="36"/>
  <c r="AV78" i="36"/>
  <c r="AV79" i="36"/>
  <c r="AV80" i="36"/>
  <c r="AV81" i="36"/>
  <c r="AV82" i="36"/>
  <c r="AV83" i="36"/>
  <c r="AV84" i="36"/>
  <c r="AV85" i="36"/>
  <c r="AV86" i="36"/>
  <c r="AV87" i="36"/>
  <c r="AV88" i="36"/>
  <c r="AV89" i="36"/>
  <c r="AV174" i="36"/>
  <c r="AV175" i="36"/>
  <c r="AV176" i="36"/>
  <c r="AV177" i="36"/>
  <c r="AV178" i="36"/>
  <c r="AV179" i="36"/>
  <c r="AV180" i="36"/>
  <c r="AV181" i="36"/>
  <c r="AV182" i="36"/>
  <c r="AV183" i="36"/>
  <c r="AV184" i="36"/>
  <c r="AV185" i="36"/>
  <c r="AV186" i="36"/>
  <c r="AV187" i="36"/>
  <c r="AV188" i="36"/>
  <c r="AV189" i="36"/>
  <c r="AV190" i="36"/>
  <c r="AV191" i="36"/>
  <c r="AV192" i="36"/>
  <c r="AV193" i="36"/>
  <c r="AP5" i="36"/>
  <c r="AP6" i="36"/>
  <c r="AP7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5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P39" i="36"/>
  <c r="AP40" i="36"/>
  <c r="AP41" i="36"/>
  <c r="AP42" i="36"/>
  <c r="AP43" i="36"/>
  <c r="AP44" i="36"/>
  <c r="AP45" i="36"/>
  <c r="AP46" i="36"/>
  <c r="AP47" i="36"/>
  <c r="AP48" i="36"/>
  <c r="AP49" i="36"/>
  <c r="AP50" i="36"/>
  <c r="AP51" i="36"/>
  <c r="AP52" i="36"/>
  <c r="AP53" i="36"/>
  <c r="AP54" i="36"/>
  <c r="AP55" i="36"/>
  <c r="AP56" i="36"/>
  <c r="AP57" i="36"/>
  <c r="AP58" i="36"/>
  <c r="AP59" i="36"/>
  <c r="AP60" i="36"/>
  <c r="AP61" i="36"/>
  <c r="AP62" i="36"/>
  <c r="AP63" i="36"/>
  <c r="AP64" i="36"/>
  <c r="AP65" i="36"/>
  <c r="AP66" i="36"/>
  <c r="AP67" i="36"/>
  <c r="AP68" i="36"/>
  <c r="AP69" i="36"/>
  <c r="AP70" i="36"/>
  <c r="AP71" i="36"/>
  <c r="AP72" i="36"/>
  <c r="AP73" i="36"/>
  <c r="AP74" i="36"/>
  <c r="AP75" i="36"/>
  <c r="AP76" i="36"/>
  <c r="AP77" i="36"/>
  <c r="AP78" i="36"/>
  <c r="AP79" i="36"/>
  <c r="AP80" i="36"/>
  <c r="AP81" i="36"/>
  <c r="AP82" i="36"/>
  <c r="AP83" i="36"/>
  <c r="AP84" i="36"/>
  <c r="AP85" i="36"/>
  <c r="AP86" i="36"/>
  <c r="AP87" i="36"/>
  <c r="AP88" i="36"/>
  <c r="AP89" i="36"/>
  <c r="AP174" i="36"/>
  <c r="AP175" i="36"/>
  <c r="AP176" i="36"/>
  <c r="AP177" i="36"/>
  <c r="AP178" i="36"/>
  <c r="AP179" i="36"/>
  <c r="AP180" i="36"/>
  <c r="AP181" i="36"/>
  <c r="AP182" i="36"/>
  <c r="AP183" i="36"/>
  <c r="AP184" i="36"/>
  <c r="AP185" i="36"/>
  <c r="AP186" i="36"/>
  <c r="AP187" i="36"/>
  <c r="AP188" i="36"/>
  <c r="AP189" i="36"/>
  <c r="AP190" i="36"/>
  <c r="AP191" i="36"/>
  <c r="AP192" i="36"/>
  <c r="AP193" i="36"/>
  <c r="AJ5" i="36"/>
  <c r="AJ6" i="36"/>
  <c r="AJ7" i="36"/>
  <c r="AJ8" i="36"/>
  <c r="AJ9" i="36"/>
  <c r="AJ10" i="36"/>
  <c r="AJ11" i="36"/>
  <c r="AJ12" i="36"/>
  <c r="AJ13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J39" i="36"/>
  <c r="AJ40" i="36"/>
  <c r="AJ41" i="36"/>
  <c r="AJ42" i="36"/>
  <c r="AJ43" i="36"/>
  <c r="AJ44" i="36"/>
  <c r="AJ45" i="36"/>
  <c r="AJ46" i="36"/>
  <c r="AJ47" i="36"/>
  <c r="AJ48" i="36"/>
  <c r="AJ49" i="36"/>
  <c r="AJ50" i="36"/>
  <c r="AJ51" i="36"/>
  <c r="AJ52" i="36"/>
  <c r="AJ53" i="36"/>
  <c r="AJ54" i="36"/>
  <c r="AJ55" i="36"/>
  <c r="AJ56" i="36"/>
  <c r="AJ57" i="36"/>
  <c r="AJ58" i="36"/>
  <c r="AJ59" i="36"/>
  <c r="AJ60" i="36"/>
  <c r="AJ61" i="36"/>
  <c r="AJ62" i="36"/>
  <c r="AJ63" i="36"/>
  <c r="AJ64" i="36"/>
  <c r="AJ65" i="36"/>
  <c r="AJ66" i="36"/>
  <c r="AJ67" i="36"/>
  <c r="AJ68" i="36"/>
  <c r="AJ69" i="36"/>
  <c r="AJ70" i="36"/>
  <c r="AJ71" i="36"/>
  <c r="AJ72" i="36"/>
  <c r="AJ73" i="36"/>
  <c r="AJ74" i="36"/>
  <c r="AJ75" i="36"/>
  <c r="AJ76" i="36"/>
  <c r="AJ77" i="36"/>
  <c r="AJ78" i="36"/>
  <c r="AJ79" i="36"/>
  <c r="AJ80" i="36"/>
  <c r="AJ81" i="36"/>
  <c r="AJ82" i="36"/>
  <c r="AJ83" i="36"/>
  <c r="AJ84" i="36"/>
  <c r="AJ85" i="36"/>
  <c r="AJ86" i="36"/>
  <c r="AJ87" i="36"/>
  <c r="AJ88" i="36"/>
  <c r="AJ89" i="36"/>
  <c r="AJ174" i="36"/>
  <c r="AJ175" i="36"/>
  <c r="AJ176" i="36"/>
  <c r="AJ177" i="36"/>
  <c r="AJ178" i="36"/>
  <c r="AJ179" i="36"/>
  <c r="AJ180" i="36"/>
  <c r="AJ181" i="36"/>
  <c r="AJ182" i="36"/>
  <c r="AJ183" i="36"/>
  <c r="AJ184" i="36"/>
  <c r="AJ185" i="36"/>
  <c r="AJ186" i="36"/>
  <c r="AJ187" i="36"/>
  <c r="AJ188" i="36"/>
  <c r="AJ189" i="36"/>
  <c r="AJ190" i="36"/>
  <c r="AJ191" i="36"/>
  <c r="AJ192" i="36"/>
  <c r="AJ193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DG128" i="36" l="1"/>
  <c r="DG140" i="36"/>
  <c r="DG166" i="36"/>
  <c r="DG122" i="36"/>
  <c r="DG100" i="36"/>
  <c r="DG173" i="36"/>
  <c r="DG111" i="36"/>
  <c r="DA126" i="36"/>
  <c r="DE126" i="36" s="1"/>
  <c r="DG119" i="36"/>
  <c r="DG115" i="36"/>
  <c r="DA137" i="36"/>
  <c r="DD137" i="36" s="1"/>
  <c r="DG149" i="36"/>
  <c r="DA171" i="36"/>
  <c r="DD171" i="36" s="1"/>
  <c r="DA97" i="36"/>
  <c r="DD97" i="36" s="1"/>
  <c r="DG142" i="36"/>
  <c r="DA113" i="36"/>
  <c r="DD113" i="36" s="1"/>
  <c r="DA159" i="36"/>
  <c r="DE159" i="36" s="1"/>
  <c r="DA124" i="36"/>
  <c r="DE124" i="36" s="1"/>
  <c r="DA138" i="36"/>
  <c r="DD138" i="36" s="1"/>
  <c r="DG99" i="36"/>
  <c r="DG155" i="36"/>
  <c r="DA107" i="36"/>
  <c r="DD107" i="36" s="1"/>
  <c r="DA147" i="36"/>
  <c r="DD147" i="36" s="1"/>
  <c r="DG160" i="36"/>
  <c r="DG116" i="36"/>
  <c r="DG96" i="36"/>
  <c r="DA104" i="36"/>
  <c r="DE104" i="36" s="1"/>
  <c r="DG144" i="36"/>
  <c r="DG139" i="36"/>
  <c r="DA93" i="36"/>
  <c r="DD93" i="36" s="1"/>
  <c r="DG109" i="36"/>
  <c r="DG90" i="36"/>
  <c r="DA127" i="36"/>
  <c r="DE127" i="36" s="1"/>
  <c r="DG123" i="36"/>
  <c r="DA158" i="36"/>
  <c r="DD158" i="36" s="1"/>
  <c r="DA154" i="36"/>
  <c r="DD154" i="36" s="1"/>
  <c r="DA121" i="36"/>
  <c r="DD121" i="36" s="1"/>
  <c r="DA105" i="36"/>
  <c r="DD105" i="36" s="1"/>
  <c r="DG132" i="36"/>
  <c r="DA125" i="36"/>
  <c r="DD125" i="36" s="1"/>
  <c r="DA101" i="36"/>
  <c r="DD101" i="36" s="1"/>
  <c r="DG118" i="36"/>
  <c r="DA170" i="36"/>
  <c r="DE170" i="36" s="1"/>
  <c r="DA169" i="36"/>
  <c r="DE169" i="36" s="1"/>
  <c r="DA114" i="36"/>
  <c r="DD114" i="36" s="1"/>
  <c r="DG146" i="36"/>
  <c r="DD194" i="36"/>
  <c r="DE194" i="36"/>
  <c r="DD122" i="36"/>
  <c r="DE122" i="36"/>
  <c r="DD98" i="36"/>
  <c r="DE98" i="36"/>
  <c r="DD162" i="36"/>
  <c r="DE162" i="36"/>
  <c r="DE150" i="36"/>
  <c r="DD150" i="36"/>
  <c r="DD159" i="36"/>
  <c r="DE116" i="36"/>
  <c r="DD116" i="36"/>
  <c r="DD152" i="36"/>
  <c r="DE152" i="36"/>
  <c r="DE118" i="36"/>
  <c r="DD118" i="36"/>
  <c r="DE94" i="36"/>
  <c r="DD94" i="36"/>
  <c r="DE157" i="36"/>
  <c r="DD157" i="36"/>
  <c r="DE131" i="36"/>
  <c r="DD131" i="36"/>
  <c r="DE109" i="36"/>
  <c r="DD109" i="36"/>
  <c r="DD140" i="36"/>
  <c r="DE140" i="36"/>
  <c r="DD110" i="36"/>
  <c r="DE110" i="36"/>
  <c r="DE145" i="36"/>
  <c r="DD145" i="36"/>
  <c r="DD111" i="36"/>
  <c r="DE111" i="36"/>
  <c r="DD142" i="36"/>
  <c r="DE142" i="36"/>
  <c r="DE164" i="36"/>
  <c r="DD164" i="36"/>
  <c r="DD119" i="36"/>
  <c r="DE119" i="36"/>
  <c r="DE95" i="36"/>
  <c r="DD95" i="36"/>
  <c r="DD128" i="36"/>
  <c r="DE128" i="36"/>
  <c r="DE100" i="36"/>
  <c r="DD100" i="36"/>
  <c r="DE133" i="36"/>
  <c r="DD133" i="36"/>
  <c r="DD130" i="36"/>
  <c r="DE130" i="36"/>
  <c r="DD165" i="36"/>
  <c r="DE165" i="36"/>
  <c r="DD108" i="36"/>
  <c r="DE108" i="36"/>
  <c r="DE139" i="36"/>
  <c r="DD139" i="36"/>
  <c r="DD148" i="36"/>
  <c r="DE148" i="36"/>
  <c r="DD168" i="36"/>
  <c r="DE168" i="36"/>
  <c r="DE153" i="36"/>
  <c r="DD153" i="36"/>
  <c r="DE136" i="36"/>
  <c r="DD136" i="36"/>
  <c r="DD167" i="36"/>
  <c r="DE167" i="36"/>
  <c r="DE106" i="36"/>
  <c r="DD106" i="36"/>
  <c r="DD141" i="36"/>
  <c r="DE141" i="36"/>
  <c r="DE135" i="36"/>
  <c r="DD135" i="36"/>
  <c r="DE90" i="36"/>
  <c r="DD90" i="36"/>
  <c r="DE123" i="36"/>
  <c r="DD123" i="36"/>
  <c r="DD99" i="36"/>
  <c r="DE99" i="36"/>
  <c r="DD163" i="36"/>
  <c r="DE163" i="36"/>
  <c r="DD112" i="36"/>
  <c r="DE112" i="36"/>
  <c r="DD173" i="36"/>
  <c r="DE173" i="36"/>
  <c r="DD115" i="36"/>
  <c r="DE115" i="36"/>
  <c r="DD91" i="36"/>
  <c r="DE91" i="36"/>
  <c r="DE155" i="36"/>
  <c r="DD155" i="36"/>
  <c r="DE96" i="36"/>
  <c r="DD96" i="36"/>
  <c r="DD129" i="36"/>
  <c r="DE129" i="36"/>
  <c r="DD126" i="36"/>
  <c r="DE161" i="36"/>
  <c r="DD161" i="36"/>
  <c r="DD166" i="36"/>
  <c r="DE166" i="36"/>
  <c r="DD144" i="36"/>
  <c r="DE144" i="36"/>
  <c r="DD160" i="36"/>
  <c r="DE160" i="36"/>
  <c r="DE117" i="36"/>
  <c r="DD117" i="36"/>
  <c r="DE149" i="36"/>
  <c r="DD149" i="36"/>
  <c r="DD146" i="36"/>
  <c r="DE146" i="36"/>
  <c r="DD132" i="36"/>
  <c r="DE132" i="36"/>
  <c r="DE102" i="36"/>
  <c r="DD102" i="36"/>
  <c r="DD103" i="36"/>
  <c r="DE103" i="36"/>
  <c r="DE134" i="36"/>
  <c r="DD134" i="36"/>
  <c r="DE143" i="36"/>
  <c r="DD143" i="36"/>
  <c r="DE172" i="36"/>
  <c r="DD172" i="36"/>
  <c r="DD120" i="36"/>
  <c r="DE120" i="36"/>
  <c r="DE151" i="36"/>
  <c r="DD151" i="36"/>
  <c r="DD92" i="36"/>
  <c r="DE92" i="36"/>
  <c r="DE156" i="36"/>
  <c r="DD156" i="36"/>
  <c r="AB5" i="36"/>
  <c r="CL195" i="36"/>
  <c r="AV195" i="36"/>
  <c r="BN195" i="36"/>
  <c r="BZ195" i="36"/>
  <c r="CR195" i="36"/>
  <c r="AJ195" i="36"/>
  <c r="AD195" i="36"/>
  <c r="AP195" i="36"/>
  <c r="BH195" i="36"/>
  <c r="BT195" i="36"/>
  <c r="CF195" i="36"/>
  <c r="Z5" i="36"/>
  <c r="A6" i="36"/>
  <c r="A7" i="36"/>
  <c r="A8" i="36"/>
  <c r="AB8" i="36" s="1"/>
  <c r="A9" i="36"/>
  <c r="AB9" i="36" s="1"/>
  <c r="A10" i="36"/>
  <c r="AB10" i="36" s="1"/>
  <c r="A11" i="36"/>
  <c r="AB11" i="36" s="1"/>
  <c r="A12" i="36"/>
  <c r="AB12" i="36" s="1"/>
  <c r="A13" i="36"/>
  <c r="AB13" i="36" s="1"/>
  <c r="A14" i="36"/>
  <c r="AB14" i="36" s="1"/>
  <c r="A15" i="36"/>
  <c r="AB15" i="36" s="1"/>
  <c r="A16" i="36"/>
  <c r="AB16" i="36" s="1"/>
  <c r="A17" i="36"/>
  <c r="AB17" i="36" s="1"/>
  <c r="A18" i="36"/>
  <c r="AB18" i="36" s="1"/>
  <c r="A19" i="36"/>
  <c r="AB19" i="36" s="1"/>
  <c r="A20" i="36"/>
  <c r="AB20" i="36" s="1"/>
  <c r="A21" i="36"/>
  <c r="AB21" i="36" s="1"/>
  <c r="A22" i="36"/>
  <c r="AB22" i="36" s="1"/>
  <c r="A23" i="36"/>
  <c r="AB23" i="36" s="1"/>
  <c r="A24" i="36"/>
  <c r="AB24" i="36" s="1"/>
  <c r="A25" i="36"/>
  <c r="AB25" i="36" s="1"/>
  <c r="A26" i="36"/>
  <c r="AB26" i="36" s="1"/>
  <c r="A27" i="36"/>
  <c r="AB27" i="36" s="1"/>
  <c r="A28" i="36"/>
  <c r="AB28" i="36" s="1"/>
  <c r="A29" i="36"/>
  <c r="AB29" i="36" s="1"/>
  <c r="A30" i="36"/>
  <c r="AB30" i="36" s="1"/>
  <c r="A31" i="36"/>
  <c r="AB31" i="36" s="1"/>
  <c r="A32" i="36"/>
  <c r="AB32" i="36" s="1"/>
  <c r="A33" i="36"/>
  <c r="AB33" i="36" s="1"/>
  <c r="A34" i="36"/>
  <c r="AB34" i="36" s="1"/>
  <c r="A35" i="36"/>
  <c r="AB35" i="36" s="1"/>
  <c r="A36" i="36"/>
  <c r="AB36" i="36" s="1"/>
  <c r="A37" i="36"/>
  <c r="AB37" i="36" s="1"/>
  <c r="A38" i="36"/>
  <c r="AB38" i="36" s="1"/>
  <c r="A39" i="36"/>
  <c r="AB39" i="36" s="1"/>
  <c r="A40" i="36"/>
  <c r="AB40" i="36" s="1"/>
  <c r="A41" i="36"/>
  <c r="AB41" i="36" s="1"/>
  <c r="A42" i="36"/>
  <c r="AB42" i="36" s="1"/>
  <c r="A43" i="36"/>
  <c r="AB43" i="36" s="1"/>
  <c r="A44" i="36"/>
  <c r="AB44" i="36" s="1"/>
  <c r="A45" i="36"/>
  <c r="AB45" i="36" s="1"/>
  <c r="A46" i="36"/>
  <c r="AB46" i="36" s="1"/>
  <c r="A47" i="36"/>
  <c r="AB47" i="36" s="1"/>
  <c r="A48" i="36"/>
  <c r="AB48" i="36" s="1"/>
  <c r="A49" i="36"/>
  <c r="AB49" i="36" s="1"/>
  <c r="A50" i="36"/>
  <c r="AB50" i="36" s="1"/>
  <c r="A51" i="36"/>
  <c r="A52" i="36"/>
  <c r="AB52" i="36" s="1"/>
  <c r="A53" i="36"/>
  <c r="AB53" i="36" s="1"/>
  <c r="A54" i="36"/>
  <c r="AB54" i="36" s="1"/>
  <c r="A55" i="36"/>
  <c r="AB55" i="36" s="1"/>
  <c r="A56" i="36"/>
  <c r="AB56" i="36" s="1"/>
  <c r="A57" i="36"/>
  <c r="A58" i="36"/>
  <c r="AB58" i="36" s="1"/>
  <c r="A59" i="36"/>
  <c r="AB59" i="36" s="1"/>
  <c r="A60" i="36"/>
  <c r="AB60" i="36" s="1"/>
  <c r="A61" i="36"/>
  <c r="AB61" i="36" s="1"/>
  <c r="A62" i="36"/>
  <c r="A63" i="36"/>
  <c r="AB63" i="36" s="1"/>
  <c r="A64" i="36"/>
  <c r="AB64" i="36" s="1"/>
  <c r="A65" i="36"/>
  <c r="AB65" i="36" s="1"/>
  <c r="A66" i="36"/>
  <c r="AB66" i="36" s="1"/>
  <c r="A67" i="36"/>
  <c r="AB67" i="36" s="1"/>
  <c r="A68" i="36"/>
  <c r="AB68" i="36" s="1"/>
  <c r="A69" i="36"/>
  <c r="AB69" i="36" s="1"/>
  <c r="A70" i="36"/>
  <c r="A71" i="36"/>
  <c r="A72" i="36"/>
  <c r="AB72" i="36" s="1"/>
  <c r="A73" i="36"/>
  <c r="AB73" i="36" s="1"/>
  <c r="A74" i="36"/>
  <c r="AB74" i="36" s="1"/>
  <c r="A75" i="36"/>
  <c r="AB75" i="36" s="1"/>
  <c r="A76" i="36"/>
  <c r="AB76" i="36" s="1"/>
  <c r="A77" i="36"/>
  <c r="AB77" i="36" s="1"/>
  <c r="A78" i="36"/>
  <c r="AB78" i="36" s="1"/>
  <c r="A79" i="36"/>
  <c r="AB79" i="36" s="1"/>
  <c r="A80" i="36"/>
  <c r="AB80" i="36" s="1"/>
  <c r="A81" i="36"/>
  <c r="AB81" i="36" s="1"/>
  <c r="A82" i="36"/>
  <c r="AB82" i="36" s="1"/>
  <c r="A83" i="36"/>
  <c r="AB83" i="36" s="1"/>
  <c r="A84" i="36"/>
  <c r="AB84" i="36" s="1"/>
  <c r="A85" i="36"/>
  <c r="AB85" i="36" s="1"/>
  <c r="A86" i="36"/>
  <c r="A87" i="36"/>
  <c r="AB87" i="36" s="1"/>
  <c r="A88" i="36"/>
  <c r="AB88" i="36" s="1"/>
  <c r="A89" i="36"/>
  <c r="AB89" i="36" s="1"/>
  <c r="A174" i="36"/>
  <c r="A175" i="36"/>
  <c r="AB175" i="36" s="1"/>
  <c r="A176" i="36"/>
  <c r="AB176" i="36" s="1"/>
  <c r="A177" i="36"/>
  <c r="AB177" i="36" s="1"/>
  <c r="A178" i="36"/>
  <c r="AB178" i="36" s="1"/>
  <c r="A179" i="36"/>
  <c r="A180" i="36"/>
  <c r="A181" i="36"/>
  <c r="A182" i="36"/>
  <c r="A183" i="36"/>
  <c r="A184" i="36"/>
  <c r="A185" i="36"/>
  <c r="A186" i="36"/>
  <c r="A187" i="36"/>
  <c r="AB187" i="36" s="1"/>
  <c r="A188" i="36"/>
  <c r="A189" i="36"/>
  <c r="AB189" i="36" s="1"/>
  <c r="A190" i="36"/>
  <c r="AB190" i="36" s="1"/>
  <c r="A191" i="36"/>
  <c r="AB191" i="36" s="1"/>
  <c r="A192" i="36"/>
  <c r="AB192" i="36" s="1"/>
  <c r="A193" i="36"/>
  <c r="CX195" i="36"/>
  <c r="DI195" i="36"/>
  <c r="DJ194" i="36"/>
  <c r="CI5" i="36"/>
  <c r="CJ5" i="36" s="1"/>
  <c r="CU5" i="36"/>
  <c r="CV5" i="36" s="1"/>
  <c r="CU6" i="36"/>
  <c r="CV6" i="36" s="1"/>
  <c r="CO5" i="36"/>
  <c r="CP5" i="36" s="1"/>
  <c r="CO6" i="36"/>
  <c r="CP6" i="36" s="1"/>
  <c r="CI6" i="36"/>
  <c r="CJ6" i="36" s="1"/>
  <c r="CC5" i="36"/>
  <c r="CD5" i="36" s="1"/>
  <c r="CC6" i="36"/>
  <c r="CD6" i="36" s="1"/>
  <c r="BW5" i="36"/>
  <c r="BX5" i="36" s="1"/>
  <c r="BW6" i="36"/>
  <c r="BX6" i="36" s="1"/>
  <c r="BQ5" i="36"/>
  <c r="BR5" i="36" s="1"/>
  <c r="BQ6" i="36"/>
  <c r="BR6" i="36" s="1"/>
  <c r="BK5" i="36"/>
  <c r="BL5" i="36" s="1"/>
  <c r="BK6" i="36"/>
  <c r="BL6" i="36" s="1"/>
  <c r="BE5" i="36"/>
  <c r="BF5" i="36" s="1"/>
  <c r="BE6" i="36"/>
  <c r="BF6" i="36" s="1"/>
  <c r="AY5" i="36"/>
  <c r="AZ5" i="36" s="1"/>
  <c r="AY6" i="36"/>
  <c r="AZ6" i="36" s="1"/>
  <c r="AS5" i="36"/>
  <c r="AT5" i="36" s="1"/>
  <c r="AS6" i="36"/>
  <c r="AT6" i="36" s="1"/>
  <c r="AM5" i="36"/>
  <c r="AN5" i="36" s="1"/>
  <c r="AM6" i="36"/>
  <c r="AN6" i="36" s="1"/>
  <c r="AG5" i="36"/>
  <c r="AH5" i="36" s="1"/>
  <c r="AG6" i="36"/>
  <c r="AH6" i="36" s="1"/>
  <c r="AY7" i="36"/>
  <c r="AZ7" i="36" s="1"/>
  <c r="AY11" i="36"/>
  <c r="AZ11" i="36" s="1"/>
  <c r="BQ15" i="36"/>
  <c r="BR15" i="36" s="1"/>
  <c r="BK17" i="36"/>
  <c r="BL17" i="36" s="1"/>
  <c r="AM20" i="36"/>
  <c r="AN20" i="36" s="1"/>
  <c r="AY23" i="36"/>
  <c r="AZ23" i="36" s="1"/>
  <c r="AY24" i="36"/>
  <c r="AZ24" i="36" s="1"/>
  <c r="BQ27" i="36"/>
  <c r="BR27" i="36" s="1"/>
  <c r="BK28" i="36"/>
  <c r="BL28" i="36" s="1"/>
  <c r="AY31" i="36"/>
  <c r="AZ31" i="36" s="1"/>
  <c r="BK32" i="36"/>
  <c r="BL32" i="36" s="1"/>
  <c r="CU33" i="36"/>
  <c r="CV33" i="36" s="1"/>
  <c r="BQ35" i="36"/>
  <c r="BR35" i="36" s="1"/>
  <c r="AM36" i="36"/>
  <c r="AN36" i="36" s="1"/>
  <c r="AY40" i="36"/>
  <c r="AZ40" i="36" s="1"/>
  <c r="AY43" i="36"/>
  <c r="AZ43" i="36" s="1"/>
  <c r="BW44" i="36"/>
  <c r="BX44" i="36" s="1"/>
  <c r="AY47" i="36"/>
  <c r="AZ47" i="36" s="1"/>
  <c r="BK49" i="36"/>
  <c r="BL49" i="36" s="1"/>
  <c r="CC51" i="36"/>
  <c r="CD51" i="36" s="1"/>
  <c r="AM52" i="36"/>
  <c r="AN52" i="36" s="1"/>
  <c r="AY55" i="36"/>
  <c r="AZ55" i="36" s="1"/>
  <c r="AY56" i="36"/>
  <c r="AZ56" i="36" s="1"/>
  <c r="AM59" i="36"/>
  <c r="AN59" i="36" s="1"/>
  <c r="BW60" i="36"/>
  <c r="BX60" i="36" s="1"/>
  <c r="BK63" i="36"/>
  <c r="BL63" i="36" s="1"/>
  <c r="BQ68" i="36"/>
  <c r="BR68" i="36" s="1"/>
  <c r="AY71" i="36"/>
  <c r="AZ71" i="36" s="1"/>
  <c r="BK72" i="36"/>
  <c r="BL72" i="36" s="1"/>
  <c r="BQ75" i="36"/>
  <c r="BR75" i="36" s="1"/>
  <c r="CC83" i="36"/>
  <c r="CD83" i="36" s="1"/>
  <c r="AY86" i="36"/>
  <c r="AZ86" i="36" s="1"/>
  <c r="BK87" i="36"/>
  <c r="BL87" i="36" s="1"/>
  <c r="BQ174" i="36"/>
  <c r="BR174" i="36" s="1"/>
  <c r="BW175" i="36"/>
  <c r="BX175" i="36" s="1"/>
  <c r="AM178" i="36"/>
  <c r="AN178" i="36" s="1"/>
  <c r="CC183" i="36"/>
  <c r="CD183" i="36" s="1"/>
  <c r="AY186" i="36"/>
  <c r="AZ186" i="36" s="1"/>
  <c r="BK187" i="36"/>
  <c r="BL187" i="36" s="1"/>
  <c r="BQ190" i="36"/>
  <c r="BR190" i="36" s="1"/>
  <c r="CI191" i="36"/>
  <c r="CJ191" i="36" s="1"/>
  <c r="DE137" i="36" l="1"/>
  <c r="DE171" i="36"/>
  <c r="DE97" i="36"/>
  <c r="DD124" i="36"/>
  <c r="DE138" i="36"/>
  <c r="DE125" i="36"/>
  <c r="DE113" i="36"/>
  <c r="DE158" i="36"/>
  <c r="DE147" i="36"/>
  <c r="AA16" i="15"/>
  <c r="DE107" i="36"/>
  <c r="DE105" i="36"/>
  <c r="DD104" i="36"/>
  <c r="DD170" i="36"/>
  <c r="DE154" i="36"/>
  <c r="DD169" i="36"/>
  <c r="DE121" i="36"/>
  <c r="DD127" i="36"/>
  <c r="DE93" i="36"/>
  <c r="DE114" i="36"/>
  <c r="DE101" i="36"/>
  <c r="AB193" i="36"/>
  <c r="AB25" i="15"/>
  <c r="AB185" i="36"/>
  <c r="AB16" i="15"/>
  <c r="AO25" i="15"/>
  <c r="AJ25" i="15"/>
  <c r="AL16" i="15"/>
  <c r="AS25" i="15"/>
  <c r="AE25" i="15"/>
  <c r="AK16" i="15"/>
  <c r="AL25" i="15"/>
  <c r="AR16" i="15"/>
  <c r="AK25" i="15"/>
  <c r="AQ16" i="15"/>
  <c r="AV25" i="15"/>
  <c r="AF25" i="15"/>
  <c r="AH16" i="15"/>
  <c r="AU25" i="15"/>
  <c r="AA25" i="15"/>
  <c r="AG16" i="15"/>
  <c r="BN16" i="15" s="1"/>
  <c r="AH25" i="15"/>
  <c r="AN16" i="15"/>
  <c r="AG25" i="15"/>
  <c r="BN25" i="15" s="1"/>
  <c r="AM16" i="15"/>
  <c r="AI16" i="15"/>
  <c r="AI25" i="15"/>
  <c r="AR25" i="15"/>
  <c r="AT16" i="15"/>
  <c r="AD16" i="15"/>
  <c r="AQ25" i="15"/>
  <c r="AS16" i="15"/>
  <c r="AC16" i="15"/>
  <c r="AD25" i="15"/>
  <c r="AJ16" i="15"/>
  <c r="AC25" i="15"/>
  <c r="AE16" i="15"/>
  <c r="AN25" i="15"/>
  <c r="AP16" i="15"/>
  <c r="AT25" i="15"/>
  <c r="AM25" i="15"/>
  <c r="AO16" i="15"/>
  <c r="AP25" i="15"/>
  <c r="AV16" i="15"/>
  <c r="AF16" i="15"/>
  <c r="AU16" i="15"/>
  <c r="AB183" i="36"/>
  <c r="AB51" i="36"/>
  <c r="AB174" i="36"/>
  <c r="AB186" i="36"/>
  <c r="AB33" i="15"/>
  <c r="AB182" i="36"/>
  <c r="AI33" i="15"/>
  <c r="AV33" i="15"/>
  <c r="AF33" i="15"/>
  <c r="AE33" i="15"/>
  <c r="AL33" i="15"/>
  <c r="AO33" i="15"/>
  <c r="AR33" i="15"/>
  <c r="AU33" i="15"/>
  <c r="AA33" i="15"/>
  <c r="AH33" i="15"/>
  <c r="AK33" i="15"/>
  <c r="AB184" i="36"/>
  <c r="AN33" i="15"/>
  <c r="AQ33" i="15"/>
  <c r="AT33" i="15"/>
  <c r="AD33" i="15"/>
  <c r="AG33" i="15"/>
  <c r="BN33" i="15" s="1"/>
  <c r="AJ33" i="15"/>
  <c r="AM33" i="15"/>
  <c r="AP33" i="15"/>
  <c r="AS33" i="15"/>
  <c r="AC33" i="15"/>
  <c r="AB86" i="36"/>
  <c r="AB71" i="36"/>
  <c r="AR8" i="15"/>
  <c r="AQ8" i="15"/>
  <c r="AV8" i="15"/>
  <c r="AD8" i="15"/>
  <c r="AO8" i="15"/>
  <c r="AB70" i="36"/>
  <c r="AB62" i="36"/>
  <c r="AB8" i="15"/>
  <c r="AN8" i="15"/>
  <c r="AM8" i="15"/>
  <c r="AP8" i="15"/>
  <c r="AU8" i="15"/>
  <c r="AK8" i="15"/>
  <c r="AB57" i="36"/>
  <c r="AI8" i="15"/>
  <c r="AJ8" i="15"/>
  <c r="AE8" i="15"/>
  <c r="AL8" i="15"/>
  <c r="AT8" i="15"/>
  <c r="AG8" i="15"/>
  <c r="BN8" i="15" s="1"/>
  <c r="AB188" i="36"/>
  <c r="AF8" i="15"/>
  <c r="AA8" i="15"/>
  <c r="AH8" i="15"/>
  <c r="AS8" i="15"/>
  <c r="AC8" i="15"/>
  <c r="AH6" i="15"/>
  <c r="AB7" i="36"/>
  <c r="AU39" i="15"/>
  <c r="AB6" i="36"/>
  <c r="AB11" i="15"/>
  <c r="AG11" i="15"/>
  <c r="BN11" i="15" s="1"/>
  <c r="AM11" i="15"/>
  <c r="AG39" i="15"/>
  <c r="BN39" i="15" s="1"/>
  <c r="AK39" i="15"/>
  <c r="AB39" i="15"/>
  <c r="AG6" i="15"/>
  <c r="BN6" i="15" s="1"/>
  <c r="AR11" i="15"/>
  <c r="AK11" i="15"/>
  <c r="AD11" i="15"/>
  <c r="AT11" i="15"/>
  <c r="AQ11" i="15"/>
  <c r="AO39" i="15"/>
  <c r="AA39" i="15"/>
  <c r="AN39" i="15"/>
  <c r="AS39" i="15"/>
  <c r="AM39" i="15"/>
  <c r="AT39" i="15"/>
  <c r="AI39" i="15"/>
  <c r="AI11" i="15"/>
  <c r="AF11" i="15"/>
  <c r="AV11" i="15"/>
  <c r="AO11" i="15"/>
  <c r="AH11" i="15"/>
  <c r="AA11" i="15"/>
  <c r="AU11" i="15"/>
  <c r="AE39" i="15"/>
  <c r="AR39" i="15"/>
  <c r="AD39" i="15"/>
  <c r="AQ39" i="15"/>
  <c r="AN11" i="15"/>
  <c r="AP11" i="15"/>
  <c r="AP39" i="15"/>
  <c r="AJ39" i="15"/>
  <c r="AJ11" i="15"/>
  <c r="AC11" i="15"/>
  <c r="AS11" i="15"/>
  <c r="AL11" i="15"/>
  <c r="AE11" i="15"/>
  <c r="AC39" i="15"/>
  <c r="AH39" i="15"/>
  <c r="AF39" i="15"/>
  <c r="AV39" i="15"/>
  <c r="AL39" i="15"/>
  <c r="AS9" i="15"/>
  <c r="AP9" i="15"/>
  <c r="AM9" i="15"/>
  <c r="AF9" i="15"/>
  <c r="AV9" i="15"/>
  <c r="AB9" i="15"/>
  <c r="AD9" i="15"/>
  <c r="AT9" i="15"/>
  <c r="AQ9" i="15"/>
  <c r="AJ9" i="15"/>
  <c r="AG9" i="15"/>
  <c r="BN9" i="15" s="1"/>
  <c r="AI9" i="15"/>
  <c r="AH9" i="15"/>
  <c r="AC9" i="15"/>
  <c r="AU9" i="15"/>
  <c r="AN9" i="15"/>
  <c r="AO9" i="15"/>
  <c r="AK9" i="15"/>
  <c r="AL9" i="15"/>
  <c r="AE9" i="15"/>
  <c r="AA9" i="15"/>
  <c r="AR9" i="15"/>
  <c r="AC18" i="15"/>
  <c r="AK18" i="15"/>
  <c r="AB18" i="15"/>
  <c r="AL18" i="15"/>
  <c r="AN18" i="15"/>
  <c r="AQ18" i="15"/>
  <c r="AO18" i="15"/>
  <c r="AI18" i="15"/>
  <c r="AD18" i="15"/>
  <c r="AM18" i="15"/>
  <c r="AP18" i="15"/>
  <c r="AV18" i="15"/>
  <c r="AF18" i="15"/>
  <c r="AE18" i="15"/>
  <c r="AH18" i="15"/>
  <c r="AG18" i="15"/>
  <c r="BN18" i="15" s="1"/>
  <c r="AJ18" i="15"/>
  <c r="AT18" i="15"/>
  <c r="AR18" i="15"/>
  <c r="AU18" i="15"/>
  <c r="AA18" i="15"/>
  <c r="AS18" i="15"/>
  <c r="AV28" i="15"/>
  <c r="AV42" i="15"/>
  <c r="AV21" i="15"/>
  <c r="AV45" i="15"/>
  <c r="AV31" i="15"/>
  <c r="AV24" i="15"/>
  <c r="AV5" i="15"/>
  <c r="AV48" i="15"/>
  <c r="AV22" i="15"/>
  <c r="AV43" i="15"/>
  <c r="AV7" i="15"/>
  <c r="AV27" i="15"/>
  <c r="AV47" i="15"/>
  <c r="AV14" i="15"/>
  <c r="AV38" i="15"/>
  <c r="AV15" i="15"/>
  <c r="AV37" i="15"/>
  <c r="AV17" i="15"/>
  <c r="AV41" i="15"/>
  <c r="AV20" i="15"/>
  <c r="AV44" i="15"/>
  <c r="AV23" i="15"/>
  <c r="AV49" i="15"/>
  <c r="AV34" i="15"/>
  <c r="AV13" i="15"/>
  <c r="AV36" i="15"/>
  <c r="AV40" i="15"/>
  <c r="AV19" i="15"/>
  <c r="AV46" i="15"/>
  <c r="AV32" i="15"/>
  <c r="AV26" i="15"/>
  <c r="AV6" i="15"/>
  <c r="AV29" i="15"/>
  <c r="AV12" i="15"/>
  <c r="AV35" i="15"/>
  <c r="AV30" i="15"/>
  <c r="AV10" i="15"/>
  <c r="Z190" i="36"/>
  <c r="Z186" i="36"/>
  <c r="Z182" i="36"/>
  <c r="Z178" i="36"/>
  <c r="Z174" i="36"/>
  <c r="Z86" i="36"/>
  <c r="Z82" i="36"/>
  <c r="Z75" i="36"/>
  <c r="Z71" i="36"/>
  <c r="Z67" i="36"/>
  <c r="Z63" i="36"/>
  <c r="Z193" i="36"/>
  <c r="Z189" i="36"/>
  <c r="Z185" i="36"/>
  <c r="Z181" i="36"/>
  <c r="Z177" i="36"/>
  <c r="Z89" i="36"/>
  <c r="Z85" i="36"/>
  <c r="Z81" i="36"/>
  <c r="Z78" i="36"/>
  <c r="Z74" i="36"/>
  <c r="Z70" i="36"/>
  <c r="Z66" i="36"/>
  <c r="Z62" i="36"/>
  <c r="Z192" i="36"/>
  <c r="Z188" i="36"/>
  <c r="Z184" i="36"/>
  <c r="Z180" i="36"/>
  <c r="Z176" i="36"/>
  <c r="Z88" i="36"/>
  <c r="Z84" i="36"/>
  <c r="Z80" i="36"/>
  <c r="Z77" i="36"/>
  <c r="Z73" i="36"/>
  <c r="Z69" i="36"/>
  <c r="Z65" i="36"/>
  <c r="Z61" i="36"/>
  <c r="Z191" i="36"/>
  <c r="Z187" i="36"/>
  <c r="Z183" i="36"/>
  <c r="Z179" i="36"/>
  <c r="Z175" i="36"/>
  <c r="Z87" i="36"/>
  <c r="Z83" i="36"/>
  <c r="Z79" i="36"/>
  <c r="Z76" i="36"/>
  <c r="Z72" i="36"/>
  <c r="Z68" i="36"/>
  <c r="Z64" i="36"/>
  <c r="Z60" i="36"/>
  <c r="Z58" i="36"/>
  <c r="Z54" i="36"/>
  <c r="Z50" i="36"/>
  <c r="Z46" i="36"/>
  <c r="Z42" i="36"/>
  <c r="Z38" i="36"/>
  <c r="Z34" i="36"/>
  <c r="Z30" i="36"/>
  <c r="Z26" i="36"/>
  <c r="Z22" i="36"/>
  <c r="Z18" i="36"/>
  <c r="Z14" i="36"/>
  <c r="Z10" i="36"/>
  <c r="Z6" i="36"/>
  <c r="AH47" i="15"/>
  <c r="AH27" i="15"/>
  <c r="AH7" i="15"/>
  <c r="AH37" i="15"/>
  <c r="AH17" i="15"/>
  <c r="AH45" i="15"/>
  <c r="AH31" i="15"/>
  <c r="AH24" i="15"/>
  <c r="AH40" i="15"/>
  <c r="AH19" i="15"/>
  <c r="Z57" i="36"/>
  <c r="Z53" i="36"/>
  <c r="Z49" i="36"/>
  <c r="Z45" i="36"/>
  <c r="Z41" i="36"/>
  <c r="Z37" i="36"/>
  <c r="Z33" i="36"/>
  <c r="Z29" i="36"/>
  <c r="Z25" i="36"/>
  <c r="Z21" i="36"/>
  <c r="Z17" i="36"/>
  <c r="Z13" i="36"/>
  <c r="AY25" i="15" s="1"/>
  <c r="Z9" i="36"/>
  <c r="AH43" i="15"/>
  <c r="AH22" i="15"/>
  <c r="AH49" i="15"/>
  <c r="AH34" i="15"/>
  <c r="AH13" i="15"/>
  <c r="AH41" i="15"/>
  <c r="AH20" i="15"/>
  <c r="AH35" i="15"/>
  <c r="AH30" i="15"/>
  <c r="AH15" i="15"/>
  <c r="Z56" i="36"/>
  <c r="Z52" i="36"/>
  <c r="Z48" i="36"/>
  <c r="Z44" i="36"/>
  <c r="Z40" i="36"/>
  <c r="Z36" i="36"/>
  <c r="Z32" i="36"/>
  <c r="Z28" i="36"/>
  <c r="Z24" i="36"/>
  <c r="Z20" i="36"/>
  <c r="Z16" i="36"/>
  <c r="Z12" i="36"/>
  <c r="Z8" i="36"/>
  <c r="AH38" i="15"/>
  <c r="AH46" i="15"/>
  <c r="AH32" i="15"/>
  <c r="AH26" i="15"/>
  <c r="AH5" i="15"/>
  <c r="AH36" i="15"/>
  <c r="AH48" i="15"/>
  <c r="AH28" i="15"/>
  <c r="AH10" i="15"/>
  <c r="Z59" i="36"/>
  <c r="Z55" i="36"/>
  <c r="Z51" i="36"/>
  <c r="Z47" i="36"/>
  <c r="Z43" i="36"/>
  <c r="Z39" i="36"/>
  <c r="Z35" i="36"/>
  <c r="Z31" i="36"/>
  <c r="Z27" i="36"/>
  <c r="Z23" i="36"/>
  <c r="Z19" i="36"/>
  <c r="Z15" i="36"/>
  <c r="AY16" i="15" s="1"/>
  <c r="Z11" i="36"/>
  <c r="Z7" i="36"/>
  <c r="AH14" i="15"/>
  <c r="AH42" i="15"/>
  <c r="AH21" i="15"/>
  <c r="AH29" i="15"/>
  <c r="AH12" i="15"/>
  <c r="AH44" i="15"/>
  <c r="AH23" i="15"/>
  <c r="AB41" i="15"/>
  <c r="AB31" i="15"/>
  <c r="AB29" i="15"/>
  <c r="AB20" i="15"/>
  <c r="AB12" i="15"/>
  <c r="AB47" i="15"/>
  <c r="AB43" i="15"/>
  <c r="AB38" i="15"/>
  <c r="AB27" i="15"/>
  <c r="AB22" i="15"/>
  <c r="AB14" i="15"/>
  <c r="AB7" i="15"/>
  <c r="AI6" i="15"/>
  <c r="AI13" i="15"/>
  <c r="AI17" i="15"/>
  <c r="AI21" i="15"/>
  <c r="AI26" i="15"/>
  <c r="AI32" i="15"/>
  <c r="AI34" i="15"/>
  <c r="AI37" i="15"/>
  <c r="AI42" i="15"/>
  <c r="AI46" i="15"/>
  <c r="AI49" i="15"/>
  <c r="AI12" i="15"/>
  <c r="AI23" i="15"/>
  <c r="AI29" i="15"/>
  <c r="AI38" i="15"/>
  <c r="AI44" i="15"/>
  <c r="AI7" i="15"/>
  <c r="AI15" i="15"/>
  <c r="AI20" i="15"/>
  <c r="AI27" i="15"/>
  <c r="AI30" i="15"/>
  <c r="AI35" i="15"/>
  <c r="AI41" i="15"/>
  <c r="AI47" i="15"/>
  <c r="AI14" i="15"/>
  <c r="AI24" i="15"/>
  <c r="AI45" i="15"/>
  <c r="AI5" i="15"/>
  <c r="AI19" i="15"/>
  <c r="AI31" i="15"/>
  <c r="AI40" i="15"/>
  <c r="AI10" i="15"/>
  <c r="AI22" i="15"/>
  <c r="AI43" i="15"/>
  <c r="AI28" i="15"/>
  <c r="AI36" i="15"/>
  <c r="AI48" i="15"/>
  <c r="AB49" i="15"/>
  <c r="AB46" i="15"/>
  <c r="AB42" i="15"/>
  <c r="AB37" i="15"/>
  <c r="AB34" i="15"/>
  <c r="AB32" i="15"/>
  <c r="AB26" i="15"/>
  <c r="AB21" i="15"/>
  <c r="AB17" i="15"/>
  <c r="AB13" i="15"/>
  <c r="AB6" i="15"/>
  <c r="AB45" i="15"/>
  <c r="AB36" i="15"/>
  <c r="AB24" i="15"/>
  <c r="AB5" i="15"/>
  <c r="AB48" i="15"/>
  <c r="AB44" i="15"/>
  <c r="AB40" i="15"/>
  <c r="AB35" i="15"/>
  <c r="AB30" i="15"/>
  <c r="AB28" i="15"/>
  <c r="AB23" i="15"/>
  <c r="AB19" i="15"/>
  <c r="AB15" i="15"/>
  <c r="AB10" i="15"/>
  <c r="AU5" i="15"/>
  <c r="AU12" i="15"/>
  <c r="AU20" i="15"/>
  <c r="AU24" i="15"/>
  <c r="AU29" i="15"/>
  <c r="AU31" i="15"/>
  <c r="AU36" i="15"/>
  <c r="AU41" i="15"/>
  <c r="AU45" i="15"/>
  <c r="AU7" i="15"/>
  <c r="AU14" i="15"/>
  <c r="AU22" i="15"/>
  <c r="AU27" i="15"/>
  <c r="AU10" i="15"/>
  <c r="AU15" i="15"/>
  <c r="AU19" i="15"/>
  <c r="AU23" i="15"/>
  <c r="AU28" i="15"/>
  <c r="AU30" i="15"/>
  <c r="AU35" i="15"/>
  <c r="AU13" i="15"/>
  <c r="AU34" i="15"/>
  <c r="AU42" i="15"/>
  <c r="AU47" i="15"/>
  <c r="AT6" i="15"/>
  <c r="AT13" i="15"/>
  <c r="AT17" i="15"/>
  <c r="AT21" i="15"/>
  <c r="AT26" i="15"/>
  <c r="AT32" i="15"/>
  <c r="AT34" i="15"/>
  <c r="AT37" i="15"/>
  <c r="AT42" i="15"/>
  <c r="AT46" i="15"/>
  <c r="AT49" i="15"/>
  <c r="AS10" i="15"/>
  <c r="AS15" i="15"/>
  <c r="AS19" i="15"/>
  <c r="AS23" i="15"/>
  <c r="AS28" i="15"/>
  <c r="AS30" i="15"/>
  <c r="AS35" i="15"/>
  <c r="AS40" i="15"/>
  <c r="AS44" i="15"/>
  <c r="AS48" i="15"/>
  <c r="AU6" i="15"/>
  <c r="AU26" i="15"/>
  <c r="AU32" i="15"/>
  <c r="AU40" i="15"/>
  <c r="AU46" i="15"/>
  <c r="AT5" i="15"/>
  <c r="AT12" i="15"/>
  <c r="AT20" i="15"/>
  <c r="AT24" i="15"/>
  <c r="AT29" i="15"/>
  <c r="AT31" i="15"/>
  <c r="AT36" i="15"/>
  <c r="AT41" i="15"/>
  <c r="AT45" i="15"/>
  <c r="AS7" i="15"/>
  <c r="AS14" i="15"/>
  <c r="AS22" i="15"/>
  <c r="AS27" i="15"/>
  <c r="AS38" i="15"/>
  <c r="AS43" i="15"/>
  <c r="AS47" i="15"/>
  <c r="AU43" i="15"/>
  <c r="AT14" i="15"/>
  <c r="AT22" i="15"/>
  <c r="AT43" i="15"/>
  <c r="AS12" i="15"/>
  <c r="AS20" i="15"/>
  <c r="AS29" i="15"/>
  <c r="AS41" i="15"/>
  <c r="AR7" i="15"/>
  <c r="AR14" i="15"/>
  <c r="AR22" i="15"/>
  <c r="AR27" i="15"/>
  <c r="AR38" i="15"/>
  <c r="AR43" i="15"/>
  <c r="AR47" i="15"/>
  <c r="AU17" i="15"/>
  <c r="AU37" i="15"/>
  <c r="AU48" i="15"/>
  <c r="AT7" i="15"/>
  <c r="AT27" i="15"/>
  <c r="AT38" i="15"/>
  <c r="AT47" i="15"/>
  <c r="AS5" i="15"/>
  <c r="AS24" i="15"/>
  <c r="AS31" i="15"/>
  <c r="AS36" i="15"/>
  <c r="AS45" i="15"/>
  <c r="AR5" i="15"/>
  <c r="AR12" i="15"/>
  <c r="AR20" i="15"/>
  <c r="AR24" i="15"/>
  <c r="AR29" i="15"/>
  <c r="AR31" i="15"/>
  <c r="AR36" i="15"/>
  <c r="AR41" i="15"/>
  <c r="AR45" i="15"/>
  <c r="AT23" i="15"/>
  <c r="AT44" i="15"/>
  <c r="AS13" i="15"/>
  <c r="AS34" i="15"/>
  <c r="AS49" i="15"/>
  <c r="AR15" i="15"/>
  <c r="AR23" i="15"/>
  <c r="AR30" i="15"/>
  <c r="AR35" i="15"/>
  <c r="AR44" i="15"/>
  <c r="AQ10" i="15"/>
  <c r="AQ15" i="15"/>
  <c r="AQ19" i="15"/>
  <c r="AQ23" i="15"/>
  <c r="AQ28" i="15"/>
  <c r="AQ30" i="15"/>
  <c r="AQ35" i="15"/>
  <c r="AQ40" i="15"/>
  <c r="AQ44" i="15"/>
  <c r="AQ48" i="15"/>
  <c r="AU21" i="15"/>
  <c r="AU49" i="15"/>
  <c r="AT19" i="15"/>
  <c r="AT40" i="15"/>
  <c r="AS6" i="15"/>
  <c r="AS26" i="15"/>
  <c r="AS32" i="15"/>
  <c r="AS46" i="15"/>
  <c r="AR13" i="15"/>
  <c r="AR21" i="15"/>
  <c r="AR34" i="15"/>
  <c r="AR42" i="15"/>
  <c r="AR49" i="15"/>
  <c r="AQ7" i="15"/>
  <c r="AQ14" i="15"/>
  <c r="AQ22" i="15"/>
  <c r="AQ27" i="15"/>
  <c r="AQ38" i="15"/>
  <c r="AQ43" i="15"/>
  <c r="AQ47" i="15"/>
  <c r="AP5" i="15"/>
  <c r="AP12" i="15"/>
  <c r="AP20" i="15"/>
  <c r="AP24" i="15"/>
  <c r="AP29" i="15"/>
  <c r="AP31" i="15"/>
  <c r="AP36" i="15"/>
  <c r="AP41" i="15"/>
  <c r="AP45" i="15"/>
  <c r="AO7" i="15"/>
  <c r="AO14" i="15"/>
  <c r="AO22" i="15"/>
  <c r="AO27" i="15"/>
  <c r="AO38" i="15"/>
  <c r="AO43" i="15"/>
  <c r="AO47" i="15"/>
  <c r="AT10" i="15"/>
  <c r="AR6" i="15"/>
  <c r="AR26" i="15"/>
  <c r="AR32" i="15"/>
  <c r="AR46" i="15"/>
  <c r="AQ5" i="15"/>
  <c r="AQ24" i="15"/>
  <c r="AQ31" i="15"/>
  <c r="AQ36" i="15"/>
  <c r="AQ45" i="15"/>
  <c r="AP10" i="15"/>
  <c r="AP17" i="15"/>
  <c r="AP22" i="15"/>
  <c r="AP28" i="15"/>
  <c r="AP37" i="15"/>
  <c r="AP43" i="15"/>
  <c r="AP48" i="15"/>
  <c r="AO12" i="15"/>
  <c r="AO17" i="15"/>
  <c r="AO23" i="15"/>
  <c r="AO29" i="15"/>
  <c r="AO37" i="15"/>
  <c r="AO44" i="15"/>
  <c r="AN10" i="15"/>
  <c r="AN15" i="15"/>
  <c r="AN19" i="15"/>
  <c r="AN23" i="15"/>
  <c r="AN28" i="15"/>
  <c r="AN30" i="15"/>
  <c r="AN35" i="15"/>
  <c r="AN40" i="15"/>
  <c r="AN44" i="15"/>
  <c r="AN48" i="15"/>
  <c r="AM6" i="15"/>
  <c r="AM13" i="15"/>
  <c r="AM17" i="15"/>
  <c r="AM21" i="15"/>
  <c r="AM26" i="15"/>
  <c r="AM32" i="15"/>
  <c r="AM34" i="15"/>
  <c r="AM37" i="15"/>
  <c r="AM42" i="15"/>
  <c r="AM46" i="15"/>
  <c r="AM49" i="15"/>
  <c r="AU44" i="15"/>
  <c r="AT30" i="15"/>
  <c r="AS21" i="15"/>
  <c r="AS42" i="15"/>
  <c r="AR19" i="15"/>
  <c r="AR40" i="15"/>
  <c r="AQ13" i="15"/>
  <c r="AQ21" i="15"/>
  <c r="AQ34" i="15"/>
  <c r="AQ42" i="15"/>
  <c r="AQ49" i="15"/>
  <c r="AP7" i="15"/>
  <c r="AP15" i="15"/>
  <c r="AP21" i="15"/>
  <c r="AP27" i="15"/>
  <c r="AP30" i="15"/>
  <c r="AP35" i="15"/>
  <c r="AP42" i="15"/>
  <c r="AP47" i="15"/>
  <c r="AO10" i="15"/>
  <c r="AO21" i="15"/>
  <c r="AO28" i="15"/>
  <c r="AO36" i="15"/>
  <c r="AO42" i="15"/>
  <c r="AO48" i="15"/>
  <c r="AN7" i="15"/>
  <c r="AN14" i="15"/>
  <c r="AN22" i="15"/>
  <c r="AN27" i="15"/>
  <c r="AN38" i="15"/>
  <c r="AN43" i="15"/>
  <c r="AN47" i="15"/>
  <c r="AM5" i="15"/>
  <c r="AM12" i="15"/>
  <c r="AM20" i="15"/>
  <c r="AM24" i="15"/>
  <c r="AM29" i="15"/>
  <c r="AM31" i="15"/>
  <c r="AM36" i="15"/>
  <c r="AM41" i="15"/>
  <c r="AM45" i="15"/>
  <c r="AL7" i="15"/>
  <c r="AL14" i="15"/>
  <c r="AL22" i="15"/>
  <c r="AL27" i="15"/>
  <c r="AL38" i="15"/>
  <c r="AL43" i="15"/>
  <c r="AL47" i="15"/>
  <c r="AK5" i="15"/>
  <c r="AK12" i="15"/>
  <c r="AK20" i="15"/>
  <c r="AK24" i="15"/>
  <c r="AK29" i="15"/>
  <c r="AK31" i="15"/>
  <c r="AK36" i="15"/>
  <c r="AK41" i="15"/>
  <c r="AK45" i="15"/>
  <c r="AJ7" i="15"/>
  <c r="AJ14" i="15"/>
  <c r="AJ22" i="15"/>
  <c r="AJ27" i="15"/>
  <c r="AJ38" i="15"/>
  <c r="AJ43" i="15"/>
  <c r="AJ47" i="15"/>
  <c r="AT15" i="15"/>
  <c r="AR28" i="15"/>
  <c r="AR48" i="15"/>
  <c r="AQ17" i="15"/>
  <c r="AQ37" i="15"/>
  <c r="AP13" i="15"/>
  <c r="AP23" i="15"/>
  <c r="AP34" i="15"/>
  <c r="AP44" i="15"/>
  <c r="AO13" i="15"/>
  <c r="AO24" i="15"/>
  <c r="AO34" i="15"/>
  <c r="AO45" i="15"/>
  <c r="AN12" i="15"/>
  <c r="AN20" i="15"/>
  <c r="AN29" i="15"/>
  <c r="AN41" i="15"/>
  <c r="AM7" i="15"/>
  <c r="AM27" i="15"/>
  <c r="AM38" i="15"/>
  <c r="AM47" i="15"/>
  <c r="AL5" i="15"/>
  <c r="AL13" i="15"/>
  <c r="AL19" i="15"/>
  <c r="AL24" i="15"/>
  <c r="AL31" i="15"/>
  <c r="AL34" i="15"/>
  <c r="AL40" i="15"/>
  <c r="AL45" i="15"/>
  <c r="AL49" i="15"/>
  <c r="AK6" i="15"/>
  <c r="AK14" i="15"/>
  <c r="AK19" i="15"/>
  <c r="AK26" i="15"/>
  <c r="AK32" i="15"/>
  <c r="AK40" i="15"/>
  <c r="AK46" i="15"/>
  <c r="AJ6" i="15"/>
  <c r="AJ15" i="15"/>
  <c r="AJ20" i="15"/>
  <c r="AJ26" i="15"/>
  <c r="AJ30" i="15"/>
  <c r="AJ32" i="15"/>
  <c r="AJ35" i="15"/>
  <c r="AJ41" i="15"/>
  <c r="AJ46" i="15"/>
  <c r="AT35" i="15"/>
  <c r="AR10" i="15"/>
  <c r="AQ6" i="15"/>
  <c r="AQ26" i="15"/>
  <c r="AQ32" i="15"/>
  <c r="AQ46" i="15"/>
  <c r="AP38" i="15"/>
  <c r="AP49" i="15"/>
  <c r="AO5" i="15"/>
  <c r="AO19" i="15"/>
  <c r="AO31" i="15"/>
  <c r="AO40" i="15"/>
  <c r="AO49" i="15"/>
  <c r="AN5" i="15"/>
  <c r="AN24" i="15"/>
  <c r="AN31" i="15"/>
  <c r="AN36" i="15"/>
  <c r="AN45" i="15"/>
  <c r="AM14" i="15"/>
  <c r="AM22" i="15"/>
  <c r="AM43" i="15"/>
  <c r="AL10" i="15"/>
  <c r="AL21" i="15"/>
  <c r="AL28" i="15"/>
  <c r="AL36" i="15"/>
  <c r="AL42" i="15"/>
  <c r="AL48" i="15"/>
  <c r="AK10" i="15"/>
  <c r="AK17" i="15"/>
  <c r="AK22" i="15"/>
  <c r="AK28" i="15"/>
  <c r="AK37" i="15"/>
  <c r="AK43" i="15"/>
  <c r="AK48" i="15"/>
  <c r="AJ12" i="15"/>
  <c r="AJ17" i="15"/>
  <c r="AJ23" i="15"/>
  <c r="AJ29" i="15"/>
  <c r="AJ37" i="15"/>
  <c r="AJ44" i="15"/>
  <c r="AS37" i="15"/>
  <c r="AQ20" i="15"/>
  <c r="AQ41" i="15"/>
  <c r="AP26" i="15"/>
  <c r="AO26" i="15"/>
  <c r="AO35" i="15"/>
  <c r="AN13" i="15"/>
  <c r="AN34" i="15"/>
  <c r="AN49" i="15"/>
  <c r="AM19" i="15"/>
  <c r="AM40" i="15"/>
  <c r="AL6" i="15"/>
  <c r="AL20" i="15"/>
  <c r="AL30" i="15"/>
  <c r="AL32" i="15"/>
  <c r="AL41" i="15"/>
  <c r="AK7" i="15"/>
  <c r="AK21" i="15"/>
  <c r="AK30" i="15"/>
  <c r="AK42" i="15"/>
  <c r="AJ10" i="15"/>
  <c r="AJ21" i="15"/>
  <c r="AJ42" i="15"/>
  <c r="AG10" i="15"/>
  <c r="BN10" i="15" s="1"/>
  <c r="AG15" i="15"/>
  <c r="BN15" i="15" s="1"/>
  <c r="AG19" i="15"/>
  <c r="BN19" i="15" s="1"/>
  <c r="AG23" i="15"/>
  <c r="BN23" i="15" s="1"/>
  <c r="AG28" i="15"/>
  <c r="BN28" i="15" s="1"/>
  <c r="AG30" i="15"/>
  <c r="BN30" i="15" s="1"/>
  <c r="AG35" i="15"/>
  <c r="BN35" i="15" s="1"/>
  <c r="AG40" i="15"/>
  <c r="BN40" i="15" s="1"/>
  <c r="AG44" i="15"/>
  <c r="BN44" i="15" s="1"/>
  <c r="AG48" i="15"/>
  <c r="BN48" i="15" s="1"/>
  <c r="AF6" i="15"/>
  <c r="AF13" i="15"/>
  <c r="AF17" i="15"/>
  <c r="AF21" i="15"/>
  <c r="AF26" i="15"/>
  <c r="AF32" i="15"/>
  <c r="AF34" i="15"/>
  <c r="AF37" i="15"/>
  <c r="AF42" i="15"/>
  <c r="AF46" i="15"/>
  <c r="AF49" i="15"/>
  <c r="AE10" i="15"/>
  <c r="AE15" i="15"/>
  <c r="AE19" i="15"/>
  <c r="AE23" i="15"/>
  <c r="AE28" i="15"/>
  <c r="AE30" i="15"/>
  <c r="AE35" i="15"/>
  <c r="AE40" i="15"/>
  <c r="AE44" i="15"/>
  <c r="AE48" i="15"/>
  <c r="AD6" i="15"/>
  <c r="AD13" i="15"/>
  <c r="AD17" i="15"/>
  <c r="AD21" i="15"/>
  <c r="AD26" i="15"/>
  <c r="AD32" i="15"/>
  <c r="AD34" i="15"/>
  <c r="AD37" i="15"/>
  <c r="AD42" i="15"/>
  <c r="AD46" i="15"/>
  <c r="AD49" i="15"/>
  <c r="AC10" i="15"/>
  <c r="AC15" i="15"/>
  <c r="AC19" i="15"/>
  <c r="AC23" i="15"/>
  <c r="AC28" i="15"/>
  <c r="AC30" i="15"/>
  <c r="AC35" i="15"/>
  <c r="AC40" i="15"/>
  <c r="AC44" i="15"/>
  <c r="AC48" i="15"/>
  <c r="AU38" i="15"/>
  <c r="AT28" i="15"/>
  <c r="AP14" i="15"/>
  <c r="AP46" i="15"/>
  <c r="AO15" i="15"/>
  <c r="AO46" i="15"/>
  <c r="AN21" i="15"/>
  <c r="AN42" i="15"/>
  <c r="AM10" i="15"/>
  <c r="AM28" i="15"/>
  <c r="AM48" i="15"/>
  <c r="AL15" i="15"/>
  <c r="AL26" i="15"/>
  <c r="AL35" i="15"/>
  <c r="AL46" i="15"/>
  <c r="AK15" i="15"/>
  <c r="AK27" i="15"/>
  <c r="AK35" i="15"/>
  <c r="AK47" i="15"/>
  <c r="AJ28" i="15"/>
  <c r="AJ36" i="15"/>
  <c r="AJ48" i="15"/>
  <c r="AG13" i="15"/>
  <c r="BN13" i="15" s="1"/>
  <c r="AG17" i="15"/>
  <c r="BN17" i="15" s="1"/>
  <c r="AG21" i="15"/>
  <c r="BN21" i="15" s="1"/>
  <c r="AG26" i="15"/>
  <c r="BN26" i="15" s="1"/>
  <c r="AG32" i="15"/>
  <c r="BN32" i="15" s="1"/>
  <c r="AG34" i="15"/>
  <c r="BN34" i="15" s="1"/>
  <c r="AG37" i="15"/>
  <c r="BN37" i="15" s="1"/>
  <c r="AG42" i="15"/>
  <c r="BN42" i="15" s="1"/>
  <c r="AG46" i="15"/>
  <c r="BN46" i="15" s="1"/>
  <c r="AG49" i="15"/>
  <c r="BN49" i="15" s="1"/>
  <c r="AF10" i="15"/>
  <c r="AF15" i="15"/>
  <c r="AF19" i="15"/>
  <c r="AF23" i="15"/>
  <c r="AF28" i="15"/>
  <c r="AF30" i="15"/>
  <c r="AF35" i="15"/>
  <c r="AF40" i="15"/>
  <c r="AF44" i="15"/>
  <c r="AF48" i="15"/>
  <c r="AE6" i="15"/>
  <c r="AE13" i="15"/>
  <c r="AE17" i="15"/>
  <c r="AE21" i="15"/>
  <c r="AE26" i="15"/>
  <c r="AE32" i="15"/>
  <c r="AE34" i="15"/>
  <c r="AE37" i="15"/>
  <c r="AE42" i="15"/>
  <c r="AE46" i="15"/>
  <c r="AE49" i="15"/>
  <c r="AD10" i="15"/>
  <c r="AD15" i="15"/>
  <c r="AD19" i="15"/>
  <c r="AD23" i="15"/>
  <c r="AD28" i="15"/>
  <c r="AD30" i="15"/>
  <c r="AD35" i="15"/>
  <c r="AD40" i="15"/>
  <c r="AD44" i="15"/>
  <c r="AD48" i="15"/>
  <c r="AC6" i="15"/>
  <c r="AC13" i="15"/>
  <c r="AC17" i="15"/>
  <c r="AC21" i="15"/>
  <c r="AC26" i="15"/>
  <c r="AC32" i="15"/>
  <c r="AC34" i="15"/>
  <c r="AC37" i="15"/>
  <c r="AC42" i="15"/>
  <c r="AC46" i="15"/>
  <c r="AC49" i="15"/>
  <c r="AQ29" i="15"/>
  <c r="AO30" i="15"/>
  <c r="AN17" i="15"/>
  <c r="AN37" i="15"/>
  <c r="AL12" i="15"/>
  <c r="AL44" i="15"/>
  <c r="AK13" i="15"/>
  <c r="AK44" i="15"/>
  <c r="AJ13" i="15"/>
  <c r="AJ45" i="15"/>
  <c r="AG5" i="15"/>
  <c r="BN5" i="15" s="1"/>
  <c r="AG24" i="15"/>
  <c r="BN24" i="15" s="1"/>
  <c r="AG31" i="15"/>
  <c r="BN31" i="15" s="1"/>
  <c r="AG36" i="15"/>
  <c r="BN36" i="15" s="1"/>
  <c r="AG45" i="15"/>
  <c r="BN45" i="15" s="1"/>
  <c r="AF14" i="15"/>
  <c r="AF22" i="15"/>
  <c r="AF43" i="15"/>
  <c r="AE12" i="15"/>
  <c r="AE20" i="15"/>
  <c r="AE29" i="15"/>
  <c r="AE41" i="15"/>
  <c r="AD7" i="15"/>
  <c r="AD27" i="15"/>
  <c r="AD38" i="15"/>
  <c r="AD47" i="15"/>
  <c r="AC5" i="15"/>
  <c r="AC24" i="15"/>
  <c r="AC31" i="15"/>
  <c r="AC36" i="15"/>
  <c r="AC45" i="15"/>
  <c r="AA19" i="15"/>
  <c r="AA30" i="15"/>
  <c r="AA44" i="15"/>
  <c r="AT48" i="15"/>
  <c r="AO32" i="15"/>
  <c r="AN46" i="15"/>
  <c r="AM35" i="15"/>
  <c r="AL17" i="15"/>
  <c r="AJ19" i="15"/>
  <c r="AJ49" i="15"/>
  <c r="AR37" i="15"/>
  <c r="AP6" i="15"/>
  <c r="AP40" i="15"/>
  <c r="AO6" i="15"/>
  <c r="AO41" i="15"/>
  <c r="AM23" i="15"/>
  <c r="AM44" i="15"/>
  <c r="AL23" i="15"/>
  <c r="AK23" i="15"/>
  <c r="AK34" i="15"/>
  <c r="AJ24" i="15"/>
  <c r="AJ34" i="15"/>
  <c r="AG12" i="15"/>
  <c r="BN12" i="15" s="1"/>
  <c r="AG20" i="15"/>
  <c r="BN20" i="15" s="1"/>
  <c r="AG29" i="15"/>
  <c r="BN29" i="15" s="1"/>
  <c r="AG41" i="15"/>
  <c r="BN41" i="15" s="1"/>
  <c r="AF7" i="15"/>
  <c r="AF27" i="15"/>
  <c r="AF38" i="15"/>
  <c r="AF47" i="15"/>
  <c r="AE5" i="15"/>
  <c r="AE24" i="15"/>
  <c r="AE31" i="15"/>
  <c r="AE36" i="15"/>
  <c r="AE45" i="15"/>
  <c r="AD14" i="15"/>
  <c r="AD22" i="15"/>
  <c r="AD43" i="15"/>
  <c r="AC12" i="15"/>
  <c r="AC20" i="15"/>
  <c r="AC29" i="15"/>
  <c r="AC41" i="15"/>
  <c r="AA6" i="15"/>
  <c r="AA13" i="15"/>
  <c r="AA17" i="15"/>
  <c r="AA21" i="15"/>
  <c r="AA26" i="15"/>
  <c r="AA32" i="15"/>
  <c r="AA34" i="15"/>
  <c r="AA37" i="15"/>
  <c r="AA42" i="15"/>
  <c r="AA46" i="15"/>
  <c r="AA49" i="15"/>
  <c r="AQ12" i="15"/>
  <c r="AP19" i="15"/>
  <c r="AO20" i="15"/>
  <c r="AN6" i="15"/>
  <c r="AN32" i="15"/>
  <c r="AM30" i="15"/>
  <c r="AL29" i="15"/>
  <c r="AL37" i="15"/>
  <c r="AK38" i="15"/>
  <c r="AJ5" i="15"/>
  <c r="AJ40" i="15"/>
  <c r="AG14" i="15"/>
  <c r="BN14" i="15" s="1"/>
  <c r="AG22" i="15"/>
  <c r="BN22" i="15" s="1"/>
  <c r="AG43" i="15"/>
  <c r="BN43" i="15" s="1"/>
  <c r="AF12" i="15"/>
  <c r="AF20" i="15"/>
  <c r="AF29" i="15"/>
  <c r="AF41" i="15"/>
  <c r="AE7" i="15"/>
  <c r="AE27" i="15"/>
  <c r="AE38" i="15"/>
  <c r="AE47" i="15"/>
  <c r="AD5" i="15"/>
  <c r="AD24" i="15"/>
  <c r="AD31" i="15"/>
  <c r="AD36" i="15"/>
  <c r="AD45" i="15"/>
  <c r="AC14" i="15"/>
  <c r="AC22" i="15"/>
  <c r="AC43" i="15"/>
  <c r="AA7" i="15"/>
  <c r="AA14" i="15"/>
  <c r="AA22" i="15"/>
  <c r="AA27" i="15"/>
  <c r="AA38" i="15"/>
  <c r="AA43" i="15"/>
  <c r="AA47" i="15"/>
  <c r="AA10" i="15"/>
  <c r="AA15" i="15"/>
  <c r="AA23" i="15"/>
  <c r="AA28" i="15"/>
  <c r="AA35" i="15"/>
  <c r="AA40" i="15"/>
  <c r="AA48" i="15"/>
  <c r="AS17" i="15"/>
  <c r="AR17" i="15"/>
  <c r="AP32" i="15"/>
  <c r="AN26" i="15"/>
  <c r="AM15" i="15"/>
  <c r="AK49" i="15"/>
  <c r="AJ31" i="15"/>
  <c r="AG27" i="15"/>
  <c r="BN27" i="15" s="1"/>
  <c r="AG47" i="15"/>
  <c r="BN47" i="15" s="1"/>
  <c r="AF36" i="15"/>
  <c r="AD29" i="15"/>
  <c r="AC38" i="15"/>
  <c r="AA29" i="15"/>
  <c r="AF45" i="15"/>
  <c r="AC27" i="15"/>
  <c r="AA36" i="15"/>
  <c r="AG7" i="15"/>
  <c r="BN7" i="15" s="1"/>
  <c r="AE22" i="15"/>
  <c r="AE43" i="15"/>
  <c r="AD12" i="15"/>
  <c r="AA20" i="15"/>
  <c r="AA41" i="15"/>
  <c r="AE14" i="15"/>
  <c r="AG38" i="15"/>
  <c r="BN38" i="15" s="1"/>
  <c r="AF5" i="15"/>
  <c r="AF31" i="15"/>
  <c r="AD20" i="15"/>
  <c r="AD41" i="15"/>
  <c r="AC7" i="15"/>
  <c r="AA5" i="15"/>
  <c r="AA24" i="15"/>
  <c r="AA31" i="15"/>
  <c r="AA45" i="15"/>
  <c r="AA12" i="15"/>
  <c r="AF24" i="15"/>
  <c r="AC47" i="15"/>
  <c r="AM15" i="36"/>
  <c r="AN15" i="36" s="1"/>
  <c r="AY59" i="36"/>
  <c r="AZ59" i="36" s="1"/>
  <c r="AY178" i="36"/>
  <c r="AZ178" i="36" s="1"/>
  <c r="BQ47" i="36"/>
  <c r="BR47" i="36" s="1"/>
  <c r="AM43" i="36"/>
  <c r="AN43" i="36" s="1"/>
  <c r="BK86" i="36"/>
  <c r="BL86" i="36" s="1"/>
  <c r="DC6" i="36"/>
  <c r="AM63" i="36"/>
  <c r="AN63" i="36" s="1"/>
  <c r="AM51" i="36"/>
  <c r="AN51" i="36" s="1"/>
  <c r="DC5" i="36"/>
  <c r="AM35" i="36"/>
  <c r="AN35" i="36" s="1"/>
  <c r="AY63" i="36"/>
  <c r="AZ63" i="36" s="1"/>
  <c r="CC47" i="36"/>
  <c r="CD47" i="36" s="1"/>
  <c r="AM27" i="36"/>
  <c r="AN27" i="36" s="1"/>
  <c r="AY27" i="36"/>
  <c r="AZ27" i="36" s="1"/>
  <c r="CC7" i="36"/>
  <c r="CD7" i="36" s="1"/>
  <c r="AM44" i="36"/>
  <c r="AN44" i="36" s="1"/>
  <c r="AM28" i="36"/>
  <c r="AN28" i="36" s="1"/>
  <c r="AY187" i="36"/>
  <c r="AZ187" i="36" s="1"/>
  <c r="AY72" i="36"/>
  <c r="AZ72" i="36" s="1"/>
  <c r="CI68" i="36"/>
  <c r="CJ68" i="36" s="1"/>
  <c r="BK179" i="36"/>
  <c r="BL179" i="36" s="1"/>
  <c r="AY179" i="36"/>
  <c r="AZ179" i="36" s="1"/>
  <c r="BW79" i="36"/>
  <c r="BX79" i="36" s="1"/>
  <c r="BQ79" i="36"/>
  <c r="BR79" i="36" s="1"/>
  <c r="BK79" i="36"/>
  <c r="BL79" i="36" s="1"/>
  <c r="AY79" i="36"/>
  <c r="AZ79" i="36" s="1"/>
  <c r="BK64" i="36"/>
  <c r="BL64" i="36" s="1"/>
  <c r="BW64" i="36"/>
  <c r="BX64" i="36" s="1"/>
  <c r="AY64" i="36"/>
  <c r="AZ64" i="36" s="1"/>
  <c r="CI52" i="36"/>
  <c r="CJ52" i="36" s="1"/>
  <c r="CC52" i="36"/>
  <c r="CD52" i="36" s="1"/>
  <c r="BQ52" i="36"/>
  <c r="BR52" i="36" s="1"/>
  <c r="AY48" i="36"/>
  <c r="AZ48" i="36" s="1"/>
  <c r="BK48" i="36"/>
  <c r="BL48" i="36" s="1"/>
  <c r="CC36" i="36"/>
  <c r="CD36" i="36" s="1"/>
  <c r="BQ36" i="36"/>
  <c r="BR36" i="36" s="1"/>
  <c r="AY32" i="36"/>
  <c r="AZ32" i="36" s="1"/>
  <c r="BW32" i="36"/>
  <c r="BX32" i="36" s="1"/>
  <c r="CC20" i="36"/>
  <c r="CD20" i="36" s="1"/>
  <c r="BQ20" i="36"/>
  <c r="BR20" i="36" s="1"/>
  <c r="AY16" i="36"/>
  <c r="AZ16" i="36" s="1"/>
  <c r="AM16" i="36"/>
  <c r="AN16" i="36" s="1"/>
  <c r="CU12" i="36"/>
  <c r="CV12" i="36" s="1"/>
  <c r="BW12" i="36"/>
  <c r="BX12" i="36" s="1"/>
  <c r="AY8" i="36"/>
  <c r="AZ8" i="36" s="1"/>
  <c r="AM8" i="36"/>
  <c r="AN8" i="36" s="1"/>
  <c r="AM187" i="36"/>
  <c r="AN187" i="36" s="1"/>
  <c r="AM87" i="36"/>
  <c r="AN87" i="36" s="1"/>
  <c r="AM72" i="36"/>
  <c r="AN72" i="36" s="1"/>
  <c r="AY52" i="36"/>
  <c r="AZ52" i="36" s="1"/>
  <c r="AY36" i="36"/>
  <c r="AZ36" i="36" s="1"/>
  <c r="AY20" i="36"/>
  <c r="AZ20" i="36" s="1"/>
  <c r="BK16" i="36"/>
  <c r="BL16" i="36" s="1"/>
  <c r="BQ183" i="36"/>
  <c r="BR183" i="36" s="1"/>
  <c r="BQ32" i="36"/>
  <c r="BR32" i="36" s="1"/>
  <c r="BW48" i="36"/>
  <c r="BX48" i="36" s="1"/>
  <c r="CC28" i="36"/>
  <c r="CD28" i="36" s="1"/>
  <c r="CI44" i="36"/>
  <c r="CJ44" i="36" s="1"/>
  <c r="CC178" i="36"/>
  <c r="CD178" i="36" s="1"/>
  <c r="CO178" i="36"/>
  <c r="CP178" i="36" s="1"/>
  <c r="BK178" i="36"/>
  <c r="BL178" i="36" s="1"/>
  <c r="CU59" i="36"/>
  <c r="CV59" i="36" s="1"/>
  <c r="CC59" i="36"/>
  <c r="CD59" i="36" s="1"/>
  <c r="BQ59" i="36"/>
  <c r="BR59" i="36" s="1"/>
  <c r="CO59" i="36"/>
  <c r="CP59" i="36" s="1"/>
  <c r="CC43" i="36"/>
  <c r="CD43" i="36" s="1"/>
  <c r="BQ43" i="36"/>
  <c r="BR43" i="36" s="1"/>
  <c r="CC39" i="36"/>
  <c r="CD39" i="36" s="1"/>
  <c r="AY39" i="36"/>
  <c r="AZ39" i="36" s="1"/>
  <c r="BQ19" i="36"/>
  <c r="BR19" i="36" s="1"/>
  <c r="AM19" i="36"/>
  <c r="AN19" i="36" s="1"/>
  <c r="CO15" i="36"/>
  <c r="CP15" i="36" s="1"/>
  <c r="CC15" i="36"/>
  <c r="CD15" i="36" s="1"/>
  <c r="AY15" i="36"/>
  <c r="AZ15" i="36" s="1"/>
  <c r="CC11" i="36"/>
  <c r="CD11" i="36" s="1"/>
  <c r="BQ11" i="36"/>
  <c r="BR11" i="36" s="1"/>
  <c r="AM11" i="36"/>
  <c r="AN11" i="36" s="1"/>
  <c r="AM186" i="36"/>
  <c r="AN186" i="36" s="1"/>
  <c r="AM86" i="36"/>
  <c r="AN86" i="36" s="1"/>
  <c r="AM71" i="36"/>
  <c r="AN71" i="36" s="1"/>
  <c r="AM56" i="36"/>
  <c r="AN56" i="36" s="1"/>
  <c r="AM48" i="36"/>
  <c r="AN48" i="36" s="1"/>
  <c r="AM40" i="36"/>
  <c r="AN40" i="36" s="1"/>
  <c r="AM32" i="36"/>
  <c r="AN32" i="36" s="1"/>
  <c r="AM24" i="36"/>
  <c r="AN24" i="36" s="1"/>
  <c r="AM12" i="36"/>
  <c r="AN12" i="36" s="1"/>
  <c r="AY87" i="36"/>
  <c r="AZ87" i="36" s="1"/>
  <c r="AY51" i="36"/>
  <c r="AZ51" i="36" s="1"/>
  <c r="AY35" i="36"/>
  <c r="AZ35" i="36" s="1"/>
  <c r="AY19" i="36"/>
  <c r="AZ19" i="36" s="1"/>
  <c r="BK186" i="36"/>
  <c r="BL186" i="36" s="1"/>
  <c r="BK71" i="36"/>
  <c r="BL71" i="36" s="1"/>
  <c r="BK12" i="36"/>
  <c r="BL12" i="36" s="1"/>
  <c r="BQ31" i="36"/>
  <c r="BR31" i="36" s="1"/>
  <c r="BW28" i="36"/>
  <c r="BX28" i="36" s="1"/>
  <c r="CC27" i="36"/>
  <c r="CD27" i="36" s="1"/>
  <c r="CI40" i="36"/>
  <c r="CJ40" i="36" s="1"/>
  <c r="CO47" i="36"/>
  <c r="CP47" i="36" s="1"/>
  <c r="AM179" i="36"/>
  <c r="AN179" i="36" s="1"/>
  <c r="AM79" i="36"/>
  <c r="AN79" i="36" s="1"/>
  <c r="AM64" i="36"/>
  <c r="AN64" i="36" s="1"/>
  <c r="AM55" i="36"/>
  <c r="AN55" i="36" s="1"/>
  <c r="AM47" i="36"/>
  <c r="AN47" i="36" s="1"/>
  <c r="AM39" i="36"/>
  <c r="AN39" i="36" s="1"/>
  <c r="AM31" i="36"/>
  <c r="AN31" i="36" s="1"/>
  <c r="AM23" i="36"/>
  <c r="AN23" i="36" s="1"/>
  <c r="AM7" i="36"/>
  <c r="AN7" i="36" s="1"/>
  <c r="AY44" i="36"/>
  <c r="AZ44" i="36" s="1"/>
  <c r="AY28" i="36"/>
  <c r="AZ28" i="36" s="1"/>
  <c r="AY12" i="36"/>
  <c r="AZ12" i="36" s="1"/>
  <c r="BK44" i="36"/>
  <c r="BL44" i="36" s="1"/>
  <c r="BQ48" i="36"/>
  <c r="BR48" i="36" s="1"/>
  <c r="BQ16" i="36"/>
  <c r="BR16" i="36" s="1"/>
  <c r="BW16" i="36"/>
  <c r="BX16" i="36" s="1"/>
  <c r="CC63" i="36"/>
  <c r="CD63" i="36" s="1"/>
  <c r="CC48" i="36"/>
  <c r="CD48" i="36" s="1"/>
  <c r="CC12" i="36"/>
  <c r="CD12" i="36" s="1"/>
  <c r="CO27" i="36"/>
  <c r="CP27" i="36" s="1"/>
  <c r="CU7" i="36"/>
  <c r="CV7" i="36" s="1"/>
  <c r="CU193" i="36"/>
  <c r="CV193" i="36" s="1"/>
  <c r="CO193" i="36"/>
  <c r="CP193" i="36" s="1"/>
  <c r="CI193" i="36"/>
  <c r="CJ193" i="36" s="1"/>
  <c r="CC193" i="36"/>
  <c r="CD193" i="36" s="1"/>
  <c r="BW193" i="36"/>
  <c r="BX193" i="36" s="1"/>
  <c r="BQ193" i="36"/>
  <c r="BR193" i="36" s="1"/>
  <c r="BK193" i="36"/>
  <c r="BL193" i="36" s="1"/>
  <c r="AY193" i="36"/>
  <c r="AZ193" i="36" s="1"/>
  <c r="AM193" i="36"/>
  <c r="AN193" i="36" s="1"/>
  <c r="CU189" i="36"/>
  <c r="CV189" i="36" s="1"/>
  <c r="BK189" i="36"/>
  <c r="BL189" i="36" s="1"/>
  <c r="AY189" i="36"/>
  <c r="AZ189" i="36" s="1"/>
  <c r="AM189" i="36"/>
  <c r="AN189" i="36" s="1"/>
  <c r="CI189" i="36"/>
  <c r="CJ189" i="36" s="1"/>
  <c r="CO189" i="36"/>
  <c r="CP189" i="36" s="1"/>
  <c r="BQ189" i="36"/>
  <c r="BR189" i="36" s="1"/>
  <c r="BE189" i="36"/>
  <c r="BF189" i="36" s="1"/>
  <c r="AS189" i="36"/>
  <c r="AT189" i="36" s="1"/>
  <c r="AG189" i="36"/>
  <c r="AH189" i="36" s="1"/>
  <c r="CU185" i="36"/>
  <c r="CV185" i="36" s="1"/>
  <c r="CI185" i="36"/>
  <c r="CJ185" i="36" s="1"/>
  <c r="CO185" i="36"/>
  <c r="CP185" i="36" s="1"/>
  <c r="BK185" i="36"/>
  <c r="BL185" i="36" s="1"/>
  <c r="AY185" i="36"/>
  <c r="AZ185" i="36" s="1"/>
  <c r="AM185" i="36"/>
  <c r="AN185" i="36" s="1"/>
  <c r="CC185" i="36"/>
  <c r="CD185" i="36" s="1"/>
  <c r="BW185" i="36"/>
  <c r="BX185" i="36" s="1"/>
  <c r="CO181" i="36"/>
  <c r="CP181" i="36" s="1"/>
  <c r="CU181" i="36"/>
  <c r="CV181" i="36" s="1"/>
  <c r="CC181" i="36"/>
  <c r="CD181" i="36" s="1"/>
  <c r="BW181" i="36"/>
  <c r="BX181" i="36" s="1"/>
  <c r="BQ181" i="36"/>
  <c r="BR181" i="36" s="1"/>
  <c r="BK181" i="36"/>
  <c r="BL181" i="36" s="1"/>
  <c r="AY181" i="36"/>
  <c r="AZ181" i="36" s="1"/>
  <c r="AM181" i="36"/>
  <c r="AN181" i="36" s="1"/>
  <c r="CI181" i="36"/>
  <c r="CJ181" i="36" s="1"/>
  <c r="BE181" i="36"/>
  <c r="BF181" i="36" s="1"/>
  <c r="AS181" i="36"/>
  <c r="AT181" i="36" s="1"/>
  <c r="AG181" i="36"/>
  <c r="AH181" i="36" s="1"/>
  <c r="CU177" i="36"/>
  <c r="CV177" i="36" s="1"/>
  <c r="CO177" i="36"/>
  <c r="CP177" i="36" s="1"/>
  <c r="CI177" i="36"/>
  <c r="CJ177" i="36" s="1"/>
  <c r="CC177" i="36"/>
  <c r="CD177" i="36" s="1"/>
  <c r="BW177" i="36"/>
  <c r="BX177" i="36" s="1"/>
  <c r="BQ177" i="36"/>
  <c r="BR177" i="36" s="1"/>
  <c r="BK177" i="36"/>
  <c r="BL177" i="36" s="1"/>
  <c r="AY177" i="36"/>
  <c r="AZ177" i="36" s="1"/>
  <c r="AM177" i="36"/>
  <c r="AN177" i="36" s="1"/>
  <c r="CU89" i="36"/>
  <c r="CV89" i="36" s="1"/>
  <c r="CO89" i="36"/>
  <c r="CP89" i="36" s="1"/>
  <c r="CI89" i="36"/>
  <c r="CJ89" i="36" s="1"/>
  <c r="BK89" i="36"/>
  <c r="BL89" i="36" s="1"/>
  <c r="AY89" i="36"/>
  <c r="AZ89" i="36" s="1"/>
  <c r="AM89" i="36"/>
  <c r="AN89" i="36" s="1"/>
  <c r="CC89" i="36"/>
  <c r="CD89" i="36" s="1"/>
  <c r="BE89" i="36"/>
  <c r="BF89" i="36" s="1"/>
  <c r="AS89" i="36"/>
  <c r="AT89" i="36" s="1"/>
  <c r="AG89" i="36"/>
  <c r="AH89" i="36" s="1"/>
  <c r="BW89" i="36"/>
  <c r="BX89" i="36" s="1"/>
  <c r="BQ89" i="36"/>
  <c r="BR89" i="36" s="1"/>
  <c r="CU85" i="36"/>
  <c r="CV85" i="36" s="1"/>
  <c r="CO85" i="36"/>
  <c r="CP85" i="36" s="1"/>
  <c r="BK85" i="36"/>
  <c r="BL85" i="36" s="1"/>
  <c r="AY85" i="36"/>
  <c r="AZ85" i="36" s="1"/>
  <c r="AM85" i="36"/>
  <c r="AN85" i="36" s="1"/>
  <c r="CC85" i="36"/>
  <c r="CD85" i="36" s="1"/>
  <c r="BW85" i="36"/>
  <c r="BX85" i="36" s="1"/>
  <c r="CI85" i="36"/>
  <c r="CJ85" i="36" s="1"/>
  <c r="BQ85" i="36"/>
  <c r="BR85" i="36" s="1"/>
  <c r="CO81" i="36"/>
  <c r="CP81" i="36" s="1"/>
  <c r="CU81" i="36"/>
  <c r="CV81" i="36" s="1"/>
  <c r="CC81" i="36"/>
  <c r="CD81" i="36" s="1"/>
  <c r="BW81" i="36"/>
  <c r="BX81" i="36" s="1"/>
  <c r="BQ81" i="36"/>
  <c r="BR81" i="36" s="1"/>
  <c r="CI81" i="36"/>
  <c r="CJ81" i="36" s="1"/>
  <c r="BK81" i="36"/>
  <c r="BL81" i="36" s="1"/>
  <c r="AY81" i="36"/>
  <c r="AZ81" i="36" s="1"/>
  <c r="AM81" i="36"/>
  <c r="AN81" i="36" s="1"/>
  <c r="BE81" i="36"/>
  <c r="BF81" i="36" s="1"/>
  <c r="AS81" i="36"/>
  <c r="AT81" i="36" s="1"/>
  <c r="AG81" i="36"/>
  <c r="AH81" i="36" s="1"/>
  <c r="CU78" i="36"/>
  <c r="CV78" i="36" s="1"/>
  <c r="CO78" i="36"/>
  <c r="CP78" i="36" s="1"/>
  <c r="CC78" i="36"/>
  <c r="CD78" i="36" s="1"/>
  <c r="BW78" i="36"/>
  <c r="BX78" i="36" s="1"/>
  <c r="BQ78" i="36"/>
  <c r="BR78" i="36" s="1"/>
  <c r="BK78" i="36"/>
  <c r="BL78" i="36" s="1"/>
  <c r="AZ78" i="36"/>
  <c r="AM78" i="36"/>
  <c r="AN78" i="36" s="1"/>
  <c r="CU74" i="36"/>
  <c r="CV74" i="36" s="1"/>
  <c r="CI74" i="36"/>
  <c r="CJ74" i="36" s="1"/>
  <c r="CO74" i="36"/>
  <c r="CP74" i="36" s="1"/>
  <c r="BK74" i="36"/>
  <c r="BL74" i="36" s="1"/>
  <c r="AY74" i="36"/>
  <c r="AZ74" i="36" s="1"/>
  <c r="AM74" i="36"/>
  <c r="AN74" i="36" s="1"/>
  <c r="BQ74" i="36"/>
  <c r="BR74" i="36" s="1"/>
  <c r="CC74" i="36"/>
  <c r="CD74" i="36" s="1"/>
  <c r="BE74" i="36"/>
  <c r="BF74" i="36" s="1"/>
  <c r="AS74" i="36"/>
  <c r="AT74" i="36" s="1"/>
  <c r="AG74" i="36"/>
  <c r="AH74" i="36" s="1"/>
  <c r="BW74" i="36"/>
  <c r="BX74" i="36" s="1"/>
  <c r="CI70" i="36"/>
  <c r="CJ70" i="36" s="1"/>
  <c r="CU70" i="36"/>
  <c r="CV70" i="36" s="1"/>
  <c r="CO70" i="36"/>
  <c r="CP70" i="36" s="1"/>
  <c r="BK70" i="36"/>
  <c r="BL70" i="36" s="1"/>
  <c r="AY70" i="36"/>
  <c r="AZ70" i="36" s="1"/>
  <c r="AM70" i="36"/>
  <c r="AN70" i="36" s="1"/>
  <c r="CC70" i="36"/>
  <c r="CD70" i="36" s="1"/>
  <c r="BW70" i="36"/>
  <c r="BX70" i="36" s="1"/>
  <c r="CU66" i="36"/>
  <c r="CV66" i="36" s="1"/>
  <c r="CO66" i="36"/>
  <c r="CP66" i="36" s="1"/>
  <c r="CC66" i="36"/>
  <c r="CD66" i="36" s="1"/>
  <c r="BW66" i="36"/>
  <c r="BX66" i="36" s="1"/>
  <c r="BQ66" i="36"/>
  <c r="BR66" i="36" s="1"/>
  <c r="BK66" i="36"/>
  <c r="BL66" i="36" s="1"/>
  <c r="AY66" i="36"/>
  <c r="AZ66" i="36" s="1"/>
  <c r="AM66" i="36"/>
  <c r="AN66" i="36" s="1"/>
  <c r="CI66" i="36"/>
  <c r="CJ66" i="36" s="1"/>
  <c r="BE66" i="36"/>
  <c r="BF66" i="36" s="1"/>
  <c r="AS66" i="36"/>
  <c r="AT66" i="36" s="1"/>
  <c r="AG66" i="36"/>
  <c r="AH66" i="36" s="1"/>
  <c r="CU62" i="36"/>
  <c r="CV62" i="36" s="1"/>
  <c r="CO62" i="36"/>
  <c r="CP62" i="36" s="1"/>
  <c r="CI62" i="36"/>
  <c r="CJ62" i="36" s="1"/>
  <c r="CC62" i="36"/>
  <c r="CD62" i="36" s="1"/>
  <c r="BW62" i="36"/>
  <c r="BX62" i="36" s="1"/>
  <c r="BQ62" i="36"/>
  <c r="BR62" i="36" s="1"/>
  <c r="BK62" i="36"/>
  <c r="BL62" i="36" s="1"/>
  <c r="AY62" i="36"/>
  <c r="AZ62" i="36" s="1"/>
  <c r="AM62" i="36"/>
  <c r="AN62" i="36" s="1"/>
  <c r="CI58" i="36"/>
  <c r="CJ58" i="36" s="1"/>
  <c r="CU58" i="36"/>
  <c r="CV58" i="36" s="1"/>
  <c r="AY58" i="36"/>
  <c r="AZ58" i="36" s="1"/>
  <c r="AM58" i="36"/>
  <c r="AN58" i="36" s="1"/>
  <c r="CO58" i="36"/>
  <c r="CP58" i="36" s="1"/>
  <c r="BE58" i="36"/>
  <c r="BF58" i="36" s="1"/>
  <c r="AS58" i="36"/>
  <c r="AT58" i="36" s="1"/>
  <c r="AG58" i="36"/>
  <c r="AH58" i="36" s="1"/>
  <c r="BW58" i="36"/>
  <c r="BX58" i="36" s="1"/>
  <c r="BQ58" i="36"/>
  <c r="BR58" i="36" s="1"/>
  <c r="BK58" i="36"/>
  <c r="BL58" i="36" s="1"/>
  <c r="CU54" i="36"/>
  <c r="CV54" i="36" s="1"/>
  <c r="CO54" i="36"/>
  <c r="CP54" i="36" s="1"/>
  <c r="CI54" i="36"/>
  <c r="CJ54" i="36" s="1"/>
  <c r="AY54" i="36"/>
  <c r="AZ54" i="36" s="1"/>
  <c r="AM54" i="36"/>
  <c r="AN54" i="36" s="1"/>
  <c r="CC54" i="36"/>
  <c r="CD54" i="36" s="1"/>
  <c r="BW54" i="36"/>
  <c r="BX54" i="36" s="1"/>
  <c r="BQ54" i="36"/>
  <c r="BR54" i="36" s="1"/>
  <c r="BK54" i="36"/>
  <c r="BL54" i="36" s="1"/>
  <c r="CU50" i="36"/>
  <c r="CV50" i="36" s="1"/>
  <c r="CO50" i="36"/>
  <c r="CP50" i="36" s="1"/>
  <c r="CC50" i="36"/>
  <c r="CD50" i="36" s="1"/>
  <c r="BW50" i="36"/>
  <c r="BX50" i="36" s="1"/>
  <c r="BQ50" i="36"/>
  <c r="BR50" i="36" s="1"/>
  <c r="BK50" i="36"/>
  <c r="BL50" i="36" s="1"/>
  <c r="AY50" i="36"/>
  <c r="AZ50" i="36" s="1"/>
  <c r="AM50" i="36"/>
  <c r="AN50" i="36" s="1"/>
  <c r="CI50" i="36"/>
  <c r="CJ50" i="36" s="1"/>
  <c r="BE50" i="36"/>
  <c r="BF50" i="36" s="1"/>
  <c r="AS50" i="36"/>
  <c r="AT50" i="36" s="1"/>
  <c r="AG50" i="36"/>
  <c r="AH50" i="36" s="1"/>
  <c r="CU46" i="36"/>
  <c r="CV46" i="36" s="1"/>
  <c r="CO46" i="36"/>
  <c r="CP46" i="36" s="1"/>
  <c r="CI46" i="36"/>
  <c r="CJ46" i="36" s="1"/>
  <c r="CC46" i="36"/>
  <c r="CD46" i="36" s="1"/>
  <c r="BW46" i="36"/>
  <c r="BX46" i="36" s="1"/>
  <c r="BQ46" i="36"/>
  <c r="BR46" i="36" s="1"/>
  <c r="BK46" i="36"/>
  <c r="BL46" i="36" s="1"/>
  <c r="AY46" i="36"/>
  <c r="AZ46" i="36" s="1"/>
  <c r="AM46" i="36"/>
  <c r="AN46" i="36" s="1"/>
  <c r="CU42" i="36"/>
  <c r="CV42" i="36" s="1"/>
  <c r="CI42" i="36"/>
  <c r="CJ42" i="36" s="1"/>
  <c r="AY42" i="36"/>
  <c r="AZ42" i="36" s="1"/>
  <c r="AM42" i="36"/>
  <c r="AN42" i="36" s="1"/>
  <c r="CO42" i="36"/>
  <c r="CP42" i="36" s="1"/>
  <c r="BK42" i="36"/>
  <c r="BL42" i="36" s="1"/>
  <c r="BQ42" i="36"/>
  <c r="BR42" i="36" s="1"/>
  <c r="BE42" i="36"/>
  <c r="BF42" i="36" s="1"/>
  <c r="AS42" i="36"/>
  <c r="AT42" i="36" s="1"/>
  <c r="AG42" i="36"/>
  <c r="AH42" i="36" s="1"/>
  <c r="CC42" i="36"/>
  <c r="CD42" i="36" s="1"/>
  <c r="BW42" i="36"/>
  <c r="BX42" i="36" s="1"/>
  <c r="CU38" i="36"/>
  <c r="CV38" i="36" s="1"/>
  <c r="CC38" i="36"/>
  <c r="CD38" i="36" s="1"/>
  <c r="CO38" i="36"/>
  <c r="CP38" i="36" s="1"/>
  <c r="CI38" i="36"/>
  <c r="CJ38" i="36" s="1"/>
  <c r="AY38" i="36"/>
  <c r="AZ38" i="36" s="1"/>
  <c r="AM38" i="36"/>
  <c r="AN38" i="36" s="1"/>
  <c r="BW38" i="36"/>
  <c r="BX38" i="36" s="1"/>
  <c r="BQ38" i="36"/>
  <c r="BR38" i="36" s="1"/>
  <c r="CU34" i="36"/>
  <c r="CV34" i="36" s="1"/>
  <c r="CO34" i="36"/>
  <c r="CP34" i="36" s="1"/>
  <c r="CI34" i="36"/>
  <c r="CJ34" i="36" s="1"/>
  <c r="BW34" i="36"/>
  <c r="BX34" i="36" s="1"/>
  <c r="BQ34" i="36"/>
  <c r="BR34" i="36" s="1"/>
  <c r="BK34" i="36"/>
  <c r="BL34" i="36" s="1"/>
  <c r="AY34" i="36"/>
  <c r="AZ34" i="36" s="1"/>
  <c r="AM34" i="36"/>
  <c r="AN34" i="36" s="1"/>
  <c r="CC34" i="36"/>
  <c r="CD34" i="36" s="1"/>
  <c r="BE34" i="36"/>
  <c r="BF34" i="36" s="1"/>
  <c r="AS34" i="36"/>
  <c r="AT34" i="36" s="1"/>
  <c r="AG34" i="36"/>
  <c r="AH34" i="36" s="1"/>
  <c r="CU30" i="36"/>
  <c r="CV30" i="36" s="1"/>
  <c r="CI30" i="36"/>
  <c r="CJ30" i="36" s="1"/>
  <c r="CO30" i="36"/>
  <c r="CP30" i="36" s="1"/>
  <c r="CC30" i="36"/>
  <c r="CD30" i="36" s="1"/>
  <c r="BW30" i="36"/>
  <c r="BX30" i="36" s="1"/>
  <c r="BQ30" i="36"/>
  <c r="BR30" i="36" s="1"/>
  <c r="BK30" i="36"/>
  <c r="BL30" i="36" s="1"/>
  <c r="AY30" i="36"/>
  <c r="AZ30" i="36" s="1"/>
  <c r="AM30" i="36"/>
  <c r="AN30" i="36" s="1"/>
  <c r="CI26" i="36"/>
  <c r="CJ26" i="36" s="1"/>
  <c r="CU26" i="36"/>
  <c r="CV26" i="36" s="1"/>
  <c r="CC26" i="36"/>
  <c r="CD26" i="36" s="1"/>
  <c r="AY26" i="36"/>
  <c r="AZ26" i="36" s="1"/>
  <c r="AM26" i="36"/>
  <c r="AN26" i="36" s="1"/>
  <c r="CO26" i="36"/>
  <c r="CP26" i="36" s="1"/>
  <c r="BE26" i="36"/>
  <c r="BF26" i="36" s="1"/>
  <c r="AS26" i="36"/>
  <c r="AT26" i="36" s="1"/>
  <c r="AG26" i="36"/>
  <c r="AH26" i="36" s="1"/>
  <c r="BW26" i="36"/>
  <c r="BX26" i="36" s="1"/>
  <c r="BK26" i="36"/>
  <c r="BL26" i="36" s="1"/>
  <c r="CO22" i="36"/>
  <c r="CP22" i="36" s="1"/>
  <c r="CU22" i="36"/>
  <c r="CV22" i="36" s="1"/>
  <c r="CI22" i="36"/>
  <c r="CJ22" i="36" s="1"/>
  <c r="AY22" i="36"/>
  <c r="AZ22" i="36" s="1"/>
  <c r="AM22" i="36"/>
  <c r="AN22" i="36" s="1"/>
  <c r="CC22" i="36"/>
  <c r="CD22" i="36" s="1"/>
  <c r="BW22" i="36"/>
  <c r="BX22" i="36" s="1"/>
  <c r="BQ22" i="36"/>
  <c r="BR22" i="36" s="1"/>
  <c r="BK22" i="36"/>
  <c r="BL22" i="36" s="1"/>
  <c r="CO18" i="36"/>
  <c r="CP18" i="36" s="1"/>
  <c r="CU18" i="36"/>
  <c r="CV18" i="36" s="1"/>
  <c r="BW18" i="36"/>
  <c r="BX18" i="36" s="1"/>
  <c r="BQ18" i="36"/>
  <c r="BR18" i="36" s="1"/>
  <c r="BK18" i="36"/>
  <c r="BL18" i="36" s="1"/>
  <c r="CC18" i="36"/>
  <c r="CD18" i="36" s="1"/>
  <c r="AY18" i="36"/>
  <c r="AZ18" i="36" s="1"/>
  <c r="AM18" i="36"/>
  <c r="AN18" i="36" s="1"/>
  <c r="CI18" i="36"/>
  <c r="CJ18" i="36" s="1"/>
  <c r="BE18" i="36"/>
  <c r="BF18" i="36" s="1"/>
  <c r="AS18" i="36"/>
  <c r="AT18" i="36" s="1"/>
  <c r="AG18" i="36"/>
  <c r="AH18" i="36" s="1"/>
  <c r="CO14" i="36"/>
  <c r="CP14" i="36" s="1"/>
  <c r="CU14" i="36"/>
  <c r="CV14" i="36" s="1"/>
  <c r="CI14" i="36"/>
  <c r="CJ14" i="36" s="1"/>
  <c r="CC14" i="36"/>
  <c r="CD14" i="36" s="1"/>
  <c r="BW14" i="36"/>
  <c r="BX14" i="36" s="1"/>
  <c r="BQ14" i="36"/>
  <c r="BR14" i="36" s="1"/>
  <c r="BK14" i="36"/>
  <c r="BL14" i="36" s="1"/>
  <c r="AY14" i="36"/>
  <c r="AZ14" i="36" s="1"/>
  <c r="AM14" i="36"/>
  <c r="AN14" i="36" s="1"/>
  <c r="CO10" i="36"/>
  <c r="CP10" i="36" s="1"/>
  <c r="CI10" i="36"/>
  <c r="CJ10" i="36" s="1"/>
  <c r="CU10" i="36"/>
  <c r="CV10" i="36" s="1"/>
  <c r="CC10" i="36"/>
  <c r="CD10" i="36" s="1"/>
  <c r="AY10" i="36"/>
  <c r="AZ10" i="36" s="1"/>
  <c r="AM10" i="36"/>
  <c r="AN10" i="36" s="1"/>
  <c r="BK10" i="36"/>
  <c r="BL10" i="36" s="1"/>
  <c r="BE10" i="36"/>
  <c r="BF10" i="36" s="1"/>
  <c r="AS10" i="36"/>
  <c r="AT10" i="36" s="1"/>
  <c r="AG10" i="36"/>
  <c r="AH10" i="36" s="1"/>
  <c r="BW10" i="36"/>
  <c r="BX10" i="36" s="1"/>
  <c r="BQ10" i="36"/>
  <c r="BR10" i="36" s="1"/>
  <c r="AG193" i="36"/>
  <c r="AH193" i="36" s="1"/>
  <c r="AG78" i="36"/>
  <c r="AH78" i="36" s="1"/>
  <c r="AG46" i="36"/>
  <c r="AH46" i="36" s="1"/>
  <c r="AG14" i="36"/>
  <c r="AH14" i="36" s="1"/>
  <c r="AS193" i="36"/>
  <c r="AT193" i="36" s="1"/>
  <c r="AS78" i="36"/>
  <c r="AT78" i="36" s="1"/>
  <c r="AS46" i="36"/>
  <c r="AT46" i="36" s="1"/>
  <c r="AS14" i="36"/>
  <c r="AT14" i="36" s="1"/>
  <c r="BE193" i="36"/>
  <c r="BF193" i="36" s="1"/>
  <c r="BE78" i="36"/>
  <c r="BF78" i="36" s="1"/>
  <c r="BE46" i="36"/>
  <c r="BF46" i="36" s="1"/>
  <c r="BE14" i="36"/>
  <c r="BF14" i="36" s="1"/>
  <c r="BQ26" i="36"/>
  <c r="BR26" i="36" s="1"/>
  <c r="CC58" i="36"/>
  <c r="CD58" i="36" s="1"/>
  <c r="CU192" i="36"/>
  <c r="CV192" i="36" s="1"/>
  <c r="CO192" i="36"/>
  <c r="CP192" i="36" s="1"/>
  <c r="CC192" i="36"/>
  <c r="CD192" i="36" s="1"/>
  <c r="BQ192" i="36"/>
  <c r="BR192" i="36" s="1"/>
  <c r="CI192" i="36"/>
  <c r="CJ192" i="36" s="1"/>
  <c r="BW192" i="36"/>
  <c r="BX192" i="36" s="1"/>
  <c r="BK192" i="36"/>
  <c r="BL192" i="36" s="1"/>
  <c r="AY192" i="36"/>
  <c r="AZ192" i="36" s="1"/>
  <c r="AM192" i="36"/>
  <c r="AN192" i="36" s="1"/>
  <c r="BE192" i="36"/>
  <c r="BF192" i="36" s="1"/>
  <c r="AS192" i="36"/>
  <c r="AT192" i="36" s="1"/>
  <c r="AG192" i="36"/>
  <c r="AH192" i="36" s="1"/>
  <c r="CU188" i="36"/>
  <c r="CV188" i="36" s="1"/>
  <c r="CO188" i="36"/>
  <c r="CP188" i="36" s="1"/>
  <c r="CI188" i="36"/>
  <c r="CJ188" i="36" s="1"/>
  <c r="CC188" i="36"/>
  <c r="CD188" i="36" s="1"/>
  <c r="BQ188" i="36"/>
  <c r="BR188" i="36" s="1"/>
  <c r="BK188" i="36"/>
  <c r="BL188" i="36" s="1"/>
  <c r="AY188" i="36"/>
  <c r="AZ188" i="36" s="1"/>
  <c r="AM188" i="36"/>
  <c r="AN188" i="36" s="1"/>
  <c r="BW188" i="36"/>
  <c r="BX188" i="36" s="1"/>
  <c r="BE188" i="36"/>
  <c r="BF188" i="36" s="1"/>
  <c r="AS188" i="36"/>
  <c r="AT188" i="36" s="1"/>
  <c r="AG188" i="36"/>
  <c r="AH188" i="36" s="1"/>
  <c r="CU184" i="36"/>
  <c r="CV184" i="36" s="1"/>
  <c r="CC184" i="36"/>
  <c r="CD184" i="36" s="1"/>
  <c r="BQ184" i="36"/>
  <c r="BR184" i="36" s="1"/>
  <c r="CO184" i="36"/>
  <c r="CP184" i="36" s="1"/>
  <c r="BK184" i="36"/>
  <c r="BL184" i="36" s="1"/>
  <c r="AY184" i="36"/>
  <c r="AZ184" i="36" s="1"/>
  <c r="AM184" i="36"/>
  <c r="AN184" i="36" s="1"/>
  <c r="BW184" i="36"/>
  <c r="BX184" i="36" s="1"/>
  <c r="CI184" i="36"/>
  <c r="CJ184" i="36" s="1"/>
  <c r="BE184" i="36"/>
  <c r="BF184" i="36" s="1"/>
  <c r="AS184" i="36"/>
  <c r="AT184" i="36" s="1"/>
  <c r="AG184" i="36"/>
  <c r="AH184" i="36" s="1"/>
  <c r="CU180" i="36"/>
  <c r="CV180" i="36" s="1"/>
  <c r="CO180" i="36"/>
  <c r="CP180" i="36" s="1"/>
  <c r="CC180" i="36"/>
  <c r="CD180" i="36" s="1"/>
  <c r="BQ180" i="36"/>
  <c r="BR180" i="36" s="1"/>
  <c r="BK180" i="36"/>
  <c r="BL180" i="36" s="1"/>
  <c r="AY180" i="36"/>
  <c r="AZ180" i="36" s="1"/>
  <c r="AM180" i="36"/>
  <c r="AN180" i="36" s="1"/>
  <c r="CI180" i="36"/>
  <c r="CJ180" i="36" s="1"/>
  <c r="BW180" i="36"/>
  <c r="BX180" i="36" s="1"/>
  <c r="BE180" i="36"/>
  <c r="BF180" i="36" s="1"/>
  <c r="AS180" i="36"/>
  <c r="AT180" i="36" s="1"/>
  <c r="AG180" i="36"/>
  <c r="AH180" i="36" s="1"/>
  <c r="CO176" i="36"/>
  <c r="CP176" i="36" s="1"/>
  <c r="CC176" i="36"/>
  <c r="CD176" i="36" s="1"/>
  <c r="BQ176" i="36"/>
  <c r="BR176" i="36" s="1"/>
  <c r="BW176" i="36"/>
  <c r="BX176" i="36" s="1"/>
  <c r="BK176" i="36"/>
  <c r="BL176" i="36" s="1"/>
  <c r="AY176" i="36"/>
  <c r="AZ176" i="36" s="1"/>
  <c r="AM176" i="36"/>
  <c r="AN176" i="36" s="1"/>
  <c r="CU176" i="36"/>
  <c r="CV176" i="36" s="1"/>
  <c r="CI176" i="36"/>
  <c r="CJ176" i="36" s="1"/>
  <c r="BE176" i="36"/>
  <c r="BF176" i="36" s="1"/>
  <c r="AS176" i="36"/>
  <c r="AT176" i="36" s="1"/>
  <c r="AG176" i="36"/>
  <c r="AH176" i="36" s="1"/>
  <c r="CU88" i="36"/>
  <c r="CV88" i="36" s="1"/>
  <c r="CO88" i="36"/>
  <c r="CP88" i="36" s="1"/>
  <c r="CI88" i="36"/>
  <c r="CJ88" i="36" s="1"/>
  <c r="CC88" i="36"/>
  <c r="CD88" i="36" s="1"/>
  <c r="BQ88" i="36"/>
  <c r="BR88" i="36" s="1"/>
  <c r="BK88" i="36"/>
  <c r="BL88" i="36" s="1"/>
  <c r="AY88" i="36"/>
  <c r="AZ88" i="36" s="1"/>
  <c r="AM88" i="36"/>
  <c r="AN88" i="36" s="1"/>
  <c r="BW88" i="36"/>
  <c r="BX88" i="36" s="1"/>
  <c r="BE88" i="36"/>
  <c r="BF88" i="36" s="1"/>
  <c r="AS88" i="36"/>
  <c r="AT88" i="36" s="1"/>
  <c r="AG88" i="36"/>
  <c r="AH88" i="36" s="1"/>
  <c r="CC84" i="36"/>
  <c r="CD84" i="36" s="1"/>
  <c r="BQ84" i="36"/>
  <c r="BR84" i="36" s="1"/>
  <c r="CO84" i="36"/>
  <c r="CP84" i="36" s="1"/>
  <c r="BK84" i="36"/>
  <c r="BL84" i="36" s="1"/>
  <c r="AY84" i="36"/>
  <c r="AZ84" i="36" s="1"/>
  <c r="AM84" i="36"/>
  <c r="AN84" i="36" s="1"/>
  <c r="CU84" i="36"/>
  <c r="CV84" i="36" s="1"/>
  <c r="CI84" i="36"/>
  <c r="CJ84" i="36" s="1"/>
  <c r="BW84" i="36"/>
  <c r="BX84" i="36" s="1"/>
  <c r="BE84" i="36"/>
  <c r="BF84" i="36" s="1"/>
  <c r="AS84" i="36"/>
  <c r="AT84" i="36" s="1"/>
  <c r="AG84" i="36"/>
  <c r="AH84" i="36" s="1"/>
  <c r="CU80" i="36"/>
  <c r="CV80" i="36" s="1"/>
  <c r="CC80" i="36"/>
  <c r="CD80" i="36" s="1"/>
  <c r="BQ80" i="36"/>
  <c r="BR80" i="36" s="1"/>
  <c r="CI80" i="36"/>
  <c r="CJ80" i="36" s="1"/>
  <c r="BK80" i="36"/>
  <c r="BL80" i="36" s="1"/>
  <c r="AY80" i="36"/>
  <c r="AZ80" i="36" s="1"/>
  <c r="AM80" i="36"/>
  <c r="AN80" i="36" s="1"/>
  <c r="BW80" i="36"/>
  <c r="BX80" i="36" s="1"/>
  <c r="BE80" i="36"/>
  <c r="BF80" i="36" s="1"/>
  <c r="AS80" i="36"/>
  <c r="AT80" i="36" s="1"/>
  <c r="AG80" i="36"/>
  <c r="AH80" i="36" s="1"/>
  <c r="CO80" i="36"/>
  <c r="CP80" i="36" s="1"/>
  <c r="CO77" i="36"/>
  <c r="CP77" i="36" s="1"/>
  <c r="CU77" i="36"/>
  <c r="CV77" i="36" s="1"/>
  <c r="CI77" i="36"/>
  <c r="CJ77" i="36" s="1"/>
  <c r="CC77" i="36"/>
  <c r="CD77" i="36" s="1"/>
  <c r="BQ77" i="36"/>
  <c r="BR77" i="36" s="1"/>
  <c r="BW77" i="36"/>
  <c r="BX77" i="36" s="1"/>
  <c r="BK77" i="36"/>
  <c r="BL77" i="36" s="1"/>
  <c r="AY77" i="36"/>
  <c r="AZ77" i="36" s="1"/>
  <c r="AM77" i="36"/>
  <c r="AN77" i="36" s="1"/>
  <c r="BE77" i="36"/>
  <c r="BF77" i="36" s="1"/>
  <c r="AS77" i="36"/>
  <c r="AT77" i="36" s="1"/>
  <c r="AG77" i="36"/>
  <c r="AH77" i="36" s="1"/>
  <c r="CU73" i="36"/>
  <c r="CV73" i="36" s="1"/>
  <c r="CO73" i="36"/>
  <c r="CP73" i="36" s="1"/>
  <c r="CC73" i="36"/>
  <c r="CD73" i="36" s="1"/>
  <c r="BQ73" i="36"/>
  <c r="BR73" i="36" s="1"/>
  <c r="BK73" i="36"/>
  <c r="BL73" i="36" s="1"/>
  <c r="AY73" i="36"/>
  <c r="AZ73" i="36" s="1"/>
  <c r="AM73" i="36"/>
  <c r="AN73" i="36" s="1"/>
  <c r="CI73" i="36"/>
  <c r="CJ73" i="36" s="1"/>
  <c r="BW73" i="36"/>
  <c r="BX73" i="36" s="1"/>
  <c r="BE73" i="36"/>
  <c r="BF73" i="36" s="1"/>
  <c r="AS73" i="36"/>
  <c r="AT73" i="36" s="1"/>
  <c r="AG73" i="36"/>
  <c r="AH73" i="36" s="1"/>
  <c r="CU69" i="36"/>
  <c r="CV69" i="36" s="1"/>
  <c r="CI69" i="36"/>
  <c r="CJ69" i="36" s="1"/>
  <c r="CC69" i="36"/>
  <c r="CD69" i="36" s="1"/>
  <c r="BQ69" i="36"/>
  <c r="BR69" i="36" s="1"/>
  <c r="BK69" i="36"/>
  <c r="BL69" i="36" s="1"/>
  <c r="AY69" i="36"/>
  <c r="AZ69" i="36" s="1"/>
  <c r="AM69" i="36"/>
  <c r="AN69" i="36" s="1"/>
  <c r="CO69" i="36"/>
  <c r="CP69" i="36" s="1"/>
  <c r="BW69" i="36"/>
  <c r="BX69" i="36" s="1"/>
  <c r="BE69" i="36"/>
  <c r="BF69" i="36" s="1"/>
  <c r="AS69" i="36"/>
  <c r="AT69" i="36" s="1"/>
  <c r="AG69" i="36"/>
  <c r="AH69" i="36" s="1"/>
  <c r="CO65" i="36"/>
  <c r="CP65" i="36" s="1"/>
  <c r="CC65" i="36"/>
  <c r="CD65" i="36" s="1"/>
  <c r="BQ65" i="36"/>
  <c r="BR65" i="36" s="1"/>
  <c r="BK65" i="36"/>
  <c r="BL65" i="36" s="1"/>
  <c r="AY65" i="36"/>
  <c r="AZ65" i="36" s="1"/>
  <c r="AM65" i="36"/>
  <c r="AN65" i="36" s="1"/>
  <c r="CI65" i="36"/>
  <c r="CJ65" i="36" s="1"/>
  <c r="BW65" i="36"/>
  <c r="BX65" i="36" s="1"/>
  <c r="CU65" i="36"/>
  <c r="CV65" i="36" s="1"/>
  <c r="BE65" i="36"/>
  <c r="BF65" i="36" s="1"/>
  <c r="AS65" i="36"/>
  <c r="AT65" i="36" s="1"/>
  <c r="AG65" i="36"/>
  <c r="AH65" i="36" s="1"/>
  <c r="CO61" i="36"/>
  <c r="CP61" i="36" s="1"/>
  <c r="CU61" i="36"/>
  <c r="CV61" i="36" s="1"/>
  <c r="CC61" i="36"/>
  <c r="CD61" i="36" s="1"/>
  <c r="BQ61" i="36"/>
  <c r="BR61" i="36" s="1"/>
  <c r="CI61" i="36"/>
  <c r="CJ61" i="36" s="1"/>
  <c r="BW61" i="36"/>
  <c r="BX61" i="36" s="1"/>
  <c r="BK61" i="36"/>
  <c r="BL61" i="36" s="1"/>
  <c r="AY61" i="36"/>
  <c r="AZ61" i="36" s="1"/>
  <c r="AM61" i="36"/>
  <c r="AN61" i="36" s="1"/>
  <c r="BE61" i="36"/>
  <c r="BF61" i="36" s="1"/>
  <c r="AS61" i="36"/>
  <c r="AT61" i="36" s="1"/>
  <c r="AG61" i="36"/>
  <c r="AH61" i="36" s="1"/>
  <c r="AG185" i="36"/>
  <c r="AH185" i="36" s="1"/>
  <c r="AG70" i="36"/>
  <c r="AH70" i="36" s="1"/>
  <c r="AG38" i="36"/>
  <c r="AH38" i="36" s="1"/>
  <c r="AS185" i="36"/>
  <c r="AT185" i="36" s="1"/>
  <c r="AS70" i="36"/>
  <c r="AT70" i="36" s="1"/>
  <c r="AS38" i="36"/>
  <c r="AT38" i="36" s="1"/>
  <c r="BE185" i="36"/>
  <c r="BF185" i="36" s="1"/>
  <c r="BE70" i="36"/>
  <c r="BF70" i="36" s="1"/>
  <c r="BE38" i="36"/>
  <c r="BF38" i="36" s="1"/>
  <c r="BK38" i="36"/>
  <c r="BL38" i="36" s="1"/>
  <c r="BQ185" i="36"/>
  <c r="BR185" i="36" s="1"/>
  <c r="AG177" i="36"/>
  <c r="AH177" i="36" s="1"/>
  <c r="AG62" i="36"/>
  <c r="AH62" i="36" s="1"/>
  <c r="AG30" i="36"/>
  <c r="AH30" i="36" s="1"/>
  <c r="AS177" i="36"/>
  <c r="AT177" i="36" s="1"/>
  <c r="AS62" i="36"/>
  <c r="AT62" i="36" s="1"/>
  <c r="AS30" i="36"/>
  <c r="AT30" i="36" s="1"/>
  <c r="BE177" i="36"/>
  <c r="BF177" i="36" s="1"/>
  <c r="BE62" i="36"/>
  <c r="BF62" i="36" s="1"/>
  <c r="BE30" i="36"/>
  <c r="BF30" i="36" s="1"/>
  <c r="BQ70" i="36"/>
  <c r="BR70" i="36" s="1"/>
  <c r="AG85" i="36"/>
  <c r="AH85" i="36" s="1"/>
  <c r="AG54" i="36"/>
  <c r="AH54" i="36" s="1"/>
  <c r="AG22" i="36"/>
  <c r="AH22" i="36" s="1"/>
  <c r="AS85" i="36"/>
  <c r="AT85" i="36" s="1"/>
  <c r="AS54" i="36"/>
  <c r="AT54" i="36" s="1"/>
  <c r="AS22" i="36"/>
  <c r="AT22" i="36" s="1"/>
  <c r="BE85" i="36"/>
  <c r="BF85" i="36" s="1"/>
  <c r="BE54" i="36"/>
  <c r="BF54" i="36" s="1"/>
  <c r="BE22" i="36"/>
  <c r="BF22" i="36" s="1"/>
  <c r="BW189" i="36"/>
  <c r="BX189" i="36" s="1"/>
  <c r="CC189" i="36"/>
  <c r="CD189" i="36" s="1"/>
  <c r="CI78" i="36"/>
  <c r="CJ78" i="36" s="1"/>
  <c r="CU57" i="36"/>
  <c r="CV57" i="36" s="1"/>
  <c r="CO57" i="36"/>
  <c r="CP57" i="36" s="1"/>
  <c r="CC57" i="36"/>
  <c r="CD57" i="36" s="1"/>
  <c r="BQ57" i="36"/>
  <c r="BR57" i="36" s="1"/>
  <c r="AY57" i="36"/>
  <c r="AZ57" i="36" s="1"/>
  <c r="AM57" i="36"/>
  <c r="AN57" i="36" s="1"/>
  <c r="CI57" i="36"/>
  <c r="CJ57" i="36" s="1"/>
  <c r="BW57" i="36"/>
  <c r="BX57" i="36" s="1"/>
  <c r="BK57" i="36"/>
  <c r="BL57" i="36" s="1"/>
  <c r="CU53" i="36"/>
  <c r="CV53" i="36" s="1"/>
  <c r="CI53" i="36"/>
  <c r="CJ53" i="36" s="1"/>
  <c r="CC53" i="36"/>
  <c r="CD53" i="36" s="1"/>
  <c r="BQ53" i="36"/>
  <c r="BR53" i="36" s="1"/>
  <c r="AY53" i="36"/>
  <c r="AZ53" i="36" s="1"/>
  <c r="AM53" i="36"/>
  <c r="AN53" i="36" s="1"/>
  <c r="CO53" i="36"/>
  <c r="CP53" i="36" s="1"/>
  <c r="CU49" i="36"/>
  <c r="CV49" i="36" s="1"/>
  <c r="CI49" i="36"/>
  <c r="CJ49" i="36" s="1"/>
  <c r="CC49" i="36"/>
  <c r="CD49" i="36" s="1"/>
  <c r="BQ49" i="36"/>
  <c r="BR49" i="36" s="1"/>
  <c r="CO49" i="36"/>
  <c r="CP49" i="36" s="1"/>
  <c r="AY49" i="36"/>
  <c r="AZ49" i="36" s="1"/>
  <c r="AM49" i="36"/>
  <c r="AN49" i="36" s="1"/>
  <c r="BW49" i="36"/>
  <c r="BX49" i="36" s="1"/>
  <c r="CU45" i="36"/>
  <c r="CV45" i="36" s="1"/>
  <c r="CO45" i="36"/>
  <c r="CP45" i="36" s="1"/>
  <c r="CC45" i="36"/>
  <c r="CD45" i="36" s="1"/>
  <c r="BQ45" i="36"/>
  <c r="BR45" i="36" s="1"/>
  <c r="CI45" i="36"/>
  <c r="CJ45" i="36" s="1"/>
  <c r="BW45" i="36"/>
  <c r="BX45" i="36" s="1"/>
  <c r="BK45" i="36"/>
  <c r="BL45" i="36" s="1"/>
  <c r="AY45" i="36"/>
  <c r="AZ45" i="36" s="1"/>
  <c r="AM45" i="36"/>
  <c r="AN45" i="36" s="1"/>
  <c r="CU41" i="36"/>
  <c r="CV41" i="36" s="1"/>
  <c r="CC41" i="36"/>
  <c r="CD41" i="36" s="1"/>
  <c r="CO41" i="36"/>
  <c r="CP41" i="36" s="1"/>
  <c r="CI41" i="36"/>
  <c r="CJ41" i="36" s="1"/>
  <c r="BQ41" i="36"/>
  <c r="BR41" i="36" s="1"/>
  <c r="AY41" i="36"/>
  <c r="AZ41" i="36" s="1"/>
  <c r="AM41" i="36"/>
  <c r="AN41" i="36" s="1"/>
  <c r="BW41" i="36"/>
  <c r="BX41" i="36" s="1"/>
  <c r="BK41" i="36"/>
  <c r="BL41" i="36" s="1"/>
  <c r="CC37" i="36"/>
  <c r="CD37" i="36" s="1"/>
  <c r="CU37" i="36"/>
  <c r="CV37" i="36" s="1"/>
  <c r="CI37" i="36"/>
  <c r="CJ37" i="36" s="1"/>
  <c r="BQ37" i="36"/>
  <c r="BR37" i="36" s="1"/>
  <c r="CO37" i="36"/>
  <c r="CP37" i="36" s="1"/>
  <c r="AY37" i="36"/>
  <c r="AZ37" i="36" s="1"/>
  <c r="AM37" i="36"/>
  <c r="AN37" i="36" s="1"/>
  <c r="CC33" i="36"/>
  <c r="CD33" i="36" s="1"/>
  <c r="CO33" i="36"/>
  <c r="CP33" i="36" s="1"/>
  <c r="BQ33" i="36"/>
  <c r="BR33" i="36" s="1"/>
  <c r="AY33" i="36"/>
  <c r="AZ33" i="36" s="1"/>
  <c r="AM33" i="36"/>
  <c r="AN33" i="36" s="1"/>
  <c r="BW33" i="36"/>
  <c r="BX33" i="36" s="1"/>
  <c r="CU29" i="36"/>
  <c r="CV29" i="36" s="1"/>
  <c r="CC29" i="36"/>
  <c r="CD29" i="36" s="1"/>
  <c r="CO29" i="36"/>
  <c r="CP29" i="36" s="1"/>
  <c r="BQ29" i="36"/>
  <c r="BR29" i="36" s="1"/>
  <c r="BW29" i="36"/>
  <c r="BX29" i="36" s="1"/>
  <c r="BK29" i="36"/>
  <c r="BL29" i="36" s="1"/>
  <c r="AY29" i="36"/>
  <c r="AZ29" i="36" s="1"/>
  <c r="AM29" i="36"/>
  <c r="AN29" i="36" s="1"/>
  <c r="CI29" i="36"/>
  <c r="CJ29" i="36" s="1"/>
  <c r="CU25" i="36"/>
  <c r="CV25" i="36" s="1"/>
  <c r="CC25" i="36"/>
  <c r="CD25" i="36" s="1"/>
  <c r="CI25" i="36"/>
  <c r="CJ25" i="36" s="1"/>
  <c r="CO25" i="36"/>
  <c r="CP25" i="36" s="1"/>
  <c r="BQ25" i="36"/>
  <c r="BR25" i="36" s="1"/>
  <c r="AY25" i="36"/>
  <c r="AZ25" i="36" s="1"/>
  <c r="AM25" i="36"/>
  <c r="AN25" i="36" s="1"/>
  <c r="BW25" i="36"/>
  <c r="BX25" i="36" s="1"/>
  <c r="BK25" i="36"/>
  <c r="BL25" i="36" s="1"/>
  <c r="CU21" i="36"/>
  <c r="CV21" i="36" s="1"/>
  <c r="CC21" i="36"/>
  <c r="CD21" i="36" s="1"/>
  <c r="CI21" i="36"/>
  <c r="CJ21" i="36" s="1"/>
  <c r="CO21" i="36"/>
  <c r="CP21" i="36" s="1"/>
  <c r="BQ21" i="36"/>
  <c r="BR21" i="36" s="1"/>
  <c r="AY21" i="36"/>
  <c r="AZ21" i="36" s="1"/>
  <c r="AM21" i="36"/>
  <c r="AN21" i="36" s="1"/>
  <c r="CU17" i="36"/>
  <c r="CV17" i="36" s="1"/>
  <c r="CC17" i="36"/>
  <c r="CD17" i="36" s="1"/>
  <c r="CO17" i="36"/>
  <c r="CP17" i="36" s="1"/>
  <c r="BQ17" i="36"/>
  <c r="BR17" i="36" s="1"/>
  <c r="AY17" i="36"/>
  <c r="AZ17" i="36" s="1"/>
  <c r="AM17" i="36"/>
  <c r="AN17" i="36" s="1"/>
  <c r="CI17" i="36"/>
  <c r="CJ17" i="36" s="1"/>
  <c r="BW17" i="36"/>
  <c r="BX17" i="36" s="1"/>
  <c r="CU13" i="36"/>
  <c r="CV13" i="36" s="1"/>
  <c r="CO13" i="36"/>
  <c r="CP13" i="36" s="1"/>
  <c r="CC13" i="36"/>
  <c r="CD13" i="36" s="1"/>
  <c r="CI13" i="36"/>
  <c r="CJ13" i="36" s="1"/>
  <c r="BQ13" i="36"/>
  <c r="BR13" i="36" s="1"/>
  <c r="BW13" i="36"/>
  <c r="BX13" i="36" s="1"/>
  <c r="BK13" i="36"/>
  <c r="BL13" i="36" s="1"/>
  <c r="AY13" i="36"/>
  <c r="AZ13" i="36" s="1"/>
  <c r="AM13" i="36"/>
  <c r="AN13" i="36" s="1"/>
  <c r="CU9" i="36"/>
  <c r="CV9" i="36" s="1"/>
  <c r="CC9" i="36"/>
  <c r="CD9" i="36" s="1"/>
  <c r="CO9" i="36"/>
  <c r="CP9" i="36" s="1"/>
  <c r="CI9" i="36"/>
  <c r="CJ9" i="36" s="1"/>
  <c r="BQ9" i="36"/>
  <c r="BR9" i="36" s="1"/>
  <c r="AY9" i="36"/>
  <c r="AZ9" i="36" s="1"/>
  <c r="AM9" i="36"/>
  <c r="AN9" i="36" s="1"/>
  <c r="BW9" i="36"/>
  <c r="BX9" i="36" s="1"/>
  <c r="BK9" i="36"/>
  <c r="BL9" i="36" s="1"/>
  <c r="AG45" i="36"/>
  <c r="AH45" i="36" s="1"/>
  <c r="AG37" i="36"/>
  <c r="AH37" i="36" s="1"/>
  <c r="AG29" i="36"/>
  <c r="AH29" i="36" s="1"/>
  <c r="AG21" i="36"/>
  <c r="AH21" i="36" s="1"/>
  <c r="AG13" i="36"/>
  <c r="AH13" i="36" s="1"/>
  <c r="AS53" i="36"/>
  <c r="AT53" i="36" s="1"/>
  <c r="AS45" i="36"/>
  <c r="AT45" i="36" s="1"/>
  <c r="AS37" i="36"/>
  <c r="AT37" i="36" s="1"/>
  <c r="AS29" i="36"/>
  <c r="AT29" i="36" s="1"/>
  <c r="AS21" i="36"/>
  <c r="AT21" i="36" s="1"/>
  <c r="AS13" i="36"/>
  <c r="AT13" i="36" s="1"/>
  <c r="BE53" i="36"/>
  <c r="BF53" i="36" s="1"/>
  <c r="BE45" i="36"/>
  <c r="BF45" i="36" s="1"/>
  <c r="BE37" i="36"/>
  <c r="BF37" i="36" s="1"/>
  <c r="BE29" i="36"/>
  <c r="BF29" i="36" s="1"/>
  <c r="BE21" i="36"/>
  <c r="BF21" i="36" s="1"/>
  <c r="BE13" i="36"/>
  <c r="BF13" i="36" s="1"/>
  <c r="BK37" i="36"/>
  <c r="BL37" i="36" s="1"/>
  <c r="CU191" i="36"/>
  <c r="CV191" i="36" s="1"/>
  <c r="CO191" i="36"/>
  <c r="CP191" i="36" s="1"/>
  <c r="CC191" i="36"/>
  <c r="CD191" i="36" s="1"/>
  <c r="BQ191" i="36"/>
  <c r="BR191" i="36" s="1"/>
  <c r="BE191" i="36"/>
  <c r="BF191" i="36" s="1"/>
  <c r="AS191" i="36"/>
  <c r="AT191" i="36" s="1"/>
  <c r="AG191" i="36"/>
  <c r="AH191" i="36" s="1"/>
  <c r="BW191" i="36"/>
  <c r="BX191" i="36" s="1"/>
  <c r="CU187" i="36"/>
  <c r="CV187" i="36" s="1"/>
  <c r="CO187" i="36"/>
  <c r="CP187" i="36" s="1"/>
  <c r="BW187" i="36"/>
  <c r="BX187" i="36" s="1"/>
  <c r="CI187" i="36"/>
  <c r="CJ187" i="36" s="1"/>
  <c r="CC187" i="36"/>
  <c r="CD187" i="36" s="1"/>
  <c r="BQ187" i="36"/>
  <c r="BR187" i="36" s="1"/>
  <c r="BE187" i="36"/>
  <c r="BF187" i="36" s="1"/>
  <c r="AS187" i="36"/>
  <c r="AT187" i="36" s="1"/>
  <c r="AG187" i="36"/>
  <c r="AH187" i="36" s="1"/>
  <c r="CU183" i="36"/>
  <c r="CV183" i="36" s="1"/>
  <c r="CO183" i="36"/>
  <c r="CP183" i="36" s="1"/>
  <c r="CI183" i="36"/>
  <c r="CJ183" i="36" s="1"/>
  <c r="BW183" i="36"/>
  <c r="BX183" i="36" s="1"/>
  <c r="BE183" i="36"/>
  <c r="BF183" i="36" s="1"/>
  <c r="AS183" i="36"/>
  <c r="AT183" i="36" s="1"/>
  <c r="AG183" i="36"/>
  <c r="AH183" i="36" s="1"/>
  <c r="CU179" i="36"/>
  <c r="CV179" i="36" s="1"/>
  <c r="CO179" i="36"/>
  <c r="CP179" i="36" s="1"/>
  <c r="CI179" i="36"/>
  <c r="CJ179" i="36" s="1"/>
  <c r="BE179" i="36"/>
  <c r="BF179" i="36" s="1"/>
  <c r="AS179" i="36"/>
  <c r="AT179" i="36" s="1"/>
  <c r="AG179" i="36"/>
  <c r="AH179" i="36" s="1"/>
  <c r="CC179" i="36"/>
  <c r="CD179" i="36" s="1"/>
  <c r="CU175" i="36"/>
  <c r="CV175" i="36" s="1"/>
  <c r="CO175" i="36"/>
  <c r="CP175" i="36" s="1"/>
  <c r="CC175" i="36"/>
  <c r="CD175" i="36" s="1"/>
  <c r="BQ175" i="36"/>
  <c r="BR175" i="36" s="1"/>
  <c r="BE175" i="36"/>
  <c r="BF175" i="36" s="1"/>
  <c r="AS175" i="36"/>
  <c r="AT175" i="36" s="1"/>
  <c r="AG175" i="36"/>
  <c r="AH175" i="36" s="1"/>
  <c r="CI175" i="36"/>
  <c r="CJ175" i="36" s="1"/>
  <c r="CU87" i="36"/>
  <c r="CV87" i="36" s="1"/>
  <c r="CO87" i="36"/>
  <c r="CP87" i="36" s="1"/>
  <c r="CI87" i="36"/>
  <c r="CJ87" i="36" s="1"/>
  <c r="BW87" i="36"/>
  <c r="BX87" i="36" s="1"/>
  <c r="CC87" i="36"/>
  <c r="CD87" i="36" s="1"/>
  <c r="BQ87" i="36"/>
  <c r="BR87" i="36" s="1"/>
  <c r="BE87" i="36"/>
  <c r="BF87" i="36" s="1"/>
  <c r="AS87" i="36"/>
  <c r="AT87" i="36" s="1"/>
  <c r="AG87" i="36"/>
  <c r="AH87" i="36" s="1"/>
  <c r="CU83" i="36"/>
  <c r="CV83" i="36" s="1"/>
  <c r="CO83" i="36"/>
  <c r="CP83" i="36" s="1"/>
  <c r="CI83" i="36"/>
  <c r="CJ83" i="36" s="1"/>
  <c r="BW83" i="36"/>
  <c r="BX83" i="36" s="1"/>
  <c r="BE83" i="36"/>
  <c r="BF83" i="36" s="1"/>
  <c r="AS83" i="36"/>
  <c r="AT83" i="36" s="1"/>
  <c r="AG83" i="36"/>
  <c r="AH83" i="36" s="1"/>
  <c r="CU79" i="36"/>
  <c r="CV79" i="36" s="1"/>
  <c r="CO79" i="36"/>
  <c r="CP79" i="36" s="1"/>
  <c r="CI79" i="36"/>
  <c r="CJ79" i="36" s="1"/>
  <c r="BE79" i="36"/>
  <c r="BF79" i="36" s="1"/>
  <c r="AS79" i="36"/>
  <c r="AT79" i="36" s="1"/>
  <c r="AG79" i="36"/>
  <c r="AH79" i="36" s="1"/>
  <c r="CC79" i="36"/>
  <c r="CD79" i="36" s="1"/>
  <c r="CU76" i="36"/>
  <c r="CV76" i="36" s="1"/>
  <c r="CO76" i="36"/>
  <c r="CP76" i="36" s="1"/>
  <c r="CC76" i="36"/>
  <c r="CD76" i="36" s="1"/>
  <c r="BQ76" i="36"/>
  <c r="BR76" i="36" s="1"/>
  <c r="BE76" i="36"/>
  <c r="BF76" i="36" s="1"/>
  <c r="AS76" i="36"/>
  <c r="AT76" i="36" s="1"/>
  <c r="AG76" i="36"/>
  <c r="AH76" i="36" s="1"/>
  <c r="CI76" i="36"/>
  <c r="CJ76" i="36" s="1"/>
  <c r="BW76" i="36"/>
  <c r="BX76" i="36" s="1"/>
  <c r="CU72" i="36"/>
  <c r="CV72" i="36" s="1"/>
  <c r="CO72" i="36"/>
  <c r="CP72" i="36" s="1"/>
  <c r="CI72" i="36"/>
  <c r="CJ72" i="36" s="1"/>
  <c r="BW72" i="36"/>
  <c r="BX72" i="36" s="1"/>
  <c r="CC72" i="36"/>
  <c r="CD72" i="36" s="1"/>
  <c r="BQ72" i="36"/>
  <c r="BR72" i="36" s="1"/>
  <c r="BE72" i="36"/>
  <c r="BF72" i="36" s="1"/>
  <c r="AS72" i="36"/>
  <c r="AT72" i="36" s="1"/>
  <c r="AG72" i="36"/>
  <c r="AH72" i="36" s="1"/>
  <c r="CU68" i="36"/>
  <c r="CV68" i="36" s="1"/>
  <c r="CO68" i="36"/>
  <c r="CP68" i="36" s="1"/>
  <c r="BW68" i="36"/>
  <c r="BX68" i="36" s="1"/>
  <c r="BE68" i="36"/>
  <c r="BF68" i="36" s="1"/>
  <c r="AS68" i="36"/>
  <c r="AT68" i="36" s="1"/>
  <c r="AG68" i="36"/>
  <c r="AH68" i="36" s="1"/>
  <c r="CU64" i="36"/>
  <c r="CV64" i="36" s="1"/>
  <c r="CO64" i="36"/>
  <c r="CP64" i="36" s="1"/>
  <c r="CI64" i="36"/>
  <c r="CJ64" i="36" s="1"/>
  <c r="BE64" i="36"/>
  <c r="BF64" i="36" s="1"/>
  <c r="AS64" i="36"/>
  <c r="AT64" i="36" s="1"/>
  <c r="AG64" i="36"/>
  <c r="AH64" i="36" s="1"/>
  <c r="CC64" i="36"/>
  <c r="CD64" i="36" s="1"/>
  <c r="CU60" i="36"/>
  <c r="CV60" i="36" s="1"/>
  <c r="CO60" i="36"/>
  <c r="CP60" i="36" s="1"/>
  <c r="CC60" i="36"/>
  <c r="CD60" i="36" s="1"/>
  <c r="BQ60" i="36"/>
  <c r="BR60" i="36" s="1"/>
  <c r="BE60" i="36"/>
  <c r="BF60" i="36" s="1"/>
  <c r="AS60" i="36"/>
  <c r="AT60" i="36" s="1"/>
  <c r="AG60" i="36"/>
  <c r="AH60" i="36" s="1"/>
  <c r="AM191" i="36"/>
  <c r="AN191" i="36" s="1"/>
  <c r="AM183" i="36"/>
  <c r="AN183" i="36" s="1"/>
  <c r="AM175" i="36"/>
  <c r="AN175" i="36" s="1"/>
  <c r="AM83" i="36"/>
  <c r="AN83" i="36" s="1"/>
  <c r="AM76" i="36"/>
  <c r="AN76" i="36" s="1"/>
  <c r="AM68" i="36"/>
  <c r="AN68" i="36" s="1"/>
  <c r="AM60" i="36"/>
  <c r="AN60" i="36" s="1"/>
  <c r="AY191" i="36"/>
  <c r="AZ191" i="36" s="1"/>
  <c r="AY183" i="36"/>
  <c r="AZ183" i="36" s="1"/>
  <c r="AY175" i="36"/>
  <c r="AZ175" i="36" s="1"/>
  <c r="AY83" i="36"/>
  <c r="AZ83" i="36" s="1"/>
  <c r="AY76" i="36"/>
  <c r="AZ76" i="36" s="1"/>
  <c r="AY68" i="36"/>
  <c r="AZ68" i="36" s="1"/>
  <c r="AY60" i="36"/>
  <c r="AZ60" i="36" s="1"/>
  <c r="BK191" i="36"/>
  <c r="BL191" i="36" s="1"/>
  <c r="BK183" i="36"/>
  <c r="BL183" i="36" s="1"/>
  <c r="BK175" i="36"/>
  <c r="BL175" i="36" s="1"/>
  <c r="BK83" i="36"/>
  <c r="BL83" i="36" s="1"/>
  <c r="BK76" i="36"/>
  <c r="BL76" i="36" s="1"/>
  <c r="BK68" i="36"/>
  <c r="BL68" i="36" s="1"/>
  <c r="BK60" i="36"/>
  <c r="BL60" i="36" s="1"/>
  <c r="BK33" i="36"/>
  <c r="BL33" i="36" s="1"/>
  <c r="BQ179" i="36"/>
  <c r="BR179" i="36" s="1"/>
  <c r="BQ64" i="36"/>
  <c r="BR64" i="36" s="1"/>
  <c r="BW53" i="36"/>
  <c r="BX53" i="36" s="1"/>
  <c r="BW37" i="36"/>
  <c r="BX37" i="36" s="1"/>
  <c r="BW21" i="36"/>
  <c r="BX21" i="36" s="1"/>
  <c r="CI60" i="36"/>
  <c r="CJ60" i="36" s="1"/>
  <c r="CI33" i="36"/>
  <c r="CJ33" i="36" s="1"/>
  <c r="CI190" i="36"/>
  <c r="CJ190" i="36" s="1"/>
  <c r="CO190" i="36"/>
  <c r="CP190" i="36" s="1"/>
  <c r="BW190" i="36"/>
  <c r="BX190" i="36" s="1"/>
  <c r="BE190" i="36"/>
  <c r="BF190" i="36" s="1"/>
  <c r="AS190" i="36"/>
  <c r="AT190" i="36" s="1"/>
  <c r="AG190" i="36"/>
  <c r="AH190" i="36" s="1"/>
  <c r="CU190" i="36"/>
  <c r="CV190" i="36" s="1"/>
  <c r="CC190" i="36"/>
  <c r="CD190" i="36" s="1"/>
  <c r="CI186" i="36"/>
  <c r="CJ186" i="36" s="1"/>
  <c r="CO186" i="36"/>
  <c r="CP186" i="36" s="1"/>
  <c r="CU186" i="36"/>
  <c r="CV186" i="36" s="1"/>
  <c r="BW186" i="36"/>
  <c r="BX186" i="36" s="1"/>
  <c r="CC186" i="36"/>
  <c r="CD186" i="36" s="1"/>
  <c r="BQ186" i="36"/>
  <c r="BR186" i="36" s="1"/>
  <c r="BE186" i="36"/>
  <c r="BF186" i="36" s="1"/>
  <c r="AS186" i="36"/>
  <c r="AT186" i="36" s="1"/>
  <c r="AG186" i="36"/>
  <c r="AH186" i="36" s="1"/>
  <c r="CU182" i="36"/>
  <c r="CV182" i="36" s="1"/>
  <c r="CI182" i="36"/>
  <c r="CJ182" i="36" s="1"/>
  <c r="CO182" i="36"/>
  <c r="CP182" i="36" s="1"/>
  <c r="BW182" i="36"/>
  <c r="BX182" i="36" s="1"/>
  <c r="BE182" i="36"/>
  <c r="BF182" i="36" s="1"/>
  <c r="AS182" i="36"/>
  <c r="AT182" i="36" s="1"/>
  <c r="AG182" i="36"/>
  <c r="AH182" i="36" s="1"/>
  <c r="CC182" i="36"/>
  <c r="CD182" i="36" s="1"/>
  <c r="BQ182" i="36"/>
  <c r="BR182" i="36" s="1"/>
  <c r="CI178" i="36"/>
  <c r="CJ178" i="36" s="1"/>
  <c r="CU178" i="36"/>
  <c r="CV178" i="36" s="1"/>
  <c r="BW178" i="36"/>
  <c r="BX178" i="36" s="1"/>
  <c r="BE178" i="36"/>
  <c r="BF178" i="36" s="1"/>
  <c r="AS178" i="36"/>
  <c r="AT178" i="36" s="1"/>
  <c r="AG178" i="36"/>
  <c r="AH178" i="36" s="1"/>
  <c r="CI174" i="36"/>
  <c r="CJ174" i="36" s="1"/>
  <c r="CU174" i="36"/>
  <c r="CV174" i="36" s="1"/>
  <c r="BW174" i="36"/>
  <c r="BX174" i="36" s="1"/>
  <c r="BE174" i="36"/>
  <c r="BF174" i="36" s="1"/>
  <c r="AS174" i="36"/>
  <c r="AT174" i="36" s="1"/>
  <c r="AG174" i="36"/>
  <c r="AH174" i="36" s="1"/>
  <c r="CO174" i="36"/>
  <c r="CP174" i="36" s="1"/>
  <c r="CC174" i="36"/>
  <c r="CD174" i="36" s="1"/>
  <c r="CI86" i="36"/>
  <c r="CJ86" i="36" s="1"/>
  <c r="CU86" i="36"/>
  <c r="CV86" i="36" s="1"/>
  <c r="CO86" i="36"/>
  <c r="CP86" i="36" s="1"/>
  <c r="BW86" i="36"/>
  <c r="BX86" i="36" s="1"/>
  <c r="CC86" i="36"/>
  <c r="CD86" i="36" s="1"/>
  <c r="BQ86" i="36"/>
  <c r="BR86" i="36" s="1"/>
  <c r="BE86" i="36"/>
  <c r="BF86" i="36" s="1"/>
  <c r="AS86" i="36"/>
  <c r="AT86" i="36" s="1"/>
  <c r="AG86" i="36"/>
  <c r="AH86" i="36" s="1"/>
  <c r="CU82" i="36"/>
  <c r="CV82" i="36" s="1"/>
  <c r="CI82" i="36"/>
  <c r="CJ82" i="36" s="1"/>
  <c r="CO82" i="36"/>
  <c r="CP82" i="36" s="1"/>
  <c r="BW82" i="36"/>
  <c r="BX82" i="36" s="1"/>
  <c r="BE82" i="36"/>
  <c r="BF82" i="36" s="1"/>
  <c r="AS82" i="36"/>
  <c r="AT82" i="36" s="1"/>
  <c r="AG82" i="36"/>
  <c r="AH82" i="36" s="1"/>
  <c r="CC82" i="36"/>
  <c r="CD82" i="36" s="1"/>
  <c r="BQ82" i="36"/>
  <c r="BR82" i="36" s="1"/>
  <c r="CI75" i="36"/>
  <c r="CJ75" i="36" s="1"/>
  <c r="CU75" i="36"/>
  <c r="CV75" i="36" s="1"/>
  <c r="CO75" i="36"/>
  <c r="CP75" i="36" s="1"/>
  <c r="BW75" i="36"/>
  <c r="BX75" i="36" s="1"/>
  <c r="BE75" i="36"/>
  <c r="BF75" i="36" s="1"/>
  <c r="AS75" i="36"/>
  <c r="AT75" i="36" s="1"/>
  <c r="AG75" i="36"/>
  <c r="AH75" i="36" s="1"/>
  <c r="CC75" i="36"/>
  <c r="CD75" i="36" s="1"/>
  <c r="CI71" i="36"/>
  <c r="CJ71" i="36" s="1"/>
  <c r="CO71" i="36"/>
  <c r="CP71" i="36" s="1"/>
  <c r="CU71" i="36"/>
  <c r="CV71" i="36" s="1"/>
  <c r="BW71" i="36"/>
  <c r="BX71" i="36" s="1"/>
  <c r="CC71" i="36"/>
  <c r="CD71" i="36" s="1"/>
  <c r="BQ71" i="36"/>
  <c r="BR71" i="36" s="1"/>
  <c r="BE71" i="36"/>
  <c r="BF71" i="36" s="1"/>
  <c r="AS71" i="36"/>
  <c r="AT71" i="36" s="1"/>
  <c r="AG71" i="36"/>
  <c r="AH71" i="36" s="1"/>
  <c r="CU67" i="36"/>
  <c r="CV67" i="36" s="1"/>
  <c r="CI67" i="36"/>
  <c r="CJ67" i="36" s="1"/>
  <c r="CO67" i="36"/>
  <c r="CP67" i="36" s="1"/>
  <c r="BW67" i="36"/>
  <c r="BX67" i="36" s="1"/>
  <c r="BE67" i="36"/>
  <c r="BF67" i="36" s="1"/>
  <c r="AS67" i="36"/>
  <c r="AT67" i="36" s="1"/>
  <c r="AG67" i="36"/>
  <c r="AH67" i="36" s="1"/>
  <c r="CC67" i="36"/>
  <c r="CD67" i="36" s="1"/>
  <c r="BQ67" i="36"/>
  <c r="BR67" i="36" s="1"/>
  <c r="CI63" i="36"/>
  <c r="CJ63" i="36" s="1"/>
  <c r="CU63" i="36"/>
  <c r="CV63" i="36" s="1"/>
  <c r="BW63" i="36"/>
  <c r="BX63" i="36" s="1"/>
  <c r="BE63" i="36"/>
  <c r="BF63" i="36" s="1"/>
  <c r="AS63" i="36"/>
  <c r="AT63" i="36" s="1"/>
  <c r="AG63" i="36"/>
  <c r="AH63" i="36" s="1"/>
  <c r="CO63" i="36"/>
  <c r="CP63" i="36" s="1"/>
  <c r="AG57" i="36"/>
  <c r="AH57" i="36" s="1"/>
  <c r="AG49" i="36"/>
  <c r="AH49" i="36" s="1"/>
  <c r="AG41" i="36"/>
  <c r="AH41" i="36" s="1"/>
  <c r="AG33" i="36"/>
  <c r="AH33" i="36" s="1"/>
  <c r="AG25" i="36"/>
  <c r="AH25" i="36" s="1"/>
  <c r="AG17" i="36"/>
  <c r="AH17" i="36" s="1"/>
  <c r="AG9" i="36"/>
  <c r="AH9" i="36" s="1"/>
  <c r="AM190" i="36"/>
  <c r="AN190" i="36" s="1"/>
  <c r="AM182" i="36"/>
  <c r="AN182" i="36" s="1"/>
  <c r="AM174" i="36"/>
  <c r="AN174" i="36" s="1"/>
  <c r="AM82" i="36"/>
  <c r="AN82" i="36" s="1"/>
  <c r="AM75" i="36"/>
  <c r="AN75" i="36" s="1"/>
  <c r="AM67" i="36"/>
  <c r="AN67" i="36" s="1"/>
  <c r="AS57" i="36"/>
  <c r="AT57" i="36" s="1"/>
  <c r="AS49" i="36"/>
  <c r="AT49" i="36" s="1"/>
  <c r="AS41" i="36"/>
  <c r="AT41" i="36" s="1"/>
  <c r="AS33" i="36"/>
  <c r="AT33" i="36" s="1"/>
  <c r="AS25" i="36"/>
  <c r="AT25" i="36" s="1"/>
  <c r="AS17" i="36"/>
  <c r="AT17" i="36" s="1"/>
  <c r="AS9" i="36"/>
  <c r="AT9" i="36" s="1"/>
  <c r="AY190" i="36"/>
  <c r="AZ190" i="36" s="1"/>
  <c r="AY182" i="36"/>
  <c r="AZ182" i="36" s="1"/>
  <c r="AY174" i="36"/>
  <c r="AZ174" i="36" s="1"/>
  <c r="AY82" i="36"/>
  <c r="AZ82" i="36" s="1"/>
  <c r="AY75" i="36"/>
  <c r="AZ75" i="36" s="1"/>
  <c r="AY67" i="36"/>
  <c r="AZ67" i="36" s="1"/>
  <c r="BE57" i="36"/>
  <c r="BF57" i="36" s="1"/>
  <c r="BE49" i="36"/>
  <c r="BF49" i="36" s="1"/>
  <c r="BE41" i="36"/>
  <c r="BF41" i="36" s="1"/>
  <c r="BE33" i="36"/>
  <c r="BF33" i="36" s="1"/>
  <c r="BE25" i="36"/>
  <c r="BF25" i="36" s="1"/>
  <c r="BE17" i="36"/>
  <c r="BF17" i="36" s="1"/>
  <c r="BE9" i="36"/>
  <c r="BF9" i="36" s="1"/>
  <c r="BK190" i="36"/>
  <c r="BL190" i="36" s="1"/>
  <c r="BK182" i="36"/>
  <c r="BL182" i="36" s="1"/>
  <c r="BK174" i="36"/>
  <c r="BL174" i="36" s="1"/>
  <c r="BK82" i="36"/>
  <c r="BL82" i="36" s="1"/>
  <c r="BK75" i="36"/>
  <c r="BL75" i="36" s="1"/>
  <c r="BK67" i="36"/>
  <c r="BL67" i="36" s="1"/>
  <c r="BK53" i="36"/>
  <c r="BL53" i="36" s="1"/>
  <c r="BK21" i="36"/>
  <c r="BL21" i="36" s="1"/>
  <c r="BQ178" i="36"/>
  <c r="BR178" i="36" s="1"/>
  <c r="BQ83" i="36"/>
  <c r="BR83" i="36" s="1"/>
  <c r="BQ63" i="36"/>
  <c r="BR63" i="36" s="1"/>
  <c r="BW179" i="36"/>
  <c r="BX179" i="36" s="1"/>
  <c r="CC68" i="36"/>
  <c r="CD68" i="36" s="1"/>
  <c r="CU56" i="36"/>
  <c r="CV56" i="36" s="1"/>
  <c r="CO56" i="36"/>
  <c r="CP56" i="36" s="1"/>
  <c r="CI56" i="36"/>
  <c r="CJ56" i="36" s="1"/>
  <c r="CU52" i="36"/>
  <c r="CV52" i="36" s="1"/>
  <c r="CO52" i="36"/>
  <c r="CP52" i="36" s="1"/>
  <c r="CU48" i="36"/>
  <c r="CV48" i="36" s="1"/>
  <c r="CO48" i="36"/>
  <c r="CP48" i="36" s="1"/>
  <c r="CI48" i="36"/>
  <c r="CJ48" i="36" s="1"/>
  <c r="CU44" i="36"/>
  <c r="CV44" i="36" s="1"/>
  <c r="CO44" i="36"/>
  <c r="CP44" i="36" s="1"/>
  <c r="CU40" i="36"/>
  <c r="CV40" i="36" s="1"/>
  <c r="CO40" i="36"/>
  <c r="CP40" i="36" s="1"/>
  <c r="CC40" i="36"/>
  <c r="CD40" i="36" s="1"/>
  <c r="CU36" i="36"/>
  <c r="CV36" i="36" s="1"/>
  <c r="CO36" i="36"/>
  <c r="CP36" i="36" s="1"/>
  <c r="CU32" i="36"/>
  <c r="CV32" i="36" s="1"/>
  <c r="CO32" i="36"/>
  <c r="CP32" i="36" s="1"/>
  <c r="CI32" i="36"/>
  <c r="CJ32" i="36" s="1"/>
  <c r="CU28" i="36"/>
  <c r="CV28" i="36" s="1"/>
  <c r="CO28" i="36"/>
  <c r="CP28" i="36" s="1"/>
  <c r="CU24" i="36"/>
  <c r="CV24" i="36" s="1"/>
  <c r="CO24" i="36"/>
  <c r="CP24" i="36" s="1"/>
  <c r="CI24" i="36"/>
  <c r="CJ24" i="36" s="1"/>
  <c r="CC24" i="36"/>
  <c r="CD24" i="36" s="1"/>
  <c r="CU20" i="36"/>
  <c r="CV20" i="36" s="1"/>
  <c r="CI20" i="36"/>
  <c r="CJ20" i="36" s="1"/>
  <c r="CO20" i="36"/>
  <c r="CP20" i="36" s="1"/>
  <c r="CU16" i="36"/>
  <c r="CV16" i="36" s="1"/>
  <c r="CO16" i="36"/>
  <c r="CP16" i="36" s="1"/>
  <c r="CI16" i="36"/>
  <c r="CJ16" i="36" s="1"/>
  <c r="CU8" i="36"/>
  <c r="CV8" i="36" s="1"/>
  <c r="CO8" i="36"/>
  <c r="CP8" i="36" s="1"/>
  <c r="CC8" i="36"/>
  <c r="CD8" i="36" s="1"/>
  <c r="AG56" i="36"/>
  <c r="AH56" i="36" s="1"/>
  <c r="AG52" i="36"/>
  <c r="AH52" i="36" s="1"/>
  <c r="AG48" i="36"/>
  <c r="AH48" i="36" s="1"/>
  <c r="AG44" i="36"/>
  <c r="AH44" i="36" s="1"/>
  <c r="AG40" i="36"/>
  <c r="AH40" i="36" s="1"/>
  <c r="AG36" i="36"/>
  <c r="AH36" i="36" s="1"/>
  <c r="AG32" i="36"/>
  <c r="AH32" i="36" s="1"/>
  <c r="AG28" i="36"/>
  <c r="AH28" i="36" s="1"/>
  <c r="AG24" i="36"/>
  <c r="AH24" i="36" s="1"/>
  <c r="AG20" i="36"/>
  <c r="AH20" i="36" s="1"/>
  <c r="AG16" i="36"/>
  <c r="AH16" i="36" s="1"/>
  <c r="AG12" i="36"/>
  <c r="AH12" i="36" s="1"/>
  <c r="AG8" i="36"/>
  <c r="AH8" i="36" s="1"/>
  <c r="AS56" i="36"/>
  <c r="AT56" i="36" s="1"/>
  <c r="AS52" i="36"/>
  <c r="AT52" i="36" s="1"/>
  <c r="AS48" i="36"/>
  <c r="AT48" i="36" s="1"/>
  <c r="AS44" i="36"/>
  <c r="AT44" i="36" s="1"/>
  <c r="AS40" i="36"/>
  <c r="AT40" i="36" s="1"/>
  <c r="AS36" i="36"/>
  <c r="AT36" i="36" s="1"/>
  <c r="AS32" i="36"/>
  <c r="AT32" i="36" s="1"/>
  <c r="AS28" i="36"/>
  <c r="AT28" i="36" s="1"/>
  <c r="AS24" i="36"/>
  <c r="AT24" i="36" s="1"/>
  <c r="AS20" i="36"/>
  <c r="AT20" i="36" s="1"/>
  <c r="AS16" i="36"/>
  <c r="AT16" i="36" s="1"/>
  <c r="AS12" i="36"/>
  <c r="AT12" i="36" s="1"/>
  <c r="AS8" i="36"/>
  <c r="AT8" i="36" s="1"/>
  <c r="BE56" i="36"/>
  <c r="BF56" i="36" s="1"/>
  <c r="BE52" i="36"/>
  <c r="BF52" i="36" s="1"/>
  <c r="BE48" i="36"/>
  <c r="BF48" i="36" s="1"/>
  <c r="BE44" i="36"/>
  <c r="BF44" i="36" s="1"/>
  <c r="BE40" i="36"/>
  <c r="BF40" i="36" s="1"/>
  <c r="BE36" i="36"/>
  <c r="BF36" i="36" s="1"/>
  <c r="BE32" i="36"/>
  <c r="BF32" i="36" s="1"/>
  <c r="BE28" i="36"/>
  <c r="BF28" i="36" s="1"/>
  <c r="BE24" i="36"/>
  <c r="BF24" i="36" s="1"/>
  <c r="BE20" i="36"/>
  <c r="BF20" i="36" s="1"/>
  <c r="BE16" i="36"/>
  <c r="BF16" i="36" s="1"/>
  <c r="BE12" i="36"/>
  <c r="BF12" i="36" s="1"/>
  <c r="BE8" i="36"/>
  <c r="BF8" i="36" s="1"/>
  <c r="BK52" i="36"/>
  <c r="BL52" i="36" s="1"/>
  <c r="BK36" i="36"/>
  <c r="BL36" i="36" s="1"/>
  <c r="BK20" i="36"/>
  <c r="BL20" i="36" s="1"/>
  <c r="BQ56" i="36"/>
  <c r="BR56" i="36" s="1"/>
  <c r="BQ51" i="36"/>
  <c r="BR51" i="36" s="1"/>
  <c r="BQ40" i="36"/>
  <c r="BR40" i="36" s="1"/>
  <c r="BQ24" i="36"/>
  <c r="BR24" i="36" s="1"/>
  <c r="BQ8" i="36"/>
  <c r="BR8" i="36" s="1"/>
  <c r="BW52" i="36"/>
  <c r="BX52" i="36" s="1"/>
  <c r="BW36" i="36"/>
  <c r="BX36" i="36" s="1"/>
  <c r="BW20" i="36"/>
  <c r="BX20" i="36" s="1"/>
  <c r="CC56" i="36"/>
  <c r="CD56" i="36" s="1"/>
  <c r="CC32" i="36"/>
  <c r="CD32" i="36" s="1"/>
  <c r="CI28" i="36"/>
  <c r="CJ28" i="36" s="1"/>
  <c r="CI12" i="36"/>
  <c r="CJ12" i="36" s="1"/>
  <c r="CI59" i="36"/>
  <c r="CJ59" i="36" s="1"/>
  <c r="BW59" i="36"/>
  <c r="BX59" i="36" s="1"/>
  <c r="BK59" i="36"/>
  <c r="BL59" i="36" s="1"/>
  <c r="CI55" i="36"/>
  <c r="CJ55" i="36" s="1"/>
  <c r="CU55" i="36"/>
  <c r="CV55" i="36" s="1"/>
  <c r="CO55" i="36"/>
  <c r="CP55" i="36" s="1"/>
  <c r="BW55" i="36"/>
  <c r="BX55" i="36" s="1"/>
  <c r="BK55" i="36"/>
  <c r="BL55" i="36" s="1"/>
  <c r="CU51" i="36"/>
  <c r="CV51" i="36" s="1"/>
  <c r="CI51" i="36"/>
  <c r="CJ51" i="36" s="1"/>
  <c r="CO51" i="36"/>
  <c r="CP51" i="36" s="1"/>
  <c r="BW51" i="36"/>
  <c r="BX51" i="36" s="1"/>
  <c r="BK51" i="36"/>
  <c r="BL51" i="36" s="1"/>
  <c r="CI47" i="36"/>
  <c r="CJ47" i="36" s="1"/>
  <c r="CU47" i="36"/>
  <c r="CV47" i="36" s="1"/>
  <c r="BW47" i="36"/>
  <c r="BX47" i="36" s="1"/>
  <c r="BK47" i="36"/>
  <c r="BL47" i="36" s="1"/>
  <c r="CI43" i="36"/>
  <c r="CJ43" i="36" s="1"/>
  <c r="CO43" i="36"/>
  <c r="CP43" i="36" s="1"/>
  <c r="BW43" i="36"/>
  <c r="BX43" i="36" s="1"/>
  <c r="BK43" i="36"/>
  <c r="BL43" i="36" s="1"/>
  <c r="CI39" i="36"/>
  <c r="CJ39" i="36" s="1"/>
  <c r="CU39" i="36"/>
  <c r="CV39" i="36" s="1"/>
  <c r="CO39" i="36"/>
  <c r="CP39" i="36" s="1"/>
  <c r="BW39" i="36"/>
  <c r="BX39" i="36" s="1"/>
  <c r="BK39" i="36"/>
  <c r="BL39" i="36" s="1"/>
  <c r="CU35" i="36"/>
  <c r="CV35" i="36" s="1"/>
  <c r="CI35" i="36"/>
  <c r="CJ35" i="36" s="1"/>
  <c r="CO35" i="36"/>
  <c r="CP35" i="36" s="1"/>
  <c r="CC35" i="36"/>
  <c r="CD35" i="36" s="1"/>
  <c r="BW35" i="36"/>
  <c r="BX35" i="36" s="1"/>
  <c r="BK35" i="36"/>
  <c r="BL35" i="36" s="1"/>
  <c r="CI31" i="36"/>
  <c r="CJ31" i="36" s="1"/>
  <c r="CU31" i="36"/>
  <c r="CV31" i="36" s="1"/>
  <c r="CO31" i="36"/>
  <c r="CP31" i="36" s="1"/>
  <c r="BW31" i="36"/>
  <c r="BX31" i="36" s="1"/>
  <c r="BK31" i="36"/>
  <c r="BL31" i="36" s="1"/>
  <c r="CI27" i="36"/>
  <c r="CJ27" i="36" s="1"/>
  <c r="CU27" i="36"/>
  <c r="CV27" i="36" s="1"/>
  <c r="BW27" i="36"/>
  <c r="BX27" i="36" s="1"/>
  <c r="BK27" i="36"/>
  <c r="BL27" i="36" s="1"/>
  <c r="CI23" i="36"/>
  <c r="CJ23" i="36" s="1"/>
  <c r="CO23" i="36"/>
  <c r="CP23" i="36" s="1"/>
  <c r="CU23" i="36"/>
  <c r="CV23" i="36" s="1"/>
  <c r="BW23" i="36"/>
  <c r="BX23" i="36" s="1"/>
  <c r="BK23" i="36"/>
  <c r="BL23" i="36" s="1"/>
  <c r="CO19" i="36"/>
  <c r="CP19" i="36" s="1"/>
  <c r="CI19" i="36"/>
  <c r="CJ19" i="36" s="1"/>
  <c r="CU19" i="36"/>
  <c r="CV19" i="36" s="1"/>
  <c r="CC19" i="36"/>
  <c r="CD19" i="36" s="1"/>
  <c r="BW19" i="36"/>
  <c r="BX19" i="36" s="1"/>
  <c r="BK19" i="36"/>
  <c r="BL19" i="36" s="1"/>
  <c r="CI15" i="36"/>
  <c r="CJ15" i="36" s="1"/>
  <c r="CU15" i="36"/>
  <c r="CV15" i="36" s="1"/>
  <c r="BW15" i="36"/>
  <c r="BX15" i="36" s="1"/>
  <c r="BK15" i="36"/>
  <c r="BL15" i="36" s="1"/>
  <c r="CI11" i="36"/>
  <c r="CJ11" i="36" s="1"/>
  <c r="CU11" i="36"/>
  <c r="CV11" i="36" s="1"/>
  <c r="CO11" i="36"/>
  <c r="CP11" i="36" s="1"/>
  <c r="BW11" i="36"/>
  <c r="BX11" i="36" s="1"/>
  <c r="BK11" i="36"/>
  <c r="BL11" i="36" s="1"/>
  <c r="CI7" i="36"/>
  <c r="CJ7" i="36" s="1"/>
  <c r="CO7" i="36"/>
  <c r="CP7" i="36" s="1"/>
  <c r="BW7" i="36"/>
  <c r="BX7" i="36" s="1"/>
  <c r="BK7" i="36"/>
  <c r="BL7" i="36" s="1"/>
  <c r="AG59" i="36"/>
  <c r="AH59" i="36" s="1"/>
  <c r="AG55" i="36"/>
  <c r="AH55" i="36" s="1"/>
  <c r="AG51" i="36"/>
  <c r="AH51" i="36" s="1"/>
  <c r="AG47" i="36"/>
  <c r="AH47" i="36" s="1"/>
  <c r="AG43" i="36"/>
  <c r="AH43" i="36" s="1"/>
  <c r="AG39" i="36"/>
  <c r="AH39" i="36" s="1"/>
  <c r="AG35" i="36"/>
  <c r="AH35" i="36" s="1"/>
  <c r="AG31" i="36"/>
  <c r="AH31" i="36" s="1"/>
  <c r="AG27" i="36"/>
  <c r="AH27" i="36" s="1"/>
  <c r="AG23" i="36"/>
  <c r="AH23" i="36" s="1"/>
  <c r="AG19" i="36"/>
  <c r="AH19" i="36" s="1"/>
  <c r="AG15" i="36"/>
  <c r="AH15" i="36" s="1"/>
  <c r="AG11" i="36"/>
  <c r="AH11" i="36" s="1"/>
  <c r="AG7" i="36"/>
  <c r="AH7" i="36" s="1"/>
  <c r="AS59" i="36"/>
  <c r="AT59" i="36" s="1"/>
  <c r="AS55" i="36"/>
  <c r="AT55" i="36" s="1"/>
  <c r="AS51" i="36"/>
  <c r="AT51" i="36" s="1"/>
  <c r="AS47" i="36"/>
  <c r="AT47" i="36" s="1"/>
  <c r="AS43" i="36"/>
  <c r="AT43" i="36" s="1"/>
  <c r="AS39" i="36"/>
  <c r="AT39" i="36" s="1"/>
  <c r="AS35" i="36"/>
  <c r="AT35" i="36" s="1"/>
  <c r="AS31" i="36"/>
  <c r="AT31" i="36" s="1"/>
  <c r="AS27" i="36"/>
  <c r="AT27" i="36" s="1"/>
  <c r="AS23" i="36"/>
  <c r="AT23" i="36" s="1"/>
  <c r="AS19" i="36"/>
  <c r="AT19" i="36" s="1"/>
  <c r="AS15" i="36"/>
  <c r="AT15" i="36" s="1"/>
  <c r="AS11" i="36"/>
  <c r="AT11" i="36" s="1"/>
  <c r="AS7" i="36"/>
  <c r="AT7" i="36" s="1"/>
  <c r="BE59" i="36"/>
  <c r="BF59" i="36" s="1"/>
  <c r="BE55" i="36"/>
  <c r="BF55" i="36" s="1"/>
  <c r="BE51" i="36"/>
  <c r="BF51" i="36" s="1"/>
  <c r="BE47" i="36"/>
  <c r="BF47" i="36" s="1"/>
  <c r="BE43" i="36"/>
  <c r="BF43" i="36" s="1"/>
  <c r="BE39" i="36"/>
  <c r="BF39" i="36" s="1"/>
  <c r="BE35" i="36"/>
  <c r="BF35" i="36" s="1"/>
  <c r="BE31" i="36"/>
  <c r="BF31" i="36" s="1"/>
  <c r="BE27" i="36"/>
  <c r="BF27" i="36" s="1"/>
  <c r="BE23" i="36"/>
  <c r="BF23" i="36" s="1"/>
  <c r="BE19" i="36"/>
  <c r="BF19" i="36" s="1"/>
  <c r="BE15" i="36"/>
  <c r="BF15" i="36" s="1"/>
  <c r="BE11" i="36"/>
  <c r="BF11" i="36" s="1"/>
  <c r="BE7" i="36"/>
  <c r="BF7" i="36" s="1"/>
  <c r="BK56" i="36"/>
  <c r="BL56" i="36" s="1"/>
  <c r="BK40" i="36"/>
  <c r="BL40" i="36" s="1"/>
  <c r="BK24" i="36"/>
  <c r="BL24" i="36" s="1"/>
  <c r="BK8" i="36"/>
  <c r="BL8" i="36" s="1"/>
  <c r="BQ55" i="36"/>
  <c r="BR55" i="36" s="1"/>
  <c r="BQ44" i="36"/>
  <c r="BR44" i="36" s="1"/>
  <c r="BQ39" i="36"/>
  <c r="BR39" i="36" s="1"/>
  <c r="BQ28" i="36"/>
  <c r="BR28" i="36" s="1"/>
  <c r="BQ23" i="36"/>
  <c r="BR23" i="36" s="1"/>
  <c r="BQ12" i="36"/>
  <c r="BR12" i="36" s="1"/>
  <c r="BQ7" i="36"/>
  <c r="BR7" i="36" s="1"/>
  <c r="BW56" i="36"/>
  <c r="BX56" i="36" s="1"/>
  <c r="BW40" i="36"/>
  <c r="BX40" i="36" s="1"/>
  <c r="BW24" i="36"/>
  <c r="BX24" i="36" s="1"/>
  <c r="BW8" i="36"/>
  <c r="BX8" i="36" s="1"/>
  <c r="CC55" i="36"/>
  <c r="CD55" i="36" s="1"/>
  <c r="CC44" i="36"/>
  <c r="CD44" i="36" s="1"/>
  <c r="CC31" i="36"/>
  <c r="CD31" i="36" s="1"/>
  <c r="CC23" i="36"/>
  <c r="CD23" i="36" s="1"/>
  <c r="CC16" i="36"/>
  <c r="CD16" i="36" s="1"/>
  <c r="CI36" i="36"/>
  <c r="CJ36" i="36" s="1"/>
  <c r="CI8" i="36"/>
  <c r="CJ8" i="36" s="1"/>
  <c r="CO12" i="36"/>
  <c r="CP12" i="36" s="1"/>
  <c r="CU43" i="36"/>
  <c r="CV43" i="36" s="1"/>
  <c r="AW16" i="15" l="1"/>
  <c r="DP16" i="15" s="1"/>
  <c r="DO16" i="15" s="1"/>
  <c r="AW25" i="15"/>
  <c r="DP25" i="15" s="1"/>
  <c r="DO25" i="15" s="1"/>
  <c r="AW33" i="15"/>
  <c r="DP33" i="15" s="1"/>
  <c r="DO33" i="15" s="1"/>
  <c r="BF195" i="36"/>
  <c r="AW8" i="15"/>
  <c r="DP8" i="15" s="1"/>
  <c r="DO8" i="15" s="1"/>
  <c r="BQ195" i="36"/>
  <c r="CI195" i="36"/>
  <c r="CO195" i="36"/>
  <c r="AY195" i="36"/>
  <c r="AS195" i="36"/>
  <c r="BK195" i="36"/>
  <c r="BW195" i="36"/>
  <c r="CU195" i="36"/>
  <c r="CC195" i="36"/>
  <c r="AG195" i="36"/>
  <c r="BE195" i="36"/>
  <c r="AM195" i="36"/>
  <c r="AW6" i="15"/>
  <c r="DP6" i="15" s="1"/>
  <c r="DO6" i="15" s="1"/>
  <c r="AW39" i="15"/>
  <c r="DP39" i="15" s="1"/>
  <c r="DO39" i="15" s="1"/>
  <c r="AW11" i="15"/>
  <c r="DP11" i="15" s="1"/>
  <c r="DO11" i="15" s="1"/>
  <c r="AW28" i="15"/>
  <c r="DP28" i="15" s="1"/>
  <c r="DO28" i="15" s="1"/>
  <c r="AW9" i="15"/>
  <c r="DP9" i="15" s="1"/>
  <c r="DO9" i="15" s="1"/>
  <c r="AW40" i="15"/>
  <c r="DP40" i="15" s="1"/>
  <c r="DO40" i="15" s="1"/>
  <c r="AW23" i="15"/>
  <c r="DP23" i="15" s="1"/>
  <c r="DO23" i="15" s="1"/>
  <c r="AW18" i="15"/>
  <c r="DP18" i="15" s="1"/>
  <c r="DO18" i="15" s="1"/>
  <c r="AW35" i="15"/>
  <c r="DP35" i="15" s="1"/>
  <c r="DO35" i="15" s="1"/>
  <c r="AW15" i="15"/>
  <c r="DP15" i="15" s="1"/>
  <c r="DO15" i="15" s="1"/>
  <c r="AW46" i="15"/>
  <c r="DP46" i="15" s="1"/>
  <c r="DO46" i="15" s="1"/>
  <c r="AW32" i="15"/>
  <c r="DP32" i="15" s="1"/>
  <c r="DO32" i="15" s="1"/>
  <c r="AW26" i="15"/>
  <c r="DP26" i="15" s="1"/>
  <c r="DO26" i="15" s="1"/>
  <c r="AW10" i="15"/>
  <c r="DP10" i="15" s="1"/>
  <c r="DO10" i="15" s="1"/>
  <c r="AW44" i="15"/>
  <c r="DP44" i="15" s="1"/>
  <c r="DO44" i="15" s="1"/>
  <c r="AW5" i="15"/>
  <c r="DP5" i="15" s="1"/>
  <c r="DO5" i="15" s="1"/>
  <c r="AW14" i="15"/>
  <c r="DP14" i="15" s="1"/>
  <c r="DO14" i="15" s="1"/>
  <c r="AW48" i="15"/>
  <c r="DP48" i="15" s="1"/>
  <c r="DO48" i="15" s="1"/>
  <c r="AW30" i="15"/>
  <c r="DP30" i="15" s="1"/>
  <c r="DO30" i="15" s="1"/>
  <c r="AW37" i="15"/>
  <c r="DP37" i="15" s="1"/>
  <c r="DO37" i="15" s="1"/>
  <c r="AW17" i="15"/>
  <c r="DP17" i="15" s="1"/>
  <c r="DO17" i="15" s="1"/>
  <c r="AW31" i="15"/>
  <c r="DP31" i="15" s="1"/>
  <c r="DO31" i="15" s="1"/>
  <c r="AW42" i="15"/>
  <c r="DP42" i="15" s="1"/>
  <c r="DO42" i="15" s="1"/>
  <c r="AW21" i="15"/>
  <c r="DP21" i="15" s="1"/>
  <c r="DO21" i="15" s="1"/>
  <c r="AW29" i="15"/>
  <c r="DP29" i="15" s="1"/>
  <c r="DO29" i="15" s="1"/>
  <c r="AW36" i="15"/>
  <c r="DP36" i="15" s="1"/>
  <c r="DO36" i="15" s="1"/>
  <c r="AW43" i="15"/>
  <c r="DP43" i="15" s="1"/>
  <c r="DO43" i="15" s="1"/>
  <c r="AW22" i="15"/>
  <c r="DP22" i="15" s="1"/>
  <c r="DO22" i="15" s="1"/>
  <c r="AW12" i="15"/>
  <c r="DP12" i="15" s="1"/>
  <c r="DO12" i="15" s="1"/>
  <c r="AW45" i="15"/>
  <c r="DP45" i="15" s="1"/>
  <c r="DO45" i="15" s="1"/>
  <c r="AW41" i="15"/>
  <c r="DP41" i="15" s="1"/>
  <c r="DO41" i="15" s="1"/>
  <c r="AW24" i="15"/>
  <c r="DP24" i="15" s="1"/>
  <c r="DO24" i="15" s="1"/>
  <c r="AW20" i="15"/>
  <c r="DP20" i="15" s="1"/>
  <c r="DO20" i="15" s="1"/>
  <c r="AW49" i="15"/>
  <c r="DP49" i="15" s="1"/>
  <c r="DO49" i="15" s="1"/>
  <c r="AW34" i="15"/>
  <c r="DP34" i="15" s="1"/>
  <c r="DO34" i="15" s="1"/>
  <c r="AW13" i="15"/>
  <c r="DP13" i="15" s="1"/>
  <c r="DO13" i="15" s="1"/>
  <c r="AW19" i="15"/>
  <c r="DP19" i="15" s="1"/>
  <c r="DO19" i="15" s="1"/>
  <c r="AW47" i="15"/>
  <c r="DP47" i="15" s="1"/>
  <c r="DO47" i="15" s="1"/>
  <c r="AW7" i="15"/>
  <c r="DP7" i="15" s="1"/>
  <c r="DO7" i="15" s="1"/>
  <c r="AW27" i="15"/>
  <c r="DP27" i="15" s="1"/>
  <c r="DO27" i="15" s="1"/>
  <c r="AW38" i="15"/>
  <c r="DP38" i="15" s="1"/>
  <c r="DO38" i="15" s="1"/>
  <c r="DC29" i="36"/>
  <c r="DC62" i="36"/>
  <c r="DC80" i="36"/>
  <c r="DC10" i="36"/>
  <c r="DC34" i="36"/>
  <c r="DC74" i="36"/>
  <c r="DC16" i="36"/>
  <c r="DC32" i="36"/>
  <c r="DC48" i="36"/>
  <c r="DC82" i="36"/>
  <c r="DC178" i="36"/>
  <c r="DC182" i="36"/>
  <c r="DC76" i="36"/>
  <c r="DC79" i="36"/>
  <c r="DC187" i="36"/>
  <c r="DC35" i="36"/>
  <c r="DC33" i="36"/>
  <c r="DC19" i="36"/>
  <c r="DC78" i="36"/>
  <c r="DC7" i="36"/>
  <c r="DC23" i="36"/>
  <c r="DC39" i="36"/>
  <c r="DC55" i="36"/>
  <c r="DC20" i="36"/>
  <c r="DC36" i="36"/>
  <c r="DC52" i="36"/>
  <c r="DC9" i="36"/>
  <c r="DC41" i="36"/>
  <c r="DC60" i="36"/>
  <c r="DC64" i="36"/>
  <c r="DC72" i="36"/>
  <c r="DC87" i="36"/>
  <c r="DC183" i="36"/>
  <c r="DC37" i="36"/>
  <c r="DC30" i="36"/>
  <c r="DC177" i="36"/>
  <c r="DC46" i="36"/>
  <c r="DC193" i="36"/>
  <c r="DC50" i="36"/>
  <c r="DC58" i="36"/>
  <c r="DC181" i="36"/>
  <c r="DC189" i="36"/>
  <c r="DC51" i="36"/>
  <c r="DC75" i="36"/>
  <c r="DC14" i="36"/>
  <c r="DC11" i="36"/>
  <c r="DC27" i="36"/>
  <c r="DC43" i="36"/>
  <c r="DC59" i="36"/>
  <c r="DC8" i="36"/>
  <c r="DC24" i="36"/>
  <c r="DC40" i="36"/>
  <c r="DC56" i="36"/>
  <c r="DC17" i="36"/>
  <c r="DC49" i="36"/>
  <c r="DC71" i="36"/>
  <c r="DC174" i="36"/>
  <c r="DC190" i="36"/>
  <c r="DC83" i="36"/>
  <c r="DC191" i="36"/>
  <c r="DC13" i="36"/>
  <c r="DC45" i="36"/>
  <c r="DC22" i="36"/>
  <c r="DC85" i="36"/>
  <c r="DC70" i="36"/>
  <c r="DC26" i="36"/>
  <c r="DC42" i="36"/>
  <c r="DC89" i="36"/>
  <c r="DC15" i="36"/>
  <c r="DC31" i="36"/>
  <c r="DC47" i="36"/>
  <c r="DC12" i="36"/>
  <c r="DC28" i="36"/>
  <c r="DC44" i="36"/>
  <c r="DC25" i="36"/>
  <c r="DC57" i="36"/>
  <c r="DC63" i="36"/>
  <c r="DC67" i="36"/>
  <c r="DC86" i="36"/>
  <c r="DC186" i="36"/>
  <c r="DC68" i="36"/>
  <c r="DC175" i="36"/>
  <c r="DC179" i="36"/>
  <c r="DC21" i="36"/>
  <c r="DC53" i="36"/>
  <c r="DC54" i="36"/>
  <c r="DC38" i="36"/>
  <c r="DC185" i="36"/>
  <c r="DC61" i="36"/>
  <c r="DC65" i="36"/>
  <c r="DC69" i="36"/>
  <c r="DC73" i="36"/>
  <c r="DC77" i="36"/>
  <c r="DC84" i="36"/>
  <c r="DC88" i="36"/>
  <c r="DC176" i="36"/>
  <c r="DC180" i="36"/>
  <c r="DC184" i="36"/>
  <c r="DC188" i="36"/>
  <c r="DC192" i="36"/>
  <c r="DC18" i="36"/>
  <c r="DC66" i="36"/>
  <c r="DC81" i="36"/>
  <c r="DD195" i="36" l="1"/>
  <c r="CZ193" i="36" l="1"/>
  <c r="CY193" i="36"/>
  <c r="DB193" i="36" s="1"/>
  <c r="DF193" i="36" s="1"/>
  <c r="CX193" i="36"/>
  <c r="CZ192" i="36"/>
  <c r="CY192" i="36"/>
  <c r="DB192" i="36" s="1"/>
  <c r="DF192" i="36" s="1"/>
  <c r="CX192" i="36"/>
  <c r="CZ191" i="36"/>
  <c r="CY191" i="36"/>
  <c r="DB191" i="36" s="1"/>
  <c r="DF191" i="36" s="1"/>
  <c r="CX191" i="36"/>
  <c r="CZ190" i="36"/>
  <c r="CY190" i="36"/>
  <c r="DB190" i="36" s="1"/>
  <c r="DF190" i="36" s="1"/>
  <c r="CX190" i="36"/>
  <c r="CZ189" i="36"/>
  <c r="CY189" i="36"/>
  <c r="DB189" i="36" s="1"/>
  <c r="DF189" i="36" s="1"/>
  <c r="CX189" i="36"/>
  <c r="CZ188" i="36"/>
  <c r="CY188" i="36"/>
  <c r="DB188" i="36" s="1"/>
  <c r="DF188" i="36" s="1"/>
  <c r="CX188" i="36"/>
  <c r="CZ187" i="36"/>
  <c r="CY187" i="36"/>
  <c r="DB187" i="36" s="1"/>
  <c r="DF187" i="36" s="1"/>
  <c r="CX187" i="36"/>
  <c r="CZ186" i="36"/>
  <c r="CY186" i="36"/>
  <c r="DB186" i="36" s="1"/>
  <c r="DF186" i="36" s="1"/>
  <c r="CX186" i="36"/>
  <c r="CZ185" i="36"/>
  <c r="CY185" i="36"/>
  <c r="DB185" i="36" s="1"/>
  <c r="DF185" i="36" s="1"/>
  <c r="CX185" i="36"/>
  <c r="CZ184" i="36"/>
  <c r="CY184" i="36"/>
  <c r="DB184" i="36" s="1"/>
  <c r="DF184" i="36" s="1"/>
  <c r="CX184" i="36"/>
  <c r="CZ183" i="36"/>
  <c r="CY183" i="36"/>
  <c r="DB183" i="36" s="1"/>
  <c r="DF183" i="36" s="1"/>
  <c r="CX183" i="36"/>
  <c r="CZ182" i="36"/>
  <c r="CY182" i="36"/>
  <c r="DB182" i="36" s="1"/>
  <c r="DF182" i="36" s="1"/>
  <c r="CX182" i="36"/>
  <c r="CZ181" i="36"/>
  <c r="CY181" i="36"/>
  <c r="DB181" i="36" s="1"/>
  <c r="DF181" i="36" s="1"/>
  <c r="CX181" i="36"/>
  <c r="CZ180" i="36"/>
  <c r="CY180" i="36"/>
  <c r="DB180" i="36" s="1"/>
  <c r="DF180" i="36" s="1"/>
  <c r="CX180" i="36"/>
  <c r="CZ179" i="36"/>
  <c r="CY179" i="36"/>
  <c r="DB179" i="36" s="1"/>
  <c r="DF179" i="36" s="1"/>
  <c r="CX179" i="36"/>
  <c r="CZ178" i="36"/>
  <c r="CY178" i="36"/>
  <c r="DB178" i="36" s="1"/>
  <c r="DF178" i="36" s="1"/>
  <c r="CX178" i="36"/>
  <c r="CZ177" i="36"/>
  <c r="CY177" i="36"/>
  <c r="DB177" i="36" s="1"/>
  <c r="DF177" i="36" s="1"/>
  <c r="CX177" i="36"/>
  <c r="CZ176" i="36"/>
  <c r="CY176" i="36"/>
  <c r="DB176" i="36" s="1"/>
  <c r="DF176" i="36" s="1"/>
  <c r="CX176" i="36"/>
  <c r="CZ175" i="36"/>
  <c r="CY175" i="36"/>
  <c r="DB175" i="36" s="1"/>
  <c r="DF175" i="36" s="1"/>
  <c r="CX175" i="36"/>
  <c r="CZ174" i="36"/>
  <c r="CY174" i="36"/>
  <c r="DB174" i="36" s="1"/>
  <c r="DF174" i="36" s="1"/>
  <c r="CX174" i="36"/>
  <c r="CZ89" i="36"/>
  <c r="CY89" i="36"/>
  <c r="DB89" i="36" s="1"/>
  <c r="DF89" i="36" s="1"/>
  <c r="CX89" i="36"/>
  <c r="CZ88" i="36"/>
  <c r="CY88" i="36"/>
  <c r="DB88" i="36" s="1"/>
  <c r="DF88" i="36" s="1"/>
  <c r="CX88" i="36"/>
  <c r="CZ87" i="36"/>
  <c r="CY87" i="36"/>
  <c r="DB87" i="36" s="1"/>
  <c r="DF87" i="36" s="1"/>
  <c r="CX87" i="36"/>
  <c r="CZ86" i="36"/>
  <c r="CY86" i="36"/>
  <c r="DB86" i="36" s="1"/>
  <c r="DF86" i="36" s="1"/>
  <c r="CX86" i="36"/>
  <c r="CZ85" i="36"/>
  <c r="CY85" i="36"/>
  <c r="DB85" i="36" s="1"/>
  <c r="DF85" i="36" s="1"/>
  <c r="CX85" i="36"/>
  <c r="CZ84" i="36"/>
  <c r="CY84" i="36"/>
  <c r="DB84" i="36" s="1"/>
  <c r="DF84" i="36" s="1"/>
  <c r="CX84" i="36"/>
  <c r="CZ83" i="36"/>
  <c r="CY83" i="36"/>
  <c r="DB83" i="36" s="1"/>
  <c r="DF83" i="36" s="1"/>
  <c r="CX83" i="36"/>
  <c r="CZ82" i="36"/>
  <c r="CY82" i="36"/>
  <c r="DB82" i="36" s="1"/>
  <c r="DF82" i="36" s="1"/>
  <c r="CX82" i="36"/>
  <c r="CZ81" i="36"/>
  <c r="CY81" i="36"/>
  <c r="DB81" i="36" s="1"/>
  <c r="DF81" i="36" s="1"/>
  <c r="CX81" i="36"/>
  <c r="CZ80" i="36"/>
  <c r="CY80" i="36"/>
  <c r="DB80" i="36" s="1"/>
  <c r="DF80" i="36" s="1"/>
  <c r="CX80" i="36"/>
  <c r="CZ79" i="36"/>
  <c r="CY79" i="36"/>
  <c r="DB79" i="36" s="1"/>
  <c r="DF79" i="36" s="1"/>
  <c r="CX79" i="36"/>
  <c r="CZ78" i="36"/>
  <c r="CY78" i="36"/>
  <c r="DB78" i="36" s="1"/>
  <c r="DF78" i="36" s="1"/>
  <c r="CX78" i="36"/>
  <c r="CZ77" i="36"/>
  <c r="CY77" i="36"/>
  <c r="DB77" i="36" s="1"/>
  <c r="DF77" i="36" s="1"/>
  <c r="CX77" i="36"/>
  <c r="CZ76" i="36"/>
  <c r="CY76" i="36"/>
  <c r="DB76" i="36" s="1"/>
  <c r="DF76" i="36" s="1"/>
  <c r="CX76" i="36"/>
  <c r="CZ75" i="36"/>
  <c r="CY75" i="36"/>
  <c r="DB75" i="36" s="1"/>
  <c r="DF75" i="36" s="1"/>
  <c r="CX75" i="36"/>
  <c r="CZ74" i="36"/>
  <c r="CY74" i="36"/>
  <c r="DB74" i="36" s="1"/>
  <c r="DF74" i="36" s="1"/>
  <c r="CX74" i="36"/>
  <c r="CZ73" i="36"/>
  <c r="CY73" i="36"/>
  <c r="DB73" i="36" s="1"/>
  <c r="DF73" i="36" s="1"/>
  <c r="CX73" i="36"/>
  <c r="CZ72" i="36"/>
  <c r="CY72" i="36"/>
  <c r="DB72" i="36" s="1"/>
  <c r="DF72" i="36" s="1"/>
  <c r="CX72" i="36"/>
  <c r="CZ71" i="36"/>
  <c r="CY71" i="36"/>
  <c r="DB71" i="36" s="1"/>
  <c r="DF71" i="36" s="1"/>
  <c r="CX71" i="36"/>
  <c r="CZ70" i="36"/>
  <c r="CY70" i="36"/>
  <c r="DB70" i="36" s="1"/>
  <c r="DF70" i="36" s="1"/>
  <c r="CX70" i="36"/>
  <c r="CZ69" i="36"/>
  <c r="CY69" i="36"/>
  <c r="DB69" i="36" s="1"/>
  <c r="DF69" i="36" s="1"/>
  <c r="CX69" i="36"/>
  <c r="CZ68" i="36"/>
  <c r="CY68" i="36"/>
  <c r="DB68" i="36" s="1"/>
  <c r="DF68" i="36" s="1"/>
  <c r="CX68" i="36"/>
  <c r="CZ67" i="36"/>
  <c r="CY67" i="36"/>
  <c r="DB67" i="36" s="1"/>
  <c r="DF67" i="36" s="1"/>
  <c r="CX67" i="36"/>
  <c r="CZ66" i="36"/>
  <c r="CY66" i="36"/>
  <c r="DB66" i="36" s="1"/>
  <c r="DF66" i="36" s="1"/>
  <c r="CX66" i="36"/>
  <c r="CZ65" i="36"/>
  <c r="CY65" i="36"/>
  <c r="DB65" i="36" s="1"/>
  <c r="DF65" i="36" s="1"/>
  <c r="CX65" i="36"/>
  <c r="CZ64" i="36"/>
  <c r="CY64" i="36"/>
  <c r="DB64" i="36" s="1"/>
  <c r="DF64" i="36" s="1"/>
  <c r="CX64" i="36"/>
  <c r="CZ63" i="36"/>
  <c r="CY63" i="36"/>
  <c r="DB63" i="36" s="1"/>
  <c r="DF63" i="36" s="1"/>
  <c r="CX63" i="36"/>
  <c r="CZ62" i="36"/>
  <c r="CY62" i="36"/>
  <c r="DB62" i="36" s="1"/>
  <c r="DF62" i="36" s="1"/>
  <c r="CX62" i="36"/>
  <c r="CZ61" i="36"/>
  <c r="CY61" i="36"/>
  <c r="DB61" i="36" s="1"/>
  <c r="DF61" i="36" s="1"/>
  <c r="CX61" i="36"/>
  <c r="CZ60" i="36"/>
  <c r="CY60" i="36"/>
  <c r="DB60" i="36" s="1"/>
  <c r="DF60" i="36" s="1"/>
  <c r="CX60" i="36"/>
  <c r="CZ59" i="36"/>
  <c r="CY59" i="36"/>
  <c r="DB59" i="36" s="1"/>
  <c r="DF59" i="36" s="1"/>
  <c r="CX59" i="36"/>
  <c r="CZ58" i="36"/>
  <c r="CY58" i="36"/>
  <c r="DB58" i="36" s="1"/>
  <c r="DF58" i="36" s="1"/>
  <c r="CX58" i="36"/>
  <c r="CZ57" i="36"/>
  <c r="CY57" i="36"/>
  <c r="DB57" i="36" s="1"/>
  <c r="DF57" i="36" s="1"/>
  <c r="CX57" i="36"/>
  <c r="CZ56" i="36"/>
  <c r="CY56" i="36"/>
  <c r="DB56" i="36" s="1"/>
  <c r="DF56" i="36" s="1"/>
  <c r="CX56" i="36"/>
  <c r="CZ55" i="36"/>
  <c r="CY55" i="36"/>
  <c r="DB55" i="36" s="1"/>
  <c r="DF55" i="36" s="1"/>
  <c r="CX55" i="36"/>
  <c r="CZ54" i="36"/>
  <c r="CY54" i="36"/>
  <c r="DB54" i="36" s="1"/>
  <c r="DF54" i="36" s="1"/>
  <c r="CX54" i="36"/>
  <c r="CZ53" i="36"/>
  <c r="CY53" i="36"/>
  <c r="DB53" i="36" s="1"/>
  <c r="DF53" i="36" s="1"/>
  <c r="CX53" i="36"/>
  <c r="CZ52" i="36"/>
  <c r="CY52" i="36"/>
  <c r="DB52" i="36" s="1"/>
  <c r="DF52" i="36" s="1"/>
  <c r="CX52" i="36"/>
  <c r="CZ51" i="36"/>
  <c r="CY51" i="36"/>
  <c r="DB51" i="36" s="1"/>
  <c r="DF51" i="36" s="1"/>
  <c r="CX51" i="36"/>
  <c r="CZ50" i="36"/>
  <c r="CY50" i="36"/>
  <c r="DB50" i="36" s="1"/>
  <c r="DF50" i="36" s="1"/>
  <c r="CX50" i="36"/>
  <c r="CZ49" i="36"/>
  <c r="CY49" i="36"/>
  <c r="DB49" i="36" s="1"/>
  <c r="DF49" i="36" s="1"/>
  <c r="CX49" i="36"/>
  <c r="CZ48" i="36"/>
  <c r="CY48" i="36"/>
  <c r="DB48" i="36" s="1"/>
  <c r="DF48" i="36" s="1"/>
  <c r="CX48" i="36"/>
  <c r="CZ47" i="36"/>
  <c r="CY47" i="36"/>
  <c r="DB47" i="36" s="1"/>
  <c r="DF47" i="36" s="1"/>
  <c r="CX47" i="36"/>
  <c r="CZ46" i="36"/>
  <c r="CY46" i="36"/>
  <c r="DB46" i="36" s="1"/>
  <c r="DF46" i="36" s="1"/>
  <c r="CX46" i="36"/>
  <c r="CZ45" i="36"/>
  <c r="CY45" i="36"/>
  <c r="DB45" i="36" s="1"/>
  <c r="DF45" i="36" s="1"/>
  <c r="CX45" i="36"/>
  <c r="CZ44" i="36"/>
  <c r="CY44" i="36"/>
  <c r="DB44" i="36" s="1"/>
  <c r="DF44" i="36" s="1"/>
  <c r="CX44" i="36"/>
  <c r="CZ43" i="36"/>
  <c r="CY43" i="36"/>
  <c r="DB43" i="36" s="1"/>
  <c r="DF43" i="36" s="1"/>
  <c r="CX43" i="36"/>
  <c r="CZ42" i="36"/>
  <c r="CY42" i="36"/>
  <c r="DB42" i="36" s="1"/>
  <c r="DF42" i="36" s="1"/>
  <c r="CX42" i="36"/>
  <c r="CZ41" i="36"/>
  <c r="CY41" i="36"/>
  <c r="DB41" i="36" s="1"/>
  <c r="DF41" i="36" s="1"/>
  <c r="CX41" i="36"/>
  <c r="CZ40" i="36"/>
  <c r="CY40" i="36"/>
  <c r="DB40" i="36" s="1"/>
  <c r="DF40" i="36" s="1"/>
  <c r="CX40" i="36"/>
  <c r="CZ39" i="36"/>
  <c r="CY39" i="36"/>
  <c r="DB39" i="36" s="1"/>
  <c r="DF39" i="36" s="1"/>
  <c r="CX39" i="36"/>
  <c r="CZ38" i="36"/>
  <c r="CY38" i="36"/>
  <c r="DB38" i="36" s="1"/>
  <c r="DF38" i="36" s="1"/>
  <c r="CX38" i="36"/>
  <c r="CZ37" i="36"/>
  <c r="CY37" i="36"/>
  <c r="DB37" i="36" s="1"/>
  <c r="DF37" i="36" s="1"/>
  <c r="CX37" i="36"/>
  <c r="CZ36" i="36"/>
  <c r="CY36" i="36"/>
  <c r="DB36" i="36" s="1"/>
  <c r="DF36" i="36" s="1"/>
  <c r="CX36" i="36"/>
  <c r="CZ35" i="36"/>
  <c r="CY35" i="36"/>
  <c r="DB35" i="36" s="1"/>
  <c r="DF35" i="36" s="1"/>
  <c r="CX35" i="36"/>
  <c r="CZ34" i="36"/>
  <c r="CY34" i="36"/>
  <c r="DB34" i="36" s="1"/>
  <c r="DF34" i="36" s="1"/>
  <c r="CX34" i="36"/>
  <c r="CZ33" i="36"/>
  <c r="CY33" i="36"/>
  <c r="DB33" i="36" s="1"/>
  <c r="DF33" i="36" s="1"/>
  <c r="CX33" i="36"/>
  <c r="CZ32" i="36"/>
  <c r="CY32" i="36"/>
  <c r="DB32" i="36" s="1"/>
  <c r="DF32" i="36" s="1"/>
  <c r="CX32" i="36"/>
  <c r="CZ31" i="36"/>
  <c r="CY31" i="36"/>
  <c r="DB31" i="36" s="1"/>
  <c r="DF31" i="36" s="1"/>
  <c r="CX31" i="36"/>
  <c r="CZ30" i="36"/>
  <c r="CY30" i="36"/>
  <c r="DB30" i="36" s="1"/>
  <c r="DF30" i="36" s="1"/>
  <c r="CX30" i="36"/>
  <c r="CZ29" i="36"/>
  <c r="CY29" i="36"/>
  <c r="DB29" i="36" s="1"/>
  <c r="DF29" i="36" s="1"/>
  <c r="CX29" i="36"/>
  <c r="CZ28" i="36"/>
  <c r="CY28" i="36"/>
  <c r="DB28" i="36" s="1"/>
  <c r="DF28" i="36" s="1"/>
  <c r="CX28" i="36"/>
  <c r="CZ27" i="36"/>
  <c r="CY27" i="36"/>
  <c r="DB27" i="36" s="1"/>
  <c r="DF27" i="36" s="1"/>
  <c r="CX27" i="36"/>
  <c r="CZ26" i="36"/>
  <c r="CY26" i="36"/>
  <c r="DB26" i="36" s="1"/>
  <c r="DF26" i="36" s="1"/>
  <c r="CX26" i="36"/>
  <c r="CZ25" i="36"/>
  <c r="CY25" i="36"/>
  <c r="DB25" i="36" s="1"/>
  <c r="DF25" i="36" s="1"/>
  <c r="CX25" i="36"/>
  <c r="CZ24" i="36"/>
  <c r="CY24" i="36"/>
  <c r="DB24" i="36" s="1"/>
  <c r="DF24" i="36" s="1"/>
  <c r="CX24" i="36"/>
  <c r="CZ23" i="36"/>
  <c r="CY23" i="36"/>
  <c r="DB23" i="36" s="1"/>
  <c r="DF23" i="36" s="1"/>
  <c r="CX23" i="36"/>
  <c r="CZ22" i="36"/>
  <c r="CY22" i="36"/>
  <c r="DB22" i="36" s="1"/>
  <c r="DF22" i="36" s="1"/>
  <c r="CX22" i="36"/>
  <c r="CZ21" i="36"/>
  <c r="CY21" i="36"/>
  <c r="DB21" i="36" s="1"/>
  <c r="DF21" i="36" s="1"/>
  <c r="CX21" i="36"/>
  <c r="CZ20" i="36"/>
  <c r="CY20" i="36"/>
  <c r="DB20" i="36" s="1"/>
  <c r="DF20" i="36" s="1"/>
  <c r="CX20" i="36"/>
  <c r="CZ19" i="36"/>
  <c r="CY19" i="36"/>
  <c r="DB19" i="36" s="1"/>
  <c r="DF19" i="36" s="1"/>
  <c r="CX19" i="36"/>
  <c r="CZ18" i="36"/>
  <c r="CY18" i="36"/>
  <c r="DB18" i="36" s="1"/>
  <c r="DF18" i="36" s="1"/>
  <c r="CX18" i="36"/>
  <c r="CZ17" i="36"/>
  <c r="CY17" i="36"/>
  <c r="DB17" i="36" s="1"/>
  <c r="DF17" i="36" s="1"/>
  <c r="CX17" i="36"/>
  <c r="CZ16" i="36"/>
  <c r="CY16" i="36"/>
  <c r="DB16" i="36" s="1"/>
  <c r="DF16" i="36" s="1"/>
  <c r="CX16" i="36"/>
  <c r="CZ15" i="36"/>
  <c r="CY15" i="36"/>
  <c r="DB15" i="36" s="1"/>
  <c r="DF15" i="36" s="1"/>
  <c r="CX15" i="36"/>
  <c r="CZ14" i="36"/>
  <c r="CY14" i="36"/>
  <c r="DB14" i="36" s="1"/>
  <c r="DF14" i="36" s="1"/>
  <c r="CX14" i="36"/>
  <c r="CZ13" i="36"/>
  <c r="CY13" i="36"/>
  <c r="DB13" i="36" s="1"/>
  <c r="DF13" i="36" s="1"/>
  <c r="CX13" i="36"/>
  <c r="CZ12" i="36"/>
  <c r="CY12" i="36"/>
  <c r="DB12" i="36" s="1"/>
  <c r="DF12" i="36" s="1"/>
  <c r="CX12" i="36"/>
  <c r="CZ11" i="36"/>
  <c r="CY11" i="36"/>
  <c r="DB11" i="36" s="1"/>
  <c r="DF11" i="36" s="1"/>
  <c r="CX11" i="36"/>
  <c r="CZ10" i="36"/>
  <c r="CY10" i="36"/>
  <c r="DB10" i="36" s="1"/>
  <c r="DF10" i="36" s="1"/>
  <c r="CX10" i="36"/>
  <c r="CZ9" i="36"/>
  <c r="CY9" i="36"/>
  <c r="DB9" i="36" s="1"/>
  <c r="DF9" i="36" s="1"/>
  <c r="CX9" i="36"/>
  <c r="CZ8" i="36"/>
  <c r="CY8" i="36"/>
  <c r="DB8" i="36" s="1"/>
  <c r="DF8" i="36" s="1"/>
  <c r="CX8" i="36"/>
  <c r="CZ7" i="36"/>
  <c r="CY7" i="36"/>
  <c r="DB7" i="36" s="1"/>
  <c r="CX7" i="36"/>
  <c r="CZ6" i="36"/>
  <c r="CY6" i="36"/>
  <c r="DB6" i="36" s="1"/>
  <c r="DF6" i="36" s="1"/>
  <c r="CX6" i="36"/>
  <c r="CZ5" i="36"/>
  <c r="CY5" i="36"/>
  <c r="CX5" i="36"/>
  <c r="DB5" i="36" l="1"/>
  <c r="DF5" i="36" s="1"/>
  <c r="CZ195" i="36"/>
  <c r="DA195" i="36"/>
  <c r="CY195" i="36"/>
  <c r="DF7" i="36"/>
  <c r="DG9" i="36"/>
  <c r="DA9" i="36"/>
  <c r="DG21" i="36"/>
  <c r="DA21" i="36"/>
  <c r="DG25" i="36"/>
  <c r="DA25" i="36"/>
  <c r="DG37" i="36"/>
  <c r="DA37" i="36"/>
  <c r="DG49" i="36"/>
  <c r="DA49" i="36"/>
  <c r="DG61" i="36"/>
  <c r="DA61" i="36"/>
  <c r="DG69" i="36"/>
  <c r="DA69" i="36"/>
  <c r="DG77" i="36"/>
  <c r="DA77" i="36"/>
  <c r="DG88" i="36"/>
  <c r="DA88" i="36"/>
  <c r="DG184" i="36"/>
  <c r="DA184" i="36"/>
  <c r="DG8" i="36"/>
  <c r="DA8" i="36"/>
  <c r="DG12" i="36"/>
  <c r="DA12" i="36"/>
  <c r="DG16" i="36"/>
  <c r="DA16" i="36"/>
  <c r="DA20" i="36"/>
  <c r="DG20" i="36"/>
  <c r="DG24" i="36"/>
  <c r="DA24" i="36"/>
  <c r="DG28" i="36"/>
  <c r="DA28" i="36"/>
  <c r="DG32" i="36"/>
  <c r="DA32" i="36"/>
  <c r="DG36" i="36"/>
  <c r="DA36" i="36"/>
  <c r="DG40" i="36"/>
  <c r="DA40" i="36"/>
  <c r="DG44" i="36"/>
  <c r="DA44" i="36"/>
  <c r="DG48" i="36"/>
  <c r="DA48" i="36"/>
  <c r="DA52" i="36"/>
  <c r="DG52" i="36"/>
  <c r="DG56" i="36"/>
  <c r="DA56" i="36"/>
  <c r="DA60" i="36"/>
  <c r="DG60" i="36"/>
  <c r="DG64" i="36"/>
  <c r="DA64" i="36"/>
  <c r="DG68" i="36"/>
  <c r="DA68" i="36"/>
  <c r="DA72" i="36"/>
  <c r="DG72" i="36"/>
  <c r="DG76" i="36"/>
  <c r="DA76" i="36"/>
  <c r="DG79" i="36"/>
  <c r="DA79" i="36"/>
  <c r="DG83" i="36"/>
  <c r="DA83" i="36"/>
  <c r="DG87" i="36"/>
  <c r="DA87" i="36"/>
  <c r="DG175" i="36"/>
  <c r="DA175" i="36"/>
  <c r="DG179" i="36"/>
  <c r="DA179" i="36"/>
  <c r="DG183" i="36"/>
  <c r="DA183" i="36"/>
  <c r="DA187" i="36"/>
  <c r="DG187" i="36"/>
  <c r="DG191" i="36"/>
  <c r="DA191" i="36"/>
  <c r="DA5" i="36"/>
  <c r="DG5" i="36"/>
  <c r="DG17" i="36"/>
  <c r="DA17" i="36"/>
  <c r="DG29" i="36"/>
  <c r="DA29" i="36"/>
  <c r="DG33" i="36"/>
  <c r="DA33" i="36"/>
  <c r="DG41" i="36"/>
  <c r="DA41" i="36"/>
  <c r="DG45" i="36"/>
  <c r="DA45" i="36"/>
  <c r="DG57" i="36"/>
  <c r="DA57" i="36"/>
  <c r="DG73" i="36"/>
  <c r="DA73" i="36"/>
  <c r="DG84" i="36"/>
  <c r="DA84" i="36"/>
  <c r="DA180" i="36"/>
  <c r="DG180" i="36"/>
  <c r="DG192" i="36"/>
  <c r="DA192" i="36"/>
  <c r="DG7" i="36"/>
  <c r="DA7" i="36"/>
  <c r="DG11" i="36"/>
  <c r="DA11" i="36"/>
  <c r="DG15" i="36"/>
  <c r="DA15" i="36"/>
  <c r="DG19" i="36"/>
  <c r="DA19" i="36"/>
  <c r="DG23" i="36"/>
  <c r="DA23" i="36"/>
  <c r="DG27" i="36"/>
  <c r="DA27" i="36"/>
  <c r="DG31" i="36"/>
  <c r="DA31" i="36"/>
  <c r="DG35" i="36"/>
  <c r="DA35" i="36"/>
  <c r="DG39" i="36"/>
  <c r="DA39" i="36"/>
  <c r="DG43" i="36"/>
  <c r="DA43" i="36"/>
  <c r="DG47" i="36"/>
  <c r="DA47" i="36"/>
  <c r="DG51" i="36"/>
  <c r="DA51" i="36"/>
  <c r="DG55" i="36"/>
  <c r="DA55" i="36"/>
  <c r="DG59" i="36"/>
  <c r="DA59" i="36"/>
  <c r="DA63" i="36"/>
  <c r="DG63" i="36"/>
  <c r="DA67" i="36"/>
  <c r="DG67" i="36"/>
  <c r="DA71" i="36"/>
  <c r="DG71" i="36"/>
  <c r="DG75" i="36"/>
  <c r="DA75" i="36"/>
  <c r="DA82" i="36"/>
  <c r="DG82" i="36"/>
  <c r="DA86" i="36"/>
  <c r="DG86" i="36"/>
  <c r="DG174" i="36"/>
  <c r="DA174" i="36"/>
  <c r="DA178" i="36"/>
  <c r="DG178" i="36"/>
  <c r="DA182" i="36"/>
  <c r="DG182" i="36"/>
  <c r="DA186" i="36"/>
  <c r="DG186" i="36"/>
  <c r="DG190" i="36"/>
  <c r="DA190" i="36"/>
  <c r="DG13" i="36"/>
  <c r="DA13" i="36"/>
  <c r="DG53" i="36"/>
  <c r="DA53" i="36"/>
  <c r="DA65" i="36"/>
  <c r="DG65" i="36"/>
  <c r="DA80" i="36"/>
  <c r="DG80" i="36"/>
  <c r="DA176" i="36"/>
  <c r="DG176" i="36"/>
  <c r="DG188" i="36"/>
  <c r="DA188" i="36"/>
  <c r="DG6" i="36"/>
  <c r="DA6" i="36"/>
  <c r="DG10" i="36"/>
  <c r="DA10" i="36"/>
  <c r="DG14" i="36"/>
  <c r="DA14" i="36"/>
  <c r="DG18" i="36"/>
  <c r="DA18" i="36"/>
  <c r="DG22" i="36"/>
  <c r="DA22" i="36"/>
  <c r="DG26" i="36"/>
  <c r="DA26" i="36"/>
  <c r="DG30" i="36"/>
  <c r="DA30" i="36"/>
  <c r="DG34" i="36"/>
  <c r="DA34" i="36"/>
  <c r="DG38" i="36"/>
  <c r="DA38" i="36"/>
  <c r="DG42" i="36"/>
  <c r="DA42" i="36"/>
  <c r="DG46" i="36"/>
  <c r="DA46" i="36"/>
  <c r="DG50" i="36"/>
  <c r="DA50" i="36"/>
  <c r="DG54" i="36"/>
  <c r="DA54" i="36"/>
  <c r="DG58" i="36"/>
  <c r="DA58" i="36"/>
  <c r="DG62" i="36"/>
  <c r="DA62" i="36"/>
  <c r="DG66" i="36"/>
  <c r="DA66" i="36"/>
  <c r="DG70" i="36"/>
  <c r="DA70" i="36"/>
  <c r="DG74" i="36"/>
  <c r="DA74" i="36"/>
  <c r="DG78" i="36"/>
  <c r="DA78" i="36"/>
  <c r="DG81" i="36"/>
  <c r="DA81" i="36"/>
  <c r="DG85" i="36"/>
  <c r="DA85" i="36"/>
  <c r="DG89" i="36"/>
  <c r="DA89" i="36"/>
  <c r="DG177" i="36"/>
  <c r="DA177" i="36"/>
  <c r="DG181" i="36"/>
  <c r="DA181" i="36"/>
  <c r="DG185" i="36"/>
  <c r="DA185" i="36"/>
  <c r="DG189" i="36"/>
  <c r="DA189" i="36"/>
  <c r="DG193" i="36"/>
  <c r="DA193" i="36"/>
  <c r="I3" i="45" l="1"/>
  <c r="I15" i="45"/>
  <c r="I27" i="45"/>
  <c r="BZ50" i="15"/>
  <c r="CA50" i="15"/>
  <c r="BY50" i="15"/>
  <c r="BY51" i="15" s="1"/>
  <c r="DN50" i="15"/>
  <c r="DG195" i="36"/>
  <c r="DC195" i="36"/>
  <c r="DB195" i="36"/>
  <c r="DH195" i="36"/>
  <c r="DE177" i="36"/>
  <c r="DD177" i="36"/>
  <c r="DE70" i="36"/>
  <c r="DD70" i="36"/>
  <c r="DE46" i="36"/>
  <c r="DD46" i="36"/>
  <c r="DE14" i="36"/>
  <c r="DD14" i="36"/>
  <c r="DE190" i="36"/>
  <c r="DD190" i="36"/>
  <c r="DD43" i="36"/>
  <c r="DE43" i="36"/>
  <c r="DE19" i="36"/>
  <c r="DD19" i="36"/>
  <c r="DE84" i="36"/>
  <c r="DD84" i="36"/>
  <c r="DE17" i="36"/>
  <c r="DD17" i="36"/>
  <c r="DD175" i="36"/>
  <c r="DE175" i="36"/>
  <c r="DE68" i="36"/>
  <c r="DD68" i="36"/>
  <c r="DE44" i="36"/>
  <c r="DD44" i="36"/>
  <c r="DE12" i="36"/>
  <c r="DD12" i="36"/>
  <c r="DE176" i="36"/>
  <c r="DD176" i="36"/>
  <c r="DE65" i="36"/>
  <c r="DD65" i="36"/>
  <c r="DE182" i="36"/>
  <c r="DD182" i="36"/>
  <c r="DE82" i="36"/>
  <c r="DD82" i="36"/>
  <c r="DE67" i="36"/>
  <c r="DD67" i="36"/>
  <c r="DD60" i="36"/>
  <c r="DE60" i="36"/>
  <c r="DE52" i="36"/>
  <c r="DD52" i="36"/>
  <c r="DE20" i="36"/>
  <c r="DD20" i="36"/>
  <c r="DE185" i="36"/>
  <c r="DD185" i="36"/>
  <c r="DE78" i="36"/>
  <c r="DD78" i="36"/>
  <c r="DE54" i="36"/>
  <c r="DD54" i="36"/>
  <c r="DE30" i="36"/>
  <c r="DD30" i="36"/>
  <c r="DE6" i="36"/>
  <c r="DD6" i="36"/>
  <c r="DE53" i="36"/>
  <c r="DD53" i="36"/>
  <c r="DE75" i="36"/>
  <c r="DD75" i="36"/>
  <c r="DD51" i="36"/>
  <c r="DE51" i="36"/>
  <c r="DD27" i="36"/>
  <c r="DE27" i="36"/>
  <c r="DE192" i="36"/>
  <c r="DD192" i="36"/>
  <c r="DE45" i="36"/>
  <c r="DD45" i="36"/>
  <c r="DD191" i="36"/>
  <c r="DE191" i="36"/>
  <c r="DE83" i="36"/>
  <c r="DD83" i="36"/>
  <c r="DD36" i="36"/>
  <c r="DE36" i="36"/>
  <c r="DE77" i="36"/>
  <c r="DD77" i="36"/>
  <c r="DE21" i="36"/>
  <c r="DD21" i="36"/>
  <c r="DE189" i="36"/>
  <c r="DD189" i="36"/>
  <c r="DD181" i="36"/>
  <c r="DE181" i="36"/>
  <c r="DE89" i="36"/>
  <c r="DD89" i="36"/>
  <c r="DE81" i="36"/>
  <c r="DD81" i="36"/>
  <c r="DE74" i="36"/>
  <c r="DD74" i="36"/>
  <c r="DD66" i="36"/>
  <c r="DE66" i="36"/>
  <c r="DE58" i="36"/>
  <c r="DD58" i="36"/>
  <c r="DE50" i="36"/>
  <c r="DD50" i="36"/>
  <c r="DE42" i="36"/>
  <c r="DD42" i="36"/>
  <c r="DE34" i="36"/>
  <c r="DD34" i="36"/>
  <c r="DE26" i="36"/>
  <c r="DD26" i="36"/>
  <c r="DE18" i="36"/>
  <c r="DD18" i="36"/>
  <c r="DE10" i="36"/>
  <c r="DD10" i="36"/>
  <c r="DE188" i="36"/>
  <c r="DD188" i="36"/>
  <c r="DE13" i="36"/>
  <c r="DD13" i="36"/>
  <c r="DD55" i="36"/>
  <c r="DE55" i="36"/>
  <c r="DD47" i="36"/>
  <c r="DE47" i="36"/>
  <c r="DE39" i="36"/>
  <c r="DD39" i="36"/>
  <c r="DD31" i="36"/>
  <c r="DE31" i="36"/>
  <c r="DE23" i="36"/>
  <c r="DD23" i="36"/>
  <c r="DD15" i="36"/>
  <c r="DE15" i="36"/>
  <c r="DE7" i="36"/>
  <c r="DD7" i="36"/>
  <c r="DE73" i="36"/>
  <c r="DD73" i="36"/>
  <c r="DE57" i="36"/>
  <c r="DD57" i="36"/>
  <c r="DE41" i="36"/>
  <c r="DD41" i="36"/>
  <c r="DE29" i="36"/>
  <c r="DD29" i="36"/>
  <c r="DD179" i="36"/>
  <c r="DE179" i="36"/>
  <c r="DE87" i="36"/>
  <c r="DD87" i="36"/>
  <c r="DD79" i="36"/>
  <c r="DE79" i="36"/>
  <c r="DD64" i="36"/>
  <c r="DE64" i="36"/>
  <c r="DE56" i="36"/>
  <c r="DD56" i="36"/>
  <c r="DD48" i="36"/>
  <c r="DE48" i="36"/>
  <c r="DE40" i="36"/>
  <c r="DD40" i="36"/>
  <c r="DE32" i="36"/>
  <c r="DD32" i="36"/>
  <c r="DE24" i="36"/>
  <c r="DD24" i="36"/>
  <c r="DD16" i="36"/>
  <c r="DE16" i="36"/>
  <c r="DE8" i="36"/>
  <c r="DD8" i="36"/>
  <c r="DE88" i="36"/>
  <c r="DD88" i="36"/>
  <c r="DE69" i="36"/>
  <c r="DD69" i="36"/>
  <c r="DE49" i="36"/>
  <c r="DD49" i="36"/>
  <c r="DD25" i="36"/>
  <c r="DE25" i="36"/>
  <c r="DE9" i="36"/>
  <c r="DD9" i="36"/>
  <c r="DE193" i="36"/>
  <c r="DD193" i="36"/>
  <c r="DE85" i="36"/>
  <c r="DD85" i="36"/>
  <c r="DE62" i="36"/>
  <c r="DD62" i="36"/>
  <c r="DE38" i="36"/>
  <c r="DD38" i="36"/>
  <c r="DE22" i="36"/>
  <c r="DD22" i="36"/>
  <c r="DE174" i="36"/>
  <c r="DD174" i="36"/>
  <c r="DD59" i="36"/>
  <c r="DE59" i="36"/>
  <c r="DE35" i="36"/>
  <c r="DD35" i="36"/>
  <c r="DD11" i="36"/>
  <c r="DE11" i="36"/>
  <c r="DE33" i="36"/>
  <c r="DD33" i="36"/>
  <c r="DE183" i="36"/>
  <c r="DD183" i="36"/>
  <c r="DD76" i="36"/>
  <c r="DE76" i="36"/>
  <c r="DE28" i="36"/>
  <c r="DD28" i="36"/>
  <c r="DE184" i="36"/>
  <c r="DD184" i="36"/>
  <c r="DE61" i="36"/>
  <c r="DD61" i="36"/>
  <c r="DD37" i="36"/>
  <c r="DE37" i="36"/>
  <c r="DE80" i="36"/>
  <c r="DD80" i="36"/>
  <c r="DE186" i="36"/>
  <c r="DD186" i="36"/>
  <c r="DE178" i="36"/>
  <c r="DD178" i="36"/>
  <c r="DD86" i="36"/>
  <c r="DE86" i="36"/>
  <c r="DE71" i="36"/>
  <c r="DD71" i="36"/>
  <c r="DE63" i="36"/>
  <c r="DD63" i="36"/>
  <c r="DE180" i="36"/>
  <c r="DD180" i="36"/>
  <c r="DD5" i="36"/>
  <c r="DE5" i="36"/>
  <c r="DE187" i="36"/>
  <c r="DD187" i="36"/>
  <c r="DE72" i="36"/>
  <c r="DD72" i="36"/>
  <c r="DP50" i="15" l="1"/>
  <c r="C5" i="41"/>
  <c r="BU50" i="15"/>
  <c r="DQ50" i="15"/>
  <c r="BV50" i="15"/>
  <c r="BT50" i="15"/>
  <c r="DO50" i="15"/>
  <c r="DE195" i="36"/>
  <c r="DF195" i="36"/>
  <c r="W15" i="33" l="1"/>
  <c r="V15" i="33"/>
  <c r="U15" i="33"/>
  <c r="T15" i="33"/>
  <c r="S15" i="33"/>
  <c r="R15" i="33"/>
  <c r="Q15" i="33"/>
  <c r="P15" i="33"/>
  <c r="O15" i="33"/>
  <c r="N15" i="33"/>
  <c r="M15" i="33"/>
  <c r="L15" i="33"/>
  <c r="Z28" i="33" l="1"/>
  <c r="AB28" i="33"/>
  <c r="Z33" i="33"/>
  <c r="AB33" i="33"/>
  <c r="Z26" i="33"/>
  <c r="AB26" i="33"/>
  <c r="AB57" i="33"/>
  <c r="AB61" i="33"/>
  <c r="AB65" i="33"/>
  <c r="Z60" i="33"/>
  <c r="Z64" i="33"/>
  <c r="AB63" i="33"/>
  <c r="Z62" i="33"/>
  <c r="AB64" i="33"/>
  <c r="Z63" i="33"/>
  <c r="AB58" i="33"/>
  <c r="AB62" i="33"/>
  <c r="Z57" i="33"/>
  <c r="Z61" i="33"/>
  <c r="Z65" i="33"/>
  <c r="AB59" i="33"/>
  <c r="Z58" i="33"/>
  <c r="AB60" i="33"/>
  <c r="Z59" i="33"/>
  <c r="AB20" i="33"/>
  <c r="AB23" i="33"/>
  <c r="AB25" i="33"/>
  <c r="AB27" i="33"/>
  <c r="AB29" i="33"/>
  <c r="AB39" i="33"/>
  <c r="AB42" i="33"/>
  <c r="AB44" i="33"/>
  <c r="AB31" i="33"/>
  <c r="Z19" i="33"/>
  <c r="Z24" i="33"/>
  <c r="Z35" i="33"/>
  <c r="Z38" i="33"/>
  <c r="Z50" i="33"/>
  <c r="Z54" i="33"/>
  <c r="AB21" i="33"/>
  <c r="AB30" i="33"/>
  <c r="AB37" i="33"/>
  <c r="AB40" i="33"/>
  <c r="AB41" i="33"/>
  <c r="AB46" i="33"/>
  <c r="AB51" i="33"/>
  <c r="AB32" i="33"/>
  <c r="AB53" i="33"/>
  <c r="AB55" i="33"/>
  <c r="Z20" i="33"/>
  <c r="Z23" i="33"/>
  <c r="Z25" i="33"/>
  <c r="Z27" i="33"/>
  <c r="Z29" i="33"/>
  <c r="Z39" i="33"/>
  <c r="Z42" i="33"/>
  <c r="Z44" i="33"/>
  <c r="AB18" i="33"/>
  <c r="AB22" i="33"/>
  <c r="AB34" i="33"/>
  <c r="AB36" i="33"/>
  <c r="AB45" i="33"/>
  <c r="AB49" i="33"/>
  <c r="AB52" i="33"/>
  <c r="AB56" i="33"/>
  <c r="Z21" i="33"/>
  <c r="Z30" i="33"/>
  <c r="Z37" i="33"/>
  <c r="Z40" i="33"/>
  <c r="Z41" i="33"/>
  <c r="Z46" i="33"/>
  <c r="Z51" i="33"/>
  <c r="Z32" i="33"/>
  <c r="Z53" i="33"/>
  <c r="Z55" i="33"/>
  <c r="Z43" i="33"/>
  <c r="Z48" i="33"/>
  <c r="Z31" i="33"/>
  <c r="AB19" i="33"/>
  <c r="AB24" i="33"/>
  <c r="AB35" i="33"/>
  <c r="AB38" i="33"/>
  <c r="AB43" i="33"/>
  <c r="AB47" i="33"/>
  <c r="AB48" i="33"/>
  <c r="AB50" i="33"/>
  <c r="AB54" i="33"/>
  <c r="Z18" i="33"/>
  <c r="Z22" i="33"/>
  <c r="Z34" i="33"/>
  <c r="Z36" i="33"/>
  <c r="Z45" i="33"/>
  <c r="Z49" i="33"/>
  <c r="Z52" i="33"/>
  <c r="Z56" i="33"/>
  <c r="Z47" i="33"/>
  <c r="I23" i="45"/>
  <c r="Z66" i="33"/>
  <c r="I11" i="45"/>
  <c r="I41" i="45"/>
  <c r="Y67" i="33"/>
  <c r="I29" i="45"/>
  <c r="I35" i="45" s="1"/>
  <c r="Q81" i="33" l="1"/>
  <c r="T87" i="33"/>
  <c r="T90" i="33"/>
  <c r="T74" i="33"/>
  <c r="T81" i="33"/>
  <c r="Q87" i="33"/>
  <c r="Q78" i="33"/>
  <c r="AB66" i="33"/>
  <c r="T70" i="33"/>
  <c r="T78" i="33"/>
  <c r="Q90" i="33"/>
  <c r="Q70" i="33"/>
  <c r="Q74" i="33"/>
  <c r="I9" i="45"/>
  <c r="I14" i="45" s="1"/>
  <c r="I45" i="45"/>
  <c r="I50" i="45" s="1"/>
  <c r="I21" i="45"/>
  <c r="I26" i="45" s="1"/>
  <c r="I33" i="45"/>
  <c r="I38" i="45" s="1"/>
  <c r="I6" i="45"/>
  <c r="I30" i="45"/>
  <c r="I42" i="45"/>
  <c r="I18" i="45"/>
  <c r="I47" i="45"/>
  <c r="I37" i="45" s="1"/>
  <c r="D5" i="41"/>
  <c r="F5" i="41" s="1"/>
  <c r="I40" i="45" l="1"/>
  <c r="I48" i="45" s="1"/>
  <c r="I43" i="45"/>
  <c r="I28" i="45"/>
  <c r="I36" i="45" s="1"/>
  <c r="I31" i="45"/>
  <c r="I4" i="45"/>
  <c r="I12" i="45" s="1"/>
  <c r="I16" i="45"/>
  <c r="I24" i="45" s="1"/>
  <c r="I46" i="45"/>
  <c r="I7" i="45"/>
  <c r="I19" i="45" s="1"/>
  <c r="I10" i="45"/>
  <c r="I13" i="45" s="1"/>
  <c r="G5" i="41"/>
  <c r="M16" i="33"/>
  <c r="D5" i="31"/>
  <c r="N16" i="33" s="1"/>
  <c r="D6" i="31"/>
  <c r="O16" i="33" s="1"/>
  <c r="D7" i="31"/>
  <c r="P16" i="33" s="1"/>
  <c r="D8" i="31"/>
  <c r="Q16" i="33" s="1"/>
  <c r="D9" i="31"/>
  <c r="R16" i="33" s="1"/>
  <c r="D10" i="31"/>
  <c r="S16" i="33" s="1"/>
  <c r="D11" i="31"/>
  <c r="T16" i="33" s="1"/>
  <c r="D12" i="31"/>
  <c r="U16" i="33" s="1"/>
  <c r="D13" i="31"/>
  <c r="V16" i="33" s="1"/>
  <c r="D14" i="31"/>
  <c r="W16" i="33" s="1"/>
  <c r="I49" i="45" l="1"/>
  <c r="I22" i="45"/>
  <c r="I25" i="45" s="1"/>
  <c r="BK3" i="15"/>
  <c r="BL3" i="15"/>
  <c r="BM3" i="15"/>
  <c r="BB3" i="15"/>
  <c r="BJ3" i="15"/>
  <c r="BI3" i="15"/>
  <c r="BH3" i="15"/>
  <c r="BG3" i="15"/>
  <c r="BF3" i="15"/>
  <c r="BE3" i="15"/>
  <c r="BD3" i="15"/>
  <c r="BC3" i="15"/>
  <c r="CI25" i="15" l="1"/>
  <c r="CI16" i="15"/>
  <c r="CL25" i="15"/>
  <c r="CL16" i="15"/>
  <c r="CE16" i="15"/>
  <c r="CE25" i="15"/>
  <c r="CF16" i="15"/>
  <c r="CF25" i="15"/>
  <c r="CJ25" i="15"/>
  <c r="CJ16" i="15"/>
  <c r="CK16" i="15"/>
  <c r="CK25" i="15"/>
  <c r="CG16" i="15"/>
  <c r="CG25" i="15"/>
  <c r="CB25" i="15"/>
  <c r="CB16" i="15"/>
  <c r="CC25" i="15"/>
  <c r="CC16" i="15"/>
  <c r="CD25" i="15"/>
  <c r="CD16" i="15"/>
  <c r="CH25" i="15"/>
  <c r="CH16" i="15"/>
  <c r="CM25" i="15"/>
  <c r="CM16" i="15"/>
  <c r="CC11" i="15"/>
  <c r="CC13" i="15"/>
  <c r="CC17" i="15"/>
  <c r="CC7" i="15"/>
  <c r="CC12" i="15"/>
  <c r="CC20" i="15"/>
  <c r="CC21" i="15"/>
  <c r="CC22" i="15"/>
  <c r="CC31" i="15"/>
  <c r="CC32" i="15"/>
  <c r="CC33" i="15"/>
  <c r="CC34" i="15"/>
  <c r="CC35" i="15"/>
  <c r="CC36" i="15"/>
  <c r="CC37" i="15"/>
  <c r="CC38" i="15"/>
  <c r="CC39" i="15"/>
  <c r="CC40" i="15"/>
  <c r="CC41" i="15"/>
  <c r="CC42" i="15"/>
  <c r="CC43" i="15"/>
  <c r="CC49" i="15"/>
  <c r="CC44" i="15"/>
  <c r="CC45" i="15"/>
  <c r="CC46" i="15"/>
  <c r="CC47" i="15"/>
  <c r="CC48" i="15"/>
  <c r="CC8" i="15"/>
  <c r="CC15" i="15"/>
  <c r="CC18" i="15"/>
  <c r="CC5" i="15"/>
  <c r="CC29" i="15"/>
  <c r="CC19" i="15"/>
  <c r="CC24" i="15"/>
  <c r="CC30" i="15"/>
  <c r="CC9" i="15"/>
  <c r="CC28" i="15"/>
  <c r="CC10" i="15"/>
  <c r="CC27" i="15"/>
  <c r="CC23" i="15"/>
  <c r="CC26" i="15"/>
  <c r="CC14" i="15"/>
  <c r="CC6" i="15"/>
  <c r="CD11" i="15"/>
  <c r="CD13" i="15"/>
  <c r="CD17" i="15"/>
  <c r="CD7" i="15"/>
  <c r="CD12" i="15"/>
  <c r="CD20" i="15"/>
  <c r="CD21" i="15"/>
  <c r="CD22" i="15"/>
  <c r="CD31" i="15"/>
  <c r="CD32" i="15"/>
  <c r="CD33" i="15"/>
  <c r="CD34" i="15"/>
  <c r="CD35" i="15"/>
  <c r="CD36" i="15"/>
  <c r="CD37" i="15"/>
  <c r="CD38" i="15"/>
  <c r="CD39" i="15"/>
  <c r="CD40" i="15"/>
  <c r="CD41" i="15"/>
  <c r="CD42" i="15"/>
  <c r="CD43" i="15"/>
  <c r="CD44" i="15"/>
  <c r="CD45" i="15"/>
  <c r="CD46" i="15"/>
  <c r="CD47" i="15"/>
  <c r="CD48" i="15"/>
  <c r="CD49" i="15"/>
  <c r="CD5" i="15"/>
  <c r="CD26" i="15"/>
  <c r="CD24" i="15"/>
  <c r="CD28" i="15"/>
  <c r="CD9" i="15"/>
  <c r="CD14" i="15"/>
  <c r="CD23" i="15"/>
  <c r="CD30" i="15"/>
  <c r="CD15" i="15"/>
  <c r="CD18" i="15"/>
  <c r="CD6" i="15"/>
  <c r="CD10" i="15"/>
  <c r="CD8" i="15"/>
  <c r="CD27" i="15"/>
  <c r="CD29" i="15"/>
  <c r="CD19" i="15"/>
  <c r="CE5" i="15"/>
  <c r="CE12" i="15"/>
  <c r="CE20" i="15"/>
  <c r="CE8" i="15"/>
  <c r="CE10" i="15"/>
  <c r="CE14" i="15"/>
  <c r="CE18" i="15"/>
  <c r="CE6" i="15"/>
  <c r="CE11" i="15"/>
  <c r="CE13" i="15"/>
  <c r="CE17" i="15"/>
  <c r="CE7" i="15"/>
  <c r="CE9" i="15"/>
  <c r="CE15" i="15"/>
  <c r="CE19" i="15"/>
  <c r="CE21" i="15"/>
  <c r="CE22" i="15"/>
  <c r="CE23" i="15"/>
  <c r="CE26" i="15"/>
  <c r="CE28" i="15"/>
  <c r="CE24" i="15"/>
  <c r="CE27" i="15"/>
  <c r="CE29" i="15"/>
  <c r="CE30" i="15"/>
  <c r="CE31" i="15"/>
  <c r="CE32" i="15"/>
  <c r="CE33" i="15"/>
  <c r="CE34" i="15"/>
  <c r="CE35" i="15"/>
  <c r="CE36" i="15"/>
  <c r="CE37" i="15"/>
  <c r="CE38" i="15"/>
  <c r="CE39" i="15"/>
  <c r="CE40" i="15"/>
  <c r="CE41" i="15"/>
  <c r="CE42" i="15"/>
  <c r="CE43" i="15"/>
  <c r="CE44" i="15"/>
  <c r="CE45" i="15"/>
  <c r="CE46" i="15"/>
  <c r="CE47" i="15"/>
  <c r="CE48" i="15"/>
  <c r="CE49" i="15"/>
  <c r="CF7" i="15"/>
  <c r="CF9" i="15"/>
  <c r="CF15" i="15"/>
  <c r="CF19" i="15"/>
  <c r="CF5" i="15"/>
  <c r="CF12" i="15"/>
  <c r="CF20" i="15"/>
  <c r="CF8" i="15"/>
  <c r="CF10" i="15"/>
  <c r="CF14" i="15"/>
  <c r="CF18" i="15"/>
  <c r="CF6" i="15"/>
  <c r="CF11" i="15"/>
  <c r="CF13" i="15"/>
  <c r="CF17" i="15"/>
  <c r="CF24" i="15"/>
  <c r="CF27" i="15"/>
  <c r="CF29" i="15"/>
  <c r="CF30" i="15"/>
  <c r="CF21" i="15"/>
  <c r="CF22" i="15"/>
  <c r="CF23" i="15"/>
  <c r="CF26" i="15"/>
  <c r="CF28" i="15"/>
  <c r="CF31" i="15"/>
  <c r="CF32" i="15"/>
  <c r="CF33" i="15"/>
  <c r="CF34" i="15"/>
  <c r="CF35" i="15"/>
  <c r="CF36" i="15"/>
  <c r="CF37" i="15"/>
  <c r="CF38" i="15"/>
  <c r="CF39" i="15"/>
  <c r="CF40" i="15"/>
  <c r="CF41" i="15"/>
  <c r="CF42" i="15"/>
  <c r="CF49" i="15"/>
  <c r="CF43" i="15"/>
  <c r="CF44" i="15"/>
  <c r="CF45" i="15"/>
  <c r="CF46" i="15"/>
  <c r="CF47" i="15"/>
  <c r="CF48" i="15"/>
  <c r="CG6" i="15"/>
  <c r="CG11" i="15"/>
  <c r="CG13" i="15"/>
  <c r="CG17" i="15"/>
  <c r="CG7" i="15"/>
  <c r="CG9" i="15"/>
  <c r="CG15" i="15"/>
  <c r="CG19" i="15"/>
  <c r="CG5" i="15"/>
  <c r="CG12" i="15"/>
  <c r="CG20" i="15"/>
  <c r="CG8" i="15"/>
  <c r="CG10" i="15"/>
  <c r="CG14" i="15"/>
  <c r="CG18" i="15"/>
  <c r="CG24" i="15"/>
  <c r="CG27" i="15"/>
  <c r="CG29" i="15"/>
  <c r="CG30" i="15"/>
  <c r="CG21" i="15"/>
  <c r="CG22" i="15"/>
  <c r="CG23" i="15"/>
  <c r="CG26" i="15"/>
  <c r="CG28" i="15"/>
  <c r="CG31" i="15"/>
  <c r="CG32" i="15"/>
  <c r="CG33" i="15"/>
  <c r="CG34" i="15"/>
  <c r="CG35" i="15"/>
  <c r="CG36" i="15"/>
  <c r="CG37" i="15"/>
  <c r="CG38" i="15"/>
  <c r="CG39" i="15"/>
  <c r="CG40" i="15"/>
  <c r="CG41" i="15"/>
  <c r="CG42" i="15"/>
  <c r="CG49" i="15"/>
  <c r="CG43" i="15"/>
  <c r="CG44" i="15"/>
  <c r="CG45" i="15"/>
  <c r="CG46" i="15"/>
  <c r="CG47" i="15"/>
  <c r="CG48" i="15"/>
  <c r="CH8" i="15"/>
  <c r="CH10" i="15"/>
  <c r="CH14" i="15"/>
  <c r="CH18" i="15"/>
  <c r="CH6" i="15"/>
  <c r="CH11" i="15"/>
  <c r="CH13" i="15"/>
  <c r="CH17" i="15"/>
  <c r="CH7" i="15"/>
  <c r="CH9" i="15"/>
  <c r="CH15" i="15"/>
  <c r="CH19" i="15"/>
  <c r="CH5" i="15"/>
  <c r="CH12" i="15"/>
  <c r="CH20" i="15"/>
  <c r="CH23" i="15"/>
  <c r="CH26" i="15"/>
  <c r="CH28" i="15"/>
  <c r="CH24" i="15"/>
  <c r="CH27" i="15"/>
  <c r="CH29" i="15"/>
  <c r="CH30" i="15"/>
  <c r="CH21" i="15"/>
  <c r="CH22" i="15"/>
  <c r="CH31" i="15"/>
  <c r="CH32" i="15"/>
  <c r="CH33" i="15"/>
  <c r="CH34" i="15"/>
  <c r="CH35" i="15"/>
  <c r="CH36" i="15"/>
  <c r="CH37" i="15"/>
  <c r="CH38" i="15"/>
  <c r="CH39" i="15"/>
  <c r="CH40" i="15"/>
  <c r="CH41" i="15"/>
  <c r="CH42" i="15"/>
  <c r="CH43" i="15"/>
  <c r="CH44" i="15"/>
  <c r="CH45" i="15"/>
  <c r="CH46" i="15"/>
  <c r="CH47" i="15"/>
  <c r="CH48" i="15"/>
  <c r="CH49" i="15"/>
  <c r="CI5" i="15"/>
  <c r="CI12" i="15"/>
  <c r="CI20" i="15"/>
  <c r="CI8" i="15"/>
  <c r="CI10" i="15"/>
  <c r="CI14" i="15"/>
  <c r="CI18" i="15"/>
  <c r="CI6" i="15"/>
  <c r="CI11" i="15"/>
  <c r="CI13" i="15"/>
  <c r="CI17" i="15"/>
  <c r="CI7" i="15"/>
  <c r="CI9" i="15"/>
  <c r="CI15" i="15"/>
  <c r="CI19" i="15"/>
  <c r="CI21" i="15"/>
  <c r="CI22" i="15"/>
  <c r="CI23" i="15"/>
  <c r="CI26" i="15"/>
  <c r="CI28" i="15"/>
  <c r="CI24" i="15"/>
  <c r="CI27" i="15"/>
  <c r="CI29" i="15"/>
  <c r="CI30" i="15"/>
  <c r="CI31" i="15"/>
  <c r="CI32" i="15"/>
  <c r="CI33" i="15"/>
  <c r="CI34" i="15"/>
  <c r="CI35" i="15"/>
  <c r="CI36" i="15"/>
  <c r="CI37" i="15"/>
  <c r="CI38" i="15"/>
  <c r="CI39" i="15"/>
  <c r="CI40" i="15"/>
  <c r="CI41" i="15"/>
  <c r="CI42" i="15"/>
  <c r="CI43" i="15"/>
  <c r="CI44" i="15"/>
  <c r="CI45" i="15"/>
  <c r="CI46" i="15"/>
  <c r="CI47" i="15"/>
  <c r="CI48" i="15"/>
  <c r="CI49" i="15"/>
  <c r="CJ7" i="15"/>
  <c r="CJ9" i="15"/>
  <c r="CJ15" i="15"/>
  <c r="CJ19" i="15"/>
  <c r="CJ5" i="15"/>
  <c r="CJ12" i="15"/>
  <c r="CJ20" i="15"/>
  <c r="CJ8" i="15"/>
  <c r="CJ10" i="15"/>
  <c r="CJ14" i="15"/>
  <c r="CJ18" i="15"/>
  <c r="CJ6" i="15"/>
  <c r="CJ11" i="15"/>
  <c r="CJ13" i="15"/>
  <c r="CJ17" i="15"/>
  <c r="CJ24" i="15"/>
  <c r="CJ27" i="15"/>
  <c r="CJ29" i="15"/>
  <c r="CJ30" i="15"/>
  <c r="CJ21" i="15"/>
  <c r="CJ22" i="15"/>
  <c r="CJ23" i="15"/>
  <c r="CJ26" i="15"/>
  <c r="CJ28" i="15"/>
  <c r="CJ31" i="15"/>
  <c r="CJ32" i="15"/>
  <c r="CJ33" i="15"/>
  <c r="CJ34" i="15"/>
  <c r="CJ35" i="15"/>
  <c r="CJ36" i="15"/>
  <c r="CJ37" i="15"/>
  <c r="CJ38" i="15"/>
  <c r="CJ39" i="15"/>
  <c r="CJ40" i="15"/>
  <c r="CJ41" i="15"/>
  <c r="CJ42" i="15"/>
  <c r="CJ49" i="15"/>
  <c r="CJ43" i="15"/>
  <c r="CJ44" i="15"/>
  <c r="CJ45" i="15"/>
  <c r="CJ46" i="15"/>
  <c r="CJ47" i="15"/>
  <c r="CJ48" i="15"/>
  <c r="CB7" i="15"/>
  <c r="CB12" i="15"/>
  <c r="CB20" i="15"/>
  <c r="CB11" i="15"/>
  <c r="CB13" i="15"/>
  <c r="CB17" i="15"/>
  <c r="CB21" i="15"/>
  <c r="CB22" i="15"/>
  <c r="CB31" i="15"/>
  <c r="CB32" i="15"/>
  <c r="CB33" i="15"/>
  <c r="CB34" i="15"/>
  <c r="CB35" i="15"/>
  <c r="CB36" i="15"/>
  <c r="CB37" i="15"/>
  <c r="CB38" i="15"/>
  <c r="CB39" i="15"/>
  <c r="CB40" i="15"/>
  <c r="CB41" i="15"/>
  <c r="CB42" i="15"/>
  <c r="CB43" i="15"/>
  <c r="CB49" i="15"/>
  <c r="CB44" i="15"/>
  <c r="CB45" i="15"/>
  <c r="CB46" i="15"/>
  <c r="CB47" i="15"/>
  <c r="CB48" i="15"/>
  <c r="CB8" i="15"/>
  <c r="CB29" i="15"/>
  <c r="CB10" i="15"/>
  <c r="CB26" i="15"/>
  <c r="CB18" i="15"/>
  <c r="CB5" i="15"/>
  <c r="CB28" i="15"/>
  <c r="CB14" i="15"/>
  <c r="CB24" i="15"/>
  <c r="CB15" i="15"/>
  <c r="CB23" i="15"/>
  <c r="CB9" i="15"/>
  <c r="CB30" i="15"/>
  <c r="CB6" i="15"/>
  <c r="CB19" i="15"/>
  <c r="CB27" i="15"/>
  <c r="CM5" i="15"/>
  <c r="CM12" i="15"/>
  <c r="CM20" i="15"/>
  <c r="CM8" i="15"/>
  <c r="CM10" i="15"/>
  <c r="CM14" i="15"/>
  <c r="CM18" i="15"/>
  <c r="CM6" i="15"/>
  <c r="CM11" i="15"/>
  <c r="CM13" i="15"/>
  <c r="CM17" i="15"/>
  <c r="CM7" i="15"/>
  <c r="CM9" i="15"/>
  <c r="CM15" i="15"/>
  <c r="CM19" i="15"/>
  <c r="CM21" i="15"/>
  <c r="CM22" i="15"/>
  <c r="CM23" i="15"/>
  <c r="CM26" i="15"/>
  <c r="CM28" i="15"/>
  <c r="CM24" i="15"/>
  <c r="CM27" i="15"/>
  <c r="CM29" i="15"/>
  <c r="CM30" i="15"/>
  <c r="CM31" i="15"/>
  <c r="CM32" i="15"/>
  <c r="CM33" i="15"/>
  <c r="CM34" i="15"/>
  <c r="CM35" i="15"/>
  <c r="CM36" i="15"/>
  <c r="CM37" i="15"/>
  <c r="CM38" i="15"/>
  <c r="CM39" i="15"/>
  <c r="CM40" i="15"/>
  <c r="CM41" i="15"/>
  <c r="CM42" i="15"/>
  <c r="CM43" i="15"/>
  <c r="CM44" i="15"/>
  <c r="CM45" i="15"/>
  <c r="CM46" i="15"/>
  <c r="CM47" i="15"/>
  <c r="CM48" i="15"/>
  <c r="CM49" i="15"/>
  <c r="CL8" i="15"/>
  <c r="CL10" i="15"/>
  <c r="CL14" i="15"/>
  <c r="CL18" i="15"/>
  <c r="CL6" i="15"/>
  <c r="CL11" i="15"/>
  <c r="CL13" i="15"/>
  <c r="CL17" i="15"/>
  <c r="CL7" i="15"/>
  <c r="CL9" i="15"/>
  <c r="CL15" i="15"/>
  <c r="CL19" i="15"/>
  <c r="CL5" i="15"/>
  <c r="CL12" i="15"/>
  <c r="CL20" i="15"/>
  <c r="CL23" i="15"/>
  <c r="CL26" i="15"/>
  <c r="CL28" i="15"/>
  <c r="CL24" i="15"/>
  <c r="CL27" i="15"/>
  <c r="CL29" i="15"/>
  <c r="CL30" i="15"/>
  <c r="CL21" i="15"/>
  <c r="CL22" i="15"/>
  <c r="CL31" i="15"/>
  <c r="CL32" i="15"/>
  <c r="CL33" i="15"/>
  <c r="CL34" i="15"/>
  <c r="CL35" i="15"/>
  <c r="CL36" i="15"/>
  <c r="CL37" i="15"/>
  <c r="CL38" i="15"/>
  <c r="CL39" i="15"/>
  <c r="CL40" i="15"/>
  <c r="CL41" i="15"/>
  <c r="CL42" i="15"/>
  <c r="CL43" i="15"/>
  <c r="CL44" i="15"/>
  <c r="CL45" i="15"/>
  <c r="CL46" i="15"/>
  <c r="CL47" i="15"/>
  <c r="CL48" i="15"/>
  <c r="CL49" i="15"/>
  <c r="CK6" i="15"/>
  <c r="CK11" i="15"/>
  <c r="CK13" i="15"/>
  <c r="CK17" i="15"/>
  <c r="CK7" i="15"/>
  <c r="CK9" i="15"/>
  <c r="CK15" i="15"/>
  <c r="CK19" i="15"/>
  <c r="CK5" i="15"/>
  <c r="CK12" i="15"/>
  <c r="CK20" i="15"/>
  <c r="CK8" i="15"/>
  <c r="CK10" i="15"/>
  <c r="CK14" i="15"/>
  <c r="CK18" i="15"/>
  <c r="CK24" i="15"/>
  <c r="CK27" i="15"/>
  <c r="CK29" i="15"/>
  <c r="CK30" i="15"/>
  <c r="CK21" i="15"/>
  <c r="CK22" i="15"/>
  <c r="CK23" i="15"/>
  <c r="CK26" i="15"/>
  <c r="CK28" i="15"/>
  <c r="CK31" i="15"/>
  <c r="CK32" i="15"/>
  <c r="CK33" i="15"/>
  <c r="CK34" i="15"/>
  <c r="CK35" i="15"/>
  <c r="CK36" i="15"/>
  <c r="CK37" i="15"/>
  <c r="CK38" i="15"/>
  <c r="CK39" i="15"/>
  <c r="CK40" i="15"/>
  <c r="CK41" i="15"/>
  <c r="CK42" i="15"/>
  <c r="CK49" i="15"/>
  <c r="CK43" i="15"/>
  <c r="CK44" i="15"/>
  <c r="CK45" i="15"/>
  <c r="CK46" i="15"/>
  <c r="CK47" i="15"/>
  <c r="CK48" i="15"/>
  <c r="CN16" i="15" l="1"/>
  <c r="CN25" i="15"/>
  <c r="CN49" i="15"/>
  <c r="CN17" i="15"/>
  <c r="CN7" i="15"/>
  <c r="CN6" i="15"/>
  <c r="CN15" i="15"/>
  <c r="CN26" i="15"/>
  <c r="CN8" i="15"/>
  <c r="CN46" i="15"/>
  <c r="CN42" i="15"/>
  <c r="CN38" i="15"/>
  <c r="CN34" i="15"/>
  <c r="CN22" i="15"/>
  <c r="CN30" i="15"/>
  <c r="CN28" i="15"/>
  <c r="CN10" i="15"/>
  <c r="CN45" i="15"/>
  <c r="CN41" i="15"/>
  <c r="CN37" i="15"/>
  <c r="CN33" i="15"/>
  <c r="CN21" i="15"/>
  <c r="CN20" i="15"/>
  <c r="CN27" i="15"/>
  <c r="CN9" i="15"/>
  <c r="CN24" i="15"/>
  <c r="CN5" i="15"/>
  <c r="CN29" i="15"/>
  <c r="CN48" i="15"/>
  <c r="CN44" i="15"/>
  <c r="CN40" i="15"/>
  <c r="CN36" i="15"/>
  <c r="CN32" i="15"/>
  <c r="CN19" i="15"/>
  <c r="CN23" i="15"/>
  <c r="CN14" i="15"/>
  <c r="CN18" i="15"/>
  <c r="CN47" i="15"/>
  <c r="CN43" i="15"/>
  <c r="CN39" i="15"/>
  <c r="CN35" i="15"/>
  <c r="CN31" i="15"/>
  <c r="CH50" i="15"/>
  <c r="CD50" i="15"/>
  <c r="CB50" i="15"/>
  <c r="CC50" i="15"/>
  <c r="CF50" i="15"/>
  <c r="CL50" i="15"/>
  <c r="CG50" i="15"/>
  <c r="CM50" i="15"/>
  <c r="CJ50" i="15"/>
  <c r="CI50" i="15"/>
  <c r="CK50" i="15"/>
  <c r="CE50" i="15"/>
  <c r="CN50" i="15" l="1"/>
</calcChain>
</file>

<file path=xl/comments1.xml><?xml version="1.0" encoding="utf-8"?>
<comments xmlns="http://schemas.openxmlformats.org/spreadsheetml/2006/main">
  <authors>
    <author>salmeras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salmeras:</t>
        </r>
        <r>
          <rPr>
            <sz val="9"/>
            <color indexed="81"/>
            <rFont val="Tahoma"/>
            <family val="2"/>
          </rPr>
          <t xml:space="preserve">
Reference iPMP de la ressource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salmeras:</t>
        </r>
        <r>
          <rPr>
            <sz val="9"/>
            <color indexed="81"/>
            <rFont val="Tahoma"/>
            <family val="2"/>
          </rPr>
          <t xml:space="preserve">
Nom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salmeras:</t>
        </r>
        <r>
          <rPr>
            <sz val="9"/>
            <color indexed="81"/>
            <rFont val="Tahoma"/>
            <family val="2"/>
          </rPr>
          <t xml:space="preserve">
Cette sélection permet de choisir la périod considéré comme consommé et la période à venir</t>
        </r>
      </text>
    </comment>
  </commentList>
</comments>
</file>

<file path=xl/comments2.xml><?xml version="1.0" encoding="utf-8"?>
<comments xmlns="http://schemas.openxmlformats.org/spreadsheetml/2006/main">
  <authors>
    <author>OUAKRIM, Nadia (SII)</author>
  </authors>
  <commentList>
    <comment ref="BW4" authorId="0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BD à risque, non validé par le client</t>
        </r>
      </text>
    </comment>
    <comment ref="BX4" authorId="0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BD de la revue = BD validé + BD à valider en fonction du risque pris</t>
        </r>
      </text>
    </comment>
    <comment ref="E188" authorId="0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reste de la commande de 2016. Pour le client payé en 2016 mais pour SII, BD 2017</t>
        </r>
      </text>
    </comment>
    <comment ref="CC205" authorId="0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Correction 06/06 suite modification ligne : rappatriement des 95 sur la commande 7800376608, item 100=&gt; pas d'impact facturation car conforme BL</t>
        </r>
      </text>
    </comment>
    <comment ref="AM208" authorId="0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SX1 : =(20+19)*4+(21)*5+9 : 270
S62 : =(20+19+21)*4=240
</t>
        </r>
      </text>
    </comment>
  </commentList>
</comments>
</file>

<file path=xl/comments3.xml><?xml version="1.0" encoding="utf-8"?>
<comments xmlns="http://schemas.openxmlformats.org/spreadsheetml/2006/main">
  <authors>
    <author>Adrien LUNES</author>
  </authors>
  <commentList>
    <comment ref="H8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  <comment ref="H32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  <comment ref="H44" authorId="0" shapeId="0">
      <text>
        <r>
          <rPr>
            <b/>
            <sz val="9"/>
            <color rgb="FF000000"/>
            <rFont val="Tahoma"/>
            <family val="2"/>
          </rPr>
          <t>Adrien LUNES:</t>
        </r>
        <r>
          <rPr>
            <sz val="9"/>
            <color rgb="FF000000"/>
            <rFont val="Tahoma"/>
            <family val="2"/>
          </rPr>
          <t xml:space="preserve">
A remplir manuel
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Adrien LUNES:</t>
        </r>
        <r>
          <rPr>
            <sz val="9"/>
            <color indexed="81"/>
            <rFont val="Tahoma"/>
            <family val="2"/>
          </rPr>
          <t xml:space="preserve">
A remplir manuel
</t>
        </r>
      </text>
    </comment>
  </commentList>
</comments>
</file>

<file path=xl/comments4.xml><?xml version="1.0" encoding="utf-8"?>
<comments xmlns="http://schemas.openxmlformats.org/spreadsheetml/2006/main">
  <authors>
    <author>Camille BESSIERES</author>
    <author>OUAKRIM, Nadia (SII)</author>
    <author>Aurore CONTI</author>
  </authors>
  <commentList>
    <comment ref="CC79" authorId="0" shapeId="0">
      <text>
        <r>
          <rPr>
            <b/>
            <sz val="9"/>
            <color indexed="81"/>
            <rFont val="Tahoma"/>
            <family val="2"/>
          </rPr>
          <t xml:space="preserve">Camille BESSIERES:
Avoir car erreur Client
</t>
        </r>
      </text>
    </comment>
    <comment ref="CC155" authorId="0" shapeId="0">
      <text>
        <r>
          <rPr>
            <b/>
            <sz val="9"/>
            <color indexed="81"/>
            <rFont val="Tahoma"/>
            <family val="2"/>
          </rPr>
          <t>Camille BESSIERES:</t>
        </r>
        <r>
          <rPr>
            <sz val="9"/>
            <color indexed="81"/>
            <rFont val="Tahoma"/>
            <family val="2"/>
          </rPr>
          <t xml:space="preserve">
Avoir car erreur adresse da factu</t>
        </r>
      </text>
    </comment>
    <comment ref="CC156" authorId="0" shapeId="0">
      <text>
        <r>
          <rPr>
            <b/>
            <sz val="9"/>
            <color indexed="81"/>
            <rFont val="Tahoma"/>
            <family val="2"/>
          </rPr>
          <t>Camille BESSIERES:</t>
        </r>
        <r>
          <rPr>
            <sz val="9"/>
            <color indexed="81"/>
            <rFont val="Tahoma"/>
            <family val="2"/>
          </rPr>
          <t xml:space="preserve">
Avoir car erreur adresse da facturation</t>
        </r>
      </text>
    </comment>
    <comment ref="F349" authorId="1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reste de la commande de 2016. Pour le client payé en 2016 mais pour SII, BD 2017</t>
        </r>
      </text>
    </comment>
    <comment ref="AK365" authorId="1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Correction 06/06 suite modification ligne : rappatriement des 95 sur la commande 7800376608, item 100=&gt; pas d'impact facturation car conforme BL</t>
        </r>
      </text>
    </comment>
    <comment ref="AL365" authorId="1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OUAKRIM, Nadia (SII):
Correction 06/06 suite modification ligne : rappatriement des 95 sur la commande 7800376608, item 100=&gt; pas d'impact facturation car conforme BL</t>
        </r>
      </text>
    </comment>
    <comment ref="AS365" authorId="1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OUAKRIM, Nadia (SII):
Correction 06/06 suite modification ligne : rappatriement des 95 sur la commande 7800376608, item 100=&gt; pas d'impact facturation car conforme BL</t>
        </r>
      </text>
    </comment>
    <comment ref="AU365" authorId="1" shapeId="0">
      <text>
        <r>
          <rPr>
            <b/>
            <sz val="9"/>
            <color indexed="81"/>
            <rFont val="Tahoma"/>
            <family val="2"/>
          </rPr>
          <t>OUAKRIM, Nadia (SII):</t>
        </r>
        <r>
          <rPr>
            <sz val="9"/>
            <color indexed="81"/>
            <rFont val="Tahoma"/>
            <family val="2"/>
          </rPr>
          <t xml:space="preserve">
OUAKRIM, Nadia (SII):
Correction 06/06 suite modification ligne : rappatriement des 95 sur la commande 7800376608, item 100=&gt; pas d'impact facturation car conforme BL</t>
        </r>
      </text>
    </comment>
    <comment ref="BP414" authorId="2" shapeId="0">
      <text>
        <r>
          <rPr>
            <b/>
            <sz val="9"/>
            <color indexed="81"/>
            <rFont val="Tahoma"/>
            <family val="2"/>
          </rPr>
          <t>Aurore CONTI:</t>
        </r>
        <r>
          <rPr>
            <sz val="9"/>
            <color indexed="81"/>
            <rFont val="Tahoma"/>
            <family val="2"/>
          </rPr>
          <t xml:space="preserve">
facturé sous le poste 10!!!</t>
        </r>
      </text>
    </comment>
    <comment ref="BP415" authorId="2" shapeId="0">
      <text>
        <r>
          <rPr>
            <b/>
            <sz val="9"/>
            <color indexed="81"/>
            <rFont val="Tahoma"/>
            <family val="2"/>
          </rPr>
          <t>Aurore CONTI:</t>
        </r>
        <r>
          <rPr>
            <sz val="9"/>
            <color indexed="81"/>
            <rFont val="Tahoma"/>
            <family val="2"/>
          </rPr>
          <t xml:space="preserve">
facturé sous le poste 10!!!</t>
        </r>
      </text>
    </comment>
  </commentList>
</comments>
</file>

<file path=xl/connections.xml><?xml version="1.0" encoding="utf-8"?>
<connections xmlns="http://schemas.openxmlformats.org/spreadsheetml/2006/main">
  <connection id="1" name="Lancer la requête à partir de Projectorria SII" type="1" refreshedVersion="4" background="1" saveData="1">
    <dbPr connection="DSN=Projectorria SII;" command="SELECT assignment_0.id, assignment_0.idResource, assignment_0.assignedWork, assignment_0.realWork, assignment_0.leftWork, assignment_0.plannedWork, assignment_0.idProject,project.projectCode_x000d__x000a_FROM assignment assignment_0_x000d__x000a_LEFT JOIN project ON  assignment_0.idProject = project.id_x000d__x000a_WHERE (project.projectCode LIKE ?  OR project.projectCode LIKE ? OR project.projectCode LIKE ? OR project.projectCode LIKE ? OR project.projectCode LIKE ? OR project.projectCode LIKE ? OR project.projectCode LIKE ? OR project.projectCode LIKE ? OR project.projectCode LIKE ? OR project.projectCode LIKE ? OR project.projectCode LIKE ? OR project.projectCode LIKE ? OR project.projectCode LIKE ? OR project.projectCode LIKE ? OR project.projectCode LIKE ?)"/>
    <parameters count="15">
      <parameter name="Paramètre1" parameterType="cell" cell="paramètres!$B$7"/>
      <parameter name="Paramètre2" parameterType="cell" cell="paramètres!$C$7"/>
      <parameter name="Paramètre3" parameterType="cell" cell="paramètres!$D$7"/>
      <parameter name="Paramètre4" parameterType="cell" cell="paramètres!$E$7"/>
      <parameter name="Paramètre5" parameterType="cell" cell="paramètres!$F$7"/>
      <parameter name="Paramètre6" parameterType="cell" cell="paramètres!$G$7"/>
      <parameter name="Paramètre7" parameterType="cell" cell="paramètres!$H$7"/>
      <parameter name="Paramètre8" parameterType="cell" cell="paramètres!$I$7"/>
      <parameter name="Paramètre9" parameterType="cell" cell="paramètres!$J$7"/>
      <parameter name="Paramètre10" parameterType="cell" cell="paramètres!$K$7"/>
      <parameter name="Paramètre11" parameterType="cell" cell="paramètres!$L$7"/>
      <parameter name="Paramètre12" parameterType="cell" cell="paramètres!$M$7"/>
      <parameter name="Paramètre13" parameterType="cell" cell="paramètres!$N$7"/>
      <parameter name="Paramètre14" parameterType="cell" cell="paramètres!$O$7"/>
      <parameter name="Paramètre15" parameterType="cell" cell="paramètres!$P$7"/>
    </parameters>
  </connection>
  <connection id="2" name="Lancer la requête à partir de Projectorria SII1" type="1" refreshedVersion="4" background="1" saveData="1">
    <dbPr connection="DSN=Projectorria SII;" command="Select _x000d__x000a_  resource.name As Participant, _x000d__x000a_  project.projectCode, _x000d__x000a_  sum(work.work), _x000d__x000a_  work.workDate, _x000d__x000a_  work.day, _x000d__x000a_  work.week, _x000d__x000a_  work.month, _x000d__x000a_  work.year _x000d__x000a_From _x000d__x000a_  assignment Inner Join _x000d__x000a_  project _x000d__x000a_    On assignment.idProject = project.id Inner Join _x000d__x000a_  activity _x000d__x000a_    On assignment.refId = activity.id Inner Join _x000d__x000a_  resource _x000d__x000a_    On assignment.idResource = resource.id Inner Join _x000d__x000a_  work _x000d__x000a_    On work.idAssignment = assignment.id _x000d__x000a_Where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 Or _x000d__x000a_  (project.projectCode Like ?)_x000d__x000a__x000d__x000a_group by resource.name, work.month, project.projectCode"/>
    <parameters count="15">
      <parameter name="Paramètre1" parameterType="cell" cell="paramètres!$B$7"/>
      <parameter name="Paramètre2" parameterType="cell" cell="paramètres!$C$7"/>
      <parameter name="Paramètre3" parameterType="cell" cell="paramètres!$D$7"/>
      <parameter name="Paramètre4" parameterType="cell" cell="paramètres!$E$7"/>
      <parameter name="Paramètre5" parameterType="cell" cell="paramètres!$F$7"/>
      <parameter name="Paramètre6" parameterType="cell" cell="paramètres!$G$7"/>
      <parameter name="Paramètre7" parameterType="cell" cell="paramètres!$H$7"/>
      <parameter name="Paramètre8" parameterType="cell" cell="paramètres!$I$7"/>
      <parameter name="Paramètre9" parameterType="cell" cell="paramètres!$J$7"/>
      <parameter name="Paramètre10" parameterType="cell" cell="paramètres!$K$7"/>
      <parameter name="Paramètre11" parameterType="cell" cell="paramètres!$L$7"/>
      <parameter name="Paramètre12" parameterType="cell" cell="paramètres!$M$7"/>
      <parameter name="Paramètre13" parameterType="cell" cell="paramètres!$N$7"/>
      <parameter name="Paramètre14" parameterType="cell" cell="paramètres!$O$7"/>
      <parameter name="Paramètre15" parameterType="cell" cell="paramètres!$P$7"/>
    </parameters>
  </connection>
</connections>
</file>

<file path=xl/sharedStrings.xml><?xml version="1.0" encoding="utf-8"?>
<sst xmlns="http://schemas.openxmlformats.org/spreadsheetml/2006/main" count="10787" uniqueCount="1025">
  <si>
    <t>Jours Tech</t>
  </si>
  <si>
    <t>Jours GP</t>
  </si>
  <si>
    <t>Total</t>
  </si>
  <si>
    <t>Début</t>
  </si>
  <si>
    <t>Fin</t>
  </si>
  <si>
    <t>Début du planning</t>
  </si>
  <si>
    <t>Facteur</t>
  </si>
  <si>
    <t>Commentaires</t>
  </si>
  <si>
    <t>SA</t>
  </si>
  <si>
    <t>Total jour</t>
  </si>
  <si>
    <t>Date</t>
  </si>
  <si>
    <t>jours/an</t>
  </si>
  <si>
    <t>heures/jour</t>
  </si>
  <si>
    <t>heures/an</t>
  </si>
  <si>
    <t>WP</t>
  </si>
  <si>
    <t>ETP GP</t>
  </si>
  <si>
    <t>ETP Tech</t>
  </si>
  <si>
    <t>ETP Tot</t>
  </si>
  <si>
    <t>Mars</t>
  </si>
  <si>
    <t>Delta</t>
  </si>
  <si>
    <t>Committed</t>
  </si>
  <si>
    <t>Received</t>
  </si>
  <si>
    <t>Reste à consomer</t>
  </si>
  <si>
    <t>Consommé</t>
  </si>
  <si>
    <t>Mois Actuel</t>
  </si>
  <si>
    <t>TOTAL</t>
  </si>
  <si>
    <t>Consomé iPMP</t>
  </si>
  <si>
    <t>RAF iPMP</t>
  </si>
  <si>
    <t>Somme</t>
  </si>
  <si>
    <t>Planned Days</t>
  </si>
  <si>
    <t>Departure</t>
  </si>
  <si>
    <t>Arrival</t>
  </si>
  <si>
    <t>Ressource</t>
  </si>
  <si>
    <t>Jours ouvrés</t>
  </si>
  <si>
    <t>Modification</t>
  </si>
  <si>
    <t>Dec</t>
  </si>
  <si>
    <t>Nov</t>
  </si>
  <si>
    <t>Oct</t>
  </si>
  <si>
    <t>Sep</t>
  </si>
  <si>
    <t>Aug</t>
  </si>
  <si>
    <t>July</t>
  </si>
  <si>
    <t>June</t>
  </si>
  <si>
    <t>May</t>
  </si>
  <si>
    <t>Apr</t>
  </si>
  <si>
    <t>Fev</t>
  </si>
  <si>
    <t>Jan</t>
  </si>
  <si>
    <t>Jours feriés</t>
  </si>
  <si>
    <t>Fermeture
Annuelle SII</t>
  </si>
  <si>
    <t>Nb Jours Ouvrés</t>
  </si>
  <si>
    <t>verif</t>
  </si>
  <si>
    <t>Montant TOTAL</t>
  </si>
  <si>
    <t>Prix unitaire</t>
  </si>
  <si>
    <t>Budget Revue</t>
  </si>
  <si>
    <t>Montant Revue</t>
  </si>
  <si>
    <t>jrs technique revue</t>
  </si>
  <si>
    <t>jrs GP revue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</si>
  <si>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</si>
  <si>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</si>
  <si>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</si>
  <si>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</si>
  <si>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</si>
  <si>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</si>
  <si>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</si>
  <si>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</si>
  <si>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</si>
  <si>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</si>
  <si>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</si>
  <si>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</si>
  <si>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Receipt</t>
  </si>
  <si>
    <t>Budget</t>
  </si>
  <si>
    <t>Forecast</t>
  </si>
  <si>
    <t>Description</t>
  </si>
  <si>
    <t>Facturation à valider</t>
  </si>
  <si>
    <t>Poste Clos</t>
  </si>
  <si>
    <t>BL</t>
  </si>
  <si>
    <t>Total item à Facturer</t>
  </si>
  <si>
    <t>Total Price Réceptionné</t>
  </si>
  <si>
    <t>Total Price A facturer</t>
  </si>
  <si>
    <t>Total item réceptionné</t>
  </si>
  <si>
    <t>Total Price Facturé</t>
  </si>
  <si>
    <t>Total item Facturé</t>
  </si>
  <si>
    <t>Montant restant à réceptionner</t>
  </si>
  <si>
    <t>Facturation à envoyer</t>
  </si>
  <si>
    <t>Total items restant à receptionner</t>
  </si>
  <si>
    <t>Personne</t>
  </si>
  <si>
    <t>id Ressource</t>
  </si>
  <si>
    <t>Jours restants</t>
  </si>
  <si>
    <t>Jours consommés</t>
  </si>
  <si>
    <t>TOTAL Jrs</t>
  </si>
  <si>
    <t>GLOBAL</t>
  </si>
  <si>
    <t>Qté Réception 01/2018</t>
  </si>
  <si>
    <t>Qté A facturer 01/2018</t>
  </si>
  <si>
    <t>Qté Facturé 01/2018</t>
  </si>
  <si>
    <t>Montant Facturé 01/2018</t>
  </si>
  <si>
    <t>Statut facturation 01/2018</t>
  </si>
  <si>
    <t>Qté Réception 02/2018</t>
  </si>
  <si>
    <t>Qté A facturer 02/2018</t>
  </si>
  <si>
    <t>Qté Facturé 02/2018</t>
  </si>
  <si>
    <t>Montant Facturé 02/2018</t>
  </si>
  <si>
    <t>Statut facturation 02/20182</t>
  </si>
  <si>
    <t>Qté Réception 03/2018</t>
  </si>
  <si>
    <t>Qté A facturer 03/2018</t>
  </si>
  <si>
    <t>Qté Facturé 03/2018</t>
  </si>
  <si>
    <t>Montant Facturé 03/2018</t>
  </si>
  <si>
    <t>Statut facturation 03/20182</t>
  </si>
  <si>
    <t>Qté Réception 04/2018</t>
  </si>
  <si>
    <t>Qté A facturer 04/2018</t>
  </si>
  <si>
    <t>Qté Facturé 04/2018</t>
  </si>
  <si>
    <t>Montant Facturé 04/2018</t>
  </si>
  <si>
    <t>Statut facturation 04/2018</t>
  </si>
  <si>
    <t>Qté Réception 05/2018</t>
  </si>
  <si>
    <t>Qté A facturer 05/2018</t>
  </si>
  <si>
    <t>Qté Facturé 05/2018</t>
  </si>
  <si>
    <t>Montant Facturé 05/2018</t>
  </si>
  <si>
    <t>Statut facturation 05/2018</t>
  </si>
  <si>
    <t>Qté Réception 06/2018</t>
  </si>
  <si>
    <t>Qté A facturer 06/2018</t>
  </si>
  <si>
    <t>Qté Facturé 06/2018</t>
  </si>
  <si>
    <t>Montant Facturé 06/2018</t>
  </si>
  <si>
    <t>Statut facturation 06/2018</t>
  </si>
  <si>
    <t>Qté Réception 07/2018</t>
  </si>
  <si>
    <t>Qté A facturer 07/2018</t>
  </si>
  <si>
    <t>Qté Facturé 07/2018</t>
  </si>
  <si>
    <t>Montant Facturé 07/2018</t>
  </si>
  <si>
    <t>Statut facturation 07/2018</t>
  </si>
  <si>
    <t>Qté Réception 08/2018</t>
  </si>
  <si>
    <t>Qté A facturer 08/2018</t>
  </si>
  <si>
    <t>Qté Facturé 08/2018</t>
  </si>
  <si>
    <t>Montant Facturé 08/2018</t>
  </si>
  <si>
    <t>Statut facturation 08/2018</t>
  </si>
  <si>
    <t>Qté Réception 09/2018</t>
  </si>
  <si>
    <t>Qté A facturer 09/2018</t>
  </si>
  <si>
    <t>Qté Facturé 09/2018</t>
  </si>
  <si>
    <t>Montant Facturé 09/2018</t>
  </si>
  <si>
    <t>Statut facturation 09/2018</t>
  </si>
  <si>
    <t>Qté Réception 10/2018</t>
  </si>
  <si>
    <t>Qté A facturer 10/2018</t>
  </si>
  <si>
    <t>Qté Facturé 10/2018</t>
  </si>
  <si>
    <t>Montant Facturé 10/2018</t>
  </si>
  <si>
    <t>Statut facturation 10/2018</t>
  </si>
  <si>
    <t>Qté Réception 11/2018</t>
  </si>
  <si>
    <t>Qté A facturer 11/2018</t>
  </si>
  <si>
    <t>Qté Facturé 11/2018</t>
  </si>
  <si>
    <t>Montant Facturé 11/2018</t>
  </si>
  <si>
    <t>Statut facturation 11/2018</t>
  </si>
  <si>
    <t>Qté Réception 12/2018</t>
  </si>
  <si>
    <t>Qté A facturer 12/2018</t>
  </si>
  <si>
    <t>Qté Facturé 12/2018</t>
  </si>
  <si>
    <t>Montant Facturé 12/2018</t>
  </si>
  <si>
    <t>Statut facturation 12/2018</t>
  </si>
  <si>
    <t>PO Number (Header)</t>
  </si>
  <si>
    <t>Work Specification ref.</t>
  </si>
  <si>
    <t>Commercial contract ref.</t>
  </si>
  <si>
    <t>Catalogue ID</t>
  </si>
  <si>
    <t>Line</t>
  </si>
  <si>
    <t>Item</t>
  </si>
  <si>
    <t>Total Item Quantity</t>
  </si>
  <si>
    <t>Line Total</t>
  </si>
  <si>
    <t>Order Status (Header)</t>
  </si>
  <si>
    <t>Shipped Quantity</t>
  </si>
  <si>
    <t>Shipment Date</t>
  </si>
  <si>
    <t>Ship Note</t>
  </si>
  <si>
    <t>Confirmed Quantity</t>
  </si>
  <si>
    <t>Ship Method</t>
  </si>
  <si>
    <t>Tracking Number</t>
  </si>
  <si>
    <t>Invoiced</t>
  </si>
  <si>
    <t>Delivery Date</t>
  </si>
  <si>
    <t>Carrier</t>
  </si>
  <si>
    <t>Building / Room</t>
  </si>
  <si>
    <t>Delivery Date2</t>
  </si>
  <si>
    <t>Business</t>
  </si>
  <si>
    <t>Domain</t>
  </si>
  <si>
    <t>Id_WU</t>
  </si>
  <si>
    <t>Name_WU</t>
  </si>
  <si>
    <t>Global_Workload_(d)</t>
  </si>
  <si>
    <t>Global_Workload_Tech_(d)</t>
  </si>
  <si>
    <t>iPMP_Follow_up</t>
  </si>
  <si>
    <t>SPARE</t>
  </si>
  <si>
    <t>Global_Workload_PM_(d)</t>
  </si>
  <si>
    <t>Additional Info</t>
  </si>
  <si>
    <t>Unique_AIB_ID</t>
  </si>
  <si>
    <t>Unit Price (calcul)</t>
  </si>
  <si>
    <t>Id_UO</t>
  </si>
  <si>
    <t>Activité Liée</t>
  </si>
  <si>
    <t>Code OLGA F6</t>
  </si>
  <si>
    <t>OLGA F6</t>
  </si>
  <si>
    <t>Code OLGA F2</t>
  </si>
  <si>
    <t>Version</t>
  </si>
  <si>
    <t>0.1</t>
  </si>
  <si>
    <t xml:space="preserve">WP List </t>
  </si>
  <si>
    <t>Program List</t>
  </si>
  <si>
    <t>LR</t>
  </si>
  <si>
    <t>BXL</t>
  </si>
  <si>
    <t>A380</t>
  </si>
  <si>
    <t>A400M</t>
  </si>
  <si>
    <t>A350</t>
  </si>
  <si>
    <t>WB</t>
  </si>
  <si>
    <t>RT</t>
  </si>
  <si>
    <t>MPP</t>
  </si>
  <si>
    <t>Business List</t>
  </si>
  <si>
    <t>JANVIER2</t>
  </si>
  <si>
    <t>veril2</t>
  </si>
  <si>
    <t>Planning budgétaire</t>
  </si>
  <si>
    <t>x</t>
  </si>
  <si>
    <t>(Tous)</t>
  </si>
  <si>
    <t>Étiquettes de lignes</t>
  </si>
  <si>
    <t>(vide)</t>
  </si>
  <si>
    <t>Total général</t>
  </si>
  <si>
    <t>Risque</t>
  </si>
  <si>
    <t>Sure</t>
  </si>
  <si>
    <t>At Risk</t>
  </si>
  <si>
    <t>Opportunity</t>
  </si>
  <si>
    <t>Étiquettes de colonnes</t>
  </si>
  <si>
    <t>Montant total réceptionné</t>
  </si>
  <si>
    <t>Id iPMP</t>
  </si>
  <si>
    <t>Company</t>
  </si>
  <si>
    <t>SII</t>
  </si>
  <si>
    <t>Team</t>
  </si>
  <si>
    <t>Program</t>
  </si>
  <si>
    <t>By company</t>
  </si>
  <si>
    <t>By Business</t>
  </si>
  <si>
    <t>By WP</t>
  </si>
  <si>
    <t>PRG</t>
  </si>
  <si>
    <t>By PRG</t>
  </si>
  <si>
    <t>OLGA</t>
  </si>
  <si>
    <t>By Team</t>
  </si>
  <si>
    <t>By OLGA</t>
  </si>
  <si>
    <t>id</t>
  </si>
  <si>
    <t>idProject</t>
  </si>
  <si>
    <t>idResource</t>
  </si>
  <si>
    <t>assignedWork</t>
  </si>
  <si>
    <t>realWork</t>
  </si>
  <si>
    <t>leftWork</t>
  </si>
  <si>
    <t>plannedWork</t>
  </si>
  <si>
    <t>projectCode</t>
  </si>
  <si>
    <t>3180-02</t>
  </si>
  <si>
    <t>3181-02</t>
  </si>
  <si>
    <t>2793-06</t>
  </si>
  <si>
    <t>2768-04</t>
  </si>
  <si>
    <t>Somme de realWork</t>
  </si>
  <si>
    <t>Somme de leftWork</t>
  </si>
  <si>
    <t>Somme de plannedWork</t>
  </si>
  <si>
    <t>Participant</t>
  </si>
  <si>
    <t>workDate</t>
  </si>
  <si>
    <t>day</t>
  </si>
  <si>
    <t>week</t>
  </si>
  <si>
    <t>month</t>
  </si>
  <si>
    <t>year</t>
  </si>
  <si>
    <t>rtalaalout</t>
  </si>
  <si>
    <t>20171113</t>
  </si>
  <si>
    <t>201746</t>
  </si>
  <si>
    <t>201711</t>
  </si>
  <si>
    <t>2017</t>
  </si>
  <si>
    <t>20171204</t>
  </si>
  <si>
    <t>201749</t>
  </si>
  <si>
    <t>201712</t>
  </si>
  <si>
    <t>20171219</t>
  </si>
  <si>
    <t>201751</t>
  </si>
  <si>
    <t>20180927</t>
  </si>
  <si>
    <t>201839</t>
  </si>
  <si>
    <t>201809</t>
  </si>
  <si>
    <t>2018</t>
  </si>
  <si>
    <t>20181003</t>
  </si>
  <si>
    <t>201840</t>
  </si>
  <si>
    <t>201810</t>
  </si>
  <si>
    <t>20181004</t>
  </si>
  <si>
    <t>20181008</t>
  </si>
  <si>
    <t>201841</t>
  </si>
  <si>
    <t>20181009</t>
  </si>
  <si>
    <t>20171207</t>
  </si>
  <si>
    <t>20181010</t>
  </si>
  <si>
    <t>20181011</t>
  </si>
  <si>
    <t>20181022</t>
  </si>
  <si>
    <t>201843</t>
  </si>
  <si>
    <t>mfroment</t>
  </si>
  <si>
    <t>20171023</t>
  </si>
  <si>
    <t>201743</t>
  </si>
  <si>
    <t>201710</t>
  </si>
  <si>
    <t>201744</t>
  </si>
  <si>
    <t>20171102</t>
  </si>
  <si>
    <t>20180110</t>
  </si>
  <si>
    <t>201802</t>
  </si>
  <si>
    <t>201801</t>
  </si>
  <si>
    <t>20180111</t>
  </si>
  <si>
    <t>201803</t>
  </si>
  <si>
    <t>20180628</t>
  </si>
  <si>
    <t>201826</t>
  </si>
  <si>
    <t>201806</t>
  </si>
  <si>
    <t>20180809</t>
  </si>
  <si>
    <t>201832</t>
  </si>
  <si>
    <t>201808</t>
  </si>
  <si>
    <t>20180810</t>
  </si>
  <si>
    <t>20180816</t>
  </si>
  <si>
    <t>201833</t>
  </si>
  <si>
    <t>20180827</t>
  </si>
  <si>
    <t>201835</t>
  </si>
  <si>
    <t>20180828</t>
  </si>
  <si>
    <t>20181106</t>
  </si>
  <si>
    <t>201845</t>
  </si>
  <si>
    <t>201811</t>
  </si>
  <si>
    <t>20181109</t>
  </si>
  <si>
    <t>20181113</t>
  </si>
  <si>
    <t>201846</t>
  </si>
  <si>
    <t>20181114</t>
  </si>
  <si>
    <t>20181115</t>
  </si>
  <si>
    <t>20181126</t>
  </si>
  <si>
    <t>201848</t>
  </si>
  <si>
    <t>20181127</t>
  </si>
  <si>
    <t>gmasson</t>
  </si>
  <si>
    <t>20181023</t>
  </si>
  <si>
    <t>20181024</t>
  </si>
  <si>
    <t>avacher</t>
  </si>
  <si>
    <t>20180201</t>
  </si>
  <si>
    <t>201805</t>
  </si>
  <si>
    <t>20180202</t>
  </si>
  <si>
    <t>20180205</t>
  </si>
  <si>
    <t>20180206</t>
  </si>
  <si>
    <t>20180207</t>
  </si>
  <si>
    <t>20180208</t>
  </si>
  <si>
    <t>20180209</t>
  </si>
  <si>
    <t>20180219</t>
  </si>
  <si>
    <t>20180221</t>
  </si>
  <si>
    <t>20180222</t>
  </si>
  <si>
    <t>20180223</t>
  </si>
  <si>
    <t>20180226</t>
  </si>
  <si>
    <t>20180227</t>
  </si>
  <si>
    <t>20180228</t>
  </si>
  <si>
    <t>20180301</t>
  </si>
  <si>
    <t>20180302</t>
  </si>
  <si>
    <t>20180305</t>
  </si>
  <si>
    <t>20180306</t>
  </si>
  <si>
    <t>20180307</t>
  </si>
  <si>
    <t>20180308</t>
  </si>
  <si>
    <t>20180313</t>
  </si>
  <si>
    <t>20180319</t>
  </si>
  <si>
    <t>201812</t>
  </si>
  <si>
    <t>20180323</t>
  </si>
  <si>
    <t>201813</t>
  </si>
  <si>
    <t>20180328</t>
  </si>
  <si>
    <t>20180404</t>
  </si>
  <si>
    <t>201814</t>
  </si>
  <si>
    <t>201804</t>
  </si>
  <si>
    <t>20180406</t>
  </si>
  <si>
    <t>20180409</t>
  </si>
  <si>
    <t>201815</t>
  </si>
  <si>
    <t>20180410</t>
  </si>
  <si>
    <t>20180418</t>
  </si>
  <si>
    <t>201816</t>
  </si>
  <si>
    <t>201817</t>
  </si>
  <si>
    <t>20180511</t>
  </si>
  <si>
    <t>201819</t>
  </si>
  <si>
    <t>20180514</t>
  </si>
  <si>
    <t>201820</t>
  </si>
  <si>
    <t>20180515</t>
  </si>
  <si>
    <t>201821</t>
  </si>
  <si>
    <t>20180528</t>
  </si>
  <si>
    <t>201822</t>
  </si>
  <si>
    <t>20180530</t>
  </si>
  <si>
    <t>20180607</t>
  </si>
  <si>
    <t>201823</t>
  </si>
  <si>
    <t>20180608</t>
  </si>
  <si>
    <t>20180611</t>
  </si>
  <si>
    <t>201824</t>
  </si>
  <si>
    <t>20180612</t>
  </si>
  <si>
    <t>20180613</t>
  </si>
  <si>
    <t>20180619</t>
  </si>
  <si>
    <t>201825</t>
  </si>
  <si>
    <t>20180620</t>
  </si>
  <si>
    <t>20180702</t>
  </si>
  <si>
    <t>201827</t>
  </si>
  <si>
    <t>201807</t>
  </si>
  <si>
    <t>20180724</t>
  </si>
  <si>
    <t>201830</t>
  </si>
  <si>
    <t>20180725</t>
  </si>
  <si>
    <t>20180814</t>
  </si>
  <si>
    <t>201834</t>
  </si>
  <si>
    <t>20180829</t>
  </si>
  <si>
    <t>20180911</t>
  </si>
  <si>
    <t>201837</t>
  </si>
  <si>
    <t>20180913</t>
  </si>
  <si>
    <t>bspiewak</t>
  </si>
  <si>
    <t>20180315</t>
  </si>
  <si>
    <t>20180321</t>
  </si>
  <si>
    <t>20180403</t>
  </si>
  <si>
    <t>20180417</t>
  </si>
  <si>
    <t>20180627</t>
  </si>
  <si>
    <t>20180730</t>
  </si>
  <si>
    <t>201831</t>
  </si>
  <si>
    <t>20180801</t>
  </si>
  <si>
    <t>20180903</t>
  </si>
  <si>
    <t>201836</t>
  </si>
  <si>
    <t>20180914</t>
  </si>
  <si>
    <t>20181001</t>
  </si>
  <si>
    <t>20181002</t>
  </si>
  <si>
    <t>20181012</t>
  </si>
  <si>
    <t>20181015</t>
  </si>
  <si>
    <t>201842</t>
  </si>
  <si>
    <t>20181016</t>
  </si>
  <si>
    <t>20181019</t>
  </si>
  <si>
    <t>20181107</t>
  </si>
  <si>
    <t>201847</t>
  </si>
  <si>
    <t>20181128</t>
  </si>
  <si>
    <t>cmahe</t>
  </si>
  <si>
    <t>20180419</t>
  </si>
  <si>
    <t>20180918</t>
  </si>
  <si>
    <t>201838</t>
  </si>
  <si>
    <t>20181017</t>
  </si>
  <si>
    <t>flenagard</t>
  </si>
  <si>
    <t>20180411</t>
  </si>
  <si>
    <t>20180412</t>
  </si>
  <si>
    <t>leymard</t>
  </si>
  <si>
    <t>20181105</t>
  </si>
  <si>
    <t>ssousa</t>
  </si>
  <si>
    <t>gzamora</t>
  </si>
  <si>
    <t>20180420</t>
  </si>
  <si>
    <t>20181119</t>
  </si>
  <si>
    <t>20181129</t>
  </si>
  <si>
    <t>20181203</t>
  </si>
  <si>
    <t>201849</t>
  </si>
  <si>
    <t>nmonin</t>
  </si>
  <si>
    <t>20180312</t>
  </si>
  <si>
    <t>20180405</t>
  </si>
  <si>
    <t>pvalmont</t>
  </si>
  <si>
    <t>tmartial</t>
  </si>
  <si>
    <t>20180621</t>
  </si>
  <si>
    <t>vponcet</t>
  </si>
  <si>
    <t>tmartin</t>
  </si>
  <si>
    <t>20180416</t>
  </si>
  <si>
    <t>nahkiane</t>
  </si>
  <si>
    <t>tponsen</t>
  </si>
  <si>
    <t>20180212</t>
  </si>
  <si>
    <t>20180213</t>
  </si>
  <si>
    <t>20180214</t>
  </si>
  <si>
    <t>20180320</t>
  </si>
  <si>
    <t>20180329</t>
  </si>
  <si>
    <t>20180413</t>
  </si>
  <si>
    <t>20180618</t>
  </si>
  <si>
    <t>20180626</t>
  </si>
  <si>
    <t>20180717</t>
  </si>
  <si>
    <t>201829</t>
  </si>
  <si>
    <t>20180719</t>
  </si>
  <si>
    <t>20180820</t>
  </si>
  <si>
    <t>achampion</t>
  </si>
  <si>
    <t>mbriere</t>
  </si>
  <si>
    <t>jkezerian</t>
  </si>
  <si>
    <t>20180125</t>
  </si>
  <si>
    <t>tberthedepommery</t>
  </si>
  <si>
    <t>aschmitt</t>
  </si>
  <si>
    <t>20180108</t>
  </si>
  <si>
    <t>20180115</t>
  </si>
  <si>
    <t>20180122</t>
  </si>
  <si>
    <t>20180124</t>
  </si>
  <si>
    <t>20180129</t>
  </si>
  <si>
    <t>20180522</t>
  </si>
  <si>
    <t>20180604</t>
  </si>
  <si>
    <t>20180625</t>
  </si>
  <si>
    <t>20180910</t>
  </si>
  <si>
    <t>20180525</t>
  </si>
  <si>
    <t>20180706</t>
  </si>
  <si>
    <t>20180711</t>
  </si>
  <si>
    <t>201828</t>
  </si>
  <si>
    <t>20180723</t>
  </si>
  <si>
    <t>20180917</t>
  </si>
  <si>
    <t>20180924</t>
  </si>
  <si>
    <t>20181029</t>
  </si>
  <si>
    <t>201844</t>
  </si>
  <si>
    <t>bgaubant</t>
  </si>
  <si>
    <t>20180402</t>
  </si>
  <si>
    <t>20180709</t>
  </si>
  <si>
    <t>20180806</t>
  </si>
  <si>
    <t>20180808</t>
  </si>
  <si>
    <t>20180813</t>
  </si>
  <si>
    <t>20180905</t>
  </si>
  <si>
    <t>20181031</t>
  </si>
  <si>
    <t>20181112</t>
  </si>
  <si>
    <t>fmertz</t>
  </si>
  <si>
    <t>20180109</t>
  </si>
  <si>
    <t>20180314</t>
  </si>
  <si>
    <t>20180130</t>
  </si>
  <si>
    <t>gbourgeois</t>
  </si>
  <si>
    <t>20180524</t>
  </si>
  <si>
    <t>20180921</t>
  </si>
  <si>
    <t>20180216</t>
  </si>
  <si>
    <t>20181102</t>
  </si>
  <si>
    <t>20180327</t>
  </si>
  <si>
    <t>20180703</t>
  </si>
  <si>
    <t>20181018</t>
  </si>
  <si>
    <t>20180215</t>
  </si>
  <si>
    <t>20180516</t>
  </si>
  <si>
    <t>20180518</t>
  </si>
  <si>
    <t>20180123</t>
  </si>
  <si>
    <t>20180423</t>
  </si>
  <si>
    <t>20180126</t>
  </si>
  <si>
    <t>20180131</t>
  </si>
  <si>
    <t>20180316</t>
  </si>
  <si>
    <t>20180601</t>
  </si>
  <si>
    <t>20180907</t>
  </si>
  <si>
    <t>20180912</t>
  </si>
  <si>
    <t>20180103</t>
  </si>
  <si>
    <t>20180104</t>
  </si>
  <si>
    <t>20180105</t>
  </si>
  <si>
    <t>20180117</t>
  </si>
  <si>
    <t>20180220</t>
  </si>
  <si>
    <t>20180425</t>
  </si>
  <si>
    <t>20180502</t>
  </si>
  <si>
    <t>201818</t>
  </si>
  <si>
    <t>20180517</t>
  </si>
  <si>
    <t>20180529</t>
  </si>
  <si>
    <t>20180605</t>
  </si>
  <si>
    <t>20180606</t>
  </si>
  <si>
    <t>20180622</t>
  </si>
  <si>
    <t>20180718</t>
  </si>
  <si>
    <t>20180704</t>
  </si>
  <si>
    <t>20180710</t>
  </si>
  <si>
    <t>20180807</t>
  </si>
  <si>
    <t>20180830</t>
  </si>
  <si>
    <t>20180831</t>
  </si>
  <si>
    <t>20180904</t>
  </si>
  <si>
    <t>20180906</t>
  </si>
  <si>
    <t>20180919</t>
  </si>
  <si>
    <t>20180920</t>
  </si>
  <si>
    <t>20180925</t>
  </si>
  <si>
    <t>20181030</t>
  </si>
  <si>
    <t>20181108</t>
  </si>
  <si>
    <t>20180507</t>
  </si>
  <si>
    <t>20180731</t>
  </si>
  <si>
    <t>20180802</t>
  </si>
  <si>
    <t>20180803</t>
  </si>
  <si>
    <t>20180503</t>
  </si>
  <si>
    <t>20180504</t>
  </si>
  <si>
    <t>20180705</t>
  </si>
  <si>
    <t>20180713</t>
  </si>
  <si>
    <t>20180720</t>
  </si>
  <si>
    <t>20181204</t>
  </si>
  <si>
    <t>20180509</t>
  </si>
  <si>
    <t>20180823</t>
  </si>
  <si>
    <t>20180824</t>
  </si>
  <si>
    <t>20181121</t>
  </si>
  <si>
    <t>20181205</t>
  </si>
  <si>
    <t>nshah</t>
  </si>
  <si>
    <t>20181206</t>
  </si>
  <si>
    <t>jmouial</t>
  </si>
  <si>
    <t>stavares</t>
  </si>
  <si>
    <t>kgirou</t>
  </si>
  <si>
    <t>fbosc</t>
  </si>
  <si>
    <t>fenglersahnoun</t>
  </si>
  <si>
    <t>jpmaillot</t>
  </si>
  <si>
    <t>jmguigon</t>
  </si>
  <si>
    <t>yparry</t>
  </si>
  <si>
    <t>jdasilva</t>
  </si>
  <si>
    <t>cgromat</t>
  </si>
  <si>
    <t>lbousquet</t>
  </si>
  <si>
    <t>xroy</t>
  </si>
  <si>
    <t>mavignon</t>
  </si>
  <si>
    <t>cchatras</t>
  </si>
  <si>
    <t>csaezlopez</t>
  </si>
  <si>
    <t>ccabras</t>
  </si>
  <si>
    <t>galary</t>
  </si>
  <si>
    <t>ffour</t>
  </si>
  <si>
    <t>hboudarqa</t>
  </si>
  <si>
    <t>atall</t>
  </si>
  <si>
    <t>atugnoli</t>
  </si>
  <si>
    <t>pmarti</t>
  </si>
  <si>
    <t>vperez</t>
  </si>
  <si>
    <t>scahoreau</t>
  </si>
  <si>
    <t>mguichou</t>
  </si>
  <si>
    <t>plefort</t>
  </si>
  <si>
    <t>areverte</t>
  </si>
  <si>
    <t>mdutreuil</t>
  </si>
  <si>
    <t>bdurand</t>
  </si>
  <si>
    <t>lbauguil</t>
  </si>
  <si>
    <t>mviitala</t>
  </si>
  <si>
    <t>ngoube</t>
  </si>
  <si>
    <t>carnoux</t>
  </si>
  <si>
    <t>dhadbi</t>
  </si>
  <si>
    <t>dperes</t>
  </si>
  <si>
    <t>amyndiaye</t>
  </si>
  <si>
    <t>jcvoyer</t>
  </si>
  <si>
    <t>slassau</t>
  </si>
  <si>
    <t>sduvoid</t>
  </si>
  <si>
    <t>cebrault</t>
  </si>
  <si>
    <t>gvasselin</t>
  </si>
  <si>
    <t>abarsse</t>
  </si>
  <si>
    <t>scrozes</t>
  </si>
  <si>
    <t>jpotin</t>
  </si>
  <si>
    <t>carbona</t>
  </si>
  <si>
    <t>agleize</t>
  </si>
  <si>
    <t>mpuyo</t>
  </si>
  <si>
    <t>sravelomanana</t>
  </si>
  <si>
    <t>EYYS_SST_DELSRIOLS</t>
  </si>
  <si>
    <t>20180102</t>
  </si>
  <si>
    <t>EYYS_SST_DOUCET</t>
  </si>
  <si>
    <t>EYYS_SST_DUTREUIL</t>
  </si>
  <si>
    <t>EYYS_SST_ALTRAN_FMGEC</t>
  </si>
  <si>
    <t>EYYS_SST_BLIN</t>
  </si>
  <si>
    <t>EYYS_SST_VOYER</t>
  </si>
  <si>
    <t>cseitler</t>
  </si>
  <si>
    <t>20181212</t>
  </si>
  <si>
    <t>201850</t>
  </si>
  <si>
    <t>tcandiard</t>
  </si>
  <si>
    <t>aponcet</t>
  </si>
  <si>
    <t>tederle</t>
  </si>
  <si>
    <t>bdulmet</t>
  </si>
  <si>
    <t>gcarrie</t>
  </si>
  <si>
    <t>nmellouki</t>
  </si>
  <si>
    <t>vlealdarocha</t>
  </si>
  <si>
    <t>stourby</t>
  </si>
  <si>
    <t>lmoreaunassah</t>
  </si>
  <si>
    <t>mdaude</t>
  </si>
  <si>
    <t>gsimon</t>
  </si>
  <si>
    <t>scassat</t>
  </si>
  <si>
    <t>rcancel</t>
  </si>
  <si>
    <t>larsac</t>
  </si>
  <si>
    <t>rcaffiers</t>
  </si>
  <si>
    <t>fcasallas</t>
  </si>
  <si>
    <t>tsayavong</t>
  </si>
  <si>
    <t>jfcadule</t>
  </si>
  <si>
    <t>yamado</t>
  </si>
  <si>
    <t>flaparrat</t>
  </si>
  <si>
    <t>abouillard</t>
  </si>
  <si>
    <t>jcamachocasero</t>
  </si>
  <si>
    <t>jsavarit</t>
  </si>
  <si>
    <t>sum(work.work)</t>
  </si>
  <si>
    <t>Pointage</t>
  </si>
  <si>
    <t>Company (co-contracting only)</t>
  </si>
  <si>
    <t>Budget €</t>
  </si>
  <si>
    <t>delta</t>
  </si>
  <si>
    <t>Budget j</t>
  </si>
  <si>
    <t>Budget réceptionnés</t>
  </si>
  <si>
    <t>Issued</t>
  </si>
  <si>
    <t>0</t>
  </si>
  <si>
    <t>12</t>
  </si>
  <si>
    <t>Currency</t>
  </si>
  <si>
    <t>€</t>
  </si>
  <si>
    <t>$</t>
  </si>
  <si>
    <t>Nb WU non affecté</t>
  </si>
  <si>
    <t>FEVRIER2</t>
  </si>
  <si>
    <t>MARS2</t>
  </si>
  <si>
    <t>AVRIL2</t>
  </si>
  <si>
    <t>MAI2</t>
  </si>
  <si>
    <t>JUIN2</t>
  </si>
  <si>
    <t>JUILLET2</t>
  </si>
  <si>
    <t>AOUT2</t>
  </si>
  <si>
    <t>SEPTEMBRE2</t>
  </si>
  <si>
    <t>OCTOBRE2</t>
  </si>
  <si>
    <t>NOVEMBRE2</t>
  </si>
  <si>
    <t>DECEMBRE2</t>
  </si>
  <si>
    <t>Plan de charge Technique</t>
  </si>
  <si>
    <t>Mai</t>
  </si>
  <si>
    <t>Juin</t>
  </si>
  <si>
    <t>Eq Budget Jours réceptionnés</t>
  </si>
  <si>
    <t>Nombre de Qté Réception 01/2019</t>
  </si>
  <si>
    <t>Nombre de Qté Réception 02/2019</t>
  </si>
  <si>
    <t>Nombre de Qté Réception 03/2019</t>
  </si>
  <si>
    <t>Nombre de Qté Réception 04/2019</t>
  </si>
  <si>
    <t>Nombre de Qté Réception 05/2019</t>
  </si>
  <si>
    <t>Nombre de Qté Réception 06/2019</t>
  </si>
  <si>
    <t>Nombre de Qté Réception 07/2019</t>
  </si>
  <si>
    <t>Nombre de Qté Réception 08/2019</t>
  </si>
  <si>
    <t>Nombre de Qté Réception 09/2019</t>
  </si>
  <si>
    <t>Nombre de Qté Réception 10/2019</t>
  </si>
  <si>
    <t>Nombre de Qté Réception 11/2019</t>
  </si>
  <si>
    <t>Nombre de Qté Réception 12/2019</t>
  </si>
  <si>
    <t>Date de mise à jour</t>
  </si>
  <si>
    <t>BORDEREAU DE LIVRAISON ET D'ACCEPTATION</t>
  </si>
  <si>
    <t>Référence</t>
  </si>
  <si>
    <t>Sud-Ouest</t>
  </si>
  <si>
    <t>Réf modèle:</t>
  </si>
  <si>
    <t>D3-0228-03-01</t>
  </si>
  <si>
    <t xml:space="preserve">Client : </t>
  </si>
  <si>
    <t xml:space="preserve">Projet : </t>
  </si>
  <si>
    <t xml:space="preserve">Coordinateur SII de la prestation : </t>
  </si>
  <si>
    <t xml:space="preserve">N° de commande : </t>
  </si>
  <si>
    <t xml:space="preserve">Destinataire : </t>
  </si>
  <si>
    <t>LISTE DES ACTIVITES / LIVRABLES</t>
  </si>
  <si>
    <t>UO : Type / Taille</t>
  </si>
  <si>
    <t>Projet</t>
  </si>
  <si>
    <t>Date ouverture</t>
  </si>
  <si>
    <t>Date de la fermeture</t>
  </si>
  <si>
    <t>Nbres d'Uos lancés</t>
  </si>
  <si>
    <t>Uos à réceptionner sur la période</t>
  </si>
  <si>
    <t xml:space="preserve"> Nombre d'Uos réceptionnés en 2018</t>
  </si>
  <si>
    <t>Activités associées</t>
  </si>
  <si>
    <t xml:space="preserve">Période de référence (Mois) : </t>
  </si>
  <si>
    <t>Somme de Total item réceptionné</t>
  </si>
  <si>
    <t>ATA24</t>
  </si>
  <si>
    <t>ATA28/32</t>
  </si>
  <si>
    <t>ATA7X</t>
  </si>
  <si>
    <t>Métrologie</t>
  </si>
  <si>
    <t>PM</t>
  </si>
  <si>
    <t>3173-04</t>
  </si>
  <si>
    <t>3173-05</t>
  </si>
  <si>
    <t>EVYPA</t>
  </si>
  <si>
    <t>EVYPE</t>
  </si>
  <si>
    <t>EVYPM</t>
  </si>
  <si>
    <t>WU_PROP_STD</t>
  </si>
  <si>
    <t>WU_PROP_S</t>
  </si>
  <si>
    <t>WU_ELEC_1</t>
  </si>
  <si>
    <t>WU_ELEC_2</t>
  </si>
  <si>
    <t>WU_E</t>
  </si>
  <si>
    <t>WU_F&amp;LG_TLS_T_1</t>
  </si>
  <si>
    <t>WU_F&amp;LG_TLS_T_2</t>
  </si>
  <si>
    <t>Price $</t>
  </si>
  <si>
    <t>TJ $</t>
  </si>
  <si>
    <t>Adrien LUNES</t>
  </si>
  <si>
    <t>Augustin REVERTE</t>
  </si>
  <si>
    <t>Cédric JOZWAK</t>
  </si>
  <si>
    <t>Charles HERTZ</t>
  </si>
  <si>
    <t>Dominique BERTHEBAUD</t>
  </si>
  <si>
    <t>Jake MATTHEWS</t>
  </si>
  <si>
    <t>Jérémy FERRY</t>
  </si>
  <si>
    <t>Julien THULLIER</t>
  </si>
  <si>
    <t>Katia ROULLET</t>
  </si>
  <si>
    <t>Ludovic Lam  Shang Leen</t>
  </si>
  <si>
    <t>Marc BORDENAVE</t>
  </si>
  <si>
    <t>Matthieu GUERRIER</t>
  </si>
  <si>
    <t>Mourad ABAZA</t>
  </si>
  <si>
    <t>Nicholas ANTOINE</t>
  </si>
  <si>
    <t>Pascale LEFORT</t>
  </si>
  <si>
    <t>Philippe PRADERE</t>
  </si>
  <si>
    <t>Pierre GISCLONG</t>
  </si>
  <si>
    <t>Pierre-Marie BRIAND</t>
  </si>
  <si>
    <t>Sandy VASLON</t>
  </si>
  <si>
    <t>Thomas MAZOYER</t>
  </si>
  <si>
    <t>Viviana MARTINEZ</t>
  </si>
  <si>
    <t>Yannick LEGOUIX</t>
  </si>
  <si>
    <t>WD1701094</t>
  </si>
  <si>
    <t>M24 / A559</t>
  </si>
  <si>
    <t>Ligne</t>
  </si>
  <si>
    <t>Détail</t>
  </si>
  <si>
    <t>Avenant</t>
  </si>
  <si>
    <t>Budget (tech)</t>
  </si>
  <si>
    <t>nbre jour vendu</t>
  </si>
  <si>
    <t>Planned</t>
  </si>
  <si>
    <t>Plannification technique</t>
  </si>
  <si>
    <t>Capacité</t>
  </si>
  <si>
    <t>Capacitaire</t>
  </si>
  <si>
    <t>annuel</t>
  </si>
  <si>
    <t>cumul depuis début année</t>
  </si>
  <si>
    <t>RAC</t>
  </si>
  <si>
    <t>Reste à Consommer</t>
  </si>
  <si>
    <t>diff jour vendu et consommé</t>
  </si>
  <si>
    <t>RAF</t>
  </si>
  <si>
    <t>RAF Technique</t>
  </si>
  <si>
    <t>RàF IPMP</t>
  </si>
  <si>
    <t>RAF Capacitaire</t>
  </si>
  <si>
    <t>CAT</t>
  </si>
  <si>
    <t>Charge à Terme</t>
  </si>
  <si>
    <t>Consommé + RAF capacitaire</t>
  </si>
  <si>
    <t>Budget/Capacitaire (18 jrs)</t>
  </si>
  <si>
    <t>diff sur l'année payé / consommé</t>
  </si>
  <si>
    <t>Budget/Planned</t>
  </si>
  <si>
    <t>Budget/CAT</t>
  </si>
  <si>
    <t>RAF capacitaire/technique</t>
  </si>
  <si>
    <t>consommé + RAF IPMP</t>
  </si>
  <si>
    <t>Somme de Montant TOTAL</t>
  </si>
  <si>
    <t>Thomas CANDIARD</t>
  </si>
  <si>
    <t>SkyConseil</t>
  </si>
  <si>
    <t>3173-28</t>
  </si>
  <si>
    <t>Taux_Change_SII</t>
  </si>
  <si>
    <t>Taux_Change_AIB</t>
  </si>
  <si>
    <t>Montant Facturé 01/2018 €</t>
  </si>
  <si>
    <t>Montant Facturé 02/2018 €</t>
  </si>
  <si>
    <t>Montant Facturé 03/2018 €</t>
  </si>
  <si>
    <t>Montant Facturé 04/2018 €</t>
  </si>
  <si>
    <t>Montant Facturé 05/2018 €</t>
  </si>
  <si>
    <t>Montant Facturé 06/2018 €</t>
  </si>
  <si>
    <t>Montant Facturé 07/2018 €</t>
  </si>
  <si>
    <t>Montant Facturé 08/2019</t>
  </si>
  <si>
    <t>Montant Facturé 09/2018 €</t>
  </si>
  <si>
    <t>Montant Facturé 11/2018 €</t>
  </si>
  <si>
    <t>Montant Facturé 10/2018 €</t>
  </si>
  <si>
    <t>Montant Facturé 12/2018 €</t>
  </si>
  <si>
    <t>3173-29</t>
  </si>
  <si>
    <t>3173-31</t>
  </si>
  <si>
    <t>Target jours annuel</t>
  </si>
  <si>
    <t>Nombre jour annuel réel</t>
  </si>
  <si>
    <t>3173-33</t>
  </si>
  <si>
    <t>3173-34</t>
  </si>
  <si>
    <t>3173-35</t>
  </si>
  <si>
    <t>3173-37</t>
  </si>
  <si>
    <t>3173-36</t>
  </si>
  <si>
    <t>OK</t>
  </si>
  <si>
    <t>10W / RATA</t>
  </si>
  <si>
    <t>Requestor</t>
  </si>
  <si>
    <t>3173-38</t>
  </si>
  <si>
    <t>Florent RICHARD</t>
  </si>
  <si>
    <t>Vincent PELLEFIGUE</t>
  </si>
  <si>
    <t>Jerome COUMELONGUE</t>
  </si>
  <si>
    <t>Alexandre AMRANE</t>
  </si>
  <si>
    <t>3173-39</t>
  </si>
  <si>
    <t>3173-41</t>
  </si>
  <si>
    <t>3173-49</t>
  </si>
  <si>
    <t>3173-46</t>
  </si>
  <si>
    <t>3173-48</t>
  </si>
  <si>
    <t>3173-47</t>
  </si>
  <si>
    <t>3173-50</t>
  </si>
  <si>
    <t>CS</t>
  </si>
  <si>
    <t>Major</t>
  </si>
  <si>
    <t>Flow</t>
  </si>
  <si>
    <t>New Dev</t>
  </si>
  <si>
    <t>Brick</t>
  </si>
  <si>
    <t>WPA - SII - PJOP - Airbus - WD1701094 - Flight and Integration Test CT1705359</t>
  </si>
  <si>
    <t>4 Each of WU_ELEC_1[PJE_SII_EVYP_USD_AIRBUS_FR]</t>
  </si>
  <si>
    <t>40 Each of WU_ELEC_1[PJE_SII_EVYP_USD_AIRBUS_FR]</t>
  </si>
  <si>
    <t>Robin ROUANET</t>
  </si>
  <si>
    <t>Lee POOLE</t>
  </si>
  <si>
    <t>3173-51</t>
  </si>
  <si>
    <t>3173-52</t>
  </si>
  <si>
    <t>3173-53</t>
  </si>
  <si>
    <t>5 Each of WU_PROP_S[PJE_SII_EVYP_USD_AIRBUS_FR]</t>
  </si>
  <si>
    <t>4 Each of WU_PROP_S[PJE_SII_EVYP_USD_AIRBUS_FR]</t>
  </si>
  <si>
    <t>3 Each of WU_PROP_S[PJE_SII_EVYP_USD_AIRBUS_FR]</t>
  </si>
  <si>
    <t>3173-65</t>
  </si>
  <si>
    <t>3173-66</t>
  </si>
  <si>
    <t>3173-67</t>
  </si>
  <si>
    <t>Bamadi DEMBELE</t>
  </si>
  <si>
    <t>Sara MAMANIY</t>
  </si>
  <si>
    <t>Chloé VERMALE</t>
  </si>
  <si>
    <t>7</t>
  </si>
  <si>
    <t>3173-54</t>
  </si>
  <si>
    <t>3173-56</t>
  </si>
  <si>
    <t>3173-57</t>
  </si>
  <si>
    <t>3173-58</t>
  </si>
  <si>
    <t>3173-59</t>
  </si>
  <si>
    <t>3173-68</t>
  </si>
  <si>
    <t>30 Each of WU_ELEC_1[PJE_SII_EVYP_USD_AIRBUS_FR]</t>
  </si>
  <si>
    <t>06/30/20</t>
  </si>
  <si>
    <t>Christopher BUCKLEY</t>
  </si>
  <si>
    <t>D000466460</t>
  </si>
  <si>
    <t>D000466461</t>
  </si>
  <si>
    <t>D000474275</t>
  </si>
  <si>
    <t>05/29/20</t>
  </si>
  <si>
    <t>Fabrice LAFFARGUE</t>
  </si>
  <si>
    <t>Salwa ALAMI</t>
  </si>
  <si>
    <t>Julien MARSAT</t>
  </si>
  <si>
    <t>Pascal VAISSIERE</t>
  </si>
  <si>
    <t>Création 2020</t>
  </si>
  <si>
    <t>A LUNES</t>
  </si>
  <si>
    <t>BELUGA XL</t>
  </si>
  <si>
    <t>EFANX</t>
  </si>
  <si>
    <t>FTR Main LDG Fire Det</t>
  </si>
  <si>
    <t>3173-10</t>
  </si>
  <si>
    <t>3173-12</t>
  </si>
  <si>
    <t>3173-11</t>
  </si>
  <si>
    <t>3173-14</t>
  </si>
  <si>
    <t>Muriel RIPERT</t>
  </si>
  <si>
    <t>jan</t>
  </si>
  <si>
    <t>fév</t>
  </si>
  <si>
    <t>mar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</si>
  <si>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</si>
  <si>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</si>
  <si>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</si>
  <si>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</si>
  <si>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</si>
  <si>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</si>
  <si>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</si>
  <si>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</si>
  <si>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</si>
  <si>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Flow TBC</t>
  </si>
  <si>
    <t>AOA THALES (TBC)</t>
  </si>
  <si>
    <t>AOA UTAS (TBC)</t>
  </si>
  <si>
    <t>PITOT THALES (TBC)</t>
  </si>
  <si>
    <t>SA: New Pitot probes - New AOA design - Collins /UTAS - NEW AOA  Thales</t>
  </si>
  <si>
    <t>C000498080-1</t>
  </si>
  <si>
    <t>C000498080-2</t>
  </si>
  <si>
    <t>C000498080-3</t>
  </si>
  <si>
    <t>C000498080-4</t>
  </si>
  <si>
    <t>C000498080-5</t>
  </si>
  <si>
    <t>C000498080-6</t>
  </si>
  <si>
    <t>C000482017-1</t>
  </si>
  <si>
    <t>C000482017-2</t>
  </si>
  <si>
    <t>C000482017-3</t>
  </si>
  <si>
    <t>C000482017-4</t>
  </si>
  <si>
    <t>C000482017-5</t>
  </si>
  <si>
    <t>D000480993</t>
  </si>
  <si>
    <t>D000481022</t>
  </si>
  <si>
    <t>D000481023</t>
  </si>
  <si>
    <t>D000486419</t>
  </si>
  <si>
    <t>D000489232</t>
  </si>
  <si>
    <t>RFS010067 A380 LA FQMS S4.4 Support</t>
  </si>
  <si>
    <t>RFS010068 A380 LA ATA32 and ATA28 L70B FWS Support</t>
  </si>
  <si>
    <t>RFS010101 SA Simulator Activity Support Q1 Q2 2020</t>
  </si>
  <si>
    <t>RFS010093 A350 T&amp;A Support - BRICKS (SII) - Q1 2020</t>
  </si>
  <si>
    <t>RFS010094 A350 T&amp;A Support - Flow Lab (SII) - Q1 2020</t>
  </si>
  <si>
    <t>RFS010095 A350 T&amp;A Support - MaMo Sys Std (SII) - Q1 2020</t>
  </si>
  <si>
    <t>RFS010099 A350 T&amp;A Support - Customer Services (SII) - Q1 2020</t>
  </si>
  <si>
    <t>RFS010085 R&amp;T ATTOL FT Support - phase 1. PO covering the support of the ATTOL Flight Test phase 1 (Auto-Taxi using GPS) on A350 MSN59.</t>
  </si>
  <si>
    <t>RFS010087 A380 FWS L70B - ATA32 specific tests on simulator. PO covering the support of the specific ATA32 tests for A380 FWS L70B on integration simulator.</t>
  </si>
  <si>
    <t>5 Each of WU_F&amp;LG_TLS_T_2 TESTS SUPPORT In Toulouse [PJE_SII_EVYP_USD_AIRBUS_FR]</t>
  </si>
  <si>
    <t>20 Each of WU_F&amp;LG_TLS_T_2 TESTS SUPPORT In Toulouse [PJE_SII_EVYP_USD_AIRBUS_FR]</t>
  </si>
  <si>
    <t>15 Each of WU_F&amp;LG_TLS_T_2 TESTS SUPPORT In Toulouse [PJE_SII_EVYP_USD_AIRBUS_FR]</t>
  </si>
  <si>
    <t>07/03/20</t>
  </si>
  <si>
    <t>10W / 1st Floor</t>
  </si>
  <si>
    <t>D000481021</t>
  </si>
  <si>
    <t>5 Each of WU_F&amp;LG_TLS_T_1[PJE_SII_EVYP_USD_AIRBUS_FR]</t>
  </si>
  <si>
    <t>03/31/20</t>
  </si>
  <si>
    <t>1 Each of WU_F&amp;LG_TLS_T_2 TESTS in TLS [PJE_SII_EVYP_USD_AIRBUS_FR]</t>
  </si>
  <si>
    <t>3 Each of WU_F&amp;LG_TLS_T_1[PJE_SII_EVYP_USD_AIRBUS_FR]</t>
  </si>
  <si>
    <t>31 Each of WU_F&amp;LG_TLS_T_1[PJE_SII_EVYP_USD_AIRBUS_FR]</t>
  </si>
  <si>
    <t>3 Each of WU_F&amp;LG_TLS_T_2 TESTS in TLS [PJE_SII_EVYP_USD_AIRBUS_FR]</t>
  </si>
  <si>
    <t>C000482017</t>
  </si>
  <si>
    <t>03/25/20</t>
  </si>
  <si>
    <t>M24 / B032</t>
  </si>
  <si>
    <t>Q 1 / Flow activities - Fixed part</t>
  </si>
  <si>
    <t>Q 1 / Beluga XL FT CC16</t>
  </si>
  <si>
    <t>9 Each of WU_PROP_S[PJE_SII_EVYP_USD_AIRBUS_FR]</t>
  </si>
  <si>
    <t>Q 1 / DD: Current flow - A380</t>
  </si>
  <si>
    <t>6 Each of WU_PROP_S[PJE_SII_EVYP_USD_AIRBUS_FR]</t>
  </si>
  <si>
    <t>Q 1 / SA: Current flow - Single Aisle</t>
  </si>
  <si>
    <t>Q 1 / SA: New Pitot probes - New AOA design - Collins /UTAS - NEW AOA Thales</t>
  </si>
  <si>
    <t>3 Each of WU_F&amp;LG_TLS_T_2 TESTS SUPPORT In Toulouse [PJE_SII_EVYP_USD_AIRBUS_FR]</t>
  </si>
  <si>
    <t>02/28/20</t>
  </si>
  <si>
    <t>C000489704</t>
  </si>
  <si>
    <t>Q 1 / 36 - UPS Cockpit Upgrade</t>
  </si>
  <si>
    <t>Adrien BRANTE</t>
  </si>
  <si>
    <t>2 Each of WU_ELEC_1[PJE_SII_EVYP_USD_AIRBUS_FR]</t>
  </si>
  <si>
    <t>Q 1 / 9 - A380 Flow</t>
  </si>
  <si>
    <t>6 Each of WU_ELEC_2[PJE_SII_EVYP_USD_AIRBUS_FR]</t>
  </si>
  <si>
    <t>Q 1 / 11 - A380 MCO</t>
  </si>
  <si>
    <t>Q 1 / 1 - SA CEO</t>
  </si>
  <si>
    <t>Q 1 / 2 - SA MCO</t>
  </si>
  <si>
    <t>Q 1 / 3 - SA Tech Sup</t>
  </si>
  <si>
    <t>20 Each of WU_ELEC_1[PJE_SII_EVYP_USD_AIRBUS_FR]</t>
  </si>
  <si>
    <t>Q 1 / 30 - eFANX</t>
  </si>
  <si>
    <t>Q 1 / 22 - Arc Tracking ARROW</t>
  </si>
  <si>
    <t>Q 1 / 25 - DEWIS</t>
  </si>
  <si>
    <t>Q 1 / 40 - ALIZE Tests &amp; HEFEL</t>
  </si>
  <si>
    <t>Q 1 / 47 - ALIZE EDB</t>
  </si>
  <si>
    <t>Q 1 / 33 - Genome</t>
  </si>
  <si>
    <t>Q 1 / 34 - MEAP Tests</t>
  </si>
  <si>
    <t>20 Each of WU_ELEC_2[PJE_SII_EVYP_USD_AIRBUS_FR]</t>
  </si>
  <si>
    <t>Q 1 / 16 - EFIB MCO</t>
  </si>
  <si>
    <t>Q 1 / 16 - Metrology A350</t>
  </si>
  <si>
    <t>30 Each of WU_ELEC_2[PJE_SII_EVYP_USD_AIRBUS_FR]</t>
  </si>
  <si>
    <t>Q 1 / 16 - Testing support &amp; investigation</t>
  </si>
  <si>
    <t>Q 1 / 18 - GCU VFG S6</t>
  </si>
  <si>
    <t>Q 1 / 21 - A350 Cont sup</t>
  </si>
  <si>
    <t>C000498080</t>
  </si>
  <si>
    <t>1 Each of WU_PROP_STD[PJE_SII_EVYP_USD_AIRBUS_FR]</t>
  </si>
  <si>
    <t>Q 1 / A330Neo 251T : MLGB Fire Detection</t>
  </si>
  <si>
    <t>Q 1 / ATA 34 - New AOA Design - THALES</t>
  </si>
  <si>
    <t>Q 1 / ATA 34 - New AOA Design - UTAS</t>
  </si>
  <si>
    <t>Q 1 / ATA 34 - New Pitot Thales for environmental conditions</t>
  </si>
  <si>
    <t>4 Each of WU_PROP_STD[PJE_SII_EVYP_USD_AIRBUS_FR]</t>
  </si>
  <si>
    <t>Q 1 / Major mod EEC EC2</t>
  </si>
  <si>
    <t>2 Each of WU_PROP_STD[PJE_SII_EVYP_USD_AIRBUS_FR]</t>
  </si>
  <si>
    <t>Q 1 / E-FanX FT prepa</t>
  </si>
  <si>
    <t>D000466460-1</t>
  </si>
  <si>
    <t>D000466461-1</t>
  </si>
  <si>
    <t>D000480993-1</t>
  </si>
  <si>
    <t>D000481021-1</t>
  </si>
  <si>
    <t>D000481021-2</t>
  </si>
  <si>
    <t>D000481022-1</t>
  </si>
  <si>
    <t>D000481022-2</t>
  </si>
  <si>
    <t>D000481023-1</t>
  </si>
  <si>
    <t>D000481023-2</t>
  </si>
  <si>
    <t>D000486419-1</t>
  </si>
  <si>
    <t>D000489232-1</t>
  </si>
  <si>
    <t>D000474275-1</t>
  </si>
  <si>
    <t>7 jours restants déjà réceptionné en 2019</t>
  </si>
  <si>
    <t>X</t>
  </si>
  <si>
    <t>pas autant d'acitivité en face</t>
  </si>
  <si>
    <t>pas autant d'acitivité en face (5j)</t>
  </si>
  <si>
    <t>C000489704-1</t>
  </si>
  <si>
    <t>C000489704-13</t>
  </si>
  <si>
    <t>C000489704-2</t>
  </si>
  <si>
    <t>C000489704-3</t>
  </si>
  <si>
    <t>C000489704-4</t>
  </si>
  <si>
    <t>C000489704-5</t>
  </si>
  <si>
    <t>C000489704-6</t>
  </si>
  <si>
    <t>C000489704-7</t>
  </si>
  <si>
    <t>C000489704-8</t>
  </si>
  <si>
    <t>C000489704-9</t>
  </si>
  <si>
    <t>C000489704-10</t>
  </si>
  <si>
    <t>C000489704-11</t>
  </si>
  <si>
    <t>C000489704-12</t>
  </si>
  <si>
    <t>C000489704-14</t>
  </si>
  <si>
    <t>C000489704-15</t>
  </si>
  <si>
    <t>C000489704-16</t>
  </si>
  <si>
    <t>C000489704-17</t>
  </si>
  <si>
    <t>C000489704-18</t>
  </si>
  <si>
    <t>Sera payé meme si pas travaillé dessus (ça remplace)</t>
  </si>
  <si>
    <t>activité  Q1</t>
  </si>
  <si>
    <t xml:space="preserve">A330ceo: F/T Instrumentation </t>
  </si>
  <si>
    <t>Gregory BESNARD</t>
  </si>
  <si>
    <t>3173-72</t>
  </si>
  <si>
    <t>3173-80</t>
  </si>
  <si>
    <t>3173-81</t>
  </si>
  <si>
    <t>3173-82</t>
  </si>
  <si>
    <t>3173-83</t>
  </si>
  <si>
    <t>3173-84</t>
  </si>
  <si>
    <t>3173-79</t>
  </si>
  <si>
    <t>3173-86</t>
  </si>
  <si>
    <t>Ana SOARES</t>
  </si>
  <si>
    <t>Ikhlass ABROUCH</t>
  </si>
  <si>
    <t>3173-87</t>
  </si>
  <si>
    <t>Qté Réception 02/2020</t>
  </si>
  <si>
    <t>Qté Réception 03/2020</t>
  </si>
  <si>
    <t>Qté Réception 04/2020</t>
  </si>
  <si>
    <t>Qté Réception 05/2020</t>
  </si>
  <si>
    <t>Qté Réception 06/2020</t>
  </si>
  <si>
    <t>Qté Réception 07/2020</t>
  </si>
  <si>
    <t>Qté Réception 08/2020</t>
  </si>
  <si>
    <t>Qté Réception 09/2020</t>
  </si>
  <si>
    <t>Qté Réception 10/2020</t>
  </si>
  <si>
    <t>Qté Réception 11/2020</t>
  </si>
  <si>
    <t>Qté Réception 12/2020</t>
  </si>
  <si>
    <t xml:space="preserve">Janvier </t>
  </si>
  <si>
    <t>février</t>
  </si>
  <si>
    <t>ELEC</t>
  </si>
  <si>
    <t>EEC RR T700 - EC²_1/2/3/4</t>
  </si>
  <si>
    <t>1-2 (prepa formal + derisk) 3-4 (V&amp;V FIB)</t>
  </si>
  <si>
    <t>A330Neo 251T: MLGB Fire Detection</t>
  </si>
  <si>
    <t>V&amp;V SX2</t>
  </si>
  <si>
    <t>2 (FT - APU Normal and Abnormal Fuel Feed Confirmation) 1 Surv AOA</t>
  </si>
  <si>
    <t>Colonne1</t>
  </si>
  <si>
    <t>Livrable</t>
  </si>
  <si>
    <t xml:space="preserve">BRICK: LGERS CUB page validation  - LTRA ADIS WoW conf time for APA sent to DO review
</t>
  </si>
  <si>
    <t xml:space="preserve">MAJOR: Test automation (tools and procedure generation)-  LTRA BCS S5B – FWS S7/1.0 sent to DO review
</t>
  </si>
  <si>
    <t xml:space="preserve">LTRA FQMS S4.4 EB1 released - Preparation of FWS L70B test campaign -  Support to ACMS BWS REP validation
</t>
  </si>
  <si>
    <t>LTRA FQMS S4.4 EB1 released - Preparation of FWS L70B test campaign -  Support to ACMS BWS REP validation</t>
  </si>
  <si>
    <t>Support validation DFDR</t>
  </si>
  <si>
    <t>FTRA ATTOL based GPS sent to DO review</t>
  </si>
  <si>
    <t>Qté Réception 00/2020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</si>
</sst>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#,##0.00\ &quot;€&quot;"/>
    <numFmt numFmtId="166" formatCode="0.0&quot; j&quot;"/>
    <numFmt numFmtId="167" formatCode="_(* #,##0.00_);_(* \(#,##0.00\);_(* &quot;-&quot;??_);_(@_)"/>
    <numFmt numFmtId="168" formatCode="_(&quot;€&quot;* #,##0.00_);_(&quot;€&quot;* \(#,##0.00\);_(&quot;€&quot;* &quot;-&quot;??_);_(@_)"/>
    <numFmt numFmtId="169" formatCode="dd\-mmm\-yyyy"/>
    <numFmt numFmtId="170" formatCode="_-* #,##0\ _F_-;\-* #,##0\ _F_-;_-* &quot;-&quot;\ _F_-;_-@_-"/>
    <numFmt numFmtId="171" formatCode="#,##0&quot; h&quot;"/>
    <numFmt numFmtId="172" formatCode="_-* #,##0\ &quot;F&quot;_-;\-* #,##0\ &quot;F&quot;_-;_-* &quot;-&quot;\ &quot;F&quot;_-;_-@_-"/>
    <numFmt numFmtId="173" formatCode="mmm&quot; &quot;yy"/>
    <numFmt numFmtId="174" formatCode="#,##0.0&quot; déf/kLoc&quot;"/>
    <numFmt numFmtId="175" formatCode="_-* #,##0.00\ _F_-;\-* #,##0.00\ _F_-;_-* &quot;-&quot;??\ _F_-;_-@_-"/>
    <numFmt numFmtId="176" formatCode="_-[$€]* #,##0.00_-;\-[$€]* #,##0.00_-;_-[$€]* &quot;-&quot;??_-;_-@_-"/>
    <numFmt numFmtId="177" formatCode="#,##0.0&quot; h/déf&quot;"/>
    <numFmt numFmtId="178" formatCode="0.00_)"/>
    <numFmt numFmtId="179" formatCode="??0&quot; %&quot;"/>
    <numFmt numFmtId="180" formatCode="#\ ##0.##\j"/>
    <numFmt numFmtId="181" formatCode="_-* #,##0.00\ [$€-1]_-;\-* #,##0.00\ [$€-1]_-;_-* &quot;-&quot;??\ [$€-1]_-"/>
    <numFmt numFmtId="182" formatCode="[$-40C]mmm\-yy;@"/>
    <numFmt numFmtId="183" formatCode="yyyy/mm/dd"/>
    <numFmt numFmtId="184" formatCode="###,000"/>
    <numFmt numFmtId="185" formatCode="_-* #,##0.00\ [$€]_-;\-* #,##0.00\ [$€]_-;_-* &quot;-&quot;??\ [$€]_-;_-@_-"/>
    <numFmt numFmtId="186" formatCode="0.0"/>
    <numFmt numFmtId="187" formatCode="\ \+* #,##0;\ \-* #,##0;\ \±* 0"/>
    <numFmt numFmtId="188" formatCode="\ * #,##0.0;\ \-* #,##0.0;\ * 0.0"/>
    <numFmt numFmtId="189" formatCode="\ * #,##0;\ \-* #,##0;\ * 0"/>
    <numFmt numFmtId="190" formatCode="_([$€]* #,##0.00_);_([$€]* \(#,##0.00\);_([$€]* \-??_);_(@_)"/>
    <numFmt numFmtId="191" formatCode="\ \+* #,##0.0\ %\ ;\ \-* #,##0.0\ %\ ;\ \±* 0\ %"/>
    <numFmt numFmtId="192" formatCode="\ \+* #,##0.0;\ \-* #,##0.0;\ \±* 0.0"/>
    <numFmt numFmtId="193" formatCode="_-* #,##0.00\ [$€-40C]_-;\-* #,##0.00\ [$€-40C]_-;_-* &quot;-&quot;??\ [$€-40C]_-;_-@_-"/>
    <numFmt numFmtId="194" formatCode="[$$-409]#,##0.00"/>
    <numFmt numFmtId="195" formatCode="#,##0.00\ [$€-40C]"/>
    <numFmt numFmtId="196" formatCode="_(* #,##0_);_(* \(#,##0\);_(* &quot;-&quot;_);_(@_)"/>
    <numFmt numFmtId="197" formatCode="##,###,##0.0"/>
    <numFmt numFmtId="198" formatCode="_(&quot;£&quot;* #,##0_);_(&quot;£&quot;* \(#,##0\);_(&quot;£&quot;* &quot;-&quot;_);_(@_)"/>
    <numFmt numFmtId="199" formatCode="_(&quot;£&quot;* #,##0.00_);_(&quot;£&quot;* \(#,##0.00\);_(&quot;£&quot;* &quot;-&quot;??_);_(@_)"/>
    <numFmt numFmtId="200" formatCode="[$-409]dd\-mmm\-yy;@"/>
    <numFmt numFmtId="201" formatCode="_-[$$-409]* #,##0.00_ ;_-[$$-409]* \-#,##0.00\ ;_-[$$-409]* &quot;-&quot;??_ ;_-@_ "/>
    <numFmt numFmtId="202" formatCode="_-* #,##0\ _€_-;\-* #,##0\ _€_-;_-* &quot;-&quot;??\ _€_-;_-@_-"/>
  </numFmts>
  <fonts count="159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Tahoma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2"/>
      <name val="Verdana"/>
      <family val="2"/>
    </font>
    <font>
      <sz val="12"/>
      <name val="Verdana"/>
      <family val="2"/>
    </font>
    <font>
      <b/>
      <sz val="9"/>
      <name val="Verdana"/>
      <family val="2"/>
    </font>
    <font>
      <b/>
      <sz val="10"/>
      <name val="Verdana"/>
      <family val="2"/>
    </font>
    <font>
      <sz val="10"/>
      <color indexed="10"/>
      <name val="Arial"/>
      <family val="2"/>
    </font>
    <font>
      <sz val="8"/>
      <color indexed="9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name val="MS Sans Serif"/>
      <family val="2"/>
    </font>
    <font>
      <sz val="8"/>
      <name val="Arial"/>
      <family val="2"/>
    </font>
    <font>
      <sz val="10"/>
      <color indexed="6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2"/>
      <color indexed="10"/>
      <name val="MS Sans Serif"/>
      <family val="2"/>
    </font>
    <font>
      <u/>
      <sz val="10"/>
      <color indexed="12"/>
      <name val="Arial"/>
      <family val="2"/>
    </font>
    <font>
      <sz val="10"/>
      <color indexed="20"/>
      <name val="Arial"/>
      <family val="2"/>
    </font>
    <font>
      <sz val="8"/>
      <color indexed="15"/>
      <name val="MS Sans Serif"/>
      <family val="2"/>
    </font>
    <font>
      <sz val="10"/>
      <color indexed="19"/>
      <name val="Arial"/>
      <family val="2"/>
    </font>
    <font>
      <sz val="14"/>
      <color indexed="9"/>
      <name val="Arial"/>
      <family val="2"/>
    </font>
    <font>
      <b/>
      <i/>
      <sz val="16"/>
      <name val="Helv"/>
    </font>
    <font>
      <sz val="10"/>
      <name val="Verdana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8"/>
      <color indexed="8"/>
      <name val="Tahoma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i/>
      <sz val="10"/>
      <color indexed="23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sz val="8"/>
      <name val="Times New Roman"/>
      <family val="1"/>
    </font>
    <font>
      <b/>
      <sz val="10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indexed="56"/>
      <name val="Cambri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1"/>
      <color theme="6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002060"/>
      <name val="Arial"/>
      <family val="2"/>
    </font>
    <font>
      <b/>
      <sz val="11"/>
      <color rgb="FF002060"/>
      <name val="Arial"/>
      <family val="2"/>
    </font>
    <font>
      <sz val="11"/>
      <color theme="9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1F497D"/>
      <name val="Verdana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sz val="11"/>
      <color rgb="FF3F3F76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9"/>
      <color indexed="12"/>
      <name val="Arial"/>
      <family val="2"/>
    </font>
    <font>
      <sz val="11"/>
      <color indexed="10"/>
      <name val="Arial"/>
      <family val="2"/>
    </font>
    <font>
      <b/>
      <sz val="11"/>
      <color indexed="52"/>
      <name val="Arial"/>
      <family val="2"/>
    </font>
    <font>
      <sz val="11"/>
      <color indexed="52"/>
      <name val="Arial"/>
      <family val="2"/>
    </font>
    <font>
      <sz val="9"/>
      <color indexed="8"/>
      <name val="CorpoS"/>
    </font>
    <font>
      <sz val="11"/>
      <color indexed="62"/>
      <name val="Arial"/>
      <family val="2"/>
    </font>
    <font>
      <sz val="9"/>
      <name val="CorpoS"/>
    </font>
    <font>
      <b/>
      <sz val="9"/>
      <color indexed="8"/>
      <name val="CorpoS"/>
    </font>
    <font>
      <b/>
      <i/>
      <sz val="12"/>
      <name val="Times New Roman"/>
      <family val="1"/>
    </font>
    <font>
      <b/>
      <sz val="10"/>
      <color indexed="39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sz val="10"/>
      <color indexed="39"/>
      <name val="Arial"/>
      <family val="2"/>
    </font>
    <font>
      <sz val="12"/>
      <name val="Arial"/>
      <family val="2"/>
    </font>
    <font>
      <b/>
      <i/>
      <sz val="22"/>
      <name val="Arial"/>
      <family val="2"/>
    </font>
    <font>
      <sz val="12"/>
      <color theme="1"/>
      <name val="CorpoS"/>
      <family val="2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24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B050"/>
      <name val="Calibri"/>
      <family val="2"/>
      <scheme val="minor"/>
    </font>
    <font>
      <sz val="10"/>
      <name val="Helv"/>
      <charset val="204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Arial"/>
      <family val="2"/>
    </font>
    <font>
      <u/>
      <sz val="10"/>
      <color indexed="36"/>
      <name val="Arial"/>
      <family val="2"/>
    </font>
    <font>
      <b/>
      <sz val="11"/>
      <color indexed="9"/>
      <name val="Arial"/>
      <family val="2"/>
    </font>
    <font>
      <b/>
      <sz val="11"/>
      <color indexed="9"/>
      <name val="Times New Roman CE"/>
      <family val="1"/>
      <charset val="238"/>
    </font>
    <font>
      <i/>
      <sz val="11"/>
      <color indexed="23"/>
      <name val="Arial"/>
      <family val="2"/>
    </font>
    <font>
      <i/>
      <sz val="10"/>
      <color rgb="FF7F7F7F"/>
      <name val="Arial"/>
      <family val="2"/>
    </font>
    <font>
      <sz val="11"/>
      <color indexed="17"/>
      <name val="Arial"/>
      <family val="2"/>
    </font>
    <font>
      <u/>
      <sz val="11"/>
      <color theme="10"/>
      <name val="Arial"/>
      <family val="2"/>
    </font>
    <font>
      <u/>
      <sz val="12"/>
      <color indexed="12"/>
      <name val="CorpoS"/>
    </font>
    <font>
      <sz val="11"/>
      <color indexed="18"/>
      <name val="Arial"/>
      <family val="2"/>
    </font>
    <font>
      <sz val="10"/>
      <name val="Times New Roman CE"/>
      <family val="1"/>
      <charset val="238"/>
    </font>
    <font>
      <sz val="18"/>
      <name val="Times New Roman"/>
      <family val="1"/>
    </font>
    <font>
      <b/>
      <sz val="13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60"/>
      <name val="Arial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"/>
      <color rgb="FF00B050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name val="Arial"/>
      <family val="2"/>
    </font>
  </fonts>
  <fills count="1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6"/>
      </patternFill>
    </fill>
    <fill>
      <patternFill patternType="solid">
        <fgColor indexed="50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1"/>
      </patternFill>
    </fill>
    <fill>
      <patternFill patternType="solid">
        <fgColor indexed="9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indexed="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solid">
        <fgColor indexed="55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</patternFill>
    </fill>
    <fill>
      <patternFill patternType="gray0625">
        <bgColor theme="9" tint="0.39997558519241921"/>
      </patternFill>
    </fill>
    <fill>
      <patternFill patternType="gray0625">
        <bgColor theme="7" tint="0.39997558519241921"/>
      </patternFill>
    </fill>
    <fill>
      <patternFill patternType="gray0625">
        <bgColor theme="6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DBE5F1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CC99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1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lightUp">
        <fgColor indexed="48"/>
        <bgColor indexed="41"/>
      </patternFill>
    </fill>
    <fill>
      <patternFill patternType="solid">
        <fgColor indexed="18"/>
        <bgColor indexed="54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rgb="FF005AA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indexed="9"/>
        <bgColor indexed="64"/>
      </patternFill>
    </fill>
    <fill>
      <patternFill patternType="solid">
        <fgColor indexed="62"/>
      </patternFill>
    </fill>
    <fill>
      <patternFill patternType="solid">
        <fgColor indexed="18"/>
        <bgColor indexed="64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49"/>
        <bgColor indexed="31"/>
      </patternFill>
    </fill>
    <fill>
      <patternFill patternType="solid">
        <fgColor indexed="3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theme="0"/>
      </patternFill>
    </fill>
  </fills>
  <borders count="147">
    <border>
      <left/>
      <right/>
      <top/>
      <bottom/>
      <diagonal/>
    </border>
    <border>
      <left style="medium">
        <color theme="7"/>
      </left>
      <right/>
      <top/>
      <bottom/>
      <diagonal/>
    </border>
    <border>
      <left style="double">
        <color theme="7"/>
      </left>
      <right/>
      <top/>
      <bottom/>
      <diagonal/>
    </border>
    <border>
      <left/>
      <right style="double">
        <color theme="7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/>
      <right style="medium">
        <color theme="7"/>
      </right>
      <top style="thin">
        <color theme="5" tint="0.39997558519241921"/>
      </top>
      <bottom/>
      <diagonal/>
    </border>
    <border>
      <left/>
      <right style="thin">
        <color theme="7"/>
      </right>
      <top style="thin">
        <color theme="5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7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7"/>
      </left>
      <right style="thin">
        <color theme="7"/>
      </right>
      <top/>
      <bottom/>
      <diagonal/>
    </border>
  </borders>
  <cellStyleXfs count="39572">
    <xf numFmtId="0" fontId="0" fillId="0" borderId="0"/>
    <xf numFmtId="0" fontId="18" fillId="0" borderId="0"/>
    <xf numFmtId="0" fontId="16" fillId="0" borderId="0"/>
    <xf numFmtId="0" fontId="20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167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0" fontId="25" fillId="0" borderId="0">
      <alignment horizontal="center" vertical="center"/>
      <protection locked="0"/>
    </xf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6" fillId="10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169" fontId="28" fillId="0" borderId="19" applyNumberFormat="0">
      <alignment horizontal="center" vertical="center"/>
    </xf>
    <xf numFmtId="14" fontId="29" fillId="0" borderId="20">
      <alignment horizontal="center" vertical="center"/>
    </xf>
    <xf numFmtId="169" fontId="30" fillId="0" borderId="19">
      <alignment horizontal="center" vertical="center"/>
    </xf>
    <xf numFmtId="1" fontId="28" fillId="0" borderId="21" applyBorder="0">
      <alignment horizontal="center" vertical="center"/>
    </xf>
    <xf numFmtId="0" fontId="31" fillId="0" borderId="4" applyBorder="0">
      <protection locked="0"/>
    </xf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/>
    <xf numFmtId="0" fontId="34" fillId="21" borderId="22" applyNumberFormat="0" applyAlignment="0" applyProtection="0"/>
    <xf numFmtId="0" fontId="34" fillId="21" borderId="22" applyNumberFormat="0" applyAlignment="0" applyProtection="0"/>
    <xf numFmtId="0" fontId="34" fillId="21" borderId="22" applyNumberFormat="0" applyAlignment="0" applyProtection="0"/>
    <xf numFmtId="0" fontId="34" fillId="21" borderId="22" applyNumberFormat="0" applyAlignment="0" applyProtection="0"/>
    <xf numFmtId="0" fontId="34" fillId="21" borderId="22" applyNumberFormat="0" applyAlignment="0" applyProtection="0"/>
    <xf numFmtId="0" fontId="34" fillId="21" borderId="22" applyNumberFormat="0" applyAlignment="0" applyProtection="0"/>
    <xf numFmtId="0" fontId="35" fillId="0" borderId="23" applyNumberFormat="0" applyFill="0" applyAlignment="0" applyProtection="0"/>
    <xf numFmtId="0" fontId="35" fillId="0" borderId="23" applyNumberFormat="0" applyFill="0" applyAlignment="0" applyProtection="0"/>
    <xf numFmtId="0" fontId="35" fillId="0" borderId="23" applyNumberFormat="0" applyFill="0" applyAlignment="0" applyProtection="0"/>
    <xf numFmtId="0" fontId="35" fillId="0" borderId="23" applyNumberFormat="0" applyFill="0" applyAlignment="0" applyProtection="0"/>
    <xf numFmtId="0" fontId="35" fillId="0" borderId="23" applyNumberFormat="0" applyFill="0" applyAlignment="0" applyProtection="0"/>
    <xf numFmtId="0" fontId="35" fillId="0" borderId="23" applyNumberFormat="0" applyFill="0" applyAlignment="0" applyProtection="0"/>
    <xf numFmtId="1" fontId="28" fillId="22" borderId="24">
      <alignment horizontal="center" vertical="center"/>
    </xf>
    <xf numFmtId="1" fontId="30" fillId="23" borderId="24">
      <alignment horizontal="center" vertical="center"/>
    </xf>
    <xf numFmtId="170" fontId="20" fillId="0" borderId="0" applyFont="0" applyFill="0" applyBorder="0" applyAlignment="0" applyProtection="0"/>
    <xf numFmtId="0" fontId="20" fillId="10" borderId="25" applyNumberFormat="0" applyFont="0" applyAlignment="0" applyProtection="0"/>
    <xf numFmtId="0" fontId="20" fillId="10" borderId="25" applyNumberFormat="0" applyFont="0" applyAlignment="0" applyProtection="0"/>
    <xf numFmtId="0" fontId="20" fillId="10" borderId="25" applyNumberFormat="0" applyFont="0" applyAlignment="0" applyProtection="0"/>
    <xf numFmtId="0" fontId="20" fillId="10" borderId="25" applyNumberFormat="0" applyFont="0" applyAlignment="0" applyProtection="0"/>
    <xf numFmtId="0" fontId="20" fillId="10" borderId="25" applyNumberFormat="0" applyFont="0" applyAlignment="0" applyProtection="0"/>
    <xf numFmtId="0" fontId="20" fillId="10" borderId="25" applyNumberFormat="0" applyFont="0" applyAlignment="0" applyProtection="0"/>
    <xf numFmtId="171" fontId="36" fillId="0" borderId="0" applyFont="0" applyFill="0" applyBorder="0">
      <alignment horizontal="right"/>
      <protection locked="0"/>
    </xf>
    <xf numFmtId="172" fontId="20" fillId="0" borderId="0" applyFont="0" applyFill="0" applyBorder="0" applyAlignment="0" applyProtection="0"/>
    <xf numFmtId="14" fontId="36" fillId="24" borderId="0" applyFont="0" applyBorder="0" applyAlignment="0">
      <alignment vertical="top"/>
    </xf>
    <xf numFmtId="173" fontId="36" fillId="24" borderId="0" applyFont="0" applyBorder="0" applyAlignment="0">
      <alignment vertical="top"/>
    </xf>
    <xf numFmtId="14" fontId="36" fillId="0" borderId="0" applyFont="0" applyFill="0" applyBorder="0" applyProtection="0">
      <alignment horizontal="center"/>
      <protection locked="0"/>
    </xf>
    <xf numFmtId="0" fontId="20" fillId="0" borderId="0">
      <alignment vertical="top"/>
    </xf>
    <xf numFmtId="174" fontId="37" fillId="0" borderId="0" applyFill="0" applyBorder="0">
      <alignment horizontal="right"/>
    </xf>
    <xf numFmtId="175" fontId="20" fillId="0" borderId="0" applyFont="0" applyFill="0" applyBorder="0" applyAlignment="0" applyProtection="0"/>
    <xf numFmtId="0" fontId="37" fillId="0" borderId="26" applyBorder="0"/>
    <xf numFmtId="0" fontId="38" fillId="13" borderId="22" applyNumberFormat="0" applyAlignment="0" applyProtection="0"/>
    <xf numFmtId="0" fontId="38" fillId="13" borderId="22" applyNumberFormat="0" applyAlignment="0" applyProtection="0"/>
    <xf numFmtId="0" fontId="38" fillId="13" borderId="22" applyNumberFormat="0" applyAlignment="0" applyProtection="0"/>
    <xf numFmtId="0" fontId="38" fillId="13" borderId="22" applyNumberFormat="0" applyAlignment="0" applyProtection="0"/>
    <xf numFmtId="0" fontId="38" fillId="13" borderId="22" applyNumberFormat="0" applyAlignment="0" applyProtection="0"/>
    <xf numFmtId="0" fontId="38" fillId="13" borderId="22" applyNumberFormat="0" applyAlignment="0" applyProtection="0"/>
    <xf numFmtId="176" fontId="20" fillId="0" borderId="0" applyFont="0" applyFill="0" applyBorder="0" applyAlignment="0" applyProtection="0"/>
    <xf numFmtId="0" fontId="39" fillId="0" borderId="0" applyNumberFormat="0" applyFont="0" applyFill="0" applyBorder="0" applyAlignment="0">
      <alignment horizontal="left" vertical="top"/>
    </xf>
    <xf numFmtId="177" fontId="37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40" fillId="0" borderId="0" applyFill="0" applyBorder="0">
      <alignment horizontal="right"/>
      <protection locked="0"/>
    </xf>
    <xf numFmtId="177" fontId="40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40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3" fillId="0" borderId="0" applyFill="0" applyBorder="0">
      <alignment horizontal="right"/>
      <protection locked="0"/>
    </xf>
    <xf numFmtId="177" fontId="40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40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3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177" fontId="41" fillId="0" borderId="0" applyFill="0" applyBorder="0">
      <alignment horizontal="right"/>
      <protection locked="0"/>
    </xf>
    <xf numFmtId="177" fontId="42" fillId="0" borderId="0" applyFill="0" applyBorder="0">
      <alignment horizontal="right"/>
      <protection locked="0"/>
    </xf>
    <xf numFmtId="177" fontId="36" fillId="0" borderId="0" applyFill="0" applyBorder="0">
      <alignment horizontal="right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44" fillId="25" borderId="0" applyNumberFormat="0" applyBorder="0" applyAlignment="0" applyProtection="0"/>
    <xf numFmtId="0" fontId="44" fillId="25" borderId="0" applyNumberFormat="0" applyBorder="0" applyAlignment="0" applyProtection="0"/>
    <xf numFmtId="0" fontId="44" fillId="25" borderId="0" applyNumberFormat="0" applyBorder="0" applyAlignment="0" applyProtection="0"/>
    <xf numFmtId="0" fontId="44" fillId="25" borderId="0" applyNumberFormat="0" applyBorder="0" applyAlignment="0" applyProtection="0"/>
    <xf numFmtId="0" fontId="44" fillId="25" borderId="0" applyNumberFormat="0" applyBorder="0" applyAlignment="0" applyProtection="0"/>
    <xf numFmtId="0" fontId="44" fillId="25" borderId="0" applyNumberFormat="0" applyBorder="0" applyAlignment="0" applyProtection="0"/>
    <xf numFmtId="0" fontId="45" fillId="26" borderId="0"/>
    <xf numFmtId="164" fontId="20" fillId="0" borderId="0" applyFill="0" applyBorder="0" applyAlignment="0" applyProtection="0"/>
    <xf numFmtId="4" fontId="25" fillId="0" borderId="0" applyFill="0" applyBorder="0" applyProtection="0">
      <alignment horizontal="right" vertical="center"/>
      <protection locked="0"/>
    </xf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47" fillId="27" borderId="0">
      <alignment vertical="center"/>
    </xf>
    <xf numFmtId="0" fontId="40" fillId="23" borderId="24">
      <alignment vertical="center" wrapText="1"/>
    </xf>
    <xf numFmtId="0" fontId="36" fillId="24" borderId="0" applyNumberFormat="0" applyFont="0" applyBorder="0" applyAlignment="0">
      <alignment vertical="top"/>
    </xf>
    <xf numFmtId="178" fontId="4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49" fillId="0" borderId="0"/>
    <xf numFmtId="0" fontId="20" fillId="28" borderId="0">
      <alignment vertical="top" wrapText="1"/>
    </xf>
    <xf numFmtId="0" fontId="20" fillId="28" borderId="0">
      <alignment vertical="top" wrapText="1"/>
    </xf>
    <xf numFmtId="0" fontId="20" fillId="28" borderId="0">
      <alignment vertical="top" wrapText="1"/>
    </xf>
    <xf numFmtId="0" fontId="20" fillId="28" borderId="0">
      <alignment vertical="top" wrapText="1"/>
    </xf>
    <xf numFmtId="0" fontId="20" fillId="28" borderId="0">
      <alignment vertical="top" wrapText="1"/>
    </xf>
    <xf numFmtId="9" fontId="20" fillId="0" borderId="0" applyFont="0" applyFill="0" applyBorder="0" applyAlignment="0" applyProtection="0"/>
    <xf numFmtId="179" fontId="37" fillId="0" borderId="0" applyFont="0" applyFill="0" applyBorder="0">
      <alignment horizontal="right"/>
      <protection locked="0"/>
    </xf>
    <xf numFmtId="4" fontId="50" fillId="29" borderId="27" applyNumberFormat="0" applyProtection="0">
      <alignment vertical="center"/>
    </xf>
    <xf numFmtId="4" fontId="51" fillId="29" borderId="27" applyNumberFormat="0" applyProtection="0">
      <alignment vertical="center"/>
    </xf>
    <xf numFmtId="4" fontId="52" fillId="29" borderId="27" applyNumberFormat="0" applyProtection="0">
      <alignment horizontal="left" vertical="center" indent="1"/>
    </xf>
    <xf numFmtId="4" fontId="52" fillId="30" borderId="0" applyNumberFormat="0" applyProtection="0">
      <alignment horizontal="left" vertical="center" indent="1"/>
    </xf>
    <xf numFmtId="4" fontId="52" fillId="31" borderId="27" applyNumberFormat="0" applyProtection="0">
      <alignment horizontal="right" vertical="center"/>
    </xf>
    <xf numFmtId="4" fontId="52" fillId="32" borderId="27" applyNumberFormat="0" applyProtection="0">
      <alignment horizontal="right" vertical="center"/>
    </xf>
    <xf numFmtId="4" fontId="52" fillId="33" borderId="27" applyNumberFormat="0" applyProtection="0">
      <alignment horizontal="right" vertical="center"/>
    </xf>
    <xf numFmtId="4" fontId="52" fillId="24" borderId="27" applyNumberFormat="0" applyProtection="0">
      <alignment horizontal="right" vertical="center"/>
    </xf>
    <xf numFmtId="4" fontId="52" fillId="34" borderId="27" applyNumberFormat="0" applyProtection="0">
      <alignment horizontal="right" vertical="center"/>
    </xf>
    <xf numFmtId="4" fontId="52" fillId="28" borderId="27" applyNumberFormat="0" applyProtection="0">
      <alignment horizontal="right" vertical="center"/>
    </xf>
    <xf numFmtId="4" fontId="52" fillId="35" borderId="27" applyNumberFormat="0" applyProtection="0">
      <alignment horizontal="right" vertical="center"/>
    </xf>
    <xf numFmtId="4" fontId="52" fillId="36" borderId="27" applyNumberFormat="0" applyProtection="0">
      <alignment horizontal="right" vertical="center"/>
    </xf>
    <xf numFmtId="4" fontId="52" fillId="37" borderId="27" applyNumberFormat="0" applyProtection="0">
      <alignment horizontal="right" vertical="center"/>
    </xf>
    <xf numFmtId="4" fontId="50" fillId="38" borderId="28" applyNumberFormat="0" applyProtection="0">
      <alignment horizontal="left" vertical="center" indent="1"/>
    </xf>
    <xf numFmtId="4" fontId="50" fillId="23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2" fillId="23" borderId="27" applyNumberFormat="0" applyProtection="0">
      <alignment horizontal="right" vertical="center"/>
    </xf>
    <xf numFmtId="4" fontId="26" fillId="23" borderId="0" applyNumberFormat="0" applyProtection="0">
      <alignment horizontal="left" vertical="center" indent="1"/>
    </xf>
    <xf numFmtId="4" fontId="26" fillId="30" borderId="0" applyNumberFormat="0" applyProtection="0">
      <alignment horizontal="left" vertical="center" indent="1"/>
    </xf>
    <xf numFmtId="4" fontId="52" fillId="22" borderId="27" applyNumberFormat="0" applyProtection="0">
      <alignment vertical="center"/>
    </xf>
    <xf numFmtId="4" fontId="53" fillId="22" borderId="27" applyNumberFormat="0" applyProtection="0">
      <alignment vertical="center"/>
    </xf>
    <xf numFmtId="4" fontId="50" fillId="23" borderId="29" applyNumberFormat="0" applyProtection="0">
      <alignment horizontal="left" vertical="center" indent="1"/>
    </xf>
    <xf numFmtId="4" fontId="54" fillId="22" borderId="0" applyNumberFormat="0" applyProtection="0">
      <alignment horizontal="right" vertical="center"/>
    </xf>
    <xf numFmtId="4" fontId="53" fillId="22" borderId="27" applyNumberFormat="0" applyProtection="0">
      <alignment horizontal="right" vertical="center"/>
    </xf>
    <xf numFmtId="4" fontId="50" fillId="23" borderId="27" applyNumberFormat="0" applyProtection="0">
      <alignment horizontal="left" vertical="center" indent="1"/>
    </xf>
    <xf numFmtId="4" fontId="55" fillId="39" borderId="29" applyNumberFormat="0" applyProtection="0">
      <alignment horizontal="left" vertical="center" indent="1"/>
    </xf>
    <xf numFmtId="4" fontId="56" fillId="22" borderId="27" applyNumberFormat="0" applyProtection="0">
      <alignment horizontal="right" vertical="center"/>
    </xf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8" fillId="21" borderId="30" applyNumberFormat="0" applyAlignment="0" applyProtection="0"/>
    <xf numFmtId="0" fontId="58" fillId="21" borderId="30" applyNumberFormat="0" applyAlignment="0" applyProtection="0"/>
    <xf numFmtId="0" fontId="58" fillId="21" borderId="30" applyNumberFormat="0" applyAlignment="0" applyProtection="0"/>
    <xf numFmtId="0" fontId="58" fillId="21" borderId="30" applyNumberFormat="0" applyAlignment="0" applyProtection="0"/>
    <xf numFmtId="0" fontId="58" fillId="21" borderId="30" applyNumberFormat="0" applyAlignment="0" applyProtection="0"/>
    <xf numFmtId="0" fontId="58" fillId="21" borderId="30" applyNumberFormat="0" applyAlignment="0" applyProtection="0"/>
    <xf numFmtId="0" fontId="20" fillId="0" borderId="0" applyNumberFormat="0" applyFill="0" applyBorder="0">
      <alignment vertical="top"/>
    </xf>
    <xf numFmtId="0" fontId="20" fillId="0" borderId="0" applyNumberFormat="0" applyFill="0" applyBorder="0">
      <alignment vertical="top"/>
    </xf>
    <xf numFmtId="180" fontId="20" fillId="0" borderId="0"/>
    <xf numFmtId="0" fontId="40" fillId="0" borderId="0">
      <alignment horizontal="center"/>
    </xf>
    <xf numFmtId="0" fontId="40" fillId="0" borderId="0">
      <alignment horizontal="left"/>
    </xf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31" fillId="0" borderId="0">
      <alignment horizontal="right" vertical="center" wrapText="1"/>
    </xf>
    <xf numFmtId="0" fontId="60" fillId="0" borderId="0" applyNumberFormat="0" applyFill="0" applyBorder="0" applyAlignment="0" applyProtection="0"/>
    <xf numFmtId="0" fontId="28" fillId="23" borderId="24">
      <alignment horizontal="center" vertical="center" wrapText="1"/>
    </xf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31" applyNumberFormat="0" applyFill="0" applyAlignment="0" applyProtection="0"/>
    <xf numFmtId="0" fontId="61" fillId="0" borderId="31" applyNumberFormat="0" applyFill="0" applyAlignment="0" applyProtection="0"/>
    <xf numFmtId="0" fontId="61" fillId="0" borderId="31" applyNumberFormat="0" applyFill="0" applyAlignment="0" applyProtection="0"/>
    <xf numFmtId="0" fontId="61" fillId="0" borderId="31" applyNumberFormat="0" applyFill="0" applyAlignment="0" applyProtection="0"/>
    <xf numFmtId="0" fontId="61" fillId="0" borderId="31" applyNumberFormat="0" applyFill="0" applyAlignment="0" applyProtection="0"/>
    <xf numFmtId="0" fontId="61" fillId="0" borderId="31" applyNumberFormat="0" applyFill="0" applyAlignment="0" applyProtection="0"/>
    <xf numFmtId="0" fontId="62" fillId="0" borderId="32" applyNumberFormat="0" applyFill="0" applyAlignment="0" applyProtection="0"/>
    <xf numFmtId="0" fontId="62" fillId="0" borderId="32" applyNumberFormat="0" applyFill="0" applyAlignment="0" applyProtection="0"/>
    <xf numFmtId="0" fontId="62" fillId="0" borderId="32" applyNumberFormat="0" applyFill="0" applyAlignment="0" applyProtection="0"/>
    <xf numFmtId="0" fontId="62" fillId="0" borderId="32" applyNumberFormat="0" applyFill="0" applyAlignment="0" applyProtection="0"/>
    <xf numFmtId="0" fontId="62" fillId="0" borderId="32" applyNumberFormat="0" applyFill="0" applyAlignment="0" applyProtection="0"/>
    <xf numFmtId="0" fontId="62" fillId="0" borderId="32" applyNumberFormat="0" applyFill="0" applyAlignment="0" applyProtection="0"/>
    <xf numFmtId="0" fontId="63" fillId="0" borderId="33" applyNumberFormat="0" applyFill="0" applyAlignment="0" applyProtection="0"/>
    <xf numFmtId="0" fontId="63" fillId="0" borderId="33" applyNumberFormat="0" applyFill="0" applyAlignment="0" applyProtection="0"/>
    <xf numFmtId="0" fontId="63" fillId="0" borderId="33" applyNumberFormat="0" applyFill="0" applyAlignment="0" applyProtection="0"/>
    <xf numFmtId="0" fontId="63" fillId="0" borderId="33" applyNumberFormat="0" applyFill="0" applyAlignment="0" applyProtection="0"/>
    <xf numFmtId="0" fontId="63" fillId="0" borderId="33" applyNumberFormat="0" applyFill="0" applyAlignment="0" applyProtection="0"/>
    <xf numFmtId="0" fontId="63" fillId="0" borderId="33" applyNumberFormat="0" applyFill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3" fillId="0" borderId="13" applyBorder="0"/>
    <xf numFmtId="0" fontId="64" fillId="0" borderId="34" applyNumberFormat="0" applyFill="0" applyAlignment="0" applyProtection="0"/>
    <xf numFmtId="0" fontId="64" fillId="0" borderId="34" applyNumberFormat="0" applyFill="0" applyAlignment="0" applyProtection="0"/>
    <xf numFmtId="0" fontId="64" fillId="0" borderId="34" applyNumberFormat="0" applyFill="0" applyAlignment="0" applyProtection="0"/>
    <xf numFmtId="0" fontId="64" fillId="0" borderId="34" applyNumberFormat="0" applyFill="0" applyAlignment="0" applyProtection="0"/>
    <xf numFmtId="0" fontId="64" fillId="0" borderId="34" applyNumberFormat="0" applyFill="0" applyAlignment="0" applyProtection="0"/>
    <xf numFmtId="0" fontId="64" fillId="0" borderId="34" applyNumberFormat="0" applyFill="0" applyAlignment="0" applyProtection="0"/>
    <xf numFmtId="0" fontId="65" fillId="0" borderId="35" applyBorder="0"/>
    <xf numFmtId="0" fontId="66" fillId="0" borderId="36" applyBorder="0"/>
    <xf numFmtId="0" fontId="67" fillId="40" borderId="37" applyNumberFormat="0" applyAlignment="0" applyProtection="0"/>
    <xf numFmtId="0" fontId="67" fillId="40" borderId="37" applyNumberFormat="0" applyAlignment="0" applyProtection="0"/>
    <xf numFmtId="0" fontId="67" fillId="40" borderId="37" applyNumberFormat="0" applyAlignment="0" applyProtection="0"/>
    <xf numFmtId="0" fontId="67" fillId="40" borderId="37" applyNumberFormat="0" applyAlignment="0" applyProtection="0"/>
    <xf numFmtId="0" fontId="67" fillId="40" borderId="37" applyNumberFormat="0" applyAlignment="0" applyProtection="0"/>
    <xf numFmtId="0" fontId="67" fillId="40" borderId="37" applyNumberFormat="0" applyAlignment="0" applyProtection="0"/>
    <xf numFmtId="0" fontId="20" fillId="0" borderId="0"/>
    <xf numFmtId="0" fontId="15" fillId="0" borderId="0"/>
    <xf numFmtId="0" fontId="20" fillId="0" borderId="0"/>
    <xf numFmtId="0" fontId="20" fillId="0" borderId="0"/>
    <xf numFmtId="9" fontId="20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44" fontId="15" fillId="0" borderId="0" applyFont="0" applyFill="0" applyBorder="0" applyAlignment="0" applyProtection="0"/>
    <xf numFmtId="0" fontId="15" fillId="0" borderId="0"/>
    <xf numFmtId="44" fontId="16" fillId="0" borderId="0" applyFont="0" applyFill="0" applyBorder="0" applyAlignment="0" applyProtection="0"/>
    <xf numFmtId="0" fontId="14" fillId="0" borderId="0"/>
    <xf numFmtId="181" fontId="20" fillId="0" borderId="0" applyFon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167" fontId="20" fillId="0" borderId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6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14" fillId="0" borderId="0"/>
    <xf numFmtId="9" fontId="16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4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4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12" fillId="0" borderId="0"/>
    <xf numFmtId="0" fontId="12" fillId="0" borderId="0"/>
    <xf numFmtId="4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2" fillId="56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1" fillId="0" borderId="55" applyBorder="0">
      <protection locked="0"/>
    </xf>
    <xf numFmtId="0" fontId="34" fillId="21" borderId="56" applyNumberFormat="0" applyAlignment="0" applyProtection="0"/>
    <xf numFmtId="0" fontId="34" fillId="21" borderId="56" applyNumberFormat="0" applyAlignment="0" applyProtection="0"/>
    <xf numFmtId="0" fontId="34" fillId="21" borderId="56" applyNumberFormat="0" applyAlignment="0" applyProtection="0"/>
    <xf numFmtId="0" fontId="34" fillId="21" borderId="56" applyNumberFormat="0" applyAlignment="0" applyProtection="0"/>
    <xf numFmtId="0" fontId="34" fillId="21" borderId="56" applyNumberFormat="0" applyAlignment="0" applyProtection="0"/>
    <xf numFmtId="0" fontId="34" fillId="21" borderId="56" applyNumberFormat="0" applyAlignment="0" applyProtection="0"/>
    <xf numFmtId="0" fontId="20" fillId="10" borderId="57" applyNumberFormat="0" applyFont="0" applyAlignment="0" applyProtection="0"/>
    <xf numFmtId="0" fontId="20" fillId="10" borderId="57" applyNumberFormat="0" applyFont="0" applyAlignment="0" applyProtection="0"/>
    <xf numFmtId="0" fontId="20" fillId="10" borderId="57" applyNumberFormat="0" applyFont="0" applyAlignment="0" applyProtection="0"/>
    <xf numFmtId="0" fontId="20" fillId="10" borderId="57" applyNumberFormat="0" applyFont="0" applyAlignment="0" applyProtection="0"/>
    <xf numFmtId="0" fontId="20" fillId="10" borderId="57" applyNumberFormat="0" applyFont="0" applyAlignment="0" applyProtection="0"/>
    <xf numFmtId="0" fontId="20" fillId="10" borderId="57" applyNumberFormat="0" applyFont="0" applyAlignment="0" applyProtection="0"/>
    <xf numFmtId="0" fontId="38" fillId="13" borderId="56" applyNumberFormat="0" applyAlignment="0" applyProtection="0"/>
    <xf numFmtId="0" fontId="38" fillId="13" borderId="56" applyNumberFormat="0" applyAlignment="0" applyProtection="0"/>
    <xf numFmtId="0" fontId="38" fillId="13" borderId="56" applyNumberFormat="0" applyAlignment="0" applyProtection="0"/>
    <xf numFmtId="0" fontId="38" fillId="13" borderId="56" applyNumberFormat="0" applyAlignment="0" applyProtection="0"/>
    <xf numFmtId="0" fontId="38" fillId="13" borderId="56" applyNumberFormat="0" applyAlignment="0" applyProtection="0"/>
    <xf numFmtId="0" fontId="38" fillId="13" borderId="56" applyNumberFormat="0" applyAlignment="0" applyProtection="0"/>
    <xf numFmtId="4" fontId="50" fillId="29" borderId="58" applyNumberFormat="0" applyProtection="0">
      <alignment vertical="center"/>
    </xf>
    <xf numFmtId="4" fontId="51" fillId="29" borderId="58" applyNumberFormat="0" applyProtection="0">
      <alignment vertical="center"/>
    </xf>
    <xf numFmtId="4" fontId="52" fillId="29" borderId="58" applyNumberFormat="0" applyProtection="0">
      <alignment horizontal="left" vertical="center" indent="1"/>
    </xf>
    <xf numFmtId="4" fontId="52" fillId="31" borderId="58" applyNumberFormat="0" applyProtection="0">
      <alignment horizontal="right" vertical="center"/>
    </xf>
    <xf numFmtId="4" fontId="52" fillId="32" borderId="58" applyNumberFormat="0" applyProtection="0">
      <alignment horizontal="right" vertical="center"/>
    </xf>
    <xf numFmtId="4" fontId="52" fillId="33" borderId="58" applyNumberFormat="0" applyProtection="0">
      <alignment horizontal="right" vertical="center"/>
    </xf>
    <xf numFmtId="4" fontId="52" fillId="24" borderId="58" applyNumberFormat="0" applyProtection="0">
      <alignment horizontal="right" vertical="center"/>
    </xf>
    <xf numFmtId="4" fontId="52" fillId="34" borderId="58" applyNumberFormat="0" applyProtection="0">
      <alignment horizontal="right" vertical="center"/>
    </xf>
    <xf numFmtId="4" fontId="52" fillId="28" borderId="58" applyNumberFormat="0" applyProtection="0">
      <alignment horizontal="right" vertical="center"/>
    </xf>
    <xf numFmtId="4" fontId="52" fillId="35" borderId="58" applyNumberFormat="0" applyProtection="0">
      <alignment horizontal="right" vertical="center"/>
    </xf>
    <xf numFmtId="4" fontId="52" fillId="36" borderId="58" applyNumberFormat="0" applyProtection="0">
      <alignment horizontal="right" vertical="center"/>
    </xf>
    <xf numFmtId="4" fontId="52" fillId="37" borderId="58" applyNumberFormat="0" applyProtection="0">
      <alignment horizontal="right" vertical="center"/>
    </xf>
    <xf numFmtId="4" fontId="52" fillId="23" borderId="58" applyNumberFormat="0" applyProtection="0">
      <alignment horizontal="right" vertical="center"/>
    </xf>
    <xf numFmtId="4" fontId="52" fillId="22" borderId="58" applyNumberFormat="0" applyProtection="0">
      <alignment vertical="center"/>
    </xf>
    <xf numFmtId="4" fontId="53" fillId="22" borderId="58" applyNumberFormat="0" applyProtection="0">
      <alignment vertical="center"/>
    </xf>
    <xf numFmtId="4" fontId="50" fillId="23" borderId="59" applyNumberFormat="0" applyProtection="0">
      <alignment horizontal="left" vertical="center" indent="1"/>
    </xf>
    <xf numFmtId="4" fontId="53" fillId="22" borderId="58" applyNumberFormat="0" applyProtection="0">
      <alignment horizontal="right" vertical="center"/>
    </xf>
    <xf numFmtId="4" fontId="50" fillId="23" borderId="58" applyNumberFormat="0" applyProtection="0">
      <alignment horizontal="left" vertical="center" indent="1"/>
    </xf>
    <xf numFmtId="4" fontId="55" fillId="39" borderId="59" applyNumberFormat="0" applyProtection="0">
      <alignment horizontal="left" vertical="center" indent="1"/>
    </xf>
    <xf numFmtId="4" fontId="56" fillId="22" borderId="58" applyNumberFormat="0" applyProtection="0">
      <alignment horizontal="right" vertical="center"/>
    </xf>
    <xf numFmtId="0" fontId="58" fillId="21" borderId="60" applyNumberFormat="0" applyAlignment="0" applyProtection="0"/>
    <xf numFmtId="0" fontId="58" fillId="21" borderId="60" applyNumberFormat="0" applyAlignment="0" applyProtection="0"/>
    <xf numFmtId="0" fontId="58" fillId="21" borderId="60" applyNumberFormat="0" applyAlignment="0" applyProtection="0"/>
    <xf numFmtId="0" fontId="58" fillId="21" borderId="60" applyNumberFormat="0" applyAlignment="0" applyProtection="0"/>
    <xf numFmtId="0" fontId="58" fillId="21" borderId="60" applyNumberFormat="0" applyAlignment="0" applyProtection="0"/>
    <xf numFmtId="0" fontId="58" fillId="21" borderId="60" applyNumberFormat="0" applyAlignment="0" applyProtection="0"/>
    <xf numFmtId="0" fontId="64" fillId="0" borderId="61" applyNumberFormat="0" applyFill="0" applyAlignment="0" applyProtection="0"/>
    <xf numFmtId="0" fontId="64" fillId="0" borderId="61" applyNumberFormat="0" applyFill="0" applyAlignment="0" applyProtection="0"/>
    <xf numFmtId="0" fontId="64" fillId="0" borderId="61" applyNumberFormat="0" applyFill="0" applyAlignment="0" applyProtection="0"/>
    <xf numFmtId="0" fontId="64" fillId="0" borderId="61" applyNumberFormat="0" applyFill="0" applyAlignment="0" applyProtection="0"/>
    <xf numFmtId="0" fontId="64" fillId="0" borderId="61" applyNumberFormat="0" applyFill="0" applyAlignment="0" applyProtection="0"/>
    <xf numFmtId="0" fontId="64" fillId="0" borderId="61" applyNumberFormat="0" applyFill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9" fontId="16" fillId="0" borderId="0" applyFont="0" applyFill="0" applyBorder="0" applyAlignment="0" applyProtection="0"/>
    <xf numFmtId="16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1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20" fillId="0" borderId="0"/>
    <xf numFmtId="0" fontId="20" fillId="0" borderId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0" fillId="0" borderId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16" fillId="0" borderId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1" fillId="0" borderId="0"/>
    <xf numFmtId="4" fontId="52" fillId="36" borderId="68" applyNumberFormat="0" applyProtection="0">
      <alignment horizontal="right" vertical="center"/>
    </xf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1" fillId="0" borderId="64" applyBorder="0">
      <protection locked="0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4" fontId="50" fillId="29" borderId="68" applyNumberFormat="0" applyProtection="0">
      <alignment vertical="center"/>
    </xf>
    <xf numFmtId="0" fontId="31" fillId="0" borderId="64" applyBorder="0">
      <protection locked="0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34" borderId="68" applyNumberFormat="0" applyProtection="0">
      <alignment horizontal="right"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0" fontId="58" fillId="21" borderId="70" applyNumberFormat="0" applyAlignment="0" applyProtection="0"/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4" fontId="53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2" fillId="29" borderId="68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7" borderId="68" applyNumberFormat="0" applyProtection="0">
      <alignment horizontal="right" vertical="center"/>
    </xf>
    <xf numFmtId="0" fontId="38" fillId="13" borderId="66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1" fillId="0" borderId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31" fillId="0" borderId="64" applyBorder="0">
      <protection locked="0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2" fillId="32" borderId="68" applyNumberFormat="0" applyProtection="0">
      <alignment horizontal="right" vertical="center"/>
    </xf>
    <xf numFmtId="0" fontId="1" fillId="0" borderId="0"/>
    <xf numFmtId="0" fontId="1" fillId="0" borderId="0"/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3" borderId="69" applyNumberFormat="0" applyProtection="0">
      <alignment horizontal="left" vertical="center" indent="1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2" fillId="31" borderId="68" applyNumberFormat="0" applyProtection="0">
      <alignment horizontal="right" vertical="center"/>
    </xf>
    <xf numFmtId="0" fontId="1" fillId="0" borderId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0" fontId="58" fillId="21" borderId="70" applyNumberFormat="0" applyAlignment="0" applyProtection="0"/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1" fillId="0" borderId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1" fillId="0" borderId="0"/>
    <xf numFmtId="0" fontId="1" fillId="0" borderId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5" borderId="68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1" fillId="0" borderId="0"/>
    <xf numFmtId="4" fontId="51" fillId="29" borderId="68" applyNumberForma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1" fillId="0" borderId="64" applyBorder="0">
      <protection locked="0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31" fillId="0" borderId="64" applyBorder="0">
      <protection locked="0"/>
    </xf>
    <xf numFmtId="4" fontId="51" fillId="29" borderId="68" applyNumberFormat="0" applyProtection="0">
      <alignment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0" fontId="58" fillId="21" borderId="70" applyNumberFormat="0" applyAlignment="0" applyProtection="0"/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2" fillId="29" borderId="68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7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1" fillId="0" borderId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0" fontId="1" fillId="0" borderId="0"/>
    <xf numFmtId="0" fontId="1" fillId="0" borderId="0"/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0" fillId="29" borderId="68" applyNumberFormat="0" applyProtection="0">
      <alignment vertical="center"/>
    </xf>
    <xf numFmtId="0" fontId="1" fillId="0" borderId="0"/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1" fillId="0" borderId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1" fillId="0" borderId="0"/>
    <xf numFmtId="0" fontId="1" fillId="0" borderId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184" fontId="86" fillId="62" borderId="72" applyNumberFormat="0" applyAlignment="0" applyProtection="0">
      <alignment horizontal="left" vertical="center" inden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1" fillId="0" borderId="73" applyBorder="0">
      <protection locked="0"/>
    </xf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21" borderId="74" applyNumberFormat="0" applyAlignment="0" applyProtection="0"/>
    <xf numFmtId="0" fontId="1" fillId="0" borderId="0"/>
    <xf numFmtId="4" fontId="53" fillId="22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4" fontId="51" fillId="29" borderId="76" applyNumberFormat="0" applyProtection="0">
      <alignment vertical="center"/>
    </xf>
    <xf numFmtId="4" fontId="52" fillId="35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4" fontId="55" fillId="39" borderId="77" applyNumberFormat="0" applyProtection="0">
      <alignment horizontal="left" vertical="center" indent="1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4" fontId="52" fillId="36" borderId="76" applyNumberFormat="0" applyProtection="0">
      <alignment horizontal="right" vertical="center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4" fontId="56" fillId="22" borderId="76" applyNumberFormat="0" applyProtection="0">
      <alignment horizontal="right" vertical="center"/>
    </xf>
    <xf numFmtId="0" fontId="34" fillId="21" borderId="74" applyNumberFormat="0" applyAlignment="0" applyProtection="0"/>
    <xf numFmtId="0" fontId="38" fillId="13" borderId="74" applyNumberFormat="0" applyAlignment="0" applyProtection="0"/>
    <xf numFmtId="4" fontId="52" fillId="22" borderId="76" applyNumberFormat="0" applyProtection="0">
      <alignment vertical="center"/>
    </xf>
    <xf numFmtId="0" fontId="34" fillId="21" borderId="74" applyNumberFormat="0" applyAlignment="0" applyProtection="0"/>
    <xf numFmtId="4" fontId="52" fillId="34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0" fontId="34" fillId="21" borderId="74" applyNumberFormat="0" applyAlignment="0" applyProtection="0"/>
    <xf numFmtId="4" fontId="50" fillId="23" borderId="76" applyNumberFormat="0" applyProtection="0">
      <alignment horizontal="left" vertical="center" indent="1"/>
    </xf>
    <xf numFmtId="0" fontId="38" fillId="13" borderId="74" applyNumberFormat="0" applyAlignment="0" applyProtection="0"/>
    <xf numFmtId="0" fontId="58" fillId="21" borderId="78" applyNumberFormat="0" applyAlignment="0" applyProtection="0"/>
    <xf numFmtId="4" fontId="52" fillId="3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0" fontId="34" fillId="21" borderId="74" applyNumberFormat="0" applyAlignment="0" applyProtection="0"/>
    <xf numFmtId="4" fontId="52" fillId="37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4" fontId="50" fillId="29" borderId="76" applyNumberFormat="0" applyProtection="0">
      <alignment vertical="center"/>
    </xf>
    <xf numFmtId="0" fontId="31" fillId="0" borderId="73" applyBorder="0">
      <protection locked="0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34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2" fillId="23" borderId="76" applyNumberFormat="0" applyProtection="0">
      <alignment horizontal="right" vertical="center"/>
    </xf>
    <xf numFmtId="0" fontId="38" fillId="13" borderId="74" applyNumberFormat="0" applyAlignment="0" applyProtection="0"/>
    <xf numFmtId="0" fontId="1" fillId="0" borderId="0"/>
    <xf numFmtId="4" fontId="52" fillId="23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44" fontId="1" fillId="0" borderId="0" applyFont="0" applyFill="0" applyBorder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0" fillId="23" borderId="77" applyNumberFormat="0" applyProtection="0">
      <alignment horizontal="left" vertical="center" indent="1"/>
    </xf>
    <xf numFmtId="0" fontId="34" fillId="21" borderId="74" applyNumberFormat="0" applyAlignment="0" applyProtection="0"/>
    <xf numFmtId="4" fontId="52" fillId="24" borderId="76" applyNumberFormat="0" applyProtection="0">
      <alignment horizontal="right" vertical="center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3" fillId="22" borderId="76" applyNumberFormat="0" applyProtection="0">
      <alignment horizontal="right" vertical="center"/>
    </xf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2" fillId="36" borderId="76" applyNumberFormat="0" applyProtection="0">
      <alignment horizontal="right" vertical="center"/>
    </xf>
    <xf numFmtId="0" fontId="34" fillId="21" borderId="74" applyNumberFormat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4" fontId="52" fillId="34" borderId="76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4" fontId="53" fillId="22" borderId="76" applyNumberFormat="0" applyProtection="0">
      <alignment vertical="center"/>
    </xf>
    <xf numFmtId="4" fontId="52" fillId="22" borderId="76" applyNumberFormat="0" applyProtection="0">
      <alignment vertical="center"/>
    </xf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4" fontId="50" fillId="23" borderId="76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0" fontId="38" fillId="13" borderId="74" applyNumberFormat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2" fillId="28" borderId="76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" fontId="52" fillId="29" borderId="76" applyNumberFormat="0" applyProtection="0">
      <alignment horizontal="left" vertical="center" indent="1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58" fillId="21" borderId="78" applyNumberFormat="0" applyAlignment="0" applyProtection="0"/>
    <xf numFmtId="0" fontId="38" fillId="13" borderId="74" applyNumberFormat="0" applyAlignment="0" applyProtection="0"/>
    <xf numFmtId="4" fontId="50" fillId="23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4" fillId="21" borderId="74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4" fillId="21" borderId="74" applyNumberFormat="0" applyAlignment="0" applyProtection="0"/>
    <xf numFmtId="4" fontId="52" fillId="36" borderId="68" applyNumberFormat="0" applyProtection="0">
      <alignment horizontal="right" vertical="center"/>
    </xf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1" fillId="0" borderId="64" applyBorder="0">
      <protection locked="0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4" fontId="50" fillId="29" borderId="68" applyNumberFormat="0" applyProtection="0">
      <alignment vertical="center"/>
    </xf>
    <xf numFmtId="0" fontId="31" fillId="0" borderId="64" applyBorder="0">
      <protection locked="0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34" borderId="68" applyNumberFormat="0" applyProtection="0">
      <alignment horizontal="right"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0" fontId="58" fillId="21" borderId="70" applyNumberFormat="0" applyAlignment="0" applyProtection="0"/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4" fontId="53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2" fillId="29" borderId="68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7" borderId="68" applyNumberFormat="0" applyProtection="0">
      <alignment horizontal="right" vertical="center"/>
    </xf>
    <xf numFmtId="0" fontId="38" fillId="13" borderId="66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31" fillId="0" borderId="64" applyBorder="0">
      <protection locked="0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2" fillId="32" borderId="68" applyNumberFormat="0" applyProtection="0">
      <alignment horizontal="right" vertical="center"/>
    </xf>
    <xf numFmtId="0" fontId="34" fillId="21" borderId="74" applyNumberFormat="0" applyAlignment="0" applyProtection="0"/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3" borderId="69" applyNumberFormat="0" applyProtection="0">
      <alignment horizontal="left" vertical="center" indent="1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2" fillId="31" borderId="68" applyNumberFormat="0" applyProtection="0">
      <alignment horizontal="right" vertical="center"/>
    </xf>
    <xf numFmtId="0" fontId="38" fillId="13" borderId="74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0" fontId="58" fillId="21" borderId="70" applyNumberFormat="0" applyAlignment="0" applyProtection="0"/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20" fillId="10" borderId="75" applyNumberFormat="0" applyFon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5" borderId="68" applyNumberFormat="0" applyProtection="0">
      <alignment horizontal="right" vertical="center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1" fillId="29" borderId="68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31" fillId="0" borderId="73" applyBorder="0">
      <protection locked="0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1" fillId="0" borderId="64" applyBorder="0">
      <protection locked="0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31" fillId="0" borderId="64" applyBorder="0">
      <protection locked="0"/>
    </xf>
    <xf numFmtId="4" fontId="51" fillId="29" borderId="68" applyNumberFormat="0" applyProtection="0">
      <alignment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0" fontId="58" fillId="21" borderId="70" applyNumberFormat="0" applyAlignment="0" applyProtection="0"/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2" fillId="29" borderId="68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7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0" fillId="29" borderId="68" applyNumberFormat="0" applyProtection="0">
      <alignment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20" fillId="10" borderId="75" applyNumberFormat="0" applyFon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2" fillId="33" borderId="76" applyNumberFormat="0" applyProtection="0">
      <alignment horizontal="right" vertical="center"/>
    </xf>
    <xf numFmtId="0" fontId="31" fillId="0" borderId="73" applyBorder="0">
      <protection locked="0"/>
    </xf>
    <xf numFmtId="0" fontId="38" fillId="13" borderId="74" applyNumberFormat="0" applyAlignment="0" applyProtection="0"/>
    <xf numFmtId="0" fontId="34" fillId="21" borderId="74" applyNumberFormat="0" applyAlignment="0" applyProtection="0"/>
    <xf numFmtId="4" fontId="50" fillId="23" borderId="77" applyNumberFormat="0" applyProtection="0">
      <alignment horizontal="left" vertical="center" indent="1"/>
    </xf>
    <xf numFmtId="4" fontId="50" fillId="23" borderId="77" applyNumberFormat="0" applyProtection="0">
      <alignment horizontal="left" vertical="center" indent="1"/>
    </xf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38" fillId="13" borderId="74" applyNumberFormat="0" applyAlignment="0" applyProtection="0"/>
    <xf numFmtId="4" fontId="52" fillId="24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4" fontId="52" fillId="22" borderId="76" applyNumberFormat="0" applyProtection="0">
      <alignment vertical="center"/>
    </xf>
    <xf numFmtId="4" fontId="51" fillId="29" borderId="76" applyNumberFormat="0" applyProtection="0">
      <alignment vertical="center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64" fillId="0" borderId="79" applyNumberFormat="0" applyFill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2" fillId="32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2" fillId="32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4" fontId="50" fillId="23" borderId="76" applyNumberFormat="0" applyProtection="0">
      <alignment horizontal="left" vertical="center" indent="1"/>
    </xf>
    <xf numFmtId="4" fontId="52" fillId="33" borderId="76" applyNumberFormat="0" applyProtection="0">
      <alignment horizontal="right" vertical="center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4" fontId="52" fillId="32" borderId="76" applyNumberFormat="0" applyProtection="0">
      <alignment horizontal="right" vertical="center"/>
    </xf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2" fillId="34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4" fontId="52" fillId="33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4" fontId="56" fillId="22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4" fontId="52" fillId="31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4" fontId="52" fillId="29" borderId="76" applyNumberFormat="0" applyProtection="0">
      <alignment horizontal="left" vertical="center" indent="1"/>
    </xf>
    <xf numFmtId="4" fontId="52" fillId="35" borderId="76" applyNumberFormat="0" applyProtection="0">
      <alignment horizontal="right" vertical="center"/>
    </xf>
    <xf numFmtId="0" fontId="1" fillId="0" borderId="0"/>
    <xf numFmtId="0" fontId="34" fillId="21" borderId="74" applyNumberFormat="0" applyAlignment="0" applyProtection="0"/>
    <xf numFmtId="0" fontId="38" fillId="13" borderId="74" applyNumberFormat="0" applyAlignment="0" applyProtection="0"/>
    <xf numFmtId="4" fontId="53" fillId="22" borderId="76" applyNumberFormat="0" applyProtection="0">
      <alignment horizontal="right" vertical="center"/>
    </xf>
    <xf numFmtId="0" fontId="34" fillId="21" borderId="74" applyNumberFormat="0" applyAlignment="0" applyProtection="0"/>
    <xf numFmtId="0" fontId="34" fillId="21" borderId="74" applyNumberFormat="0" applyAlignment="0" applyProtection="0"/>
    <xf numFmtId="4" fontId="52" fillId="35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6" borderId="76" applyNumberFormat="0" applyProtection="0">
      <alignment horizontal="right" vertical="center"/>
    </xf>
    <xf numFmtId="4" fontId="50" fillId="29" borderId="76" applyNumberFormat="0" applyProtection="0">
      <alignment vertical="center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3" fillId="22" borderId="76" applyNumberFormat="0" applyProtection="0">
      <alignment vertical="center"/>
    </xf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5" fillId="39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3" fillId="22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4" fontId="53" fillId="22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2" fillId="29" borderId="76" applyNumberFormat="0" applyProtection="0">
      <alignment horizontal="left" vertical="center" indent="1"/>
    </xf>
    <xf numFmtId="4" fontId="52" fillId="37" borderId="76" applyNumberFormat="0" applyProtection="0">
      <alignment horizontal="right" vertical="center"/>
    </xf>
    <xf numFmtId="0" fontId="20" fillId="10" borderId="75" applyNumberFormat="0" applyFont="0" applyAlignment="0" applyProtection="0"/>
    <xf numFmtId="4" fontId="52" fillId="29" borderId="76" applyNumberFormat="0" applyProtection="0">
      <alignment horizontal="left" vertical="center" indent="1"/>
    </xf>
    <xf numFmtId="4" fontId="52" fillId="23" borderId="76" applyNumberFormat="0" applyProtection="0">
      <alignment horizontal="right" vertical="center"/>
    </xf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4" fontId="52" fillId="24" borderId="76" applyNumberFormat="0" applyProtection="0">
      <alignment horizontal="right" vertical="center"/>
    </xf>
    <xf numFmtId="0" fontId="20" fillId="10" borderId="75" applyNumberFormat="0" applyFont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4" fontId="56" fillId="22" borderId="76" applyNumberFormat="0" applyProtection="0">
      <alignment horizontal="right" vertical="center"/>
    </xf>
    <xf numFmtId="4" fontId="50" fillId="23" borderId="77" applyNumberFormat="0" applyProtection="0">
      <alignment horizontal="left" vertical="center" indent="1"/>
    </xf>
    <xf numFmtId="4" fontId="52" fillId="22" borderId="76" applyNumberFormat="0" applyProtection="0">
      <alignment vertical="center"/>
    </xf>
    <xf numFmtId="4" fontId="52" fillId="37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33" borderId="76" applyNumberFormat="0" applyProtection="0">
      <alignment horizontal="right" vertical="center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3" borderId="76" applyNumberFormat="0" applyProtection="0">
      <alignment horizontal="left" vertical="center" indent="1"/>
    </xf>
    <xf numFmtId="0" fontId="58" fillId="21" borderId="78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4" fontId="52" fillId="22" borderId="76" applyNumberFormat="0" applyProtection="0">
      <alignment vertical="center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4" fontId="52" fillId="28" borderId="76" applyNumberFormat="0" applyProtection="0">
      <alignment horizontal="right" vertical="center"/>
    </xf>
    <xf numFmtId="0" fontId="34" fillId="21" borderId="74" applyNumberFormat="0" applyAlignment="0" applyProtection="0"/>
    <xf numFmtId="4" fontId="53" fillId="22" borderId="76" applyNumberFormat="0" applyProtection="0">
      <alignment vertical="center"/>
    </xf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4" fontId="51" fillId="29" borderId="76" applyNumberFormat="0" applyProtection="0">
      <alignment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4" fontId="52" fillId="29" borderId="76" applyNumberFormat="0" applyProtection="0">
      <alignment horizontal="left" vertical="center" indent="1"/>
    </xf>
    <xf numFmtId="0" fontId="34" fillId="21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4" fontId="52" fillId="36" borderId="76" applyNumberFormat="0" applyProtection="0">
      <alignment horizontal="right" vertical="center"/>
    </xf>
    <xf numFmtId="4" fontId="53" fillId="22" borderId="76" applyNumberFormat="0" applyProtection="0">
      <alignment vertical="center"/>
    </xf>
    <xf numFmtId="0" fontId="58" fillId="21" borderId="78" applyNumberFormat="0" applyAlignment="0" applyProtection="0"/>
    <xf numFmtId="0" fontId="20" fillId="10" borderId="75" applyNumberFormat="0" applyFont="0" applyAlignment="0" applyProtection="0"/>
    <xf numFmtId="4" fontId="55" fillId="39" borderId="77" applyNumberFormat="0" applyProtection="0">
      <alignment horizontal="left" vertical="center" indent="1"/>
    </xf>
    <xf numFmtId="4" fontId="52" fillId="33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34" fillId="21" borderId="74" applyNumberFormat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2" fillId="28" borderId="76" applyNumberFormat="0" applyProtection="0">
      <alignment horizontal="right" vertical="center"/>
    </xf>
    <xf numFmtId="0" fontId="38" fillId="13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2" fillId="31" borderId="76" applyNumberFormat="0" applyProtection="0">
      <alignment horizontal="right" vertical="center"/>
    </xf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6" borderId="68" applyNumberFormat="0" applyProtection="0">
      <alignment horizontal="right" vertical="center"/>
    </xf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1" fillId="0" borderId="64" applyBorder="0">
      <protection locked="0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4" fontId="50" fillId="29" borderId="68" applyNumberFormat="0" applyProtection="0">
      <alignment vertical="center"/>
    </xf>
    <xf numFmtId="0" fontId="31" fillId="0" borderId="64" applyBorder="0">
      <protection locked="0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34" borderId="68" applyNumberFormat="0" applyProtection="0">
      <alignment horizontal="right"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0" fontId="58" fillId="21" borderId="70" applyNumberFormat="0" applyAlignment="0" applyProtection="0"/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4" fontId="53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2" fillId="29" borderId="68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7" borderId="68" applyNumberFormat="0" applyProtection="0">
      <alignment horizontal="right" vertical="center"/>
    </xf>
    <xf numFmtId="0" fontId="38" fillId="13" borderId="66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31" fillId="0" borderId="64" applyBorder="0">
      <protection locked="0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2" fillId="3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3" borderId="69" applyNumberFormat="0" applyProtection="0">
      <alignment horizontal="left" vertical="center" indent="1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2" fillId="31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0" fontId="58" fillId="21" borderId="70" applyNumberFormat="0" applyAlignment="0" applyProtection="0"/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5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1" fillId="29" borderId="68" applyNumberFormat="0" applyProtection="0">
      <alignment vertical="center"/>
    </xf>
    <xf numFmtId="0" fontId="20" fillId="10" borderId="75" applyNumberFormat="0" applyFont="0" applyAlignment="0" applyProtection="0"/>
    <xf numFmtId="4" fontId="52" fillId="29" borderId="68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1" fillId="0" borderId="64" applyBorder="0">
      <protection locked="0"/>
    </xf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1" fillId="0" borderId="64" applyBorder="0">
      <protection locked="0"/>
    </xf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4" fillId="21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8" fillId="13" borderId="66" applyNumberFormat="0" applyAlignment="0" applyProtection="0"/>
    <xf numFmtId="0" fontId="31" fillId="0" borderId="64" applyBorder="0">
      <protection locked="0"/>
    </xf>
    <xf numFmtId="0" fontId="31" fillId="0" borderId="64" applyBorder="0">
      <protection locked="0"/>
    </xf>
    <xf numFmtId="4" fontId="51" fillId="29" borderId="68" applyNumberFormat="0" applyProtection="0">
      <alignment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0" fontId="58" fillId="21" borderId="70" applyNumberFormat="0" applyAlignment="0" applyProtection="0"/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3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2" fillId="29" borderId="68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0" fillId="29" borderId="68" applyNumberFormat="0" applyProtection="0">
      <alignment vertical="center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2" fillId="37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38" fillId="13" borderId="66" applyNumberFormat="0" applyAlignment="0" applyProtection="0"/>
    <xf numFmtId="0" fontId="20" fillId="10" borderId="67" applyNumberFormat="0" applyFon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4" fontId="50" fillId="29" borderId="68" applyNumberFormat="0" applyProtection="0">
      <alignment vertical="center"/>
    </xf>
    <xf numFmtId="4" fontId="51" fillId="29" borderId="68" applyNumberFormat="0" applyProtection="0">
      <alignment vertical="center"/>
    </xf>
    <xf numFmtId="4" fontId="52" fillId="29" borderId="68" applyNumberFormat="0" applyProtection="0">
      <alignment horizontal="left" vertical="center" indent="1"/>
    </xf>
    <xf numFmtId="4" fontId="52" fillId="31" borderId="68" applyNumberFormat="0" applyProtection="0">
      <alignment horizontal="right" vertical="center"/>
    </xf>
    <xf numFmtId="4" fontId="52" fillId="32" borderId="68" applyNumberFormat="0" applyProtection="0">
      <alignment horizontal="right" vertical="center"/>
    </xf>
    <xf numFmtId="4" fontId="52" fillId="33" borderId="68" applyNumberFormat="0" applyProtection="0">
      <alignment horizontal="right" vertical="center"/>
    </xf>
    <xf numFmtId="4" fontId="52" fillId="24" borderId="68" applyNumberFormat="0" applyProtection="0">
      <alignment horizontal="right" vertical="center"/>
    </xf>
    <xf numFmtId="4" fontId="52" fillId="34" borderId="68" applyNumberFormat="0" applyProtection="0">
      <alignment horizontal="right" vertical="center"/>
    </xf>
    <xf numFmtId="4" fontId="52" fillId="28" borderId="68" applyNumberFormat="0" applyProtection="0">
      <alignment horizontal="right" vertical="center"/>
    </xf>
    <xf numFmtId="4" fontId="52" fillId="35" borderId="68" applyNumberFormat="0" applyProtection="0">
      <alignment horizontal="right" vertical="center"/>
    </xf>
    <xf numFmtId="4" fontId="52" fillId="36" borderId="68" applyNumberFormat="0" applyProtection="0">
      <alignment horizontal="right" vertical="center"/>
    </xf>
    <xf numFmtId="4" fontId="52" fillId="37" borderId="68" applyNumberFormat="0" applyProtection="0">
      <alignment horizontal="right"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4" fontId="50" fillId="29" borderId="68" applyNumberFormat="0" applyProtection="0">
      <alignment vertical="center"/>
    </xf>
    <xf numFmtId="4" fontId="52" fillId="23" borderId="68" applyNumberFormat="0" applyProtection="0">
      <alignment horizontal="right" vertical="center"/>
    </xf>
    <xf numFmtId="4" fontId="52" fillId="22" borderId="68" applyNumberFormat="0" applyProtection="0">
      <alignment vertical="center"/>
    </xf>
    <xf numFmtId="4" fontId="53" fillId="22" borderId="68" applyNumberFormat="0" applyProtection="0">
      <alignment vertical="center"/>
    </xf>
    <xf numFmtId="4" fontId="50" fillId="23" borderId="69" applyNumberFormat="0" applyProtection="0">
      <alignment horizontal="left" vertical="center" indent="1"/>
    </xf>
    <xf numFmtId="4" fontId="53" fillId="22" borderId="68" applyNumberFormat="0" applyProtection="0">
      <alignment horizontal="right" vertical="center"/>
    </xf>
    <xf numFmtId="4" fontId="50" fillId="23" borderId="68" applyNumberFormat="0" applyProtection="0">
      <alignment horizontal="left" vertical="center" indent="1"/>
    </xf>
    <xf numFmtId="4" fontId="55" fillId="39" borderId="69" applyNumberFormat="0" applyProtection="0">
      <alignment horizontal="left" vertical="center" indent="1"/>
    </xf>
    <xf numFmtId="4" fontId="56" fillId="22" borderId="68" applyNumberFormat="0" applyProtection="0">
      <alignment horizontal="right" vertical="center"/>
    </xf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67" applyNumberFormat="0" applyFont="0" applyAlignment="0" applyProtection="0"/>
    <xf numFmtId="0" fontId="20" fillId="10" borderId="67" applyNumberFormat="0" applyFont="0" applyAlignment="0" applyProtection="0"/>
    <xf numFmtId="0" fontId="38" fillId="13" borderId="66" applyNumberFormat="0" applyAlignment="0" applyProtection="0"/>
    <xf numFmtId="0" fontId="20" fillId="10" borderId="75" applyNumberFormat="0" applyFont="0" applyAlignment="0" applyProtection="0"/>
    <xf numFmtId="0" fontId="58" fillId="21" borderId="70" applyNumberFormat="0" applyAlignment="0" applyProtection="0"/>
    <xf numFmtId="0" fontId="58" fillId="21" borderId="70" applyNumberFormat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64" fillId="0" borderId="71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6" fillId="22" borderId="76" applyNumberFormat="0" applyProtection="0">
      <alignment horizontal="right"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2" fillId="3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4" fontId="55" fillId="39" borderId="77" applyNumberFormat="0" applyProtection="0">
      <alignment horizontal="left" vertical="center" indent="1"/>
    </xf>
    <xf numFmtId="0" fontId="34" fillId="21" borderId="74" applyNumberFormat="0" applyAlignment="0" applyProtection="0"/>
    <xf numFmtId="0" fontId="38" fillId="13" borderId="74" applyNumberFormat="0" applyAlignment="0" applyProtection="0"/>
    <xf numFmtId="4" fontId="52" fillId="24" borderId="76" applyNumberFormat="0" applyProtection="0">
      <alignment horizontal="right" vertical="center"/>
    </xf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4" fontId="53" fillId="22" borderId="76" applyNumberFormat="0" applyProtection="0">
      <alignment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1" fillId="0" borderId="73" applyBorder="0">
      <protection locked="0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2" fillId="3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3" borderId="77" applyNumberFormat="0" applyProtection="0">
      <alignment horizontal="left" vertical="center" indent="1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58" fillId="21" borderId="78" applyNumberFormat="0" applyAlignment="0" applyProtection="0"/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5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73" applyBorder="0">
      <protection locked="0"/>
    </xf>
    <xf numFmtId="4" fontId="51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0" fillId="29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4" fontId="52" fillId="31" borderId="76" applyNumberFormat="0" applyProtection="0">
      <alignment horizontal="right" vertical="center"/>
    </xf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1" fillId="0" borderId="73" applyBorder="0">
      <protection locked="0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2" fillId="3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3" borderId="77" applyNumberFormat="0" applyProtection="0">
      <alignment horizontal="left" vertical="center" indent="1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58" fillId="21" borderId="78" applyNumberFormat="0" applyAlignment="0" applyProtection="0"/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5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73" applyBorder="0">
      <protection locked="0"/>
    </xf>
    <xf numFmtId="4" fontId="51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0" fillId="29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1" fillId="0" borderId="73" applyBorder="0">
      <protection locked="0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2" fillId="3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3" borderId="77" applyNumberFormat="0" applyProtection="0">
      <alignment horizontal="left" vertical="center" indent="1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58" fillId="21" borderId="78" applyNumberFormat="0" applyAlignment="0" applyProtection="0"/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5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73" applyBorder="0">
      <protection locked="0"/>
    </xf>
    <xf numFmtId="4" fontId="51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0" fillId="29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4" fontId="52" fillId="36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4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31" fillId="0" borderId="73" applyBorder="0">
      <protection locked="0"/>
    </xf>
    <xf numFmtId="4" fontId="50" fillId="29" borderId="76" applyNumberFormat="0" applyProtection="0">
      <alignment vertical="center"/>
    </xf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4" fontId="50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6" fillId="22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0" fillId="23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4" fontId="50" fillId="29" borderId="76" applyNumberFormat="0" applyProtection="0">
      <alignment vertical="center"/>
    </xf>
    <xf numFmtId="0" fontId="31" fillId="0" borderId="73" applyBorder="0">
      <protection locked="0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34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20" fillId="10" borderId="75" applyNumberFormat="0" applyFont="0" applyAlignment="0" applyProtection="0"/>
    <xf numFmtId="4" fontId="52" fillId="34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38" fillId="13" borderId="74" applyNumberFormat="0" applyAlignment="0" applyProtection="0"/>
    <xf numFmtId="4" fontId="53" fillId="22" borderId="76" applyNumberFormat="0" applyProtection="0">
      <alignment horizontal="right" vertical="center"/>
    </xf>
    <xf numFmtId="0" fontId="34" fillId="21" borderId="74" applyNumberFormat="0" applyAlignment="0" applyProtection="0"/>
    <xf numFmtId="0" fontId="58" fillId="21" borderId="78" applyNumberFormat="0" applyAlignment="0" applyProtection="0"/>
    <xf numFmtId="0" fontId="20" fillId="10" borderId="75" applyNumberFormat="0" applyFont="0" applyAlignment="0" applyProtection="0"/>
    <xf numFmtId="4" fontId="52" fillId="35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0" fontId="64" fillId="0" borderId="79" applyNumberFormat="0" applyFill="0" applyAlignment="0" applyProtection="0"/>
    <xf numFmtId="4" fontId="55" fillId="39" borderId="77" applyNumberFormat="0" applyProtection="0">
      <alignment horizontal="left" vertical="center" indent="1"/>
    </xf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38" fillId="13" borderId="74" applyNumberFormat="0" applyAlignment="0" applyProtection="0"/>
    <xf numFmtId="4" fontId="52" fillId="22" borderId="76" applyNumberFormat="0" applyProtection="0">
      <alignment vertical="center"/>
    </xf>
    <xf numFmtId="4" fontId="52" fillId="36" borderId="76" applyNumberFormat="0" applyProtection="0">
      <alignment horizontal="right" vertical="center"/>
    </xf>
    <xf numFmtId="0" fontId="38" fillId="13" borderId="74" applyNumberFormat="0" applyAlignment="0" applyProtection="0"/>
    <xf numFmtId="4" fontId="52" fillId="29" borderId="76" applyNumberFormat="0" applyProtection="0">
      <alignment horizontal="left" vertical="center" indent="1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4" fontId="52" fillId="37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0" fontId="58" fillId="21" borderId="78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4" fontId="53" fillId="22" borderId="76" applyNumberFormat="0" applyProtection="0">
      <alignment vertical="center"/>
    </xf>
    <xf numFmtId="0" fontId="34" fillId="21" borderId="74" applyNumberFormat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4" fontId="50" fillId="23" borderId="76" applyNumberFormat="0" applyProtection="0">
      <alignment horizontal="left" vertical="center" indent="1"/>
    </xf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20" fillId="10" borderId="75" applyNumberFormat="0" applyFont="0" applyAlignment="0" applyProtection="0"/>
    <xf numFmtId="4" fontId="52" fillId="37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6" fillId="22" borderId="76" applyNumberFormat="0" applyProtection="0">
      <alignment horizontal="right" vertical="center"/>
    </xf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58" fillId="21" borderId="78" applyNumberFormat="0" applyAlignment="0" applyProtection="0"/>
    <xf numFmtId="0" fontId="38" fillId="13" borderId="74" applyNumberFormat="0" applyAlignment="0" applyProtection="0"/>
    <xf numFmtId="4" fontId="50" fillId="23" borderId="77" applyNumberFormat="0" applyProtection="0">
      <alignment horizontal="left" vertical="center" indent="1"/>
    </xf>
    <xf numFmtId="4" fontId="52" fillId="23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0" fillId="29" borderId="76" applyNumberFormat="0" applyProtection="0">
      <alignment vertical="center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6" borderId="76" applyNumberFormat="0" applyProtection="0">
      <alignment horizontal="right"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4" fontId="50" fillId="29" borderId="76" applyNumberFormat="0" applyProtection="0">
      <alignment vertical="center"/>
    </xf>
    <xf numFmtId="0" fontId="31" fillId="0" borderId="73" applyBorder="0">
      <protection locked="0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34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1" fillId="0" borderId="73" applyBorder="0">
      <protection locked="0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2" fillId="3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3" borderId="77" applyNumberFormat="0" applyProtection="0">
      <alignment horizontal="left" vertical="center" indent="1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58" fillId="21" borderId="78" applyNumberFormat="0" applyAlignment="0" applyProtection="0"/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5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73" applyBorder="0">
      <protection locked="0"/>
    </xf>
    <xf numFmtId="4" fontId="51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0" fillId="29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4" fontId="52" fillId="29" borderId="76" applyNumberFormat="0" applyProtection="0">
      <alignment horizontal="left" vertical="center" indent="1"/>
    </xf>
    <xf numFmtId="4" fontId="52" fillId="33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1" fillId="0" borderId="73" applyBorder="0">
      <protection locked="0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2" fillId="3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3" borderId="77" applyNumberFormat="0" applyProtection="0">
      <alignment horizontal="left" vertical="center" indent="1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58" fillId="21" borderId="78" applyNumberFormat="0" applyAlignment="0" applyProtection="0"/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5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73" applyBorder="0">
      <protection locked="0"/>
    </xf>
    <xf numFmtId="4" fontId="51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0" fillId="29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3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38" fillId="13" borderId="74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31" fillId="0" borderId="73" applyBorder="0">
      <protection locked="0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2" fillId="3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3" borderId="77" applyNumberFormat="0" applyProtection="0">
      <alignment horizontal="left" vertical="center" indent="1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0" fontId="58" fillId="21" borderId="78" applyNumberFormat="0" applyAlignment="0" applyProtection="0"/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5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1" fillId="0" borderId="73" applyBorder="0">
      <protection locked="0"/>
    </xf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1" fillId="0" borderId="73" applyBorder="0">
      <protection locked="0"/>
    </xf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4" fillId="21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8" fillId="13" borderId="74" applyNumberFormat="0" applyAlignment="0" applyProtection="0"/>
    <xf numFmtId="0" fontId="31" fillId="0" borderId="73" applyBorder="0">
      <protection locked="0"/>
    </xf>
    <xf numFmtId="0" fontId="31" fillId="0" borderId="73" applyBorder="0">
      <protection locked="0"/>
    </xf>
    <xf numFmtId="4" fontId="51" fillId="29" borderId="76" applyNumberFormat="0" applyProtection="0">
      <alignment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0" fontId="58" fillId="21" borderId="78" applyNumberFormat="0" applyAlignment="0" applyProtection="0"/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3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2" fillId="29" borderId="76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0" fillId="29" borderId="76" applyNumberFormat="0" applyProtection="0">
      <alignment vertical="center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2" fillId="37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8" fillId="13" borderId="74" applyNumberFormat="0" applyAlignment="0" applyProtection="0"/>
    <xf numFmtId="0" fontId="20" fillId="10" borderId="75" applyNumberFormat="0" applyFon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4" fontId="50" fillId="29" borderId="76" applyNumberFormat="0" applyProtection="0">
      <alignment vertical="center"/>
    </xf>
    <xf numFmtId="4" fontId="51" fillId="29" borderId="76" applyNumberFormat="0" applyProtection="0">
      <alignment vertical="center"/>
    </xf>
    <xf numFmtId="4" fontId="52" fillId="29" borderId="76" applyNumberFormat="0" applyProtection="0">
      <alignment horizontal="left" vertical="center" indent="1"/>
    </xf>
    <xf numFmtId="4" fontId="52" fillId="31" borderId="76" applyNumberFormat="0" applyProtection="0">
      <alignment horizontal="right" vertical="center"/>
    </xf>
    <xf numFmtId="4" fontId="52" fillId="32" borderId="76" applyNumberFormat="0" applyProtection="0">
      <alignment horizontal="right" vertical="center"/>
    </xf>
    <xf numFmtId="4" fontId="52" fillId="33" borderId="76" applyNumberFormat="0" applyProtection="0">
      <alignment horizontal="right" vertical="center"/>
    </xf>
    <xf numFmtId="4" fontId="52" fillId="24" borderId="76" applyNumberFormat="0" applyProtection="0">
      <alignment horizontal="right" vertical="center"/>
    </xf>
    <xf numFmtId="4" fontId="52" fillId="34" borderId="76" applyNumberFormat="0" applyProtection="0">
      <alignment horizontal="right" vertical="center"/>
    </xf>
    <xf numFmtId="4" fontId="52" fillId="28" borderId="76" applyNumberFormat="0" applyProtection="0">
      <alignment horizontal="right" vertical="center"/>
    </xf>
    <xf numFmtId="4" fontId="52" fillId="35" borderId="76" applyNumberFormat="0" applyProtection="0">
      <alignment horizontal="right" vertical="center"/>
    </xf>
    <xf numFmtId="4" fontId="52" fillId="36" borderId="76" applyNumberFormat="0" applyProtection="0">
      <alignment horizontal="right" vertical="center"/>
    </xf>
    <xf numFmtId="4" fontId="52" fillId="37" borderId="76" applyNumberFormat="0" applyProtection="0">
      <alignment horizontal="right"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4" fontId="50" fillId="29" borderId="76" applyNumberFormat="0" applyProtection="0">
      <alignment vertical="center"/>
    </xf>
    <xf numFmtId="4" fontId="52" fillId="23" borderId="76" applyNumberFormat="0" applyProtection="0">
      <alignment horizontal="right" vertical="center"/>
    </xf>
    <xf numFmtId="4" fontId="52" fillId="22" borderId="76" applyNumberFormat="0" applyProtection="0">
      <alignment vertical="center"/>
    </xf>
    <xf numFmtId="4" fontId="53" fillId="22" borderId="76" applyNumberFormat="0" applyProtection="0">
      <alignment vertical="center"/>
    </xf>
    <xf numFmtId="4" fontId="50" fillId="23" borderId="77" applyNumberFormat="0" applyProtection="0">
      <alignment horizontal="left" vertical="center" indent="1"/>
    </xf>
    <xf numFmtId="4" fontId="53" fillId="22" borderId="76" applyNumberFormat="0" applyProtection="0">
      <alignment horizontal="right" vertical="center"/>
    </xf>
    <xf numFmtId="4" fontId="50" fillId="23" borderId="76" applyNumberFormat="0" applyProtection="0">
      <alignment horizontal="left" vertical="center" indent="1"/>
    </xf>
    <xf numFmtId="4" fontId="55" fillId="39" borderId="77" applyNumberFormat="0" applyProtection="0">
      <alignment horizontal="left" vertical="center" indent="1"/>
    </xf>
    <xf numFmtId="4" fontId="56" fillId="22" borderId="76" applyNumberFormat="0" applyProtection="0">
      <alignment horizontal="right" vertical="center"/>
    </xf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20" fillId="10" borderId="75" applyNumberFormat="0" applyFont="0" applyAlignment="0" applyProtection="0"/>
    <xf numFmtId="0" fontId="20" fillId="10" borderId="75" applyNumberFormat="0" applyFont="0" applyAlignment="0" applyProtection="0"/>
    <xf numFmtId="0" fontId="38" fillId="13" borderId="74" applyNumberFormat="0" applyAlignment="0" applyProtection="0"/>
    <xf numFmtId="0" fontId="58" fillId="21" borderId="78" applyNumberFormat="0" applyAlignment="0" applyProtection="0"/>
    <xf numFmtId="0" fontId="58" fillId="21" borderId="78" applyNumberFormat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64" fillId="0" borderId="79" applyNumberFormat="0" applyFill="0" applyAlignment="0" applyProtection="0"/>
    <xf numFmtId="0" fontId="31" fillId="0" borderId="81" applyBorder="0">
      <protection locked="0"/>
    </xf>
    <xf numFmtId="0" fontId="34" fillId="21" borderId="82" applyNumberFormat="0" applyAlignment="0" applyProtection="0"/>
    <xf numFmtId="0" fontId="34" fillId="21" borderId="82" applyNumberFormat="0" applyAlignment="0" applyProtection="0"/>
    <xf numFmtId="0" fontId="34" fillId="21" borderId="82" applyNumberFormat="0" applyAlignment="0" applyProtection="0"/>
    <xf numFmtId="0" fontId="34" fillId="21" borderId="82" applyNumberFormat="0" applyAlignment="0" applyProtection="0"/>
    <xf numFmtId="0" fontId="34" fillId="21" borderId="82" applyNumberFormat="0" applyAlignment="0" applyProtection="0"/>
    <xf numFmtId="0" fontId="34" fillId="21" borderId="82" applyNumberFormat="0" applyAlignment="0" applyProtection="0"/>
    <xf numFmtId="0" fontId="20" fillId="10" borderId="83" applyNumberFormat="0" applyFont="0" applyAlignment="0" applyProtection="0"/>
    <xf numFmtId="0" fontId="20" fillId="10" borderId="83" applyNumberFormat="0" applyFont="0" applyAlignment="0" applyProtection="0"/>
    <xf numFmtId="0" fontId="20" fillId="10" borderId="83" applyNumberFormat="0" applyFont="0" applyAlignment="0" applyProtection="0"/>
    <xf numFmtId="0" fontId="20" fillId="10" borderId="83" applyNumberFormat="0" applyFont="0" applyAlignment="0" applyProtection="0"/>
    <xf numFmtId="0" fontId="20" fillId="10" borderId="83" applyNumberFormat="0" applyFont="0" applyAlignment="0" applyProtection="0"/>
    <xf numFmtId="0" fontId="20" fillId="10" borderId="83" applyNumberFormat="0" applyFont="0" applyAlignment="0" applyProtection="0"/>
    <xf numFmtId="0" fontId="38" fillId="13" borderId="82" applyNumberFormat="0" applyAlignment="0" applyProtection="0"/>
    <xf numFmtId="0" fontId="38" fillId="13" borderId="82" applyNumberFormat="0" applyAlignment="0" applyProtection="0"/>
    <xf numFmtId="0" fontId="38" fillId="13" borderId="82" applyNumberFormat="0" applyAlignment="0" applyProtection="0"/>
    <xf numFmtId="0" fontId="38" fillId="13" borderId="82" applyNumberFormat="0" applyAlignment="0" applyProtection="0"/>
    <xf numFmtId="0" fontId="38" fillId="13" borderId="82" applyNumberFormat="0" applyAlignment="0" applyProtection="0"/>
    <xf numFmtId="0" fontId="38" fillId="13" borderId="82" applyNumberFormat="0" applyAlignment="0" applyProtection="0"/>
    <xf numFmtId="4" fontId="50" fillId="29" borderId="84" applyNumberFormat="0" applyProtection="0">
      <alignment vertical="center"/>
    </xf>
    <xf numFmtId="4" fontId="51" fillId="29" borderId="84" applyNumberFormat="0" applyProtection="0">
      <alignment vertical="center"/>
    </xf>
    <xf numFmtId="4" fontId="52" fillId="29" borderId="84" applyNumberFormat="0" applyProtection="0">
      <alignment horizontal="left" vertical="center" indent="1"/>
    </xf>
    <xf numFmtId="4" fontId="52" fillId="31" borderId="84" applyNumberFormat="0" applyProtection="0">
      <alignment horizontal="right" vertical="center"/>
    </xf>
    <xf numFmtId="4" fontId="52" fillId="32" borderId="84" applyNumberFormat="0" applyProtection="0">
      <alignment horizontal="right" vertical="center"/>
    </xf>
    <xf numFmtId="4" fontId="52" fillId="33" borderId="84" applyNumberFormat="0" applyProtection="0">
      <alignment horizontal="right" vertical="center"/>
    </xf>
    <xf numFmtId="4" fontId="52" fillId="24" borderId="84" applyNumberFormat="0" applyProtection="0">
      <alignment horizontal="right" vertical="center"/>
    </xf>
    <xf numFmtId="4" fontId="52" fillId="34" borderId="84" applyNumberFormat="0" applyProtection="0">
      <alignment horizontal="right" vertical="center"/>
    </xf>
    <xf numFmtId="4" fontId="52" fillId="28" borderId="84" applyNumberFormat="0" applyProtection="0">
      <alignment horizontal="right" vertical="center"/>
    </xf>
    <xf numFmtId="4" fontId="52" fillId="35" borderId="84" applyNumberFormat="0" applyProtection="0">
      <alignment horizontal="right" vertical="center"/>
    </xf>
    <xf numFmtId="4" fontId="52" fillId="36" borderId="84" applyNumberFormat="0" applyProtection="0">
      <alignment horizontal="right" vertical="center"/>
    </xf>
    <xf numFmtId="4" fontId="52" fillId="37" borderId="84" applyNumberFormat="0" applyProtection="0">
      <alignment horizontal="right" vertical="center"/>
    </xf>
    <xf numFmtId="4" fontId="52" fillId="23" borderId="84" applyNumberFormat="0" applyProtection="0">
      <alignment horizontal="right" vertical="center"/>
    </xf>
    <xf numFmtId="4" fontId="52" fillId="22" borderId="84" applyNumberFormat="0" applyProtection="0">
      <alignment vertical="center"/>
    </xf>
    <xf numFmtId="4" fontId="53" fillId="22" borderId="84" applyNumberFormat="0" applyProtection="0">
      <alignment vertical="center"/>
    </xf>
    <xf numFmtId="4" fontId="50" fillId="23" borderId="85" applyNumberFormat="0" applyProtection="0">
      <alignment horizontal="left" vertical="center" indent="1"/>
    </xf>
    <xf numFmtId="4" fontId="53" fillId="22" borderId="84" applyNumberFormat="0" applyProtection="0">
      <alignment horizontal="right" vertical="center"/>
    </xf>
    <xf numFmtId="4" fontId="50" fillId="23" borderId="84" applyNumberFormat="0" applyProtection="0">
      <alignment horizontal="left" vertical="center" indent="1"/>
    </xf>
    <xf numFmtId="4" fontId="55" fillId="39" borderId="85" applyNumberFormat="0" applyProtection="0">
      <alignment horizontal="left" vertical="center" indent="1"/>
    </xf>
    <xf numFmtId="4" fontId="56" fillId="22" borderId="84" applyNumberFormat="0" applyProtection="0">
      <alignment horizontal="right" vertical="center"/>
    </xf>
    <xf numFmtId="0" fontId="58" fillId="21" borderId="86" applyNumberFormat="0" applyAlignment="0" applyProtection="0"/>
    <xf numFmtId="0" fontId="58" fillId="21" borderId="86" applyNumberFormat="0" applyAlignment="0" applyProtection="0"/>
    <xf numFmtId="0" fontId="58" fillId="21" borderId="86" applyNumberFormat="0" applyAlignment="0" applyProtection="0"/>
    <xf numFmtId="0" fontId="58" fillId="21" borderId="86" applyNumberFormat="0" applyAlignment="0" applyProtection="0"/>
    <xf numFmtId="0" fontId="58" fillId="21" borderId="86" applyNumberFormat="0" applyAlignment="0" applyProtection="0"/>
    <xf numFmtId="0" fontId="58" fillId="21" borderId="86" applyNumberFormat="0" applyAlignment="0" applyProtection="0"/>
    <xf numFmtId="0" fontId="64" fillId="0" borderId="87" applyNumberFormat="0" applyFill="0" applyAlignment="0" applyProtection="0"/>
    <xf numFmtId="0" fontId="64" fillId="0" borderId="87" applyNumberFormat="0" applyFill="0" applyAlignment="0" applyProtection="0"/>
    <xf numFmtId="0" fontId="64" fillId="0" borderId="87" applyNumberFormat="0" applyFill="0" applyAlignment="0" applyProtection="0"/>
    <xf numFmtId="0" fontId="64" fillId="0" borderId="87" applyNumberFormat="0" applyFill="0" applyAlignment="0" applyProtection="0"/>
    <xf numFmtId="0" fontId="64" fillId="0" borderId="87" applyNumberFormat="0" applyFill="0" applyAlignment="0" applyProtection="0"/>
    <xf numFmtId="0" fontId="64" fillId="0" borderId="87" applyNumberFormat="0" applyFill="0" applyAlignment="0" applyProtection="0"/>
    <xf numFmtId="0" fontId="31" fillId="0" borderId="89" applyBorder="0">
      <protection locked="0"/>
    </xf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4" fontId="50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2" fillId="36" borderId="92" applyNumberFormat="0" applyProtection="0">
      <alignment horizontal="right" vertical="center"/>
    </xf>
    <xf numFmtId="4" fontId="52" fillId="29" borderId="92" applyNumberFormat="0" applyProtection="0">
      <alignment horizontal="left" vertical="center" indent="1"/>
    </xf>
    <xf numFmtId="4" fontId="50" fillId="29" borderId="92" applyNumberFormat="0" applyProtection="0">
      <alignment vertical="center"/>
    </xf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1" fillId="0" borderId="89" applyBorder="0">
      <protection locked="0"/>
    </xf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1" fillId="0" borderId="89" applyBorder="0">
      <protection locked="0"/>
    </xf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1" fillId="0" borderId="89" applyBorder="0">
      <protection locked="0"/>
    </xf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1" fillId="0" borderId="89" applyBorder="0">
      <protection locked="0"/>
    </xf>
    <xf numFmtId="4" fontId="50" fillId="29" borderId="92" applyNumberFormat="0" applyProtection="0">
      <alignment vertical="center"/>
    </xf>
    <xf numFmtId="0" fontId="31" fillId="0" borderId="89" applyBorder="0">
      <protection locked="0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1" fillId="29" borderId="92" applyNumberFormat="0" applyProtection="0">
      <alignment vertical="center"/>
    </xf>
    <xf numFmtId="4" fontId="52" fillId="34" borderId="92" applyNumberFormat="0" applyProtection="0">
      <alignment horizontal="right" vertical="center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4" fontId="50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0" fontId="58" fillId="21" borderId="94" applyNumberFormat="0" applyAlignment="0" applyProtection="0"/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3" borderId="92" applyNumberFormat="0" applyProtection="0">
      <alignment horizontal="right" vertical="center"/>
    </xf>
    <xf numFmtId="4" fontId="53" fillId="22" borderId="92" applyNumberFormat="0" applyProtection="0">
      <alignment horizontal="right" vertical="center"/>
    </xf>
    <xf numFmtId="4" fontId="51" fillId="29" borderId="92" applyNumberFormat="0" applyProtection="0">
      <alignment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2" fillId="29" borderId="92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0" fillId="29" borderId="92" applyNumberFormat="0" applyProtection="0">
      <alignment vertical="center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2" fillId="37" borderId="92" applyNumberFormat="0" applyProtection="0">
      <alignment horizontal="right" vertical="center"/>
    </xf>
    <xf numFmtId="0" fontId="38" fillId="13" borderId="90" applyNumberFormat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38" fillId="13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4" fontId="50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0" fontId="31" fillId="0" borderId="89" applyBorder="0">
      <protection locked="0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0" fillId="29" borderId="92" applyNumberFormat="0" applyProtection="0">
      <alignment vertical="center"/>
    </xf>
    <xf numFmtId="4" fontId="52" fillId="32" borderId="92" applyNumberFormat="0" applyProtection="0">
      <alignment horizontal="right"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0" fillId="23" borderId="93" applyNumberFormat="0" applyProtection="0">
      <alignment horizontal="left" vertical="center" indent="1"/>
    </xf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2" fillId="29" borderId="92" applyNumberFormat="0" applyProtection="0">
      <alignment horizontal="left" vertical="center" indent="1"/>
    </xf>
    <xf numFmtId="4" fontId="50" fillId="29" borderId="92" applyNumberFormat="0" applyProtection="0">
      <alignment vertical="center"/>
    </xf>
    <xf numFmtId="4" fontId="52" fillId="31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3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0" fontId="58" fillId="21" borderId="94" applyNumberFormat="0" applyAlignment="0" applyProtection="0"/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4" fillId="21" borderId="90" applyNumberFormat="0" applyAlignment="0" applyProtection="0"/>
    <xf numFmtId="0" fontId="38" fillId="13" borderId="90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2" fillId="35" borderId="92" applyNumberFormat="0" applyProtection="0">
      <alignment horizontal="right" vertical="center"/>
    </xf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0" fillId="29" borderId="92" applyNumberFormat="0" applyProtection="0">
      <alignment vertical="center"/>
    </xf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1" fillId="0" borderId="89" applyBorder="0">
      <protection locked="0"/>
    </xf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1" fillId="0" borderId="89" applyBorder="0">
      <protection locked="0"/>
    </xf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4" fillId="21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1" fillId="0" borderId="89" applyBorder="0">
      <protection locked="0"/>
    </xf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8" fillId="13" borderId="90" applyNumberFormat="0" applyAlignment="0" applyProtection="0"/>
    <xf numFmtId="0" fontId="31" fillId="0" borderId="89" applyBorder="0">
      <protection locked="0"/>
    </xf>
    <xf numFmtId="0" fontId="31" fillId="0" borderId="89" applyBorder="0">
      <protection locked="0"/>
    </xf>
    <xf numFmtId="4" fontId="51" fillId="29" borderId="92" applyNumberFormat="0" applyProtection="0">
      <alignment vertical="center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4" fontId="50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0" fontId="58" fillId="21" borderId="94" applyNumberFormat="0" applyAlignment="0" applyProtection="0"/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3" borderId="92" applyNumberFormat="0" applyProtection="0">
      <alignment horizontal="right" vertical="center"/>
    </xf>
    <xf numFmtId="4" fontId="51" fillId="29" borderId="92" applyNumberFormat="0" applyProtection="0">
      <alignment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2" fillId="29" borderId="92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0" fillId="29" borderId="92" applyNumberFormat="0" applyProtection="0">
      <alignment vertical="center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2" fillId="37" borderId="92" applyNumberFormat="0" applyProtection="0">
      <alignment horizontal="right" vertical="center"/>
    </xf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38" fillId="13" borderId="90" applyNumberFormat="0" applyAlignment="0" applyProtection="0"/>
    <xf numFmtId="0" fontId="20" fillId="10" borderId="91" applyNumberFormat="0" applyFont="0" applyAlignment="0" applyProtection="0"/>
    <xf numFmtId="4" fontId="50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4" fontId="50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52" fillId="29" borderId="92" applyNumberFormat="0" applyProtection="0">
      <alignment horizontal="left" vertical="center" indent="1"/>
    </xf>
    <xf numFmtId="4" fontId="52" fillId="31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4" fontId="50" fillId="29" borderId="92" applyNumberFormat="0" applyProtection="0">
      <alignment vertical="center"/>
    </xf>
    <xf numFmtId="4" fontId="52" fillId="23" borderId="92" applyNumberFormat="0" applyProtection="0">
      <alignment horizontal="right" vertical="center"/>
    </xf>
    <xf numFmtId="4" fontId="52" fillId="22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50" fillId="23" borderId="93" applyNumberFormat="0" applyProtection="0">
      <alignment horizontal="left" vertical="center" indent="1"/>
    </xf>
    <xf numFmtId="4" fontId="53" fillId="22" borderId="92" applyNumberFormat="0" applyProtection="0">
      <alignment horizontal="right" vertical="center"/>
    </xf>
    <xf numFmtId="4" fontId="50" fillId="23" borderId="92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56" fillId="22" borderId="92" applyNumberFormat="0" applyProtection="0">
      <alignment horizontal="right" vertical="center"/>
    </xf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20" fillId="10" borderId="91" applyNumberFormat="0" applyFont="0" applyAlignment="0" applyProtection="0"/>
    <xf numFmtId="0" fontId="20" fillId="10" borderId="91" applyNumberFormat="0" applyFont="0" applyAlignment="0" applyProtection="0"/>
    <xf numFmtId="0" fontId="38" fillId="13" borderId="90" applyNumberFormat="0" applyAlignment="0" applyProtection="0"/>
    <xf numFmtId="0" fontId="58" fillId="21" borderId="94" applyNumberFormat="0" applyAlignment="0" applyProtection="0"/>
    <xf numFmtId="0" fontId="58" fillId="21" borderId="94" applyNumberFormat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64" fillId="0" borderId="95" applyNumberFormat="0" applyFill="0" applyAlignment="0" applyProtection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90" fillId="66" borderId="0" applyNumberFormat="0" applyBorder="0" applyAlignment="0" applyProtection="0"/>
    <xf numFmtId="0" fontId="90" fillId="14" borderId="0" applyNumberFormat="0" applyBorder="0" applyAlignment="0" applyProtection="0"/>
    <xf numFmtId="0" fontId="90" fillId="67" borderId="0" applyNumberFormat="0" applyBorder="0" applyAlignment="0" applyProtection="0"/>
    <xf numFmtId="0" fontId="90" fillId="68" borderId="0" applyNumberFormat="0" applyBorder="0" applyAlignment="0" applyProtection="0"/>
    <xf numFmtId="0" fontId="90" fillId="12" borderId="0" applyNumberFormat="0" applyBorder="0" applyAlignment="0" applyProtection="0"/>
    <xf numFmtId="0" fontId="90" fillId="11" borderId="0" applyNumberFormat="0" applyBorder="0" applyAlignment="0" applyProtection="0"/>
    <xf numFmtId="0" fontId="90" fillId="8" borderId="0" applyNumberFormat="0" applyBorder="0" applyAlignment="0" applyProtection="0"/>
    <xf numFmtId="0" fontId="90" fillId="9" borderId="0" applyNumberFormat="0" applyBorder="0" applyAlignment="0" applyProtection="0"/>
    <xf numFmtId="0" fontId="90" fillId="69" borderId="0" applyNumberFormat="0" applyBorder="0" applyAlignment="0" applyProtection="0"/>
    <xf numFmtId="0" fontId="90" fillId="68" borderId="0" applyNumberFormat="0" applyBorder="0" applyAlignment="0" applyProtection="0"/>
    <xf numFmtId="0" fontId="90" fillId="8" borderId="0" applyNumberFormat="0" applyBorder="0" applyAlignment="0" applyProtection="0"/>
    <xf numFmtId="0" fontId="90" fillId="20" borderId="0" applyNumberFormat="0" applyBorder="0" applyAlignment="0" applyProtection="0"/>
    <xf numFmtId="0" fontId="91" fillId="70" borderId="0" applyNumberFormat="0" applyBorder="0" applyAlignment="0" applyProtection="0"/>
    <xf numFmtId="0" fontId="91" fillId="9" borderId="0" applyNumberFormat="0" applyBorder="0" applyAlignment="0" applyProtection="0"/>
    <xf numFmtId="0" fontId="91" fillId="69" borderId="0" applyNumberFormat="0" applyBorder="0" applyAlignment="0" applyProtection="0"/>
    <xf numFmtId="0" fontId="91" fillId="71" borderId="0" applyNumberFormat="0" applyBorder="0" applyAlignment="0" applyProtection="0"/>
    <xf numFmtId="0" fontId="91" fillId="19" borderId="0" applyNumberFormat="0" applyBorder="0" applyAlignment="0" applyProtection="0"/>
    <xf numFmtId="0" fontId="91" fillId="72" borderId="0" applyNumberFormat="0" applyBorder="0" applyAlignment="0" applyProtection="0"/>
    <xf numFmtId="187" fontId="92" fillId="22" borderId="26">
      <alignment vertical="center"/>
      <protection locked="0"/>
    </xf>
    <xf numFmtId="187" fontId="92" fillId="22" borderId="26">
      <alignment vertical="center"/>
      <protection locked="0"/>
    </xf>
    <xf numFmtId="0" fontId="93" fillId="0" borderId="0" applyNumberFormat="0" applyFill="0" applyBorder="0" applyAlignment="0" applyProtection="0"/>
    <xf numFmtId="0" fontId="94" fillId="73" borderId="90" applyNumberFormat="0" applyAlignment="0" applyProtection="0"/>
    <xf numFmtId="0" fontId="95" fillId="0" borderId="23" applyNumberFormat="0" applyFill="0" applyAlignment="0" applyProtection="0"/>
    <xf numFmtId="0" fontId="89" fillId="65" borderId="80" applyNumberFormat="0" applyAlignment="0" applyProtection="0"/>
    <xf numFmtId="188" fontId="96" fillId="74" borderId="0">
      <alignment vertical="center"/>
      <protection locked="0"/>
    </xf>
    <xf numFmtId="189" fontId="96" fillId="76" borderId="0">
      <alignment vertical="center"/>
      <protection locked="0"/>
    </xf>
    <xf numFmtId="189" fontId="96" fillId="74" borderId="0">
      <alignment vertical="center"/>
      <protection locked="0"/>
    </xf>
    <xf numFmtId="0" fontId="97" fillId="11" borderId="90" applyNumberFormat="0" applyAlignment="0" applyProtection="0"/>
    <xf numFmtId="185" fontId="20" fillId="0" borderId="0" applyFont="0" applyFill="0" applyBorder="0" applyAlignment="0" applyProtection="0"/>
    <xf numFmtId="190" fontId="20" fillId="0" borderId="0" applyFill="0" applyBorder="0" applyAlignment="0" applyProtection="0"/>
    <xf numFmtId="190" fontId="20" fillId="0" borderId="0" applyFill="0" applyBorder="0" applyAlignment="0" applyProtection="0"/>
    <xf numFmtId="190" fontId="20" fillId="0" borderId="0" applyFill="0" applyBorder="0" applyAlignment="0" applyProtection="0"/>
    <xf numFmtId="190" fontId="20" fillId="0" borderId="0" applyFill="0" applyBorder="0" applyAlignment="0" applyProtection="0"/>
    <xf numFmtId="189" fontId="96" fillId="33" borderId="0">
      <alignment vertical="center"/>
    </xf>
    <xf numFmtId="0" fontId="98" fillId="77" borderId="88">
      <alignment horizontal="center"/>
      <protection locked="0"/>
    </xf>
    <xf numFmtId="189" fontId="99" fillId="0" borderId="0">
      <alignment vertical="center"/>
    </xf>
    <xf numFmtId="191" fontId="99" fillId="0" borderId="0">
      <alignment vertical="center"/>
    </xf>
    <xf numFmtId="192" fontId="99" fillId="0" borderId="0">
      <alignment vertical="center"/>
    </xf>
    <xf numFmtId="189" fontId="99" fillId="0" borderId="0">
      <alignment vertical="center"/>
    </xf>
    <xf numFmtId="164" fontId="1" fillId="0" borderId="0" applyFont="0" applyFill="0" applyBorder="0" applyAlignment="0" applyProtection="0"/>
    <xf numFmtId="164" fontId="9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90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16" fillId="0" borderId="0"/>
    <xf numFmtId="0" fontId="1" fillId="0" borderId="0"/>
    <xf numFmtId="0" fontId="20" fillId="0" borderId="0"/>
    <xf numFmtId="0" fontId="87" fillId="0" borderId="0"/>
    <xf numFmtId="0" fontId="16" fillId="0" borderId="0"/>
    <xf numFmtId="0" fontId="87" fillId="0" borderId="0"/>
    <xf numFmtId="0" fontId="1" fillId="0" borderId="0"/>
    <xf numFmtId="0" fontId="1" fillId="0" borderId="0"/>
    <xf numFmtId="0" fontId="90" fillId="0" borderId="0"/>
    <xf numFmtId="0" fontId="1" fillId="0" borderId="0"/>
    <xf numFmtId="0" fontId="20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87" fillId="0" borderId="0"/>
    <xf numFmtId="0" fontId="16" fillId="0" borderId="0"/>
    <xf numFmtId="0" fontId="1" fillId="0" borderId="0"/>
    <xf numFmtId="0" fontId="88" fillId="0" borderId="0"/>
    <xf numFmtId="0" fontId="87" fillId="0" borderId="0"/>
    <xf numFmtId="0" fontId="1" fillId="0" borderId="0"/>
    <xf numFmtId="0" fontId="87" fillId="0" borderId="0"/>
    <xf numFmtId="0" fontId="16" fillId="0" borderId="0"/>
    <xf numFmtId="186" fontId="100" fillId="0" borderId="0">
      <alignment horizontal="centerContinuous"/>
      <protection locked="0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50" fillId="29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50" fillId="13" borderId="88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50" fillId="29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50" fillId="13" borderId="88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64" fillId="13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5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101" fillId="29" borderId="92" applyNumberFormat="0" applyProtection="0">
      <alignment vertical="center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52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52" fillId="13" borderId="88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52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52" fillId="13" borderId="88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4" fontId="64" fillId="29" borderId="92" applyNumberFormat="0" applyProtection="0">
      <alignment horizontal="left" vertical="center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0" fontId="64" fillId="29" borderId="92" applyNumberFormat="0" applyProtection="0">
      <alignment horizontal="left" vertical="top" indent="1"/>
    </xf>
    <xf numFmtId="4" fontId="64" fillId="39" borderId="0" applyNumberFormat="0" applyProtection="0">
      <alignment horizontal="left" vertical="center" indent="1"/>
    </xf>
    <xf numFmtId="4" fontId="52" fillId="30" borderId="0" applyNumberFormat="0" applyProtection="0">
      <alignment horizontal="left" vertical="center" indent="1"/>
    </xf>
    <xf numFmtId="4" fontId="102" fillId="26" borderId="88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4" fontId="52" fillId="30" borderId="0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0" fontId="20" fillId="78" borderId="94" applyNumberFormat="0" applyProtection="0">
      <alignment horizontal="left" vertical="center" indent="1"/>
    </xf>
    <xf numFmtId="4" fontId="102" fillId="26" borderId="88" applyNumberFormat="0" applyProtection="0">
      <alignment horizontal="left" vertical="center" indent="1"/>
    </xf>
    <xf numFmtId="4" fontId="64" fillId="39" borderId="0" applyNumberFormat="0" applyProtection="0">
      <alignment horizontal="left" vertical="center" indent="1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52" fillId="31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52" fillId="31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52" fillId="31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14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52" fillId="32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52" fillId="33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79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52" fillId="24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20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52" fillId="34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72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52" fillId="28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15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52" fillId="35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80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52" fillId="36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17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52" fillId="37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26" fillId="69" borderId="92" applyNumberFormat="0" applyProtection="0">
      <alignment horizontal="right" vertical="center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50" fillId="38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103" fillId="82" borderId="8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50" fillId="38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103" fillId="82" borderId="8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64" fillId="81" borderId="28" applyNumberFormat="0" applyProtection="0">
      <alignment horizontal="left" vertical="center" indent="1"/>
    </xf>
    <xf numFmtId="4" fontId="26" fillId="83" borderId="0" applyNumberFormat="0" applyProtection="0">
      <alignment horizontal="left" vertical="center" indent="1"/>
    </xf>
    <xf numFmtId="4" fontId="50" fillId="23" borderId="0" applyNumberFormat="0" applyProtection="0">
      <alignment horizontal="left" vertical="center" indent="1"/>
    </xf>
    <xf numFmtId="4" fontId="50" fillId="21" borderId="88" applyNumberFormat="0" applyProtection="0">
      <alignment horizontal="left" vertical="center" indent="1"/>
    </xf>
    <xf numFmtId="4" fontId="50" fillId="23" borderId="0" applyNumberFormat="0" applyProtection="0">
      <alignment horizontal="left" vertical="center" indent="1"/>
    </xf>
    <xf numFmtId="4" fontId="50" fillId="21" borderId="88" applyNumberFormat="0" applyProtection="0">
      <alignment horizontal="left" vertical="center" indent="1"/>
    </xf>
    <xf numFmtId="4" fontId="26" fillId="83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52" fillId="23" borderId="88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52" fillId="23" borderId="88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52" fillId="23" borderId="88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52" fillId="23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52" fillId="23" borderId="88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4" borderId="92" applyNumberFormat="0" applyProtection="0">
      <alignment horizontal="right" vertical="center"/>
    </xf>
    <xf numFmtId="4" fontId="26" fillId="83" borderId="0" applyNumberFormat="0" applyProtection="0">
      <alignment horizontal="left" vertical="center" indent="1"/>
    </xf>
    <xf numFmtId="4" fontId="26" fillId="23" borderId="0" applyNumberFormat="0" applyProtection="0">
      <alignment horizontal="left" vertical="center" indent="1"/>
    </xf>
    <xf numFmtId="4" fontId="26" fillId="23" borderId="0" applyNumberFormat="0" applyProtection="0">
      <alignment horizontal="left" vertical="center" indent="1"/>
    </xf>
    <xf numFmtId="4" fontId="26" fillId="83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6" fillId="83" borderId="0" applyNumberFormat="0" applyProtection="0">
      <alignment horizontal="left" vertical="center" indent="1"/>
    </xf>
    <xf numFmtId="4" fontId="26" fillId="23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6" fillId="83" borderId="0" applyNumberFormat="0" applyProtection="0">
      <alignment horizontal="left" vertical="center" indent="1"/>
    </xf>
    <xf numFmtId="4" fontId="26" fillId="39" borderId="0" applyNumberFormat="0" applyProtection="0">
      <alignment horizontal="left" vertical="center" indent="1"/>
    </xf>
    <xf numFmtId="4" fontId="26" fillId="30" borderId="0" applyNumberFormat="0" applyProtection="0">
      <alignment horizontal="left" vertical="center" indent="1"/>
    </xf>
    <xf numFmtId="4" fontId="26" fillId="30" borderId="0" applyNumberFormat="0" applyProtection="0">
      <alignment horizontal="left" vertical="center" indent="1"/>
    </xf>
    <xf numFmtId="4" fontId="26" fillId="39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6" fillId="39" borderId="0" applyNumberFormat="0" applyProtection="0">
      <alignment horizontal="left" vertical="center" indent="1"/>
    </xf>
    <xf numFmtId="4" fontId="26" fillId="30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6" fillId="39" borderId="0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center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0" borderId="92" applyNumberFormat="0" applyProtection="0">
      <alignment horizontal="left" vertical="top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20" fillId="39" borderId="92" applyNumberFormat="0" applyProtection="0">
      <alignment horizontal="left" vertical="center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20" fillId="39" borderId="92" applyNumberFormat="0" applyProtection="0">
      <alignment horizontal="left" vertical="top" indent="1"/>
    </xf>
    <xf numFmtId="0" fontId="1" fillId="0" borderId="0"/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20" fillId="23" borderId="92" applyNumberFormat="0" applyProtection="0">
      <alignment horizontal="left" vertical="center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20" fillId="23" borderId="92" applyNumberFormat="0" applyProtection="0">
      <alignment horizontal="left" vertical="top" indent="1"/>
    </xf>
    <xf numFmtId="0" fontId="1" fillId="0" borderId="0"/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20" fillId="22" borderId="92" applyNumberFormat="0" applyProtection="0">
      <alignment horizontal="left" vertical="center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20" fillId="22" borderId="92" applyNumberFormat="0" applyProtection="0">
      <alignment horizontal="left" vertical="top" indent="1"/>
    </xf>
    <xf numFmtId="0" fontId="1" fillId="0" borderId="0"/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52" fillId="22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52" fillId="22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52" fillId="22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4" fontId="26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53" fillId="22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4" fontId="104" fillId="85" borderId="92" applyNumberFormat="0" applyProtection="0">
      <alignment vertical="center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50" fillId="23" borderId="93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4" fontId="26" fillId="85" borderId="92" applyNumberFormat="0" applyProtection="0">
      <alignment horizontal="left" vertical="center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26" fillId="85" borderId="92" applyNumberFormat="0" applyProtection="0">
      <alignment horizontal="left" vertical="top" indent="1"/>
    </xf>
    <xf numFmtId="0" fontId="1" fillId="0" borderId="0"/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52" fillId="22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52" fillId="21" borderId="88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52" fillId="21" borderId="88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52" fillId="21" borderId="88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52" fillId="22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52" fillId="21" borderId="88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4" fontId="26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53" fillId="22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4" fontId="104" fillId="83" borderId="92" applyNumberFormat="0" applyProtection="0">
      <alignment horizontal="right" vertical="center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50" fillId="23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50" fillId="23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105" fillId="8" borderId="88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50" fillId="23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105" fillId="8" borderId="88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4" fontId="26" fillId="84" borderId="92" applyNumberFormat="0" applyProtection="0">
      <alignment horizontal="left" vertical="center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26" fillId="39" borderId="92" applyNumberFormat="0" applyProtection="0">
      <alignment horizontal="left" vertical="top" indent="1"/>
    </xf>
    <xf numFmtId="0" fontId="1" fillId="0" borderId="0"/>
    <xf numFmtId="4" fontId="55" fillId="86" borderId="0" applyNumberFormat="0" applyProtection="0">
      <alignment horizontal="left" vertical="center" indent="1"/>
    </xf>
    <xf numFmtId="4" fontId="55" fillId="39" borderId="93" applyNumberFormat="0" applyProtection="0">
      <alignment horizontal="left" vertical="center" indent="1"/>
    </xf>
    <xf numFmtId="4" fontId="106" fillId="0" borderId="0" applyNumberFormat="0" applyProtection="0">
      <alignment horizontal="left" vertical="center" indent="1"/>
    </xf>
    <xf numFmtId="4" fontId="55" fillId="86" borderId="0" applyNumberFormat="0" applyProtection="0">
      <alignment horizontal="left" vertical="center" indent="1"/>
    </xf>
    <xf numFmtId="4" fontId="106" fillId="0" borderId="0" applyNumberFormat="0" applyProtection="0">
      <alignment horizontal="left" vertical="center" indent="1"/>
    </xf>
    <xf numFmtId="4" fontId="55" fillId="86" borderId="0" applyNumberFormat="0" applyProtection="0">
      <alignment horizontal="left" vertical="center" indent="1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56" fillId="22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4" fontId="32" fillId="83" borderId="92" applyNumberFormat="0" applyProtection="0">
      <alignment horizontal="right" vertical="center"/>
    </xf>
    <xf numFmtId="0" fontId="1" fillId="0" borderId="0"/>
    <xf numFmtId="0" fontId="20" fillId="0" borderId="0"/>
    <xf numFmtId="0" fontId="20" fillId="0" borderId="0"/>
    <xf numFmtId="0" fontId="107" fillId="0" borderId="0"/>
    <xf numFmtId="0" fontId="107" fillId="0" borderId="0"/>
    <xf numFmtId="189" fontId="96" fillId="85" borderId="0">
      <alignment vertical="center"/>
    </xf>
    <xf numFmtId="188" fontId="96" fillId="85" borderId="0">
      <alignment vertical="center"/>
      <protection locked="0"/>
    </xf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9" fontId="16" fillId="0" borderId="0" applyFont="0" applyFill="0" applyBorder="0" applyAlignment="0" applyProtection="0"/>
    <xf numFmtId="0" fontId="20" fillId="0" borderId="0"/>
    <xf numFmtId="0" fontId="20" fillId="0" borderId="0"/>
    <xf numFmtId="0" fontId="117" fillId="96" borderId="0" applyNumberFormat="0" applyBorder="0" applyAlignment="0" applyProtection="0"/>
    <xf numFmtId="0" fontId="117" fillId="97" borderId="0" applyNumberFormat="0" applyBorder="0" applyAlignment="0" applyProtection="0"/>
    <xf numFmtId="0" fontId="117" fillId="56" borderId="0" applyNumberFormat="0" applyBorder="0" applyAlignment="0" applyProtection="0"/>
    <xf numFmtId="0" fontId="117" fillId="98" borderId="0" applyNumberFormat="0" applyBorder="0" applyAlignment="0" applyProtection="0"/>
    <xf numFmtId="0" fontId="117" fillId="99" borderId="0" applyNumberFormat="0" applyBorder="0" applyAlignment="0" applyProtection="0"/>
    <xf numFmtId="0" fontId="117" fillId="100" borderId="0" applyNumberFormat="0" applyBorder="0" applyAlignment="0" applyProtection="0"/>
    <xf numFmtId="0" fontId="1" fillId="95" borderId="106" applyNumberFormat="0" applyFont="0" applyAlignment="0" applyProtection="0"/>
    <xf numFmtId="0" fontId="116" fillId="0" borderId="0"/>
    <xf numFmtId="0" fontId="118" fillId="0" borderId="107" applyNumberFormat="0" applyFill="0" applyAlignment="0" applyProtection="0"/>
    <xf numFmtId="0" fontId="1" fillId="0" borderId="0"/>
    <xf numFmtId="0" fontId="20" fillId="0" borderId="0"/>
    <xf numFmtId="0" fontId="20" fillId="0" borderId="0"/>
    <xf numFmtId="10" fontId="119" fillId="0" borderId="109" applyFill="0" applyProtection="0">
      <alignment horizontal="center" vertical="center"/>
    </xf>
    <xf numFmtId="0" fontId="20" fillId="0" borderId="0" applyNumberFormat="0" applyFill="0" applyBorder="0" applyAlignment="0" applyProtection="0"/>
    <xf numFmtId="10" fontId="120" fillId="0" borderId="109" applyFill="0" applyProtection="0">
      <alignment horizontal="center" vertical="center"/>
    </xf>
    <xf numFmtId="0" fontId="90" fillId="21" borderId="0" applyNumberFormat="0" applyBorder="0" applyAlignment="0" applyProtection="0"/>
    <xf numFmtId="0" fontId="90" fillId="11" borderId="0" applyNumberFormat="0" applyBorder="0" applyAlignment="0" applyProtection="0"/>
    <xf numFmtId="0" fontId="90" fillId="13" borderId="0" applyNumberFormat="0" applyBorder="0" applyAlignment="0" applyProtection="0"/>
    <xf numFmtId="0" fontId="90" fillId="21" borderId="0" applyNumberFormat="0" applyBorder="0" applyAlignment="0" applyProtection="0"/>
    <xf numFmtId="0" fontId="90" fillId="12" borderId="0" applyNumberFormat="0" applyBorder="0" applyAlignment="0" applyProtection="0"/>
    <xf numFmtId="0" fontId="90" fillId="11" borderId="0" applyNumberFormat="0" applyBorder="0" applyAlignment="0" applyProtection="0"/>
    <xf numFmtId="0" fontId="121" fillId="66" borderId="0" applyNumberFormat="0" applyBorder="0" applyAlignment="0" applyProtection="0"/>
    <xf numFmtId="0" fontId="121" fillId="14" borderId="0" applyNumberFormat="0" applyBorder="0" applyAlignment="0" applyProtection="0"/>
    <xf numFmtId="0" fontId="121" fillId="67" borderId="0" applyNumberFormat="0" applyBorder="0" applyAlignment="0" applyProtection="0"/>
    <xf numFmtId="0" fontId="121" fillId="68" borderId="0" applyNumberFormat="0" applyBorder="0" applyAlignment="0" applyProtection="0"/>
    <xf numFmtId="0" fontId="121" fillId="12" borderId="0" applyNumberFormat="0" applyBorder="0" applyAlignment="0" applyProtection="0"/>
    <xf numFmtId="0" fontId="121" fillId="11" borderId="0" applyNumberFormat="0" applyBorder="0" applyAlignment="0" applyProtection="0"/>
    <xf numFmtId="0" fontId="90" fillId="73" borderId="0" applyNumberFormat="0" applyBorder="0" applyAlignment="0" applyProtection="0"/>
    <xf numFmtId="0" fontId="90" fillId="9" borderId="0" applyNumberFormat="0" applyBorder="0" applyAlignment="0" applyProtection="0"/>
    <xf numFmtId="0" fontId="90" fillId="13" borderId="0" applyNumberFormat="0" applyBorder="0" applyAlignment="0" applyProtection="0"/>
    <xf numFmtId="0" fontId="90" fillId="73" borderId="0" applyNumberFormat="0" applyBorder="0" applyAlignment="0" applyProtection="0"/>
    <xf numFmtId="0" fontId="90" fillId="8" borderId="0" applyNumberFormat="0" applyBorder="0" applyAlignment="0" applyProtection="0"/>
    <xf numFmtId="0" fontId="90" fillId="11" borderId="0" applyNumberFormat="0" applyBorder="0" applyAlignment="0" applyProtection="0"/>
    <xf numFmtId="0" fontId="121" fillId="8" borderId="0" applyNumberFormat="0" applyBorder="0" applyAlignment="0" applyProtection="0"/>
    <xf numFmtId="0" fontId="121" fillId="9" borderId="0" applyNumberFormat="0" applyBorder="0" applyAlignment="0" applyProtection="0"/>
    <xf numFmtId="0" fontId="121" fillId="69" borderId="0" applyNumberFormat="0" applyBorder="0" applyAlignment="0" applyProtection="0"/>
    <xf numFmtId="0" fontId="121" fillId="68" borderId="0" applyNumberFormat="0" applyBorder="0" applyAlignment="0" applyProtection="0"/>
    <xf numFmtId="0" fontId="121" fillId="8" borderId="0" applyNumberFormat="0" applyBorder="0" applyAlignment="0" applyProtection="0"/>
    <xf numFmtId="0" fontId="121" fillId="20" borderId="0" applyNumberFormat="0" applyBorder="0" applyAlignment="0" applyProtection="0"/>
    <xf numFmtId="0" fontId="91" fillId="73" borderId="0" applyNumberFormat="0" applyBorder="0" applyAlignment="0" applyProtection="0"/>
    <xf numFmtId="0" fontId="91" fillId="19" borderId="0" applyNumberFormat="0" applyBorder="0" applyAlignment="0" applyProtection="0"/>
    <xf numFmtId="0" fontId="91" fillId="9" borderId="0" applyNumberFormat="0" applyBorder="0" applyAlignment="0" applyProtection="0"/>
    <xf numFmtId="0" fontId="91" fillId="10" borderId="0" applyNumberFormat="0" applyBorder="0" applyAlignment="0" applyProtection="0"/>
    <xf numFmtId="0" fontId="91" fillId="19" borderId="0" applyNumberFormat="0" applyBorder="0" applyAlignment="0" applyProtection="0"/>
    <xf numFmtId="0" fontId="91" fillId="11" borderId="0" applyNumberFormat="0" applyBorder="0" applyAlignment="0" applyProtection="0"/>
    <xf numFmtId="0" fontId="122" fillId="70" borderId="0" applyNumberFormat="0" applyBorder="0" applyAlignment="0" applyProtection="0"/>
    <xf numFmtId="0" fontId="122" fillId="9" borderId="0" applyNumberFormat="0" applyBorder="0" applyAlignment="0" applyProtection="0"/>
    <xf numFmtId="0" fontId="122" fillId="69" borderId="0" applyNumberFormat="0" applyBorder="0" applyAlignment="0" applyProtection="0"/>
    <xf numFmtId="0" fontId="122" fillId="71" borderId="0" applyNumberFormat="0" applyBorder="0" applyAlignment="0" applyProtection="0"/>
    <xf numFmtId="0" fontId="122" fillId="19" borderId="0" applyNumberFormat="0" applyBorder="0" applyAlignment="0" applyProtection="0"/>
    <xf numFmtId="0" fontId="122" fillId="72" borderId="0" applyNumberFormat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2" fontId="20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87" fontId="92" fillId="22" borderId="26">
      <alignment vertical="center"/>
      <protection locked="0"/>
    </xf>
    <xf numFmtId="0" fontId="122" fillId="102" borderId="0" applyNumberFormat="0" applyBorder="0" applyAlignment="0" applyProtection="0"/>
    <xf numFmtId="0" fontId="122" fillId="79" borderId="0" applyNumberFormat="0" applyBorder="0" applyAlignment="0" applyProtection="0"/>
    <xf numFmtId="0" fontId="122" fillId="80" borderId="0" applyNumberFormat="0" applyBorder="0" applyAlignment="0" applyProtection="0"/>
    <xf numFmtId="0" fontId="122" fillId="71" borderId="0" applyNumberFormat="0" applyBorder="0" applyAlignment="0" applyProtection="0"/>
    <xf numFmtId="0" fontId="122" fillId="19" borderId="0" applyNumberFormat="0" applyBorder="0" applyAlignment="0" applyProtection="0"/>
    <xf numFmtId="0" fontId="122" fillId="15" borderId="0" applyNumberFormat="0" applyBorder="0" applyAlignment="0" applyProtection="0"/>
    <xf numFmtId="0" fontId="123" fillId="14" borderId="0" applyNumberFormat="0" applyBorder="0" applyAlignment="0" applyProtection="0"/>
    <xf numFmtId="0" fontId="124" fillId="0" borderId="0" applyNumberFormat="0" applyFill="0" applyBorder="0" applyAlignment="0" applyProtection="0">
      <alignment vertical="top"/>
      <protection locked="0"/>
    </xf>
    <xf numFmtId="0" fontId="94" fillId="21" borderId="110" applyNumberFormat="0" applyAlignment="0" applyProtection="0"/>
    <xf numFmtId="0" fontId="125" fillId="40" borderId="37" applyNumberFormat="0" applyAlignment="0" applyProtection="0"/>
    <xf numFmtId="16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5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6" fillId="103" borderId="0" applyNumberFormat="0">
      <alignment vertical="top"/>
    </xf>
    <xf numFmtId="189" fontId="96" fillId="74" borderId="0">
      <alignment vertical="center"/>
      <protection locked="0"/>
    </xf>
    <xf numFmtId="197" fontId="20" fillId="74" borderId="0">
      <alignment vertical="center"/>
      <protection locked="0"/>
    </xf>
    <xf numFmtId="0" fontId="127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3" fontId="32" fillId="104" borderId="26" applyBorder="0"/>
    <xf numFmtId="0" fontId="129" fillId="67" borderId="0" applyNumberFormat="0" applyBorder="0" applyAlignment="0" applyProtection="0"/>
    <xf numFmtId="0" fontId="61" fillId="0" borderId="111" applyNumberFormat="0" applyFill="0" applyAlignment="0" applyProtection="0"/>
    <xf numFmtId="0" fontId="62" fillId="0" borderId="112" applyNumberFormat="0" applyFill="0" applyAlignment="0" applyProtection="0"/>
    <xf numFmtId="0" fontId="63" fillId="0" borderId="113" applyNumberFormat="0" applyFill="0" applyAlignment="0" applyProtection="0"/>
    <xf numFmtId="0" fontId="63" fillId="0" borderId="0" applyNumberFormat="0" applyFill="0" applyBorder="0" applyAlignment="0" applyProtection="0"/>
    <xf numFmtId="0" fontId="130" fillId="0" borderId="0" applyNumberFormat="0" applyFill="0" applyBorder="0" applyAlignment="0" applyProtection="0">
      <alignment vertical="top"/>
      <protection locked="0"/>
    </xf>
    <xf numFmtId="0" fontId="131" fillId="0" borderId="0" applyNumberFormat="0" applyFill="0" applyBorder="0" applyAlignment="0" applyProtection="0">
      <alignment vertical="top"/>
      <protection locked="0"/>
    </xf>
    <xf numFmtId="0" fontId="132" fillId="11" borderId="110" applyNumberFormat="0" applyAlignment="0" applyProtection="0"/>
    <xf numFmtId="0" fontId="133" fillId="29" borderId="0" applyNumberFormat="0">
      <alignment horizontal="left" vertical="top"/>
    </xf>
    <xf numFmtId="0" fontId="98" fillId="77" borderId="108">
      <alignment horizontal="center"/>
      <protection locked="0"/>
    </xf>
    <xf numFmtId="0" fontId="98" fillId="77" borderId="108">
      <alignment horizontal="center"/>
      <protection locked="0"/>
    </xf>
    <xf numFmtId="189" fontId="99" fillId="0" borderId="0">
      <alignment vertical="center"/>
    </xf>
    <xf numFmtId="38" fontId="134" fillId="0" borderId="0"/>
    <xf numFmtId="38" fontId="135" fillId="0" borderId="0"/>
    <xf numFmtId="38" fontId="100" fillId="0" borderId="0"/>
    <xf numFmtId="38" fontId="136" fillId="0" borderId="0"/>
    <xf numFmtId="0" fontId="137" fillId="0" borderId="0"/>
    <xf numFmtId="0" fontId="137" fillId="0" borderId="0"/>
    <xf numFmtId="0" fontId="95" fillId="0" borderId="23" applyNumberFormat="0" applyFill="0" applyAlignment="0" applyProtection="0"/>
    <xf numFmtId="196" fontId="137" fillId="0" borderId="0" applyFont="0" applyFill="0" applyBorder="0" applyAlignment="0" applyProtection="0"/>
    <xf numFmtId="167" fontId="137" fillId="0" borderId="0" applyFont="0" applyFill="0" applyBorder="0" applyAlignment="0" applyProtection="0"/>
    <xf numFmtId="167" fontId="121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98" fontId="137" fillId="0" borderId="0" applyFont="0" applyFill="0" applyBorder="0" applyAlignment="0" applyProtection="0"/>
    <xf numFmtId="199" fontId="137" fillId="0" borderId="0" applyFont="0" applyFill="0" applyBorder="0" applyAlignment="0" applyProtection="0"/>
    <xf numFmtId="0" fontId="138" fillId="13" borderId="0" applyNumberFormat="0" applyBorder="0" applyAlignment="0" applyProtection="0"/>
    <xf numFmtId="0" fontId="87" fillId="0" borderId="0"/>
    <xf numFmtId="200" fontId="16" fillId="0" borderId="0"/>
    <xf numFmtId="200" fontId="16" fillId="0" borderId="0"/>
    <xf numFmtId="199" fontId="16" fillId="0" borderId="0"/>
    <xf numFmtId="200" fontId="16" fillId="0" borderId="0"/>
    <xf numFmtId="200" fontId="16" fillId="0" borderId="0"/>
    <xf numFmtId="200" fontId="16" fillId="0" borderId="0"/>
    <xf numFmtId="200" fontId="16" fillId="0" borderId="0"/>
    <xf numFmtId="200" fontId="16" fillId="0" borderId="0"/>
    <xf numFmtId="200" fontId="16" fillId="0" borderId="0"/>
    <xf numFmtId="200" fontId="16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0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90" fillId="0" borderId="0"/>
    <xf numFmtId="0" fontId="1" fillId="0" borderId="0"/>
    <xf numFmtId="0" fontId="16" fillId="0" borderId="0"/>
    <xf numFmtId="0" fontId="20" fillId="0" borderId="0"/>
    <xf numFmtId="0" fontId="20" fillId="13" borderId="114" applyNumberFormat="0" applyFont="0" applyAlignment="0" applyProtection="0"/>
    <xf numFmtId="0" fontId="20" fillId="10" borderId="114" applyNumberFormat="0" applyFont="0" applyAlignment="0" applyProtection="0"/>
    <xf numFmtId="0" fontId="58" fillId="73" borderId="115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3" fontId="139" fillId="0" borderId="26" applyFill="0" applyBorder="0"/>
    <xf numFmtId="9" fontId="121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2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21" fillId="0" borderId="0" applyFont="0" applyFill="0" applyBorder="0" applyAlignment="0" applyProtection="0"/>
    <xf numFmtId="9" fontId="1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3" fontId="20" fillId="105" borderId="26"/>
    <xf numFmtId="3" fontId="20" fillId="106" borderId="116"/>
    <xf numFmtId="4" fontId="50" fillId="29" borderId="117" applyNumberFormat="0" applyProtection="0">
      <alignment vertical="center"/>
    </xf>
    <xf numFmtId="4" fontId="50" fillId="29" borderId="117" applyNumberFormat="0" applyProtection="0">
      <alignment vertical="center"/>
    </xf>
    <xf numFmtId="4" fontId="50" fillId="13" borderId="108" applyNumberFormat="0" applyProtection="0">
      <alignment vertical="center"/>
    </xf>
    <xf numFmtId="4" fontId="50" fillId="13" borderId="108" applyNumberFormat="0" applyProtection="0">
      <alignment vertical="center"/>
    </xf>
    <xf numFmtId="4" fontId="50" fillId="13" borderId="108" applyNumberFormat="0" applyProtection="0">
      <alignment vertical="center"/>
    </xf>
    <xf numFmtId="4" fontId="50" fillId="13" borderId="108" applyNumberFormat="0" applyProtection="0">
      <alignment vertical="center"/>
    </xf>
    <xf numFmtId="4" fontId="50" fillId="13" borderId="108" applyNumberFormat="0" applyProtection="0">
      <alignment vertical="center"/>
    </xf>
    <xf numFmtId="4" fontId="50" fillId="13" borderId="108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1" fillId="29" borderId="117" applyNumberFormat="0" applyProtection="0">
      <alignment vertical="center"/>
    </xf>
    <xf numFmtId="4" fontId="52" fillId="29" borderId="117" applyNumberFormat="0" applyProtection="0">
      <alignment horizontal="left" vertical="center" indent="1"/>
    </xf>
    <xf numFmtId="4" fontId="52" fillId="29" borderId="117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4" fontId="52" fillId="13" borderId="108" applyNumberFormat="0" applyProtection="0">
      <alignment horizontal="left" vertical="center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64" fillId="29" borderId="117" applyNumberFormat="0" applyProtection="0">
      <alignment horizontal="left" vertical="top" indent="1"/>
    </xf>
    <xf numFmtId="0" fontId="20" fillId="78" borderId="115" applyNumberFormat="0" applyProtection="0">
      <alignment horizontal="left" vertical="center" indent="1"/>
    </xf>
    <xf numFmtId="4" fontId="102" fillId="26" borderId="108" applyNumberFormat="0" applyProtection="0">
      <alignment horizontal="left" vertical="center" indent="1"/>
    </xf>
    <xf numFmtId="4" fontId="102" fillId="26" borderId="108" applyNumberFormat="0" applyProtection="0">
      <alignment horizontal="left" vertical="center" indent="1"/>
    </xf>
    <xf numFmtId="4" fontId="102" fillId="26" borderId="108" applyNumberFormat="0" applyProtection="0">
      <alignment horizontal="left" vertical="center" indent="1"/>
    </xf>
    <xf numFmtId="4" fontId="102" fillId="26" borderId="108" applyNumberFormat="0" applyProtection="0">
      <alignment horizontal="left" vertical="center" indent="1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1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2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33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2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34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28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5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6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2" fillId="37" borderId="117" applyNumberFormat="0" applyProtection="0">
      <alignment horizontal="right" vertical="center"/>
    </xf>
    <xf numFmtId="4" fontId="50" fillId="38" borderId="28" applyNumberFormat="0" applyProtection="0">
      <alignment horizontal="left" vertical="center" indent="1"/>
    </xf>
    <xf numFmtId="4" fontId="103" fillId="82" borderId="108" applyNumberFormat="0" applyProtection="0">
      <alignment horizontal="left" vertical="center" indent="1"/>
    </xf>
    <xf numFmtId="4" fontId="103" fillId="82" borderId="108" applyNumberFormat="0" applyProtection="0">
      <alignment horizontal="left" vertical="center" indent="1"/>
    </xf>
    <xf numFmtId="4" fontId="103" fillId="82" borderId="108" applyNumberFormat="0" applyProtection="0">
      <alignment horizontal="left" vertical="center" indent="1"/>
    </xf>
    <xf numFmtId="4" fontId="103" fillId="82" borderId="108" applyNumberFormat="0" applyProtection="0">
      <alignment horizontal="left" vertical="center" indent="1"/>
    </xf>
    <xf numFmtId="4" fontId="50" fillId="21" borderId="108" applyNumberFormat="0" applyProtection="0">
      <alignment horizontal="left" vertical="center" indent="1"/>
    </xf>
    <xf numFmtId="4" fontId="50" fillId="21" borderId="108" applyNumberFormat="0" applyProtection="0">
      <alignment horizontal="left" vertical="center" indent="1"/>
    </xf>
    <xf numFmtId="4" fontId="50" fillId="21" borderId="108" applyNumberFormat="0" applyProtection="0">
      <alignment horizontal="left" vertical="center" indent="1"/>
    </xf>
    <xf numFmtId="4" fontId="50" fillId="21" borderId="108" applyNumberFormat="0" applyProtection="0">
      <alignment horizontal="left" vertical="center" indent="1"/>
    </xf>
    <xf numFmtId="4" fontId="50" fillId="21" borderId="108" applyNumberFormat="0" applyProtection="0">
      <alignment horizontal="left" vertical="center" indent="1"/>
    </xf>
    <xf numFmtId="4" fontId="50" fillId="21" borderId="108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0" fillId="30" borderId="0" applyNumberFormat="0" applyProtection="0">
      <alignment horizontal="left" vertical="center" indent="1"/>
    </xf>
    <xf numFmtId="4" fontId="52" fillId="23" borderId="117" applyNumberFormat="0" applyProtection="0">
      <alignment horizontal="right" vertical="center"/>
    </xf>
    <xf numFmtId="4" fontId="52" fillId="23" borderId="117" applyNumberFormat="0" applyProtection="0">
      <alignment horizontal="right" vertical="center"/>
    </xf>
    <xf numFmtId="4" fontId="52" fillId="23" borderId="108" applyNumberFormat="0" applyProtection="0">
      <alignment horizontal="right" vertical="center"/>
    </xf>
    <xf numFmtId="4" fontId="52" fillId="23" borderId="108" applyNumberFormat="0" applyProtection="0">
      <alignment horizontal="right" vertical="center"/>
    </xf>
    <xf numFmtId="4" fontId="52" fillId="23" borderId="108" applyNumberFormat="0" applyProtection="0">
      <alignment horizontal="right" vertical="center"/>
    </xf>
    <xf numFmtId="4" fontId="52" fillId="23" borderId="108" applyNumberFormat="0" applyProtection="0">
      <alignment horizontal="right" vertical="center"/>
    </xf>
    <xf numFmtId="4" fontId="52" fillId="23" borderId="108" applyNumberFormat="0" applyProtection="0">
      <alignment horizontal="right" vertical="center"/>
    </xf>
    <xf numFmtId="4" fontId="52" fillId="23" borderId="108" applyNumberFormat="0" applyProtection="0">
      <alignment horizontal="right" vertical="center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4" fontId="27" fillId="26" borderId="0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76" fillId="84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76" fillId="84" borderId="117" applyNumberFormat="0" applyProtection="0">
      <alignment horizontal="left" vertical="center" indent="1"/>
    </xf>
    <xf numFmtId="0" fontId="76" fillId="84" borderId="117" applyNumberFormat="0" applyProtection="0">
      <alignment horizontal="left" vertical="center" indent="1"/>
    </xf>
    <xf numFmtId="0" fontId="76" fillId="84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center" indent="1"/>
    </xf>
    <xf numFmtId="0" fontId="76" fillId="84" borderId="117" applyNumberFormat="0" applyProtection="0">
      <alignment horizontal="left" vertical="center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0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center" indent="1"/>
    </xf>
    <xf numFmtId="0" fontId="76" fillId="8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center" indent="1"/>
    </xf>
    <xf numFmtId="0" fontId="76" fillId="8" borderId="117" applyNumberFormat="0" applyProtection="0">
      <alignment horizontal="left" vertical="center" indent="1"/>
    </xf>
    <xf numFmtId="0" fontId="76" fillId="8" borderId="117" applyNumberFormat="0" applyProtection="0">
      <alignment horizontal="left" vertical="center" indent="1"/>
    </xf>
    <xf numFmtId="0" fontId="76" fillId="8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center" indent="1"/>
    </xf>
    <xf numFmtId="0" fontId="76" fillId="8" borderId="117" applyNumberFormat="0" applyProtection="0">
      <alignment horizontal="left" vertical="center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39" borderId="117" applyNumberFormat="0" applyProtection="0">
      <alignment horizontal="left" vertical="top" indent="1"/>
    </xf>
    <xf numFmtId="0" fontId="20" fillId="83" borderId="117" applyNumberFormat="0" applyProtection="0">
      <alignment horizontal="left" vertical="center" indent="1"/>
    </xf>
    <xf numFmtId="0" fontId="20" fillId="2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2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2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83" borderId="117" applyNumberFormat="0" applyProtection="0">
      <alignment horizontal="left" vertical="center" indent="1"/>
    </xf>
    <xf numFmtId="0" fontId="20" fillId="23" borderId="117" applyNumberFormat="0" applyProtection="0">
      <alignment horizontal="left" vertical="center" indent="1"/>
    </xf>
    <xf numFmtId="0" fontId="20" fillId="23" borderId="117" applyNumberFormat="0" applyProtection="0">
      <alignment horizontal="left" vertical="center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3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center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22" borderId="117" applyNumberFormat="0" applyProtection="0">
      <alignment horizontal="left" vertical="top" indent="1"/>
    </xf>
    <xf numFmtId="0" fontId="20" fillId="0" borderId="0"/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2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3" fillId="22" borderId="117" applyNumberFormat="0" applyProtection="0">
      <alignment vertical="center"/>
    </xf>
    <xf numFmtId="4" fontId="50" fillId="23" borderId="118" applyNumberFormat="0" applyProtection="0">
      <alignment horizontal="left" vertical="center" indent="1"/>
    </xf>
    <xf numFmtId="4" fontId="50" fillId="23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0" fillId="23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0" fillId="23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3" fillId="107" borderId="118" applyNumberFormat="0" applyProtection="0">
      <alignment horizontal="left" vertical="center" indent="1"/>
    </xf>
    <xf numFmtId="4" fontId="50" fillId="23" borderId="118" applyNumberFormat="0" applyProtection="0">
      <alignment horizontal="left" vertical="center" indent="1"/>
    </xf>
    <xf numFmtId="4" fontId="50" fillId="23" borderId="118" applyNumberFormat="0" applyProtection="0">
      <alignment horizontal="left" vertical="center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0" fontId="26" fillId="85" borderId="117" applyNumberFormat="0" applyProtection="0">
      <alignment horizontal="left" vertical="top" indent="1"/>
    </xf>
    <xf numFmtId="4" fontId="52" fillId="22" borderId="117" applyNumberFormat="0" applyProtection="0">
      <alignment horizontal="right" vertical="center"/>
    </xf>
    <xf numFmtId="4" fontId="52" fillId="22" borderId="117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26" fillId="108" borderId="115" applyNumberFormat="0" applyProtection="0">
      <alignment horizontal="right" vertical="center"/>
    </xf>
    <xf numFmtId="4" fontId="52" fillId="21" borderId="108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3" fillId="22" borderId="117" applyNumberFormat="0" applyProtection="0">
      <alignment horizontal="right" vertical="center"/>
    </xf>
    <xf numFmtId="4" fontId="50" fillId="23" borderId="117" applyNumberFormat="0" applyProtection="0">
      <alignment horizontal="left" vertical="center" indent="1"/>
    </xf>
    <xf numFmtId="4" fontId="50" fillId="23" borderId="117" applyNumberFormat="0" applyProtection="0">
      <alignment horizontal="left" vertical="center" indent="1"/>
    </xf>
    <xf numFmtId="4" fontId="105" fillId="8" borderId="108" applyNumberFormat="0" applyProtection="0">
      <alignment horizontal="left" vertical="center" indent="1"/>
    </xf>
    <xf numFmtId="4" fontId="105" fillId="8" borderId="108" applyNumberFormat="0" applyProtection="0">
      <alignment horizontal="left" vertical="center" indent="1"/>
    </xf>
    <xf numFmtId="4" fontId="105" fillId="8" borderId="108" applyNumberFormat="0" applyProtection="0">
      <alignment horizontal="left" vertical="center" indent="1"/>
    </xf>
    <xf numFmtId="4" fontId="105" fillId="8" borderId="108" applyNumberFormat="0" applyProtection="0">
      <alignment horizontal="left" vertical="center" indent="1"/>
    </xf>
    <xf numFmtId="4" fontId="105" fillId="8" borderId="108" applyProtection="0">
      <alignment horizontal="left" vertical="center" indent="1"/>
    </xf>
    <xf numFmtId="4" fontId="50" fillId="23" borderId="117">
      <alignment horizontal="left" vertical="center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0" fontId="26" fillId="39" borderId="117" applyNumberFormat="0" applyProtection="0">
      <alignment horizontal="left" vertical="top" indent="1"/>
    </xf>
    <xf numFmtId="4" fontId="55" fillId="39" borderId="118" applyNumberFormat="0" applyProtection="0">
      <alignment horizontal="left" vertical="center" indent="1"/>
    </xf>
    <xf numFmtId="4" fontId="55" fillId="39" borderId="118" applyNumberFormat="0" applyProtection="0">
      <alignment horizontal="left" vertical="center" indent="1"/>
    </xf>
    <xf numFmtId="4" fontId="106" fillId="0" borderId="0" applyNumberFormat="0" applyProtection="0">
      <alignment horizontal="left" vertical="center" indent="1"/>
    </xf>
    <xf numFmtId="4" fontId="106" fillId="0" borderId="0" applyNumberFormat="0" applyProtection="0">
      <alignment horizontal="left" vertical="center" indent="1"/>
    </xf>
    <xf numFmtId="4" fontId="106" fillId="0" borderId="0" applyNumberFormat="0" applyProtection="0">
      <alignment horizontal="left" vertical="center" indent="1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4" fontId="56" fillId="22" borderId="117" applyNumberFormat="0" applyProtection="0">
      <alignment horizontal="right" vertical="center"/>
    </xf>
    <xf numFmtId="0" fontId="140" fillId="14" borderId="0" applyNumberFormat="0" applyBorder="0" applyAlignment="0" applyProtection="0"/>
    <xf numFmtId="0" fontId="141" fillId="109" borderId="0"/>
    <xf numFmtId="0" fontId="142" fillId="109" borderId="0"/>
    <xf numFmtId="0" fontId="143" fillId="109" borderId="119"/>
    <xf numFmtId="0" fontId="143" fillId="109" borderId="119"/>
    <xf numFmtId="0" fontId="143" fillId="109" borderId="0"/>
    <xf numFmtId="0" fontId="141" fillId="101" borderId="119">
      <protection locked="0"/>
    </xf>
    <xf numFmtId="0" fontId="141" fillId="101" borderId="119">
      <protection locked="0"/>
    </xf>
    <xf numFmtId="0" fontId="141" fillId="109" borderId="0"/>
    <xf numFmtId="0" fontId="144" fillId="75" borderId="0"/>
    <xf numFmtId="0" fontId="144" fillId="110" borderId="0"/>
    <xf numFmtId="0" fontId="144" fillId="34" borderId="0"/>
    <xf numFmtId="0" fontId="1" fillId="0" borderId="0"/>
    <xf numFmtId="0" fontId="90" fillId="0" borderId="0"/>
    <xf numFmtId="0" fontId="20" fillId="0" borderId="0"/>
    <xf numFmtId="0" fontId="133" fillId="28" borderId="0" applyNumberFormat="0" applyAlignment="0">
      <alignment vertical="top"/>
    </xf>
    <xf numFmtId="0" fontId="60" fillId="0" borderId="0" applyNumberFormat="0" applyFill="0" applyBorder="0" applyAlignment="0" applyProtection="0"/>
    <xf numFmtId="0" fontId="133" fillId="34" borderId="0" applyNumberFormat="0" applyAlignment="0">
      <alignment vertical="top"/>
    </xf>
    <xf numFmtId="0" fontId="70" fillId="0" borderId="0" applyNumberFormat="0" applyFill="0" applyBorder="0" applyAlignment="0" applyProtection="0"/>
    <xf numFmtId="0" fontId="145" fillId="0" borderId="120" applyNumberFormat="0" applyFill="0" applyAlignment="0" applyProtection="0"/>
    <xf numFmtId="0" fontId="146" fillId="0" borderId="112" applyNumberFormat="0" applyFill="0" applyAlignment="0" applyProtection="0"/>
    <xf numFmtId="0" fontId="147" fillId="0" borderId="121" applyNumberFormat="0" applyFill="0" applyAlignment="0" applyProtection="0"/>
    <xf numFmtId="0" fontId="147" fillId="0" borderId="121" applyNumberFormat="0" applyFill="0" applyAlignment="0" applyProtection="0"/>
    <xf numFmtId="0" fontId="147" fillId="0" borderId="0" applyNumberFormat="0" applyFill="0" applyBorder="0" applyAlignment="0" applyProtection="0"/>
    <xf numFmtId="0" fontId="148" fillId="0" borderId="23" applyNumberFormat="0" applyFill="0" applyAlignment="0" applyProtection="0"/>
    <xf numFmtId="0" fontId="149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197" fontId="20" fillId="85" borderId="0">
      <alignment vertical="center"/>
    </xf>
    <xf numFmtId="0" fontId="150" fillId="40" borderId="37" applyNumberFormat="0" applyAlignment="0" applyProtection="0"/>
    <xf numFmtId="168" fontId="20" fillId="0" borderId="0" applyFont="0" applyFill="0" applyBorder="0" applyAlignment="0" applyProtection="0"/>
    <xf numFmtId="0" fontId="158" fillId="0" borderId="0"/>
    <xf numFmtId="0" fontId="20" fillId="78" borderId="128" applyNumberFormat="0" applyProtection="0">
      <alignment horizontal="left" vertical="center" indent="1"/>
    </xf>
    <xf numFmtId="3" fontId="20" fillId="105" borderId="131"/>
    <xf numFmtId="3" fontId="139" fillId="0" borderId="131" applyFill="0" applyBorder="0"/>
    <xf numFmtId="3" fontId="32" fillId="104" borderId="131" applyBorder="0"/>
    <xf numFmtId="187" fontId="92" fillId="22" borderId="131">
      <alignment vertical="center"/>
      <protection locked="0"/>
    </xf>
    <xf numFmtId="187" fontId="92" fillId="22" borderId="131">
      <alignment vertical="center"/>
      <protection locked="0"/>
    </xf>
    <xf numFmtId="187" fontId="92" fillId="22" borderId="131">
      <alignment vertical="center"/>
      <protection locked="0"/>
    </xf>
    <xf numFmtId="0" fontId="94" fillId="21" borderId="126" applyNumberFormat="0" applyAlignment="0" applyProtection="0"/>
    <xf numFmtId="167" fontId="2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32" fillId="11" borderId="126" applyNumberFormat="0" applyAlignment="0" applyProtection="0"/>
    <xf numFmtId="0" fontId="98" fillId="77" borderId="125">
      <alignment horizontal="center"/>
      <protection locked="0"/>
    </xf>
    <xf numFmtId="0" fontId="98" fillId="77" borderId="125">
      <alignment horizontal="center"/>
      <protection locked="0"/>
    </xf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0" fillId="13" borderId="127" applyNumberFormat="0" applyFont="0" applyAlignment="0" applyProtection="0"/>
    <xf numFmtId="0" fontId="20" fillId="10" borderId="127" applyNumberFormat="0" applyFont="0" applyAlignment="0" applyProtection="0"/>
    <xf numFmtId="0" fontId="58" fillId="73" borderId="128" applyNumberFormat="0" applyAlignment="0" applyProtection="0"/>
    <xf numFmtId="4" fontId="50" fillId="29" borderId="129" applyNumberFormat="0" applyProtection="0">
      <alignment vertical="center"/>
    </xf>
    <xf numFmtId="4" fontId="50" fillId="29" borderId="129" applyNumberFormat="0" applyProtection="0">
      <alignment vertical="center"/>
    </xf>
    <xf numFmtId="4" fontId="50" fillId="13" borderId="125" applyNumberFormat="0" applyProtection="0">
      <alignment vertical="center"/>
    </xf>
    <xf numFmtId="4" fontId="50" fillId="13" borderId="125" applyNumberFormat="0" applyProtection="0">
      <alignment vertical="center"/>
    </xf>
    <xf numFmtId="4" fontId="50" fillId="13" borderId="125" applyNumberFormat="0" applyProtection="0">
      <alignment vertical="center"/>
    </xf>
    <xf numFmtId="4" fontId="50" fillId="13" borderId="125" applyNumberFormat="0" applyProtection="0">
      <alignment vertical="center"/>
    </xf>
    <xf numFmtId="4" fontId="50" fillId="13" borderId="125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1" fillId="29" borderId="129" applyNumberFormat="0" applyProtection="0">
      <alignment vertical="center"/>
    </xf>
    <xf numFmtId="4" fontId="52" fillId="29" borderId="129" applyNumberFormat="0" applyProtection="0">
      <alignment horizontal="left" vertical="center" indent="1"/>
    </xf>
    <xf numFmtId="4" fontId="52" fillId="29" borderId="129" applyNumberFormat="0" applyProtection="0">
      <alignment horizontal="left" vertical="center" indent="1"/>
    </xf>
    <xf numFmtId="4" fontId="52" fillId="13" borderId="125" applyNumberFormat="0" applyProtection="0">
      <alignment horizontal="left" vertical="center" indent="1"/>
    </xf>
    <xf numFmtId="4" fontId="52" fillId="13" borderId="125" applyNumberFormat="0" applyProtection="0">
      <alignment horizontal="left" vertical="center" indent="1"/>
    </xf>
    <xf numFmtId="4" fontId="52" fillId="13" borderId="125" applyNumberFormat="0" applyProtection="0">
      <alignment horizontal="left" vertical="center" indent="1"/>
    </xf>
    <xf numFmtId="4" fontId="52" fillId="13" borderId="125" applyNumberFormat="0" applyProtection="0">
      <alignment horizontal="left" vertical="center" indent="1"/>
    </xf>
    <xf numFmtId="4" fontId="52" fillId="13" borderId="125" applyNumberFormat="0" applyProtection="0">
      <alignment horizontal="left" vertical="center" indent="1"/>
    </xf>
    <xf numFmtId="4" fontId="52" fillId="13" borderId="125" applyNumberFormat="0" applyProtection="0">
      <alignment horizontal="left" vertical="center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64" fillId="29" borderId="129" applyNumberFormat="0" applyProtection="0">
      <alignment horizontal="left" vertical="top" indent="1"/>
    </xf>
    <xf numFmtId="0" fontId="20" fillId="78" borderId="128" applyNumberFormat="0" applyProtection="0">
      <alignment horizontal="left" vertical="center" indent="1"/>
    </xf>
    <xf numFmtId="4" fontId="102" fillId="26" borderId="125" applyNumberFormat="0" applyProtection="0">
      <alignment horizontal="left" vertical="center" indent="1"/>
    </xf>
    <xf numFmtId="4" fontId="102" fillId="26" borderId="125" applyNumberFormat="0" applyProtection="0">
      <alignment horizontal="left" vertical="center" indent="1"/>
    </xf>
    <xf numFmtId="4" fontId="102" fillId="26" borderId="125" applyNumberFormat="0" applyProtection="0">
      <alignment horizontal="left" vertical="center" indent="1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1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2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33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2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34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28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5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6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52" fillId="37" borderId="129" applyNumberFormat="0" applyProtection="0">
      <alignment horizontal="right" vertical="center"/>
    </xf>
    <xf numFmtId="4" fontId="103" fillId="82" borderId="125" applyNumberFormat="0" applyProtection="0">
      <alignment horizontal="left" vertical="center" indent="1"/>
    </xf>
    <xf numFmtId="4" fontId="103" fillId="82" borderId="125" applyNumberFormat="0" applyProtection="0">
      <alignment horizontal="left" vertical="center" indent="1"/>
    </xf>
    <xf numFmtId="4" fontId="103" fillId="82" borderId="125" applyNumberFormat="0" applyProtection="0">
      <alignment horizontal="left" vertical="center" indent="1"/>
    </xf>
    <xf numFmtId="4" fontId="103" fillId="82" borderId="125" applyNumberFormat="0" applyProtection="0">
      <alignment horizontal="left" vertical="center" indent="1"/>
    </xf>
    <xf numFmtId="4" fontId="50" fillId="21" borderId="125" applyNumberFormat="0" applyProtection="0">
      <alignment horizontal="left" vertical="center" indent="1"/>
    </xf>
    <xf numFmtId="4" fontId="50" fillId="21" borderId="125" applyNumberFormat="0" applyProtection="0">
      <alignment horizontal="left" vertical="center" indent="1"/>
    </xf>
    <xf numFmtId="4" fontId="50" fillId="21" borderId="125" applyNumberFormat="0" applyProtection="0">
      <alignment horizontal="left" vertical="center" indent="1"/>
    </xf>
    <xf numFmtId="4" fontId="50" fillId="21" borderId="125" applyNumberFormat="0" applyProtection="0">
      <alignment horizontal="left" vertical="center" indent="1"/>
    </xf>
    <xf numFmtId="4" fontId="50" fillId="21" borderId="125" applyNumberFormat="0" applyProtection="0">
      <alignment horizontal="left" vertical="center" indent="1"/>
    </xf>
    <xf numFmtId="4" fontId="52" fillId="23" borderId="129" applyNumberFormat="0" applyProtection="0">
      <alignment horizontal="right" vertical="center"/>
    </xf>
    <xf numFmtId="4" fontId="52" fillId="23" borderId="129" applyNumberFormat="0" applyProtection="0">
      <alignment horizontal="right" vertical="center"/>
    </xf>
    <xf numFmtId="4" fontId="52" fillId="23" borderId="125" applyNumberFormat="0" applyProtection="0">
      <alignment horizontal="right" vertical="center"/>
    </xf>
    <xf numFmtId="4" fontId="52" fillId="23" borderId="125" applyNumberFormat="0" applyProtection="0">
      <alignment horizontal="right" vertical="center"/>
    </xf>
    <xf numFmtId="4" fontId="52" fillId="23" borderId="125" applyNumberFormat="0" applyProtection="0">
      <alignment horizontal="right" vertical="center"/>
    </xf>
    <xf numFmtId="4" fontId="52" fillId="23" borderId="125" applyNumberFormat="0" applyProtection="0">
      <alignment horizontal="right" vertical="center"/>
    </xf>
    <xf numFmtId="4" fontId="52" fillId="23" borderId="125" applyNumberFormat="0" applyProtection="0">
      <alignment horizontal="right" vertical="center"/>
    </xf>
    <xf numFmtId="0" fontId="20" fillId="30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center" indent="1"/>
    </xf>
    <xf numFmtId="0" fontId="76" fillId="84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center" indent="1"/>
    </xf>
    <xf numFmtId="0" fontId="76" fillId="84" borderId="129" applyNumberFormat="0" applyProtection="0">
      <alignment horizontal="left" vertical="center" indent="1"/>
    </xf>
    <xf numFmtId="0" fontId="76" fillId="84" borderId="129" applyNumberFormat="0" applyProtection="0">
      <alignment horizontal="left" vertical="center" indent="1"/>
    </xf>
    <xf numFmtId="0" fontId="76" fillId="84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center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0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center" indent="1"/>
    </xf>
    <xf numFmtId="0" fontId="76" fillId="8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center" indent="1"/>
    </xf>
    <xf numFmtId="0" fontId="76" fillId="8" borderId="129" applyNumberFormat="0" applyProtection="0">
      <alignment horizontal="left" vertical="center" indent="1"/>
    </xf>
    <xf numFmtId="0" fontId="76" fillId="8" borderId="129" applyNumberFormat="0" applyProtection="0">
      <alignment horizontal="left" vertical="center" indent="1"/>
    </xf>
    <xf numFmtId="0" fontId="76" fillId="8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center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39" borderId="129" applyNumberFormat="0" applyProtection="0">
      <alignment horizontal="left" vertical="top" indent="1"/>
    </xf>
    <xf numFmtId="0" fontId="20" fillId="83" borderId="129" applyNumberFormat="0" applyProtection="0">
      <alignment horizontal="left" vertical="center" indent="1"/>
    </xf>
    <xf numFmtId="0" fontId="20" fillId="2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2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2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83" borderId="129" applyNumberFormat="0" applyProtection="0">
      <alignment horizontal="left" vertical="center" indent="1"/>
    </xf>
    <xf numFmtId="0" fontId="20" fillId="23" borderId="129" applyNumberFormat="0" applyProtection="0">
      <alignment horizontal="left" vertical="center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3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center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0" fontId="20" fillId="22" borderId="129" applyNumberFormat="0" applyProtection="0">
      <alignment horizontal="left" vertical="top" indent="1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2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3" fillId="22" borderId="129" applyNumberFormat="0" applyProtection="0">
      <alignment vertical="center"/>
    </xf>
    <xf numFmtId="4" fontId="50" fillId="23" borderId="130" applyNumberFormat="0" applyProtection="0">
      <alignment horizontal="left" vertical="center" indent="1"/>
    </xf>
    <xf numFmtId="4" fontId="50" fillId="23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0" fillId="23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0" fillId="23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3" fillId="107" borderId="130" applyNumberFormat="0" applyProtection="0">
      <alignment horizontal="left" vertical="center" indent="1"/>
    </xf>
    <xf numFmtId="4" fontId="50" fillId="23" borderId="130" applyNumberFormat="0" applyProtection="0">
      <alignment horizontal="left" vertical="center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0" fontId="26" fillId="85" borderId="129" applyNumberFormat="0" applyProtection="0">
      <alignment horizontal="left" vertical="top" indent="1"/>
    </xf>
    <xf numFmtId="4" fontId="52" fillId="22" borderId="129" applyNumberFormat="0" applyProtection="0">
      <alignment horizontal="right" vertical="center"/>
    </xf>
    <xf numFmtId="4" fontId="52" fillId="22" borderId="129" applyNumberFormat="0" applyProtection="0">
      <alignment horizontal="right" vertical="center"/>
    </xf>
    <xf numFmtId="4" fontId="52" fillId="21" borderId="125" applyNumberFormat="0" applyProtection="0">
      <alignment horizontal="right" vertical="center"/>
    </xf>
    <xf numFmtId="4" fontId="52" fillId="21" borderId="125" applyNumberFormat="0" applyProtection="0">
      <alignment horizontal="right" vertical="center"/>
    </xf>
    <xf numFmtId="4" fontId="52" fillId="21" borderId="125" applyNumberFormat="0" applyProtection="0">
      <alignment horizontal="right" vertical="center"/>
    </xf>
    <xf numFmtId="4" fontId="52" fillId="21" borderId="125" applyNumberFormat="0" applyProtection="0">
      <alignment horizontal="right" vertical="center"/>
    </xf>
    <xf numFmtId="4" fontId="52" fillId="21" borderId="125" applyNumberFormat="0" applyProtection="0">
      <alignment horizontal="right" vertical="center"/>
    </xf>
    <xf numFmtId="4" fontId="52" fillId="21" borderId="125" applyNumberFormat="0" applyProtection="0">
      <alignment horizontal="right" vertical="center"/>
    </xf>
    <xf numFmtId="4" fontId="26" fillId="108" borderId="128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3" fillId="22" borderId="129" applyNumberFormat="0" applyProtection="0">
      <alignment horizontal="right" vertical="center"/>
    </xf>
    <xf numFmtId="4" fontId="50" fillId="23" borderId="129" applyNumberFormat="0" applyProtection="0">
      <alignment horizontal="left" vertical="center" indent="1"/>
    </xf>
    <xf numFmtId="4" fontId="50" fillId="23" borderId="129" applyNumberFormat="0" applyProtection="0">
      <alignment horizontal="left" vertical="center" indent="1"/>
    </xf>
    <xf numFmtId="4" fontId="105" fillId="8" borderId="125" applyNumberFormat="0" applyProtection="0">
      <alignment horizontal="left" vertical="center" indent="1"/>
    </xf>
    <xf numFmtId="4" fontId="105" fillId="8" borderId="125" applyNumberFormat="0" applyProtection="0">
      <alignment horizontal="left" vertical="center" indent="1"/>
    </xf>
    <xf numFmtId="4" fontId="105" fillId="8" borderId="125" applyNumberFormat="0" applyProtection="0">
      <alignment horizontal="left" vertical="center" indent="1"/>
    </xf>
    <xf numFmtId="4" fontId="105" fillId="8" borderId="125" applyNumberFormat="0" applyProtection="0">
      <alignment horizontal="left" vertical="center" indent="1"/>
    </xf>
    <xf numFmtId="4" fontId="105" fillId="8" borderId="125" applyProtection="0">
      <alignment horizontal="left" vertical="center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0" fontId="26" fillId="39" borderId="129" applyNumberFormat="0" applyProtection="0">
      <alignment horizontal="left" vertical="top" indent="1"/>
    </xf>
    <xf numFmtId="4" fontId="55" fillId="39" borderId="130" applyNumberFormat="0" applyProtection="0">
      <alignment horizontal="left" vertical="center" indent="1"/>
    </xf>
    <xf numFmtId="4" fontId="55" fillId="39" borderId="130" applyNumberFormat="0" applyProtection="0">
      <alignment horizontal="left" vertical="center" indent="1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4" fontId="56" fillId="22" borderId="129" applyNumberFormat="0" applyProtection="0">
      <alignment horizontal="right" vertical="center"/>
    </xf>
    <xf numFmtId="0" fontId="158" fillId="0" borderId="0"/>
    <xf numFmtId="44" fontId="16" fillId="0" borderId="0" applyFont="0" applyFill="0" applyBorder="0" applyAlignment="0" applyProtection="0"/>
    <xf numFmtId="164" fontId="16" fillId="0" borderId="0" applyFont="0" applyFill="0" applyBorder="0" applyAlignment="0" applyProtection="0"/>
  </cellStyleXfs>
  <cellXfs count="576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22" fillId="2" borderId="0" xfId="0" applyFont="1" applyFill="1"/>
    <xf numFmtId="0" fontId="0" fillId="3" borderId="0" xfId="0" applyFill="1"/>
    <xf numFmtId="2" fontId="0" fillId="3" borderId="0" xfId="0" applyNumberFormat="1" applyFill="1"/>
    <xf numFmtId="14" fontId="0" fillId="0" borderId="1" xfId="0" applyNumberFormat="1" applyBorder="1"/>
    <xf numFmtId="0" fontId="22" fillId="6" borderId="0" xfId="0" applyFont="1" applyFill="1"/>
    <xf numFmtId="0" fontId="0" fillId="0" borderId="0" xfId="0" applyAlignment="1">
      <alignment wrapText="1"/>
    </xf>
    <xf numFmtId="0" fontId="0" fillId="0" borderId="0" xfId="0" applyBorder="1"/>
    <xf numFmtId="0" fontId="0" fillId="3" borderId="0" xfId="0" applyFill="1" applyBorder="1"/>
    <xf numFmtId="2" fontId="0" fillId="3" borderId="0" xfId="0" applyNumberFormat="1" applyFill="1" applyBorder="1"/>
    <xf numFmtId="2" fontId="0" fillId="0" borderId="0" xfId="0" applyNumberFormat="1"/>
    <xf numFmtId="166" fontId="0" fillId="3" borderId="0" xfId="0" applyNumberFormat="1" applyFill="1" applyBorder="1"/>
    <xf numFmtId="0" fontId="22" fillId="2" borderId="0" xfId="0" applyFont="1" applyFill="1" applyAlignment="1">
      <alignment wrapText="1"/>
    </xf>
    <xf numFmtId="0" fontId="22" fillId="2" borderId="2" xfId="0" applyFont="1" applyFill="1" applyBorder="1" applyAlignment="1">
      <alignment horizontal="center" wrapText="1"/>
    </xf>
    <xf numFmtId="0" fontId="19" fillId="4" borderId="0" xfId="0" applyFont="1" applyFill="1" applyBorder="1" applyAlignment="1">
      <alignment horizontal="center" wrapText="1"/>
    </xf>
    <xf numFmtId="0" fontId="19" fillId="4" borderId="3" xfId="0" applyFont="1" applyFill="1" applyBorder="1" applyAlignment="1">
      <alignment horizontal="center" wrapText="1"/>
    </xf>
    <xf numFmtId="0" fontId="19" fillId="7" borderId="0" xfId="0" applyFont="1" applyFill="1" applyBorder="1" applyAlignment="1">
      <alignment horizontal="center" wrapText="1"/>
    </xf>
    <xf numFmtId="0" fontId="0" fillId="42" borderId="19" xfId="0" applyFill="1" applyBorder="1"/>
    <xf numFmtId="0" fontId="0" fillId="42" borderId="11" xfId="0" applyFill="1" applyBorder="1"/>
    <xf numFmtId="0" fontId="0" fillId="42" borderId="40" xfId="0" applyFill="1" applyBorder="1"/>
    <xf numFmtId="0" fontId="0" fillId="42" borderId="10" xfId="0" applyFill="1" applyBorder="1"/>
    <xf numFmtId="0" fontId="0" fillId="0" borderId="0" xfId="0"/>
    <xf numFmtId="14" fontId="0" fillId="4" borderId="0" xfId="0" applyNumberFormat="1" applyFill="1"/>
    <xf numFmtId="166" fontId="0" fillId="3" borderId="0" xfId="0" applyNumberFormat="1" applyFill="1" applyBorder="1"/>
    <xf numFmtId="0" fontId="0" fillId="0" borderId="0" xfId="0"/>
    <xf numFmtId="165" fontId="19" fillId="0" borderId="0" xfId="0" applyNumberFormat="1" applyFont="1"/>
    <xf numFmtId="0" fontId="72" fillId="0" borderId="0" xfId="0" applyFont="1"/>
    <xf numFmtId="0" fontId="0" fillId="44" borderId="41" xfId="0" applyFill="1" applyBorder="1" applyAlignment="1">
      <alignment vertical="center"/>
    </xf>
    <xf numFmtId="2" fontId="0" fillId="0" borderId="43" xfId="0" applyNumberFormat="1" applyBorder="1" applyAlignment="1">
      <alignment vertical="center"/>
    </xf>
    <xf numFmtId="0" fontId="23" fillId="44" borderId="45" xfId="0" applyFont="1" applyFill="1" applyBorder="1" applyAlignment="1">
      <alignment vertical="center"/>
    </xf>
    <xf numFmtId="2" fontId="23" fillId="45" borderId="44" xfId="0" applyNumberFormat="1" applyFont="1" applyFill="1" applyBorder="1" applyAlignment="1">
      <alignment vertical="center"/>
    </xf>
    <xf numFmtId="2" fontId="23" fillId="45" borderId="46" xfId="0" applyNumberFormat="1" applyFont="1" applyFill="1" applyBorder="1" applyAlignment="1">
      <alignment vertical="center"/>
    </xf>
    <xf numFmtId="0" fontId="23" fillId="44" borderId="47" xfId="0" applyFont="1" applyFill="1" applyBorder="1" applyAlignment="1">
      <alignment vertical="center"/>
    </xf>
    <xf numFmtId="0" fontId="73" fillId="0" borderId="49" xfId="0" applyFont="1" applyBorder="1"/>
    <xf numFmtId="0" fontId="73" fillId="0" borderId="18" xfId="0" applyFont="1" applyBorder="1"/>
    <xf numFmtId="0" fontId="73" fillId="0" borderId="50" xfId="0" applyFont="1" applyBorder="1"/>
    <xf numFmtId="14" fontId="0" fillId="0" borderId="17" xfId="0" applyNumberFormat="1" applyBorder="1"/>
    <xf numFmtId="14" fontId="0" fillId="0" borderId="15" xfId="0" applyNumberFormat="1" applyBorder="1"/>
    <xf numFmtId="0" fontId="17" fillId="41" borderId="15" xfId="0" applyFont="1" applyFill="1" applyBorder="1"/>
    <xf numFmtId="14" fontId="0" fillId="50" borderId="16" xfId="0" applyNumberFormat="1" applyFill="1" applyBorder="1"/>
    <xf numFmtId="14" fontId="0" fillId="0" borderId="14" xfId="0" applyNumberFormat="1" applyBorder="1"/>
    <xf numFmtId="14" fontId="0" fillId="0" borderId="12" xfId="0" applyNumberFormat="1" applyBorder="1"/>
    <xf numFmtId="0" fontId="17" fillId="41" borderId="12" xfId="0" applyFont="1" applyFill="1" applyBorder="1"/>
    <xf numFmtId="14" fontId="0" fillId="50" borderId="13" xfId="0" applyNumberFormat="1" applyFill="1" applyBorder="1"/>
    <xf numFmtId="14" fontId="0" fillId="50" borderId="21" xfId="0" applyNumberFormat="1" applyFill="1" applyBorder="1"/>
    <xf numFmtId="0" fontId="0" fillId="49" borderId="49" xfId="0" applyFill="1" applyBorder="1"/>
    <xf numFmtId="14" fontId="0" fillId="0" borderId="49" xfId="0" applyNumberFormat="1" applyBorder="1"/>
    <xf numFmtId="14" fontId="0" fillId="0" borderId="50" xfId="0" applyNumberFormat="1" applyBorder="1"/>
    <xf numFmtId="0" fontId="17" fillId="41" borderId="50" xfId="0" applyFont="1" applyFill="1" applyBorder="1"/>
    <xf numFmtId="0" fontId="75" fillId="0" borderId="24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19" fillId="0" borderId="0" xfId="0" applyFont="1"/>
    <xf numFmtId="164" fontId="0" fillId="0" borderId="0" xfId="0" applyNumberFormat="1"/>
    <xf numFmtId="14" fontId="19" fillId="4" borderId="0" xfId="0" applyNumberFormat="1" applyFont="1" applyFill="1" applyBorder="1" applyAlignment="1">
      <alignment horizontal="center" wrapText="1"/>
    </xf>
    <xf numFmtId="14" fontId="19" fillId="4" borderId="0" xfId="0" applyNumberFormat="1" applyFont="1" applyFill="1" applyAlignment="1">
      <alignment horizontal="center" wrapText="1"/>
    </xf>
    <xf numFmtId="0" fontId="19" fillId="4" borderId="0" xfId="0" applyFont="1" applyFill="1" applyAlignment="1">
      <alignment wrapText="1"/>
    </xf>
    <xf numFmtId="0" fontId="19" fillId="3" borderId="53" xfId="0" applyFont="1" applyFill="1" applyBorder="1"/>
    <xf numFmtId="0" fontId="19" fillId="7" borderId="0" xfId="0" applyFont="1" applyFill="1" applyBorder="1" applyAlignment="1">
      <alignment vertical="center"/>
    </xf>
    <xf numFmtId="0" fontId="23" fillId="4" borderId="0" xfId="0" applyFont="1" applyFill="1"/>
    <xf numFmtId="0" fontId="23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 wrapText="1"/>
    </xf>
    <xf numFmtId="0" fontId="23" fillId="4" borderId="0" xfId="0" applyFont="1" applyFill="1" applyAlignment="1"/>
    <xf numFmtId="0" fontId="24" fillId="4" borderId="0" xfId="0" applyFont="1" applyFill="1" applyBorder="1" applyAlignment="1"/>
    <xf numFmtId="0" fontId="24" fillId="7" borderId="2" xfId="0" applyFont="1" applyFill="1" applyBorder="1" applyAlignment="1">
      <alignment vertical="center"/>
    </xf>
    <xf numFmtId="0" fontId="24" fillId="7" borderId="0" xfId="0" applyFont="1" applyFill="1" applyBorder="1" applyAlignment="1">
      <alignment vertical="center"/>
    </xf>
    <xf numFmtId="0" fontId="19" fillId="0" borderId="1" xfId="0" applyFont="1" applyBorder="1"/>
    <xf numFmtId="0" fontId="71" fillId="3" borderId="0" xfId="0" applyFont="1" applyFill="1"/>
    <xf numFmtId="0" fontId="19" fillId="4" borderId="0" xfId="0" applyFont="1" applyFill="1" applyAlignment="1">
      <alignment horizontal="center" vertical="center"/>
    </xf>
    <xf numFmtId="2" fontId="19" fillId="4" borderId="0" xfId="0" applyNumberFormat="1" applyFont="1" applyFill="1"/>
    <xf numFmtId="166" fontId="19" fillId="3" borderId="0" xfId="0" applyNumberFormat="1" applyFont="1" applyFill="1" applyBorder="1"/>
    <xf numFmtId="166" fontId="19" fillId="3" borderId="2" xfId="0" applyNumberFormat="1" applyFont="1" applyFill="1" applyBorder="1" applyAlignment="1">
      <alignment horizontal="center"/>
    </xf>
    <xf numFmtId="0" fontId="19" fillId="0" borderId="0" xfId="0" applyFont="1"/>
    <xf numFmtId="166" fontId="19" fillId="3" borderId="0" xfId="0" applyNumberFormat="1" applyFont="1" applyFill="1"/>
    <xf numFmtId="0" fontId="19" fillId="3" borderId="0" xfId="0" applyFont="1" applyFill="1" applyBorder="1"/>
    <xf numFmtId="0" fontId="19" fillId="3" borderId="0" xfId="0" applyFont="1" applyFill="1"/>
    <xf numFmtId="0" fontId="19" fillId="4" borderId="0" xfId="0" applyFont="1" applyFill="1"/>
    <xf numFmtId="14" fontId="19" fillId="4" borderId="0" xfId="0" applyNumberFormat="1" applyFont="1" applyFill="1"/>
    <xf numFmtId="166" fontId="19" fillId="3" borderId="0" xfId="0" applyNumberFormat="1" applyFont="1" applyFill="1" applyBorder="1" applyAlignment="1">
      <alignment horizontal="center"/>
    </xf>
    <xf numFmtId="0" fontId="71" fillId="0" borderId="0" xfId="0" applyFont="1"/>
    <xf numFmtId="0" fontId="71" fillId="4" borderId="0" xfId="0" applyFont="1" applyFill="1"/>
    <xf numFmtId="0" fontId="19" fillId="51" borderId="51" xfId="0" applyFont="1" applyFill="1" applyBorder="1"/>
    <xf numFmtId="0" fontId="19" fillId="45" borderId="0" xfId="0" applyFont="1" applyFill="1" applyBorder="1"/>
    <xf numFmtId="14" fontId="19" fillId="51" borderId="54" xfId="810" applyNumberFormat="1" applyFont="1" applyFill="1" applyBorder="1"/>
    <xf numFmtId="14" fontId="0" fillId="45" borderId="54" xfId="0" applyNumberFormat="1" applyFill="1" applyBorder="1"/>
    <xf numFmtId="14" fontId="0" fillId="49" borderId="54" xfId="0" applyNumberFormat="1" applyFill="1" applyBorder="1"/>
    <xf numFmtId="0" fontId="0" fillId="49" borderId="54" xfId="0" applyFill="1" applyBorder="1"/>
    <xf numFmtId="0" fontId="19" fillId="46" borderId="54" xfId="810" applyFont="1" applyFill="1" applyBorder="1" applyAlignment="1">
      <alignment horizontal="center" wrapText="1"/>
    </xf>
    <xf numFmtId="0" fontId="19" fillId="44" borderId="54" xfId="0" applyFont="1" applyFill="1" applyBorder="1" applyAlignment="1">
      <alignment horizontal="center" wrapText="1"/>
    </xf>
    <xf numFmtId="0" fontId="19" fillId="55" borderId="54" xfId="0" applyFont="1" applyFill="1" applyBorder="1" applyAlignment="1">
      <alignment horizontal="center" wrapText="1"/>
    </xf>
    <xf numFmtId="0" fontId="19" fillId="57" borderId="0" xfId="0" applyFont="1" applyFill="1" applyBorder="1" applyAlignment="1">
      <alignment horizontal="center" wrapText="1"/>
    </xf>
    <xf numFmtId="0" fontId="19" fillId="58" borderId="0" xfId="0" applyFont="1" applyFill="1" applyBorder="1" applyAlignment="1">
      <alignment horizontal="center" wrapText="1"/>
    </xf>
    <xf numFmtId="0" fontId="19" fillId="59" borderId="52" xfId="0" applyFont="1" applyFill="1" applyBorder="1" applyAlignment="1">
      <alignment horizontal="center" wrapText="1"/>
    </xf>
    <xf numFmtId="0" fontId="19" fillId="0" borderId="2" xfId="0" applyFont="1" applyBorder="1"/>
    <xf numFmtId="14" fontId="0" fillId="0" borderId="2" xfId="0" applyNumberFormat="1" applyBorder="1"/>
    <xf numFmtId="14" fontId="19" fillId="4" borderId="2" xfId="0" applyNumberFormat="1" applyFont="1" applyFill="1" applyBorder="1" applyAlignment="1">
      <alignment horizontal="center" wrapText="1"/>
    </xf>
    <xf numFmtId="0" fontId="24" fillId="4" borderId="2" xfId="0" applyFont="1" applyFill="1" applyBorder="1" applyAlignment="1"/>
    <xf numFmtId="0" fontId="19" fillId="4" borderId="2" xfId="0" applyFont="1" applyFill="1" applyBorder="1" applyAlignment="1">
      <alignment horizontal="center" wrapText="1"/>
    </xf>
    <xf numFmtId="166" fontId="19" fillId="3" borderId="2" xfId="0" applyNumberFormat="1" applyFont="1" applyFill="1" applyBorder="1"/>
    <xf numFmtId="0" fontId="19" fillId="3" borderId="0" xfId="0" applyFont="1" applyFill="1" applyAlignment="1">
      <alignment horizontal="left"/>
    </xf>
    <xf numFmtId="0" fontId="19" fillId="3" borderId="0" xfId="0" quotePrefix="1" applyFont="1" applyFill="1"/>
    <xf numFmtId="165" fontId="0" fillId="6" borderId="2" xfId="0" applyNumberFormat="1" applyFont="1" applyFill="1" applyBorder="1" applyAlignment="1">
      <alignment horizontal="center"/>
    </xf>
    <xf numFmtId="49" fontId="19" fillId="3" borderId="0" xfId="0" applyNumberFormat="1" applyFont="1" applyFill="1" applyBorder="1" applyAlignment="1"/>
    <xf numFmtId="0" fontId="19" fillId="3" borderId="0" xfId="0" applyFont="1" applyFill="1" applyBorder="1" applyAlignment="1"/>
    <xf numFmtId="0" fontId="19" fillId="60" borderId="0" xfId="0" applyFont="1" applyFill="1"/>
    <xf numFmtId="0" fontId="19" fillId="0" borderId="0" xfId="0" applyFont="1" applyFill="1"/>
    <xf numFmtId="183" fontId="19" fillId="3" borderId="0" xfId="0" applyNumberFormat="1" applyFont="1" applyFill="1" applyBorder="1" applyAlignment="1"/>
    <xf numFmtId="49" fontId="71" fillId="0" borderId="0" xfId="0" applyNumberFormat="1" applyFont="1" applyFill="1" applyBorder="1" applyAlignment="1"/>
    <xf numFmtId="49" fontId="0" fillId="0" borderId="0" xfId="0" applyNumberFormat="1" applyFill="1" applyBorder="1" applyAlignment="1"/>
    <xf numFmtId="0" fontId="0" fillId="0" borderId="0" xfId="0" applyFill="1" applyBorder="1" applyAlignment="1"/>
    <xf numFmtId="183" fontId="0" fillId="0" borderId="0" xfId="0" applyNumberFormat="1" applyFill="1" applyBorder="1" applyAlignment="1"/>
    <xf numFmtId="14" fontId="19" fillId="3" borderId="0" xfId="0" quotePrefix="1" applyNumberFormat="1" applyFont="1" applyFill="1"/>
    <xf numFmtId="0" fontId="0" fillId="4" borderId="0" xfId="0" applyFont="1" applyFill="1"/>
    <xf numFmtId="2" fontId="0" fillId="4" borderId="0" xfId="0" applyNumberFormat="1" applyFont="1" applyFill="1"/>
    <xf numFmtId="0" fontId="0" fillId="0" borderId="0" xfId="0" applyFont="1"/>
    <xf numFmtId="49" fontId="71" fillId="3" borderId="0" xfId="0" applyNumberFormat="1" applyFont="1" applyFill="1" applyBorder="1" applyAlignment="1"/>
    <xf numFmtId="0" fontId="71" fillId="3" borderId="0" xfId="0" quotePrefix="1" applyFont="1" applyFill="1" applyBorder="1" applyAlignment="1"/>
    <xf numFmtId="0" fontId="71" fillId="3" borderId="0" xfId="0" applyFont="1" applyFill="1" applyBorder="1" applyAlignment="1"/>
    <xf numFmtId="0" fontId="77" fillId="0" borderId="0" xfId="822" applyFont="1" applyFill="1" applyBorder="1" applyAlignment="1"/>
    <xf numFmtId="0" fontId="71" fillId="0" borderId="0" xfId="0" applyFont="1" applyAlignment="1">
      <alignment horizontal="right"/>
    </xf>
    <xf numFmtId="183" fontId="71" fillId="3" borderId="0" xfId="0" quotePrefix="1" applyNumberFormat="1" applyFont="1" applyFill="1" applyBorder="1" applyAlignment="1">
      <alignment horizontal="right"/>
    </xf>
    <xf numFmtId="0" fontId="71" fillId="3" borderId="0" xfId="0" applyFont="1" applyFill="1" applyBorder="1" applyAlignment="1">
      <alignment wrapText="1"/>
    </xf>
    <xf numFmtId="0" fontId="80" fillId="3" borderId="0" xfId="0" applyFont="1" applyFill="1"/>
    <xf numFmtId="0" fontId="80" fillId="0" borderId="0" xfId="0" applyFont="1"/>
    <xf numFmtId="0" fontId="24" fillId="3" borderId="0" xfId="0" applyFont="1" applyFill="1"/>
    <xf numFmtId="0" fontId="0" fillId="61" borderId="7" xfId="0" applyFill="1" applyBorder="1"/>
    <xf numFmtId="0" fontId="84" fillId="49" borderId="8" xfId="0" applyFont="1" applyFill="1" applyBorder="1"/>
    <xf numFmtId="0" fontId="0" fillId="43" borderId="8" xfId="0" applyFill="1" applyBorder="1"/>
    <xf numFmtId="0" fontId="0" fillId="43" borderId="38" xfId="0" applyFill="1" applyBorder="1"/>
    <xf numFmtId="2" fontId="0" fillId="43" borderId="9" xfId="0" applyNumberFormat="1" applyFill="1" applyBorder="1"/>
    <xf numFmtId="182" fontId="0" fillId="43" borderId="6" xfId="0" applyNumberFormat="1" applyFill="1" applyBorder="1"/>
    <xf numFmtId="0" fontId="0" fillId="48" borderId="10" xfId="0" applyFill="1" applyBorder="1"/>
    <xf numFmtId="0" fontId="0" fillId="48" borderId="39" xfId="0" applyFill="1" applyBorder="1"/>
    <xf numFmtId="0" fontId="0" fillId="54" borderId="39" xfId="0" applyFill="1" applyBorder="1"/>
    <xf numFmtId="0" fontId="0" fillId="53" borderId="39" xfId="0" applyFill="1" applyBorder="1"/>
    <xf numFmtId="0" fontId="0" fillId="53" borderId="40" xfId="0" applyFill="1" applyBorder="1"/>
    <xf numFmtId="0" fontId="0" fillId="43" borderId="45" xfId="0" applyFill="1" applyBorder="1"/>
    <xf numFmtId="0" fontId="0" fillId="43" borderId="6" xfId="0" applyFill="1" applyBorder="1"/>
    <xf numFmtId="14" fontId="0" fillId="0" borderId="6" xfId="0" applyNumberFormat="1" applyBorder="1"/>
    <xf numFmtId="2" fontId="74" fillId="50" borderId="11" xfId="0" applyNumberFormat="1" applyFont="1" applyFill="1" applyBorder="1"/>
    <xf numFmtId="2" fontId="74" fillId="50" borderId="62" xfId="0" applyNumberFormat="1" applyFont="1" applyFill="1" applyBorder="1"/>
    <xf numFmtId="0" fontId="74" fillId="7" borderId="62" xfId="0" applyFont="1" applyFill="1" applyBorder="1"/>
    <xf numFmtId="0" fontId="74" fillId="51" borderId="62" xfId="0" applyFont="1" applyFill="1" applyBorder="1"/>
    <xf numFmtId="2" fontId="74" fillId="50" borderId="19" xfId="0" applyNumberFormat="1" applyFont="1" applyFill="1" applyBorder="1"/>
    <xf numFmtId="0" fontId="0" fillId="43" borderId="11" xfId="0" applyFill="1" applyBorder="1"/>
    <xf numFmtId="0" fontId="0" fillId="43" borderId="62" xfId="0" applyFill="1" applyBorder="1"/>
    <xf numFmtId="14" fontId="0" fillId="0" borderId="62" xfId="0" applyNumberFormat="1" applyBorder="1"/>
    <xf numFmtId="0" fontId="0" fillId="43" borderId="42" xfId="0" applyFill="1" applyBorder="1"/>
    <xf numFmtId="0" fontId="23" fillId="43" borderId="62" xfId="0" applyFont="1" applyFill="1" applyBorder="1"/>
    <xf numFmtId="182" fontId="0" fillId="0" borderId="62" xfId="0" applyNumberFormat="1" applyBorder="1"/>
    <xf numFmtId="2" fontId="23" fillId="0" borderId="62" xfId="0" applyNumberFormat="1" applyFont="1" applyBorder="1"/>
    <xf numFmtId="0" fontId="23" fillId="43" borderId="63" xfId="0" applyFont="1" applyFill="1" applyBorder="1"/>
    <xf numFmtId="0" fontId="0" fillId="0" borderId="62" xfId="0" applyBorder="1" applyAlignment="1">
      <alignment horizontal="right"/>
    </xf>
    <xf numFmtId="0" fontId="23" fillId="0" borderId="62" xfId="0" applyFont="1" applyBorder="1"/>
    <xf numFmtId="0" fontId="0" fillId="0" borderId="62" xfId="0" applyBorder="1"/>
    <xf numFmtId="0" fontId="19" fillId="4" borderId="0" xfId="0" applyFont="1" applyFill="1" applyAlignment="1">
      <alignment horizontal="center" vertical="center" wrapText="1"/>
    </xf>
    <xf numFmtId="0" fontId="0" fillId="0" borderId="0" xfId="0"/>
    <xf numFmtId="2" fontId="0" fillId="0" borderId="0" xfId="0" applyNumberFormat="1"/>
    <xf numFmtId="0" fontId="0" fillId="3" borderId="0" xfId="0" applyFont="1" applyFill="1"/>
    <xf numFmtId="0" fontId="19" fillId="63" borderId="0" xfId="0" applyFont="1" applyFill="1" applyAlignment="1">
      <alignment horizontal="center" vertical="center" wrapText="1"/>
    </xf>
    <xf numFmtId="0" fontId="19" fillId="49" borderId="0" xfId="0" applyFont="1" applyFill="1"/>
    <xf numFmtId="0" fontId="80" fillId="49" borderId="0" xfId="0" applyFont="1" applyFill="1"/>
    <xf numFmtId="0" fontId="0" fillId="49" borderId="0" xfId="0" applyFont="1" applyFill="1"/>
    <xf numFmtId="0" fontId="71" fillId="49" borderId="0" xfId="0" applyFont="1" applyFill="1"/>
    <xf numFmtId="0" fontId="19" fillId="55" borderId="0" xfId="0" applyFont="1" applyFill="1" applyAlignment="1">
      <alignment horizontal="center" vertical="center" wrapText="1"/>
    </xf>
    <xf numFmtId="0" fontId="19" fillId="64" borderId="0" xfId="0" applyFont="1" applyFill="1"/>
    <xf numFmtId="0" fontId="80" fillId="64" borderId="0" xfId="0" applyFont="1" applyFill="1"/>
    <xf numFmtId="0" fontId="0" fillId="64" borderId="0" xfId="0" applyFont="1" applyFill="1"/>
    <xf numFmtId="0" fontId="71" fillId="64" borderId="0" xfId="0" applyFont="1" applyFill="1"/>
    <xf numFmtId="0" fontId="19" fillId="64" borderId="0" xfId="0" applyNumberFormat="1" applyFont="1" applyFill="1"/>
    <xf numFmtId="0" fontId="0" fillId="42" borderId="65" xfId="0" applyFill="1" applyBorder="1"/>
    <xf numFmtId="0" fontId="0" fillId="42" borderId="96" xfId="0" applyFill="1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62" xfId="0" applyFill="1" applyBorder="1"/>
    <xf numFmtId="182" fontId="0" fillId="43" borderId="45" xfId="0" applyNumberFormat="1" applyFill="1" applyBorder="1"/>
    <xf numFmtId="182" fontId="0" fillId="43" borderId="44" xfId="0" applyNumberFormat="1" applyFill="1" applyBorder="1"/>
    <xf numFmtId="1" fontId="0" fillId="43" borderId="5" xfId="0" applyNumberFormat="1" applyFill="1" applyBorder="1"/>
    <xf numFmtId="0" fontId="0" fillId="0" borderId="0" xfId="0" applyAlignment="1">
      <alignment horizontal="left" indent="1"/>
    </xf>
    <xf numFmtId="0" fontId="19" fillId="50" borderId="0" xfId="0" applyNumberFormat="1" applyFont="1" applyFill="1"/>
    <xf numFmtId="0" fontId="19" fillId="50" borderId="0" xfId="0" applyFont="1" applyFill="1"/>
    <xf numFmtId="0" fontId="76" fillId="50" borderId="0" xfId="840" applyNumberFormat="1" applyFont="1" applyFill="1" applyBorder="1" applyAlignment="1"/>
    <xf numFmtId="0" fontId="76" fillId="50" borderId="0" xfId="840" applyFont="1" applyFill="1" applyBorder="1" applyAlignment="1"/>
    <xf numFmtId="2" fontId="76" fillId="50" borderId="0" xfId="840" applyNumberFormat="1" applyFont="1" applyFill="1" applyBorder="1" applyAlignment="1"/>
    <xf numFmtId="183" fontId="76" fillId="50" borderId="0" xfId="840" applyNumberFormat="1" applyFont="1" applyFill="1" applyBorder="1" applyAlignment="1"/>
    <xf numFmtId="0" fontId="19" fillId="50" borderId="0" xfId="0" applyNumberFormat="1" applyFont="1" applyFill="1" applyBorder="1" applyAlignment="1"/>
    <xf numFmtId="0" fontId="19" fillId="50" borderId="0" xfId="0" applyFont="1" applyFill="1" applyBorder="1" applyAlignment="1"/>
    <xf numFmtId="2" fontId="19" fillId="50" borderId="0" xfId="0" applyNumberFormat="1" applyFont="1" applyFill="1" applyBorder="1" applyAlignment="1"/>
    <xf numFmtId="183" fontId="19" fillId="50" borderId="0" xfId="0" applyNumberFormat="1" applyFont="1" applyFill="1" applyBorder="1" applyAlignment="1"/>
    <xf numFmtId="0" fontId="24" fillId="50" borderId="0" xfId="0" applyNumberFormat="1" applyFont="1" applyFill="1" applyBorder="1" applyAlignment="1"/>
    <xf numFmtId="0" fontId="0" fillId="50" borderId="0" xfId="0" applyFill="1" applyBorder="1" applyAlignment="1"/>
    <xf numFmtId="0" fontId="0" fillId="50" borderId="0" xfId="0" applyNumberFormat="1" applyFill="1" applyBorder="1" applyAlignment="1"/>
    <xf numFmtId="2" fontId="0" fillId="50" borderId="0" xfId="0" applyNumberFormat="1" applyFill="1" applyBorder="1" applyAlignment="1"/>
    <xf numFmtId="183" fontId="0" fillId="50" borderId="0" xfId="0" applyNumberFormat="1" applyFill="1" applyBorder="1" applyAlignment="1"/>
    <xf numFmtId="0" fontId="76" fillId="50" borderId="0" xfId="520" applyNumberFormat="1" applyFont="1" applyFill="1" applyBorder="1" applyAlignment="1"/>
    <xf numFmtId="0" fontId="76" fillId="50" borderId="0" xfId="520" applyFont="1" applyFill="1" applyBorder="1" applyAlignment="1"/>
    <xf numFmtId="0" fontId="76" fillId="50" borderId="0" xfId="521" applyFont="1" applyFill="1" applyBorder="1" applyAlignment="1"/>
    <xf numFmtId="2" fontId="76" fillId="50" borderId="0" xfId="521" applyNumberFormat="1" applyFont="1" applyFill="1" applyBorder="1" applyAlignment="1"/>
    <xf numFmtId="183" fontId="19" fillId="50" borderId="0" xfId="521" applyNumberFormat="1" applyFont="1" applyFill="1" applyBorder="1" applyAlignment="1"/>
    <xf numFmtId="0" fontId="19" fillId="50" borderId="0" xfId="521" applyFont="1" applyFill="1" applyBorder="1" applyAlignment="1"/>
    <xf numFmtId="0" fontId="19" fillId="50" borderId="0" xfId="0" applyFont="1" applyFill="1" applyAlignment="1">
      <alignment horizontal="left"/>
    </xf>
    <xf numFmtId="0" fontId="76" fillId="50" borderId="0" xfId="841" applyNumberFormat="1" applyFont="1" applyFill="1" applyBorder="1" applyAlignment="1"/>
    <xf numFmtId="0" fontId="76" fillId="50" borderId="0" xfId="841" applyFont="1" applyFill="1" applyBorder="1" applyAlignment="1"/>
    <xf numFmtId="2" fontId="76" fillId="50" borderId="0" xfId="841" applyNumberFormat="1" applyFont="1" applyFill="1" applyBorder="1" applyAlignment="1"/>
    <xf numFmtId="183" fontId="76" fillId="50" borderId="0" xfId="841" applyNumberFormat="1" applyFont="1" applyFill="1" applyBorder="1" applyAlignment="1"/>
    <xf numFmtId="0" fontId="79" fillId="50" borderId="0" xfId="0" quotePrefix="1" applyFont="1" applyFill="1" applyBorder="1" applyAlignment="1"/>
    <xf numFmtId="183" fontId="79" fillId="50" borderId="0" xfId="0" quotePrefix="1" applyNumberFormat="1" applyFont="1" applyFill="1" applyBorder="1" applyAlignment="1">
      <alignment horizontal="right"/>
    </xf>
    <xf numFmtId="0" fontId="23" fillId="50" borderId="0" xfId="0" applyNumberFormat="1" applyFont="1" applyFill="1" applyBorder="1" applyAlignment="1"/>
    <xf numFmtId="0" fontId="81" fillId="50" borderId="0" xfId="842" applyFont="1" applyFill="1" applyBorder="1" applyAlignment="1"/>
    <xf numFmtId="0" fontId="81" fillId="50" borderId="0" xfId="842" applyNumberFormat="1" applyFont="1" applyFill="1" applyBorder="1" applyAlignment="1"/>
    <xf numFmtId="2" fontId="81" fillId="50" borderId="0" xfId="842" applyNumberFormat="1" applyFont="1" applyFill="1" applyBorder="1" applyAlignment="1"/>
    <xf numFmtId="183" fontId="81" fillId="50" borderId="0" xfId="842" applyNumberFormat="1" applyFont="1" applyFill="1" applyBorder="1" applyAlignment="1"/>
    <xf numFmtId="0" fontId="80" fillId="50" borderId="0" xfId="0" applyFont="1" applyFill="1"/>
    <xf numFmtId="0" fontId="82" fillId="50" borderId="0" xfId="841" applyNumberFormat="1" applyFont="1" applyFill="1" applyBorder="1" applyAlignment="1"/>
    <xf numFmtId="0" fontId="81" fillId="50" borderId="0" xfId="843" applyFont="1" applyFill="1" applyBorder="1" applyAlignment="1"/>
    <xf numFmtId="0" fontId="81" fillId="50" borderId="0" xfId="843" applyNumberFormat="1" applyFont="1" applyFill="1" applyBorder="1" applyAlignment="1"/>
    <xf numFmtId="2" fontId="81" fillId="50" borderId="0" xfId="843" applyNumberFormat="1" applyFont="1" applyFill="1" applyBorder="1" applyAlignment="1"/>
    <xf numFmtId="183" fontId="81" fillId="50" borderId="0" xfId="843" applyNumberFormat="1" applyFont="1" applyFill="1" applyBorder="1" applyAlignment="1"/>
    <xf numFmtId="0" fontId="80" fillId="50" borderId="0" xfId="0" applyNumberFormat="1" applyFont="1" applyFill="1" applyBorder="1" applyAlignment="1"/>
    <xf numFmtId="0" fontId="81" fillId="50" borderId="0" xfId="541" applyFont="1" applyFill="1" applyBorder="1" applyAlignment="1"/>
    <xf numFmtId="0" fontId="81" fillId="50" borderId="0" xfId="541" applyNumberFormat="1" applyFont="1" applyFill="1" applyBorder="1" applyAlignment="1"/>
    <xf numFmtId="0" fontId="81" fillId="50" borderId="0" xfId="542" applyFont="1" applyFill="1" applyBorder="1" applyAlignment="1"/>
    <xf numFmtId="2" fontId="81" fillId="50" borderId="0" xfId="542" applyNumberFormat="1" applyFont="1" applyFill="1" applyBorder="1" applyAlignment="1"/>
    <xf numFmtId="183" fontId="80" fillId="50" borderId="0" xfId="542" applyNumberFormat="1" applyFont="1" applyFill="1" applyBorder="1" applyAlignment="1"/>
    <xf numFmtId="0" fontId="80" fillId="50" borderId="0" xfId="542" applyFont="1" applyFill="1" applyBorder="1" applyAlignment="1"/>
    <xf numFmtId="0" fontId="81" fillId="50" borderId="0" xfId="841" applyNumberFormat="1" applyFont="1" applyFill="1" applyBorder="1" applyAlignment="1"/>
    <xf numFmtId="0" fontId="80" fillId="50" borderId="0" xfId="541" applyFont="1" applyFill="1" applyBorder="1" applyAlignment="1"/>
    <xf numFmtId="0" fontId="80" fillId="50" borderId="0" xfId="541" applyNumberFormat="1" applyFont="1" applyFill="1" applyBorder="1" applyAlignment="1"/>
    <xf numFmtId="2" fontId="80" fillId="50" borderId="0" xfId="542" applyNumberFormat="1" applyFont="1" applyFill="1" applyBorder="1" applyAlignment="1"/>
    <xf numFmtId="0" fontId="80" fillId="50" borderId="0" xfId="841" applyNumberFormat="1" applyFont="1" applyFill="1" applyBorder="1" applyAlignment="1"/>
    <xf numFmtId="0" fontId="80" fillId="50" borderId="0" xfId="0" applyFont="1" applyFill="1" applyBorder="1" applyAlignment="1"/>
    <xf numFmtId="2" fontId="80" fillId="50" borderId="0" xfId="0" applyNumberFormat="1" applyFont="1" applyFill="1" applyBorder="1" applyAlignment="1"/>
    <xf numFmtId="183" fontId="80" fillId="50" borderId="0" xfId="0" applyNumberFormat="1" applyFont="1" applyFill="1" applyBorder="1" applyAlignment="1"/>
    <xf numFmtId="0" fontId="0" fillId="50" borderId="0" xfId="0" applyFont="1" applyFill="1"/>
    <xf numFmtId="0" fontId="2" fillId="50" borderId="0" xfId="819" applyFont="1" applyFill="1" applyBorder="1" applyAlignment="1"/>
    <xf numFmtId="0" fontId="2" fillId="50" borderId="0" xfId="819" applyNumberFormat="1" applyFont="1" applyFill="1" applyBorder="1" applyAlignment="1"/>
    <xf numFmtId="2" fontId="2" fillId="50" borderId="0" xfId="819" applyNumberFormat="1" applyFont="1" applyFill="1" applyBorder="1" applyAlignment="1"/>
    <xf numFmtId="183" fontId="2" fillId="50" borderId="0" xfId="819" applyNumberFormat="1" applyFont="1" applyFill="1" applyBorder="1" applyAlignment="1"/>
    <xf numFmtId="0" fontId="2" fillId="50" borderId="0" xfId="841" applyNumberFormat="1" applyFont="1" applyFill="1" applyBorder="1" applyAlignment="1"/>
    <xf numFmtId="0" fontId="2" fillId="50" borderId="0" xfId="822" applyFont="1" applyFill="1" applyBorder="1" applyAlignment="1"/>
    <xf numFmtId="0" fontId="2" fillId="50" borderId="0" xfId="822" applyNumberFormat="1" applyFont="1" applyFill="1" applyBorder="1" applyAlignment="1"/>
    <xf numFmtId="2" fontId="2" fillId="50" borderId="0" xfId="822" applyNumberFormat="1" applyFont="1" applyFill="1" applyBorder="1" applyAlignment="1"/>
    <xf numFmtId="2" fontId="2" fillId="50" borderId="0" xfId="823" applyNumberFormat="1" applyFont="1" applyFill="1" applyBorder="1" applyAlignment="1"/>
    <xf numFmtId="183" fontId="2" fillId="50" borderId="0" xfId="822" applyNumberFormat="1" applyFont="1" applyFill="1" applyBorder="1" applyAlignment="1"/>
    <xf numFmtId="0" fontId="1" fillId="50" borderId="0" xfId="822" applyFont="1" applyFill="1" applyBorder="1" applyAlignment="1"/>
    <xf numFmtId="0" fontId="76" fillId="50" borderId="0" xfId="832" applyFont="1" applyFill="1" applyBorder="1" applyAlignment="1"/>
    <xf numFmtId="0" fontId="76" fillId="50" borderId="0" xfId="832" applyNumberFormat="1" applyFont="1" applyFill="1" applyBorder="1" applyAlignment="1"/>
    <xf numFmtId="2" fontId="76" fillId="50" borderId="0" xfId="832" applyNumberFormat="1" applyFont="1" applyFill="1" applyBorder="1" applyAlignment="1"/>
    <xf numFmtId="183" fontId="76" fillId="50" borderId="0" xfId="832" applyNumberFormat="1" applyFont="1" applyFill="1" applyBorder="1" applyAlignment="1"/>
    <xf numFmtId="2" fontId="19" fillId="50" borderId="0" xfId="0" applyNumberFormat="1" applyFont="1" applyFill="1"/>
    <xf numFmtId="0" fontId="76" fillId="50" borderId="0" xfId="847" applyFont="1" applyFill="1" applyBorder="1" applyAlignment="1"/>
    <xf numFmtId="0" fontId="76" fillId="50" borderId="0" xfId="847" applyNumberFormat="1" applyFont="1" applyFill="1" applyBorder="1" applyAlignment="1"/>
    <xf numFmtId="2" fontId="76" fillId="50" borderId="0" xfId="847" applyNumberFormat="1" applyFont="1" applyFill="1" applyBorder="1" applyAlignment="1"/>
    <xf numFmtId="183" fontId="76" fillId="50" borderId="0" xfId="847" applyNumberFormat="1" applyFont="1" applyFill="1" applyBorder="1" applyAlignment="1"/>
    <xf numFmtId="0" fontId="19" fillId="50" borderId="0" xfId="847" applyFont="1" applyFill="1" applyBorder="1" applyAlignment="1"/>
    <xf numFmtId="0" fontId="19" fillId="50" borderId="0" xfId="847" applyNumberFormat="1" applyFont="1" applyFill="1" applyBorder="1" applyAlignment="1"/>
    <xf numFmtId="2" fontId="19" fillId="50" borderId="0" xfId="847" applyNumberFormat="1" applyFont="1" applyFill="1" applyBorder="1" applyAlignment="1"/>
    <xf numFmtId="183" fontId="19" fillId="50" borderId="0" xfId="847" applyNumberFormat="1" applyFont="1" applyFill="1" applyBorder="1" applyAlignment="1"/>
    <xf numFmtId="0" fontId="76" fillId="50" borderId="0" xfId="848" applyFont="1" applyFill="1" applyBorder="1" applyAlignment="1"/>
    <xf numFmtId="0" fontId="76" fillId="50" borderId="0" xfId="848" applyNumberFormat="1" applyFont="1" applyFill="1" applyBorder="1" applyAlignment="1"/>
    <xf numFmtId="2" fontId="76" fillId="50" borderId="0" xfId="848" applyNumberFormat="1" applyFont="1" applyFill="1" applyBorder="1" applyAlignment="1"/>
    <xf numFmtId="183" fontId="76" fillId="50" borderId="0" xfId="848" applyNumberFormat="1" applyFont="1" applyFill="1" applyBorder="1" applyAlignment="1"/>
    <xf numFmtId="0" fontId="76" fillId="50" borderId="0" xfId="845" applyFont="1" applyFill="1" applyBorder="1" applyAlignment="1"/>
    <xf numFmtId="0" fontId="76" fillId="50" borderId="0" xfId="845" applyNumberFormat="1" applyFont="1" applyFill="1" applyBorder="1" applyAlignment="1"/>
    <xf numFmtId="2" fontId="76" fillId="50" borderId="0" xfId="845" applyNumberFormat="1" applyFont="1" applyFill="1" applyBorder="1" applyAlignment="1"/>
    <xf numFmtId="183" fontId="76" fillId="50" borderId="0" xfId="845" applyNumberFormat="1" applyFont="1" applyFill="1" applyBorder="1" applyAlignment="1"/>
    <xf numFmtId="0" fontId="76" fillId="50" borderId="0" xfId="839" applyFont="1" applyFill="1" applyBorder="1" applyAlignment="1"/>
    <xf numFmtId="0" fontId="76" fillId="50" borderId="0" xfId="839" applyNumberFormat="1" applyFont="1" applyFill="1" applyBorder="1" applyAlignment="1"/>
    <xf numFmtId="2" fontId="76" fillId="50" borderId="0" xfId="839" applyNumberFormat="1" applyFont="1" applyFill="1" applyBorder="1" applyAlignment="1"/>
    <xf numFmtId="183" fontId="76" fillId="50" borderId="0" xfId="839" applyNumberFormat="1" applyFont="1" applyFill="1" applyBorder="1" applyAlignment="1"/>
    <xf numFmtId="0" fontId="0" fillId="0" borderId="97" xfId="0" applyBorder="1"/>
    <xf numFmtId="0" fontId="0" fillId="0" borderId="11" xfId="0" applyBorder="1"/>
    <xf numFmtId="0" fontId="0" fillId="0" borderId="19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5" xfId="0" applyBorder="1"/>
    <xf numFmtId="0" fontId="0" fillId="0" borderId="6" xfId="0" applyBorder="1"/>
    <xf numFmtId="0" fontId="0" fillId="0" borderId="44" xfId="0" applyBorder="1"/>
    <xf numFmtId="0" fontId="0" fillId="0" borderId="8" xfId="0" applyBorder="1"/>
    <xf numFmtId="0" fontId="0" fillId="0" borderId="38" xfId="0" applyBorder="1"/>
    <xf numFmtId="0" fontId="0" fillId="0" borderId="48" xfId="0" applyBorder="1"/>
    <xf numFmtId="0" fontId="0" fillId="0" borderId="97" xfId="0" applyFill="1" applyBorder="1"/>
    <xf numFmtId="2" fontId="19" fillId="3" borderId="0" xfId="0" applyNumberFormat="1" applyFont="1" applyFill="1" applyBorder="1"/>
    <xf numFmtId="0" fontId="19" fillId="0" borderId="0" xfId="0" applyFont="1" applyAlignment="1" applyProtection="1">
      <alignment wrapText="1"/>
    </xf>
    <xf numFmtId="0" fontId="19" fillId="0" borderId="0" xfId="0" applyFont="1" applyAlignment="1" applyProtection="1">
      <alignment wrapText="1"/>
      <protection locked="0"/>
    </xf>
    <xf numFmtId="0" fontId="19" fillId="87" borderId="0" xfId="0" applyFont="1" applyFill="1" applyBorder="1" applyAlignment="1" applyProtection="1">
      <alignment wrapText="1"/>
    </xf>
    <xf numFmtId="0" fontId="19" fillId="88" borderId="0" xfId="0" applyFont="1" applyFill="1" applyBorder="1" applyAlignment="1" applyProtection="1">
      <alignment wrapText="1"/>
    </xf>
    <xf numFmtId="0" fontId="71" fillId="89" borderId="0" xfId="0" applyFont="1" applyFill="1" applyBorder="1" applyAlignment="1" applyProtection="1">
      <alignment wrapText="1"/>
    </xf>
    <xf numFmtId="0" fontId="19" fillId="90" borderId="0" xfId="0" applyFont="1" applyFill="1" applyBorder="1" applyAlignment="1" applyProtection="1">
      <alignment wrapText="1"/>
    </xf>
    <xf numFmtId="0" fontId="83" fillId="6" borderId="0" xfId="0" applyFont="1" applyFill="1" applyBorder="1" applyAlignment="1" applyProtection="1">
      <alignment wrapText="1"/>
    </xf>
    <xf numFmtId="0" fontId="19" fillId="0" borderId="0" xfId="0" applyFont="1" applyAlignment="1" applyProtection="1">
      <alignment vertical="center" wrapText="1"/>
    </xf>
    <xf numFmtId="0" fontId="19" fillId="5" borderId="0" xfId="0" applyFont="1" applyFill="1" applyBorder="1" applyAlignment="1" applyProtection="1">
      <alignment wrapText="1"/>
    </xf>
    <xf numFmtId="0" fontId="75" fillId="5" borderId="0" xfId="0" applyFont="1" applyFill="1" applyBorder="1" applyAlignment="1" applyProtection="1">
      <alignment horizontal="center" vertical="center" wrapText="1"/>
    </xf>
    <xf numFmtId="0" fontId="109" fillId="5" borderId="0" xfId="0" applyFont="1" applyFill="1" applyBorder="1" applyAlignment="1" applyProtection="1">
      <alignment horizontal="center" wrapText="1"/>
    </xf>
    <xf numFmtId="0" fontId="19" fillId="0" borderId="0" xfId="0" applyFont="1" applyBorder="1" applyAlignment="1" applyProtection="1">
      <alignment wrapText="1"/>
      <protection locked="0"/>
    </xf>
    <xf numFmtId="14" fontId="111" fillId="5" borderId="0" xfId="0" applyNumberFormat="1" applyFont="1" applyFill="1" applyBorder="1" applyAlignment="1" applyProtection="1">
      <alignment horizontal="center" vertical="top" wrapText="1"/>
    </xf>
    <xf numFmtId="0" fontId="111" fillId="5" borderId="0" xfId="0" applyFont="1" applyFill="1" applyBorder="1" applyAlignment="1" applyProtection="1">
      <alignment horizontal="center" vertical="top" wrapText="1"/>
    </xf>
    <xf numFmtId="0" fontId="112" fillId="5" borderId="0" xfId="0" applyFont="1" applyFill="1" applyBorder="1" applyAlignment="1" applyProtection="1">
      <alignment horizontal="center" vertical="center" wrapText="1"/>
    </xf>
    <xf numFmtId="0" fontId="19" fillId="5" borderId="0" xfId="0" applyFont="1" applyFill="1" applyBorder="1" applyAlignment="1" applyProtection="1">
      <alignment vertical="center" wrapText="1"/>
    </xf>
    <xf numFmtId="0" fontId="19" fillId="5" borderId="0" xfId="0" applyFont="1" applyFill="1" applyBorder="1" applyAlignment="1" applyProtection="1">
      <alignment horizontal="right" vertical="center" wrapText="1"/>
    </xf>
    <xf numFmtId="0" fontId="23" fillId="5" borderId="0" xfId="0" applyFont="1" applyFill="1" applyBorder="1" applyAlignment="1" applyProtection="1">
      <alignment vertical="center" wrapText="1"/>
    </xf>
    <xf numFmtId="0" fontId="24" fillId="91" borderId="0" xfId="0" applyFont="1" applyFill="1" applyBorder="1" applyAlignment="1" applyProtection="1">
      <alignment horizontal="right" vertical="center" wrapText="1"/>
    </xf>
    <xf numFmtId="0" fontId="24" fillId="3" borderId="0" xfId="0" applyFont="1" applyFill="1" applyBorder="1" applyAlignment="1" applyProtection="1">
      <alignment horizontal="left" vertical="center" wrapText="1"/>
    </xf>
    <xf numFmtId="0" fontId="24" fillId="91" borderId="0" xfId="0" applyFont="1" applyFill="1" applyBorder="1" applyAlignment="1" applyProtection="1">
      <alignment horizontal="right" vertical="center"/>
    </xf>
    <xf numFmtId="0" fontId="24" fillId="3" borderId="0" xfId="0" applyFont="1" applyFill="1" applyBorder="1" applyAlignment="1" applyProtection="1">
      <alignment horizontal="left" vertical="center"/>
    </xf>
    <xf numFmtId="0" fontId="19" fillId="0" borderId="0" xfId="0" applyFont="1" applyFill="1" applyBorder="1" applyAlignment="1" applyProtection="1">
      <alignment wrapText="1"/>
    </xf>
    <xf numFmtId="0" fontId="19" fillId="0" borderId="0" xfId="0" applyFont="1" applyFill="1" applyBorder="1" applyAlignment="1" applyProtection="1"/>
    <xf numFmtId="0" fontId="19" fillId="0" borderId="0" xfId="0" applyFont="1" applyFill="1" applyBorder="1" applyAlignment="1" applyProtection="1">
      <alignment wrapText="1"/>
      <protection locked="0"/>
    </xf>
    <xf numFmtId="0" fontId="19" fillId="3" borderId="0" xfId="0" applyFont="1" applyFill="1" applyBorder="1" applyAlignment="1" applyProtection="1">
      <alignment wrapText="1"/>
      <protection locked="0"/>
    </xf>
    <xf numFmtId="0" fontId="114" fillId="92" borderId="97" xfId="0" applyFont="1" applyFill="1" applyBorder="1" applyAlignment="1">
      <alignment horizontal="center" vertical="center" wrapText="1"/>
    </xf>
    <xf numFmtId="0" fontId="108" fillId="0" borderId="97" xfId="0" applyFont="1" applyBorder="1" applyAlignment="1">
      <alignment horizontal="center" vertical="center" wrapText="1"/>
    </xf>
    <xf numFmtId="14" fontId="108" fillId="0" borderId="97" xfId="0" applyNumberFormat="1" applyFont="1" applyBorder="1" applyAlignment="1">
      <alignment horizontal="center" vertical="center" wrapText="1"/>
    </xf>
    <xf numFmtId="0" fontId="108" fillId="0" borderId="97" xfId="38229" applyNumberFormat="1" applyFont="1" applyBorder="1" applyAlignment="1">
      <alignment horizontal="center" vertical="center" wrapText="1"/>
    </xf>
    <xf numFmtId="0" fontId="19" fillId="0" borderId="97" xfId="0" applyFont="1" applyBorder="1" applyAlignment="1" applyProtection="1">
      <alignment wrapText="1"/>
      <protection locked="0"/>
    </xf>
    <xf numFmtId="0" fontId="17" fillId="2" borderId="0" xfId="0" applyFont="1" applyFill="1" applyBorder="1" applyAlignment="1" applyProtection="1">
      <alignment horizontal="center" vertical="center" wrapText="1"/>
    </xf>
    <xf numFmtId="0" fontId="19" fillId="0" borderId="97" xfId="0" applyFont="1" applyBorder="1" applyAlignment="1" applyProtection="1">
      <alignment horizontal="center" vertical="center" wrapText="1"/>
      <protection locked="0"/>
    </xf>
    <xf numFmtId="14" fontId="19" fillId="0" borderId="97" xfId="0" applyNumberFormat="1" applyFont="1" applyBorder="1" applyAlignment="1" applyProtection="1">
      <alignment horizontal="center" vertical="center" wrapText="1"/>
      <protection locked="0"/>
    </xf>
    <xf numFmtId="0" fontId="19" fillId="0" borderId="97" xfId="0" applyFont="1" applyBorder="1" applyAlignment="1" applyProtection="1">
      <alignment horizontal="left" vertical="center" wrapText="1"/>
      <protection locked="0"/>
    </xf>
    <xf numFmtId="0" fontId="19" fillId="0" borderId="0" xfId="0" applyFont="1" applyBorder="1" applyAlignment="1" applyProtection="1">
      <alignment horizontal="center" vertical="center" wrapText="1"/>
      <protection locked="0"/>
    </xf>
    <xf numFmtId="0" fontId="19" fillId="0" borderId="0" xfId="0" applyFont="1" applyBorder="1" applyAlignment="1" applyProtection="1">
      <alignment horizontal="left" vertical="top" wrapText="1"/>
      <protection locked="0"/>
    </xf>
    <xf numFmtId="1" fontId="108" fillId="0" borderId="97" xfId="0" applyNumberFormat="1" applyFont="1" applyBorder="1" applyAlignment="1">
      <alignment horizontal="center" vertical="center" wrapText="1"/>
    </xf>
    <xf numFmtId="49" fontId="24" fillId="3" borderId="0" xfId="0" quotePrefix="1" applyNumberFormat="1" applyFont="1" applyFill="1" applyBorder="1" applyAlignment="1" applyProtection="1">
      <alignment horizontal="left" vertical="center"/>
    </xf>
    <xf numFmtId="0" fontId="0" fillId="0" borderId="102" xfId="0" applyBorder="1"/>
    <xf numFmtId="2" fontId="71" fillId="0" borderId="0" xfId="0" applyNumberFormat="1" applyFont="1"/>
    <xf numFmtId="0" fontId="71" fillId="0" borderId="0" xfId="0" applyFont="1" applyAlignment="1">
      <alignment wrapText="1"/>
    </xf>
    <xf numFmtId="0" fontId="0" fillId="43" borderId="102" xfId="0" applyFill="1" applyBorder="1"/>
    <xf numFmtId="2" fontId="0" fillId="43" borderId="6" xfId="0" applyNumberFormat="1" applyFill="1" applyBorder="1"/>
    <xf numFmtId="0" fontId="0" fillId="43" borderId="19" xfId="0" applyFill="1" applyBorder="1"/>
    <xf numFmtId="2" fontId="19" fillId="3" borderId="0" xfId="0" applyNumberFormat="1" applyFont="1" applyFill="1"/>
    <xf numFmtId="0" fontId="0" fillId="0" borderId="103" xfId="0" applyBorder="1"/>
    <xf numFmtId="0" fontId="0" fillId="93" borderId="103" xfId="0" applyFill="1" applyBorder="1"/>
    <xf numFmtId="0" fontId="0" fillId="0" borderId="26" xfId="0" applyFill="1" applyBorder="1"/>
    <xf numFmtId="14" fontId="0" fillId="0" borderId="0" xfId="0" applyNumberFormat="1" applyAlignment="1">
      <alignment horizontal="left"/>
    </xf>
    <xf numFmtId="2" fontId="115" fillId="52" borderId="11" xfId="0" applyNumberFormat="1" applyFont="1" applyFill="1" applyBorder="1"/>
    <xf numFmtId="2" fontId="74" fillId="50" borderId="104" xfId="0" applyNumberFormat="1" applyFont="1" applyFill="1" applyBorder="1"/>
    <xf numFmtId="0" fontId="19" fillId="3" borderId="51" xfId="0" applyNumberFormat="1" applyFont="1" applyFill="1" applyBorder="1"/>
    <xf numFmtId="0" fontId="19" fillId="3" borderId="0" xfId="0" applyNumberFormat="1" applyFont="1" applyFill="1" applyBorder="1"/>
    <xf numFmtId="0" fontId="0" fillId="43" borderId="5" xfId="0" applyFill="1" applyBorder="1"/>
    <xf numFmtId="2" fontId="85" fillId="0" borderId="11" xfId="0" applyNumberFormat="1" applyFont="1" applyBorder="1"/>
    <xf numFmtId="2" fontId="23" fillId="48" borderId="62" xfId="0" applyNumberFormat="1" applyFont="1" applyFill="1" applyBorder="1"/>
    <xf numFmtId="0" fontId="23" fillId="46" borderId="62" xfId="0" applyFont="1" applyFill="1" applyBorder="1"/>
    <xf numFmtId="2" fontId="23" fillId="47" borderId="62" xfId="0" applyNumberFormat="1" applyFont="1" applyFill="1" applyBorder="1"/>
    <xf numFmtId="2" fontId="23" fillId="46" borderId="19" xfId="0" applyNumberFormat="1" applyFont="1" applyFill="1" applyBorder="1"/>
    <xf numFmtId="0" fontId="0" fillId="3" borderId="103" xfId="0" applyFill="1" applyBorder="1"/>
    <xf numFmtId="194" fontId="19" fillId="3" borderId="0" xfId="0" applyNumberFormat="1" applyFont="1" applyFill="1"/>
    <xf numFmtId="194" fontId="19" fillId="4" borderId="0" xfId="0" applyNumberFormat="1" applyFont="1" applyFill="1"/>
    <xf numFmtId="194" fontId="19" fillId="3" borderId="2" xfId="0" applyNumberFormat="1" applyFont="1" applyFill="1" applyBorder="1"/>
    <xf numFmtId="194" fontId="19" fillId="49" borderId="0" xfId="0" applyNumberFormat="1" applyFont="1" applyFill="1" applyBorder="1"/>
    <xf numFmtId="194" fontId="19" fillId="3" borderId="0" xfId="0" applyNumberFormat="1" applyFont="1" applyFill="1" applyBorder="1"/>
    <xf numFmtId="194" fontId="19" fillId="3" borderId="53" xfId="0" applyNumberFormat="1" applyFont="1" applyFill="1" applyBorder="1"/>
    <xf numFmtId="14" fontId="0" fillId="49" borderId="105" xfId="0" applyNumberFormat="1" applyFill="1" applyBorder="1"/>
    <xf numFmtId="0" fontId="19" fillId="55" borderId="105" xfId="0" applyFont="1" applyFill="1" applyBorder="1" applyAlignment="1">
      <alignment horizontal="center" wrapText="1"/>
    </xf>
    <xf numFmtId="195" fontId="19" fillId="49" borderId="0" xfId="0" applyNumberFormat="1" applyFont="1" applyFill="1" applyBorder="1"/>
    <xf numFmtId="0" fontId="19" fillId="49" borderId="0" xfId="0" applyNumberFormat="1" applyFont="1" applyFill="1" applyBorder="1"/>
    <xf numFmtId="165" fontId="19" fillId="49" borderId="0" xfId="0" applyNumberFormat="1" applyFont="1" applyFill="1" applyBorder="1"/>
    <xf numFmtId="0" fontId="0" fillId="43" borderId="122" xfId="0" applyFill="1" applyBorder="1"/>
    <xf numFmtId="2" fontId="74" fillId="50" borderId="122" xfId="0" applyNumberFormat="1" applyFont="1" applyFill="1" applyBorder="1"/>
    <xf numFmtId="0" fontId="115" fillId="0" borderId="0" xfId="0" applyFont="1"/>
    <xf numFmtId="0" fontId="151" fillId="0" borderId="18" xfId="0" applyFont="1" applyBorder="1"/>
    <xf numFmtId="0" fontId="152" fillId="49" borderId="8" xfId="0" applyFont="1" applyFill="1" applyBorder="1"/>
    <xf numFmtId="182" fontId="115" fillId="43" borderId="6" xfId="0" applyNumberFormat="1" applyFont="1" applyFill="1" applyBorder="1"/>
    <xf numFmtId="1" fontId="0" fillId="3" borderId="103" xfId="0" applyNumberFormat="1" applyFill="1" applyBorder="1"/>
    <xf numFmtId="0" fontId="154" fillId="4" borderId="0" xfId="0" applyFont="1" applyFill="1"/>
    <xf numFmtId="0" fontId="153" fillId="4" borderId="0" xfId="0" applyFont="1" applyFill="1"/>
    <xf numFmtId="0" fontId="155" fillId="50" borderId="0" xfId="0" applyNumberFormat="1" applyFont="1" applyFill="1" applyBorder="1" applyAlignment="1"/>
    <xf numFmtId="0" fontId="153" fillId="50" borderId="0" xfId="0" applyNumberFormat="1" applyFont="1" applyFill="1" applyBorder="1" applyAlignment="1"/>
    <xf numFmtId="2" fontId="153" fillId="50" borderId="0" xfId="0" applyNumberFormat="1" applyFont="1" applyFill="1" applyBorder="1" applyAlignment="1"/>
    <xf numFmtId="0" fontId="153" fillId="50" borderId="0" xfId="0" applyNumberFormat="1" applyFont="1" applyFill="1"/>
    <xf numFmtId="0" fontId="153" fillId="64" borderId="0" xfId="0" applyNumberFormat="1" applyFont="1" applyFill="1"/>
    <xf numFmtId="0" fontId="19" fillId="4" borderId="0" xfId="0" applyFont="1" applyFill="1" applyAlignment="1"/>
    <xf numFmtId="2" fontId="74" fillId="50" borderId="123" xfId="0" applyNumberFormat="1" applyFont="1" applyFill="1" applyBorder="1"/>
    <xf numFmtId="2" fontId="74" fillId="111" borderId="62" xfId="0" applyNumberFormat="1" applyFont="1" applyFill="1" applyBorder="1"/>
    <xf numFmtId="2" fontId="74" fillId="111" borderId="19" xfId="0" applyNumberFormat="1" applyFont="1" applyFill="1" applyBorder="1"/>
    <xf numFmtId="0" fontId="0" fillId="111" borderId="0" xfId="0" applyFill="1"/>
    <xf numFmtId="0" fontId="19" fillId="64" borderId="0" xfId="0" quotePrefix="1" applyFont="1" applyFill="1"/>
    <xf numFmtId="0" fontId="19" fillId="3" borderId="0" xfId="0" applyNumberFormat="1" applyFont="1" applyFill="1"/>
    <xf numFmtId="0" fontId="19" fillId="49" borderId="0" xfId="0" applyNumberFormat="1" applyFont="1" applyFill="1"/>
    <xf numFmtId="194" fontId="19" fillId="3" borderId="124" xfId="0" applyNumberFormat="1" applyFont="1" applyFill="1" applyBorder="1"/>
    <xf numFmtId="0" fontId="19" fillId="3" borderId="53" xfId="0" applyNumberFormat="1" applyFont="1" applyFill="1" applyBorder="1"/>
    <xf numFmtId="2" fontId="19" fillId="0" borderId="0" xfId="0" applyNumberFormat="1" applyFont="1"/>
    <xf numFmtId="2" fontId="19" fillId="4" borderId="0" xfId="0" applyNumberFormat="1" applyFont="1" applyFill="1" applyAlignment="1">
      <alignment horizontal="center" vertical="center" wrapText="1"/>
    </xf>
    <xf numFmtId="2" fontId="0" fillId="6" borderId="2" xfId="0" applyNumberFormat="1" applyFont="1" applyFill="1" applyBorder="1" applyAlignment="1">
      <alignment horizontal="center"/>
    </xf>
    <xf numFmtId="2" fontId="74" fillId="50" borderId="132" xfId="0" applyNumberFormat="1" applyFont="1" applyFill="1" applyBorder="1"/>
    <xf numFmtId="0" fontId="0" fillId="3" borderId="133" xfId="0" applyFill="1" applyBorder="1"/>
    <xf numFmtId="1" fontId="0" fillId="3" borderId="133" xfId="0" applyNumberFormat="1" applyFill="1" applyBorder="1"/>
    <xf numFmtId="0" fontId="0" fillId="93" borderId="133" xfId="0" applyFill="1" applyBorder="1"/>
    <xf numFmtId="0" fontId="0" fillId="94" borderId="133" xfId="0" applyFill="1" applyBorder="1"/>
    <xf numFmtId="0" fontId="0" fillId="43" borderId="135" xfId="0" applyFill="1" applyBorder="1"/>
    <xf numFmtId="2" fontId="74" fillId="50" borderId="135" xfId="0" applyNumberFormat="1" applyFont="1" applyFill="1" applyBorder="1"/>
    <xf numFmtId="0" fontId="0" fillId="0" borderId="0" xfId="0" applyBorder="1" applyAlignment="1">
      <alignment horizontal="left"/>
    </xf>
    <xf numFmtId="49" fontId="78" fillId="0" borderId="0" xfId="4293" applyNumberFormat="1" applyFont="1"/>
    <xf numFmtId="0" fontId="19" fillId="3" borderId="0" xfId="0" applyFont="1" applyFill="1" applyAlignment="1">
      <alignment horizontal="center"/>
    </xf>
    <xf numFmtId="49" fontId="76" fillId="0" borderId="0" xfId="4293" applyNumberFormat="1" applyFont="1"/>
    <xf numFmtId="49" fontId="19" fillId="0" borderId="0" xfId="0" applyNumberFormat="1" applyFont="1"/>
    <xf numFmtId="0" fontId="76" fillId="0" borderId="0" xfId="4012" applyFont="1"/>
    <xf numFmtId="49" fontId="76" fillId="0" borderId="0" xfId="4012" applyNumberFormat="1" applyFont="1"/>
    <xf numFmtId="0" fontId="76" fillId="0" borderId="0" xfId="4011" applyFont="1"/>
    <xf numFmtId="0" fontId="19" fillId="3" borderId="0" xfId="4011" applyFont="1" applyFill="1"/>
    <xf numFmtId="49" fontId="76" fillId="5" borderId="0" xfId="4293" applyNumberFormat="1" applyFont="1" applyFill="1"/>
    <xf numFmtId="0" fontId="76" fillId="0" borderId="0" xfId="4281" applyFont="1"/>
    <xf numFmtId="49" fontId="76" fillId="0" borderId="0" xfId="4281" applyNumberFormat="1" applyFont="1"/>
    <xf numFmtId="49" fontId="24" fillId="0" borderId="0" xfId="0" applyNumberFormat="1" applyFont="1"/>
    <xf numFmtId="49" fontId="0" fillId="0" borderId="0" xfId="0" applyNumberFormat="1"/>
    <xf numFmtId="49" fontId="19" fillId="5" borderId="0" xfId="0" applyNumberFormat="1" applyFont="1" applyFill="1"/>
    <xf numFmtId="0" fontId="76" fillId="0" borderId="0" xfId="4010" applyFont="1"/>
    <xf numFmtId="49" fontId="76" fillId="0" borderId="0" xfId="4010" applyNumberFormat="1" applyFont="1"/>
    <xf numFmtId="0" fontId="76" fillId="0" borderId="0" xfId="4009" applyFont="1"/>
    <xf numFmtId="0" fontId="19" fillId="3" borderId="0" xfId="4009" applyFont="1" applyFill="1"/>
    <xf numFmtId="0" fontId="76" fillId="0" borderId="0" xfId="3998" applyFont="1"/>
    <xf numFmtId="49" fontId="76" fillId="0" borderId="0" xfId="3998" applyNumberFormat="1" applyFont="1"/>
    <xf numFmtId="0" fontId="76" fillId="0" borderId="0" xfId="4026" applyFont="1"/>
    <xf numFmtId="0" fontId="19" fillId="3" borderId="0" xfId="4026" applyFont="1" applyFill="1"/>
    <xf numFmtId="49" fontId="19" fillId="3" borderId="0" xfId="0" applyNumberFormat="1" applyFont="1" applyFill="1"/>
    <xf numFmtId="0" fontId="76" fillId="0" borderId="0" xfId="4024" applyFont="1"/>
    <xf numFmtId="49" fontId="76" fillId="0" borderId="0" xfId="4024" applyNumberFormat="1" applyFont="1"/>
    <xf numFmtId="0" fontId="76" fillId="0" borderId="0" xfId="4013" applyFont="1"/>
    <xf numFmtId="0" fontId="19" fillId="3" borderId="0" xfId="4013" applyFont="1" applyFill="1"/>
    <xf numFmtId="0" fontId="76" fillId="0" borderId="0" xfId="4277" applyFont="1"/>
    <xf numFmtId="49" fontId="76" fillId="0" borderId="0" xfId="4277" applyNumberFormat="1" applyFont="1"/>
    <xf numFmtId="0" fontId="76" fillId="0" borderId="0" xfId="4270" applyFont="1"/>
    <xf numFmtId="49" fontId="76" fillId="0" borderId="0" xfId="4270" applyNumberFormat="1" applyFont="1"/>
    <xf numFmtId="0" fontId="76" fillId="0" borderId="0" xfId="4278" applyFont="1"/>
    <xf numFmtId="49" fontId="76" fillId="0" borderId="0" xfId="4278" applyNumberFormat="1" applyFont="1"/>
    <xf numFmtId="0" fontId="76" fillId="0" borderId="0" xfId="4279" applyFont="1"/>
    <xf numFmtId="49" fontId="76" fillId="0" borderId="0" xfId="4279" applyNumberFormat="1" applyFont="1"/>
    <xf numFmtId="49" fontId="23" fillId="0" borderId="0" xfId="0" applyNumberFormat="1" applyFont="1"/>
    <xf numFmtId="0" fontId="76" fillId="0" borderId="0" xfId="4016" applyFont="1"/>
    <xf numFmtId="49" fontId="76" fillId="0" borderId="0" xfId="4016" applyNumberFormat="1" applyFont="1"/>
    <xf numFmtId="0" fontId="76" fillId="0" borderId="0" xfId="4015" applyFont="1"/>
    <xf numFmtId="0" fontId="19" fillId="3" borderId="0" xfId="4015" applyFont="1" applyFill="1"/>
    <xf numFmtId="0" fontId="76" fillId="0" borderId="0" xfId="4276" applyFont="1"/>
    <xf numFmtId="49" fontId="76" fillId="0" borderId="0" xfId="4276" applyNumberFormat="1" applyFont="1"/>
    <xf numFmtId="0" fontId="0" fillId="64" borderId="0" xfId="0" applyFill="1"/>
    <xf numFmtId="49" fontId="76" fillId="0" borderId="0" xfId="2286" applyNumberFormat="1" applyFont="1"/>
    <xf numFmtId="0" fontId="76" fillId="0" borderId="0" xfId="2286" applyFont="1"/>
    <xf numFmtId="2" fontId="76" fillId="0" borderId="0" xfId="2286" applyNumberFormat="1" applyFont="1"/>
    <xf numFmtId="0" fontId="76" fillId="0" borderId="0" xfId="4008" applyFont="1"/>
    <xf numFmtId="49" fontId="76" fillId="0" borderId="0" xfId="4008" applyNumberFormat="1" applyFont="1"/>
    <xf numFmtId="0" fontId="76" fillId="0" borderId="0" xfId="4007" quotePrefix="1" applyFont="1"/>
    <xf numFmtId="0" fontId="76" fillId="0" borderId="0" xfId="4007" applyFont="1"/>
    <xf numFmtId="0" fontId="19" fillId="3" borderId="0" xfId="4007" applyFont="1" applyFill="1"/>
    <xf numFmtId="0" fontId="76" fillId="0" borderId="0" xfId="4282" applyFont="1"/>
    <xf numFmtId="49" fontId="76" fillId="0" borderId="0" xfId="4282" applyNumberFormat="1" applyFont="1"/>
    <xf numFmtId="49" fontId="71" fillId="0" borderId="0" xfId="0" applyNumberFormat="1" applyFont="1"/>
    <xf numFmtId="0" fontId="16" fillId="0" borderId="19" xfId="2" applyBorder="1"/>
    <xf numFmtId="49" fontId="76" fillId="5" borderId="0" xfId="4006" applyNumberFormat="1" applyFont="1" applyFill="1"/>
    <xf numFmtId="0" fontId="76" fillId="0" borderId="0" xfId="4006" applyFont="1"/>
    <xf numFmtId="49" fontId="76" fillId="0" borderId="0" xfId="4006" applyNumberFormat="1" applyFont="1"/>
    <xf numFmtId="0" fontId="76" fillId="0" borderId="0" xfId="4005" applyFont="1"/>
    <xf numFmtId="0" fontId="19" fillId="3" borderId="0" xfId="4005" applyFont="1" applyFill="1"/>
    <xf numFmtId="0" fontId="0" fillId="0" borderId="134" xfId="0" applyBorder="1"/>
    <xf numFmtId="0" fontId="0" fillId="112" borderId="134" xfId="0" applyFill="1" applyBorder="1"/>
    <xf numFmtId="0" fontId="0" fillId="43" borderId="136" xfId="0" applyFill="1" applyBorder="1"/>
    <xf numFmtId="2" fontId="74" fillId="50" borderId="136" xfId="0" applyNumberFormat="1" applyFont="1" applyFill="1" applyBorder="1"/>
    <xf numFmtId="0" fontId="19" fillId="50" borderId="0" xfId="841" applyNumberFormat="1" applyFont="1" applyFill="1" applyBorder="1" applyAlignment="1"/>
    <xf numFmtId="0" fontId="19" fillId="50" borderId="0" xfId="822" applyNumberFormat="1" applyFont="1" applyFill="1" applyBorder="1" applyAlignment="1"/>
    <xf numFmtId="2" fontId="19" fillId="50" borderId="0" xfId="822" applyNumberFormat="1" applyFont="1" applyFill="1" applyBorder="1" applyAlignment="1"/>
    <xf numFmtId="0" fontId="19" fillId="50" borderId="0" xfId="823" applyNumberFormat="1" applyFont="1" applyFill="1" applyBorder="1" applyAlignment="1"/>
    <xf numFmtId="201" fontId="19" fillId="3" borderId="0" xfId="39570" applyNumberFormat="1" applyFont="1" applyFill="1" applyBorder="1" applyAlignment="1">
      <alignment horizontal="center"/>
    </xf>
    <xf numFmtId="49" fontId="76" fillId="5" borderId="0" xfId="4014" applyNumberFormat="1" applyFont="1" applyFill="1"/>
    <xf numFmtId="0" fontId="76" fillId="0" borderId="0" xfId="4014" applyFont="1"/>
    <xf numFmtId="49" fontId="76" fillId="0" borderId="0" xfId="4014" applyNumberFormat="1" applyFont="1"/>
    <xf numFmtId="0" fontId="76" fillId="0" borderId="0" xfId="3997" applyFont="1"/>
    <xf numFmtId="0" fontId="19" fillId="3" borderId="0" xfId="3997" applyFont="1" applyFill="1"/>
    <xf numFmtId="49" fontId="76" fillId="5" borderId="0" xfId="4004" applyNumberFormat="1" applyFont="1" applyFill="1"/>
    <xf numFmtId="0" fontId="76" fillId="0" borderId="0" xfId="4004" applyFont="1"/>
    <xf numFmtId="49" fontId="76" fillId="0" borderId="0" xfId="4004" applyNumberFormat="1" applyFont="1"/>
    <xf numFmtId="0" fontId="76" fillId="0" borderId="0" xfId="4003" applyFont="1"/>
    <xf numFmtId="0" fontId="19" fillId="3" borderId="0" xfId="4003" applyFont="1" applyFill="1"/>
    <xf numFmtId="49" fontId="76" fillId="0" borderId="0" xfId="4280" applyNumberFormat="1" applyFont="1"/>
    <xf numFmtId="0" fontId="76" fillId="0" borderId="0" xfId="4280" applyFont="1"/>
    <xf numFmtId="49" fontId="76" fillId="0" borderId="0" xfId="4283" applyNumberFormat="1" applyFont="1"/>
    <xf numFmtId="0" fontId="76" fillId="0" borderId="0" xfId="4283" applyFont="1"/>
    <xf numFmtId="194" fontId="22" fillId="6" borderId="0" xfId="0" applyNumberFormat="1" applyFont="1" applyFill="1"/>
    <xf numFmtId="0" fontId="0" fillId="43" borderId="137" xfId="0" applyFill="1" applyBorder="1"/>
    <xf numFmtId="0" fontId="76" fillId="0" borderId="0" xfId="2286" applyFont="1" applyAlignment="1">
      <alignment horizontal="center"/>
    </xf>
    <xf numFmtId="0" fontId="0" fillId="0" borderId="0" xfId="0" applyAlignment="1">
      <alignment horizontal="center"/>
    </xf>
    <xf numFmtId="0" fontId="71" fillId="3" borderId="0" xfId="0" applyFont="1" applyFill="1" applyAlignment="1">
      <alignment horizontal="center"/>
    </xf>
    <xf numFmtId="0" fontId="16" fillId="0" borderId="138" xfId="2" applyBorder="1"/>
    <xf numFmtId="0" fontId="0" fillId="0" borderId="138" xfId="2" applyFont="1" applyBorder="1"/>
    <xf numFmtId="0" fontId="16" fillId="0" borderId="138" xfId="2" applyBorder="1" applyAlignment="1">
      <alignment horizontal="center"/>
    </xf>
    <xf numFmtId="0" fontId="0" fillId="112" borderId="134" xfId="0" applyFill="1" applyBorder="1" applyAlignment="1">
      <alignment horizontal="center"/>
    </xf>
    <xf numFmtId="183" fontId="0" fillId="0" borderId="0" xfId="0" applyNumberFormat="1"/>
    <xf numFmtId="0" fontId="0" fillId="0" borderId="11" xfId="2" applyFont="1" applyBorder="1"/>
    <xf numFmtId="194" fontId="19" fillId="60" borderId="0" xfId="0" applyNumberFormat="1" applyFont="1" applyFill="1" applyBorder="1"/>
    <xf numFmtId="0" fontId="0" fillId="0" borderId="134" xfId="0" applyNumberFormat="1" applyBorder="1"/>
    <xf numFmtId="0" fontId="0" fillId="0" borderId="0" xfId="0" applyNumberFormat="1" applyFill="1" applyBorder="1" applyAlignment="1"/>
    <xf numFmtId="0" fontId="77" fillId="0" borderId="0" xfId="822" applyNumberFormat="1" applyFont="1" applyFill="1" applyBorder="1" applyAlignment="1">
      <alignment horizontal="right"/>
    </xf>
    <xf numFmtId="0" fontId="19" fillId="3" borderId="0" xfId="0" applyNumberFormat="1" applyFont="1" applyFill="1" applyBorder="1" applyAlignment="1"/>
    <xf numFmtId="0" fontId="0" fillId="0" borderId="0" xfId="0"/>
    <xf numFmtId="0" fontId="0" fillId="43" borderId="139" xfId="0" applyFill="1" applyBorder="1"/>
    <xf numFmtId="2" fontId="74" fillId="50" borderId="139" xfId="0" applyNumberFormat="1" applyFont="1" applyFill="1" applyBorder="1"/>
    <xf numFmtId="0" fontId="24" fillId="63" borderId="0" xfId="0" applyFont="1" applyFill="1" applyBorder="1" applyAlignment="1">
      <alignment vertical="center"/>
    </xf>
    <xf numFmtId="0" fontId="19" fillId="63" borderId="0" xfId="0" applyFont="1" applyFill="1" applyBorder="1" applyAlignment="1">
      <alignment vertical="center"/>
    </xf>
    <xf numFmtId="0" fontId="19" fillId="63" borderId="0" xfId="0" applyNumberFormat="1" applyFont="1" applyFill="1"/>
    <xf numFmtId="0" fontId="19" fillId="63" borderId="0" xfId="0" applyFont="1" applyFill="1"/>
    <xf numFmtId="0" fontId="0" fillId="63" borderId="0" xfId="0" applyFill="1"/>
    <xf numFmtId="166" fontId="0" fillId="63" borderId="0" xfId="0" applyNumberFormat="1" applyFill="1" applyBorder="1"/>
    <xf numFmtId="0" fontId="153" fillId="51" borderId="51" xfId="0" applyFont="1" applyFill="1" applyBorder="1"/>
    <xf numFmtId="0" fontId="153" fillId="51" borderId="51" xfId="0" applyNumberFormat="1" applyFont="1" applyFill="1" applyBorder="1"/>
    <xf numFmtId="0" fontId="19" fillId="51" borderId="51" xfId="0" applyNumberFormat="1" applyFont="1" applyFill="1" applyBorder="1"/>
    <xf numFmtId="0" fontId="0" fillId="43" borderId="140" xfId="0" applyFill="1" applyBorder="1"/>
    <xf numFmtId="14" fontId="0" fillId="0" borderId="140" xfId="0" applyNumberFormat="1" applyBorder="1"/>
    <xf numFmtId="2" fontId="115" fillId="52" borderId="141" xfId="0" applyNumberFormat="1" applyFont="1" applyFill="1" applyBorder="1"/>
    <xf numFmtId="2" fontId="74" fillId="50" borderId="140" xfId="0" applyNumberFormat="1" applyFont="1" applyFill="1" applyBorder="1"/>
    <xf numFmtId="2" fontId="0" fillId="43" borderId="131" xfId="0" applyNumberFormat="1" applyFill="1" applyBorder="1"/>
    <xf numFmtId="2" fontId="0" fillId="52" borderId="142" xfId="0" applyNumberFormat="1" applyFill="1" applyBorder="1"/>
    <xf numFmtId="2" fontId="19" fillId="52" borderId="11" xfId="0" applyNumberFormat="1" applyFont="1" applyFill="1" applyBorder="1"/>
    <xf numFmtId="0" fontId="0" fillId="43" borderId="143" xfId="0" applyFill="1" applyBorder="1"/>
    <xf numFmtId="14" fontId="0" fillId="0" borderId="143" xfId="0" applyNumberFormat="1" applyBorder="1"/>
    <xf numFmtId="2" fontId="74" fillId="111" borderId="143" xfId="0" applyNumberFormat="1" applyFont="1" applyFill="1" applyBorder="1"/>
    <xf numFmtId="166" fontId="19" fillId="94" borderId="0" xfId="0" applyNumberFormat="1" applyFont="1" applyFill="1" applyBorder="1" applyAlignment="1">
      <alignment horizontal="center"/>
    </xf>
    <xf numFmtId="166" fontId="71" fillId="3" borderId="2" xfId="0" applyNumberFormat="1" applyFont="1" applyFill="1" applyBorder="1" applyAlignment="1">
      <alignment horizontal="center"/>
    </xf>
    <xf numFmtId="0" fontId="19" fillId="94" borderId="51" xfId="0" applyFont="1" applyFill="1" applyBorder="1"/>
    <xf numFmtId="0" fontId="153" fillId="94" borderId="51" xfId="0" applyFont="1" applyFill="1" applyBorder="1"/>
    <xf numFmtId="2" fontId="115" fillId="113" borderId="11" xfId="0" applyNumberFormat="1" applyFont="1" applyFill="1" applyBorder="1"/>
    <xf numFmtId="0" fontId="0" fillId="43" borderId="144" xfId="0" applyFill="1" applyBorder="1"/>
    <xf numFmtId="14" fontId="0" fillId="0" borderId="144" xfId="0" applyNumberFormat="1" applyBorder="1"/>
    <xf numFmtId="2" fontId="74" fillId="50" borderId="144" xfId="0" applyNumberFormat="1" applyFont="1" applyFill="1" applyBorder="1"/>
    <xf numFmtId="0" fontId="74" fillId="7" borderId="144" xfId="0" applyFont="1" applyFill="1" applyBorder="1"/>
    <xf numFmtId="0" fontId="74" fillId="51" borderId="144" xfId="0" applyFont="1" applyFill="1" applyBorder="1"/>
    <xf numFmtId="0" fontId="0" fillId="43" borderId="145" xfId="0" applyFill="1" applyBorder="1"/>
    <xf numFmtId="14" fontId="0" fillId="0" borderId="145" xfId="0" applyNumberFormat="1" applyBorder="1"/>
    <xf numFmtId="194" fontId="19" fillId="60" borderId="2" xfId="0" applyNumberFormat="1" applyFont="1" applyFill="1" applyBorder="1"/>
    <xf numFmtId="202" fontId="0" fillId="0" borderId="0" xfId="39571" applyNumberFormat="1" applyFont="1"/>
    <xf numFmtId="2" fontId="19" fillId="52" borderId="141" xfId="0" applyNumberFormat="1" applyFont="1" applyFill="1" applyBorder="1"/>
    <xf numFmtId="2" fontId="0" fillId="52" borderId="11" xfId="0" applyNumberFormat="1" applyFill="1" applyBorder="1"/>
    <xf numFmtId="2" fontId="19" fillId="52" borderId="142" xfId="0" applyNumberFormat="1" applyFont="1" applyFill="1" applyBorder="1"/>
    <xf numFmtId="0" fontId="76" fillId="0" borderId="0" xfId="4012" applyNumberFormat="1" applyFont="1"/>
    <xf numFmtId="0" fontId="76" fillId="0" borderId="0" xfId="4281" applyNumberFormat="1" applyFont="1"/>
    <xf numFmtId="0" fontId="76" fillId="0" borderId="0" xfId="4010" applyNumberFormat="1" applyFont="1"/>
    <xf numFmtId="0" fontId="76" fillId="0" borderId="0" xfId="3998" applyNumberFormat="1" applyFont="1"/>
    <xf numFmtId="0" fontId="76" fillId="0" borderId="0" xfId="4024" applyNumberFormat="1" applyFont="1"/>
    <xf numFmtId="0" fontId="76" fillId="0" borderId="0" xfId="4277" applyNumberFormat="1" applyFont="1"/>
    <xf numFmtId="0" fontId="76" fillId="0" borderId="0" xfId="4270" applyNumberFormat="1" applyFont="1"/>
    <xf numFmtId="0" fontId="76" fillId="0" borderId="0" xfId="4278" applyNumberFormat="1" applyFont="1"/>
    <xf numFmtId="0" fontId="76" fillId="0" borderId="0" xfId="4279" applyNumberFormat="1" applyFont="1"/>
    <xf numFmtId="0" fontId="19" fillId="0" borderId="0" xfId="0" applyNumberFormat="1" applyFont="1"/>
    <xf numFmtId="0" fontId="76" fillId="0" borderId="0" xfId="4016" applyNumberFormat="1" applyFont="1"/>
    <xf numFmtId="0" fontId="76" fillId="0" borderId="0" xfId="4276" applyNumberFormat="1" applyFont="1"/>
    <xf numFmtId="0" fontId="76" fillId="0" borderId="0" xfId="2286" applyNumberFormat="1" applyFont="1"/>
    <xf numFmtId="0" fontId="19" fillId="3" borderId="0" xfId="4011" applyNumberFormat="1" applyFont="1" applyFill="1"/>
    <xf numFmtId="0" fontId="19" fillId="3" borderId="0" xfId="4009" applyNumberFormat="1" applyFont="1" applyFill="1"/>
    <xf numFmtId="0" fontId="19" fillId="3" borderId="0" xfId="4026" applyNumberFormat="1" applyFont="1" applyFill="1"/>
    <xf numFmtId="0" fontId="19" fillId="3" borderId="0" xfId="4013" applyNumberFormat="1" applyFont="1" applyFill="1"/>
    <xf numFmtId="0" fontId="19" fillId="3" borderId="0" xfId="4015" applyNumberFormat="1" applyFont="1" applyFill="1"/>
    <xf numFmtId="2" fontId="19" fillId="94" borderId="0" xfId="0" applyNumberFormat="1" applyFont="1" applyFill="1"/>
    <xf numFmtId="0" fontId="19" fillId="42" borderId="0" xfId="0" applyFont="1" applyFill="1"/>
    <xf numFmtId="0" fontId="24" fillId="50" borderId="0" xfId="841" applyNumberFormat="1" applyFont="1" applyFill="1" applyBorder="1" applyAlignment="1"/>
    <xf numFmtId="0" fontId="19" fillId="50" borderId="0" xfId="843" applyNumberFormat="1" applyFont="1" applyFill="1" applyBorder="1" applyAlignment="1"/>
    <xf numFmtId="2" fontId="19" fillId="50" borderId="0" xfId="843" applyNumberFormat="1" applyFont="1" applyFill="1" applyBorder="1" applyAlignment="1"/>
    <xf numFmtId="2" fontId="19" fillId="0" borderId="0" xfId="0" applyNumberFormat="1" applyFont="1" applyFill="1" applyAlignment="1"/>
    <xf numFmtId="0" fontId="19" fillId="51" borderId="146" xfId="0" applyFont="1" applyFill="1" applyBorder="1"/>
    <xf numFmtId="0" fontId="19" fillId="51" borderId="146" xfId="0" applyNumberFormat="1" applyFont="1" applyFill="1" applyBorder="1"/>
    <xf numFmtId="0" fontId="19" fillId="4" borderId="0" xfId="0" quotePrefix="1" applyFont="1" applyFill="1"/>
    <xf numFmtId="0" fontId="19" fillId="51" borderId="124" xfId="0" applyNumberFormat="1" applyFont="1" applyFill="1" applyBorder="1"/>
    <xf numFmtId="0" fontId="19" fillId="51" borderId="124" xfId="0" applyFont="1" applyFill="1" applyBorder="1"/>
    <xf numFmtId="0" fontId="19" fillId="0" borderId="99" xfId="0" applyFont="1" applyBorder="1" applyAlignment="1" applyProtection="1">
      <alignment horizontal="left" vertical="top" wrapText="1"/>
      <protection locked="0"/>
    </xf>
    <xf numFmtId="0" fontId="19" fillId="0" borderId="100" xfId="0" applyFont="1" applyBorder="1" applyAlignment="1" applyProtection="1">
      <alignment horizontal="left" vertical="top" wrapText="1"/>
      <protection locked="0"/>
    </xf>
    <xf numFmtId="0" fontId="19" fillId="0" borderId="101" xfId="0" applyFont="1" applyBorder="1" applyAlignment="1" applyProtection="1">
      <alignment horizontal="left" vertical="top" wrapText="1"/>
      <protection locked="0"/>
    </xf>
    <xf numFmtId="0" fontId="24" fillId="91" borderId="0" xfId="0" applyFont="1" applyFill="1" applyBorder="1" applyAlignment="1" applyProtection="1">
      <alignment horizontal="center" vertical="center" wrapText="1"/>
      <protection locked="0"/>
    </xf>
    <xf numFmtId="0" fontId="113" fillId="91" borderId="0" xfId="0" applyFont="1" applyFill="1" applyBorder="1" applyAlignment="1" applyProtection="1">
      <alignment horizontal="center" vertical="center" wrapText="1"/>
      <protection locked="0"/>
    </xf>
    <xf numFmtId="0" fontId="19" fillId="0" borderId="98" xfId="0" applyFont="1" applyBorder="1" applyAlignment="1" applyProtection="1">
      <alignment horizontal="center" vertical="center" wrapText="1"/>
      <protection locked="0"/>
    </xf>
    <xf numFmtId="0" fontId="19" fillId="0" borderId="26" xfId="0" applyFont="1" applyBorder="1" applyAlignment="1" applyProtection="1">
      <alignment horizontal="center" vertical="center" wrapText="1"/>
      <protection locked="0"/>
    </xf>
    <xf numFmtId="0" fontId="19" fillId="0" borderId="6" xfId="0" applyFont="1" applyBorder="1" applyAlignment="1" applyProtection="1">
      <alignment horizontal="center" vertical="center" wrapText="1"/>
      <protection locked="0"/>
    </xf>
    <xf numFmtId="0" fontId="19" fillId="0" borderId="97" xfId="0" applyFont="1" applyBorder="1" applyAlignment="1" applyProtection="1">
      <alignment horizontal="center" vertical="center" wrapText="1"/>
      <protection locked="0"/>
    </xf>
    <xf numFmtId="0" fontId="17" fillId="2" borderId="0" xfId="0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Alignment="1" applyProtection="1">
      <alignment horizontal="center" wrapText="1"/>
    </xf>
    <xf numFmtId="0" fontId="19" fillId="5" borderId="0" xfId="0" applyFont="1" applyFill="1" applyBorder="1" applyAlignment="1" applyProtection="1">
      <alignment horizontal="center" wrapText="1"/>
    </xf>
    <xf numFmtId="0" fontId="110" fillId="0" borderId="0" xfId="0" applyNumberFormat="1" applyFont="1" applyBorder="1" applyAlignment="1" applyProtection="1">
      <alignment horizontal="center" vertical="center" wrapText="1"/>
    </xf>
    <xf numFmtId="0" fontId="19" fillId="0" borderId="0" xfId="0" applyFont="1" applyFill="1" applyBorder="1" applyAlignment="1" applyProtection="1">
      <alignment wrapText="1"/>
    </xf>
    <xf numFmtId="0" fontId="24" fillId="91" borderId="0" xfId="0" applyFont="1" applyFill="1" applyBorder="1" applyAlignment="1" applyProtection="1">
      <alignment horizontal="right" vertical="center" wrapText="1"/>
    </xf>
  </cellXfs>
  <cellStyles count="39572">
    <cellStyle name="%" xfId="10292"/>
    <cellStyle name="% 2" xfId="10293"/>
    <cellStyle name="% 2 2" xfId="10294"/>
    <cellStyle name="% 3" xfId="10295"/>
    <cellStyle name="% 3 2" xfId="10296"/>
    <cellStyle name="% 4" xfId="10297"/>
    <cellStyle name="% 4 2" xfId="10298"/>
    <cellStyle name="%_CbD Budget Letter_04.02.10_" xfId="10299"/>
    <cellStyle name="%_CbD Budget Letter_04.02.10_ 2" xfId="10300"/>
    <cellStyle name="%_CbD Budget Letter_04.02.10_ 2 2" xfId="10301"/>
    <cellStyle name="%_CbD Budget Letter_04.02.10_ 3" xfId="10302"/>
    <cellStyle name="%_CbD Budget Letter_17.02.10_V1_" xfId="10303"/>
    <cellStyle name="%_CbD Budget Letter_17.02.10_V1_ 2" xfId="10304"/>
    <cellStyle name="%_CbD Budget Letter_17.02.10_V1_ 2 2" xfId="10305"/>
    <cellStyle name="%_CbD Budget Letter_17.02.10_V1_ 3" xfId="10306"/>
    <cellStyle name="%_CbD Budget V0_EDY_07.01.09_DBPC_new_" xfId="10307"/>
    <cellStyle name="%_CbD Budget V0_EDY_07.01.09_DBPC_new_ 2" xfId="10308"/>
    <cellStyle name="%_CbD Budget V0_EDY_07.01.09_DBPC_new_ 2 2" xfId="10309"/>
    <cellStyle name="%_CbD Budget V0_EDY_07.01.09_DBPC_new_ 3" xfId="10310"/>
    <cellStyle name="%_CbD Budget V0_EDY_21.01.09_DBPC_new_" xfId="10311"/>
    <cellStyle name="%_CbD Budget V0_EDY_21.01.09_DBPC_new_ 2" xfId="10312"/>
    <cellStyle name="%_CbD Budget V0_EDY_21.01.09_DBPC_new_ 2 2" xfId="10313"/>
    <cellStyle name="%_CbD Budget V0_EDY_21.01.09_DBPC_new_ 3" xfId="10314"/>
    <cellStyle name="%_CbD Master template AOP2010 V5.4_EDY_Loop 3_22.01.10_WF_total fin_MB_" xfId="10315"/>
    <cellStyle name="%_CbD Master template AOP2010 V5.4_EDY_Loop 3_22.01.10_WF_total fin_MB_ 2" xfId="10316"/>
    <cellStyle name="%_CbD Master template AOP2010 V5.4_EDY_Loop 3_30.10.09_WF" xfId="10317"/>
    <cellStyle name="%_CbD Master template AOP2010 V5.4_EDY_Loop 3_30.10.09_WF 2" xfId="10318"/>
    <cellStyle name="%_CbD Master template AOP2010 V5.4_EDY_Loop 3_30.10.09_WF 2 2" xfId="10319"/>
    <cellStyle name="%_CbD Master template AOP2010 V5.4_EDY_Loop 3_30.10.09_WF 3" xfId="10320"/>
    <cellStyle name="%_CbD Master template BO-RO V5.4_03.03.10_EDY_Total_" xfId="10321"/>
    <cellStyle name="%_CbD Master template BO-RO V5.4_03.03.10_EDY_Total_ 2" xfId="10322"/>
    <cellStyle name="%_CbD Master template BO-RO V5.4_03.03.10_EDY_Total_ 2 2" xfId="10323"/>
    <cellStyle name="%_CbD Master template BO-RO V5.4_03.03.10_EDY_Total_ 3" xfId="10324"/>
    <cellStyle name="%_Core E Reporting WL Master template ERFA 2010 Connected v4" xfId="38242"/>
    <cellStyle name="%_Core E Reporting WL Master template ERFA 2010 Connected v4 2" xfId="38243"/>
    <cellStyle name="%_décimal" xfId="9"/>
    <cellStyle name="%_EDY Hourly Rates AOP'10_final_BSP_17.11_" xfId="10325"/>
    <cellStyle name="%_EDY Hourly Rates AOP'10_final_BSP_17.11_ 2" xfId="10326"/>
    <cellStyle name="%_EDY Hourly Rates AOP'10_final_BSP_17.11_ 2 2" xfId="10327"/>
    <cellStyle name="%_EDY Hourly Rates AOP'10_final_BSP_17.11_ 3" xfId="10328"/>
    <cellStyle name="%_EDY Hourly Rates Budget 1.2.09" xfId="10329"/>
    <cellStyle name="%_EDY Hourly Rates Budget 1.2.09 2" xfId="10330"/>
    <cellStyle name="%_EDY Hourly Rates Budget 1.2.09 2 2" xfId="10331"/>
    <cellStyle name="%_EDY Hourly Rates Budget 1.2.09 3" xfId="10332"/>
    <cellStyle name="%_EDY Official &amp; Operational Budget 2010_V0_02.03.10_TH_total_" xfId="10333"/>
    <cellStyle name="%_EDY Official &amp; Operational Budget 2010_V0_02.03.10_TH_total_ 2" xfId="10334"/>
    <cellStyle name="%_EDY Official Operational Budget 2010_25.02.10_V0" xfId="10335"/>
    <cellStyle name="%_EDY Official Operational Budget 2010_25.02.10_V0 2" xfId="10336"/>
    <cellStyle name="%_EDY Operational Budget Outlook March_incl. Comm_" xfId="10337"/>
    <cellStyle name="%_EDY Operational Budget Outlook March_incl. Comm_ 2" xfId="10338"/>
    <cellStyle name="%_EDY Operational Budget Outlook March_incl. Comm_ 2 2" xfId="10339"/>
    <cellStyle name="%_EDY Operational Budget Outlook March_incl. Comm_ 3" xfId="10340"/>
    <cellStyle name="%_EDY Operational Budget Outlook March_incl. Comm_final_" xfId="10341"/>
    <cellStyle name="%_EDY Operational Budget Outlook March_incl. Comm_final_ 2" xfId="10342"/>
    <cellStyle name="%_EDY Operational Budget Outlook March_incl. Comm_final_ 2 2" xfId="10343"/>
    <cellStyle name="%_EDY Operational Budget Outlook March_incl. Comm_final_ 3" xfId="10344"/>
    <cellStyle name="%_EDY_CbD Master template BO-RO V5.4_08.03.10_" xfId="10345"/>
    <cellStyle name="%_EDY_CbD Master template BO-RO V5.4_08.03.10_ 2" xfId="10346"/>
    <cellStyle name="%_EDY_CbD Master template BO-RO V5.4_08.03.10_ 2 2" xfId="10347"/>
    <cellStyle name="%_EDY_CbD Master template BO-RO V5.4_08.03.10_ 3" xfId="10348"/>
    <cellStyle name="%_EDY_CbD Master template BO-RO V5.4_17.03.10_new Org_Total" xfId="10349"/>
    <cellStyle name="%_EDY_CbD Master template BO-RO V5.4_17.03.10_new Org_Total 2" xfId="10350"/>
    <cellStyle name="%_EDY_CbD Master template BO-RO V5.4_17.03.10_new Org_Total 2 2" xfId="10351"/>
    <cellStyle name="%_EDY_CbD Master template BO-RO V5.4_17.03.10_new Org_Total 3" xfId="10352"/>
    <cellStyle name="%_EDY_CbD Master template BO-RO V5.4_18.03.10_new Org_Total" xfId="10353"/>
    <cellStyle name="%_EDY_CbD Master template BO-RO V5.4_18.03.10_new Org_Total 2" xfId="10354"/>
    <cellStyle name="%_EDY_CbD Master template BO-RO V5.4_18.03.10_new Org_Total 2 2" xfId="10355"/>
    <cellStyle name="%_EDY_CbD Master template BO-RO V5.4_18.03.10_new Org_Total 3" xfId="10356"/>
    <cellStyle name="%_EDY_CbD Master template BO-RO V5.4_22.03.10_new Org_Total" xfId="10357"/>
    <cellStyle name="%_EDY_CbD Master template BO-RO V5.4_22.03.10_new Org_Total 2" xfId="10358"/>
    <cellStyle name="%_EDY_CbD Master template BO-RO V5.4_22.03.10_new Org_Total 2 2" xfId="10359"/>
    <cellStyle name="%_EDY_CbD Master template BO-RO V5.4_22.03.10_new Org_Total 3" xfId="10360"/>
    <cellStyle name="1. CoE %" xfId="38244"/>
    <cellStyle name="10" xfId="38245"/>
    <cellStyle name="11. Plant %" xfId="38246"/>
    <cellStyle name="20 % - Accent1 2" xfId="10"/>
    <cellStyle name="20 % - Accent1 2 2" xfId="10361"/>
    <cellStyle name="20 % - Accent1 3" xfId="11"/>
    <cellStyle name="20 % - Accent1 4" xfId="12"/>
    <cellStyle name="20 % - Accent1 5" xfId="13"/>
    <cellStyle name="20 % - Accent1 6" xfId="14"/>
    <cellStyle name="20 % - Accent1 7" xfId="15"/>
    <cellStyle name="20 % - Accent2 2" xfId="16"/>
    <cellStyle name="20 % - Accent2 2 2" xfId="10362"/>
    <cellStyle name="20 % - Accent2 3" xfId="17"/>
    <cellStyle name="20 % - Accent2 4" xfId="18"/>
    <cellStyle name="20 % - Accent2 5" xfId="19"/>
    <cellStyle name="20 % - Accent2 6" xfId="20"/>
    <cellStyle name="20 % - Accent2 7" xfId="21"/>
    <cellStyle name="20 % - Accent3 2" xfId="22"/>
    <cellStyle name="20 % - Accent3 2 2" xfId="10363"/>
    <cellStyle name="20 % - Accent3 3" xfId="23"/>
    <cellStyle name="20 % - Accent3 4" xfId="24"/>
    <cellStyle name="20 % - Accent3 5" xfId="25"/>
    <cellStyle name="20 % - Accent3 6" xfId="26"/>
    <cellStyle name="20 % - Accent3 7" xfId="27"/>
    <cellStyle name="20 % - Accent4 2" xfId="28"/>
    <cellStyle name="20 % - Accent4 2 2" xfId="10364"/>
    <cellStyle name="20 % - Accent4 3" xfId="29"/>
    <cellStyle name="20 % - Accent4 4" xfId="30"/>
    <cellStyle name="20 % - Accent4 5" xfId="31"/>
    <cellStyle name="20 % - Accent4 6" xfId="32"/>
    <cellStyle name="20 % - Accent4 7" xfId="33"/>
    <cellStyle name="20 % - Accent5 2" xfId="34"/>
    <cellStyle name="20 % - Accent5 2 2" xfId="10365"/>
    <cellStyle name="20 % - Accent5 3" xfId="35"/>
    <cellStyle name="20 % - Accent5 4" xfId="36"/>
    <cellStyle name="20 % - Accent5 5" xfId="37"/>
    <cellStyle name="20 % - Accent5 6" xfId="38"/>
    <cellStyle name="20 % - Accent5 7" xfId="39"/>
    <cellStyle name="20 % - Accent6 2" xfId="40"/>
    <cellStyle name="20 % - Accent6 2 2" xfId="10366"/>
    <cellStyle name="20 % - Accent6 3" xfId="41"/>
    <cellStyle name="20 % - Accent6 4" xfId="42"/>
    <cellStyle name="20 % - Accent6 5" xfId="43"/>
    <cellStyle name="20 % - Accent6 6" xfId="44"/>
    <cellStyle name="20 % - Accent6 7" xfId="45"/>
    <cellStyle name="20% - Accent1 2" xfId="38247"/>
    <cellStyle name="20% - Accent2 2" xfId="38248"/>
    <cellStyle name="20% - Accent3 2" xfId="38249"/>
    <cellStyle name="20% - Accent4 2" xfId="38250"/>
    <cellStyle name="20% - Accent5 2" xfId="38251"/>
    <cellStyle name="20% - Accent6 2" xfId="38252"/>
    <cellStyle name="20% - Akzent1" xfId="38253"/>
    <cellStyle name="20% - Akzent2" xfId="38254"/>
    <cellStyle name="20% - Akzent3" xfId="38255"/>
    <cellStyle name="20% - Akzent4" xfId="38256"/>
    <cellStyle name="20% - Akzent5" xfId="38257"/>
    <cellStyle name="20% - Akzent6" xfId="38258"/>
    <cellStyle name="40 % - Accent1 2" xfId="46"/>
    <cellStyle name="40 % - Accent1 2 2" xfId="10367"/>
    <cellStyle name="40 % - Accent1 3" xfId="47"/>
    <cellStyle name="40 % - Accent1 4" xfId="48"/>
    <cellStyle name="40 % - Accent1 5" xfId="49"/>
    <cellStyle name="40 % - Accent1 6" xfId="50"/>
    <cellStyle name="40 % - Accent1 7" xfId="51"/>
    <cellStyle name="40 % - Accent2 2" xfId="52"/>
    <cellStyle name="40 % - Accent2 2 2" xfId="10368"/>
    <cellStyle name="40 % - Accent2 3" xfId="53"/>
    <cellStyle name="40 % - Accent2 4" xfId="54"/>
    <cellStyle name="40 % - Accent2 5" xfId="55"/>
    <cellStyle name="40 % - Accent2 6" xfId="56"/>
    <cellStyle name="40 % - Accent2 7" xfId="57"/>
    <cellStyle name="40 % - Accent3 2" xfId="58"/>
    <cellStyle name="40 % - Accent3 2 2" xfId="10369"/>
    <cellStyle name="40 % - Accent3 3" xfId="59"/>
    <cellStyle name="40 % - Accent3 4" xfId="60"/>
    <cellStyle name="40 % - Accent3 5" xfId="61"/>
    <cellStyle name="40 % - Accent3 6" xfId="62"/>
    <cellStyle name="40 % - Accent3 7" xfId="63"/>
    <cellStyle name="40 % - Accent4 2" xfId="64"/>
    <cellStyle name="40 % - Accent4 2 2" xfId="10370"/>
    <cellStyle name="40 % - Accent4 3" xfId="65"/>
    <cellStyle name="40 % - Accent4 4" xfId="66"/>
    <cellStyle name="40 % - Accent4 5" xfId="67"/>
    <cellStyle name="40 % - Accent4 6" xfId="68"/>
    <cellStyle name="40 % - Accent4 7" xfId="69"/>
    <cellStyle name="40 % - Accent5 2" xfId="70"/>
    <cellStyle name="40 % - Accent5 2 2" xfId="10371"/>
    <cellStyle name="40 % - Accent5 3" xfId="71"/>
    <cellStyle name="40 % - Accent5 4" xfId="72"/>
    <cellStyle name="40 % - Accent5 5" xfId="73"/>
    <cellStyle name="40 % - Accent5 6" xfId="74"/>
    <cellStyle name="40 % - Accent5 7" xfId="75"/>
    <cellStyle name="40 % - Accent6 2" xfId="76"/>
    <cellStyle name="40 % - Accent6 2 2" xfId="10372"/>
    <cellStyle name="40 % - Accent6 3" xfId="77"/>
    <cellStyle name="40 % - Accent6 4" xfId="78"/>
    <cellStyle name="40 % - Accent6 5" xfId="79"/>
    <cellStyle name="40 % - Accent6 6" xfId="80"/>
    <cellStyle name="40 % - Accent6 7" xfId="81"/>
    <cellStyle name="40% - Accent1 2" xfId="38259"/>
    <cellStyle name="40% - Accent2 2" xfId="38260"/>
    <cellStyle name="40% - Accent3 2" xfId="38261"/>
    <cellStyle name="40% - Accent4 2" xfId="38262"/>
    <cellStyle name="40% - Accent5 2" xfId="38263"/>
    <cellStyle name="40% - Accent6 2" xfId="38264"/>
    <cellStyle name="40% - Akzent1" xfId="38265"/>
    <cellStyle name="40% - Akzent2" xfId="38266"/>
    <cellStyle name="40% - Akzent3" xfId="38267"/>
    <cellStyle name="40% - Akzent4" xfId="38268"/>
    <cellStyle name="40% - Akzent5" xfId="38269"/>
    <cellStyle name="40% - Akzent6" xfId="38270"/>
    <cellStyle name="60 % - Accent1 2" xfId="82"/>
    <cellStyle name="60 % - Accent1 2 2" xfId="10373"/>
    <cellStyle name="60 % - Accent1 3" xfId="83"/>
    <cellStyle name="60 % - Accent1 4" xfId="84"/>
    <cellStyle name="60 % - Accent1 5" xfId="85"/>
    <cellStyle name="60 % - Accent1 6" xfId="86"/>
    <cellStyle name="60 % - Accent1 7" xfId="87"/>
    <cellStyle name="60 % - Accent2 2" xfId="88"/>
    <cellStyle name="60 % - Accent2 2 2" xfId="10374"/>
    <cellStyle name="60 % - Accent2 3" xfId="89"/>
    <cellStyle name="60 % - Accent2 4" xfId="90"/>
    <cellStyle name="60 % - Accent2 5" xfId="91"/>
    <cellStyle name="60 % - Accent2 6" xfId="92"/>
    <cellStyle name="60 % - Accent2 7" xfId="93"/>
    <cellStyle name="60 % - Accent3 2" xfId="94"/>
    <cellStyle name="60 % - Accent3 2 2" xfId="10375"/>
    <cellStyle name="60 % - Accent3 3" xfId="95"/>
    <cellStyle name="60 % - Accent3 4" xfId="96"/>
    <cellStyle name="60 % - Accent3 5" xfId="97"/>
    <cellStyle name="60 % - Accent3 6" xfId="98"/>
    <cellStyle name="60 % - Accent3 7" xfId="99"/>
    <cellStyle name="60 % - Accent4 2" xfId="100"/>
    <cellStyle name="60 % - Accent4 2 2" xfId="10376"/>
    <cellStyle name="60 % - Accent4 2 3" xfId="38271"/>
    <cellStyle name="60 % - Accent4 3" xfId="101"/>
    <cellStyle name="60 % - Accent4 4" xfId="102"/>
    <cellStyle name="60 % - Accent4 5" xfId="103"/>
    <cellStyle name="60 % - Accent4 6" xfId="104"/>
    <cellStyle name="60 % - Accent4 7" xfId="105"/>
    <cellStyle name="60 % - Accent5 2" xfId="106"/>
    <cellStyle name="60 % - Accent5 2 2" xfId="10377"/>
    <cellStyle name="60 % - Accent5 3" xfId="107"/>
    <cellStyle name="60 % - Accent5 4" xfId="108"/>
    <cellStyle name="60 % - Accent5 5" xfId="109"/>
    <cellStyle name="60 % - Accent5 6" xfId="110"/>
    <cellStyle name="60 % - Accent5 7" xfId="111"/>
    <cellStyle name="60 % - Accent6 2" xfId="112"/>
    <cellStyle name="60 % - Accent6 2 2" xfId="10378"/>
    <cellStyle name="60 % - Accent6 3" xfId="113"/>
    <cellStyle name="60 % - Accent6 4" xfId="114"/>
    <cellStyle name="60 % - Accent6 5" xfId="115"/>
    <cellStyle name="60 % - Accent6 6" xfId="116"/>
    <cellStyle name="60 % - Accent6 7" xfId="117"/>
    <cellStyle name="60% - Accent1 2" xfId="38272"/>
    <cellStyle name="60% - Accent2 2" xfId="38273"/>
    <cellStyle name="60% - Accent3 2" xfId="38274"/>
    <cellStyle name="60% - Accent5 2" xfId="38275"/>
    <cellStyle name="60% - Accent6 2" xfId="38276"/>
    <cellStyle name="60% - Akzent1" xfId="38277"/>
    <cellStyle name="60% - Akzent2" xfId="38278"/>
    <cellStyle name="60% - Akzent3" xfId="38279"/>
    <cellStyle name="60% - Akzent4" xfId="38280"/>
    <cellStyle name="60% - Akzent5" xfId="38281"/>
    <cellStyle name="60% - Akzent6" xfId="38282"/>
    <cellStyle name="8" xfId="38283"/>
    <cellStyle name="8_AOP 06_08 TAUX" xfId="38284"/>
    <cellStyle name="8_AOP 06_08 TAUX_Book3" xfId="38285"/>
    <cellStyle name="8_AOP 06_08 TAUX_Book3_Forecast 2.V2xls" xfId="38286"/>
    <cellStyle name="8_AOP 06_08 TAUX_Bridges" xfId="38287"/>
    <cellStyle name="8_AOP 06_08 TAUX_Conso phasing headcount FC2" xfId="38288"/>
    <cellStyle name="8_AOP 06_08 TAUX_FHS TSP Fcst 1" xfId="38289"/>
    <cellStyle name="8_AOP 06_08 TAUX_FHS TSP Fcst 1_Forecast 2.V2xls" xfId="38290"/>
    <cellStyle name="8_AOP 06_08 TAUX_FHS TSP Fcst 1_SBA2" xfId="38291"/>
    <cellStyle name="8_AOP 06_08 TAUX_Forecast 2.V2xls" xfId="38292"/>
    <cellStyle name="8_AOP 06_08 TAUX_MBR Phasing- headcount SCSCY  SCS 0809" xfId="38293"/>
    <cellStyle name="8_AOP 06_08 TAUX_MBR SCS 04_09 v0" xfId="38294"/>
    <cellStyle name="8_AOP 06_08 TAUX_MBR SCS_02_09 v5" xfId="38295"/>
    <cellStyle name="8_AOP 06_08 TAUX_MBR SCS_02_09 v5_Forecast 2.V2xls" xfId="38296"/>
    <cellStyle name="8_AOP 06_08 TAUX_MBR SCS_12_085.xls v3" xfId="38297"/>
    <cellStyle name="8_AOP 06_08 TAUX_MBR SCS_12_085.xls v3_Forecast 2.V2xls" xfId="38298"/>
    <cellStyle name="8_AOP 06_08 TAUX_MBR SCS_12_085.xls v3_SBA2" xfId="38299"/>
    <cellStyle name="8_AOP 06_08 TAUX_MBR SEO 04_09" xfId="38300"/>
    <cellStyle name="8_AOP 06_08 TAUX_MBR SEU_02_09 V3" xfId="38301"/>
    <cellStyle name="8_AOP 06_08 TAUX_MBR SEU_04_09" xfId="38302"/>
    <cellStyle name="8_AOP 06_08 TAUX_MBR SEU_05_09 v1" xfId="38303"/>
    <cellStyle name="8_AOP 06_08 TAUX_MBR Slides 19031" xfId="38304"/>
    <cellStyle name="8_AOP 06_08 TAUX_MBR Slides 19031_Forecast 2.V2xls" xfId="38305"/>
    <cellStyle name="8_AOP 06_08 TAUX_MBR SM_04_09" xfId="38306"/>
    <cellStyle name="8_AOP 06_08 TAUX_Overview 18021" xfId="38307"/>
    <cellStyle name="8_AOP 06_08 TAUX_Overview 18021_Forecast 2.V2xls" xfId="38308"/>
    <cellStyle name="8_AOP 06_08 TAUX_P&amp;L by contributors SEU2009 March" xfId="38309"/>
    <cellStyle name="8_AOP 06_08 TAUX_SEU - Consolidated Implementation Contract - v6.2" xfId="38310"/>
    <cellStyle name="8_AOP 06_08 TAUX_SEU - Consolidated Implementation Contract - v6.2_2" xfId="38311"/>
    <cellStyle name="8_AOP 06_08 TAUX_SEU - Consolidated Implementation Contract - v6.3" xfId="38312"/>
    <cellStyle name="8_AOP 06_08 TAUX_SEU - Implementation Contract - revisedproposal" xfId="38313"/>
    <cellStyle name="8_AOP 06_08 TAUX_SEU_2009_follow-up" xfId="38314"/>
    <cellStyle name="8_AOP 06_08 TAUX_ST P&amp;L AOP 2010-2014 v1" xfId="38315"/>
    <cellStyle name="8_AOP 06_08 TAUX_ST ress &amp; dest" xfId="38316"/>
    <cellStyle name="8_AOP 06_08 TAUX_Target AOP2010-2014" xfId="38317"/>
    <cellStyle name="8_AOP P&amp;L by contributorsv1 " xfId="38318"/>
    <cellStyle name="8_AOP SD 2006_WORKLOAD" xfId="38319"/>
    <cellStyle name="8_AOPCOPASSperdomain" xfId="38320"/>
    <cellStyle name="8_AOPCOPASSperdomain_Book3" xfId="38321"/>
    <cellStyle name="8_AOPCOPASSperdomain_Book3_Forecast 2.V2xls" xfId="38322"/>
    <cellStyle name="8_AOPCOPASSperdomain_Bridges" xfId="38323"/>
    <cellStyle name="8_AOPCOPASSperdomain_Conso phasing headcount FC2" xfId="38324"/>
    <cellStyle name="8_AOPCOPASSperdomain_FHS TSP Fcst 1" xfId="38325"/>
    <cellStyle name="8_AOPCOPASSperdomain_FHS TSP Fcst 1_Forecast 2.V2xls" xfId="38326"/>
    <cellStyle name="8_AOPCOPASSperdomain_FHS TSP Fcst 1_SBA2" xfId="38327"/>
    <cellStyle name="8_AOPCOPASSperdomain_Forecast 2.V2xls" xfId="38328"/>
    <cellStyle name="8_AOPCOPASSperdomain_MBR Phasing- headcount SCSCY  SCS 0809" xfId="38329"/>
    <cellStyle name="8_AOPCOPASSperdomain_MBR SCS 04_09 v0" xfId="38330"/>
    <cellStyle name="8_AOPCOPASSperdomain_MBR SCS_02_09 v5" xfId="38331"/>
    <cellStyle name="8_AOPCOPASSperdomain_MBR SCS_02_09 v5_Forecast 2.V2xls" xfId="38332"/>
    <cellStyle name="8_AOPCOPASSperdomain_MBR SCS_12_085.xls v3" xfId="38333"/>
    <cellStyle name="8_AOPCOPASSperdomain_MBR SCS_12_085.xls v3_Forecast 2.V2xls" xfId="38334"/>
    <cellStyle name="8_AOPCOPASSperdomain_MBR SCS_12_085.xls v3_SBA2" xfId="38335"/>
    <cellStyle name="8_AOPCOPASSperdomain_MBR SEO 04_09" xfId="38336"/>
    <cellStyle name="8_AOPCOPASSperdomain_MBR SEU_02_09 V3" xfId="38337"/>
    <cellStyle name="8_AOPCOPASSperdomain_MBR SEU_04_09" xfId="38338"/>
    <cellStyle name="8_AOPCOPASSperdomain_MBR SEU_05_09 v1" xfId="38339"/>
    <cellStyle name="8_AOPCOPASSperdomain_MBR Slides 19031" xfId="38340"/>
    <cellStyle name="8_AOPCOPASSperdomain_MBR Slides 19031_Forecast 2.V2xls" xfId="38341"/>
    <cellStyle name="8_AOPCOPASSperdomain_MBR SM_04_09" xfId="38342"/>
    <cellStyle name="8_AOPCOPASSperdomain_Overview 18021" xfId="38343"/>
    <cellStyle name="8_AOPCOPASSperdomain_Overview 18021_Forecast 2.V2xls" xfId="38344"/>
    <cellStyle name="8_AOPCOPASSperdomain_P&amp;L by contributors SEU2009 March" xfId="38345"/>
    <cellStyle name="8_AOPCOPASSperdomain_SEU - Consolidated Implementation Contract - v6.2" xfId="38346"/>
    <cellStyle name="8_AOPCOPASSperdomain_SEU - Consolidated Implementation Contract - v6.2_2" xfId="38347"/>
    <cellStyle name="8_AOPCOPASSperdomain_SEU - Consolidated Implementation Contract - v6.3" xfId="38348"/>
    <cellStyle name="8_AOPCOPASSperdomain_SEU - Implementation Contract - revisedproposal" xfId="38349"/>
    <cellStyle name="8_AOPCOPASSperdomain_SEU_2009_follow-up" xfId="38350"/>
    <cellStyle name="8_AOPCOPASSperdomain_ST P&amp;L AOP 2010-2014 v1" xfId="38351"/>
    <cellStyle name="8_AOPCOPASSperdomain_ST ress &amp; dest" xfId="38352"/>
    <cellStyle name="8_AOPCOPASSperdomain_Target AOP2010-2014" xfId="38353"/>
    <cellStyle name="8_Book1" xfId="38354"/>
    <cellStyle name="8_Book3" xfId="38355"/>
    <cellStyle name="8_Book3_Forecast 2.V2xls" xfId="38356"/>
    <cellStyle name="8_Bridges" xfId="38357"/>
    <cellStyle name="8_Bridges March" xfId="38358"/>
    <cellStyle name="8_Bridges March_Book3" xfId="38359"/>
    <cellStyle name="8_Bridges March_Book3_Forecast 2.V2xls" xfId="38360"/>
    <cellStyle name="8_Bridges March_Bridges" xfId="38361"/>
    <cellStyle name="8_Bridges March_Conso phasing headcount FC2" xfId="38362"/>
    <cellStyle name="8_Bridges March_FHS TSP Fcst 1" xfId="38363"/>
    <cellStyle name="8_Bridges March_FHS TSP Fcst 1_Forecast 2.V2xls" xfId="38364"/>
    <cellStyle name="8_Bridges March_FHS TSP Fcst 1_SBA2" xfId="38365"/>
    <cellStyle name="8_Bridges March_Forecast 2.V2xls" xfId="38366"/>
    <cellStyle name="8_Bridges March_MBR Phasing- headcount SCSCY  SCS 0809" xfId="38367"/>
    <cellStyle name="8_Bridges March_MBR SCS 04_09 v0" xfId="38368"/>
    <cellStyle name="8_Bridges March_MBR SCS_02_09 v5" xfId="38369"/>
    <cellStyle name="8_Bridges March_MBR SCS_02_09 v5_Forecast 2.V2xls" xfId="38370"/>
    <cellStyle name="8_Bridges March_MBR SCS_12_085.xls v3" xfId="38371"/>
    <cellStyle name="8_Bridges March_MBR SCS_12_085.xls v3_Forecast 2.V2xls" xfId="38372"/>
    <cellStyle name="8_Bridges March_MBR SCS_12_085.xls v3_SBA2" xfId="38373"/>
    <cellStyle name="8_Bridges March_MBR SEO 04_09" xfId="38374"/>
    <cellStyle name="8_Bridges March_MBR SEU_02_09 V3" xfId="38375"/>
    <cellStyle name="8_Bridges March_MBR SEU_04_09" xfId="38376"/>
    <cellStyle name="8_Bridges March_MBR SEU_05_09 v1" xfId="38377"/>
    <cellStyle name="8_Bridges March_MBR Slides 19031" xfId="38378"/>
    <cellStyle name="8_Bridges March_MBR Slides 19031_Forecast 2.V2xls" xfId="38379"/>
    <cellStyle name="8_Bridges March_MBR SM_04_09" xfId="38380"/>
    <cellStyle name="8_Bridges March_Overview 18021" xfId="38381"/>
    <cellStyle name="8_Bridges March_Overview 18021_Forecast 2.V2xls" xfId="38382"/>
    <cellStyle name="8_Bridges March_P&amp;L by contributors SEU2009 March" xfId="38383"/>
    <cellStyle name="8_Bridges March_SEU - Consolidated Implementation Contract - v6.2" xfId="38384"/>
    <cellStyle name="8_Bridges March_SEU - Consolidated Implementation Contract - v6.2_2" xfId="38385"/>
    <cellStyle name="8_Bridges March_SEU - Consolidated Implementation Contract - v6.3" xfId="38386"/>
    <cellStyle name="8_Bridges March_SEU - Implementation Contract - revisedproposal" xfId="38387"/>
    <cellStyle name="8_Bridges March_SEU_2009_follow-up" xfId="38388"/>
    <cellStyle name="8_Bridges March_ST P&amp;L AOP 2010-2014 v1" xfId="38389"/>
    <cellStyle name="8_Bridges March_ST ress &amp; dest" xfId="38390"/>
    <cellStyle name="8_Bridges March_Target AOP2010-2014" xfId="38391"/>
    <cellStyle name="8_Conso AOP 2008-2012  P&amp;L Ress&amp;Dest V9 after online with copass v2" xfId="38392"/>
    <cellStyle name="8_Conso AOP 2008-2012  P&amp;L Ress&amp;Dest V9 after online with copass v2_AOP 010_014 PL_RessDest template3" xfId="38393"/>
    <cellStyle name="8_Conso AOP 2008-2012  P&amp;L Ress&amp;Dest V9 after online with copass v2_Book3" xfId="38394"/>
    <cellStyle name="8_Conso AOP 2008-2012  P&amp;L Ress&amp;Dest V9 after online with copass v2_Book3_Forecast 2.V2xls" xfId="38395"/>
    <cellStyle name="8_Conso AOP 2008-2012  P&amp;L Ress&amp;Dest V9 after online with copass v2_Bridge SBACA ebit" xfId="38396"/>
    <cellStyle name="8_Conso AOP 2008-2012  P&amp;L Ress&amp;Dest V9 after online with copass v2_Conso phasing headcount FC2" xfId="38397"/>
    <cellStyle name="8_Conso AOP 2008-2012  P&amp;L Ress&amp;Dest V9 after online with copass v2_Forecast 2.V2xls" xfId="38398"/>
    <cellStyle name="8_Conso AOP 2008-2012  P&amp;L Ress&amp;Dest V9 after online with copass v2_Master CUC global" xfId="38399"/>
    <cellStyle name="8_Conso AOP 2008-2012  P&amp;L Ress&amp;Dest V9 after online with copass v2_MBR Phasing- headcount SCSCY  SCS 0809" xfId="38400"/>
    <cellStyle name="8_Conso AOP 2008-2012  P&amp;L Ress&amp;Dest V9 after online with copass v2_MBR SCS 04_09 v0" xfId="38401"/>
    <cellStyle name="8_Conso AOP 2008-2012  P&amp;L Ress&amp;Dest V9 after online with copass v2_MBR SCS_02_09 v5" xfId="38402"/>
    <cellStyle name="8_Conso AOP 2008-2012  P&amp;L Ress&amp;Dest V9 after online with copass v2_MBR SCS_02_09 v5_Forecast 2.V2xls" xfId="38403"/>
    <cellStyle name="8_Conso AOP 2008-2012  P&amp;L Ress&amp;Dest V9 after online with copass v2_MBR SEO 04_09" xfId="38404"/>
    <cellStyle name="8_Conso AOP 2008-2012  P&amp;L Ress&amp;Dest V9 after online with copass v2_MBR SEU_02_09 V3" xfId="38405"/>
    <cellStyle name="8_Conso AOP 2008-2012  P&amp;L Ress&amp;Dest V9 after online with copass v2_MBR SEU_04_09" xfId="38406"/>
    <cellStyle name="8_Conso AOP 2008-2012  P&amp;L Ress&amp;Dest V9 after online with copass v2_MBR SEU_05_09 v1" xfId="38407"/>
    <cellStyle name="8_Conso AOP 2008-2012  P&amp;L Ress&amp;Dest V9 after online with copass v2_MBR Slides 19031" xfId="38408"/>
    <cellStyle name="8_Conso AOP 2008-2012  P&amp;L Ress&amp;Dest V9 after online with copass v2_MBR Slides 19031_Forecast 2.V2xls" xfId="38409"/>
    <cellStyle name="8_Conso AOP 2008-2012  P&amp;L Ress&amp;Dest V9 after online with copass v2_MBR SM_04_09" xfId="38410"/>
    <cellStyle name="8_Conso AOP 2008-2012  P&amp;L Ress&amp;Dest V9 after online with copass v2_Overview 18021" xfId="38411"/>
    <cellStyle name="8_Conso AOP 2008-2012  P&amp;L Ress&amp;Dest V9 after online with copass v2_Overview 18021_Forecast 2.V2xls" xfId="38412"/>
    <cellStyle name="8_Conso AOP 2008-2012  P&amp;L Ress&amp;Dest V9 after online with copass v2_P&amp;L by contributors SEU2009 March" xfId="38413"/>
    <cellStyle name="8_Conso AOP 2008-2012  P&amp;L Ress&amp;Dest V9 after online with copass v2_ROC Reporting March 2009 revised with Sandra 28 04 2009" xfId="38414"/>
    <cellStyle name="8_Conso AOP 2008-2012  P&amp;L Ress&amp;Dest V9 after online with copass v2_SB AOP 010_014 PL_RessDest " xfId="38415"/>
    <cellStyle name="8_Conso AOP 2008-2012  P&amp;L Ress&amp;Dest V9 after online with copass v2_SB AOP 010_014 PL_RessDest v4 " xfId="38416"/>
    <cellStyle name="8_Conso AOP 2008-2012  P&amp;L Ress&amp;Dest V9 after online with copass v2_SEO AOP 010_014 PL_RessDestV2" xfId="38417"/>
    <cellStyle name="8_Conso AOP 2008-2012  P&amp;L Ress&amp;Dest V9 after online with copass v2_SEO PL AOP 2010-2014_V6" xfId="38418"/>
    <cellStyle name="8_Conso AOP 2008-2012  P&amp;L Ress&amp;Dest V9 after online with copass v2_SEO PL AOP 2010-2014_V7" xfId="38419"/>
    <cellStyle name="8_Conso AOP 2008-2012  P&amp;L Ress&amp;Dest V9 after online with copass v2_SEU - Consolidated Implementation Contract - v6.0" xfId="38420"/>
    <cellStyle name="8_Conso AOP 2008-2012  P&amp;L Ress&amp;Dest V9 after online with copass v2_SEU - Consolidated Implementation Contract - v6.2" xfId="38421"/>
    <cellStyle name="8_Conso AOP 2008-2012  P&amp;L Ress&amp;Dest V9 after online with copass v2_SEU - Consolidated Implementation Contract - v6.2_2" xfId="38422"/>
    <cellStyle name="8_Conso AOP 2008-2012  P&amp;L Ress&amp;Dest V9 after online with copass v2_SEU - Consolidated Implementation Contract - v6.3" xfId="38423"/>
    <cellStyle name="8_Conso AOP 2008-2012  P&amp;L Ress&amp;Dest V9 after online with copass v2_SEU - Implementation Contract - revisedproposal" xfId="38424"/>
    <cellStyle name="8_Conso AOP 2008-2012  P&amp;L Ress&amp;Dest V9 after online with copass v2_SEU AOP 010_014 PL_RessDes V5" xfId="38425"/>
    <cellStyle name="8_Conso AOP 2008-2012  P&amp;L Ress&amp;Dest V9 after online with copass v2_SEU PL AOP 2010-2014_V10" xfId="38426"/>
    <cellStyle name="8_Conso AOP 2008-2012  P&amp;L Ress&amp;Dest V9 after online with copass v2_SEU PL AOP 2010-2014_V8" xfId="38427"/>
    <cellStyle name="8_Conso AOP 2008-2012  P&amp;L Ress&amp;Dest V9 after online with copass v2_SEU PL AOP 2010-2014_V9" xfId="38428"/>
    <cellStyle name="8_Conso AOP 2008-2012  P&amp;L Ress&amp;Dest V9 after online with copass v2_SEU_2009_follow-up" xfId="38429"/>
    <cellStyle name="8_Conso AOP 2008-2012  P&amp;L Ress&amp;Dest V9 after online with copass v2_Target AOP2010-2014" xfId="38430"/>
    <cellStyle name="8_Conso phasing headcount FC2" xfId="38431"/>
    <cellStyle name="8_Conso S Headcount budget08 by OUs v7" xfId="38432"/>
    <cellStyle name="8_detailedSDtargethead03_06" xfId="38433"/>
    <cellStyle name="8_draftbudget2003SDAdatabase" xfId="38434"/>
    <cellStyle name="8_FHS TSP Fcst 1" xfId="38435"/>
    <cellStyle name="8_FHS TSP Fcst 1_Forecast 2.V2xls" xfId="38436"/>
    <cellStyle name="8_FHS TSP Fcst 1_SBA2" xfId="38437"/>
    <cellStyle name="8_Forecast 2.V2xls" xfId="38438"/>
    <cellStyle name="8_Master CUC global" xfId="38439"/>
    <cellStyle name="8_MBR Phasing- headcount SCSCY  SCS 0809" xfId="38440"/>
    <cellStyle name="8_MBR SCS 04_09 v0" xfId="38441"/>
    <cellStyle name="8_MBR SCS_02_09 v5" xfId="38442"/>
    <cellStyle name="8_MBR SCS_02_09 v5_Forecast 2.V2xls" xfId="38443"/>
    <cellStyle name="8_MBR SCS_12_085.xls v3" xfId="38444"/>
    <cellStyle name="8_MBR SCS_12_085.xls v3_Forecast 2.V2xls" xfId="38445"/>
    <cellStyle name="8_MBR SCS_12_085.xls v3_SBA2" xfId="38446"/>
    <cellStyle name="8_MBR SE_12_07" xfId="38447"/>
    <cellStyle name="8_MBR SEO 04_09" xfId="38448"/>
    <cellStyle name="8_MBR SEU_02_09 V3" xfId="38449"/>
    <cellStyle name="8_MBR SEU_04_09" xfId="38450"/>
    <cellStyle name="8_MBR SEU_05_09 v1" xfId="38451"/>
    <cellStyle name="8_MBR SEU_06_09 V2" xfId="38452"/>
    <cellStyle name="8_MBR Slides 19031" xfId="38453"/>
    <cellStyle name="8_MBR Slides 19031_Forecast 2.V2xls" xfId="38454"/>
    <cellStyle name="8_MBR SM_04_08 V2-A" xfId="38455"/>
    <cellStyle name="8_MBR SM_04_08 V2-A_AOP 010_014 PL_RessDest template3" xfId="38456"/>
    <cellStyle name="8_MBR SM_04_08 V2-A_Book3" xfId="38457"/>
    <cellStyle name="8_MBR SM_04_08 V2-A_Book3_Forecast 2.V2xls" xfId="38458"/>
    <cellStyle name="8_MBR SM_04_08 V2-A_Bridge SBACA ebit" xfId="38459"/>
    <cellStyle name="8_MBR SM_04_08 V2-A_Conso phasing headcount FC2" xfId="38460"/>
    <cellStyle name="8_MBR SM_04_08 V2-A_Forecast 2.V2xls" xfId="38461"/>
    <cellStyle name="8_MBR SM_04_08 V2-A_Master CUC global" xfId="38462"/>
    <cellStyle name="8_MBR SM_04_08 V2-A_MBR Phasing- headcount SCSCY  SCS 0809" xfId="38463"/>
    <cellStyle name="8_MBR SM_04_08 V2-A_MBR SCS 04_09 v0" xfId="38464"/>
    <cellStyle name="8_MBR SM_04_08 V2-A_MBR SCS_02_09 v5" xfId="38465"/>
    <cellStyle name="8_MBR SM_04_08 V2-A_MBR SCS_02_09 v5_Forecast 2.V2xls" xfId="38466"/>
    <cellStyle name="8_MBR SM_04_08 V2-A_MBR SEO 04_09" xfId="38467"/>
    <cellStyle name="8_MBR SM_04_08 V2-A_MBR SEU_02_09 V3" xfId="38468"/>
    <cellStyle name="8_MBR SM_04_08 V2-A_MBR SEU_04_09" xfId="38469"/>
    <cellStyle name="8_MBR SM_04_08 V2-A_MBR SEU_05_09 v1" xfId="38470"/>
    <cellStyle name="8_MBR SM_04_08 V2-A_MBR Slides 19031" xfId="38471"/>
    <cellStyle name="8_MBR SM_04_08 V2-A_MBR Slides 19031_Forecast 2.V2xls" xfId="38472"/>
    <cellStyle name="8_MBR SM_04_08 V2-A_MBR SM_04_09" xfId="38473"/>
    <cellStyle name="8_MBR SM_04_08 V2-A_Overview 18021" xfId="38474"/>
    <cellStyle name="8_MBR SM_04_08 V2-A_Overview 18021_Forecast 2.V2xls" xfId="38475"/>
    <cellStyle name="8_MBR SM_04_08 V2-A_P&amp;L by contributors SEU2009 March" xfId="38476"/>
    <cellStyle name="8_MBR SM_04_08 V2-A_ROC Reporting March 2009 revised with Sandra 28 04 2009" xfId="38477"/>
    <cellStyle name="8_MBR SM_04_08 V2-A_SB AOP 010_014 PL_RessDest " xfId="38478"/>
    <cellStyle name="8_MBR SM_04_08 V2-A_SB AOP 010_014 PL_RessDest v4 " xfId="38479"/>
    <cellStyle name="8_MBR SM_04_08 V2-A_SEO AOP 010_014 PL_RessDestV2" xfId="38480"/>
    <cellStyle name="8_MBR SM_04_08 V2-A_SEO PL AOP 2010-2014_V6" xfId="38481"/>
    <cellStyle name="8_MBR SM_04_08 V2-A_SEO PL AOP 2010-2014_V7" xfId="38482"/>
    <cellStyle name="8_MBR SM_04_08 V2-A_SEU - Consolidated Implementation Contract - v6.0" xfId="38483"/>
    <cellStyle name="8_MBR SM_04_08 V2-A_SEU - Consolidated Implementation Contract - v6.2" xfId="38484"/>
    <cellStyle name="8_MBR SM_04_08 V2-A_SEU - Consolidated Implementation Contract - v6.2_2" xfId="38485"/>
    <cellStyle name="8_MBR SM_04_08 V2-A_SEU - Consolidated Implementation Contract - v6.3" xfId="38486"/>
    <cellStyle name="8_MBR SM_04_08 V2-A_SEU - Implementation Contract - revisedproposal" xfId="38487"/>
    <cellStyle name="8_MBR SM_04_08 V2-A_SEU AOP 010_014 PL_RessDes V5" xfId="38488"/>
    <cellStyle name="8_MBR SM_04_08 V2-A_SEU PL AOP 2010-2014_V10" xfId="38489"/>
    <cellStyle name="8_MBR SM_04_08 V2-A_SEU PL AOP 2010-2014_V8" xfId="38490"/>
    <cellStyle name="8_MBR SM_04_08 V2-A_SEU PL AOP 2010-2014_V9" xfId="38491"/>
    <cellStyle name="8_MBR SM_04_08 V2-A_SEU_2009_follow-up" xfId="38492"/>
    <cellStyle name="8_MBR SM_04_08 V2-A_Target AOP2010-2014" xfId="38493"/>
    <cellStyle name="8_MBR SM_04_09" xfId="38494"/>
    <cellStyle name="8_MBR SW_05_07 18062007" xfId="38495"/>
    <cellStyle name="8_Overview 18021" xfId="38496"/>
    <cellStyle name="8_Overview 18021_Forecast 2.V2xls" xfId="38497"/>
    <cellStyle name="8_P&amp;L by contributors SEU2009 March" xfId="38498"/>
    <cellStyle name="8_S P&amp;L by contributor for AOP 2010-2014 @1.45" xfId="38499"/>
    <cellStyle name="8_SB Headcount AOP 2010-2014" xfId="38500"/>
    <cellStyle name="8_SB Headcount AOP 2010-2014 V2" xfId="38501"/>
    <cellStyle name="8_SDAOPTARGET04_08" xfId="38502"/>
    <cellStyle name="8_SDAOPTARGET04_08_Book3" xfId="38503"/>
    <cellStyle name="8_SDAOPTARGET04_08_Book3_Forecast 2.V2xls" xfId="38504"/>
    <cellStyle name="8_SDAOPTARGET04_08_Bridges" xfId="38505"/>
    <cellStyle name="8_SDAOPTARGET04_08_Conso phasing headcount FC2" xfId="38506"/>
    <cellStyle name="8_SDAOPTARGET04_08_FHS TSP Fcst 1" xfId="38507"/>
    <cellStyle name="8_SDAOPTARGET04_08_FHS TSP Fcst 1_Forecast 2.V2xls" xfId="38508"/>
    <cellStyle name="8_SDAOPTARGET04_08_FHS TSP Fcst 1_SBA2" xfId="38509"/>
    <cellStyle name="8_SDAOPTARGET04_08_Forecast 2.V2xls" xfId="38510"/>
    <cellStyle name="8_SDAOPTARGET04_08_Master CUC global" xfId="38511"/>
    <cellStyle name="8_SDAOPTARGET04_08_MBR Phasing- headcount SCSCY  SCS 0809" xfId="38512"/>
    <cellStyle name="8_SDAOPTARGET04_08_MBR SCS 04_09 v0" xfId="38513"/>
    <cellStyle name="8_SDAOPTARGET04_08_MBR SCS_02_09 v5" xfId="38514"/>
    <cellStyle name="8_SDAOPTARGET04_08_MBR SCS_02_09 v5_Forecast 2.V2xls" xfId="38515"/>
    <cellStyle name="8_SDAOPTARGET04_08_MBR SCS_12_085.xls v3" xfId="38516"/>
    <cellStyle name="8_SDAOPTARGET04_08_MBR SCS_12_085.xls v3_Forecast 2.V2xls" xfId="38517"/>
    <cellStyle name="8_SDAOPTARGET04_08_MBR SCS_12_085.xls v3_SBA2" xfId="38518"/>
    <cellStyle name="8_SDAOPTARGET04_08_MBR SEO 04_09" xfId="38519"/>
    <cellStyle name="8_SDAOPTARGET04_08_MBR SEU_02_09 V3" xfId="38520"/>
    <cellStyle name="8_SDAOPTARGET04_08_MBR SEU_04_09" xfId="38521"/>
    <cellStyle name="8_SDAOPTARGET04_08_MBR SEU_05_09 v1" xfId="38522"/>
    <cellStyle name="8_SDAOPTARGET04_08_MBR SEU_06_09 V2" xfId="38523"/>
    <cellStyle name="8_SDAOPTARGET04_08_MBR Slides 19031" xfId="38524"/>
    <cellStyle name="8_SDAOPTARGET04_08_MBR Slides 19031_Forecast 2.V2xls" xfId="38525"/>
    <cellStyle name="8_SDAOPTARGET04_08_MBR SM_04_09" xfId="38526"/>
    <cellStyle name="8_SDAOPTARGET04_08_Overview 18021" xfId="38527"/>
    <cellStyle name="8_SDAOPTARGET04_08_Overview 18021_Forecast 2.V2xls" xfId="38528"/>
    <cellStyle name="8_SDAOPTARGET04_08_P&amp;L by contributors SEU2009 March" xfId="38529"/>
    <cellStyle name="8_SDAOPTARGET04_08_S P&amp;L by contributor for AOP 2010-2014 @1.45" xfId="38530"/>
    <cellStyle name="8_SDAOPTARGET04_08_SEU - Consolidated Implementation Contract - v6.0" xfId="38531"/>
    <cellStyle name="8_SDAOPTARGET04_08_SEU - Consolidated Implementation Contract - v6.2" xfId="38532"/>
    <cellStyle name="8_SDAOPTARGET04_08_SEU - Consolidated Implementation Contract - v6.2_2" xfId="38533"/>
    <cellStyle name="8_SDAOPTARGET04_08_SEU - Consolidated Implementation Contract - v6.3" xfId="38534"/>
    <cellStyle name="8_SDAOPTARGET04_08_SEU - Implementation Contract - revisedproposal" xfId="38535"/>
    <cellStyle name="8_SDAOPTARGET04_08_SEU_2009_follow-up" xfId="38536"/>
    <cellStyle name="8_SDAV2AOPSIZING04_08" xfId="38537"/>
    <cellStyle name="8_SDAV2AOPSIZING04_08_Book3" xfId="38538"/>
    <cellStyle name="8_SDAV2AOPSIZING04_08_Book3_Forecast 2.V2xls" xfId="38539"/>
    <cellStyle name="8_SDAV2AOPSIZING04_08_Bridges" xfId="38540"/>
    <cellStyle name="8_SDAV2AOPSIZING04_08_Conso phasing headcount FC2" xfId="38541"/>
    <cellStyle name="8_SDAV2AOPSIZING04_08_FHS TSP Fcst 1" xfId="38542"/>
    <cellStyle name="8_SDAV2AOPSIZING04_08_FHS TSP Fcst 1_Forecast 2.V2xls" xfId="38543"/>
    <cellStyle name="8_SDAV2AOPSIZING04_08_FHS TSP Fcst 1_SBA2" xfId="38544"/>
    <cellStyle name="8_SDAV2AOPSIZING04_08_Forecast 2.V2xls" xfId="38545"/>
    <cellStyle name="8_SDAV2AOPSIZING04_08_MBR Phasing- headcount SCSCY  SCS 0809" xfId="38546"/>
    <cellStyle name="8_SDAV2AOPSIZING04_08_MBR SCS 04_09 v0" xfId="38547"/>
    <cellStyle name="8_SDAV2AOPSIZING04_08_MBR SCS_02_09 v5" xfId="38548"/>
    <cellStyle name="8_SDAV2AOPSIZING04_08_MBR SCS_02_09 v5_Forecast 2.V2xls" xfId="38549"/>
    <cellStyle name="8_SDAV2AOPSIZING04_08_MBR SCS_12_085.xls v3" xfId="38550"/>
    <cellStyle name="8_SDAV2AOPSIZING04_08_MBR SCS_12_085.xls v3_Forecast 2.V2xls" xfId="38551"/>
    <cellStyle name="8_SDAV2AOPSIZING04_08_MBR SCS_12_085.xls v3_SBA2" xfId="38552"/>
    <cellStyle name="8_SDAV2AOPSIZING04_08_MBR SEO 04_09" xfId="38553"/>
    <cellStyle name="8_SDAV2AOPSIZING04_08_MBR SEU_02_09 V3" xfId="38554"/>
    <cellStyle name="8_SDAV2AOPSIZING04_08_MBR SEU_04_09" xfId="38555"/>
    <cellStyle name="8_SDAV2AOPSIZING04_08_MBR SEU_05_09 v1" xfId="38556"/>
    <cellStyle name="8_SDAV2AOPSIZING04_08_MBR Slides 19031" xfId="38557"/>
    <cellStyle name="8_SDAV2AOPSIZING04_08_MBR Slides 19031_Forecast 2.V2xls" xfId="38558"/>
    <cellStyle name="8_SDAV2AOPSIZING04_08_MBR SM_04_09" xfId="38559"/>
    <cellStyle name="8_SDAV2AOPSIZING04_08_Overview 18021" xfId="38560"/>
    <cellStyle name="8_SDAV2AOPSIZING04_08_Overview 18021_Forecast 2.V2xls" xfId="38561"/>
    <cellStyle name="8_SDAV2AOPSIZING04_08_P&amp;L by contributors SEU2009 March" xfId="38562"/>
    <cellStyle name="8_SDAV2AOPSIZING04_08_SEU - Consolidated Implementation Contract - v6.2" xfId="38563"/>
    <cellStyle name="8_SDAV2AOPSIZING04_08_SEU - Consolidated Implementation Contract - v6.2_2" xfId="38564"/>
    <cellStyle name="8_SDAV2AOPSIZING04_08_SEU - Consolidated Implementation Contract - v6.3" xfId="38565"/>
    <cellStyle name="8_SDAV2AOPSIZING04_08_SEU - Implementation Contract - revisedproposal" xfId="38566"/>
    <cellStyle name="8_SDAV2AOPSIZING04_08_SEU_2009_follow-up" xfId="38567"/>
    <cellStyle name="8_SDAV2AOPSIZING04_08_ST P&amp;L AOP 2010-2014 v1" xfId="38568"/>
    <cellStyle name="8_SDAV2AOPSIZING04_08_ST ress &amp; dest" xfId="38569"/>
    <cellStyle name="8_SDAV2AOPSIZING04_08_Target AOP2010-2014" xfId="38570"/>
    <cellStyle name="8_SDhead04_V3 19_12_03" xfId="38571"/>
    <cellStyle name="8_SDhead04_V3 19_12_03_AOP 010_014 PL_RessDest template3" xfId="38572"/>
    <cellStyle name="8_SDhead04_V3 19_12_03_Book3" xfId="38573"/>
    <cellStyle name="8_SDhead04_V3 19_12_03_Book3_Forecast 2.V2xls" xfId="38574"/>
    <cellStyle name="8_SDhead04_V3 19_12_03_Bridge SBACA ebit" xfId="38575"/>
    <cellStyle name="8_SDhead04_V3 19_12_03_Conso phasing headcount FC2" xfId="38576"/>
    <cellStyle name="8_SDhead04_V3 19_12_03_Forecast 2.V2xls" xfId="38577"/>
    <cellStyle name="8_SDhead04_V3 19_12_03_Master CUC global" xfId="38578"/>
    <cellStyle name="8_SDhead04_V3 19_12_03_MBR Phasing- headcount SCSCY  SCS 0809" xfId="38579"/>
    <cellStyle name="8_SDhead04_V3 19_12_03_MBR SCS 04_09 v0" xfId="38580"/>
    <cellStyle name="8_SDhead04_V3 19_12_03_MBR SCS_02_09 v5" xfId="38581"/>
    <cellStyle name="8_SDhead04_V3 19_12_03_MBR SCS_02_09 v5_Forecast 2.V2xls" xfId="38582"/>
    <cellStyle name="8_SDhead04_V3 19_12_03_MBR SEO 04_09" xfId="38583"/>
    <cellStyle name="8_SDhead04_V3 19_12_03_MBR SEU_02_09 V3" xfId="38584"/>
    <cellStyle name="8_SDhead04_V3 19_12_03_MBR SEU_04_09" xfId="38585"/>
    <cellStyle name="8_SDhead04_V3 19_12_03_MBR SEU_05_09 v1" xfId="38586"/>
    <cellStyle name="8_SDhead04_V3 19_12_03_MBR Slides 19031" xfId="38587"/>
    <cellStyle name="8_SDhead04_V3 19_12_03_MBR Slides 19031_Forecast 2.V2xls" xfId="38588"/>
    <cellStyle name="8_SDhead04_V3 19_12_03_MBR SM_04_09" xfId="38589"/>
    <cellStyle name="8_SDhead04_V3 19_12_03_Overview 18021" xfId="38590"/>
    <cellStyle name="8_SDhead04_V3 19_12_03_Overview 18021_Forecast 2.V2xls" xfId="38591"/>
    <cellStyle name="8_SDhead04_V3 19_12_03_P&amp;L by contributors SEU2009 March" xfId="38592"/>
    <cellStyle name="8_SDhead04_V3 19_12_03_ROC Reporting March 2009 revised with Sandra 28 04 2009" xfId="38593"/>
    <cellStyle name="8_SDhead04_V3 19_12_03_SB AOP 010_014 PL_RessDest " xfId="38594"/>
    <cellStyle name="8_SDhead04_V3 19_12_03_SB AOP 010_014 PL_RessDest v4 " xfId="38595"/>
    <cellStyle name="8_SDhead04_V3 19_12_03_SB Headcount AOP 2010-2014" xfId="38596"/>
    <cellStyle name="8_SDhead04_V3 19_12_03_SB Headcount AOP 2010-2014 V2" xfId="38597"/>
    <cellStyle name="8_SDhead04_V3 19_12_03_SEO AOP 010_014 PL_RessDestV2" xfId="38598"/>
    <cellStyle name="8_SDhead04_V3 19_12_03_SEO Headcount AOP 2010-2014V2" xfId="38599"/>
    <cellStyle name="8_SDhead04_V3 19_12_03_SEO Headcount AOP 2010-2014V3" xfId="38600"/>
    <cellStyle name="8_SDhead04_V3 19_12_03_SEO PL AOP 2010-2014_V6" xfId="38601"/>
    <cellStyle name="8_SDhead04_V3 19_12_03_SEO PL AOP 2010-2014_V7" xfId="38602"/>
    <cellStyle name="8_SDhead04_V3 19_12_03_SEU - Consolidated Implementation Contract - v6.0" xfId="38603"/>
    <cellStyle name="8_SDhead04_V3 19_12_03_SEU - Consolidated Implementation Contract - v6.2" xfId="38604"/>
    <cellStyle name="8_SDhead04_V3 19_12_03_SEU - Consolidated Implementation Contract - v6.2_2" xfId="38605"/>
    <cellStyle name="8_SDhead04_V3 19_12_03_SEU - Consolidated Implementation Contract - v6.3" xfId="38606"/>
    <cellStyle name="8_SDhead04_V3 19_12_03_SEU - Implementation Contract - revisedproposal" xfId="38607"/>
    <cellStyle name="8_SDhead04_V3 19_12_03_SEU AOP 010_014 PL_RessDes V5" xfId="38608"/>
    <cellStyle name="8_SDhead04_V3 19_12_03_SEU PL AOP 2010-2014_V10" xfId="38609"/>
    <cellStyle name="8_SDhead04_V3 19_12_03_SEU PL AOP 2010-2014_V8" xfId="38610"/>
    <cellStyle name="8_SDhead04_V3 19_12_03_SEU PL AOP 2010-2014_V9" xfId="38611"/>
    <cellStyle name="8_SDhead04_V3 19_12_03_SEU_2009_follow-up" xfId="38612"/>
    <cellStyle name="8_SDhead04_V3 19_12_03_SEU_Template Headcount AOP 2010-2014 V5" xfId="38613"/>
    <cellStyle name="8_SDhead04_V3 19_12_03_Target AOP2010-2014" xfId="38614"/>
    <cellStyle name="8_SDhead04_V3 19_12_03_Template Headcount AOP 2010-20142" xfId="38615"/>
    <cellStyle name="8_SDV2WORKLOAD04_08" xfId="38616"/>
    <cellStyle name="8_SEE_contributors_LP" xfId="38617"/>
    <cellStyle name="8_SEO Headcount AOP 2010-2014V2" xfId="38618"/>
    <cellStyle name="8_SEO Headcount AOP 2010-2014V3" xfId="38619"/>
    <cellStyle name="8_SEO PL AOP 2010-2014_V6" xfId="38620"/>
    <cellStyle name="8_SEU - Consolidated Implementation Contract - v6.0" xfId="38621"/>
    <cellStyle name="8_SEU - Consolidated Implementation Contract - v6.2" xfId="38622"/>
    <cellStyle name="8_SEU - Consolidated Implementation Contract - v6.2_2" xfId="38623"/>
    <cellStyle name="8_SEU - Consolidated Implementation Contract - v6.3" xfId="38624"/>
    <cellStyle name="8_SEU - Implementation Contract - revisedproposal" xfId="38625"/>
    <cellStyle name="8_SEU PL AOP 2010-2014_V8" xfId="38626"/>
    <cellStyle name="8_SEU_2009_follow-up" xfId="38627"/>
    <cellStyle name="8_SEU_Template Headcount AOP 2010-2014 V5" xfId="38628"/>
    <cellStyle name="8_SM AOP P&amp;L by contributors " xfId="38629"/>
    <cellStyle name="8_TAUX BUDGET 05_07 V1" xfId="38630"/>
    <cellStyle name="8_TAUX BUDGET 05_07 V1_Book3" xfId="38631"/>
    <cellStyle name="8_TAUX BUDGET 05_07 V1_Book3_Forecast 2.V2xls" xfId="38632"/>
    <cellStyle name="8_TAUX BUDGET 05_07 V1_Bridges" xfId="38633"/>
    <cellStyle name="8_TAUX BUDGET 05_07 V1_Conso phasing headcount FC2" xfId="38634"/>
    <cellStyle name="8_TAUX BUDGET 05_07 V1_FHS TSP Fcst 1" xfId="38635"/>
    <cellStyle name="8_TAUX BUDGET 05_07 V1_FHS TSP Fcst 1_Forecast 2.V2xls" xfId="38636"/>
    <cellStyle name="8_TAUX BUDGET 05_07 V1_FHS TSP Fcst 1_SBA2" xfId="38637"/>
    <cellStyle name="8_TAUX BUDGET 05_07 V1_Forecast 2.V2xls" xfId="38638"/>
    <cellStyle name="8_TAUX BUDGET 05_07 V1_MBR Phasing- headcount SCSCY  SCS 0809" xfId="38639"/>
    <cellStyle name="8_TAUX BUDGET 05_07 V1_MBR SCS 04_09 v0" xfId="38640"/>
    <cellStyle name="8_TAUX BUDGET 05_07 V1_MBR SCS_02_09 v5" xfId="38641"/>
    <cellStyle name="8_TAUX BUDGET 05_07 V1_MBR SCS_02_09 v5_Forecast 2.V2xls" xfId="38642"/>
    <cellStyle name="8_TAUX BUDGET 05_07 V1_MBR SCS_12_085.xls v3" xfId="38643"/>
    <cellStyle name="8_TAUX BUDGET 05_07 V1_MBR SCS_12_085.xls v3_Forecast 2.V2xls" xfId="38644"/>
    <cellStyle name="8_TAUX BUDGET 05_07 V1_MBR SCS_12_085.xls v3_SBA2" xfId="38645"/>
    <cellStyle name="8_TAUX BUDGET 05_07 V1_MBR SEO 04_09" xfId="38646"/>
    <cellStyle name="8_TAUX BUDGET 05_07 V1_MBR SEU_02_09 V3" xfId="38647"/>
    <cellStyle name="8_TAUX BUDGET 05_07 V1_MBR SEU_04_09" xfId="38648"/>
    <cellStyle name="8_TAUX BUDGET 05_07 V1_MBR SEU_05_09 v1" xfId="38649"/>
    <cellStyle name="8_TAUX BUDGET 05_07 V1_MBR Slides 19031" xfId="38650"/>
    <cellStyle name="8_TAUX BUDGET 05_07 V1_MBR Slides 19031_Forecast 2.V2xls" xfId="38651"/>
    <cellStyle name="8_TAUX BUDGET 05_07 V1_MBR SM_04_09" xfId="38652"/>
    <cellStyle name="8_TAUX BUDGET 05_07 V1_Overview 18021" xfId="38653"/>
    <cellStyle name="8_TAUX BUDGET 05_07 V1_Overview 18021_Forecast 2.V2xls" xfId="38654"/>
    <cellStyle name="8_TAUX BUDGET 05_07 V1_P&amp;L by contributors SEU2009 March" xfId="38655"/>
    <cellStyle name="8_TAUX BUDGET 05_07 V1_SEU - Consolidated Implementation Contract - v6.2" xfId="38656"/>
    <cellStyle name="8_TAUX BUDGET 05_07 V1_SEU - Consolidated Implementation Contract - v6.2_2" xfId="38657"/>
    <cellStyle name="8_TAUX BUDGET 05_07 V1_SEU - Consolidated Implementation Contract - v6.3" xfId="38658"/>
    <cellStyle name="8_TAUX BUDGET 05_07 V1_SEU - Implementation Contract - revisedproposal" xfId="38659"/>
    <cellStyle name="8_TAUX BUDGET 05_07 V1_SEU_2009_follow-up" xfId="38660"/>
    <cellStyle name="8_TAUX BUDGET 05_07 V1_ST P&amp;L AOP 2010-2014 v1" xfId="38661"/>
    <cellStyle name="8_TAUX BUDGET 05_07 V1_ST ress &amp; dest" xfId="38662"/>
    <cellStyle name="8_TAUX BUDGET 05_07 V1_Target AOP2010-2014" xfId="38663"/>
    <cellStyle name="8_TAUX Budget 2006" xfId="38664"/>
    <cellStyle name="8_TAUX Budget 2006_Book3" xfId="38665"/>
    <cellStyle name="8_TAUX Budget 2006_Book3_Forecast 2.V2xls" xfId="38666"/>
    <cellStyle name="8_TAUX Budget 2006_Bridges" xfId="38667"/>
    <cellStyle name="8_TAUX Budget 2006_Conso phasing headcount FC2" xfId="38668"/>
    <cellStyle name="8_TAUX Budget 2006_FHS TSP Fcst 1" xfId="38669"/>
    <cellStyle name="8_TAUX Budget 2006_FHS TSP Fcst 1_Forecast 2.V2xls" xfId="38670"/>
    <cellStyle name="8_TAUX Budget 2006_FHS TSP Fcst 1_SBA2" xfId="38671"/>
    <cellStyle name="8_TAUX Budget 2006_Forecast 2.V2xls" xfId="38672"/>
    <cellStyle name="8_TAUX Budget 2006_MBR Phasing- headcount SCSCY  SCS 0809" xfId="38673"/>
    <cellStyle name="8_TAUX Budget 2006_MBR SCS 04_09 v0" xfId="38674"/>
    <cellStyle name="8_TAUX Budget 2006_MBR SCS_02_09 v5" xfId="38675"/>
    <cellStyle name="8_TAUX Budget 2006_MBR SCS_02_09 v5_Forecast 2.V2xls" xfId="38676"/>
    <cellStyle name="8_TAUX Budget 2006_MBR SCS_12_085.xls v3" xfId="38677"/>
    <cellStyle name="8_TAUX Budget 2006_MBR SCS_12_085.xls v3_Forecast 2.V2xls" xfId="38678"/>
    <cellStyle name="8_TAUX Budget 2006_MBR SCS_12_085.xls v3_SBA2" xfId="38679"/>
    <cellStyle name="8_TAUX Budget 2006_MBR SEO 04_09" xfId="38680"/>
    <cellStyle name="8_TAUX Budget 2006_MBR SEU_02_09 V3" xfId="38681"/>
    <cellStyle name="8_TAUX Budget 2006_MBR SEU_04_09" xfId="38682"/>
    <cellStyle name="8_TAUX Budget 2006_MBR SEU_05_09 v1" xfId="38683"/>
    <cellStyle name="8_TAUX Budget 2006_MBR Slides 19031" xfId="38684"/>
    <cellStyle name="8_TAUX Budget 2006_MBR Slides 19031_Forecast 2.V2xls" xfId="38685"/>
    <cellStyle name="8_TAUX Budget 2006_MBR SM_04_09" xfId="38686"/>
    <cellStyle name="8_TAUX Budget 2006_Overview 18021" xfId="38687"/>
    <cellStyle name="8_TAUX Budget 2006_Overview 18021_Forecast 2.V2xls" xfId="38688"/>
    <cellStyle name="8_TAUX Budget 2006_P&amp;L by contributors SEU2009 March" xfId="38689"/>
    <cellStyle name="8_TAUX Budget 2006_SEU - Consolidated Implementation Contract - v6.2" xfId="38690"/>
    <cellStyle name="8_TAUX Budget 2006_SEU - Consolidated Implementation Contract - v6.2_2" xfId="38691"/>
    <cellStyle name="8_TAUX Budget 2006_SEU - Consolidated Implementation Contract - v6.3" xfId="38692"/>
    <cellStyle name="8_TAUX Budget 2006_SEU - Implementation Contract - revisedproposal" xfId="38693"/>
    <cellStyle name="8_TAUX Budget 2006_SEU_2009_follow-up" xfId="38694"/>
    <cellStyle name="8_TAUX Budget 2006_ST P&amp;L AOP 2010-2014 v1" xfId="38695"/>
    <cellStyle name="8_TAUX Budget 2006_ST ress &amp; dest" xfId="38696"/>
    <cellStyle name="8_TAUX Budget 2006_Target AOP2010-2014" xfId="38697"/>
    <cellStyle name="8_TD1-2" xfId="38698"/>
    <cellStyle name="8_Template Headcount AOP 2010-20142" xfId="38699"/>
    <cellStyle name="8_V1_SE_contractual_New template headcount AOP 2008-2012_251007" xfId="38700"/>
    <cellStyle name="8_V2SDdatabase" xfId="38701"/>
    <cellStyle name="8_V8SDtargethead2003" xfId="38702"/>
    <cellStyle name="A saisir" xfId="118"/>
    <cellStyle name="A saisir - format date" xfId="119"/>
    <cellStyle name="A saisir - format nombre" xfId="120"/>
    <cellStyle name="A saisir - format nombre 0decimales" xfId="121"/>
    <cellStyle name="A saisir sinon jaune" xfId="122"/>
    <cellStyle name="A saisir sinon jaune 2" xfId="868"/>
    <cellStyle name="A saisir sinon jaune 2 2" xfId="1866"/>
    <cellStyle name="A saisir sinon jaune 2 2 10" xfId="10044"/>
    <cellStyle name="A saisir sinon jaune 2 2 2" xfId="4784"/>
    <cellStyle name="A saisir sinon jaune 2 2 3" xfId="5763"/>
    <cellStyle name="A saisir sinon jaune 2 2 4" xfId="6271"/>
    <cellStyle name="A saisir sinon jaune 2 2 5" xfId="6758"/>
    <cellStyle name="A saisir sinon jaune 2 2 6" xfId="7241"/>
    <cellStyle name="A saisir sinon jaune 2 2 7" xfId="8310"/>
    <cellStyle name="A saisir sinon jaune 2 2 8" xfId="8811"/>
    <cellStyle name="A saisir sinon jaune 2 2 9" xfId="9305"/>
    <cellStyle name="A saisir sinon jaune 2 3" xfId="1519"/>
    <cellStyle name="A saisir sinon jaune 2 3 10" xfId="9716"/>
    <cellStyle name="A saisir sinon jaune 2 3 2" xfId="4442"/>
    <cellStyle name="A saisir sinon jaune 2 3 3" xfId="5434"/>
    <cellStyle name="A saisir sinon jaune 2 3 4" xfId="3274"/>
    <cellStyle name="A saisir sinon jaune 2 3 5" xfId="3392"/>
    <cellStyle name="A saisir sinon jaune 2 3 6" xfId="5253"/>
    <cellStyle name="A saisir sinon jaune 2 3 7" xfId="7982"/>
    <cellStyle name="A saisir sinon jaune 2 3 8" xfId="7566"/>
    <cellStyle name="A saisir sinon jaune 2 3 9" xfId="7687"/>
    <cellStyle name="A saisir sinon jaune 2 4" xfId="9552"/>
    <cellStyle name="A saisir sinon jaune 3" xfId="1478"/>
    <cellStyle name="A saisir sinon jaune 3 10" xfId="7668"/>
    <cellStyle name="A saisir sinon jaune 3 11" xfId="9675"/>
    <cellStyle name="A saisir sinon jaune 3 2" xfId="1830"/>
    <cellStyle name="A saisir sinon jaune 3 2 10" xfId="10008"/>
    <cellStyle name="A saisir sinon jaune 3 2 2" xfId="4748"/>
    <cellStyle name="A saisir sinon jaune 3 2 3" xfId="5727"/>
    <cellStyle name="A saisir sinon jaune 3 2 4" xfId="6235"/>
    <cellStyle name="A saisir sinon jaune 3 2 5" xfId="6722"/>
    <cellStyle name="A saisir sinon jaune 3 2 6" xfId="7205"/>
    <cellStyle name="A saisir sinon jaune 3 2 7" xfId="8274"/>
    <cellStyle name="A saisir sinon jaune 3 2 8" xfId="8775"/>
    <cellStyle name="A saisir sinon jaune 3 2 9" xfId="9269"/>
    <cellStyle name="A saisir sinon jaune 3 3" xfId="4401"/>
    <cellStyle name="A saisir sinon jaune 3 4" xfId="5393"/>
    <cellStyle name="A saisir sinon jaune 3 5" xfId="3256"/>
    <cellStyle name="A saisir sinon jaune 3 6" xfId="5315"/>
    <cellStyle name="A saisir sinon jaune 3 7" xfId="5320"/>
    <cellStyle name="A saisir sinon jaune 3 8" xfId="7941"/>
    <cellStyle name="A saisir sinon jaune 3 9" xfId="7606"/>
    <cellStyle name="A saisir sinon jaune 4" xfId="1562"/>
    <cellStyle name="A saisir sinon jaune 4 10" xfId="7715"/>
    <cellStyle name="A saisir sinon jaune 4 11" xfId="9759"/>
    <cellStyle name="A saisir sinon jaune 4 2" xfId="1909"/>
    <cellStyle name="A saisir sinon jaune 4 2 10" xfId="10087"/>
    <cellStyle name="A saisir sinon jaune 4 2 2" xfId="4827"/>
    <cellStyle name="A saisir sinon jaune 4 2 3" xfId="5806"/>
    <cellStyle name="A saisir sinon jaune 4 2 4" xfId="6314"/>
    <cellStyle name="A saisir sinon jaune 4 2 5" xfId="6801"/>
    <cellStyle name="A saisir sinon jaune 4 2 6" xfId="7284"/>
    <cellStyle name="A saisir sinon jaune 4 2 7" xfId="8353"/>
    <cellStyle name="A saisir sinon jaune 4 2 8" xfId="8854"/>
    <cellStyle name="A saisir sinon jaune 4 2 9" xfId="9348"/>
    <cellStyle name="A saisir sinon jaune 4 3" xfId="4485"/>
    <cellStyle name="A saisir sinon jaune 4 4" xfId="5477"/>
    <cellStyle name="A saisir sinon jaune 4 5" xfId="3302"/>
    <cellStyle name="A saisir sinon jaune 4 6" xfId="3373"/>
    <cellStyle name="A saisir sinon jaune 4 7" xfId="5258"/>
    <cellStyle name="A saisir sinon jaune 4 8" xfId="8025"/>
    <cellStyle name="A saisir sinon jaune 4 9" xfId="7523"/>
    <cellStyle name="A saisir sinon jaune 5" xfId="1583"/>
    <cellStyle name="A saisir sinon jaune 5 10" xfId="7735"/>
    <cellStyle name="A saisir sinon jaune 5 11" xfId="9780"/>
    <cellStyle name="A saisir sinon jaune 5 2" xfId="1929"/>
    <cellStyle name="A saisir sinon jaune 5 2 10" xfId="10107"/>
    <cellStyle name="A saisir sinon jaune 5 2 2" xfId="4847"/>
    <cellStyle name="A saisir sinon jaune 5 2 3" xfId="5826"/>
    <cellStyle name="A saisir sinon jaune 5 2 4" xfId="6334"/>
    <cellStyle name="A saisir sinon jaune 5 2 5" xfId="6821"/>
    <cellStyle name="A saisir sinon jaune 5 2 6" xfId="7304"/>
    <cellStyle name="A saisir sinon jaune 5 2 7" xfId="8373"/>
    <cellStyle name="A saisir sinon jaune 5 2 8" xfId="8874"/>
    <cellStyle name="A saisir sinon jaune 5 2 9" xfId="9368"/>
    <cellStyle name="A saisir sinon jaune 5 3" xfId="4506"/>
    <cellStyle name="A saisir sinon jaune 5 4" xfId="5498"/>
    <cellStyle name="A saisir sinon jaune 5 5" xfId="3322"/>
    <cellStyle name="A saisir sinon jaune 5 6" xfId="4732"/>
    <cellStyle name="A saisir sinon jaune 5 7" xfId="3228"/>
    <cellStyle name="A saisir sinon jaune 5 8" xfId="8046"/>
    <cellStyle name="A saisir sinon jaune 5 9" xfId="7502"/>
    <cellStyle name="A saisir sinon jaune 6" xfId="1581"/>
    <cellStyle name="A saisir sinon jaune 6 10" xfId="7733"/>
    <cellStyle name="A saisir sinon jaune 6 11" xfId="9778"/>
    <cellStyle name="A saisir sinon jaune 6 2" xfId="1928"/>
    <cellStyle name="A saisir sinon jaune 6 2 10" xfId="10106"/>
    <cellStyle name="A saisir sinon jaune 6 2 2" xfId="4846"/>
    <cellStyle name="A saisir sinon jaune 6 2 3" xfId="5825"/>
    <cellStyle name="A saisir sinon jaune 6 2 4" xfId="6333"/>
    <cellStyle name="A saisir sinon jaune 6 2 5" xfId="6820"/>
    <cellStyle name="A saisir sinon jaune 6 2 6" xfId="7303"/>
    <cellStyle name="A saisir sinon jaune 6 2 7" xfId="8372"/>
    <cellStyle name="A saisir sinon jaune 6 2 8" xfId="8873"/>
    <cellStyle name="A saisir sinon jaune 6 2 9" xfId="9367"/>
    <cellStyle name="A saisir sinon jaune 6 3" xfId="4504"/>
    <cellStyle name="A saisir sinon jaune 6 4" xfId="5496"/>
    <cellStyle name="A saisir sinon jaune 6 5" xfId="3320"/>
    <cellStyle name="A saisir sinon jaune 6 6" xfId="5036"/>
    <cellStyle name="A saisir sinon jaune 6 7" xfId="4322"/>
    <cellStyle name="A saisir sinon jaune 6 8" xfId="8044"/>
    <cellStyle name="A saisir sinon jaune 6 9" xfId="7504"/>
    <cellStyle name="A saisir sinon jaune 7" xfId="1712"/>
    <cellStyle name="A saisir sinon jaune 7 10" xfId="9908"/>
    <cellStyle name="A saisir sinon jaune 7 2" xfId="4634"/>
    <cellStyle name="A saisir sinon jaune 7 3" xfId="5626"/>
    <cellStyle name="A saisir sinon jaune 7 4" xfId="6135"/>
    <cellStyle name="A saisir sinon jaune 7 5" xfId="6622"/>
    <cellStyle name="A saisir sinon jaune 7 6" xfId="7105"/>
    <cellStyle name="A saisir sinon jaune 7 7" xfId="8174"/>
    <cellStyle name="A saisir sinon jaune 7 8" xfId="8675"/>
    <cellStyle name="A saisir sinon jaune 7 9" xfId="9169"/>
    <cellStyle name="A saisir sinon jaune 8" xfId="1404"/>
    <cellStyle name="A saisir sinon jaune 8 10" xfId="9603"/>
    <cellStyle name="A saisir sinon jaune 8 2" xfId="4328"/>
    <cellStyle name="A saisir sinon jaune 8 3" xfId="5321"/>
    <cellStyle name="A saisir sinon jaune 8 4" xfId="5042"/>
    <cellStyle name="A saisir sinon jaune 8 5" xfId="5297"/>
    <cellStyle name="A saisir sinon jaune 8 6" xfId="5076"/>
    <cellStyle name="A saisir sinon jaune 8 7" xfId="7869"/>
    <cellStyle name="A saisir sinon jaune 8 8" xfId="7800"/>
    <cellStyle name="A saisir sinon jaune 8 9" xfId="7840"/>
    <cellStyle name="A saisir sinon jaune 9" xfId="2299"/>
    <cellStyle name="Accent1 2" xfId="123"/>
    <cellStyle name="Accent1 3" xfId="124"/>
    <cellStyle name="Accent1 4" xfId="125"/>
    <cellStyle name="Accent1 5" xfId="126"/>
    <cellStyle name="Accent1 6" xfId="127"/>
    <cellStyle name="Accent1 7" xfId="128"/>
    <cellStyle name="Accent1 8" xfId="38232"/>
    <cellStyle name="Accent2 2" xfId="129"/>
    <cellStyle name="Accent2 3" xfId="130"/>
    <cellStyle name="Accent2 4" xfId="131"/>
    <cellStyle name="Accent2 5" xfId="132"/>
    <cellStyle name="Accent2 6" xfId="133"/>
    <cellStyle name="Accent2 7" xfId="134"/>
    <cellStyle name="Accent2 8" xfId="38233"/>
    <cellStyle name="Accent3" xfId="810" builtinId="37"/>
    <cellStyle name="Accent3 2" xfId="135"/>
    <cellStyle name="Accent3 3" xfId="136"/>
    <cellStyle name="Accent3 4" xfId="137"/>
    <cellStyle name="Accent3 5" xfId="138"/>
    <cellStyle name="Accent3 6" xfId="139"/>
    <cellStyle name="Accent3 7" xfId="140"/>
    <cellStyle name="Accent3 8" xfId="38234"/>
    <cellStyle name="Accent4 2" xfId="141"/>
    <cellStyle name="Accent4 3" xfId="142"/>
    <cellStyle name="Accent4 4" xfId="143"/>
    <cellStyle name="Accent4 5" xfId="144"/>
    <cellStyle name="Accent4 6" xfId="145"/>
    <cellStyle name="Accent4 7" xfId="146"/>
    <cellStyle name="Accent4 8" xfId="38235"/>
    <cellStyle name="Accent5 2" xfId="147"/>
    <cellStyle name="Accent5 3" xfId="148"/>
    <cellStyle name="Accent5 4" xfId="149"/>
    <cellStyle name="Accent5 5" xfId="150"/>
    <cellStyle name="Accent5 6" xfId="151"/>
    <cellStyle name="Accent5 7" xfId="152"/>
    <cellStyle name="Accent5 8" xfId="38236"/>
    <cellStyle name="Accent6 2" xfId="153"/>
    <cellStyle name="Accent6 3" xfId="154"/>
    <cellStyle name="Accent6 4" xfId="155"/>
    <cellStyle name="Accent6 5" xfId="156"/>
    <cellStyle name="Accent6 6" xfId="157"/>
    <cellStyle name="Accent6 7" xfId="158"/>
    <cellStyle name="Accent6 8" xfId="38237"/>
    <cellStyle name="AIC" xfId="10379"/>
    <cellStyle name="AIC 2" xfId="10380"/>
    <cellStyle name="AIC 2 2" xfId="38703"/>
    <cellStyle name="AIC 2 2 2" xfId="39232"/>
    <cellStyle name="AIC 2 3" xfId="39233"/>
    <cellStyle name="AIC 3" xfId="39234"/>
    <cellStyle name="Akzent1" xfId="38704"/>
    <cellStyle name="Akzent2" xfId="38705"/>
    <cellStyle name="Akzent3" xfId="38706"/>
    <cellStyle name="Akzent4" xfId="38707"/>
    <cellStyle name="Akzent5" xfId="38708"/>
    <cellStyle name="Akzent6" xfId="38709"/>
    <cellStyle name="Avertissement 2" xfId="159"/>
    <cellStyle name="Avertissement 2 2" xfId="10381"/>
    <cellStyle name="Avertissement 3" xfId="160"/>
    <cellStyle name="Avertissement 4" xfId="161"/>
    <cellStyle name="Avertissement 5" xfId="162"/>
    <cellStyle name="Avertissement 6" xfId="163"/>
    <cellStyle name="Avertissement 7" xfId="164"/>
    <cellStyle name="Bad 2" xfId="38710"/>
    <cellStyle name="Besuchter Hyperlink" xfId="38711"/>
    <cellStyle name="Caché" xfId="165"/>
    <cellStyle name="Calcul 2" xfId="166"/>
    <cellStyle name="Calcul 2 2" xfId="869"/>
    <cellStyle name="Calcul 2 2 2" xfId="1897"/>
    <cellStyle name="Calcul 2 2 2 10" xfId="10075"/>
    <cellStyle name="Calcul 2 2 2 2" xfId="4815"/>
    <cellStyle name="Calcul 2 2 2 3" xfId="5794"/>
    <cellStyle name="Calcul 2 2 2 4" xfId="6302"/>
    <cellStyle name="Calcul 2 2 2 5" xfId="6789"/>
    <cellStyle name="Calcul 2 2 2 6" xfId="7272"/>
    <cellStyle name="Calcul 2 2 2 7" xfId="8341"/>
    <cellStyle name="Calcul 2 2 2 8" xfId="8842"/>
    <cellStyle name="Calcul 2 2 2 9" xfId="9336"/>
    <cellStyle name="Calcul 2 2 3" xfId="1550"/>
    <cellStyle name="Calcul 2 2 3 10" xfId="9747"/>
    <cellStyle name="Calcul 2 2 3 2" xfId="4473"/>
    <cellStyle name="Calcul 2 2 3 3" xfId="5465"/>
    <cellStyle name="Calcul 2 2 3 4" xfId="3294"/>
    <cellStyle name="Calcul 2 2 3 5" xfId="5191"/>
    <cellStyle name="Calcul 2 2 3 6" xfId="5295"/>
    <cellStyle name="Calcul 2 2 3 7" xfId="8013"/>
    <cellStyle name="Calcul 2 2 3 8" xfId="7535"/>
    <cellStyle name="Calcul 2 2 3 9" xfId="7708"/>
    <cellStyle name="Calcul 2 2 4" xfId="10382"/>
    <cellStyle name="Calcul 2 2 5" xfId="9553"/>
    <cellStyle name="Calcul 2 3" xfId="1513"/>
    <cellStyle name="Calcul 2 3 10" xfId="7684"/>
    <cellStyle name="Calcul 2 3 11" xfId="9710"/>
    <cellStyle name="Calcul 2 3 2" xfId="1860"/>
    <cellStyle name="Calcul 2 3 2 10" xfId="10038"/>
    <cellStyle name="Calcul 2 3 2 2" xfId="4778"/>
    <cellStyle name="Calcul 2 3 2 3" xfId="5757"/>
    <cellStyle name="Calcul 2 3 2 4" xfId="6265"/>
    <cellStyle name="Calcul 2 3 2 5" xfId="6752"/>
    <cellStyle name="Calcul 2 3 2 6" xfId="7235"/>
    <cellStyle name="Calcul 2 3 2 7" xfId="8304"/>
    <cellStyle name="Calcul 2 3 2 8" xfId="8805"/>
    <cellStyle name="Calcul 2 3 2 9" xfId="9299"/>
    <cellStyle name="Calcul 2 3 3" xfId="4436"/>
    <cellStyle name="Calcul 2 3 4" xfId="5428"/>
    <cellStyle name="Calcul 2 3 5" xfId="3270"/>
    <cellStyle name="Calcul 2 3 6" xfId="5179"/>
    <cellStyle name="Calcul 2 3 7" xfId="3194"/>
    <cellStyle name="Calcul 2 3 8" xfId="7976"/>
    <cellStyle name="Calcul 2 3 9" xfId="7572"/>
    <cellStyle name="Calcul 2 4" xfId="1508"/>
    <cellStyle name="Calcul 2 4 10" xfId="7807"/>
    <cellStyle name="Calcul 2 4 11" xfId="9705"/>
    <cellStyle name="Calcul 2 4 2" xfId="1855"/>
    <cellStyle name="Calcul 2 4 2 10" xfId="10033"/>
    <cellStyle name="Calcul 2 4 2 2" xfId="4773"/>
    <cellStyle name="Calcul 2 4 2 3" xfId="5752"/>
    <cellStyle name="Calcul 2 4 2 4" xfId="6260"/>
    <cellStyle name="Calcul 2 4 2 5" xfId="6747"/>
    <cellStyle name="Calcul 2 4 2 6" xfId="7230"/>
    <cellStyle name="Calcul 2 4 2 7" xfId="8299"/>
    <cellStyle name="Calcul 2 4 2 8" xfId="8800"/>
    <cellStyle name="Calcul 2 4 2 9" xfId="9294"/>
    <cellStyle name="Calcul 2 4 3" xfId="4431"/>
    <cellStyle name="Calcul 2 4 4" xfId="5423"/>
    <cellStyle name="Calcul 2 4 5" xfId="3829"/>
    <cellStyle name="Calcul 2 4 6" xfId="5116"/>
    <cellStyle name="Calcul 2 4 7" xfId="3217"/>
    <cellStyle name="Calcul 2 4 8" xfId="7971"/>
    <cellStyle name="Calcul 2 4 9" xfId="7577"/>
    <cellStyle name="Calcul 2 5" xfId="1520"/>
    <cellStyle name="Calcul 2 5 10" xfId="7688"/>
    <cellStyle name="Calcul 2 5 11" xfId="9717"/>
    <cellStyle name="Calcul 2 5 2" xfId="1867"/>
    <cellStyle name="Calcul 2 5 2 10" xfId="10045"/>
    <cellStyle name="Calcul 2 5 2 2" xfId="4785"/>
    <cellStyle name="Calcul 2 5 2 3" xfId="5764"/>
    <cellStyle name="Calcul 2 5 2 4" xfId="6272"/>
    <cellStyle name="Calcul 2 5 2 5" xfId="6759"/>
    <cellStyle name="Calcul 2 5 2 6" xfId="7242"/>
    <cellStyle name="Calcul 2 5 2 7" xfId="8311"/>
    <cellStyle name="Calcul 2 5 2 8" xfId="8812"/>
    <cellStyle name="Calcul 2 5 2 9" xfId="9306"/>
    <cellStyle name="Calcul 2 5 3" xfId="4443"/>
    <cellStyle name="Calcul 2 5 4" xfId="5435"/>
    <cellStyle name="Calcul 2 5 5" xfId="3275"/>
    <cellStyle name="Calcul 2 5 6" xfId="5181"/>
    <cellStyle name="Calcul 2 5 7" xfId="3173"/>
    <cellStyle name="Calcul 2 5 8" xfId="7983"/>
    <cellStyle name="Calcul 2 5 9" xfId="7565"/>
    <cellStyle name="Calcul 2 6" xfId="1500"/>
    <cellStyle name="Calcul 2 6 10" xfId="7677"/>
    <cellStyle name="Calcul 2 6 11" xfId="9697"/>
    <cellStyle name="Calcul 2 6 2" xfId="1847"/>
    <cellStyle name="Calcul 2 6 2 10" xfId="10025"/>
    <cellStyle name="Calcul 2 6 2 2" xfId="4765"/>
    <cellStyle name="Calcul 2 6 2 3" xfId="5744"/>
    <cellStyle name="Calcul 2 6 2 4" xfId="6252"/>
    <cellStyle name="Calcul 2 6 2 5" xfId="6739"/>
    <cellStyle name="Calcul 2 6 2 6" xfId="7222"/>
    <cellStyle name="Calcul 2 6 2 7" xfId="8291"/>
    <cellStyle name="Calcul 2 6 2 8" xfId="8792"/>
    <cellStyle name="Calcul 2 6 2 9" xfId="9286"/>
    <cellStyle name="Calcul 2 6 3" xfId="4423"/>
    <cellStyle name="Calcul 2 6 4" xfId="5415"/>
    <cellStyle name="Calcul 2 6 5" xfId="3825"/>
    <cellStyle name="Calcul 2 6 6" xfId="5033"/>
    <cellStyle name="Calcul 2 6 7" xfId="3219"/>
    <cellStyle name="Calcul 2 6 8" xfId="7963"/>
    <cellStyle name="Calcul 2 6 9" xfId="7585"/>
    <cellStyle name="Calcul 2 7" xfId="1501"/>
    <cellStyle name="Calcul 2 7 10" xfId="7678"/>
    <cellStyle name="Calcul 2 7 11" xfId="9698"/>
    <cellStyle name="Calcul 2 7 2" xfId="1848"/>
    <cellStyle name="Calcul 2 7 2 10" xfId="10026"/>
    <cellStyle name="Calcul 2 7 2 2" xfId="4766"/>
    <cellStyle name="Calcul 2 7 2 3" xfId="5745"/>
    <cellStyle name="Calcul 2 7 2 4" xfId="6253"/>
    <cellStyle name="Calcul 2 7 2 5" xfId="6740"/>
    <cellStyle name="Calcul 2 7 2 6" xfId="7223"/>
    <cellStyle name="Calcul 2 7 2 7" xfId="8292"/>
    <cellStyle name="Calcul 2 7 2 8" xfId="8793"/>
    <cellStyle name="Calcul 2 7 2 9" xfId="9287"/>
    <cellStyle name="Calcul 2 7 3" xfId="4424"/>
    <cellStyle name="Calcul 2 7 4" xfId="5416"/>
    <cellStyle name="Calcul 2 7 5" xfId="3264"/>
    <cellStyle name="Calcul 2 7 6" xfId="5173"/>
    <cellStyle name="Calcul 2 7 7" xfId="5270"/>
    <cellStyle name="Calcul 2 7 8" xfId="7964"/>
    <cellStyle name="Calcul 2 7 9" xfId="7584"/>
    <cellStyle name="Calcul 2 8" xfId="1460"/>
    <cellStyle name="Calcul 2 8 10" xfId="9657"/>
    <cellStyle name="Calcul 2 8 2" xfId="4383"/>
    <cellStyle name="Calcul 2 8 3" xfId="5375"/>
    <cellStyle name="Calcul 2 8 4" xfId="3361"/>
    <cellStyle name="Calcul 2 8 5" xfId="5304"/>
    <cellStyle name="Calcul 2 8 6" xfId="3196"/>
    <cellStyle name="Calcul 2 8 7" xfId="7923"/>
    <cellStyle name="Calcul 2 8 8" xfId="7623"/>
    <cellStyle name="Calcul 2 8 9" xfId="7780"/>
    <cellStyle name="Calcul 2 9" xfId="1405"/>
    <cellStyle name="Calcul 2 9 10" xfId="9604"/>
    <cellStyle name="Calcul 2 9 2" xfId="4329"/>
    <cellStyle name="Calcul 2 9 3" xfId="5322"/>
    <cellStyle name="Calcul 2 9 4" xfId="5166"/>
    <cellStyle name="Calcul 2 9 5" xfId="3198"/>
    <cellStyle name="Calcul 2 9 6" xfId="3195"/>
    <cellStyle name="Calcul 2 9 7" xfId="7870"/>
    <cellStyle name="Calcul 2 9 8" xfId="7665"/>
    <cellStyle name="Calcul 2 9 9" xfId="7666"/>
    <cellStyle name="Calcul 3" xfId="167"/>
    <cellStyle name="Calcul 3 2" xfId="870"/>
    <cellStyle name="Calcul 3 2 2" xfId="1898"/>
    <cellStyle name="Calcul 3 2 2 10" xfId="10076"/>
    <cellStyle name="Calcul 3 2 2 2" xfId="4816"/>
    <cellStyle name="Calcul 3 2 2 3" xfId="5795"/>
    <cellStyle name="Calcul 3 2 2 4" xfId="6303"/>
    <cellStyle name="Calcul 3 2 2 5" xfId="6790"/>
    <cellStyle name="Calcul 3 2 2 6" xfId="7273"/>
    <cellStyle name="Calcul 3 2 2 7" xfId="8342"/>
    <cellStyle name="Calcul 3 2 2 8" xfId="8843"/>
    <cellStyle name="Calcul 3 2 2 9" xfId="9337"/>
    <cellStyle name="Calcul 3 2 3" xfId="1551"/>
    <cellStyle name="Calcul 3 2 3 10" xfId="9748"/>
    <cellStyle name="Calcul 3 2 3 2" xfId="4474"/>
    <cellStyle name="Calcul 3 2 3 3" xfId="5466"/>
    <cellStyle name="Calcul 3 2 3 4" xfId="3844"/>
    <cellStyle name="Calcul 3 2 3 5" xfId="3384"/>
    <cellStyle name="Calcul 3 2 3 6" xfId="5254"/>
    <cellStyle name="Calcul 3 2 3 7" xfId="8014"/>
    <cellStyle name="Calcul 3 2 3 8" xfId="7534"/>
    <cellStyle name="Calcul 3 2 3 9" xfId="7822"/>
    <cellStyle name="Calcul 3 2 4" xfId="9554"/>
    <cellStyle name="Calcul 3 3" xfId="1514"/>
    <cellStyle name="Calcul 3 3 10" xfId="7810"/>
    <cellStyle name="Calcul 3 3 11" xfId="9711"/>
    <cellStyle name="Calcul 3 3 2" xfId="1861"/>
    <cellStyle name="Calcul 3 3 2 10" xfId="10039"/>
    <cellStyle name="Calcul 3 3 2 2" xfId="4779"/>
    <cellStyle name="Calcul 3 3 2 3" xfId="5758"/>
    <cellStyle name="Calcul 3 3 2 4" xfId="6266"/>
    <cellStyle name="Calcul 3 3 2 5" xfId="6753"/>
    <cellStyle name="Calcul 3 3 2 6" xfId="7236"/>
    <cellStyle name="Calcul 3 3 2 7" xfId="8305"/>
    <cellStyle name="Calcul 3 3 2 8" xfId="8806"/>
    <cellStyle name="Calcul 3 3 2 9" xfId="9300"/>
    <cellStyle name="Calcul 3 3 3" xfId="4437"/>
    <cellStyle name="Calcul 3 3 4" xfId="5429"/>
    <cellStyle name="Calcul 3 3 5" xfId="3832"/>
    <cellStyle name="Calcul 3 3 6" xfId="3375"/>
    <cellStyle name="Calcul 3 3 7" xfId="5251"/>
    <cellStyle name="Calcul 3 3 8" xfId="7977"/>
    <cellStyle name="Calcul 3 3 9" xfId="7571"/>
    <cellStyle name="Calcul 3 4" xfId="1507"/>
    <cellStyle name="Calcul 3 4 10" xfId="7681"/>
    <cellStyle name="Calcul 3 4 11" xfId="9704"/>
    <cellStyle name="Calcul 3 4 2" xfId="1854"/>
    <cellStyle name="Calcul 3 4 2 10" xfId="10032"/>
    <cellStyle name="Calcul 3 4 2 2" xfId="4772"/>
    <cellStyle name="Calcul 3 4 2 3" xfId="5751"/>
    <cellStyle name="Calcul 3 4 2 4" xfId="6259"/>
    <cellStyle name="Calcul 3 4 2 5" xfId="6746"/>
    <cellStyle name="Calcul 3 4 2 6" xfId="7229"/>
    <cellStyle name="Calcul 3 4 2 7" xfId="8298"/>
    <cellStyle name="Calcul 3 4 2 8" xfId="8799"/>
    <cellStyle name="Calcul 3 4 2 9" xfId="9293"/>
    <cellStyle name="Calcul 3 4 3" xfId="4430"/>
    <cellStyle name="Calcul 3 4 4" xfId="5422"/>
    <cellStyle name="Calcul 3 4 5" xfId="3267"/>
    <cellStyle name="Calcul 3 4 6" xfId="5176"/>
    <cellStyle name="Calcul 3 4 7" xfId="5301"/>
    <cellStyle name="Calcul 3 4 8" xfId="7970"/>
    <cellStyle name="Calcul 3 4 9" xfId="7578"/>
    <cellStyle name="Calcul 3 5" xfId="1521"/>
    <cellStyle name="Calcul 3 5 10" xfId="7689"/>
    <cellStyle name="Calcul 3 5 11" xfId="9718"/>
    <cellStyle name="Calcul 3 5 2" xfId="1868"/>
    <cellStyle name="Calcul 3 5 2 10" xfId="10046"/>
    <cellStyle name="Calcul 3 5 2 2" xfId="4786"/>
    <cellStyle name="Calcul 3 5 2 3" xfId="5765"/>
    <cellStyle name="Calcul 3 5 2 4" xfId="6273"/>
    <cellStyle name="Calcul 3 5 2 5" xfId="6760"/>
    <cellStyle name="Calcul 3 5 2 6" xfId="7243"/>
    <cellStyle name="Calcul 3 5 2 7" xfId="8312"/>
    <cellStyle name="Calcul 3 5 2 8" xfId="8813"/>
    <cellStyle name="Calcul 3 5 2 9" xfId="9307"/>
    <cellStyle name="Calcul 3 5 3" xfId="4444"/>
    <cellStyle name="Calcul 3 5 4" xfId="5436"/>
    <cellStyle name="Calcul 3 5 5" xfId="3834"/>
    <cellStyle name="Calcul 3 5 6" xfId="5053"/>
    <cellStyle name="Calcul 3 5 7" xfId="3213"/>
    <cellStyle name="Calcul 3 5 8" xfId="7984"/>
    <cellStyle name="Calcul 3 5 9" xfId="7564"/>
    <cellStyle name="Calcul 3 6" xfId="1499"/>
    <cellStyle name="Calcul 3 6 10" xfId="7803"/>
    <cellStyle name="Calcul 3 6 11" xfId="9696"/>
    <cellStyle name="Calcul 3 6 2" xfId="1846"/>
    <cellStyle name="Calcul 3 6 2 10" xfId="10024"/>
    <cellStyle name="Calcul 3 6 2 2" xfId="4764"/>
    <cellStyle name="Calcul 3 6 2 3" xfId="5743"/>
    <cellStyle name="Calcul 3 6 2 4" xfId="6251"/>
    <cellStyle name="Calcul 3 6 2 5" xfId="6738"/>
    <cellStyle name="Calcul 3 6 2 6" xfId="7221"/>
    <cellStyle name="Calcul 3 6 2 7" xfId="8290"/>
    <cellStyle name="Calcul 3 6 2 8" xfId="8791"/>
    <cellStyle name="Calcul 3 6 2 9" xfId="9285"/>
    <cellStyle name="Calcul 3 6 3" xfId="4422"/>
    <cellStyle name="Calcul 3 6 4" xfId="5414"/>
    <cellStyle name="Calcul 3 6 5" xfId="3263"/>
    <cellStyle name="Calcul 3 6 6" xfId="5172"/>
    <cellStyle name="Calcul 3 6 7" xfId="5128"/>
    <cellStyle name="Calcul 3 6 8" xfId="7962"/>
    <cellStyle name="Calcul 3 6 9" xfId="7586"/>
    <cellStyle name="Calcul 3 7" xfId="1502"/>
    <cellStyle name="Calcul 3 7 10" xfId="7804"/>
    <cellStyle name="Calcul 3 7 11" xfId="9699"/>
    <cellStyle name="Calcul 3 7 2" xfId="1849"/>
    <cellStyle name="Calcul 3 7 2 10" xfId="10027"/>
    <cellStyle name="Calcul 3 7 2 2" xfId="4767"/>
    <cellStyle name="Calcul 3 7 2 3" xfId="5746"/>
    <cellStyle name="Calcul 3 7 2 4" xfId="6254"/>
    <cellStyle name="Calcul 3 7 2 5" xfId="6741"/>
    <cellStyle name="Calcul 3 7 2 6" xfId="7224"/>
    <cellStyle name="Calcul 3 7 2 7" xfId="8293"/>
    <cellStyle name="Calcul 3 7 2 8" xfId="8794"/>
    <cellStyle name="Calcul 3 7 2 9" xfId="9288"/>
    <cellStyle name="Calcul 3 7 3" xfId="4425"/>
    <cellStyle name="Calcul 3 7 4" xfId="5417"/>
    <cellStyle name="Calcul 3 7 5" xfId="3826"/>
    <cellStyle name="Calcul 3 7 6" xfId="5088"/>
    <cellStyle name="Calcul 3 7 7" xfId="5248"/>
    <cellStyle name="Calcul 3 7 8" xfId="7965"/>
    <cellStyle name="Calcul 3 7 9" xfId="7583"/>
    <cellStyle name="Calcul 3 8" xfId="1461"/>
    <cellStyle name="Calcul 3 8 10" xfId="9658"/>
    <cellStyle name="Calcul 3 8 2" xfId="4384"/>
    <cellStyle name="Calcul 3 8 3" xfId="5376"/>
    <cellStyle name="Calcul 3 8 4" xfId="3353"/>
    <cellStyle name="Calcul 3 8 5" xfId="5144"/>
    <cellStyle name="Calcul 3 8 6" xfId="3243"/>
    <cellStyle name="Calcul 3 8 7" xfId="7924"/>
    <cellStyle name="Calcul 3 8 8" xfId="7622"/>
    <cellStyle name="Calcul 3 8 9" xfId="7858"/>
    <cellStyle name="Calcul 3 9" xfId="1406"/>
    <cellStyle name="Calcul 3 9 10" xfId="9605"/>
    <cellStyle name="Calcul 3 9 2" xfId="4330"/>
    <cellStyle name="Calcul 3 9 3" xfId="5323"/>
    <cellStyle name="Calcul 3 9 4" xfId="3462"/>
    <cellStyle name="Calcul 3 9 5" xfId="5216"/>
    <cellStyle name="Calcul 3 9 6" xfId="5049"/>
    <cellStyle name="Calcul 3 9 7" xfId="7871"/>
    <cellStyle name="Calcul 3 9 8" xfId="7799"/>
    <cellStyle name="Calcul 3 9 9" xfId="7772"/>
    <cellStyle name="Calcul 4" xfId="168"/>
    <cellStyle name="Calcul 4 2" xfId="871"/>
    <cellStyle name="Calcul 4 2 2" xfId="1899"/>
    <cellStyle name="Calcul 4 2 2 10" xfId="10077"/>
    <cellStyle name="Calcul 4 2 2 2" xfId="4817"/>
    <cellStyle name="Calcul 4 2 2 3" xfId="5796"/>
    <cellStyle name="Calcul 4 2 2 4" xfId="6304"/>
    <cellStyle name="Calcul 4 2 2 5" xfId="6791"/>
    <cellStyle name="Calcul 4 2 2 6" xfId="7274"/>
    <cellStyle name="Calcul 4 2 2 7" xfId="8343"/>
    <cellStyle name="Calcul 4 2 2 8" xfId="8844"/>
    <cellStyle name="Calcul 4 2 2 9" xfId="9338"/>
    <cellStyle name="Calcul 4 2 3" xfId="1552"/>
    <cellStyle name="Calcul 4 2 3 10" xfId="9749"/>
    <cellStyle name="Calcul 4 2 3 2" xfId="4475"/>
    <cellStyle name="Calcul 4 2 3 3" xfId="5467"/>
    <cellStyle name="Calcul 4 2 3 4" xfId="3295"/>
    <cellStyle name="Calcul 4 2 3 5" xfId="5192"/>
    <cellStyle name="Calcul 4 2 3 6" xfId="5131"/>
    <cellStyle name="Calcul 4 2 3 7" xfId="8015"/>
    <cellStyle name="Calcul 4 2 3 8" xfId="7533"/>
    <cellStyle name="Calcul 4 2 3 9" xfId="7709"/>
    <cellStyle name="Calcul 4 2 4" xfId="9555"/>
    <cellStyle name="Calcul 4 3" xfId="1515"/>
    <cellStyle name="Calcul 4 3 10" xfId="7685"/>
    <cellStyle name="Calcul 4 3 11" xfId="9712"/>
    <cellStyle name="Calcul 4 3 2" xfId="1862"/>
    <cellStyle name="Calcul 4 3 2 10" xfId="10040"/>
    <cellStyle name="Calcul 4 3 2 2" xfId="4780"/>
    <cellStyle name="Calcul 4 3 2 3" xfId="5759"/>
    <cellStyle name="Calcul 4 3 2 4" xfId="6267"/>
    <cellStyle name="Calcul 4 3 2 5" xfId="6754"/>
    <cellStyle name="Calcul 4 3 2 6" xfId="7237"/>
    <cellStyle name="Calcul 4 3 2 7" xfId="8306"/>
    <cellStyle name="Calcul 4 3 2 8" xfId="8807"/>
    <cellStyle name="Calcul 4 3 2 9" xfId="9301"/>
    <cellStyle name="Calcul 4 3 3" xfId="4438"/>
    <cellStyle name="Calcul 4 3 4" xfId="5430"/>
    <cellStyle name="Calcul 4 3 5" xfId="3271"/>
    <cellStyle name="Calcul 4 3 6" xfId="5180"/>
    <cellStyle name="Calcul 4 3 7" xfId="4327"/>
    <cellStyle name="Calcul 4 3 8" xfId="7978"/>
    <cellStyle name="Calcul 4 3 9" xfId="7570"/>
    <cellStyle name="Calcul 4 4" xfId="1506"/>
    <cellStyle name="Calcul 4 4 10" xfId="7806"/>
    <cellStyle name="Calcul 4 4 11" xfId="9703"/>
    <cellStyle name="Calcul 4 4 2" xfId="1853"/>
    <cellStyle name="Calcul 4 4 2 10" xfId="10031"/>
    <cellStyle name="Calcul 4 4 2 2" xfId="4771"/>
    <cellStyle name="Calcul 4 4 2 3" xfId="5750"/>
    <cellStyle name="Calcul 4 4 2 4" xfId="6258"/>
    <cellStyle name="Calcul 4 4 2 5" xfId="6745"/>
    <cellStyle name="Calcul 4 4 2 6" xfId="7228"/>
    <cellStyle name="Calcul 4 4 2 7" xfId="8297"/>
    <cellStyle name="Calcul 4 4 2 8" xfId="8798"/>
    <cellStyle name="Calcul 4 4 2 9" xfId="9292"/>
    <cellStyle name="Calcul 4 4 3" xfId="4429"/>
    <cellStyle name="Calcul 4 4 4" xfId="5421"/>
    <cellStyle name="Calcul 4 4 5" xfId="3828"/>
    <cellStyle name="Calcul 4 4 6" xfId="5064"/>
    <cellStyle name="Calcul 4 4 7" xfId="5249"/>
    <cellStyle name="Calcul 4 4 8" xfId="7969"/>
    <cellStyle name="Calcul 4 4 9" xfId="7579"/>
    <cellStyle name="Calcul 4 5" xfId="1522"/>
    <cellStyle name="Calcul 4 5 10" xfId="7690"/>
    <cellStyle name="Calcul 4 5 11" xfId="9719"/>
    <cellStyle name="Calcul 4 5 2" xfId="1869"/>
    <cellStyle name="Calcul 4 5 2 10" xfId="10047"/>
    <cellStyle name="Calcul 4 5 2 2" xfId="4787"/>
    <cellStyle name="Calcul 4 5 2 3" xfId="5766"/>
    <cellStyle name="Calcul 4 5 2 4" xfId="6274"/>
    <cellStyle name="Calcul 4 5 2 5" xfId="6761"/>
    <cellStyle name="Calcul 4 5 2 6" xfId="7244"/>
    <cellStyle name="Calcul 4 5 2 7" xfId="8313"/>
    <cellStyle name="Calcul 4 5 2 8" xfId="8814"/>
    <cellStyle name="Calcul 4 5 2 9" xfId="9308"/>
    <cellStyle name="Calcul 4 5 3" xfId="4445"/>
    <cellStyle name="Calcul 4 5 4" xfId="5437"/>
    <cellStyle name="Calcul 4 5 5" xfId="3276"/>
    <cellStyle name="Calcul 4 5 6" xfId="5104"/>
    <cellStyle name="Calcul 4 5 7" xfId="5313"/>
    <cellStyle name="Calcul 4 5 8" xfId="7985"/>
    <cellStyle name="Calcul 4 5 9" xfId="7563"/>
    <cellStyle name="Calcul 4 6" xfId="1492"/>
    <cellStyle name="Calcul 4 6 10" xfId="7756"/>
    <cellStyle name="Calcul 4 6 11" xfId="9689"/>
    <cellStyle name="Calcul 4 6 2" xfId="1839"/>
    <cellStyle name="Calcul 4 6 2 10" xfId="10017"/>
    <cellStyle name="Calcul 4 6 2 2" xfId="4757"/>
    <cellStyle name="Calcul 4 6 2 3" xfId="5736"/>
    <cellStyle name="Calcul 4 6 2 4" xfId="6244"/>
    <cellStyle name="Calcul 4 6 2 5" xfId="6731"/>
    <cellStyle name="Calcul 4 6 2 6" xfId="7214"/>
    <cellStyle name="Calcul 4 6 2 7" xfId="8283"/>
    <cellStyle name="Calcul 4 6 2 8" xfId="8784"/>
    <cellStyle name="Calcul 4 6 2 9" xfId="9278"/>
    <cellStyle name="Calcul 4 6 3" xfId="4415"/>
    <cellStyle name="Calcul 4 6 4" xfId="5407"/>
    <cellStyle name="Calcul 4 6 5" xfId="3822"/>
    <cellStyle name="Calcul 4 6 6" xfId="5052"/>
    <cellStyle name="Calcul 4 6 7" xfId="3221"/>
    <cellStyle name="Calcul 4 6 8" xfId="7955"/>
    <cellStyle name="Calcul 4 6 9" xfId="7593"/>
    <cellStyle name="Calcul 4 7" xfId="1509"/>
    <cellStyle name="Calcul 4 7 10" xfId="7682"/>
    <cellStyle name="Calcul 4 7 11" xfId="9706"/>
    <cellStyle name="Calcul 4 7 2" xfId="1856"/>
    <cellStyle name="Calcul 4 7 2 10" xfId="10034"/>
    <cellStyle name="Calcul 4 7 2 2" xfId="4774"/>
    <cellStyle name="Calcul 4 7 2 3" xfId="5753"/>
    <cellStyle name="Calcul 4 7 2 4" xfId="6261"/>
    <cellStyle name="Calcul 4 7 2 5" xfId="6748"/>
    <cellStyle name="Calcul 4 7 2 6" xfId="7231"/>
    <cellStyle name="Calcul 4 7 2 7" xfId="8300"/>
    <cellStyle name="Calcul 4 7 2 8" xfId="8801"/>
    <cellStyle name="Calcul 4 7 2 9" xfId="9295"/>
    <cellStyle name="Calcul 4 7 3" xfId="4432"/>
    <cellStyle name="Calcul 4 7 4" xfId="5424"/>
    <cellStyle name="Calcul 4 7 5" xfId="3268"/>
    <cellStyle name="Calcul 4 7 6" xfId="5177"/>
    <cellStyle name="Calcul 4 7 7" xfId="5137"/>
    <cellStyle name="Calcul 4 7 8" xfId="7972"/>
    <cellStyle name="Calcul 4 7 9" xfId="7576"/>
    <cellStyle name="Calcul 4 8" xfId="1462"/>
    <cellStyle name="Calcul 4 8 10" xfId="9659"/>
    <cellStyle name="Calcul 4 8 2" xfId="4385"/>
    <cellStyle name="Calcul 4 8 3" xfId="5377"/>
    <cellStyle name="Calcul 4 8 4" xfId="4379"/>
    <cellStyle name="Calcul 4 8 5" xfId="5305"/>
    <cellStyle name="Calcul 4 8 6" xfId="3237"/>
    <cellStyle name="Calcul 4 8 7" xfId="7925"/>
    <cellStyle name="Calcul 4 8 8" xfId="7621"/>
    <cellStyle name="Calcul 4 8 9" xfId="7781"/>
    <cellStyle name="Calcul 4 9" xfId="1407"/>
    <cellStyle name="Calcul 4 9 10" xfId="9606"/>
    <cellStyle name="Calcul 4 9 2" xfId="4331"/>
    <cellStyle name="Calcul 4 9 3" xfId="5324"/>
    <cellStyle name="Calcul 4 9 4" xfId="3971"/>
    <cellStyle name="Calcul 4 9 5" xfId="5274"/>
    <cellStyle name="Calcul 4 9 6" xfId="5201"/>
    <cellStyle name="Calcul 4 9 7" xfId="7872"/>
    <cellStyle name="Calcul 4 9 8" xfId="7664"/>
    <cellStyle name="Calcul 4 9 9" xfId="7850"/>
    <cellStyle name="Calcul 5" xfId="169"/>
    <cellStyle name="Calcul 5 2" xfId="872"/>
    <cellStyle name="Calcul 5 2 2" xfId="1900"/>
    <cellStyle name="Calcul 5 2 2 10" xfId="10078"/>
    <cellStyle name="Calcul 5 2 2 2" xfId="4818"/>
    <cellStyle name="Calcul 5 2 2 3" xfId="5797"/>
    <cellStyle name="Calcul 5 2 2 4" xfId="6305"/>
    <cellStyle name="Calcul 5 2 2 5" xfId="6792"/>
    <cellStyle name="Calcul 5 2 2 6" xfId="7275"/>
    <cellStyle name="Calcul 5 2 2 7" xfId="8344"/>
    <cellStyle name="Calcul 5 2 2 8" xfId="8845"/>
    <cellStyle name="Calcul 5 2 2 9" xfId="9339"/>
    <cellStyle name="Calcul 5 2 3" xfId="1553"/>
    <cellStyle name="Calcul 5 2 3 10" xfId="9750"/>
    <cellStyle name="Calcul 5 2 3 2" xfId="4476"/>
    <cellStyle name="Calcul 5 2 3 3" xfId="5468"/>
    <cellStyle name="Calcul 5 2 3 4" xfId="3845"/>
    <cellStyle name="Calcul 5 2 3 5" xfId="5038"/>
    <cellStyle name="Calcul 5 2 3 6" xfId="3815"/>
    <cellStyle name="Calcul 5 2 3 7" xfId="8016"/>
    <cellStyle name="Calcul 5 2 3 8" xfId="7532"/>
    <cellStyle name="Calcul 5 2 3 9" xfId="7823"/>
    <cellStyle name="Calcul 5 2 4" xfId="9556"/>
    <cellStyle name="Calcul 5 3" xfId="1516"/>
    <cellStyle name="Calcul 5 3 10" xfId="7811"/>
    <cellStyle name="Calcul 5 3 11" xfId="9713"/>
    <cellStyle name="Calcul 5 3 2" xfId="1863"/>
    <cellStyle name="Calcul 5 3 2 10" xfId="10041"/>
    <cellStyle name="Calcul 5 3 2 2" xfId="4781"/>
    <cellStyle name="Calcul 5 3 2 3" xfId="5760"/>
    <cellStyle name="Calcul 5 3 2 4" xfId="6268"/>
    <cellStyle name="Calcul 5 3 2 5" xfId="6755"/>
    <cellStyle name="Calcul 5 3 2 6" xfId="7238"/>
    <cellStyle name="Calcul 5 3 2 7" xfId="8307"/>
    <cellStyle name="Calcul 5 3 2 8" xfId="8808"/>
    <cellStyle name="Calcul 5 3 2 9" xfId="9302"/>
    <cellStyle name="Calcul 5 3 3" xfId="4439"/>
    <cellStyle name="Calcul 5 3 4" xfId="5431"/>
    <cellStyle name="Calcul 5 3 5" xfId="3833"/>
    <cellStyle name="Calcul 5 3 6" xfId="3366"/>
    <cellStyle name="Calcul 5 3 7" xfId="3215"/>
    <cellStyle name="Calcul 5 3 8" xfId="7979"/>
    <cellStyle name="Calcul 5 3 9" xfId="7569"/>
    <cellStyle name="Calcul 5 4" xfId="1505"/>
    <cellStyle name="Calcul 5 4 10" xfId="7680"/>
    <cellStyle name="Calcul 5 4 11" xfId="9702"/>
    <cellStyle name="Calcul 5 4 2" xfId="1852"/>
    <cellStyle name="Calcul 5 4 2 10" xfId="10030"/>
    <cellStyle name="Calcul 5 4 2 2" xfId="4770"/>
    <cellStyle name="Calcul 5 4 2 3" xfId="5749"/>
    <cellStyle name="Calcul 5 4 2 4" xfId="6257"/>
    <cellStyle name="Calcul 5 4 2 5" xfId="6744"/>
    <cellStyle name="Calcul 5 4 2 6" xfId="7227"/>
    <cellStyle name="Calcul 5 4 2 7" xfId="8296"/>
    <cellStyle name="Calcul 5 4 2 8" xfId="8797"/>
    <cellStyle name="Calcul 5 4 2 9" xfId="9291"/>
    <cellStyle name="Calcul 5 4 3" xfId="4428"/>
    <cellStyle name="Calcul 5 4 4" xfId="5420"/>
    <cellStyle name="Calcul 5 4 5" xfId="3266"/>
    <cellStyle name="Calcul 5 4 6" xfId="5175"/>
    <cellStyle name="Calcul 5 4 7" xfId="5221"/>
    <cellStyle name="Calcul 5 4 8" xfId="7968"/>
    <cellStyle name="Calcul 5 4 9" xfId="7580"/>
    <cellStyle name="Calcul 5 5" xfId="1523"/>
    <cellStyle name="Calcul 5 5 10" xfId="7813"/>
    <cellStyle name="Calcul 5 5 11" xfId="9720"/>
    <cellStyle name="Calcul 5 5 2" xfId="1870"/>
    <cellStyle name="Calcul 5 5 2 10" xfId="10048"/>
    <cellStyle name="Calcul 5 5 2 2" xfId="4788"/>
    <cellStyle name="Calcul 5 5 2 3" xfId="5767"/>
    <cellStyle name="Calcul 5 5 2 4" xfId="6275"/>
    <cellStyle name="Calcul 5 5 2 5" xfId="6762"/>
    <cellStyle name="Calcul 5 5 2 6" xfId="7245"/>
    <cellStyle name="Calcul 5 5 2 7" xfId="8314"/>
    <cellStyle name="Calcul 5 5 2 8" xfId="8815"/>
    <cellStyle name="Calcul 5 5 2 9" xfId="9309"/>
    <cellStyle name="Calcul 5 5 3" xfId="4446"/>
    <cellStyle name="Calcul 5 5 4" xfId="5438"/>
    <cellStyle name="Calcul 5 5 5" xfId="3277"/>
    <cellStyle name="Calcul 5 5 6" xfId="3408"/>
    <cellStyle name="Calcul 5 5 7" xfId="6022"/>
    <cellStyle name="Calcul 5 5 8" xfId="7986"/>
    <cellStyle name="Calcul 5 5 9" xfId="7562"/>
    <cellStyle name="Calcul 5 6" xfId="1491"/>
    <cellStyle name="Calcul 5 6 10" xfId="7753"/>
    <cellStyle name="Calcul 5 6 11" xfId="9688"/>
    <cellStyle name="Calcul 5 6 2" xfId="1838"/>
    <cellStyle name="Calcul 5 6 2 10" xfId="10016"/>
    <cellStyle name="Calcul 5 6 2 2" xfId="4756"/>
    <cellStyle name="Calcul 5 6 2 3" xfId="5735"/>
    <cellStyle name="Calcul 5 6 2 4" xfId="6243"/>
    <cellStyle name="Calcul 5 6 2 5" xfId="6730"/>
    <cellStyle name="Calcul 5 6 2 6" xfId="7213"/>
    <cellStyle name="Calcul 5 6 2 7" xfId="8282"/>
    <cellStyle name="Calcul 5 6 2 8" xfId="8783"/>
    <cellStyle name="Calcul 5 6 2 9" xfId="9277"/>
    <cellStyle name="Calcul 5 6 3" xfId="4414"/>
    <cellStyle name="Calcul 5 6 4" xfId="5406"/>
    <cellStyle name="Calcul 5 6 5" xfId="3259"/>
    <cellStyle name="Calcul 5 6 6" xfId="5169"/>
    <cellStyle name="Calcul 5 6 7" xfId="6030"/>
    <cellStyle name="Calcul 5 6 8" xfId="7954"/>
    <cellStyle name="Calcul 5 6 9" xfId="7594"/>
    <cellStyle name="Calcul 5 7" xfId="1510"/>
    <cellStyle name="Calcul 5 7 10" xfId="7808"/>
    <cellStyle name="Calcul 5 7 11" xfId="9707"/>
    <cellStyle name="Calcul 5 7 2" xfId="1857"/>
    <cellStyle name="Calcul 5 7 2 10" xfId="10035"/>
    <cellStyle name="Calcul 5 7 2 2" xfId="4775"/>
    <cellStyle name="Calcul 5 7 2 3" xfId="5754"/>
    <cellStyle name="Calcul 5 7 2 4" xfId="6262"/>
    <cellStyle name="Calcul 5 7 2 5" xfId="6749"/>
    <cellStyle name="Calcul 5 7 2 6" xfId="7232"/>
    <cellStyle name="Calcul 5 7 2 7" xfId="8301"/>
    <cellStyle name="Calcul 5 7 2 8" xfId="8802"/>
    <cellStyle name="Calcul 5 7 2 9" xfId="9296"/>
    <cellStyle name="Calcul 5 7 3" xfId="4433"/>
    <cellStyle name="Calcul 5 7 4" xfId="5425"/>
    <cellStyle name="Calcul 5 7 5" xfId="3830"/>
    <cellStyle name="Calcul 5 7 6" xfId="3450"/>
    <cellStyle name="Calcul 5 7 7" xfId="5250"/>
    <cellStyle name="Calcul 5 7 8" xfId="7973"/>
    <cellStyle name="Calcul 5 7 9" xfId="7575"/>
    <cellStyle name="Calcul 5 8" xfId="1463"/>
    <cellStyle name="Calcul 5 8 10" xfId="9660"/>
    <cellStyle name="Calcul 5 8 2" xfId="4386"/>
    <cellStyle name="Calcul 5 8 3" xfId="5378"/>
    <cellStyle name="Calcul 5 8 4" xfId="3362"/>
    <cellStyle name="Calcul 5 8 5" xfId="5145"/>
    <cellStyle name="Calcul 5 8 6" xfId="4651"/>
    <cellStyle name="Calcul 5 8 7" xfId="7926"/>
    <cellStyle name="Calcul 5 8 8" xfId="7620"/>
    <cellStyle name="Calcul 5 8 9" xfId="7859"/>
    <cellStyle name="Calcul 5 9" xfId="1408"/>
    <cellStyle name="Calcul 5 9 10" xfId="9607"/>
    <cellStyle name="Calcul 5 9 2" xfId="4332"/>
    <cellStyle name="Calcul 5 9 3" xfId="5325"/>
    <cellStyle name="Calcul 5 9 4" xfId="5123"/>
    <cellStyle name="Calcul 5 9 5" xfId="5132"/>
    <cellStyle name="Calcul 5 9 6" xfId="3207"/>
    <cellStyle name="Calcul 5 9 7" xfId="7873"/>
    <cellStyle name="Calcul 5 9 8" xfId="7798"/>
    <cellStyle name="Calcul 5 9 9" xfId="7836"/>
    <cellStyle name="Calcul 6" xfId="170"/>
    <cellStyle name="Calcul 6 2" xfId="873"/>
    <cellStyle name="Calcul 6 2 2" xfId="1901"/>
    <cellStyle name="Calcul 6 2 2 10" xfId="10079"/>
    <cellStyle name="Calcul 6 2 2 2" xfId="4819"/>
    <cellStyle name="Calcul 6 2 2 3" xfId="5798"/>
    <cellStyle name="Calcul 6 2 2 4" xfId="6306"/>
    <cellStyle name="Calcul 6 2 2 5" xfId="6793"/>
    <cellStyle name="Calcul 6 2 2 6" xfId="7276"/>
    <cellStyle name="Calcul 6 2 2 7" xfId="8345"/>
    <cellStyle name="Calcul 6 2 2 8" xfId="8846"/>
    <cellStyle name="Calcul 6 2 2 9" xfId="9340"/>
    <cellStyle name="Calcul 6 2 3" xfId="1554"/>
    <cellStyle name="Calcul 6 2 3 10" xfId="9751"/>
    <cellStyle name="Calcul 6 2 3 2" xfId="4477"/>
    <cellStyle name="Calcul 6 2 3 3" xfId="5469"/>
    <cellStyle name="Calcul 6 2 3 4" xfId="3296"/>
    <cellStyle name="Calcul 6 2 3 5" xfId="5193"/>
    <cellStyle name="Calcul 6 2 3 6" xfId="5273"/>
    <cellStyle name="Calcul 6 2 3 7" xfId="8017"/>
    <cellStyle name="Calcul 6 2 3 8" xfId="7531"/>
    <cellStyle name="Calcul 6 2 3 9" xfId="7710"/>
    <cellStyle name="Calcul 6 2 4" xfId="9557"/>
    <cellStyle name="Calcul 6 3" xfId="1517"/>
    <cellStyle name="Calcul 6 3 10" xfId="7686"/>
    <cellStyle name="Calcul 6 3 11" xfId="9714"/>
    <cellStyle name="Calcul 6 3 2" xfId="1864"/>
    <cellStyle name="Calcul 6 3 2 10" xfId="10042"/>
    <cellStyle name="Calcul 6 3 2 2" xfId="4782"/>
    <cellStyle name="Calcul 6 3 2 3" xfId="5761"/>
    <cellStyle name="Calcul 6 3 2 4" xfId="6269"/>
    <cellStyle name="Calcul 6 3 2 5" xfId="6756"/>
    <cellStyle name="Calcul 6 3 2 6" xfId="7239"/>
    <cellStyle name="Calcul 6 3 2 7" xfId="8308"/>
    <cellStyle name="Calcul 6 3 2 8" xfId="8809"/>
    <cellStyle name="Calcul 6 3 2 9" xfId="9303"/>
    <cellStyle name="Calcul 6 3 3" xfId="4440"/>
    <cellStyle name="Calcul 6 3 4" xfId="5432"/>
    <cellStyle name="Calcul 6 3 5" xfId="3272"/>
    <cellStyle name="Calcul 6 3 6" xfId="4723"/>
    <cellStyle name="Calcul 6 3 7" xfId="5252"/>
    <cellStyle name="Calcul 6 3 8" xfId="7980"/>
    <cellStyle name="Calcul 6 3 9" xfId="7568"/>
    <cellStyle name="Calcul 6 4" xfId="1504"/>
    <cellStyle name="Calcul 6 4 10" xfId="7805"/>
    <cellStyle name="Calcul 6 4 11" xfId="9701"/>
    <cellStyle name="Calcul 6 4 2" xfId="1851"/>
    <cellStyle name="Calcul 6 4 2 10" xfId="10029"/>
    <cellStyle name="Calcul 6 4 2 2" xfId="4769"/>
    <cellStyle name="Calcul 6 4 2 3" xfId="5748"/>
    <cellStyle name="Calcul 6 4 2 4" xfId="6256"/>
    <cellStyle name="Calcul 6 4 2 5" xfId="6743"/>
    <cellStyle name="Calcul 6 4 2 6" xfId="7226"/>
    <cellStyle name="Calcul 6 4 2 7" xfId="8295"/>
    <cellStyle name="Calcul 6 4 2 8" xfId="8796"/>
    <cellStyle name="Calcul 6 4 2 9" xfId="9290"/>
    <cellStyle name="Calcul 6 4 3" xfId="4427"/>
    <cellStyle name="Calcul 6 4 4" xfId="5419"/>
    <cellStyle name="Calcul 6 4 5" xfId="3827"/>
    <cellStyle name="Calcul 6 4 6" xfId="3424"/>
    <cellStyle name="Calcul 6 4 7" xfId="3218"/>
    <cellStyle name="Calcul 6 4 8" xfId="7967"/>
    <cellStyle name="Calcul 6 4 9" xfId="7581"/>
    <cellStyle name="Calcul 6 5" xfId="1524"/>
    <cellStyle name="Calcul 6 5 10" xfId="7691"/>
    <cellStyle name="Calcul 6 5 11" xfId="9721"/>
    <cellStyle name="Calcul 6 5 2" xfId="1871"/>
    <cellStyle name="Calcul 6 5 2 10" xfId="10049"/>
    <cellStyle name="Calcul 6 5 2 2" xfId="4789"/>
    <cellStyle name="Calcul 6 5 2 3" xfId="5768"/>
    <cellStyle name="Calcul 6 5 2 4" xfId="6276"/>
    <cellStyle name="Calcul 6 5 2 5" xfId="6763"/>
    <cellStyle name="Calcul 6 5 2 6" xfId="7246"/>
    <cellStyle name="Calcul 6 5 2 7" xfId="8315"/>
    <cellStyle name="Calcul 6 5 2 8" xfId="8816"/>
    <cellStyle name="Calcul 6 5 2 9" xfId="9310"/>
    <cellStyle name="Calcul 6 5 3" xfId="4447"/>
    <cellStyle name="Calcul 6 5 4" xfId="5439"/>
    <cellStyle name="Calcul 6 5 5" xfId="3278"/>
    <cellStyle name="Calcul 6 5 6" xfId="5182"/>
    <cellStyle name="Calcul 6 5 7" xfId="3356"/>
    <cellStyle name="Calcul 6 5 8" xfId="7987"/>
    <cellStyle name="Calcul 6 5 9" xfId="7561"/>
    <cellStyle name="Calcul 6 6" xfId="1490"/>
    <cellStyle name="Calcul 6 6 10" xfId="7754"/>
    <cellStyle name="Calcul 6 6 11" xfId="9687"/>
    <cellStyle name="Calcul 6 6 2" xfId="1837"/>
    <cellStyle name="Calcul 6 6 2 10" xfId="10015"/>
    <cellStyle name="Calcul 6 6 2 2" xfId="4755"/>
    <cellStyle name="Calcul 6 6 2 3" xfId="5734"/>
    <cellStyle name="Calcul 6 6 2 4" xfId="6242"/>
    <cellStyle name="Calcul 6 6 2 5" xfId="6729"/>
    <cellStyle name="Calcul 6 6 2 6" xfId="7212"/>
    <cellStyle name="Calcul 6 6 2 7" xfId="8281"/>
    <cellStyle name="Calcul 6 6 2 8" xfId="8782"/>
    <cellStyle name="Calcul 6 6 2 9" xfId="9276"/>
    <cellStyle name="Calcul 6 6 3" xfId="4413"/>
    <cellStyle name="Calcul 6 6 4" xfId="5405"/>
    <cellStyle name="Calcul 6 6 5" xfId="3258"/>
    <cellStyle name="Calcul 6 6 6" xfId="3393"/>
    <cellStyle name="Calcul 6 6 7" xfId="5245"/>
    <cellStyle name="Calcul 6 6 8" xfId="7953"/>
    <cellStyle name="Calcul 6 6 9" xfId="7595"/>
    <cellStyle name="Calcul 6 7" xfId="1511"/>
    <cellStyle name="Calcul 6 7 10" xfId="7683"/>
    <cellStyle name="Calcul 6 7 11" xfId="9708"/>
    <cellStyle name="Calcul 6 7 2" xfId="1858"/>
    <cellStyle name="Calcul 6 7 2 10" xfId="10036"/>
    <cellStyle name="Calcul 6 7 2 2" xfId="4776"/>
    <cellStyle name="Calcul 6 7 2 3" xfId="5755"/>
    <cellStyle name="Calcul 6 7 2 4" xfId="6263"/>
    <cellStyle name="Calcul 6 7 2 5" xfId="6750"/>
    <cellStyle name="Calcul 6 7 2 6" xfId="7233"/>
    <cellStyle name="Calcul 6 7 2 7" xfId="8302"/>
    <cellStyle name="Calcul 6 7 2 8" xfId="8803"/>
    <cellStyle name="Calcul 6 7 2 9" xfId="9297"/>
    <cellStyle name="Calcul 6 7 3" xfId="4434"/>
    <cellStyle name="Calcul 6 7 4" xfId="5426"/>
    <cellStyle name="Calcul 6 7 5" xfId="3269"/>
    <cellStyle name="Calcul 6 7 6" xfId="5178"/>
    <cellStyle name="Calcul 6 7 7" xfId="5279"/>
    <cellStyle name="Calcul 6 7 8" xfId="7974"/>
    <cellStyle name="Calcul 6 7 9" xfId="7574"/>
    <cellStyle name="Calcul 6 8" xfId="1788"/>
    <cellStyle name="Calcul 6 8 10" xfId="9980"/>
    <cellStyle name="Calcul 6 8 2" xfId="4708"/>
    <cellStyle name="Calcul 6 8 3" xfId="5698"/>
    <cellStyle name="Calcul 6 8 4" xfId="6207"/>
    <cellStyle name="Calcul 6 8 5" xfId="6694"/>
    <cellStyle name="Calcul 6 8 6" xfId="7177"/>
    <cellStyle name="Calcul 6 8 7" xfId="8246"/>
    <cellStyle name="Calcul 6 8 8" xfId="8747"/>
    <cellStyle name="Calcul 6 8 9" xfId="9241"/>
    <cellStyle name="Calcul 6 9" xfId="1409"/>
    <cellStyle name="Calcul 6 9 10" xfId="9608"/>
    <cellStyle name="Calcul 6 9 2" xfId="4333"/>
    <cellStyle name="Calcul 6 9 3" xfId="5326"/>
    <cellStyle name="Calcul 6 9 4" xfId="5070"/>
    <cellStyle name="Calcul 6 9 5" xfId="5296"/>
    <cellStyle name="Calcul 6 9 6" xfId="3187"/>
    <cellStyle name="Calcul 6 9 7" xfId="7874"/>
    <cellStyle name="Calcul 6 9 8" xfId="7663"/>
    <cellStyle name="Calcul 6 9 9" xfId="7830"/>
    <cellStyle name="Calcul 7" xfId="171"/>
    <cellStyle name="Calcul 7 2" xfId="874"/>
    <cellStyle name="Calcul 7 2 2" xfId="1902"/>
    <cellStyle name="Calcul 7 2 2 10" xfId="10080"/>
    <cellStyle name="Calcul 7 2 2 2" xfId="4820"/>
    <cellStyle name="Calcul 7 2 2 3" xfId="5799"/>
    <cellStyle name="Calcul 7 2 2 4" xfId="6307"/>
    <cellStyle name="Calcul 7 2 2 5" xfId="6794"/>
    <cellStyle name="Calcul 7 2 2 6" xfId="7277"/>
    <cellStyle name="Calcul 7 2 2 7" xfId="8346"/>
    <cellStyle name="Calcul 7 2 2 8" xfId="8847"/>
    <cellStyle name="Calcul 7 2 2 9" xfId="9341"/>
    <cellStyle name="Calcul 7 2 3" xfId="1555"/>
    <cellStyle name="Calcul 7 2 3 10" xfId="9752"/>
    <cellStyle name="Calcul 7 2 3 2" xfId="4478"/>
    <cellStyle name="Calcul 7 2 3 3" xfId="5470"/>
    <cellStyle name="Calcul 7 2 3 4" xfId="3846"/>
    <cellStyle name="Calcul 7 2 3 5" xfId="5093"/>
    <cellStyle name="Calcul 7 2 3 6" xfId="5255"/>
    <cellStyle name="Calcul 7 2 3 7" xfId="8018"/>
    <cellStyle name="Calcul 7 2 3 8" xfId="7530"/>
    <cellStyle name="Calcul 7 2 3 9" xfId="7824"/>
    <cellStyle name="Calcul 7 2 4" xfId="9558"/>
    <cellStyle name="Calcul 7 3" xfId="1518"/>
    <cellStyle name="Calcul 7 3 10" xfId="7812"/>
    <cellStyle name="Calcul 7 3 11" xfId="9715"/>
    <cellStyle name="Calcul 7 3 2" xfId="1865"/>
    <cellStyle name="Calcul 7 3 2 10" xfId="10043"/>
    <cellStyle name="Calcul 7 3 2 2" xfId="4783"/>
    <cellStyle name="Calcul 7 3 2 3" xfId="5762"/>
    <cellStyle name="Calcul 7 3 2 4" xfId="6270"/>
    <cellStyle name="Calcul 7 3 2 5" xfId="6757"/>
    <cellStyle name="Calcul 7 3 2 6" xfId="7240"/>
    <cellStyle name="Calcul 7 3 2 7" xfId="8309"/>
    <cellStyle name="Calcul 7 3 2 8" xfId="8810"/>
    <cellStyle name="Calcul 7 3 2 9" xfId="9304"/>
    <cellStyle name="Calcul 7 3 3" xfId="4441"/>
    <cellStyle name="Calcul 7 3 4" xfId="5433"/>
    <cellStyle name="Calcul 7 3 5" xfId="3273"/>
    <cellStyle name="Calcul 7 3 6" xfId="5079"/>
    <cellStyle name="Calcul 7 3 7" xfId="3214"/>
    <cellStyle name="Calcul 7 3 8" xfId="7981"/>
    <cellStyle name="Calcul 7 3 9" xfId="7567"/>
    <cellStyle name="Calcul 7 4" xfId="1503"/>
    <cellStyle name="Calcul 7 4 10" xfId="7679"/>
    <cellStyle name="Calcul 7 4 11" xfId="9700"/>
    <cellStyle name="Calcul 7 4 2" xfId="1850"/>
    <cellStyle name="Calcul 7 4 2 10" xfId="10028"/>
    <cellStyle name="Calcul 7 4 2 2" xfId="4768"/>
    <cellStyle name="Calcul 7 4 2 3" xfId="5747"/>
    <cellStyle name="Calcul 7 4 2 4" xfId="6255"/>
    <cellStyle name="Calcul 7 4 2 5" xfId="6742"/>
    <cellStyle name="Calcul 7 4 2 6" xfId="7225"/>
    <cellStyle name="Calcul 7 4 2 7" xfId="8294"/>
    <cellStyle name="Calcul 7 4 2 8" xfId="8795"/>
    <cellStyle name="Calcul 7 4 2 9" xfId="9289"/>
    <cellStyle name="Calcul 7 4 3" xfId="4426"/>
    <cellStyle name="Calcul 7 4 4" xfId="5418"/>
    <cellStyle name="Calcul 7 4 5" xfId="3265"/>
    <cellStyle name="Calcul 7 4 6" xfId="5174"/>
    <cellStyle name="Calcul 7 4 7" xfId="3201"/>
    <cellStyle name="Calcul 7 4 8" xfId="7966"/>
    <cellStyle name="Calcul 7 4 9" xfId="7582"/>
    <cellStyle name="Calcul 7 5" xfId="1525"/>
    <cellStyle name="Calcul 7 5 10" xfId="7692"/>
    <cellStyle name="Calcul 7 5 11" xfId="9722"/>
    <cellStyle name="Calcul 7 5 2" xfId="1872"/>
    <cellStyle name="Calcul 7 5 2 10" xfId="10050"/>
    <cellStyle name="Calcul 7 5 2 2" xfId="4790"/>
    <cellStyle name="Calcul 7 5 2 3" xfId="5769"/>
    <cellStyle name="Calcul 7 5 2 4" xfId="6277"/>
    <cellStyle name="Calcul 7 5 2 5" xfId="6764"/>
    <cellStyle name="Calcul 7 5 2 6" xfId="7247"/>
    <cellStyle name="Calcul 7 5 2 7" xfId="8316"/>
    <cellStyle name="Calcul 7 5 2 8" xfId="8817"/>
    <cellStyle name="Calcul 7 5 2 9" xfId="9311"/>
    <cellStyle name="Calcul 7 5 3" xfId="4448"/>
    <cellStyle name="Calcul 7 5 4" xfId="5440"/>
    <cellStyle name="Calcul 7 5 5" xfId="3835"/>
    <cellStyle name="Calcul 7 5 6" xfId="3385"/>
    <cellStyle name="Calcul 7 5 7" xfId="6029"/>
    <cellStyle name="Calcul 7 5 8" xfId="7988"/>
    <cellStyle name="Calcul 7 5 9" xfId="7560"/>
    <cellStyle name="Calcul 7 6" xfId="1489"/>
    <cellStyle name="Calcul 7 6 10" xfId="7672"/>
    <cellStyle name="Calcul 7 6 11" xfId="9686"/>
    <cellStyle name="Calcul 7 6 2" xfId="1836"/>
    <cellStyle name="Calcul 7 6 2 10" xfId="10014"/>
    <cellStyle name="Calcul 7 6 2 2" xfId="4754"/>
    <cellStyle name="Calcul 7 6 2 3" xfId="5733"/>
    <cellStyle name="Calcul 7 6 2 4" xfId="6241"/>
    <cellStyle name="Calcul 7 6 2 5" xfId="6728"/>
    <cellStyle name="Calcul 7 6 2 6" xfId="7211"/>
    <cellStyle name="Calcul 7 6 2 7" xfId="8280"/>
    <cellStyle name="Calcul 7 6 2 8" xfId="8781"/>
    <cellStyle name="Calcul 7 6 2 9" xfId="9275"/>
    <cellStyle name="Calcul 7 6 3" xfId="4412"/>
    <cellStyle name="Calcul 7 6 4" xfId="5404"/>
    <cellStyle name="Calcul 7 6 5" xfId="3378"/>
    <cellStyle name="Calcul 7 6 6" xfId="5078"/>
    <cellStyle name="Calcul 7 6 7" xfId="3222"/>
    <cellStyle name="Calcul 7 6 8" xfId="7952"/>
    <cellStyle name="Calcul 7 6 9" xfId="7596"/>
    <cellStyle name="Calcul 7 7" xfId="1512"/>
    <cellStyle name="Calcul 7 7 10" xfId="7809"/>
    <cellStyle name="Calcul 7 7 11" xfId="9709"/>
    <cellStyle name="Calcul 7 7 2" xfId="1859"/>
    <cellStyle name="Calcul 7 7 2 10" xfId="10037"/>
    <cellStyle name="Calcul 7 7 2 2" xfId="4777"/>
    <cellStyle name="Calcul 7 7 2 3" xfId="5756"/>
    <cellStyle name="Calcul 7 7 2 4" xfId="6264"/>
    <cellStyle name="Calcul 7 7 2 5" xfId="6751"/>
    <cellStyle name="Calcul 7 7 2 6" xfId="7234"/>
    <cellStyle name="Calcul 7 7 2 7" xfId="8303"/>
    <cellStyle name="Calcul 7 7 2 8" xfId="8804"/>
    <cellStyle name="Calcul 7 7 2 9" xfId="9298"/>
    <cellStyle name="Calcul 7 7 3" xfId="4435"/>
    <cellStyle name="Calcul 7 7 4" xfId="5427"/>
    <cellStyle name="Calcul 7 7 5" xfId="3831"/>
    <cellStyle name="Calcul 7 7 6" xfId="3400"/>
    <cellStyle name="Calcul 7 7 7" xfId="3216"/>
    <cellStyle name="Calcul 7 7 8" xfId="7975"/>
    <cellStyle name="Calcul 7 7 9" xfId="7573"/>
    <cellStyle name="Calcul 7 8" xfId="1464"/>
    <cellStyle name="Calcul 7 8 10" xfId="9661"/>
    <cellStyle name="Calcul 7 8 2" xfId="4387"/>
    <cellStyle name="Calcul 7 8 3" xfId="5379"/>
    <cellStyle name="Calcul 7 8 4" xfId="5060"/>
    <cellStyle name="Calcul 7 8 5" xfId="5306"/>
    <cellStyle name="Calcul 7 8 6" xfId="5112"/>
    <cellStyle name="Calcul 7 8 7" xfId="7927"/>
    <cellStyle name="Calcul 7 8 8" xfId="7619"/>
    <cellStyle name="Calcul 7 8 9" xfId="7782"/>
    <cellStyle name="Calcul 7 9" xfId="1410"/>
    <cellStyle name="Calcul 7 9 10" xfId="9609"/>
    <cellStyle name="Calcul 7 9 2" xfId="4334"/>
    <cellStyle name="Calcul 7 9 3" xfId="5327"/>
    <cellStyle name="Calcul 7 9 4" xfId="5095"/>
    <cellStyle name="Calcul 7 9 5" xfId="5215"/>
    <cellStyle name="Calcul 7 9 6" xfId="5136"/>
    <cellStyle name="Calcul 7 9 7" xfId="7875"/>
    <cellStyle name="Calcul 7 9 8" xfId="7797"/>
    <cellStyle name="Calcul 7 9 9" xfId="7765"/>
    <cellStyle name="Calculation 2" xfId="38712"/>
    <cellStyle name="Calculation 2 2" xfId="39235"/>
    <cellStyle name="Cellule liée 2" xfId="172"/>
    <cellStyle name="Cellule liée 2 2" xfId="10383"/>
    <cellStyle name="Cellule liée 3" xfId="173"/>
    <cellStyle name="Cellule liée 4" xfId="174"/>
    <cellStyle name="Cellule liée 5" xfId="175"/>
    <cellStyle name="Cellule liée 6" xfId="176"/>
    <cellStyle name="Cellule liée 7" xfId="177"/>
    <cellStyle name="Champ Calculé" xfId="178"/>
    <cellStyle name="Champ Calculé ou titre" xfId="179"/>
    <cellStyle name="Check Cell 2" xfId="38713"/>
    <cellStyle name="Comma [0]" xfId="180"/>
    <cellStyle name="Comma 2" xfId="38714"/>
    <cellStyle name="Comma 2 2" xfId="38715"/>
    <cellStyle name="Comma 2 2 2" xfId="39236"/>
    <cellStyle name="Comma 2 3" xfId="38716"/>
    <cellStyle name="Comma 2 3 2" xfId="39237"/>
    <cellStyle name="Comma 2 4" xfId="38717"/>
    <cellStyle name="Comma 3" xfId="38718"/>
    <cellStyle name="Comma 4" xfId="38719"/>
    <cellStyle name="Comma 5" xfId="38720"/>
    <cellStyle name="Comma 5 2" xfId="39238"/>
    <cellStyle name="Commentaire 2" xfId="181"/>
    <cellStyle name="Commentaire 2 10" xfId="38238"/>
    <cellStyle name="Commentaire 2 2" xfId="875"/>
    <cellStyle name="Commentaire 2 2 2" xfId="1910"/>
    <cellStyle name="Commentaire 2 2 2 10" xfId="10088"/>
    <cellStyle name="Commentaire 2 2 2 2" xfId="4828"/>
    <cellStyle name="Commentaire 2 2 2 3" xfId="5807"/>
    <cellStyle name="Commentaire 2 2 2 4" xfId="6315"/>
    <cellStyle name="Commentaire 2 2 2 5" xfId="6802"/>
    <cellStyle name="Commentaire 2 2 2 6" xfId="7285"/>
    <cellStyle name="Commentaire 2 2 2 7" xfId="8354"/>
    <cellStyle name="Commentaire 2 2 2 8" xfId="8855"/>
    <cellStyle name="Commentaire 2 2 2 9" xfId="9349"/>
    <cellStyle name="Commentaire 2 2 3" xfId="1563"/>
    <cellStyle name="Commentaire 2 2 3 10" xfId="9760"/>
    <cellStyle name="Commentaire 2 2 3 2" xfId="4486"/>
    <cellStyle name="Commentaire 2 2 3 3" xfId="5478"/>
    <cellStyle name="Commentaire 2 2 3 4" xfId="3303"/>
    <cellStyle name="Commentaire 2 2 3 5" xfId="3354"/>
    <cellStyle name="Commentaire 2 2 3 6" xfId="3813"/>
    <cellStyle name="Commentaire 2 2 3 7" xfId="8026"/>
    <cellStyle name="Commentaire 2 2 3 8" xfId="7522"/>
    <cellStyle name="Commentaire 2 2 3 9" xfId="7716"/>
    <cellStyle name="Commentaire 2 2 4" xfId="9559"/>
    <cellStyle name="Commentaire 2 3" xfId="1526"/>
    <cellStyle name="Commentaire 2 3 10" xfId="7693"/>
    <cellStyle name="Commentaire 2 3 11" xfId="9723"/>
    <cellStyle name="Commentaire 2 3 2" xfId="1873"/>
    <cellStyle name="Commentaire 2 3 2 10" xfId="10051"/>
    <cellStyle name="Commentaire 2 3 2 2" xfId="4791"/>
    <cellStyle name="Commentaire 2 3 2 3" xfId="5770"/>
    <cellStyle name="Commentaire 2 3 2 4" xfId="6278"/>
    <cellStyle name="Commentaire 2 3 2 5" xfId="6765"/>
    <cellStyle name="Commentaire 2 3 2 6" xfId="7248"/>
    <cellStyle name="Commentaire 2 3 2 7" xfId="8317"/>
    <cellStyle name="Commentaire 2 3 2 8" xfId="8818"/>
    <cellStyle name="Commentaire 2 3 2 9" xfId="9312"/>
    <cellStyle name="Commentaire 2 3 3" xfId="4449"/>
    <cellStyle name="Commentaire 2 3 4" xfId="5441"/>
    <cellStyle name="Commentaire 2 3 5" xfId="3279"/>
    <cellStyle name="Commentaire 2 3 6" xfId="5183"/>
    <cellStyle name="Commentaire 2 3 7" xfId="6012"/>
    <cellStyle name="Commentaire 2 3 8" xfId="7989"/>
    <cellStyle name="Commentaire 2 3 9" xfId="7559"/>
    <cellStyle name="Commentaire 2 4" xfId="1498"/>
    <cellStyle name="Commentaire 2 4 10" xfId="7676"/>
    <cellStyle name="Commentaire 2 4 11" xfId="9695"/>
    <cellStyle name="Commentaire 2 4 2" xfId="1845"/>
    <cellStyle name="Commentaire 2 4 2 10" xfId="10023"/>
    <cellStyle name="Commentaire 2 4 2 2" xfId="4763"/>
    <cellStyle name="Commentaire 2 4 2 3" xfId="5742"/>
    <cellStyle name="Commentaire 2 4 2 4" xfId="6250"/>
    <cellStyle name="Commentaire 2 4 2 5" xfId="6737"/>
    <cellStyle name="Commentaire 2 4 2 6" xfId="7220"/>
    <cellStyle name="Commentaire 2 4 2 7" xfId="8289"/>
    <cellStyle name="Commentaire 2 4 2 8" xfId="8790"/>
    <cellStyle name="Commentaire 2 4 2 9" xfId="9284"/>
    <cellStyle name="Commentaire 2 4 3" xfId="4421"/>
    <cellStyle name="Commentaire 2 4 4" xfId="5413"/>
    <cellStyle name="Commentaire 2 4 5" xfId="3262"/>
    <cellStyle name="Commentaire 2 4 6" xfId="3386"/>
    <cellStyle name="Commentaire 2 4 7" xfId="5247"/>
    <cellStyle name="Commentaire 2 4 8" xfId="7961"/>
    <cellStyle name="Commentaire 2 4 9" xfId="7587"/>
    <cellStyle name="Commentaire 2 5" xfId="1535"/>
    <cellStyle name="Commentaire 2 5 10" xfId="7698"/>
    <cellStyle name="Commentaire 2 5 11" xfId="9732"/>
    <cellStyle name="Commentaire 2 5 2" xfId="1882"/>
    <cellStyle name="Commentaire 2 5 2 10" xfId="10060"/>
    <cellStyle name="Commentaire 2 5 2 2" xfId="4800"/>
    <cellStyle name="Commentaire 2 5 2 3" xfId="5779"/>
    <cellStyle name="Commentaire 2 5 2 4" xfId="6287"/>
    <cellStyle name="Commentaire 2 5 2 5" xfId="6774"/>
    <cellStyle name="Commentaire 2 5 2 6" xfId="7257"/>
    <cellStyle name="Commentaire 2 5 2 7" xfId="8326"/>
    <cellStyle name="Commentaire 2 5 2 8" xfId="8827"/>
    <cellStyle name="Commentaire 2 5 2 9" xfId="9321"/>
    <cellStyle name="Commentaire 2 5 3" xfId="4458"/>
    <cellStyle name="Commentaire 2 5 4" xfId="5450"/>
    <cellStyle name="Commentaire 2 5 5" xfId="3284"/>
    <cellStyle name="Commentaire 2 5 6" xfId="5187"/>
    <cellStyle name="Commentaire 2 5 7" xfId="5266"/>
    <cellStyle name="Commentaire 2 5 8" xfId="7998"/>
    <cellStyle name="Commentaire 2 5 9" xfId="7550"/>
    <cellStyle name="Commentaire 2 6" xfId="1477"/>
    <cellStyle name="Commentaire 2 6 10" xfId="7667"/>
    <cellStyle name="Commentaire 2 6 11" xfId="9674"/>
    <cellStyle name="Commentaire 2 6 2" xfId="1829"/>
    <cellStyle name="Commentaire 2 6 2 10" xfId="10007"/>
    <cellStyle name="Commentaire 2 6 2 2" xfId="4747"/>
    <cellStyle name="Commentaire 2 6 2 3" xfId="5726"/>
    <cellStyle name="Commentaire 2 6 2 4" xfId="6234"/>
    <cellStyle name="Commentaire 2 6 2 5" xfId="6721"/>
    <cellStyle name="Commentaire 2 6 2 6" xfId="7204"/>
    <cellStyle name="Commentaire 2 6 2 7" xfId="8273"/>
    <cellStyle name="Commentaire 2 6 2 8" xfId="8774"/>
    <cellStyle name="Commentaire 2 6 2 9" xfId="9268"/>
    <cellStyle name="Commentaire 2 6 3" xfId="4400"/>
    <cellStyle name="Commentaire 2 6 4" xfId="5392"/>
    <cellStyle name="Commentaire 2 6 5" xfId="3255"/>
    <cellStyle name="Commentaire 2 6 6" xfId="3367"/>
    <cellStyle name="Commentaire 2 6 7" xfId="5063"/>
    <cellStyle name="Commentaire 2 6 8" xfId="7940"/>
    <cellStyle name="Commentaire 2 6 9" xfId="7607"/>
    <cellStyle name="Commentaire 2 7" xfId="1532"/>
    <cellStyle name="Commentaire 2 7 10" xfId="7696"/>
    <cellStyle name="Commentaire 2 7 11" xfId="9729"/>
    <cellStyle name="Commentaire 2 7 2" xfId="1879"/>
    <cellStyle name="Commentaire 2 7 2 10" xfId="10057"/>
    <cellStyle name="Commentaire 2 7 2 2" xfId="4797"/>
    <cellStyle name="Commentaire 2 7 2 3" xfId="5776"/>
    <cellStyle name="Commentaire 2 7 2 4" xfId="6284"/>
    <cellStyle name="Commentaire 2 7 2 5" xfId="6771"/>
    <cellStyle name="Commentaire 2 7 2 6" xfId="7254"/>
    <cellStyle name="Commentaire 2 7 2 7" xfId="8323"/>
    <cellStyle name="Commentaire 2 7 2 8" xfId="8824"/>
    <cellStyle name="Commentaire 2 7 2 9" xfId="9318"/>
    <cellStyle name="Commentaire 2 7 3" xfId="4455"/>
    <cellStyle name="Commentaire 2 7 4" xfId="5447"/>
    <cellStyle name="Commentaire 2 7 5" xfId="3838"/>
    <cellStyle name="Commentaire 2 7 6" xfId="5065"/>
    <cellStyle name="Commentaire 2 7 7" xfId="6031"/>
    <cellStyle name="Commentaire 2 7 8" xfId="7995"/>
    <cellStyle name="Commentaire 2 7 9" xfId="7553"/>
    <cellStyle name="Commentaire 2 8" xfId="1697"/>
    <cellStyle name="Commentaire 2 8 10" xfId="9894"/>
    <cellStyle name="Commentaire 2 8 2" xfId="4620"/>
    <cellStyle name="Commentaire 2 8 3" xfId="5612"/>
    <cellStyle name="Commentaire 2 8 4" xfId="6121"/>
    <cellStyle name="Commentaire 2 8 5" xfId="6608"/>
    <cellStyle name="Commentaire 2 8 6" xfId="7091"/>
    <cellStyle name="Commentaire 2 8 7" xfId="8160"/>
    <cellStyle name="Commentaire 2 8 8" xfId="8661"/>
    <cellStyle name="Commentaire 2 8 9" xfId="9155"/>
    <cellStyle name="Commentaire 2 9" xfId="1411"/>
    <cellStyle name="Commentaire 2 9 10" xfId="9610"/>
    <cellStyle name="Commentaire 2 9 2" xfId="4335"/>
    <cellStyle name="Commentaire 2 9 3" xfId="5328"/>
    <cellStyle name="Commentaire 2 9 4" xfId="5043"/>
    <cellStyle name="Commentaire 2 9 5" xfId="3205"/>
    <cellStyle name="Commentaire 2 9 6" xfId="5061"/>
    <cellStyle name="Commentaire 2 9 7" xfId="7876"/>
    <cellStyle name="Commentaire 2 9 8" xfId="7662"/>
    <cellStyle name="Commentaire 2 9 9" xfId="7759"/>
    <cellStyle name="Commentaire 3" xfId="182"/>
    <cellStyle name="Commentaire 3 2" xfId="876"/>
    <cellStyle name="Commentaire 3 2 2" xfId="1911"/>
    <cellStyle name="Commentaire 3 2 2 10" xfId="10089"/>
    <cellStyle name="Commentaire 3 2 2 2" xfId="4829"/>
    <cellStyle name="Commentaire 3 2 2 3" xfId="5808"/>
    <cellStyle name="Commentaire 3 2 2 4" xfId="6316"/>
    <cellStyle name="Commentaire 3 2 2 5" xfId="6803"/>
    <cellStyle name="Commentaire 3 2 2 6" xfId="7286"/>
    <cellStyle name="Commentaire 3 2 2 7" xfId="8355"/>
    <cellStyle name="Commentaire 3 2 2 8" xfId="8856"/>
    <cellStyle name="Commentaire 3 2 2 9" xfId="9350"/>
    <cellStyle name="Commentaire 3 2 3" xfId="1564"/>
    <cellStyle name="Commentaire 3 2 3 10" xfId="9761"/>
    <cellStyle name="Commentaire 3 2 3 2" xfId="4487"/>
    <cellStyle name="Commentaire 3 2 3 3" xfId="5479"/>
    <cellStyle name="Commentaire 3 2 3 4" xfId="3304"/>
    <cellStyle name="Commentaire 3 2 3 5" xfId="4734"/>
    <cellStyle name="Commentaire 3 2 3 6" xfId="5259"/>
    <cellStyle name="Commentaire 3 2 3 7" xfId="8027"/>
    <cellStyle name="Commentaire 3 2 3 8" xfId="7521"/>
    <cellStyle name="Commentaire 3 2 3 9" xfId="7717"/>
    <cellStyle name="Commentaire 3 2 4" xfId="9560"/>
    <cellStyle name="Commentaire 3 3" xfId="1527"/>
    <cellStyle name="Commentaire 3 3 10" xfId="7814"/>
    <cellStyle name="Commentaire 3 3 11" xfId="9724"/>
    <cellStyle name="Commentaire 3 3 2" xfId="1874"/>
    <cellStyle name="Commentaire 3 3 2 10" xfId="10052"/>
    <cellStyle name="Commentaire 3 3 2 2" xfId="4792"/>
    <cellStyle name="Commentaire 3 3 2 3" xfId="5771"/>
    <cellStyle name="Commentaire 3 3 2 4" xfId="6279"/>
    <cellStyle name="Commentaire 3 3 2 5" xfId="6766"/>
    <cellStyle name="Commentaire 3 3 2 6" xfId="7249"/>
    <cellStyle name="Commentaire 3 3 2 7" xfId="8318"/>
    <cellStyle name="Commentaire 3 3 2 8" xfId="8819"/>
    <cellStyle name="Commentaire 3 3 2 9" xfId="9313"/>
    <cellStyle name="Commentaire 3 3 3" xfId="4450"/>
    <cellStyle name="Commentaire 3 3 4" xfId="5442"/>
    <cellStyle name="Commentaire 3 3 5" xfId="3836"/>
    <cellStyle name="Commentaire 3 3 6" xfId="5034"/>
    <cellStyle name="Commentaire 3 3 7" xfId="6016"/>
    <cellStyle name="Commentaire 3 3 8" xfId="7990"/>
    <cellStyle name="Commentaire 3 3 9" xfId="7558"/>
    <cellStyle name="Commentaire 3 4" xfId="1497"/>
    <cellStyle name="Commentaire 3 4 10" xfId="7802"/>
    <cellStyle name="Commentaire 3 4 11" xfId="9694"/>
    <cellStyle name="Commentaire 3 4 2" xfId="1844"/>
    <cellStyle name="Commentaire 3 4 2 10" xfId="10022"/>
    <cellStyle name="Commentaire 3 4 2 2" xfId="4762"/>
    <cellStyle name="Commentaire 3 4 2 3" xfId="5741"/>
    <cellStyle name="Commentaire 3 4 2 4" xfId="6249"/>
    <cellStyle name="Commentaire 3 4 2 5" xfId="6736"/>
    <cellStyle name="Commentaire 3 4 2 6" xfId="7219"/>
    <cellStyle name="Commentaire 3 4 2 7" xfId="8288"/>
    <cellStyle name="Commentaire 3 4 2 8" xfId="8789"/>
    <cellStyle name="Commentaire 3 4 2 9" xfId="9283"/>
    <cellStyle name="Commentaire 3 4 3" xfId="4420"/>
    <cellStyle name="Commentaire 3 4 4" xfId="5412"/>
    <cellStyle name="Commentaire 3 4 5" xfId="3824"/>
    <cellStyle name="Commentaire 3 4 6" xfId="3409"/>
    <cellStyle name="Commentaire 3 4 7" xfId="3220"/>
    <cellStyle name="Commentaire 3 4 8" xfId="7960"/>
    <cellStyle name="Commentaire 3 4 9" xfId="7588"/>
    <cellStyle name="Commentaire 3 5" xfId="1536"/>
    <cellStyle name="Commentaire 3 5 10" xfId="7818"/>
    <cellStyle name="Commentaire 3 5 11" xfId="9733"/>
    <cellStyle name="Commentaire 3 5 2" xfId="1883"/>
    <cellStyle name="Commentaire 3 5 2 10" xfId="10061"/>
    <cellStyle name="Commentaire 3 5 2 2" xfId="4801"/>
    <cellStyle name="Commentaire 3 5 2 3" xfId="5780"/>
    <cellStyle name="Commentaire 3 5 2 4" xfId="6288"/>
    <cellStyle name="Commentaire 3 5 2 5" xfId="6775"/>
    <cellStyle name="Commentaire 3 5 2 6" xfId="7258"/>
    <cellStyle name="Commentaire 3 5 2 7" xfId="8327"/>
    <cellStyle name="Commentaire 3 5 2 8" xfId="8828"/>
    <cellStyle name="Commentaire 3 5 2 9" xfId="9322"/>
    <cellStyle name="Commentaire 3 5 3" xfId="4459"/>
    <cellStyle name="Commentaire 3 5 4" xfId="5451"/>
    <cellStyle name="Commentaire 3 5 5" xfId="3840"/>
    <cellStyle name="Commentaire 3 5 6" xfId="3449"/>
    <cellStyle name="Commentaire 3 5 7" xfId="5101"/>
    <cellStyle name="Commentaire 3 5 8" xfId="7999"/>
    <cellStyle name="Commentaire 3 5 9" xfId="7549"/>
    <cellStyle name="Commentaire 3 6" xfId="1476"/>
    <cellStyle name="Commentaire 3 6 10" xfId="7865"/>
    <cellStyle name="Commentaire 3 6 11" xfId="9673"/>
    <cellStyle name="Commentaire 3 6 2" xfId="1828"/>
    <cellStyle name="Commentaire 3 6 2 10" xfId="10006"/>
    <cellStyle name="Commentaire 3 6 2 2" xfId="4746"/>
    <cellStyle name="Commentaire 3 6 2 3" xfId="5725"/>
    <cellStyle name="Commentaire 3 6 2 4" xfId="6233"/>
    <cellStyle name="Commentaire 3 6 2 5" xfId="6720"/>
    <cellStyle name="Commentaire 3 6 2 6" xfId="7203"/>
    <cellStyle name="Commentaire 3 6 2 7" xfId="8272"/>
    <cellStyle name="Commentaire 3 6 2 8" xfId="8773"/>
    <cellStyle name="Commentaire 3 6 2 9" xfId="9267"/>
    <cellStyle name="Commentaire 3 6 3" xfId="4399"/>
    <cellStyle name="Commentaire 3 6 4" xfId="5391"/>
    <cellStyle name="Commentaire 3 6 5" xfId="3254"/>
    <cellStyle name="Commentaire 3 6 6" xfId="3376"/>
    <cellStyle name="Commentaire 3 6 7" xfId="5050"/>
    <cellStyle name="Commentaire 3 6 8" xfId="7939"/>
    <cellStyle name="Commentaire 3 6 9" xfId="7608"/>
    <cellStyle name="Commentaire 3 7" xfId="1533"/>
    <cellStyle name="Commentaire 3 7 10" xfId="7697"/>
    <cellStyle name="Commentaire 3 7 11" xfId="9730"/>
    <cellStyle name="Commentaire 3 7 2" xfId="1880"/>
    <cellStyle name="Commentaire 3 7 2 10" xfId="10058"/>
    <cellStyle name="Commentaire 3 7 2 2" xfId="4798"/>
    <cellStyle name="Commentaire 3 7 2 3" xfId="5777"/>
    <cellStyle name="Commentaire 3 7 2 4" xfId="6285"/>
    <cellStyle name="Commentaire 3 7 2 5" xfId="6772"/>
    <cellStyle name="Commentaire 3 7 2 6" xfId="7255"/>
    <cellStyle name="Commentaire 3 7 2 7" xfId="8324"/>
    <cellStyle name="Commentaire 3 7 2 8" xfId="8825"/>
    <cellStyle name="Commentaire 3 7 2 9" xfId="9319"/>
    <cellStyle name="Commentaire 3 7 3" xfId="4456"/>
    <cellStyle name="Commentaire 3 7 4" xfId="5448"/>
    <cellStyle name="Commentaire 3 7 5" xfId="3283"/>
    <cellStyle name="Commentaire 3 7 6" xfId="5186"/>
    <cellStyle name="Commentaire 3 7 7" xfId="3190"/>
    <cellStyle name="Commentaire 3 7 8" xfId="7996"/>
    <cellStyle name="Commentaire 3 7 9" xfId="7552"/>
    <cellStyle name="Commentaire 3 8" xfId="1465"/>
    <cellStyle name="Commentaire 3 8 10" xfId="9662"/>
    <cellStyle name="Commentaire 3 8 2" xfId="4388"/>
    <cellStyle name="Commentaire 3 8 3" xfId="5380"/>
    <cellStyle name="Commentaire 3 8 4" xfId="5111"/>
    <cellStyle name="Commentaire 3 8 5" xfId="5146"/>
    <cellStyle name="Commentaire 3 8 6" xfId="6011"/>
    <cellStyle name="Commentaire 3 8 7" xfId="7928"/>
    <cellStyle name="Commentaire 3 8 8" xfId="7618"/>
    <cellStyle name="Commentaire 3 8 9" xfId="7860"/>
    <cellStyle name="Commentaire 3 9" xfId="1412"/>
    <cellStyle name="Commentaire 3 9 10" xfId="9611"/>
    <cellStyle name="Commentaire 3 9 2" xfId="4336"/>
    <cellStyle name="Commentaire 3 9 3" xfId="5329"/>
    <cellStyle name="Commentaire 3 9 4" xfId="3463"/>
    <cellStyle name="Commentaire 3 9 5" xfId="5267"/>
    <cellStyle name="Commentaire 3 9 6" xfId="6002"/>
    <cellStyle name="Commentaire 3 9 7" xfId="7877"/>
    <cellStyle name="Commentaire 3 9 8" xfId="7796"/>
    <cellStyle name="Commentaire 3 9 9" xfId="7841"/>
    <cellStyle name="Commentaire 4" xfId="183"/>
    <cellStyle name="Commentaire 4 2" xfId="877"/>
    <cellStyle name="Commentaire 4 2 2" xfId="1912"/>
    <cellStyle name="Commentaire 4 2 2 10" xfId="10090"/>
    <cellStyle name="Commentaire 4 2 2 2" xfId="4830"/>
    <cellStyle name="Commentaire 4 2 2 3" xfId="5809"/>
    <cellStyle name="Commentaire 4 2 2 4" xfId="6317"/>
    <cellStyle name="Commentaire 4 2 2 5" xfId="6804"/>
    <cellStyle name="Commentaire 4 2 2 6" xfId="7287"/>
    <cellStyle name="Commentaire 4 2 2 7" xfId="8356"/>
    <cellStyle name="Commentaire 4 2 2 8" xfId="8857"/>
    <cellStyle name="Commentaire 4 2 2 9" xfId="9351"/>
    <cellStyle name="Commentaire 4 2 3" xfId="1565"/>
    <cellStyle name="Commentaire 4 2 3 10" xfId="9762"/>
    <cellStyle name="Commentaire 4 2 3 2" xfId="4488"/>
    <cellStyle name="Commentaire 4 2 3 3" xfId="5480"/>
    <cellStyle name="Commentaire 4 2 3 4" xfId="3305"/>
    <cellStyle name="Commentaire 4 2 3 5" xfId="5083"/>
    <cellStyle name="Commentaire 4 2 3 6" xfId="3210"/>
    <cellStyle name="Commentaire 4 2 3 7" xfId="8028"/>
    <cellStyle name="Commentaire 4 2 3 8" xfId="7520"/>
    <cellStyle name="Commentaire 4 2 3 9" xfId="7718"/>
    <cellStyle name="Commentaire 4 2 4" xfId="9561"/>
    <cellStyle name="Commentaire 4 3" xfId="1528"/>
    <cellStyle name="Commentaire 4 3 10" xfId="7694"/>
    <cellStyle name="Commentaire 4 3 11" xfId="9725"/>
    <cellStyle name="Commentaire 4 3 2" xfId="1875"/>
    <cellStyle name="Commentaire 4 3 2 10" xfId="10053"/>
    <cellStyle name="Commentaire 4 3 2 2" xfId="4793"/>
    <cellStyle name="Commentaire 4 3 2 3" xfId="5772"/>
    <cellStyle name="Commentaire 4 3 2 4" xfId="6280"/>
    <cellStyle name="Commentaire 4 3 2 5" xfId="6767"/>
    <cellStyle name="Commentaire 4 3 2 6" xfId="7250"/>
    <cellStyle name="Commentaire 4 3 2 7" xfId="8319"/>
    <cellStyle name="Commentaire 4 3 2 8" xfId="8820"/>
    <cellStyle name="Commentaire 4 3 2 9" xfId="9314"/>
    <cellStyle name="Commentaire 4 3 3" xfId="4451"/>
    <cellStyle name="Commentaire 4 3 4" xfId="5443"/>
    <cellStyle name="Commentaire 4 3 5" xfId="3280"/>
    <cellStyle name="Commentaire 4 3 6" xfId="5184"/>
    <cellStyle name="Commentaire 4 3 7" xfId="5202"/>
    <cellStyle name="Commentaire 4 3 8" xfId="7991"/>
    <cellStyle name="Commentaire 4 3 9" xfId="7557"/>
    <cellStyle name="Commentaire 4 4" xfId="1496"/>
    <cellStyle name="Commentaire 4 4 10" xfId="7675"/>
    <cellStyle name="Commentaire 4 4 11" xfId="9693"/>
    <cellStyle name="Commentaire 4 4 2" xfId="1843"/>
    <cellStyle name="Commentaire 4 4 2 10" xfId="10021"/>
    <cellStyle name="Commentaire 4 4 2 2" xfId="4761"/>
    <cellStyle name="Commentaire 4 4 2 3" xfId="5740"/>
    <cellStyle name="Commentaire 4 4 2 4" xfId="6248"/>
    <cellStyle name="Commentaire 4 4 2 5" xfId="6735"/>
    <cellStyle name="Commentaire 4 4 2 6" xfId="7218"/>
    <cellStyle name="Commentaire 4 4 2 7" xfId="8287"/>
    <cellStyle name="Commentaire 4 4 2 8" xfId="8788"/>
    <cellStyle name="Commentaire 4 4 2 9" xfId="9282"/>
    <cellStyle name="Commentaire 4 4 3" xfId="4419"/>
    <cellStyle name="Commentaire 4 4 4" xfId="5411"/>
    <cellStyle name="Commentaire 4 4 5" xfId="3261"/>
    <cellStyle name="Commentaire 4 4 6" xfId="5171"/>
    <cellStyle name="Commentaire 4 4 7" xfId="5272"/>
    <cellStyle name="Commentaire 4 4 8" xfId="7959"/>
    <cellStyle name="Commentaire 4 4 9" xfId="7589"/>
    <cellStyle name="Commentaire 4 5" xfId="1543"/>
    <cellStyle name="Commentaire 4 5 10" xfId="7702"/>
    <cellStyle name="Commentaire 4 5 11" xfId="9740"/>
    <cellStyle name="Commentaire 4 5 2" xfId="1890"/>
    <cellStyle name="Commentaire 4 5 2 10" xfId="10068"/>
    <cellStyle name="Commentaire 4 5 2 2" xfId="4808"/>
    <cellStyle name="Commentaire 4 5 2 3" xfId="5787"/>
    <cellStyle name="Commentaire 4 5 2 4" xfId="6295"/>
    <cellStyle name="Commentaire 4 5 2 5" xfId="6782"/>
    <cellStyle name="Commentaire 4 5 2 6" xfId="7265"/>
    <cellStyle name="Commentaire 4 5 2 7" xfId="8334"/>
    <cellStyle name="Commentaire 4 5 2 8" xfId="8835"/>
    <cellStyle name="Commentaire 4 5 2 9" xfId="9329"/>
    <cellStyle name="Commentaire 4 5 3" xfId="4466"/>
    <cellStyle name="Commentaire 4 5 4" xfId="5458"/>
    <cellStyle name="Commentaire 4 5 5" xfId="3289"/>
    <cellStyle name="Commentaire 4 5 6" xfId="5084"/>
    <cellStyle name="Commentaire 4 5 7" xfId="3208"/>
    <cellStyle name="Commentaire 4 5 8" xfId="8006"/>
    <cellStyle name="Commentaire 4 5 9" xfId="7542"/>
    <cellStyle name="Commentaire 4 6" xfId="1786"/>
    <cellStyle name="Commentaire 4 6 10" xfId="9239"/>
    <cellStyle name="Commentaire 4 6 11" xfId="9978"/>
    <cellStyle name="Commentaire 4 6 2" xfId="2107"/>
    <cellStyle name="Commentaire 4 6 2 10" xfId="10280"/>
    <cellStyle name="Commentaire 4 6 2 2" xfId="5020"/>
    <cellStyle name="Commentaire 4 6 2 3" xfId="5999"/>
    <cellStyle name="Commentaire 4 6 2 4" xfId="6507"/>
    <cellStyle name="Commentaire 4 6 2 5" xfId="6994"/>
    <cellStyle name="Commentaire 4 6 2 6" xfId="7477"/>
    <cellStyle name="Commentaire 4 6 2 7" xfId="8546"/>
    <cellStyle name="Commentaire 4 6 2 8" xfId="9047"/>
    <cellStyle name="Commentaire 4 6 2 9" xfId="9541"/>
    <cellStyle name="Commentaire 4 6 3" xfId="4706"/>
    <cellStyle name="Commentaire 4 6 4" xfId="5696"/>
    <cellStyle name="Commentaire 4 6 5" xfId="6205"/>
    <cellStyle name="Commentaire 4 6 6" xfId="6692"/>
    <cellStyle name="Commentaire 4 6 7" xfId="7175"/>
    <cellStyle name="Commentaire 4 6 8" xfId="8244"/>
    <cellStyle name="Commentaire 4 6 9" xfId="8745"/>
    <cellStyle name="Commentaire 4 7" xfId="1534"/>
    <cellStyle name="Commentaire 4 7 10" xfId="7817"/>
    <cellStyle name="Commentaire 4 7 11" xfId="9731"/>
    <cellStyle name="Commentaire 4 7 2" xfId="1881"/>
    <cellStyle name="Commentaire 4 7 2 10" xfId="10059"/>
    <cellStyle name="Commentaire 4 7 2 2" xfId="4799"/>
    <cellStyle name="Commentaire 4 7 2 3" xfId="5778"/>
    <cellStyle name="Commentaire 4 7 2 4" xfId="6286"/>
    <cellStyle name="Commentaire 4 7 2 5" xfId="6773"/>
    <cellStyle name="Commentaire 4 7 2 6" xfId="7256"/>
    <cellStyle name="Commentaire 4 7 2 7" xfId="8325"/>
    <cellStyle name="Commentaire 4 7 2 8" xfId="8826"/>
    <cellStyle name="Commentaire 4 7 2 9" xfId="9320"/>
    <cellStyle name="Commentaire 4 7 3" xfId="4457"/>
    <cellStyle name="Commentaire 4 7 4" xfId="5449"/>
    <cellStyle name="Commentaire 4 7 5" xfId="3839"/>
    <cellStyle name="Commentaire 4 7 6" xfId="5117"/>
    <cellStyle name="Commentaire 4 7 7" xfId="6020"/>
    <cellStyle name="Commentaire 4 7 8" xfId="7997"/>
    <cellStyle name="Commentaire 4 7 9" xfId="7551"/>
    <cellStyle name="Commentaire 4 8" xfId="1466"/>
    <cellStyle name="Commentaire 4 8 10" xfId="9663"/>
    <cellStyle name="Commentaire 4 8 2" xfId="4389"/>
    <cellStyle name="Commentaire 4 8 3" xfId="5381"/>
    <cellStyle name="Commentaire 4 8 4" xfId="5086"/>
    <cellStyle name="Commentaire 4 8 5" xfId="5307"/>
    <cellStyle name="Commentaire 4 8 6" xfId="4710"/>
    <cellStyle name="Commentaire 4 8 7" xfId="7929"/>
    <cellStyle name="Commentaire 4 8 8" xfId="7617"/>
    <cellStyle name="Commentaire 4 8 9" xfId="7783"/>
    <cellStyle name="Commentaire 4 9" xfId="1413"/>
    <cellStyle name="Commentaire 4 9 10" xfId="9612"/>
    <cellStyle name="Commentaire 4 9 2" xfId="4337"/>
    <cellStyle name="Commentaire 4 9 3" xfId="5330"/>
    <cellStyle name="Commentaire 4 9 4" xfId="3972"/>
    <cellStyle name="Commentaire 4 9 5" xfId="3186"/>
    <cellStyle name="Commentaire 4 9 6" xfId="6017"/>
    <cellStyle name="Commentaire 4 9 7" xfId="7878"/>
    <cellStyle name="Commentaire 4 9 8" xfId="7661"/>
    <cellStyle name="Commentaire 4 9 9" xfId="7767"/>
    <cellStyle name="Commentaire 5" xfId="184"/>
    <cellStyle name="Commentaire 5 2" xfId="878"/>
    <cellStyle name="Commentaire 5 2 2" xfId="1913"/>
    <cellStyle name="Commentaire 5 2 2 10" xfId="10091"/>
    <cellStyle name="Commentaire 5 2 2 2" xfId="4831"/>
    <cellStyle name="Commentaire 5 2 2 3" xfId="5810"/>
    <cellStyle name="Commentaire 5 2 2 4" xfId="6318"/>
    <cellStyle name="Commentaire 5 2 2 5" xfId="6805"/>
    <cellStyle name="Commentaire 5 2 2 6" xfId="7288"/>
    <cellStyle name="Commentaire 5 2 2 7" xfId="8357"/>
    <cellStyle name="Commentaire 5 2 2 8" xfId="8858"/>
    <cellStyle name="Commentaire 5 2 2 9" xfId="9352"/>
    <cellStyle name="Commentaire 5 2 3" xfId="1566"/>
    <cellStyle name="Commentaire 5 2 3 10" xfId="9763"/>
    <cellStyle name="Commentaire 5 2 3 2" xfId="4489"/>
    <cellStyle name="Commentaire 5 2 3 3" xfId="5481"/>
    <cellStyle name="Commentaire 5 2 3 4" xfId="3306"/>
    <cellStyle name="Commentaire 5 2 3 5" xfId="5108"/>
    <cellStyle name="Commentaire 5 2 3 6" xfId="3425"/>
    <cellStyle name="Commentaire 5 2 3 7" xfId="8029"/>
    <cellStyle name="Commentaire 5 2 3 8" xfId="7519"/>
    <cellStyle name="Commentaire 5 2 3 9" xfId="7719"/>
    <cellStyle name="Commentaire 5 2 4" xfId="9562"/>
    <cellStyle name="Commentaire 5 3" xfId="1529"/>
    <cellStyle name="Commentaire 5 3 10" xfId="7815"/>
    <cellStyle name="Commentaire 5 3 11" xfId="9726"/>
    <cellStyle name="Commentaire 5 3 2" xfId="1876"/>
    <cellStyle name="Commentaire 5 3 2 10" xfId="10054"/>
    <cellStyle name="Commentaire 5 3 2 2" xfId="4794"/>
    <cellStyle name="Commentaire 5 3 2 3" xfId="5773"/>
    <cellStyle name="Commentaire 5 3 2 4" xfId="6281"/>
    <cellStyle name="Commentaire 5 3 2 5" xfId="6768"/>
    <cellStyle name="Commentaire 5 3 2 6" xfId="7251"/>
    <cellStyle name="Commentaire 5 3 2 7" xfId="8320"/>
    <cellStyle name="Commentaire 5 3 2 8" xfId="8821"/>
    <cellStyle name="Commentaire 5 3 2 9" xfId="9315"/>
    <cellStyle name="Commentaire 5 3 3" xfId="4452"/>
    <cellStyle name="Commentaire 5 3 4" xfId="5444"/>
    <cellStyle name="Commentaire 5 3 5" xfId="3837"/>
    <cellStyle name="Commentaire 5 3 6" xfId="5089"/>
    <cellStyle name="Commentaire 5 3 7" xfId="5716"/>
    <cellStyle name="Commentaire 5 3 8" xfId="7992"/>
    <cellStyle name="Commentaire 5 3 9" xfId="7556"/>
    <cellStyle name="Commentaire 5 4" xfId="1495"/>
    <cellStyle name="Commentaire 5 4 10" xfId="7801"/>
    <cellStyle name="Commentaire 5 4 11" xfId="9692"/>
    <cellStyle name="Commentaire 5 4 2" xfId="1842"/>
    <cellStyle name="Commentaire 5 4 2 10" xfId="10020"/>
    <cellStyle name="Commentaire 5 4 2 2" xfId="4760"/>
    <cellStyle name="Commentaire 5 4 2 3" xfId="5739"/>
    <cellStyle name="Commentaire 5 4 2 4" xfId="6247"/>
    <cellStyle name="Commentaire 5 4 2 5" xfId="6734"/>
    <cellStyle name="Commentaire 5 4 2 6" xfId="7217"/>
    <cellStyle name="Commentaire 5 4 2 7" xfId="8286"/>
    <cellStyle name="Commentaire 5 4 2 8" xfId="8787"/>
    <cellStyle name="Commentaire 5 4 2 9" xfId="9281"/>
    <cellStyle name="Commentaire 5 4 3" xfId="4418"/>
    <cellStyle name="Commentaire 5 4 4" xfId="5410"/>
    <cellStyle name="Commentaire 5 4 5" xfId="3823"/>
    <cellStyle name="Commentaire 5 4 6" xfId="5218"/>
    <cellStyle name="Commentaire 5 4 7" xfId="5290"/>
    <cellStyle name="Commentaire 5 4 8" xfId="7958"/>
    <cellStyle name="Commentaire 5 4 9" xfId="7590"/>
    <cellStyle name="Commentaire 5 5" xfId="1544"/>
    <cellStyle name="Commentaire 5 5 10" xfId="7703"/>
    <cellStyle name="Commentaire 5 5 11" xfId="9741"/>
    <cellStyle name="Commentaire 5 5 2" xfId="1891"/>
    <cellStyle name="Commentaire 5 5 2 10" xfId="10069"/>
    <cellStyle name="Commentaire 5 5 2 2" xfId="4809"/>
    <cellStyle name="Commentaire 5 5 2 3" xfId="5788"/>
    <cellStyle name="Commentaire 5 5 2 4" xfId="6296"/>
    <cellStyle name="Commentaire 5 5 2 5" xfId="6783"/>
    <cellStyle name="Commentaire 5 5 2 6" xfId="7266"/>
    <cellStyle name="Commentaire 5 5 2 7" xfId="8335"/>
    <cellStyle name="Commentaire 5 5 2 8" xfId="8836"/>
    <cellStyle name="Commentaire 5 5 2 9" xfId="9330"/>
    <cellStyle name="Commentaire 5 5 3" xfId="4467"/>
    <cellStyle name="Commentaire 5 5 4" xfId="5459"/>
    <cellStyle name="Commentaire 5 5 5" xfId="3290"/>
    <cellStyle name="Commentaire 5 5 6" xfId="3391"/>
    <cellStyle name="Commentaire 5 5 7" xfId="5242"/>
    <cellStyle name="Commentaire 5 5 8" xfId="8007"/>
    <cellStyle name="Commentaire 5 5 9" xfId="7541"/>
    <cellStyle name="Commentaire 5 6" xfId="1698"/>
    <cellStyle name="Commentaire 5 6 10" xfId="9156"/>
    <cellStyle name="Commentaire 5 6 11" xfId="9895"/>
    <cellStyle name="Commentaire 5 6 2" xfId="2030"/>
    <cellStyle name="Commentaire 5 6 2 10" xfId="10208"/>
    <cellStyle name="Commentaire 5 6 2 2" xfId="4948"/>
    <cellStyle name="Commentaire 5 6 2 3" xfId="5927"/>
    <cellStyle name="Commentaire 5 6 2 4" xfId="6435"/>
    <cellStyle name="Commentaire 5 6 2 5" xfId="6922"/>
    <cellStyle name="Commentaire 5 6 2 6" xfId="7405"/>
    <cellStyle name="Commentaire 5 6 2 7" xfId="8474"/>
    <cellStyle name="Commentaire 5 6 2 8" xfId="8975"/>
    <cellStyle name="Commentaire 5 6 2 9" xfId="9469"/>
    <cellStyle name="Commentaire 5 6 3" xfId="4621"/>
    <cellStyle name="Commentaire 5 6 4" xfId="5613"/>
    <cellStyle name="Commentaire 5 6 5" xfId="6122"/>
    <cellStyle name="Commentaire 5 6 6" xfId="6609"/>
    <cellStyle name="Commentaire 5 6 7" xfId="7092"/>
    <cellStyle name="Commentaire 5 6 8" xfId="8161"/>
    <cellStyle name="Commentaire 5 6 9" xfId="8662"/>
    <cellStyle name="Commentaire 5 7" xfId="1547"/>
    <cellStyle name="Commentaire 5 7 10" xfId="7706"/>
    <cellStyle name="Commentaire 5 7 11" xfId="9744"/>
    <cellStyle name="Commentaire 5 7 2" xfId="1894"/>
    <cellStyle name="Commentaire 5 7 2 10" xfId="10072"/>
    <cellStyle name="Commentaire 5 7 2 2" xfId="4812"/>
    <cellStyle name="Commentaire 5 7 2 3" xfId="5791"/>
    <cellStyle name="Commentaire 5 7 2 4" xfId="6299"/>
    <cellStyle name="Commentaire 5 7 2 5" xfId="6786"/>
    <cellStyle name="Commentaire 5 7 2 6" xfId="7269"/>
    <cellStyle name="Commentaire 5 7 2 7" xfId="8338"/>
    <cellStyle name="Commentaire 5 7 2 8" xfId="8839"/>
    <cellStyle name="Commentaire 5 7 2 9" xfId="9333"/>
    <cellStyle name="Commentaire 5 7 3" xfId="4470"/>
    <cellStyle name="Commentaire 5 7 4" xfId="5462"/>
    <cellStyle name="Commentaire 5 7 5" xfId="3842"/>
    <cellStyle name="Commentaire 5 7 6" xfId="5109"/>
    <cellStyle name="Commentaire 5 7 7" xfId="5241"/>
    <cellStyle name="Commentaire 5 7 8" xfId="8010"/>
    <cellStyle name="Commentaire 5 7 9" xfId="7538"/>
    <cellStyle name="Commentaire 5 8" xfId="1472"/>
    <cellStyle name="Commentaire 5 8 10" xfId="9669"/>
    <cellStyle name="Commentaire 5 8 2" xfId="4395"/>
    <cellStyle name="Commentaire 5 8 3" xfId="5387"/>
    <cellStyle name="Commentaire 5 8 4" xfId="3383"/>
    <cellStyle name="Commentaire 5 8 5" xfId="5310"/>
    <cellStyle name="Commentaire 5 8 6" xfId="5114"/>
    <cellStyle name="Commentaire 5 8 7" xfId="7935"/>
    <cellStyle name="Commentaire 5 8 8" xfId="7612"/>
    <cellStyle name="Commentaire 5 8 9" xfId="7847"/>
    <cellStyle name="Commentaire 5 9" xfId="1414"/>
    <cellStyle name="Commentaire 5 9 10" xfId="9613"/>
    <cellStyle name="Commentaire 5 9 2" xfId="4338"/>
    <cellStyle name="Commentaire 5 9 3" xfId="5331"/>
    <cellStyle name="Commentaire 5 9 4" xfId="5317"/>
    <cellStyle name="Commentaire 5 9 5" xfId="5284"/>
    <cellStyle name="Commentaire 5 9 6" xfId="4721"/>
    <cellStyle name="Commentaire 5 9 7" xfId="7879"/>
    <cellStyle name="Commentaire 5 9 8" xfId="7795"/>
    <cellStyle name="Commentaire 5 9 9" xfId="7773"/>
    <cellStyle name="Commentaire 6" xfId="185"/>
    <cellStyle name="Commentaire 6 2" xfId="879"/>
    <cellStyle name="Commentaire 6 2 2" xfId="1914"/>
    <cellStyle name="Commentaire 6 2 2 10" xfId="10092"/>
    <cellStyle name="Commentaire 6 2 2 2" xfId="4832"/>
    <cellStyle name="Commentaire 6 2 2 3" xfId="5811"/>
    <cellStyle name="Commentaire 6 2 2 4" xfId="6319"/>
    <cellStyle name="Commentaire 6 2 2 5" xfId="6806"/>
    <cellStyle name="Commentaire 6 2 2 6" xfId="7289"/>
    <cellStyle name="Commentaire 6 2 2 7" xfId="8358"/>
    <cellStyle name="Commentaire 6 2 2 8" xfId="8859"/>
    <cellStyle name="Commentaire 6 2 2 9" xfId="9353"/>
    <cellStyle name="Commentaire 6 2 3" xfId="1567"/>
    <cellStyle name="Commentaire 6 2 3 10" xfId="9764"/>
    <cellStyle name="Commentaire 6 2 3 2" xfId="4490"/>
    <cellStyle name="Commentaire 6 2 3 3" xfId="5482"/>
    <cellStyle name="Commentaire 6 2 3 4" xfId="3307"/>
    <cellStyle name="Commentaire 6 2 3 5" xfId="5057"/>
    <cellStyle name="Commentaire 6 2 3 6" xfId="5260"/>
    <cellStyle name="Commentaire 6 2 3 7" xfId="8030"/>
    <cellStyle name="Commentaire 6 2 3 8" xfId="7518"/>
    <cellStyle name="Commentaire 6 2 3 9" xfId="7720"/>
    <cellStyle name="Commentaire 6 2 4" xfId="9563"/>
    <cellStyle name="Commentaire 6 3" xfId="1530"/>
    <cellStyle name="Commentaire 6 3 10" xfId="7695"/>
    <cellStyle name="Commentaire 6 3 11" xfId="9727"/>
    <cellStyle name="Commentaire 6 3 2" xfId="1877"/>
    <cellStyle name="Commentaire 6 3 2 10" xfId="10055"/>
    <cellStyle name="Commentaire 6 3 2 2" xfId="4795"/>
    <cellStyle name="Commentaire 6 3 2 3" xfId="5774"/>
    <cellStyle name="Commentaire 6 3 2 4" xfId="6282"/>
    <cellStyle name="Commentaire 6 3 2 5" xfId="6769"/>
    <cellStyle name="Commentaire 6 3 2 6" xfId="7252"/>
    <cellStyle name="Commentaire 6 3 2 7" xfId="8321"/>
    <cellStyle name="Commentaire 6 3 2 8" xfId="8822"/>
    <cellStyle name="Commentaire 6 3 2 9" xfId="9316"/>
    <cellStyle name="Commentaire 6 3 3" xfId="4453"/>
    <cellStyle name="Commentaire 6 3 4" xfId="5445"/>
    <cellStyle name="Commentaire 6 3 5" xfId="3281"/>
    <cellStyle name="Commentaire 6 3 6" xfId="3423"/>
    <cellStyle name="Commentaire 6 3 7" xfId="6025"/>
    <cellStyle name="Commentaire 6 3 8" xfId="7993"/>
    <cellStyle name="Commentaire 6 3 9" xfId="7555"/>
    <cellStyle name="Commentaire 6 4" xfId="1494"/>
    <cellStyle name="Commentaire 6 4 10" xfId="7674"/>
    <cellStyle name="Commentaire 6 4 11" xfId="9691"/>
    <cellStyle name="Commentaire 6 4 2" xfId="1841"/>
    <cellStyle name="Commentaire 6 4 2 10" xfId="10019"/>
    <cellStyle name="Commentaire 6 4 2 2" xfId="4759"/>
    <cellStyle name="Commentaire 6 4 2 3" xfId="5738"/>
    <cellStyle name="Commentaire 6 4 2 4" xfId="6246"/>
    <cellStyle name="Commentaire 6 4 2 5" xfId="6733"/>
    <cellStyle name="Commentaire 6 4 2 6" xfId="7216"/>
    <cellStyle name="Commentaire 6 4 2 7" xfId="8285"/>
    <cellStyle name="Commentaire 6 4 2 8" xfId="8786"/>
    <cellStyle name="Commentaire 6 4 2 9" xfId="9280"/>
    <cellStyle name="Commentaire 6 4 3" xfId="4417"/>
    <cellStyle name="Commentaire 6 4 4" xfId="5409"/>
    <cellStyle name="Commentaire 6 4 5" xfId="5154"/>
    <cellStyle name="Commentaire 6 4 6" xfId="5103"/>
    <cellStyle name="Commentaire 6 4 7" xfId="5246"/>
    <cellStyle name="Commentaire 6 4 8" xfId="7957"/>
    <cellStyle name="Commentaire 6 4 9" xfId="7591"/>
    <cellStyle name="Commentaire 6 5" xfId="1545"/>
    <cellStyle name="Commentaire 6 5 10" xfId="7704"/>
    <cellStyle name="Commentaire 6 5 11" xfId="9742"/>
    <cellStyle name="Commentaire 6 5 2" xfId="1892"/>
    <cellStyle name="Commentaire 6 5 2 10" xfId="10070"/>
    <cellStyle name="Commentaire 6 5 2 2" xfId="4810"/>
    <cellStyle name="Commentaire 6 5 2 3" xfId="5789"/>
    <cellStyle name="Commentaire 6 5 2 4" xfId="6297"/>
    <cellStyle name="Commentaire 6 5 2 5" xfId="6784"/>
    <cellStyle name="Commentaire 6 5 2 6" xfId="7267"/>
    <cellStyle name="Commentaire 6 5 2 7" xfId="8336"/>
    <cellStyle name="Commentaire 6 5 2 8" xfId="8837"/>
    <cellStyle name="Commentaire 6 5 2 9" xfId="9331"/>
    <cellStyle name="Commentaire 6 5 3" xfId="4468"/>
    <cellStyle name="Commentaire 6 5 4" xfId="5460"/>
    <cellStyle name="Commentaire 6 5 5" xfId="3291"/>
    <cellStyle name="Commentaire 6 5 6" xfId="5058"/>
    <cellStyle name="Commentaire 6 5 7" xfId="3224"/>
    <cellStyle name="Commentaire 6 5 8" xfId="8008"/>
    <cellStyle name="Commentaire 6 5 9" xfId="7540"/>
    <cellStyle name="Commentaire 6 6" xfId="1787"/>
    <cellStyle name="Commentaire 6 6 10" xfId="9240"/>
    <cellStyle name="Commentaire 6 6 11" xfId="9979"/>
    <cellStyle name="Commentaire 6 6 2" xfId="2108"/>
    <cellStyle name="Commentaire 6 6 2 10" xfId="10281"/>
    <cellStyle name="Commentaire 6 6 2 2" xfId="5021"/>
    <cellStyle name="Commentaire 6 6 2 3" xfId="6000"/>
    <cellStyle name="Commentaire 6 6 2 4" xfId="6508"/>
    <cellStyle name="Commentaire 6 6 2 5" xfId="6995"/>
    <cellStyle name="Commentaire 6 6 2 6" xfId="7478"/>
    <cellStyle name="Commentaire 6 6 2 7" xfId="8547"/>
    <cellStyle name="Commentaire 6 6 2 8" xfId="9048"/>
    <cellStyle name="Commentaire 6 6 2 9" xfId="9542"/>
    <cellStyle name="Commentaire 6 6 3" xfId="4707"/>
    <cellStyle name="Commentaire 6 6 4" xfId="5697"/>
    <cellStyle name="Commentaire 6 6 5" xfId="6206"/>
    <cellStyle name="Commentaire 6 6 6" xfId="6693"/>
    <cellStyle name="Commentaire 6 6 7" xfId="7176"/>
    <cellStyle name="Commentaire 6 6 8" xfId="8245"/>
    <cellStyle name="Commentaire 6 6 9" xfId="8746"/>
    <cellStyle name="Commentaire 6 7" xfId="1548"/>
    <cellStyle name="Commentaire 6 7 10" xfId="7707"/>
    <cellStyle name="Commentaire 6 7 11" xfId="9745"/>
    <cellStyle name="Commentaire 6 7 2" xfId="1895"/>
    <cellStyle name="Commentaire 6 7 2 10" xfId="10073"/>
    <cellStyle name="Commentaire 6 7 2 2" xfId="4813"/>
    <cellStyle name="Commentaire 6 7 2 3" xfId="5792"/>
    <cellStyle name="Commentaire 6 7 2 4" xfId="6300"/>
    <cellStyle name="Commentaire 6 7 2 5" xfId="6787"/>
    <cellStyle name="Commentaire 6 7 2 6" xfId="7270"/>
    <cellStyle name="Commentaire 6 7 2 7" xfId="8339"/>
    <cellStyle name="Commentaire 6 7 2 8" xfId="8840"/>
    <cellStyle name="Commentaire 6 7 2 9" xfId="9334"/>
    <cellStyle name="Commentaire 6 7 3" xfId="4471"/>
    <cellStyle name="Commentaire 6 7 4" xfId="5463"/>
    <cellStyle name="Commentaire 6 7 5" xfId="3293"/>
    <cellStyle name="Commentaire 6 7 6" xfId="5190"/>
    <cellStyle name="Commentaire 6 7 7" xfId="5214"/>
    <cellStyle name="Commentaire 6 7 8" xfId="8011"/>
    <cellStyle name="Commentaire 6 7 9" xfId="7537"/>
    <cellStyle name="Commentaire 6 8" xfId="1473"/>
    <cellStyle name="Commentaire 6 8 10" xfId="9670"/>
    <cellStyle name="Commentaire 6 8 2" xfId="4396"/>
    <cellStyle name="Commentaire 6 8 3" xfId="5388"/>
    <cellStyle name="Commentaire 6 8 4" xfId="5075"/>
    <cellStyle name="Commentaire 6 8 5" xfId="5115"/>
    <cellStyle name="Commentaire 6 8 6" xfId="3223"/>
    <cellStyle name="Commentaire 6 8 7" xfId="7936"/>
    <cellStyle name="Commentaire 6 8 8" xfId="7611"/>
    <cellStyle name="Commentaire 6 8 9" xfId="7786"/>
    <cellStyle name="Commentaire 6 9" xfId="1415"/>
    <cellStyle name="Commentaire 6 9 10" xfId="9614"/>
    <cellStyle name="Commentaire 6 9 2" xfId="4339"/>
    <cellStyle name="Commentaire 6 9 3" xfId="5332"/>
    <cellStyle name="Commentaire 6 9 4" xfId="5124"/>
    <cellStyle name="Commentaire 6 9 5" xfId="5032"/>
    <cellStyle name="Commentaire 6 9 6" xfId="5209"/>
    <cellStyle name="Commentaire 6 9 7" xfId="7880"/>
    <cellStyle name="Commentaire 6 9 8" xfId="7660"/>
    <cellStyle name="Commentaire 6 9 9" xfId="7843"/>
    <cellStyle name="Commentaire 7" xfId="186"/>
    <cellStyle name="Commentaire 7 2" xfId="880"/>
    <cellStyle name="Commentaire 7 2 2" xfId="1915"/>
    <cellStyle name="Commentaire 7 2 2 10" xfId="10093"/>
    <cellStyle name="Commentaire 7 2 2 2" xfId="4833"/>
    <cellStyle name="Commentaire 7 2 2 3" xfId="5812"/>
    <cellStyle name="Commentaire 7 2 2 4" xfId="6320"/>
    <cellStyle name="Commentaire 7 2 2 5" xfId="6807"/>
    <cellStyle name="Commentaire 7 2 2 6" xfId="7290"/>
    <cellStyle name="Commentaire 7 2 2 7" xfId="8359"/>
    <cellStyle name="Commentaire 7 2 2 8" xfId="8860"/>
    <cellStyle name="Commentaire 7 2 2 9" xfId="9354"/>
    <cellStyle name="Commentaire 7 2 3" xfId="1568"/>
    <cellStyle name="Commentaire 7 2 3 10" xfId="9765"/>
    <cellStyle name="Commentaire 7 2 3 2" xfId="4491"/>
    <cellStyle name="Commentaire 7 2 3 3" xfId="5483"/>
    <cellStyle name="Commentaire 7 2 3 4" xfId="3308"/>
    <cellStyle name="Commentaire 7 2 3 5" xfId="5023"/>
    <cellStyle name="Commentaire 7 2 3 6" xfId="5205"/>
    <cellStyle name="Commentaire 7 2 3 7" xfId="8031"/>
    <cellStyle name="Commentaire 7 2 3 8" xfId="7517"/>
    <cellStyle name="Commentaire 7 2 3 9" xfId="7721"/>
    <cellStyle name="Commentaire 7 2 4" xfId="9564"/>
    <cellStyle name="Commentaire 7 3" xfId="1531"/>
    <cellStyle name="Commentaire 7 3 10" xfId="7816"/>
    <cellStyle name="Commentaire 7 3 11" xfId="9728"/>
    <cellStyle name="Commentaire 7 3 2" xfId="1878"/>
    <cellStyle name="Commentaire 7 3 2 10" xfId="10056"/>
    <cellStyle name="Commentaire 7 3 2 2" xfId="4796"/>
    <cellStyle name="Commentaire 7 3 2 3" xfId="5775"/>
    <cellStyle name="Commentaire 7 3 2 4" xfId="6283"/>
    <cellStyle name="Commentaire 7 3 2 5" xfId="6770"/>
    <cellStyle name="Commentaire 7 3 2 6" xfId="7253"/>
    <cellStyle name="Commentaire 7 3 2 7" xfId="8322"/>
    <cellStyle name="Commentaire 7 3 2 8" xfId="8823"/>
    <cellStyle name="Commentaire 7 3 2 9" xfId="9317"/>
    <cellStyle name="Commentaire 7 3 3" xfId="4454"/>
    <cellStyle name="Commentaire 7 3 4" xfId="5446"/>
    <cellStyle name="Commentaire 7 3 5" xfId="3282"/>
    <cellStyle name="Commentaire 7 3 6" xfId="5185"/>
    <cellStyle name="Commentaire 7 3 7" xfId="5282"/>
    <cellStyle name="Commentaire 7 3 8" xfId="7994"/>
    <cellStyle name="Commentaire 7 3 9" xfId="7554"/>
    <cellStyle name="Commentaire 7 4" xfId="1493"/>
    <cellStyle name="Commentaire 7 4 10" xfId="7673"/>
    <cellStyle name="Commentaire 7 4 11" xfId="9690"/>
    <cellStyle name="Commentaire 7 4 2" xfId="1840"/>
    <cellStyle name="Commentaire 7 4 2 10" xfId="10018"/>
    <cellStyle name="Commentaire 7 4 2 2" xfId="4758"/>
    <cellStyle name="Commentaire 7 4 2 3" xfId="5737"/>
    <cellStyle name="Commentaire 7 4 2 4" xfId="6245"/>
    <cellStyle name="Commentaire 7 4 2 5" xfId="6732"/>
    <cellStyle name="Commentaire 7 4 2 6" xfId="7215"/>
    <cellStyle name="Commentaire 7 4 2 7" xfId="8284"/>
    <cellStyle name="Commentaire 7 4 2 8" xfId="8785"/>
    <cellStyle name="Commentaire 7 4 2 9" xfId="9279"/>
    <cellStyle name="Commentaire 7 4 3" xfId="4416"/>
    <cellStyle name="Commentaire 7 4 4" xfId="5408"/>
    <cellStyle name="Commentaire 7 4 5" xfId="3260"/>
    <cellStyle name="Commentaire 7 4 6" xfId="5170"/>
    <cellStyle name="Commentaire 7 4 7" xfId="5212"/>
    <cellStyle name="Commentaire 7 4 8" xfId="7956"/>
    <cellStyle name="Commentaire 7 4 9" xfId="7592"/>
    <cellStyle name="Commentaire 7 5" xfId="1546"/>
    <cellStyle name="Commentaire 7 5 10" xfId="7705"/>
    <cellStyle name="Commentaire 7 5 11" xfId="9743"/>
    <cellStyle name="Commentaire 7 5 2" xfId="1893"/>
    <cellStyle name="Commentaire 7 5 2 10" xfId="10071"/>
    <cellStyle name="Commentaire 7 5 2 2" xfId="4811"/>
    <cellStyle name="Commentaire 7 5 2 3" xfId="5790"/>
    <cellStyle name="Commentaire 7 5 2 4" xfId="6298"/>
    <cellStyle name="Commentaire 7 5 2 5" xfId="6785"/>
    <cellStyle name="Commentaire 7 5 2 6" xfId="7268"/>
    <cellStyle name="Commentaire 7 5 2 7" xfId="8337"/>
    <cellStyle name="Commentaire 7 5 2 8" xfId="8838"/>
    <cellStyle name="Commentaire 7 5 2 9" xfId="9332"/>
    <cellStyle name="Commentaire 7 5 3" xfId="4469"/>
    <cellStyle name="Commentaire 7 5 4" xfId="5461"/>
    <cellStyle name="Commentaire 7 5 5" xfId="3292"/>
    <cellStyle name="Commentaire 7 5 6" xfId="5189"/>
    <cellStyle name="Commentaire 7 5 7" xfId="6027"/>
    <cellStyle name="Commentaire 7 5 8" xfId="8009"/>
    <cellStyle name="Commentaire 7 5 9" xfId="7539"/>
    <cellStyle name="Commentaire 7 6" xfId="1475"/>
    <cellStyle name="Commentaire 7 6 10" xfId="7787"/>
    <cellStyle name="Commentaire 7 6 11" xfId="9672"/>
    <cellStyle name="Commentaire 7 6 2" xfId="1827"/>
    <cellStyle name="Commentaire 7 6 2 10" xfId="10005"/>
    <cellStyle name="Commentaire 7 6 2 2" xfId="4745"/>
    <cellStyle name="Commentaire 7 6 2 3" xfId="5724"/>
    <cellStyle name="Commentaire 7 6 2 4" xfId="6232"/>
    <cellStyle name="Commentaire 7 6 2 5" xfId="6719"/>
    <cellStyle name="Commentaire 7 6 2 6" xfId="7202"/>
    <cellStyle name="Commentaire 7 6 2 7" xfId="8271"/>
    <cellStyle name="Commentaire 7 6 2 8" xfId="8772"/>
    <cellStyle name="Commentaire 7 6 2 9" xfId="9266"/>
    <cellStyle name="Commentaire 7 6 3" xfId="4398"/>
    <cellStyle name="Commentaire 7 6 4" xfId="5390"/>
    <cellStyle name="Commentaire 7 6 5" xfId="3253"/>
    <cellStyle name="Commentaire 7 6 6" xfId="3401"/>
    <cellStyle name="Commentaire 7 6 7" xfId="3816"/>
    <cellStyle name="Commentaire 7 6 8" xfId="7938"/>
    <cellStyle name="Commentaire 7 6 9" xfId="7609"/>
    <cellStyle name="Commentaire 7 7" xfId="1549"/>
    <cellStyle name="Commentaire 7 7 10" xfId="7821"/>
    <cellStyle name="Commentaire 7 7 11" xfId="9746"/>
    <cellStyle name="Commentaire 7 7 2" xfId="1896"/>
    <cellStyle name="Commentaire 7 7 2 10" xfId="10074"/>
    <cellStyle name="Commentaire 7 7 2 2" xfId="4814"/>
    <cellStyle name="Commentaire 7 7 2 3" xfId="5793"/>
    <cellStyle name="Commentaire 7 7 2 4" xfId="6301"/>
    <cellStyle name="Commentaire 7 7 2 5" xfId="6788"/>
    <cellStyle name="Commentaire 7 7 2 6" xfId="7271"/>
    <cellStyle name="Commentaire 7 7 2 7" xfId="8340"/>
    <cellStyle name="Commentaire 7 7 2 8" xfId="8841"/>
    <cellStyle name="Commentaire 7 7 2 9" xfId="9335"/>
    <cellStyle name="Commentaire 7 7 3" xfId="4472"/>
    <cellStyle name="Commentaire 7 7 4" xfId="5464"/>
    <cellStyle name="Commentaire 7 7 5" xfId="3843"/>
    <cellStyle name="Commentaire 7 7 6" xfId="3407"/>
    <cellStyle name="Commentaire 7 7 7" xfId="3817"/>
    <cellStyle name="Commentaire 7 7 8" xfId="8012"/>
    <cellStyle name="Commentaire 7 7 9" xfId="7536"/>
    <cellStyle name="Commentaire 7 8" xfId="1474"/>
    <cellStyle name="Commentaire 7 8 10" xfId="9671"/>
    <cellStyle name="Commentaire 7 8 2" xfId="4397"/>
    <cellStyle name="Commentaire 7 8 3" xfId="5389"/>
    <cellStyle name="Commentaire 7 8 4" xfId="3252"/>
    <cellStyle name="Commentaire 7 8 5" xfId="3451"/>
    <cellStyle name="Commentaire 7 8 6" xfId="5243"/>
    <cellStyle name="Commentaire 7 8 7" xfId="7937"/>
    <cellStyle name="Commentaire 7 8 8" xfId="7610"/>
    <cellStyle name="Commentaire 7 8 9" xfId="7864"/>
    <cellStyle name="Commentaire 7 9" xfId="1416"/>
    <cellStyle name="Commentaire 7 9 10" xfId="9615"/>
    <cellStyle name="Commentaire 7 9 2" xfId="4340"/>
    <cellStyle name="Commentaire 7 9 3" xfId="5333"/>
    <cellStyle name="Commentaire 7 9 4" xfId="5071"/>
    <cellStyle name="Commentaire 7 9 5" xfId="5206"/>
    <cellStyle name="Commentaire 7 9 6" xfId="5167"/>
    <cellStyle name="Commentaire 7 9 7" xfId="7881"/>
    <cellStyle name="Commentaire 7 9 8" xfId="7659"/>
    <cellStyle name="Commentaire 7 9 9" xfId="7851"/>
    <cellStyle name="Coût" xfId="187"/>
    <cellStyle name="CPN" xfId="38721"/>
    <cellStyle name="Currency [0]" xfId="188"/>
    <cellStyle name="Currency 2" xfId="1393"/>
    <cellStyle name="Date anglaise" xfId="189"/>
    <cellStyle name="Date mois" xfId="190"/>
    <cellStyle name="Date saisie" xfId="191"/>
    <cellStyle name="DCh" xfId="192"/>
    <cellStyle name="Déf_kLoc" xfId="193"/>
    <cellStyle name="Dezimal_Q-Indicator_fcu380_v030613" xfId="194"/>
    <cellStyle name="Donnée" xfId="195"/>
    <cellStyle name="Eingabe" xfId="10384"/>
    <cellStyle name="Eingabe 2" xfId="38722"/>
    <cellStyle name="Eingabe K" xfId="10385"/>
    <cellStyle name="Eingabe_AIF Other AOP 05-07" xfId="38723"/>
    <cellStyle name="EingabeNurEmpfangen" xfId="10386"/>
    <cellStyle name="EingabeOhneTransfer" xfId="10387"/>
    <cellStyle name="Entrée 2" xfId="196"/>
    <cellStyle name="Entrée 2 2" xfId="881"/>
    <cellStyle name="Entrée 2 2 2" xfId="1922"/>
    <cellStyle name="Entrée 2 2 2 10" xfId="10100"/>
    <cellStyle name="Entrée 2 2 2 2" xfId="4840"/>
    <cellStyle name="Entrée 2 2 2 3" xfId="5819"/>
    <cellStyle name="Entrée 2 2 2 4" xfId="6327"/>
    <cellStyle name="Entrée 2 2 2 5" xfId="6814"/>
    <cellStyle name="Entrée 2 2 2 6" xfId="7297"/>
    <cellStyle name="Entrée 2 2 2 7" xfId="8366"/>
    <cellStyle name="Entrée 2 2 2 8" xfId="8867"/>
    <cellStyle name="Entrée 2 2 2 9" xfId="9361"/>
    <cellStyle name="Entrée 2 2 3" xfId="1575"/>
    <cellStyle name="Entrée 2 2 3 10" xfId="9772"/>
    <cellStyle name="Entrée 2 2 3 2" xfId="4498"/>
    <cellStyle name="Entrée 2 2 3 3" xfId="5490"/>
    <cellStyle name="Entrée 2 2 3 4" xfId="3314"/>
    <cellStyle name="Entrée 2 2 3 5" xfId="5082"/>
    <cellStyle name="Entrée 2 2 3 6" xfId="3819"/>
    <cellStyle name="Entrée 2 2 3 7" xfId="8038"/>
    <cellStyle name="Entrée 2 2 3 8" xfId="7510"/>
    <cellStyle name="Entrée 2 2 3 9" xfId="7727"/>
    <cellStyle name="Entrée 2 2 4" xfId="10388"/>
    <cellStyle name="Entrée 2 2 5" xfId="9565"/>
    <cellStyle name="Entrée 2 3" xfId="1537"/>
    <cellStyle name="Entrée 2 3 10" xfId="7699"/>
    <cellStyle name="Entrée 2 3 11" xfId="9734"/>
    <cellStyle name="Entrée 2 3 2" xfId="1884"/>
    <cellStyle name="Entrée 2 3 2 10" xfId="10062"/>
    <cellStyle name="Entrée 2 3 2 2" xfId="4802"/>
    <cellStyle name="Entrée 2 3 2 3" xfId="5781"/>
    <cellStyle name="Entrée 2 3 2 4" xfId="6289"/>
    <cellStyle name="Entrée 2 3 2 5" xfId="6776"/>
    <cellStyle name="Entrée 2 3 2 6" xfId="7259"/>
    <cellStyle name="Entrée 2 3 2 7" xfId="8328"/>
    <cellStyle name="Entrée 2 3 2 8" xfId="8829"/>
    <cellStyle name="Entrée 2 3 2 9" xfId="9323"/>
    <cellStyle name="Entrée 2 3 3" xfId="4460"/>
    <cellStyle name="Entrée 2 3 4" xfId="5452"/>
    <cellStyle name="Entrée 2 3 5" xfId="3285"/>
    <cellStyle name="Entrée 2 3 6" xfId="5188"/>
    <cellStyle name="Entrée 2 3 7" xfId="3206"/>
    <cellStyle name="Entrée 2 3 8" xfId="8000"/>
    <cellStyle name="Entrée 2 3 9" xfId="7548"/>
    <cellStyle name="Entrée 2 4" xfId="1484"/>
    <cellStyle name="Entrée 2 4 10" xfId="7488"/>
    <cellStyle name="Entrée 2 4 11" xfId="9681"/>
    <cellStyle name="Entrée 2 4 2" xfId="1835"/>
    <cellStyle name="Entrée 2 4 2 10" xfId="10013"/>
    <cellStyle name="Entrée 2 4 2 2" xfId="4753"/>
    <cellStyle name="Entrée 2 4 2 3" xfId="5732"/>
    <cellStyle name="Entrée 2 4 2 4" xfId="6240"/>
    <cellStyle name="Entrée 2 4 2 5" xfId="6727"/>
    <cellStyle name="Entrée 2 4 2 6" xfId="7210"/>
    <cellStyle name="Entrée 2 4 2 7" xfId="8279"/>
    <cellStyle name="Entrée 2 4 2 8" xfId="8780"/>
    <cellStyle name="Entrée 2 4 2 9" xfId="9274"/>
    <cellStyle name="Entrée 2 4 3" xfId="4407"/>
    <cellStyle name="Entrée 2 4 4" xfId="5399"/>
    <cellStyle name="Entrée 2 4 5" xfId="4324"/>
    <cellStyle name="Entrée 2 4 6" xfId="5314"/>
    <cellStyle name="Entrée 2 4 7" xfId="5094"/>
    <cellStyle name="Entrée 2 4 8" xfId="7947"/>
    <cellStyle name="Entrée 2 4 9" xfId="7601"/>
    <cellStyle name="Entrée 2 5" xfId="1556"/>
    <cellStyle name="Entrée 2 5 10" xfId="7711"/>
    <cellStyle name="Entrée 2 5 11" xfId="9753"/>
    <cellStyle name="Entrée 2 5 2" xfId="1903"/>
    <cellStyle name="Entrée 2 5 2 10" xfId="10081"/>
    <cellStyle name="Entrée 2 5 2 2" xfId="4821"/>
    <cellStyle name="Entrée 2 5 2 3" xfId="5800"/>
    <cellStyle name="Entrée 2 5 2 4" xfId="6308"/>
    <cellStyle name="Entrée 2 5 2 5" xfId="6795"/>
    <cellStyle name="Entrée 2 5 2 6" xfId="7278"/>
    <cellStyle name="Entrée 2 5 2 7" xfId="8347"/>
    <cellStyle name="Entrée 2 5 2 8" xfId="8848"/>
    <cellStyle name="Entrée 2 5 2 9" xfId="9342"/>
    <cellStyle name="Entrée 2 5 3" xfId="4479"/>
    <cellStyle name="Entrée 2 5 4" xfId="5471"/>
    <cellStyle name="Entrée 2 5 5" xfId="3297"/>
    <cellStyle name="Entrée 2 5 6" xfId="5194"/>
    <cellStyle name="Entrée 2 5 7" xfId="3199"/>
    <cellStyle name="Entrée 2 5 8" xfId="8019"/>
    <cellStyle name="Entrée 2 5 9" xfId="7529"/>
    <cellStyle name="Entrée 2 6" xfId="1471"/>
    <cellStyle name="Entrée 2 6 10" xfId="7863"/>
    <cellStyle name="Entrée 2 6 11" xfId="9668"/>
    <cellStyle name="Entrée 2 6 2" xfId="1826"/>
    <cellStyle name="Entrée 2 6 2 10" xfId="10004"/>
    <cellStyle name="Entrée 2 6 2 2" xfId="4744"/>
    <cellStyle name="Entrée 2 6 2 3" xfId="5723"/>
    <cellStyle name="Entrée 2 6 2 4" xfId="6231"/>
    <cellStyle name="Entrée 2 6 2 5" xfId="6718"/>
    <cellStyle name="Entrée 2 6 2 6" xfId="7201"/>
    <cellStyle name="Entrée 2 6 2 7" xfId="8270"/>
    <cellStyle name="Entrée 2 6 2 8" xfId="8771"/>
    <cellStyle name="Entrée 2 6 2 9" xfId="9265"/>
    <cellStyle name="Entrée 2 6 3" xfId="4394"/>
    <cellStyle name="Entrée 2 6 4" xfId="5386"/>
    <cellStyle name="Entrée 2 6 5" xfId="5048"/>
    <cellStyle name="Entrée 2 6 6" xfId="5149"/>
    <cellStyle name="Entrée 2 6 7" xfId="3189"/>
    <cellStyle name="Entrée 2 6 8" xfId="7934"/>
    <cellStyle name="Entrée 2 6 9" xfId="7613"/>
    <cellStyle name="Entrée 2 7" xfId="1569"/>
    <cellStyle name="Entrée 2 7 10" xfId="7722"/>
    <cellStyle name="Entrée 2 7 11" xfId="9766"/>
    <cellStyle name="Entrée 2 7 2" xfId="1916"/>
    <cellStyle name="Entrée 2 7 2 10" xfId="10094"/>
    <cellStyle name="Entrée 2 7 2 2" xfId="4834"/>
    <cellStyle name="Entrée 2 7 2 3" xfId="5813"/>
    <cellStyle name="Entrée 2 7 2 4" xfId="6321"/>
    <cellStyle name="Entrée 2 7 2 5" xfId="6808"/>
    <cellStyle name="Entrée 2 7 2 6" xfId="7291"/>
    <cellStyle name="Entrée 2 7 2 7" xfId="8360"/>
    <cellStyle name="Entrée 2 7 2 8" xfId="8861"/>
    <cellStyle name="Entrée 2 7 2 9" xfId="9355"/>
    <cellStyle name="Entrée 2 7 3" xfId="4492"/>
    <cellStyle name="Entrée 2 7 4" xfId="5484"/>
    <cellStyle name="Entrée 2 7 5" xfId="3365"/>
    <cellStyle name="Entrée 2 7 6" xfId="5092"/>
    <cellStyle name="Entrée 2 7 7" xfId="3812"/>
    <cellStyle name="Entrée 2 7 8" xfId="8032"/>
    <cellStyle name="Entrée 2 7 9" xfId="7516"/>
    <cellStyle name="Entrée 2 8" xfId="1479"/>
    <cellStyle name="Entrée 2 8 10" xfId="9676"/>
    <cellStyle name="Entrée 2 8 2" xfId="4402"/>
    <cellStyle name="Entrée 2 8 3" xfId="5394"/>
    <cellStyle name="Entrée 2 8 4" xfId="4321"/>
    <cellStyle name="Entrée 2 8 5" xfId="3345"/>
    <cellStyle name="Entrée 2 8 6" xfId="5118"/>
    <cellStyle name="Entrée 2 8 7" xfId="7942"/>
    <cellStyle name="Entrée 2 8 8" xfId="7605"/>
    <cellStyle name="Entrée 2 8 9" xfId="7669"/>
    <cellStyle name="Entrée 2 9" xfId="1417"/>
    <cellStyle name="Entrée 2 9 10" xfId="9616"/>
    <cellStyle name="Entrée 2 9 2" xfId="4341"/>
    <cellStyle name="Entrée 2 9 3" xfId="5334"/>
    <cellStyle name="Entrée 2 9 4" xfId="5165"/>
    <cellStyle name="Entrée 2 9 5" xfId="6023"/>
    <cellStyle name="Entrée 2 9 6" xfId="6520"/>
    <cellStyle name="Entrée 2 9 7" xfId="7882"/>
    <cellStyle name="Entrée 2 9 8" xfId="7658"/>
    <cellStyle name="Entrée 2 9 9" xfId="7775"/>
    <cellStyle name="Entrée 3" xfId="197"/>
    <cellStyle name="Entrée 3 2" xfId="882"/>
    <cellStyle name="Entrée 3 2 2" xfId="1923"/>
    <cellStyle name="Entrée 3 2 2 10" xfId="10101"/>
    <cellStyle name="Entrée 3 2 2 2" xfId="4841"/>
    <cellStyle name="Entrée 3 2 2 3" xfId="5820"/>
    <cellStyle name="Entrée 3 2 2 4" xfId="6328"/>
    <cellStyle name="Entrée 3 2 2 5" xfId="6815"/>
    <cellStyle name="Entrée 3 2 2 6" xfId="7298"/>
    <cellStyle name="Entrée 3 2 2 7" xfId="8367"/>
    <cellStyle name="Entrée 3 2 2 8" xfId="8868"/>
    <cellStyle name="Entrée 3 2 2 9" xfId="9362"/>
    <cellStyle name="Entrée 3 2 3" xfId="1576"/>
    <cellStyle name="Entrée 3 2 3 10" xfId="9773"/>
    <cellStyle name="Entrée 3 2 3 2" xfId="4499"/>
    <cellStyle name="Entrée 3 2 3 3" xfId="5491"/>
    <cellStyle name="Entrée 3 2 3 4" xfId="3315"/>
    <cellStyle name="Entrée 3 2 3 5" xfId="5107"/>
    <cellStyle name="Entrée 3 2 3 6" xfId="5237"/>
    <cellStyle name="Entrée 3 2 3 7" xfId="8039"/>
    <cellStyle name="Entrée 3 2 3 8" xfId="7509"/>
    <cellStyle name="Entrée 3 2 3 9" xfId="7728"/>
    <cellStyle name="Entrée 3 2 4" xfId="9566"/>
    <cellStyle name="Entrée 3 3" xfId="1538"/>
    <cellStyle name="Entrée 3 3 10" xfId="7819"/>
    <cellStyle name="Entrée 3 3 11" xfId="9735"/>
    <cellStyle name="Entrée 3 3 2" xfId="1885"/>
    <cellStyle name="Entrée 3 3 2 10" xfId="10063"/>
    <cellStyle name="Entrée 3 3 2 2" xfId="4803"/>
    <cellStyle name="Entrée 3 3 2 3" xfId="5782"/>
    <cellStyle name="Entrée 3 3 2 4" xfId="6290"/>
    <cellStyle name="Entrée 3 3 2 5" xfId="6777"/>
    <cellStyle name="Entrée 3 3 2 6" xfId="7260"/>
    <cellStyle name="Entrée 3 3 2 7" xfId="8329"/>
    <cellStyle name="Entrée 3 3 2 8" xfId="8830"/>
    <cellStyle name="Entrée 3 3 2 9" xfId="9324"/>
    <cellStyle name="Entrée 3 3 3" xfId="4461"/>
    <cellStyle name="Entrée 3 3 4" xfId="5453"/>
    <cellStyle name="Entrée 3 3 5" xfId="3841"/>
    <cellStyle name="Entrée 3 3 6" xfId="6014"/>
    <cellStyle name="Entrée 3 3 7" xfId="6518"/>
    <cellStyle name="Entrée 3 3 8" xfId="8001"/>
    <cellStyle name="Entrée 3 3 9" xfId="7547"/>
    <cellStyle name="Entrée 3 4" xfId="1696"/>
    <cellStyle name="Entrée 3 4 10" xfId="9154"/>
    <cellStyle name="Entrée 3 4 11" xfId="9893"/>
    <cellStyle name="Entrée 3 4 2" xfId="2029"/>
    <cellStyle name="Entrée 3 4 2 10" xfId="10207"/>
    <cellStyle name="Entrée 3 4 2 2" xfId="4947"/>
    <cellStyle name="Entrée 3 4 2 3" xfId="5926"/>
    <cellStyle name="Entrée 3 4 2 4" xfId="6434"/>
    <cellStyle name="Entrée 3 4 2 5" xfId="6921"/>
    <cellStyle name="Entrée 3 4 2 6" xfId="7404"/>
    <cellStyle name="Entrée 3 4 2 7" xfId="8473"/>
    <cellStyle name="Entrée 3 4 2 8" xfId="8974"/>
    <cellStyle name="Entrée 3 4 2 9" xfId="9468"/>
    <cellStyle name="Entrée 3 4 3" xfId="4619"/>
    <cellStyle name="Entrée 3 4 4" xfId="5611"/>
    <cellStyle name="Entrée 3 4 5" xfId="6120"/>
    <cellStyle name="Entrée 3 4 6" xfId="6607"/>
    <cellStyle name="Entrée 3 4 7" xfId="7090"/>
    <cellStyle name="Entrée 3 4 8" xfId="8159"/>
    <cellStyle name="Entrée 3 4 9" xfId="8660"/>
    <cellStyle name="Entrée 3 5" xfId="1557"/>
    <cellStyle name="Entrée 3 5 10" xfId="7825"/>
    <cellStyle name="Entrée 3 5 11" xfId="9754"/>
    <cellStyle name="Entrée 3 5 2" xfId="1904"/>
    <cellStyle name="Entrée 3 5 2 10" xfId="10082"/>
    <cellStyle name="Entrée 3 5 2 2" xfId="4822"/>
    <cellStyle name="Entrée 3 5 2 3" xfId="5801"/>
    <cellStyle name="Entrée 3 5 2 4" xfId="6309"/>
    <cellStyle name="Entrée 3 5 2 5" xfId="6796"/>
    <cellStyle name="Entrée 3 5 2 6" xfId="7279"/>
    <cellStyle name="Entrée 3 5 2 7" xfId="8348"/>
    <cellStyle name="Entrée 3 5 2 8" xfId="8849"/>
    <cellStyle name="Entrée 3 5 2 9" xfId="9343"/>
    <cellStyle name="Entrée 3 5 3" xfId="4480"/>
    <cellStyle name="Entrée 3 5 4" xfId="5472"/>
    <cellStyle name="Entrée 3 5 5" xfId="3847"/>
    <cellStyle name="Entrée 3 5 6" xfId="3422"/>
    <cellStyle name="Entrée 3 5 7" xfId="3212"/>
    <cellStyle name="Entrée 3 5 8" xfId="8020"/>
    <cellStyle name="Entrée 3 5 9" xfId="7528"/>
    <cellStyle name="Entrée 3 6" xfId="1789"/>
    <cellStyle name="Entrée 3 6 10" xfId="9242"/>
    <cellStyle name="Entrée 3 6 11" xfId="9981"/>
    <cellStyle name="Entrée 3 6 2" xfId="2109"/>
    <cellStyle name="Entrée 3 6 2 10" xfId="10282"/>
    <cellStyle name="Entrée 3 6 2 2" xfId="5022"/>
    <cellStyle name="Entrée 3 6 2 3" xfId="6001"/>
    <cellStyle name="Entrée 3 6 2 4" xfId="6509"/>
    <cellStyle name="Entrée 3 6 2 5" xfId="6996"/>
    <cellStyle name="Entrée 3 6 2 6" xfId="7479"/>
    <cellStyle name="Entrée 3 6 2 7" xfId="8548"/>
    <cellStyle name="Entrée 3 6 2 8" xfId="9049"/>
    <cellStyle name="Entrée 3 6 2 9" xfId="9543"/>
    <cellStyle name="Entrée 3 6 3" xfId="4709"/>
    <cellStyle name="Entrée 3 6 4" xfId="5699"/>
    <cellStyle name="Entrée 3 6 5" xfId="6208"/>
    <cellStyle name="Entrée 3 6 6" xfId="6695"/>
    <cellStyle name="Entrée 3 6 7" xfId="7178"/>
    <cellStyle name="Entrée 3 6 8" xfId="8247"/>
    <cellStyle name="Entrée 3 6 9" xfId="8748"/>
    <cellStyle name="Entrée 3 7" xfId="1570"/>
    <cellStyle name="Entrée 3 7 10" xfId="7723"/>
    <cellStyle name="Entrée 3 7 11" xfId="9767"/>
    <cellStyle name="Entrée 3 7 2" xfId="1917"/>
    <cellStyle name="Entrée 3 7 2 10" xfId="10095"/>
    <cellStyle name="Entrée 3 7 2 2" xfId="4835"/>
    <cellStyle name="Entrée 3 7 2 3" xfId="5814"/>
    <cellStyle name="Entrée 3 7 2 4" xfId="6322"/>
    <cellStyle name="Entrée 3 7 2 5" xfId="6809"/>
    <cellStyle name="Entrée 3 7 2 6" xfId="7292"/>
    <cellStyle name="Entrée 3 7 2 7" xfId="8361"/>
    <cellStyle name="Entrée 3 7 2 8" xfId="8862"/>
    <cellStyle name="Entrée 3 7 2 9" xfId="9356"/>
    <cellStyle name="Entrée 3 7 3" xfId="4493"/>
    <cellStyle name="Entrée 3 7 4" xfId="5485"/>
    <cellStyle name="Entrée 3 7 5" xfId="3309"/>
    <cellStyle name="Entrée 3 7 6" xfId="5121"/>
    <cellStyle name="Entrée 3 7 7" xfId="5240"/>
    <cellStyle name="Entrée 3 7 8" xfId="8033"/>
    <cellStyle name="Entrée 3 7 9" xfId="7515"/>
    <cellStyle name="Entrée 3 8" xfId="1689"/>
    <cellStyle name="Entrée 3 8 10" xfId="9886"/>
    <cellStyle name="Entrée 3 8 2" xfId="4612"/>
    <cellStyle name="Entrée 3 8 3" xfId="5604"/>
    <cellStyle name="Entrée 3 8 4" xfId="6113"/>
    <cellStyle name="Entrée 3 8 5" xfId="6600"/>
    <cellStyle name="Entrée 3 8 6" xfId="7083"/>
    <cellStyle name="Entrée 3 8 7" xfId="8152"/>
    <cellStyle name="Entrée 3 8 8" xfId="8653"/>
    <cellStyle name="Entrée 3 8 9" xfId="9147"/>
    <cellStyle name="Entrée 3 9" xfId="1418"/>
    <cellStyle name="Entrée 3 9 10" xfId="9617"/>
    <cellStyle name="Entrée 3 9 2" xfId="4342"/>
    <cellStyle name="Entrée 3 9 3" xfId="5335"/>
    <cellStyle name="Entrée 3 9 4" xfId="5096"/>
    <cellStyle name="Entrée 3 9 5" xfId="3204"/>
    <cellStyle name="Entrée 3 9 6" xfId="6028"/>
    <cellStyle name="Entrée 3 9 7" xfId="7883"/>
    <cellStyle name="Entrée 3 9 8" xfId="7657"/>
    <cellStyle name="Entrée 3 9 9" xfId="7831"/>
    <cellStyle name="Entrée 4" xfId="198"/>
    <cellStyle name="Entrée 4 2" xfId="883"/>
    <cellStyle name="Entrée 4 2 2" xfId="1924"/>
    <cellStyle name="Entrée 4 2 2 10" xfId="10102"/>
    <cellStyle name="Entrée 4 2 2 2" xfId="4842"/>
    <cellStyle name="Entrée 4 2 2 3" xfId="5821"/>
    <cellStyle name="Entrée 4 2 2 4" xfId="6329"/>
    <cellStyle name="Entrée 4 2 2 5" xfId="6816"/>
    <cellStyle name="Entrée 4 2 2 6" xfId="7299"/>
    <cellStyle name="Entrée 4 2 2 7" xfId="8368"/>
    <cellStyle name="Entrée 4 2 2 8" xfId="8869"/>
    <cellStyle name="Entrée 4 2 2 9" xfId="9363"/>
    <cellStyle name="Entrée 4 2 3" xfId="1577"/>
    <cellStyle name="Entrée 4 2 3 10" xfId="9774"/>
    <cellStyle name="Entrée 4 2 3 2" xfId="4500"/>
    <cellStyle name="Entrée 4 2 3 3" xfId="5492"/>
    <cellStyle name="Entrée 4 2 3 4" xfId="3316"/>
    <cellStyle name="Entrée 4 2 3 5" xfId="5056"/>
    <cellStyle name="Entrée 4 2 3 6" xfId="3226"/>
    <cellStyle name="Entrée 4 2 3 7" xfId="8040"/>
    <cellStyle name="Entrée 4 2 3 8" xfId="7508"/>
    <cellStyle name="Entrée 4 2 3 9" xfId="7729"/>
    <cellStyle name="Entrée 4 2 4" xfId="9567"/>
    <cellStyle name="Entrée 4 3" xfId="1539"/>
    <cellStyle name="Entrée 4 3 10" xfId="7700"/>
    <cellStyle name="Entrée 4 3 11" xfId="9736"/>
    <cellStyle name="Entrée 4 3 2" xfId="1886"/>
    <cellStyle name="Entrée 4 3 2 10" xfId="10064"/>
    <cellStyle name="Entrée 4 3 2 2" xfId="4804"/>
    <cellStyle name="Entrée 4 3 2 3" xfId="5783"/>
    <cellStyle name="Entrée 4 3 2 4" xfId="6291"/>
    <cellStyle name="Entrée 4 3 2 5" xfId="6778"/>
    <cellStyle name="Entrée 4 3 2 6" xfId="7261"/>
    <cellStyle name="Entrée 4 3 2 7" xfId="8330"/>
    <cellStyle name="Entrée 4 3 2 8" xfId="8831"/>
    <cellStyle name="Entrée 4 3 2 9" xfId="9325"/>
    <cellStyle name="Entrée 4 3 3" xfId="4462"/>
    <cellStyle name="Entrée 4 3 4" xfId="5454"/>
    <cellStyle name="Entrée 4 3 5" xfId="5041"/>
    <cellStyle name="Entrée 4 3 6" xfId="3399"/>
    <cellStyle name="Entrée 4 3 7" xfId="5102"/>
    <cellStyle name="Entrée 4 3 8" xfId="8002"/>
    <cellStyle name="Entrée 4 3 9" xfId="7546"/>
    <cellStyle name="Entrée 4 4" xfId="1483"/>
    <cellStyle name="Entrée 4 4 10" xfId="7489"/>
    <cellStyle name="Entrée 4 4 11" xfId="9680"/>
    <cellStyle name="Entrée 4 4 2" xfId="1834"/>
    <cellStyle name="Entrée 4 4 2 10" xfId="10012"/>
    <cellStyle name="Entrée 4 4 2 2" xfId="4752"/>
    <cellStyle name="Entrée 4 4 2 3" xfId="5731"/>
    <cellStyle name="Entrée 4 4 2 4" xfId="6239"/>
    <cellStyle name="Entrée 4 4 2 5" xfId="6726"/>
    <cellStyle name="Entrée 4 4 2 6" xfId="7209"/>
    <cellStyle name="Entrée 4 4 2 7" xfId="8278"/>
    <cellStyle name="Entrée 4 4 2 8" xfId="8779"/>
    <cellStyle name="Entrée 4 4 2 9" xfId="9273"/>
    <cellStyle name="Entrée 4 4 3" xfId="4406"/>
    <cellStyle name="Entrée 4 4 4" xfId="5398"/>
    <cellStyle name="Entrée 4 4 5" xfId="3349"/>
    <cellStyle name="Entrée 4 4 6" xfId="5319"/>
    <cellStyle name="Entrée 4 4 7" xfId="5100"/>
    <cellStyle name="Entrée 4 4 8" xfId="7946"/>
    <cellStyle name="Entrée 4 4 9" xfId="7602"/>
    <cellStyle name="Entrée 4 5" xfId="1558"/>
    <cellStyle name="Entrée 4 5 10" xfId="7712"/>
    <cellStyle name="Entrée 4 5 11" xfId="9755"/>
    <cellStyle name="Entrée 4 5 2" xfId="1905"/>
    <cellStyle name="Entrée 4 5 2 10" xfId="10083"/>
    <cellStyle name="Entrée 4 5 2 2" xfId="4823"/>
    <cellStyle name="Entrée 4 5 2 3" xfId="5802"/>
    <cellStyle name="Entrée 4 5 2 4" xfId="6310"/>
    <cellStyle name="Entrée 4 5 2 5" xfId="6797"/>
    <cellStyle name="Entrée 4 5 2 6" xfId="7280"/>
    <cellStyle name="Entrée 4 5 2 7" xfId="8349"/>
    <cellStyle name="Entrée 4 5 2 8" xfId="8850"/>
    <cellStyle name="Entrée 4 5 2 9" xfId="9344"/>
    <cellStyle name="Entrée 4 5 3" xfId="4481"/>
    <cellStyle name="Entrée 4 5 4" xfId="5473"/>
    <cellStyle name="Entrée 4 5 5" xfId="3298"/>
    <cellStyle name="Entrée 4 5 6" xfId="5069"/>
    <cellStyle name="Entrée 4 5 7" xfId="5256"/>
    <cellStyle name="Entrée 4 5 8" xfId="8021"/>
    <cellStyle name="Entrée 4 5 9" xfId="7527"/>
    <cellStyle name="Entrée 4 6" xfId="1470"/>
    <cellStyle name="Entrée 4 6 10" xfId="7785"/>
    <cellStyle name="Entrée 4 6 11" xfId="9667"/>
    <cellStyle name="Entrée 4 6 2" xfId="1825"/>
    <cellStyle name="Entrée 4 6 2 10" xfId="10003"/>
    <cellStyle name="Entrée 4 6 2 2" xfId="4743"/>
    <cellStyle name="Entrée 4 6 2 3" xfId="5722"/>
    <cellStyle name="Entrée 4 6 2 4" xfId="6230"/>
    <cellStyle name="Entrée 4 6 2 5" xfId="6717"/>
    <cellStyle name="Entrée 4 6 2 6" xfId="7200"/>
    <cellStyle name="Entrée 4 6 2 7" xfId="8269"/>
    <cellStyle name="Entrée 4 6 2 8" xfId="8770"/>
    <cellStyle name="Entrée 4 6 2 9" xfId="9264"/>
    <cellStyle name="Entrée 4 6 3" xfId="4393"/>
    <cellStyle name="Entrée 4 6 4" xfId="5385"/>
    <cellStyle name="Entrée 4 6 5" xfId="5099"/>
    <cellStyle name="Entrée 4 6 6" xfId="5309"/>
    <cellStyle name="Entrée 4 6 7" xfId="5316"/>
    <cellStyle name="Entrée 4 6 8" xfId="7933"/>
    <cellStyle name="Entrée 4 6 9" xfId="7614"/>
    <cellStyle name="Entrée 4 7" xfId="1571"/>
    <cellStyle name="Entrée 4 7 10" xfId="7755"/>
    <cellStyle name="Entrée 4 7 11" xfId="9768"/>
    <cellStyle name="Entrée 4 7 2" xfId="1918"/>
    <cellStyle name="Entrée 4 7 2 10" xfId="10096"/>
    <cellStyle name="Entrée 4 7 2 2" xfId="4836"/>
    <cellStyle name="Entrée 4 7 2 3" xfId="5815"/>
    <cellStyle name="Entrée 4 7 2 4" xfId="6323"/>
    <cellStyle name="Entrée 4 7 2 5" xfId="6810"/>
    <cellStyle name="Entrée 4 7 2 6" xfId="7293"/>
    <cellStyle name="Entrée 4 7 2 7" xfId="8362"/>
    <cellStyle name="Entrée 4 7 2 8" xfId="8863"/>
    <cellStyle name="Entrée 4 7 2 9" xfId="9357"/>
    <cellStyle name="Entrée 4 7 3" xfId="4494"/>
    <cellStyle name="Entrée 4 7 4" xfId="5486"/>
    <cellStyle name="Entrée 4 7 5" xfId="3310"/>
    <cellStyle name="Entrée 4 7 6" xfId="5068"/>
    <cellStyle name="Entrée 4 7 7" xfId="3818"/>
    <cellStyle name="Entrée 4 7 8" xfId="8034"/>
    <cellStyle name="Entrée 4 7 9" xfId="7514"/>
    <cellStyle name="Entrée 4 8" xfId="1485"/>
    <cellStyle name="Entrée 4 8 10" xfId="9682"/>
    <cellStyle name="Entrée 4 8 2" xfId="4408"/>
    <cellStyle name="Entrée 4 8 3" xfId="5400"/>
    <cellStyle name="Entrée 4 8 4" xfId="4320"/>
    <cellStyle name="Entrée 4 8 5" xfId="4722"/>
    <cellStyle name="Entrée 4 8 6" xfId="5244"/>
    <cellStyle name="Entrée 4 8 7" xfId="7948"/>
    <cellStyle name="Entrée 4 8 8" xfId="7600"/>
    <cellStyle name="Entrée 4 8 9" xfId="7834"/>
    <cellStyle name="Entrée 4 9" xfId="1419"/>
    <cellStyle name="Entrée 4 9 10" xfId="9618"/>
    <cellStyle name="Entrée 4 9 2" xfId="4343"/>
    <cellStyle name="Entrée 4 9 3" xfId="5336"/>
    <cellStyle name="Entrée 4 9 4" xfId="5164"/>
    <cellStyle name="Entrée 4 9 5" xfId="5113"/>
    <cellStyle name="Entrée 4 9 6" xfId="5312"/>
    <cellStyle name="Entrée 4 9 7" xfId="7884"/>
    <cellStyle name="Entrée 4 9 8" xfId="7656"/>
    <cellStyle name="Entrée 4 9 9" xfId="7853"/>
    <cellStyle name="Entrée 5" xfId="199"/>
    <cellStyle name="Entrée 5 2" xfId="884"/>
    <cellStyle name="Entrée 5 2 2" xfId="1925"/>
    <cellStyle name="Entrée 5 2 2 10" xfId="10103"/>
    <cellStyle name="Entrée 5 2 2 2" xfId="4843"/>
    <cellStyle name="Entrée 5 2 2 3" xfId="5822"/>
    <cellStyle name="Entrée 5 2 2 4" xfId="6330"/>
    <cellStyle name="Entrée 5 2 2 5" xfId="6817"/>
    <cellStyle name="Entrée 5 2 2 6" xfId="7300"/>
    <cellStyle name="Entrée 5 2 2 7" xfId="8369"/>
    <cellStyle name="Entrée 5 2 2 8" xfId="8870"/>
    <cellStyle name="Entrée 5 2 2 9" xfId="9364"/>
    <cellStyle name="Entrée 5 2 3" xfId="1578"/>
    <cellStyle name="Entrée 5 2 3 10" xfId="9775"/>
    <cellStyle name="Entrée 5 2 3 2" xfId="4501"/>
    <cellStyle name="Entrée 5 2 3 3" xfId="5493"/>
    <cellStyle name="Entrée 5 2 3 4" xfId="3317"/>
    <cellStyle name="Entrée 5 2 3 5" xfId="5091"/>
    <cellStyle name="Entrée 5 2 3 6" xfId="5236"/>
    <cellStyle name="Entrée 5 2 3 7" xfId="8041"/>
    <cellStyle name="Entrée 5 2 3 8" xfId="7507"/>
    <cellStyle name="Entrée 5 2 3 9" xfId="7730"/>
    <cellStyle name="Entrée 5 2 4" xfId="9568"/>
    <cellStyle name="Entrée 5 3" xfId="1540"/>
    <cellStyle name="Entrée 5 3 10" xfId="7820"/>
    <cellStyle name="Entrée 5 3 11" xfId="9737"/>
    <cellStyle name="Entrée 5 3 2" xfId="1887"/>
    <cellStyle name="Entrée 5 3 2 10" xfId="10065"/>
    <cellStyle name="Entrée 5 3 2 2" xfId="4805"/>
    <cellStyle name="Entrée 5 3 2 3" xfId="5784"/>
    <cellStyle name="Entrée 5 3 2 4" xfId="6292"/>
    <cellStyle name="Entrée 5 3 2 5" xfId="6779"/>
    <cellStyle name="Entrée 5 3 2 6" xfId="7262"/>
    <cellStyle name="Entrée 5 3 2 7" xfId="8331"/>
    <cellStyle name="Entrée 5 3 2 8" xfId="8832"/>
    <cellStyle name="Entrée 5 3 2 9" xfId="9326"/>
    <cellStyle name="Entrée 5 3 3" xfId="4463"/>
    <cellStyle name="Entrée 5 3 4" xfId="5455"/>
    <cellStyle name="Entrée 5 3 5" xfId="3286"/>
    <cellStyle name="Entrée 5 3 6" xfId="3374"/>
    <cellStyle name="Entrée 5 3 7" xfId="5263"/>
    <cellStyle name="Entrée 5 3 8" xfId="8003"/>
    <cellStyle name="Entrée 5 3 9" xfId="7545"/>
    <cellStyle name="Entrée 5 4" xfId="1482"/>
    <cellStyle name="Entrée 5 4 10" xfId="7867"/>
    <cellStyle name="Entrée 5 4 11" xfId="9679"/>
    <cellStyle name="Entrée 5 4 2" xfId="1833"/>
    <cellStyle name="Entrée 5 4 2 10" xfId="10011"/>
    <cellStyle name="Entrée 5 4 2 2" xfId="4751"/>
    <cellStyle name="Entrée 5 4 2 3" xfId="5730"/>
    <cellStyle name="Entrée 5 4 2 4" xfId="6238"/>
    <cellStyle name="Entrée 5 4 2 5" xfId="6725"/>
    <cellStyle name="Entrée 5 4 2 6" xfId="7208"/>
    <cellStyle name="Entrée 5 4 2 7" xfId="8277"/>
    <cellStyle name="Entrée 5 4 2 8" xfId="8778"/>
    <cellStyle name="Entrée 5 4 2 9" xfId="9272"/>
    <cellStyle name="Entrée 5 4 3" xfId="4405"/>
    <cellStyle name="Entrée 5 4 4" xfId="5397"/>
    <cellStyle name="Entrée 5 4 5" xfId="3179"/>
    <cellStyle name="Entrée 5 4 6" xfId="5129"/>
    <cellStyle name="Entrée 5 4 7" xfId="5168"/>
    <cellStyle name="Entrée 5 4 8" xfId="7945"/>
    <cellStyle name="Entrée 5 4 9" xfId="7603"/>
    <cellStyle name="Entrée 5 5" xfId="1559"/>
    <cellStyle name="Entrée 5 5 10" xfId="7826"/>
    <cellStyle name="Entrée 5 5 11" xfId="9756"/>
    <cellStyle name="Entrée 5 5 2" xfId="1906"/>
    <cellStyle name="Entrée 5 5 2 10" xfId="10084"/>
    <cellStyle name="Entrée 5 5 2 2" xfId="4824"/>
    <cellStyle name="Entrée 5 5 2 3" xfId="5803"/>
    <cellStyle name="Entrée 5 5 2 4" xfId="6311"/>
    <cellStyle name="Entrée 5 5 2 5" xfId="6798"/>
    <cellStyle name="Entrée 5 5 2 6" xfId="7281"/>
    <cellStyle name="Entrée 5 5 2 7" xfId="8350"/>
    <cellStyle name="Entrée 5 5 2 8" xfId="8851"/>
    <cellStyle name="Entrée 5 5 2 9" xfId="9345"/>
    <cellStyle name="Entrée 5 5 3" xfId="4482"/>
    <cellStyle name="Entrée 5 5 4" xfId="5474"/>
    <cellStyle name="Entrée 5 5 5" xfId="3299"/>
    <cellStyle name="Entrée 5 5 6" xfId="5122"/>
    <cellStyle name="Entrée 5 5 7" xfId="3814"/>
    <cellStyle name="Entrée 5 5 8" xfId="8022"/>
    <cellStyle name="Entrée 5 5 9" xfId="7526"/>
    <cellStyle name="Entrée 5 6" xfId="1469"/>
    <cellStyle name="Entrée 5 6 10" xfId="7862"/>
    <cellStyle name="Entrée 5 6 11" xfId="9666"/>
    <cellStyle name="Entrée 5 6 2" xfId="1824"/>
    <cellStyle name="Entrée 5 6 2 10" xfId="10002"/>
    <cellStyle name="Entrée 5 6 2 2" xfId="4742"/>
    <cellStyle name="Entrée 5 6 2 3" xfId="5721"/>
    <cellStyle name="Entrée 5 6 2 4" xfId="6229"/>
    <cellStyle name="Entrée 5 6 2 5" xfId="6716"/>
    <cellStyle name="Entrée 5 6 2 6" xfId="7199"/>
    <cellStyle name="Entrée 5 6 2 7" xfId="8268"/>
    <cellStyle name="Entrée 5 6 2 8" xfId="8769"/>
    <cellStyle name="Entrée 5 6 2 9" xfId="9263"/>
    <cellStyle name="Entrée 5 6 3" xfId="4392"/>
    <cellStyle name="Entrée 5 6 4" xfId="5384"/>
    <cellStyle name="Entrée 5 6 5" xfId="3397"/>
    <cellStyle name="Entrée 5 6 6" xfId="5148"/>
    <cellStyle name="Entrée 5 6 7" xfId="5283"/>
    <cellStyle name="Entrée 5 6 8" xfId="7932"/>
    <cellStyle name="Entrée 5 6 9" xfId="7615"/>
    <cellStyle name="Entrée 5 7" xfId="1572"/>
    <cellStyle name="Entrée 5 7 10" xfId="7724"/>
    <cellStyle name="Entrée 5 7 11" xfId="9769"/>
    <cellStyle name="Entrée 5 7 2" xfId="1919"/>
    <cellStyle name="Entrée 5 7 2 10" xfId="10097"/>
    <cellStyle name="Entrée 5 7 2 2" xfId="4837"/>
    <cellStyle name="Entrée 5 7 2 3" xfId="5816"/>
    <cellStyle name="Entrée 5 7 2 4" xfId="6324"/>
    <cellStyle name="Entrée 5 7 2 5" xfId="6811"/>
    <cellStyle name="Entrée 5 7 2 6" xfId="7294"/>
    <cellStyle name="Entrée 5 7 2 7" xfId="8363"/>
    <cellStyle name="Entrée 5 7 2 8" xfId="8864"/>
    <cellStyle name="Entrée 5 7 2 9" xfId="9358"/>
    <cellStyle name="Entrée 5 7 3" xfId="4495"/>
    <cellStyle name="Entrée 5 7 4" xfId="5487"/>
    <cellStyle name="Entrée 5 7 5" xfId="3311"/>
    <cellStyle name="Entrée 5 7 6" xfId="5037"/>
    <cellStyle name="Entrée 5 7 7" xfId="5239"/>
    <cellStyle name="Entrée 5 7 8" xfId="8035"/>
    <cellStyle name="Entrée 5 7 9" xfId="7513"/>
    <cellStyle name="Entrée 5 8" xfId="1486"/>
    <cellStyle name="Entrée 5 8 10" xfId="9683"/>
    <cellStyle name="Entrée 5 8 2" xfId="4409"/>
    <cellStyle name="Entrée 5 8 3" xfId="5401"/>
    <cellStyle name="Entrée 5 8 4" xfId="3257"/>
    <cellStyle name="Entrée 5 8 5" xfId="5062"/>
    <cellStyle name="Entrée 5 8 6" xfId="6015"/>
    <cellStyle name="Entrée 5 8 7" xfId="7949"/>
    <cellStyle name="Entrée 5 8 8" xfId="7599"/>
    <cellStyle name="Entrée 5 8 9" xfId="7752"/>
    <cellStyle name="Entrée 5 9" xfId="1420"/>
    <cellStyle name="Entrée 5 9 10" xfId="9619"/>
    <cellStyle name="Entrée 5 9 2" xfId="4344"/>
    <cellStyle name="Entrée 5 9 3" xfId="5337"/>
    <cellStyle name="Entrée 5 9 4" xfId="5044"/>
    <cellStyle name="Entrée 5 9 5" xfId="5268"/>
    <cellStyle name="Entrée 5 9 6" xfId="3184"/>
    <cellStyle name="Entrée 5 9 7" xfId="7885"/>
    <cellStyle name="Entrée 5 9 8" xfId="7655"/>
    <cellStyle name="Entrée 5 9 9" xfId="7833"/>
    <cellStyle name="Entrée 6" xfId="200"/>
    <cellStyle name="Entrée 6 2" xfId="885"/>
    <cellStyle name="Entrée 6 2 2" xfId="1926"/>
    <cellStyle name="Entrée 6 2 2 10" xfId="10104"/>
    <cellStyle name="Entrée 6 2 2 2" xfId="4844"/>
    <cellStyle name="Entrée 6 2 2 3" xfId="5823"/>
    <cellStyle name="Entrée 6 2 2 4" xfId="6331"/>
    <cellStyle name="Entrée 6 2 2 5" xfId="6818"/>
    <cellStyle name="Entrée 6 2 2 6" xfId="7301"/>
    <cellStyle name="Entrée 6 2 2 7" xfId="8370"/>
    <cellStyle name="Entrée 6 2 2 8" xfId="8871"/>
    <cellStyle name="Entrée 6 2 2 9" xfId="9365"/>
    <cellStyle name="Entrée 6 2 3" xfId="1579"/>
    <cellStyle name="Entrée 6 2 3 10" xfId="9776"/>
    <cellStyle name="Entrée 6 2 3 2" xfId="4502"/>
    <cellStyle name="Entrée 6 2 3 3" xfId="5494"/>
    <cellStyle name="Entrée 6 2 3 4" xfId="3318"/>
    <cellStyle name="Entrée 6 2 3 5" xfId="5120"/>
    <cellStyle name="Entrée 6 2 3 6" xfId="3227"/>
    <cellStyle name="Entrée 6 2 3 7" xfId="8042"/>
    <cellStyle name="Entrée 6 2 3 8" xfId="7506"/>
    <cellStyle name="Entrée 6 2 3 9" xfId="7731"/>
    <cellStyle name="Entrée 6 2 4" xfId="9569"/>
    <cellStyle name="Entrée 6 3" xfId="1541"/>
    <cellStyle name="Entrée 6 3 10" xfId="8557"/>
    <cellStyle name="Entrée 6 3 11" xfId="9738"/>
    <cellStyle name="Entrée 6 3 2" xfId="1888"/>
    <cellStyle name="Entrée 6 3 2 10" xfId="10066"/>
    <cellStyle name="Entrée 6 3 2 2" xfId="4806"/>
    <cellStyle name="Entrée 6 3 2 3" xfId="5785"/>
    <cellStyle name="Entrée 6 3 2 4" xfId="6293"/>
    <cellStyle name="Entrée 6 3 2 5" xfId="6780"/>
    <cellStyle name="Entrée 6 3 2 6" xfId="7263"/>
    <cellStyle name="Entrée 6 3 2 7" xfId="8332"/>
    <cellStyle name="Entrée 6 3 2 8" xfId="8833"/>
    <cellStyle name="Entrée 6 3 2 9" xfId="9327"/>
    <cellStyle name="Entrée 6 3 3" xfId="4464"/>
    <cellStyle name="Entrée 6 3 4" xfId="5456"/>
    <cellStyle name="Entrée 6 3 5" xfId="3287"/>
    <cellStyle name="Entrée 6 3 6" xfId="3363"/>
    <cellStyle name="Entrée 6 3 7" xfId="3811"/>
    <cellStyle name="Entrée 6 3 8" xfId="8004"/>
    <cellStyle name="Entrée 6 3 9" xfId="7544"/>
    <cellStyle name="Entrée 6 4" xfId="1481"/>
    <cellStyle name="Entrée 6 4 10" xfId="7671"/>
    <cellStyle name="Entrée 6 4 11" xfId="9678"/>
    <cellStyle name="Entrée 6 4 2" xfId="1832"/>
    <cellStyle name="Entrée 6 4 2 10" xfId="10010"/>
    <cellStyle name="Entrée 6 4 2 2" xfId="4750"/>
    <cellStyle name="Entrée 6 4 2 3" xfId="5729"/>
    <cellStyle name="Entrée 6 4 2 4" xfId="6237"/>
    <cellStyle name="Entrée 6 4 2 5" xfId="6724"/>
    <cellStyle name="Entrée 6 4 2 6" xfId="7207"/>
    <cellStyle name="Entrée 6 4 2 7" xfId="8276"/>
    <cellStyle name="Entrée 6 4 2 8" xfId="8777"/>
    <cellStyle name="Entrée 6 4 2 9" xfId="9271"/>
    <cellStyle name="Entrée 6 4 3" xfId="4404"/>
    <cellStyle name="Entrée 6 4 4" xfId="5396"/>
    <cellStyle name="Entrée 6 4 5" xfId="5139"/>
    <cellStyle name="Entrée 6 4 6" xfId="4720"/>
    <cellStyle name="Entrée 6 4 7" xfId="6032"/>
    <cellStyle name="Entrée 6 4 8" xfId="7944"/>
    <cellStyle name="Entrée 6 4 9" xfId="7788"/>
    <cellStyle name="Entrée 6 5" xfId="1560"/>
    <cellStyle name="Entrée 6 5 10" xfId="7713"/>
    <cellStyle name="Entrée 6 5 11" xfId="9757"/>
    <cellStyle name="Entrée 6 5 2" xfId="1907"/>
    <cellStyle name="Entrée 6 5 2 10" xfId="10085"/>
    <cellStyle name="Entrée 6 5 2 2" xfId="4825"/>
    <cellStyle name="Entrée 6 5 2 3" xfId="5804"/>
    <cellStyle name="Entrée 6 5 2 4" xfId="6312"/>
    <cellStyle name="Entrée 6 5 2 5" xfId="6799"/>
    <cellStyle name="Entrée 6 5 2 6" xfId="7282"/>
    <cellStyle name="Entrée 6 5 2 7" xfId="8351"/>
    <cellStyle name="Entrée 6 5 2 8" xfId="8852"/>
    <cellStyle name="Entrée 6 5 2 9" xfId="9346"/>
    <cellStyle name="Entrée 6 5 3" xfId="4483"/>
    <cellStyle name="Entrée 6 5 4" xfId="5475"/>
    <cellStyle name="Entrée 6 5 5" xfId="3300"/>
    <cellStyle name="Entrée 6 5 6" xfId="3448"/>
    <cellStyle name="Entrée 6 5 7" xfId="5257"/>
    <cellStyle name="Entrée 6 5 8" xfId="8023"/>
    <cellStyle name="Entrée 6 5 9" xfId="7525"/>
    <cellStyle name="Entrée 6 6" xfId="1468"/>
    <cellStyle name="Entrée 6 6 10" xfId="7784"/>
    <cellStyle name="Entrée 6 6 11" xfId="9665"/>
    <cellStyle name="Entrée 6 6 2" xfId="1823"/>
    <cellStyle name="Entrée 6 6 2 10" xfId="10001"/>
    <cellStyle name="Entrée 6 6 2 2" xfId="4741"/>
    <cellStyle name="Entrée 6 6 2 3" xfId="5720"/>
    <cellStyle name="Entrée 6 6 2 4" xfId="6228"/>
    <cellStyle name="Entrée 6 6 2 5" xfId="6715"/>
    <cellStyle name="Entrée 6 6 2 6" xfId="7198"/>
    <cellStyle name="Entrée 6 6 2 7" xfId="8267"/>
    <cellStyle name="Entrée 6 6 2 8" xfId="8768"/>
    <cellStyle name="Entrée 6 6 2 9" xfId="9262"/>
    <cellStyle name="Entrée 6 6 3" xfId="4391"/>
    <cellStyle name="Entrée 6 6 4" xfId="5383"/>
    <cellStyle name="Entrée 6 6 5" xfId="3372"/>
    <cellStyle name="Entrée 6 6 6" xfId="5308"/>
    <cellStyle name="Entrée 6 6 7" xfId="5051"/>
    <cellStyle name="Entrée 6 6 8" xfId="7931"/>
    <cellStyle name="Entrée 6 6 9" xfId="7778"/>
    <cellStyle name="Entrée 6 7" xfId="1573"/>
    <cellStyle name="Entrée 6 7 10" xfId="7725"/>
    <cellStyle name="Entrée 6 7 11" xfId="9770"/>
    <cellStyle name="Entrée 6 7 2" xfId="1920"/>
    <cellStyle name="Entrée 6 7 2 10" xfId="10098"/>
    <cellStyle name="Entrée 6 7 2 2" xfId="4838"/>
    <cellStyle name="Entrée 6 7 2 3" xfId="5817"/>
    <cellStyle name="Entrée 6 7 2 4" xfId="6325"/>
    <cellStyle name="Entrée 6 7 2 5" xfId="6812"/>
    <cellStyle name="Entrée 6 7 2 6" xfId="7295"/>
    <cellStyle name="Entrée 6 7 2 7" xfId="8364"/>
    <cellStyle name="Entrée 6 7 2 8" xfId="8865"/>
    <cellStyle name="Entrée 6 7 2 9" xfId="9359"/>
    <cellStyle name="Entrée 6 7 3" xfId="4496"/>
    <cellStyle name="Entrée 6 7 4" xfId="5488"/>
    <cellStyle name="Entrée 6 7 5" xfId="3312"/>
    <cellStyle name="Entrée 6 7 6" xfId="3359"/>
    <cellStyle name="Entrée 6 7 7" xfId="3225"/>
    <cellStyle name="Entrée 6 7 8" xfId="8036"/>
    <cellStyle name="Entrée 6 7 9" xfId="7512"/>
    <cellStyle name="Entrée 6 8" xfId="1487"/>
    <cellStyle name="Entrée 6 8 10" xfId="9684"/>
    <cellStyle name="Entrée 6 8 2" xfId="4410"/>
    <cellStyle name="Entrée 6 8 3" xfId="5402"/>
    <cellStyle name="Entrée 6 8 4" xfId="3364"/>
    <cellStyle name="Entrée 6 8 5" xfId="5077"/>
    <cellStyle name="Entrée 6 8 6" xfId="5222"/>
    <cellStyle name="Entrée 6 8 7" xfId="7950"/>
    <cellStyle name="Entrée 6 8 8" xfId="7598"/>
    <cellStyle name="Entrée 6 8 9" xfId="7868"/>
    <cellStyle name="Entrée 6 9" xfId="1421"/>
    <cellStyle name="Entrée 6 9 10" xfId="9620"/>
    <cellStyle name="Entrée 6 9 2" xfId="4345"/>
    <cellStyle name="Entrée 6 9 3" xfId="5338"/>
    <cellStyle name="Entrée 6 9 4" xfId="5163"/>
    <cellStyle name="Entrée 6 9 5" xfId="3239"/>
    <cellStyle name="Entrée 6 9 6" xfId="5286"/>
    <cellStyle name="Entrée 6 9 7" xfId="7886"/>
    <cellStyle name="Entrée 6 9 8" xfId="7654"/>
    <cellStyle name="Entrée 6 9 9" xfId="7763"/>
    <cellStyle name="Entrée 7" xfId="201"/>
    <cellStyle name="Entrée 7 2" xfId="886"/>
    <cellStyle name="Entrée 7 2 2" xfId="1927"/>
    <cellStyle name="Entrée 7 2 2 10" xfId="10105"/>
    <cellStyle name="Entrée 7 2 2 2" xfId="4845"/>
    <cellStyle name="Entrée 7 2 2 3" xfId="5824"/>
    <cellStyle name="Entrée 7 2 2 4" xfId="6332"/>
    <cellStyle name="Entrée 7 2 2 5" xfId="6819"/>
    <cellStyle name="Entrée 7 2 2 6" xfId="7302"/>
    <cellStyle name="Entrée 7 2 2 7" xfId="8371"/>
    <cellStyle name="Entrée 7 2 2 8" xfId="8872"/>
    <cellStyle name="Entrée 7 2 2 9" xfId="9366"/>
    <cellStyle name="Entrée 7 2 3" xfId="1580"/>
    <cellStyle name="Entrée 7 2 3 10" xfId="9777"/>
    <cellStyle name="Entrée 7 2 3 2" xfId="4503"/>
    <cellStyle name="Entrée 7 2 3 3" xfId="5495"/>
    <cellStyle name="Entrée 7 2 3 4" xfId="3319"/>
    <cellStyle name="Entrée 7 2 3 5" xfId="5067"/>
    <cellStyle name="Entrée 7 2 3 6" xfId="5235"/>
    <cellStyle name="Entrée 7 2 3 7" xfId="8043"/>
    <cellStyle name="Entrée 7 2 3 8" xfId="7505"/>
    <cellStyle name="Entrée 7 2 3 9" xfId="7732"/>
    <cellStyle name="Entrée 7 2 4" xfId="9570"/>
    <cellStyle name="Entrée 7 3" xfId="1542"/>
    <cellStyle name="Entrée 7 3 10" xfId="7701"/>
    <cellStyle name="Entrée 7 3 11" xfId="9739"/>
    <cellStyle name="Entrée 7 3 2" xfId="1889"/>
    <cellStyle name="Entrée 7 3 2 10" xfId="10067"/>
    <cellStyle name="Entrée 7 3 2 2" xfId="4807"/>
    <cellStyle name="Entrée 7 3 2 3" xfId="5786"/>
    <cellStyle name="Entrée 7 3 2 4" xfId="6294"/>
    <cellStyle name="Entrée 7 3 2 5" xfId="6781"/>
    <cellStyle name="Entrée 7 3 2 6" xfId="7264"/>
    <cellStyle name="Entrée 7 3 2 7" xfId="8333"/>
    <cellStyle name="Entrée 7 3 2 8" xfId="8834"/>
    <cellStyle name="Entrée 7 3 2 9" xfId="9328"/>
    <cellStyle name="Entrée 7 3 3" xfId="4465"/>
    <cellStyle name="Entrée 7 3 4" xfId="5457"/>
    <cellStyle name="Entrée 7 3 5" xfId="3288"/>
    <cellStyle name="Entrée 7 3 6" xfId="4735"/>
    <cellStyle name="Entrée 7 3 7" xfId="5264"/>
    <cellStyle name="Entrée 7 3 8" xfId="8005"/>
    <cellStyle name="Entrée 7 3 9" xfId="7543"/>
    <cellStyle name="Entrée 7 4" xfId="1480"/>
    <cellStyle name="Entrée 7 4 10" xfId="7670"/>
    <cellStyle name="Entrée 7 4 11" xfId="9677"/>
    <cellStyle name="Entrée 7 4 2" xfId="1831"/>
    <cellStyle name="Entrée 7 4 2 10" xfId="10009"/>
    <cellStyle name="Entrée 7 4 2 2" xfId="4749"/>
    <cellStyle name="Entrée 7 4 2 3" xfId="5728"/>
    <cellStyle name="Entrée 7 4 2 4" xfId="6236"/>
    <cellStyle name="Entrée 7 4 2 5" xfId="6723"/>
    <cellStyle name="Entrée 7 4 2 6" xfId="7206"/>
    <cellStyle name="Entrée 7 4 2 7" xfId="8275"/>
    <cellStyle name="Entrée 7 4 2 8" xfId="8776"/>
    <cellStyle name="Entrée 7 4 2 9" xfId="9270"/>
    <cellStyle name="Entrée 7 4 3" xfId="4403"/>
    <cellStyle name="Entrée 7 4 4" xfId="5395"/>
    <cellStyle name="Entrée 7 4 5" xfId="3180"/>
    <cellStyle name="Entrée 7 4 6" xfId="3851"/>
    <cellStyle name="Entrée 7 4 7" xfId="5199"/>
    <cellStyle name="Entrée 7 4 8" xfId="7943"/>
    <cellStyle name="Entrée 7 4 9" xfId="7604"/>
    <cellStyle name="Entrée 7 5" xfId="1561"/>
    <cellStyle name="Entrée 7 5 10" xfId="7714"/>
    <cellStyle name="Entrée 7 5 11" xfId="9758"/>
    <cellStyle name="Entrée 7 5 2" xfId="1908"/>
    <cellStyle name="Entrée 7 5 2 10" xfId="10086"/>
    <cellStyle name="Entrée 7 5 2 2" xfId="4826"/>
    <cellStyle name="Entrée 7 5 2 3" xfId="5805"/>
    <cellStyle name="Entrée 7 5 2 4" xfId="6313"/>
    <cellStyle name="Entrée 7 5 2 5" xfId="6800"/>
    <cellStyle name="Entrée 7 5 2 6" xfId="7283"/>
    <cellStyle name="Entrée 7 5 2 7" xfId="8352"/>
    <cellStyle name="Entrée 7 5 2 8" xfId="8853"/>
    <cellStyle name="Entrée 7 5 2 9" xfId="9347"/>
    <cellStyle name="Entrée 7 5 3" xfId="4484"/>
    <cellStyle name="Entrée 7 5 4" xfId="5476"/>
    <cellStyle name="Entrée 7 5 5" xfId="3301"/>
    <cellStyle name="Entrée 7 5 6" xfId="3398"/>
    <cellStyle name="Entrée 7 5 7" xfId="3211"/>
    <cellStyle name="Entrée 7 5 8" xfId="8024"/>
    <cellStyle name="Entrée 7 5 9" xfId="7524"/>
    <cellStyle name="Entrée 7 6" xfId="1467"/>
    <cellStyle name="Entrée 7 6 10" xfId="7861"/>
    <cellStyle name="Entrée 7 6 11" xfId="9664"/>
    <cellStyle name="Entrée 7 6 2" xfId="1822"/>
    <cellStyle name="Entrée 7 6 2 10" xfId="10000"/>
    <cellStyle name="Entrée 7 6 2 2" xfId="4740"/>
    <cellStyle name="Entrée 7 6 2 3" xfId="5719"/>
    <cellStyle name="Entrée 7 6 2 4" xfId="6227"/>
    <cellStyle name="Entrée 7 6 2 5" xfId="6714"/>
    <cellStyle name="Entrée 7 6 2 6" xfId="7197"/>
    <cellStyle name="Entrée 7 6 2 7" xfId="8266"/>
    <cellStyle name="Entrée 7 6 2 8" xfId="8767"/>
    <cellStyle name="Entrée 7 6 2 9" xfId="9261"/>
    <cellStyle name="Entrée 7 6 3" xfId="4390"/>
    <cellStyle name="Entrée 7 6 4" xfId="5382"/>
    <cellStyle name="Entrée 7 6 5" xfId="4737"/>
    <cellStyle name="Entrée 7 6 6" xfId="5147"/>
    <cellStyle name="Entrée 7 6 7" xfId="5203"/>
    <cellStyle name="Entrée 7 6 8" xfId="7930"/>
    <cellStyle name="Entrée 7 6 9" xfId="7616"/>
    <cellStyle name="Entrée 7 7" xfId="1574"/>
    <cellStyle name="Entrée 7 7 10" xfId="7726"/>
    <cellStyle name="Entrée 7 7 11" xfId="9771"/>
    <cellStyle name="Entrée 7 7 2" xfId="1921"/>
    <cellStyle name="Entrée 7 7 2 10" xfId="10099"/>
    <cellStyle name="Entrée 7 7 2 2" xfId="4839"/>
    <cellStyle name="Entrée 7 7 2 3" xfId="5818"/>
    <cellStyle name="Entrée 7 7 2 4" xfId="6326"/>
    <cellStyle name="Entrée 7 7 2 5" xfId="6813"/>
    <cellStyle name="Entrée 7 7 2 6" xfId="7296"/>
    <cellStyle name="Entrée 7 7 2 7" xfId="8365"/>
    <cellStyle name="Entrée 7 7 2 8" xfId="8866"/>
    <cellStyle name="Entrée 7 7 2 9" xfId="9360"/>
    <cellStyle name="Entrée 7 7 3" xfId="4497"/>
    <cellStyle name="Entrée 7 7 4" xfId="5489"/>
    <cellStyle name="Entrée 7 7 5" xfId="3313"/>
    <cellStyle name="Entrée 7 7 6" xfId="4733"/>
    <cellStyle name="Entrée 7 7 7" xfId="5238"/>
    <cellStyle name="Entrée 7 7 8" xfId="8037"/>
    <cellStyle name="Entrée 7 7 9" xfId="7511"/>
    <cellStyle name="Entrée 7 8" xfId="1488"/>
    <cellStyle name="Entrée 7 8 10" xfId="9685"/>
    <cellStyle name="Entrée 7 8 2" xfId="4411"/>
    <cellStyle name="Entrée 7 8 3" xfId="5403"/>
    <cellStyle name="Entrée 7 8 4" xfId="3350"/>
    <cellStyle name="Entrée 7 8 5" xfId="4685"/>
    <cellStyle name="Entrée 7 8 6" xfId="5220"/>
    <cellStyle name="Entrée 7 8 7" xfId="7951"/>
    <cellStyle name="Entrée 7 8 8" xfId="7597"/>
    <cellStyle name="Entrée 7 8 9" xfId="7866"/>
    <cellStyle name="Entrée 7 9" xfId="1422"/>
    <cellStyle name="Entrée 7 9 10" xfId="9621"/>
    <cellStyle name="Entrée 7 9 2" xfId="4346"/>
    <cellStyle name="Entrée 7 9 3" xfId="5339"/>
    <cellStyle name="Entrée 7 9 4" xfId="3464"/>
    <cellStyle name="Entrée 7 9 5" xfId="3185"/>
    <cellStyle name="Entrée 7 9 6" xfId="5204"/>
    <cellStyle name="Entrée 7 9 7" xfId="7887"/>
    <cellStyle name="Entrée 7 9 8" xfId="7653"/>
    <cellStyle name="Entrée 7 9 9" xfId="7838"/>
    <cellStyle name="Euro" xfId="202"/>
    <cellStyle name="Euro 2" xfId="377"/>
    <cellStyle name="Euro 2 2" xfId="1401"/>
    <cellStyle name="Euro 2 2 2" xfId="10391"/>
    <cellStyle name="Euro 2 3" xfId="10390"/>
    <cellStyle name="Euro 3" xfId="1402"/>
    <cellStyle name="Euro 3 2" xfId="10392"/>
    <cellStyle name="Euro 4" xfId="10393"/>
    <cellStyle name="Euro 5" xfId="10389"/>
    <cellStyle name="Euro_µCAT52-DOP_100654_0B_Evolutions BD" xfId="1400"/>
    <cellStyle name="Explanatory Text 2" xfId="38724"/>
    <cellStyle name="Explanatory Text 3" xfId="38725"/>
    <cellStyle name="Fix" xfId="10394"/>
    <cellStyle name="Fixé" xfId="203"/>
    <cellStyle name="Formule" xfId="38726"/>
    <cellStyle name="Formule 2" xfId="39231"/>
    <cellStyle name="Good 2" xfId="38727"/>
    <cellStyle name="H_Déf" xfId="204"/>
    <cellStyle name="H_Déf_0.1 Fiche descriptive" xfId="205"/>
    <cellStyle name="H_Déf_0.2 Organisation" xfId="206"/>
    <cellStyle name="H_Déf_1.1 Faits Marquants" xfId="207"/>
    <cellStyle name="H_Déf_1.1 Faits Marquants_1" xfId="208"/>
    <cellStyle name="H_Déf_1.2 Décisions-Actions" xfId="209"/>
    <cellStyle name="H_Déf_1.3 Indicateur Satisfaction" xfId="210"/>
    <cellStyle name="H_Déf_1.3 Indicateur Satisfaction_1" xfId="211"/>
    <cellStyle name="H_Déf_2.2 Jalons (Courbe à 45°)" xfId="212"/>
    <cellStyle name="H_Déf_2.2 Jalons (Courbe à 45°)_1" xfId="213"/>
    <cellStyle name="H_Déf_2.2 Jalons (Courbe à 45°)_2" xfId="214"/>
    <cellStyle name="H_Déf_2.2 Jalons (Courbe à 45°)_8.1 COP-CEP" xfId="215"/>
    <cellStyle name="H_Déf_2.5 Contrat" xfId="216"/>
    <cellStyle name="H_Déf_2.6 Obligations Client" xfId="217"/>
    <cellStyle name="H_Déf_2.7 Change Request" xfId="218"/>
    <cellStyle name="H_Déf_3.1 Risques" xfId="219"/>
    <cellStyle name="H_Déf_3.2 Opportunités" xfId="220"/>
    <cellStyle name="H_Déf_5.1 Charges - ressources" xfId="221"/>
    <cellStyle name="H_Déf_6 - Prochaines Etapes" xfId="222"/>
    <cellStyle name="H_Déf_7.10 Autres aspects" xfId="223"/>
    <cellStyle name="H_Déf_8.1 COP-CEP" xfId="224"/>
    <cellStyle name="H_Déf_8.2 Synthèse CPE CPP" xfId="225"/>
    <cellStyle name="H_Déf_8.3 CPE-CPP par lots" xfId="226"/>
    <cellStyle name="H_Déf_8.4 Courbe dépenses CPR-PPS" xfId="227"/>
    <cellStyle name="H_Déf_8.5 Situation financière" xfId="228"/>
    <cellStyle name="H_Déf_8.6 Rentabilité à terminaison" xfId="229"/>
    <cellStyle name="H_Déf_9 Administration" xfId="230"/>
    <cellStyle name="H_Déf_9 Administration_8.1 COP-CEP" xfId="231"/>
    <cellStyle name="H_Déf_Copie de 2005_06_23_TdB RRJ-DG FINAL" xfId="232"/>
    <cellStyle name="Heading 1 2" xfId="38728"/>
    <cellStyle name="Heading 2 2" xfId="38729"/>
    <cellStyle name="Heading 3 2" xfId="38730"/>
    <cellStyle name="Heading 4 2" xfId="38731"/>
    <cellStyle name="Hyperlink" xfId="233"/>
    <cellStyle name="Hyperlink 2" xfId="38732"/>
    <cellStyle name="Hyperlink 3" xfId="38733"/>
    <cellStyle name="Input 2" xfId="38734"/>
    <cellStyle name="Input 2 2" xfId="39239"/>
    <cellStyle name="Insatisfaisant 2" xfId="234"/>
    <cellStyle name="Insatisfaisant 3" xfId="235"/>
    <cellStyle name="Insatisfaisant 4" xfId="236"/>
    <cellStyle name="Insatisfaisant 5" xfId="237"/>
    <cellStyle name="Insatisfaisant 6" xfId="238"/>
    <cellStyle name="Insatisfaisant 7" xfId="239"/>
    <cellStyle name="Intermediate" xfId="38735"/>
    <cellStyle name="Intern" xfId="10395"/>
    <cellStyle name="Intern 2" xfId="38737"/>
    <cellStyle name="Intern 2 2" xfId="39241"/>
    <cellStyle name="Intern 3" xfId="38736"/>
    <cellStyle name="Intern 4" xfId="39240"/>
    <cellStyle name="Kalkuliert" xfId="10396"/>
    <cellStyle name="Kalkuliert %" xfId="10397"/>
    <cellStyle name="Kalkuliert PMK" xfId="10398"/>
    <cellStyle name="Kalkuliert_16.Headcount Airbus" xfId="38738"/>
    <cellStyle name="KalkuliertNurSenden" xfId="10399"/>
    <cellStyle name="KPMG Heading 1" xfId="38739"/>
    <cellStyle name="KPMG Heading 2" xfId="38740"/>
    <cellStyle name="KPMG Heading 3" xfId="38741"/>
    <cellStyle name="KPMG Heading 4" xfId="38742"/>
    <cellStyle name="KPMG Normal" xfId="38743"/>
    <cellStyle name="KPMG Normal Text" xfId="38744"/>
    <cellStyle name="Lien hypertexte 2" xfId="378"/>
    <cellStyle name="Linked Cell 2" xfId="38745"/>
    <cellStyle name="Masqué" xfId="240"/>
    <cellStyle name="Millares [0]_A380 EMPmar02" xfId="38746"/>
    <cellStyle name="Millares_A380 EMPmar02" xfId="38747"/>
    <cellStyle name="Milliers" xfId="39571" builtinId="3"/>
    <cellStyle name="Milliers 2" xfId="7"/>
    <cellStyle name="Milliers 2 2" xfId="379"/>
    <cellStyle name="Milliers 2 2 2" xfId="10402"/>
    <cellStyle name="Milliers 2 2 3" xfId="10403"/>
    <cellStyle name="Milliers 2 2 4" xfId="10401"/>
    <cellStyle name="Milliers 2 2 5" xfId="38749"/>
    <cellStyle name="Milliers 2 2 6" xfId="39242"/>
    <cellStyle name="Milliers 2 3" xfId="10404"/>
    <cellStyle name="Milliers 2 4" xfId="10405"/>
    <cellStyle name="Milliers 2 5" xfId="10406"/>
    <cellStyle name="Milliers 2 6" xfId="10400"/>
    <cellStyle name="Milliers 2 7" xfId="38748"/>
    <cellStyle name="Milliers 3" xfId="241"/>
    <cellStyle name="Milliers 3 2" xfId="10407"/>
    <cellStyle name="Milliers 3 2 2" xfId="38751"/>
    <cellStyle name="Milliers 3 2 3" xfId="39243"/>
    <cellStyle name="Milliers 3 3" xfId="38750"/>
    <cellStyle name="Milliers 4" xfId="1389"/>
    <cellStyle name="Milliers 4 2" xfId="10408"/>
    <cellStyle name="Milliers 4 3" xfId="38752"/>
    <cellStyle name="Milliers 4 4" xfId="39244"/>
    <cellStyle name="Milliers 5" xfId="38753"/>
    <cellStyle name="Moneda [0]_A380 EMPmar02" xfId="38754"/>
    <cellStyle name="Moneda_A380 EMPmar02" xfId="38755"/>
    <cellStyle name="Monétaire" xfId="39570" builtinId="4"/>
    <cellStyle name="Monétaire 2" xfId="8"/>
    <cellStyle name="Monétaire 2 2" xfId="10410"/>
    <cellStyle name="Monétaire 2 2 2" xfId="10411"/>
    <cellStyle name="Monétaire 2 2 2 2" xfId="10412"/>
    <cellStyle name="Monétaire 2 2 3" xfId="10413"/>
    <cellStyle name="Monétaire 2 3" xfId="10414"/>
    <cellStyle name="Monétaire 2 4" xfId="10415"/>
    <cellStyle name="Monétaire 2 4 2" xfId="10416"/>
    <cellStyle name="Monétaire 2 5" xfId="10409"/>
    <cellStyle name="Monétaire 3" xfId="375"/>
    <cellStyle name="Monétaire 3 2" xfId="1392"/>
    <cellStyle name="Monétaire 4" xfId="373"/>
    <cellStyle name="Monétaire 4 10" xfId="2301"/>
    <cellStyle name="Monétaire 4 2" xfId="407"/>
    <cellStyle name="Monétaire 4 2 2" xfId="440"/>
    <cellStyle name="Monétaire 4 2 2 2" xfId="500"/>
    <cellStyle name="Monétaire 4 2 2 2 2" xfId="672"/>
    <cellStyle name="Monétaire 4 2 2 2 2 2" xfId="1193"/>
    <cellStyle name="Monétaire 4 2 2 2 2 2 2" xfId="4125"/>
    <cellStyle name="Monétaire 4 2 2 2 2 2 3" xfId="2979"/>
    <cellStyle name="Monétaire 4 2 2 2 2 3" xfId="3616"/>
    <cellStyle name="Monétaire 4 2 2 2 2 4" xfId="2515"/>
    <cellStyle name="Monétaire 4 2 2 2 3" xfId="793"/>
    <cellStyle name="Monétaire 4 2 2 2 3 2" xfId="1314"/>
    <cellStyle name="Monétaire 4 2 2 2 3 2 2" xfId="4246"/>
    <cellStyle name="Monétaire 4 2 2 2 3 2 3" xfId="3100"/>
    <cellStyle name="Monétaire 4 2 2 2 3 3" xfId="3737"/>
    <cellStyle name="Monétaire 4 2 2 2 3 4" xfId="2636"/>
    <cellStyle name="Monétaire 4 2 2 2 4" xfId="1021"/>
    <cellStyle name="Monétaire 4 2 2 2 4 2" xfId="3954"/>
    <cellStyle name="Monétaire 4 2 2 2 4 3" xfId="2812"/>
    <cellStyle name="Monétaire 4 2 2 2 5" xfId="3446"/>
    <cellStyle name="Monétaire 4 2 2 2 6" xfId="2353"/>
    <cellStyle name="Monétaire 4 2 2 3" xfId="612"/>
    <cellStyle name="Monétaire 4 2 2 3 2" xfId="1133"/>
    <cellStyle name="Monétaire 4 2 2 3 2 2" xfId="4065"/>
    <cellStyle name="Monétaire 4 2 2 3 2 3" xfId="2919"/>
    <cellStyle name="Monétaire 4 2 2 3 3" xfId="3556"/>
    <cellStyle name="Monétaire 4 2 2 3 4" xfId="2455"/>
    <cellStyle name="Monétaire 4 2 2 4" xfId="733"/>
    <cellStyle name="Monétaire 4 2 2 4 2" xfId="1254"/>
    <cellStyle name="Monétaire 4 2 2 4 2 2" xfId="4186"/>
    <cellStyle name="Monétaire 4 2 2 4 2 3" xfId="3040"/>
    <cellStyle name="Monétaire 4 2 2 4 3" xfId="3677"/>
    <cellStyle name="Monétaire 4 2 2 4 4" xfId="2576"/>
    <cellStyle name="Monétaire 4 2 2 5" xfId="961"/>
    <cellStyle name="Monétaire 4 2 2 5 2" xfId="3894"/>
    <cellStyle name="Monétaire 4 2 2 5 3" xfId="2752"/>
    <cellStyle name="Monétaire 4 2 2 6" xfId="3396"/>
    <cellStyle name="Monétaire 4 2 2 7" xfId="2315"/>
    <cellStyle name="Monétaire 4 2 3" xfId="470"/>
    <cellStyle name="Monétaire 4 2 3 2" xfId="642"/>
    <cellStyle name="Monétaire 4 2 3 2 2" xfId="1163"/>
    <cellStyle name="Monétaire 4 2 3 2 2 2" xfId="4095"/>
    <cellStyle name="Monétaire 4 2 3 2 2 3" xfId="2949"/>
    <cellStyle name="Monétaire 4 2 3 2 3" xfId="3586"/>
    <cellStyle name="Monétaire 4 2 3 2 4" xfId="2485"/>
    <cellStyle name="Monétaire 4 2 3 3" xfId="763"/>
    <cellStyle name="Monétaire 4 2 3 3 2" xfId="1284"/>
    <cellStyle name="Monétaire 4 2 3 3 2 2" xfId="4216"/>
    <cellStyle name="Monétaire 4 2 3 3 2 3" xfId="3070"/>
    <cellStyle name="Monétaire 4 2 3 3 3" xfId="3707"/>
    <cellStyle name="Monétaire 4 2 3 3 4" xfId="2606"/>
    <cellStyle name="Monétaire 4 2 3 4" xfId="991"/>
    <cellStyle name="Monétaire 4 2 3 4 2" xfId="3924"/>
    <cellStyle name="Monétaire 4 2 3 4 3" xfId="2782"/>
    <cellStyle name="Monétaire 4 2 3 5" xfId="3420"/>
    <cellStyle name="Monétaire 4 2 3 6" xfId="2331"/>
    <cellStyle name="Monétaire 4 2 4" xfId="582"/>
    <cellStyle name="Monétaire 4 2 4 2" xfId="1103"/>
    <cellStyle name="Monétaire 4 2 4 2 2" xfId="4035"/>
    <cellStyle name="Monétaire 4 2 4 2 3" xfId="2889"/>
    <cellStyle name="Monétaire 4 2 4 3" xfId="3526"/>
    <cellStyle name="Monétaire 4 2 4 4" xfId="2425"/>
    <cellStyle name="Monétaire 4 2 5" xfId="703"/>
    <cellStyle name="Monétaire 4 2 5 2" xfId="1224"/>
    <cellStyle name="Monétaire 4 2 5 2 2" xfId="4156"/>
    <cellStyle name="Monétaire 4 2 5 2 3" xfId="3010"/>
    <cellStyle name="Monétaire 4 2 5 3" xfId="3647"/>
    <cellStyle name="Monétaire 4 2 5 4" xfId="2546"/>
    <cellStyle name="Monétaire 4 2 6" xfId="931"/>
    <cellStyle name="Monétaire 4 2 6 2" xfId="3864"/>
    <cellStyle name="Monétaire 4 2 6 3" xfId="2722"/>
    <cellStyle name="Monétaire 4 2 7" xfId="3371"/>
    <cellStyle name="Monétaire 4 2 8" xfId="2304"/>
    <cellStyle name="Monétaire 4 3" xfId="421"/>
    <cellStyle name="Monétaire 4 3 2" xfId="451"/>
    <cellStyle name="Monétaire 4 3 2 2" xfId="511"/>
    <cellStyle name="Monétaire 4 3 2 2 2" xfId="683"/>
    <cellStyle name="Monétaire 4 3 2 2 2 2" xfId="1204"/>
    <cellStyle name="Monétaire 4 3 2 2 2 2 2" xfId="4136"/>
    <cellStyle name="Monétaire 4 3 2 2 2 2 3" xfId="2990"/>
    <cellStyle name="Monétaire 4 3 2 2 2 3" xfId="3627"/>
    <cellStyle name="Monétaire 4 3 2 2 2 4" xfId="2526"/>
    <cellStyle name="Monétaire 4 3 2 2 3" xfId="804"/>
    <cellStyle name="Monétaire 4 3 2 2 3 2" xfId="1325"/>
    <cellStyle name="Monétaire 4 3 2 2 3 2 2" xfId="4257"/>
    <cellStyle name="Monétaire 4 3 2 2 3 2 3" xfId="3111"/>
    <cellStyle name="Monétaire 4 3 2 2 3 3" xfId="3748"/>
    <cellStyle name="Monétaire 4 3 2 2 3 4" xfId="2647"/>
    <cellStyle name="Monétaire 4 3 2 2 4" xfId="1032"/>
    <cellStyle name="Monétaire 4 3 2 2 4 2" xfId="3965"/>
    <cellStyle name="Monétaire 4 3 2 2 4 3" xfId="2823"/>
    <cellStyle name="Monétaire 4 3 2 2 5" xfId="3456"/>
    <cellStyle name="Monétaire 4 3 2 2 6" xfId="2359"/>
    <cellStyle name="Monétaire 4 3 2 3" xfId="623"/>
    <cellStyle name="Monétaire 4 3 2 3 2" xfId="1144"/>
    <cellStyle name="Monétaire 4 3 2 3 2 2" xfId="4076"/>
    <cellStyle name="Monétaire 4 3 2 3 2 3" xfId="2930"/>
    <cellStyle name="Monétaire 4 3 2 3 3" xfId="3567"/>
    <cellStyle name="Monétaire 4 3 2 3 4" xfId="2466"/>
    <cellStyle name="Monétaire 4 3 2 4" xfId="744"/>
    <cellStyle name="Monétaire 4 3 2 4 2" xfId="1265"/>
    <cellStyle name="Monétaire 4 3 2 4 2 2" xfId="4197"/>
    <cellStyle name="Monétaire 4 3 2 4 2 3" xfId="3051"/>
    <cellStyle name="Monétaire 4 3 2 4 3" xfId="3688"/>
    <cellStyle name="Monétaire 4 3 2 4 4" xfId="2587"/>
    <cellStyle name="Monétaire 4 3 2 5" xfId="972"/>
    <cellStyle name="Monétaire 4 3 2 5 2" xfId="3905"/>
    <cellStyle name="Monétaire 4 3 2 5 3" xfId="2763"/>
    <cellStyle name="Monétaire 4 3 2 6" xfId="3405"/>
    <cellStyle name="Monétaire 4 3 2 7" xfId="2319"/>
    <cellStyle name="Monétaire 4 3 3" xfId="481"/>
    <cellStyle name="Monétaire 4 3 3 2" xfId="653"/>
    <cellStyle name="Monétaire 4 3 3 2 2" xfId="1174"/>
    <cellStyle name="Monétaire 4 3 3 2 2 2" xfId="4106"/>
    <cellStyle name="Monétaire 4 3 3 2 2 3" xfId="2960"/>
    <cellStyle name="Monétaire 4 3 3 2 3" xfId="3597"/>
    <cellStyle name="Monétaire 4 3 3 2 4" xfId="2496"/>
    <cellStyle name="Monétaire 4 3 3 3" xfId="774"/>
    <cellStyle name="Monétaire 4 3 3 3 2" xfId="1295"/>
    <cellStyle name="Monétaire 4 3 3 3 2 2" xfId="4227"/>
    <cellStyle name="Monétaire 4 3 3 3 2 3" xfId="3081"/>
    <cellStyle name="Monétaire 4 3 3 3 3" xfId="3718"/>
    <cellStyle name="Monétaire 4 3 3 3 4" xfId="2617"/>
    <cellStyle name="Monétaire 4 3 3 4" xfId="1002"/>
    <cellStyle name="Monétaire 4 3 3 4 2" xfId="3935"/>
    <cellStyle name="Monétaire 4 3 3 4 3" xfId="2793"/>
    <cellStyle name="Monétaire 4 3 3 5" xfId="3430"/>
    <cellStyle name="Monétaire 4 3 3 6" xfId="2337"/>
    <cellStyle name="Monétaire 4 3 4" xfId="593"/>
    <cellStyle name="Monétaire 4 3 4 2" xfId="1114"/>
    <cellStyle name="Monétaire 4 3 4 2 2" xfId="4046"/>
    <cellStyle name="Monétaire 4 3 4 2 3" xfId="2900"/>
    <cellStyle name="Monétaire 4 3 4 3" xfId="3537"/>
    <cellStyle name="Monétaire 4 3 4 4" xfId="2436"/>
    <cellStyle name="Monétaire 4 3 5" xfId="714"/>
    <cellStyle name="Monétaire 4 3 5 2" xfId="1235"/>
    <cellStyle name="Monétaire 4 3 5 2 2" xfId="4167"/>
    <cellStyle name="Monétaire 4 3 5 2 3" xfId="3021"/>
    <cellStyle name="Monétaire 4 3 5 3" xfId="3658"/>
    <cellStyle name="Monétaire 4 3 5 4" xfId="2557"/>
    <cellStyle name="Monétaire 4 3 6" xfId="942"/>
    <cellStyle name="Monétaire 4 3 6 2" xfId="3875"/>
    <cellStyle name="Monétaire 4 3 6 3" xfId="2733"/>
    <cellStyle name="Monétaire 4 3 7" xfId="3382"/>
    <cellStyle name="Monétaire 4 3 8" xfId="2308"/>
    <cellStyle name="Monétaire 4 4" xfId="429"/>
    <cellStyle name="Monétaire 4 4 2" xfId="489"/>
    <cellStyle name="Monétaire 4 4 2 2" xfId="661"/>
    <cellStyle name="Monétaire 4 4 2 2 2" xfId="1182"/>
    <cellStyle name="Monétaire 4 4 2 2 2 2" xfId="4114"/>
    <cellStyle name="Monétaire 4 4 2 2 2 3" xfId="2968"/>
    <cellStyle name="Monétaire 4 4 2 2 3" xfId="3605"/>
    <cellStyle name="Monétaire 4 4 2 2 4" xfId="2504"/>
    <cellStyle name="Monétaire 4 4 2 3" xfId="782"/>
    <cellStyle name="Monétaire 4 4 2 3 2" xfId="1303"/>
    <cellStyle name="Monétaire 4 4 2 3 2 2" xfId="4235"/>
    <cellStyle name="Monétaire 4 4 2 3 2 3" xfId="3089"/>
    <cellStyle name="Monétaire 4 4 2 3 3" xfId="3726"/>
    <cellStyle name="Monétaire 4 4 2 3 4" xfId="2625"/>
    <cellStyle name="Monétaire 4 4 2 4" xfId="1010"/>
    <cellStyle name="Monétaire 4 4 2 4 2" xfId="3943"/>
    <cellStyle name="Monétaire 4 4 2 4 3" xfId="2801"/>
    <cellStyle name="Monétaire 4 4 2 5" xfId="3438"/>
    <cellStyle name="Monétaire 4 4 2 6" xfId="2345"/>
    <cellStyle name="Monétaire 4 4 3" xfId="601"/>
    <cellStyle name="Monétaire 4 4 3 2" xfId="1122"/>
    <cellStyle name="Monétaire 4 4 3 2 2" xfId="4054"/>
    <cellStyle name="Monétaire 4 4 3 2 3" xfId="2908"/>
    <cellStyle name="Monétaire 4 4 3 3" xfId="3545"/>
    <cellStyle name="Monétaire 4 4 3 4" xfId="2444"/>
    <cellStyle name="Monétaire 4 4 4" xfId="722"/>
    <cellStyle name="Monétaire 4 4 4 2" xfId="1243"/>
    <cellStyle name="Monétaire 4 4 4 2 2" xfId="4175"/>
    <cellStyle name="Monétaire 4 4 4 2 3" xfId="3029"/>
    <cellStyle name="Monétaire 4 4 4 3" xfId="3666"/>
    <cellStyle name="Monétaire 4 4 4 4" xfId="2565"/>
    <cellStyle name="Monétaire 4 4 5" xfId="950"/>
    <cellStyle name="Monétaire 4 4 5 2" xfId="3883"/>
    <cellStyle name="Monétaire 4 4 5 3" xfId="2741"/>
    <cellStyle name="Monétaire 4 4 6" xfId="3389"/>
    <cellStyle name="Monétaire 4 4 7" xfId="2311"/>
    <cellStyle name="Monétaire 4 5" xfId="459"/>
    <cellStyle name="Monétaire 4 5 2" xfId="631"/>
    <cellStyle name="Monétaire 4 5 2 2" xfId="1152"/>
    <cellStyle name="Monétaire 4 5 2 2 2" xfId="4084"/>
    <cellStyle name="Monétaire 4 5 2 2 3" xfId="2938"/>
    <cellStyle name="Monétaire 4 5 2 3" xfId="3575"/>
    <cellStyle name="Monétaire 4 5 2 4" xfId="2474"/>
    <cellStyle name="Monétaire 4 5 3" xfId="752"/>
    <cellStyle name="Monétaire 4 5 3 2" xfId="1273"/>
    <cellStyle name="Monétaire 4 5 3 2 2" xfId="4205"/>
    <cellStyle name="Monétaire 4 5 3 2 3" xfId="3059"/>
    <cellStyle name="Monétaire 4 5 3 3" xfId="3696"/>
    <cellStyle name="Monétaire 4 5 3 4" xfId="2595"/>
    <cellStyle name="Monétaire 4 5 4" xfId="980"/>
    <cellStyle name="Monétaire 4 5 4 2" xfId="3913"/>
    <cellStyle name="Monétaire 4 5 4 3" xfId="2771"/>
    <cellStyle name="Monétaire 4 5 5" xfId="3412"/>
    <cellStyle name="Monétaire 4 5 6" xfId="2323"/>
    <cellStyle name="Monétaire 4 6" xfId="569"/>
    <cellStyle name="Monétaire 4 6 2" xfId="1090"/>
    <cellStyle name="Monétaire 4 6 2 2" xfId="4022"/>
    <cellStyle name="Monétaire 4 6 2 3" xfId="2876"/>
    <cellStyle name="Monétaire 4 6 3" xfId="3513"/>
    <cellStyle name="Monétaire 4 6 4" xfId="2412"/>
    <cellStyle name="Monétaire 4 7" xfId="692"/>
    <cellStyle name="Monétaire 4 7 2" xfId="1213"/>
    <cellStyle name="Monétaire 4 7 2 2" xfId="4145"/>
    <cellStyle name="Monétaire 4 7 2 3" xfId="2999"/>
    <cellStyle name="Monétaire 4 7 3" xfId="3636"/>
    <cellStyle name="Monétaire 4 7 4" xfId="2535"/>
    <cellStyle name="Monétaire 4 8" xfId="920"/>
    <cellStyle name="Monétaire 4 8 2" xfId="3853"/>
    <cellStyle name="Monétaire 4 8 3" xfId="2711"/>
    <cellStyle name="Monétaire 4 9" xfId="3352"/>
    <cellStyle name="Monétaire 5" xfId="414"/>
    <cellStyle name="Monétaire 6" xfId="418"/>
    <cellStyle name="Monétaire 6 2" xfId="448"/>
    <cellStyle name="Monétaire 6 2 2" xfId="508"/>
    <cellStyle name="Monétaire 6 2 2 2" xfId="680"/>
    <cellStyle name="Monétaire 6 2 2 2 2" xfId="1201"/>
    <cellStyle name="Monétaire 6 2 2 2 2 2" xfId="4133"/>
    <cellStyle name="Monétaire 6 2 2 2 2 3" xfId="2987"/>
    <cellStyle name="Monétaire 6 2 2 2 3" xfId="3624"/>
    <cellStyle name="Monétaire 6 2 2 2 4" xfId="2523"/>
    <cellStyle name="Monétaire 6 2 2 3" xfId="801"/>
    <cellStyle name="Monétaire 6 2 2 3 2" xfId="1322"/>
    <cellStyle name="Monétaire 6 2 2 3 2 2" xfId="4254"/>
    <cellStyle name="Monétaire 6 2 2 3 2 3" xfId="3108"/>
    <cellStyle name="Monétaire 6 2 2 3 3" xfId="3745"/>
    <cellStyle name="Monétaire 6 2 2 3 4" xfId="2644"/>
    <cellStyle name="Monétaire 6 2 2 4" xfId="1029"/>
    <cellStyle name="Monétaire 6 2 2 4 2" xfId="3962"/>
    <cellStyle name="Monétaire 6 2 2 4 3" xfId="2820"/>
    <cellStyle name="Monétaire 6 2 2 5" xfId="3453"/>
    <cellStyle name="Monétaire 6 2 2 6" xfId="2356"/>
    <cellStyle name="Monétaire 6 2 3" xfId="620"/>
    <cellStyle name="Monétaire 6 2 3 2" xfId="1141"/>
    <cellStyle name="Monétaire 6 2 3 2 2" xfId="4073"/>
    <cellStyle name="Monétaire 6 2 3 2 3" xfId="2927"/>
    <cellStyle name="Monétaire 6 2 3 3" xfId="3564"/>
    <cellStyle name="Monétaire 6 2 3 4" xfId="2463"/>
    <cellStyle name="Monétaire 6 2 4" xfId="741"/>
    <cellStyle name="Monétaire 6 2 4 2" xfId="1262"/>
    <cellStyle name="Monétaire 6 2 4 2 2" xfId="4194"/>
    <cellStyle name="Monétaire 6 2 4 2 3" xfId="3048"/>
    <cellStyle name="Monétaire 6 2 4 3" xfId="3685"/>
    <cellStyle name="Monétaire 6 2 4 4" xfId="2584"/>
    <cellStyle name="Monétaire 6 2 5" xfId="969"/>
    <cellStyle name="Monétaire 6 2 5 2" xfId="3902"/>
    <cellStyle name="Monétaire 6 2 5 3" xfId="2760"/>
    <cellStyle name="Monétaire 6 2 6" xfId="3402"/>
    <cellStyle name="Monétaire 6 2 7" xfId="2316"/>
    <cellStyle name="Monétaire 6 3" xfId="478"/>
    <cellStyle name="Monétaire 6 3 2" xfId="650"/>
    <cellStyle name="Monétaire 6 3 2 2" xfId="1171"/>
    <cellStyle name="Monétaire 6 3 2 2 2" xfId="4103"/>
    <cellStyle name="Monétaire 6 3 2 2 3" xfId="2957"/>
    <cellStyle name="Monétaire 6 3 2 3" xfId="3594"/>
    <cellStyle name="Monétaire 6 3 2 4" xfId="2493"/>
    <cellStyle name="Monétaire 6 3 3" xfId="771"/>
    <cellStyle name="Monétaire 6 3 3 2" xfId="1292"/>
    <cellStyle name="Monétaire 6 3 3 2 2" xfId="4224"/>
    <cellStyle name="Monétaire 6 3 3 2 3" xfId="3078"/>
    <cellStyle name="Monétaire 6 3 3 3" xfId="3715"/>
    <cellStyle name="Monétaire 6 3 3 4" xfId="2614"/>
    <cellStyle name="Monétaire 6 3 4" xfId="999"/>
    <cellStyle name="Monétaire 6 3 4 2" xfId="3932"/>
    <cellStyle name="Monétaire 6 3 4 3" xfId="2790"/>
    <cellStyle name="Monétaire 6 3 5" xfId="3427"/>
    <cellStyle name="Monétaire 6 3 6" xfId="2334"/>
    <cellStyle name="Monétaire 6 4" xfId="590"/>
    <cellStyle name="Monétaire 6 4 2" xfId="1111"/>
    <cellStyle name="Monétaire 6 4 2 2" xfId="4043"/>
    <cellStyle name="Monétaire 6 4 2 3" xfId="2897"/>
    <cellStyle name="Monétaire 6 4 3" xfId="3534"/>
    <cellStyle name="Monétaire 6 4 4" xfId="2433"/>
    <cellStyle name="Monétaire 6 5" xfId="711"/>
    <cellStyle name="Monétaire 6 5 2" xfId="1232"/>
    <cellStyle name="Monétaire 6 5 2 2" xfId="4164"/>
    <cellStyle name="Monétaire 6 5 2 3" xfId="3018"/>
    <cellStyle name="Monétaire 6 5 3" xfId="3655"/>
    <cellStyle name="Monétaire 6 5 4" xfId="2554"/>
    <cellStyle name="Monétaire 6 6" xfId="939"/>
    <cellStyle name="Monétaire 6 6 2" xfId="3872"/>
    <cellStyle name="Monétaire 6 6 3" xfId="2730"/>
    <cellStyle name="Monétaire 6 7" xfId="3379"/>
    <cellStyle name="Monétaire 6 8" xfId="2305"/>
    <cellStyle name="Monétaire 7" xfId="39226"/>
    <cellStyle name="Nb_décimal" xfId="242"/>
    <cellStyle name="Neutral 2" xfId="38756"/>
    <cellStyle name="Neutre 2" xfId="243"/>
    <cellStyle name="Neutre 3" xfId="244"/>
    <cellStyle name="Neutre 4" xfId="245"/>
    <cellStyle name="Neutre 5" xfId="246"/>
    <cellStyle name="Neutre 6" xfId="247"/>
    <cellStyle name="Neutre 7" xfId="248"/>
    <cellStyle name="NEW_equipement" xfId="249"/>
    <cellStyle name="Niveau_1" xfId="250"/>
    <cellStyle name="Non modifiable" xfId="251"/>
    <cellStyle name="Normal" xfId="0" builtinId="0"/>
    <cellStyle name="Normal - Style1" xfId="252"/>
    <cellStyle name="Normal 10" xfId="380"/>
    <cellStyle name="Normal 10 2" xfId="2031"/>
    <cellStyle name="Normal 10 2 2" xfId="2165"/>
    <cellStyle name="Normal 10 2 2 2" xfId="2263"/>
    <cellStyle name="Normal 10 2 3" xfId="2214"/>
    <cellStyle name="Normal 10 2 4" xfId="10417"/>
    <cellStyle name="Normal 10 3" xfId="2146"/>
    <cellStyle name="Normal 10 3 2" xfId="2244"/>
    <cellStyle name="Normal 10 4" xfId="2195"/>
    <cellStyle name="Normal 10 5" xfId="1699"/>
    <cellStyle name="Normal 100" xfId="825"/>
    <cellStyle name="Normal 100 2" xfId="1345"/>
    <cellStyle name="Normal 100 2 2" xfId="4277"/>
    <cellStyle name="Normal 100 2 3" xfId="3131"/>
    <cellStyle name="Normal 100 3" xfId="3768"/>
    <cellStyle name="Normal 100 4" xfId="2667"/>
    <cellStyle name="Normal 101" xfId="826"/>
    <cellStyle name="Normal 101 2" xfId="1346"/>
    <cellStyle name="Normal 101 2 2" xfId="4278"/>
    <cellStyle name="Normal 101 2 3" xfId="3132"/>
    <cellStyle name="Normal 101 3" xfId="3769"/>
    <cellStyle name="Normal 101 4" xfId="2668"/>
    <cellStyle name="Normal 102" xfId="827"/>
    <cellStyle name="Normal 102 2" xfId="1347"/>
    <cellStyle name="Normal 102 2 2" xfId="4279"/>
    <cellStyle name="Normal 102 2 3" xfId="3133"/>
    <cellStyle name="Normal 102 3" xfId="3770"/>
    <cellStyle name="Normal 102 4" xfId="2669"/>
    <cellStyle name="Normal 103" xfId="828"/>
    <cellStyle name="Normal 103 2" xfId="1348"/>
    <cellStyle name="Normal 103 2 2" xfId="4280"/>
    <cellStyle name="Normal 103 2 3" xfId="3134"/>
    <cellStyle name="Normal 103 3" xfId="3771"/>
    <cellStyle name="Normal 103 4" xfId="2670"/>
    <cellStyle name="Normal 104" xfId="829"/>
    <cellStyle name="Normal 104 2" xfId="1349"/>
    <cellStyle name="Normal 104 2 2" xfId="4281"/>
    <cellStyle name="Normal 104 2 3" xfId="3135"/>
    <cellStyle name="Normal 104 3" xfId="3772"/>
    <cellStyle name="Normal 104 4" xfId="2671"/>
    <cellStyle name="Normal 105" xfId="830"/>
    <cellStyle name="Normal 105 2" xfId="1350"/>
    <cellStyle name="Normal 105 2 2" xfId="4282"/>
    <cellStyle name="Normal 105 2 3" xfId="3136"/>
    <cellStyle name="Normal 105 3" xfId="3773"/>
    <cellStyle name="Normal 105 4" xfId="2672"/>
    <cellStyle name="Normal 106" xfId="831"/>
    <cellStyle name="Normal 106 2" xfId="1351"/>
    <cellStyle name="Normal 106 2 2" xfId="4283"/>
    <cellStyle name="Normal 106 2 3" xfId="3137"/>
    <cellStyle name="Normal 106 3" xfId="3774"/>
    <cellStyle name="Normal 106 4" xfId="2673"/>
    <cellStyle name="Normal 107" xfId="832"/>
    <cellStyle name="Normal 107 2" xfId="1352"/>
    <cellStyle name="Normal 107 2 2" xfId="4284"/>
    <cellStyle name="Normal 107 2 3" xfId="3138"/>
    <cellStyle name="Normal 107 3" xfId="3775"/>
    <cellStyle name="Normal 107 4" xfId="2674"/>
    <cellStyle name="Normal 108" xfId="833"/>
    <cellStyle name="Normal 108 2" xfId="1353"/>
    <cellStyle name="Normal 108 2 2" xfId="4285"/>
    <cellStyle name="Normal 108 2 3" xfId="3139"/>
    <cellStyle name="Normal 108 3" xfId="3776"/>
    <cellStyle name="Normal 108 4" xfId="2675"/>
    <cellStyle name="Normal 109" xfId="834"/>
    <cellStyle name="Normal 109 2" xfId="1354"/>
    <cellStyle name="Normal 109 2 2" xfId="4286"/>
    <cellStyle name="Normal 109 2 3" xfId="3140"/>
    <cellStyle name="Normal 109 3" xfId="3777"/>
    <cellStyle name="Normal 109 4" xfId="2676"/>
    <cellStyle name="Normal 11" xfId="381"/>
    <cellStyle name="Normal 11 2" xfId="2059"/>
    <cellStyle name="Normal 11 2 2" xfId="2166"/>
    <cellStyle name="Normal 11 2 2 2" xfId="2264"/>
    <cellStyle name="Normal 11 2 3" xfId="2215"/>
    <cellStyle name="Normal 11 3" xfId="2147"/>
    <cellStyle name="Normal 11 3 2" xfId="2245"/>
    <cellStyle name="Normal 11 4" xfId="2196"/>
    <cellStyle name="Normal 11 5" xfId="1729"/>
    <cellStyle name="Normal 110" xfId="835"/>
    <cellStyle name="Normal 110 2" xfId="1355"/>
    <cellStyle name="Normal 110 2 2" xfId="4287"/>
    <cellStyle name="Normal 110 2 3" xfId="3141"/>
    <cellStyle name="Normal 110 3" xfId="3778"/>
    <cellStyle name="Normal 110 4" xfId="2677"/>
    <cellStyle name="Normal 111" xfId="836"/>
    <cellStyle name="Normal 111 2" xfId="1356"/>
    <cellStyle name="Normal 111 2 2" xfId="4288"/>
    <cellStyle name="Normal 111 2 3" xfId="3142"/>
    <cellStyle name="Normal 111 3" xfId="3779"/>
    <cellStyle name="Normal 111 4" xfId="2678"/>
    <cellStyle name="Normal 112" xfId="837"/>
    <cellStyle name="Normal 112 2" xfId="1357"/>
    <cellStyle name="Normal 112 2 2" xfId="4289"/>
    <cellStyle name="Normal 112 2 3" xfId="3143"/>
    <cellStyle name="Normal 112 3" xfId="3780"/>
    <cellStyle name="Normal 112 4" xfId="2679"/>
    <cellStyle name="Normal 113" xfId="838"/>
    <cellStyle name="Normal 113 2" xfId="1358"/>
    <cellStyle name="Normal 113 2 2" xfId="4290"/>
    <cellStyle name="Normal 113 2 3" xfId="3144"/>
    <cellStyle name="Normal 113 3" xfId="3781"/>
    <cellStyle name="Normal 113 4" xfId="2680"/>
    <cellStyle name="Normal 114" xfId="839"/>
    <cellStyle name="Normal 114 2" xfId="1359"/>
    <cellStyle name="Normal 114 2 2" xfId="4291"/>
    <cellStyle name="Normal 114 2 3" xfId="3145"/>
    <cellStyle name="Normal 114 3" xfId="3782"/>
    <cellStyle name="Normal 114 4" xfId="2681"/>
    <cellStyle name="Normal 115" xfId="840"/>
    <cellStyle name="Normal 115 2" xfId="1360"/>
    <cellStyle name="Normal 115 2 2" xfId="4292"/>
    <cellStyle name="Normal 115 2 3" xfId="3146"/>
    <cellStyle name="Normal 115 3" xfId="3783"/>
    <cellStyle name="Normal 115 4" xfId="2682"/>
    <cellStyle name="Normal 116" xfId="841"/>
    <cellStyle name="Normal 116 2" xfId="1361"/>
    <cellStyle name="Normal 116 2 2" xfId="4293"/>
    <cellStyle name="Normal 116 2 3" xfId="3147"/>
    <cellStyle name="Normal 116 3" xfId="3784"/>
    <cellStyle name="Normal 116 4" xfId="2683"/>
    <cellStyle name="Normal 117" xfId="842"/>
    <cellStyle name="Normal 117 2" xfId="1362"/>
    <cellStyle name="Normal 117 2 2" xfId="4294"/>
    <cellStyle name="Normal 117 2 3" xfId="3148"/>
    <cellStyle name="Normal 117 3" xfId="3785"/>
    <cellStyle name="Normal 117 4" xfId="2684"/>
    <cellStyle name="Normal 118" xfId="843"/>
    <cellStyle name="Normal 118 2" xfId="1363"/>
    <cellStyle name="Normal 118 2 2" xfId="4295"/>
    <cellStyle name="Normal 118 2 3" xfId="3149"/>
    <cellStyle name="Normal 118 3" xfId="3786"/>
    <cellStyle name="Normal 118 4" xfId="2685"/>
    <cellStyle name="Normal 119" xfId="844"/>
    <cellStyle name="Normal 119 2" xfId="1364"/>
    <cellStyle name="Normal 119 2 2" xfId="4296"/>
    <cellStyle name="Normal 119 2 3" xfId="3150"/>
    <cellStyle name="Normal 119 3" xfId="3787"/>
    <cellStyle name="Normal 119 4" xfId="2686"/>
    <cellStyle name="Normal 12" xfId="382"/>
    <cellStyle name="Normal 12 2" xfId="2060"/>
    <cellStyle name="Normal 12 2 2" xfId="2131"/>
    <cellStyle name="Normal 12 2 3" xfId="2167"/>
    <cellStyle name="Normal 12 2 3 2" xfId="2265"/>
    <cellStyle name="Normal 12 2 4" xfId="2216"/>
    <cellStyle name="Normal 12 3" xfId="2148"/>
    <cellStyle name="Normal 12 3 2" xfId="2246"/>
    <cellStyle name="Normal 12 4" xfId="2197"/>
    <cellStyle name="Normal 12 5" xfId="1730"/>
    <cellStyle name="Normal 120" xfId="845"/>
    <cellStyle name="Normal 120 2" xfId="1365"/>
    <cellStyle name="Normal 120 2 2" xfId="4297"/>
    <cellStyle name="Normal 120 2 3" xfId="3151"/>
    <cellStyle name="Normal 120 3" xfId="3788"/>
    <cellStyle name="Normal 120 4" xfId="2687"/>
    <cellStyle name="Normal 121" xfId="846"/>
    <cellStyle name="Normal 121 2" xfId="1366"/>
    <cellStyle name="Normal 121 2 2" xfId="4298"/>
    <cellStyle name="Normal 121 2 3" xfId="3152"/>
    <cellStyle name="Normal 121 3" xfId="3789"/>
    <cellStyle name="Normal 121 4" xfId="2688"/>
    <cellStyle name="Normal 122" xfId="847"/>
    <cellStyle name="Normal 122 2" xfId="1367"/>
    <cellStyle name="Normal 122 2 2" xfId="4299"/>
    <cellStyle name="Normal 122 2 3" xfId="3153"/>
    <cellStyle name="Normal 122 3" xfId="3790"/>
    <cellStyle name="Normal 122 4" xfId="2689"/>
    <cellStyle name="Normal 123" xfId="848"/>
    <cellStyle name="Normal 123 2" xfId="1368"/>
    <cellStyle name="Normal 123 2 2" xfId="4300"/>
    <cellStyle name="Normal 123 2 3" xfId="3154"/>
    <cellStyle name="Normal 123 3" xfId="3791"/>
    <cellStyle name="Normal 123 4" xfId="2690"/>
    <cellStyle name="Normal 124" xfId="849"/>
    <cellStyle name="Normal 124 2" xfId="1369"/>
    <cellStyle name="Normal 124 2 2" xfId="4301"/>
    <cellStyle name="Normal 124 2 3" xfId="3155"/>
    <cellStyle name="Normal 124 3" xfId="3792"/>
    <cellStyle name="Normal 124 4" xfId="2691"/>
    <cellStyle name="Normal 125" xfId="850"/>
    <cellStyle name="Normal 125 2" xfId="1370"/>
    <cellStyle name="Normal 125 2 2" xfId="4302"/>
    <cellStyle name="Normal 125 2 3" xfId="3156"/>
    <cellStyle name="Normal 125 3" xfId="3793"/>
    <cellStyle name="Normal 125 4" xfId="2692"/>
    <cellStyle name="Normal 126" xfId="851"/>
    <cellStyle name="Normal 126 2" xfId="1371"/>
    <cellStyle name="Normal 126 2 2" xfId="4303"/>
    <cellStyle name="Normal 126 2 3" xfId="3157"/>
    <cellStyle name="Normal 126 3" xfId="3794"/>
    <cellStyle name="Normal 126 4" xfId="2693"/>
    <cellStyle name="Normal 127" xfId="852"/>
    <cellStyle name="Normal 127 2" xfId="1372"/>
    <cellStyle name="Normal 127 2 2" xfId="4304"/>
    <cellStyle name="Normal 127 2 3" xfId="3158"/>
    <cellStyle name="Normal 127 3" xfId="3795"/>
    <cellStyle name="Normal 127 4" xfId="2694"/>
    <cellStyle name="Normal 128" xfId="853"/>
    <cellStyle name="Normal 128 2" xfId="1373"/>
    <cellStyle name="Normal 128 2 2" xfId="4305"/>
    <cellStyle name="Normal 128 2 3" xfId="3159"/>
    <cellStyle name="Normal 128 3" xfId="3796"/>
    <cellStyle name="Normal 128 4" xfId="2695"/>
    <cellStyle name="Normal 129" xfId="854"/>
    <cellStyle name="Normal 129 2" xfId="1374"/>
    <cellStyle name="Normal 129 2 2" xfId="4306"/>
    <cellStyle name="Normal 129 2 3" xfId="3160"/>
    <cellStyle name="Normal 129 3" xfId="3797"/>
    <cellStyle name="Normal 129 4" xfId="2696"/>
    <cellStyle name="Normal 13" xfId="383"/>
    <cellStyle name="Normal 13 2" xfId="2091"/>
    <cellStyle name="Normal 13 2 2" xfId="2168"/>
    <cellStyle name="Normal 13 2 2 2" xfId="2266"/>
    <cellStyle name="Normal 13 2 3" xfId="2217"/>
    <cellStyle name="Normal 13 3" xfId="2149"/>
    <cellStyle name="Normal 13 3 2" xfId="2247"/>
    <cellStyle name="Normal 13 4" xfId="2198"/>
    <cellStyle name="Normal 13 5" xfId="1764"/>
    <cellStyle name="Normal 13 6" xfId="38757"/>
    <cellStyle name="Normal 130" xfId="855"/>
    <cellStyle name="Normal 130 2" xfId="1375"/>
    <cellStyle name="Normal 130 2 2" xfId="4307"/>
    <cellStyle name="Normal 130 2 3" xfId="3161"/>
    <cellStyle name="Normal 130 3" xfId="3798"/>
    <cellStyle name="Normal 130 4" xfId="2697"/>
    <cellStyle name="Normal 131" xfId="856"/>
    <cellStyle name="Normal 131 2" xfId="1376"/>
    <cellStyle name="Normal 131 2 2" xfId="4308"/>
    <cellStyle name="Normal 131 2 3" xfId="3162"/>
    <cellStyle name="Normal 131 3" xfId="3799"/>
    <cellStyle name="Normal 131 4" xfId="2698"/>
    <cellStyle name="Normal 132" xfId="857"/>
    <cellStyle name="Normal 132 2" xfId="1377"/>
    <cellStyle name="Normal 132 2 2" xfId="4309"/>
    <cellStyle name="Normal 132 2 3" xfId="3163"/>
    <cellStyle name="Normal 132 3" xfId="3800"/>
    <cellStyle name="Normal 132 4" xfId="2699"/>
    <cellStyle name="Normal 133" xfId="858"/>
    <cellStyle name="Normal 133 2" xfId="1378"/>
    <cellStyle name="Normal 133 2 2" xfId="4310"/>
    <cellStyle name="Normal 133 2 3" xfId="3164"/>
    <cellStyle name="Normal 133 3" xfId="3801"/>
    <cellStyle name="Normal 133 4" xfId="2700"/>
    <cellStyle name="Normal 134" xfId="859"/>
    <cellStyle name="Normal 134 2" xfId="1379"/>
    <cellStyle name="Normal 134 2 2" xfId="4311"/>
    <cellStyle name="Normal 134 2 3" xfId="3165"/>
    <cellStyle name="Normal 134 3" xfId="3802"/>
    <cellStyle name="Normal 134 4" xfId="2701"/>
    <cellStyle name="Normal 135" xfId="860"/>
    <cellStyle name="Normal 135 2" xfId="1380"/>
    <cellStyle name="Normal 135 2 2" xfId="4312"/>
    <cellStyle name="Normal 135 2 3" xfId="3166"/>
    <cellStyle name="Normal 135 3" xfId="3803"/>
    <cellStyle name="Normal 135 4" xfId="2702"/>
    <cellStyle name="Normal 136" xfId="861"/>
    <cellStyle name="Normal 136 2" xfId="1381"/>
    <cellStyle name="Normal 136 2 2" xfId="4313"/>
    <cellStyle name="Normal 136 2 3" xfId="3167"/>
    <cellStyle name="Normal 136 3" xfId="3804"/>
    <cellStyle name="Normal 136 4" xfId="2703"/>
    <cellStyle name="Normal 137" xfId="862"/>
    <cellStyle name="Normal 137 2" xfId="1382"/>
    <cellStyle name="Normal 137 2 2" xfId="4314"/>
    <cellStyle name="Normal 137 2 3" xfId="3168"/>
    <cellStyle name="Normal 137 3" xfId="3805"/>
    <cellStyle name="Normal 137 4" xfId="2704"/>
    <cellStyle name="Normal 138" xfId="863"/>
    <cellStyle name="Normal 138 2" xfId="1383"/>
    <cellStyle name="Normal 138 2 2" xfId="4315"/>
    <cellStyle name="Normal 138 2 3" xfId="3169"/>
    <cellStyle name="Normal 138 3" xfId="3806"/>
    <cellStyle name="Normal 138 4" xfId="2705"/>
    <cellStyle name="Normal 139" xfId="864"/>
    <cellStyle name="Normal 139 2" xfId="1384"/>
    <cellStyle name="Normal 139 2 2" xfId="4316"/>
    <cellStyle name="Normal 139 2 3" xfId="3170"/>
    <cellStyle name="Normal 139 3" xfId="3807"/>
    <cellStyle name="Normal 139 4" xfId="2706"/>
    <cellStyle name="Normal 14" xfId="366"/>
    <cellStyle name="Normal 14 2" xfId="2110"/>
    <cellStyle name="Normal 14 2 2" xfId="2170"/>
    <cellStyle name="Normal 14 2 2 2" xfId="2268"/>
    <cellStyle name="Normal 14 2 3" xfId="2219"/>
    <cellStyle name="Normal 14 3" xfId="2151"/>
    <cellStyle name="Normal 14 3 2" xfId="2249"/>
    <cellStyle name="Normal 14 4" xfId="2200"/>
    <cellStyle name="Normal 14 5" xfId="1790"/>
    <cellStyle name="Normal 140" xfId="865"/>
    <cellStyle name="Normal 140 2" xfId="1385"/>
    <cellStyle name="Normal 140 2 2" xfId="4317"/>
    <cellStyle name="Normal 140 2 3" xfId="3171"/>
    <cellStyle name="Normal 140 3" xfId="3808"/>
    <cellStyle name="Normal 140 4" xfId="2707"/>
    <cellStyle name="Normal 141" xfId="866"/>
    <cellStyle name="Normal 141 2" xfId="1386"/>
    <cellStyle name="Normal 141 2 2" xfId="4318"/>
    <cellStyle name="Normal 141 2 3" xfId="3172"/>
    <cellStyle name="Normal 141 3" xfId="3809"/>
    <cellStyle name="Normal 141 4" xfId="2708"/>
    <cellStyle name="Normal 142" xfId="1403"/>
    <cellStyle name="Normal 143" xfId="1398"/>
    <cellStyle name="Normal 144" xfId="2292"/>
    <cellStyle name="Normal 145" xfId="2293"/>
    <cellStyle name="Normal 146" xfId="2295"/>
    <cellStyle name="Normal 147" xfId="2294"/>
    <cellStyle name="Normal 148" xfId="1399"/>
    <cellStyle name="Normal 149" xfId="1391"/>
    <cellStyle name="Normal 15" xfId="384"/>
    <cellStyle name="Normal 15 2" xfId="2111"/>
    <cellStyle name="Normal 15 2 2" xfId="2171"/>
    <cellStyle name="Normal 15 2 2 2" xfId="2269"/>
    <cellStyle name="Normal 15 2 3" xfId="2220"/>
    <cellStyle name="Normal 15 3" xfId="2152"/>
    <cellStyle name="Normal 15 3 2" xfId="2250"/>
    <cellStyle name="Normal 15 4" xfId="2201"/>
    <cellStyle name="Normal 15 5" xfId="1791"/>
    <cellStyle name="Normal 150" xfId="2291"/>
    <cellStyle name="Normal 151" xfId="2296"/>
    <cellStyle name="Normal 152" xfId="2297"/>
    <cellStyle name="Normal 153" xfId="38231"/>
    <cellStyle name="Normal 154" xfId="39227"/>
    <cellStyle name="Normal 155" xfId="39569"/>
    <cellStyle name="Normal 16" xfId="385"/>
    <cellStyle name="Normal 16 2" xfId="2100"/>
    <cellStyle name="Normal 16 2 2" xfId="2169"/>
    <cellStyle name="Normal 16 2 2 2" xfId="2267"/>
    <cellStyle name="Normal 16 2 3" xfId="2218"/>
    <cellStyle name="Normal 16 3" xfId="2150"/>
    <cellStyle name="Normal 16 3 2" xfId="2248"/>
    <cellStyle name="Normal 16 4" xfId="2199"/>
    <cellStyle name="Normal 16 5" xfId="1779"/>
    <cellStyle name="Normal 160" xfId="38230"/>
    <cellStyle name="Normal 17" xfId="386"/>
    <cellStyle name="Normal 17 2" xfId="2120"/>
    <cellStyle name="Normal 17 2 2" xfId="2172"/>
    <cellStyle name="Normal 17 2 2 2" xfId="2270"/>
    <cellStyle name="Normal 17 2 3" xfId="2221"/>
    <cellStyle name="Normal 17 3" xfId="2153"/>
    <cellStyle name="Normal 17 3 2" xfId="2251"/>
    <cellStyle name="Normal 17 4" xfId="2202"/>
    <cellStyle name="Normal 17 5" xfId="1801"/>
    <cellStyle name="Normal 18" xfId="387"/>
    <cellStyle name="Normal 18 2" xfId="2124"/>
    <cellStyle name="Normal 18 2 2" xfId="2176"/>
    <cellStyle name="Normal 18 2 2 2" xfId="2274"/>
    <cellStyle name="Normal 18 2 3" xfId="2225"/>
    <cellStyle name="Normal 18 3" xfId="2157"/>
    <cellStyle name="Normal 18 3 2" xfId="2255"/>
    <cellStyle name="Normal 18 4" xfId="2206"/>
    <cellStyle name="Normal 18 5" xfId="1811"/>
    <cellStyle name="Normal 19" xfId="388"/>
    <cellStyle name="Normal 19 2" xfId="2125"/>
    <cellStyle name="Normal 19 2 2" xfId="2177"/>
    <cellStyle name="Normal 19 2 2 2" xfId="2275"/>
    <cellStyle name="Normal 19 2 3" xfId="2226"/>
    <cellStyle name="Normal 19 3" xfId="2158"/>
    <cellStyle name="Normal 19 3 2" xfId="2256"/>
    <cellStyle name="Normal 19 4" xfId="2207"/>
    <cellStyle name="Normal 19 5" xfId="1813"/>
    <cellStyle name="Normal 2" xfId="2"/>
    <cellStyle name="Normal 2 2" xfId="4"/>
    <cellStyle name="Normal 2 2 2" xfId="368"/>
    <cellStyle name="Normal 2 2 3" xfId="38758"/>
    <cellStyle name="Normal 2 2 3 2" xfId="38759"/>
    <cellStyle name="Normal 2 2 3 2 2" xfId="38760"/>
    <cellStyle name="Normal 2 2 3 2 3" xfId="38761"/>
    <cellStyle name="Normal 2 2 4" xfId="38241"/>
    <cellStyle name="Normal 2 20" xfId="5"/>
    <cellStyle name="Normal 2 20 2" xfId="369"/>
    <cellStyle name="Normal 2 3" xfId="253"/>
    <cellStyle name="Normal 2 3 2" xfId="10419"/>
    <cellStyle name="Normal 2 3 3" xfId="10418"/>
    <cellStyle name="Normal 2 3 3 2" xfId="38763"/>
    <cellStyle name="Normal 2 3 4" xfId="38762"/>
    <cellStyle name="Normal 2 4" xfId="254"/>
    <cellStyle name="Normal 2 4 2" xfId="10420"/>
    <cellStyle name="Normal 2 4 2 2" xfId="38224"/>
    <cellStyle name="Normal 2 4 2 2 2" xfId="38766"/>
    <cellStyle name="Normal 2 4 2 3" xfId="38765"/>
    <cellStyle name="Normal 2 4 3" xfId="38767"/>
    <cellStyle name="Normal 2 4 4" xfId="38764"/>
    <cellStyle name="Normal 2 5" xfId="255"/>
    <cellStyle name="Normal 2 5 2" xfId="10421"/>
    <cellStyle name="Normal 2 5 2 2" xfId="38768"/>
    <cellStyle name="Normal 2 6" xfId="256"/>
    <cellStyle name="Normal 2 6 2" xfId="10422"/>
    <cellStyle name="Normal 2 6 2 2" xfId="38225"/>
    <cellStyle name="Normal 2 6 3" xfId="38769"/>
    <cellStyle name="Normal 2 7" xfId="257"/>
    <cellStyle name="Normal 2 7 2" xfId="10423"/>
    <cellStyle name="Normal 2 7 2 2" xfId="10424"/>
    <cellStyle name="Normal 2 8" xfId="5127"/>
    <cellStyle name="Normal 2_planning-WP" xfId="10425"/>
    <cellStyle name="Normal 20" xfId="389"/>
    <cellStyle name="Normal 20 2" xfId="2126"/>
    <cellStyle name="Normal 20 2 2" xfId="2178"/>
    <cellStyle name="Normal 20 2 2 2" xfId="2276"/>
    <cellStyle name="Normal 20 2 3" xfId="2227"/>
    <cellStyle name="Normal 20 3" xfId="2159"/>
    <cellStyle name="Normal 20 3 2" xfId="2257"/>
    <cellStyle name="Normal 20 4" xfId="2208"/>
    <cellStyle name="Normal 20 5" xfId="1814"/>
    <cellStyle name="Normal 21" xfId="390"/>
    <cellStyle name="Normal 21 2" xfId="2127"/>
    <cellStyle name="Normal 21 2 2" xfId="2179"/>
    <cellStyle name="Normal 21 2 2 2" xfId="2277"/>
    <cellStyle name="Normal 21 2 3" xfId="2228"/>
    <cellStyle name="Normal 21 3" xfId="2160"/>
    <cellStyle name="Normal 21 3 2" xfId="2258"/>
    <cellStyle name="Normal 21 4" xfId="2209"/>
    <cellStyle name="Normal 21 5" xfId="1815"/>
    <cellStyle name="Normal 22" xfId="391"/>
    <cellStyle name="Normal 22 2" xfId="2128"/>
    <cellStyle name="Normal 22 2 2" xfId="2180"/>
    <cellStyle name="Normal 22 2 2 2" xfId="2278"/>
    <cellStyle name="Normal 22 2 3" xfId="2229"/>
    <cellStyle name="Normal 22 3" xfId="2161"/>
    <cellStyle name="Normal 22 3 2" xfId="2259"/>
    <cellStyle name="Normal 22 4" xfId="2210"/>
    <cellStyle name="Normal 22 5" xfId="1816"/>
    <cellStyle name="Normal 23" xfId="376"/>
    <cellStyle name="Normal 23 2" xfId="409"/>
    <cellStyle name="Normal 23 2 2" xfId="442"/>
    <cellStyle name="Normal 23 2 2 2" xfId="502"/>
    <cellStyle name="Normal 23 2 2 2 2" xfId="674"/>
    <cellStyle name="Normal 23 2 2 2 2 2" xfId="1195"/>
    <cellStyle name="Normal 23 2 2 2 2 2 2" xfId="4127"/>
    <cellStyle name="Normal 23 2 2 2 2 2 3" xfId="2981"/>
    <cellStyle name="Normal 23 2 2 2 2 3" xfId="3618"/>
    <cellStyle name="Normal 23 2 2 2 2 4" xfId="2517"/>
    <cellStyle name="Normal 23 2 2 2 3" xfId="795"/>
    <cellStyle name="Normal 23 2 2 2 3 2" xfId="1316"/>
    <cellStyle name="Normal 23 2 2 2 3 2 2" xfId="4248"/>
    <cellStyle name="Normal 23 2 2 2 3 2 3" xfId="3102"/>
    <cellStyle name="Normal 23 2 2 2 3 3" xfId="3739"/>
    <cellStyle name="Normal 23 2 2 2 3 4" xfId="2638"/>
    <cellStyle name="Normal 23 2 2 2 4" xfId="1023"/>
    <cellStyle name="Normal 23 2 2 2 4 2" xfId="3956"/>
    <cellStyle name="Normal 23 2 2 2 4 3" xfId="2814"/>
    <cellStyle name="Normal 23 2 2 2 5" xfId="2279"/>
    <cellStyle name="Normal 23 2 2 3" xfId="614"/>
    <cellStyle name="Normal 23 2 2 3 2" xfId="1135"/>
    <cellStyle name="Normal 23 2 2 3 2 2" xfId="4067"/>
    <cellStyle name="Normal 23 2 2 3 2 3" xfId="2921"/>
    <cellStyle name="Normal 23 2 2 3 3" xfId="3558"/>
    <cellStyle name="Normal 23 2 2 3 4" xfId="2457"/>
    <cellStyle name="Normal 23 2 2 4" xfId="735"/>
    <cellStyle name="Normal 23 2 2 4 2" xfId="1256"/>
    <cellStyle name="Normal 23 2 2 4 2 2" xfId="4188"/>
    <cellStyle name="Normal 23 2 2 4 2 3" xfId="3042"/>
    <cellStyle name="Normal 23 2 2 4 3" xfId="3679"/>
    <cellStyle name="Normal 23 2 2 4 4" xfId="2578"/>
    <cellStyle name="Normal 23 2 2 5" xfId="963"/>
    <cellStyle name="Normal 23 2 2 5 2" xfId="3896"/>
    <cellStyle name="Normal 23 2 2 5 3" xfId="2754"/>
    <cellStyle name="Normal 23 2 2 6" xfId="2181"/>
    <cellStyle name="Normal 23 2 3" xfId="472"/>
    <cellStyle name="Normal 23 2 3 2" xfId="644"/>
    <cellStyle name="Normal 23 2 3 2 2" xfId="1165"/>
    <cellStyle name="Normal 23 2 3 2 2 2" xfId="4097"/>
    <cellStyle name="Normal 23 2 3 2 2 3" xfId="2951"/>
    <cellStyle name="Normal 23 2 3 2 3" xfId="3588"/>
    <cellStyle name="Normal 23 2 3 2 4" xfId="2487"/>
    <cellStyle name="Normal 23 2 3 3" xfId="765"/>
    <cellStyle name="Normal 23 2 3 3 2" xfId="1286"/>
    <cellStyle name="Normal 23 2 3 3 2 2" xfId="4218"/>
    <cellStyle name="Normal 23 2 3 3 2 3" xfId="3072"/>
    <cellStyle name="Normal 23 2 3 3 3" xfId="3709"/>
    <cellStyle name="Normal 23 2 3 3 4" xfId="2608"/>
    <cellStyle name="Normal 23 2 3 4" xfId="993"/>
    <cellStyle name="Normal 23 2 3 4 2" xfId="3926"/>
    <cellStyle name="Normal 23 2 3 4 3" xfId="2784"/>
    <cellStyle name="Normal 23 2 3 5" xfId="2230"/>
    <cellStyle name="Normal 23 2 4" xfId="584"/>
    <cellStyle name="Normal 23 2 4 2" xfId="1105"/>
    <cellStyle name="Normal 23 2 4 2 2" xfId="4037"/>
    <cellStyle name="Normal 23 2 4 2 3" xfId="2891"/>
    <cellStyle name="Normal 23 2 4 3" xfId="3528"/>
    <cellStyle name="Normal 23 2 4 4" xfId="2427"/>
    <cellStyle name="Normal 23 2 5" xfId="705"/>
    <cellStyle name="Normal 23 2 5 2" xfId="1226"/>
    <cellStyle name="Normal 23 2 5 2 2" xfId="4158"/>
    <cellStyle name="Normal 23 2 5 2 3" xfId="3012"/>
    <cellStyle name="Normal 23 2 5 3" xfId="3649"/>
    <cellStyle name="Normal 23 2 5 4" xfId="2548"/>
    <cellStyle name="Normal 23 2 6" xfId="933"/>
    <cellStyle name="Normal 23 2 6 2" xfId="3866"/>
    <cellStyle name="Normal 23 2 6 3" xfId="2724"/>
    <cellStyle name="Normal 23 2 7" xfId="2129"/>
    <cellStyle name="Normal 23 3" xfId="423"/>
    <cellStyle name="Normal 23 3 2" xfId="453"/>
    <cellStyle name="Normal 23 3 2 2" xfId="513"/>
    <cellStyle name="Normal 23 3 2 2 2" xfId="685"/>
    <cellStyle name="Normal 23 3 2 2 2 2" xfId="1206"/>
    <cellStyle name="Normal 23 3 2 2 2 2 2" xfId="4138"/>
    <cellStyle name="Normal 23 3 2 2 2 2 3" xfId="2992"/>
    <cellStyle name="Normal 23 3 2 2 2 3" xfId="3629"/>
    <cellStyle name="Normal 23 3 2 2 2 4" xfId="2528"/>
    <cellStyle name="Normal 23 3 2 2 3" xfId="806"/>
    <cellStyle name="Normal 23 3 2 2 3 2" xfId="1327"/>
    <cellStyle name="Normal 23 3 2 2 3 2 2" xfId="4259"/>
    <cellStyle name="Normal 23 3 2 2 3 2 3" xfId="3113"/>
    <cellStyle name="Normal 23 3 2 2 3 3" xfId="3750"/>
    <cellStyle name="Normal 23 3 2 2 3 4" xfId="2649"/>
    <cellStyle name="Normal 23 3 2 2 4" xfId="1034"/>
    <cellStyle name="Normal 23 3 2 2 4 2" xfId="3967"/>
    <cellStyle name="Normal 23 3 2 2 4 3" xfId="2825"/>
    <cellStyle name="Normal 23 3 2 2 5" xfId="3458"/>
    <cellStyle name="Normal 23 3 2 2 6" xfId="2361"/>
    <cellStyle name="Normal 23 3 2 3" xfId="625"/>
    <cellStyle name="Normal 23 3 2 3 2" xfId="1146"/>
    <cellStyle name="Normal 23 3 2 3 2 2" xfId="4078"/>
    <cellStyle name="Normal 23 3 2 3 2 3" xfId="2932"/>
    <cellStyle name="Normal 23 3 2 3 3" xfId="3569"/>
    <cellStyle name="Normal 23 3 2 3 4" xfId="2468"/>
    <cellStyle name="Normal 23 3 2 4" xfId="746"/>
    <cellStyle name="Normal 23 3 2 4 2" xfId="1267"/>
    <cellStyle name="Normal 23 3 2 4 2 2" xfId="4199"/>
    <cellStyle name="Normal 23 3 2 4 2 3" xfId="3053"/>
    <cellStyle name="Normal 23 3 2 4 3" xfId="3690"/>
    <cellStyle name="Normal 23 3 2 4 4" xfId="2589"/>
    <cellStyle name="Normal 23 3 2 5" xfId="974"/>
    <cellStyle name="Normal 23 3 2 5 2" xfId="3907"/>
    <cellStyle name="Normal 23 3 2 5 3" xfId="2765"/>
    <cellStyle name="Normal 23 3 2 6" xfId="2260"/>
    <cellStyle name="Normal 23 3 3" xfId="483"/>
    <cellStyle name="Normal 23 3 3 2" xfId="655"/>
    <cellStyle name="Normal 23 3 3 2 2" xfId="1176"/>
    <cellStyle name="Normal 23 3 3 2 2 2" xfId="4108"/>
    <cellStyle name="Normal 23 3 3 2 2 3" xfId="2962"/>
    <cellStyle name="Normal 23 3 3 2 3" xfId="3599"/>
    <cellStyle name="Normal 23 3 3 2 4" xfId="2498"/>
    <cellStyle name="Normal 23 3 3 3" xfId="776"/>
    <cellStyle name="Normal 23 3 3 3 2" xfId="1297"/>
    <cellStyle name="Normal 23 3 3 3 2 2" xfId="4229"/>
    <cellStyle name="Normal 23 3 3 3 2 3" xfId="3083"/>
    <cellStyle name="Normal 23 3 3 3 3" xfId="3720"/>
    <cellStyle name="Normal 23 3 3 3 4" xfId="2619"/>
    <cellStyle name="Normal 23 3 3 4" xfId="1004"/>
    <cellStyle name="Normal 23 3 3 4 2" xfId="3937"/>
    <cellStyle name="Normal 23 3 3 4 3" xfId="2795"/>
    <cellStyle name="Normal 23 3 3 5" xfId="3432"/>
    <cellStyle name="Normal 23 3 3 6" xfId="2339"/>
    <cellStyle name="Normal 23 3 4" xfId="595"/>
    <cellStyle name="Normal 23 3 4 2" xfId="1116"/>
    <cellStyle name="Normal 23 3 4 2 2" xfId="4048"/>
    <cellStyle name="Normal 23 3 4 2 3" xfId="2902"/>
    <cellStyle name="Normal 23 3 4 3" xfId="3539"/>
    <cellStyle name="Normal 23 3 4 4" xfId="2438"/>
    <cellStyle name="Normal 23 3 5" xfId="716"/>
    <cellStyle name="Normal 23 3 5 2" xfId="1237"/>
    <cellStyle name="Normal 23 3 5 2 2" xfId="4169"/>
    <cellStyle name="Normal 23 3 5 2 3" xfId="3023"/>
    <cellStyle name="Normal 23 3 5 3" xfId="3660"/>
    <cellStyle name="Normal 23 3 5 4" xfId="2559"/>
    <cellStyle name="Normal 23 3 6" xfId="944"/>
    <cellStyle name="Normal 23 3 6 2" xfId="3877"/>
    <cellStyle name="Normal 23 3 6 3" xfId="2735"/>
    <cellStyle name="Normal 23 3 7" xfId="2162"/>
    <cellStyle name="Normal 23 4" xfId="431"/>
    <cellStyle name="Normal 23 4 2" xfId="491"/>
    <cellStyle name="Normal 23 4 2 2" xfId="663"/>
    <cellStyle name="Normal 23 4 2 2 2" xfId="1184"/>
    <cellStyle name="Normal 23 4 2 2 2 2" xfId="4116"/>
    <cellStyle name="Normal 23 4 2 2 2 3" xfId="2970"/>
    <cellStyle name="Normal 23 4 2 2 3" xfId="3607"/>
    <cellStyle name="Normal 23 4 2 2 4" xfId="2506"/>
    <cellStyle name="Normal 23 4 2 3" xfId="784"/>
    <cellStyle name="Normal 23 4 2 3 2" xfId="1305"/>
    <cellStyle name="Normal 23 4 2 3 2 2" xfId="4237"/>
    <cellStyle name="Normal 23 4 2 3 2 3" xfId="3091"/>
    <cellStyle name="Normal 23 4 2 3 3" xfId="3728"/>
    <cellStyle name="Normal 23 4 2 3 4" xfId="2627"/>
    <cellStyle name="Normal 23 4 2 4" xfId="1012"/>
    <cellStyle name="Normal 23 4 2 4 2" xfId="3945"/>
    <cellStyle name="Normal 23 4 2 4 3" xfId="2803"/>
    <cellStyle name="Normal 23 4 2 5" xfId="3440"/>
    <cellStyle name="Normal 23 4 2 6" xfId="2347"/>
    <cellStyle name="Normal 23 4 3" xfId="603"/>
    <cellStyle name="Normal 23 4 3 2" xfId="1124"/>
    <cellStyle name="Normal 23 4 3 2 2" xfId="4056"/>
    <cellStyle name="Normal 23 4 3 2 3" xfId="2910"/>
    <cellStyle name="Normal 23 4 3 3" xfId="3547"/>
    <cellStyle name="Normal 23 4 3 4" xfId="2446"/>
    <cellStyle name="Normal 23 4 4" xfId="724"/>
    <cellStyle name="Normal 23 4 4 2" xfId="1245"/>
    <cellStyle name="Normal 23 4 4 2 2" xfId="4177"/>
    <cellStyle name="Normal 23 4 4 2 3" xfId="3031"/>
    <cellStyle name="Normal 23 4 4 3" xfId="3668"/>
    <cellStyle name="Normal 23 4 4 4" xfId="2567"/>
    <cellStyle name="Normal 23 4 5" xfId="952"/>
    <cellStyle name="Normal 23 4 5 2" xfId="3885"/>
    <cellStyle name="Normal 23 4 5 3" xfId="2743"/>
    <cellStyle name="Normal 23 4 6" xfId="2211"/>
    <cellStyle name="Normal 23 5" xfId="461"/>
    <cellStyle name="Normal 23 5 2" xfId="633"/>
    <cellStyle name="Normal 23 5 2 2" xfId="1154"/>
    <cellStyle name="Normal 23 5 2 2 2" xfId="4086"/>
    <cellStyle name="Normal 23 5 2 2 3" xfId="2940"/>
    <cellStyle name="Normal 23 5 2 3" xfId="3577"/>
    <cellStyle name="Normal 23 5 2 4" xfId="2476"/>
    <cellStyle name="Normal 23 5 3" xfId="754"/>
    <cellStyle name="Normal 23 5 3 2" xfId="1275"/>
    <cellStyle name="Normal 23 5 3 2 2" xfId="4207"/>
    <cellStyle name="Normal 23 5 3 2 3" xfId="3061"/>
    <cellStyle name="Normal 23 5 3 3" xfId="3698"/>
    <cellStyle name="Normal 23 5 3 4" xfId="2597"/>
    <cellStyle name="Normal 23 5 4" xfId="982"/>
    <cellStyle name="Normal 23 5 4 2" xfId="3915"/>
    <cellStyle name="Normal 23 5 4 3" xfId="2773"/>
    <cellStyle name="Normal 23 5 5" xfId="3414"/>
    <cellStyle name="Normal 23 5 6" xfId="2325"/>
    <cellStyle name="Normal 23 6" xfId="572"/>
    <cellStyle name="Normal 23 6 2" xfId="1093"/>
    <cellStyle name="Normal 23 6 2 2" xfId="4025"/>
    <cellStyle name="Normal 23 6 2 3" xfId="2879"/>
    <cellStyle name="Normal 23 6 3" xfId="3516"/>
    <cellStyle name="Normal 23 6 4" xfId="2415"/>
    <cellStyle name="Normal 23 7" xfId="694"/>
    <cellStyle name="Normal 23 7 2" xfId="1215"/>
    <cellStyle name="Normal 23 7 2 2" xfId="4147"/>
    <cellStyle name="Normal 23 7 2 3" xfId="3001"/>
    <cellStyle name="Normal 23 7 3" xfId="3638"/>
    <cellStyle name="Normal 23 7 4" xfId="2537"/>
    <cellStyle name="Normal 23 8" xfId="922"/>
    <cellStyle name="Normal 23 8 2" xfId="3855"/>
    <cellStyle name="Normal 23 8 3" xfId="2713"/>
    <cellStyle name="Normal 23 9" xfId="1817"/>
    <cellStyle name="Normal 24" xfId="396"/>
    <cellStyle name="Normal 24 2" xfId="410"/>
    <cellStyle name="Normal 24 2 2" xfId="443"/>
    <cellStyle name="Normal 24 2 2 2" xfId="503"/>
    <cellStyle name="Normal 24 2 2 2 2" xfId="675"/>
    <cellStyle name="Normal 24 2 2 2 2 2" xfId="1196"/>
    <cellStyle name="Normal 24 2 2 2 2 2 2" xfId="4128"/>
    <cellStyle name="Normal 24 2 2 2 2 2 3" xfId="2982"/>
    <cellStyle name="Normal 24 2 2 2 2 3" xfId="3619"/>
    <cellStyle name="Normal 24 2 2 2 2 4" xfId="2518"/>
    <cellStyle name="Normal 24 2 2 2 3" xfId="796"/>
    <cellStyle name="Normal 24 2 2 2 3 2" xfId="1317"/>
    <cellStyle name="Normal 24 2 2 2 3 2 2" xfId="4249"/>
    <cellStyle name="Normal 24 2 2 2 3 2 3" xfId="3103"/>
    <cellStyle name="Normal 24 2 2 2 3 3" xfId="3740"/>
    <cellStyle name="Normal 24 2 2 2 3 4" xfId="2639"/>
    <cellStyle name="Normal 24 2 2 2 4" xfId="1024"/>
    <cellStyle name="Normal 24 2 2 2 4 2" xfId="3957"/>
    <cellStyle name="Normal 24 2 2 2 4 3" xfId="2815"/>
    <cellStyle name="Normal 24 2 2 2 5" xfId="2273"/>
    <cellStyle name="Normal 24 2 2 3" xfId="615"/>
    <cellStyle name="Normal 24 2 2 3 2" xfId="1136"/>
    <cellStyle name="Normal 24 2 2 3 2 2" xfId="4068"/>
    <cellStyle name="Normal 24 2 2 3 2 3" xfId="2922"/>
    <cellStyle name="Normal 24 2 2 3 3" xfId="3559"/>
    <cellStyle name="Normal 24 2 2 3 4" xfId="2458"/>
    <cellStyle name="Normal 24 2 2 4" xfId="736"/>
    <cellStyle name="Normal 24 2 2 4 2" xfId="1257"/>
    <cellStyle name="Normal 24 2 2 4 2 2" xfId="4189"/>
    <cellStyle name="Normal 24 2 2 4 2 3" xfId="3043"/>
    <cellStyle name="Normal 24 2 2 4 3" xfId="3680"/>
    <cellStyle name="Normal 24 2 2 4 4" xfId="2579"/>
    <cellStyle name="Normal 24 2 2 5" xfId="964"/>
    <cellStyle name="Normal 24 2 2 5 2" xfId="3897"/>
    <cellStyle name="Normal 24 2 2 5 3" xfId="2755"/>
    <cellStyle name="Normal 24 2 2 6" xfId="2175"/>
    <cellStyle name="Normal 24 2 3" xfId="473"/>
    <cellStyle name="Normal 24 2 3 2" xfId="645"/>
    <cellStyle name="Normal 24 2 3 2 2" xfId="1166"/>
    <cellStyle name="Normal 24 2 3 2 2 2" xfId="4098"/>
    <cellStyle name="Normal 24 2 3 2 2 3" xfId="2952"/>
    <cellStyle name="Normal 24 2 3 2 3" xfId="3589"/>
    <cellStyle name="Normal 24 2 3 2 4" xfId="2488"/>
    <cellStyle name="Normal 24 2 3 3" xfId="766"/>
    <cellStyle name="Normal 24 2 3 3 2" xfId="1287"/>
    <cellStyle name="Normal 24 2 3 3 2 2" xfId="4219"/>
    <cellStyle name="Normal 24 2 3 3 2 3" xfId="3073"/>
    <cellStyle name="Normal 24 2 3 3 3" xfId="3710"/>
    <cellStyle name="Normal 24 2 3 3 4" xfId="2609"/>
    <cellStyle name="Normal 24 2 3 4" xfId="994"/>
    <cellStyle name="Normal 24 2 3 4 2" xfId="3927"/>
    <cellStyle name="Normal 24 2 3 4 3" xfId="2785"/>
    <cellStyle name="Normal 24 2 3 5" xfId="2224"/>
    <cellStyle name="Normal 24 2 4" xfId="585"/>
    <cellStyle name="Normal 24 2 4 2" xfId="1106"/>
    <cellStyle name="Normal 24 2 4 2 2" xfId="4038"/>
    <cellStyle name="Normal 24 2 4 2 3" xfId="2892"/>
    <cellStyle name="Normal 24 2 4 3" xfId="3529"/>
    <cellStyle name="Normal 24 2 4 4" xfId="2428"/>
    <cellStyle name="Normal 24 2 5" xfId="706"/>
    <cellStyle name="Normal 24 2 5 2" xfId="1227"/>
    <cellStyle name="Normal 24 2 5 2 2" xfId="4159"/>
    <cellStyle name="Normal 24 2 5 2 3" xfId="3013"/>
    <cellStyle name="Normal 24 2 5 3" xfId="3650"/>
    <cellStyle name="Normal 24 2 5 4" xfId="2549"/>
    <cellStyle name="Normal 24 2 6" xfId="934"/>
    <cellStyle name="Normal 24 2 6 2" xfId="3867"/>
    <cellStyle name="Normal 24 2 6 3" xfId="2725"/>
    <cellStyle name="Normal 24 2 7" xfId="2123"/>
    <cellStyle name="Normal 24 3" xfId="424"/>
    <cellStyle name="Normal 24 3 2" xfId="454"/>
    <cellStyle name="Normal 24 3 2 2" xfId="514"/>
    <cellStyle name="Normal 24 3 2 2 2" xfId="686"/>
    <cellStyle name="Normal 24 3 2 2 2 2" xfId="1207"/>
    <cellStyle name="Normal 24 3 2 2 2 2 2" xfId="4139"/>
    <cellStyle name="Normal 24 3 2 2 2 2 3" xfId="2993"/>
    <cellStyle name="Normal 24 3 2 2 2 3" xfId="3630"/>
    <cellStyle name="Normal 24 3 2 2 2 4" xfId="2529"/>
    <cellStyle name="Normal 24 3 2 2 3" xfId="807"/>
    <cellStyle name="Normal 24 3 2 2 3 2" xfId="1328"/>
    <cellStyle name="Normal 24 3 2 2 3 2 2" xfId="4260"/>
    <cellStyle name="Normal 24 3 2 2 3 2 3" xfId="3114"/>
    <cellStyle name="Normal 24 3 2 2 3 3" xfId="3751"/>
    <cellStyle name="Normal 24 3 2 2 3 4" xfId="2650"/>
    <cellStyle name="Normal 24 3 2 2 4" xfId="1035"/>
    <cellStyle name="Normal 24 3 2 2 4 2" xfId="3968"/>
    <cellStyle name="Normal 24 3 2 2 4 3" xfId="2826"/>
    <cellStyle name="Normal 24 3 2 2 5" xfId="3459"/>
    <cellStyle name="Normal 24 3 2 2 6" xfId="2362"/>
    <cellStyle name="Normal 24 3 2 3" xfId="626"/>
    <cellStyle name="Normal 24 3 2 3 2" xfId="1147"/>
    <cellStyle name="Normal 24 3 2 3 2 2" xfId="4079"/>
    <cellStyle name="Normal 24 3 2 3 2 3" xfId="2933"/>
    <cellStyle name="Normal 24 3 2 3 3" xfId="3570"/>
    <cellStyle name="Normal 24 3 2 3 4" xfId="2469"/>
    <cellStyle name="Normal 24 3 2 4" xfId="747"/>
    <cellStyle name="Normal 24 3 2 4 2" xfId="1268"/>
    <cellStyle name="Normal 24 3 2 4 2 2" xfId="4200"/>
    <cellStyle name="Normal 24 3 2 4 2 3" xfId="3054"/>
    <cellStyle name="Normal 24 3 2 4 3" xfId="3691"/>
    <cellStyle name="Normal 24 3 2 4 4" xfId="2590"/>
    <cellStyle name="Normal 24 3 2 5" xfId="975"/>
    <cellStyle name="Normal 24 3 2 5 2" xfId="3908"/>
    <cellStyle name="Normal 24 3 2 5 3" xfId="2766"/>
    <cellStyle name="Normal 24 3 2 6" xfId="2254"/>
    <cellStyle name="Normal 24 3 3" xfId="484"/>
    <cellStyle name="Normal 24 3 3 2" xfId="656"/>
    <cellStyle name="Normal 24 3 3 2 2" xfId="1177"/>
    <cellStyle name="Normal 24 3 3 2 2 2" xfId="4109"/>
    <cellStyle name="Normal 24 3 3 2 2 3" xfId="2963"/>
    <cellStyle name="Normal 24 3 3 2 3" xfId="3600"/>
    <cellStyle name="Normal 24 3 3 2 4" xfId="2499"/>
    <cellStyle name="Normal 24 3 3 3" xfId="777"/>
    <cellStyle name="Normal 24 3 3 3 2" xfId="1298"/>
    <cellStyle name="Normal 24 3 3 3 2 2" xfId="4230"/>
    <cellStyle name="Normal 24 3 3 3 2 3" xfId="3084"/>
    <cellStyle name="Normal 24 3 3 3 3" xfId="3721"/>
    <cellStyle name="Normal 24 3 3 3 4" xfId="2620"/>
    <cellStyle name="Normal 24 3 3 4" xfId="1005"/>
    <cellStyle name="Normal 24 3 3 4 2" xfId="3938"/>
    <cellStyle name="Normal 24 3 3 4 3" xfId="2796"/>
    <cellStyle name="Normal 24 3 3 5" xfId="3433"/>
    <cellStyle name="Normal 24 3 3 6" xfId="2340"/>
    <cellStyle name="Normal 24 3 4" xfId="596"/>
    <cellStyle name="Normal 24 3 4 2" xfId="1117"/>
    <cellStyle name="Normal 24 3 4 2 2" xfId="4049"/>
    <cellStyle name="Normal 24 3 4 2 3" xfId="2903"/>
    <cellStyle name="Normal 24 3 4 3" xfId="3540"/>
    <cellStyle name="Normal 24 3 4 4" xfId="2439"/>
    <cellStyle name="Normal 24 3 5" xfId="717"/>
    <cellStyle name="Normal 24 3 5 2" xfId="1238"/>
    <cellStyle name="Normal 24 3 5 2 2" xfId="4170"/>
    <cellStyle name="Normal 24 3 5 2 3" xfId="3024"/>
    <cellStyle name="Normal 24 3 5 3" xfId="3661"/>
    <cellStyle name="Normal 24 3 5 4" xfId="2560"/>
    <cellStyle name="Normal 24 3 6" xfId="945"/>
    <cellStyle name="Normal 24 3 6 2" xfId="3878"/>
    <cellStyle name="Normal 24 3 6 3" xfId="2736"/>
    <cellStyle name="Normal 24 3 7" xfId="2156"/>
    <cellStyle name="Normal 24 4" xfId="432"/>
    <cellStyle name="Normal 24 4 2" xfId="492"/>
    <cellStyle name="Normal 24 4 2 2" xfId="664"/>
    <cellStyle name="Normal 24 4 2 2 2" xfId="1185"/>
    <cellStyle name="Normal 24 4 2 2 2 2" xfId="4117"/>
    <cellStyle name="Normal 24 4 2 2 2 3" xfId="2971"/>
    <cellStyle name="Normal 24 4 2 2 3" xfId="3608"/>
    <cellStyle name="Normal 24 4 2 2 4" xfId="2507"/>
    <cellStyle name="Normal 24 4 2 3" xfId="785"/>
    <cellStyle name="Normal 24 4 2 3 2" xfId="1306"/>
    <cellStyle name="Normal 24 4 2 3 2 2" xfId="4238"/>
    <cellStyle name="Normal 24 4 2 3 2 3" xfId="3092"/>
    <cellStyle name="Normal 24 4 2 3 3" xfId="3729"/>
    <cellStyle name="Normal 24 4 2 3 4" xfId="2628"/>
    <cellStyle name="Normal 24 4 2 4" xfId="1013"/>
    <cellStyle name="Normal 24 4 2 4 2" xfId="3946"/>
    <cellStyle name="Normal 24 4 2 4 3" xfId="2804"/>
    <cellStyle name="Normal 24 4 2 5" xfId="3441"/>
    <cellStyle name="Normal 24 4 2 6" xfId="2348"/>
    <cellStyle name="Normal 24 4 3" xfId="604"/>
    <cellStyle name="Normal 24 4 3 2" xfId="1125"/>
    <cellStyle name="Normal 24 4 3 2 2" xfId="4057"/>
    <cellStyle name="Normal 24 4 3 2 3" xfId="2911"/>
    <cellStyle name="Normal 24 4 3 3" xfId="3548"/>
    <cellStyle name="Normal 24 4 3 4" xfId="2447"/>
    <cellStyle name="Normal 24 4 4" xfId="725"/>
    <cellStyle name="Normal 24 4 4 2" xfId="1246"/>
    <cellStyle name="Normal 24 4 4 2 2" xfId="4178"/>
    <cellStyle name="Normal 24 4 4 2 3" xfId="3032"/>
    <cellStyle name="Normal 24 4 4 3" xfId="3669"/>
    <cellStyle name="Normal 24 4 4 4" xfId="2568"/>
    <cellStyle name="Normal 24 4 5" xfId="953"/>
    <cellStyle name="Normal 24 4 5 2" xfId="3886"/>
    <cellStyle name="Normal 24 4 5 3" xfId="2744"/>
    <cellStyle name="Normal 24 4 6" xfId="2205"/>
    <cellStyle name="Normal 24 5" xfId="462"/>
    <cellStyle name="Normal 24 5 2" xfId="634"/>
    <cellStyle name="Normal 24 5 2 2" xfId="1155"/>
    <cellStyle name="Normal 24 5 2 2 2" xfId="4087"/>
    <cellStyle name="Normal 24 5 2 2 3" xfId="2941"/>
    <cellStyle name="Normal 24 5 2 3" xfId="3578"/>
    <cellStyle name="Normal 24 5 2 4" xfId="2477"/>
    <cellStyle name="Normal 24 5 3" xfId="755"/>
    <cellStyle name="Normal 24 5 3 2" xfId="1276"/>
    <cellStyle name="Normal 24 5 3 2 2" xfId="4208"/>
    <cellStyle name="Normal 24 5 3 2 3" xfId="3062"/>
    <cellStyle name="Normal 24 5 3 3" xfId="3699"/>
    <cellStyle name="Normal 24 5 3 4" xfId="2598"/>
    <cellStyle name="Normal 24 5 4" xfId="983"/>
    <cellStyle name="Normal 24 5 4 2" xfId="3916"/>
    <cellStyle name="Normal 24 5 4 3" xfId="2774"/>
    <cellStyle name="Normal 24 5 5" xfId="3415"/>
    <cellStyle name="Normal 24 5 6" xfId="2326"/>
    <cellStyle name="Normal 24 6" xfId="574"/>
    <cellStyle name="Normal 24 6 2" xfId="1095"/>
    <cellStyle name="Normal 24 6 2 2" xfId="4027"/>
    <cellStyle name="Normal 24 6 2 3" xfId="2881"/>
    <cellStyle name="Normal 24 6 3" xfId="3518"/>
    <cellStyle name="Normal 24 6 4" xfId="2417"/>
    <cellStyle name="Normal 24 7" xfId="695"/>
    <cellStyle name="Normal 24 7 2" xfId="1216"/>
    <cellStyle name="Normal 24 7 2 2" xfId="4148"/>
    <cellStyle name="Normal 24 7 2 3" xfId="3002"/>
    <cellStyle name="Normal 24 7 3" xfId="3639"/>
    <cellStyle name="Normal 24 7 4" xfId="2538"/>
    <cellStyle name="Normal 24 8" xfId="923"/>
    <cellStyle name="Normal 24 8 2" xfId="3856"/>
    <cellStyle name="Normal 24 8 3" xfId="2714"/>
    <cellStyle name="Normal 24 9" xfId="1804"/>
    <cellStyle name="Normal 25" xfId="399"/>
    <cellStyle name="Normal 25 2" xfId="411"/>
    <cellStyle name="Normal 25 2 2" xfId="444"/>
    <cellStyle name="Normal 25 2 2 2" xfId="504"/>
    <cellStyle name="Normal 25 2 2 2 2" xfId="676"/>
    <cellStyle name="Normal 25 2 2 2 2 2" xfId="1197"/>
    <cellStyle name="Normal 25 2 2 2 2 2 2" xfId="4129"/>
    <cellStyle name="Normal 25 2 2 2 2 2 3" xfId="2983"/>
    <cellStyle name="Normal 25 2 2 2 2 3" xfId="3620"/>
    <cellStyle name="Normal 25 2 2 2 2 4" xfId="2519"/>
    <cellStyle name="Normal 25 2 2 2 3" xfId="797"/>
    <cellStyle name="Normal 25 2 2 2 3 2" xfId="1318"/>
    <cellStyle name="Normal 25 2 2 2 3 2 2" xfId="4250"/>
    <cellStyle name="Normal 25 2 2 2 3 2 3" xfId="3104"/>
    <cellStyle name="Normal 25 2 2 2 3 3" xfId="3741"/>
    <cellStyle name="Normal 25 2 2 2 3 4" xfId="2640"/>
    <cellStyle name="Normal 25 2 2 2 4" xfId="1025"/>
    <cellStyle name="Normal 25 2 2 2 4 2" xfId="3958"/>
    <cellStyle name="Normal 25 2 2 2 4 3" xfId="2816"/>
    <cellStyle name="Normal 25 2 2 2 5" xfId="2272"/>
    <cellStyle name="Normal 25 2 2 3" xfId="616"/>
    <cellStyle name="Normal 25 2 2 3 2" xfId="1137"/>
    <cellStyle name="Normal 25 2 2 3 2 2" xfId="4069"/>
    <cellStyle name="Normal 25 2 2 3 2 3" xfId="2923"/>
    <cellStyle name="Normal 25 2 2 3 3" xfId="3560"/>
    <cellStyle name="Normal 25 2 2 3 4" xfId="2459"/>
    <cellStyle name="Normal 25 2 2 4" xfId="737"/>
    <cellStyle name="Normal 25 2 2 4 2" xfId="1258"/>
    <cellStyle name="Normal 25 2 2 4 2 2" xfId="4190"/>
    <cellStyle name="Normal 25 2 2 4 2 3" xfId="3044"/>
    <cellStyle name="Normal 25 2 2 4 3" xfId="3681"/>
    <cellStyle name="Normal 25 2 2 4 4" xfId="2580"/>
    <cellStyle name="Normal 25 2 2 5" xfId="965"/>
    <cellStyle name="Normal 25 2 2 5 2" xfId="3898"/>
    <cellStyle name="Normal 25 2 2 5 3" xfId="2756"/>
    <cellStyle name="Normal 25 2 2 6" xfId="2174"/>
    <cellStyle name="Normal 25 2 3" xfId="474"/>
    <cellStyle name="Normal 25 2 3 2" xfId="646"/>
    <cellStyle name="Normal 25 2 3 2 2" xfId="1167"/>
    <cellStyle name="Normal 25 2 3 2 2 2" xfId="4099"/>
    <cellStyle name="Normal 25 2 3 2 2 3" xfId="2953"/>
    <cellStyle name="Normal 25 2 3 2 3" xfId="3590"/>
    <cellStyle name="Normal 25 2 3 2 4" xfId="2489"/>
    <cellStyle name="Normal 25 2 3 3" xfId="767"/>
    <cellStyle name="Normal 25 2 3 3 2" xfId="1288"/>
    <cellStyle name="Normal 25 2 3 3 2 2" xfId="4220"/>
    <cellStyle name="Normal 25 2 3 3 2 3" xfId="3074"/>
    <cellStyle name="Normal 25 2 3 3 3" xfId="3711"/>
    <cellStyle name="Normal 25 2 3 3 4" xfId="2610"/>
    <cellStyle name="Normal 25 2 3 4" xfId="995"/>
    <cellStyle name="Normal 25 2 3 4 2" xfId="3928"/>
    <cellStyle name="Normal 25 2 3 4 3" xfId="2786"/>
    <cellStyle name="Normal 25 2 3 5" xfId="2223"/>
    <cellStyle name="Normal 25 2 4" xfId="586"/>
    <cellStyle name="Normal 25 2 4 2" xfId="1107"/>
    <cellStyle name="Normal 25 2 4 2 2" xfId="4039"/>
    <cellStyle name="Normal 25 2 4 2 3" xfId="2893"/>
    <cellStyle name="Normal 25 2 4 3" xfId="3530"/>
    <cellStyle name="Normal 25 2 4 4" xfId="2429"/>
    <cellStyle name="Normal 25 2 5" xfId="707"/>
    <cellStyle name="Normal 25 2 5 2" xfId="1228"/>
    <cellStyle name="Normal 25 2 5 2 2" xfId="4160"/>
    <cellStyle name="Normal 25 2 5 2 3" xfId="3014"/>
    <cellStyle name="Normal 25 2 5 3" xfId="3651"/>
    <cellStyle name="Normal 25 2 5 4" xfId="2550"/>
    <cellStyle name="Normal 25 2 6" xfId="935"/>
    <cellStyle name="Normal 25 2 6 2" xfId="3868"/>
    <cellStyle name="Normal 25 2 6 3" xfId="2726"/>
    <cellStyle name="Normal 25 2 7" xfId="2122"/>
    <cellStyle name="Normal 25 3" xfId="425"/>
    <cellStyle name="Normal 25 3 2" xfId="455"/>
    <cellStyle name="Normal 25 3 2 2" xfId="515"/>
    <cellStyle name="Normal 25 3 2 2 2" xfId="687"/>
    <cellStyle name="Normal 25 3 2 2 2 2" xfId="1208"/>
    <cellStyle name="Normal 25 3 2 2 2 2 2" xfId="4140"/>
    <cellStyle name="Normal 25 3 2 2 2 2 3" xfId="2994"/>
    <cellStyle name="Normal 25 3 2 2 2 3" xfId="3631"/>
    <cellStyle name="Normal 25 3 2 2 2 4" xfId="2530"/>
    <cellStyle name="Normal 25 3 2 2 3" xfId="808"/>
    <cellStyle name="Normal 25 3 2 2 3 2" xfId="1329"/>
    <cellStyle name="Normal 25 3 2 2 3 2 2" xfId="4261"/>
    <cellStyle name="Normal 25 3 2 2 3 2 3" xfId="3115"/>
    <cellStyle name="Normal 25 3 2 2 3 3" xfId="3752"/>
    <cellStyle name="Normal 25 3 2 2 3 4" xfId="2651"/>
    <cellStyle name="Normal 25 3 2 2 4" xfId="1036"/>
    <cellStyle name="Normal 25 3 2 2 4 2" xfId="3969"/>
    <cellStyle name="Normal 25 3 2 2 4 3" xfId="2827"/>
    <cellStyle name="Normal 25 3 2 2 5" xfId="3460"/>
    <cellStyle name="Normal 25 3 2 2 6" xfId="2363"/>
    <cellStyle name="Normal 25 3 2 3" xfId="627"/>
    <cellStyle name="Normal 25 3 2 3 2" xfId="1148"/>
    <cellStyle name="Normal 25 3 2 3 2 2" xfId="4080"/>
    <cellStyle name="Normal 25 3 2 3 2 3" xfId="2934"/>
    <cellStyle name="Normal 25 3 2 3 3" xfId="3571"/>
    <cellStyle name="Normal 25 3 2 3 4" xfId="2470"/>
    <cellStyle name="Normal 25 3 2 4" xfId="748"/>
    <cellStyle name="Normal 25 3 2 4 2" xfId="1269"/>
    <cellStyle name="Normal 25 3 2 4 2 2" xfId="4201"/>
    <cellStyle name="Normal 25 3 2 4 2 3" xfId="3055"/>
    <cellStyle name="Normal 25 3 2 4 3" xfId="3692"/>
    <cellStyle name="Normal 25 3 2 4 4" xfId="2591"/>
    <cellStyle name="Normal 25 3 2 5" xfId="976"/>
    <cellStyle name="Normal 25 3 2 5 2" xfId="3909"/>
    <cellStyle name="Normal 25 3 2 5 3" xfId="2767"/>
    <cellStyle name="Normal 25 3 2 6" xfId="2253"/>
    <cellStyle name="Normal 25 3 3" xfId="485"/>
    <cellStyle name="Normal 25 3 3 2" xfId="657"/>
    <cellStyle name="Normal 25 3 3 2 2" xfId="1178"/>
    <cellStyle name="Normal 25 3 3 2 2 2" xfId="4110"/>
    <cellStyle name="Normal 25 3 3 2 2 3" xfId="2964"/>
    <cellStyle name="Normal 25 3 3 2 3" xfId="3601"/>
    <cellStyle name="Normal 25 3 3 2 4" xfId="2500"/>
    <cellStyle name="Normal 25 3 3 3" xfId="778"/>
    <cellStyle name="Normal 25 3 3 3 2" xfId="1299"/>
    <cellStyle name="Normal 25 3 3 3 2 2" xfId="4231"/>
    <cellStyle name="Normal 25 3 3 3 2 3" xfId="3085"/>
    <cellStyle name="Normal 25 3 3 3 3" xfId="3722"/>
    <cellStyle name="Normal 25 3 3 3 4" xfId="2621"/>
    <cellStyle name="Normal 25 3 3 4" xfId="1006"/>
    <cellStyle name="Normal 25 3 3 4 2" xfId="3939"/>
    <cellStyle name="Normal 25 3 3 4 3" xfId="2797"/>
    <cellStyle name="Normal 25 3 3 5" xfId="3434"/>
    <cellStyle name="Normal 25 3 3 6" xfId="2341"/>
    <cellStyle name="Normal 25 3 4" xfId="597"/>
    <cellStyle name="Normal 25 3 4 2" xfId="1118"/>
    <cellStyle name="Normal 25 3 4 2 2" xfId="4050"/>
    <cellStyle name="Normal 25 3 4 2 3" xfId="2904"/>
    <cellStyle name="Normal 25 3 4 3" xfId="3541"/>
    <cellStyle name="Normal 25 3 4 4" xfId="2440"/>
    <cellStyle name="Normal 25 3 5" xfId="718"/>
    <cellStyle name="Normal 25 3 5 2" xfId="1239"/>
    <cellStyle name="Normal 25 3 5 2 2" xfId="4171"/>
    <cellStyle name="Normal 25 3 5 2 3" xfId="3025"/>
    <cellStyle name="Normal 25 3 5 3" xfId="3662"/>
    <cellStyle name="Normal 25 3 5 4" xfId="2561"/>
    <cellStyle name="Normal 25 3 6" xfId="946"/>
    <cellStyle name="Normal 25 3 6 2" xfId="3879"/>
    <cellStyle name="Normal 25 3 6 3" xfId="2737"/>
    <cellStyle name="Normal 25 3 7" xfId="2155"/>
    <cellStyle name="Normal 25 4" xfId="433"/>
    <cellStyle name="Normal 25 4 2" xfId="493"/>
    <cellStyle name="Normal 25 4 2 2" xfId="665"/>
    <cellStyle name="Normal 25 4 2 2 2" xfId="1186"/>
    <cellStyle name="Normal 25 4 2 2 2 2" xfId="4118"/>
    <cellStyle name="Normal 25 4 2 2 2 3" xfId="2972"/>
    <cellStyle name="Normal 25 4 2 2 3" xfId="3609"/>
    <cellStyle name="Normal 25 4 2 2 4" xfId="2508"/>
    <cellStyle name="Normal 25 4 2 3" xfId="786"/>
    <cellStyle name="Normal 25 4 2 3 2" xfId="1307"/>
    <cellStyle name="Normal 25 4 2 3 2 2" xfId="4239"/>
    <cellStyle name="Normal 25 4 2 3 2 3" xfId="3093"/>
    <cellStyle name="Normal 25 4 2 3 3" xfId="3730"/>
    <cellStyle name="Normal 25 4 2 3 4" xfId="2629"/>
    <cellStyle name="Normal 25 4 2 4" xfId="1014"/>
    <cellStyle name="Normal 25 4 2 4 2" xfId="3947"/>
    <cellStyle name="Normal 25 4 2 4 3" xfId="2805"/>
    <cellStyle name="Normal 25 4 2 5" xfId="3442"/>
    <cellStyle name="Normal 25 4 2 6" xfId="2349"/>
    <cellStyle name="Normal 25 4 3" xfId="605"/>
    <cellStyle name="Normal 25 4 3 2" xfId="1126"/>
    <cellStyle name="Normal 25 4 3 2 2" xfId="4058"/>
    <cellStyle name="Normal 25 4 3 2 3" xfId="2912"/>
    <cellStyle name="Normal 25 4 3 3" xfId="3549"/>
    <cellStyle name="Normal 25 4 3 4" xfId="2448"/>
    <cellStyle name="Normal 25 4 4" xfId="726"/>
    <cellStyle name="Normal 25 4 4 2" xfId="1247"/>
    <cellStyle name="Normal 25 4 4 2 2" xfId="4179"/>
    <cellStyle name="Normal 25 4 4 2 3" xfId="3033"/>
    <cellStyle name="Normal 25 4 4 3" xfId="3670"/>
    <cellStyle name="Normal 25 4 4 4" xfId="2569"/>
    <cellStyle name="Normal 25 4 5" xfId="954"/>
    <cellStyle name="Normal 25 4 5 2" xfId="3887"/>
    <cellStyle name="Normal 25 4 5 3" xfId="2745"/>
    <cellStyle name="Normal 25 4 6" xfId="2204"/>
    <cellStyle name="Normal 25 5" xfId="463"/>
    <cellStyle name="Normal 25 5 2" xfId="635"/>
    <cellStyle name="Normal 25 5 2 2" xfId="1156"/>
    <cellStyle name="Normal 25 5 2 2 2" xfId="4088"/>
    <cellStyle name="Normal 25 5 2 2 3" xfId="2942"/>
    <cellStyle name="Normal 25 5 2 3" xfId="3579"/>
    <cellStyle name="Normal 25 5 2 4" xfId="2478"/>
    <cellStyle name="Normal 25 5 3" xfId="756"/>
    <cellStyle name="Normal 25 5 3 2" xfId="1277"/>
    <cellStyle name="Normal 25 5 3 2 2" xfId="4209"/>
    <cellStyle name="Normal 25 5 3 2 3" xfId="3063"/>
    <cellStyle name="Normal 25 5 3 3" xfId="3700"/>
    <cellStyle name="Normal 25 5 3 4" xfId="2599"/>
    <cellStyle name="Normal 25 5 4" xfId="984"/>
    <cellStyle name="Normal 25 5 4 2" xfId="3917"/>
    <cellStyle name="Normal 25 5 4 3" xfId="2775"/>
    <cellStyle name="Normal 25 5 5" xfId="3416"/>
    <cellStyle name="Normal 25 5 6" xfId="2327"/>
    <cellStyle name="Normal 25 6" xfId="575"/>
    <cellStyle name="Normal 25 6 2" xfId="1096"/>
    <cellStyle name="Normal 25 6 2 2" xfId="4028"/>
    <cellStyle name="Normal 25 6 2 3" xfId="2882"/>
    <cellStyle name="Normal 25 6 3" xfId="3519"/>
    <cellStyle name="Normal 25 6 4" xfId="2418"/>
    <cellStyle name="Normal 25 7" xfId="696"/>
    <cellStyle name="Normal 25 7 2" xfId="1217"/>
    <cellStyle name="Normal 25 7 2 2" xfId="4149"/>
    <cellStyle name="Normal 25 7 2 3" xfId="3003"/>
    <cellStyle name="Normal 25 7 3" xfId="3640"/>
    <cellStyle name="Normal 25 7 4" xfId="2539"/>
    <cellStyle name="Normal 25 8" xfId="924"/>
    <cellStyle name="Normal 25 8 2" xfId="3857"/>
    <cellStyle name="Normal 25 8 3" xfId="2715"/>
    <cellStyle name="Normal 25 9" xfId="1803"/>
    <cellStyle name="Normal 26" xfId="400"/>
    <cellStyle name="Normal 26 2" xfId="412"/>
    <cellStyle name="Normal 26 2 2" xfId="445"/>
    <cellStyle name="Normal 26 2 2 2" xfId="505"/>
    <cellStyle name="Normal 26 2 2 2 2" xfId="677"/>
    <cellStyle name="Normal 26 2 2 2 2 2" xfId="1198"/>
    <cellStyle name="Normal 26 2 2 2 2 2 2" xfId="4130"/>
    <cellStyle name="Normal 26 2 2 2 2 2 3" xfId="2984"/>
    <cellStyle name="Normal 26 2 2 2 2 3" xfId="3621"/>
    <cellStyle name="Normal 26 2 2 2 2 4" xfId="2520"/>
    <cellStyle name="Normal 26 2 2 2 3" xfId="798"/>
    <cellStyle name="Normal 26 2 2 2 3 2" xfId="1319"/>
    <cellStyle name="Normal 26 2 2 2 3 2 2" xfId="4251"/>
    <cellStyle name="Normal 26 2 2 2 3 2 3" xfId="3105"/>
    <cellStyle name="Normal 26 2 2 2 3 3" xfId="3742"/>
    <cellStyle name="Normal 26 2 2 2 3 4" xfId="2641"/>
    <cellStyle name="Normal 26 2 2 2 4" xfId="1026"/>
    <cellStyle name="Normal 26 2 2 2 4 2" xfId="3959"/>
    <cellStyle name="Normal 26 2 2 2 4 3" xfId="2817"/>
    <cellStyle name="Normal 26 2 2 2 5" xfId="2271"/>
    <cellStyle name="Normal 26 2 2 3" xfId="617"/>
    <cellStyle name="Normal 26 2 2 3 2" xfId="1138"/>
    <cellStyle name="Normal 26 2 2 3 2 2" xfId="4070"/>
    <cellStyle name="Normal 26 2 2 3 2 3" xfId="2924"/>
    <cellStyle name="Normal 26 2 2 3 3" xfId="3561"/>
    <cellStyle name="Normal 26 2 2 3 4" xfId="2460"/>
    <cellStyle name="Normal 26 2 2 4" xfId="738"/>
    <cellStyle name="Normal 26 2 2 4 2" xfId="1259"/>
    <cellStyle name="Normal 26 2 2 4 2 2" xfId="4191"/>
    <cellStyle name="Normal 26 2 2 4 2 3" xfId="3045"/>
    <cellStyle name="Normal 26 2 2 4 3" xfId="3682"/>
    <cellStyle name="Normal 26 2 2 4 4" xfId="2581"/>
    <cellStyle name="Normal 26 2 2 5" xfId="966"/>
    <cellStyle name="Normal 26 2 2 5 2" xfId="3899"/>
    <cellStyle name="Normal 26 2 2 5 3" xfId="2757"/>
    <cellStyle name="Normal 26 2 2 6" xfId="2173"/>
    <cellStyle name="Normal 26 2 3" xfId="475"/>
    <cellStyle name="Normal 26 2 3 2" xfId="647"/>
    <cellStyle name="Normal 26 2 3 2 2" xfId="1168"/>
    <cellStyle name="Normal 26 2 3 2 2 2" xfId="4100"/>
    <cellStyle name="Normal 26 2 3 2 2 3" xfId="2954"/>
    <cellStyle name="Normal 26 2 3 2 3" xfId="3591"/>
    <cellStyle name="Normal 26 2 3 2 4" xfId="2490"/>
    <cellStyle name="Normal 26 2 3 3" xfId="768"/>
    <cellStyle name="Normal 26 2 3 3 2" xfId="1289"/>
    <cellStyle name="Normal 26 2 3 3 2 2" xfId="4221"/>
    <cellStyle name="Normal 26 2 3 3 2 3" xfId="3075"/>
    <cellStyle name="Normal 26 2 3 3 3" xfId="3712"/>
    <cellStyle name="Normal 26 2 3 3 4" xfId="2611"/>
    <cellStyle name="Normal 26 2 3 4" xfId="996"/>
    <cellStyle name="Normal 26 2 3 4 2" xfId="3929"/>
    <cellStyle name="Normal 26 2 3 4 3" xfId="2787"/>
    <cellStyle name="Normal 26 2 3 5" xfId="2222"/>
    <cellStyle name="Normal 26 2 4" xfId="587"/>
    <cellStyle name="Normal 26 2 4 2" xfId="1108"/>
    <cellStyle name="Normal 26 2 4 2 2" xfId="4040"/>
    <cellStyle name="Normal 26 2 4 2 3" xfId="2894"/>
    <cellStyle name="Normal 26 2 4 3" xfId="3531"/>
    <cellStyle name="Normal 26 2 4 4" xfId="2430"/>
    <cellStyle name="Normal 26 2 5" xfId="708"/>
    <cellStyle name="Normal 26 2 5 2" xfId="1229"/>
    <cellStyle name="Normal 26 2 5 2 2" xfId="4161"/>
    <cellStyle name="Normal 26 2 5 2 3" xfId="3015"/>
    <cellStyle name="Normal 26 2 5 3" xfId="3652"/>
    <cellStyle name="Normal 26 2 5 4" xfId="2551"/>
    <cellStyle name="Normal 26 2 6" xfId="936"/>
    <cellStyle name="Normal 26 2 6 2" xfId="3869"/>
    <cellStyle name="Normal 26 2 6 3" xfId="2727"/>
    <cellStyle name="Normal 26 2 7" xfId="2121"/>
    <cellStyle name="Normal 26 3" xfId="426"/>
    <cellStyle name="Normal 26 3 2" xfId="456"/>
    <cellStyle name="Normal 26 3 2 2" xfId="516"/>
    <cellStyle name="Normal 26 3 2 2 2" xfId="688"/>
    <cellStyle name="Normal 26 3 2 2 2 2" xfId="1209"/>
    <cellStyle name="Normal 26 3 2 2 2 2 2" xfId="4141"/>
    <cellStyle name="Normal 26 3 2 2 2 2 3" xfId="2995"/>
    <cellStyle name="Normal 26 3 2 2 2 3" xfId="3632"/>
    <cellStyle name="Normal 26 3 2 2 2 4" xfId="2531"/>
    <cellStyle name="Normal 26 3 2 2 3" xfId="809"/>
    <cellStyle name="Normal 26 3 2 2 3 2" xfId="1330"/>
    <cellStyle name="Normal 26 3 2 2 3 2 2" xfId="4262"/>
    <cellStyle name="Normal 26 3 2 2 3 2 3" xfId="3116"/>
    <cellStyle name="Normal 26 3 2 2 3 3" xfId="3753"/>
    <cellStyle name="Normal 26 3 2 2 3 4" xfId="2652"/>
    <cellStyle name="Normal 26 3 2 2 4" xfId="1037"/>
    <cellStyle name="Normal 26 3 2 2 4 2" xfId="3970"/>
    <cellStyle name="Normal 26 3 2 2 4 3" xfId="2828"/>
    <cellStyle name="Normal 26 3 2 2 5" xfId="3461"/>
    <cellStyle name="Normal 26 3 2 2 6" xfId="2364"/>
    <cellStyle name="Normal 26 3 2 3" xfId="628"/>
    <cellStyle name="Normal 26 3 2 3 2" xfId="1149"/>
    <cellStyle name="Normal 26 3 2 3 2 2" xfId="4081"/>
    <cellStyle name="Normal 26 3 2 3 2 3" xfId="2935"/>
    <cellStyle name="Normal 26 3 2 3 3" xfId="3572"/>
    <cellStyle name="Normal 26 3 2 3 4" xfId="2471"/>
    <cellStyle name="Normal 26 3 2 4" xfId="749"/>
    <cellStyle name="Normal 26 3 2 4 2" xfId="1270"/>
    <cellStyle name="Normal 26 3 2 4 2 2" xfId="4202"/>
    <cellStyle name="Normal 26 3 2 4 2 3" xfId="3056"/>
    <cellStyle name="Normal 26 3 2 4 3" xfId="3693"/>
    <cellStyle name="Normal 26 3 2 4 4" xfId="2592"/>
    <cellStyle name="Normal 26 3 2 5" xfId="977"/>
    <cellStyle name="Normal 26 3 2 5 2" xfId="3910"/>
    <cellStyle name="Normal 26 3 2 5 3" xfId="2768"/>
    <cellStyle name="Normal 26 3 2 6" xfId="2252"/>
    <cellStyle name="Normal 26 3 3" xfId="486"/>
    <cellStyle name="Normal 26 3 3 2" xfId="658"/>
    <cellStyle name="Normal 26 3 3 2 2" xfId="1179"/>
    <cellStyle name="Normal 26 3 3 2 2 2" xfId="4111"/>
    <cellStyle name="Normal 26 3 3 2 2 3" xfId="2965"/>
    <cellStyle name="Normal 26 3 3 2 3" xfId="3602"/>
    <cellStyle name="Normal 26 3 3 2 4" xfId="2501"/>
    <cellStyle name="Normal 26 3 3 3" xfId="779"/>
    <cellStyle name="Normal 26 3 3 3 2" xfId="1300"/>
    <cellStyle name="Normal 26 3 3 3 2 2" xfId="4232"/>
    <cellStyle name="Normal 26 3 3 3 2 3" xfId="3086"/>
    <cellStyle name="Normal 26 3 3 3 3" xfId="3723"/>
    <cellStyle name="Normal 26 3 3 3 4" xfId="2622"/>
    <cellStyle name="Normal 26 3 3 4" xfId="1007"/>
    <cellStyle name="Normal 26 3 3 4 2" xfId="3940"/>
    <cellStyle name="Normal 26 3 3 4 3" xfId="2798"/>
    <cellStyle name="Normal 26 3 3 5" xfId="3435"/>
    <cellStyle name="Normal 26 3 3 6" xfId="2342"/>
    <cellStyle name="Normal 26 3 4" xfId="598"/>
    <cellStyle name="Normal 26 3 4 2" xfId="1119"/>
    <cellStyle name="Normal 26 3 4 2 2" xfId="4051"/>
    <cellStyle name="Normal 26 3 4 2 3" xfId="2905"/>
    <cellStyle name="Normal 26 3 4 3" xfId="3542"/>
    <cellStyle name="Normal 26 3 4 4" xfId="2441"/>
    <cellStyle name="Normal 26 3 5" xfId="719"/>
    <cellStyle name="Normal 26 3 5 2" xfId="1240"/>
    <cellStyle name="Normal 26 3 5 2 2" xfId="4172"/>
    <cellStyle name="Normal 26 3 5 2 3" xfId="3026"/>
    <cellStyle name="Normal 26 3 5 3" xfId="3663"/>
    <cellStyle name="Normal 26 3 5 4" xfId="2562"/>
    <cellStyle name="Normal 26 3 6" xfId="947"/>
    <cellStyle name="Normal 26 3 6 2" xfId="3880"/>
    <cellStyle name="Normal 26 3 6 3" xfId="2738"/>
    <cellStyle name="Normal 26 3 7" xfId="2154"/>
    <cellStyle name="Normal 26 4" xfId="434"/>
    <cellStyle name="Normal 26 4 2" xfId="494"/>
    <cellStyle name="Normal 26 4 2 2" xfId="666"/>
    <cellStyle name="Normal 26 4 2 2 2" xfId="1187"/>
    <cellStyle name="Normal 26 4 2 2 2 2" xfId="4119"/>
    <cellStyle name="Normal 26 4 2 2 2 3" xfId="2973"/>
    <cellStyle name="Normal 26 4 2 2 3" xfId="3610"/>
    <cellStyle name="Normal 26 4 2 2 4" xfId="2509"/>
    <cellStyle name="Normal 26 4 2 3" xfId="787"/>
    <cellStyle name="Normal 26 4 2 3 2" xfId="1308"/>
    <cellStyle name="Normal 26 4 2 3 2 2" xfId="4240"/>
    <cellStyle name="Normal 26 4 2 3 2 3" xfId="3094"/>
    <cellStyle name="Normal 26 4 2 3 3" xfId="3731"/>
    <cellStyle name="Normal 26 4 2 3 4" xfId="2630"/>
    <cellStyle name="Normal 26 4 2 4" xfId="1015"/>
    <cellStyle name="Normal 26 4 2 4 2" xfId="3948"/>
    <cellStyle name="Normal 26 4 2 4 3" xfId="2806"/>
    <cellStyle name="Normal 26 4 2 5" xfId="3443"/>
    <cellStyle name="Normal 26 4 2 6" xfId="2350"/>
    <cellStyle name="Normal 26 4 3" xfId="606"/>
    <cellStyle name="Normal 26 4 3 2" xfId="1127"/>
    <cellStyle name="Normal 26 4 3 2 2" xfId="4059"/>
    <cellStyle name="Normal 26 4 3 2 3" xfId="2913"/>
    <cellStyle name="Normal 26 4 3 3" xfId="3550"/>
    <cellStyle name="Normal 26 4 3 4" xfId="2449"/>
    <cellStyle name="Normal 26 4 4" xfId="727"/>
    <cellStyle name="Normal 26 4 4 2" xfId="1248"/>
    <cellStyle name="Normal 26 4 4 2 2" xfId="4180"/>
    <cellStyle name="Normal 26 4 4 2 3" xfId="3034"/>
    <cellStyle name="Normal 26 4 4 3" xfId="3671"/>
    <cellStyle name="Normal 26 4 4 4" xfId="2570"/>
    <cellStyle name="Normal 26 4 5" xfId="955"/>
    <cellStyle name="Normal 26 4 5 2" xfId="3888"/>
    <cellStyle name="Normal 26 4 5 3" xfId="2746"/>
    <cellStyle name="Normal 26 4 6" xfId="2203"/>
    <cellStyle name="Normal 26 5" xfId="464"/>
    <cellStyle name="Normal 26 5 2" xfId="636"/>
    <cellStyle name="Normal 26 5 2 2" xfId="1157"/>
    <cellStyle name="Normal 26 5 2 2 2" xfId="4089"/>
    <cellStyle name="Normal 26 5 2 2 3" xfId="2943"/>
    <cellStyle name="Normal 26 5 2 3" xfId="3580"/>
    <cellStyle name="Normal 26 5 2 4" xfId="2479"/>
    <cellStyle name="Normal 26 5 3" xfId="757"/>
    <cellStyle name="Normal 26 5 3 2" xfId="1278"/>
    <cellStyle name="Normal 26 5 3 2 2" xfId="4210"/>
    <cellStyle name="Normal 26 5 3 2 3" xfId="3064"/>
    <cellStyle name="Normal 26 5 3 3" xfId="3701"/>
    <cellStyle name="Normal 26 5 3 4" xfId="2600"/>
    <cellStyle name="Normal 26 5 4" xfId="985"/>
    <cellStyle name="Normal 26 5 4 2" xfId="3918"/>
    <cellStyle name="Normal 26 5 4 3" xfId="2776"/>
    <cellStyle name="Normal 26 5 5" xfId="3417"/>
    <cellStyle name="Normal 26 5 6" xfId="2328"/>
    <cellStyle name="Normal 26 6" xfId="576"/>
    <cellStyle name="Normal 26 6 2" xfId="1097"/>
    <cellStyle name="Normal 26 6 2 2" xfId="4029"/>
    <cellStyle name="Normal 26 6 2 3" xfId="2883"/>
    <cellStyle name="Normal 26 6 3" xfId="3520"/>
    <cellStyle name="Normal 26 6 4" xfId="2419"/>
    <cellStyle name="Normal 26 7" xfId="697"/>
    <cellStyle name="Normal 26 7 2" xfId="1218"/>
    <cellStyle name="Normal 26 7 2 2" xfId="4150"/>
    <cellStyle name="Normal 26 7 2 3" xfId="3004"/>
    <cellStyle name="Normal 26 7 3" xfId="3641"/>
    <cellStyle name="Normal 26 7 4" xfId="2540"/>
    <cellStyle name="Normal 26 8" xfId="925"/>
    <cellStyle name="Normal 26 8 2" xfId="3858"/>
    <cellStyle name="Normal 26 8 3" xfId="2716"/>
    <cellStyle name="Normal 26 9" xfId="1802"/>
    <cellStyle name="Normal 27" xfId="413"/>
    <cellStyle name="Normal 27 2" xfId="403"/>
    <cellStyle name="Normal 27 2 2" xfId="2280"/>
    <cellStyle name="Normal 27 2 3" xfId="2182"/>
    <cellStyle name="Normal 27 3" xfId="446"/>
    <cellStyle name="Normal 27 3 2" xfId="506"/>
    <cellStyle name="Normal 27 3 2 2" xfId="678"/>
    <cellStyle name="Normal 27 3 2 2 2" xfId="1199"/>
    <cellStyle name="Normal 27 3 2 2 2 2" xfId="4131"/>
    <cellStyle name="Normal 27 3 2 2 2 3" xfId="2985"/>
    <cellStyle name="Normal 27 3 2 2 3" xfId="3622"/>
    <cellStyle name="Normal 27 3 2 2 4" xfId="2521"/>
    <cellStyle name="Normal 27 3 2 3" xfId="799"/>
    <cellStyle name="Normal 27 3 2 3 2" xfId="1320"/>
    <cellStyle name="Normal 27 3 2 3 2 2" xfId="4252"/>
    <cellStyle name="Normal 27 3 2 3 2 3" xfId="3106"/>
    <cellStyle name="Normal 27 3 2 3 3" xfId="3743"/>
    <cellStyle name="Normal 27 3 2 3 4" xfId="2642"/>
    <cellStyle name="Normal 27 3 2 4" xfId="1027"/>
    <cellStyle name="Normal 27 3 2 4 2" xfId="3960"/>
    <cellStyle name="Normal 27 3 2 4 3" xfId="2818"/>
    <cellStyle name="Normal 27 3 2 5" xfId="3452"/>
    <cellStyle name="Normal 27 3 2 6" xfId="2355"/>
    <cellStyle name="Normal 27 3 3" xfId="618"/>
    <cellStyle name="Normal 27 3 3 2" xfId="1139"/>
    <cellStyle name="Normal 27 3 3 2 2" xfId="4071"/>
    <cellStyle name="Normal 27 3 3 2 3" xfId="2925"/>
    <cellStyle name="Normal 27 3 3 3" xfId="3562"/>
    <cellStyle name="Normal 27 3 3 4" xfId="2461"/>
    <cellStyle name="Normal 27 3 4" xfId="739"/>
    <cellStyle name="Normal 27 3 4 2" xfId="1260"/>
    <cellStyle name="Normal 27 3 4 2 2" xfId="4192"/>
    <cellStyle name="Normal 27 3 4 2 3" xfId="3046"/>
    <cellStyle name="Normal 27 3 4 3" xfId="3683"/>
    <cellStyle name="Normal 27 3 4 4" xfId="2582"/>
    <cellStyle name="Normal 27 3 5" xfId="967"/>
    <cellStyle name="Normal 27 3 5 2" xfId="3900"/>
    <cellStyle name="Normal 27 3 5 3" xfId="2758"/>
    <cellStyle name="Normal 27 3 6" xfId="2231"/>
    <cellStyle name="Normal 27 4" xfId="476"/>
    <cellStyle name="Normal 27 4 2" xfId="648"/>
    <cellStyle name="Normal 27 4 2 2" xfId="1169"/>
    <cellStyle name="Normal 27 4 2 2 2" xfId="4101"/>
    <cellStyle name="Normal 27 4 2 2 3" xfId="2955"/>
    <cellStyle name="Normal 27 4 2 3" xfId="3592"/>
    <cellStyle name="Normal 27 4 2 4" xfId="2491"/>
    <cellStyle name="Normal 27 4 3" xfId="769"/>
    <cellStyle name="Normal 27 4 3 2" xfId="1290"/>
    <cellStyle name="Normal 27 4 3 2 2" xfId="4222"/>
    <cellStyle name="Normal 27 4 3 2 3" xfId="3076"/>
    <cellStyle name="Normal 27 4 3 3" xfId="3713"/>
    <cellStyle name="Normal 27 4 3 4" xfId="2612"/>
    <cellStyle name="Normal 27 4 4" xfId="997"/>
    <cellStyle name="Normal 27 4 4 2" xfId="3930"/>
    <cellStyle name="Normal 27 4 4 3" xfId="2788"/>
    <cellStyle name="Normal 27 4 5" xfId="3426"/>
    <cellStyle name="Normal 27 4 6" xfId="2333"/>
    <cellStyle name="Normal 27 5" xfId="588"/>
    <cellStyle name="Normal 27 5 2" xfId="1109"/>
    <cellStyle name="Normal 27 5 2 2" xfId="4041"/>
    <cellStyle name="Normal 27 5 2 3" xfId="2895"/>
    <cellStyle name="Normal 27 5 3" xfId="3532"/>
    <cellStyle name="Normal 27 5 4" xfId="2431"/>
    <cellStyle name="Normal 27 6" xfId="709"/>
    <cellStyle name="Normal 27 6 2" xfId="1230"/>
    <cellStyle name="Normal 27 6 2 2" xfId="4162"/>
    <cellStyle name="Normal 27 6 2 3" xfId="3016"/>
    <cellStyle name="Normal 27 6 3" xfId="3653"/>
    <cellStyle name="Normal 27 6 4" xfId="2552"/>
    <cellStyle name="Normal 27 7" xfId="937"/>
    <cellStyle name="Normal 27 7 2" xfId="3870"/>
    <cellStyle name="Normal 27 7 3" xfId="2728"/>
    <cellStyle name="Normal 27 8" xfId="2130"/>
    <cellStyle name="Normal 28" xfId="415"/>
    <cellStyle name="Normal 28 2" xfId="2183"/>
    <cellStyle name="Normal 28 2 2" xfId="2281"/>
    <cellStyle name="Normal 28 3" xfId="2232"/>
    <cellStyle name="Normal 28 4" xfId="2134"/>
    <cellStyle name="Normal 29" xfId="402"/>
    <cellStyle name="Normal 29 2" xfId="436"/>
    <cellStyle name="Normal 29 2 2" xfId="496"/>
    <cellStyle name="Normal 29 2 2 2" xfId="668"/>
    <cellStyle name="Normal 29 2 2 2 2" xfId="1189"/>
    <cellStyle name="Normal 29 2 2 2 2 2" xfId="4121"/>
    <cellStyle name="Normal 29 2 2 2 2 3" xfId="2975"/>
    <cellStyle name="Normal 29 2 2 2 3" xfId="3612"/>
    <cellStyle name="Normal 29 2 2 2 4" xfId="2511"/>
    <cellStyle name="Normal 29 2 2 3" xfId="789"/>
    <cellStyle name="Normal 29 2 2 3 2" xfId="1310"/>
    <cellStyle name="Normal 29 2 2 3 2 2" xfId="4242"/>
    <cellStyle name="Normal 29 2 2 3 2 3" xfId="3096"/>
    <cellStyle name="Normal 29 2 2 3 3" xfId="3733"/>
    <cellStyle name="Normal 29 2 2 3 4" xfId="2632"/>
    <cellStyle name="Normal 29 2 2 4" xfId="1017"/>
    <cellStyle name="Normal 29 2 2 4 2" xfId="3950"/>
    <cellStyle name="Normal 29 2 2 4 3" xfId="2808"/>
    <cellStyle name="Normal 29 2 2 5" xfId="2282"/>
    <cellStyle name="Normal 29 2 3" xfId="608"/>
    <cellStyle name="Normal 29 2 3 2" xfId="1129"/>
    <cellStyle name="Normal 29 2 3 2 2" xfId="4061"/>
    <cellStyle name="Normal 29 2 3 2 3" xfId="2915"/>
    <cellStyle name="Normal 29 2 3 3" xfId="3552"/>
    <cellStyle name="Normal 29 2 3 4" xfId="2451"/>
    <cellStyle name="Normal 29 2 4" xfId="729"/>
    <cellStyle name="Normal 29 2 4 2" xfId="1250"/>
    <cellStyle name="Normal 29 2 4 2 2" xfId="4182"/>
    <cellStyle name="Normal 29 2 4 2 3" xfId="3036"/>
    <cellStyle name="Normal 29 2 4 3" xfId="3673"/>
    <cellStyle name="Normal 29 2 4 4" xfId="2572"/>
    <cellStyle name="Normal 29 2 5" xfId="957"/>
    <cellStyle name="Normal 29 2 5 2" xfId="3890"/>
    <cellStyle name="Normal 29 2 5 3" xfId="2748"/>
    <cellStyle name="Normal 29 2 6" xfId="2184"/>
    <cellStyle name="Normal 29 3" xfId="466"/>
    <cellStyle name="Normal 29 3 2" xfId="638"/>
    <cellStyle name="Normal 29 3 2 2" xfId="1159"/>
    <cellStyle name="Normal 29 3 2 2 2" xfId="4091"/>
    <cellStyle name="Normal 29 3 2 2 3" xfId="2945"/>
    <cellStyle name="Normal 29 3 2 3" xfId="3582"/>
    <cellStyle name="Normal 29 3 2 4" xfId="2481"/>
    <cellStyle name="Normal 29 3 3" xfId="759"/>
    <cellStyle name="Normal 29 3 3 2" xfId="1280"/>
    <cellStyle name="Normal 29 3 3 2 2" xfId="4212"/>
    <cellStyle name="Normal 29 3 3 2 3" xfId="3066"/>
    <cellStyle name="Normal 29 3 3 3" xfId="3703"/>
    <cellStyle name="Normal 29 3 3 4" xfId="2602"/>
    <cellStyle name="Normal 29 3 4" xfId="987"/>
    <cellStyle name="Normal 29 3 4 2" xfId="3920"/>
    <cellStyle name="Normal 29 3 4 3" xfId="2778"/>
    <cellStyle name="Normal 29 3 5" xfId="2233"/>
    <cellStyle name="Normal 29 4" xfId="578"/>
    <cellStyle name="Normal 29 4 2" xfId="1099"/>
    <cellStyle name="Normal 29 4 2 2" xfId="4031"/>
    <cellStyle name="Normal 29 4 2 3" xfId="2885"/>
    <cellStyle name="Normal 29 4 3" xfId="3522"/>
    <cellStyle name="Normal 29 4 4" xfId="2421"/>
    <cellStyle name="Normal 29 5" xfId="699"/>
    <cellStyle name="Normal 29 5 2" xfId="1220"/>
    <cellStyle name="Normal 29 5 2 2" xfId="4152"/>
    <cellStyle name="Normal 29 5 2 3" xfId="3006"/>
    <cellStyle name="Normal 29 5 3" xfId="3643"/>
    <cellStyle name="Normal 29 5 4" xfId="2542"/>
    <cellStyle name="Normal 29 6" xfId="927"/>
    <cellStyle name="Normal 29 6 2" xfId="3860"/>
    <cellStyle name="Normal 29 6 3" xfId="2718"/>
    <cellStyle name="Normal 29 7" xfId="2135"/>
    <cellStyle name="Normal 3" xfId="1"/>
    <cellStyle name="Normal 3 10" xfId="690"/>
    <cellStyle name="Normal 3 10 2" xfId="1211"/>
    <cellStyle name="Normal 3 10 2 2" xfId="4143"/>
    <cellStyle name="Normal 3 10 2 3" xfId="2997"/>
    <cellStyle name="Normal 3 10 3" xfId="3634"/>
    <cellStyle name="Normal 3 10 4" xfId="2533"/>
    <cellStyle name="Normal 3 11" xfId="867"/>
    <cellStyle name="Normal 3 11 2" xfId="3810"/>
    <cellStyle name="Normal 3 11 3" xfId="2709"/>
    <cellStyle name="Normal 3 12" xfId="1423"/>
    <cellStyle name="Normal 3 13" xfId="3174"/>
    <cellStyle name="Normal 3 14" xfId="2298"/>
    <cellStyle name="Normal 3 2" xfId="258"/>
    <cellStyle name="Normal 3 2 2" xfId="1397"/>
    <cellStyle name="Normal 3 2 2 2" xfId="10427"/>
    <cellStyle name="Normal 3 2 2 2 2" xfId="38772"/>
    <cellStyle name="Normal 3 2 2 2 3" xfId="38773"/>
    <cellStyle name="Normal 3 2 2 2 4" xfId="38771"/>
    <cellStyle name="Normal 3 2 2 3" xfId="38770"/>
    <cellStyle name="Normal 3 2 3" xfId="10426"/>
    <cellStyle name="Normal 3 2 4" xfId="38774"/>
    <cellStyle name="Normal 3 3" xfId="367"/>
    <cellStyle name="Normal 3 3 10" xfId="2300"/>
    <cellStyle name="Normal 3 3 2" xfId="406"/>
    <cellStyle name="Normal 3 3 2 2" xfId="439"/>
    <cellStyle name="Normal 3 3 2 2 2" xfId="499"/>
    <cellStyle name="Normal 3 3 2 2 2 2" xfId="671"/>
    <cellStyle name="Normal 3 3 2 2 2 2 2" xfId="1192"/>
    <cellStyle name="Normal 3 3 2 2 2 2 2 2" xfId="4124"/>
    <cellStyle name="Normal 3 3 2 2 2 2 2 3" xfId="2978"/>
    <cellStyle name="Normal 3 3 2 2 2 2 3" xfId="3615"/>
    <cellStyle name="Normal 3 3 2 2 2 2 4" xfId="2514"/>
    <cellStyle name="Normal 3 3 2 2 2 3" xfId="792"/>
    <cellStyle name="Normal 3 3 2 2 2 3 2" xfId="1313"/>
    <cellStyle name="Normal 3 3 2 2 2 3 2 2" xfId="4245"/>
    <cellStyle name="Normal 3 3 2 2 2 3 2 3" xfId="3099"/>
    <cellStyle name="Normal 3 3 2 2 2 3 3" xfId="3736"/>
    <cellStyle name="Normal 3 3 2 2 2 3 4" xfId="2635"/>
    <cellStyle name="Normal 3 3 2 2 2 4" xfId="1020"/>
    <cellStyle name="Normal 3 3 2 2 2 4 2" xfId="3953"/>
    <cellStyle name="Normal 3 3 2 2 2 4 3" xfId="2811"/>
    <cellStyle name="Normal 3 3 2 2 2 5" xfId="3445"/>
    <cellStyle name="Normal 3 3 2 2 2 6" xfId="2352"/>
    <cellStyle name="Normal 3 3 2 2 3" xfId="611"/>
    <cellStyle name="Normal 3 3 2 2 3 2" xfId="1132"/>
    <cellStyle name="Normal 3 3 2 2 3 2 2" xfId="4064"/>
    <cellStyle name="Normal 3 3 2 2 3 2 3" xfId="2918"/>
    <cellStyle name="Normal 3 3 2 2 3 3" xfId="3555"/>
    <cellStyle name="Normal 3 3 2 2 3 4" xfId="2454"/>
    <cellStyle name="Normal 3 3 2 2 4" xfId="732"/>
    <cellStyle name="Normal 3 3 2 2 4 2" xfId="1253"/>
    <cellStyle name="Normal 3 3 2 2 4 2 2" xfId="4185"/>
    <cellStyle name="Normal 3 3 2 2 4 2 3" xfId="3039"/>
    <cellStyle name="Normal 3 3 2 2 4 3" xfId="3676"/>
    <cellStyle name="Normal 3 3 2 2 4 4" xfId="2575"/>
    <cellStyle name="Normal 3 3 2 2 5" xfId="960"/>
    <cellStyle name="Normal 3 3 2 2 5 2" xfId="3893"/>
    <cellStyle name="Normal 3 3 2 2 5 3" xfId="2751"/>
    <cellStyle name="Normal 3 3 2 2 6" xfId="3395"/>
    <cellStyle name="Normal 3 3 2 2 7" xfId="2314"/>
    <cellStyle name="Normal 3 3 2 3" xfId="469"/>
    <cellStyle name="Normal 3 3 2 3 2" xfId="641"/>
    <cellStyle name="Normal 3 3 2 3 2 2" xfId="1162"/>
    <cellStyle name="Normal 3 3 2 3 2 2 2" xfId="4094"/>
    <cellStyle name="Normal 3 3 2 3 2 2 3" xfId="2948"/>
    <cellStyle name="Normal 3 3 2 3 2 3" xfId="3585"/>
    <cellStyle name="Normal 3 3 2 3 2 4" xfId="2484"/>
    <cellStyle name="Normal 3 3 2 3 3" xfId="762"/>
    <cellStyle name="Normal 3 3 2 3 3 2" xfId="1283"/>
    <cellStyle name="Normal 3 3 2 3 3 2 2" xfId="4215"/>
    <cellStyle name="Normal 3 3 2 3 3 2 3" xfId="3069"/>
    <cellStyle name="Normal 3 3 2 3 3 3" xfId="3706"/>
    <cellStyle name="Normal 3 3 2 3 3 4" xfId="2605"/>
    <cellStyle name="Normal 3 3 2 3 4" xfId="990"/>
    <cellStyle name="Normal 3 3 2 3 4 2" xfId="3923"/>
    <cellStyle name="Normal 3 3 2 3 4 3" xfId="2781"/>
    <cellStyle name="Normal 3 3 2 3 5" xfId="3419"/>
    <cellStyle name="Normal 3 3 2 3 6" xfId="2330"/>
    <cellStyle name="Normal 3 3 2 4" xfId="581"/>
    <cellStyle name="Normal 3 3 2 4 2" xfId="1102"/>
    <cellStyle name="Normal 3 3 2 4 2 2" xfId="4034"/>
    <cellStyle name="Normal 3 3 2 4 2 3" xfId="2888"/>
    <cellStyle name="Normal 3 3 2 4 3" xfId="3525"/>
    <cellStyle name="Normal 3 3 2 4 4" xfId="2424"/>
    <cellStyle name="Normal 3 3 2 5" xfId="702"/>
    <cellStyle name="Normal 3 3 2 5 2" xfId="1223"/>
    <cellStyle name="Normal 3 3 2 5 2 2" xfId="4155"/>
    <cellStyle name="Normal 3 3 2 5 2 3" xfId="3009"/>
    <cellStyle name="Normal 3 3 2 5 3" xfId="3646"/>
    <cellStyle name="Normal 3 3 2 5 4" xfId="2545"/>
    <cellStyle name="Normal 3 3 2 6" xfId="930"/>
    <cellStyle name="Normal 3 3 2 6 2" xfId="3863"/>
    <cellStyle name="Normal 3 3 2 6 3" xfId="2721"/>
    <cellStyle name="Normal 3 3 2 7" xfId="3370"/>
    <cellStyle name="Normal 3 3 2 8" xfId="2303"/>
    <cellStyle name="Normal 3 3 3" xfId="420"/>
    <cellStyle name="Normal 3 3 3 2" xfId="450"/>
    <cellStyle name="Normal 3 3 3 2 2" xfId="510"/>
    <cellStyle name="Normal 3 3 3 2 2 2" xfId="682"/>
    <cellStyle name="Normal 3 3 3 2 2 2 2" xfId="1203"/>
    <cellStyle name="Normal 3 3 3 2 2 2 2 2" xfId="4135"/>
    <cellStyle name="Normal 3 3 3 2 2 2 2 3" xfId="2989"/>
    <cellStyle name="Normal 3 3 3 2 2 2 3" xfId="3626"/>
    <cellStyle name="Normal 3 3 3 2 2 2 4" xfId="2525"/>
    <cellStyle name="Normal 3 3 3 2 2 3" xfId="803"/>
    <cellStyle name="Normal 3 3 3 2 2 3 2" xfId="1324"/>
    <cellStyle name="Normal 3 3 3 2 2 3 2 2" xfId="4256"/>
    <cellStyle name="Normal 3 3 3 2 2 3 2 3" xfId="3110"/>
    <cellStyle name="Normal 3 3 3 2 2 3 3" xfId="3747"/>
    <cellStyle name="Normal 3 3 3 2 2 3 4" xfId="2646"/>
    <cellStyle name="Normal 3 3 3 2 2 4" xfId="1031"/>
    <cellStyle name="Normal 3 3 3 2 2 4 2" xfId="3964"/>
    <cellStyle name="Normal 3 3 3 2 2 4 3" xfId="2822"/>
    <cellStyle name="Normal 3 3 3 2 2 5" xfId="3455"/>
    <cellStyle name="Normal 3 3 3 2 2 6" xfId="2358"/>
    <cellStyle name="Normal 3 3 3 2 3" xfId="622"/>
    <cellStyle name="Normal 3 3 3 2 3 2" xfId="1143"/>
    <cellStyle name="Normal 3 3 3 2 3 2 2" xfId="4075"/>
    <cellStyle name="Normal 3 3 3 2 3 2 3" xfId="2929"/>
    <cellStyle name="Normal 3 3 3 2 3 3" xfId="3566"/>
    <cellStyle name="Normal 3 3 3 2 3 4" xfId="2465"/>
    <cellStyle name="Normal 3 3 3 2 4" xfId="743"/>
    <cellStyle name="Normal 3 3 3 2 4 2" xfId="1264"/>
    <cellStyle name="Normal 3 3 3 2 4 2 2" xfId="4196"/>
    <cellStyle name="Normal 3 3 3 2 4 2 3" xfId="3050"/>
    <cellStyle name="Normal 3 3 3 2 4 3" xfId="3687"/>
    <cellStyle name="Normal 3 3 3 2 4 4" xfId="2586"/>
    <cellStyle name="Normal 3 3 3 2 5" xfId="971"/>
    <cellStyle name="Normal 3 3 3 2 5 2" xfId="3904"/>
    <cellStyle name="Normal 3 3 3 2 5 3" xfId="2762"/>
    <cellStyle name="Normal 3 3 3 2 6" xfId="3404"/>
    <cellStyle name="Normal 3 3 3 2 7" xfId="2318"/>
    <cellStyle name="Normal 3 3 3 3" xfId="480"/>
    <cellStyle name="Normal 3 3 3 3 2" xfId="652"/>
    <cellStyle name="Normal 3 3 3 3 2 2" xfId="1173"/>
    <cellStyle name="Normal 3 3 3 3 2 2 2" xfId="4105"/>
    <cellStyle name="Normal 3 3 3 3 2 2 3" xfId="2959"/>
    <cellStyle name="Normal 3 3 3 3 2 3" xfId="3596"/>
    <cellStyle name="Normal 3 3 3 3 2 4" xfId="2495"/>
    <cellStyle name="Normal 3 3 3 3 3" xfId="773"/>
    <cellStyle name="Normal 3 3 3 3 3 2" xfId="1294"/>
    <cellStyle name="Normal 3 3 3 3 3 2 2" xfId="4226"/>
    <cellStyle name="Normal 3 3 3 3 3 2 3" xfId="3080"/>
    <cellStyle name="Normal 3 3 3 3 3 3" xfId="3717"/>
    <cellStyle name="Normal 3 3 3 3 3 4" xfId="2616"/>
    <cellStyle name="Normal 3 3 3 3 4" xfId="1001"/>
    <cellStyle name="Normal 3 3 3 3 4 2" xfId="3934"/>
    <cellStyle name="Normal 3 3 3 3 4 3" xfId="2792"/>
    <cellStyle name="Normal 3 3 3 3 5" xfId="3429"/>
    <cellStyle name="Normal 3 3 3 3 6" xfId="2336"/>
    <cellStyle name="Normal 3 3 3 4" xfId="592"/>
    <cellStyle name="Normal 3 3 3 4 2" xfId="1113"/>
    <cellStyle name="Normal 3 3 3 4 2 2" xfId="4045"/>
    <cellStyle name="Normal 3 3 3 4 2 3" xfId="2899"/>
    <cellStyle name="Normal 3 3 3 4 3" xfId="3536"/>
    <cellStyle name="Normal 3 3 3 4 4" xfId="2435"/>
    <cellStyle name="Normal 3 3 3 5" xfId="713"/>
    <cellStyle name="Normal 3 3 3 5 2" xfId="1234"/>
    <cellStyle name="Normal 3 3 3 5 2 2" xfId="4166"/>
    <cellStyle name="Normal 3 3 3 5 2 3" xfId="3020"/>
    <cellStyle name="Normal 3 3 3 5 3" xfId="3657"/>
    <cellStyle name="Normal 3 3 3 5 4" xfId="2556"/>
    <cellStyle name="Normal 3 3 3 6" xfId="941"/>
    <cellStyle name="Normal 3 3 3 6 2" xfId="3874"/>
    <cellStyle name="Normal 3 3 3 6 3" xfId="2732"/>
    <cellStyle name="Normal 3 3 3 7" xfId="3381"/>
    <cellStyle name="Normal 3 3 3 8" xfId="2307"/>
    <cellStyle name="Normal 3 3 4" xfId="428"/>
    <cellStyle name="Normal 3 3 4 2" xfId="488"/>
    <cellStyle name="Normal 3 3 4 2 2" xfId="660"/>
    <cellStyle name="Normal 3 3 4 2 2 2" xfId="1181"/>
    <cellStyle name="Normal 3 3 4 2 2 2 2" xfId="4113"/>
    <cellStyle name="Normal 3 3 4 2 2 2 3" xfId="2967"/>
    <cellStyle name="Normal 3 3 4 2 2 3" xfId="3604"/>
    <cellStyle name="Normal 3 3 4 2 2 4" xfId="2503"/>
    <cellStyle name="Normal 3 3 4 2 3" xfId="781"/>
    <cellStyle name="Normal 3 3 4 2 3 2" xfId="1302"/>
    <cellStyle name="Normal 3 3 4 2 3 2 2" xfId="4234"/>
    <cellStyle name="Normal 3 3 4 2 3 2 3" xfId="3088"/>
    <cellStyle name="Normal 3 3 4 2 3 3" xfId="3725"/>
    <cellStyle name="Normal 3 3 4 2 3 4" xfId="2624"/>
    <cellStyle name="Normal 3 3 4 2 4" xfId="1009"/>
    <cellStyle name="Normal 3 3 4 2 4 2" xfId="3942"/>
    <cellStyle name="Normal 3 3 4 2 4 3" xfId="2800"/>
    <cellStyle name="Normal 3 3 4 2 5" xfId="3437"/>
    <cellStyle name="Normal 3 3 4 2 6" xfId="2344"/>
    <cellStyle name="Normal 3 3 4 3" xfId="600"/>
    <cellStyle name="Normal 3 3 4 3 2" xfId="1121"/>
    <cellStyle name="Normal 3 3 4 3 2 2" xfId="4053"/>
    <cellStyle name="Normal 3 3 4 3 2 3" xfId="2907"/>
    <cellStyle name="Normal 3 3 4 3 3" xfId="3544"/>
    <cellStyle name="Normal 3 3 4 3 4" xfId="2443"/>
    <cellStyle name="Normal 3 3 4 4" xfId="721"/>
    <cellStyle name="Normal 3 3 4 4 2" xfId="1242"/>
    <cellStyle name="Normal 3 3 4 4 2 2" xfId="4174"/>
    <cellStyle name="Normal 3 3 4 4 2 3" xfId="3028"/>
    <cellStyle name="Normal 3 3 4 4 3" xfId="3665"/>
    <cellStyle name="Normal 3 3 4 4 4" xfId="2564"/>
    <cellStyle name="Normal 3 3 4 5" xfId="949"/>
    <cellStyle name="Normal 3 3 4 5 2" xfId="3882"/>
    <cellStyle name="Normal 3 3 4 5 3" xfId="2740"/>
    <cellStyle name="Normal 3 3 4 6" xfId="3388"/>
    <cellStyle name="Normal 3 3 4 7" xfId="2310"/>
    <cellStyle name="Normal 3 3 5" xfId="458"/>
    <cellStyle name="Normal 3 3 5 2" xfId="630"/>
    <cellStyle name="Normal 3 3 5 2 2" xfId="1151"/>
    <cellStyle name="Normal 3 3 5 2 2 2" xfId="4083"/>
    <cellStyle name="Normal 3 3 5 2 2 3" xfId="2937"/>
    <cellStyle name="Normal 3 3 5 2 3" xfId="3574"/>
    <cellStyle name="Normal 3 3 5 2 4" xfId="2473"/>
    <cellStyle name="Normal 3 3 5 3" xfId="751"/>
    <cellStyle name="Normal 3 3 5 3 2" xfId="1272"/>
    <cellStyle name="Normal 3 3 5 3 2 2" xfId="4204"/>
    <cellStyle name="Normal 3 3 5 3 2 3" xfId="3058"/>
    <cellStyle name="Normal 3 3 5 3 3" xfId="3695"/>
    <cellStyle name="Normal 3 3 5 3 4" xfId="2594"/>
    <cellStyle name="Normal 3 3 5 4" xfId="979"/>
    <cellStyle name="Normal 3 3 5 4 2" xfId="3912"/>
    <cellStyle name="Normal 3 3 5 4 3" xfId="2770"/>
    <cellStyle name="Normal 3 3 5 5" xfId="3411"/>
    <cellStyle name="Normal 3 3 5 6" xfId="2322"/>
    <cellStyle name="Normal 3 3 6" xfId="568"/>
    <cellStyle name="Normal 3 3 6 2" xfId="1089"/>
    <cellStyle name="Normal 3 3 6 2 2" xfId="4021"/>
    <cellStyle name="Normal 3 3 6 2 3" xfId="2875"/>
    <cellStyle name="Normal 3 3 6 3" xfId="3512"/>
    <cellStyle name="Normal 3 3 6 3 2" xfId="10428"/>
    <cellStyle name="Normal 3 3 6 4" xfId="2411"/>
    <cellStyle name="Normal 3 3 7" xfId="691"/>
    <cellStyle name="Normal 3 3 7 2" xfId="1212"/>
    <cellStyle name="Normal 3 3 7 2 2" xfId="4144"/>
    <cellStyle name="Normal 3 3 7 2 3" xfId="2998"/>
    <cellStyle name="Normal 3 3 7 3" xfId="3635"/>
    <cellStyle name="Normal 3 3 7 4" xfId="2534"/>
    <cellStyle name="Normal 3 3 8" xfId="919"/>
    <cellStyle name="Normal 3 3 8 2" xfId="3852"/>
    <cellStyle name="Normal 3 3 8 3" xfId="2710"/>
    <cellStyle name="Normal 3 3 9" xfId="3346"/>
    <cellStyle name="Normal 3 4" xfId="392"/>
    <cellStyle name="Normal 3 4 2" xfId="10429"/>
    <cellStyle name="Normal 3 5" xfId="401"/>
    <cellStyle name="Normal 3 5 2" xfId="435"/>
    <cellStyle name="Normal 3 5 2 2" xfId="495"/>
    <cellStyle name="Normal 3 5 2 2 2" xfId="667"/>
    <cellStyle name="Normal 3 5 2 2 2 2" xfId="1188"/>
    <cellStyle name="Normal 3 5 2 2 2 2 2" xfId="4120"/>
    <cellStyle name="Normal 3 5 2 2 2 2 3" xfId="2974"/>
    <cellStyle name="Normal 3 5 2 2 2 3" xfId="3611"/>
    <cellStyle name="Normal 3 5 2 2 2 4" xfId="2510"/>
    <cellStyle name="Normal 3 5 2 2 3" xfId="788"/>
    <cellStyle name="Normal 3 5 2 2 3 2" xfId="1309"/>
    <cellStyle name="Normal 3 5 2 2 3 2 2" xfId="4241"/>
    <cellStyle name="Normal 3 5 2 2 3 2 3" xfId="3095"/>
    <cellStyle name="Normal 3 5 2 2 3 3" xfId="3732"/>
    <cellStyle name="Normal 3 5 2 2 3 4" xfId="2631"/>
    <cellStyle name="Normal 3 5 2 2 4" xfId="1016"/>
    <cellStyle name="Normal 3 5 2 2 4 2" xfId="3949"/>
    <cellStyle name="Normal 3 5 2 2 4 3" xfId="2807"/>
    <cellStyle name="Normal 3 5 2 2 5" xfId="3444"/>
    <cellStyle name="Normal 3 5 2 2 6" xfId="2351"/>
    <cellStyle name="Normal 3 5 2 3" xfId="607"/>
    <cellStyle name="Normal 3 5 2 3 2" xfId="1128"/>
    <cellStyle name="Normal 3 5 2 3 2 2" xfId="4060"/>
    <cellStyle name="Normal 3 5 2 3 2 3" xfId="2914"/>
    <cellStyle name="Normal 3 5 2 3 3" xfId="3551"/>
    <cellStyle name="Normal 3 5 2 3 4" xfId="2450"/>
    <cellStyle name="Normal 3 5 2 4" xfId="728"/>
    <cellStyle name="Normal 3 5 2 4 2" xfId="1249"/>
    <cellStyle name="Normal 3 5 2 4 2 2" xfId="4181"/>
    <cellStyle name="Normal 3 5 2 4 2 3" xfId="3035"/>
    <cellStyle name="Normal 3 5 2 4 3" xfId="3672"/>
    <cellStyle name="Normal 3 5 2 4 4" xfId="2571"/>
    <cellStyle name="Normal 3 5 2 5" xfId="956"/>
    <cellStyle name="Normal 3 5 2 5 2" xfId="3889"/>
    <cellStyle name="Normal 3 5 2 5 3" xfId="2747"/>
    <cellStyle name="Normal 3 5 2 6" xfId="3394"/>
    <cellStyle name="Normal 3 5 2 7" xfId="2313"/>
    <cellStyle name="Normal 3 5 3" xfId="465"/>
    <cellStyle name="Normal 3 5 3 2" xfId="637"/>
    <cellStyle name="Normal 3 5 3 2 2" xfId="1158"/>
    <cellStyle name="Normal 3 5 3 2 2 2" xfId="4090"/>
    <cellStyle name="Normal 3 5 3 2 2 3" xfId="2944"/>
    <cellStyle name="Normal 3 5 3 2 3" xfId="3581"/>
    <cellStyle name="Normal 3 5 3 2 4" xfId="2480"/>
    <cellStyle name="Normal 3 5 3 3" xfId="758"/>
    <cellStyle name="Normal 3 5 3 3 2" xfId="1279"/>
    <cellStyle name="Normal 3 5 3 3 2 2" xfId="4211"/>
    <cellStyle name="Normal 3 5 3 3 2 3" xfId="3065"/>
    <cellStyle name="Normal 3 5 3 3 3" xfId="3702"/>
    <cellStyle name="Normal 3 5 3 3 4" xfId="2601"/>
    <cellStyle name="Normal 3 5 3 4" xfId="986"/>
    <cellStyle name="Normal 3 5 3 4 2" xfId="3919"/>
    <cellStyle name="Normal 3 5 3 4 3" xfId="2777"/>
    <cellStyle name="Normal 3 5 3 5" xfId="3418"/>
    <cellStyle name="Normal 3 5 3 6" xfId="2329"/>
    <cellStyle name="Normal 3 5 4" xfId="577"/>
    <cellStyle name="Normal 3 5 4 2" xfId="1098"/>
    <cellStyle name="Normal 3 5 4 2 2" xfId="4030"/>
    <cellStyle name="Normal 3 5 4 2 3" xfId="2884"/>
    <cellStyle name="Normal 3 5 4 3" xfId="3521"/>
    <cellStyle name="Normal 3 5 4 3 2" xfId="10430"/>
    <cellStyle name="Normal 3 5 4 4" xfId="2420"/>
    <cellStyle name="Normal 3 5 5" xfId="698"/>
    <cellStyle name="Normal 3 5 5 2" xfId="1219"/>
    <cellStyle name="Normal 3 5 5 2 2" xfId="4151"/>
    <cellStyle name="Normal 3 5 5 2 3" xfId="3005"/>
    <cellStyle name="Normal 3 5 5 3" xfId="3642"/>
    <cellStyle name="Normal 3 5 5 4" xfId="2541"/>
    <cellStyle name="Normal 3 5 6" xfId="926"/>
    <cellStyle name="Normal 3 5 6 2" xfId="3859"/>
    <cellStyle name="Normal 3 5 6 3" xfId="2717"/>
    <cellStyle name="Normal 3 5 7" xfId="3369"/>
    <cellStyle name="Normal 3 5 8" xfId="2302"/>
    <cellStyle name="Normal 3 6" xfId="419"/>
    <cellStyle name="Normal 3 6 2" xfId="449"/>
    <cellStyle name="Normal 3 6 2 2" xfId="509"/>
    <cellStyle name="Normal 3 6 2 2 2" xfId="681"/>
    <cellStyle name="Normal 3 6 2 2 2 2" xfId="1202"/>
    <cellStyle name="Normal 3 6 2 2 2 2 2" xfId="4134"/>
    <cellStyle name="Normal 3 6 2 2 2 2 3" xfId="2988"/>
    <cellStyle name="Normal 3 6 2 2 2 3" xfId="3625"/>
    <cellStyle name="Normal 3 6 2 2 2 4" xfId="2524"/>
    <cellStyle name="Normal 3 6 2 2 3" xfId="802"/>
    <cellStyle name="Normal 3 6 2 2 3 2" xfId="1323"/>
    <cellStyle name="Normal 3 6 2 2 3 2 2" xfId="4255"/>
    <cellStyle name="Normal 3 6 2 2 3 2 3" xfId="3109"/>
    <cellStyle name="Normal 3 6 2 2 3 3" xfId="3746"/>
    <cellStyle name="Normal 3 6 2 2 3 4" xfId="2645"/>
    <cellStyle name="Normal 3 6 2 2 4" xfId="1030"/>
    <cellStyle name="Normal 3 6 2 2 4 2" xfId="3963"/>
    <cellStyle name="Normal 3 6 2 2 4 3" xfId="2821"/>
    <cellStyle name="Normal 3 6 2 2 5" xfId="3454"/>
    <cellStyle name="Normal 3 6 2 2 6" xfId="2357"/>
    <cellStyle name="Normal 3 6 2 3" xfId="621"/>
    <cellStyle name="Normal 3 6 2 3 2" xfId="1142"/>
    <cellStyle name="Normal 3 6 2 3 2 2" xfId="4074"/>
    <cellStyle name="Normal 3 6 2 3 2 3" xfId="2928"/>
    <cellStyle name="Normal 3 6 2 3 3" xfId="3565"/>
    <cellStyle name="Normal 3 6 2 3 4" xfId="2464"/>
    <cellStyle name="Normal 3 6 2 4" xfId="742"/>
    <cellStyle name="Normal 3 6 2 4 2" xfId="1263"/>
    <cellStyle name="Normal 3 6 2 4 2 2" xfId="4195"/>
    <cellStyle name="Normal 3 6 2 4 2 3" xfId="3049"/>
    <cellStyle name="Normal 3 6 2 4 3" xfId="3686"/>
    <cellStyle name="Normal 3 6 2 4 4" xfId="2585"/>
    <cellStyle name="Normal 3 6 2 5" xfId="970"/>
    <cellStyle name="Normal 3 6 2 5 2" xfId="3903"/>
    <cellStyle name="Normal 3 6 2 5 3" xfId="2761"/>
    <cellStyle name="Normal 3 6 2 6" xfId="3403"/>
    <cellStyle name="Normal 3 6 2 7" xfId="2317"/>
    <cellStyle name="Normal 3 6 3" xfId="479"/>
    <cellStyle name="Normal 3 6 3 2" xfId="651"/>
    <cellStyle name="Normal 3 6 3 2 2" xfId="1172"/>
    <cellStyle name="Normal 3 6 3 2 2 2" xfId="4104"/>
    <cellStyle name="Normal 3 6 3 2 2 3" xfId="2958"/>
    <cellStyle name="Normal 3 6 3 2 3" xfId="3595"/>
    <cellStyle name="Normal 3 6 3 2 4" xfId="2494"/>
    <cellStyle name="Normal 3 6 3 3" xfId="772"/>
    <cellStyle name="Normal 3 6 3 3 2" xfId="1293"/>
    <cellStyle name="Normal 3 6 3 3 2 2" xfId="4225"/>
    <cellStyle name="Normal 3 6 3 3 2 3" xfId="3079"/>
    <cellStyle name="Normal 3 6 3 3 3" xfId="3716"/>
    <cellStyle name="Normal 3 6 3 3 4" xfId="2615"/>
    <cellStyle name="Normal 3 6 3 4" xfId="1000"/>
    <cellStyle name="Normal 3 6 3 4 2" xfId="3933"/>
    <cellStyle name="Normal 3 6 3 4 3" xfId="2791"/>
    <cellStyle name="Normal 3 6 3 5" xfId="3428"/>
    <cellStyle name="Normal 3 6 3 6" xfId="2335"/>
    <cellStyle name="Normal 3 6 4" xfId="591"/>
    <cellStyle name="Normal 3 6 4 2" xfId="1112"/>
    <cellStyle name="Normal 3 6 4 2 2" xfId="4044"/>
    <cellStyle name="Normal 3 6 4 2 3" xfId="2898"/>
    <cellStyle name="Normal 3 6 4 3" xfId="3535"/>
    <cellStyle name="Normal 3 6 4 4" xfId="2434"/>
    <cellStyle name="Normal 3 6 5" xfId="712"/>
    <cellStyle name="Normal 3 6 5 2" xfId="1233"/>
    <cellStyle name="Normal 3 6 5 2 2" xfId="4165"/>
    <cellStyle name="Normal 3 6 5 2 3" xfId="3019"/>
    <cellStyle name="Normal 3 6 5 3" xfId="3656"/>
    <cellStyle name="Normal 3 6 5 4" xfId="2555"/>
    <cellStyle name="Normal 3 6 6" xfId="940"/>
    <cellStyle name="Normal 3 6 6 2" xfId="3873"/>
    <cellStyle name="Normal 3 6 6 3" xfId="2731"/>
    <cellStyle name="Normal 3 6 7" xfId="3380"/>
    <cellStyle name="Normal 3 6 8" xfId="2306"/>
    <cellStyle name="Normal 3 7" xfId="427"/>
    <cellStyle name="Normal 3 7 2" xfId="487"/>
    <cellStyle name="Normal 3 7 2 2" xfId="659"/>
    <cellStyle name="Normal 3 7 2 2 2" xfId="1180"/>
    <cellStyle name="Normal 3 7 2 2 2 2" xfId="4112"/>
    <cellStyle name="Normal 3 7 2 2 2 3" xfId="2966"/>
    <cellStyle name="Normal 3 7 2 2 3" xfId="3603"/>
    <cellStyle name="Normal 3 7 2 2 4" xfId="2502"/>
    <cellStyle name="Normal 3 7 2 3" xfId="780"/>
    <cellStyle name="Normal 3 7 2 3 2" xfId="1301"/>
    <cellStyle name="Normal 3 7 2 3 2 2" xfId="4233"/>
    <cellStyle name="Normal 3 7 2 3 2 3" xfId="3087"/>
    <cellStyle name="Normal 3 7 2 3 3" xfId="3724"/>
    <cellStyle name="Normal 3 7 2 3 4" xfId="2623"/>
    <cellStyle name="Normal 3 7 2 4" xfId="1008"/>
    <cellStyle name="Normal 3 7 2 4 2" xfId="3941"/>
    <cellStyle name="Normal 3 7 2 4 3" xfId="2799"/>
    <cellStyle name="Normal 3 7 2 5" xfId="3436"/>
    <cellStyle name="Normal 3 7 2 6" xfId="2343"/>
    <cellStyle name="Normal 3 7 3" xfId="599"/>
    <cellStyle name="Normal 3 7 3 2" xfId="1120"/>
    <cellStyle name="Normal 3 7 3 2 2" xfId="4052"/>
    <cellStyle name="Normal 3 7 3 2 3" xfId="2906"/>
    <cellStyle name="Normal 3 7 3 3" xfId="3543"/>
    <cellStyle name="Normal 3 7 3 4" xfId="2442"/>
    <cellStyle name="Normal 3 7 4" xfId="720"/>
    <cellStyle name="Normal 3 7 4 2" xfId="1241"/>
    <cellStyle name="Normal 3 7 4 2 2" xfId="4173"/>
    <cellStyle name="Normal 3 7 4 2 3" xfId="3027"/>
    <cellStyle name="Normal 3 7 4 3" xfId="3664"/>
    <cellStyle name="Normal 3 7 4 4" xfId="2563"/>
    <cellStyle name="Normal 3 7 5" xfId="948"/>
    <cellStyle name="Normal 3 7 5 2" xfId="3881"/>
    <cellStyle name="Normal 3 7 5 3" xfId="2739"/>
    <cellStyle name="Normal 3 7 6" xfId="3387"/>
    <cellStyle name="Normal 3 7 7" xfId="2309"/>
    <cellStyle name="Normal 3 8" xfId="457"/>
    <cellStyle name="Normal 3 8 2" xfId="629"/>
    <cellStyle name="Normal 3 8 2 2" xfId="1150"/>
    <cellStyle name="Normal 3 8 2 2 2" xfId="4082"/>
    <cellStyle name="Normal 3 8 2 2 3" xfId="2936"/>
    <cellStyle name="Normal 3 8 2 3" xfId="3573"/>
    <cellStyle name="Normal 3 8 2 4" xfId="2472"/>
    <cellStyle name="Normal 3 8 3" xfId="750"/>
    <cellStyle name="Normal 3 8 3 2" xfId="1271"/>
    <cellStyle name="Normal 3 8 3 2 2" xfId="4203"/>
    <cellStyle name="Normal 3 8 3 2 3" xfId="3057"/>
    <cellStyle name="Normal 3 8 3 3" xfId="3694"/>
    <cellStyle name="Normal 3 8 3 4" xfId="2593"/>
    <cellStyle name="Normal 3 8 4" xfId="978"/>
    <cellStyle name="Normal 3 8 4 2" xfId="3911"/>
    <cellStyle name="Normal 3 8 4 3" xfId="2769"/>
    <cellStyle name="Normal 3 8 5" xfId="3410"/>
    <cellStyle name="Normal 3 8 6" xfId="2321"/>
    <cellStyle name="Normal 3 9" xfId="543"/>
    <cellStyle name="Normal 3 9 2" xfId="1064"/>
    <cellStyle name="Normal 3 9 2 2" xfId="3996"/>
    <cellStyle name="Normal 3 9 2 3" xfId="2850"/>
    <cellStyle name="Normal 3 9 3" xfId="3487"/>
    <cellStyle name="Normal 3 9 4" xfId="2386"/>
    <cellStyle name="Normal 30" xfId="405"/>
    <cellStyle name="Normal 30 2" xfId="438"/>
    <cellStyle name="Normal 30 2 2" xfId="498"/>
    <cellStyle name="Normal 30 2 2 2" xfId="670"/>
    <cellStyle name="Normal 30 2 2 2 2" xfId="1191"/>
    <cellStyle name="Normal 30 2 2 2 2 2" xfId="4123"/>
    <cellStyle name="Normal 30 2 2 2 2 3" xfId="2977"/>
    <cellStyle name="Normal 30 2 2 2 3" xfId="3614"/>
    <cellStyle name="Normal 30 2 2 2 4" xfId="2513"/>
    <cellStyle name="Normal 30 2 2 3" xfId="791"/>
    <cellStyle name="Normal 30 2 2 3 2" xfId="1312"/>
    <cellStyle name="Normal 30 2 2 3 2 2" xfId="4244"/>
    <cellStyle name="Normal 30 2 2 3 2 3" xfId="3098"/>
    <cellStyle name="Normal 30 2 2 3 3" xfId="3735"/>
    <cellStyle name="Normal 30 2 2 3 4" xfId="2634"/>
    <cellStyle name="Normal 30 2 2 4" xfId="1019"/>
    <cellStyle name="Normal 30 2 2 4 2" xfId="3952"/>
    <cellStyle name="Normal 30 2 2 4 3" xfId="2810"/>
    <cellStyle name="Normal 30 2 2 5" xfId="2283"/>
    <cellStyle name="Normal 30 2 3" xfId="610"/>
    <cellStyle name="Normal 30 2 3 2" xfId="1131"/>
    <cellStyle name="Normal 30 2 3 2 2" xfId="4063"/>
    <cellStyle name="Normal 30 2 3 2 3" xfId="2917"/>
    <cellStyle name="Normal 30 2 3 3" xfId="3554"/>
    <cellStyle name="Normal 30 2 3 4" xfId="2453"/>
    <cellStyle name="Normal 30 2 4" xfId="731"/>
    <cellStyle name="Normal 30 2 4 2" xfId="1252"/>
    <cellStyle name="Normal 30 2 4 2 2" xfId="4184"/>
    <cellStyle name="Normal 30 2 4 2 3" xfId="3038"/>
    <cellStyle name="Normal 30 2 4 3" xfId="3675"/>
    <cellStyle name="Normal 30 2 4 4" xfId="2574"/>
    <cellStyle name="Normal 30 2 5" xfId="959"/>
    <cellStyle name="Normal 30 2 5 2" xfId="3892"/>
    <cellStyle name="Normal 30 2 5 3" xfId="2750"/>
    <cellStyle name="Normal 30 2 6" xfId="2185"/>
    <cellStyle name="Normal 30 3" xfId="468"/>
    <cellStyle name="Normal 30 3 2" xfId="640"/>
    <cellStyle name="Normal 30 3 2 2" xfId="1161"/>
    <cellStyle name="Normal 30 3 2 2 2" xfId="4093"/>
    <cellStyle name="Normal 30 3 2 2 3" xfId="2947"/>
    <cellStyle name="Normal 30 3 2 3" xfId="3584"/>
    <cellStyle name="Normal 30 3 2 4" xfId="2483"/>
    <cellStyle name="Normal 30 3 3" xfId="761"/>
    <cellStyle name="Normal 30 3 3 2" xfId="1282"/>
    <cellStyle name="Normal 30 3 3 2 2" xfId="4214"/>
    <cellStyle name="Normal 30 3 3 2 3" xfId="3068"/>
    <cellStyle name="Normal 30 3 3 3" xfId="3705"/>
    <cellStyle name="Normal 30 3 3 4" xfId="2604"/>
    <cellStyle name="Normal 30 3 4" xfId="989"/>
    <cellStyle name="Normal 30 3 4 2" xfId="3922"/>
    <cellStyle name="Normal 30 3 4 3" xfId="2780"/>
    <cellStyle name="Normal 30 3 5" xfId="2234"/>
    <cellStyle name="Normal 30 4" xfId="580"/>
    <cellStyle name="Normal 30 4 2" xfId="1101"/>
    <cellStyle name="Normal 30 4 2 2" xfId="4033"/>
    <cellStyle name="Normal 30 4 2 3" xfId="2887"/>
    <cellStyle name="Normal 30 4 3" xfId="3524"/>
    <cellStyle name="Normal 30 4 4" xfId="2423"/>
    <cellStyle name="Normal 30 5" xfId="701"/>
    <cellStyle name="Normal 30 5 2" xfId="1222"/>
    <cellStyle name="Normal 30 5 2 2" xfId="4154"/>
    <cellStyle name="Normal 30 5 2 3" xfId="3008"/>
    <cellStyle name="Normal 30 5 3" xfId="3645"/>
    <cellStyle name="Normal 30 5 4" xfId="2544"/>
    <cellStyle name="Normal 30 6" xfId="929"/>
    <cellStyle name="Normal 30 6 2" xfId="3862"/>
    <cellStyle name="Normal 30 6 3" xfId="2720"/>
    <cellStyle name="Normal 30 7" xfId="2136"/>
    <cellStyle name="Normal 31" xfId="404"/>
    <cellStyle name="Normal 31 2" xfId="437"/>
    <cellStyle name="Normal 31 2 2" xfId="497"/>
    <cellStyle name="Normal 31 2 2 2" xfId="669"/>
    <cellStyle name="Normal 31 2 2 2 2" xfId="1190"/>
    <cellStyle name="Normal 31 2 2 2 2 2" xfId="4122"/>
    <cellStyle name="Normal 31 2 2 2 2 3" xfId="2976"/>
    <cellStyle name="Normal 31 2 2 2 3" xfId="3613"/>
    <cellStyle name="Normal 31 2 2 2 4" xfId="2512"/>
    <cellStyle name="Normal 31 2 2 3" xfId="790"/>
    <cellStyle name="Normal 31 2 2 3 2" xfId="1311"/>
    <cellStyle name="Normal 31 2 2 3 2 2" xfId="4243"/>
    <cellStyle name="Normal 31 2 2 3 2 3" xfId="3097"/>
    <cellStyle name="Normal 31 2 2 3 3" xfId="3734"/>
    <cellStyle name="Normal 31 2 2 3 4" xfId="2633"/>
    <cellStyle name="Normal 31 2 2 4" xfId="1018"/>
    <cellStyle name="Normal 31 2 2 4 2" xfId="3951"/>
    <cellStyle name="Normal 31 2 2 4 3" xfId="2809"/>
    <cellStyle name="Normal 31 2 2 5" xfId="2284"/>
    <cellStyle name="Normal 31 2 3" xfId="609"/>
    <cellStyle name="Normal 31 2 3 2" xfId="1130"/>
    <cellStyle name="Normal 31 2 3 2 2" xfId="4062"/>
    <cellStyle name="Normal 31 2 3 2 3" xfId="2916"/>
    <cellStyle name="Normal 31 2 3 3" xfId="3553"/>
    <cellStyle name="Normal 31 2 3 4" xfId="2452"/>
    <cellStyle name="Normal 31 2 4" xfId="730"/>
    <cellStyle name="Normal 31 2 4 2" xfId="1251"/>
    <cellStyle name="Normal 31 2 4 2 2" xfId="4183"/>
    <cellStyle name="Normal 31 2 4 2 3" xfId="3037"/>
    <cellStyle name="Normal 31 2 4 3" xfId="3674"/>
    <cellStyle name="Normal 31 2 4 4" xfId="2573"/>
    <cellStyle name="Normal 31 2 5" xfId="958"/>
    <cellStyle name="Normal 31 2 5 2" xfId="3891"/>
    <cellStyle name="Normal 31 2 5 3" xfId="2749"/>
    <cellStyle name="Normal 31 2 6" xfId="2186"/>
    <cellStyle name="Normal 31 3" xfId="467"/>
    <cellStyle name="Normal 31 3 2" xfId="639"/>
    <cellStyle name="Normal 31 3 2 2" xfId="1160"/>
    <cellStyle name="Normal 31 3 2 2 2" xfId="4092"/>
    <cellStyle name="Normal 31 3 2 2 3" xfId="2946"/>
    <cellStyle name="Normal 31 3 2 3" xfId="3583"/>
    <cellStyle name="Normal 31 3 2 4" xfId="2482"/>
    <cellStyle name="Normal 31 3 3" xfId="760"/>
    <cellStyle name="Normal 31 3 3 2" xfId="1281"/>
    <cellStyle name="Normal 31 3 3 2 2" xfId="4213"/>
    <cellStyle name="Normal 31 3 3 2 3" xfId="3067"/>
    <cellStyle name="Normal 31 3 3 3" xfId="3704"/>
    <cellStyle name="Normal 31 3 3 4" xfId="2603"/>
    <cellStyle name="Normal 31 3 4" xfId="988"/>
    <cellStyle name="Normal 31 3 4 2" xfId="3921"/>
    <cellStyle name="Normal 31 3 4 3" xfId="2779"/>
    <cellStyle name="Normal 31 3 5" xfId="2235"/>
    <cellStyle name="Normal 31 4" xfId="579"/>
    <cellStyle name="Normal 31 4 2" xfId="1100"/>
    <cellStyle name="Normal 31 4 2 2" xfId="4032"/>
    <cellStyle name="Normal 31 4 2 3" xfId="2886"/>
    <cellStyle name="Normal 31 4 3" xfId="3523"/>
    <cellStyle name="Normal 31 4 4" xfId="2422"/>
    <cellStyle name="Normal 31 5" xfId="700"/>
    <cellStyle name="Normal 31 5 2" xfId="1221"/>
    <cellStyle name="Normal 31 5 2 2" xfId="4153"/>
    <cellStyle name="Normal 31 5 2 3" xfId="3007"/>
    <cellStyle name="Normal 31 5 3" xfId="3644"/>
    <cellStyle name="Normal 31 5 4" xfId="2543"/>
    <cellStyle name="Normal 31 6" xfId="928"/>
    <cellStyle name="Normal 31 6 2" xfId="3861"/>
    <cellStyle name="Normal 31 6 3" xfId="2719"/>
    <cellStyle name="Normal 31 7" xfId="2137"/>
    <cellStyle name="Normal 32" xfId="417"/>
    <cellStyle name="Normal 32 2" xfId="447"/>
    <cellStyle name="Normal 32 2 2" xfId="507"/>
    <cellStyle name="Normal 32 2 2 2" xfId="679"/>
    <cellStyle name="Normal 32 2 2 2 2" xfId="1200"/>
    <cellStyle name="Normal 32 2 2 2 2 2" xfId="4132"/>
    <cellStyle name="Normal 32 2 2 2 2 3" xfId="2986"/>
    <cellStyle name="Normal 32 2 2 2 3" xfId="3623"/>
    <cellStyle name="Normal 32 2 2 2 4" xfId="2522"/>
    <cellStyle name="Normal 32 2 2 3" xfId="800"/>
    <cellStyle name="Normal 32 2 2 3 2" xfId="1321"/>
    <cellStyle name="Normal 32 2 2 3 2 2" xfId="4253"/>
    <cellStyle name="Normal 32 2 2 3 2 3" xfId="3107"/>
    <cellStyle name="Normal 32 2 2 3 3" xfId="3744"/>
    <cellStyle name="Normal 32 2 2 3 4" xfId="2643"/>
    <cellStyle name="Normal 32 2 2 4" xfId="1028"/>
    <cellStyle name="Normal 32 2 2 4 2" xfId="3961"/>
    <cellStyle name="Normal 32 2 2 4 3" xfId="2819"/>
    <cellStyle name="Normal 32 2 2 5" xfId="2285"/>
    <cellStyle name="Normal 32 2 3" xfId="619"/>
    <cellStyle name="Normal 32 2 3 2" xfId="1140"/>
    <cellStyle name="Normal 32 2 3 2 2" xfId="4072"/>
    <cellStyle name="Normal 32 2 3 2 3" xfId="2926"/>
    <cellStyle name="Normal 32 2 3 3" xfId="3563"/>
    <cellStyle name="Normal 32 2 3 4" xfId="2462"/>
    <cellStyle name="Normal 32 2 4" xfId="740"/>
    <cellStyle name="Normal 32 2 4 2" xfId="1261"/>
    <cellStyle name="Normal 32 2 4 2 2" xfId="4193"/>
    <cellStyle name="Normal 32 2 4 2 3" xfId="3047"/>
    <cellStyle name="Normal 32 2 4 3" xfId="3684"/>
    <cellStyle name="Normal 32 2 4 4" xfId="2583"/>
    <cellStyle name="Normal 32 2 5" xfId="968"/>
    <cellStyle name="Normal 32 2 5 2" xfId="3901"/>
    <cellStyle name="Normal 32 2 5 3" xfId="2759"/>
    <cellStyle name="Normal 32 2 6" xfId="2187"/>
    <cellStyle name="Normal 32 3" xfId="477"/>
    <cellStyle name="Normal 32 3 2" xfId="649"/>
    <cellStyle name="Normal 32 3 2 2" xfId="1170"/>
    <cellStyle name="Normal 32 3 2 2 2" xfId="4102"/>
    <cellStyle name="Normal 32 3 2 2 3" xfId="2956"/>
    <cellStyle name="Normal 32 3 2 3" xfId="3593"/>
    <cellStyle name="Normal 32 3 2 4" xfId="2492"/>
    <cellStyle name="Normal 32 3 3" xfId="770"/>
    <cellStyle name="Normal 32 3 3 2" xfId="1291"/>
    <cellStyle name="Normal 32 3 3 2 2" xfId="4223"/>
    <cellStyle name="Normal 32 3 3 2 3" xfId="3077"/>
    <cellStyle name="Normal 32 3 3 3" xfId="3714"/>
    <cellStyle name="Normal 32 3 3 4" xfId="2613"/>
    <cellStyle name="Normal 32 3 4" xfId="998"/>
    <cellStyle name="Normal 32 3 4 2" xfId="3931"/>
    <cellStyle name="Normal 32 3 4 3" xfId="2789"/>
    <cellStyle name="Normal 32 3 5" xfId="2236"/>
    <cellStyle name="Normal 32 4" xfId="589"/>
    <cellStyle name="Normal 32 4 2" xfId="1110"/>
    <cellStyle name="Normal 32 4 2 2" xfId="4042"/>
    <cellStyle name="Normal 32 4 2 3" xfId="2896"/>
    <cellStyle name="Normal 32 4 3" xfId="3533"/>
    <cellStyle name="Normal 32 4 4" xfId="2432"/>
    <cellStyle name="Normal 32 5" xfId="710"/>
    <cellStyle name="Normal 32 5 2" xfId="1231"/>
    <cellStyle name="Normal 32 5 2 2" xfId="4163"/>
    <cellStyle name="Normal 32 5 2 3" xfId="3017"/>
    <cellStyle name="Normal 32 5 3" xfId="3654"/>
    <cellStyle name="Normal 32 5 4" xfId="2553"/>
    <cellStyle name="Normal 32 6" xfId="938"/>
    <cellStyle name="Normal 32 6 2" xfId="3871"/>
    <cellStyle name="Normal 32 6 3" xfId="2729"/>
    <cellStyle name="Normal 32 7" xfId="2138"/>
    <cellStyle name="Normal 33" xfId="517"/>
    <cellStyle name="Normal 33 2" xfId="1038"/>
    <cellStyle name="Normal 33 2 2" xfId="2286"/>
    <cellStyle name="Normal 33 2 3" xfId="2188"/>
    <cellStyle name="Normal 33 3" xfId="2237"/>
    <cellStyle name="Normal 33 4" xfId="2139"/>
    <cellStyle name="Normal 34" xfId="518"/>
    <cellStyle name="Normal 34 2" xfId="1039"/>
    <cellStyle name="Normal 34 2 2" xfId="2287"/>
    <cellStyle name="Normal 34 2 3" xfId="2189"/>
    <cellStyle name="Normal 34 3" xfId="2238"/>
    <cellStyle name="Normal 34 4" xfId="2140"/>
    <cellStyle name="Normal 35" xfId="519"/>
    <cellStyle name="Normal 35 2" xfId="1040"/>
    <cellStyle name="Normal 35 2 2" xfId="2288"/>
    <cellStyle name="Normal 35 2 3" xfId="2190"/>
    <cellStyle name="Normal 35 3" xfId="2239"/>
    <cellStyle name="Normal 35 4" xfId="2141"/>
    <cellStyle name="Normal 36" xfId="520"/>
    <cellStyle name="Normal 36 2" xfId="1041"/>
    <cellStyle name="Normal 36 2 2" xfId="2289"/>
    <cellStyle name="Normal 36 2 3" xfId="2191"/>
    <cellStyle name="Normal 36 3" xfId="2240"/>
    <cellStyle name="Normal 36 4" xfId="2142"/>
    <cellStyle name="Normal 37" xfId="521"/>
    <cellStyle name="Normal 37 2" xfId="1042"/>
    <cellStyle name="Normal 37 2 2" xfId="2290"/>
    <cellStyle name="Normal 37 2 3" xfId="2192"/>
    <cellStyle name="Normal 37 3" xfId="2241"/>
    <cellStyle name="Normal 37 4" xfId="2143"/>
    <cellStyle name="Normal 38" xfId="522"/>
    <cellStyle name="Normal 38 2" xfId="1043"/>
    <cellStyle name="Normal 38 2 2" xfId="3975"/>
    <cellStyle name="Normal 38 2 3" xfId="2829"/>
    <cellStyle name="Normal 38 3" xfId="3466"/>
    <cellStyle name="Normal 38 4" xfId="2365"/>
    <cellStyle name="Normal 39" xfId="523"/>
    <cellStyle name="Normal 39 2" xfId="1044"/>
    <cellStyle name="Normal 39 2 2" xfId="3976"/>
    <cellStyle name="Normal 39 2 3" xfId="2830"/>
    <cellStyle name="Normal 39 3" xfId="3467"/>
    <cellStyle name="Normal 39 4" xfId="2366"/>
    <cellStyle name="Normal 4" xfId="3"/>
    <cellStyle name="Normal 4 2" xfId="2132"/>
    <cellStyle name="Normal 4 2 2" xfId="10432"/>
    <cellStyle name="Normal 4 2 2 2" xfId="38776"/>
    <cellStyle name="Normal 4 2 2 3" xfId="38777"/>
    <cellStyle name="Normal 4 2 2 4" xfId="38778"/>
    <cellStyle name="Normal 4 2 2 5" xfId="38775"/>
    <cellStyle name="Normal 4 2 3" xfId="10433"/>
    <cellStyle name="Normal 4 2 4" xfId="10431"/>
    <cellStyle name="Normal 4 2 4 2" xfId="38780"/>
    <cellStyle name="Normal 4 2 4 3" xfId="38781"/>
    <cellStyle name="Normal 4 2 4 4" xfId="38779"/>
    <cellStyle name="Normal 4 3" xfId="1396"/>
    <cellStyle name="Normal 4 3 2" xfId="10434"/>
    <cellStyle name="Normal 4 4" xfId="10435"/>
    <cellStyle name="Normal 4 4 2" xfId="38782"/>
    <cellStyle name="Normal 4 5" xfId="10436"/>
    <cellStyle name="Normal 4 6" xfId="10291"/>
    <cellStyle name="Normal 40" xfId="524"/>
    <cellStyle name="Normal 40 2" xfId="1045"/>
    <cellStyle name="Normal 40 2 2" xfId="3977"/>
    <cellStyle name="Normal 40 2 3" xfId="2831"/>
    <cellStyle name="Normal 40 3" xfId="3468"/>
    <cellStyle name="Normal 40 4" xfId="2367"/>
    <cellStyle name="Normal 41" xfId="525"/>
    <cellStyle name="Normal 41 2" xfId="1046"/>
    <cellStyle name="Normal 41 2 2" xfId="3978"/>
    <cellStyle name="Normal 41 2 3" xfId="2832"/>
    <cellStyle name="Normal 41 3" xfId="3469"/>
    <cellStyle name="Normal 41 4" xfId="2368"/>
    <cellStyle name="Normal 42" xfId="526"/>
    <cellStyle name="Normal 42 2" xfId="1047"/>
    <cellStyle name="Normal 42 2 2" xfId="3979"/>
    <cellStyle name="Normal 42 2 3" xfId="2833"/>
    <cellStyle name="Normal 42 3" xfId="3470"/>
    <cellStyle name="Normal 42 4" xfId="2369"/>
    <cellStyle name="Normal 43" xfId="527"/>
    <cellStyle name="Normal 43 2" xfId="1048"/>
    <cellStyle name="Normal 43 2 2" xfId="3980"/>
    <cellStyle name="Normal 43 2 3" xfId="2834"/>
    <cellStyle name="Normal 43 3" xfId="3471"/>
    <cellStyle name="Normal 43 4" xfId="2370"/>
    <cellStyle name="Normal 44" xfId="528"/>
    <cellStyle name="Normal 44 2" xfId="1049"/>
    <cellStyle name="Normal 44 2 2" xfId="3981"/>
    <cellStyle name="Normal 44 2 3" xfId="2835"/>
    <cellStyle name="Normal 44 3" xfId="3472"/>
    <cellStyle name="Normal 44 4" xfId="2371"/>
    <cellStyle name="Normal 45" xfId="529"/>
    <cellStyle name="Normal 45 2" xfId="1050"/>
    <cellStyle name="Normal 45 2 2" xfId="3982"/>
    <cellStyle name="Normal 45 2 3" xfId="2836"/>
    <cellStyle name="Normal 45 3" xfId="3473"/>
    <cellStyle name="Normal 45 4" xfId="2372"/>
    <cellStyle name="Normal 46" xfId="530"/>
    <cellStyle name="Normal 46 2" xfId="1051"/>
    <cellStyle name="Normal 46 2 2" xfId="3983"/>
    <cellStyle name="Normal 46 2 3" xfId="2837"/>
    <cellStyle name="Normal 46 3" xfId="3474"/>
    <cellStyle name="Normal 46 4" xfId="2373"/>
    <cellStyle name="Normal 47" xfId="531"/>
    <cellStyle name="Normal 47 2" xfId="1052"/>
    <cellStyle name="Normal 47 2 2" xfId="3984"/>
    <cellStyle name="Normal 47 2 3" xfId="2838"/>
    <cellStyle name="Normal 47 3" xfId="3475"/>
    <cellStyle name="Normal 47 4" xfId="2374"/>
    <cellStyle name="Normal 48" xfId="532"/>
    <cellStyle name="Normal 48 2" xfId="1053"/>
    <cellStyle name="Normal 48 2 2" xfId="3985"/>
    <cellStyle name="Normal 48 2 3" xfId="2839"/>
    <cellStyle name="Normal 48 3" xfId="3476"/>
    <cellStyle name="Normal 48 4" xfId="2375"/>
    <cellStyle name="Normal 49" xfId="533"/>
    <cellStyle name="Normal 49 2" xfId="1054"/>
    <cellStyle name="Normal 49 2 2" xfId="3986"/>
    <cellStyle name="Normal 49 2 3" xfId="2840"/>
    <cellStyle name="Normal 49 3" xfId="3477"/>
    <cellStyle name="Normal 49 4" xfId="2376"/>
    <cellStyle name="Normal 5" xfId="259"/>
    <cellStyle name="Normal 5 2" xfId="1394"/>
    <cellStyle name="Normal 5 2 2" xfId="38784"/>
    <cellStyle name="Normal 5 2 2 2" xfId="38785"/>
    <cellStyle name="Normal 5 2 3" xfId="38786"/>
    <cellStyle name="Normal 5 2 4" xfId="38787"/>
    <cellStyle name="Normal 5 2 5" xfId="38783"/>
    <cellStyle name="Normal 5 3" xfId="10438"/>
    <cellStyle name="Normal 5 3 2" xfId="38226"/>
    <cellStyle name="Normal 5 3 3" xfId="38788"/>
    <cellStyle name="Normal 5 4" xfId="10437"/>
    <cellStyle name="Normal 5 4 2" xfId="38789"/>
    <cellStyle name="Normal 5 5" xfId="38790"/>
    <cellStyle name="Normal 5 6" xfId="38791"/>
    <cellStyle name="Normal 50" xfId="534"/>
    <cellStyle name="Normal 50 2" xfId="1055"/>
    <cellStyle name="Normal 50 2 2" xfId="3987"/>
    <cellStyle name="Normal 50 2 3" xfId="2841"/>
    <cellStyle name="Normal 50 3" xfId="3478"/>
    <cellStyle name="Normal 50 4" xfId="2377"/>
    <cellStyle name="Normal 51" xfId="535"/>
    <cellStyle name="Normal 51 2" xfId="1056"/>
    <cellStyle name="Normal 51 2 2" xfId="3988"/>
    <cellStyle name="Normal 51 2 3" xfId="2842"/>
    <cellStyle name="Normal 51 3" xfId="3479"/>
    <cellStyle name="Normal 51 4" xfId="2378"/>
    <cellStyle name="Normal 52" xfId="536"/>
    <cellStyle name="Normal 52 2" xfId="1057"/>
    <cellStyle name="Normal 52 2 2" xfId="3989"/>
    <cellStyle name="Normal 52 2 3" xfId="2843"/>
    <cellStyle name="Normal 52 3" xfId="3480"/>
    <cellStyle name="Normal 52 4" xfId="2379"/>
    <cellStyle name="Normal 53" xfId="537"/>
    <cellStyle name="Normal 53 2" xfId="1058"/>
    <cellStyle name="Normal 53 2 2" xfId="3990"/>
    <cellStyle name="Normal 53 2 3" xfId="2844"/>
    <cellStyle name="Normal 53 3" xfId="3481"/>
    <cellStyle name="Normal 53 4" xfId="2380"/>
    <cellStyle name="Normal 54" xfId="538"/>
    <cellStyle name="Normal 54 2" xfId="1059"/>
    <cellStyle name="Normal 54 2 2" xfId="3991"/>
    <cellStyle name="Normal 54 2 3" xfId="2845"/>
    <cellStyle name="Normal 54 3" xfId="3482"/>
    <cellStyle name="Normal 54 4" xfId="2381"/>
    <cellStyle name="Normal 55" xfId="539"/>
    <cellStyle name="Normal 55 2" xfId="1060"/>
    <cellStyle name="Normal 55 2 2" xfId="3992"/>
    <cellStyle name="Normal 55 2 3" xfId="2846"/>
    <cellStyle name="Normal 55 3" xfId="3483"/>
    <cellStyle name="Normal 55 4" xfId="2382"/>
    <cellStyle name="Normal 56" xfId="540"/>
    <cellStyle name="Normal 56 2" xfId="1061"/>
    <cellStyle name="Normal 56 2 2" xfId="3993"/>
    <cellStyle name="Normal 56 2 3" xfId="2847"/>
    <cellStyle name="Normal 56 3" xfId="3484"/>
    <cellStyle name="Normal 56 4" xfId="2383"/>
    <cellStyle name="Normal 57" xfId="541"/>
    <cellStyle name="Normal 57 2" xfId="1062"/>
    <cellStyle name="Normal 57 2 2" xfId="3994"/>
    <cellStyle name="Normal 57 2 3" xfId="2848"/>
    <cellStyle name="Normal 57 3" xfId="3485"/>
    <cellStyle name="Normal 57 4" xfId="2384"/>
    <cellStyle name="Normal 58" xfId="542"/>
    <cellStyle name="Normal 58 2" xfId="1063"/>
    <cellStyle name="Normal 58 2 2" xfId="3995"/>
    <cellStyle name="Normal 58 2 3" xfId="2849"/>
    <cellStyle name="Normal 58 3" xfId="3486"/>
    <cellStyle name="Normal 58 4" xfId="2385"/>
    <cellStyle name="Normal 59" xfId="567"/>
    <cellStyle name="Normal 59 2" xfId="1088"/>
    <cellStyle name="Normal 59 2 2" xfId="4020"/>
    <cellStyle name="Normal 59 2 3" xfId="2874"/>
    <cellStyle name="Normal 59 3" xfId="3511"/>
    <cellStyle name="Normal 59 4" xfId="2410"/>
    <cellStyle name="Normal 6" xfId="260"/>
    <cellStyle name="Normal 6 2" xfId="10440"/>
    <cellStyle name="Normal 6 3" xfId="10441"/>
    <cellStyle name="Normal 6 4" xfId="10439"/>
    <cellStyle name="Normal 60" xfId="566"/>
    <cellStyle name="Normal 60 2" xfId="1087"/>
    <cellStyle name="Normal 60 2 2" xfId="4019"/>
    <cellStyle name="Normal 60 2 3" xfId="2873"/>
    <cellStyle name="Normal 60 3" xfId="3510"/>
    <cellStyle name="Normal 60 4" xfId="2409"/>
    <cellStyle name="Normal 61" xfId="565"/>
    <cellStyle name="Normal 61 2" xfId="1086"/>
    <cellStyle name="Normal 61 2 2" xfId="4018"/>
    <cellStyle name="Normal 61 2 3" xfId="2872"/>
    <cellStyle name="Normal 61 3" xfId="3509"/>
    <cellStyle name="Normal 61 4" xfId="2408"/>
    <cellStyle name="Normal 62" xfId="564"/>
    <cellStyle name="Normal 62 2" xfId="1085"/>
    <cellStyle name="Normal 62 2 2" xfId="4017"/>
    <cellStyle name="Normal 62 2 3" xfId="2871"/>
    <cellStyle name="Normal 62 3" xfId="3508"/>
    <cellStyle name="Normal 62 4" xfId="2407"/>
    <cellStyle name="Normal 63" xfId="563"/>
    <cellStyle name="Normal 63 2" xfId="1084"/>
    <cellStyle name="Normal 63 2 2" xfId="4016"/>
    <cellStyle name="Normal 63 2 3" xfId="2870"/>
    <cellStyle name="Normal 63 3" xfId="3507"/>
    <cellStyle name="Normal 63 4" xfId="2406"/>
    <cellStyle name="Normal 64" xfId="562"/>
    <cellStyle name="Normal 64 2" xfId="1083"/>
    <cellStyle name="Normal 64 2 2" xfId="4015"/>
    <cellStyle name="Normal 64 2 3" xfId="2869"/>
    <cellStyle name="Normal 64 3" xfId="3506"/>
    <cellStyle name="Normal 64 4" xfId="2405"/>
    <cellStyle name="Normal 65" xfId="561"/>
    <cellStyle name="Normal 65 2" xfId="1082"/>
    <cellStyle name="Normal 65 2 2" xfId="4014"/>
    <cellStyle name="Normal 65 2 3" xfId="2868"/>
    <cellStyle name="Normal 65 3" xfId="3505"/>
    <cellStyle name="Normal 65 4" xfId="2404"/>
    <cellStyle name="Normal 66" xfId="544"/>
    <cellStyle name="Normal 66 2" xfId="1065"/>
    <cellStyle name="Normal 66 2 2" xfId="3997"/>
    <cellStyle name="Normal 66 2 3" xfId="2851"/>
    <cellStyle name="Normal 66 3" xfId="3488"/>
    <cellStyle name="Normal 66 4" xfId="2387"/>
    <cellStyle name="Normal 67" xfId="545"/>
    <cellStyle name="Normal 67 2" xfId="1066"/>
    <cellStyle name="Normal 67 2 2" xfId="3998"/>
    <cellStyle name="Normal 67 2 3" xfId="2852"/>
    <cellStyle name="Normal 67 3" xfId="3489"/>
    <cellStyle name="Normal 67 4" xfId="2388"/>
    <cellStyle name="Normal 68" xfId="573"/>
    <cellStyle name="Normal 68 2" xfId="1094"/>
    <cellStyle name="Normal 68 2 2" xfId="4026"/>
    <cellStyle name="Normal 68 2 3" xfId="2880"/>
    <cellStyle name="Normal 68 3" xfId="3517"/>
    <cellStyle name="Normal 68 4" xfId="2416"/>
    <cellStyle name="Normal 69" xfId="571"/>
    <cellStyle name="Normal 69 2" xfId="1092"/>
    <cellStyle name="Normal 69 2 2" xfId="4024"/>
    <cellStyle name="Normal 69 2 3" xfId="2878"/>
    <cellStyle name="Normal 69 3" xfId="3515"/>
    <cellStyle name="Normal 69 4" xfId="2414"/>
    <cellStyle name="Normal 7" xfId="372"/>
    <cellStyle name="Normal 7 2" xfId="393"/>
    <cellStyle name="Normal 7 2 2" xfId="2163"/>
    <cellStyle name="Normal 7 2 2 2" xfId="2261"/>
    <cellStyle name="Normal 7 2 3" xfId="2212"/>
    <cellStyle name="Normal 7 2 4" xfId="1818"/>
    <cellStyle name="Normal 7 3" xfId="2144"/>
    <cellStyle name="Normal 7 3 2" xfId="2242"/>
    <cellStyle name="Normal 7 4" xfId="2193"/>
    <cellStyle name="Normal 7 4 2" xfId="38792"/>
    <cellStyle name="Normal 7 5" xfId="1387"/>
    <cellStyle name="Normal 70" xfId="560"/>
    <cellStyle name="Normal 70 2" xfId="1081"/>
    <cellStyle name="Normal 70 2 2" xfId="4013"/>
    <cellStyle name="Normal 70 2 3" xfId="2867"/>
    <cellStyle name="Normal 70 3" xfId="3504"/>
    <cellStyle name="Normal 70 4" xfId="2403"/>
    <cellStyle name="Normal 71" xfId="559"/>
    <cellStyle name="Normal 71 2" xfId="1080"/>
    <cellStyle name="Normal 71 2 2" xfId="4012"/>
    <cellStyle name="Normal 71 2 3" xfId="2866"/>
    <cellStyle name="Normal 71 3" xfId="3503"/>
    <cellStyle name="Normal 71 4" xfId="2402"/>
    <cellStyle name="Normal 72" xfId="558"/>
    <cellStyle name="Normal 72 2" xfId="1079"/>
    <cellStyle name="Normal 72 2 2" xfId="4011"/>
    <cellStyle name="Normal 72 2 3" xfId="2865"/>
    <cellStyle name="Normal 72 3" xfId="3502"/>
    <cellStyle name="Normal 72 4" xfId="2401"/>
    <cellStyle name="Normal 73" xfId="557"/>
    <cellStyle name="Normal 73 2" xfId="1078"/>
    <cellStyle name="Normal 73 2 2" xfId="4010"/>
    <cellStyle name="Normal 73 2 3" xfId="2864"/>
    <cellStyle name="Normal 73 3" xfId="3501"/>
    <cellStyle name="Normal 73 4" xfId="2400"/>
    <cellStyle name="Normal 74" xfId="556"/>
    <cellStyle name="Normal 74 2" xfId="1077"/>
    <cellStyle name="Normal 74 2 2" xfId="4009"/>
    <cellStyle name="Normal 74 2 3" xfId="2863"/>
    <cellStyle name="Normal 74 3" xfId="3500"/>
    <cellStyle name="Normal 74 4" xfId="2399"/>
    <cellStyle name="Normal 75" xfId="555"/>
    <cellStyle name="Normal 75 2" xfId="1076"/>
    <cellStyle name="Normal 75 2 2" xfId="4008"/>
    <cellStyle name="Normal 75 2 3" xfId="2862"/>
    <cellStyle name="Normal 75 3" xfId="3499"/>
    <cellStyle name="Normal 75 4" xfId="2398"/>
    <cellStyle name="Normal 76" xfId="554"/>
    <cellStyle name="Normal 76 2" xfId="1075"/>
    <cellStyle name="Normal 76 2 2" xfId="4007"/>
    <cellStyle name="Normal 76 2 3" xfId="2861"/>
    <cellStyle name="Normal 76 3" xfId="3498"/>
    <cellStyle name="Normal 76 4" xfId="2397"/>
    <cellStyle name="Normal 77" xfId="553"/>
    <cellStyle name="Normal 77 2" xfId="1074"/>
    <cellStyle name="Normal 77 2 2" xfId="4006"/>
    <cellStyle name="Normal 77 2 3" xfId="2860"/>
    <cellStyle name="Normal 77 3" xfId="3497"/>
    <cellStyle name="Normal 77 4" xfId="2396"/>
    <cellStyle name="Normal 78" xfId="552"/>
    <cellStyle name="Normal 78 2" xfId="1073"/>
    <cellStyle name="Normal 78 2 2" xfId="4005"/>
    <cellStyle name="Normal 78 2 3" xfId="2859"/>
    <cellStyle name="Normal 78 3" xfId="3496"/>
    <cellStyle name="Normal 78 4" xfId="2395"/>
    <cellStyle name="Normal 79" xfId="551"/>
    <cellStyle name="Normal 79 2" xfId="1072"/>
    <cellStyle name="Normal 79 2 2" xfId="4004"/>
    <cellStyle name="Normal 79 2 3" xfId="2858"/>
    <cellStyle name="Normal 79 3" xfId="3495"/>
    <cellStyle name="Normal 79 4" xfId="2394"/>
    <cellStyle name="Normal 8" xfId="261"/>
    <cellStyle name="Normal 8 2" xfId="394"/>
    <cellStyle name="Normal 8 2 2" xfId="10443"/>
    <cellStyle name="Normal 8 3" xfId="10444"/>
    <cellStyle name="Normal 8 3 2" xfId="38228"/>
    <cellStyle name="Normal 8 4" xfId="10442"/>
    <cellStyle name="Normal 8 4 2" xfId="38227"/>
    <cellStyle name="Normal 80" xfId="550"/>
    <cellStyle name="Normal 80 2" xfId="1071"/>
    <cellStyle name="Normal 80 2 2" xfId="4003"/>
    <cellStyle name="Normal 80 2 3" xfId="2857"/>
    <cellStyle name="Normal 80 3" xfId="3494"/>
    <cellStyle name="Normal 80 4" xfId="2393"/>
    <cellStyle name="Normal 81" xfId="549"/>
    <cellStyle name="Normal 81 2" xfId="1070"/>
    <cellStyle name="Normal 81 2 2" xfId="4002"/>
    <cellStyle name="Normal 81 2 3" xfId="2856"/>
    <cellStyle name="Normal 81 3" xfId="3493"/>
    <cellStyle name="Normal 81 4" xfId="2392"/>
    <cellStyle name="Normal 82" xfId="548"/>
    <cellStyle name="Normal 82 2" xfId="1069"/>
    <cellStyle name="Normal 82 2 2" xfId="4001"/>
    <cellStyle name="Normal 82 2 3" xfId="2855"/>
    <cellStyle name="Normal 82 3" xfId="3492"/>
    <cellStyle name="Normal 82 4" xfId="2391"/>
    <cellStyle name="Normal 83" xfId="547"/>
    <cellStyle name="Normal 83 2" xfId="1068"/>
    <cellStyle name="Normal 83 2 2" xfId="4000"/>
    <cellStyle name="Normal 83 2 3" xfId="2854"/>
    <cellStyle name="Normal 83 3" xfId="3491"/>
    <cellStyle name="Normal 83 4" xfId="2390"/>
    <cellStyle name="Normal 84" xfId="546"/>
    <cellStyle name="Normal 84 2" xfId="1067"/>
    <cellStyle name="Normal 84 2 2" xfId="3999"/>
    <cellStyle name="Normal 84 2 3" xfId="2853"/>
    <cellStyle name="Normal 84 3" xfId="3490"/>
    <cellStyle name="Normal 84 4" xfId="2389"/>
    <cellStyle name="Normal 85" xfId="689"/>
    <cellStyle name="Normal 85 2" xfId="1210"/>
    <cellStyle name="Normal 85 2 2" xfId="4142"/>
    <cellStyle name="Normal 85 2 3" xfId="2996"/>
    <cellStyle name="Normal 85 3" xfId="3633"/>
    <cellStyle name="Normal 85 4" xfId="2532"/>
    <cellStyle name="Normal 86" xfId="811"/>
    <cellStyle name="Normal 86 2" xfId="1331"/>
    <cellStyle name="Normal 86 2 2" xfId="4263"/>
    <cellStyle name="Normal 86 2 3" xfId="3117"/>
    <cellStyle name="Normal 86 3" xfId="3754"/>
    <cellStyle name="Normal 86 4" xfId="2653"/>
    <cellStyle name="Normal 87" xfId="812"/>
    <cellStyle name="Normal 87 2" xfId="1332"/>
    <cellStyle name="Normal 87 2 2" xfId="4264"/>
    <cellStyle name="Normal 87 2 3" xfId="3118"/>
    <cellStyle name="Normal 87 3" xfId="3755"/>
    <cellStyle name="Normal 87 4" xfId="2654"/>
    <cellStyle name="Normal 88" xfId="813"/>
    <cellStyle name="Normal 88 2" xfId="1333"/>
    <cellStyle name="Normal 88 2 2" xfId="4265"/>
    <cellStyle name="Normal 88 2 3" xfId="3119"/>
    <cellStyle name="Normal 88 3" xfId="3756"/>
    <cellStyle name="Normal 88 4" xfId="2655"/>
    <cellStyle name="Normal 89" xfId="814"/>
    <cellStyle name="Normal 89 2" xfId="1334"/>
    <cellStyle name="Normal 89 2 2" xfId="4266"/>
    <cellStyle name="Normal 89 2 3" xfId="3120"/>
    <cellStyle name="Normal 89 3" xfId="3757"/>
    <cellStyle name="Normal 89 4" xfId="2656"/>
    <cellStyle name="Normal 9" xfId="374"/>
    <cellStyle name="Normal 9 10" xfId="1456"/>
    <cellStyle name="Normal 9 2" xfId="395"/>
    <cellStyle name="Normal 9 2 2" xfId="2164"/>
    <cellStyle name="Normal 9 2 2 2" xfId="2262"/>
    <cellStyle name="Normal 9 2 3" xfId="2213"/>
    <cellStyle name="Normal 9 2 4" xfId="1819"/>
    <cellStyle name="Normal 9 3" xfId="408"/>
    <cellStyle name="Normal 9 3 2" xfId="441"/>
    <cellStyle name="Normal 9 3 2 2" xfId="501"/>
    <cellStyle name="Normal 9 3 2 2 2" xfId="673"/>
    <cellStyle name="Normal 9 3 2 2 2 2" xfId="1194"/>
    <cellStyle name="Normal 9 3 2 2 2 2 2" xfId="4126"/>
    <cellStyle name="Normal 9 3 2 2 2 2 3" xfId="2980"/>
    <cellStyle name="Normal 9 3 2 2 2 3" xfId="3617"/>
    <cellStyle name="Normal 9 3 2 2 2 4" xfId="2516"/>
    <cellStyle name="Normal 9 3 2 2 3" xfId="794"/>
    <cellStyle name="Normal 9 3 2 2 3 2" xfId="1315"/>
    <cellStyle name="Normal 9 3 2 2 3 2 2" xfId="4247"/>
    <cellStyle name="Normal 9 3 2 2 3 2 3" xfId="3101"/>
    <cellStyle name="Normal 9 3 2 2 3 3" xfId="3738"/>
    <cellStyle name="Normal 9 3 2 2 3 4" xfId="2637"/>
    <cellStyle name="Normal 9 3 2 2 4" xfId="1022"/>
    <cellStyle name="Normal 9 3 2 2 4 2" xfId="3955"/>
    <cellStyle name="Normal 9 3 2 2 4 3" xfId="2813"/>
    <cellStyle name="Normal 9 3 2 2 5" xfId="3447"/>
    <cellStyle name="Normal 9 3 2 2 6" xfId="2354"/>
    <cellStyle name="Normal 9 3 2 3" xfId="613"/>
    <cellStyle name="Normal 9 3 2 3 2" xfId="1134"/>
    <cellStyle name="Normal 9 3 2 3 2 2" xfId="4066"/>
    <cellStyle name="Normal 9 3 2 3 2 3" xfId="2920"/>
    <cellStyle name="Normal 9 3 2 3 3" xfId="3557"/>
    <cellStyle name="Normal 9 3 2 3 4" xfId="2456"/>
    <cellStyle name="Normal 9 3 2 4" xfId="734"/>
    <cellStyle name="Normal 9 3 2 4 2" xfId="1255"/>
    <cellStyle name="Normal 9 3 2 4 2 2" xfId="4187"/>
    <cellStyle name="Normal 9 3 2 4 2 3" xfId="3041"/>
    <cellStyle name="Normal 9 3 2 4 3" xfId="3678"/>
    <cellStyle name="Normal 9 3 2 4 4" xfId="2577"/>
    <cellStyle name="Normal 9 3 2 5" xfId="962"/>
    <cellStyle name="Normal 9 3 2 5 2" xfId="3895"/>
    <cellStyle name="Normal 9 3 2 5 3" xfId="2753"/>
    <cellStyle name="Normal 9 3 2 6" xfId="2243"/>
    <cellStyle name="Normal 9 3 3" xfId="471"/>
    <cellStyle name="Normal 9 3 3 2" xfId="643"/>
    <cellStyle name="Normal 9 3 3 2 2" xfId="1164"/>
    <cellStyle name="Normal 9 3 3 2 2 2" xfId="4096"/>
    <cellStyle name="Normal 9 3 3 2 2 3" xfId="2950"/>
    <cellStyle name="Normal 9 3 3 2 3" xfId="3587"/>
    <cellStyle name="Normal 9 3 3 2 4" xfId="2486"/>
    <cellStyle name="Normal 9 3 3 3" xfId="764"/>
    <cellStyle name="Normal 9 3 3 3 2" xfId="1285"/>
    <cellStyle name="Normal 9 3 3 3 2 2" xfId="4217"/>
    <cellStyle name="Normal 9 3 3 3 2 3" xfId="3071"/>
    <cellStyle name="Normal 9 3 3 3 3" xfId="3708"/>
    <cellStyle name="Normal 9 3 3 3 4" xfId="2607"/>
    <cellStyle name="Normal 9 3 3 4" xfId="992"/>
    <cellStyle name="Normal 9 3 3 4 2" xfId="3925"/>
    <cellStyle name="Normal 9 3 3 4 3" xfId="2783"/>
    <cellStyle name="Normal 9 3 3 5" xfId="3421"/>
    <cellStyle name="Normal 9 3 3 6" xfId="2332"/>
    <cellStyle name="Normal 9 3 4" xfId="583"/>
    <cellStyle name="Normal 9 3 4 2" xfId="1104"/>
    <cellStyle name="Normal 9 3 4 2 2" xfId="4036"/>
    <cellStyle name="Normal 9 3 4 2 3" xfId="2890"/>
    <cellStyle name="Normal 9 3 4 3" xfId="3527"/>
    <cellStyle name="Normal 9 3 4 4" xfId="2426"/>
    <cellStyle name="Normal 9 3 5" xfId="704"/>
    <cellStyle name="Normal 9 3 5 2" xfId="1225"/>
    <cellStyle name="Normal 9 3 5 2 2" xfId="4157"/>
    <cellStyle name="Normal 9 3 5 2 3" xfId="3011"/>
    <cellStyle name="Normal 9 3 5 3" xfId="3648"/>
    <cellStyle name="Normal 9 3 5 4" xfId="2547"/>
    <cellStyle name="Normal 9 3 6" xfId="932"/>
    <cellStyle name="Normal 9 3 6 2" xfId="3865"/>
    <cellStyle name="Normal 9 3 6 3" xfId="2723"/>
    <cellStyle name="Normal 9 3 7" xfId="2145"/>
    <cellStyle name="Normal 9 4" xfId="422"/>
    <cellStyle name="Normal 9 4 2" xfId="452"/>
    <cellStyle name="Normal 9 4 2 2" xfId="512"/>
    <cellStyle name="Normal 9 4 2 2 2" xfId="684"/>
    <cellStyle name="Normal 9 4 2 2 2 2" xfId="1205"/>
    <cellStyle name="Normal 9 4 2 2 2 2 2" xfId="4137"/>
    <cellStyle name="Normal 9 4 2 2 2 2 3" xfId="2991"/>
    <cellStyle name="Normal 9 4 2 2 2 3" xfId="3628"/>
    <cellStyle name="Normal 9 4 2 2 2 4" xfId="2527"/>
    <cellStyle name="Normal 9 4 2 2 3" xfId="805"/>
    <cellStyle name="Normal 9 4 2 2 3 2" xfId="1326"/>
    <cellStyle name="Normal 9 4 2 2 3 2 2" xfId="4258"/>
    <cellStyle name="Normal 9 4 2 2 3 2 3" xfId="3112"/>
    <cellStyle name="Normal 9 4 2 2 3 3" xfId="3749"/>
    <cellStyle name="Normal 9 4 2 2 3 4" xfId="2648"/>
    <cellStyle name="Normal 9 4 2 2 4" xfId="1033"/>
    <cellStyle name="Normal 9 4 2 2 4 2" xfId="3966"/>
    <cellStyle name="Normal 9 4 2 2 4 3" xfId="2824"/>
    <cellStyle name="Normal 9 4 2 2 5" xfId="3457"/>
    <cellStyle name="Normal 9 4 2 2 6" xfId="2360"/>
    <cellStyle name="Normal 9 4 2 3" xfId="624"/>
    <cellStyle name="Normal 9 4 2 3 2" xfId="1145"/>
    <cellStyle name="Normal 9 4 2 3 2 2" xfId="4077"/>
    <cellStyle name="Normal 9 4 2 3 2 3" xfId="2931"/>
    <cellStyle name="Normal 9 4 2 3 3" xfId="3568"/>
    <cellStyle name="Normal 9 4 2 3 4" xfId="2467"/>
    <cellStyle name="Normal 9 4 2 4" xfId="745"/>
    <cellStyle name="Normal 9 4 2 4 2" xfId="1266"/>
    <cellStyle name="Normal 9 4 2 4 2 2" xfId="4198"/>
    <cellStyle name="Normal 9 4 2 4 2 3" xfId="3052"/>
    <cellStyle name="Normal 9 4 2 4 3" xfId="3689"/>
    <cellStyle name="Normal 9 4 2 4 4" xfId="2588"/>
    <cellStyle name="Normal 9 4 2 5" xfId="973"/>
    <cellStyle name="Normal 9 4 2 5 2" xfId="3906"/>
    <cellStyle name="Normal 9 4 2 5 3" xfId="2764"/>
    <cellStyle name="Normal 9 4 2 6" xfId="3406"/>
    <cellStyle name="Normal 9 4 2 7" xfId="2320"/>
    <cellStyle name="Normal 9 4 3" xfId="482"/>
    <cellStyle name="Normal 9 4 3 2" xfId="654"/>
    <cellStyle name="Normal 9 4 3 2 2" xfId="1175"/>
    <cellStyle name="Normal 9 4 3 2 2 2" xfId="4107"/>
    <cellStyle name="Normal 9 4 3 2 2 3" xfId="2961"/>
    <cellStyle name="Normal 9 4 3 2 3" xfId="3598"/>
    <cellStyle name="Normal 9 4 3 2 4" xfId="2497"/>
    <cellStyle name="Normal 9 4 3 3" xfId="775"/>
    <cellStyle name="Normal 9 4 3 3 2" xfId="1296"/>
    <cellStyle name="Normal 9 4 3 3 2 2" xfId="4228"/>
    <cellStyle name="Normal 9 4 3 3 2 3" xfId="3082"/>
    <cellStyle name="Normal 9 4 3 3 3" xfId="3719"/>
    <cellStyle name="Normal 9 4 3 3 4" xfId="2618"/>
    <cellStyle name="Normal 9 4 3 4" xfId="1003"/>
    <cellStyle name="Normal 9 4 3 4 2" xfId="3936"/>
    <cellStyle name="Normal 9 4 3 4 3" xfId="2794"/>
    <cellStyle name="Normal 9 4 3 5" xfId="3431"/>
    <cellStyle name="Normal 9 4 3 6" xfId="2338"/>
    <cellStyle name="Normal 9 4 4" xfId="594"/>
    <cellStyle name="Normal 9 4 4 2" xfId="1115"/>
    <cellStyle name="Normal 9 4 4 2 2" xfId="4047"/>
    <cellStyle name="Normal 9 4 4 2 3" xfId="2901"/>
    <cellStyle name="Normal 9 4 4 3" xfId="3538"/>
    <cellStyle name="Normal 9 4 4 4" xfId="2437"/>
    <cellStyle name="Normal 9 4 5" xfId="715"/>
    <cellStyle name="Normal 9 4 5 2" xfId="1236"/>
    <cellStyle name="Normal 9 4 5 2 2" xfId="4168"/>
    <cellStyle name="Normal 9 4 5 2 3" xfId="3022"/>
    <cellStyle name="Normal 9 4 5 3" xfId="3659"/>
    <cellStyle name="Normal 9 4 5 4" xfId="2558"/>
    <cellStyle name="Normal 9 4 6" xfId="943"/>
    <cellStyle name="Normal 9 4 6 2" xfId="3876"/>
    <cellStyle name="Normal 9 4 6 3" xfId="2734"/>
    <cellStyle name="Normal 9 4 7" xfId="2194"/>
    <cellStyle name="Normal 9 5" xfId="430"/>
    <cellStyle name="Normal 9 5 2" xfId="490"/>
    <cellStyle name="Normal 9 5 2 2" xfId="662"/>
    <cellStyle name="Normal 9 5 2 2 2" xfId="1183"/>
    <cellStyle name="Normal 9 5 2 2 2 2" xfId="4115"/>
    <cellStyle name="Normal 9 5 2 2 2 3" xfId="2969"/>
    <cellStyle name="Normal 9 5 2 2 3" xfId="3606"/>
    <cellStyle name="Normal 9 5 2 2 4" xfId="2505"/>
    <cellStyle name="Normal 9 5 2 3" xfId="783"/>
    <cellStyle name="Normal 9 5 2 3 2" xfId="1304"/>
    <cellStyle name="Normal 9 5 2 3 2 2" xfId="4236"/>
    <cellStyle name="Normal 9 5 2 3 2 3" xfId="3090"/>
    <cellStyle name="Normal 9 5 2 3 3" xfId="3727"/>
    <cellStyle name="Normal 9 5 2 3 4" xfId="2626"/>
    <cellStyle name="Normal 9 5 2 4" xfId="1011"/>
    <cellStyle name="Normal 9 5 2 4 2" xfId="3944"/>
    <cellStyle name="Normal 9 5 2 4 3" xfId="2802"/>
    <cellStyle name="Normal 9 5 2 5" xfId="3439"/>
    <cellStyle name="Normal 9 5 2 6" xfId="2346"/>
    <cellStyle name="Normal 9 5 3" xfId="602"/>
    <cellStyle name="Normal 9 5 3 2" xfId="1123"/>
    <cellStyle name="Normal 9 5 3 2 2" xfId="4055"/>
    <cellStyle name="Normal 9 5 3 2 3" xfId="2909"/>
    <cellStyle name="Normal 9 5 3 3" xfId="3546"/>
    <cellStyle name="Normal 9 5 3 4" xfId="2445"/>
    <cellStyle name="Normal 9 5 4" xfId="723"/>
    <cellStyle name="Normal 9 5 4 2" xfId="1244"/>
    <cellStyle name="Normal 9 5 4 2 2" xfId="4176"/>
    <cellStyle name="Normal 9 5 4 2 3" xfId="3030"/>
    <cellStyle name="Normal 9 5 4 3" xfId="3667"/>
    <cellStyle name="Normal 9 5 4 4" xfId="2566"/>
    <cellStyle name="Normal 9 5 5" xfId="951"/>
    <cellStyle name="Normal 9 5 5 2" xfId="3884"/>
    <cellStyle name="Normal 9 5 5 3" xfId="2742"/>
    <cellStyle name="Normal 9 5 6" xfId="3390"/>
    <cellStyle name="Normal 9 5 7" xfId="2312"/>
    <cellStyle name="Normal 9 6" xfId="460"/>
    <cellStyle name="Normal 9 6 2" xfId="632"/>
    <cellStyle name="Normal 9 6 2 2" xfId="1153"/>
    <cellStyle name="Normal 9 6 2 2 2" xfId="4085"/>
    <cellStyle name="Normal 9 6 2 2 3" xfId="2939"/>
    <cellStyle name="Normal 9 6 2 3" xfId="3576"/>
    <cellStyle name="Normal 9 6 2 4" xfId="2475"/>
    <cellStyle name="Normal 9 6 3" xfId="753"/>
    <cellStyle name="Normal 9 6 3 2" xfId="1274"/>
    <cellStyle name="Normal 9 6 3 2 2" xfId="4206"/>
    <cellStyle name="Normal 9 6 3 2 3" xfId="3060"/>
    <cellStyle name="Normal 9 6 3 3" xfId="3697"/>
    <cellStyle name="Normal 9 6 3 4" xfId="2596"/>
    <cellStyle name="Normal 9 6 4" xfId="981"/>
    <cellStyle name="Normal 9 6 4 2" xfId="3914"/>
    <cellStyle name="Normal 9 6 4 3" xfId="2772"/>
    <cellStyle name="Normal 9 6 5" xfId="3413"/>
    <cellStyle name="Normal 9 6 6" xfId="2324"/>
    <cellStyle name="Normal 9 7" xfId="570"/>
    <cellStyle name="Normal 9 7 2" xfId="1091"/>
    <cellStyle name="Normal 9 7 2 2" xfId="4023"/>
    <cellStyle name="Normal 9 7 2 3" xfId="2877"/>
    <cellStyle name="Normal 9 7 3" xfId="3514"/>
    <cellStyle name="Normal 9 7 3 2" xfId="10445"/>
    <cellStyle name="Normal 9 7 4" xfId="2413"/>
    <cellStyle name="Normal 9 8" xfId="693"/>
    <cellStyle name="Normal 9 8 2" xfId="1214"/>
    <cellStyle name="Normal 9 8 2 2" xfId="4146"/>
    <cellStyle name="Normal 9 8 2 3" xfId="3000"/>
    <cellStyle name="Normal 9 8 3" xfId="3637"/>
    <cellStyle name="Normal 9 8 4" xfId="2536"/>
    <cellStyle name="Normal 9 9" xfId="921"/>
    <cellStyle name="Normal 9 9 2" xfId="3854"/>
    <cellStyle name="Normal 9 9 3" xfId="2712"/>
    <cellStyle name="Normal 90" xfId="815"/>
    <cellStyle name="Normal 90 2" xfId="1335"/>
    <cellStyle name="Normal 90 2 2" xfId="4267"/>
    <cellStyle name="Normal 90 2 3" xfId="3121"/>
    <cellStyle name="Normal 90 3" xfId="3758"/>
    <cellStyle name="Normal 90 4" xfId="2657"/>
    <cellStyle name="Normal 91" xfId="816"/>
    <cellStyle name="Normal 91 2" xfId="1336"/>
    <cellStyle name="Normal 91 2 2" xfId="4268"/>
    <cellStyle name="Normal 91 2 3" xfId="3122"/>
    <cellStyle name="Normal 91 3" xfId="3759"/>
    <cellStyle name="Normal 91 4" xfId="2658"/>
    <cellStyle name="Normal 92" xfId="817"/>
    <cellStyle name="Normal 92 2" xfId="1337"/>
    <cellStyle name="Normal 92 2 2" xfId="4269"/>
    <cellStyle name="Normal 92 2 3" xfId="3123"/>
    <cellStyle name="Normal 92 3" xfId="3760"/>
    <cellStyle name="Normal 92 4" xfId="2659"/>
    <cellStyle name="Normal 93" xfId="818"/>
    <cellStyle name="Normal 93 2" xfId="1338"/>
    <cellStyle name="Normal 93 2 2" xfId="4270"/>
    <cellStyle name="Normal 93 2 3" xfId="3124"/>
    <cellStyle name="Normal 93 3" xfId="3761"/>
    <cellStyle name="Normal 93 4" xfId="2660"/>
    <cellStyle name="Normal 94" xfId="819"/>
    <cellStyle name="Normal 94 2" xfId="1339"/>
    <cellStyle name="Normal 94 2 2" xfId="4271"/>
    <cellStyle name="Normal 94 2 3" xfId="3125"/>
    <cellStyle name="Normal 94 3" xfId="3762"/>
    <cellStyle name="Normal 94 4" xfId="2661"/>
    <cellStyle name="Normal 95" xfId="820"/>
    <cellStyle name="Normal 95 2" xfId="1340"/>
    <cellStyle name="Normal 95 2 2" xfId="4272"/>
    <cellStyle name="Normal 95 2 3" xfId="3126"/>
    <cellStyle name="Normal 95 3" xfId="3763"/>
    <cellStyle name="Normal 95 4" xfId="2662"/>
    <cellStyle name="Normal 96" xfId="821"/>
    <cellStyle name="Normal 96 2" xfId="1341"/>
    <cellStyle name="Normal 96 2 2" xfId="4273"/>
    <cellStyle name="Normal 96 2 3" xfId="3127"/>
    <cellStyle name="Normal 96 3" xfId="3764"/>
    <cellStyle name="Normal 96 4" xfId="2663"/>
    <cellStyle name="Normal 97" xfId="822"/>
    <cellStyle name="Normal 97 2" xfId="1342"/>
    <cellStyle name="Normal 97 2 2" xfId="4274"/>
    <cellStyle name="Normal 97 2 3" xfId="3128"/>
    <cellStyle name="Normal 97 3" xfId="3765"/>
    <cellStyle name="Normal 97 4" xfId="2664"/>
    <cellStyle name="Normal 98" xfId="823"/>
    <cellStyle name="Normal 98 2" xfId="1343"/>
    <cellStyle name="Normal 98 2 2" xfId="4275"/>
    <cellStyle name="Normal 98 2 3" xfId="3129"/>
    <cellStyle name="Normal 98 3" xfId="3766"/>
    <cellStyle name="Normal 98 4" xfId="2665"/>
    <cellStyle name="Normal 99" xfId="824"/>
    <cellStyle name="Normal 99 2" xfId="1344"/>
    <cellStyle name="Normal 99 2 2" xfId="4276"/>
    <cellStyle name="Normal 99 2 3" xfId="3130"/>
    <cellStyle name="Normal 99 3" xfId="3767"/>
    <cellStyle name="Normal 99 4" xfId="2666"/>
    <cellStyle name="Normal CCT" xfId="262"/>
    <cellStyle name="Normal CCT 2" xfId="263"/>
    <cellStyle name="Normal CCT 3" xfId="264"/>
    <cellStyle name="Normal CCT 4" xfId="265"/>
    <cellStyle name="Normal CCT 5" xfId="266"/>
    <cellStyle name="Note 2" xfId="38793"/>
    <cellStyle name="Note 2 2" xfId="39245"/>
    <cellStyle name="Notiz" xfId="38794"/>
    <cellStyle name="Notiz 2" xfId="39246"/>
    <cellStyle name="Output 2" xfId="38795"/>
    <cellStyle name="Output 2 2" xfId="39247"/>
    <cellStyle name="Percent 2" xfId="1390"/>
    <cellStyle name="Percent 2 2" xfId="38796"/>
    <cellStyle name="Percent 2 3" xfId="38797"/>
    <cellStyle name="Percent 2 4" xfId="38798"/>
    <cellStyle name="Percent 2 5" xfId="38799"/>
    <cellStyle name="Percent 3" xfId="38800"/>
    <cellStyle name="Percent 3 2" xfId="38801"/>
    <cellStyle name="Percent 3 2 2" xfId="38802"/>
    <cellStyle name="Percent 3 2 3" xfId="38803"/>
    <cellStyle name="Percent 3 2 4" xfId="38804"/>
    <cellStyle name="Percent 3 3" xfId="38805"/>
    <cellStyle name="Percent 3 4" xfId="38806"/>
    <cellStyle name="Percent 4" xfId="38807"/>
    <cellStyle name="Percent 5" xfId="38808"/>
    <cellStyle name="Percent 6" xfId="38809"/>
    <cellStyle name="Percent 6 2" xfId="38810"/>
    <cellStyle name="Percent 6 3" xfId="38811"/>
    <cellStyle name="Plug" xfId="38812"/>
    <cellStyle name="Plug 2" xfId="39230"/>
    <cellStyle name="Pourcentage" xfId="38229" builtinId="5"/>
    <cellStyle name="Pourcentage 2" xfId="6"/>
    <cellStyle name="Pourcentage 2 2" xfId="370"/>
    <cellStyle name="Pourcentage 2 2 2" xfId="1395"/>
    <cellStyle name="Pourcentage 2 2 3" xfId="38814"/>
    <cellStyle name="Pourcentage 2 3" xfId="1388"/>
    <cellStyle name="Pourcentage 2 3 2" xfId="38815"/>
    <cellStyle name="Pourcentage 2 4" xfId="38813"/>
    <cellStyle name="Pourcentage 3" xfId="267"/>
    <cellStyle name="Pourcentage 3 2" xfId="397"/>
    <cellStyle name="Pourcentage 3 2 2" xfId="38817"/>
    <cellStyle name="Pourcentage 3 3" xfId="38816"/>
    <cellStyle name="Pourcentage 4" xfId="371"/>
    <cellStyle name="Pourcentage 4 2" xfId="38819"/>
    <cellStyle name="Pourcentage 4 3" xfId="38820"/>
    <cellStyle name="Pourcentage 4 4" xfId="38818"/>
    <cellStyle name="Pourcentage 5" xfId="416"/>
    <cellStyle name="Pourcentage 5 2" xfId="38821"/>
    <cellStyle name="Pourcentage 6" xfId="38822"/>
    <cellStyle name="Pourcentage entier" xfId="268"/>
    <cellStyle name="Prev.xls" xfId="10446"/>
    <cellStyle name="Prozent 2" xfId="38823"/>
    <cellStyle name="Prozent 2 2" xfId="38824"/>
    <cellStyle name="Prozent 3" xfId="38825"/>
    <cellStyle name="Prozent 4" xfId="38826"/>
    <cellStyle name="Saisie" xfId="38827"/>
    <cellStyle name="Saisie 2" xfId="38828"/>
    <cellStyle name="Saisie 3" xfId="39229"/>
    <cellStyle name="SAPBEXaggData" xfId="269"/>
    <cellStyle name="SAPBEXaggData 10" xfId="10448"/>
    <cellStyle name="SAPBEXaggData 10 2" xfId="10449"/>
    <cellStyle name="SAPBEXaggData 11" xfId="10450"/>
    <cellStyle name="SAPBEXaggData 11 2" xfId="10451"/>
    <cellStyle name="SAPBEXaggData 11 3" xfId="10452"/>
    <cellStyle name="SAPBEXaggData 12" xfId="10453"/>
    <cellStyle name="SAPBEXaggData 12 2" xfId="10454"/>
    <cellStyle name="SAPBEXaggData 12 3" xfId="10455"/>
    <cellStyle name="SAPBEXaggData 13" xfId="10456"/>
    <cellStyle name="SAPBEXaggData 13 2" xfId="10457"/>
    <cellStyle name="SAPBEXaggData 13 3" xfId="10458"/>
    <cellStyle name="SAPBEXaggData 14" xfId="10459"/>
    <cellStyle name="SAPBEXaggData 14 2" xfId="10460"/>
    <cellStyle name="SAPBEXaggData 14 3" xfId="10461"/>
    <cellStyle name="SAPBEXaggData 15" xfId="10462"/>
    <cellStyle name="SAPBEXaggData 15 2" xfId="10463"/>
    <cellStyle name="SAPBEXaggData 15 3" xfId="10464"/>
    <cellStyle name="SAPBEXaggData 16" xfId="10465"/>
    <cellStyle name="SAPBEXaggData 16 2" xfId="10466"/>
    <cellStyle name="SAPBEXaggData 16 3" xfId="10467"/>
    <cellStyle name="SAPBEXaggData 17" xfId="10468"/>
    <cellStyle name="SAPBEXaggData 17 2" xfId="10469"/>
    <cellStyle name="SAPBEXaggData 17 3" xfId="10470"/>
    <cellStyle name="SAPBEXaggData 18" xfId="10471"/>
    <cellStyle name="SAPBEXaggData 19" xfId="10447"/>
    <cellStyle name="SAPBEXaggData 2" xfId="887"/>
    <cellStyle name="SAPBEXaggData 2 10" xfId="10473"/>
    <cellStyle name="SAPBEXaggData 2 10 2" xfId="10474"/>
    <cellStyle name="SAPBEXaggData 2 10 3" xfId="10475"/>
    <cellStyle name="SAPBEXaggData 2 11" xfId="10476"/>
    <cellStyle name="SAPBEXaggData 2 11 2" xfId="10477"/>
    <cellStyle name="SAPBEXaggData 2 11 3" xfId="10478"/>
    <cellStyle name="SAPBEXaggData 2 12" xfId="10479"/>
    <cellStyle name="SAPBEXaggData 2 12 2" xfId="10480"/>
    <cellStyle name="SAPBEXaggData 2 12 3" xfId="10481"/>
    <cellStyle name="SAPBEXaggData 2 13" xfId="10482"/>
    <cellStyle name="SAPBEXaggData 2 14" xfId="10472"/>
    <cellStyle name="SAPBEXaggData 2 15" xfId="9571"/>
    <cellStyle name="SAPBEXaggData 2 16" xfId="38830"/>
    <cellStyle name="SAPBEXaggData 2 17" xfId="39249"/>
    <cellStyle name="SAPBEXaggData 2 2" xfId="1950"/>
    <cellStyle name="SAPBEXaggData 2 2 10" xfId="10484"/>
    <cellStyle name="SAPBEXaggData 2 2 10 2" xfId="10485"/>
    <cellStyle name="SAPBEXaggData 2 2 10 3" xfId="10486"/>
    <cellStyle name="SAPBEXaggData 2 2 11" xfId="10487"/>
    <cellStyle name="SAPBEXaggData 2 2 12" xfId="10483"/>
    <cellStyle name="SAPBEXaggData 2 2 13" xfId="10128"/>
    <cellStyle name="SAPBEXaggData 2 2 2" xfId="4868"/>
    <cellStyle name="SAPBEXaggData 2 2 2 10" xfId="10489"/>
    <cellStyle name="SAPBEXaggData 2 2 2 11" xfId="10488"/>
    <cellStyle name="SAPBEXaggData 2 2 2 2" xfId="10490"/>
    <cellStyle name="SAPBEXaggData 2 2 2 2 2" xfId="10491"/>
    <cellStyle name="SAPBEXaggData 2 2 2 2 3" xfId="10492"/>
    <cellStyle name="SAPBEXaggData 2 2 2 3" xfId="10493"/>
    <cellStyle name="SAPBEXaggData 2 2 2 3 2" xfId="10494"/>
    <cellStyle name="SAPBEXaggData 2 2 2 3 3" xfId="10495"/>
    <cellStyle name="SAPBEXaggData 2 2 2 4" xfId="10496"/>
    <cellStyle name="SAPBEXaggData 2 2 2 4 2" xfId="10497"/>
    <cellStyle name="SAPBEXaggData 2 2 2 4 3" xfId="10498"/>
    <cellStyle name="SAPBEXaggData 2 2 2 5" xfId="10499"/>
    <cellStyle name="SAPBEXaggData 2 2 2 5 2" xfId="10500"/>
    <cellStyle name="SAPBEXaggData 2 2 2 5 3" xfId="10501"/>
    <cellStyle name="SAPBEXaggData 2 2 2 6" xfId="10502"/>
    <cellStyle name="SAPBEXaggData 2 2 2 6 2" xfId="10503"/>
    <cellStyle name="SAPBEXaggData 2 2 2 6 3" xfId="10504"/>
    <cellStyle name="SAPBEXaggData 2 2 2 7" xfId="10505"/>
    <cellStyle name="SAPBEXaggData 2 2 2 7 2" xfId="10506"/>
    <cellStyle name="SAPBEXaggData 2 2 2 7 3" xfId="10507"/>
    <cellStyle name="SAPBEXaggData 2 2 2 8" xfId="10508"/>
    <cellStyle name="SAPBEXaggData 2 2 2 8 2" xfId="10509"/>
    <cellStyle name="SAPBEXaggData 2 2 2 8 3" xfId="10510"/>
    <cellStyle name="SAPBEXaggData 2 2 2 9" xfId="10511"/>
    <cellStyle name="SAPBEXaggData 2 2 2 9 2" xfId="10512"/>
    <cellStyle name="SAPBEXaggData 2 2 2 9 3" xfId="10513"/>
    <cellStyle name="SAPBEXaggData 2 2 2_planning-WP" xfId="10514"/>
    <cellStyle name="SAPBEXaggData 2 2 3" xfId="5847"/>
    <cellStyle name="SAPBEXaggData 2 2 3 2" xfId="10516"/>
    <cellStyle name="SAPBEXaggData 2 2 3 3" xfId="10517"/>
    <cellStyle name="SAPBEXaggData 2 2 3 4" xfId="10515"/>
    <cellStyle name="SAPBEXaggData 2 2 4" xfId="6355"/>
    <cellStyle name="SAPBEXaggData 2 2 4 2" xfId="10519"/>
    <cellStyle name="SAPBEXaggData 2 2 4 3" xfId="10520"/>
    <cellStyle name="SAPBEXaggData 2 2 4 4" xfId="10518"/>
    <cellStyle name="SAPBEXaggData 2 2 5" xfId="6842"/>
    <cellStyle name="SAPBEXaggData 2 2 5 2" xfId="10522"/>
    <cellStyle name="SAPBEXaggData 2 2 5 3" xfId="10523"/>
    <cellStyle name="SAPBEXaggData 2 2 5 4" xfId="10521"/>
    <cellStyle name="SAPBEXaggData 2 2 6" xfId="7325"/>
    <cellStyle name="SAPBEXaggData 2 2 6 2" xfId="10525"/>
    <cellStyle name="SAPBEXaggData 2 2 6 3" xfId="10526"/>
    <cellStyle name="SAPBEXaggData 2 2 6 4" xfId="10524"/>
    <cellStyle name="SAPBEXaggData 2 2 7" xfId="8394"/>
    <cellStyle name="SAPBEXaggData 2 2 7 2" xfId="10528"/>
    <cellStyle name="SAPBEXaggData 2 2 7 3" xfId="10529"/>
    <cellStyle name="SAPBEXaggData 2 2 7 4" xfId="10527"/>
    <cellStyle name="SAPBEXaggData 2 2 8" xfId="8895"/>
    <cellStyle name="SAPBEXaggData 2 2 8 2" xfId="10531"/>
    <cellStyle name="SAPBEXaggData 2 2 8 3" xfId="10532"/>
    <cellStyle name="SAPBEXaggData 2 2 8 4" xfId="10530"/>
    <cellStyle name="SAPBEXaggData 2 2 9" xfId="9389"/>
    <cellStyle name="SAPBEXaggData 2 2 9 2" xfId="10534"/>
    <cellStyle name="SAPBEXaggData 2 2 9 3" xfId="10535"/>
    <cellStyle name="SAPBEXaggData 2 2 9 4" xfId="10533"/>
    <cellStyle name="SAPBEXaggData 2 2_planning-WP" xfId="10536"/>
    <cellStyle name="SAPBEXaggData 2 3" xfId="1612"/>
    <cellStyle name="SAPBEXaggData 2 3 10" xfId="10538"/>
    <cellStyle name="SAPBEXaggData 2 3 11" xfId="10537"/>
    <cellStyle name="SAPBEXaggData 2 3 12" xfId="9809"/>
    <cellStyle name="SAPBEXaggData 2 3 2" xfId="4535"/>
    <cellStyle name="SAPBEXaggData 2 3 2 2" xfId="10540"/>
    <cellStyle name="SAPBEXaggData 2 3 2 3" xfId="10541"/>
    <cellStyle name="SAPBEXaggData 2 3 2 4" xfId="10539"/>
    <cellStyle name="SAPBEXaggData 2 3 3" xfId="5527"/>
    <cellStyle name="SAPBEXaggData 2 3 3 2" xfId="10543"/>
    <cellStyle name="SAPBEXaggData 2 3 3 3" xfId="10544"/>
    <cellStyle name="SAPBEXaggData 2 3 3 4" xfId="10542"/>
    <cellStyle name="SAPBEXaggData 2 3 4" xfId="6036"/>
    <cellStyle name="SAPBEXaggData 2 3 4 2" xfId="10546"/>
    <cellStyle name="SAPBEXaggData 2 3 4 3" xfId="10547"/>
    <cellStyle name="SAPBEXaggData 2 3 4 4" xfId="10545"/>
    <cellStyle name="SAPBEXaggData 2 3 5" xfId="6523"/>
    <cellStyle name="SAPBEXaggData 2 3 5 2" xfId="10549"/>
    <cellStyle name="SAPBEXaggData 2 3 5 3" xfId="10550"/>
    <cellStyle name="SAPBEXaggData 2 3 5 4" xfId="10548"/>
    <cellStyle name="SAPBEXaggData 2 3 6" xfId="7006"/>
    <cellStyle name="SAPBEXaggData 2 3 6 2" xfId="10552"/>
    <cellStyle name="SAPBEXaggData 2 3 6 3" xfId="10553"/>
    <cellStyle name="SAPBEXaggData 2 3 6 4" xfId="10551"/>
    <cellStyle name="SAPBEXaggData 2 3 7" xfId="8075"/>
    <cellStyle name="SAPBEXaggData 2 3 7 2" xfId="10555"/>
    <cellStyle name="SAPBEXaggData 2 3 7 3" xfId="10556"/>
    <cellStyle name="SAPBEXaggData 2 3 7 4" xfId="10554"/>
    <cellStyle name="SAPBEXaggData 2 3 8" xfId="8576"/>
    <cellStyle name="SAPBEXaggData 2 3 8 2" xfId="10558"/>
    <cellStyle name="SAPBEXaggData 2 3 8 3" xfId="10559"/>
    <cellStyle name="SAPBEXaggData 2 3 8 4" xfId="10557"/>
    <cellStyle name="SAPBEXaggData 2 3 9" xfId="9070"/>
    <cellStyle name="SAPBEXaggData 2 3 9 2" xfId="10561"/>
    <cellStyle name="SAPBEXaggData 2 3 9 3" xfId="10562"/>
    <cellStyle name="SAPBEXaggData 2 3 9 4" xfId="10560"/>
    <cellStyle name="SAPBEXaggData 2 3_planning-WP" xfId="10563"/>
    <cellStyle name="SAPBEXaggData 2 4" xfId="10564"/>
    <cellStyle name="SAPBEXaggData 2 4 2" xfId="10565"/>
    <cellStyle name="SAPBEXaggData 2 4 2 2" xfId="10566"/>
    <cellStyle name="SAPBEXaggData 2 4 2 3" xfId="10567"/>
    <cellStyle name="SAPBEXaggData 2 4 3" xfId="10568"/>
    <cellStyle name="SAPBEXaggData 2 4 3 2" xfId="10569"/>
    <cellStyle name="SAPBEXaggData 2 4 3 3" xfId="10570"/>
    <cellStyle name="SAPBEXaggData 2 4 4" xfId="10571"/>
    <cellStyle name="SAPBEXaggData 2 4 4 2" xfId="10572"/>
    <cellStyle name="SAPBEXaggData 2 4 4 3" xfId="10573"/>
    <cellStyle name="SAPBEXaggData 2 4 5" xfId="10574"/>
    <cellStyle name="SAPBEXaggData 2 4 5 2" xfId="10575"/>
    <cellStyle name="SAPBEXaggData 2 4 5 3" xfId="10576"/>
    <cellStyle name="SAPBEXaggData 2 4 6" xfId="10577"/>
    <cellStyle name="SAPBEXaggData 2 4 6 2" xfId="10578"/>
    <cellStyle name="SAPBEXaggData 2 4 6 3" xfId="10579"/>
    <cellStyle name="SAPBEXaggData 2 4 7" xfId="10580"/>
    <cellStyle name="SAPBEXaggData 2 4 7 2" xfId="10581"/>
    <cellStyle name="SAPBEXaggData 2 4 7 3" xfId="10582"/>
    <cellStyle name="SAPBEXaggData 2 4 8" xfId="10583"/>
    <cellStyle name="SAPBEXaggData 2 4 8 2" xfId="10584"/>
    <cellStyle name="SAPBEXaggData 2 4 8 3" xfId="10585"/>
    <cellStyle name="SAPBEXaggData 2 4 9" xfId="10586"/>
    <cellStyle name="SAPBEXaggData 2 4_planning-WP" xfId="10587"/>
    <cellStyle name="SAPBEXaggData 2 5" xfId="10588"/>
    <cellStyle name="SAPBEXaggData 2 5 2" xfId="10589"/>
    <cellStyle name="SAPBEXaggData 2 6" xfId="10590"/>
    <cellStyle name="SAPBEXaggData 2 6 2" xfId="10591"/>
    <cellStyle name="SAPBEXaggData 2 6 3" xfId="10592"/>
    <cellStyle name="SAPBEXaggData 2 7" xfId="10593"/>
    <cellStyle name="SAPBEXaggData 2 7 2" xfId="10594"/>
    <cellStyle name="SAPBEXaggData 2 7 3" xfId="10595"/>
    <cellStyle name="SAPBEXaggData 2 8" xfId="10596"/>
    <cellStyle name="SAPBEXaggData 2 8 2" xfId="10597"/>
    <cellStyle name="SAPBEXaggData 2 8 3" xfId="10598"/>
    <cellStyle name="SAPBEXaggData 2 9" xfId="10599"/>
    <cellStyle name="SAPBEXaggData 2 9 2" xfId="10600"/>
    <cellStyle name="SAPBEXaggData 2 9 3" xfId="10601"/>
    <cellStyle name="SAPBEXaggData 2_planning-WP" xfId="10602"/>
    <cellStyle name="SAPBEXaggData 20" xfId="38829"/>
    <cellStyle name="SAPBEXaggData 21" xfId="39248"/>
    <cellStyle name="SAPBEXaggData 3" xfId="1459"/>
    <cellStyle name="SAPBEXaggData 3 10" xfId="7857"/>
    <cellStyle name="SAPBEXaggData 3 10 2" xfId="10605"/>
    <cellStyle name="SAPBEXaggData 3 10 3" xfId="10606"/>
    <cellStyle name="SAPBEXaggData 3 10 4" xfId="10604"/>
    <cellStyle name="SAPBEXaggData 3 11" xfId="10607"/>
    <cellStyle name="SAPBEXaggData 3 11 2" xfId="10608"/>
    <cellStyle name="SAPBEXaggData 3 11 3" xfId="10609"/>
    <cellStyle name="SAPBEXaggData 3 12" xfId="10610"/>
    <cellStyle name="SAPBEXaggData 3 12 2" xfId="10611"/>
    <cellStyle name="SAPBEXaggData 3 12 3" xfId="10612"/>
    <cellStyle name="SAPBEXaggData 3 13" xfId="10613"/>
    <cellStyle name="SAPBEXaggData 3 14" xfId="10603"/>
    <cellStyle name="SAPBEXaggData 3 15" xfId="9656"/>
    <cellStyle name="SAPBEXaggData 3 16" xfId="38831"/>
    <cellStyle name="SAPBEXaggData 3 17" xfId="39250"/>
    <cellStyle name="SAPBEXaggData 3 2" xfId="1821"/>
    <cellStyle name="SAPBEXaggData 3 2 10" xfId="10615"/>
    <cellStyle name="SAPBEXaggData 3 2 10 2" xfId="10616"/>
    <cellStyle name="SAPBEXaggData 3 2 10 3" xfId="10617"/>
    <cellStyle name="SAPBEXaggData 3 2 11" xfId="10618"/>
    <cellStyle name="SAPBEXaggData 3 2 12" xfId="10614"/>
    <cellStyle name="SAPBEXaggData 3 2 13" xfId="9999"/>
    <cellStyle name="SAPBEXaggData 3 2 2" xfId="4739"/>
    <cellStyle name="SAPBEXaggData 3 2 2 10" xfId="10620"/>
    <cellStyle name="SAPBEXaggData 3 2 2 11" xfId="10619"/>
    <cellStyle name="SAPBEXaggData 3 2 2 2" xfId="10621"/>
    <cellStyle name="SAPBEXaggData 3 2 2 2 2" xfId="10622"/>
    <cellStyle name="SAPBEXaggData 3 2 2 2 3" xfId="10623"/>
    <cellStyle name="SAPBEXaggData 3 2 2 3" xfId="10624"/>
    <cellStyle name="SAPBEXaggData 3 2 2 3 2" xfId="10625"/>
    <cellStyle name="SAPBEXaggData 3 2 2 3 3" xfId="10626"/>
    <cellStyle name="SAPBEXaggData 3 2 2 4" xfId="10627"/>
    <cellStyle name="SAPBEXaggData 3 2 2 4 2" xfId="10628"/>
    <cellStyle name="SAPBEXaggData 3 2 2 4 3" xfId="10629"/>
    <cellStyle name="SAPBEXaggData 3 2 2 5" xfId="10630"/>
    <cellStyle name="SAPBEXaggData 3 2 2 5 2" xfId="10631"/>
    <cellStyle name="SAPBEXaggData 3 2 2 5 3" xfId="10632"/>
    <cellStyle name="SAPBEXaggData 3 2 2 6" xfId="10633"/>
    <cellStyle name="SAPBEXaggData 3 2 2 6 2" xfId="10634"/>
    <cellStyle name="SAPBEXaggData 3 2 2 6 3" xfId="10635"/>
    <cellStyle name="SAPBEXaggData 3 2 2 7" xfId="10636"/>
    <cellStyle name="SAPBEXaggData 3 2 2 7 2" xfId="10637"/>
    <cellStyle name="SAPBEXaggData 3 2 2 7 3" xfId="10638"/>
    <cellStyle name="SAPBEXaggData 3 2 2 8" xfId="10639"/>
    <cellStyle name="SAPBEXaggData 3 2 2 8 2" xfId="10640"/>
    <cellStyle name="SAPBEXaggData 3 2 2 8 3" xfId="10641"/>
    <cellStyle name="SAPBEXaggData 3 2 2 9" xfId="10642"/>
    <cellStyle name="SAPBEXaggData 3 2 2 9 2" xfId="10643"/>
    <cellStyle name="SAPBEXaggData 3 2 2 9 3" xfId="10644"/>
    <cellStyle name="SAPBEXaggData 3 2 2_planning-WP" xfId="10645"/>
    <cellStyle name="SAPBEXaggData 3 2 3" xfId="5718"/>
    <cellStyle name="SAPBEXaggData 3 2 3 2" xfId="10647"/>
    <cellStyle name="SAPBEXaggData 3 2 3 3" xfId="10648"/>
    <cellStyle name="SAPBEXaggData 3 2 3 4" xfId="10646"/>
    <cellStyle name="SAPBEXaggData 3 2 4" xfId="6226"/>
    <cellStyle name="SAPBEXaggData 3 2 4 2" xfId="10650"/>
    <cellStyle name="SAPBEXaggData 3 2 4 3" xfId="10651"/>
    <cellStyle name="SAPBEXaggData 3 2 4 4" xfId="10649"/>
    <cellStyle name="SAPBEXaggData 3 2 5" xfId="6713"/>
    <cellStyle name="SAPBEXaggData 3 2 5 2" xfId="10653"/>
    <cellStyle name="SAPBEXaggData 3 2 5 3" xfId="10654"/>
    <cellStyle name="SAPBEXaggData 3 2 5 4" xfId="10652"/>
    <cellStyle name="SAPBEXaggData 3 2 6" xfId="7196"/>
    <cellStyle name="SAPBEXaggData 3 2 6 2" xfId="10656"/>
    <cellStyle name="SAPBEXaggData 3 2 6 3" xfId="10657"/>
    <cellStyle name="SAPBEXaggData 3 2 6 4" xfId="10655"/>
    <cellStyle name="SAPBEXaggData 3 2 7" xfId="8265"/>
    <cellStyle name="SAPBEXaggData 3 2 7 2" xfId="10659"/>
    <cellStyle name="SAPBEXaggData 3 2 7 3" xfId="10660"/>
    <cellStyle name="SAPBEXaggData 3 2 7 4" xfId="10658"/>
    <cellStyle name="SAPBEXaggData 3 2 8" xfId="8766"/>
    <cellStyle name="SAPBEXaggData 3 2 8 2" xfId="10662"/>
    <cellStyle name="SAPBEXaggData 3 2 8 3" xfId="10663"/>
    <cellStyle name="SAPBEXaggData 3 2 8 4" xfId="10661"/>
    <cellStyle name="SAPBEXaggData 3 2 9" xfId="9260"/>
    <cellStyle name="SAPBEXaggData 3 2 9 2" xfId="10665"/>
    <cellStyle name="SAPBEXaggData 3 2 9 3" xfId="10666"/>
    <cellStyle name="SAPBEXaggData 3 2 9 4" xfId="10664"/>
    <cellStyle name="SAPBEXaggData 3 2_planning-WP" xfId="10667"/>
    <cellStyle name="SAPBEXaggData 3 3" xfId="4382"/>
    <cellStyle name="SAPBEXaggData 3 3 10" xfId="10669"/>
    <cellStyle name="SAPBEXaggData 3 3 11" xfId="10668"/>
    <cellStyle name="SAPBEXaggData 3 3 2" xfId="10670"/>
    <cellStyle name="SAPBEXaggData 3 3 2 2" xfId="10671"/>
    <cellStyle name="SAPBEXaggData 3 3 2 3" xfId="10672"/>
    <cellStyle name="SAPBEXaggData 3 3 3" xfId="10673"/>
    <cellStyle name="SAPBEXaggData 3 3 3 2" xfId="10674"/>
    <cellStyle name="SAPBEXaggData 3 3 3 3" xfId="10675"/>
    <cellStyle name="SAPBEXaggData 3 3 4" xfId="10676"/>
    <cellStyle name="SAPBEXaggData 3 3 4 2" xfId="10677"/>
    <cellStyle name="SAPBEXaggData 3 3 4 3" xfId="10678"/>
    <cellStyle name="SAPBEXaggData 3 3 5" xfId="10679"/>
    <cellStyle name="SAPBEXaggData 3 3 5 2" xfId="10680"/>
    <cellStyle name="SAPBEXaggData 3 3 5 3" xfId="10681"/>
    <cellStyle name="SAPBEXaggData 3 3 6" xfId="10682"/>
    <cellStyle name="SAPBEXaggData 3 3 6 2" xfId="10683"/>
    <cellStyle name="SAPBEXaggData 3 3 6 3" xfId="10684"/>
    <cellStyle name="SAPBEXaggData 3 3 7" xfId="10685"/>
    <cellStyle name="SAPBEXaggData 3 3 7 2" xfId="10686"/>
    <cellStyle name="SAPBEXaggData 3 3 7 3" xfId="10687"/>
    <cellStyle name="SAPBEXaggData 3 3 8" xfId="10688"/>
    <cellStyle name="SAPBEXaggData 3 3 8 2" xfId="10689"/>
    <cellStyle name="SAPBEXaggData 3 3 8 3" xfId="10690"/>
    <cellStyle name="SAPBEXaggData 3 3 9" xfId="10691"/>
    <cellStyle name="SAPBEXaggData 3 3 9 2" xfId="10692"/>
    <cellStyle name="SAPBEXaggData 3 3 9 3" xfId="10693"/>
    <cellStyle name="SAPBEXaggData 3 3_planning-WP" xfId="10694"/>
    <cellStyle name="SAPBEXaggData 3 4" xfId="5374"/>
    <cellStyle name="SAPBEXaggData 3 4 10" xfId="10695"/>
    <cellStyle name="SAPBEXaggData 3 4 2" xfId="10696"/>
    <cellStyle name="SAPBEXaggData 3 4 2 2" xfId="10697"/>
    <cellStyle name="SAPBEXaggData 3 4 2 3" xfId="10698"/>
    <cellStyle name="SAPBEXaggData 3 4 3" xfId="10699"/>
    <cellStyle name="SAPBEXaggData 3 4 3 2" xfId="10700"/>
    <cellStyle name="SAPBEXaggData 3 4 3 3" xfId="10701"/>
    <cellStyle name="SAPBEXaggData 3 4 4" xfId="10702"/>
    <cellStyle name="SAPBEXaggData 3 4 4 2" xfId="10703"/>
    <cellStyle name="SAPBEXaggData 3 4 4 3" xfId="10704"/>
    <cellStyle name="SAPBEXaggData 3 4 5" xfId="10705"/>
    <cellStyle name="SAPBEXaggData 3 4 5 2" xfId="10706"/>
    <cellStyle name="SAPBEXaggData 3 4 5 3" xfId="10707"/>
    <cellStyle name="SAPBEXaggData 3 4 6" xfId="10708"/>
    <cellStyle name="SAPBEXaggData 3 4 6 2" xfId="10709"/>
    <cellStyle name="SAPBEXaggData 3 4 6 3" xfId="10710"/>
    <cellStyle name="SAPBEXaggData 3 4 7" xfId="10711"/>
    <cellStyle name="SAPBEXaggData 3 4 7 2" xfId="10712"/>
    <cellStyle name="SAPBEXaggData 3 4 7 3" xfId="10713"/>
    <cellStyle name="SAPBEXaggData 3 4 8" xfId="10714"/>
    <cellStyle name="SAPBEXaggData 3 4 8 2" xfId="10715"/>
    <cellStyle name="SAPBEXaggData 3 4 8 3" xfId="10716"/>
    <cellStyle name="SAPBEXaggData 3 4 9" xfId="10717"/>
    <cellStyle name="SAPBEXaggData 3 4_planning-WP" xfId="10718"/>
    <cellStyle name="SAPBEXaggData 3 5" xfId="3251"/>
    <cellStyle name="SAPBEXaggData 3 5 2" xfId="10720"/>
    <cellStyle name="SAPBEXaggData 3 5 3" xfId="10719"/>
    <cellStyle name="SAPBEXaggData 3 6" xfId="5143"/>
    <cellStyle name="SAPBEXaggData 3 6 2" xfId="10722"/>
    <cellStyle name="SAPBEXaggData 3 6 3" xfId="10723"/>
    <cellStyle name="SAPBEXaggData 3 6 4" xfId="10721"/>
    <cellStyle name="SAPBEXaggData 3 7" xfId="4326"/>
    <cellStyle name="SAPBEXaggData 3 7 2" xfId="10725"/>
    <cellStyle name="SAPBEXaggData 3 7 3" xfId="10726"/>
    <cellStyle name="SAPBEXaggData 3 7 4" xfId="10724"/>
    <cellStyle name="SAPBEXaggData 3 8" xfId="7922"/>
    <cellStyle name="SAPBEXaggData 3 8 2" xfId="10728"/>
    <cellStyle name="SAPBEXaggData 3 8 3" xfId="10729"/>
    <cellStyle name="SAPBEXaggData 3 8 4" xfId="10727"/>
    <cellStyle name="SAPBEXaggData 3 9" xfId="7624"/>
    <cellStyle name="SAPBEXaggData 3 9 2" xfId="10731"/>
    <cellStyle name="SAPBEXaggData 3 9 3" xfId="10732"/>
    <cellStyle name="SAPBEXaggData 3 9 4" xfId="10730"/>
    <cellStyle name="SAPBEXaggData 3_planning-WP" xfId="10733"/>
    <cellStyle name="SAPBEXaggData 4" xfId="1700"/>
    <cellStyle name="SAPBEXaggData 4 10" xfId="9157"/>
    <cellStyle name="SAPBEXaggData 4 10 2" xfId="10736"/>
    <cellStyle name="SAPBEXaggData 4 10 3" xfId="10737"/>
    <cellStyle name="SAPBEXaggData 4 10 4" xfId="10735"/>
    <cellStyle name="SAPBEXaggData 4 11" xfId="10738"/>
    <cellStyle name="SAPBEXaggData 4 11 2" xfId="10739"/>
    <cellStyle name="SAPBEXaggData 4 11 3" xfId="10740"/>
    <cellStyle name="SAPBEXaggData 4 12" xfId="10741"/>
    <cellStyle name="SAPBEXaggData 4 12 2" xfId="10742"/>
    <cellStyle name="SAPBEXaggData 4 12 3" xfId="10743"/>
    <cellStyle name="SAPBEXaggData 4 13" xfId="10744"/>
    <cellStyle name="SAPBEXaggData 4 14" xfId="10734"/>
    <cellStyle name="SAPBEXaggData 4 15" xfId="9896"/>
    <cellStyle name="SAPBEXaggData 4 16" xfId="38832"/>
    <cellStyle name="SAPBEXaggData 4 17" xfId="39251"/>
    <cellStyle name="SAPBEXaggData 4 2" xfId="2032"/>
    <cellStyle name="SAPBEXaggData 4 2 10" xfId="10746"/>
    <cellStyle name="SAPBEXaggData 4 2 10 2" xfId="10747"/>
    <cellStyle name="SAPBEXaggData 4 2 10 3" xfId="10748"/>
    <cellStyle name="SAPBEXaggData 4 2 11" xfId="10749"/>
    <cellStyle name="SAPBEXaggData 4 2 12" xfId="10745"/>
    <cellStyle name="SAPBEXaggData 4 2 13" xfId="10209"/>
    <cellStyle name="SAPBEXaggData 4 2 2" xfId="4949"/>
    <cellStyle name="SAPBEXaggData 4 2 2 10" xfId="10751"/>
    <cellStyle name="SAPBEXaggData 4 2 2 11" xfId="10750"/>
    <cellStyle name="SAPBEXaggData 4 2 2 2" xfId="10752"/>
    <cellStyle name="SAPBEXaggData 4 2 2 2 2" xfId="10753"/>
    <cellStyle name="SAPBEXaggData 4 2 2 2 3" xfId="10754"/>
    <cellStyle name="SAPBEXaggData 4 2 2 3" xfId="10755"/>
    <cellStyle name="SAPBEXaggData 4 2 2 3 2" xfId="10756"/>
    <cellStyle name="SAPBEXaggData 4 2 2 3 3" xfId="10757"/>
    <cellStyle name="SAPBEXaggData 4 2 2 4" xfId="10758"/>
    <cellStyle name="SAPBEXaggData 4 2 2 4 2" xfId="10759"/>
    <cellStyle name="SAPBEXaggData 4 2 2 4 3" xfId="10760"/>
    <cellStyle name="SAPBEXaggData 4 2 2 5" xfId="10761"/>
    <cellStyle name="SAPBEXaggData 4 2 2 5 2" xfId="10762"/>
    <cellStyle name="SAPBEXaggData 4 2 2 5 3" xfId="10763"/>
    <cellStyle name="SAPBEXaggData 4 2 2 6" xfId="10764"/>
    <cellStyle name="SAPBEXaggData 4 2 2 6 2" xfId="10765"/>
    <cellStyle name="SAPBEXaggData 4 2 2 6 3" xfId="10766"/>
    <cellStyle name="SAPBEXaggData 4 2 2 7" xfId="10767"/>
    <cellStyle name="SAPBEXaggData 4 2 2 7 2" xfId="10768"/>
    <cellStyle name="SAPBEXaggData 4 2 2 7 3" xfId="10769"/>
    <cellStyle name="SAPBEXaggData 4 2 2 8" xfId="10770"/>
    <cellStyle name="SAPBEXaggData 4 2 2 8 2" xfId="10771"/>
    <cellStyle name="SAPBEXaggData 4 2 2 8 3" xfId="10772"/>
    <cellStyle name="SAPBEXaggData 4 2 2 9" xfId="10773"/>
    <cellStyle name="SAPBEXaggData 4 2 2 9 2" xfId="10774"/>
    <cellStyle name="SAPBEXaggData 4 2 2 9 3" xfId="10775"/>
    <cellStyle name="SAPBEXaggData 4 2 2_planning-WP" xfId="10776"/>
    <cellStyle name="SAPBEXaggData 4 2 3" xfId="5928"/>
    <cellStyle name="SAPBEXaggData 4 2 3 2" xfId="10778"/>
    <cellStyle name="SAPBEXaggData 4 2 3 3" xfId="10779"/>
    <cellStyle name="SAPBEXaggData 4 2 3 4" xfId="10777"/>
    <cellStyle name="SAPBEXaggData 4 2 4" xfId="6436"/>
    <cellStyle name="SAPBEXaggData 4 2 4 2" xfId="10781"/>
    <cellStyle name="SAPBEXaggData 4 2 4 3" xfId="10782"/>
    <cellStyle name="SAPBEXaggData 4 2 4 4" xfId="10780"/>
    <cellStyle name="SAPBEXaggData 4 2 5" xfId="6923"/>
    <cellStyle name="SAPBEXaggData 4 2 5 2" xfId="10784"/>
    <cellStyle name="SAPBEXaggData 4 2 5 3" xfId="10785"/>
    <cellStyle name="SAPBEXaggData 4 2 5 4" xfId="10783"/>
    <cellStyle name="SAPBEXaggData 4 2 6" xfId="7406"/>
    <cellStyle name="SAPBEXaggData 4 2 6 2" xfId="10787"/>
    <cellStyle name="SAPBEXaggData 4 2 6 3" xfId="10788"/>
    <cellStyle name="SAPBEXaggData 4 2 6 4" xfId="10786"/>
    <cellStyle name="SAPBEXaggData 4 2 7" xfId="8475"/>
    <cellStyle name="SAPBEXaggData 4 2 7 2" xfId="10790"/>
    <cellStyle name="SAPBEXaggData 4 2 7 3" xfId="10791"/>
    <cellStyle name="SAPBEXaggData 4 2 7 4" xfId="10789"/>
    <cellStyle name="SAPBEXaggData 4 2 8" xfId="8976"/>
    <cellStyle name="SAPBEXaggData 4 2 8 2" xfId="10793"/>
    <cellStyle name="SAPBEXaggData 4 2 8 3" xfId="10794"/>
    <cellStyle name="SAPBEXaggData 4 2 8 4" xfId="10792"/>
    <cellStyle name="SAPBEXaggData 4 2 9" xfId="9470"/>
    <cellStyle name="SAPBEXaggData 4 2 9 2" xfId="10796"/>
    <cellStyle name="SAPBEXaggData 4 2 9 3" xfId="10797"/>
    <cellStyle name="SAPBEXaggData 4 2 9 4" xfId="10795"/>
    <cellStyle name="SAPBEXaggData 4 2_planning-WP" xfId="10798"/>
    <cellStyle name="SAPBEXaggData 4 3" xfId="4622"/>
    <cellStyle name="SAPBEXaggData 4 3 10" xfId="10800"/>
    <cellStyle name="SAPBEXaggData 4 3 11" xfId="10799"/>
    <cellStyle name="SAPBEXaggData 4 3 2" xfId="10801"/>
    <cellStyle name="SAPBEXaggData 4 3 2 2" xfId="10802"/>
    <cellStyle name="SAPBEXaggData 4 3 2 3" xfId="10803"/>
    <cellStyle name="SAPBEXaggData 4 3 3" xfId="10804"/>
    <cellStyle name="SAPBEXaggData 4 3 3 2" xfId="10805"/>
    <cellStyle name="SAPBEXaggData 4 3 3 3" xfId="10806"/>
    <cellStyle name="SAPBEXaggData 4 3 4" xfId="10807"/>
    <cellStyle name="SAPBEXaggData 4 3 4 2" xfId="10808"/>
    <cellStyle name="SAPBEXaggData 4 3 4 3" xfId="10809"/>
    <cellStyle name="SAPBEXaggData 4 3 5" xfId="10810"/>
    <cellStyle name="SAPBEXaggData 4 3 5 2" xfId="10811"/>
    <cellStyle name="SAPBEXaggData 4 3 5 3" xfId="10812"/>
    <cellStyle name="SAPBEXaggData 4 3 6" xfId="10813"/>
    <cellStyle name="SAPBEXaggData 4 3 6 2" xfId="10814"/>
    <cellStyle name="SAPBEXaggData 4 3 6 3" xfId="10815"/>
    <cellStyle name="SAPBEXaggData 4 3 7" xfId="10816"/>
    <cellStyle name="SAPBEXaggData 4 3 7 2" xfId="10817"/>
    <cellStyle name="SAPBEXaggData 4 3 7 3" xfId="10818"/>
    <cellStyle name="SAPBEXaggData 4 3 8" xfId="10819"/>
    <cellStyle name="SAPBEXaggData 4 3 8 2" xfId="10820"/>
    <cellStyle name="SAPBEXaggData 4 3 8 3" xfId="10821"/>
    <cellStyle name="SAPBEXaggData 4 3 9" xfId="10822"/>
    <cellStyle name="SAPBEXaggData 4 3 9 2" xfId="10823"/>
    <cellStyle name="SAPBEXaggData 4 3 9 3" xfId="10824"/>
    <cellStyle name="SAPBEXaggData 4 3_planning-WP" xfId="10825"/>
    <cellStyle name="SAPBEXaggData 4 4" xfId="5614"/>
    <cellStyle name="SAPBEXaggData 4 4 10" xfId="10826"/>
    <cellStyle name="SAPBEXaggData 4 4 2" xfId="10827"/>
    <cellStyle name="SAPBEXaggData 4 4 2 2" xfId="10828"/>
    <cellStyle name="SAPBEXaggData 4 4 2 3" xfId="10829"/>
    <cellStyle name="SAPBEXaggData 4 4 3" xfId="10830"/>
    <cellStyle name="SAPBEXaggData 4 4 3 2" xfId="10831"/>
    <cellStyle name="SAPBEXaggData 4 4 3 3" xfId="10832"/>
    <cellStyle name="SAPBEXaggData 4 4 4" xfId="10833"/>
    <cellStyle name="SAPBEXaggData 4 4 4 2" xfId="10834"/>
    <cellStyle name="SAPBEXaggData 4 4 4 3" xfId="10835"/>
    <cellStyle name="SAPBEXaggData 4 4 5" xfId="10836"/>
    <cellStyle name="SAPBEXaggData 4 4 5 2" xfId="10837"/>
    <cellStyle name="SAPBEXaggData 4 4 5 3" xfId="10838"/>
    <cellStyle name="SAPBEXaggData 4 4 6" xfId="10839"/>
    <cellStyle name="SAPBEXaggData 4 4 6 2" xfId="10840"/>
    <cellStyle name="SAPBEXaggData 4 4 6 3" xfId="10841"/>
    <cellStyle name="SAPBEXaggData 4 4 7" xfId="10842"/>
    <cellStyle name="SAPBEXaggData 4 4 7 2" xfId="10843"/>
    <cellStyle name="SAPBEXaggData 4 4 7 3" xfId="10844"/>
    <cellStyle name="SAPBEXaggData 4 4 8" xfId="10845"/>
    <cellStyle name="SAPBEXaggData 4 4 8 2" xfId="10846"/>
    <cellStyle name="SAPBEXaggData 4 4 8 3" xfId="10847"/>
    <cellStyle name="SAPBEXaggData 4 4 9" xfId="10848"/>
    <cellStyle name="SAPBEXaggData 4 4_planning-WP" xfId="10849"/>
    <cellStyle name="SAPBEXaggData 4 5" xfId="6123"/>
    <cellStyle name="SAPBEXaggData 4 5 2" xfId="10851"/>
    <cellStyle name="SAPBEXaggData 4 5 3" xfId="10850"/>
    <cellStyle name="SAPBEXaggData 4 6" xfId="6610"/>
    <cellStyle name="SAPBEXaggData 4 6 2" xfId="10853"/>
    <cellStyle name="SAPBEXaggData 4 6 3" xfId="10854"/>
    <cellStyle name="SAPBEXaggData 4 6 4" xfId="10852"/>
    <cellStyle name="SAPBEXaggData 4 7" xfId="7093"/>
    <cellStyle name="SAPBEXaggData 4 7 2" xfId="10856"/>
    <cellStyle name="SAPBEXaggData 4 7 3" xfId="10857"/>
    <cellStyle name="SAPBEXaggData 4 7 4" xfId="10855"/>
    <cellStyle name="SAPBEXaggData 4 8" xfId="8162"/>
    <cellStyle name="SAPBEXaggData 4 8 2" xfId="10859"/>
    <cellStyle name="SAPBEXaggData 4 8 3" xfId="10860"/>
    <cellStyle name="SAPBEXaggData 4 8 4" xfId="10858"/>
    <cellStyle name="SAPBEXaggData 4 9" xfId="8663"/>
    <cellStyle name="SAPBEXaggData 4 9 2" xfId="10862"/>
    <cellStyle name="SAPBEXaggData 4 9 3" xfId="10863"/>
    <cellStyle name="SAPBEXaggData 4 9 4" xfId="10861"/>
    <cellStyle name="SAPBEXaggData 4_planning-WP" xfId="10864"/>
    <cellStyle name="SAPBEXaggData 5" xfId="1762"/>
    <cellStyle name="SAPBEXaggData 5 10" xfId="9217"/>
    <cellStyle name="SAPBEXaggData 5 10 2" xfId="10867"/>
    <cellStyle name="SAPBEXaggData 5 10 3" xfId="10868"/>
    <cellStyle name="SAPBEXaggData 5 10 4" xfId="10866"/>
    <cellStyle name="SAPBEXaggData 5 11" xfId="10869"/>
    <cellStyle name="SAPBEXaggData 5 11 2" xfId="10870"/>
    <cellStyle name="SAPBEXaggData 5 11 3" xfId="10871"/>
    <cellStyle name="SAPBEXaggData 5 12" xfId="10872"/>
    <cellStyle name="SAPBEXaggData 5 12 2" xfId="10873"/>
    <cellStyle name="SAPBEXaggData 5 12 3" xfId="10874"/>
    <cellStyle name="SAPBEXaggData 5 13" xfId="10865"/>
    <cellStyle name="SAPBEXaggData 5 14" xfId="9956"/>
    <cellStyle name="SAPBEXaggData 5 15" xfId="38833"/>
    <cellStyle name="SAPBEXaggData 5 16" xfId="39252"/>
    <cellStyle name="SAPBEXaggData 5 2" xfId="2090"/>
    <cellStyle name="SAPBEXaggData 5 2 10" xfId="10876"/>
    <cellStyle name="SAPBEXaggData 5 2 10 2" xfId="10877"/>
    <cellStyle name="SAPBEXaggData 5 2 10 3" xfId="10878"/>
    <cellStyle name="SAPBEXaggData 5 2 11" xfId="10879"/>
    <cellStyle name="SAPBEXaggData 5 2 12" xfId="10875"/>
    <cellStyle name="SAPBEXaggData 5 2 13" xfId="10265"/>
    <cellStyle name="SAPBEXaggData 5 2 2" xfId="5005"/>
    <cellStyle name="SAPBEXaggData 5 2 2 10" xfId="10881"/>
    <cellStyle name="SAPBEXaggData 5 2 2 11" xfId="10880"/>
    <cellStyle name="SAPBEXaggData 5 2 2 2" xfId="10882"/>
    <cellStyle name="SAPBEXaggData 5 2 2 2 2" xfId="10883"/>
    <cellStyle name="SAPBEXaggData 5 2 2 2 3" xfId="10884"/>
    <cellStyle name="SAPBEXaggData 5 2 2 3" xfId="10885"/>
    <cellStyle name="SAPBEXaggData 5 2 2 3 2" xfId="10886"/>
    <cellStyle name="SAPBEXaggData 5 2 2 3 3" xfId="10887"/>
    <cellStyle name="SAPBEXaggData 5 2 2 4" xfId="10888"/>
    <cellStyle name="SAPBEXaggData 5 2 2 4 2" xfId="10889"/>
    <cellStyle name="SAPBEXaggData 5 2 2 4 3" xfId="10890"/>
    <cellStyle name="SAPBEXaggData 5 2 2 5" xfId="10891"/>
    <cellStyle name="SAPBEXaggData 5 2 2 5 2" xfId="10892"/>
    <cellStyle name="SAPBEXaggData 5 2 2 5 3" xfId="10893"/>
    <cellStyle name="SAPBEXaggData 5 2 2 6" xfId="10894"/>
    <cellStyle name="SAPBEXaggData 5 2 2 6 2" xfId="10895"/>
    <cellStyle name="SAPBEXaggData 5 2 2 6 3" xfId="10896"/>
    <cellStyle name="SAPBEXaggData 5 2 2 7" xfId="10897"/>
    <cellStyle name="SAPBEXaggData 5 2 2 7 2" xfId="10898"/>
    <cellStyle name="SAPBEXaggData 5 2 2 7 3" xfId="10899"/>
    <cellStyle name="SAPBEXaggData 5 2 2 8" xfId="10900"/>
    <cellStyle name="SAPBEXaggData 5 2 2 8 2" xfId="10901"/>
    <cellStyle name="SAPBEXaggData 5 2 2 8 3" xfId="10902"/>
    <cellStyle name="SAPBEXaggData 5 2 2 9" xfId="10903"/>
    <cellStyle name="SAPBEXaggData 5 2 2 9 2" xfId="10904"/>
    <cellStyle name="SAPBEXaggData 5 2 2 9 3" xfId="10905"/>
    <cellStyle name="SAPBEXaggData 5 2 2_planning-WP" xfId="10906"/>
    <cellStyle name="SAPBEXaggData 5 2 3" xfId="5984"/>
    <cellStyle name="SAPBEXaggData 5 2 3 2" xfId="10908"/>
    <cellStyle name="SAPBEXaggData 5 2 3 3" xfId="10909"/>
    <cellStyle name="SAPBEXaggData 5 2 3 4" xfId="10907"/>
    <cellStyle name="SAPBEXaggData 5 2 4" xfId="6492"/>
    <cellStyle name="SAPBEXaggData 5 2 4 2" xfId="10911"/>
    <cellStyle name="SAPBEXaggData 5 2 4 3" xfId="10912"/>
    <cellStyle name="SAPBEXaggData 5 2 4 4" xfId="10910"/>
    <cellStyle name="SAPBEXaggData 5 2 5" xfId="6979"/>
    <cellStyle name="SAPBEXaggData 5 2 5 2" xfId="10914"/>
    <cellStyle name="SAPBEXaggData 5 2 5 3" xfId="10915"/>
    <cellStyle name="SAPBEXaggData 5 2 5 4" xfId="10913"/>
    <cellStyle name="SAPBEXaggData 5 2 6" xfId="7462"/>
    <cellStyle name="SAPBEXaggData 5 2 6 2" xfId="10917"/>
    <cellStyle name="SAPBEXaggData 5 2 6 3" xfId="10918"/>
    <cellStyle name="SAPBEXaggData 5 2 6 4" xfId="10916"/>
    <cellStyle name="SAPBEXaggData 5 2 7" xfId="8531"/>
    <cellStyle name="SAPBEXaggData 5 2 7 2" xfId="10920"/>
    <cellStyle name="SAPBEXaggData 5 2 7 3" xfId="10921"/>
    <cellStyle name="SAPBEXaggData 5 2 7 4" xfId="10919"/>
    <cellStyle name="SAPBEXaggData 5 2 8" xfId="9032"/>
    <cellStyle name="SAPBEXaggData 5 2 8 2" xfId="10923"/>
    <cellStyle name="SAPBEXaggData 5 2 8 3" xfId="10924"/>
    <cellStyle name="SAPBEXaggData 5 2 8 4" xfId="10922"/>
    <cellStyle name="SAPBEXaggData 5 2 9" xfId="9526"/>
    <cellStyle name="SAPBEXaggData 5 2 9 2" xfId="10926"/>
    <cellStyle name="SAPBEXaggData 5 2 9 3" xfId="10927"/>
    <cellStyle name="SAPBEXaggData 5 2 9 4" xfId="10925"/>
    <cellStyle name="SAPBEXaggData 5 2_planning-WP" xfId="10928"/>
    <cellStyle name="SAPBEXaggData 5 3" xfId="4683"/>
    <cellStyle name="SAPBEXaggData 5 3 10" xfId="10930"/>
    <cellStyle name="SAPBEXaggData 5 3 11" xfId="10929"/>
    <cellStyle name="SAPBEXaggData 5 3 2" xfId="10931"/>
    <cellStyle name="SAPBEXaggData 5 3 2 2" xfId="10932"/>
    <cellStyle name="SAPBEXaggData 5 3 2 3" xfId="10933"/>
    <cellStyle name="SAPBEXaggData 5 3 3" xfId="10934"/>
    <cellStyle name="SAPBEXaggData 5 3 3 2" xfId="10935"/>
    <cellStyle name="SAPBEXaggData 5 3 3 3" xfId="10936"/>
    <cellStyle name="SAPBEXaggData 5 3 4" xfId="10937"/>
    <cellStyle name="SAPBEXaggData 5 3 4 2" xfId="10938"/>
    <cellStyle name="SAPBEXaggData 5 3 4 3" xfId="10939"/>
    <cellStyle name="SAPBEXaggData 5 3 5" xfId="10940"/>
    <cellStyle name="SAPBEXaggData 5 3 5 2" xfId="10941"/>
    <cellStyle name="SAPBEXaggData 5 3 5 3" xfId="10942"/>
    <cellStyle name="SAPBEXaggData 5 3 6" xfId="10943"/>
    <cellStyle name="SAPBEXaggData 5 3 6 2" xfId="10944"/>
    <cellStyle name="SAPBEXaggData 5 3 6 3" xfId="10945"/>
    <cellStyle name="SAPBEXaggData 5 3 7" xfId="10946"/>
    <cellStyle name="SAPBEXaggData 5 3 7 2" xfId="10947"/>
    <cellStyle name="SAPBEXaggData 5 3 7 3" xfId="10948"/>
    <cellStyle name="SAPBEXaggData 5 3 8" xfId="10949"/>
    <cellStyle name="SAPBEXaggData 5 3 8 2" xfId="10950"/>
    <cellStyle name="SAPBEXaggData 5 3 8 3" xfId="10951"/>
    <cellStyle name="SAPBEXaggData 5 3 9" xfId="10952"/>
    <cellStyle name="SAPBEXaggData 5 3 9 2" xfId="10953"/>
    <cellStyle name="SAPBEXaggData 5 3 9 3" xfId="10954"/>
    <cellStyle name="SAPBEXaggData 5 3_planning-WP" xfId="10955"/>
    <cellStyle name="SAPBEXaggData 5 4" xfId="5674"/>
    <cellStyle name="SAPBEXaggData 5 4 10" xfId="10956"/>
    <cellStyle name="SAPBEXaggData 5 4 2" xfId="10957"/>
    <cellStyle name="SAPBEXaggData 5 4 2 2" xfId="10958"/>
    <cellStyle name="SAPBEXaggData 5 4 2 3" xfId="10959"/>
    <cellStyle name="SAPBEXaggData 5 4 3" xfId="10960"/>
    <cellStyle name="SAPBEXaggData 5 4 3 2" xfId="10961"/>
    <cellStyle name="SAPBEXaggData 5 4 3 3" xfId="10962"/>
    <cellStyle name="SAPBEXaggData 5 4 4" xfId="10963"/>
    <cellStyle name="SAPBEXaggData 5 4 4 2" xfId="10964"/>
    <cellStyle name="SAPBEXaggData 5 4 4 3" xfId="10965"/>
    <cellStyle name="SAPBEXaggData 5 4 5" xfId="10966"/>
    <cellStyle name="SAPBEXaggData 5 4 5 2" xfId="10967"/>
    <cellStyle name="SAPBEXaggData 5 4 5 3" xfId="10968"/>
    <cellStyle name="SAPBEXaggData 5 4 6" xfId="10969"/>
    <cellStyle name="SAPBEXaggData 5 4 6 2" xfId="10970"/>
    <cellStyle name="SAPBEXaggData 5 4 6 3" xfId="10971"/>
    <cellStyle name="SAPBEXaggData 5 4 7" xfId="10972"/>
    <cellStyle name="SAPBEXaggData 5 4 7 2" xfId="10973"/>
    <cellStyle name="SAPBEXaggData 5 4 7 3" xfId="10974"/>
    <cellStyle name="SAPBEXaggData 5 4 8" xfId="10975"/>
    <cellStyle name="SAPBEXaggData 5 4 8 2" xfId="10976"/>
    <cellStyle name="SAPBEXaggData 5 4 8 3" xfId="10977"/>
    <cellStyle name="SAPBEXaggData 5 4 9" xfId="10978"/>
    <cellStyle name="SAPBEXaggData 5 4_planning-WP" xfId="10979"/>
    <cellStyle name="SAPBEXaggData 5 5" xfId="6183"/>
    <cellStyle name="SAPBEXaggData 5 5 2" xfId="10981"/>
    <cellStyle name="SAPBEXaggData 5 5 3" xfId="10980"/>
    <cellStyle name="SAPBEXaggData 5 6" xfId="6670"/>
    <cellStyle name="SAPBEXaggData 5 6 2" xfId="10983"/>
    <cellStyle name="SAPBEXaggData 5 6 3" xfId="10984"/>
    <cellStyle name="SAPBEXaggData 5 6 4" xfId="10982"/>
    <cellStyle name="SAPBEXaggData 5 7" xfId="7153"/>
    <cellStyle name="SAPBEXaggData 5 7 2" xfId="10986"/>
    <cellStyle name="SAPBEXaggData 5 7 3" xfId="10987"/>
    <cellStyle name="SAPBEXaggData 5 7 4" xfId="10985"/>
    <cellStyle name="SAPBEXaggData 5 8" xfId="8222"/>
    <cellStyle name="SAPBEXaggData 5 8 2" xfId="10989"/>
    <cellStyle name="SAPBEXaggData 5 8 3" xfId="10990"/>
    <cellStyle name="SAPBEXaggData 5 8 4" xfId="10988"/>
    <cellStyle name="SAPBEXaggData 5 9" xfId="8723"/>
    <cellStyle name="SAPBEXaggData 5 9 2" xfId="10992"/>
    <cellStyle name="SAPBEXaggData 5 9 3" xfId="10993"/>
    <cellStyle name="SAPBEXaggData 5 9 4" xfId="10991"/>
    <cellStyle name="SAPBEXaggData 5_planning-WP" xfId="10994"/>
    <cellStyle name="SAPBEXaggData 6" xfId="1727"/>
    <cellStyle name="SAPBEXaggData 6 10" xfId="9184"/>
    <cellStyle name="SAPBEXaggData 6 10 2" xfId="10997"/>
    <cellStyle name="SAPBEXaggData 6 10 3" xfId="10998"/>
    <cellStyle name="SAPBEXaggData 6 10 4" xfId="10996"/>
    <cellStyle name="SAPBEXaggData 6 11" xfId="10999"/>
    <cellStyle name="SAPBEXaggData 6 11 2" xfId="11000"/>
    <cellStyle name="SAPBEXaggData 6 11 3" xfId="11001"/>
    <cellStyle name="SAPBEXaggData 6 12" xfId="10995"/>
    <cellStyle name="SAPBEXaggData 6 13" xfId="9923"/>
    <cellStyle name="SAPBEXaggData 6 14" xfId="38834"/>
    <cellStyle name="SAPBEXaggData 6 15" xfId="39253"/>
    <cellStyle name="SAPBEXaggData 6 2" xfId="2058"/>
    <cellStyle name="SAPBEXaggData 6 2 10" xfId="11003"/>
    <cellStyle name="SAPBEXaggData 6 2 11" xfId="11002"/>
    <cellStyle name="SAPBEXaggData 6 2 12" xfId="10235"/>
    <cellStyle name="SAPBEXaggData 6 2 2" xfId="4975"/>
    <cellStyle name="SAPBEXaggData 6 2 2 2" xfId="11005"/>
    <cellStyle name="SAPBEXaggData 6 2 2 3" xfId="11006"/>
    <cellStyle name="SAPBEXaggData 6 2 2 4" xfId="11004"/>
    <cellStyle name="SAPBEXaggData 6 2 3" xfId="5954"/>
    <cellStyle name="SAPBEXaggData 6 2 3 2" xfId="11008"/>
    <cellStyle name="SAPBEXaggData 6 2 3 3" xfId="11009"/>
    <cellStyle name="SAPBEXaggData 6 2 3 4" xfId="11007"/>
    <cellStyle name="SAPBEXaggData 6 2 4" xfId="6462"/>
    <cellStyle name="SAPBEXaggData 6 2 4 2" xfId="11011"/>
    <cellStyle name="SAPBEXaggData 6 2 4 3" xfId="11012"/>
    <cellStyle name="SAPBEXaggData 6 2 4 4" xfId="11010"/>
    <cellStyle name="SAPBEXaggData 6 2 5" xfId="6949"/>
    <cellStyle name="SAPBEXaggData 6 2 5 2" xfId="11014"/>
    <cellStyle name="SAPBEXaggData 6 2 5 3" xfId="11015"/>
    <cellStyle name="SAPBEXaggData 6 2 5 4" xfId="11013"/>
    <cellStyle name="SAPBEXaggData 6 2 6" xfId="7432"/>
    <cellStyle name="SAPBEXaggData 6 2 6 2" xfId="11017"/>
    <cellStyle name="SAPBEXaggData 6 2 6 3" xfId="11018"/>
    <cellStyle name="SAPBEXaggData 6 2 6 4" xfId="11016"/>
    <cellStyle name="SAPBEXaggData 6 2 7" xfId="8501"/>
    <cellStyle name="SAPBEXaggData 6 2 7 2" xfId="11020"/>
    <cellStyle name="SAPBEXaggData 6 2 7 3" xfId="11021"/>
    <cellStyle name="SAPBEXaggData 6 2 7 4" xfId="11019"/>
    <cellStyle name="SAPBEXaggData 6 2 8" xfId="9002"/>
    <cellStyle name="SAPBEXaggData 6 2 8 2" xfId="11023"/>
    <cellStyle name="SAPBEXaggData 6 2 8 3" xfId="11024"/>
    <cellStyle name="SAPBEXaggData 6 2 8 4" xfId="11022"/>
    <cellStyle name="SAPBEXaggData 6 2 9" xfId="9496"/>
    <cellStyle name="SAPBEXaggData 6 2 9 2" xfId="11026"/>
    <cellStyle name="SAPBEXaggData 6 2 9 3" xfId="11027"/>
    <cellStyle name="SAPBEXaggData 6 2 9 4" xfId="11025"/>
    <cellStyle name="SAPBEXaggData 6 2_planning-WP" xfId="11028"/>
    <cellStyle name="SAPBEXaggData 6 3" xfId="4649"/>
    <cellStyle name="SAPBEXaggData 6 3 10" xfId="11029"/>
    <cellStyle name="SAPBEXaggData 6 3 2" xfId="11030"/>
    <cellStyle name="SAPBEXaggData 6 3 2 2" xfId="11031"/>
    <cellStyle name="SAPBEXaggData 6 3 2 3" xfId="11032"/>
    <cellStyle name="SAPBEXaggData 6 3 3" xfId="11033"/>
    <cellStyle name="SAPBEXaggData 6 3 3 2" xfId="11034"/>
    <cellStyle name="SAPBEXaggData 6 3 3 3" xfId="11035"/>
    <cellStyle name="SAPBEXaggData 6 3 4" xfId="11036"/>
    <cellStyle name="SAPBEXaggData 6 3 4 2" xfId="11037"/>
    <cellStyle name="SAPBEXaggData 6 3 4 3" xfId="11038"/>
    <cellStyle name="SAPBEXaggData 6 3 5" xfId="11039"/>
    <cellStyle name="SAPBEXaggData 6 3 5 2" xfId="11040"/>
    <cellStyle name="SAPBEXaggData 6 3 5 3" xfId="11041"/>
    <cellStyle name="SAPBEXaggData 6 3 6" xfId="11042"/>
    <cellStyle name="SAPBEXaggData 6 3 6 2" xfId="11043"/>
    <cellStyle name="SAPBEXaggData 6 3 6 3" xfId="11044"/>
    <cellStyle name="SAPBEXaggData 6 3 7" xfId="11045"/>
    <cellStyle name="SAPBEXaggData 6 3 7 2" xfId="11046"/>
    <cellStyle name="SAPBEXaggData 6 3 7 3" xfId="11047"/>
    <cellStyle name="SAPBEXaggData 6 3 8" xfId="11048"/>
    <cellStyle name="SAPBEXaggData 6 3 8 2" xfId="11049"/>
    <cellStyle name="SAPBEXaggData 6 3 8 3" xfId="11050"/>
    <cellStyle name="SAPBEXaggData 6 3 9" xfId="11051"/>
    <cellStyle name="SAPBEXaggData 6 3_planning-WP" xfId="11052"/>
    <cellStyle name="SAPBEXaggData 6 4" xfId="5641"/>
    <cellStyle name="SAPBEXaggData 6 4 2" xfId="11054"/>
    <cellStyle name="SAPBEXaggData 6 4 3" xfId="11053"/>
    <cellStyle name="SAPBEXaggData 6 5" xfId="6150"/>
    <cellStyle name="SAPBEXaggData 6 5 2" xfId="11056"/>
    <cellStyle name="SAPBEXaggData 6 5 3" xfId="11057"/>
    <cellStyle name="SAPBEXaggData 6 5 4" xfId="11055"/>
    <cellStyle name="SAPBEXaggData 6 6" xfId="6637"/>
    <cellStyle name="SAPBEXaggData 6 6 2" xfId="11059"/>
    <cellStyle name="SAPBEXaggData 6 6 3" xfId="11060"/>
    <cellStyle name="SAPBEXaggData 6 6 4" xfId="11058"/>
    <cellStyle name="SAPBEXaggData 6 7" xfId="7120"/>
    <cellStyle name="SAPBEXaggData 6 7 2" xfId="11062"/>
    <cellStyle name="SAPBEXaggData 6 7 3" xfId="11063"/>
    <cellStyle name="SAPBEXaggData 6 7 4" xfId="11061"/>
    <cellStyle name="SAPBEXaggData 6 8" xfId="8189"/>
    <cellStyle name="SAPBEXaggData 6 8 2" xfId="11065"/>
    <cellStyle name="SAPBEXaggData 6 8 3" xfId="11066"/>
    <cellStyle name="SAPBEXaggData 6 8 4" xfId="11064"/>
    <cellStyle name="SAPBEXaggData 6 9" xfId="8690"/>
    <cellStyle name="SAPBEXaggData 6 9 2" xfId="11068"/>
    <cellStyle name="SAPBEXaggData 6 9 3" xfId="11069"/>
    <cellStyle name="SAPBEXaggData 6 9 4" xfId="11067"/>
    <cellStyle name="SAPBEXaggData 6_planning-WP" xfId="11070"/>
    <cellStyle name="SAPBEXaggData 7" xfId="1661"/>
    <cellStyle name="SAPBEXaggData 7 10" xfId="9119"/>
    <cellStyle name="SAPBEXaggData 7 10 2" xfId="11073"/>
    <cellStyle name="SAPBEXaggData 7 10 3" xfId="11074"/>
    <cellStyle name="SAPBEXaggData 7 10 4" xfId="11072"/>
    <cellStyle name="SAPBEXaggData 7 11" xfId="11075"/>
    <cellStyle name="SAPBEXaggData 7 12" xfId="11071"/>
    <cellStyle name="SAPBEXaggData 7 13" xfId="9858"/>
    <cellStyle name="SAPBEXaggData 7 14" xfId="38835"/>
    <cellStyle name="SAPBEXaggData 7 15" xfId="39254"/>
    <cellStyle name="SAPBEXaggData 7 2" xfId="1995"/>
    <cellStyle name="SAPBEXaggData 7 2 10" xfId="11077"/>
    <cellStyle name="SAPBEXaggData 7 2 11" xfId="11076"/>
    <cellStyle name="SAPBEXaggData 7 2 12" xfId="10173"/>
    <cellStyle name="SAPBEXaggData 7 2 2" xfId="4913"/>
    <cellStyle name="SAPBEXaggData 7 2 2 2" xfId="11079"/>
    <cellStyle name="SAPBEXaggData 7 2 2 3" xfId="11080"/>
    <cellStyle name="SAPBEXaggData 7 2 2 4" xfId="11078"/>
    <cellStyle name="SAPBEXaggData 7 2 3" xfId="5892"/>
    <cellStyle name="SAPBEXaggData 7 2 3 2" xfId="11082"/>
    <cellStyle name="SAPBEXaggData 7 2 3 3" xfId="11083"/>
    <cellStyle name="SAPBEXaggData 7 2 3 4" xfId="11081"/>
    <cellStyle name="SAPBEXaggData 7 2 4" xfId="6400"/>
    <cellStyle name="SAPBEXaggData 7 2 4 2" xfId="11085"/>
    <cellStyle name="SAPBEXaggData 7 2 4 3" xfId="11086"/>
    <cellStyle name="SAPBEXaggData 7 2 4 4" xfId="11084"/>
    <cellStyle name="SAPBEXaggData 7 2 5" xfId="6887"/>
    <cellStyle name="SAPBEXaggData 7 2 5 2" xfId="11088"/>
    <cellStyle name="SAPBEXaggData 7 2 5 3" xfId="11089"/>
    <cellStyle name="SAPBEXaggData 7 2 5 4" xfId="11087"/>
    <cellStyle name="SAPBEXaggData 7 2 6" xfId="7370"/>
    <cellStyle name="SAPBEXaggData 7 2 6 2" xfId="11091"/>
    <cellStyle name="SAPBEXaggData 7 2 6 3" xfId="11092"/>
    <cellStyle name="SAPBEXaggData 7 2 6 4" xfId="11090"/>
    <cellStyle name="SAPBEXaggData 7 2 7" xfId="8439"/>
    <cellStyle name="SAPBEXaggData 7 2 7 2" xfId="11094"/>
    <cellStyle name="SAPBEXaggData 7 2 7 3" xfId="11095"/>
    <cellStyle name="SAPBEXaggData 7 2 7 4" xfId="11093"/>
    <cellStyle name="SAPBEXaggData 7 2 8" xfId="8940"/>
    <cellStyle name="SAPBEXaggData 7 2 8 2" xfId="11097"/>
    <cellStyle name="SAPBEXaggData 7 2 8 3" xfId="11098"/>
    <cellStyle name="SAPBEXaggData 7 2 8 4" xfId="11096"/>
    <cellStyle name="SAPBEXaggData 7 2 9" xfId="9434"/>
    <cellStyle name="SAPBEXaggData 7 2 9 2" xfId="11100"/>
    <cellStyle name="SAPBEXaggData 7 2 9 3" xfId="11101"/>
    <cellStyle name="SAPBEXaggData 7 2 9 4" xfId="11099"/>
    <cellStyle name="SAPBEXaggData 7 2_planning-WP" xfId="11102"/>
    <cellStyle name="SAPBEXaggData 7 3" xfId="4584"/>
    <cellStyle name="SAPBEXaggData 7 3 2" xfId="11104"/>
    <cellStyle name="SAPBEXaggData 7 3 3" xfId="11105"/>
    <cellStyle name="SAPBEXaggData 7 3 4" xfId="11103"/>
    <cellStyle name="SAPBEXaggData 7 4" xfId="5576"/>
    <cellStyle name="SAPBEXaggData 7 4 2" xfId="11107"/>
    <cellStyle name="SAPBEXaggData 7 4 3" xfId="11108"/>
    <cellStyle name="SAPBEXaggData 7 4 4" xfId="11106"/>
    <cellStyle name="SAPBEXaggData 7 5" xfId="6085"/>
    <cellStyle name="SAPBEXaggData 7 5 2" xfId="11110"/>
    <cellStyle name="SAPBEXaggData 7 5 3" xfId="11111"/>
    <cellStyle name="SAPBEXaggData 7 5 4" xfId="11109"/>
    <cellStyle name="SAPBEXaggData 7 6" xfId="6572"/>
    <cellStyle name="SAPBEXaggData 7 6 2" xfId="11113"/>
    <cellStyle name="SAPBEXaggData 7 6 3" xfId="11114"/>
    <cellStyle name="SAPBEXaggData 7 6 4" xfId="11112"/>
    <cellStyle name="SAPBEXaggData 7 7" xfId="7055"/>
    <cellStyle name="SAPBEXaggData 7 7 2" xfId="11116"/>
    <cellStyle name="SAPBEXaggData 7 7 3" xfId="11117"/>
    <cellStyle name="SAPBEXaggData 7 7 4" xfId="11115"/>
    <cellStyle name="SAPBEXaggData 7 8" xfId="8124"/>
    <cellStyle name="SAPBEXaggData 7 8 2" xfId="11119"/>
    <cellStyle name="SAPBEXaggData 7 8 3" xfId="11120"/>
    <cellStyle name="SAPBEXaggData 7 8 4" xfId="11118"/>
    <cellStyle name="SAPBEXaggData 7 9" xfId="8625"/>
    <cellStyle name="SAPBEXaggData 7 9 2" xfId="11122"/>
    <cellStyle name="SAPBEXaggData 7 9 3" xfId="11123"/>
    <cellStyle name="SAPBEXaggData 7 9 4" xfId="11121"/>
    <cellStyle name="SAPBEXaggData 7_planning-WP" xfId="11124"/>
    <cellStyle name="SAPBEXaggData 8" xfId="1582"/>
    <cellStyle name="SAPBEXaggData 8 10" xfId="11126"/>
    <cellStyle name="SAPBEXaggData 8 11" xfId="11125"/>
    <cellStyle name="SAPBEXaggData 8 12" xfId="9779"/>
    <cellStyle name="SAPBEXaggData 8 2" xfId="4505"/>
    <cellStyle name="SAPBEXaggData 8 2 2" xfId="11128"/>
    <cellStyle name="SAPBEXaggData 8 2 3" xfId="11129"/>
    <cellStyle name="SAPBEXaggData 8 2 4" xfId="11127"/>
    <cellStyle name="SAPBEXaggData 8 3" xfId="5497"/>
    <cellStyle name="SAPBEXaggData 8 3 2" xfId="11131"/>
    <cellStyle name="SAPBEXaggData 8 3 3" xfId="11132"/>
    <cellStyle name="SAPBEXaggData 8 3 4" xfId="11130"/>
    <cellStyle name="SAPBEXaggData 8 4" xfId="3321"/>
    <cellStyle name="SAPBEXaggData 8 4 2" xfId="11134"/>
    <cellStyle name="SAPBEXaggData 8 4 3" xfId="11135"/>
    <cellStyle name="SAPBEXaggData 8 4 4" xfId="11133"/>
    <cellStyle name="SAPBEXaggData 8 5" xfId="3358"/>
    <cellStyle name="SAPBEXaggData 8 5 2" xfId="11137"/>
    <cellStyle name="SAPBEXaggData 8 5 3" xfId="11138"/>
    <cellStyle name="SAPBEXaggData 8 5 4" xfId="11136"/>
    <cellStyle name="SAPBEXaggData 8 6" xfId="5234"/>
    <cellStyle name="SAPBEXaggData 8 6 2" xfId="11140"/>
    <cellStyle name="SAPBEXaggData 8 6 3" xfId="11141"/>
    <cellStyle name="SAPBEXaggData 8 6 4" xfId="11139"/>
    <cellStyle name="SAPBEXaggData 8 7" xfId="8045"/>
    <cellStyle name="SAPBEXaggData 8 7 2" xfId="11143"/>
    <cellStyle name="SAPBEXaggData 8 7 3" xfId="11144"/>
    <cellStyle name="SAPBEXaggData 8 7 4" xfId="11142"/>
    <cellStyle name="SAPBEXaggData 8 8" xfId="7503"/>
    <cellStyle name="SAPBEXaggData 8 8 2" xfId="11146"/>
    <cellStyle name="SAPBEXaggData 8 8 3" xfId="11147"/>
    <cellStyle name="SAPBEXaggData 8 8 4" xfId="11145"/>
    <cellStyle name="SAPBEXaggData 8 9" xfId="7734"/>
    <cellStyle name="SAPBEXaggData 8 9 2" xfId="11149"/>
    <cellStyle name="SAPBEXaggData 8 9 3" xfId="11150"/>
    <cellStyle name="SAPBEXaggData 8 9 4" xfId="11148"/>
    <cellStyle name="SAPBEXaggData 8_planning-WP" xfId="11151"/>
    <cellStyle name="SAPBEXaggData 9" xfId="1424"/>
    <cellStyle name="SAPBEXaggData 9 10" xfId="11152"/>
    <cellStyle name="SAPBEXaggData 9 11" xfId="9622"/>
    <cellStyle name="SAPBEXaggData 9 2" xfId="4347"/>
    <cellStyle name="SAPBEXaggData 9 2 2" xfId="11154"/>
    <cellStyle name="SAPBEXaggData 9 2 3" xfId="11155"/>
    <cellStyle name="SAPBEXaggData 9 2 4" xfId="11153"/>
    <cellStyle name="SAPBEXaggData 9 3" xfId="5340"/>
    <cellStyle name="SAPBEXaggData 9 3 2" xfId="11157"/>
    <cellStyle name="SAPBEXaggData 9 3 3" xfId="11158"/>
    <cellStyle name="SAPBEXaggData 9 3 4" xfId="11156"/>
    <cellStyle name="SAPBEXaggData 9 4" xfId="3973"/>
    <cellStyle name="SAPBEXaggData 9 4 2" xfId="11160"/>
    <cellStyle name="SAPBEXaggData 9 4 3" xfId="11161"/>
    <cellStyle name="SAPBEXaggData 9 4 4" xfId="11159"/>
    <cellStyle name="SAPBEXaggData 9 5" xfId="5285"/>
    <cellStyle name="SAPBEXaggData 9 5 2" xfId="11163"/>
    <cellStyle name="SAPBEXaggData 9 5 3" xfId="11164"/>
    <cellStyle name="SAPBEXaggData 9 5 4" xfId="11162"/>
    <cellStyle name="SAPBEXaggData 9 6" xfId="5152"/>
    <cellStyle name="SAPBEXaggData 9 6 2" xfId="11166"/>
    <cellStyle name="SAPBEXaggData 9 6 3" xfId="11167"/>
    <cellStyle name="SAPBEXaggData 9 6 4" xfId="11165"/>
    <cellStyle name="SAPBEXaggData 9 7" xfId="7888"/>
    <cellStyle name="SAPBEXaggData 9 7 2" xfId="11169"/>
    <cellStyle name="SAPBEXaggData 9 7 3" xfId="11170"/>
    <cellStyle name="SAPBEXaggData 9 7 4" xfId="11168"/>
    <cellStyle name="SAPBEXaggData 9 8" xfId="7652"/>
    <cellStyle name="SAPBEXaggData 9 8 2" xfId="11172"/>
    <cellStyle name="SAPBEXaggData 9 8 3" xfId="11173"/>
    <cellStyle name="SAPBEXaggData 9 8 4" xfId="11171"/>
    <cellStyle name="SAPBEXaggData 9 9" xfId="7848"/>
    <cellStyle name="SAPBEXaggData 9 9 2" xfId="11174"/>
    <cellStyle name="SAPBEXaggData 9_planning-WP" xfId="11175"/>
    <cellStyle name="SAPBEXaggData_19.RessDest CUC CS SEE+SEM 1009" xfId="38836"/>
    <cellStyle name="SAPBEXaggDataEmph" xfId="270"/>
    <cellStyle name="SAPBEXaggDataEmph 10" xfId="11177"/>
    <cellStyle name="SAPBEXaggDataEmph 10 2" xfId="11178"/>
    <cellStyle name="SAPBEXaggDataEmph 11" xfId="11179"/>
    <cellStyle name="SAPBEXaggDataEmph 11 2" xfId="11180"/>
    <cellStyle name="SAPBEXaggDataEmph 11 3" xfId="11181"/>
    <cellStyle name="SAPBEXaggDataEmph 12" xfId="11182"/>
    <cellStyle name="SAPBEXaggDataEmph 12 2" xfId="11183"/>
    <cellStyle name="SAPBEXaggDataEmph 12 3" xfId="11184"/>
    <cellStyle name="SAPBEXaggDataEmph 13" xfId="11185"/>
    <cellStyle name="SAPBEXaggDataEmph 13 2" xfId="11186"/>
    <cellStyle name="SAPBEXaggDataEmph 13 3" xfId="11187"/>
    <cellStyle name="SAPBEXaggDataEmph 14" xfId="11188"/>
    <cellStyle name="SAPBEXaggDataEmph 14 2" xfId="11189"/>
    <cellStyle name="SAPBEXaggDataEmph 14 3" xfId="11190"/>
    <cellStyle name="SAPBEXaggDataEmph 15" xfId="11191"/>
    <cellStyle name="SAPBEXaggDataEmph 15 2" xfId="11192"/>
    <cellStyle name="SAPBEXaggDataEmph 15 3" xfId="11193"/>
    <cellStyle name="SAPBEXaggDataEmph 16" xfId="11194"/>
    <cellStyle name="SAPBEXaggDataEmph 16 2" xfId="11195"/>
    <cellStyle name="SAPBEXaggDataEmph 16 3" xfId="11196"/>
    <cellStyle name="SAPBEXaggDataEmph 17" xfId="11197"/>
    <cellStyle name="SAPBEXaggDataEmph 17 2" xfId="11198"/>
    <cellStyle name="SAPBEXaggDataEmph 17 3" xfId="11199"/>
    <cellStyle name="SAPBEXaggDataEmph 18" xfId="11200"/>
    <cellStyle name="SAPBEXaggDataEmph 19" xfId="11176"/>
    <cellStyle name="SAPBEXaggDataEmph 2" xfId="888"/>
    <cellStyle name="SAPBEXaggDataEmph 2 10" xfId="11202"/>
    <cellStyle name="SAPBEXaggDataEmph 2 10 2" xfId="11203"/>
    <cellStyle name="SAPBEXaggDataEmph 2 10 3" xfId="11204"/>
    <cellStyle name="SAPBEXaggDataEmph 2 11" xfId="11205"/>
    <cellStyle name="SAPBEXaggDataEmph 2 11 2" xfId="11206"/>
    <cellStyle name="SAPBEXaggDataEmph 2 11 3" xfId="11207"/>
    <cellStyle name="SAPBEXaggDataEmph 2 12" xfId="11208"/>
    <cellStyle name="SAPBEXaggDataEmph 2 12 2" xfId="11209"/>
    <cellStyle name="SAPBEXaggDataEmph 2 12 3" xfId="11210"/>
    <cellStyle name="SAPBEXaggDataEmph 2 13" xfId="11201"/>
    <cellStyle name="SAPBEXaggDataEmph 2 14" xfId="9572"/>
    <cellStyle name="SAPBEXaggDataEmph 2 15" xfId="38838"/>
    <cellStyle name="SAPBEXaggDataEmph 2 16" xfId="39256"/>
    <cellStyle name="SAPBEXaggDataEmph 2 2" xfId="1951"/>
    <cellStyle name="SAPBEXaggDataEmph 2 2 10" xfId="11212"/>
    <cellStyle name="SAPBEXaggDataEmph 2 2 10 2" xfId="11213"/>
    <cellStyle name="SAPBEXaggDataEmph 2 2 10 3" xfId="11214"/>
    <cellStyle name="SAPBEXaggDataEmph 2 2 11" xfId="11215"/>
    <cellStyle name="SAPBEXaggDataEmph 2 2 12" xfId="11211"/>
    <cellStyle name="SAPBEXaggDataEmph 2 2 13" xfId="10129"/>
    <cellStyle name="SAPBEXaggDataEmph 2 2 14" xfId="38839"/>
    <cellStyle name="SAPBEXaggDataEmph 2 2 15" xfId="39257"/>
    <cellStyle name="SAPBEXaggDataEmph 2 2 2" xfId="4869"/>
    <cellStyle name="SAPBEXaggDataEmph 2 2 2 10" xfId="11217"/>
    <cellStyle name="SAPBEXaggDataEmph 2 2 2 11" xfId="11216"/>
    <cellStyle name="SAPBEXaggDataEmph 2 2 2 2" xfId="11218"/>
    <cellStyle name="SAPBEXaggDataEmph 2 2 2 2 2" xfId="11219"/>
    <cellStyle name="SAPBEXaggDataEmph 2 2 2 2 3" xfId="11220"/>
    <cellStyle name="SAPBEXaggDataEmph 2 2 2 3" xfId="11221"/>
    <cellStyle name="SAPBEXaggDataEmph 2 2 2 3 2" xfId="11222"/>
    <cellStyle name="SAPBEXaggDataEmph 2 2 2 3 3" xfId="11223"/>
    <cellStyle name="SAPBEXaggDataEmph 2 2 2 4" xfId="11224"/>
    <cellStyle name="SAPBEXaggDataEmph 2 2 2 4 2" xfId="11225"/>
    <cellStyle name="SAPBEXaggDataEmph 2 2 2 4 3" xfId="11226"/>
    <cellStyle name="SAPBEXaggDataEmph 2 2 2 5" xfId="11227"/>
    <cellStyle name="SAPBEXaggDataEmph 2 2 2 5 2" xfId="11228"/>
    <cellStyle name="SAPBEXaggDataEmph 2 2 2 5 3" xfId="11229"/>
    <cellStyle name="SAPBEXaggDataEmph 2 2 2 6" xfId="11230"/>
    <cellStyle name="SAPBEXaggDataEmph 2 2 2 6 2" xfId="11231"/>
    <cellStyle name="SAPBEXaggDataEmph 2 2 2 6 3" xfId="11232"/>
    <cellStyle name="SAPBEXaggDataEmph 2 2 2 7" xfId="11233"/>
    <cellStyle name="SAPBEXaggDataEmph 2 2 2 7 2" xfId="11234"/>
    <cellStyle name="SAPBEXaggDataEmph 2 2 2 7 3" xfId="11235"/>
    <cellStyle name="SAPBEXaggDataEmph 2 2 2 8" xfId="11236"/>
    <cellStyle name="SAPBEXaggDataEmph 2 2 2 8 2" xfId="11237"/>
    <cellStyle name="SAPBEXaggDataEmph 2 2 2 8 3" xfId="11238"/>
    <cellStyle name="SAPBEXaggDataEmph 2 2 2 9" xfId="11239"/>
    <cellStyle name="SAPBEXaggDataEmph 2 2 2 9 2" xfId="11240"/>
    <cellStyle name="SAPBEXaggDataEmph 2 2 2 9 3" xfId="11241"/>
    <cellStyle name="SAPBEXaggDataEmph 2 2 2_planning-WP" xfId="11242"/>
    <cellStyle name="SAPBEXaggDataEmph 2 2 3" xfId="5848"/>
    <cellStyle name="SAPBEXaggDataEmph 2 2 3 2" xfId="11244"/>
    <cellStyle name="SAPBEXaggDataEmph 2 2 3 3" xfId="11245"/>
    <cellStyle name="SAPBEXaggDataEmph 2 2 3 4" xfId="11243"/>
    <cellStyle name="SAPBEXaggDataEmph 2 2 4" xfId="6356"/>
    <cellStyle name="SAPBEXaggDataEmph 2 2 4 2" xfId="11247"/>
    <cellStyle name="SAPBEXaggDataEmph 2 2 4 3" xfId="11248"/>
    <cellStyle name="SAPBEXaggDataEmph 2 2 4 4" xfId="11246"/>
    <cellStyle name="SAPBEXaggDataEmph 2 2 5" xfId="6843"/>
    <cellStyle name="SAPBEXaggDataEmph 2 2 5 2" xfId="11250"/>
    <cellStyle name="SAPBEXaggDataEmph 2 2 5 3" xfId="11251"/>
    <cellStyle name="SAPBEXaggDataEmph 2 2 5 4" xfId="11249"/>
    <cellStyle name="SAPBEXaggDataEmph 2 2 6" xfId="7326"/>
    <cellStyle name="SAPBEXaggDataEmph 2 2 6 2" xfId="11253"/>
    <cellStyle name="SAPBEXaggDataEmph 2 2 6 3" xfId="11254"/>
    <cellStyle name="SAPBEXaggDataEmph 2 2 6 4" xfId="11252"/>
    <cellStyle name="SAPBEXaggDataEmph 2 2 7" xfId="8395"/>
    <cellStyle name="SAPBEXaggDataEmph 2 2 7 2" xfId="11256"/>
    <cellStyle name="SAPBEXaggDataEmph 2 2 7 3" xfId="11257"/>
    <cellStyle name="SAPBEXaggDataEmph 2 2 7 4" xfId="11255"/>
    <cellStyle name="SAPBEXaggDataEmph 2 2 8" xfId="8896"/>
    <cellStyle name="SAPBEXaggDataEmph 2 2 8 2" xfId="11259"/>
    <cellStyle name="SAPBEXaggDataEmph 2 2 8 3" xfId="11260"/>
    <cellStyle name="SAPBEXaggDataEmph 2 2 8 4" xfId="11258"/>
    <cellStyle name="SAPBEXaggDataEmph 2 2 9" xfId="9390"/>
    <cellStyle name="SAPBEXaggDataEmph 2 2 9 2" xfId="11262"/>
    <cellStyle name="SAPBEXaggDataEmph 2 2 9 3" xfId="11263"/>
    <cellStyle name="SAPBEXaggDataEmph 2 2 9 4" xfId="11261"/>
    <cellStyle name="SAPBEXaggDataEmph 2 2_planning-WP" xfId="11264"/>
    <cellStyle name="SAPBEXaggDataEmph 2 3" xfId="1613"/>
    <cellStyle name="SAPBEXaggDataEmph 2 3 10" xfId="11266"/>
    <cellStyle name="SAPBEXaggDataEmph 2 3 11" xfId="11265"/>
    <cellStyle name="SAPBEXaggDataEmph 2 3 12" xfId="9810"/>
    <cellStyle name="SAPBEXaggDataEmph 2 3 2" xfId="4536"/>
    <cellStyle name="SAPBEXaggDataEmph 2 3 2 2" xfId="11268"/>
    <cellStyle name="SAPBEXaggDataEmph 2 3 2 3" xfId="11269"/>
    <cellStyle name="SAPBEXaggDataEmph 2 3 2 4" xfId="11267"/>
    <cellStyle name="SAPBEXaggDataEmph 2 3 3" xfId="5528"/>
    <cellStyle name="SAPBEXaggDataEmph 2 3 3 2" xfId="11271"/>
    <cellStyle name="SAPBEXaggDataEmph 2 3 3 3" xfId="11272"/>
    <cellStyle name="SAPBEXaggDataEmph 2 3 3 4" xfId="11270"/>
    <cellStyle name="SAPBEXaggDataEmph 2 3 4" xfId="6037"/>
    <cellStyle name="SAPBEXaggDataEmph 2 3 4 2" xfId="11274"/>
    <cellStyle name="SAPBEXaggDataEmph 2 3 4 3" xfId="11275"/>
    <cellStyle name="SAPBEXaggDataEmph 2 3 4 4" xfId="11273"/>
    <cellStyle name="SAPBEXaggDataEmph 2 3 5" xfId="6524"/>
    <cellStyle name="SAPBEXaggDataEmph 2 3 5 2" xfId="11277"/>
    <cellStyle name="SAPBEXaggDataEmph 2 3 5 3" xfId="11278"/>
    <cellStyle name="SAPBEXaggDataEmph 2 3 5 4" xfId="11276"/>
    <cellStyle name="SAPBEXaggDataEmph 2 3 6" xfId="7007"/>
    <cellStyle name="SAPBEXaggDataEmph 2 3 6 2" xfId="11280"/>
    <cellStyle name="SAPBEXaggDataEmph 2 3 6 3" xfId="11281"/>
    <cellStyle name="SAPBEXaggDataEmph 2 3 6 4" xfId="11279"/>
    <cellStyle name="SAPBEXaggDataEmph 2 3 7" xfId="8076"/>
    <cellStyle name="SAPBEXaggDataEmph 2 3 7 2" xfId="11283"/>
    <cellStyle name="SAPBEXaggDataEmph 2 3 7 3" xfId="11284"/>
    <cellStyle name="SAPBEXaggDataEmph 2 3 7 4" xfId="11282"/>
    <cellStyle name="SAPBEXaggDataEmph 2 3 8" xfId="8577"/>
    <cellStyle name="SAPBEXaggDataEmph 2 3 8 2" xfId="11286"/>
    <cellStyle name="SAPBEXaggDataEmph 2 3 8 3" xfId="11287"/>
    <cellStyle name="SAPBEXaggDataEmph 2 3 8 4" xfId="11285"/>
    <cellStyle name="SAPBEXaggDataEmph 2 3 9" xfId="9071"/>
    <cellStyle name="SAPBEXaggDataEmph 2 3 9 2" xfId="11289"/>
    <cellStyle name="SAPBEXaggDataEmph 2 3 9 3" xfId="11290"/>
    <cellStyle name="SAPBEXaggDataEmph 2 3 9 4" xfId="11288"/>
    <cellStyle name="SAPBEXaggDataEmph 2 3_planning-WP" xfId="11291"/>
    <cellStyle name="SAPBEXaggDataEmph 2 4" xfId="11292"/>
    <cellStyle name="SAPBEXaggDataEmph 2 4 2" xfId="11293"/>
    <cellStyle name="SAPBEXaggDataEmph 2 4 2 2" xfId="11294"/>
    <cellStyle name="SAPBEXaggDataEmph 2 4 2 3" xfId="11295"/>
    <cellStyle name="SAPBEXaggDataEmph 2 4 3" xfId="11296"/>
    <cellStyle name="SAPBEXaggDataEmph 2 4 3 2" xfId="11297"/>
    <cellStyle name="SAPBEXaggDataEmph 2 4 3 3" xfId="11298"/>
    <cellStyle name="SAPBEXaggDataEmph 2 4 4" xfId="11299"/>
    <cellStyle name="SAPBEXaggDataEmph 2 4 4 2" xfId="11300"/>
    <cellStyle name="SAPBEXaggDataEmph 2 4 4 3" xfId="11301"/>
    <cellStyle name="SAPBEXaggDataEmph 2 4 5" xfId="11302"/>
    <cellStyle name="SAPBEXaggDataEmph 2 4 5 2" xfId="11303"/>
    <cellStyle name="SAPBEXaggDataEmph 2 4 5 3" xfId="11304"/>
    <cellStyle name="SAPBEXaggDataEmph 2 4 6" xfId="11305"/>
    <cellStyle name="SAPBEXaggDataEmph 2 4 6 2" xfId="11306"/>
    <cellStyle name="SAPBEXaggDataEmph 2 4 6 3" xfId="11307"/>
    <cellStyle name="SAPBEXaggDataEmph 2 4 7" xfId="11308"/>
    <cellStyle name="SAPBEXaggDataEmph 2 4 7 2" xfId="11309"/>
    <cellStyle name="SAPBEXaggDataEmph 2 4 7 3" xfId="11310"/>
    <cellStyle name="SAPBEXaggDataEmph 2 4 8" xfId="11311"/>
    <cellStyle name="SAPBEXaggDataEmph 2 4 8 2" xfId="11312"/>
    <cellStyle name="SAPBEXaggDataEmph 2 4 8 3" xfId="11313"/>
    <cellStyle name="SAPBEXaggDataEmph 2 4 9" xfId="11314"/>
    <cellStyle name="SAPBEXaggDataEmph 2 4_planning-WP" xfId="11315"/>
    <cellStyle name="SAPBEXaggDataEmph 2 5" xfId="11316"/>
    <cellStyle name="SAPBEXaggDataEmph 2 5 2" xfId="11317"/>
    <cellStyle name="SAPBEXaggDataEmph 2 6" xfId="11318"/>
    <cellStyle name="SAPBEXaggDataEmph 2 6 2" xfId="11319"/>
    <cellStyle name="SAPBEXaggDataEmph 2 6 3" xfId="11320"/>
    <cellStyle name="SAPBEXaggDataEmph 2 7" xfId="11321"/>
    <cellStyle name="SAPBEXaggDataEmph 2 7 2" xfId="11322"/>
    <cellStyle name="SAPBEXaggDataEmph 2 7 3" xfId="11323"/>
    <cellStyle name="SAPBEXaggDataEmph 2 8" xfId="11324"/>
    <cellStyle name="SAPBEXaggDataEmph 2 8 2" xfId="11325"/>
    <cellStyle name="SAPBEXaggDataEmph 2 8 3" xfId="11326"/>
    <cellStyle name="SAPBEXaggDataEmph 2 9" xfId="11327"/>
    <cellStyle name="SAPBEXaggDataEmph 2 9 2" xfId="11328"/>
    <cellStyle name="SAPBEXaggDataEmph 2 9 3" xfId="11329"/>
    <cellStyle name="SAPBEXaggDataEmph 2_planning-WP" xfId="11330"/>
    <cellStyle name="SAPBEXaggDataEmph 20" xfId="38837"/>
    <cellStyle name="SAPBEXaggDataEmph 21" xfId="39255"/>
    <cellStyle name="SAPBEXaggDataEmph 3" xfId="1586"/>
    <cellStyle name="SAPBEXaggDataEmph 3 10" xfId="7738"/>
    <cellStyle name="SAPBEXaggDataEmph 3 10 2" xfId="11333"/>
    <cellStyle name="SAPBEXaggDataEmph 3 10 3" xfId="11334"/>
    <cellStyle name="SAPBEXaggDataEmph 3 10 4" xfId="11332"/>
    <cellStyle name="SAPBEXaggDataEmph 3 11" xfId="11335"/>
    <cellStyle name="SAPBEXaggDataEmph 3 11 2" xfId="11336"/>
    <cellStyle name="SAPBEXaggDataEmph 3 11 3" xfId="11337"/>
    <cellStyle name="SAPBEXaggDataEmph 3 12" xfId="11338"/>
    <cellStyle name="SAPBEXaggDataEmph 3 12 2" xfId="11339"/>
    <cellStyle name="SAPBEXaggDataEmph 3 12 3" xfId="11340"/>
    <cellStyle name="SAPBEXaggDataEmph 3 13" xfId="11331"/>
    <cellStyle name="SAPBEXaggDataEmph 3 14" xfId="9783"/>
    <cellStyle name="SAPBEXaggDataEmph 3 15" xfId="38840"/>
    <cellStyle name="SAPBEXaggDataEmph 3 16" xfId="39258"/>
    <cellStyle name="SAPBEXaggDataEmph 3 2" xfId="1930"/>
    <cellStyle name="SAPBEXaggDataEmph 3 2 10" xfId="11342"/>
    <cellStyle name="SAPBEXaggDataEmph 3 2 10 2" xfId="11343"/>
    <cellStyle name="SAPBEXaggDataEmph 3 2 10 3" xfId="11344"/>
    <cellStyle name="SAPBEXaggDataEmph 3 2 11" xfId="11345"/>
    <cellStyle name="SAPBEXaggDataEmph 3 2 12" xfId="11341"/>
    <cellStyle name="SAPBEXaggDataEmph 3 2 13" xfId="10108"/>
    <cellStyle name="SAPBEXaggDataEmph 3 2 14" xfId="38841"/>
    <cellStyle name="SAPBEXaggDataEmph 3 2 15" xfId="39259"/>
    <cellStyle name="SAPBEXaggDataEmph 3 2 2" xfId="4848"/>
    <cellStyle name="SAPBEXaggDataEmph 3 2 2 10" xfId="11347"/>
    <cellStyle name="SAPBEXaggDataEmph 3 2 2 11" xfId="11346"/>
    <cellStyle name="SAPBEXaggDataEmph 3 2 2 2" xfId="11348"/>
    <cellStyle name="SAPBEXaggDataEmph 3 2 2 2 2" xfId="11349"/>
    <cellStyle name="SAPBEXaggDataEmph 3 2 2 2 3" xfId="11350"/>
    <cellStyle name="SAPBEXaggDataEmph 3 2 2 3" xfId="11351"/>
    <cellStyle name="SAPBEXaggDataEmph 3 2 2 3 2" xfId="11352"/>
    <cellStyle name="SAPBEXaggDataEmph 3 2 2 3 3" xfId="11353"/>
    <cellStyle name="SAPBEXaggDataEmph 3 2 2 4" xfId="11354"/>
    <cellStyle name="SAPBEXaggDataEmph 3 2 2 4 2" xfId="11355"/>
    <cellStyle name="SAPBEXaggDataEmph 3 2 2 4 3" xfId="11356"/>
    <cellStyle name="SAPBEXaggDataEmph 3 2 2 5" xfId="11357"/>
    <cellStyle name="SAPBEXaggDataEmph 3 2 2 5 2" xfId="11358"/>
    <cellStyle name="SAPBEXaggDataEmph 3 2 2 5 3" xfId="11359"/>
    <cellStyle name="SAPBEXaggDataEmph 3 2 2 6" xfId="11360"/>
    <cellStyle name="SAPBEXaggDataEmph 3 2 2 6 2" xfId="11361"/>
    <cellStyle name="SAPBEXaggDataEmph 3 2 2 6 3" xfId="11362"/>
    <cellStyle name="SAPBEXaggDataEmph 3 2 2 7" xfId="11363"/>
    <cellStyle name="SAPBEXaggDataEmph 3 2 2 7 2" xfId="11364"/>
    <cellStyle name="SAPBEXaggDataEmph 3 2 2 7 3" xfId="11365"/>
    <cellStyle name="SAPBEXaggDataEmph 3 2 2 8" xfId="11366"/>
    <cellStyle name="SAPBEXaggDataEmph 3 2 2 8 2" xfId="11367"/>
    <cellStyle name="SAPBEXaggDataEmph 3 2 2 8 3" xfId="11368"/>
    <cellStyle name="SAPBEXaggDataEmph 3 2 2 9" xfId="11369"/>
    <cellStyle name="SAPBEXaggDataEmph 3 2 2 9 2" xfId="11370"/>
    <cellStyle name="SAPBEXaggDataEmph 3 2 2 9 3" xfId="11371"/>
    <cellStyle name="SAPBEXaggDataEmph 3 2 2_planning-WP" xfId="11372"/>
    <cellStyle name="SAPBEXaggDataEmph 3 2 3" xfId="5827"/>
    <cellStyle name="SAPBEXaggDataEmph 3 2 3 2" xfId="11374"/>
    <cellStyle name="SAPBEXaggDataEmph 3 2 3 3" xfId="11375"/>
    <cellStyle name="SAPBEXaggDataEmph 3 2 3 4" xfId="11373"/>
    <cellStyle name="SAPBEXaggDataEmph 3 2 4" xfId="6335"/>
    <cellStyle name="SAPBEXaggDataEmph 3 2 4 2" xfId="11377"/>
    <cellStyle name="SAPBEXaggDataEmph 3 2 4 3" xfId="11378"/>
    <cellStyle name="SAPBEXaggDataEmph 3 2 4 4" xfId="11376"/>
    <cellStyle name="SAPBEXaggDataEmph 3 2 5" xfId="6822"/>
    <cellStyle name="SAPBEXaggDataEmph 3 2 5 2" xfId="11380"/>
    <cellStyle name="SAPBEXaggDataEmph 3 2 5 3" xfId="11381"/>
    <cellStyle name="SAPBEXaggDataEmph 3 2 5 4" xfId="11379"/>
    <cellStyle name="SAPBEXaggDataEmph 3 2 6" xfId="7305"/>
    <cellStyle name="SAPBEXaggDataEmph 3 2 6 2" xfId="11383"/>
    <cellStyle name="SAPBEXaggDataEmph 3 2 6 3" xfId="11384"/>
    <cellStyle name="SAPBEXaggDataEmph 3 2 6 4" xfId="11382"/>
    <cellStyle name="SAPBEXaggDataEmph 3 2 7" xfId="8374"/>
    <cellStyle name="SAPBEXaggDataEmph 3 2 7 2" xfId="11386"/>
    <cellStyle name="SAPBEXaggDataEmph 3 2 7 3" xfId="11387"/>
    <cellStyle name="SAPBEXaggDataEmph 3 2 7 4" xfId="11385"/>
    <cellStyle name="SAPBEXaggDataEmph 3 2 8" xfId="8875"/>
    <cellStyle name="SAPBEXaggDataEmph 3 2 8 2" xfId="11389"/>
    <cellStyle name="SAPBEXaggDataEmph 3 2 8 3" xfId="11390"/>
    <cellStyle name="SAPBEXaggDataEmph 3 2 8 4" xfId="11388"/>
    <cellStyle name="SAPBEXaggDataEmph 3 2 9" xfId="9369"/>
    <cellStyle name="SAPBEXaggDataEmph 3 2 9 2" xfId="11392"/>
    <cellStyle name="SAPBEXaggDataEmph 3 2 9 3" xfId="11393"/>
    <cellStyle name="SAPBEXaggDataEmph 3 2 9 4" xfId="11391"/>
    <cellStyle name="SAPBEXaggDataEmph 3 2_planning-WP" xfId="11394"/>
    <cellStyle name="SAPBEXaggDataEmph 3 3" xfId="4509"/>
    <cellStyle name="SAPBEXaggDataEmph 3 3 10" xfId="11396"/>
    <cellStyle name="SAPBEXaggDataEmph 3 3 11" xfId="11395"/>
    <cellStyle name="SAPBEXaggDataEmph 3 3 2" xfId="11397"/>
    <cellStyle name="SAPBEXaggDataEmph 3 3 2 2" xfId="11398"/>
    <cellStyle name="SAPBEXaggDataEmph 3 3 2 3" xfId="11399"/>
    <cellStyle name="SAPBEXaggDataEmph 3 3 3" xfId="11400"/>
    <cellStyle name="SAPBEXaggDataEmph 3 3 3 2" xfId="11401"/>
    <cellStyle name="SAPBEXaggDataEmph 3 3 3 3" xfId="11402"/>
    <cellStyle name="SAPBEXaggDataEmph 3 3 4" xfId="11403"/>
    <cellStyle name="SAPBEXaggDataEmph 3 3 4 2" xfId="11404"/>
    <cellStyle name="SAPBEXaggDataEmph 3 3 4 3" xfId="11405"/>
    <cellStyle name="SAPBEXaggDataEmph 3 3 5" xfId="11406"/>
    <cellStyle name="SAPBEXaggDataEmph 3 3 5 2" xfId="11407"/>
    <cellStyle name="SAPBEXaggDataEmph 3 3 5 3" xfId="11408"/>
    <cellStyle name="SAPBEXaggDataEmph 3 3 6" xfId="11409"/>
    <cellStyle name="SAPBEXaggDataEmph 3 3 6 2" xfId="11410"/>
    <cellStyle name="SAPBEXaggDataEmph 3 3 6 3" xfId="11411"/>
    <cellStyle name="SAPBEXaggDataEmph 3 3 7" xfId="11412"/>
    <cellStyle name="SAPBEXaggDataEmph 3 3 7 2" xfId="11413"/>
    <cellStyle name="SAPBEXaggDataEmph 3 3 7 3" xfId="11414"/>
    <cellStyle name="SAPBEXaggDataEmph 3 3 8" xfId="11415"/>
    <cellStyle name="SAPBEXaggDataEmph 3 3 8 2" xfId="11416"/>
    <cellStyle name="SAPBEXaggDataEmph 3 3 8 3" xfId="11417"/>
    <cellStyle name="SAPBEXaggDataEmph 3 3 9" xfId="11418"/>
    <cellStyle name="SAPBEXaggDataEmph 3 3 9 2" xfId="11419"/>
    <cellStyle name="SAPBEXaggDataEmph 3 3 9 3" xfId="11420"/>
    <cellStyle name="SAPBEXaggDataEmph 3 3_planning-WP" xfId="11421"/>
    <cellStyle name="SAPBEXaggDataEmph 3 4" xfId="5501"/>
    <cellStyle name="SAPBEXaggDataEmph 3 4 10" xfId="11422"/>
    <cellStyle name="SAPBEXaggDataEmph 3 4 2" xfId="11423"/>
    <cellStyle name="SAPBEXaggDataEmph 3 4 2 2" xfId="11424"/>
    <cellStyle name="SAPBEXaggDataEmph 3 4 2 3" xfId="11425"/>
    <cellStyle name="SAPBEXaggDataEmph 3 4 3" xfId="11426"/>
    <cellStyle name="SAPBEXaggDataEmph 3 4 3 2" xfId="11427"/>
    <cellStyle name="SAPBEXaggDataEmph 3 4 3 3" xfId="11428"/>
    <cellStyle name="SAPBEXaggDataEmph 3 4 4" xfId="11429"/>
    <cellStyle name="SAPBEXaggDataEmph 3 4 4 2" xfId="11430"/>
    <cellStyle name="SAPBEXaggDataEmph 3 4 4 3" xfId="11431"/>
    <cellStyle name="SAPBEXaggDataEmph 3 4 5" xfId="11432"/>
    <cellStyle name="SAPBEXaggDataEmph 3 4 5 2" xfId="11433"/>
    <cellStyle name="SAPBEXaggDataEmph 3 4 5 3" xfId="11434"/>
    <cellStyle name="SAPBEXaggDataEmph 3 4 6" xfId="11435"/>
    <cellStyle name="SAPBEXaggDataEmph 3 4 6 2" xfId="11436"/>
    <cellStyle name="SAPBEXaggDataEmph 3 4 6 3" xfId="11437"/>
    <cellStyle name="SAPBEXaggDataEmph 3 4 7" xfId="11438"/>
    <cellStyle name="SAPBEXaggDataEmph 3 4 7 2" xfId="11439"/>
    <cellStyle name="SAPBEXaggDataEmph 3 4 7 3" xfId="11440"/>
    <cellStyle name="SAPBEXaggDataEmph 3 4 8" xfId="11441"/>
    <cellStyle name="SAPBEXaggDataEmph 3 4 8 2" xfId="11442"/>
    <cellStyle name="SAPBEXaggDataEmph 3 4 8 3" xfId="11443"/>
    <cellStyle name="SAPBEXaggDataEmph 3 4 9" xfId="11444"/>
    <cellStyle name="SAPBEXaggDataEmph 3 4_planning-WP" xfId="11445"/>
    <cellStyle name="SAPBEXaggDataEmph 3 5" xfId="3325"/>
    <cellStyle name="SAPBEXaggDataEmph 3 5 2" xfId="11447"/>
    <cellStyle name="SAPBEXaggDataEmph 3 5 3" xfId="11446"/>
    <cellStyle name="SAPBEXaggDataEmph 3 6" xfId="5055"/>
    <cellStyle name="SAPBEXaggDataEmph 3 6 2" xfId="11449"/>
    <cellStyle name="SAPBEXaggDataEmph 3 6 3" xfId="11450"/>
    <cellStyle name="SAPBEXaggDataEmph 3 6 4" xfId="11448"/>
    <cellStyle name="SAPBEXaggDataEmph 3 7" xfId="5232"/>
    <cellStyle name="SAPBEXaggDataEmph 3 7 2" xfId="11452"/>
    <cellStyle name="SAPBEXaggDataEmph 3 7 3" xfId="11453"/>
    <cellStyle name="SAPBEXaggDataEmph 3 7 4" xfId="11451"/>
    <cellStyle name="SAPBEXaggDataEmph 3 8" xfId="8049"/>
    <cellStyle name="SAPBEXaggDataEmph 3 8 2" xfId="11455"/>
    <cellStyle name="SAPBEXaggDataEmph 3 8 3" xfId="11456"/>
    <cellStyle name="SAPBEXaggDataEmph 3 8 4" xfId="11454"/>
    <cellStyle name="SAPBEXaggDataEmph 3 9" xfId="7499"/>
    <cellStyle name="SAPBEXaggDataEmph 3 9 2" xfId="11458"/>
    <cellStyle name="SAPBEXaggDataEmph 3 9 3" xfId="11459"/>
    <cellStyle name="SAPBEXaggDataEmph 3 9 4" xfId="11457"/>
    <cellStyle name="SAPBEXaggDataEmph 3_planning-WP" xfId="11460"/>
    <cellStyle name="SAPBEXaggDataEmph 4" xfId="1701"/>
    <cellStyle name="SAPBEXaggDataEmph 4 10" xfId="9158"/>
    <cellStyle name="SAPBEXaggDataEmph 4 10 2" xfId="11463"/>
    <cellStyle name="SAPBEXaggDataEmph 4 10 3" xfId="11464"/>
    <cellStyle name="SAPBEXaggDataEmph 4 10 4" xfId="11462"/>
    <cellStyle name="SAPBEXaggDataEmph 4 11" xfId="11465"/>
    <cellStyle name="SAPBEXaggDataEmph 4 11 2" xfId="11466"/>
    <cellStyle name="SAPBEXaggDataEmph 4 11 3" xfId="11467"/>
    <cellStyle name="SAPBEXaggDataEmph 4 12" xfId="11468"/>
    <cellStyle name="SAPBEXaggDataEmph 4 12 2" xfId="11469"/>
    <cellStyle name="SAPBEXaggDataEmph 4 12 3" xfId="11470"/>
    <cellStyle name="SAPBEXaggDataEmph 4 13" xfId="11461"/>
    <cellStyle name="SAPBEXaggDataEmph 4 14" xfId="9897"/>
    <cellStyle name="SAPBEXaggDataEmph 4 15" xfId="38842"/>
    <cellStyle name="SAPBEXaggDataEmph 4 16" xfId="39260"/>
    <cellStyle name="SAPBEXaggDataEmph 4 2" xfId="2033"/>
    <cellStyle name="SAPBEXaggDataEmph 4 2 10" xfId="11472"/>
    <cellStyle name="SAPBEXaggDataEmph 4 2 10 2" xfId="11473"/>
    <cellStyle name="SAPBEXaggDataEmph 4 2 10 3" xfId="11474"/>
    <cellStyle name="SAPBEXaggDataEmph 4 2 11" xfId="11475"/>
    <cellStyle name="SAPBEXaggDataEmph 4 2 12" xfId="11471"/>
    <cellStyle name="SAPBEXaggDataEmph 4 2 13" xfId="10210"/>
    <cellStyle name="SAPBEXaggDataEmph 4 2 14" xfId="38843"/>
    <cellStyle name="SAPBEXaggDataEmph 4 2 15" xfId="39261"/>
    <cellStyle name="SAPBEXaggDataEmph 4 2 2" xfId="4950"/>
    <cellStyle name="SAPBEXaggDataEmph 4 2 2 10" xfId="11477"/>
    <cellStyle name="SAPBEXaggDataEmph 4 2 2 11" xfId="11476"/>
    <cellStyle name="SAPBEXaggDataEmph 4 2 2 2" xfId="11478"/>
    <cellStyle name="SAPBEXaggDataEmph 4 2 2 2 2" xfId="11479"/>
    <cellStyle name="SAPBEXaggDataEmph 4 2 2 2 3" xfId="11480"/>
    <cellStyle name="SAPBEXaggDataEmph 4 2 2 3" xfId="11481"/>
    <cellStyle name="SAPBEXaggDataEmph 4 2 2 3 2" xfId="11482"/>
    <cellStyle name="SAPBEXaggDataEmph 4 2 2 3 3" xfId="11483"/>
    <cellStyle name="SAPBEXaggDataEmph 4 2 2 4" xfId="11484"/>
    <cellStyle name="SAPBEXaggDataEmph 4 2 2 4 2" xfId="11485"/>
    <cellStyle name="SAPBEXaggDataEmph 4 2 2 4 3" xfId="11486"/>
    <cellStyle name="SAPBEXaggDataEmph 4 2 2 5" xfId="11487"/>
    <cellStyle name="SAPBEXaggDataEmph 4 2 2 5 2" xfId="11488"/>
    <cellStyle name="SAPBEXaggDataEmph 4 2 2 5 3" xfId="11489"/>
    <cellStyle name="SAPBEXaggDataEmph 4 2 2 6" xfId="11490"/>
    <cellStyle name="SAPBEXaggDataEmph 4 2 2 6 2" xfId="11491"/>
    <cellStyle name="SAPBEXaggDataEmph 4 2 2 6 3" xfId="11492"/>
    <cellStyle name="SAPBEXaggDataEmph 4 2 2 7" xfId="11493"/>
    <cellStyle name="SAPBEXaggDataEmph 4 2 2 7 2" xfId="11494"/>
    <cellStyle name="SAPBEXaggDataEmph 4 2 2 7 3" xfId="11495"/>
    <cellStyle name="SAPBEXaggDataEmph 4 2 2 8" xfId="11496"/>
    <cellStyle name="SAPBEXaggDataEmph 4 2 2 8 2" xfId="11497"/>
    <cellStyle name="SAPBEXaggDataEmph 4 2 2 8 3" xfId="11498"/>
    <cellStyle name="SAPBEXaggDataEmph 4 2 2 9" xfId="11499"/>
    <cellStyle name="SAPBEXaggDataEmph 4 2 2 9 2" xfId="11500"/>
    <cellStyle name="SAPBEXaggDataEmph 4 2 2 9 3" xfId="11501"/>
    <cellStyle name="SAPBEXaggDataEmph 4 2 2_planning-WP" xfId="11502"/>
    <cellStyle name="SAPBEXaggDataEmph 4 2 3" xfId="5929"/>
    <cellStyle name="SAPBEXaggDataEmph 4 2 3 2" xfId="11504"/>
    <cellStyle name="SAPBEXaggDataEmph 4 2 3 3" xfId="11505"/>
    <cellStyle name="SAPBEXaggDataEmph 4 2 3 4" xfId="11503"/>
    <cellStyle name="SAPBEXaggDataEmph 4 2 4" xfId="6437"/>
    <cellStyle name="SAPBEXaggDataEmph 4 2 4 2" xfId="11507"/>
    <cellStyle name="SAPBEXaggDataEmph 4 2 4 3" xfId="11508"/>
    <cellStyle name="SAPBEXaggDataEmph 4 2 4 4" xfId="11506"/>
    <cellStyle name="SAPBEXaggDataEmph 4 2 5" xfId="6924"/>
    <cellStyle name="SAPBEXaggDataEmph 4 2 5 2" xfId="11510"/>
    <cellStyle name="SAPBEXaggDataEmph 4 2 5 3" xfId="11511"/>
    <cellStyle name="SAPBEXaggDataEmph 4 2 5 4" xfId="11509"/>
    <cellStyle name="SAPBEXaggDataEmph 4 2 6" xfId="7407"/>
    <cellStyle name="SAPBEXaggDataEmph 4 2 6 2" xfId="11513"/>
    <cellStyle name="SAPBEXaggDataEmph 4 2 6 3" xfId="11514"/>
    <cellStyle name="SAPBEXaggDataEmph 4 2 6 4" xfId="11512"/>
    <cellStyle name="SAPBEXaggDataEmph 4 2 7" xfId="8476"/>
    <cellStyle name="SAPBEXaggDataEmph 4 2 7 2" xfId="11516"/>
    <cellStyle name="SAPBEXaggDataEmph 4 2 7 3" xfId="11517"/>
    <cellStyle name="SAPBEXaggDataEmph 4 2 7 4" xfId="11515"/>
    <cellStyle name="SAPBEXaggDataEmph 4 2 8" xfId="8977"/>
    <cellStyle name="SAPBEXaggDataEmph 4 2 8 2" xfId="11519"/>
    <cellStyle name="SAPBEXaggDataEmph 4 2 8 3" xfId="11520"/>
    <cellStyle name="SAPBEXaggDataEmph 4 2 8 4" xfId="11518"/>
    <cellStyle name="SAPBEXaggDataEmph 4 2 9" xfId="9471"/>
    <cellStyle name="SAPBEXaggDataEmph 4 2 9 2" xfId="11522"/>
    <cellStyle name="SAPBEXaggDataEmph 4 2 9 3" xfId="11523"/>
    <cellStyle name="SAPBEXaggDataEmph 4 2 9 4" xfId="11521"/>
    <cellStyle name="SAPBEXaggDataEmph 4 2_planning-WP" xfId="11524"/>
    <cellStyle name="SAPBEXaggDataEmph 4 3" xfId="4623"/>
    <cellStyle name="SAPBEXaggDataEmph 4 3 10" xfId="11526"/>
    <cellStyle name="SAPBEXaggDataEmph 4 3 11" xfId="11525"/>
    <cellStyle name="SAPBEXaggDataEmph 4 3 2" xfId="11527"/>
    <cellStyle name="SAPBEXaggDataEmph 4 3 2 2" xfId="11528"/>
    <cellStyle name="SAPBEXaggDataEmph 4 3 2 3" xfId="11529"/>
    <cellStyle name="SAPBEXaggDataEmph 4 3 3" xfId="11530"/>
    <cellStyle name="SAPBEXaggDataEmph 4 3 3 2" xfId="11531"/>
    <cellStyle name="SAPBEXaggDataEmph 4 3 3 3" xfId="11532"/>
    <cellStyle name="SAPBEXaggDataEmph 4 3 4" xfId="11533"/>
    <cellStyle name="SAPBEXaggDataEmph 4 3 4 2" xfId="11534"/>
    <cellStyle name="SAPBEXaggDataEmph 4 3 4 3" xfId="11535"/>
    <cellStyle name="SAPBEXaggDataEmph 4 3 5" xfId="11536"/>
    <cellStyle name="SAPBEXaggDataEmph 4 3 5 2" xfId="11537"/>
    <cellStyle name="SAPBEXaggDataEmph 4 3 5 3" xfId="11538"/>
    <cellStyle name="SAPBEXaggDataEmph 4 3 6" xfId="11539"/>
    <cellStyle name="SAPBEXaggDataEmph 4 3 6 2" xfId="11540"/>
    <cellStyle name="SAPBEXaggDataEmph 4 3 6 3" xfId="11541"/>
    <cellStyle name="SAPBEXaggDataEmph 4 3 7" xfId="11542"/>
    <cellStyle name="SAPBEXaggDataEmph 4 3 7 2" xfId="11543"/>
    <cellStyle name="SAPBEXaggDataEmph 4 3 7 3" xfId="11544"/>
    <cellStyle name="SAPBEXaggDataEmph 4 3 8" xfId="11545"/>
    <cellStyle name="SAPBEXaggDataEmph 4 3 8 2" xfId="11546"/>
    <cellStyle name="SAPBEXaggDataEmph 4 3 8 3" xfId="11547"/>
    <cellStyle name="SAPBEXaggDataEmph 4 3 9" xfId="11548"/>
    <cellStyle name="SAPBEXaggDataEmph 4 3 9 2" xfId="11549"/>
    <cellStyle name="SAPBEXaggDataEmph 4 3 9 3" xfId="11550"/>
    <cellStyle name="SAPBEXaggDataEmph 4 3_planning-WP" xfId="11551"/>
    <cellStyle name="SAPBEXaggDataEmph 4 4" xfId="5615"/>
    <cellStyle name="SAPBEXaggDataEmph 4 4 10" xfId="11552"/>
    <cellStyle name="SAPBEXaggDataEmph 4 4 2" xfId="11553"/>
    <cellStyle name="SAPBEXaggDataEmph 4 4 2 2" xfId="11554"/>
    <cellStyle name="SAPBEXaggDataEmph 4 4 2 3" xfId="11555"/>
    <cellStyle name="SAPBEXaggDataEmph 4 4 3" xfId="11556"/>
    <cellStyle name="SAPBEXaggDataEmph 4 4 3 2" xfId="11557"/>
    <cellStyle name="SAPBEXaggDataEmph 4 4 3 3" xfId="11558"/>
    <cellStyle name="SAPBEXaggDataEmph 4 4 4" xfId="11559"/>
    <cellStyle name="SAPBEXaggDataEmph 4 4 4 2" xfId="11560"/>
    <cellStyle name="SAPBEXaggDataEmph 4 4 4 3" xfId="11561"/>
    <cellStyle name="SAPBEXaggDataEmph 4 4 5" xfId="11562"/>
    <cellStyle name="SAPBEXaggDataEmph 4 4 5 2" xfId="11563"/>
    <cellStyle name="SAPBEXaggDataEmph 4 4 5 3" xfId="11564"/>
    <cellStyle name="SAPBEXaggDataEmph 4 4 6" xfId="11565"/>
    <cellStyle name="SAPBEXaggDataEmph 4 4 6 2" xfId="11566"/>
    <cellStyle name="SAPBEXaggDataEmph 4 4 6 3" xfId="11567"/>
    <cellStyle name="SAPBEXaggDataEmph 4 4 7" xfId="11568"/>
    <cellStyle name="SAPBEXaggDataEmph 4 4 7 2" xfId="11569"/>
    <cellStyle name="SAPBEXaggDataEmph 4 4 7 3" xfId="11570"/>
    <cellStyle name="SAPBEXaggDataEmph 4 4 8" xfId="11571"/>
    <cellStyle name="SAPBEXaggDataEmph 4 4 8 2" xfId="11572"/>
    <cellStyle name="SAPBEXaggDataEmph 4 4 8 3" xfId="11573"/>
    <cellStyle name="SAPBEXaggDataEmph 4 4 9" xfId="11574"/>
    <cellStyle name="SAPBEXaggDataEmph 4 4_planning-WP" xfId="11575"/>
    <cellStyle name="SAPBEXaggDataEmph 4 5" xfId="6124"/>
    <cellStyle name="SAPBEXaggDataEmph 4 5 2" xfId="11577"/>
    <cellStyle name="SAPBEXaggDataEmph 4 5 3" xfId="11576"/>
    <cellStyle name="SAPBEXaggDataEmph 4 6" xfId="6611"/>
    <cellStyle name="SAPBEXaggDataEmph 4 6 2" xfId="11579"/>
    <cellStyle name="SAPBEXaggDataEmph 4 6 3" xfId="11580"/>
    <cellStyle name="SAPBEXaggDataEmph 4 6 4" xfId="11578"/>
    <cellStyle name="SAPBEXaggDataEmph 4 7" xfId="7094"/>
    <cellStyle name="SAPBEXaggDataEmph 4 7 2" xfId="11582"/>
    <cellStyle name="SAPBEXaggDataEmph 4 7 3" xfId="11583"/>
    <cellStyle name="SAPBEXaggDataEmph 4 7 4" xfId="11581"/>
    <cellStyle name="SAPBEXaggDataEmph 4 8" xfId="8163"/>
    <cellStyle name="SAPBEXaggDataEmph 4 8 2" xfId="11585"/>
    <cellStyle name="SAPBEXaggDataEmph 4 8 3" xfId="11586"/>
    <cellStyle name="SAPBEXaggDataEmph 4 8 4" xfId="11584"/>
    <cellStyle name="SAPBEXaggDataEmph 4 9" xfId="8664"/>
    <cellStyle name="SAPBEXaggDataEmph 4 9 2" xfId="11588"/>
    <cellStyle name="SAPBEXaggDataEmph 4 9 3" xfId="11589"/>
    <cellStyle name="SAPBEXaggDataEmph 4 9 4" xfId="11587"/>
    <cellStyle name="SAPBEXaggDataEmph 4_planning-WP" xfId="11590"/>
    <cellStyle name="SAPBEXaggDataEmph 5" xfId="1630"/>
    <cellStyle name="SAPBEXaggDataEmph 5 10" xfId="9088"/>
    <cellStyle name="SAPBEXaggDataEmph 5 10 2" xfId="11593"/>
    <cellStyle name="SAPBEXaggDataEmph 5 10 3" xfId="11594"/>
    <cellStyle name="SAPBEXaggDataEmph 5 10 4" xfId="11592"/>
    <cellStyle name="SAPBEXaggDataEmph 5 11" xfId="11595"/>
    <cellStyle name="SAPBEXaggDataEmph 5 11 2" xfId="11596"/>
    <cellStyle name="SAPBEXaggDataEmph 5 11 3" xfId="11597"/>
    <cellStyle name="SAPBEXaggDataEmph 5 12" xfId="11598"/>
    <cellStyle name="SAPBEXaggDataEmph 5 12 2" xfId="11599"/>
    <cellStyle name="SAPBEXaggDataEmph 5 12 3" xfId="11600"/>
    <cellStyle name="SAPBEXaggDataEmph 5 13" xfId="11591"/>
    <cellStyle name="SAPBEXaggDataEmph 5 14" xfId="9827"/>
    <cellStyle name="SAPBEXaggDataEmph 5 15" xfId="38844"/>
    <cellStyle name="SAPBEXaggDataEmph 5 16" xfId="39262"/>
    <cellStyle name="SAPBEXaggDataEmph 5 2" xfId="1967"/>
    <cellStyle name="SAPBEXaggDataEmph 5 2 10" xfId="11602"/>
    <cellStyle name="SAPBEXaggDataEmph 5 2 10 2" xfId="11603"/>
    <cellStyle name="SAPBEXaggDataEmph 5 2 10 3" xfId="11604"/>
    <cellStyle name="SAPBEXaggDataEmph 5 2 11" xfId="11605"/>
    <cellStyle name="SAPBEXaggDataEmph 5 2 12" xfId="11601"/>
    <cellStyle name="SAPBEXaggDataEmph 5 2 13" xfId="10145"/>
    <cellStyle name="SAPBEXaggDataEmph 5 2 2" xfId="4885"/>
    <cellStyle name="SAPBEXaggDataEmph 5 2 2 10" xfId="11607"/>
    <cellStyle name="SAPBEXaggDataEmph 5 2 2 11" xfId="11606"/>
    <cellStyle name="SAPBEXaggDataEmph 5 2 2 2" xfId="11608"/>
    <cellStyle name="SAPBEXaggDataEmph 5 2 2 2 2" xfId="11609"/>
    <cellStyle name="SAPBEXaggDataEmph 5 2 2 2 3" xfId="11610"/>
    <cellStyle name="SAPBEXaggDataEmph 5 2 2 3" xfId="11611"/>
    <cellStyle name="SAPBEXaggDataEmph 5 2 2 3 2" xfId="11612"/>
    <cellStyle name="SAPBEXaggDataEmph 5 2 2 3 3" xfId="11613"/>
    <cellStyle name="SAPBEXaggDataEmph 5 2 2 4" xfId="11614"/>
    <cellStyle name="SAPBEXaggDataEmph 5 2 2 4 2" xfId="11615"/>
    <cellStyle name="SAPBEXaggDataEmph 5 2 2 4 3" xfId="11616"/>
    <cellStyle name="SAPBEXaggDataEmph 5 2 2 5" xfId="11617"/>
    <cellStyle name="SAPBEXaggDataEmph 5 2 2 5 2" xfId="11618"/>
    <cellStyle name="SAPBEXaggDataEmph 5 2 2 5 3" xfId="11619"/>
    <cellStyle name="SAPBEXaggDataEmph 5 2 2 6" xfId="11620"/>
    <cellStyle name="SAPBEXaggDataEmph 5 2 2 6 2" xfId="11621"/>
    <cellStyle name="SAPBEXaggDataEmph 5 2 2 6 3" xfId="11622"/>
    <cellStyle name="SAPBEXaggDataEmph 5 2 2 7" xfId="11623"/>
    <cellStyle name="SAPBEXaggDataEmph 5 2 2 7 2" xfId="11624"/>
    <cellStyle name="SAPBEXaggDataEmph 5 2 2 7 3" xfId="11625"/>
    <cellStyle name="SAPBEXaggDataEmph 5 2 2 8" xfId="11626"/>
    <cellStyle name="SAPBEXaggDataEmph 5 2 2 8 2" xfId="11627"/>
    <cellStyle name="SAPBEXaggDataEmph 5 2 2 8 3" xfId="11628"/>
    <cellStyle name="SAPBEXaggDataEmph 5 2 2 9" xfId="11629"/>
    <cellStyle name="SAPBEXaggDataEmph 5 2 2 9 2" xfId="11630"/>
    <cellStyle name="SAPBEXaggDataEmph 5 2 2 9 3" xfId="11631"/>
    <cellStyle name="SAPBEXaggDataEmph 5 2 2_planning-WP" xfId="11632"/>
    <cellStyle name="SAPBEXaggDataEmph 5 2 3" xfId="5864"/>
    <cellStyle name="SAPBEXaggDataEmph 5 2 3 2" xfId="11634"/>
    <cellStyle name="SAPBEXaggDataEmph 5 2 3 3" xfId="11635"/>
    <cellStyle name="SAPBEXaggDataEmph 5 2 3 4" xfId="11633"/>
    <cellStyle name="SAPBEXaggDataEmph 5 2 4" xfId="6372"/>
    <cellStyle name="SAPBEXaggDataEmph 5 2 4 2" xfId="11637"/>
    <cellStyle name="SAPBEXaggDataEmph 5 2 4 3" xfId="11638"/>
    <cellStyle name="SAPBEXaggDataEmph 5 2 4 4" xfId="11636"/>
    <cellStyle name="SAPBEXaggDataEmph 5 2 5" xfId="6859"/>
    <cellStyle name="SAPBEXaggDataEmph 5 2 5 2" xfId="11640"/>
    <cellStyle name="SAPBEXaggDataEmph 5 2 5 3" xfId="11641"/>
    <cellStyle name="SAPBEXaggDataEmph 5 2 5 4" xfId="11639"/>
    <cellStyle name="SAPBEXaggDataEmph 5 2 6" xfId="7342"/>
    <cellStyle name="SAPBEXaggDataEmph 5 2 6 2" xfId="11643"/>
    <cellStyle name="SAPBEXaggDataEmph 5 2 6 3" xfId="11644"/>
    <cellStyle name="SAPBEXaggDataEmph 5 2 6 4" xfId="11642"/>
    <cellStyle name="SAPBEXaggDataEmph 5 2 7" xfId="8411"/>
    <cellStyle name="SAPBEXaggDataEmph 5 2 7 2" xfId="11646"/>
    <cellStyle name="SAPBEXaggDataEmph 5 2 7 3" xfId="11647"/>
    <cellStyle name="SAPBEXaggDataEmph 5 2 7 4" xfId="11645"/>
    <cellStyle name="SAPBEXaggDataEmph 5 2 8" xfId="8912"/>
    <cellStyle name="SAPBEXaggDataEmph 5 2 8 2" xfId="11649"/>
    <cellStyle name="SAPBEXaggDataEmph 5 2 8 3" xfId="11650"/>
    <cellStyle name="SAPBEXaggDataEmph 5 2 8 4" xfId="11648"/>
    <cellStyle name="SAPBEXaggDataEmph 5 2 9" xfId="9406"/>
    <cellStyle name="SAPBEXaggDataEmph 5 2 9 2" xfId="11652"/>
    <cellStyle name="SAPBEXaggDataEmph 5 2 9 3" xfId="11653"/>
    <cellStyle name="SAPBEXaggDataEmph 5 2 9 4" xfId="11651"/>
    <cellStyle name="SAPBEXaggDataEmph 5 2_planning-WP" xfId="11654"/>
    <cellStyle name="SAPBEXaggDataEmph 5 3" xfId="4553"/>
    <cellStyle name="SAPBEXaggDataEmph 5 3 10" xfId="11656"/>
    <cellStyle name="SAPBEXaggDataEmph 5 3 11" xfId="11655"/>
    <cellStyle name="SAPBEXaggDataEmph 5 3 2" xfId="11657"/>
    <cellStyle name="SAPBEXaggDataEmph 5 3 2 2" xfId="11658"/>
    <cellStyle name="SAPBEXaggDataEmph 5 3 2 3" xfId="11659"/>
    <cellStyle name="SAPBEXaggDataEmph 5 3 3" xfId="11660"/>
    <cellStyle name="SAPBEXaggDataEmph 5 3 3 2" xfId="11661"/>
    <cellStyle name="SAPBEXaggDataEmph 5 3 3 3" xfId="11662"/>
    <cellStyle name="SAPBEXaggDataEmph 5 3 4" xfId="11663"/>
    <cellStyle name="SAPBEXaggDataEmph 5 3 4 2" xfId="11664"/>
    <cellStyle name="SAPBEXaggDataEmph 5 3 4 3" xfId="11665"/>
    <cellStyle name="SAPBEXaggDataEmph 5 3 5" xfId="11666"/>
    <cellStyle name="SAPBEXaggDataEmph 5 3 5 2" xfId="11667"/>
    <cellStyle name="SAPBEXaggDataEmph 5 3 5 3" xfId="11668"/>
    <cellStyle name="SAPBEXaggDataEmph 5 3 6" xfId="11669"/>
    <cellStyle name="SAPBEXaggDataEmph 5 3 6 2" xfId="11670"/>
    <cellStyle name="SAPBEXaggDataEmph 5 3 6 3" xfId="11671"/>
    <cellStyle name="SAPBEXaggDataEmph 5 3 7" xfId="11672"/>
    <cellStyle name="SAPBEXaggDataEmph 5 3 7 2" xfId="11673"/>
    <cellStyle name="SAPBEXaggDataEmph 5 3 7 3" xfId="11674"/>
    <cellStyle name="SAPBEXaggDataEmph 5 3 8" xfId="11675"/>
    <cellStyle name="SAPBEXaggDataEmph 5 3 8 2" xfId="11676"/>
    <cellStyle name="SAPBEXaggDataEmph 5 3 8 3" xfId="11677"/>
    <cellStyle name="SAPBEXaggDataEmph 5 3 9" xfId="11678"/>
    <cellStyle name="SAPBEXaggDataEmph 5 3 9 2" xfId="11679"/>
    <cellStyle name="SAPBEXaggDataEmph 5 3 9 3" xfId="11680"/>
    <cellStyle name="SAPBEXaggDataEmph 5 3_planning-WP" xfId="11681"/>
    <cellStyle name="SAPBEXaggDataEmph 5 4" xfId="5545"/>
    <cellStyle name="SAPBEXaggDataEmph 5 4 10" xfId="11682"/>
    <cellStyle name="SAPBEXaggDataEmph 5 4 2" xfId="11683"/>
    <cellStyle name="SAPBEXaggDataEmph 5 4 2 2" xfId="11684"/>
    <cellStyle name="SAPBEXaggDataEmph 5 4 2 3" xfId="11685"/>
    <cellStyle name="SAPBEXaggDataEmph 5 4 3" xfId="11686"/>
    <cellStyle name="SAPBEXaggDataEmph 5 4 3 2" xfId="11687"/>
    <cellStyle name="SAPBEXaggDataEmph 5 4 3 3" xfId="11688"/>
    <cellStyle name="SAPBEXaggDataEmph 5 4 4" xfId="11689"/>
    <cellStyle name="SAPBEXaggDataEmph 5 4 4 2" xfId="11690"/>
    <cellStyle name="SAPBEXaggDataEmph 5 4 4 3" xfId="11691"/>
    <cellStyle name="SAPBEXaggDataEmph 5 4 5" xfId="11692"/>
    <cellStyle name="SAPBEXaggDataEmph 5 4 5 2" xfId="11693"/>
    <cellStyle name="SAPBEXaggDataEmph 5 4 5 3" xfId="11694"/>
    <cellStyle name="SAPBEXaggDataEmph 5 4 6" xfId="11695"/>
    <cellStyle name="SAPBEXaggDataEmph 5 4 6 2" xfId="11696"/>
    <cellStyle name="SAPBEXaggDataEmph 5 4 6 3" xfId="11697"/>
    <cellStyle name="SAPBEXaggDataEmph 5 4 7" xfId="11698"/>
    <cellStyle name="SAPBEXaggDataEmph 5 4 7 2" xfId="11699"/>
    <cellStyle name="SAPBEXaggDataEmph 5 4 7 3" xfId="11700"/>
    <cellStyle name="SAPBEXaggDataEmph 5 4 8" xfId="11701"/>
    <cellStyle name="SAPBEXaggDataEmph 5 4 8 2" xfId="11702"/>
    <cellStyle name="SAPBEXaggDataEmph 5 4 8 3" xfId="11703"/>
    <cellStyle name="SAPBEXaggDataEmph 5 4 9" xfId="11704"/>
    <cellStyle name="SAPBEXaggDataEmph 5 4_planning-WP" xfId="11705"/>
    <cellStyle name="SAPBEXaggDataEmph 5 5" xfId="6054"/>
    <cellStyle name="SAPBEXaggDataEmph 5 5 2" xfId="11707"/>
    <cellStyle name="SAPBEXaggDataEmph 5 5 3" xfId="11706"/>
    <cellStyle name="SAPBEXaggDataEmph 5 6" xfId="6541"/>
    <cellStyle name="SAPBEXaggDataEmph 5 6 2" xfId="11709"/>
    <cellStyle name="SAPBEXaggDataEmph 5 6 3" xfId="11710"/>
    <cellStyle name="SAPBEXaggDataEmph 5 6 4" xfId="11708"/>
    <cellStyle name="SAPBEXaggDataEmph 5 7" xfId="7024"/>
    <cellStyle name="SAPBEXaggDataEmph 5 7 2" xfId="11712"/>
    <cellStyle name="SAPBEXaggDataEmph 5 7 3" xfId="11713"/>
    <cellStyle name="SAPBEXaggDataEmph 5 7 4" xfId="11711"/>
    <cellStyle name="SAPBEXaggDataEmph 5 8" xfId="8093"/>
    <cellStyle name="SAPBEXaggDataEmph 5 8 2" xfId="11715"/>
    <cellStyle name="SAPBEXaggDataEmph 5 8 3" xfId="11716"/>
    <cellStyle name="SAPBEXaggDataEmph 5 8 4" xfId="11714"/>
    <cellStyle name="SAPBEXaggDataEmph 5 9" xfId="8594"/>
    <cellStyle name="SAPBEXaggDataEmph 5 9 2" xfId="11718"/>
    <cellStyle name="SAPBEXaggDataEmph 5 9 3" xfId="11719"/>
    <cellStyle name="SAPBEXaggDataEmph 5 9 4" xfId="11717"/>
    <cellStyle name="SAPBEXaggDataEmph 5_planning-WP" xfId="11720"/>
    <cellStyle name="SAPBEXaggDataEmph 6" xfId="1731"/>
    <cellStyle name="SAPBEXaggDataEmph 6 10" xfId="9186"/>
    <cellStyle name="SAPBEXaggDataEmph 6 10 2" xfId="11723"/>
    <cellStyle name="SAPBEXaggDataEmph 6 10 3" xfId="11724"/>
    <cellStyle name="SAPBEXaggDataEmph 6 10 4" xfId="11722"/>
    <cellStyle name="SAPBEXaggDataEmph 6 11" xfId="11725"/>
    <cellStyle name="SAPBEXaggDataEmph 6 11 2" xfId="11726"/>
    <cellStyle name="SAPBEXaggDataEmph 6 11 3" xfId="11727"/>
    <cellStyle name="SAPBEXaggDataEmph 6 12" xfId="11721"/>
    <cellStyle name="SAPBEXaggDataEmph 6 13" xfId="9925"/>
    <cellStyle name="SAPBEXaggDataEmph 6 14" xfId="38845"/>
    <cellStyle name="SAPBEXaggDataEmph 6 15" xfId="39263"/>
    <cellStyle name="SAPBEXaggDataEmph 6 2" xfId="2061"/>
    <cellStyle name="SAPBEXaggDataEmph 6 2 10" xfId="11729"/>
    <cellStyle name="SAPBEXaggDataEmph 6 2 11" xfId="11728"/>
    <cellStyle name="SAPBEXaggDataEmph 6 2 12" xfId="10236"/>
    <cellStyle name="SAPBEXaggDataEmph 6 2 2" xfId="4976"/>
    <cellStyle name="SAPBEXaggDataEmph 6 2 2 2" xfId="11731"/>
    <cellStyle name="SAPBEXaggDataEmph 6 2 2 3" xfId="11732"/>
    <cellStyle name="SAPBEXaggDataEmph 6 2 2 4" xfId="11730"/>
    <cellStyle name="SAPBEXaggDataEmph 6 2 3" xfId="5955"/>
    <cellStyle name="SAPBEXaggDataEmph 6 2 3 2" xfId="11734"/>
    <cellStyle name="SAPBEXaggDataEmph 6 2 3 3" xfId="11735"/>
    <cellStyle name="SAPBEXaggDataEmph 6 2 3 4" xfId="11733"/>
    <cellStyle name="SAPBEXaggDataEmph 6 2 4" xfId="6463"/>
    <cellStyle name="SAPBEXaggDataEmph 6 2 4 2" xfId="11737"/>
    <cellStyle name="SAPBEXaggDataEmph 6 2 4 3" xfId="11738"/>
    <cellStyle name="SAPBEXaggDataEmph 6 2 4 4" xfId="11736"/>
    <cellStyle name="SAPBEXaggDataEmph 6 2 5" xfId="6950"/>
    <cellStyle name="SAPBEXaggDataEmph 6 2 5 2" xfId="11740"/>
    <cellStyle name="SAPBEXaggDataEmph 6 2 5 3" xfId="11741"/>
    <cellStyle name="SAPBEXaggDataEmph 6 2 5 4" xfId="11739"/>
    <cellStyle name="SAPBEXaggDataEmph 6 2 6" xfId="7433"/>
    <cellStyle name="SAPBEXaggDataEmph 6 2 6 2" xfId="11743"/>
    <cellStyle name="SAPBEXaggDataEmph 6 2 6 3" xfId="11744"/>
    <cellStyle name="SAPBEXaggDataEmph 6 2 6 4" xfId="11742"/>
    <cellStyle name="SAPBEXaggDataEmph 6 2 7" xfId="8502"/>
    <cellStyle name="SAPBEXaggDataEmph 6 2 7 2" xfId="11746"/>
    <cellStyle name="SAPBEXaggDataEmph 6 2 7 3" xfId="11747"/>
    <cellStyle name="SAPBEXaggDataEmph 6 2 7 4" xfId="11745"/>
    <cellStyle name="SAPBEXaggDataEmph 6 2 8" xfId="9003"/>
    <cellStyle name="SAPBEXaggDataEmph 6 2 8 2" xfId="11749"/>
    <cellStyle name="SAPBEXaggDataEmph 6 2 8 3" xfId="11750"/>
    <cellStyle name="SAPBEXaggDataEmph 6 2 8 4" xfId="11748"/>
    <cellStyle name="SAPBEXaggDataEmph 6 2 9" xfId="9497"/>
    <cellStyle name="SAPBEXaggDataEmph 6 2 9 2" xfId="11752"/>
    <cellStyle name="SAPBEXaggDataEmph 6 2 9 3" xfId="11753"/>
    <cellStyle name="SAPBEXaggDataEmph 6 2 9 4" xfId="11751"/>
    <cellStyle name="SAPBEXaggDataEmph 6 2_planning-WP" xfId="11754"/>
    <cellStyle name="SAPBEXaggDataEmph 6 3" xfId="4652"/>
    <cellStyle name="SAPBEXaggDataEmph 6 3 10" xfId="11755"/>
    <cellStyle name="SAPBEXaggDataEmph 6 3 2" xfId="11756"/>
    <cellStyle name="SAPBEXaggDataEmph 6 3 2 2" xfId="11757"/>
    <cellStyle name="SAPBEXaggDataEmph 6 3 2 3" xfId="11758"/>
    <cellStyle name="SAPBEXaggDataEmph 6 3 3" xfId="11759"/>
    <cellStyle name="SAPBEXaggDataEmph 6 3 3 2" xfId="11760"/>
    <cellStyle name="SAPBEXaggDataEmph 6 3 3 3" xfId="11761"/>
    <cellStyle name="SAPBEXaggDataEmph 6 3 4" xfId="11762"/>
    <cellStyle name="SAPBEXaggDataEmph 6 3 4 2" xfId="11763"/>
    <cellStyle name="SAPBEXaggDataEmph 6 3 4 3" xfId="11764"/>
    <cellStyle name="SAPBEXaggDataEmph 6 3 5" xfId="11765"/>
    <cellStyle name="SAPBEXaggDataEmph 6 3 5 2" xfId="11766"/>
    <cellStyle name="SAPBEXaggDataEmph 6 3 5 3" xfId="11767"/>
    <cellStyle name="SAPBEXaggDataEmph 6 3 6" xfId="11768"/>
    <cellStyle name="SAPBEXaggDataEmph 6 3 6 2" xfId="11769"/>
    <cellStyle name="SAPBEXaggDataEmph 6 3 6 3" xfId="11770"/>
    <cellStyle name="SAPBEXaggDataEmph 6 3 7" xfId="11771"/>
    <cellStyle name="SAPBEXaggDataEmph 6 3 7 2" xfId="11772"/>
    <cellStyle name="SAPBEXaggDataEmph 6 3 7 3" xfId="11773"/>
    <cellStyle name="SAPBEXaggDataEmph 6 3 8" xfId="11774"/>
    <cellStyle name="SAPBEXaggDataEmph 6 3 8 2" xfId="11775"/>
    <cellStyle name="SAPBEXaggDataEmph 6 3 8 3" xfId="11776"/>
    <cellStyle name="SAPBEXaggDataEmph 6 3 9" xfId="11777"/>
    <cellStyle name="SAPBEXaggDataEmph 6 3_planning-WP" xfId="11778"/>
    <cellStyle name="SAPBEXaggDataEmph 6 4" xfId="5643"/>
    <cellStyle name="SAPBEXaggDataEmph 6 4 2" xfId="11780"/>
    <cellStyle name="SAPBEXaggDataEmph 6 4 3" xfId="11779"/>
    <cellStyle name="SAPBEXaggDataEmph 6 5" xfId="6152"/>
    <cellStyle name="SAPBEXaggDataEmph 6 5 2" xfId="11782"/>
    <cellStyle name="SAPBEXaggDataEmph 6 5 3" xfId="11783"/>
    <cellStyle name="SAPBEXaggDataEmph 6 5 4" xfId="11781"/>
    <cellStyle name="SAPBEXaggDataEmph 6 6" xfId="6639"/>
    <cellStyle name="SAPBEXaggDataEmph 6 6 2" xfId="11785"/>
    <cellStyle name="SAPBEXaggDataEmph 6 6 3" xfId="11786"/>
    <cellStyle name="SAPBEXaggDataEmph 6 6 4" xfId="11784"/>
    <cellStyle name="SAPBEXaggDataEmph 6 7" xfId="7122"/>
    <cellStyle name="SAPBEXaggDataEmph 6 7 2" xfId="11788"/>
    <cellStyle name="SAPBEXaggDataEmph 6 7 3" xfId="11789"/>
    <cellStyle name="SAPBEXaggDataEmph 6 7 4" xfId="11787"/>
    <cellStyle name="SAPBEXaggDataEmph 6 8" xfId="8191"/>
    <cellStyle name="SAPBEXaggDataEmph 6 8 2" xfId="11791"/>
    <cellStyle name="SAPBEXaggDataEmph 6 8 3" xfId="11792"/>
    <cellStyle name="SAPBEXaggDataEmph 6 8 4" xfId="11790"/>
    <cellStyle name="SAPBEXaggDataEmph 6 9" xfId="8692"/>
    <cellStyle name="SAPBEXaggDataEmph 6 9 2" xfId="11794"/>
    <cellStyle name="SAPBEXaggDataEmph 6 9 3" xfId="11795"/>
    <cellStyle name="SAPBEXaggDataEmph 6 9 4" xfId="11793"/>
    <cellStyle name="SAPBEXaggDataEmph 6_planning-WP" xfId="11796"/>
    <cellStyle name="SAPBEXaggDataEmph 7" xfId="1666"/>
    <cellStyle name="SAPBEXaggDataEmph 7 10" xfId="9124"/>
    <cellStyle name="SAPBEXaggDataEmph 7 10 2" xfId="11799"/>
    <cellStyle name="SAPBEXaggDataEmph 7 10 3" xfId="11800"/>
    <cellStyle name="SAPBEXaggDataEmph 7 10 4" xfId="11798"/>
    <cellStyle name="SAPBEXaggDataEmph 7 11" xfId="11801"/>
    <cellStyle name="SAPBEXaggDataEmph 7 12" xfId="11797"/>
    <cellStyle name="SAPBEXaggDataEmph 7 13" xfId="9863"/>
    <cellStyle name="SAPBEXaggDataEmph 7 14" xfId="38846"/>
    <cellStyle name="SAPBEXaggDataEmph 7 15" xfId="39264"/>
    <cellStyle name="SAPBEXaggDataEmph 7 2" xfId="2000"/>
    <cellStyle name="SAPBEXaggDataEmph 7 2 10" xfId="11803"/>
    <cellStyle name="SAPBEXaggDataEmph 7 2 11" xfId="11802"/>
    <cellStyle name="SAPBEXaggDataEmph 7 2 12" xfId="10178"/>
    <cellStyle name="SAPBEXaggDataEmph 7 2 2" xfId="4918"/>
    <cellStyle name="SAPBEXaggDataEmph 7 2 2 2" xfId="11805"/>
    <cellStyle name="SAPBEXaggDataEmph 7 2 2 3" xfId="11806"/>
    <cellStyle name="SAPBEXaggDataEmph 7 2 2 4" xfId="11804"/>
    <cellStyle name="SAPBEXaggDataEmph 7 2 3" xfId="5897"/>
    <cellStyle name="SAPBEXaggDataEmph 7 2 3 2" xfId="11808"/>
    <cellStyle name="SAPBEXaggDataEmph 7 2 3 3" xfId="11809"/>
    <cellStyle name="SAPBEXaggDataEmph 7 2 3 4" xfId="11807"/>
    <cellStyle name="SAPBEXaggDataEmph 7 2 4" xfId="6405"/>
    <cellStyle name="SAPBEXaggDataEmph 7 2 4 2" xfId="11811"/>
    <cellStyle name="SAPBEXaggDataEmph 7 2 4 3" xfId="11812"/>
    <cellStyle name="SAPBEXaggDataEmph 7 2 4 4" xfId="11810"/>
    <cellStyle name="SAPBEXaggDataEmph 7 2 5" xfId="6892"/>
    <cellStyle name="SAPBEXaggDataEmph 7 2 5 2" xfId="11814"/>
    <cellStyle name="SAPBEXaggDataEmph 7 2 5 3" xfId="11815"/>
    <cellStyle name="SAPBEXaggDataEmph 7 2 5 4" xfId="11813"/>
    <cellStyle name="SAPBEXaggDataEmph 7 2 6" xfId="7375"/>
    <cellStyle name="SAPBEXaggDataEmph 7 2 6 2" xfId="11817"/>
    <cellStyle name="SAPBEXaggDataEmph 7 2 6 3" xfId="11818"/>
    <cellStyle name="SAPBEXaggDataEmph 7 2 6 4" xfId="11816"/>
    <cellStyle name="SAPBEXaggDataEmph 7 2 7" xfId="8444"/>
    <cellStyle name="SAPBEXaggDataEmph 7 2 7 2" xfId="11820"/>
    <cellStyle name="SAPBEXaggDataEmph 7 2 7 3" xfId="11821"/>
    <cellStyle name="SAPBEXaggDataEmph 7 2 7 4" xfId="11819"/>
    <cellStyle name="SAPBEXaggDataEmph 7 2 8" xfId="8945"/>
    <cellStyle name="SAPBEXaggDataEmph 7 2 8 2" xfId="11823"/>
    <cellStyle name="SAPBEXaggDataEmph 7 2 8 3" xfId="11824"/>
    <cellStyle name="SAPBEXaggDataEmph 7 2 8 4" xfId="11822"/>
    <cellStyle name="SAPBEXaggDataEmph 7 2 9" xfId="9439"/>
    <cellStyle name="SAPBEXaggDataEmph 7 2 9 2" xfId="11826"/>
    <cellStyle name="SAPBEXaggDataEmph 7 2 9 3" xfId="11827"/>
    <cellStyle name="SAPBEXaggDataEmph 7 2 9 4" xfId="11825"/>
    <cellStyle name="SAPBEXaggDataEmph 7 2_planning-WP" xfId="11828"/>
    <cellStyle name="SAPBEXaggDataEmph 7 3" xfId="4589"/>
    <cellStyle name="SAPBEXaggDataEmph 7 3 2" xfId="11830"/>
    <cellStyle name="SAPBEXaggDataEmph 7 3 3" xfId="11831"/>
    <cellStyle name="SAPBEXaggDataEmph 7 3 4" xfId="11829"/>
    <cellStyle name="SAPBEXaggDataEmph 7 4" xfId="5581"/>
    <cellStyle name="SAPBEXaggDataEmph 7 4 2" xfId="11833"/>
    <cellStyle name="SAPBEXaggDataEmph 7 4 3" xfId="11834"/>
    <cellStyle name="SAPBEXaggDataEmph 7 4 4" xfId="11832"/>
    <cellStyle name="SAPBEXaggDataEmph 7 5" xfId="6090"/>
    <cellStyle name="SAPBEXaggDataEmph 7 5 2" xfId="11836"/>
    <cellStyle name="SAPBEXaggDataEmph 7 5 3" xfId="11837"/>
    <cellStyle name="SAPBEXaggDataEmph 7 5 4" xfId="11835"/>
    <cellStyle name="SAPBEXaggDataEmph 7 6" xfId="6577"/>
    <cellStyle name="SAPBEXaggDataEmph 7 6 2" xfId="11839"/>
    <cellStyle name="SAPBEXaggDataEmph 7 6 3" xfId="11840"/>
    <cellStyle name="SAPBEXaggDataEmph 7 6 4" xfId="11838"/>
    <cellStyle name="SAPBEXaggDataEmph 7 7" xfId="7060"/>
    <cellStyle name="SAPBEXaggDataEmph 7 7 2" xfId="11842"/>
    <cellStyle name="SAPBEXaggDataEmph 7 7 3" xfId="11843"/>
    <cellStyle name="SAPBEXaggDataEmph 7 7 4" xfId="11841"/>
    <cellStyle name="SAPBEXaggDataEmph 7 8" xfId="8129"/>
    <cellStyle name="SAPBEXaggDataEmph 7 8 2" xfId="11845"/>
    <cellStyle name="SAPBEXaggDataEmph 7 8 3" xfId="11846"/>
    <cellStyle name="SAPBEXaggDataEmph 7 8 4" xfId="11844"/>
    <cellStyle name="SAPBEXaggDataEmph 7 9" xfId="8630"/>
    <cellStyle name="SAPBEXaggDataEmph 7 9 2" xfId="11848"/>
    <cellStyle name="SAPBEXaggDataEmph 7 9 3" xfId="11849"/>
    <cellStyle name="SAPBEXaggDataEmph 7 9 4" xfId="11847"/>
    <cellStyle name="SAPBEXaggDataEmph 7_planning-WP" xfId="11850"/>
    <cellStyle name="SAPBEXaggDataEmph 8" xfId="1812"/>
    <cellStyle name="SAPBEXaggDataEmph 8 10" xfId="11852"/>
    <cellStyle name="SAPBEXaggDataEmph 8 11" xfId="11851"/>
    <cellStyle name="SAPBEXaggDataEmph 8 12" xfId="9997"/>
    <cellStyle name="SAPBEXaggDataEmph 8 2" xfId="4730"/>
    <cellStyle name="SAPBEXaggDataEmph 8 2 2" xfId="11854"/>
    <cellStyle name="SAPBEXaggDataEmph 8 2 3" xfId="11855"/>
    <cellStyle name="SAPBEXaggDataEmph 8 2 4" xfId="11853"/>
    <cellStyle name="SAPBEXaggDataEmph 8 3" xfId="5715"/>
    <cellStyle name="SAPBEXaggDataEmph 8 3 2" xfId="11857"/>
    <cellStyle name="SAPBEXaggDataEmph 8 3 3" xfId="11858"/>
    <cellStyle name="SAPBEXaggDataEmph 8 3 4" xfId="11856"/>
    <cellStyle name="SAPBEXaggDataEmph 8 4" xfId="6224"/>
    <cellStyle name="SAPBEXaggDataEmph 8 4 2" xfId="11860"/>
    <cellStyle name="SAPBEXaggDataEmph 8 4 3" xfId="11861"/>
    <cellStyle name="SAPBEXaggDataEmph 8 4 4" xfId="11859"/>
    <cellStyle name="SAPBEXaggDataEmph 8 5" xfId="6711"/>
    <cellStyle name="SAPBEXaggDataEmph 8 5 2" xfId="11863"/>
    <cellStyle name="SAPBEXaggDataEmph 8 5 3" xfId="11864"/>
    <cellStyle name="SAPBEXaggDataEmph 8 5 4" xfId="11862"/>
    <cellStyle name="SAPBEXaggDataEmph 8 6" xfId="7194"/>
    <cellStyle name="SAPBEXaggDataEmph 8 6 2" xfId="11866"/>
    <cellStyle name="SAPBEXaggDataEmph 8 6 3" xfId="11867"/>
    <cellStyle name="SAPBEXaggDataEmph 8 6 4" xfId="11865"/>
    <cellStyle name="SAPBEXaggDataEmph 8 7" xfId="8263"/>
    <cellStyle name="SAPBEXaggDataEmph 8 7 2" xfId="11869"/>
    <cellStyle name="SAPBEXaggDataEmph 8 7 3" xfId="11870"/>
    <cellStyle name="SAPBEXaggDataEmph 8 7 4" xfId="11868"/>
    <cellStyle name="SAPBEXaggDataEmph 8 8" xfId="8764"/>
    <cellStyle name="SAPBEXaggDataEmph 8 8 2" xfId="11872"/>
    <cellStyle name="SAPBEXaggDataEmph 8 8 3" xfId="11873"/>
    <cellStyle name="SAPBEXaggDataEmph 8 8 4" xfId="11871"/>
    <cellStyle name="SAPBEXaggDataEmph 8 9" xfId="9258"/>
    <cellStyle name="SAPBEXaggDataEmph 8 9 2" xfId="11875"/>
    <cellStyle name="SAPBEXaggDataEmph 8 9 3" xfId="11876"/>
    <cellStyle name="SAPBEXaggDataEmph 8 9 4" xfId="11874"/>
    <cellStyle name="SAPBEXaggDataEmph 8_planning-WP" xfId="11877"/>
    <cellStyle name="SAPBEXaggDataEmph 9" xfId="1425"/>
    <cellStyle name="SAPBEXaggDataEmph 9 10" xfId="11878"/>
    <cellStyle name="SAPBEXaggDataEmph 9 11" xfId="9623"/>
    <cellStyle name="SAPBEXaggDataEmph 9 2" xfId="4348"/>
    <cellStyle name="SAPBEXaggDataEmph 9 2 2" xfId="11880"/>
    <cellStyle name="SAPBEXaggDataEmph 9 2 3" xfId="11881"/>
    <cellStyle name="SAPBEXaggDataEmph 9 2 4" xfId="11879"/>
    <cellStyle name="SAPBEXaggDataEmph 9 3" xfId="5341"/>
    <cellStyle name="SAPBEXaggDataEmph 9 3 2" xfId="11883"/>
    <cellStyle name="SAPBEXaggDataEmph 9 3 3" xfId="11884"/>
    <cellStyle name="SAPBEXaggDataEmph 9 3 4" xfId="11882"/>
    <cellStyle name="SAPBEXaggDataEmph 9 4" xfId="5162"/>
    <cellStyle name="SAPBEXaggDataEmph 9 4 2" xfId="11886"/>
    <cellStyle name="SAPBEXaggDataEmph 9 4 3" xfId="11887"/>
    <cellStyle name="SAPBEXaggDataEmph 9 4 4" xfId="11885"/>
    <cellStyle name="SAPBEXaggDataEmph 9 5" xfId="5275"/>
    <cellStyle name="SAPBEXaggDataEmph 9 5 2" xfId="11889"/>
    <cellStyle name="SAPBEXaggDataEmph 9 5 3" xfId="11890"/>
    <cellStyle name="SAPBEXaggDataEmph 9 5 4" xfId="11888"/>
    <cellStyle name="SAPBEXaggDataEmph 9 6" xfId="3182"/>
    <cellStyle name="SAPBEXaggDataEmph 9 6 2" xfId="11892"/>
    <cellStyle name="SAPBEXaggDataEmph 9 6 3" xfId="11893"/>
    <cellStyle name="SAPBEXaggDataEmph 9 6 4" xfId="11891"/>
    <cellStyle name="SAPBEXaggDataEmph 9 7" xfId="7889"/>
    <cellStyle name="SAPBEXaggDataEmph 9 7 2" xfId="11895"/>
    <cellStyle name="SAPBEXaggDataEmph 9 7 3" xfId="11896"/>
    <cellStyle name="SAPBEXaggDataEmph 9 7 4" xfId="11894"/>
    <cellStyle name="SAPBEXaggDataEmph 9 8" xfId="7794"/>
    <cellStyle name="SAPBEXaggDataEmph 9 8 2" xfId="11898"/>
    <cellStyle name="SAPBEXaggDataEmph 9 8 3" xfId="11899"/>
    <cellStyle name="SAPBEXaggDataEmph 9 8 4" xfId="11897"/>
    <cellStyle name="SAPBEXaggDataEmph 9 9" xfId="7828"/>
    <cellStyle name="SAPBEXaggDataEmph 9 9 2" xfId="11900"/>
    <cellStyle name="SAPBEXaggDataEmph 9_planning-WP" xfId="11901"/>
    <cellStyle name="SAPBEXaggDataEmph_19.RessDest CUC CS SEE+SEM 1009" xfId="38847"/>
    <cellStyle name="SAPBEXaggItem" xfId="271"/>
    <cellStyle name="SAPBEXaggItem 10" xfId="11903"/>
    <cellStyle name="SAPBEXaggItem 10 2" xfId="11904"/>
    <cellStyle name="SAPBEXaggItem 11" xfId="11905"/>
    <cellStyle name="SAPBEXaggItem 11 2" xfId="11906"/>
    <cellStyle name="SAPBEXaggItem 11 3" xfId="11907"/>
    <cellStyle name="SAPBEXaggItem 12" xfId="11908"/>
    <cellStyle name="SAPBEXaggItem 12 2" xfId="11909"/>
    <cellStyle name="SAPBEXaggItem 12 3" xfId="11910"/>
    <cellStyle name="SAPBEXaggItem 13" xfId="11911"/>
    <cellStyle name="SAPBEXaggItem 13 2" xfId="11912"/>
    <cellStyle name="SAPBEXaggItem 13 3" xfId="11913"/>
    <cellStyle name="SAPBEXaggItem 14" xfId="11914"/>
    <cellStyle name="SAPBEXaggItem 14 2" xfId="11915"/>
    <cellStyle name="SAPBEXaggItem 14 3" xfId="11916"/>
    <cellStyle name="SAPBEXaggItem 15" xfId="11917"/>
    <cellStyle name="SAPBEXaggItem 15 2" xfId="11918"/>
    <cellStyle name="SAPBEXaggItem 15 3" xfId="11919"/>
    <cellStyle name="SAPBEXaggItem 16" xfId="11920"/>
    <cellStyle name="SAPBEXaggItem 16 2" xfId="11921"/>
    <cellStyle name="SAPBEXaggItem 16 3" xfId="11922"/>
    <cellStyle name="SAPBEXaggItem 17" xfId="11923"/>
    <cellStyle name="SAPBEXaggItem 17 2" xfId="11924"/>
    <cellStyle name="SAPBEXaggItem 17 3" xfId="11925"/>
    <cellStyle name="SAPBEXaggItem 18" xfId="11926"/>
    <cellStyle name="SAPBEXaggItem 19" xfId="11902"/>
    <cellStyle name="SAPBEXaggItem 2" xfId="889"/>
    <cellStyle name="SAPBEXaggItem 2 10" xfId="11928"/>
    <cellStyle name="SAPBEXaggItem 2 10 2" xfId="11929"/>
    <cellStyle name="SAPBEXaggItem 2 10 3" xfId="11930"/>
    <cellStyle name="SAPBEXaggItem 2 11" xfId="11931"/>
    <cellStyle name="SAPBEXaggItem 2 11 2" xfId="11932"/>
    <cellStyle name="SAPBEXaggItem 2 11 3" xfId="11933"/>
    <cellStyle name="SAPBEXaggItem 2 12" xfId="11934"/>
    <cellStyle name="SAPBEXaggItem 2 12 2" xfId="11935"/>
    <cellStyle name="SAPBEXaggItem 2 12 3" xfId="11936"/>
    <cellStyle name="SAPBEXaggItem 2 13" xfId="11937"/>
    <cellStyle name="SAPBEXaggItem 2 14" xfId="11927"/>
    <cellStyle name="SAPBEXaggItem 2 15" xfId="9573"/>
    <cellStyle name="SAPBEXaggItem 2 16" xfId="38849"/>
    <cellStyle name="SAPBEXaggItem 2 17" xfId="39266"/>
    <cellStyle name="SAPBEXaggItem 2 2" xfId="1952"/>
    <cellStyle name="SAPBEXaggItem 2 2 10" xfId="11939"/>
    <cellStyle name="SAPBEXaggItem 2 2 10 2" xfId="11940"/>
    <cellStyle name="SAPBEXaggItem 2 2 10 3" xfId="11941"/>
    <cellStyle name="SAPBEXaggItem 2 2 11" xfId="11942"/>
    <cellStyle name="SAPBEXaggItem 2 2 12" xfId="11938"/>
    <cellStyle name="SAPBEXaggItem 2 2 13" xfId="10130"/>
    <cellStyle name="SAPBEXaggItem 2 2 2" xfId="4870"/>
    <cellStyle name="SAPBEXaggItem 2 2 2 10" xfId="11944"/>
    <cellStyle name="SAPBEXaggItem 2 2 2 11" xfId="11943"/>
    <cellStyle name="SAPBEXaggItem 2 2 2 2" xfId="11945"/>
    <cellStyle name="SAPBEXaggItem 2 2 2 2 2" xfId="11946"/>
    <cellStyle name="SAPBEXaggItem 2 2 2 2 3" xfId="11947"/>
    <cellStyle name="SAPBEXaggItem 2 2 2 3" xfId="11948"/>
    <cellStyle name="SAPBEXaggItem 2 2 2 3 2" xfId="11949"/>
    <cellStyle name="SAPBEXaggItem 2 2 2 3 3" xfId="11950"/>
    <cellStyle name="SAPBEXaggItem 2 2 2 4" xfId="11951"/>
    <cellStyle name="SAPBEXaggItem 2 2 2 4 2" xfId="11952"/>
    <cellStyle name="SAPBEXaggItem 2 2 2 4 3" xfId="11953"/>
    <cellStyle name="SAPBEXaggItem 2 2 2 5" xfId="11954"/>
    <cellStyle name="SAPBEXaggItem 2 2 2 5 2" xfId="11955"/>
    <cellStyle name="SAPBEXaggItem 2 2 2 5 3" xfId="11956"/>
    <cellStyle name="SAPBEXaggItem 2 2 2 6" xfId="11957"/>
    <cellStyle name="SAPBEXaggItem 2 2 2 6 2" xfId="11958"/>
    <cellStyle name="SAPBEXaggItem 2 2 2 6 3" xfId="11959"/>
    <cellStyle name="SAPBEXaggItem 2 2 2 7" xfId="11960"/>
    <cellStyle name="SAPBEXaggItem 2 2 2 7 2" xfId="11961"/>
    <cellStyle name="SAPBEXaggItem 2 2 2 7 3" xfId="11962"/>
    <cellStyle name="SAPBEXaggItem 2 2 2 8" xfId="11963"/>
    <cellStyle name="SAPBEXaggItem 2 2 2 8 2" xfId="11964"/>
    <cellStyle name="SAPBEXaggItem 2 2 2 8 3" xfId="11965"/>
    <cellStyle name="SAPBEXaggItem 2 2 2 9" xfId="11966"/>
    <cellStyle name="SAPBEXaggItem 2 2 2 9 2" xfId="11967"/>
    <cellStyle name="SAPBEXaggItem 2 2 2 9 3" xfId="11968"/>
    <cellStyle name="SAPBEXaggItem 2 2 2_planning-WP" xfId="11969"/>
    <cellStyle name="SAPBEXaggItem 2 2 3" xfId="5849"/>
    <cellStyle name="SAPBEXaggItem 2 2 3 2" xfId="11971"/>
    <cellStyle name="SAPBEXaggItem 2 2 3 3" xfId="11972"/>
    <cellStyle name="SAPBEXaggItem 2 2 3 4" xfId="11970"/>
    <cellStyle name="SAPBEXaggItem 2 2 4" xfId="6357"/>
    <cellStyle name="SAPBEXaggItem 2 2 4 2" xfId="11974"/>
    <cellStyle name="SAPBEXaggItem 2 2 4 3" xfId="11975"/>
    <cellStyle name="SAPBEXaggItem 2 2 4 4" xfId="11973"/>
    <cellStyle name="SAPBEXaggItem 2 2 5" xfId="6844"/>
    <cellStyle name="SAPBEXaggItem 2 2 5 2" xfId="11977"/>
    <cellStyle name="SAPBEXaggItem 2 2 5 3" xfId="11978"/>
    <cellStyle name="SAPBEXaggItem 2 2 5 4" xfId="11976"/>
    <cellStyle name="SAPBEXaggItem 2 2 6" xfId="7327"/>
    <cellStyle name="SAPBEXaggItem 2 2 6 2" xfId="11980"/>
    <cellStyle name="SAPBEXaggItem 2 2 6 3" xfId="11981"/>
    <cellStyle name="SAPBEXaggItem 2 2 6 4" xfId="11979"/>
    <cellStyle name="SAPBEXaggItem 2 2 7" xfId="8396"/>
    <cellStyle name="SAPBEXaggItem 2 2 7 2" xfId="11983"/>
    <cellStyle name="SAPBEXaggItem 2 2 7 3" xfId="11984"/>
    <cellStyle name="SAPBEXaggItem 2 2 7 4" xfId="11982"/>
    <cellStyle name="SAPBEXaggItem 2 2 8" xfId="8897"/>
    <cellStyle name="SAPBEXaggItem 2 2 8 2" xfId="11986"/>
    <cellStyle name="SAPBEXaggItem 2 2 8 3" xfId="11987"/>
    <cellStyle name="SAPBEXaggItem 2 2 8 4" xfId="11985"/>
    <cellStyle name="SAPBEXaggItem 2 2 9" xfId="9391"/>
    <cellStyle name="SAPBEXaggItem 2 2 9 2" xfId="11989"/>
    <cellStyle name="SAPBEXaggItem 2 2 9 3" xfId="11990"/>
    <cellStyle name="SAPBEXaggItem 2 2 9 4" xfId="11988"/>
    <cellStyle name="SAPBEXaggItem 2 2_planning-WP" xfId="11991"/>
    <cellStyle name="SAPBEXaggItem 2 3" xfId="1614"/>
    <cellStyle name="SAPBEXaggItem 2 3 10" xfId="11993"/>
    <cellStyle name="SAPBEXaggItem 2 3 11" xfId="11992"/>
    <cellStyle name="SAPBEXaggItem 2 3 12" xfId="9811"/>
    <cellStyle name="SAPBEXaggItem 2 3 2" xfId="4537"/>
    <cellStyle name="SAPBEXaggItem 2 3 2 2" xfId="11995"/>
    <cellStyle name="SAPBEXaggItem 2 3 2 3" xfId="11996"/>
    <cellStyle name="SAPBEXaggItem 2 3 2 4" xfId="11994"/>
    <cellStyle name="SAPBEXaggItem 2 3 3" xfId="5529"/>
    <cellStyle name="SAPBEXaggItem 2 3 3 2" xfId="11998"/>
    <cellStyle name="SAPBEXaggItem 2 3 3 3" xfId="11999"/>
    <cellStyle name="SAPBEXaggItem 2 3 3 4" xfId="11997"/>
    <cellStyle name="SAPBEXaggItem 2 3 4" xfId="6038"/>
    <cellStyle name="SAPBEXaggItem 2 3 4 2" xfId="12001"/>
    <cellStyle name="SAPBEXaggItem 2 3 4 3" xfId="12002"/>
    <cellStyle name="SAPBEXaggItem 2 3 4 4" xfId="12000"/>
    <cellStyle name="SAPBEXaggItem 2 3 5" xfId="6525"/>
    <cellStyle name="SAPBEXaggItem 2 3 5 2" xfId="12004"/>
    <cellStyle name="SAPBEXaggItem 2 3 5 3" xfId="12005"/>
    <cellStyle name="SAPBEXaggItem 2 3 5 4" xfId="12003"/>
    <cellStyle name="SAPBEXaggItem 2 3 6" xfId="7008"/>
    <cellStyle name="SAPBEXaggItem 2 3 6 2" xfId="12007"/>
    <cellStyle name="SAPBEXaggItem 2 3 6 3" xfId="12008"/>
    <cellStyle name="SAPBEXaggItem 2 3 6 4" xfId="12006"/>
    <cellStyle name="SAPBEXaggItem 2 3 7" xfId="8077"/>
    <cellStyle name="SAPBEXaggItem 2 3 7 2" xfId="12010"/>
    <cellStyle name="SAPBEXaggItem 2 3 7 3" xfId="12011"/>
    <cellStyle name="SAPBEXaggItem 2 3 7 4" xfId="12009"/>
    <cellStyle name="SAPBEXaggItem 2 3 8" xfId="8578"/>
    <cellStyle name="SAPBEXaggItem 2 3 8 2" xfId="12013"/>
    <cellStyle name="SAPBEXaggItem 2 3 8 3" xfId="12014"/>
    <cellStyle name="SAPBEXaggItem 2 3 8 4" xfId="12012"/>
    <cellStyle name="SAPBEXaggItem 2 3 9" xfId="9072"/>
    <cellStyle name="SAPBEXaggItem 2 3 9 2" xfId="12016"/>
    <cellStyle name="SAPBEXaggItem 2 3 9 3" xfId="12017"/>
    <cellStyle name="SAPBEXaggItem 2 3 9 4" xfId="12015"/>
    <cellStyle name="SAPBEXaggItem 2 3_planning-WP" xfId="12018"/>
    <cellStyle name="SAPBEXaggItem 2 4" xfId="12019"/>
    <cellStyle name="SAPBEXaggItem 2 4 2" xfId="12020"/>
    <cellStyle name="SAPBEXaggItem 2 4 2 2" xfId="12021"/>
    <cellStyle name="SAPBEXaggItem 2 4 2 3" xfId="12022"/>
    <cellStyle name="SAPBEXaggItem 2 4 3" xfId="12023"/>
    <cellStyle name="SAPBEXaggItem 2 4 3 2" xfId="12024"/>
    <cellStyle name="SAPBEXaggItem 2 4 3 3" xfId="12025"/>
    <cellStyle name="SAPBEXaggItem 2 4 4" xfId="12026"/>
    <cellStyle name="SAPBEXaggItem 2 4 4 2" xfId="12027"/>
    <cellStyle name="SAPBEXaggItem 2 4 4 3" xfId="12028"/>
    <cellStyle name="SAPBEXaggItem 2 4 5" xfId="12029"/>
    <cellStyle name="SAPBEXaggItem 2 4 5 2" xfId="12030"/>
    <cellStyle name="SAPBEXaggItem 2 4 5 3" xfId="12031"/>
    <cellStyle name="SAPBEXaggItem 2 4 6" xfId="12032"/>
    <cellStyle name="SAPBEXaggItem 2 4 6 2" xfId="12033"/>
    <cellStyle name="SAPBEXaggItem 2 4 6 3" xfId="12034"/>
    <cellStyle name="SAPBEXaggItem 2 4 7" xfId="12035"/>
    <cellStyle name="SAPBEXaggItem 2 4 7 2" xfId="12036"/>
    <cellStyle name="SAPBEXaggItem 2 4 7 3" xfId="12037"/>
    <cellStyle name="SAPBEXaggItem 2 4 8" xfId="12038"/>
    <cellStyle name="SAPBEXaggItem 2 4 8 2" xfId="12039"/>
    <cellStyle name="SAPBEXaggItem 2 4 8 3" xfId="12040"/>
    <cellStyle name="SAPBEXaggItem 2 4 9" xfId="12041"/>
    <cellStyle name="SAPBEXaggItem 2 4_planning-WP" xfId="12042"/>
    <cellStyle name="SAPBEXaggItem 2 5" xfId="12043"/>
    <cellStyle name="SAPBEXaggItem 2 5 2" xfId="12044"/>
    <cellStyle name="SAPBEXaggItem 2 6" xfId="12045"/>
    <cellStyle name="SAPBEXaggItem 2 6 2" xfId="12046"/>
    <cellStyle name="SAPBEXaggItem 2 6 3" xfId="12047"/>
    <cellStyle name="SAPBEXaggItem 2 7" xfId="12048"/>
    <cellStyle name="SAPBEXaggItem 2 7 2" xfId="12049"/>
    <cellStyle name="SAPBEXaggItem 2 7 3" xfId="12050"/>
    <cellStyle name="SAPBEXaggItem 2 8" xfId="12051"/>
    <cellStyle name="SAPBEXaggItem 2 8 2" xfId="12052"/>
    <cellStyle name="SAPBEXaggItem 2 8 3" xfId="12053"/>
    <cellStyle name="SAPBEXaggItem 2 9" xfId="12054"/>
    <cellStyle name="SAPBEXaggItem 2 9 2" xfId="12055"/>
    <cellStyle name="SAPBEXaggItem 2 9 3" xfId="12056"/>
    <cellStyle name="SAPBEXaggItem 2_planning-WP" xfId="12057"/>
    <cellStyle name="SAPBEXaggItem 20" xfId="38848"/>
    <cellStyle name="SAPBEXaggItem 21" xfId="39265"/>
    <cellStyle name="SAPBEXaggItem 3" xfId="1458"/>
    <cellStyle name="SAPBEXaggItem 3 10" xfId="7779"/>
    <cellStyle name="SAPBEXaggItem 3 10 2" xfId="12060"/>
    <cellStyle name="SAPBEXaggItem 3 10 3" xfId="12061"/>
    <cellStyle name="SAPBEXaggItem 3 10 4" xfId="12059"/>
    <cellStyle name="SAPBEXaggItem 3 11" xfId="12062"/>
    <cellStyle name="SAPBEXaggItem 3 11 2" xfId="12063"/>
    <cellStyle name="SAPBEXaggItem 3 11 3" xfId="12064"/>
    <cellStyle name="SAPBEXaggItem 3 12" xfId="12065"/>
    <cellStyle name="SAPBEXaggItem 3 12 2" xfId="12066"/>
    <cellStyle name="SAPBEXaggItem 3 12 3" xfId="12067"/>
    <cellStyle name="SAPBEXaggItem 3 13" xfId="12068"/>
    <cellStyle name="SAPBEXaggItem 3 14" xfId="12058"/>
    <cellStyle name="SAPBEXaggItem 3 15" xfId="9655"/>
    <cellStyle name="SAPBEXaggItem 3 16" xfId="38850"/>
    <cellStyle name="SAPBEXaggItem 3 17" xfId="39267"/>
    <cellStyle name="SAPBEXaggItem 3 2" xfId="1820"/>
    <cellStyle name="SAPBEXaggItem 3 2 10" xfId="12070"/>
    <cellStyle name="SAPBEXaggItem 3 2 10 2" xfId="12071"/>
    <cellStyle name="SAPBEXaggItem 3 2 10 3" xfId="12072"/>
    <cellStyle name="SAPBEXaggItem 3 2 11" xfId="12073"/>
    <cellStyle name="SAPBEXaggItem 3 2 12" xfId="12069"/>
    <cellStyle name="SAPBEXaggItem 3 2 13" xfId="9998"/>
    <cellStyle name="SAPBEXaggItem 3 2 2" xfId="4738"/>
    <cellStyle name="SAPBEXaggItem 3 2 2 10" xfId="12075"/>
    <cellStyle name="SAPBEXaggItem 3 2 2 11" xfId="12074"/>
    <cellStyle name="SAPBEXaggItem 3 2 2 2" xfId="12076"/>
    <cellStyle name="SAPBEXaggItem 3 2 2 2 2" xfId="12077"/>
    <cellStyle name="SAPBEXaggItem 3 2 2 2 3" xfId="12078"/>
    <cellStyle name="SAPBEXaggItem 3 2 2 3" xfId="12079"/>
    <cellStyle name="SAPBEXaggItem 3 2 2 3 2" xfId="12080"/>
    <cellStyle name="SAPBEXaggItem 3 2 2 3 3" xfId="12081"/>
    <cellStyle name="SAPBEXaggItem 3 2 2 4" xfId="12082"/>
    <cellStyle name="SAPBEXaggItem 3 2 2 4 2" xfId="12083"/>
    <cellStyle name="SAPBEXaggItem 3 2 2 4 3" xfId="12084"/>
    <cellStyle name="SAPBEXaggItem 3 2 2 5" xfId="12085"/>
    <cellStyle name="SAPBEXaggItem 3 2 2 5 2" xfId="12086"/>
    <cellStyle name="SAPBEXaggItem 3 2 2 5 3" xfId="12087"/>
    <cellStyle name="SAPBEXaggItem 3 2 2 6" xfId="12088"/>
    <cellStyle name="SAPBEXaggItem 3 2 2 6 2" xfId="12089"/>
    <cellStyle name="SAPBEXaggItem 3 2 2 6 3" xfId="12090"/>
    <cellStyle name="SAPBEXaggItem 3 2 2 7" xfId="12091"/>
    <cellStyle name="SAPBEXaggItem 3 2 2 7 2" xfId="12092"/>
    <cellStyle name="SAPBEXaggItem 3 2 2 7 3" xfId="12093"/>
    <cellStyle name="SAPBEXaggItem 3 2 2 8" xfId="12094"/>
    <cellStyle name="SAPBEXaggItem 3 2 2 8 2" xfId="12095"/>
    <cellStyle name="SAPBEXaggItem 3 2 2 8 3" xfId="12096"/>
    <cellStyle name="SAPBEXaggItem 3 2 2 9" xfId="12097"/>
    <cellStyle name="SAPBEXaggItem 3 2 2 9 2" xfId="12098"/>
    <cellStyle name="SAPBEXaggItem 3 2 2 9 3" xfId="12099"/>
    <cellStyle name="SAPBEXaggItem 3 2 2_planning-WP" xfId="12100"/>
    <cellStyle name="SAPBEXaggItem 3 2 3" xfId="5717"/>
    <cellStyle name="SAPBEXaggItem 3 2 3 2" xfId="12102"/>
    <cellStyle name="SAPBEXaggItem 3 2 3 3" xfId="12103"/>
    <cellStyle name="SAPBEXaggItem 3 2 3 4" xfId="12101"/>
    <cellStyle name="SAPBEXaggItem 3 2 4" xfId="6225"/>
    <cellStyle name="SAPBEXaggItem 3 2 4 2" xfId="12105"/>
    <cellStyle name="SAPBEXaggItem 3 2 4 3" xfId="12106"/>
    <cellStyle name="SAPBEXaggItem 3 2 4 4" xfId="12104"/>
    <cellStyle name="SAPBEXaggItem 3 2 5" xfId="6712"/>
    <cellStyle name="SAPBEXaggItem 3 2 5 2" xfId="12108"/>
    <cellStyle name="SAPBEXaggItem 3 2 5 3" xfId="12109"/>
    <cellStyle name="SAPBEXaggItem 3 2 5 4" xfId="12107"/>
    <cellStyle name="SAPBEXaggItem 3 2 6" xfId="7195"/>
    <cellStyle name="SAPBEXaggItem 3 2 6 2" xfId="12111"/>
    <cellStyle name="SAPBEXaggItem 3 2 6 3" xfId="12112"/>
    <cellStyle name="SAPBEXaggItem 3 2 6 4" xfId="12110"/>
    <cellStyle name="SAPBEXaggItem 3 2 7" xfId="8264"/>
    <cellStyle name="SAPBEXaggItem 3 2 7 2" xfId="12114"/>
    <cellStyle name="SAPBEXaggItem 3 2 7 3" xfId="12115"/>
    <cellStyle name="SAPBEXaggItem 3 2 7 4" xfId="12113"/>
    <cellStyle name="SAPBEXaggItem 3 2 8" xfId="8765"/>
    <cellStyle name="SAPBEXaggItem 3 2 8 2" xfId="12117"/>
    <cellStyle name="SAPBEXaggItem 3 2 8 3" xfId="12118"/>
    <cellStyle name="SAPBEXaggItem 3 2 8 4" xfId="12116"/>
    <cellStyle name="SAPBEXaggItem 3 2 9" xfId="9259"/>
    <cellStyle name="SAPBEXaggItem 3 2 9 2" xfId="12120"/>
    <cellStyle name="SAPBEXaggItem 3 2 9 3" xfId="12121"/>
    <cellStyle name="SAPBEXaggItem 3 2 9 4" xfId="12119"/>
    <cellStyle name="SAPBEXaggItem 3 2_planning-WP" xfId="12122"/>
    <cellStyle name="SAPBEXaggItem 3 3" xfId="4381"/>
    <cellStyle name="SAPBEXaggItem 3 3 10" xfId="12124"/>
    <cellStyle name="SAPBEXaggItem 3 3 11" xfId="12123"/>
    <cellStyle name="SAPBEXaggItem 3 3 2" xfId="12125"/>
    <cellStyle name="SAPBEXaggItem 3 3 2 2" xfId="12126"/>
    <cellStyle name="SAPBEXaggItem 3 3 2 3" xfId="12127"/>
    <cellStyle name="SAPBEXaggItem 3 3 3" xfId="12128"/>
    <cellStyle name="SAPBEXaggItem 3 3 3 2" xfId="12129"/>
    <cellStyle name="SAPBEXaggItem 3 3 3 3" xfId="12130"/>
    <cellStyle name="SAPBEXaggItem 3 3 4" xfId="12131"/>
    <cellStyle name="SAPBEXaggItem 3 3 4 2" xfId="12132"/>
    <cellStyle name="SAPBEXaggItem 3 3 4 3" xfId="12133"/>
    <cellStyle name="SAPBEXaggItem 3 3 5" xfId="12134"/>
    <cellStyle name="SAPBEXaggItem 3 3 5 2" xfId="12135"/>
    <cellStyle name="SAPBEXaggItem 3 3 5 3" xfId="12136"/>
    <cellStyle name="SAPBEXaggItem 3 3 6" xfId="12137"/>
    <cellStyle name="SAPBEXaggItem 3 3 6 2" xfId="12138"/>
    <cellStyle name="SAPBEXaggItem 3 3 6 3" xfId="12139"/>
    <cellStyle name="SAPBEXaggItem 3 3 7" xfId="12140"/>
    <cellStyle name="SAPBEXaggItem 3 3 7 2" xfId="12141"/>
    <cellStyle name="SAPBEXaggItem 3 3 7 3" xfId="12142"/>
    <cellStyle name="SAPBEXaggItem 3 3 8" xfId="12143"/>
    <cellStyle name="SAPBEXaggItem 3 3 8 2" xfId="12144"/>
    <cellStyle name="SAPBEXaggItem 3 3 8 3" xfId="12145"/>
    <cellStyle name="SAPBEXaggItem 3 3 9" xfId="12146"/>
    <cellStyle name="SAPBEXaggItem 3 3 9 2" xfId="12147"/>
    <cellStyle name="SAPBEXaggItem 3 3 9 3" xfId="12148"/>
    <cellStyle name="SAPBEXaggItem 3 3_planning-WP" xfId="12149"/>
    <cellStyle name="SAPBEXaggItem 3 4" xfId="5373"/>
    <cellStyle name="SAPBEXaggItem 3 4 10" xfId="12150"/>
    <cellStyle name="SAPBEXaggItem 3 4 2" xfId="12151"/>
    <cellStyle name="SAPBEXaggItem 3 4 2 2" xfId="12152"/>
    <cellStyle name="SAPBEXaggItem 3 4 2 3" xfId="12153"/>
    <cellStyle name="SAPBEXaggItem 3 4 3" xfId="12154"/>
    <cellStyle name="SAPBEXaggItem 3 4 3 2" xfId="12155"/>
    <cellStyle name="SAPBEXaggItem 3 4 3 3" xfId="12156"/>
    <cellStyle name="SAPBEXaggItem 3 4 4" xfId="12157"/>
    <cellStyle name="SAPBEXaggItem 3 4 4 2" xfId="12158"/>
    <cellStyle name="SAPBEXaggItem 3 4 4 3" xfId="12159"/>
    <cellStyle name="SAPBEXaggItem 3 4 5" xfId="12160"/>
    <cellStyle name="SAPBEXaggItem 3 4 5 2" xfId="12161"/>
    <cellStyle name="SAPBEXaggItem 3 4 5 3" xfId="12162"/>
    <cellStyle name="SAPBEXaggItem 3 4 6" xfId="12163"/>
    <cellStyle name="SAPBEXaggItem 3 4 6 2" xfId="12164"/>
    <cellStyle name="SAPBEXaggItem 3 4 6 3" xfId="12165"/>
    <cellStyle name="SAPBEXaggItem 3 4 7" xfId="12166"/>
    <cellStyle name="SAPBEXaggItem 3 4 7 2" xfId="12167"/>
    <cellStyle name="SAPBEXaggItem 3 4 7 3" xfId="12168"/>
    <cellStyle name="SAPBEXaggItem 3 4 8" xfId="12169"/>
    <cellStyle name="SAPBEXaggItem 3 4 8 2" xfId="12170"/>
    <cellStyle name="SAPBEXaggItem 3 4 8 3" xfId="12171"/>
    <cellStyle name="SAPBEXaggItem 3 4 9" xfId="12172"/>
    <cellStyle name="SAPBEXaggItem 3 4_planning-WP" xfId="12173"/>
    <cellStyle name="SAPBEXaggItem 3 5" xfId="4319"/>
    <cellStyle name="SAPBEXaggItem 3 5 2" xfId="12175"/>
    <cellStyle name="SAPBEXaggItem 3 5 3" xfId="12174"/>
    <cellStyle name="SAPBEXaggItem 3 6" xfId="5303"/>
    <cellStyle name="SAPBEXaggItem 3 6 2" xfId="12177"/>
    <cellStyle name="SAPBEXaggItem 3 6 3" xfId="12178"/>
    <cellStyle name="SAPBEXaggItem 3 6 4" xfId="12176"/>
    <cellStyle name="SAPBEXaggItem 3 7" xfId="5278"/>
    <cellStyle name="SAPBEXaggItem 3 7 2" xfId="12180"/>
    <cellStyle name="SAPBEXaggItem 3 7 3" xfId="12181"/>
    <cellStyle name="SAPBEXaggItem 3 7 4" xfId="12179"/>
    <cellStyle name="SAPBEXaggItem 3 8" xfId="7921"/>
    <cellStyle name="SAPBEXaggItem 3 8 2" xfId="12183"/>
    <cellStyle name="SAPBEXaggItem 3 8 3" xfId="12184"/>
    <cellStyle name="SAPBEXaggItem 3 8 4" xfId="12182"/>
    <cellStyle name="SAPBEXaggItem 3 9" xfId="7625"/>
    <cellStyle name="SAPBEXaggItem 3 9 2" xfId="12186"/>
    <cellStyle name="SAPBEXaggItem 3 9 3" xfId="12187"/>
    <cellStyle name="SAPBEXaggItem 3 9 4" xfId="12185"/>
    <cellStyle name="SAPBEXaggItem 3_planning-WP" xfId="12188"/>
    <cellStyle name="SAPBEXaggItem 4" xfId="1702"/>
    <cellStyle name="SAPBEXaggItem 4 10" xfId="9159"/>
    <cellStyle name="SAPBEXaggItem 4 10 2" xfId="12191"/>
    <cellStyle name="SAPBEXaggItem 4 10 3" xfId="12192"/>
    <cellStyle name="SAPBEXaggItem 4 10 4" xfId="12190"/>
    <cellStyle name="SAPBEXaggItem 4 11" xfId="12193"/>
    <cellStyle name="SAPBEXaggItem 4 11 2" xfId="12194"/>
    <cellStyle name="SAPBEXaggItem 4 11 3" xfId="12195"/>
    <cellStyle name="SAPBEXaggItem 4 12" xfId="12196"/>
    <cellStyle name="SAPBEXaggItem 4 12 2" xfId="12197"/>
    <cellStyle name="SAPBEXaggItem 4 12 3" xfId="12198"/>
    <cellStyle name="SAPBEXaggItem 4 13" xfId="12199"/>
    <cellStyle name="SAPBEXaggItem 4 14" xfId="12189"/>
    <cellStyle name="SAPBEXaggItem 4 15" xfId="9898"/>
    <cellStyle name="SAPBEXaggItem 4 16" xfId="38851"/>
    <cellStyle name="SAPBEXaggItem 4 17" xfId="39268"/>
    <cellStyle name="SAPBEXaggItem 4 2" xfId="2034"/>
    <cellStyle name="SAPBEXaggItem 4 2 10" xfId="12201"/>
    <cellStyle name="SAPBEXaggItem 4 2 10 2" xfId="12202"/>
    <cellStyle name="SAPBEXaggItem 4 2 10 3" xfId="12203"/>
    <cellStyle name="SAPBEXaggItem 4 2 11" xfId="12204"/>
    <cellStyle name="SAPBEXaggItem 4 2 12" xfId="12200"/>
    <cellStyle name="SAPBEXaggItem 4 2 13" xfId="10211"/>
    <cellStyle name="SAPBEXaggItem 4 2 2" xfId="4951"/>
    <cellStyle name="SAPBEXaggItem 4 2 2 10" xfId="12206"/>
    <cellStyle name="SAPBEXaggItem 4 2 2 11" xfId="12205"/>
    <cellStyle name="SAPBEXaggItem 4 2 2 2" xfId="12207"/>
    <cellStyle name="SAPBEXaggItem 4 2 2 2 2" xfId="12208"/>
    <cellStyle name="SAPBEXaggItem 4 2 2 2 3" xfId="12209"/>
    <cellStyle name="SAPBEXaggItem 4 2 2 3" xfId="12210"/>
    <cellStyle name="SAPBEXaggItem 4 2 2 3 2" xfId="12211"/>
    <cellStyle name="SAPBEXaggItem 4 2 2 3 3" xfId="12212"/>
    <cellStyle name="SAPBEXaggItem 4 2 2 4" xfId="12213"/>
    <cellStyle name="SAPBEXaggItem 4 2 2 4 2" xfId="12214"/>
    <cellStyle name="SAPBEXaggItem 4 2 2 4 3" xfId="12215"/>
    <cellStyle name="SAPBEXaggItem 4 2 2 5" xfId="12216"/>
    <cellStyle name="SAPBEXaggItem 4 2 2 5 2" xfId="12217"/>
    <cellStyle name="SAPBEXaggItem 4 2 2 5 3" xfId="12218"/>
    <cellStyle name="SAPBEXaggItem 4 2 2 6" xfId="12219"/>
    <cellStyle name="SAPBEXaggItem 4 2 2 6 2" xfId="12220"/>
    <cellStyle name="SAPBEXaggItem 4 2 2 6 3" xfId="12221"/>
    <cellStyle name="SAPBEXaggItem 4 2 2 7" xfId="12222"/>
    <cellStyle name="SAPBEXaggItem 4 2 2 7 2" xfId="12223"/>
    <cellStyle name="SAPBEXaggItem 4 2 2 7 3" xfId="12224"/>
    <cellStyle name="SAPBEXaggItem 4 2 2 8" xfId="12225"/>
    <cellStyle name="SAPBEXaggItem 4 2 2 8 2" xfId="12226"/>
    <cellStyle name="SAPBEXaggItem 4 2 2 8 3" xfId="12227"/>
    <cellStyle name="SAPBEXaggItem 4 2 2 9" xfId="12228"/>
    <cellStyle name="SAPBEXaggItem 4 2 2 9 2" xfId="12229"/>
    <cellStyle name="SAPBEXaggItem 4 2 2 9 3" xfId="12230"/>
    <cellStyle name="SAPBEXaggItem 4 2 2_planning-WP" xfId="12231"/>
    <cellStyle name="SAPBEXaggItem 4 2 3" xfId="5930"/>
    <cellStyle name="SAPBEXaggItem 4 2 3 2" xfId="12233"/>
    <cellStyle name="SAPBEXaggItem 4 2 3 3" xfId="12234"/>
    <cellStyle name="SAPBEXaggItem 4 2 3 4" xfId="12232"/>
    <cellStyle name="SAPBEXaggItem 4 2 4" xfId="6438"/>
    <cellStyle name="SAPBEXaggItem 4 2 4 2" xfId="12236"/>
    <cellStyle name="SAPBEXaggItem 4 2 4 3" xfId="12237"/>
    <cellStyle name="SAPBEXaggItem 4 2 4 4" xfId="12235"/>
    <cellStyle name="SAPBEXaggItem 4 2 5" xfId="6925"/>
    <cellStyle name="SAPBEXaggItem 4 2 5 2" xfId="12239"/>
    <cellStyle name="SAPBEXaggItem 4 2 5 3" xfId="12240"/>
    <cellStyle name="SAPBEXaggItem 4 2 5 4" xfId="12238"/>
    <cellStyle name="SAPBEXaggItem 4 2 6" xfId="7408"/>
    <cellStyle name="SAPBEXaggItem 4 2 6 2" xfId="12242"/>
    <cellStyle name="SAPBEXaggItem 4 2 6 3" xfId="12243"/>
    <cellStyle name="SAPBEXaggItem 4 2 6 4" xfId="12241"/>
    <cellStyle name="SAPBEXaggItem 4 2 7" xfId="8477"/>
    <cellStyle name="SAPBEXaggItem 4 2 7 2" xfId="12245"/>
    <cellStyle name="SAPBEXaggItem 4 2 7 3" xfId="12246"/>
    <cellStyle name="SAPBEXaggItem 4 2 7 4" xfId="12244"/>
    <cellStyle name="SAPBEXaggItem 4 2 8" xfId="8978"/>
    <cellStyle name="SAPBEXaggItem 4 2 8 2" xfId="12248"/>
    <cellStyle name="SAPBEXaggItem 4 2 8 3" xfId="12249"/>
    <cellStyle name="SAPBEXaggItem 4 2 8 4" xfId="12247"/>
    <cellStyle name="SAPBEXaggItem 4 2 9" xfId="9472"/>
    <cellStyle name="SAPBEXaggItem 4 2 9 2" xfId="12251"/>
    <cellStyle name="SAPBEXaggItem 4 2 9 3" xfId="12252"/>
    <cellStyle name="SAPBEXaggItem 4 2 9 4" xfId="12250"/>
    <cellStyle name="SAPBEXaggItem 4 2_planning-WP" xfId="12253"/>
    <cellStyle name="SAPBEXaggItem 4 3" xfId="4624"/>
    <cellStyle name="SAPBEXaggItem 4 3 10" xfId="12255"/>
    <cellStyle name="SAPBEXaggItem 4 3 11" xfId="12254"/>
    <cellStyle name="SAPBEXaggItem 4 3 2" xfId="12256"/>
    <cellStyle name="SAPBEXaggItem 4 3 2 2" xfId="12257"/>
    <cellStyle name="SAPBEXaggItem 4 3 2 3" xfId="12258"/>
    <cellStyle name="SAPBEXaggItem 4 3 3" xfId="12259"/>
    <cellStyle name="SAPBEXaggItem 4 3 3 2" xfId="12260"/>
    <cellStyle name="SAPBEXaggItem 4 3 3 3" xfId="12261"/>
    <cellStyle name="SAPBEXaggItem 4 3 4" xfId="12262"/>
    <cellStyle name="SAPBEXaggItem 4 3 4 2" xfId="12263"/>
    <cellStyle name="SAPBEXaggItem 4 3 4 3" xfId="12264"/>
    <cellStyle name="SAPBEXaggItem 4 3 5" xfId="12265"/>
    <cellStyle name="SAPBEXaggItem 4 3 5 2" xfId="12266"/>
    <cellStyle name="SAPBEXaggItem 4 3 5 3" xfId="12267"/>
    <cellStyle name="SAPBEXaggItem 4 3 6" xfId="12268"/>
    <cellStyle name="SAPBEXaggItem 4 3 6 2" xfId="12269"/>
    <cellStyle name="SAPBEXaggItem 4 3 6 3" xfId="12270"/>
    <cellStyle name="SAPBEXaggItem 4 3 7" xfId="12271"/>
    <cellStyle name="SAPBEXaggItem 4 3 7 2" xfId="12272"/>
    <cellStyle name="SAPBEXaggItem 4 3 7 3" xfId="12273"/>
    <cellStyle name="SAPBEXaggItem 4 3 8" xfId="12274"/>
    <cellStyle name="SAPBEXaggItem 4 3 8 2" xfId="12275"/>
    <cellStyle name="SAPBEXaggItem 4 3 8 3" xfId="12276"/>
    <cellStyle name="SAPBEXaggItem 4 3 9" xfId="12277"/>
    <cellStyle name="SAPBEXaggItem 4 3 9 2" xfId="12278"/>
    <cellStyle name="SAPBEXaggItem 4 3 9 3" xfId="12279"/>
    <cellStyle name="SAPBEXaggItem 4 3_planning-WP" xfId="12280"/>
    <cellStyle name="SAPBEXaggItem 4 4" xfId="5616"/>
    <cellStyle name="SAPBEXaggItem 4 4 10" xfId="12281"/>
    <cellStyle name="SAPBEXaggItem 4 4 2" xfId="12282"/>
    <cellStyle name="SAPBEXaggItem 4 4 2 2" xfId="12283"/>
    <cellStyle name="SAPBEXaggItem 4 4 2 3" xfId="12284"/>
    <cellStyle name="SAPBEXaggItem 4 4 3" xfId="12285"/>
    <cellStyle name="SAPBEXaggItem 4 4 3 2" xfId="12286"/>
    <cellStyle name="SAPBEXaggItem 4 4 3 3" xfId="12287"/>
    <cellStyle name="SAPBEXaggItem 4 4 4" xfId="12288"/>
    <cellStyle name="SAPBEXaggItem 4 4 4 2" xfId="12289"/>
    <cellStyle name="SAPBEXaggItem 4 4 4 3" xfId="12290"/>
    <cellStyle name="SAPBEXaggItem 4 4 5" xfId="12291"/>
    <cellStyle name="SAPBEXaggItem 4 4 5 2" xfId="12292"/>
    <cellStyle name="SAPBEXaggItem 4 4 5 3" xfId="12293"/>
    <cellStyle name="SAPBEXaggItem 4 4 6" xfId="12294"/>
    <cellStyle name="SAPBEXaggItem 4 4 6 2" xfId="12295"/>
    <cellStyle name="SAPBEXaggItem 4 4 6 3" xfId="12296"/>
    <cellStyle name="SAPBEXaggItem 4 4 7" xfId="12297"/>
    <cellStyle name="SAPBEXaggItem 4 4 7 2" xfId="12298"/>
    <cellStyle name="SAPBEXaggItem 4 4 7 3" xfId="12299"/>
    <cellStyle name="SAPBEXaggItem 4 4 8" xfId="12300"/>
    <cellStyle name="SAPBEXaggItem 4 4 8 2" xfId="12301"/>
    <cellStyle name="SAPBEXaggItem 4 4 8 3" xfId="12302"/>
    <cellStyle name="SAPBEXaggItem 4 4 9" xfId="12303"/>
    <cellStyle name="SAPBEXaggItem 4 4_planning-WP" xfId="12304"/>
    <cellStyle name="SAPBEXaggItem 4 5" xfId="6125"/>
    <cellStyle name="SAPBEXaggItem 4 5 2" xfId="12306"/>
    <cellStyle name="SAPBEXaggItem 4 5 3" xfId="12305"/>
    <cellStyle name="SAPBEXaggItem 4 6" xfId="6612"/>
    <cellStyle name="SAPBEXaggItem 4 6 2" xfId="12308"/>
    <cellStyle name="SAPBEXaggItem 4 6 3" xfId="12309"/>
    <cellStyle name="SAPBEXaggItem 4 6 4" xfId="12307"/>
    <cellStyle name="SAPBEXaggItem 4 7" xfId="7095"/>
    <cellStyle name="SAPBEXaggItem 4 7 2" xfId="12311"/>
    <cellStyle name="SAPBEXaggItem 4 7 3" xfId="12312"/>
    <cellStyle name="SAPBEXaggItem 4 7 4" xfId="12310"/>
    <cellStyle name="SAPBEXaggItem 4 8" xfId="8164"/>
    <cellStyle name="SAPBEXaggItem 4 8 2" xfId="12314"/>
    <cellStyle name="SAPBEXaggItem 4 8 3" xfId="12315"/>
    <cellStyle name="SAPBEXaggItem 4 8 4" xfId="12313"/>
    <cellStyle name="SAPBEXaggItem 4 9" xfId="8665"/>
    <cellStyle name="SAPBEXaggItem 4 9 2" xfId="12317"/>
    <cellStyle name="SAPBEXaggItem 4 9 3" xfId="12318"/>
    <cellStyle name="SAPBEXaggItem 4 9 4" xfId="12316"/>
    <cellStyle name="SAPBEXaggItem 4_planning-WP" xfId="12319"/>
    <cellStyle name="SAPBEXaggItem 5" xfId="1634"/>
    <cellStyle name="SAPBEXaggItem 5 10" xfId="9092"/>
    <cellStyle name="SAPBEXaggItem 5 10 2" xfId="12322"/>
    <cellStyle name="SAPBEXaggItem 5 10 3" xfId="12323"/>
    <cellStyle name="SAPBEXaggItem 5 10 4" xfId="12321"/>
    <cellStyle name="SAPBEXaggItem 5 11" xfId="12324"/>
    <cellStyle name="SAPBEXaggItem 5 11 2" xfId="12325"/>
    <cellStyle name="SAPBEXaggItem 5 11 3" xfId="12326"/>
    <cellStyle name="SAPBEXaggItem 5 12" xfId="12327"/>
    <cellStyle name="SAPBEXaggItem 5 12 2" xfId="12328"/>
    <cellStyle name="SAPBEXaggItem 5 12 3" xfId="12329"/>
    <cellStyle name="SAPBEXaggItem 5 13" xfId="12320"/>
    <cellStyle name="SAPBEXaggItem 5 14" xfId="9831"/>
    <cellStyle name="SAPBEXaggItem 5 15" xfId="38852"/>
    <cellStyle name="SAPBEXaggItem 5 16" xfId="39269"/>
    <cellStyle name="SAPBEXaggItem 5 2" xfId="1971"/>
    <cellStyle name="SAPBEXaggItem 5 2 10" xfId="12331"/>
    <cellStyle name="SAPBEXaggItem 5 2 10 2" xfId="12332"/>
    <cellStyle name="SAPBEXaggItem 5 2 10 3" xfId="12333"/>
    <cellStyle name="SAPBEXaggItem 5 2 11" xfId="12334"/>
    <cellStyle name="SAPBEXaggItem 5 2 12" xfId="12330"/>
    <cellStyle name="SAPBEXaggItem 5 2 13" xfId="10149"/>
    <cellStyle name="SAPBEXaggItem 5 2 2" xfId="4889"/>
    <cellStyle name="SAPBEXaggItem 5 2 2 10" xfId="12336"/>
    <cellStyle name="SAPBEXaggItem 5 2 2 11" xfId="12335"/>
    <cellStyle name="SAPBEXaggItem 5 2 2 2" xfId="12337"/>
    <cellStyle name="SAPBEXaggItem 5 2 2 2 2" xfId="12338"/>
    <cellStyle name="SAPBEXaggItem 5 2 2 2 3" xfId="12339"/>
    <cellStyle name="SAPBEXaggItem 5 2 2 3" xfId="12340"/>
    <cellStyle name="SAPBEXaggItem 5 2 2 3 2" xfId="12341"/>
    <cellStyle name="SAPBEXaggItem 5 2 2 3 3" xfId="12342"/>
    <cellStyle name="SAPBEXaggItem 5 2 2 4" xfId="12343"/>
    <cellStyle name="SAPBEXaggItem 5 2 2 4 2" xfId="12344"/>
    <cellStyle name="SAPBEXaggItem 5 2 2 4 3" xfId="12345"/>
    <cellStyle name="SAPBEXaggItem 5 2 2 5" xfId="12346"/>
    <cellStyle name="SAPBEXaggItem 5 2 2 5 2" xfId="12347"/>
    <cellStyle name="SAPBEXaggItem 5 2 2 5 3" xfId="12348"/>
    <cellStyle name="SAPBEXaggItem 5 2 2 6" xfId="12349"/>
    <cellStyle name="SAPBEXaggItem 5 2 2 6 2" xfId="12350"/>
    <cellStyle name="SAPBEXaggItem 5 2 2 6 3" xfId="12351"/>
    <cellStyle name="SAPBEXaggItem 5 2 2 7" xfId="12352"/>
    <cellStyle name="SAPBEXaggItem 5 2 2 7 2" xfId="12353"/>
    <cellStyle name="SAPBEXaggItem 5 2 2 7 3" xfId="12354"/>
    <cellStyle name="SAPBEXaggItem 5 2 2 8" xfId="12355"/>
    <cellStyle name="SAPBEXaggItem 5 2 2 8 2" xfId="12356"/>
    <cellStyle name="SAPBEXaggItem 5 2 2 8 3" xfId="12357"/>
    <cellStyle name="SAPBEXaggItem 5 2 2 9" xfId="12358"/>
    <cellStyle name="SAPBEXaggItem 5 2 2 9 2" xfId="12359"/>
    <cellStyle name="SAPBEXaggItem 5 2 2 9 3" xfId="12360"/>
    <cellStyle name="SAPBEXaggItem 5 2 2_planning-WP" xfId="12361"/>
    <cellStyle name="SAPBEXaggItem 5 2 3" xfId="5868"/>
    <cellStyle name="SAPBEXaggItem 5 2 3 2" xfId="12363"/>
    <cellStyle name="SAPBEXaggItem 5 2 3 3" xfId="12364"/>
    <cellStyle name="SAPBEXaggItem 5 2 3 4" xfId="12362"/>
    <cellStyle name="SAPBEXaggItem 5 2 4" xfId="6376"/>
    <cellStyle name="SAPBEXaggItem 5 2 4 2" xfId="12366"/>
    <cellStyle name="SAPBEXaggItem 5 2 4 3" xfId="12367"/>
    <cellStyle name="SAPBEXaggItem 5 2 4 4" xfId="12365"/>
    <cellStyle name="SAPBEXaggItem 5 2 5" xfId="6863"/>
    <cellStyle name="SAPBEXaggItem 5 2 5 2" xfId="12369"/>
    <cellStyle name="SAPBEXaggItem 5 2 5 3" xfId="12370"/>
    <cellStyle name="SAPBEXaggItem 5 2 5 4" xfId="12368"/>
    <cellStyle name="SAPBEXaggItem 5 2 6" xfId="7346"/>
    <cellStyle name="SAPBEXaggItem 5 2 6 2" xfId="12372"/>
    <cellStyle name="SAPBEXaggItem 5 2 6 3" xfId="12373"/>
    <cellStyle name="SAPBEXaggItem 5 2 6 4" xfId="12371"/>
    <cellStyle name="SAPBEXaggItem 5 2 7" xfId="8415"/>
    <cellStyle name="SAPBEXaggItem 5 2 7 2" xfId="12375"/>
    <cellStyle name="SAPBEXaggItem 5 2 7 3" xfId="12376"/>
    <cellStyle name="SAPBEXaggItem 5 2 7 4" xfId="12374"/>
    <cellStyle name="SAPBEXaggItem 5 2 8" xfId="8916"/>
    <cellStyle name="SAPBEXaggItem 5 2 8 2" xfId="12378"/>
    <cellStyle name="SAPBEXaggItem 5 2 8 3" xfId="12379"/>
    <cellStyle name="SAPBEXaggItem 5 2 8 4" xfId="12377"/>
    <cellStyle name="SAPBEXaggItem 5 2 9" xfId="9410"/>
    <cellStyle name="SAPBEXaggItem 5 2 9 2" xfId="12381"/>
    <cellStyle name="SAPBEXaggItem 5 2 9 3" xfId="12382"/>
    <cellStyle name="SAPBEXaggItem 5 2 9 4" xfId="12380"/>
    <cellStyle name="SAPBEXaggItem 5 2_planning-WP" xfId="12383"/>
    <cellStyle name="SAPBEXaggItem 5 3" xfId="4557"/>
    <cellStyle name="SAPBEXaggItem 5 3 10" xfId="12385"/>
    <cellStyle name="SAPBEXaggItem 5 3 11" xfId="12384"/>
    <cellStyle name="SAPBEXaggItem 5 3 2" xfId="12386"/>
    <cellStyle name="SAPBEXaggItem 5 3 2 2" xfId="12387"/>
    <cellStyle name="SAPBEXaggItem 5 3 2 3" xfId="12388"/>
    <cellStyle name="SAPBEXaggItem 5 3 3" xfId="12389"/>
    <cellStyle name="SAPBEXaggItem 5 3 3 2" xfId="12390"/>
    <cellStyle name="SAPBEXaggItem 5 3 3 3" xfId="12391"/>
    <cellStyle name="SAPBEXaggItem 5 3 4" xfId="12392"/>
    <cellStyle name="SAPBEXaggItem 5 3 4 2" xfId="12393"/>
    <cellStyle name="SAPBEXaggItem 5 3 4 3" xfId="12394"/>
    <cellStyle name="SAPBEXaggItem 5 3 5" xfId="12395"/>
    <cellStyle name="SAPBEXaggItem 5 3 5 2" xfId="12396"/>
    <cellStyle name="SAPBEXaggItem 5 3 5 3" xfId="12397"/>
    <cellStyle name="SAPBEXaggItem 5 3 6" xfId="12398"/>
    <cellStyle name="SAPBEXaggItem 5 3 6 2" xfId="12399"/>
    <cellStyle name="SAPBEXaggItem 5 3 6 3" xfId="12400"/>
    <cellStyle name="SAPBEXaggItem 5 3 7" xfId="12401"/>
    <cellStyle name="SAPBEXaggItem 5 3 7 2" xfId="12402"/>
    <cellStyle name="SAPBEXaggItem 5 3 7 3" xfId="12403"/>
    <cellStyle name="SAPBEXaggItem 5 3 8" xfId="12404"/>
    <cellStyle name="SAPBEXaggItem 5 3 8 2" xfId="12405"/>
    <cellStyle name="SAPBEXaggItem 5 3 8 3" xfId="12406"/>
    <cellStyle name="SAPBEXaggItem 5 3 9" xfId="12407"/>
    <cellStyle name="SAPBEXaggItem 5 3 9 2" xfId="12408"/>
    <cellStyle name="SAPBEXaggItem 5 3 9 3" xfId="12409"/>
    <cellStyle name="SAPBEXaggItem 5 3_planning-WP" xfId="12410"/>
    <cellStyle name="SAPBEXaggItem 5 4" xfId="5549"/>
    <cellStyle name="SAPBEXaggItem 5 4 10" xfId="12411"/>
    <cellStyle name="SAPBEXaggItem 5 4 2" xfId="12412"/>
    <cellStyle name="SAPBEXaggItem 5 4 2 2" xfId="12413"/>
    <cellStyle name="SAPBEXaggItem 5 4 2 3" xfId="12414"/>
    <cellStyle name="SAPBEXaggItem 5 4 3" xfId="12415"/>
    <cellStyle name="SAPBEXaggItem 5 4 3 2" xfId="12416"/>
    <cellStyle name="SAPBEXaggItem 5 4 3 3" xfId="12417"/>
    <cellStyle name="SAPBEXaggItem 5 4 4" xfId="12418"/>
    <cellStyle name="SAPBEXaggItem 5 4 4 2" xfId="12419"/>
    <cellStyle name="SAPBEXaggItem 5 4 4 3" xfId="12420"/>
    <cellStyle name="SAPBEXaggItem 5 4 5" xfId="12421"/>
    <cellStyle name="SAPBEXaggItem 5 4 5 2" xfId="12422"/>
    <cellStyle name="SAPBEXaggItem 5 4 5 3" xfId="12423"/>
    <cellStyle name="SAPBEXaggItem 5 4 6" xfId="12424"/>
    <cellStyle name="SAPBEXaggItem 5 4 6 2" xfId="12425"/>
    <cellStyle name="SAPBEXaggItem 5 4 6 3" xfId="12426"/>
    <cellStyle name="SAPBEXaggItem 5 4 7" xfId="12427"/>
    <cellStyle name="SAPBEXaggItem 5 4 7 2" xfId="12428"/>
    <cellStyle name="SAPBEXaggItem 5 4 7 3" xfId="12429"/>
    <cellStyle name="SAPBEXaggItem 5 4 8" xfId="12430"/>
    <cellStyle name="SAPBEXaggItem 5 4 8 2" xfId="12431"/>
    <cellStyle name="SAPBEXaggItem 5 4 8 3" xfId="12432"/>
    <cellStyle name="SAPBEXaggItem 5 4 9" xfId="12433"/>
    <cellStyle name="SAPBEXaggItem 5 4_planning-WP" xfId="12434"/>
    <cellStyle name="SAPBEXaggItem 5 5" xfId="6058"/>
    <cellStyle name="SAPBEXaggItem 5 5 2" xfId="12436"/>
    <cellStyle name="SAPBEXaggItem 5 5 3" xfId="12435"/>
    <cellStyle name="SAPBEXaggItem 5 6" xfId="6545"/>
    <cellStyle name="SAPBEXaggItem 5 6 2" xfId="12438"/>
    <cellStyle name="SAPBEXaggItem 5 6 3" xfId="12439"/>
    <cellStyle name="SAPBEXaggItem 5 6 4" xfId="12437"/>
    <cellStyle name="SAPBEXaggItem 5 7" xfId="7028"/>
    <cellStyle name="SAPBEXaggItem 5 7 2" xfId="12441"/>
    <cellStyle name="SAPBEXaggItem 5 7 3" xfId="12442"/>
    <cellStyle name="SAPBEXaggItem 5 7 4" xfId="12440"/>
    <cellStyle name="SAPBEXaggItem 5 8" xfId="8097"/>
    <cellStyle name="SAPBEXaggItem 5 8 2" xfId="12444"/>
    <cellStyle name="SAPBEXaggItem 5 8 3" xfId="12445"/>
    <cellStyle name="SAPBEXaggItem 5 8 4" xfId="12443"/>
    <cellStyle name="SAPBEXaggItem 5 9" xfId="8598"/>
    <cellStyle name="SAPBEXaggItem 5 9 2" xfId="12447"/>
    <cellStyle name="SAPBEXaggItem 5 9 3" xfId="12448"/>
    <cellStyle name="SAPBEXaggItem 5 9 4" xfId="12446"/>
    <cellStyle name="SAPBEXaggItem 5_planning-WP" xfId="12449"/>
    <cellStyle name="SAPBEXaggItem 6" xfId="1732"/>
    <cellStyle name="SAPBEXaggItem 6 10" xfId="9187"/>
    <cellStyle name="SAPBEXaggItem 6 10 2" xfId="12452"/>
    <cellStyle name="SAPBEXaggItem 6 10 3" xfId="12453"/>
    <cellStyle name="SAPBEXaggItem 6 10 4" xfId="12451"/>
    <cellStyle name="SAPBEXaggItem 6 11" xfId="12454"/>
    <cellStyle name="SAPBEXaggItem 6 11 2" xfId="12455"/>
    <cellStyle name="SAPBEXaggItem 6 11 3" xfId="12456"/>
    <cellStyle name="SAPBEXaggItem 6 12" xfId="12450"/>
    <cellStyle name="SAPBEXaggItem 6 13" xfId="9926"/>
    <cellStyle name="SAPBEXaggItem 6 14" xfId="38853"/>
    <cellStyle name="SAPBEXaggItem 6 15" xfId="39270"/>
    <cellStyle name="SAPBEXaggItem 6 2" xfId="2062"/>
    <cellStyle name="SAPBEXaggItem 6 2 10" xfId="12458"/>
    <cellStyle name="SAPBEXaggItem 6 2 11" xfId="12457"/>
    <cellStyle name="SAPBEXaggItem 6 2 12" xfId="10237"/>
    <cellStyle name="SAPBEXaggItem 6 2 2" xfId="4977"/>
    <cellStyle name="SAPBEXaggItem 6 2 2 2" xfId="12460"/>
    <cellStyle name="SAPBEXaggItem 6 2 2 3" xfId="12461"/>
    <cellStyle name="SAPBEXaggItem 6 2 2 4" xfId="12459"/>
    <cellStyle name="SAPBEXaggItem 6 2 3" xfId="5956"/>
    <cellStyle name="SAPBEXaggItem 6 2 3 2" xfId="12463"/>
    <cellStyle name="SAPBEXaggItem 6 2 3 3" xfId="12464"/>
    <cellStyle name="SAPBEXaggItem 6 2 3 4" xfId="12462"/>
    <cellStyle name="SAPBEXaggItem 6 2 4" xfId="6464"/>
    <cellStyle name="SAPBEXaggItem 6 2 4 2" xfId="12466"/>
    <cellStyle name="SAPBEXaggItem 6 2 4 3" xfId="12467"/>
    <cellStyle name="SAPBEXaggItem 6 2 4 4" xfId="12465"/>
    <cellStyle name="SAPBEXaggItem 6 2 5" xfId="6951"/>
    <cellStyle name="SAPBEXaggItem 6 2 5 2" xfId="12469"/>
    <cellStyle name="SAPBEXaggItem 6 2 5 3" xfId="12470"/>
    <cellStyle name="SAPBEXaggItem 6 2 5 4" xfId="12468"/>
    <cellStyle name="SAPBEXaggItem 6 2 6" xfId="7434"/>
    <cellStyle name="SAPBEXaggItem 6 2 6 2" xfId="12472"/>
    <cellStyle name="SAPBEXaggItem 6 2 6 3" xfId="12473"/>
    <cellStyle name="SAPBEXaggItem 6 2 6 4" xfId="12471"/>
    <cellStyle name="SAPBEXaggItem 6 2 7" xfId="8503"/>
    <cellStyle name="SAPBEXaggItem 6 2 7 2" xfId="12475"/>
    <cellStyle name="SAPBEXaggItem 6 2 7 3" xfId="12476"/>
    <cellStyle name="SAPBEXaggItem 6 2 7 4" xfId="12474"/>
    <cellStyle name="SAPBEXaggItem 6 2 8" xfId="9004"/>
    <cellStyle name="SAPBEXaggItem 6 2 8 2" xfId="12478"/>
    <cellStyle name="SAPBEXaggItem 6 2 8 3" xfId="12479"/>
    <cellStyle name="SAPBEXaggItem 6 2 8 4" xfId="12477"/>
    <cellStyle name="SAPBEXaggItem 6 2 9" xfId="9498"/>
    <cellStyle name="SAPBEXaggItem 6 2 9 2" xfId="12481"/>
    <cellStyle name="SAPBEXaggItem 6 2 9 3" xfId="12482"/>
    <cellStyle name="SAPBEXaggItem 6 2 9 4" xfId="12480"/>
    <cellStyle name="SAPBEXaggItem 6 2_planning-WP" xfId="12483"/>
    <cellStyle name="SAPBEXaggItem 6 3" xfId="4653"/>
    <cellStyle name="SAPBEXaggItem 6 3 10" xfId="12484"/>
    <cellStyle name="SAPBEXaggItem 6 3 2" xfId="12485"/>
    <cellStyle name="SAPBEXaggItem 6 3 2 2" xfId="12486"/>
    <cellStyle name="SAPBEXaggItem 6 3 2 3" xfId="12487"/>
    <cellStyle name="SAPBEXaggItem 6 3 3" xfId="12488"/>
    <cellStyle name="SAPBEXaggItem 6 3 3 2" xfId="12489"/>
    <cellStyle name="SAPBEXaggItem 6 3 3 3" xfId="12490"/>
    <cellStyle name="SAPBEXaggItem 6 3 4" xfId="12491"/>
    <cellStyle name="SAPBEXaggItem 6 3 4 2" xfId="12492"/>
    <cellStyle name="SAPBEXaggItem 6 3 4 3" xfId="12493"/>
    <cellStyle name="SAPBEXaggItem 6 3 5" xfId="12494"/>
    <cellStyle name="SAPBEXaggItem 6 3 5 2" xfId="12495"/>
    <cellStyle name="SAPBEXaggItem 6 3 5 3" xfId="12496"/>
    <cellStyle name="SAPBEXaggItem 6 3 6" xfId="12497"/>
    <cellStyle name="SAPBEXaggItem 6 3 6 2" xfId="12498"/>
    <cellStyle name="SAPBEXaggItem 6 3 6 3" xfId="12499"/>
    <cellStyle name="SAPBEXaggItem 6 3 7" xfId="12500"/>
    <cellStyle name="SAPBEXaggItem 6 3 7 2" xfId="12501"/>
    <cellStyle name="SAPBEXaggItem 6 3 7 3" xfId="12502"/>
    <cellStyle name="SAPBEXaggItem 6 3 8" xfId="12503"/>
    <cellStyle name="SAPBEXaggItem 6 3 8 2" xfId="12504"/>
    <cellStyle name="SAPBEXaggItem 6 3 8 3" xfId="12505"/>
    <cellStyle name="SAPBEXaggItem 6 3 9" xfId="12506"/>
    <cellStyle name="SAPBEXaggItem 6 3_planning-WP" xfId="12507"/>
    <cellStyle name="SAPBEXaggItem 6 4" xfId="5644"/>
    <cellStyle name="SAPBEXaggItem 6 4 2" xfId="12509"/>
    <cellStyle name="SAPBEXaggItem 6 4 3" xfId="12508"/>
    <cellStyle name="SAPBEXaggItem 6 5" xfId="6153"/>
    <cellStyle name="SAPBEXaggItem 6 5 2" xfId="12511"/>
    <cellStyle name="SAPBEXaggItem 6 5 3" xfId="12512"/>
    <cellStyle name="SAPBEXaggItem 6 5 4" xfId="12510"/>
    <cellStyle name="SAPBEXaggItem 6 6" xfId="6640"/>
    <cellStyle name="SAPBEXaggItem 6 6 2" xfId="12514"/>
    <cellStyle name="SAPBEXaggItem 6 6 3" xfId="12515"/>
    <cellStyle name="SAPBEXaggItem 6 6 4" xfId="12513"/>
    <cellStyle name="SAPBEXaggItem 6 7" xfId="7123"/>
    <cellStyle name="SAPBEXaggItem 6 7 2" xfId="12517"/>
    <cellStyle name="SAPBEXaggItem 6 7 3" xfId="12518"/>
    <cellStyle name="SAPBEXaggItem 6 7 4" xfId="12516"/>
    <cellStyle name="SAPBEXaggItem 6 8" xfId="8192"/>
    <cellStyle name="SAPBEXaggItem 6 8 2" xfId="12520"/>
    <cellStyle name="SAPBEXaggItem 6 8 3" xfId="12521"/>
    <cellStyle name="SAPBEXaggItem 6 8 4" xfId="12519"/>
    <cellStyle name="SAPBEXaggItem 6 9" xfId="8693"/>
    <cellStyle name="SAPBEXaggItem 6 9 2" xfId="12523"/>
    <cellStyle name="SAPBEXaggItem 6 9 3" xfId="12524"/>
    <cellStyle name="SAPBEXaggItem 6 9 4" xfId="12522"/>
    <cellStyle name="SAPBEXaggItem 6_planning-WP" xfId="12525"/>
    <cellStyle name="SAPBEXaggItem 7" xfId="1667"/>
    <cellStyle name="SAPBEXaggItem 7 10" xfId="9125"/>
    <cellStyle name="SAPBEXaggItem 7 10 2" xfId="12528"/>
    <cellStyle name="SAPBEXaggItem 7 10 3" xfId="12529"/>
    <cellStyle name="SAPBEXaggItem 7 10 4" xfId="12527"/>
    <cellStyle name="SAPBEXaggItem 7 11" xfId="12530"/>
    <cellStyle name="SAPBEXaggItem 7 12" xfId="12526"/>
    <cellStyle name="SAPBEXaggItem 7 13" xfId="9864"/>
    <cellStyle name="SAPBEXaggItem 7 14" xfId="38854"/>
    <cellStyle name="SAPBEXaggItem 7 15" xfId="39271"/>
    <cellStyle name="SAPBEXaggItem 7 2" xfId="2001"/>
    <cellStyle name="SAPBEXaggItem 7 2 10" xfId="12532"/>
    <cellStyle name="SAPBEXaggItem 7 2 11" xfId="12531"/>
    <cellStyle name="SAPBEXaggItem 7 2 12" xfId="10179"/>
    <cellStyle name="SAPBEXaggItem 7 2 2" xfId="4919"/>
    <cellStyle name="SAPBEXaggItem 7 2 2 2" xfId="12534"/>
    <cellStyle name="SAPBEXaggItem 7 2 2 3" xfId="12535"/>
    <cellStyle name="SAPBEXaggItem 7 2 2 4" xfId="12533"/>
    <cellStyle name="SAPBEXaggItem 7 2 3" xfId="5898"/>
    <cellStyle name="SAPBEXaggItem 7 2 3 2" xfId="12537"/>
    <cellStyle name="SAPBEXaggItem 7 2 3 3" xfId="12538"/>
    <cellStyle name="SAPBEXaggItem 7 2 3 4" xfId="12536"/>
    <cellStyle name="SAPBEXaggItem 7 2 4" xfId="6406"/>
    <cellStyle name="SAPBEXaggItem 7 2 4 2" xfId="12540"/>
    <cellStyle name="SAPBEXaggItem 7 2 4 3" xfId="12541"/>
    <cellStyle name="SAPBEXaggItem 7 2 4 4" xfId="12539"/>
    <cellStyle name="SAPBEXaggItem 7 2 5" xfId="6893"/>
    <cellStyle name="SAPBEXaggItem 7 2 5 2" xfId="12543"/>
    <cellStyle name="SAPBEXaggItem 7 2 5 3" xfId="12544"/>
    <cellStyle name="SAPBEXaggItem 7 2 5 4" xfId="12542"/>
    <cellStyle name="SAPBEXaggItem 7 2 6" xfId="7376"/>
    <cellStyle name="SAPBEXaggItem 7 2 6 2" xfId="12546"/>
    <cellStyle name="SAPBEXaggItem 7 2 6 3" xfId="12547"/>
    <cellStyle name="SAPBEXaggItem 7 2 6 4" xfId="12545"/>
    <cellStyle name="SAPBEXaggItem 7 2 7" xfId="8445"/>
    <cellStyle name="SAPBEXaggItem 7 2 7 2" xfId="12549"/>
    <cellStyle name="SAPBEXaggItem 7 2 7 3" xfId="12550"/>
    <cellStyle name="SAPBEXaggItem 7 2 7 4" xfId="12548"/>
    <cellStyle name="SAPBEXaggItem 7 2 8" xfId="8946"/>
    <cellStyle name="SAPBEXaggItem 7 2 8 2" xfId="12552"/>
    <cellStyle name="SAPBEXaggItem 7 2 8 3" xfId="12553"/>
    <cellStyle name="SAPBEXaggItem 7 2 8 4" xfId="12551"/>
    <cellStyle name="SAPBEXaggItem 7 2 9" xfId="9440"/>
    <cellStyle name="SAPBEXaggItem 7 2 9 2" xfId="12555"/>
    <cellStyle name="SAPBEXaggItem 7 2 9 3" xfId="12556"/>
    <cellStyle name="SAPBEXaggItem 7 2 9 4" xfId="12554"/>
    <cellStyle name="SAPBEXaggItem 7 2_planning-WP" xfId="12557"/>
    <cellStyle name="SAPBEXaggItem 7 3" xfId="4590"/>
    <cellStyle name="SAPBEXaggItem 7 3 2" xfId="12559"/>
    <cellStyle name="SAPBEXaggItem 7 3 3" xfId="12560"/>
    <cellStyle name="SAPBEXaggItem 7 3 4" xfId="12558"/>
    <cellStyle name="SAPBEXaggItem 7 4" xfId="5582"/>
    <cellStyle name="SAPBEXaggItem 7 4 2" xfId="12562"/>
    <cellStyle name="SAPBEXaggItem 7 4 3" xfId="12563"/>
    <cellStyle name="SAPBEXaggItem 7 4 4" xfId="12561"/>
    <cellStyle name="SAPBEXaggItem 7 5" xfId="6091"/>
    <cellStyle name="SAPBEXaggItem 7 5 2" xfId="12565"/>
    <cellStyle name="SAPBEXaggItem 7 5 3" xfId="12566"/>
    <cellStyle name="SAPBEXaggItem 7 5 4" xfId="12564"/>
    <cellStyle name="SAPBEXaggItem 7 6" xfId="6578"/>
    <cellStyle name="SAPBEXaggItem 7 6 2" xfId="12568"/>
    <cellStyle name="SAPBEXaggItem 7 6 3" xfId="12569"/>
    <cellStyle name="SAPBEXaggItem 7 6 4" xfId="12567"/>
    <cellStyle name="SAPBEXaggItem 7 7" xfId="7061"/>
    <cellStyle name="SAPBEXaggItem 7 7 2" xfId="12571"/>
    <cellStyle name="SAPBEXaggItem 7 7 3" xfId="12572"/>
    <cellStyle name="SAPBEXaggItem 7 7 4" xfId="12570"/>
    <cellStyle name="SAPBEXaggItem 7 8" xfId="8130"/>
    <cellStyle name="SAPBEXaggItem 7 8 2" xfId="12574"/>
    <cellStyle name="SAPBEXaggItem 7 8 3" xfId="12575"/>
    <cellStyle name="SAPBEXaggItem 7 8 4" xfId="12573"/>
    <cellStyle name="SAPBEXaggItem 7 9" xfId="8631"/>
    <cellStyle name="SAPBEXaggItem 7 9 2" xfId="12577"/>
    <cellStyle name="SAPBEXaggItem 7 9 3" xfId="12578"/>
    <cellStyle name="SAPBEXaggItem 7 9 4" xfId="12576"/>
    <cellStyle name="SAPBEXaggItem 7_planning-WP" xfId="12579"/>
    <cellStyle name="SAPBEXaggItem 8" xfId="1761"/>
    <cellStyle name="SAPBEXaggItem 8 10" xfId="12581"/>
    <cellStyle name="SAPBEXaggItem 8 11" xfId="12580"/>
    <cellStyle name="SAPBEXaggItem 8 12" xfId="9955"/>
    <cellStyle name="SAPBEXaggItem 8 13" xfId="38855"/>
    <cellStyle name="SAPBEXaggItem 8 14" xfId="39272"/>
    <cellStyle name="SAPBEXaggItem 8 2" xfId="4682"/>
    <cellStyle name="SAPBEXaggItem 8 2 2" xfId="12583"/>
    <cellStyle name="SAPBEXaggItem 8 2 3" xfId="12584"/>
    <cellStyle name="SAPBEXaggItem 8 2 4" xfId="12582"/>
    <cellStyle name="SAPBEXaggItem 8 3" xfId="5673"/>
    <cellStyle name="SAPBEXaggItem 8 3 2" xfId="12586"/>
    <cellStyle name="SAPBEXaggItem 8 3 3" xfId="12587"/>
    <cellStyle name="SAPBEXaggItem 8 3 4" xfId="12585"/>
    <cellStyle name="SAPBEXaggItem 8 4" xfId="6182"/>
    <cellStyle name="SAPBEXaggItem 8 4 2" xfId="12589"/>
    <cellStyle name="SAPBEXaggItem 8 4 3" xfId="12590"/>
    <cellStyle name="SAPBEXaggItem 8 4 4" xfId="12588"/>
    <cellStyle name="SAPBEXaggItem 8 5" xfId="6669"/>
    <cellStyle name="SAPBEXaggItem 8 5 2" xfId="12592"/>
    <cellStyle name="SAPBEXaggItem 8 5 3" xfId="12593"/>
    <cellStyle name="SAPBEXaggItem 8 5 4" xfId="12591"/>
    <cellStyle name="SAPBEXaggItem 8 6" xfId="7152"/>
    <cellStyle name="SAPBEXaggItem 8 6 2" xfId="12595"/>
    <cellStyle name="SAPBEXaggItem 8 6 3" xfId="12596"/>
    <cellStyle name="SAPBEXaggItem 8 6 4" xfId="12594"/>
    <cellStyle name="SAPBEXaggItem 8 7" xfId="8221"/>
    <cellStyle name="SAPBEXaggItem 8 7 2" xfId="12598"/>
    <cellStyle name="SAPBEXaggItem 8 7 3" xfId="12599"/>
    <cellStyle name="SAPBEXaggItem 8 7 4" xfId="12597"/>
    <cellStyle name="SAPBEXaggItem 8 8" xfId="8722"/>
    <cellStyle name="SAPBEXaggItem 8 8 2" xfId="12601"/>
    <cellStyle name="SAPBEXaggItem 8 8 3" xfId="12602"/>
    <cellStyle name="SAPBEXaggItem 8 8 4" xfId="12600"/>
    <cellStyle name="SAPBEXaggItem 8 9" xfId="9216"/>
    <cellStyle name="SAPBEXaggItem 8 9 2" xfId="12604"/>
    <cellStyle name="SAPBEXaggItem 8 9 3" xfId="12605"/>
    <cellStyle name="SAPBEXaggItem 8 9 4" xfId="12603"/>
    <cellStyle name="SAPBEXaggItem 8_planning-WP" xfId="12606"/>
    <cellStyle name="SAPBEXaggItem 9" xfId="1426"/>
    <cellStyle name="SAPBEXaggItem 9 10" xfId="12607"/>
    <cellStyle name="SAPBEXaggItem 9 11" xfId="9624"/>
    <cellStyle name="SAPBEXaggItem 9 2" xfId="4349"/>
    <cellStyle name="SAPBEXaggItem 9 2 2" xfId="12609"/>
    <cellStyle name="SAPBEXaggItem 9 2 3" xfId="12610"/>
    <cellStyle name="SAPBEXaggItem 9 2 4" xfId="12608"/>
    <cellStyle name="SAPBEXaggItem 9 3" xfId="5342"/>
    <cellStyle name="SAPBEXaggItem 9 3 2" xfId="12612"/>
    <cellStyle name="SAPBEXaggItem 9 3 3" xfId="12613"/>
    <cellStyle name="SAPBEXaggItem 9 3 4" xfId="12611"/>
    <cellStyle name="SAPBEXaggItem 9 4" xfId="5125"/>
    <cellStyle name="SAPBEXaggItem 9 4 2" xfId="12615"/>
    <cellStyle name="SAPBEXaggItem 9 4 3" xfId="12616"/>
    <cellStyle name="SAPBEXaggItem 9 4 4" xfId="12614"/>
    <cellStyle name="SAPBEXaggItem 9 5" xfId="5207"/>
    <cellStyle name="SAPBEXaggItem 9 5 2" xfId="12618"/>
    <cellStyle name="SAPBEXaggItem 9 5 3" xfId="12619"/>
    <cellStyle name="SAPBEXaggItem 9 5 4" xfId="12617"/>
    <cellStyle name="SAPBEXaggItem 9 6" xfId="5210"/>
    <cellStyle name="SAPBEXaggItem 9 6 2" xfId="12621"/>
    <cellStyle name="SAPBEXaggItem 9 6 3" xfId="12622"/>
    <cellStyle name="SAPBEXaggItem 9 6 4" xfId="12620"/>
    <cellStyle name="SAPBEXaggItem 9 7" xfId="7890"/>
    <cellStyle name="SAPBEXaggItem 9 7 2" xfId="12624"/>
    <cellStyle name="SAPBEXaggItem 9 7 3" xfId="12625"/>
    <cellStyle name="SAPBEXaggItem 9 7 4" xfId="12623"/>
    <cellStyle name="SAPBEXaggItem 9 8" xfId="7651"/>
    <cellStyle name="SAPBEXaggItem 9 8 2" xfId="12627"/>
    <cellStyle name="SAPBEXaggItem 9 8 3" xfId="12628"/>
    <cellStyle name="SAPBEXaggItem 9 8 4" xfId="12626"/>
    <cellStyle name="SAPBEXaggItem 9 9" xfId="8558"/>
    <cellStyle name="SAPBEXaggItem 9 9 2" xfId="12629"/>
    <cellStyle name="SAPBEXaggItem 9_planning-WP" xfId="12630"/>
    <cellStyle name="SAPBEXaggItem_19.RessDest CUC CS SEE+SEM 1009" xfId="38856"/>
    <cellStyle name="SAPBEXaggItemX" xfId="12631"/>
    <cellStyle name="SAPBEXaggItemX 10" xfId="12632"/>
    <cellStyle name="SAPBEXaggItemX 10 2" xfId="12633"/>
    <cellStyle name="SAPBEXaggItemX 11" xfId="12634"/>
    <cellStyle name="SAPBEXaggItemX 11 2" xfId="12635"/>
    <cellStyle name="SAPBEXaggItemX 11 3" xfId="12636"/>
    <cellStyle name="SAPBEXaggItemX 12" xfId="12637"/>
    <cellStyle name="SAPBEXaggItemX 12 2" xfId="12638"/>
    <cellStyle name="SAPBEXaggItemX 12 3" xfId="12639"/>
    <cellStyle name="SAPBEXaggItemX 13" xfId="12640"/>
    <cellStyle name="SAPBEXaggItemX 13 2" xfId="12641"/>
    <cellStyle name="SAPBEXaggItemX 13 3" xfId="12642"/>
    <cellStyle name="SAPBEXaggItemX 14" xfId="12643"/>
    <cellStyle name="SAPBEXaggItemX 14 2" xfId="12644"/>
    <cellStyle name="SAPBEXaggItemX 14 3" xfId="12645"/>
    <cellStyle name="SAPBEXaggItemX 15" xfId="12646"/>
    <cellStyle name="SAPBEXaggItemX 15 2" xfId="12647"/>
    <cellStyle name="SAPBEXaggItemX 15 3" xfId="12648"/>
    <cellStyle name="SAPBEXaggItemX 16" xfId="12649"/>
    <cellStyle name="SAPBEXaggItemX 16 2" xfId="12650"/>
    <cellStyle name="SAPBEXaggItemX 16 3" xfId="12651"/>
    <cellStyle name="SAPBEXaggItemX 17" xfId="12652"/>
    <cellStyle name="SAPBEXaggItemX 17 2" xfId="12653"/>
    <cellStyle name="SAPBEXaggItemX 17 3" xfId="12654"/>
    <cellStyle name="SAPBEXaggItemX 18" xfId="38857"/>
    <cellStyle name="SAPBEXaggItemX 19" xfId="39273"/>
    <cellStyle name="SAPBEXaggItemX 2" xfId="12655"/>
    <cellStyle name="SAPBEXaggItemX 2 10" xfId="12656"/>
    <cellStyle name="SAPBEXaggItemX 2 10 2" xfId="12657"/>
    <cellStyle name="SAPBEXaggItemX 2 10 3" xfId="12658"/>
    <cellStyle name="SAPBEXaggItemX 2 11" xfId="12659"/>
    <cellStyle name="SAPBEXaggItemX 2 11 2" xfId="12660"/>
    <cellStyle name="SAPBEXaggItemX 2 11 3" xfId="12661"/>
    <cellStyle name="SAPBEXaggItemX 2 12" xfId="12662"/>
    <cellStyle name="SAPBEXaggItemX 2 12 2" xfId="12663"/>
    <cellStyle name="SAPBEXaggItemX 2 12 3" xfId="12664"/>
    <cellStyle name="SAPBEXaggItemX 2 13" xfId="38858"/>
    <cellStyle name="SAPBEXaggItemX 2 14" xfId="39274"/>
    <cellStyle name="SAPBEXaggItemX 2 2" xfId="12665"/>
    <cellStyle name="SAPBEXaggItemX 2 2 10" xfId="12666"/>
    <cellStyle name="SAPBEXaggItemX 2 2 10 2" xfId="12667"/>
    <cellStyle name="SAPBEXaggItemX 2 2 10 3" xfId="12668"/>
    <cellStyle name="SAPBEXaggItemX 2 2 11" xfId="12669"/>
    <cellStyle name="SAPBEXaggItemX 2 2 12" xfId="38859"/>
    <cellStyle name="SAPBEXaggItemX 2 2 13" xfId="39275"/>
    <cellStyle name="SAPBEXaggItemX 2 2 2" xfId="12670"/>
    <cellStyle name="SAPBEXaggItemX 2 2 2 10" xfId="12671"/>
    <cellStyle name="SAPBEXaggItemX 2 2 2 2" xfId="12672"/>
    <cellStyle name="SAPBEXaggItemX 2 2 2 2 2" xfId="12673"/>
    <cellStyle name="SAPBEXaggItemX 2 2 2 2 3" xfId="12674"/>
    <cellStyle name="SAPBEXaggItemX 2 2 2 3" xfId="12675"/>
    <cellStyle name="SAPBEXaggItemX 2 2 2 3 2" xfId="12676"/>
    <cellStyle name="SAPBEXaggItemX 2 2 2 3 3" xfId="12677"/>
    <cellStyle name="SAPBEXaggItemX 2 2 2 4" xfId="12678"/>
    <cellStyle name="SAPBEXaggItemX 2 2 2 4 2" xfId="12679"/>
    <cellStyle name="SAPBEXaggItemX 2 2 2 4 3" xfId="12680"/>
    <cellStyle name="SAPBEXaggItemX 2 2 2 5" xfId="12681"/>
    <cellStyle name="SAPBEXaggItemX 2 2 2 5 2" xfId="12682"/>
    <cellStyle name="SAPBEXaggItemX 2 2 2 5 3" xfId="12683"/>
    <cellStyle name="SAPBEXaggItemX 2 2 2 6" xfId="12684"/>
    <cellStyle name="SAPBEXaggItemX 2 2 2 6 2" xfId="12685"/>
    <cellStyle name="SAPBEXaggItemX 2 2 2 6 3" xfId="12686"/>
    <cellStyle name="SAPBEXaggItemX 2 2 2 7" xfId="12687"/>
    <cellStyle name="SAPBEXaggItemX 2 2 2 7 2" xfId="12688"/>
    <cellStyle name="SAPBEXaggItemX 2 2 2 7 3" xfId="12689"/>
    <cellStyle name="SAPBEXaggItemX 2 2 2 8" xfId="12690"/>
    <cellStyle name="SAPBEXaggItemX 2 2 2 8 2" xfId="12691"/>
    <cellStyle name="SAPBEXaggItemX 2 2 2 8 3" xfId="12692"/>
    <cellStyle name="SAPBEXaggItemX 2 2 2 9" xfId="12693"/>
    <cellStyle name="SAPBEXaggItemX 2 2 2 9 2" xfId="12694"/>
    <cellStyle name="SAPBEXaggItemX 2 2 2 9 3" xfId="12695"/>
    <cellStyle name="SAPBEXaggItemX 2 2 2_planning-WP" xfId="12696"/>
    <cellStyle name="SAPBEXaggItemX 2 2 3" xfId="12697"/>
    <cellStyle name="SAPBEXaggItemX 2 2 3 2" xfId="12698"/>
    <cellStyle name="SAPBEXaggItemX 2 2 3 3" xfId="12699"/>
    <cellStyle name="SAPBEXaggItemX 2 2 4" xfId="12700"/>
    <cellStyle name="SAPBEXaggItemX 2 2 4 2" xfId="12701"/>
    <cellStyle name="SAPBEXaggItemX 2 2 4 3" xfId="12702"/>
    <cellStyle name="SAPBEXaggItemX 2 2 5" xfId="12703"/>
    <cellStyle name="SAPBEXaggItemX 2 2 5 2" xfId="12704"/>
    <cellStyle name="SAPBEXaggItemX 2 2 5 3" xfId="12705"/>
    <cellStyle name="SAPBEXaggItemX 2 2 6" xfId="12706"/>
    <cellStyle name="SAPBEXaggItemX 2 2 6 2" xfId="12707"/>
    <cellStyle name="SAPBEXaggItemX 2 2 6 3" xfId="12708"/>
    <cellStyle name="SAPBEXaggItemX 2 2 7" xfId="12709"/>
    <cellStyle name="SAPBEXaggItemX 2 2 7 2" xfId="12710"/>
    <cellStyle name="SAPBEXaggItemX 2 2 7 3" xfId="12711"/>
    <cellStyle name="SAPBEXaggItemX 2 2 8" xfId="12712"/>
    <cellStyle name="SAPBEXaggItemX 2 2 8 2" xfId="12713"/>
    <cellStyle name="SAPBEXaggItemX 2 2 8 3" xfId="12714"/>
    <cellStyle name="SAPBEXaggItemX 2 2 9" xfId="12715"/>
    <cellStyle name="SAPBEXaggItemX 2 2 9 2" xfId="12716"/>
    <cellStyle name="SAPBEXaggItemX 2 2 9 3" xfId="12717"/>
    <cellStyle name="SAPBEXaggItemX 2 2_planning-WP" xfId="12718"/>
    <cellStyle name="SAPBEXaggItemX 2 3" xfId="12719"/>
    <cellStyle name="SAPBEXaggItemX 2 3 10" xfId="12720"/>
    <cellStyle name="SAPBEXaggItemX 2 3 2" xfId="12721"/>
    <cellStyle name="SAPBEXaggItemX 2 3 2 2" xfId="12722"/>
    <cellStyle name="SAPBEXaggItemX 2 3 2 3" xfId="12723"/>
    <cellStyle name="SAPBEXaggItemX 2 3 3" xfId="12724"/>
    <cellStyle name="SAPBEXaggItemX 2 3 3 2" xfId="12725"/>
    <cellStyle name="SAPBEXaggItemX 2 3 3 3" xfId="12726"/>
    <cellStyle name="SAPBEXaggItemX 2 3 4" xfId="12727"/>
    <cellStyle name="SAPBEXaggItemX 2 3 4 2" xfId="12728"/>
    <cellStyle name="SAPBEXaggItemX 2 3 4 3" xfId="12729"/>
    <cellStyle name="SAPBEXaggItemX 2 3 5" xfId="12730"/>
    <cellStyle name="SAPBEXaggItemX 2 3 5 2" xfId="12731"/>
    <cellStyle name="SAPBEXaggItemX 2 3 5 3" xfId="12732"/>
    <cellStyle name="SAPBEXaggItemX 2 3 6" xfId="12733"/>
    <cellStyle name="SAPBEXaggItemX 2 3 6 2" xfId="12734"/>
    <cellStyle name="SAPBEXaggItemX 2 3 6 3" xfId="12735"/>
    <cellStyle name="SAPBEXaggItemX 2 3 7" xfId="12736"/>
    <cellStyle name="SAPBEXaggItemX 2 3 7 2" xfId="12737"/>
    <cellStyle name="SAPBEXaggItemX 2 3 7 3" xfId="12738"/>
    <cellStyle name="SAPBEXaggItemX 2 3 8" xfId="12739"/>
    <cellStyle name="SAPBEXaggItemX 2 3 8 2" xfId="12740"/>
    <cellStyle name="SAPBEXaggItemX 2 3 8 3" xfId="12741"/>
    <cellStyle name="SAPBEXaggItemX 2 3 9" xfId="12742"/>
    <cellStyle name="SAPBEXaggItemX 2 3 9 2" xfId="12743"/>
    <cellStyle name="SAPBEXaggItemX 2 3 9 3" xfId="12744"/>
    <cellStyle name="SAPBEXaggItemX 2 3_planning-WP" xfId="12745"/>
    <cellStyle name="SAPBEXaggItemX 2 4" xfId="12746"/>
    <cellStyle name="SAPBEXaggItemX 2 4 2" xfId="12747"/>
    <cellStyle name="SAPBEXaggItemX 2 4 2 2" xfId="12748"/>
    <cellStyle name="SAPBEXaggItemX 2 4 2 3" xfId="12749"/>
    <cellStyle name="SAPBEXaggItemX 2 4 3" xfId="12750"/>
    <cellStyle name="SAPBEXaggItemX 2 4 3 2" xfId="12751"/>
    <cellStyle name="SAPBEXaggItemX 2 4 3 3" xfId="12752"/>
    <cellStyle name="SAPBEXaggItemX 2 4 4" xfId="12753"/>
    <cellStyle name="SAPBEXaggItemX 2 4 4 2" xfId="12754"/>
    <cellStyle name="SAPBEXaggItemX 2 4 4 3" xfId="12755"/>
    <cellStyle name="SAPBEXaggItemX 2 4 5" xfId="12756"/>
    <cellStyle name="SAPBEXaggItemX 2 4 5 2" xfId="12757"/>
    <cellStyle name="SAPBEXaggItemX 2 4 5 3" xfId="12758"/>
    <cellStyle name="SAPBEXaggItemX 2 4 6" xfId="12759"/>
    <cellStyle name="SAPBEXaggItemX 2 4 6 2" xfId="12760"/>
    <cellStyle name="SAPBEXaggItemX 2 4 6 3" xfId="12761"/>
    <cellStyle name="SAPBEXaggItemX 2 4 7" xfId="12762"/>
    <cellStyle name="SAPBEXaggItemX 2 4 7 2" xfId="12763"/>
    <cellStyle name="SAPBEXaggItemX 2 4 7 3" xfId="12764"/>
    <cellStyle name="SAPBEXaggItemX 2 4 8" xfId="12765"/>
    <cellStyle name="SAPBEXaggItemX 2 4 8 2" xfId="12766"/>
    <cellStyle name="SAPBEXaggItemX 2 4 8 3" xfId="12767"/>
    <cellStyle name="SAPBEXaggItemX 2 4 9" xfId="12768"/>
    <cellStyle name="SAPBEXaggItemX 2 4_planning-WP" xfId="12769"/>
    <cellStyle name="SAPBEXaggItemX 2 5" xfId="12770"/>
    <cellStyle name="SAPBEXaggItemX 2 5 2" xfId="12771"/>
    <cellStyle name="SAPBEXaggItemX 2 6" xfId="12772"/>
    <cellStyle name="SAPBEXaggItemX 2 6 2" xfId="12773"/>
    <cellStyle name="SAPBEXaggItemX 2 6 3" xfId="12774"/>
    <cellStyle name="SAPBEXaggItemX 2 7" xfId="12775"/>
    <cellStyle name="SAPBEXaggItemX 2 7 2" xfId="12776"/>
    <cellStyle name="SAPBEXaggItemX 2 7 3" xfId="12777"/>
    <cellStyle name="SAPBEXaggItemX 2 8" xfId="12778"/>
    <cellStyle name="SAPBEXaggItemX 2 8 2" xfId="12779"/>
    <cellStyle name="SAPBEXaggItemX 2 8 3" xfId="12780"/>
    <cellStyle name="SAPBEXaggItemX 2 9" xfId="12781"/>
    <cellStyle name="SAPBEXaggItemX 2 9 2" xfId="12782"/>
    <cellStyle name="SAPBEXaggItemX 2 9 3" xfId="12783"/>
    <cellStyle name="SAPBEXaggItemX 2_planning-WP" xfId="12784"/>
    <cellStyle name="SAPBEXaggItemX 3" xfId="12785"/>
    <cellStyle name="SAPBEXaggItemX 3 10" xfId="12786"/>
    <cellStyle name="SAPBEXaggItemX 3 10 2" xfId="12787"/>
    <cellStyle name="SAPBEXaggItemX 3 10 3" xfId="12788"/>
    <cellStyle name="SAPBEXaggItemX 3 11" xfId="12789"/>
    <cellStyle name="SAPBEXaggItemX 3 11 2" xfId="12790"/>
    <cellStyle name="SAPBEXaggItemX 3 11 3" xfId="12791"/>
    <cellStyle name="SAPBEXaggItemX 3 12" xfId="12792"/>
    <cellStyle name="SAPBEXaggItemX 3 12 2" xfId="12793"/>
    <cellStyle name="SAPBEXaggItemX 3 12 3" xfId="12794"/>
    <cellStyle name="SAPBEXaggItemX 3 13" xfId="38860"/>
    <cellStyle name="SAPBEXaggItemX 3 14" xfId="39276"/>
    <cellStyle name="SAPBEXaggItemX 3 2" xfId="12795"/>
    <cellStyle name="SAPBEXaggItemX 3 2 10" xfId="12796"/>
    <cellStyle name="SAPBEXaggItemX 3 2 10 2" xfId="12797"/>
    <cellStyle name="SAPBEXaggItemX 3 2 10 3" xfId="12798"/>
    <cellStyle name="SAPBEXaggItemX 3 2 11" xfId="12799"/>
    <cellStyle name="SAPBEXaggItemX 3 2 12" xfId="38861"/>
    <cellStyle name="SAPBEXaggItemX 3 2 13" xfId="39277"/>
    <cellStyle name="SAPBEXaggItemX 3 2 2" xfId="12800"/>
    <cellStyle name="SAPBEXaggItemX 3 2 2 10" xfId="12801"/>
    <cellStyle name="SAPBEXaggItemX 3 2 2 2" xfId="12802"/>
    <cellStyle name="SAPBEXaggItemX 3 2 2 2 2" xfId="12803"/>
    <cellStyle name="SAPBEXaggItemX 3 2 2 2 3" xfId="12804"/>
    <cellStyle name="SAPBEXaggItemX 3 2 2 3" xfId="12805"/>
    <cellStyle name="SAPBEXaggItemX 3 2 2 3 2" xfId="12806"/>
    <cellStyle name="SAPBEXaggItemX 3 2 2 3 3" xfId="12807"/>
    <cellStyle name="SAPBEXaggItemX 3 2 2 4" xfId="12808"/>
    <cellStyle name="SAPBEXaggItemX 3 2 2 4 2" xfId="12809"/>
    <cellStyle name="SAPBEXaggItemX 3 2 2 4 3" xfId="12810"/>
    <cellStyle name="SAPBEXaggItemX 3 2 2 5" xfId="12811"/>
    <cellStyle name="SAPBEXaggItemX 3 2 2 5 2" xfId="12812"/>
    <cellStyle name="SAPBEXaggItemX 3 2 2 5 3" xfId="12813"/>
    <cellStyle name="SAPBEXaggItemX 3 2 2 6" xfId="12814"/>
    <cellStyle name="SAPBEXaggItemX 3 2 2 6 2" xfId="12815"/>
    <cellStyle name="SAPBEXaggItemX 3 2 2 6 3" xfId="12816"/>
    <cellStyle name="SAPBEXaggItemX 3 2 2 7" xfId="12817"/>
    <cellStyle name="SAPBEXaggItemX 3 2 2 7 2" xfId="12818"/>
    <cellStyle name="SAPBEXaggItemX 3 2 2 7 3" xfId="12819"/>
    <cellStyle name="SAPBEXaggItemX 3 2 2 8" xfId="12820"/>
    <cellStyle name="SAPBEXaggItemX 3 2 2 8 2" xfId="12821"/>
    <cellStyle name="SAPBEXaggItemX 3 2 2 8 3" xfId="12822"/>
    <cellStyle name="SAPBEXaggItemX 3 2 2 9" xfId="12823"/>
    <cellStyle name="SAPBEXaggItemX 3 2 2 9 2" xfId="12824"/>
    <cellStyle name="SAPBEXaggItemX 3 2 2 9 3" xfId="12825"/>
    <cellStyle name="SAPBEXaggItemX 3 2 2_planning-WP" xfId="12826"/>
    <cellStyle name="SAPBEXaggItemX 3 2 3" xfId="12827"/>
    <cellStyle name="SAPBEXaggItemX 3 2 3 2" xfId="12828"/>
    <cellStyle name="SAPBEXaggItemX 3 2 3 3" xfId="12829"/>
    <cellStyle name="SAPBEXaggItemX 3 2 4" xfId="12830"/>
    <cellStyle name="SAPBEXaggItemX 3 2 4 2" xfId="12831"/>
    <cellStyle name="SAPBEXaggItemX 3 2 4 3" xfId="12832"/>
    <cellStyle name="SAPBEXaggItemX 3 2 5" xfId="12833"/>
    <cellStyle name="SAPBEXaggItemX 3 2 5 2" xfId="12834"/>
    <cellStyle name="SAPBEXaggItemX 3 2 5 3" xfId="12835"/>
    <cellStyle name="SAPBEXaggItemX 3 2 6" xfId="12836"/>
    <cellStyle name="SAPBEXaggItemX 3 2 6 2" xfId="12837"/>
    <cellStyle name="SAPBEXaggItemX 3 2 6 3" xfId="12838"/>
    <cellStyle name="SAPBEXaggItemX 3 2 7" xfId="12839"/>
    <cellStyle name="SAPBEXaggItemX 3 2 7 2" xfId="12840"/>
    <cellStyle name="SAPBEXaggItemX 3 2 7 3" xfId="12841"/>
    <cellStyle name="SAPBEXaggItemX 3 2 8" xfId="12842"/>
    <cellStyle name="SAPBEXaggItemX 3 2 8 2" xfId="12843"/>
    <cellStyle name="SAPBEXaggItemX 3 2 8 3" xfId="12844"/>
    <cellStyle name="SAPBEXaggItemX 3 2 9" xfId="12845"/>
    <cellStyle name="SAPBEXaggItemX 3 2 9 2" xfId="12846"/>
    <cellStyle name="SAPBEXaggItemX 3 2 9 3" xfId="12847"/>
    <cellStyle name="SAPBEXaggItemX 3 2_planning-WP" xfId="12848"/>
    <cellStyle name="SAPBEXaggItemX 3 3" xfId="12849"/>
    <cellStyle name="SAPBEXaggItemX 3 3 10" xfId="12850"/>
    <cellStyle name="SAPBEXaggItemX 3 3 2" xfId="12851"/>
    <cellStyle name="SAPBEXaggItemX 3 3 2 2" xfId="12852"/>
    <cellStyle name="SAPBEXaggItemX 3 3 2 3" xfId="12853"/>
    <cellStyle name="SAPBEXaggItemX 3 3 3" xfId="12854"/>
    <cellStyle name="SAPBEXaggItemX 3 3 3 2" xfId="12855"/>
    <cellStyle name="SAPBEXaggItemX 3 3 3 3" xfId="12856"/>
    <cellStyle name="SAPBEXaggItemX 3 3 4" xfId="12857"/>
    <cellStyle name="SAPBEXaggItemX 3 3 4 2" xfId="12858"/>
    <cellStyle name="SAPBEXaggItemX 3 3 4 3" xfId="12859"/>
    <cellStyle name="SAPBEXaggItemX 3 3 5" xfId="12860"/>
    <cellStyle name="SAPBEXaggItemX 3 3 5 2" xfId="12861"/>
    <cellStyle name="SAPBEXaggItemX 3 3 5 3" xfId="12862"/>
    <cellStyle name="SAPBEXaggItemX 3 3 6" xfId="12863"/>
    <cellStyle name="SAPBEXaggItemX 3 3 6 2" xfId="12864"/>
    <cellStyle name="SAPBEXaggItemX 3 3 6 3" xfId="12865"/>
    <cellStyle name="SAPBEXaggItemX 3 3 7" xfId="12866"/>
    <cellStyle name="SAPBEXaggItemX 3 3 7 2" xfId="12867"/>
    <cellStyle name="SAPBEXaggItemX 3 3 7 3" xfId="12868"/>
    <cellStyle name="SAPBEXaggItemX 3 3 8" xfId="12869"/>
    <cellStyle name="SAPBEXaggItemX 3 3 8 2" xfId="12870"/>
    <cellStyle name="SAPBEXaggItemX 3 3 8 3" xfId="12871"/>
    <cellStyle name="SAPBEXaggItemX 3 3 9" xfId="12872"/>
    <cellStyle name="SAPBEXaggItemX 3 3 9 2" xfId="12873"/>
    <cellStyle name="SAPBEXaggItemX 3 3 9 3" xfId="12874"/>
    <cellStyle name="SAPBEXaggItemX 3 3_planning-WP" xfId="12875"/>
    <cellStyle name="SAPBEXaggItemX 3 4" xfId="12876"/>
    <cellStyle name="SAPBEXaggItemX 3 4 2" xfId="12877"/>
    <cellStyle name="SAPBEXaggItemX 3 4 2 2" xfId="12878"/>
    <cellStyle name="SAPBEXaggItemX 3 4 2 3" xfId="12879"/>
    <cellStyle name="SAPBEXaggItemX 3 4 3" xfId="12880"/>
    <cellStyle name="SAPBEXaggItemX 3 4 3 2" xfId="12881"/>
    <cellStyle name="SAPBEXaggItemX 3 4 3 3" xfId="12882"/>
    <cellStyle name="SAPBEXaggItemX 3 4 4" xfId="12883"/>
    <cellStyle name="SAPBEXaggItemX 3 4 4 2" xfId="12884"/>
    <cellStyle name="SAPBEXaggItemX 3 4 4 3" xfId="12885"/>
    <cellStyle name="SAPBEXaggItemX 3 4 5" xfId="12886"/>
    <cellStyle name="SAPBEXaggItemX 3 4 5 2" xfId="12887"/>
    <cellStyle name="SAPBEXaggItemX 3 4 5 3" xfId="12888"/>
    <cellStyle name="SAPBEXaggItemX 3 4 6" xfId="12889"/>
    <cellStyle name="SAPBEXaggItemX 3 4 6 2" xfId="12890"/>
    <cellStyle name="SAPBEXaggItemX 3 4 6 3" xfId="12891"/>
    <cellStyle name="SAPBEXaggItemX 3 4 7" xfId="12892"/>
    <cellStyle name="SAPBEXaggItemX 3 4 7 2" xfId="12893"/>
    <cellStyle name="SAPBEXaggItemX 3 4 7 3" xfId="12894"/>
    <cellStyle name="SAPBEXaggItemX 3 4 8" xfId="12895"/>
    <cellStyle name="SAPBEXaggItemX 3 4 8 2" xfId="12896"/>
    <cellStyle name="SAPBEXaggItemX 3 4 8 3" xfId="12897"/>
    <cellStyle name="SAPBEXaggItemX 3 4 9" xfId="12898"/>
    <cellStyle name="SAPBEXaggItemX 3 4_planning-WP" xfId="12899"/>
    <cellStyle name="SAPBEXaggItemX 3 5" xfId="12900"/>
    <cellStyle name="SAPBEXaggItemX 3 5 2" xfId="12901"/>
    <cellStyle name="SAPBEXaggItemX 3 6" xfId="12902"/>
    <cellStyle name="SAPBEXaggItemX 3 6 2" xfId="12903"/>
    <cellStyle name="SAPBEXaggItemX 3 6 3" xfId="12904"/>
    <cellStyle name="SAPBEXaggItemX 3 7" xfId="12905"/>
    <cellStyle name="SAPBEXaggItemX 3 7 2" xfId="12906"/>
    <cellStyle name="SAPBEXaggItemX 3 7 3" xfId="12907"/>
    <cellStyle name="SAPBEXaggItemX 3 8" xfId="12908"/>
    <cellStyle name="SAPBEXaggItemX 3 8 2" xfId="12909"/>
    <cellStyle name="SAPBEXaggItemX 3 8 3" xfId="12910"/>
    <cellStyle name="SAPBEXaggItemX 3 9" xfId="12911"/>
    <cellStyle name="SAPBEXaggItemX 3 9 2" xfId="12912"/>
    <cellStyle name="SAPBEXaggItemX 3 9 3" xfId="12913"/>
    <cellStyle name="SAPBEXaggItemX 3_planning-WP" xfId="12914"/>
    <cellStyle name="SAPBEXaggItemX 4" xfId="12915"/>
    <cellStyle name="SAPBEXaggItemX 4 10" xfId="12916"/>
    <cellStyle name="SAPBEXaggItemX 4 10 2" xfId="12917"/>
    <cellStyle name="SAPBEXaggItemX 4 10 3" xfId="12918"/>
    <cellStyle name="SAPBEXaggItemX 4 11" xfId="12919"/>
    <cellStyle name="SAPBEXaggItemX 4 11 2" xfId="12920"/>
    <cellStyle name="SAPBEXaggItemX 4 11 3" xfId="12921"/>
    <cellStyle name="SAPBEXaggItemX 4 12" xfId="12922"/>
    <cellStyle name="SAPBEXaggItemX 4 12 2" xfId="12923"/>
    <cellStyle name="SAPBEXaggItemX 4 12 3" xfId="12924"/>
    <cellStyle name="SAPBEXaggItemX 4 13" xfId="38862"/>
    <cellStyle name="SAPBEXaggItemX 4 14" xfId="39278"/>
    <cellStyle name="SAPBEXaggItemX 4 2" xfId="12925"/>
    <cellStyle name="SAPBEXaggItemX 4 2 10" xfId="12926"/>
    <cellStyle name="SAPBEXaggItemX 4 2 10 2" xfId="12927"/>
    <cellStyle name="SAPBEXaggItemX 4 2 10 3" xfId="12928"/>
    <cellStyle name="SAPBEXaggItemX 4 2 11" xfId="12929"/>
    <cellStyle name="SAPBEXaggItemX 4 2 12" xfId="38863"/>
    <cellStyle name="SAPBEXaggItemX 4 2 13" xfId="39279"/>
    <cellStyle name="SAPBEXaggItemX 4 2 2" xfId="12930"/>
    <cellStyle name="SAPBEXaggItemX 4 2 2 10" xfId="12931"/>
    <cellStyle name="SAPBEXaggItemX 4 2 2 2" xfId="12932"/>
    <cellStyle name="SAPBEXaggItemX 4 2 2 2 2" xfId="12933"/>
    <cellStyle name="SAPBEXaggItemX 4 2 2 2 3" xfId="12934"/>
    <cellStyle name="SAPBEXaggItemX 4 2 2 3" xfId="12935"/>
    <cellStyle name="SAPBEXaggItemX 4 2 2 3 2" xfId="12936"/>
    <cellStyle name="SAPBEXaggItemX 4 2 2 3 3" xfId="12937"/>
    <cellStyle name="SAPBEXaggItemX 4 2 2 4" xfId="12938"/>
    <cellStyle name="SAPBEXaggItemX 4 2 2 4 2" xfId="12939"/>
    <cellStyle name="SAPBEXaggItemX 4 2 2 4 3" xfId="12940"/>
    <cellStyle name="SAPBEXaggItemX 4 2 2 5" xfId="12941"/>
    <cellStyle name="SAPBEXaggItemX 4 2 2 5 2" xfId="12942"/>
    <cellStyle name="SAPBEXaggItemX 4 2 2 5 3" xfId="12943"/>
    <cellStyle name="SAPBEXaggItemX 4 2 2 6" xfId="12944"/>
    <cellStyle name="SAPBEXaggItemX 4 2 2 6 2" xfId="12945"/>
    <cellStyle name="SAPBEXaggItemX 4 2 2 6 3" xfId="12946"/>
    <cellStyle name="SAPBEXaggItemX 4 2 2 7" xfId="12947"/>
    <cellStyle name="SAPBEXaggItemX 4 2 2 7 2" xfId="12948"/>
    <cellStyle name="SAPBEXaggItemX 4 2 2 7 3" xfId="12949"/>
    <cellStyle name="SAPBEXaggItemX 4 2 2 8" xfId="12950"/>
    <cellStyle name="SAPBEXaggItemX 4 2 2 8 2" xfId="12951"/>
    <cellStyle name="SAPBEXaggItemX 4 2 2 8 3" xfId="12952"/>
    <cellStyle name="SAPBEXaggItemX 4 2 2 9" xfId="12953"/>
    <cellStyle name="SAPBEXaggItemX 4 2 2 9 2" xfId="12954"/>
    <cellStyle name="SAPBEXaggItemX 4 2 2 9 3" xfId="12955"/>
    <cellStyle name="SAPBEXaggItemX 4 2 2_planning-WP" xfId="12956"/>
    <cellStyle name="SAPBEXaggItemX 4 2 3" xfId="12957"/>
    <cellStyle name="SAPBEXaggItemX 4 2 3 2" xfId="12958"/>
    <cellStyle name="SAPBEXaggItemX 4 2 3 3" xfId="12959"/>
    <cellStyle name="SAPBEXaggItemX 4 2 4" xfId="12960"/>
    <cellStyle name="SAPBEXaggItemX 4 2 4 2" xfId="12961"/>
    <cellStyle name="SAPBEXaggItemX 4 2 4 3" xfId="12962"/>
    <cellStyle name="SAPBEXaggItemX 4 2 5" xfId="12963"/>
    <cellStyle name="SAPBEXaggItemX 4 2 5 2" xfId="12964"/>
    <cellStyle name="SAPBEXaggItemX 4 2 5 3" xfId="12965"/>
    <cellStyle name="SAPBEXaggItemX 4 2 6" xfId="12966"/>
    <cellStyle name="SAPBEXaggItemX 4 2 6 2" xfId="12967"/>
    <cellStyle name="SAPBEXaggItemX 4 2 6 3" xfId="12968"/>
    <cellStyle name="SAPBEXaggItemX 4 2 7" xfId="12969"/>
    <cellStyle name="SAPBEXaggItemX 4 2 7 2" xfId="12970"/>
    <cellStyle name="SAPBEXaggItemX 4 2 7 3" xfId="12971"/>
    <cellStyle name="SAPBEXaggItemX 4 2 8" xfId="12972"/>
    <cellStyle name="SAPBEXaggItemX 4 2 8 2" xfId="12973"/>
    <cellStyle name="SAPBEXaggItemX 4 2 8 3" xfId="12974"/>
    <cellStyle name="SAPBEXaggItemX 4 2 9" xfId="12975"/>
    <cellStyle name="SAPBEXaggItemX 4 2 9 2" xfId="12976"/>
    <cellStyle name="SAPBEXaggItemX 4 2 9 3" xfId="12977"/>
    <cellStyle name="SAPBEXaggItemX 4 2_planning-WP" xfId="12978"/>
    <cellStyle name="SAPBEXaggItemX 4 3" xfId="12979"/>
    <cellStyle name="SAPBEXaggItemX 4 3 10" xfId="12980"/>
    <cellStyle name="SAPBEXaggItemX 4 3 2" xfId="12981"/>
    <cellStyle name="SAPBEXaggItemX 4 3 2 2" xfId="12982"/>
    <cellStyle name="SAPBEXaggItemX 4 3 2 3" xfId="12983"/>
    <cellStyle name="SAPBEXaggItemX 4 3 3" xfId="12984"/>
    <cellStyle name="SAPBEXaggItemX 4 3 3 2" xfId="12985"/>
    <cellStyle name="SAPBEXaggItemX 4 3 3 3" xfId="12986"/>
    <cellStyle name="SAPBEXaggItemX 4 3 4" xfId="12987"/>
    <cellStyle name="SAPBEXaggItemX 4 3 4 2" xfId="12988"/>
    <cellStyle name="SAPBEXaggItemX 4 3 4 3" xfId="12989"/>
    <cellStyle name="SAPBEXaggItemX 4 3 5" xfId="12990"/>
    <cellStyle name="SAPBEXaggItemX 4 3 5 2" xfId="12991"/>
    <cellStyle name="SAPBEXaggItemX 4 3 5 3" xfId="12992"/>
    <cellStyle name="SAPBEXaggItemX 4 3 6" xfId="12993"/>
    <cellStyle name="SAPBEXaggItemX 4 3 6 2" xfId="12994"/>
    <cellStyle name="SAPBEXaggItemX 4 3 6 3" xfId="12995"/>
    <cellStyle name="SAPBEXaggItemX 4 3 7" xfId="12996"/>
    <cellStyle name="SAPBEXaggItemX 4 3 7 2" xfId="12997"/>
    <cellStyle name="SAPBEXaggItemX 4 3 7 3" xfId="12998"/>
    <cellStyle name="SAPBEXaggItemX 4 3 8" xfId="12999"/>
    <cellStyle name="SAPBEXaggItemX 4 3 8 2" xfId="13000"/>
    <cellStyle name="SAPBEXaggItemX 4 3 8 3" xfId="13001"/>
    <cellStyle name="SAPBEXaggItemX 4 3 9" xfId="13002"/>
    <cellStyle name="SAPBEXaggItemX 4 3 9 2" xfId="13003"/>
    <cellStyle name="SAPBEXaggItemX 4 3 9 3" xfId="13004"/>
    <cellStyle name="SAPBEXaggItemX 4 3_planning-WP" xfId="13005"/>
    <cellStyle name="SAPBEXaggItemX 4 4" xfId="13006"/>
    <cellStyle name="SAPBEXaggItemX 4 4 2" xfId="13007"/>
    <cellStyle name="SAPBEXaggItemX 4 4 2 2" xfId="13008"/>
    <cellStyle name="SAPBEXaggItemX 4 4 2 3" xfId="13009"/>
    <cellStyle name="SAPBEXaggItemX 4 4 3" xfId="13010"/>
    <cellStyle name="SAPBEXaggItemX 4 4 3 2" xfId="13011"/>
    <cellStyle name="SAPBEXaggItemX 4 4 3 3" xfId="13012"/>
    <cellStyle name="SAPBEXaggItemX 4 4 4" xfId="13013"/>
    <cellStyle name="SAPBEXaggItemX 4 4 4 2" xfId="13014"/>
    <cellStyle name="SAPBEXaggItemX 4 4 4 3" xfId="13015"/>
    <cellStyle name="SAPBEXaggItemX 4 4 5" xfId="13016"/>
    <cellStyle name="SAPBEXaggItemX 4 4 5 2" xfId="13017"/>
    <cellStyle name="SAPBEXaggItemX 4 4 5 3" xfId="13018"/>
    <cellStyle name="SAPBEXaggItemX 4 4 6" xfId="13019"/>
    <cellStyle name="SAPBEXaggItemX 4 4 6 2" xfId="13020"/>
    <cellStyle name="SAPBEXaggItemX 4 4 6 3" xfId="13021"/>
    <cellStyle name="SAPBEXaggItemX 4 4 7" xfId="13022"/>
    <cellStyle name="SAPBEXaggItemX 4 4 7 2" xfId="13023"/>
    <cellStyle name="SAPBEXaggItemX 4 4 7 3" xfId="13024"/>
    <cellStyle name="SAPBEXaggItemX 4 4 8" xfId="13025"/>
    <cellStyle name="SAPBEXaggItemX 4 4 8 2" xfId="13026"/>
    <cellStyle name="SAPBEXaggItemX 4 4 8 3" xfId="13027"/>
    <cellStyle name="SAPBEXaggItemX 4 4 9" xfId="13028"/>
    <cellStyle name="SAPBEXaggItemX 4 4_planning-WP" xfId="13029"/>
    <cellStyle name="SAPBEXaggItemX 4 5" xfId="13030"/>
    <cellStyle name="SAPBEXaggItemX 4 5 2" xfId="13031"/>
    <cellStyle name="SAPBEXaggItemX 4 6" xfId="13032"/>
    <cellStyle name="SAPBEXaggItemX 4 6 2" xfId="13033"/>
    <cellStyle name="SAPBEXaggItemX 4 6 3" xfId="13034"/>
    <cellStyle name="SAPBEXaggItemX 4 7" xfId="13035"/>
    <cellStyle name="SAPBEXaggItemX 4 7 2" xfId="13036"/>
    <cellStyle name="SAPBEXaggItemX 4 7 3" xfId="13037"/>
    <cellStyle name="SAPBEXaggItemX 4 8" xfId="13038"/>
    <cellStyle name="SAPBEXaggItemX 4 8 2" xfId="13039"/>
    <cellStyle name="SAPBEXaggItemX 4 8 3" xfId="13040"/>
    <cellStyle name="SAPBEXaggItemX 4 9" xfId="13041"/>
    <cellStyle name="SAPBEXaggItemX 4 9 2" xfId="13042"/>
    <cellStyle name="SAPBEXaggItemX 4 9 3" xfId="13043"/>
    <cellStyle name="SAPBEXaggItemX 4_planning-WP" xfId="13044"/>
    <cellStyle name="SAPBEXaggItemX 5" xfId="13045"/>
    <cellStyle name="SAPBEXaggItemX 5 10" xfId="13046"/>
    <cellStyle name="SAPBEXaggItemX 5 10 2" xfId="13047"/>
    <cellStyle name="SAPBEXaggItemX 5 10 3" xfId="13048"/>
    <cellStyle name="SAPBEXaggItemX 5 11" xfId="13049"/>
    <cellStyle name="SAPBEXaggItemX 5 11 2" xfId="13050"/>
    <cellStyle name="SAPBEXaggItemX 5 11 3" xfId="13051"/>
    <cellStyle name="SAPBEXaggItemX 5 12" xfId="13052"/>
    <cellStyle name="SAPBEXaggItemX 5 12 2" xfId="13053"/>
    <cellStyle name="SAPBEXaggItemX 5 12 3" xfId="13054"/>
    <cellStyle name="SAPBEXaggItemX 5 13" xfId="38864"/>
    <cellStyle name="SAPBEXaggItemX 5 14" xfId="39280"/>
    <cellStyle name="SAPBEXaggItemX 5 2" xfId="13055"/>
    <cellStyle name="SAPBEXaggItemX 5 2 10" xfId="13056"/>
    <cellStyle name="SAPBEXaggItemX 5 2 10 2" xfId="13057"/>
    <cellStyle name="SAPBEXaggItemX 5 2 10 3" xfId="13058"/>
    <cellStyle name="SAPBEXaggItemX 5 2 11" xfId="13059"/>
    <cellStyle name="SAPBEXaggItemX 5 2 2" xfId="13060"/>
    <cellStyle name="SAPBEXaggItemX 5 2 2 10" xfId="13061"/>
    <cellStyle name="SAPBEXaggItemX 5 2 2 2" xfId="13062"/>
    <cellStyle name="SAPBEXaggItemX 5 2 2 2 2" xfId="13063"/>
    <cellStyle name="SAPBEXaggItemX 5 2 2 2 3" xfId="13064"/>
    <cellStyle name="SAPBEXaggItemX 5 2 2 3" xfId="13065"/>
    <cellStyle name="SAPBEXaggItemX 5 2 2 3 2" xfId="13066"/>
    <cellStyle name="SAPBEXaggItemX 5 2 2 3 3" xfId="13067"/>
    <cellStyle name="SAPBEXaggItemX 5 2 2 4" xfId="13068"/>
    <cellStyle name="SAPBEXaggItemX 5 2 2 4 2" xfId="13069"/>
    <cellStyle name="SAPBEXaggItemX 5 2 2 4 3" xfId="13070"/>
    <cellStyle name="SAPBEXaggItemX 5 2 2 5" xfId="13071"/>
    <cellStyle name="SAPBEXaggItemX 5 2 2 5 2" xfId="13072"/>
    <cellStyle name="SAPBEXaggItemX 5 2 2 5 3" xfId="13073"/>
    <cellStyle name="SAPBEXaggItemX 5 2 2 6" xfId="13074"/>
    <cellStyle name="SAPBEXaggItemX 5 2 2 6 2" xfId="13075"/>
    <cellStyle name="SAPBEXaggItemX 5 2 2 6 3" xfId="13076"/>
    <cellStyle name="SAPBEXaggItemX 5 2 2 7" xfId="13077"/>
    <cellStyle name="SAPBEXaggItemX 5 2 2 7 2" xfId="13078"/>
    <cellStyle name="SAPBEXaggItemX 5 2 2 7 3" xfId="13079"/>
    <cellStyle name="SAPBEXaggItemX 5 2 2 8" xfId="13080"/>
    <cellStyle name="SAPBEXaggItemX 5 2 2 8 2" xfId="13081"/>
    <cellStyle name="SAPBEXaggItemX 5 2 2 8 3" xfId="13082"/>
    <cellStyle name="SAPBEXaggItemX 5 2 2 9" xfId="13083"/>
    <cellStyle name="SAPBEXaggItemX 5 2 2 9 2" xfId="13084"/>
    <cellStyle name="SAPBEXaggItemX 5 2 2 9 3" xfId="13085"/>
    <cellStyle name="SAPBEXaggItemX 5 2 2_planning-WP" xfId="13086"/>
    <cellStyle name="SAPBEXaggItemX 5 2 3" xfId="13087"/>
    <cellStyle name="SAPBEXaggItemX 5 2 3 2" xfId="13088"/>
    <cellStyle name="SAPBEXaggItemX 5 2 3 3" xfId="13089"/>
    <cellStyle name="SAPBEXaggItemX 5 2 4" xfId="13090"/>
    <cellStyle name="SAPBEXaggItemX 5 2 4 2" xfId="13091"/>
    <cellStyle name="SAPBEXaggItemX 5 2 4 3" xfId="13092"/>
    <cellStyle name="SAPBEXaggItemX 5 2 5" xfId="13093"/>
    <cellStyle name="SAPBEXaggItemX 5 2 5 2" xfId="13094"/>
    <cellStyle name="SAPBEXaggItemX 5 2 5 3" xfId="13095"/>
    <cellStyle name="SAPBEXaggItemX 5 2 6" xfId="13096"/>
    <cellStyle name="SAPBEXaggItemX 5 2 6 2" xfId="13097"/>
    <cellStyle name="SAPBEXaggItemX 5 2 6 3" xfId="13098"/>
    <cellStyle name="SAPBEXaggItemX 5 2 7" xfId="13099"/>
    <cellStyle name="SAPBEXaggItemX 5 2 7 2" xfId="13100"/>
    <cellStyle name="SAPBEXaggItemX 5 2 7 3" xfId="13101"/>
    <cellStyle name="SAPBEXaggItemX 5 2 8" xfId="13102"/>
    <cellStyle name="SAPBEXaggItemX 5 2 8 2" xfId="13103"/>
    <cellStyle name="SAPBEXaggItemX 5 2 8 3" xfId="13104"/>
    <cellStyle name="SAPBEXaggItemX 5 2 9" xfId="13105"/>
    <cellStyle name="SAPBEXaggItemX 5 2 9 2" xfId="13106"/>
    <cellStyle name="SAPBEXaggItemX 5 2 9 3" xfId="13107"/>
    <cellStyle name="SAPBEXaggItemX 5 2_planning-WP" xfId="13108"/>
    <cellStyle name="SAPBEXaggItemX 5 3" xfId="13109"/>
    <cellStyle name="SAPBEXaggItemX 5 3 10" xfId="13110"/>
    <cellStyle name="SAPBEXaggItemX 5 3 2" xfId="13111"/>
    <cellStyle name="SAPBEXaggItemX 5 3 2 2" xfId="13112"/>
    <cellStyle name="SAPBEXaggItemX 5 3 2 3" xfId="13113"/>
    <cellStyle name="SAPBEXaggItemX 5 3 3" xfId="13114"/>
    <cellStyle name="SAPBEXaggItemX 5 3 3 2" xfId="13115"/>
    <cellStyle name="SAPBEXaggItemX 5 3 3 3" xfId="13116"/>
    <cellStyle name="SAPBEXaggItemX 5 3 4" xfId="13117"/>
    <cellStyle name="SAPBEXaggItemX 5 3 4 2" xfId="13118"/>
    <cellStyle name="SAPBEXaggItemX 5 3 4 3" xfId="13119"/>
    <cellStyle name="SAPBEXaggItemX 5 3 5" xfId="13120"/>
    <cellStyle name="SAPBEXaggItemX 5 3 5 2" xfId="13121"/>
    <cellStyle name="SAPBEXaggItemX 5 3 5 3" xfId="13122"/>
    <cellStyle name="SAPBEXaggItemX 5 3 6" xfId="13123"/>
    <cellStyle name="SAPBEXaggItemX 5 3 6 2" xfId="13124"/>
    <cellStyle name="SAPBEXaggItemX 5 3 6 3" xfId="13125"/>
    <cellStyle name="SAPBEXaggItemX 5 3 7" xfId="13126"/>
    <cellStyle name="SAPBEXaggItemX 5 3 7 2" xfId="13127"/>
    <cellStyle name="SAPBEXaggItemX 5 3 7 3" xfId="13128"/>
    <cellStyle name="SAPBEXaggItemX 5 3 8" xfId="13129"/>
    <cellStyle name="SAPBEXaggItemX 5 3 8 2" xfId="13130"/>
    <cellStyle name="SAPBEXaggItemX 5 3 8 3" xfId="13131"/>
    <cellStyle name="SAPBEXaggItemX 5 3 9" xfId="13132"/>
    <cellStyle name="SAPBEXaggItemX 5 3 9 2" xfId="13133"/>
    <cellStyle name="SAPBEXaggItemX 5 3 9 3" xfId="13134"/>
    <cellStyle name="SAPBEXaggItemX 5 3_planning-WP" xfId="13135"/>
    <cellStyle name="SAPBEXaggItemX 5 4" xfId="13136"/>
    <cellStyle name="SAPBEXaggItemX 5 4 2" xfId="13137"/>
    <cellStyle name="SAPBEXaggItemX 5 4 2 2" xfId="13138"/>
    <cellStyle name="SAPBEXaggItemX 5 4 2 3" xfId="13139"/>
    <cellStyle name="SAPBEXaggItemX 5 4 3" xfId="13140"/>
    <cellStyle name="SAPBEXaggItemX 5 4 3 2" xfId="13141"/>
    <cellStyle name="SAPBEXaggItemX 5 4 3 3" xfId="13142"/>
    <cellStyle name="SAPBEXaggItemX 5 4 4" xfId="13143"/>
    <cellStyle name="SAPBEXaggItemX 5 4 4 2" xfId="13144"/>
    <cellStyle name="SAPBEXaggItemX 5 4 4 3" xfId="13145"/>
    <cellStyle name="SAPBEXaggItemX 5 4 5" xfId="13146"/>
    <cellStyle name="SAPBEXaggItemX 5 4 5 2" xfId="13147"/>
    <cellStyle name="SAPBEXaggItemX 5 4 5 3" xfId="13148"/>
    <cellStyle name="SAPBEXaggItemX 5 4 6" xfId="13149"/>
    <cellStyle name="SAPBEXaggItemX 5 4 6 2" xfId="13150"/>
    <cellStyle name="SAPBEXaggItemX 5 4 6 3" xfId="13151"/>
    <cellStyle name="SAPBEXaggItemX 5 4 7" xfId="13152"/>
    <cellStyle name="SAPBEXaggItemX 5 4 7 2" xfId="13153"/>
    <cellStyle name="SAPBEXaggItemX 5 4 7 3" xfId="13154"/>
    <cellStyle name="SAPBEXaggItemX 5 4 8" xfId="13155"/>
    <cellStyle name="SAPBEXaggItemX 5 4 8 2" xfId="13156"/>
    <cellStyle name="SAPBEXaggItemX 5 4 8 3" xfId="13157"/>
    <cellStyle name="SAPBEXaggItemX 5 4 9" xfId="13158"/>
    <cellStyle name="SAPBEXaggItemX 5 4_planning-WP" xfId="13159"/>
    <cellStyle name="SAPBEXaggItemX 5 5" xfId="13160"/>
    <cellStyle name="SAPBEXaggItemX 5 5 2" xfId="13161"/>
    <cellStyle name="SAPBEXaggItemX 5 6" xfId="13162"/>
    <cellStyle name="SAPBEXaggItemX 5 6 2" xfId="13163"/>
    <cellStyle name="SAPBEXaggItemX 5 6 3" xfId="13164"/>
    <cellStyle name="SAPBEXaggItemX 5 7" xfId="13165"/>
    <cellStyle name="SAPBEXaggItemX 5 7 2" xfId="13166"/>
    <cellStyle name="SAPBEXaggItemX 5 7 3" xfId="13167"/>
    <cellStyle name="SAPBEXaggItemX 5 8" xfId="13168"/>
    <cellStyle name="SAPBEXaggItemX 5 8 2" xfId="13169"/>
    <cellStyle name="SAPBEXaggItemX 5 8 3" xfId="13170"/>
    <cellStyle name="SAPBEXaggItemX 5 9" xfId="13171"/>
    <cellStyle name="SAPBEXaggItemX 5 9 2" xfId="13172"/>
    <cellStyle name="SAPBEXaggItemX 5 9 3" xfId="13173"/>
    <cellStyle name="SAPBEXaggItemX 5_planning-WP" xfId="13174"/>
    <cellStyle name="SAPBEXaggItemX 6" xfId="13175"/>
    <cellStyle name="SAPBEXaggItemX 6 10" xfId="13176"/>
    <cellStyle name="SAPBEXaggItemX 6 10 2" xfId="13177"/>
    <cellStyle name="SAPBEXaggItemX 6 10 3" xfId="13178"/>
    <cellStyle name="SAPBEXaggItemX 6 11" xfId="13179"/>
    <cellStyle name="SAPBEXaggItemX 6 11 2" xfId="13180"/>
    <cellStyle name="SAPBEXaggItemX 6 11 3" xfId="13181"/>
    <cellStyle name="SAPBEXaggItemX 6 12" xfId="38865"/>
    <cellStyle name="SAPBEXaggItemX 6 13" xfId="39281"/>
    <cellStyle name="SAPBEXaggItemX 6 2" xfId="13182"/>
    <cellStyle name="SAPBEXaggItemX 6 2 10" xfId="13183"/>
    <cellStyle name="SAPBEXaggItemX 6 2 2" xfId="13184"/>
    <cellStyle name="SAPBEXaggItemX 6 2 2 2" xfId="13185"/>
    <cellStyle name="SAPBEXaggItemX 6 2 2 3" xfId="13186"/>
    <cellStyle name="SAPBEXaggItemX 6 2 3" xfId="13187"/>
    <cellStyle name="SAPBEXaggItemX 6 2 3 2" xfId="13188"/>
    <cellStyle name="SAPBEXaggItemX 6 2 3 3" xfId="13189"/>
    <cellStyle name="SAPBEXaggItemX 6 2 4" xfId="13190"/>
    <cellStyle name="SAPBEXaggItemX 6 2 4 2" xfId="13191"/>
    <cellStyle name="SAPBEXaggItemX 6 2 4 3" xfId="13192"/>
    <cellStyle name="SAPBEXaggItemX 6 2 5" xfId="13193"/>
    <cellStyle name="SAPBEXaggItemX 6 2 5 2" xfId="13194"/>
    <cellStyle name="SAPBEXaggItemX 6 2 5 3" xfId="13195"/>
    <cellStyle name="SAPBEXaggItemX 6 2 6" xfId="13196"/>
    <cellStyle name="SAPBEXaggItemX 6 2 6 2" xfId="13197"/>
    <cellStyle name="SAPBEXaggItemX 6 2 6 3" xfId="13198"/>
    <cellStyle name="SAPBEXaggItemX 6 2 7" xfId="13199"/>
    <cellStyle name="SAPBEXaggItemX 6 2 7 2" xfId="13200"/>
    <cellStyle name="SAPBEXaggItemX 6 2 7 3" xfId="13201"/>
    <cellStyle name="SAPBEXaggItemX 6 2 8" xfId="13202"/>
    <cellStyle name="SAPBEXaggItemX 6 2 8 2" xfId="13203"/>
    <cellStyle name="SAPBEXaggItemX 6 2 8 3" xfId="13204"/>
    <cellStyle name="SAPBEXaggItemX 6 2 9" xfId="13205"/>
    <cellStyle name="SAPBEXaggItemX 6 2 9 2" xfId="13206"/>
    <cellStyle name="SAPBEXaggItemX 6 2 9 3" xfId="13207"/>
    <cellStyle name="SAPBEXaggItemX 6 2_planning-WP" xfId="13208"/>
    <cellStyle name="SAPBEXaggItemX 6 3" xfId="13209"/>
    <cellStyle name="SAPBEXaggItemX 6 3 2" xfId="13210"/>
    <cellStyle name="SAPBEXaggItemX 6 3 2 2" xfId="13211"/>
    <cellStyle name="SAPBEXaggItemX 6 3 2 3" xfId="13212"/>
    <cellStyle name="SAPBEXaggItemX 6 3 3" xfId="13213"/>
    <cellStyle name="SAPBEXaggItemX 6 3 3 2" xfId="13214"/>
    <cellStyle name="SAPBEXaggItemX 6 3 3 3" xfId="13215"/>
    <cellStyle name="SAPBEXaggItemX 6 3 4" xfId="13216"/>
    <cellStyle name="SAPBEXaggItemX 6 3 4 2" xfId="13217"/>
    <cellStyle name="SAPBEXaggItemX 6 3 4 3" xfId="13218"/>
    <cellStyle name="SAPBEXaggItemX 6 3 5" xfId="13219"/>
    <cellStyle name="SAPBEXaggItemX 6 3 5 2" xfId="13220"/>
    <cellStyle name="SAPBEXaggItemX 6 3 5 3" xfId="13221"/>
    <cellStyle name="SAPBEXaggItemX 6 3 6" xfId="13222"/>
    <cellStyle name="SAPBEXaggItemX 6 3 6 2" xfId="13223"/>
    <cellStyle name="SAPBEXaggItemX 6 3 6 3" xfId="13224"/>
    <cellStyle name="SAPBEXaggItemX 6 3 7" xfId="13225"/>
    <cellStyle name="SAPBEXaggItemX 6 3 7 2" xfId="13226"/>
    <cellStyle name="SAPBEXaggItemX 6 3 7 3" xfId="13227"/>
    <cellStyle name="SAPBEXaggItemX 6 3 8" xfId="13228"/>
    <cellStyle name="SAPBEXaggItemX 6 3 8 2" xfId="13229"/>
    <cellStyle name="SAPBEXaggItemX 6 3 8 3" xfId="13230"/>
    <cellStyle name="SAPBEXaggItemX 6 3 9" xfId="13231"/>
    <cellStyle name="SAPBEXaggItemX 6 3_planning-WP" xfId="13232"/>
    <cellStyle name="SAPBEXaggItemX 6 4" xfId="13233"/>
    <cellStyle name="SAPBEXaggItemX 6 4 2" xfId="13234"/>
    <cellStyle name="SAPBEXaggItemX 6 5" xfId="13235"/>
    <cellStyle name="SAPBEXaggItemX 6 5 2" xfId="13236"/>
    <cellStyle name="SAPBEXaggItemX 6 5 3" xfId="13237"/>
    <cellStyle name="SAPBEXaggItemX 6 6" xfId="13238"/>
    <cellStyle name="SAPBEXaggItemX 6 6 2" xfId="13239"/>
    <cellStyle name="SAPBEXaggItemX 6 6 3" xfId="13240"/>
    <cellStyle name="SAPBEXaggItemX 6 7" xfId="13241"/>
    <cellStyle name="SAPBEXaggItemX 6 7 2" xfId="13242"/>
    <cellStyle name="SAPBEXaggItemX 6 7 3" xfId="13243"/>
    <cellStyle name="SAPBEXaggItemX 6 8" xfId="13244"/>
    <cellStyle name="SAPBEXaggItemX 6 8 2" xfId="13245"/>
    <cellStyle name="SAPBEXaggItemX 6 8 3" xfId="13246"/>
    <cellStyle name="SAPBEXaggItemX 6 9" xfId="13247"/>
    <cellStyle name="SAPBEXaggItemX 6 9 2" xfId="13248"/>
    <cellStyle name="SAPBEXaggItemX 6 9 3" xfId="13249"/>
    <cellStyle name="SAPBEXaggItemX 6_planning-WP" xfId="13250"/>
    <cellStyle name="SAPBEXaggItemX 7" xfId="13251"/>
    <cellStyle name="SAPBEXaggItemX 7 10" xfId="13252"/>
    <cellStyle name="SAPBEXaggItemX 7 10 2" xfId="13253"/>
    <cellStyle name="SAPBEXaggItemX 7 10 3" xfId="13254"/>
    <cellStyle name="SAPBEXaggItemX 7 11" xfId="13255"/>
    <cellStyle name="SAPBEXaggItemX 7 2" xfId="13256"/>
    <cellStyle name="SAPBEXaggItemX 7 2 10" xfId="13257"/>
    <cellStyle name="SAPBEXaggItemX 7 2 2" xfId="13258"/>
    <cellStyle name="SAPBEXaggItemX 7 2 2 2" xfId="13259"/>
    <cellStyle name="SAPBEXaggItemX 7 2 2 3" xfId="13260"/>
    <cellStyle name="SAPBEXaggItemX 7 2 3" xfId="13261"/>
    <cellStyle name="SAPBEXaggItemX 7 2 3 2" xfId="13262"/>
    <cellStyle name="SAPBEXaggItemX 7 2 3 3" xfId="13263"/>
    <cellStyle name="SAPBEXaggItemX 7 2 4" xfId="13264"/>
    <cellStyle name="SAPBEXaggItemX 7 2 4 2" xfId="13265"/>
    <cellStyle name="SAPBEXaggItemX 7 2 4 3" xfId="13266"/>
    <cellStyle name="SAPBEXaggItemX 7 2 5" xfId="13267"/>
    <cellStyle name="SAPBEXaggItemX 7 2 5 2" xfId="13268"/>
    <cellStyle name="SAPBEXaggItemX 7 2 5 3" xfId="13269"/>
    <cellStyle name="SAPBEXaggItemX 7 2 6" xfId="13270"/>
    <cellStyle name="SAPBEXaggItemX 7 2 6 2" xfId="13271"/>
    <cellStyle name="SAPBEXaggItemX 7 2 6 3" xfId="13272"/>
    <cellStyle name="SAPBEXaggItemX 7 2 7" xfId="13273"/>
    <cellStyle name="SAPBEXaggItemX 7 2 7 2" xfId="13274"/>
    <cellStyle name="SAPBEXaggItemX 7 2 7 3" xfId="13275"/>
    <cellStyle name="SAPBEXaggItemX 7 2 8" xfId="13276"/>
    <cellStyle name="SAPBEXaggItemX 7 2 8 2" xfId="13277"/>
    <cellStyle name="SAPBEXaggItemX 7 2 8 3" xfId="13278"/>
    <cellStyle name="SAPBEXaggItemX 7 2 9" xfId="13279"/>
    <cellStyle name="SAPBEXaggItemX 7 2 9 2" xfId="13280"/>
    <cellStyle name="SAPBEXaggItemX 7 2 9 3" xfId="13281"/>
    <cellStyle name="SAPBEXaggItemX 7 2_planning-WP" xfId="13282"/>
    <cellStyle name="SAPBEXaggItemX 7 3" xfId="13283"/>
    <cellStyle name="SAPBEXaggItemX 7 3 2" xfId="13284"/>
    <cellStyle name="SAPBEXaggItemX 7 3 3" xfId="13285"/>
    <cellStyle name="SAPBEXaggItemX 7 4" xfId="13286"/>
    <cellStyle name="SAPBEXaggItemX 7 4 2" xfId="13287"/>
    <cellStyle name="SAPBEXaggItemX 7 4 3" xfId="13288"/>
    <cellStyle name="SAPBEXaggItemX 7 5" xfId="13289"/>
    <cellStyle name="SAPBEXaggItemX 7 5 2" xfId="13290"/>
    <cellStyle name="SAPBEXaggItemX 7 5 3" xfId="13291"/>
    <cellStyle name="SAPBEXaggItemX 7 6" xfId="13292"/>
    <cellStyle name="SAPBEXaggItemX 7 6 2" xfId="13293"/>
    <cellStyle name="SAPBEXaggItemX 7 6 3" xfId="13294"/>
    <cellStyle name="SAPBEXaggItemX 7 7" xfId="13295"/>
    <cellStyle name="SAPBEXaggItemX 7 7 2" xfId="13296"/>
    <cellStyle name="SAPBEXaggItemX 7 7 3" xfId="13297"/>
    <cellStyle name="SAPBEXaggItemX 7 8" xfId="13298"/>
    <cellStyle name="SAPBEXaggItemX 7 8 2" xfId="13299"/>
    <cellStyle name="SAPBEXaggItemX 7 8 3" xfId="13300"/>
    <cellStyle name="SAPBEXaggItemX 7 9" xfId="13301"/>
    <cellStyle name="SAPBEXaggItemX 7 9 2" xfId="13302"/>
    <cellStyle name="SAPBEXaggItemX 7 9 3" xfId="13303"/>
    <cellStyle name="SAPBEXaggItemX 7_planning-WP" xfId="13304"/>
    <cellStyle name="SAPBEXaggItemX 8" xfId="13305"/>
    <cellStyle name="SAPBEXaggItemX 8 10" xfId="13306"/>
    <cellStyle name="SAPBEXaggItemX 8 2" xfId="13307"/>
    <cellStyle name="SAPBEXaggItemX 8 2 2" xfId="13308"/>
    <cellStyle name="SAPBEXaggItemX 8 2 3" xfId="13309"/>
    <cellStyle name="SAPBEXaggItemX 8 3" xfId="13310"/>
    <cellStyle name="SAPBEXaggItemX 8 3 2" xfId="13311"/>
    <cellStyle name="SAPBEXaggItemX 8 3 3" xfId="13312"/>
    <cellStyle name="SAPBEXaggItemX 8 4" xfId="13313"/>
    <cellStyle name="SAPBEXaggItemX 8 4 2" xfId="13314"/>
    <cellStyle name="SAPBEXaggItemX 8 4 3" xfId="13315"/>
    <cellStyle name="SAPBEXaggItemX 8 5" xfId="13316"/>
    <cellStyle name="SAPBEXaggItemX 8 5 2" xfId="13317"/>
    <cellStyle name="SAPBEXaggItemX 8 5 3" xfId="13318"/>
    <cellStyle name="SAPBEXaggItemX 8 6" xfId="13319"/>
    <cellStyle name="SAPBEXaggItemX 8 6 2" xfId="13320"/>
    <cellStyle name="SAPBEXaggItemX 8 6 3" xfId="13321"/>
    <cellStyle name="SAPBEXaggItemX 8 7" xfId="13322"/>
    <cellStyle name="SAPBEXaggItemX 8 7 2" xfId="13323"/>
    <cellStyle name="SAPBEXaggItemX 8 7 3" xfId="13324"/>
    <cellStyle name="SAPBEXaggItemX 8 8" xfId="13325"/>
    <cellStyle name="SAPBEXaggItemX 8 8 2" xfId="13326"/>
    <cellStyle name="SAPBEXaggItemX 8 8 3" xfId="13327"/>
    <cellStyle name="SAPBEXaggItemX 8 9" xfId="13328"/>
    <cellStyle name="SAPBEXaggItemX 8 9 2" xfId="13329"/>
    <cellStyle name="SAPBEXaggItemX 8 9 3" xfId="13330"/>
    <cellStyle name="SAPBEXaggItemX 8_planning-WP" xfId="13331"/>
    <cellStyle name="SAPBEXaggItemX 9" xfId="13332"/>
    <cellStyle name="SAPBEXaggItemX 9 2" xfId="13333"/>
    <cellStyle name="SAPBEXaggItemX 9 2 2" xfId="13334"/>
    <cellStyle name="SAPBEXaggItemX 9 2 3" xfId="13335"/>
    <cellStyle name="SAPBEXaggItemX 9 3" xfId="13336"/>
    <cellStyle name="SAPBEXaggItemX 9 3 2" xfId="13337"/>
    <cellStyle name="SAPBEXaggItemX 9 3 3" xfId="13338"/>
    <cellStyle name="SAPBEXaggItemX 9 4" xfId="13339"/>
    <cellStyle name="SAPBEXaggItemX 9 4 2" xfId="13340"/>
    <cellStyle name="SAPBEXaggItemX 9 4 3" xfId="13341"/>
    <cellStyle name="SAPBEXaggItemX 9 5" xfId="13342"/>
    <cellStyle name="SAPBEXaggItemX 9 5 2" xfId="13343"/>
    <cellStyle name="SAPBEXaggItemX 9 5 3" xfId="13344"/>
    <cellStyle name="SAPBEXaggItemX 9 6" xfId="13345"/>
    <cellStyle name="SAPBEXaggItemX 9 6 2" xfId="13346"/>
    <cellStyle name="SAPBEXaggItemX 9 6 3" xfId="13347"/>
    <cellStyle name="SAPBEXaggItemX 9 7" xfId="13348"/>
    <cellStyle name="SAPBEXaggItemX 9 7 2" xfId="13349"/>
    <cellStyle name="SAPBEXaggItemX 9 7 3" xfId="13350"/>
    <cellStyle name="SAPBEXaggItemX 9 8" xfId="13351"/>
    <cellStyle name="SAPBEXaggItemX 9 8 2" xfId="13352"/>
    <cellStyle name="SAPBEXaggItemX 9 8 3" xfId="13353"/>
    <cellStyle name="SAPBEXaggItemX 9 9" xfId="13354"/>
    <cellStyle name="SAPBEXaggItemX 9_planning-WP" xfId="13355"/>
    <cellStyle name="SAPBEXaggItemX_20.RessDest CUC CS SEU 0909" xfId="38866"/>
    <cellStyle name="SAPBEXchaText" xfId="272"/>
    <cellStyle name="SAPBEXchaText 2" xfId="13357"/>
    <cellStyle name="SAPBEXchaText 2 2" xfId="13358"/>
    <cellStyle name="SAPBEXchaText 3" xfId="13359"/>
    <cellStyle name="SAPBEXchaText 3 10" xfId="13360"/>
    <cellStyle name="SAPBEXchaText 3 10 2" xfId="13361"/>
    <cellStyle name="SAPBEXchaText 3 11" xfId="13362"/>
    <cellStyle name="SAPBEXchaText 3 11 2" xfId="13363"/>
    <cellStyle name="SAPBEXchaText 3 11 3" xfId="13364"/>
    <cellStyle name="SAPBEXchaText 3 12" xfId="13365"/>
    <cellStyle name="SAPBEXchaText 3 12 2" xfId="13366"/>
    <cellStyle name="SAPBEXchaText 3 12 3" xfId="13367"/>
    <cellStyle name="SAPBEXchaText 3 13" xfId="13368"/>
    <cellStyle name="SAPBEXchaText 3 13 2" xfId="13369"/>
    <cellStyle name="SAPBEXchaText 3 13 3" xfId="13370"/>
    <cellStyle name="SAPBEXchaText 3 14" xfId="13371"/>
    <cellStyle name="SAPBEXchaText 3 14 2" xfId="13372"/>
    <cellStyle name="SAPBEXchaText 3 14 3" xfId="13373"/>
    <cellStyle name="SAPBEXchaText 3 15" xfId="13374"/>
    <cellStyle name="SAPBEXchaText 3 15 2" xfId="13375"/>
    <cellStyle name="SAPBEXchaText 3 15 3" xfId="13376"/>
    <cellStyle name="SAPBEXchaText 3 16" xfId="13377"/>
    <cellStyle name="SAPBEXchaText 3 16 2" xfId="13378"/>
    <cellStyle name="SAPBEXchaText 3 16 3" xfId="13379"/>
    <cellStyle name="SAPBEXchaText 3 17" xfId="13380"/>
    <cellStyle name="SAPBEXchaText 3 17 2" xfId="13381"/>
    <cellStyle name="SAPBEXchaText 3 17 3" xfId="13382"/>
    <cellStyle name="SAPBEXchaText 3 18" xfId="13383"/>
    <cellStyle name="SAPBEXchaText 3 19" xfId="38867"/>
    <cellStyle name="SAPBEXchaText 3 2" xfId="13384"/>
    <cellStyle name="SAPBEXchaText 3 2 10" xfId="13385"/>
    <cellStyle name="SAPBEXchaText 3 2 10 2" xfId="13386"/>
    <cellStyle name="SAPBEXchaText 3 2 10 3" xfId="13387"/>
    <cellStyle name="SAPBEXchaText 3 2 11" xfId="13388"/>
    <cellStyle name="SAPBEXchaText 3 2 11 2" xfId="13389"/>
    <cellStyle name="SAPBEXchaText 3 2 11 3" xfId="13390"/>
    <cellStyle name="SAPBEXchaText 3 2 12" xfId="13391"/>
    <cellStyle name="SAPBEXchaText 3 2 12 2" xfId="13392"/>
    <cellStyle name="SAPBEXchaText 3 2 12 3" xfId="13393"/>
    <cellStyle name="SAPBEXchaText 3 2 2" xfId="13394"/>
    <cellStyle name="SAPBEXchaText 3 2 2 10" xfId="13395"/>
    <cellStyle name="SAPBEXchaText 3 2 2 10 2" xfId="13396"/>
    <cellStyle name="SAPBEXchaText 3 2 2 10 3" xfId="13397"/>
    <cellStyle name="SAPBEXchaText 3 2 2 11" xfId="13398"/>
    <cellStyle name="SAPBEXchaText 3 2 2 2" xfId="13399"/>
    <cellStyle name="SAPBEXchaText 3 2 2 2 10" xfId="13400"/>
    <cellStyle name="SAPBEXchaText 3 2 2 2 2" xfId="13401"/>
    <cellStyle name="SAPBEXchaText 3 2 2 2 2 2" xfId="13402"/>
    <cellStyle name="SAPBEXchaText 3 2 2 2 2 3" xfId="13403"/>
    <cellStyle name="SAPBEXchaText 3 2 2 2 3" xfId="13404"/>
    <cellStyle name="SAPBEXchaText 3 2 2 2 3 2" xfId="13405"/>
    <cellStyle name="SAPBEXchaText 3 2 2 2 3 3" xfId="13406"/>
    <cellStyle name="SAPBEXchaText 3 2 2 2 4" xfId="13407"/>
    <cellStyle name="SAPBEXchaText 3 2 2 2 4 2" xfId="13408"/>
    <cellStyle name="SAPBEXchaText 3 2 2 2 4 3" xfId="13409"/>
    <cellStyle name="SAPBEXchaText 3 2 2 2 5" xfId="13410"/>
    <cellStyle name="SAPBEXchaText 3 2 2 2 5 2" xfId="13411"/>
    <cellStyle name="SAPBEXchaText 3 2 2 2 5 3" xfId="13412"/>
    <cellStyle name="SAPBEXchaText 3 2 2 2 6" xfId="13413"/>
    <cellStyle name="SAPBEXchaText 3 2 2 2 6 2" xfId="13414"/>
    <cellStyle name="SAPBEXchaText 3 2 2 2 6 3" xfId="13415"/>
    <cellStyle name="SAPBEXchaText 3 2 2 2 7" xfId="13416"/>
    <cellStyle name="SAPBEXchaText 3 2 2 2 7 2" xfId="13417"/>
    <cellStyle name="SAPBEXchaText 3 2 2 2 7 3" xfId="13418"/>
    <cellStyle name="SAPBEXchaText 3 2 2 2 8" xfId="13419"/>
    <cellStyle name="SAPBEXchaText 3 2 2 2 8 2" xfId="13420"/>
    <cellStyle name="SAPBEXchaText 3 2 2 2 8 3" xfId="13421"/>
    <cellStyle name="SAPBEXchaText 3 2 2 2 9" xfId="13422"/>
    <cellStyle name="SAPBEXchaText 3 2 2 2 9 2" xfId="13423"/>
    <cellStyle name="SAPBEXchaText 3 2 2 2 9 3" xfId="13424"/>
    <cellStyle name="SAPBEXchaText 3 2 2 2_planning-WP" xfId="13425"/>
    <cellStyle name="SAPBEXchaText 3 2 2 3" xfId="13426"/>
    <cellStyle name="SAPBEXchaText 3 2 2 3 2" xfId="13427"/>
    <cellStyle name="SAPBEXchaText 3 2 2 3 3" xfId="13428"/>
    <cellStyle name="SAPBEXchaText 3 2 2 4" xfId="13429"/>
    <cellStyle name="SAPBEXchaText 3 2 2 4 2" xfId="13430"/>
    <cellStyle name="SAPBEXchaText 3 2 2 4 3" xfId="13431"/>
    <cellStyle name="SAPBEXchaText 3 2 2 5" xfId="13432"/>
    <cellStyle name="SAPBEXchaText 3 2 2 5 2" xfId="13433"/>
    <cellStyle name="SAPBEXchaText 3 2 2 5 3" xfId="13434"/>
    <cellStyle name="SAPBEXchaText 3 2 2 6" xfId="13435"/>
    <cellStyle name="SAPBEXchaText 3 2 2 6 2" xfId="13436"/>
    <cellStyle name="SAPBEXchaText 3 2 2 6 3" xfId="13437"/>
    <cellStyle name="SAPBEXchaText 3 2 2 7" xfId="13438"/>
    <cellStyle name="SAPBEXchaText 3 2 2 7 2" xfId="13439"/>
    <cellStyle name="SAPBEXchaText 3 2 2 7 3" xfId="13440"/>
    <cellStyle name="SAPBEXchaText 3 2 2 8" xfId="13441"/>
    <cellStyle name="SAPBEXchaText 3 2 2 8 2" xfId="13442"/>
    <cellStyle name="SAPBEXchaText 3 2 2 8 3" xfId="13443"/>
    <cellStyle name="SAPBEXchaText 3 2 2 9" xfId="13444"/>
    <cellStyle name="SAPBEXchaText 3 2 2 9 2" xfId="13445"/>
    <cellStyle name="SAPBEXchaText 3 2 2 9 3" xfId="13446"/>
    <cellStyle name="SAPBEXchaText 3 2 2_planning-WP" xfId="13447"/>
    <cellStyle name="SAPBEXchaText 3 2 3" xfId="13448"/>
    <cellStyle name="SAPBEXchaText 3 2 3 10" xfId="13449"/>
    <cellStyle name="SAPBEXchaText 3 2 3 2" xfId="13450"/>
    <cellStyle name="SAPBEXchaText 3 2 3 2 2" xfId="13451"/>
    <cellStyle name="SAPBEXchaText 3 2 3 2 3" xfId="13452"/>
    <cellStyle name="SAPBEXchaText 3 2 3 3" xfId="13453"/>
    <cellStyle name="SAPBEXchaText 3 2 3 3 2" xfId="13454"/>
    <cellStyle name="SAPBEXchaText 3 2 3 3 3" xfId="13455"/>
    <cellStyle name="SAPBEXchaText 3 2 3 4" xfId="13456"/>
    <cellStyle name="SAPBEXchaText 3 2 3 4 2" xfId="13457"/>
    <cellStyle name="SAPBEXchaText 3 2 3 4 3" xfId="13458"/>
    <cellStyle name="SAPBEXchaText 3 2 3 5" xfId="13459"/>
    <cellStyle name="SAPBEXchaText 3 2 3 5 2" xfId="13460"/>
    <cellStyle name="SAPBEXchaText 3 2 3 5 3" xfId="13461"/>
    <cellStyle name="SAPBEXchaText 3 2 3 6" xfId="13462"/>
    <cellStyle name="SAPBEXchaText 3 2 3 6 2" xfId="13463"/>
    <cellStyle name="SAPBEXchaText 3 2 3 6 3" xfId="13464"/>
    <cellStyle name="SAPBEXchaText 3 2 3 7" xfId="13465"/>
    <cellStyle name="SAPBEXchaText 3 2 3 7 2" xfId="13466"/>
    <cellStyle name="SAPBEXchaText 3 2 3 7 3" xfId="13467"/>
    <cellStyle name="SAPBEXchaText 3 2 3 8" xfId="13468"/>
    <cellStyle name="SAPBEXchaText 3 2 3 8 2" xfId="13469"/>
    <cellStyle name="SAPBEXchaText 3 2 3 8 3" xfId="13470"/>
    <cellStyle name="SAPBEXchaText 3 2 3 9" xfId="13471"/>
    <cellStyle name="SAPBEXchaText 3 2 3 9 2" xfId="13472"/>
    <cellStyle name="SAPBEXchaText 3 2 3 9 3" xfId="13473"/>
    <cellStyle name="SAPBEXchaText 3 2 3_planning-WP" xfId="13474"/>
    <cellStyle name="SAPBEXchaText 3 2 4" xfId="13475"/>
    <cellStyle name="SAPBEXchaText 3 2 4 2" xfId="13476"/>
    <cellStyle name="SAPBEXchaText 3 2 4 2 2" xfId="13477"/>
    <cellStyle name="SAPBEXchaText 3 2 4 2 3" xfId="13478"/>
    <cellStyle name="SAPBEXchaText 3 2 4 3" xfId="13479"/>
    <cellStyle name="SAPBEXchaText 3 2 4 3 2" xfId="13480"/>
    <cellStyle name="SAPBEXchaText 3 2 4 3 3" xfId="13481"/>
    <cellStyle name="SAPBEXchaText 3 2 4 4" xfId="13482"/>
    <cellStyle name="SAPBEXchaText 3 2 4 4 2" xfId="13483"/>
    <cellStyle name="SAPBEXchaText 3 2 4 4 3" xfId="13484"/>
    <cellStyle name="SAPBEXchaText 3 2 4 5" xfId="13485"/>
    <cellStyle name="SAPBEXchaText 3 2 4 5 2" xfId="13486"/>
    <cellStyle name="SAPBEXchaText 3 2 4 5 3" xfId="13487"/>
    <cellStyle name="SAPBEXchaText 3 2 4 6" xfId="13488"/>
    <cellStyle name="SAPBEXchaText 3 2 4 6 2" xfId="13489"/>
    <cellStyle name="SAPBEXchaText 3 2 4 6 3" xfId="13490"/>
    <cellStyle name="SAPBEXchaText 3 2 4 7" xfId="13491"/>
    <cellStyle name="SAPBEXchaText 3 2 4 7 2" xfId="13492"/>
    <cellStyle name="SAPBEXchaText 3 2 4 7 3" xfId="13493"/>
    <cellStyle name="SAPBEXchaText 3 2 4 8" xfId="13494"/>
    <cellStyle name="SAPBEXchaText 3 2 4 8 2" xfId="13495"/>
    <cellStyle name="SAPBEXchaText 3 2 4 8 3" xfId="13496"/>
    <cellStyle name="SAPBEXchaText 3 2 4 9" xfId="13497"/>
    <cellStyle name="SAPBEXchaText 3 2 4_planning-WP" xfId="13498"/>
    <cellStyle name="SAPBEXchaText 3 2 5" xfId="13499"/>
    <cellStyle name="SAPBEXchaText 3 2 5 2" xfId="13500"/>
    <cellStyle name="SAPBEXchaText 3 2 6" xfId="13501"/>
    <cellStyle name="SAPBEXchaText 3 2 6 2" xfId="13502"/>
    <cellStyle name="SAPBEXchaText 3 2 6 3" xfId="13503"/>
    <cellStyle name="SAPBEXchaText 3 2 7" xfId="13504"/>
    <cellStyle name="SAPBEXchaText 3 2 7 2" xfId="13505"/>
    <cellStyle name="SAPBEXchaText 3 2 7 3" xfId="13506"/>
    <cellStyle name="SAPBEXchaText 3 2 8" xfId="13507"/>
    <cellStyle name="SAPBEXchaText 3 2 8 2" xfId="13508"/>
    <cellStyle name="SAPBEXchaText 3 2 8 3" xfId="13509"/>
    <cellStyle name="SAPBEXchaText 3 2 9" xfId="13510"/>
    <cellStyle name="SAPBEXchaText 3 2 9 2" xfId="13511"/>
    <cellStyle name="SAPBEXchaText 3 2 9 3" xfId="13512"/>
    <cellStyle name="SAPBEXchaText 3 2_planning-WP" xfId="13513"/>
    <cellStyle name="SAPBEXchaText 3 20" xfId="39282"/>
    <cellStyle name="SAPBEXchaText 3 21" xfId="39228"/>
    <cellStyle name="SAPBEXchaText 3 3" xfId="13514"/>
    <cellStyle name="SAPBEXchaText 3 3 10" xfId="13515"/>
    <cellStyle name="SAPBEXchaText 3 3 10 2" xfId="13516"/>
    <cellStyle name="SAPBEXchaText 3 3 10 3" xfId="13517"/>
    <cellStyle name="SAPBEXchaText 3 3 11" xfId="13518"/>
    <cellStyle name="SAPBEXchaText 3 3 11 2" xfId="13519"/>
    <cellStyle name="SAPBEXchaText 3 3 11 3" xfId="13520"/>
    <cellStyle name="SAPBEXchaText 3 3 12" xfId="13521"/>
    <cellStyle name="SAPBEXchaText 3 3 12 2" xfId="13522"/>
    <cellStyle name="SAPBEXchaText 3 3 12 3" xfId="13523"/>
    <cellStyle name="SAPBEXchaText 3 3 2" xfId="13524"/>
    <cellStyle name="SAPBEXchaText 3 3 2 10" xfId="13525"/>
    <cellStyle name="SAPBEXchaText 3 3 2 10 2" xfId="13526"/>
    <cellStyle name="SAPBEXchaText 3 3 2 10 3" xfId="13527"/>
    <cellStyle name="SAPBEXchaText 3 3 2 11" xfId="13528"/>
    <cellStyle name="SAPBEXchaText 3 3 2 2" xfId="13529"/>
    <cellStyle name="SAPBEXchaText 3 3 2 2 10" xfId="13530"/>
    <cellStyle name="SAPBEXchaText 3 3 2 2 2" xfId="13531"/>
    <cellStyle name="SAPBEXchaText 3 3 2 2 2 2" xfId="13532"/>
    <cellStyle name="SAPBEXchaText 3 3 2 2 2 3" xfId="13533"/>
    <cellStyle name="SAPBEXchaText 3 3 2 2 3" xfId="13534"/>
    <cellStyle name="SAPBEXchaText 3 3 2 2 3 2" xfId="13535"/>
    <cellStyle name="SAPBEXchaText 3 3 2 2 3 3" xfId="13536"/>
    <cellStyle name="SAPBEXchaText 3 3 2 2 4" xfId="13537"/>
    <cellStyle name="SAPBEXchaText 3 3 2 2 4 2" xfId="13538"/>
    <cellStyle name="SAPBEXchaText 3 3 2 2 4 3" xfId="13539"/>
    <cellStyle name="SAPBEXchaText 3 3 2 2 5" xfId="13540"/>
    <cellStyle name="SAPBEXchaText 3 3 2 2 5 2" xfId="13541"/>
    <cellStyle name="SAPBEXchaText 3 3 2 2 5 3" xfId="13542"/>
    <cellStyle name="SAPBEXchaText 3 3 2 2 6" xfId="13543"/>
    <cellStyle name="SAPBEXchaText 3 3 2 2 6 2" xfId="13544"/>
    <cellStyle name="SAPBEXchaText 3 3 2 2 6 3" xfId="13545"/>
    <cellStyle name="SAPBEXchaText 3 3 2 2 7" xfId="13546"/>
    <cellStyle name="SAPBEXchaText 3 3 2 2 7 2" xfId="13547"/>
    <cellStyle name="SAPBEXchaText 3 3 2 2 7 3" xfId="13548"/>
    <cellStyle name="SAPBEXchaText 3 3 2 2 8" xfId="13549"/>
    <cellStyle name="SAPBEXchaText 3 3 2 2 8 2" xfId="13550"/>
    <cellStyle name="SAPBEXchaText 3 3 2 2 8 3" xfId="13551"/>
    <cellStyle name="SAPBEXchaText 3 3 2 2 9" xfId="13552"/>
    <cellStyle name="SAPBEXchaText 3 3 2 2 9 2" xfId="13553"/>
    <cellStyle name="SAPBEXchaText 3 3 2 2 9 3" xfId="13554"/>
    <cellStyle name="SAPBEXchaText 3 3 2 2_planning-WP" xfId="13555"/>
    <cellStyle name="SAPBEXchaText 3 3 2 3" xfId="13556"/>
    <cellStyle name="SAPBEXchaText 3 3 2 3 2" xfId="13557"/>
    <cellStyle name="SAPBEXchaText 3 3 2 3 3" xfId="13558"/>
    <cellStyle name="SAPBEXchaText 3 3 2 4" xfId="13559"/>
    <cellStyle name="SAPBEXchaText 3 3 2 4 2" xfId="13560"/>
    <cellStyle name="SAPBEXchaText 3 3 2 4 3" xfId="13561"/>
    <cellStyle name="SAPBEXchaText 3 3 2 5" xfId="13562"/>
    <cellStyle name="SAPBEXchaText 3 3 2 5 2" xfId="13563"/>
    <cellStyle name="SAPBEXchaText 3 3 2 5 3" xfId="13564"/>
    <cellStyle name="SAPBEXchaText 3 3 2 6" xfId="13565"/>
    <cellStyle name="SAPBEXchaText 3 3 2 6 2" xfId="13566"/>
    <cellStyle name="SAPBEXchaText 3 3 2 6 3" xfId="13567"/>
    <cellStyle name="SAPBEXchaText 3 3 2 7" xfId="13568"/>
    <cellStyle name="SAPBEXchaText 3 3 2 7 2" xfId="13569"/>
    <cellStyle name="SAPBEXchaText 3 3 2 7 3" xfId="13570"/>
    <cellStyle name="SAPBEXchaText 3 3 2 8" xfId="13571"/>
    <cellStyle name="SAPBEXchaText 3 3 2 8 2" xfId="13572"/>
    <cellStyle name="SAPBEXchaText 3 3 2 8 3" xfId="13573"/>
    <cellStyle name="SAPBEXchaText 3 3 2 9" xfId="13574"/>
    <cellStyle name="SAPBEXchaText 3 3 2 9 2" xfId="13575"/>
    <cellStyle name="SAPBEXchaText 3 3 2 9 3" xfId="13576"/>
    <cellStyle name="SAPBEXchaText 3 3 2_planning-WP" xfId="13577"/>
    <cellStyle name="SAPBEXchaText 3 3 3" xfId="13578"/>
    <cellStyle name="SAPBEXchaText 3 3 3 10" xfId="13579"/>
    <cellStyle name="SAPBEXchaText 3 3 3 2" xfId="13580"/>
    <cellStyle name="SAPBEXchaText 3 3 3 2 2" xfId="13581"/>
    <cellStyle name="SAPBEXchaText 3 3 3 2 3" xfId="13582"/>
    <cellStyle name="SAPBEXchaText 3 3 3 3" xfId="13583"/>
    <cellStyle name="SAPBEXchaText 3 3 3 3 2" xfId="13584"/>
    <cellStyle name="SAPBEXchaText 3 3 3 3 3" xfId="13585"/>
    <cellStyle name="SAPBEXchaText 3 3 3 4" xfId="13586"/>
    <cellStyle name="SAPBEXchaText 3 3 3 4 2" xfId="13587"/>
    <cellStyle name="SAPBEXchaText 3 3 3 4 3" xfId="13588"/>
    <cellStyle name="SAPBEXchaText 3 3 3 5" xfId="13589"/>
    <cellStyle name="SAPBEXchaText 3 3 3 5 2" xfId="13590"/>
    <cellStyle name="SAPBEXchaText 3 3 3 5 3" xfId="13591"/>
    <cellStyle name="SAPBEXchaText 3 3 3 6" xfId="13592"/>
    <cellStyle name="SAPBEXchaText 3 3 3 6 2" xfId="13593"/>
    <cellStyle name="SAPBEXchaText 3 3 3 6 3" xfId="13594"/>
    <cellStyle name="SAPBEXchaText 3 3 3 7" xfId="13595"/>
    <cellStyle name="SAPBEXchaText 3 3 3 7 2" xfId="13596"/>
    <cellStyle name="SAPBEXchaText 3 3 3 7 3" xfId="13597"/>
    <cellStyle name="SAPBEXchaText 3 3 3 8" xfId="13598"/>
    <cellStyle name="SAPBEXchaText 3 3 3 8 2" xfId="13599"/>
    <cellStyle name="SAPBEXchaText 3 3 3 8 3" xfId="13600"/>
    <cellStyle name="SAPBEXchaText 3 3 3 9" xfId="13601"/>
    <cellStyle name="SAPBEXchaText 3 3 3 9 2" xfId="13602"/>
    <cellStyle name="SAPBEXchaText 3 3 3 9 3" xfId="13603"/>
    <cellStyle name="SAPBEXchaText 3 3 3_planning-WP" xfId="13604"/>
    <cellStyle name="SAPBEXchaText 3 3 4" xfId="13605"/>
    <cellStyle name="SAPBEXchaText 3 3 4 2" xfId="13606"/>
    <cellStyle name="SAPBEXchaText 3 3 4 2 2" xfId="13607"/>
    <cellStyle name="SAPBEXchaText 3 3 4 2 3" xfId="13608"/>
    <cellStyle name="SAPBEXchaText 3 3 4 3" xfId="13609"/>
    <cellStyle name="SAPBEXchaText 3 3 4 3 2" xfId="13610"/>
    <cellStyle name="SAPBEXchaText 3 3 4 3 3" xfId="13611"/>
    <cellStyle name="SAPBEXchaText 3 3 4 4" xfId="13612"/>
    <cellStyle name="SAPBEXchaText 3 3 4 4 2" xfId="13613"/>
    <cellStyle name="SAPBEXchaText 3 3 4 4 3" xfId="13614"/>
    <cellStyle name="SAPBEXchaText 3 3 4 5" xfId="13615"/>
    <cellStyle name="SAPBEXchaText 3 3 4 5 2" xfId="13616"/>
    <cellStyle name="SAPBEXchaText 3 3 4 5 3" xfId="13617"/>
    <cellStyle name="SAPBEXchaText 3 3 4 6" xfId="13618"/>
    <cellStyle name="SAPBEXchaText 3 3 4 6 2" xfId="13619"/>
    <cellStyle name="SAPBEXchaText 3 3 4 6 3" xfId="13620"/>
    <cellStyle name="SAPBEXchaText 3 3 4 7" xfId="13621"/>
    <cellStyle name="SAPBEXchaText 3 3 4 7 2" xfId="13622"/>
    <cellStyle name="SAPBEXchaText 3 3 4 7 3" xfId="13623"/>
    <cellStyle name="SAPBEXchaText 3 3 4 8" xfId="13624"/>
    <cellStyle name="SAPBEXchaText 3 3 4 8 2" xfId="13625"/>
    <cellStyle name="SAPBEXchaText 3 3 4 8 3" xfId="13626"/>
    <cellStyle name="SAPBEXchaText 3 3 4 9" xfId="13627"/>
    <cellStyle name="SAPBEXchaText 3 3 4_planning-WP" xfId="13628"/>
    <cellStyle name="SAPBEXchaText 3 3 5" xfId="13629"/>
    <cellStyle name="SAPBEXchaText 3 3 5 2" xfId="13630"/>
    <cellStyle name="SAPBEXchaText 3 3 6" xfId="13631"/>
    <cellStyle name="SAPBEXchaText 3 3 6 2" xfId="13632"/>
    <cellStyle name="SAPBEXchaText 3 3 6 3" xfId="13633"/>
    <cellStyle name="SAPBEXchaText 3 3 7" xfId="13634"/>
    <cellStyle name="SAPBEXchaText 3 3 7 2" xfId="13635"/>
    <cellStyle name="SAPBEXchaText 3 3 7 3" xfId="13636"/>
    <cellStyle name="SAPBEXchaText 3 3 8" xfId="13637"/>
    <cellStyle name="SAPBEXchaText 3 3 8 2" xfId="13638"/>
    <cellStyle name="SAPBEXchaText 3 3 8 3" xfId="13639"/>
    <cellStyle name="SAPBEXchaText 3 3 9" xfId="13640"/>
    <cellStyle name="SAPBEXchaText 3 3 9 2" xfId="13641"/>
    <cellStyle name="SAPBEXchaText 3 3 9 3" xfId="13642"/>
    <cellStyle name="SAPBEXchaText 3 3_planning-WP" xfId="13643"/>
    <cellStyle name="SAPBEXchaText 3 4" xfId="13644"/>
    <cellStyle name="SAPBEXchaText 3 4 10" xfId="13645"/>
    <cellStyle name="SAPBEXchaText 3 4 10 2" xfId="13646"/>
    <cellStyle name="SAPBEXchaText 3 4 10 3" xfId="13647"/>
    <cellStyle name="SAPBEXchaText 3 4 11" xfId="13648"/>
    <cellStyle name="SAPBEXchaText 3 4 11 2" xfId="13649"/>
    <cellStyle name="SAPBEXchaText 3 4 11 3" xfId="13650"/>
    <cellStyle name="SAPBEXchaText 3 4 12" xfId="13651"/>
    <cellStyle name="SAPBEXchaText 3 4 12 2" xfId="13652"/>
    <cellStyle name="SAPBEXchaText 3 4 12 3" xfId="13653"/>
    <cellStyle name="SAPBEXchaText 3 4 2" xfId="13654"/>
    <cellStyle name="SAPBEXchaText 3 4 2 10" xfId="13655"/>
    <cellStyle name="SAPBEXchaText 3 4 2 10 2" xfId="13656"/>
    <cellStyle name="SAPBEXchaText 3 4 2 10 3" xfId="13657"/>
    <cellStyle name="SAPBEXchaText 3 4 2 11" xfId="13658"/>
    <cellStyle name="SAPBEXchaText 3 4 2 2" xfId="13659"/>
    <cellStyle name="SAPBEXchaText 3 4 2 2 10" xfId="13660"/>
    <cellStyle name="SAPBEXchaText 3 4 2 2 2" xfId="13661"/>
    <cellStyle name="SAPBEXchaText 3 4 2 2 2 2" xfId="13662"/>
    <cellStyle name="SAPBEXchaText 3 4 2 2 2 3" xfId="13663"/>
    <cellStyle name="SAPBEXchaText 3 4 2 2 3" xfId="13664"/>
    <cellStyle name="SAPBEXchaText 3 4 2 2 3 2" xfId="13665"/>
    <cellStyle name="SAPBEXchaText 3 4 2 2 3 3" xfId="13666"/>
    <cellStyle name="SAPBEXchaText 3 4 2 2 4" xfId="13667"/>
    <cellStyle name="SAPBEXchaText 3 4 2 2 4 2" xfId="13668"/>
    <cellStyle name="SAPBEXchaText 3 4 2 2 4 3" xfId="13669"/>
    <cellStyle name="SAPBEXchaText 3 4 2 2 5" xfId="13670"/>
    <cellStyle name="SAPBEXchaText 3 4 2 2 5 2" xfId="13671"/>
    <cellStyle name="SAPBEXchaText 3 4 2 2 5 3" xfId="13672"/>
    <cellStyle name="SAPBEXchaText 3 4 2 2 6" xfId="13673"/>
    <cellStyle name="SAPBEXchaText 3 4 2 2 6 2" xfId="13674"/>
    <cellStyle name="SAPBEXchaText 3 4 2 2 6 3" xfId="13675"/>
    <cellStyle name="SAPBEXchaText 3 4 2 2 7" xfId="13676"/>
    <cellStyle name="SAPBEXchaText 3 4 2 2 7 2" xfId="13677"/>
    <cellStyle name="SAPBEXchaText 3 4 2 2 7 3" xfId="13678"/>
    <cellStyle name="SAPBEXchaText 3 4 2 2 8" xfId="13679"/>
    <cellStyle name="SAPBEXchaText 3 4 2 2 8 2" xfId="13680"/>
    <cellStyle name="SAPBEXchaText 3 4 2 2 8 3" xfId="13681"/>
    <cellStyle name="SAPBEXchaText 3 4 2 2 9" xfId="13682"/>
    <cellStyle name="SAPBEXchaText 3 4 2 2 9 2" xfId="13683"/>
    <cellStyle name="SAPBEXchaText 3 4 2 2 9 3" xfId="13684"/>
    <cellStyle name="SAPBEXchaText 3 4 2 2_planning-WP" xfId="13685"/>
    <cellStyle name="SAPBEXchaText 3 4 2 3" xfId="13686"/>
    <cellStyle name="SAPBEXchaText 3 4 2 3 2" xfId="13687"/>
    <cellStyle name="SAPBEXchaText 3 4 2 3 3" xfId="13688"/>
    <cellStyle name="SAPBEXchaText 3 4 2 4" xfId="13689"/>
    <cellStyle name="SAPBEXchaText 3 4 2 4 2" xfId="13690"/>
    <cellStyle name="SAPBEXchaText 3 4 2 4 3" xfId="13691"/>
    <cellStyle name="SAPBEXchaText 3 4 2 5" xfId="13692"/>
    <cellStyle name="SAPBEXchaText 3 4 2 5 2" xfId="13693"/>
    <cellStyle name="SAPBEXchaText 3 4 2 5 3" xfId="13694"/>
    <cellStyle name="SAPBEXchaText 3 4 2 6" xfId="13695"/>
    <cellStyle name="SAPBEXchaText 3 4 2 6 2" xfId="13696"/>
    <cellStyle name="SAPBEXchaText 3 4 2 6 3" xfId="13697"/>
    <cellStyle name="SAPBEXchaText 3 4 2 7" xfId="13698"/>
    <cellStyle name="SAPBEXchaText 3 4 2 7 2" xfId="13699"/>
    <cellStyle name="SAPBEXchaText 3 4 2 7 3" xfId="13700"/>
    <cellStyle name="SAPBEXchaText 3 4 2 8" xfId="13701"/>
    <cellStyle name="SAPBEXchaText 3 4 2 8 2" xfId="13702"/>
    <cellStyle name="SAPBEXchaText 3 4 2 8 3" xfId="13703"/>
    <cellStyle name="SAPBEXchaText 3 4 2 9" xfId="13704"/>
    <cellStyle name="SAPBEXchaText 3 4 2 9 2" xfId="13705"/>
    <cellStyle name="SAPBEXchaText 3 4 2 9 3" xfId="13706"/>
    <cellStyle name="SAPBEXchaText 3 4 2_planning-WP" xfId="13707"/>
    <cellStyle name="SAPBEXchaText 3 4 3" xfId="13708"/>
    <cellStyle name="SAPBEXchaText 3 4 3 10" xfId="13709"/>
    <cellStyle name="SAPBEXchaText 3 4 3 2" xfId="13710"/>
    <cellStyle name="SAPBEXchaText 3 4 3 2 2" xfId="13711"/>
    <cellStyle name="SAPBEXchaText 3 4 3 2 3" xfId="13712"/>
    <cellStyle name="SAPBEXchaText 3 4 3 3" xfId="13713"/>
    <cellStyle name="SAPBEXchaText 3 4 3 3 2" xfId="13714"/>
    <cellStyle name="SAPBEXchaText 3 4 3 3 3" xfId="13715"/>
    <cellStyle name="SAPBEXchaText 3 4 3 4" xfId="13716"/>
    <cellStyle name="SAPBEXchaText 3 4 3 4 2" xfId="13717"/>
    <cellStyle name="SAPBEXchaText 3 4 3 4 3" xfId="13718"/>
    <cellStyle name="SAPBEXchaText 3 4 3 5" xfId="13719"/>
    <cellStyle name="SAPBEXchaText 3 4 3 5 2" xfId="13720"/>
    <cellStyle name="SAPBEXchaText 3 4 3 5 3" xfId="13721"/>
    <cellStyle name="SAPBEXchaText 3 4 3 6" xfId="13722"/>
    <cellStyle name="SAPBEXchaText 3 4 3 6 2" xfId="13723"/>
    <cellStyle name="SAPBEXchaText 3 4 3 6 3" xfId="13724"/>
    <cellStyle name="SAPBEXchaText 3 4 3 7" xfId="13725"/>
    <cellStyle name="SAPBEXchaText 3 4 3 7 2" xfId="13726"/>
    <cellStyle name="SAPBEXchaText 3 4 3 7 3" xfId="13727"/>
    <cellStyle name="SAPBEXchaText 3 4 3 8" xfId="13728"/>
    <cellStyle name="SAPBEXchaText 3 4 3 8 2" xfId="13729"/>
    <cellStyle name="SAPBEXchaText 3 4 3 8 3" xfId="13730"/>
    <cellStyle name="SAPBEXchaText 3 4 3 9" xfId="13731"/>
    <cellStyle name="SAPBEXchaText 3 4 3 9 2" xfId="13732"/>
    <cellStyle name="SAPBEXchaText 3 4 3 9 3" xfId="13733"/>
    <cellStyle name="SAPBEXchaText 3 4 3_planning-WP" xfId="13734"/>
    <cellStyle name="SAPBEXchaText 3 4 4" xfId="13735"/>
    <cellStyle name="SAPBEXchaText 3 4 4 2" xfId="13736"/>
    <cellStyle name="SAPBEXchaText 3 4 4 2 2" xfId="13737"/>
    <cellStyle name="SAPBEXchaText 3 4 4 2 3" xfId="13738"/>
    <cellStyle name="SAPBEXchaText 3 4 4 3" xfId="13739"/>
    <cellStyle name="SAPBEXchaText 3 4 4 3 2" xfId="13740"/>
    <cellStyle name="SAPBEXchaText 3 4 4 3 3" xfId="13741"/>
    <cellStyle name="SAPBEXchaText 3 4 4 4" xfId="13742"/>
    <cellStyle name="SAPBEXchaText 3 4 4 4 2" xfId="13743"/>
    <cellStyle name="SAPBEXchaText 3 4 4 4 3" xfId="13744"/>
    <cellStyle name="SAPBEXchaText 3 4 4 5" xfId="13745"/>
    <cellStyle name="SAPBEXchaText 3 4 4 5 2" xfId="13746"/>
    <cellStyle name="SAPBEXchaText 3 4 4 5 3" xfId="13747"/>
    <cellStyle name="SAPBEXchaText 3 4 4 6" xfId="13748"/>
    <cellStyle name="SAPBEXchaText 3 4 4 6 2" xfId="13749"/>
    <cellStyle name="SAPBEXchaText 3 4 4 6 3" xfId="13750"/>
    <cellStyle name="SAPBEXchaText 3 4 4 7" xfId="13751"/>
    <cellStyle name="SAPBEXchaText 3 4 4 7 2" xfId="13752"/>
    <cellStyle name="SAPBEXchaText 3 4 4 7 3" xfId="13753"/>
    <cellStyle name="SAPBEXchaText 3 4 4 8" xfId="13754"/>
    <cellStyle name="SAPBEXchaText 3 4 4 8 2" xfId="13755"/>
    <cellStyle name="SAPBEXchaText 3 4 4 8 3" xfId="13756"/>
    <cellStyle name="SAPBEXchaText 3 4 4 9" xfId="13757"/>
    <cellStyle name="SAPBEXchaText 3 4 4_planning-WP" xfId="13758"/>
    <cellStyle name="SAPBEXchaText 3 4 5" xfId="13759"/>
    <cellStyle name="SAPBEXchaText 3 4 5 2" xfId="13760"/>
    <cellStyle name="SAPBEXchaText 3 4 6" xfId="13761"/>
    <cellStyle name="SAPBEXchaText 3 4 6 2" xfId="13762"/>
    <cellStyle name="SAPBEXchaText 3 4 6 3" xfId="13763"/>
    <cellStyle name="SAPBEXchaText 3 4 7" xfId="13764"/>
    <cellStyle name="SAPBEXchaText 3 4 7 2" xfId="13765"/>
    <cellStyle name="SAPBEXchaText 3 4 7 3" xfId="13766"/>
    <cellStyle name="SAPBEXchaText 3 4 8" xfId="13767"/>
    <cellStyle name="SAPBEXchaText 3 4 8 2" xfId="13768"/>
    <cellStyle name="SAPBEXchaText 3 4 8 3" xfId="13769"/>
    <cellStyle name="SAPBEXchaText 3 4 9" xfId="13770"/>
    <cellStyle name="SAPBEXchaText 3 4 9 2" xfId="13771"/>
    <cellStyle name="SAPBEXchaText 3 4 9 3" xfId="13772"/>
    <cellStyle name="SAPBEXchaText 3 4_planning-WP" xfId="13773"/>
    <cellStyle name="SAPBEXchaText 3 5" xfId="13774"/>
    <cellStyle name="SAPBEXchaText 3 5 10" xfId="13775"/>
    <cellStyle name="SAPBEXchaText 3 5 10 2" xfId="13776"/>
    <cellStyle name="SAPBEXchaText 3 5 10 3" xfId="13777"/>
    <cellStyle name="SAPBEXchaText 3 5 11" xfId="13778"/>
    <cellStyle name="SAPBEXchaText 3 5 11 2" xfId="13779"/>
    <cellStyle name="SAPBEXchaText 3 5 11 3" xfId="13780"/>
    <cellStyle name="SAPBEXchaText 3 5 12" xfId="13781"/>
    <cellStyle name="SAPBEXchaText 3 5 12 2" xfId="13782"/>
    <cellStyle name="SAPBEXchaText 3 5 12 3" xfId="13783"/>
    <cellStyle name="SAPBEXchaText 3 5 2" xfId="13784"/>
    <cellStyle name="SAPBEXchaText 3 5 2 10" xfId="13785"/>
    <cellStyle name="SAPBEXchaText 3 5 2 10 2" xfId="13786"/>
    <cellStyle name="SAPBEXchaText 3 5 2 10 3" xfId="13787"/>
    <cellStyle name="SAPBEXchaText 3 5 2 11" xfId="13788"/>
    <cellStyle name="SAPBEXchaText 3 5 2 2" xfId="13789"/>
    <cellStyle name="SAPBEXchaText 3 5 2 2 10" xfId="13790"/>
    <cellStyle name="SAPBEXchaText 3 5 2 2 2" xfId="13791"/>
    <cellStyle name="SAPBEXchaText 3 5 2 2 2 2" xfId="13792"/>
    <cellStyle name="SAPBEXchaText 3 5 2 2 2 3" xfId="13793"/>
    <cellStyle name="SAPBEXchaText 3 5 2 2 3" xfId="13794"/>
    <cellStyle name="SAPBEXchaText 3 5 2 2 3 2" xfId="13795"/>
    <cellStyle name="SAPBEXchaText 3 5 2 2 3 3" xfId="13796"/>
    <cellStyle name="SAPBEXchaText 3 5 2 2 4" xfId="13797"/>
    <cellStyle name="SAPBEXchaText 3 5 2 2 4 2" xfId="13798"/>
    <cellStyle name="SAPBEXchaText 3 5 2 2 4 3" xfId="13799"/>
    <cellStyle name="SAPBEXchaText 3 5 2 2 5" xfId="13800"/>
    <cellStyle name="SAPBEXchaText 3 5 2 2 5 2" xfId="13801"/>
    <cellStyle name="SAPBEXchaText 3 5 2 2 5 3" xfId="13802"/>
    <cellStyle name="SAPBEXchaText 3 5 2 2 6" xfId="13803"/>
    <cellStyle name="SAPBEXchaText 3 5 2 2 6 2" xfId="13804"/>
    <cellStyle name="SAPBEXchaText 3 5 2 2 6 3" xfId="13805"/>
    <cellStyle name="SAPBEXchaText 3 5 2 2 7" xfId="13806"/>
    <cellStyle name="SAPBEXchaText 3 5 2 2 7 2" xfId="13807"/>
    <cellStyle name="SAPBEXchaText 3 5 2 2 7 3" xfId="13808"/>
    <cellStyle name="SAPBEXchaText 3 5 2 2 8" xfId="13809"/>
    <cellStyle name="SAPBEXchaText 3 5 2 2 8 2" xfId="13810"/>
    <cellStyle name="SAPBEXchaText 3 5 2 2 8 3" xfId="13811"/>
    <cellStyle name="SAPBEXchaText 3 5 2 2 9" xfId="13812"/>
    <cellStyle name="SAPBEXchaText 3 5 2 2 9 2" xfId="13813"/>
    <cellStyle name="SAPBEXchaText 3 5 2 2 9 3" xfId="13814"/>
    <cellStyle name="SAPBEXchaText 3 5 2 2_planning-WP" xfId="13815"/>
    <cellStyle name="SAPBEXchaText 3 5 2 3" xfId="13816"/>
    <cellStyle name="SAPBEXchaText 3 5 2 3 2" xfId="13817"/>
    <cellStyle name="SAPBEXchaText 3 5 2 3 3" xfId="13818"/>
    <cellStyle name="SAPBEXchaText 3 5 2 4" xfId="13819"/>
    <cellStyle name="SAPBEXchaText 3 5 2 4 2" xfId="13820"/>
    <cellStyle name="SAPBEXchaText 3 5 2 4 3" xfId="13821"/>
    <cellStyle name="SAPBEXchaText 3 5 2 5" xfId="13822"/>
    <cellStyle name="SAPBEXchaText 3 5 2 5 2" xfId="13823"/>
    <cellStyle name="SAPBEXchaText 3 5 2 5 3" xfId="13824"/>
    <cellStyle name="SAPBEXchaText 3 5 2 6" xfId="13825"/>
    <cellStyle name="SAPBEXchaText 3 5 2 6 2" xfId="13826"/>
    <cellStyle name="SAPBEXchaText 3 5 2 6 3" xfId="13827"/>
    <cellStyle name="SAPBEXchaText 3 5 2 7" xfId="13828"/>
    <cellStyle name="SAPBEXchaText 3 5 2 7 2" xfId="13829"/>
    <cellStyle name="SAPBEXchaText 3 5 2 7 3" xfId="13830"/>
    <cellStyle name="SAPBEXchaText 3 5 2 8" xfId="13831"/>
    <cellStyle name="SAPBEXchaText 3 5 2 8 2" xfId="13832"/>
    <cellStyle name="SAPBEXchaText 3 5 2 8 3" xfId="13833"/>
    <cellStyle name="SAPBEXchaText 3 5 2 9" xfId="13834"/>
    <cellStyle name="SAPBEXchaText 3 5 2 9 2" xfId="13835"/>
    <cellStyle name="SAPBEXchaText 3 5 2 9 3" xfId="13836"/>
    <cellStyle name="SAPBEXchaText 3 5 2_planning-WP" xfId="13837"/>
    <cellStyle name="SAPBEXchaText 3 5 3" xfId="13838"/>
    <cellStyle name="SAPBEXchaText 3 5 3 10" xfId="13839"/>
    <cellStyle name="SAPBEXchaText 3 5 3 2" xfId="13840"/>
    <cellStyle name="SAPBEXchaText 3 5 3 2 2" xfId="13841"/>
    <cellStyle name="SAPBEXchaText 3 5 3 2 3" xfId="13842"/>
    <cellStyle name="SAPBEXchaText 3 5 3 3" xfId="13843"/>
    <cellStyle name="SAPBEXchaText 3 5 3 3 2" xfId="13844"/>
    <cellStyle name="SAPBEXchaText 3 5 3 3 3" xfId="13845"/>
    <cellStyle name="SAPBEXchaText 3 5 3 4" xfId="13846"/>
    <cellStyle name="SAPBEXchaText 3 5 3 4 2" xfId="13847"/>
    <cellStyle name="SAPBEXchaText 3 5 3 4 3" xfId="13848"/>
    <cellStyle name="SAPBEXchaText 3 5 3 5" xfId="13849"/>
    <cellStyle name="SAPBEXchaText 3 5 3 5 2" xfId="13850"/>
    <cellStyle name="SAPBEXchaText 3 5 3 5 3" xfId="13851"/>
    <cellStyle name="SAPBEXchaText 3 5 3 6" xfId="13852"/>
    <cellStyle name="SAPBEXchaText 3 5 3 6 2" xfId="13853"/>
    <cellStyle name="SAPBEXchaText 3 5 3 6 3" xfId="13854"/>
    <cellStyle name="SAPBEXchaText 3 5 3 7" xfId="13855"/>
    <cellStyle name="SAPBEXchaText 3 5 3 7 2" xfId="13856"/>
    <cellStyle name="SAPBEXchaText 3 5 3 7 3" xfId="13857"/>
    <cellStyle name="SAPBEXchaText 3 5 3 8" xfId="13858"/>
    <cellStyle name="SAPBEXchaText 3 5 3 8 2" xfId="13859"/>
    <cellStyle name="SAPBEXchaText 3 5 3 8 3" xfId="13860"/>
    <cellStyle name="SAPBEXchaText 3 5 3 9" xfId="13861"/>
    <cellStyle name="SAPBEXchaText 3 5 3 9 2" xfId="13862"/>
    <cellStyle name="SAPBEXchaText 3 5 3 9 3" xfId="13863"/>
    <cellStyle name="SAPBEXchaText 3 5 3_planning-WP" xfId="13864"/>
    <cellStyle name="SAPBEXchaText 3 5 4" xfId="13865"/>
    <cellStyle name="SAPBEXchaText 3 5 4 2" xfId="13866"/>
    <cellStyle name="SAPBEXchaText 3 5 4 2 2" xfId="13867"/>
    <cellStyle name="SAPBEXchaText 3 5 4 2 3" xfId="13868"/>
    <cellStyle name="SAPBEXchaText 3 5 4 3" xfId="13869"/>
    <cellStyle name="SAPBEXchaText 3 5 4 3 2" xfId="13870"/>
    <cellStyle name="SAPBEXchaText 3 5 4 3 3" xfId="13871"/>
    <cellStyle name="SAPBEXchaText 3 5 4 4" xfId="13872"/>
    <cellStyle name="SAPBEXchaText 3 5 4 4 2" xfId="13873"/>
    <cellStyle name="SAPBEXchaText 3 5 4 4 3" xfId="13874"/>
    <cellStyle name="SAPBEXchaText 3 5 4 5" xfId="13875"/>
    <cellStyle name="SAPBEXchaText 3 5 4 5 2" xfId="13876"/>
    <cellStyle name="SAPBEXchaText 3 5 4 5 3" xfId="13877"/>
    <cellStyle name="SAPBEXchaText 3 5 4 6" xfId="13878"/>
    <cellStyle name="SAPBEXchaText 3 5 4 6 2" xfId="13879"/>
    <cellStyle name="SAPBEXchaText 3 5 4 6 3" xfId="13880"/>
    <cellStyle name="SAPBEXchaText 3 5 4 7" xfId="13881"/>
    <cellStyle name="SAPBEXchaText 3 5 4 7 2" xfId="13882"/>
    <cellStyle name="SAPBEXchaText 3 5 4 7 3" xfId="13883"/>
    <cellStyle name="SAPBEXchaText 3 5 4 8" xfId="13884"/>
    <cellStyle name="SAPBEXchaText 3 5 4 8 2" xfId="13885"/>
    <cellStyle name="SAPBEXchaText 3 5 4 8 3" xfId="13886"/>
    <cellStyle name="SAPBEXchaText 3 5 4 9" xfId="13887"/>
    <cellStyle name="SAPBEXchaText 3 5 4_planning-WP" xfId="13888"/>
    <cellStyle name="SAPBEXchaText 3 5 5" xfId="13889"/>
    <cellStyle name="SAPBEXchaText 3 5 5 2" xfId="13890"/>
    <cellStyle name="SAPBEXchaText 3 5 6" xfId="13891"/>
    <cellStyle name="SAPBEXchaText 3 5 6 2" xfId="13892"/>
    <cellStyle name="SAPBEXchaText 3 5 6 3" xfId="13893"/>
    <cellStyle name="SAPBEXchaText 3 5 7" xfId="13894"/>
    <cellStyle name="SAPBEXchaText 3 5 7 2" xfId="13895"/>
    <cellStyle name="SAPBEXchaText 3 5 7 3" xfId="13896"/>
    <cellStyle name="SAPBEXchaText 3 5 8" xfId="13897"/>
    <cellStyle name="SAPBEXchaText 3 5 8 2" xfId="13898"/>
    <cellStyle name="SAPBEXchaText 3 5 8 3" xfId="13899"/>
    <cellStyle name="SAPBEXchaText 3 5 9" xfId="13900"/>
    <cellStyle name="SAPBEXchaText 3 5 9 2" xfId="13901"/>
    <cellStyle name="SAPBEXchaText 3 5 9 3" xfId="13902"/>
    <cellStyle name="SAPBEXchaText 3 5_planning-WP" xfId="13903"/>
    <cellStyle name="SAPBEXchaText 3 6" xfId="13904"/>
    <cellStyle name="SAPBEXchaText 3 6 10" xfId="13905"/>
    <cellStyle name="SAPBEXchaText 3 6 10 2" xfId="13906"/>
    <cellStyle name="SAPBEXchaText 3 6 10 3" xfId="13907"/>
    <cellStyle name="SAPBEXchaText 3 6 11" xfId="13908"/>
    <cellStyle name="SAPBEXchaText 3 6 11 2" xfId="13909"/>
    <cellStyle name="SAPBEXchaText 3 6 11 3" xfId="13910"/>
    <cellStyle name="SAPBEXchaText 3 6 2" xfId="13911"/>
    <cellStyle name="SAPBEXchaText 3 6 2 10" xfId="13912"/>
    <cellStyle name="SAPBEXchaText 3 6 2 2" xfId="13913"/>
    <cellStyle name="SAPBEXchaText 3 6 2 2 2" xfId="13914"/>
    <cellStyle name="SAPBEXchaText 3 6 2 2 3" xfId="13915"/>
    <cellStyle name="SAPBEXchaText 3 6 2 3" xfId="13916"/>
    <cellStyle name="SAPBEXchaText 3 6 2 3 2" xfId="13917"/>
    <cellStyle name="SAPBEXchaText 3 6 2 3 3" xfId="13918"/>
    <cellStyle name="SAPBEXchaText 3 6 2 4" xfId="13919"/>
    <cellStyle name="SAPBEXchaText 3 6 2 4 2" xfId="13920"/>
    <cellStyle name="SAPBEXchaText 3 6 2 4 3" xfId="13921"/>
    <cellStyle name="SAPBEXchaText 3 6 2 5" xfId="13922"/>
    <cellStyle name="SAPBEXchaText 3 6 2 5 2" xfId="13923"/>
    <cellStyle name="SAPBEXchaText 3 6 2 5 3" xfId="13924"/>
    <cellStyle name="SAPBEXchaText 3 6 2 6" xfId="13925"/>
    <cellStyle name="SAPBEXchaText 3 6 2 6 2" xfId="13926"/>
    <cellStyle name="SAPBEXchaText 3 6 2 6 3" xfId="13927"/>
    <cellStyle name="SAPBEXchaText 3 6 2 7" xfId="13928"/>
    <cellStyle name="SAPBEXchaText 3 6 2 7 2" xfId="13929"/>
    <cellStyle name="SAPBEXchaText 3 6 2 7 3" xfId="13930"/>
    <cellStyle name="SAPBEXchaText 3 6 2 8" xfId="13931"/>
    <cellStyle name="SAPBEXchaText 3 6 2 8 2" xfId="13932"/>
    <cellStyle name="SAPBEXchaText 3 6 2 8 3" xfId="13933"/>
    <cellStyle name="SAPBEXchaText 3 6 2 9" xfId="13934"/>
    <cellStyle name="SAPBEXchaText 3 6 2 9 2" xfId="13935"/>
    <cellStyle name="SAPBEXchaText 3 6 2 9 3" xfId="13936"/>
    <cellStyle name="SAPBEXchaText 3 6 2_planning-WP" xfId="13937"/>
    <cellStyle name="SAPBEXchaText 3 6 3" xfId="13938"/>
    <cellStyle name="SAPBEXchaText 3 6 3 2" xfId="13939"/>
    <cellStyle name="SAPBEXchaText 3 6 3 2 2" xfId="13940"/>
    <cellStyle name="SAPBEXchaText 3 6 3 2 3" xfId="13941"/>
    <cellStyle name="SAPBEXchaText 3 6 3 3" xfId="13942"/>
    <cellStyle name="SAPBEXchaText 3 6 3 3 2" xfId="13943"/>
    <cellStyle name="SAPBEXchaText 3 6 3 3 3" xfId="13944"/>
    <cellStyle name="SAPBEXchaText 3 6 3 4" xfId="13945"/>
    <cellStyle name="SAPBEXchaText 3 6 3 4 2" xfId="13946"/>
    <cellStyle name="SAPBEXchaText 3 6 3 4 3" xfId="13947"/>
    <cellStyle name="SAPBEXchaText 3 6 3 5" xfId="13948"/>
    <cellStyle name="SAPBEXchaText 3 6 3 5 2" xfId="13949"/>
    <cellStyle name="SAPBEXchaText 3 6 3 5 3" xfId="13950"/>
    <cellStyle name="SAPBEXchaText 3 6 3 6" xfId="13951"/>
    <cellStyle name="SAPBEXchaText 3 6 3 6 2" xfId="13952"/>
    <cellStyle name="SAPBEXchaText 3 6 3 6 3" xfId="13953"/>
    <cellStyle name="SAPBEXchaText 3 6 3 7" xfId="13954"/>
    <cellStyle name="SAPBEXchaText 3 6 3 7 2" xfId="13955"/>
    <cellStyle name="SAPBEXchaText 3 6 3 7 3" xfId="13956"/>
    <cellStyle name="SAPBEXchaText 3 6 3 8" xfId="13957"/>
    <cellStyle name="SAPBEXchaText 3 6 3 8 2" xfId="13958"/>
    <cellStyle name="SAPBEXchaText 3 6 3 8 3" xfId="13959"/>
    <cellStyle name="SAPBEXchaText 3 6 3 9" xfId="13960"/>
    <cellStyle name="SAPBEXchaText 3 6 3_planning-WP" xfId="13961"/>
    <cellStyle name="SAPBEXchaText 3 6 4" xfId="13962"/>
    <cellStyle name="SAPBEXchaText 3 6 4 2" xfId="13963"/>
    <cellStyle name="SAPBEXchaText 3 6 5" xfId="13964"/>
    <cellStyle name="SAPBEXchaText 3 6 5 2" xfId="13965"/>
    <cellStyle name="SAPBEXchaText 3 6 5 3" xfId="13966"/>
    <cellStyle name="SAPBEXchaText 3 6 6" xfId="13967"/>
    <cellStyle name="SAPBEXchaText 3 6 6 2" xfId="13968"/>
    <cellStyle name="SAPBEXchaText 3 6 6 3" xfId="13969"/>
    <cellStyle name="SAPBEXchaText 3 6 7" xfId="13970"/>
    <cellStyle name="SAPBEXchaText 3 6 7 2" xfId="13971"/>
    <cellStyle name="SAPBEXchaText 3 6 7 3" xfId="13972"/>
    <cellStyle name="SAPBEXchaText 3 6 8" xfId="13973"/>
    <cellStyle name="SAPBEXchaText 3 6 8 2" xfId="13974"/>
    <cellStyle name="SAPBEXchaText 3 6 8 3" xfId="13975"/>
    <cellStyle name="SAPBEXchaText 3 6 9" xfId="13976"/>
    <cellStyle name="SAPBEXchaText 3 6 9 2" xfId="13977"/>
    <cellStyle name="SAPBEXchaText 3 6 9 3" xfId="13978"/>
    <cellStyle name="SAPBEXchaText 3 6_planning-WP" xfId="13979"/>
    <cellStyle name="SAPBEXchaText 3 7" xfId="13980"/>
    <cellStyle name="SAPBEXchaText 3 7 10" xfId="13981"/>
    <cellStyle name="SAPBEXchaText 3 7 10 2" xfId="13982"/>
    <cellStyle name="SAPBEXchaText 3 7 10 3" xfId="13983"/>
    <cellStyle name="SAPBEXchaText 3 7 11" xfId="13984"/>
    <cellStyle name="SAPBEXchaText 3 7 2" xfId="13985"/>
    <cellStyle name="SAPBEXchaText 3 7 2 10" xfId="13986"/>
    <cellStyle name="SAPBEXchaText 3 7 2 2" xfId="13987"/>
    <cellStyle name="SAPBEXchaText 3 7 2 2 2" xfId="13988"/>
    <cellStyle name="SAPBEXchaText 3 7 2 2 3" xfId="13989"/>
    <cellStyle name="SAPBEXchaText 3 7 2 3" xfId="13990"/>
    <cellStyle name="SAPBEXchaText 3 7 2 3 2" xfId="13991"/>
    <cellStyle name="SAPBEXchaText 3 7 2 3 3" xfId="13992"/>
    <cellStyle name="SAPBEXchaText 3 7 2 4" xfId="13993"/>
    <cellStyle name="SAPBEXchaText 3 7 2 4 2" xfId="13994"/>
    <cellStyle name="SAPBEXchaText 3 7 2 4 3" xfId="13995"/>
    <cellStyle name="SAPBEXchaText 3 7 2 5" xfId="13996"/>
    <cellStyle name="SAPBEXchaText 3 7 2 5 2" xfId="13997"/>
    <cellStyle name="SAPBEXchaText 3 7 2 5 3" xfId="13998"/>
    <cellStyle name="SAPBEXchaText 3 7 2 6" xfId="13999"/>
    <cellStyle name="SAPBEXchaText 3 7 2 6 2" xfId="14000"/>
    <cellStyle name="SAPBEXchaText 3 7 2 6 3" xfId="14001"/>
    <cellStyle name="SAPBEXchaText 3 7 2 7" xfId="14002"/>
    <cellStyle name="SAPBEXchaText 3 7 2 7 2" xfId="14003"/>
    <cellStyle name="SAPBEXchaText 3 7 2 7 3" xfId="14004"/>
    <cellStyle name="SAPBEXchaText 3 7 2 8" xfId="14005"/>
    <cellStyle name="SAPBEXchaText 3 7 2 8 2" xfId="14006"/>
    <cellStyle name="SAPBEXchaText 3 7 2 8 3" xfId="14007"/>
    <cellStyle name="SAPBEXchaText 3 7 2 9" xfId="14008"/>
    <cellStyle name="SAPBEXchaText 3 7 2 9 2" xfId="14009"/>
    <cellStyle name="SAPBEXchaText 3 7 2 9 3" xfId="14010"/>
    <cellStyle name="SAPBEXchaText 3 7 2_planning-WP" xfId="14011"/>
    <cellStyle name="SAPBEXchaText 3 7 3" xfId="14012"/>
    <cellStyle name="SAPBEXchaText 3 7 3 2" xfId="14013"/>
    <cellStyle name="SAPBEXchaText 3 7 3 3" xfId="14014"/>
    <cellStyle name="SAPBEXchaText 3 7 4" xfId="14015"/>
    <cellStyle name="SAPBEXchaText 3 7 4 2" xfId="14016"/>
    <cellStyle name="SAPBEXchaText 3 7 4 3" xfId="14017"/>
    <cellStyle name="SAPBEXchaText 3 7 5" xfId="14018"/>
    <cellStyle name="SAPBEXchaText 3 7 5 2" xfId="14019"/>
    <cellStyle name="SAPBEXchaText 3 7 5 3" xfId="14020"/>
    <cellStyle name="SAPBEXchaText 3 7 6" xfId="14021"/>
    <cellStyle name="SAPBEXchaText 3 7 6 2" xfId="14022"/>
    <cellStyle name="SAPBEXchaText 3 7 6 3" xfId="14023"/>
    <cellStyle name="SAPBEXchaText 3 7 7" xfId="14024"/>
    <cellStyle name="SAPBEXchaText 3 7 7 2" xfId="14025"/>
    <cellStyle name="SAPBEXchaText 3 7 7 3" xfId="14026"/>
    <cellStyle name="SAPBEXchaText 3 7 8" xfId="14027"/>
    <cellStyle name="SAPBEXchaText 3 7 8 2" xfId="14028"/>
    <cellStyle name="SAPBEXchaText 3 7 8 3" xfId="14029"/>
    <cellStyle name="SAPBEXchaText 3 7 9" xfId="14030"/>
    <cellStyle name="SAPBEXchaText 3 7 9 2" xfId="14031"/>
    <cellStyle name="SAPBEXchaText 3 7 9 3" xfId="14032"/>
    <cellStyle name="SAPBEXchaText 3 7_planning-WP" xfId="14033"/>
    <cellStyle name="SAPBEXchaText 3 8" xfId="14034"/>
    <cellStyle name="SAPBEXchaText 3 8 10" xfId="14035"/>
    <cellStyle name="SAPBEXchaText 3 8 2" xfId="14036"/>
    <cellStyle name="SAPBEXchaText 3 8 2 2" xfId="14037"/>
    <cellStyle name="SAPBEXchaText 3 8 2 3" xfId="14038"/>
    <cellStyle name="SAPBEXchaText 3 8 3" xfId="14039"/>
    <cellStyle name="SAPBEXchaText 3 8 3 2" xfId="14040"/>
    <cellStyle name="SAPBEXchaText 3 8 3 3" xfId="14041"/>
    <cellStyle name="SAPBEXchaText 3 8 4" xfId="14042"/>
    <cellStyle name="SAPBEXchaText 3 8 4 2" xfId="14043"/>
    <cellStyle name="SAPBEXchaText 3 8 4 3" xfId="14044"/>
    <cellStyle name="SAPBEXchaText 3 8 5" xfId="14045"/>
    <cellStyle name="SAPBEXchaText 3 8 5 2" xfId="14046"/>
    <cellStyle name="SAPBEXchaText 3 8 5 3" xfId="14047"/>
    <cellStyle name="SAPBEXchaText 3 8 6" xfId="14048"/>
    <cellStyle name="SAPBEXchaText 3 8 6 2" xfId="14049"/>
    <cellStyle name="SAPBEXchaText 3 8 6 3" xfId="14050"/>
    <cellStyle name="SAPBEXchaText 3 8 7" xfId="14051"/>
    <cellStyle name="SAPBEXchaText 3 8 7 2" xfId="14052"/>
    <cellStyle name="SAPBEXchaText 3 8 7 3" xfId="14053"/>
    <cellStyle name="SAPBEXchaText 3 8 8" xfId="14054"/>
    <cellStyle name="SAPBEXchaText 3 8 8 2" xfId="14055"/>
    <cellStyle name="SAPBEXchaText 3 8 8 3" xfId="14056"/>
    <cellStyle name="SAPBEXchaText 3 8 9" xfId="14057"/>
    <cellStyle name="SAPBEXchaText 3 8 9 2" xfId="14058"/>
    <cellStyle name="SAPBEXchaText 3 8 9 3" xfId="14059"/>
    <cellStyle name="SAPBEXchaText 3 8_planning-WP" xfId="14060"/>
    <cellStyle name="SAPBEXchaText 3 9" xfId="14061"/>
    <cellStyle name="SAPBEXchaText 3 9 2" xfId="14062"/>
    <cellStyle name="SAPBEXchaText 3 9 2 2" xfId="14063"/>
    <cellStyle name="SAPBEXchaText 3 9 2 3" xfId="14064"/>
    <cellStyle name="SAPBEXchaText 3 9 3" xfId="14065"/>
    <cellStyle name="SAPBEXchaText 3 9 3 2" xfId="14066"/>
    <cellStyle name="SAPBEXchaText 3 9 3 3" xfId="14067"/>
    <cellStyle name="SAPBEXchaText 3 9 4" xfId="14068"/>
    <cellStyle name="SAPBEXchaText 3 9 4 2" xfId="14069"/>
    <cellStyle name="SAPBEXchaText 3 9 4 3" xfId="14070"/>
    <cellStyle name="SAPBEXchaText 3 9 5" xfId="14071"/>
    <cellStyle name="SAPBEXchaText 3 9 5 2" xfId="14072"/>
    <cellStyle name="SAPBEXchaText 3 9 5 3" xfId="14073"/>
    <cellStyle name="SAPBEXchaText 3 9 6" xfId="14074"/>
    <cellStyle name="SAPBEXchaText 3 9 6 2" xfId="14075"/>
    <cellStyle name="SAPBEXchaText 3 9 6 3" xfId="14076"/>
    <cellStyle name="SAPBEXchaText 3 9 7" xfId="14077"/>
    <cellStyle name="SAPBEXchaText 3 9 7 2" xfId="14078"/>
    <cellStyle name="SAPBEXchaText 3 9 7 3" xfId="14079"/>
    <cellStyle name="SAPBEXchaText 3 9 8" xfId="14080"/>
    <cellStyle name="SAPBEXchaText 3 9 8 2" xfId="14081"/>
    <cellStyle name="SAPBEXchaText 3 9 8 3" xfId="14082"/>
    <cellStyle name="SAPBEXchaText 3 9 9" xfId="14083"/>
    <cellStyle name="SAPBEXchaText 3 9_planning-WP" xfId="14084"/>
    <cellStyle name="SAPBEXchaText 3_planning-WP" xfId="14085"/>
    <cellStyle name="SAPBEXchaText 4" xfId="14086"/>
    <cellStyle name="SAPBEXchaText 4 2" xfId="38868"/>
    <cellStyle name="SAPBEXchaText 4 3" xfId="39283"/>
    <cellStyle name="SAPBEXchaText 5" xfId="14087"/>
    <cellStyle name="SAPBEXchaText 5 2" xfId="38869"/>
    <cellStyle name="SAPBEXchaText 5 3" xfId="39284"/>
    <cellStyle name="SAPBEXchaText 6" xfId="13356"/>
    <cellStyle name="SAPBEXchaText 6 2" xfId="38870"/>
    <cellStyle name="SAPBEXchaText 6 3" xfId="39285"/>
    <cellStyle name="SAPBEXchaText_20.RessDest CUC CS SEU 0909" xfId="38871"/>
    <cellStyle name="SAPBEXexcBad7" xfId="273"/>
    <cellStyle name="SAPBEXexcBad7 10" xfId="14089"/>
    <cellStyle name="SAPBEXexcBad7 10 2" xfId="14090"/>
    <cellStyle name="SAPBEXexcBad7 11" xfId="14091"/>
    <cellStyle name="SAPBEXexcBad7 11 2" xfId="14092"/>
    <cellStyle name="SAPBEXexcBad7 11 3" xfId="14093"/>
    <cellStyle name="SAPBEXexcBad7 12" xfId="14094"/>
    <cellStyle name="SAPBEXexcBad7 12 2" xfId="14095"/>
    <cellStyle name="SAPBEXexcBad7 12 3" xfId="14096"/>
    <cellStyle name="SAPBEXexcBad7 13" xfId="14097"/>
    <cellStyle name="SAPBEXexcBad7 13 2" xfId="14098"/>
    <cellStyle name="SAPBEXexcBad7 13 3" xfId="14099"/>
    <cellStyle name="SAPBEXexcBad7 14" xfId="14100"/>
    <cellStyle name="SAPBEXexcBad7 14 2" xfId="14101"/>
    <cellStyle name="SAPBEXexcBad7 14 3" xfId="14102"/>
    <cellStyle name="SAPBEXexcBad7 15" xfId="14103"/>
    <cellStyle name="SAPBEXexcBad7 15 2" xfId="14104"/>
    <cellStyle name="SAPBEXexcBad7 15 3" xfId="14105"/>
    <cellStyle name="SAPBEXexcBad7 16" xfId="14106"/>
    <cellStyle name="SAPBEXexcBad7 16 2" xfId="14107"/>
    <cellStyle name="SAPBEXexcBad7 16 3" xfId="14108"/>
    <cellStyle name="SAPBEXexcBad7 17" xfId="14109"/>
    <cellStyle name="SAPBEXexcBad7 17 2" xfId="14110"/>
    <cellStyle name="SAPBEXexcBad7 17 3" xfId="14111"/>
    <cellStyle name="SAPBEXexcBad7 18" xfId="14112"/>
    <cellStyle name="SAPBEXexcBad7 19" xfId="14088"/>
    <cellStyle name="SAPBEXexcBad7 2" xfId="890"/>
    <cellStyle name="SAPBEXexcBad7 2 10" xfId="14114"/>
    <cellStyle name="SAPBEXexcBad7 2 10 2" xfId="14115"/>
    <cellStyle name="SAPBEXexcBad7 2 10 3" xfId="14116"/>
    <cellStyle name="SAPBEXexcBad7 2 11" xfId="14117"/>
    <cellStyle name="SAPBEXexcBad7 2 11 2" xfId="14118"/>
    <cellStyle name="SAPBEXexcBad7 2 11 3" xfId="14119"/>
    <cellStyle name="SAPBEXexcBad7 2 12" xfId="14120"/>
    <cellStyle name="SAPBEXexcBad7 2 12 2" xfId="14121"/>
    <cellStyle name="SAPBEXexcBad7 2 12 3" xfId="14122"/>
    <cellStyle name="SAPBEXexcBad7 2 13" xfId="14123"/>
    <cellStyle name="SAPBEXexcBad7 2 14" xfId="14113"/>
    <cellStyle name="SAPBEXexcBad7 2 15" xfId="9574"/>
    <cellStyle name="SAPBEXexcBad7 2 16" xfId="38873"/>
    <cellStyle name="SAPBEXexcBad7 2 17" xfId="39287"/>
    <cellStyle name="SAPBEXexcBad7 2 2" xfId="1954"/>
    <cellStyle name="SAPBEXexcBad7 2 2 10" xfId="14125"/>
    <cellStyle name="SAPBEXexcBad7 2 2 10 2" xfId="14126"/>
    <cellStyle name="SAPBEXexcBad7 2 2 10 3" xfId="14127"/>
    <cellStyle name="SAPBEXexcBad7 2 2 11" xfId="14128"/>
    <cellStyle name="SAPBEXexcBad7 2 2 12" xfId="14124"/>
    <cellStyle name="SAPBEXexcBad7 2 2 13" xfId="10132"/>
    <cellStyle name="SAPBEXexcBad7 2 2 14" xfId="38874"/>
    <cellStyle name="SAPBEXexcBad7 2 2 15" xfId="39288"/>
    <cellStyle name="SAPBEXexcBad7 2 2 2" xfId="4872"/>
    <cellStyle name="SAPBEXexcBad7 2 2 2 10" xfId="14130"/>
    <cellStyle name="SAPBEXexcBad7 2 2 2 11" xfId="14129"/>
    <cellStyle name="SAPBEXexcBad7 2 2 2 2" xfId="14131"/>
    <cellStyle name="SAPBEXexcBad7 2 2 2 2 2" xfId="14132"/>
    <cellStyle name="SAPBEXexcBad7 2 2 2 2 3" xfId="14133"/>
    <cellStyle name="SAPBEXexcBad7 2 2 2 3" xfId="14134"/>
    <cellStyle name="SAPBEXexcBad7 2 2 2 3 2" xfId="14135"/>
    <cellStyle name="SAPBEXexcBad7 2 2 2 3 3" xfId="14136"/>
    <cellStyle name="SAPBEXexcBad7 2 2 2 4" xfId="14137"/>
    <cellStyle name="SAPBEXexcBad7 2 2 2 4 2" xfId="14138"/>
    <cellStyle name="SAPBEXexcBad7 2 2 2 4 3" xfId="14139"/>
    <cellStyle name="SAPBEXexcBad7 2 2 2 5" xfId="14140"/>
    <cellStyle name="SAPBEXexcBad7 2 2 2 5 2" xfId="14141"/>
    <cellStyle name="SAPBEXexcBad7 2 2 2 5 3" xfId="14142"/>
    <cellStyle name="SAPBEXexcBad7 2 2 2 6" xfId="14143"/>
    <cellStyle name="SAPBEXexcBad7 2 2 2 6 2" xfId="14144"/>
    <cellStyle name="SAPBEXexcBad7 2 2 2 6 3" xfId="14145"/>
    <cellStyle name="SAPBEXexcBad7 2 2 2 7" xfId="14146"/>
    <cellStyle name="SAPBEXexcBad7 2 2 2 7 2" xfId="14147"/>
    <cellStyle name="SAPBEXexcBad7 2 2 2 7 3" xfId="14148"/>
    <cellStyle name="SAPBEXexcBad7 2 2 2 8" xfId="14149"/>
    <cellStyle name="SAPBEXexcBad7 2 2 2 8 2" xfId="14150"/>
    <cellStyle name="SAPBEXexcBad7 2 2 2 8 3" xfId="14151"/>
    <cellStyle name="SAPBEXexcBad7 2 2 2 9" xfId="14152"/>
    <cellStyle name="SAPBEXexcBad7 2 2 2 9 2" xfId="14153"/>
    <cellStyle name="SAPBEXexcBad7 2 2 2 9 3" xfId="14154"/>
    <cellStyle name="SAPBEXexcBad7 2 2 2_planning-WP" xfId="14155"/>
    <cellStyle name="SAPBEXexcBad7 2 2 3" xfId="5851"/>
    <cellStyle name="SAPBEXexcBad7 2 2 3 2" xfId="14157"/>
    <cellStyle name="SAPBEXexcBad7 2 2 3 3" xfId="14158"/>
    <cellStyle name="SAPBEXexcBad7 2 2 3 4" xfId="14156"/>
    <cellStyle name="SAPBEXexcBad7 2 2 4" xfId="6359"/>
    <cellStyle name="SAPBEXexcBad7 2 2 4 2" xfId="14160"/>
    <cellStyle name="SAPBEXexcBad7 2 2 4 3" xfId="14161"/>
    <cellStyle name="SAPBEXexcBad7 2 2 4 4" xfId="14159"/>
    <cellStyle name="SAPBEXexcBad7 2 2 5" xfId="6846"/>
    <cellStyle name="SAPBEXexcBad7 2 2 5 2" xfId="14163"/>
    <cellStyle name="SAPBEXexcBad7 2 2 5 3" xfId="14164"/>
    <cellStyle name="SAPBEXexcBad7 2 2 5 4" xfId="14162"/>
    <cellStyle name="SAPBEXexcBad7 2 2 6" xfId="7329"/>
    <cellStyle name="SAPBEXexcBad7 2 2 6 2" xfId="14166"/>
    <cellStyle name="SAPBEXexcBad7 2 2 6 3" xfId="14167"/>
    <cellStyle name="SAPBEXexcBad7 2 2 6 4" xfId="14165"/>
    <cellStyle name="SAPBEXexcBad7 2 2 7" xfId="8398"/>
    <cellStyle name="SAPBEXexcBad7 2 2 7 2" xfId="14169"/>
    <cellStyle name="SAPBEXexcBad7 2 2 7 3" xfId="14170"/>
    <cellStyle name="SAPBEXexcBad7 2 2 7 4" xfId="14168"/>
    <cellStyle name="SAPBEXexcBad7 2 2 8" xfId="8899"/>
    <cellStyle name="SAPBEXexcBad7 2 2 8 2" xfId="14172"/>
    <cellStyle name="SAPBEXexcBad7 2 2 8 3" xfId="14173"/>
    <cellStyle name="SAPBEXexcBad7 2 2 8 4" xfId="14171"/>
    <cellStyle name="SAPBEXexcBad7 2 2 9" xfId="9393"/>
    <cellStyle name="SAPBEXexcBad7 2 2 9 2" xfId="14175"/>
    <cellStyle name="SAPBEXexcBad7 2 2 9 3" xfId="14176"/>
    <cellStyle name="SAPBEXexcBad7 2 2 9 4" xfId="14174"/>
    <cellStyle name="SAPBEXexcBad7 2 2_planning-WP" xfId="14177"/>
    <cellStyle name="SAPBEXexcBad7 2 3" xfId="1616"/>
    <cellStyle name="SAPBEXexcBad7 2 3 10" xfId="14179"/>
    <cellStyle name="SAPBEXexcBad7 2 3 11" xfId="14178"/>
    <cellStyle name="SAPBEXexcBad7 2 3 12" xfId="9813"/>
    <cellStyle name="SAPBEXexcBad7 2 3 2" xfId="4539"/>
    <cellStyle name="SAPBEXexcBad7 2 3 2 2" xfId="14181"/>
    <cellStyle name="SAPBEXexcBad7 2 3 2 3" xfId="14182"/>
    <cellStyle name="SAPBEXexcBad7 2 3 2 4" xfId="14180"/>
    <cellStyle name="SAPBEXexcBad7 2 3 3" xfId="5531"/>
    <cellStyle name="SAPBEXexcBad7 2 3 3 2" xfId="14184"/>
    <cellStyle name="SAPBEXexcBad7 2 3 3 3" xfId="14185"/>
    <cellStyle name="SAPBEXexcBad7 2 3 3 4" xfId="14183"/>
    <cellStyle name="SAPBEXexcBad7 2 3 4" xfId="6040"/>
    <cellStyle name="SAPBEXexcBad7 2 3 4 2" xfId="14187"/>
    <cellStyle name="SAPBEXexcBad7 2 3 4 3" xfId="14188"/>
    <cellStyle name="SAPBEXexcBad7 2 3 4 4" xfId="14186"/>
    <cellStyle name="SAPBEXexcBad7 2 3 5" xfId="6527"/>
    <cellStyle name="SAPBEXexcBad7 2 3 5 2" xfId="14190"/>
    <cellStyle name="SAPBEXexcBad7 2 3 5 3" xfId="14191"/>
    <cellStyle name="SAPBEXexcBad7 2 3 5 4" xfId="14189"/>
    <cellStyle name="SAPBEXexcBad7 2 3 6" xfId="7010"/>
    <cellStyle name="SAPBEXexcBad7 2 3 6 2" xfId="14193"/>
    <cellStyle name="SAPBEXexcBad7 2 3 6 3" xfId="14194"/>
    <cellStyle name="SAPBEXexcBad7 2 3 6 4" xfId="14192"/>
    <cellStyle name="SAPBEXexcBad7 2 3 7" xfId="8079"/>
    <cellStyle name="SAPBEXexcBad7 2 3 7 2" xfId="14196"/>
    <cellStyle name="SAPBEXexcBad7 2 3 7 3" xfId="14197"/>
    <cellStyle name="SAPBEXexcBad7 2 3 7 4" xfId="14195"/>
    <cellStyle name="SAPBEXexcBad7 2 3 8" xfId="8580"/>
    <cellStyle name="SAPBEXexcBad7 2 3 8 2" xfId="14199"/>
    <cellStyle name="SAPBEXexcBad7 2 3 8 3" xfId="14200"/>
    <cellStyle name="SAPBEXexcBad7 2 3 8 4" xfId="14198"/>
    <cellStyle name="SAPBEXexcBad7 2 3 9" xfId="9074"/>
    <cellStyle name="SAPBEXexcBad7 2 3 9 2" xfId="14202"/>
    <cellStyle name="SAPBEXexcBad7 2 3 9 3" xfId="14203"/>
    <cellStyle name="SAPBEXexcBad7 2 3 9 4" xfId="14201"/>
    <cellStyle name="SAPBEXexcBad7 2 3_planning-WP" xfId="14204"/>
    <cellStyle name="SAPBEXexcBad7 2 4" xfId="14205"/>
    <cellStyle name="SAPBEXexcBad7 2 4 2" xfId="14206"/>
    <cellStyle name="SAPBEXexcBad7 2 4 2 2" xfId="14207"/>
    <cellStyle name="SAPBEXexcBad7 2 4 2 3" xfId="14208"/>
    <cellStyle name="SAPBEXexcBad7 2 4 3" xfId="14209"/>
    <cellStyle name="SAPBEXexcBad7 2 4 3 2" xfId="14210"/>
    <cellStyle name="SAPBEXexcBad7 2 4 3 3" xfId="14211"/>
    <cellStyle name="SAPBEXexcBad7 2 4 4" xfId="14212"/>
    <cellStyle name="SAPBEXexcBad7 2 4 4 2" xfId="14213"/>
    <cellStyle name="SAPBEXexcBad7 2 4 4 3" xfId="14214"/>
    <cellStyle name="SAPBEXexcBad7 2 4 5" xfId="14215"/>
    <cellStyle name="SAPBEXexcBad7 2 4 5 2" xfId="14216"/>
    <cellStyle name="SAPBEXexcBad7 2 4 5 3" xfId="14217"/>
    <cellStyle name="SAPBEXexcBad7 2 4 6" xfId="14218"/>
    <cellStyle name="SAPBEXexcBad7 2 4 6 2" xfId="14219"/>
    <cellStyle name="SAPBEXexcBad7 2 4 6 3" xfId="14220"/>
    <cellStyle name="SAPBEXexcBad7 2 4 7" xfId="14221"/>
    <cellStyle name="SAPBEXexcBad7 2 4 7 2" xfId="14222"/>
    <cellStyle name="SAPBEXexcBad7 2 4 7 3" xfId="14223"/>
    <cellStyle name="SAPBEXexcBad7 2 4 8" xfId="14224"/>
    <cellStyle name="SAPBEXexcBad7 2 4 8 2" xfId="14225"/>
    <cellStyle name="SAPBEXexcBad7 2 4 8 3" xfId="14226"/>
    <cellStyle name="SAPBEXexcBad7 2 4 9" xfId="14227"/>
    <cellStyle name="SAPBEXexcBad7 2 4_planning-WP" xfId="14228"/>
    <cellStyle name="SAPBEXexcBad7 2 5" xfId="14229"/>
    <cellStyle name="SAPBEXexcBad7 2 5 2" xfId="14230"/>
    <cellStyle name="SAPBEXexcBad7 2 6" xfId="14231"/>
    <cellStyle name="SAPBEXexcBad7 2 6 2" xfId="14232"/>
    <cellStyle name="SAPBEXexcBad7 2 6 3" xfId="14233"/>
    <cellStyle name="SAPBEXexcBad7 2 7" xfId="14234"/>
    <cellStyle name="SAPBEXexcBad7 2 7 2" xfId="14235"/>
    <cellStyle name="SAPBEXexcBad7 2 7 3" xfId="14236"/>
    <cellStyle name="SAPBEXexcBad7 2 8" xfId="14237"/>
    <cellStyle name="SAPBEXexcBad7 2 8 2" xfId="14238"/>
    <cellStyle name="SAPBEXexcBad7 2 8 3" xfId="14239"/>
    <cellStyle name="SAPBEXexcBad7 2 9" xfId="14240"/>
    <cellStyle name="SAPBEXexcBad7 2 9 2" xfId="14241"/>
    <cellStyle name="SAPBEXexcBad7 2 9 3" xfId="14242"/>
    <cellStyle name="SAPBEXexcBad7 2_planning-WP" xfId="14243"/>
    <cellStyle name="SAPBEXexcBad7 20" xfId="38872"/>
    <cellStyle name="SAPBEXexcBad7 21" xfId="39286"/>
    <cellStyle name="SAPBEXexcBad7 3" xfId="1588"/>
    <cellStyle name="SAPBEXexcBad7 3 10" xfId="7740"/>
    <cellStyle name="SAPBEXexcBad7 3 10 2" xfId="14246"/>
    <cellStyle name="SAPBEXexcBad7 3 10 3" xfId="14247"/>
    <cellStyle name="SAPBEXexcBad7 3 10 4" xfId="14245"/>
    <cellStyle name="SAPBEXexcBad7 3 11" xfId="14248"/>
    <cellStyle name="SAPBEXexcBad7 3 11 2" xfId="14249"/>
    <cellStyle name="SAPBEXexcBad7 3 11 3" xfId="14250"/>
    <cellStyle name="SAPBEXexcBad7 3 12" xfId="14251"/>
    <cellStyle name="SAPBEXexcBad7 3 12 2" xfId="14252"/>
    <cellStyle name="SAPBEXexcBad7 3 12 3" xfId="14253"/>
    <cellStyle name="SAPBEXexcBad7 3 13" xfId="14254"/>
    <cellStyle name="SAPBEXexcBad7 3 14" xfId="14244"/>
    <cellStyle name="SAPBEXexcBad7 3 15" xfId="9785"/>
    <cellStyle name="SAPBEXexcBad7 3 16" xfId="38875"/>
    <cellStyle name="SAPBEXexcBad7 3 17" xfId="39289"/>
    <cellStyle name="SAPBEXexcBad7 3 2" xfId="1931"/>
    <cellStyle name="SAPBEXexcBad7 3 2 10" xfId="14256"/>
    <cellStyle name="SAPBEXexcBad7 3 2 10 2" xfId="14257"/>
    <cellStyle name="SAPBEXexcBad7 3 2 10 3" xfId="14258"/>
    <cellStyle name="SAPBEXexcBad7 3 2 11" xfId="14259"/>
    <cellStyle name="SAPBEXexcBad7 3 2 12" xfId="14255"/>
    <cellStyle name="SAPBEXexcBad7 3 2 13" xfId="10109"/>
    <cellStyle name="SAPBEXexcBad7 3 2 14" xfId="38876"/>
    <cellStyle name="SAPBEXexcBad7 3 2 15" xfId="39290"/>
    <cellStyle name="SAPBEXexcBad7 3 2 2" xfId="4849"/>
    <cellStyle name="SAPBEXexcBad7 3 2 2 10" xfId="14261"/>
    <cellStyle name="SAPBEXexcBad7 3 2 2 11" xfId="14260"/>
    <cellStyle name="SAPBEXexcBad7 3 2 2 2" xfId="14262"/>
    <cellStyle name="SAPBEXexcBad7 3 2 2 2 2" xfId="14263"/>
    <cellStyle name="SAPBEXexcBad7 3 2 2 2 3" xfId="14264"/>
    <cellStyle name="SAPBEXexcBad7 3 2 2 3" xfId="14265"/>
    <cellStyle name="SAPBEXexcBad7 3 2 2 3 2" xfId="14266"/>
    <cellStyle name="SAPBEXexcBad7 3 2 2 3 3" xfId="14267"/>
    <cellStyle name="SAPBEXexcBad7 3 2 2 4" xfId="14268"/>
    <cellStyle name="SAPBEXexcBad7 3 2 2 4 2" xfId="14269"/>
    <cellStyle name="SAPBEXexcBad7 3 2 2 4 3" xfId="14270"/>
    <cellStyle name="SAPBEXexcBad7 3 2 2 5" xfId="14271"/>
    <cellStyle name="SAPBEXexcBad7 3 2 2 5 2" xfId="14272"/>
    <cellStyle name="SAPBEXexcBad7 3 2 2 5 3" xfId="14273"/>
    <cellStyle name="SAPBEXexcBad7 3 2 2 6" xfId="14274"/>
    <cellStyle name="SAPBEXexcBad7 3 2 2 6 2" xfId="14275"/>
    <cellStyle name="SAPBEXexcBad7 3 2 2 6 3" xfId="14276"/>
    <cellStyle name="SAPBEXexcBad7 3 2 2 7" xfId="14277"/>
    <cellStyle name="SAPBEXexcBad7 3 2 2 7 2" xfId="14278"/>
    <cellStyle name="SAPBEXexcBad7 3 2 2 7 3" xfId="14279"/>
    <cellStyle name="SAPBEXexcBad7 3 2 2 8" xfId="14280"/>
    <cellStyle name="SAPBEXexcBad7 3 2 2 8 2" xfId="14281"/>
    <cellStyle name="SAPBEXexcBad7 3 2 2 8 3" xfId="14282"/>
    <cellStyle name="SAPBEXexcBad7 3 2 2 9" xfId="14283"/>
    <cellStyle name="SAPBEXexcBad7 3 2 2 9 2" xfId="14284"/>
    <cellStyle name="SAPBEXexcBad7 3 2 2 9 3" xfId="14285"/>
    <cellStyle name="SAPBEXexcBad7 3 2 2_planning-WP" xfId="14286"/>
    <cellStyle name="SAPBEXexcBad7 3 2 3" xfId="5828"/>
    <cellStyle name="SAPBEXexcBad7 3 2 3 2" xfId="14288"/>
    <cellStyle name="SAPBEXexcBad7 3 2 3 3" xfId="14289"/>
    <cellStyle name="SAPBEXexcBad7 3 2 3 4" xfId="14287"/>
    <cellStyle name="SAPBEXexcBad7 3 2 4" xfId="6336"/>
    <cellStyle name="SAPBEXexcBad7 3 2 4 2" xfId="14291"/>
    <cellStyle name="SAPBEXexcBad7 3 2 4 3" xfId="14292"/>
    <cellStyle name="SAPBEXexcBad7 3 2 4 4" xfId="14290"/>
    <cellStyle name="SAPBEXexcBad7 3 2 5" xfId="6823"/>
    <cellStyle name="SAPBEXexcBad7 3 2 5 2" xfId="14294"/>
    <cellStyle name="SAPBEXexcBad7 3 2 5 3" xfId="14295"/>
    <cellStyle name="SAPBEXexcBad7 3 2 5 4" xfId="14293"/>
    <cellStyle name="SAPBEXexcBad7 3 2 6" xfId="7306"/>
    <cellStyle name="SAPBEXexcBad7 3 2 6 2" xfId="14297"/>
    <cellStyle name="SAPBEXexcBad7 3 2 6 3" xfId="14298"/>
    <cellStyle name="SAPBEXexcBad7 3 2 6 4" xfId="14296"/>
    <cellStyle name="SAPBEXexcBad7 3 2 7" xfId="8375"/>
    <cellStyle name="SAPBEXexcBad7 3 2 7 2" xfId="14300"/>
    <cellStyle name="SAPBEXexcBad7 3 2 7 3" xfId="14301"/>
    <cellStyle name="SAPBEXexcBad7 3 2 7 4" xfId="14299"/>
    <cellStyle name="SAPBEXexcBad7 3 2 8" xfId="8876"/>
    <cellStyle name="SAPBEXexcBad7 3 2 8 2" xfId="14303"/>
    <cellStyle name="SAPBEXexcBad7 3 2 8 3" xfId="14304"/>
    <cellStyle name="SAPBEXexcBad7 3 2 8 4" xfId="14302"/>
    <cellStyle name="SAPBEXexcBad7 3 2 9" xfId="9370"/>
    <cellStyle name="SAPBEXexcBad7 3 2 9 2" xfId="14306"/>
    <cellStyle name="SAPBEXexcBad7 3 2 9 3" xfId="14307"/>
    <cellStyle name="SAPBEXexcBad7 3 2 9 4" xfId="14305"/>
    <cellStyle name="SAPBEXexcBad7 3 2_planning-WP" xfId="14308"/>
    <cellStyle name="SAPBEXexcBad7 3 3" xfId="4511"/>
    <cellStyle name="SAPBEXexcBad7 3 3 10" xfId="14310"/>
    <cellStyle name="SAPBEXexcBad7 3 3 11" xfId="14309"/>
    <cellStyle name="SAPBEXexcBad7 3 3 2" xfId="14311"/>
    <cellStyle name="SAPBEXexcBad7 3 3 2 2" xfId="14312"/>
    <cellStyle name="SAPBEXexcBad7 3 3 2 3" xfId="14313"/>
    <cellStyle name="SAPBEXexcBad7 3 3 3" xfId="14314"/>
    <cellStyle name="SAPBEXexcBad7 3 3 3 2" xfId="14315"/>
    <cellStyle name="SAPBEXexcBad7 3 3 3 3" xfId="14316"/>
    <cellStyle name="SAPBEXexcBad7 3 3 4" xfId="14317"/>
    <cellStyle name="SAPBEXexcBad7 3 3 4 2" xfId="14318"/>
    <cellStyle name="SAPBEXexcBad7 3 3 4 3" xfId="14319"/>
    <cellStyle name="SAPBEXexcBad7 3 3 5" xfId="14320"/>
    <cellStyle name="SAPBEXexcBad7 3 3 5 2" xfId="14321"/>
    <cellStyle name="SAPBEXexcBad7 3 3 5 3" xfId="14322"/>
    <cellStyle name="SAPBEXexcBad7 3 3 6" xfId="14323"/>
    <cellStyle name="SAPBEXexcBad7 3 3 6 2" xfId="14324"/>
    <cellStyle name="SAPBEXexcBad7 3 3 6 3" xfId="14325"/>
    <cellStyle name="SAPBEXexcBad7 3 3 7" xfId="14326"/>
    <cellStyle name="SAPBEXexcBad7 3 3 7 2" xfId="14327"/>
    <cellStyle name="SAPBEXexcBad7 3 3 7 3" xfId="14328"/>
    <cellStyle name="SAPBEXexcBad7 3 3 8" xfId="14329"/>
    <cellStyle name="SAPBEXexcBad7 3 3 8 2" xfId="14330"/>
    <cellStyle name="SAPBEXexcBad7 3 3 8 3" xfId="14331"/>
    <cellStyle name="SAPBEXexcBad7 3 3 9" xfId="14332"/>
    <cellStyle name="SAPBEXexcBad7 3 3 9 2" xfId="14333"/>
    <cellStyle name="SAPBEXexcBad7 3 3 9 3" xfId="14334"/>
    <cellStyle name="SAPBEXexcBad7 3 3_planning-WP" xfId="14335"/>
    <cellStyle name="SAPBEXexcBad7 3 4" xfId="5503"/>
    <cellStyle name="SAPBEXexcBad7 3 4 10" xfId="14336"/>
    <cellStyle name="SAPBEXexcBad7 3 4 2" xfId="14337"/>
    <cellStyle name="SAPBEXexcBad7 3 4 2 2" xfId="14338"/>
    <cellStyle name="SAPBEXexcBad7 3 4 2 3" xfId="14339"/>
    <cellStyle name="SAPBEXexcBad7 3 4 3" xfId="14340"/>
    <cellStyle name="SAPBEXexcBad7 3 4 3 2" xfId="14341"/>
    <cellStyle name="SAPBEXexcBad7 3 4 3 3" xfId="14342"/>
    <cellStyle name="SAPBEXexcBad7 3 4 4" xfId="14343"/>
    <cellStyle name="SAPBEXexcBad7 3 4 4 2" xfId="14344"/>
    <cellStyle name="SAPBEXexcBad7 3 4 4 3" xfId="14345"/>
    <cellStyle name="SAPBEXexcBad7 3 4 5" xfId="14346"/>
    <cellStyle name="SAPBEXexcBad7 3 4 5 2" xfId="14347"/>
    <cellStyle name="SAPBEXexcBad7 3 4 5 3" xfId="14348"/>
    <cellStyle name="SAPBEXexcBad7 3 4 6" xfId="14349"/>
    <cellStyle name="SAPBEXexcBad7 3 4 6 2" xfId="14350"/>
    <cellStyle name="SAPBEXexcBad7 3 4 6 3" xfId="14351"/>
    <cellStyle name="SAPBEXexcBad7 3 4 7" xfId="14352"/>
    <cellStyle name="SAPBEXexcBad7 3 4 7 2" xfId="14353"/>
    <cellStyle name="SAPBEXexcBad7 3 4 7 3" xfId="14354"/>
    <cellStyle name="SAPBEXexcBad7 3 4 8" xfId="14355"/>
    <cellStyle name="SAPBEXexcBad7 3 4 8 2" xfId="14356"/>
    <cellStyle name="SAPBEXexcBad7 3 4 8 3" xfId="14357"/>
    <cellStyle name="SAPBEXexcBad7 3 4 9" xfId="14358"/>
    <cellStyle name="SAPBEXexcBad7 3 4_planning-WP" xfId="14359"/>
    <cellStyle name="SAPBEXexcBad7 3 5" xfId="3327"/>
    <cellStyle name="SAPBEXexcBad7 3 5 2" xfId="14361"/>
    <cellStyle name="SAPBEXexcBad7 3 5 3" xfId="14360"/>
    <cellStyle name="SAPBEXexcBad7 3 6" xfId="5119"/>
    <cellStyle name="SAPBEXexcBad7 3 6 2" xfId="14363"/>
    <cellStyle name="SAPBEXexcBad7 3 6 3" xfId="14364"/>
    <cellStyle name="SAPBEXexcBad7 3 6 4" xfId="14362"/>
    <cellStyle name="SAPBEXexcBad7 3 7" xfId="5318"/>
    <cellStyle name="SAPBEXexcBad7 3 7 2" xfId="14366"/>
    <cellStyle name="SAPBEXexcBad7 3 7 3" xfId="14367"/>
    <cellStyle name="SAPBEXexcBad7 3 7 4" xfId="14365"/>
    <cellStyle name="SAPBEXexcBad7 3 8" xfId="8051"/>
    <cellStyle name="SAPBEXexcBad7 3 8 2" xfId="14369"/>
    <cellStyle name="SAPBEXexcBad7 3 8 3" xfId="14370"/>
    <cellStyle name="SAPBEXexcBad7 3 8 4" xfId="14368"/>
    <cellStyle name="SAPBEXexcBad7 3 9" xfId="7497"/>
    <cellStyle name="SAPBEXexcBad7 3 9 2" xfId="14372"/>
    <cellStyle name="SAPBEXexcBad7 3 9 3" xfId="14373"/>
    <cellStyle name="SAPBEXexcBad7 3 9 4" xfId="14371"/>
    <cellStyle name="SAPBEXexcBad7 3_planning-WP" xfId="14374"/>
    <cellStyle name="SAPBEXexcBad7 4" xfId="1703"/>
    <cellStyle name="SAPBEXexcBad7 4 10" xfId="9160"/>
    <cellStyle name="SAPBEXexcBad7 4 10 2" xfId="14377"/>
    <cellStyle name="SAPBEXexcBad7 4 10 3" xfId="14378"/>
    <cellStyle name="SAPBEXexcBad7 4 10 4" xfId="14376"/>
    <cellStyle name="SAPBEXexcBad7 4 11" xfId="14379"/>
    <cellStyle name="SAPBEXexcBad7 4 11 2" xfId="14380"/>
    <cellStyle name="SAPBEXexcBad7 4 11 3" xfId="14381"/>
    <cellStyle name="SAPBEXexcBad7 4 12" xfId="14382"/>
    <cellStyle name="SAPBEXexcBad7 4 12 2" xfId="14383"/>
    <cellStyle name="SAPBEXexcBad7 4 12 3" xfId="14384"/>
    <cellStyle name="SAPBEXexcBad7 4 13" xfId="14375"/>
    <cellStyle name="SAPBEXexcBad7 4 14" xfId="9899"/>
    <cellStyle name="SAPBEXexcBad7 4 15" xfId="38877"/>
    <cellStyle name="SAPBEXexcBad7 4 16" xfId="39291"/>
    <cellStyle name="SAPBEXexcBad7 4 2" xfId="2035"/>
    <cellStyle name="SAPBEXexcBad7 4 2 10" xfId="14386"/>
    <cellStyle name="SAPBEXexcBad7 4 2 10 2" xfId="14387"/>
    <cellStyle name="SAPBEXexcBad7 4 2 10 3" xfId="14388"/>
    <cellStyle name="SAPBEXexcBad7 4 2 11" xfId="14389"/>
    <cellStyle name="SAPBEXexcBad7 4 2 12" xfId="14385"/>
    <cellStyle name="SAPBEXexcBad7 4 2 13" xfId="10212"/>
    <cellStyle name="SAPBEXexcBad7 4 2 14" xfId="38878"/>
    <cellStyle name="SAPBEXexcBad7 4 2 15" xfId="39292"/>
    <cellStyle name="SAPBEXexcBad7 4 2 2" xfId="4952"/>
    <cellStyle name="SAPBEXexcBad7 4 2 2 10" xfId="14391"/>
    <cellStyle name="SAPBEXexcBad7 4 2 2 11" xfId="14390"/>
    <cellStyle name="SAPBEXexcBad7 4 2 2 2" xfId="14392"/>
    <cellStyle name="SAPBEXexcBad7 4 2 2 2 2" xfId="14393"/>
    <cellStyle name="SAPBEXexcBad7 4 2 2 2 3" xfId="14394"/>
    <cellStyle name="SAPBEXexcBad7 4 2 2 3" xfId="14395"/>
    <cellStyle name="SAPBEXexcBad7 4 2 2 3 2" xfId="14396"/>
    <cellStyle name="SAPBEXexcBad7 4 2 2 3 3" xfId="14397"/>
    <cellStyle name="SAPBEXexcBad7 4 2 2 4" xfId="14398"/>
    <cellStyle name="SAPBEXexcBad7 4 2 2 4 2" xfId="14399"/>
    <cellStyle name="SAPBEXexcBad7 4 2 2 4 3" xfId="14400"/>
    <cellStyle name="SAPBEXexcBad7 4 2 2 5" xfId="14401"/>
    <cellStyle name="SAPBEXexcBad7 4 2 2 5 2" xfId="14402"/>
    <cellStyle name="SAPBEXexcBad7 4 2 2 5 3" xfId="14403"/>
    <cellStyle name="SAPBEXexcBad7 4 2 2 6" xfId="14404"/>
    <cellStyle name="SAPBEXexcBad7 4 2 2 6 2" xfId="14405"/>
    <cellStyle name="SAPBEXexcBad7 4 2 2 6 3" xfId="14406"/>
    <cellStyle name="SAPBEXexcBad7 4 2 2 7" xfId="14407"/>
    <cellStyle name="SAPBEXexcBad7 4 2 2 7 2" xfId="14408"/>
    <cellStyle name="SAPBEXexcBad7 4 2 2 7 3" xfId="14409"/>
    <cellStyle name="SAPBEXexcBad7 4 2 2 8" xfId="14410"/>
    <cellStyle name="SAPBEXexcBad7 4 2 2 8 2" xfId="14411"/>
    <cellStyle name="SAPBEXexcBad7 4 2 2 8 3" xfId="14412"/>
    <cellStyle name="SAPBEXexcBad7 4 2 2 9" xfId="14413"/>
    <cellStyle name="SAPBEXexcBad7 4 2 2 9 2" xfId="14414"/>
    <cellStyle name="SAPBEXexcBad7 4 2 2 9 3" xfId="14415"/>
    <cellStyle name="SAPBEXexcBad7 4 2 2_planning-WP" xfId="14416"/>
    <cellStyle name="SAPBEXexcBad7 4 2 3" xfId="5931"/>
    <cellStyle name="SAPBEXexcBad7 4 2 3 2" xfId="14418"/>
    <cellStyle name="SAPBEXexcBad7 4 2 3 3" xfId="14419"/>
    <cellStyle name="SAPBEXexcBad7 4 2 3 4" xfId="14417"/>
    <cellStyle name="SAPBEXexcBad7 4 2 4" xfId="6439"/>
    <cellStyle name="SAPBEXexcBad7 4 2 4 2" xfId="14421"/>
    <cellStyle name="SAPBEXexcBad7 4 2 4 3" xfId="14422"/>
    <cellStyle name="SAPBEXexcBad7 4 2 4 4" xfId="14420"/>
    <cellStyle name="SAPBEXexcBad7 4 2 5" xfId="6926"/>
    <cellStyle name="SAPBEXexcBad7 4 2 5 2" xfId="14424"/>
    <cellStyle name="SAPBEXexcBad7 4 2 5 3" xfId="14425"/>
    <cellStyle name="SAPBEXexcBad7 4 2 5 4" xfId="14423"/>
    <cellStyle name="SAPBEXexcBad7 4 2 6" xfId="7409"/>
    <cellStyle name="SAPBEXexcBad7 4 2 6 2" xfId="14427"/>
    <cellStyle name="SAPBEXexcBad7 4 2 6 3" xfId="14428"/>
    <cellStyle name="SAPBEXexcBad7 4 2 6 4" xfId="14426"/>
    <cellStyle name="SAPBEXexcBad7 4 2 7" xfId="8478"/>
    <cellStyle name="SAPBEXexcBad7 4 2 7 2" xfId="14430"/>
    <cellStyle name="SAPBEXexcBad7 4 2 7 3" xfId="14431"/>
    <cellStyle name="SAPBEXexcBad7 4 2 7 4" xfId="14429"/>
    <cellStyle name="SAPBEXexcBad7 4 2 8" xfId="8979"/>
    <cellStyle name="SAPBEXexcBad7 4 2 8 2" xfId="14433"/>
    <cellStyle name="SAPBEXexcBad7 4 2 8 3" xfId="14434"/>
    <cellStyle name="SAPBEXexcBad7 4 2 8 4" xfId="14432"/>
    <cellStyle name="SAPBEXexcBad7 4 2 9" xfId="9473"/>
    <cellStyle name="SAPBEXexcBad7 4 2 9 2" xfId="14436"/>
    <cellStyle name="SAPBEXexcBad7 4 2 9 3" xfId="14437"/>
    <cellStyle name="SAPBEXexcBad7 4 2 9 4" xfId="14435"/>
    <cellStyle name="SAPBEXexcBad7 4 2_planning-WP" xfId="14438"/>
    <cellStyle name="SAPBEXexcBad7 4 3" xfId="4625"/>
    <cellStyle name="SAPBEXexcBad7 4 3 10" xfId="14440"/>
    <cellStyle name="SAPBEXexcBad7 4 3 11" xfId="14439"/>
    <cellStyle name="SAPBEXexcBad7 4 3 2" xfId="14441"/>
    <cellStyle name="SAPBEXexcBad7 4 3 2 2" xfId="14442"/>
    <cellStyle name="SAPBEXexcBad7 4 3 2 3" xfId="14443"/>
    <cellStyle name="SAPBEXexcBad7 4 3 3" xfId="14444"/>
    <cellStyle name="SAPBEXexcBad7 4 3 3 2" xfId="14445"/>
    <cellStyle name="SAPBEXexcBad7 4 3 3 3" xfId="14446"/>
    <cellStyle name="SAPBEXexcBad7 4 3 4" xfId="14447"/>
    <cellStyle name="SAPBEXexcBad7 4 3 4 2" xfId="14448"/>
    <cellStyle name="SAPBEXexcBad7 4 3 4 3" xfId="14449"/>
    <cellStyle name="SAPBEXexcBad7 4 3 5" xfId="14450"/>
    <cellStyle name="SAPBEXexcBad7 4 3 5 2" xfId="14451"/>
    <cellStyle name="SAPBEXexcBad7 4 3 5 3" xfId="14452"/>
    <cellStyle name="SAPBEXexcBad7 4 3 6" xfId="14453"/>
    <cellStyle name="SAPBEXexcBad7 4 3 6 2" xfId="14454"/>
    <cellStyle name="SAPBEXexcBad7 4 3 6 3" xfId="14455"/>
    <cellStyle name="SAPBEXexcBad7 4 3 7" xfId="14456"/>
    <cellStyle name="SAPBEXexcBad7 4 3 7 2" xfId="14457"/>
    <cellStyle name="SAPBEXexcBad7 4 3 7 3" xfId="14458"/>
    <cellStyle name="SAPBEXexcBad7 4 3 8" xfId="14459"/>
    <cellStyle name="SAPBEXexcBad7 4 3 8 2" xfId="14460"/>
    <cellStyle name="SAPBEXexcBad7 4 3 8 3" xfId="14461"/>
    <cellStyle name="SAPBEXexcBad7 4 3 9" xfId="14462"/>
    <cellStyle name="SAPBEXexcBad7 4 3 9 2" xfId="14463"/>
    <cellStyle name="SAPBEXexcBad7 4 3 9 3" xfId="14464"/>
    <cellStyle name="SAPBEXexcBad7 4 3_planning-WP" xfId="14465"/>
    <cellStyle name="SAPBEXexcBad7 4 4" xfId="5617"/>
    <cellStyle name="SAPBEXexcBad7 4 4 10" xfId="14466"/>
    <cellStyle name="SAPBEXexcBad7 4 4 2" xfId="14467"/>
    <cellStyle name="SAPBEXexcBad7 4 4 2 2" xfId="14468"/>
    <cellStyle name="SAPBEXexcBad7 4 4 2 3" xfId="14469"/>
    <cellStyle name="SAPBEXexcBad7 4 4 3" xfId="14470"/>
    <cellStyle name="SAPBEXexcBad7 4 4 3 2" xfId="14471"/>
    <cellStyle name="SAPBEXexcBad7 4 4 3 3" xfId="14472"/>
    <cellStyle name="SAPBEXexcBad7 4 4 4" xfId="14473"/>
    <cellStyle name="SAPBEXexcBad7 4 4 4 2" xfId="14474"/>
    <cellStyle name="SAPBEXexcBad7 4 4 4 3" xfId="14475"/>
    <cellStyle name="SAPBEXexcBad7 4 4 5" xfId="14476"/>
    <cellStyle name="SAPBEXexcBad7 4 4 5 2" xfId="14477"/>
    <cellStyle name="SAPBEXexcBad7 4 4 5 3" xfId="14478"/>
    <cellStyle name="SAPBEXexcBad7 4 4 6" xfId="14479"/>
    <cellStyle name="SAPBEXexcBad7 4 4 6 2" xfId="14480"/>
    <cellStyle name="SAPBEXexcBad7 4 4 6 3" xfId="14481"/>
    <cellStyle name="SAPBEXexcBad7 4 4 7" xfId="14482"/>
    <cellStyle name="SAPBEXexcBad7 4 4 7 2" xfId="14483"/>
    <cellStyle name="SAPBEXexcBad7 4 4 7 3" xfId="14484"/>
    <cellStyle name="SAPBEXexcBad7 4 4 8" xfId="14485"/>
    <cellStyle name="SAPBEXexcBad7 4 4 8 2" xfId="14486"/>
    <cellStyle name="SAPBEXexcBad7 4 4 8 3" xfId="14487"/>
    <cellStyle name="SAPBEXexcBad7 4 4 9" xfId="14488"/>
    <cellStyle name="SAPBEXexcBad7 4 4_planning-WP" xfId="14489"/>
    <cellStyle name="SAPBEXexcBad7 4 5" xfId="6126"/>
    <cellStyle name="SAPBEXexcBad7 4 5 2" xfId="14491"/>
    <cellStyle name="SAPBEXexcBad7 4 5 3" xfId="14490"/>
    <cellStyle name="SAPBEXexcBad7 4 6" xfId="6613"/>
    <cellStyle name="SAPBEXexcBad7 4 6 2" xfId="14493"/>
    <cellStyle name="SAPBEXexcBad7 4 6 3" xfId="14494"/>
    <cellStyle name="SAPBEXexcBad7 4 6 4" xfId="14492"/>
    <cellStyle name="SAPBEXexcBad7 4 7" xfId="7096"/>
    <cellStyle name="SAPBEXexcBad7 4 7 2" xfId="14496"/>
    <cellStyle name="SAPBEXexcBad7 4 7 3" xfId="14497"/>
    <cellStyle name="SAPBEXexcBad7 4 7 4" xfId="14495"/>
    <cellStyle name="SAPBEXexcBad7 4 8" xfId="8165"/>
    <cellStyle name="SAPBEXexcBad7 4 8 2" xfId="14499"/>
    <cellStyle name="SAPBEXexcBad7 4 8 3" xfId="14500"/>
    <cellStyle name="SAPBEXexcBad7 4 8 4" xfId="14498"/>
    <cellStyle name="SAPBEXexcBad7 4 9" xfId="8666"/>
    <cellStyle name="SAPBEXexcBad7 4 9 2" xfId="14502"/>
    <cellStyle name="SAPBEXexcBad7 4 9 3" xfId="14503"/>
    <cellStyle name="SAPBEXexcBad7 4 9 4" xfId="14501"/>
    <cellStyle name="SAPBEXexcBad7 4_planning-WP" xfId="14504"/>
    <cellStyle name="SAPBEXexcBad7 5" xfId="1640"/>
    <cellStyle name="SAPBEXexcBad7 5 10" xfId="9098"/>
    <cellStyle name="SAPBEXexcBad7 5 10 2" xfId="14507"/>
    <cellStyle name="SAPBEXexcBad7 5 10 3" xfId="14508"/>
    <cellStyle name="SAPBEXexcBad7 5 10 4" xfId="14506"/>
    <cellStyle name="SAPBEXexcBad7 5 11" xfId="14509"/>
    <cellStyle name="SAPBEXexcBad7 5 11 2" xfId="14510"/>
    <cellStyle name="SAPBEXexcBad7 5 11 3" xfId="14511"/>
    <cellStyle name="SAPBEXexcBad7 5 12" xfId="14512"/>
    <cellStyle name="SAPBEXexcBad7 5 12 2" xfId="14513"/>
    <cellStyle name="SAPBEXexcBad7 5 12 3" xfId="14514"/>
    <cellStyle name="SAPBEXexcBad7 5 13" xfId="14505"/>
    <cellStyle name="SAPBEXexcBad7 5 14" xfId="9837"/>
    <cellStyle name="SAPBEXexcBad7 5 15" xfId="38879"/>
    <cellStyle name="SAPBEXexcBad7 5 16" xfId="39293"/>
    <cellStyle name="SAPBEXexcBad7 5 2" xfId="1976"/>
    <cellStyle name="SAPBEXexcBad7 5 2 10" xfId="14516"/>
    <cellStyle name="SAPBEXexcBad7 5 2 10 2" xfId="14517"/>
    <cellStyle name="SAPBEXexcBad7 5 2 10 3" xfId="14518"/>
    <cellStyle name="SAPBEXexcBad7 5 2 11" xfId="14519"/>
    <cellStyle name="SAPBEXexcBad7 5 2 12" xfId="14515"/>
    <cellStyle name="SAPBEXexcBad7 5 2 13" xfId="10154"/>
    <cellStyle name="SAPBEXexcBad7 5 2 2" xfId="4894"/>
    <cellStyle name="SAPBEXexcBad7 5 2 2 10" xfId="14521"/>
    <cellStyle name="SAPBEXexcBad7 5 2 2 11" xfId="14520"/>
    <cellStyle name="SAPBEXexcBad7 5 2 2 2" xfId="14522"/>
    <cellStyle name="SAPBEXexcBad7 5 2 2 2 2" xfId="14523"/>
    <cellStyle name="SAPBEXexcBad7 5 2 2 2 3" xfId="14524"/>
    <cellStyle name="SAPBEXexcBad7 5 2 2 3" xfId="14525"/>
    <cellStyle name="SAPBEXexcBad7 5 2 2 3 2" xfId="14526"/>
    <cellStyle name="SAPBEXexcBad7 5 2 2 3 3" xfId="14527"/>
    <cellStyle name="SAPBEXexcBad7 5 2 2 4" xfId="14528"/>
    <cellStyle name="SAPBEXexcBad7 5 2 2 4 2" xfId="14529"/>
    <cellStyle name="SAPBEXexcBad7 5 2 2 4 3" xfId="14530"/>
    <cellStyle name="SAPBEXexcBad7 5 2 2 5" xfId="14531"/>
    <cellStyle name="SAPBEXexcBad7 5 2 2 5 2" xfId="14532"/>
    <cellStyle name="SAPBEXexcBad7 5 2 2 5 3" xfId="14533"/>
    <cellStyle name="SAPBEXexcBad7 5 2 2 6" xfId="14534"/>
    <cellStyle name="SAPBEXexcBad7 5 2 2 6 2" xfId="14535"/>
    <cellStyle name="SAPBEXexcBad7 5 2 2 6 3" xfId="14536"/>
    <cellStyle name="SAPBEXexcBad7 5 2 2 7" xfId="14537"/>
    <cellStyle name="SAPBEXexcBad7 5 2 2 7 2" xfId="14538"/>
    <cellStyle name="SAPBEXexcBad7 5 2 2 7 3" xfId="14539"/>
    <cellStyle name="SAPBEXexcBad7 5 2 2 8" xfId="14540"/>
    <cellStyle name="SAPBEXexcBad7 5 2 2 8 2" xfId="14541"/>
    <cellStyle name="SAPBEXexcBad7 5 2 2 8 3" xfId="14542"/>
    <cellStyle name="SAPBEXexcBad7 5 2 2 9" xfId="14543"/>
    <cellStyle name="SAPBEXexcBad7 5 2 2 9 2" xfId="14544"/>
    <cellStyle name="SAPBEXexcBad7 5 2 2 9 3" xfId="14545"/>
    <cellStyle name="SAPBEXexcBad7 5 2 2_planning-WP" xfId="14546"/>
    <cellStyle name="SAPBEXexcBad7 5 2 3" xfId="5873"/>
    <cellStyle name="SAPBEXexcBad7 5 2 3 2" xfId="14548"/>
    <cellStyle name="SAPBEXexcBad7 5 2 3 3" xfId="14549"/>
    <cellStyle name="SAPBEXexcBad7 5 2 3 4" xfId="14547"/>
    <cellStyle name="SAPBEXexcBad7 5 2 4" xfId="6381"/>
    <cellStyle name="SAPBEXexcBad7 5 2 4 2" xfId="14551"/>
    <cellStyle name="SAPBEXexcBad7 5 2 4 3" xfId="14552"/>
    <cellStyle name="SAPBEXexcBad7 5 2 4 4" xfId="14550"/>
    <cellStyle name="SAPBEXexcBad7 5 2 5" xfId="6868"/>
    <cellStyle name="SAPBEXexcBad7 5 2 5 2" xfId="14554"/>
    <cellStyle name="SAPBEXexcBad7 5 2 5 3" xfId="14555"/>
    <cellStyle name="SAPBEXexcBad7 5 2 5 4" xfId="14553"/>
    <cellStyle name="SAPBEXexcBad7 5 2 6" xfId="7351"/>
    <cellStyle name="SAPBEXexcBad7 5 2 6 2" xfId="14557"/>
    <cellStyle name="SAPBEXexcBad7 5 2 6 3" xfId="14558"/>
    <cellStyle name="SAPBEXexcBad7 5 2 6 4" xfId="14556"/>
    <cellStyle name="SAPBEXexcBad7 5 2 7" xfId="8420"/>
    <cellStyle name="SAPBEXexcBad7 5 2 7 2" xfId="14560"/>
    <cellStyle name="SAPBEXexcBad7 5 2 7 3" xfId="14561"/>
    <cellStyle name="SAPBEXexcBad7 5 2 7 4" xfId="14559"/>
    <cellStyle name="SAPBEXexcBad7 5 2 8" xfId="8921"/>
    <cellStyle name="SAPBEXexcBad7 5 2 8 2" xfId="14563"/>
    <cellStyle name="SAPBEXexcBad7 5 2 8 3" xfId="14564"/>
    <cellStyle name="SAPBEXexcBad7 5 2 8 4" xfId="14562"/>
    <cellStyle name="SAPBEXexcBad7 5 2 9" xfId="9415"/>
    <cellStyle name="SAPBEXexcBad7 5 2 9 2" xfId="14566"/>
    <cellStyle name="SAPBEXexcBad7 5 2 9 3" xfId="14567"/>
    <cellStyle name="SAPBEXexcBad7 5 2 9 4" xfId="14565"/>
    <cellStyle name="SAPBEXexcBad7 5 2_planning-WP" xfId="14568"/>
    <cellStyle name="SAPBEXexcBad7 5 3" xfId="4563"/>
    <cellStyle name="SAPBEXexcBad7 5 3 10" xfId="14570"/>
    <cellStyle name="SAPBEXexcBad7 5 3 11" xfId="14569"/>
    <cellStyle name="SAPBEXexcBad7 5 3 2" xfId="14571"/>
    <cellStyle name="SAPBEXexcBad7 5 3 2 2" xfId="14572"/>
    <cellStyle name="SAPBEXexcBad7 5 3 2 3" xfId="14573"/>
    <cellStyle name="SAPBEXexcBad7 5 3 3" xfId="14574"/>
    <cellStyle name="SAPBEXexcBad7 5 3 3 2" xfId="14575"/>
    <cellStyle name="SAPBEXexcBad7 5 3 3 3" xfId="14576"/>
    <cellStyle name="SAPBEXexcBad7 5 3 4" xfId="14577"/>
    <cellStyle name="SAPBEXexcBad7 5 3 4 2" xfId="14578"/>
    <cellStyle name="SAPBEXexcBad7 5 3 4 3" xfId="14579"/>
    <cellStyle name="SAPBEXexcBad7 5 3 5" xfId="14580"/>
    <cellStyle name="SAPBEXexcBad7 5 3 5 2" xfId="14581"/>
    <cellStyle name="SAPBEXexcBad7 5 3 5 3" xfId="14582"/>
    <cellStyle name="SAPBEXexcBad7 5 3 6" xfId="14583"/>
    <cellStyle name="SAPBEXexcBad7 5 3 6 2" xfId="14584"/>
    <cellStyle name="SAPBEXexcBad7 5 3 6 3" xfId="14585"/>
    <cellStyle name="SAPBEXexcBad7 5 3 7" xfId="14586"/>
    <cellStyle name="SAPBEXexcBad7 5 3 7 2" xfId="14587"/>
    <cellStyle name="SAPBEXexcBad7 5 3 7 3" xfId="14588"/>
    <cellStyle name="SAPBEXexcBad7 5 3 8" xfId="14589"/>
    <cellStyle name="SAPBEXexcBad7 5 3 8 2" xfId="14590"/>
    <cellStyle name="SAPBEXexcBad7 5 3 8 3" xfId="14591"/>
    <cellStyle name="SAPBEXexcBad7 5 3 9" xfId="14592"/>
    <cellStyle name="SAPBEXexcBad7 5 3 9 2" xfId="14593"/>
    <cellStyle name="SAPBEXexcBad7 5 3 9 3" xfId="14594"/>
    <cellStyle name="SAPBEXexcBad7 5 3_planning-WP" xfId="14595"/>
    <cellStyle name="SAPBEXexcBad7 5 4" xfId="5555"/>
    <cellStyle name="SAPBEXexcBad7 5 4 10" xfId="14596"/>
    <cellStyle name="SAPBEXexcBad7 5 4 2" xfId="14597"/>
    <cellStyle name="SAPBEXexcBad7 5 4 2 2" xfId="14598"/>
    <cellStyle name="SAPBEXexcBad7 5 4 2 3" xfId="14599"/>
    <cellStyle name="SAPBEXexcBad7 5 4 3" xfId="14600"/>
    <cellStyle name="SAPBEXexcBad7 5 4 3 2" xfId="14601"/>
    <cellStyle name="SAPBEXexcBad7 5 4 3 3" xfId="14602"/>
    <cellStyle name="SAPBEXexcBad7 5 4 4" xfId="14603"/>
    <cellStyle name="SAPBEXexcBad7 5 4 4 2" xfId="14604"/>
    <cellStyle name="SAPBEXexcBad7 5 4 4 3" xfId="14605"/>
    <cellStyle name="SAPBEXexcBad7 5 4 5" xfId="14606"/>
    <cellStyle name="SAPBEXexcBad7 5 4 5 2" xfId="14607"/>
    <cellStyle name="SAPBEXexcBad7 5 4 5 3" xfId="14608"/>
    <cellStyle name="SAPBEXexcBad7 5 4 6" xfId="14609"/>
    <cellStyle name="SAPBEXexcBad7 5 4 6 2" xfId="14610"/>
    <cellStyle name="SAPBEXexcBad7 5 4 6 3" xfId="14611"/>
    <cellStyle name="SAPBEXexcBad7 5 4 7" xfId="14612"/>
    <cellStyle name="SAPBEXexcBad7 5 4 7 2" xfId="14613"/>
    <cellStyle name="SAPBEXexcBad7 5 4 7 3" xfId="14614"/>
    <cellStyle name="SAPBEXexcBad7 5 4 8" xfId="14615"/>
    <cellStyle name="SAPBEXexcBad7 5 4 8 2" xfId="14616"/>
    <cellStyle name="SAPBEXexcBad7 5 4 8 3" xfId="14617"/>
    <cellStyle name="SAPBEXexcBad7 5 4 9" xfId="14618"/>
    <cellStyle name="SAPBEXexcBad7 5 4_planning-WP" xfId="14619"/>
    <cellStyle name="SAPBEXexcBad7 5 5" xfId="6064"/>
    <cellStyle name="SAPBEXexcBad7 5 5 2" xfId="14621"/>
    <cellStyle name="SAPBEXexcBad7 5 5 3" xfId="14620"/>
    <cellStyle name="SAPBEXexcBad7 5 6" xfId="6551"/>
    <cellStyle name="SAPBEXexcBad7 5 6 2" xfId="14623"/>
    <cellStyle name="SAPBEXexcBad7 5 6 3" xfId="14624"/>
    <cellStyle name="SAPBEXexcBad7 5 6 4" xfId="14622"/>
    <cellStyle name="SAPBEXexcBad7 5 7" xfId="7034"/>
    <cellStyle name="SAPBEXexcBad7 5 7 2" xfId="14626"/>
    <cellStyle name="SAPBEXexcBad7 5 7 3" xfId="14627"/>
    <cellStyle name="SAPBEXexcBad7 5 7 4" xfId="14625"/>
    <cellStyle name="SAPBEXexcBad7 5 8" xfId="8103"/>
    <cellStyle name="SAPBEXexcBad7 5 8 2" xfId="14629"/>
    <cellStyle name="SAPBEXexcBad7 5 8 3" xfId="14630"/>
    <cellStyle name="SAPBEXexcBad7 5 8 4" xfId="14628"/>
    <cellStyle name="SAPBEXexcBad7 5 9" xfId="8604"/>
    <cellStyle name="SAPBEXexcBad7 5 9 2" xfId="14632"/>
    <cellStyle name="SAPBEXexcBad7 5 9 3" xfId="14633"/>
    <cellStyle name="SAPBEXexcBad7 5 9 4" xfId="14631"/>
    <cellStyle name="SAPBEXexcBad7 5_planning-WP" xfId="14634"/>
    <cellStyle name="SAPBEXexcBad7 6" xfId="1733"/>
    <cellStyle name="SAPBEXexcBad7 6 10" xfId="9188"/>
    <cellStyle name="SAPBEXexcBad7 6 10 2" xfId="14637"/>
    <cellStyle name="SAPBEXexcBad7 6 10 3" xfId="14638"/>
    <cellStyle name="SAPBEXexcBad7 6 10 4" xfId="14636"/>
    <cellStyle name="SAPBEXexcBad7 6 11" xfId="14639"/>
    <cellStyle name="SAPBEXexcBad7 6 11 2" xfId="14640"/>
    <cellStyle name="SAPBEXexcBad7 6 11 3" xfId="14641"/>
    <cellStyle name="SAPBEXexcBad7 6 12" xfId="14635"/>
    <cellStyle name="SAPBEXexcBad7 6 13" xfId="9927"/>
    <cellStyle name="SAPBEXexcBad7 6 14" xfId="38880"/>
    <cellStyle name="SAPBEXexcBad7 6 15" xfId="39294"/>
    <cellStyle name="SAPBEXexcBad7 6 2" xfId="2063"/>
    <cellStyle name="SAPBEXexcBad7 6 2 10" xfId="14643"/>
    <cellStyle name="SAPBEXexcBad7 6 2 11" xfId="14642"/>
    <cellStyle name="SAPBEXexcBad7 6 2 12" xfId="10238"/>
    <cellStyle name="SAPBEXexcBad7 6 2 2" xfId="4978"/>
    <cellStyle name="SAPBEXexcBad7 6 2 2 2" xfId="14645"/>
    <cellStyle name="SAPBEXexcBad7 6 2 2 3" xfId="14646"/>
    <cellStyle name="SAPBEXexcBad7 6 2 2 4" xfId="14644"/>
    <cellStyle name="SAPBEXexcBad7 6 2 3" xfId="5957"/>
    <cellStyle name="SAPBEXexcBad7 6 2 3 2" xfId="14648"/>
    <cellStyle name="SAPBEXexcBad7 6 2 3 3" xfId="14649"/>
    <cellStyle name="SAPBEXexcBad7 6 2 3 4" xfId="14647"/>
    <cellStyle name="SAPBEXexcBad7 6 2 4" xfId="6465"/>
    <cellStyle name="SAPBEXexcBad7 6 2 4 2" xfId="14651"/>
    <cellStyle name="SAPBEXexcBad7 6 2 4 3" xfId="14652"/>
    <cellStyle name="SAPBEXexcBad7 6 2 4 4" xfId="14650"/>
    <cellStyle name="SAPBEXexcBad7 6 2 5" xfId="6952"/>
    <cellStyle name="SAPBEXexcBad7 6 2 5 2" xfId="14654"/>
    <cellStyle name="SAPBEXexcBad7 6 2 5 3" xfId="14655"/>
    <cellStyle name="SAPBEXexcBad7 6 2 5 4" xfId="14653"/>
    <cellStyle name="SAPBEXexcBad7 6 2 6" xfId="7435"/>
    <cellStyle name="SAPBEXexcBad7 6 2 6 2" xfId="14657"/>
    <cellStyle name="SAPBEXexcBad7 6 2 6 3" xfId="14658"/>
    <cellStyle name="SAPBEXexcBad7 6 2 6 4" xfId="14656"/>
    <cellStyle name="SAPBEXexcBad7 6 2 7" xfId="8504"/>
    <cellStyle name="SAPBEXexcBad7 6 2 7 2" xfId="14660"/>
    <cellStyle name="SAPBEXexcBad7 6 2 7 3" xfId="14661"/>
    <cellStyle name="SAPBEXexcBad7 6 2 7 4" xfId="14659"/>
    <cellStyle name="SAPBEXexcBad7 6 2 8" xfId="9005"/>
    <cellStyle name="SAPBEXexcBad7 6 2 8 2" xfId="14663"/>
    <cellStyle name="SAPBEXexcBad7 6 2 8 3" xfId="14664"/>
    <cellStyle name="SAPBEXexcBad7 6 2 8 4" xfId="14662"/>
    <cellStyle name="SAPBEXexcBad7 6 2 9" xfId="9499"/>
    <cellStyle name="SAPBEXexcBad7 6 2 9 2" xfId="14666"/>
    <cellStyle name="SAPBEXexcBad7 6 2 9 3" xfId="14667"/>
    <cellStyle name="SAPBEXexcBad7 6 2 9 4" xfId="14665"/>
    <cellStyle name="SAPBEXexcBad7 6 2_planning-WP" xfId="14668"/>
    <cellStyle name="SAPBEXexcBad7 6 3" xfId="4654"/>
    <cellStyle name="SAPBEXexcBad7 6 3 10" xfId="14669"/>
    <cellStyle name="SAPBEXexcBad7 6 3 2" xfId="14670"/>
    <cellStyle name="SAPBEXexcBad7 6 3 2 2" xfId="14671"/>
    <cellStyle name="SAPBEXexcBad7 6 3 2 3" xfId="14672"/>
    <cellStyle name="SAPBEXexcBad7 6 3 3" xfId="14673"/>
    <cellStyle name="SAPBEXexcBad7 6 3 3 2" xfId="14674"/>
    <cellStyle name="SAPBEXexcBad7 6 3 3 3" xfId="14675"/>
    <cellStyle name="SAPBEXexcBad7 6 3 4" xfId="14676"/>
    <cellStyle name="SAPBEXexcBad7 6 3 4 2" xfId="14677"/>
    <cellStyle name="SAPBEXexcBad7 6 3 4 3" xfId="14678"/>
    <cellStyle name="SAPBEXexcBad7 6 3 5" xfId="14679"/>
    <cellStyle name="SAPBEXexcBad7 6 3 5 2" xfId="14680"/>
    <cellStyle name="SAPBEXexcBad7 6 3 5 3" xfId="14681"/>
    <cellStyle name="SAPBEXexcBad7 6 3 6" xfId="14682"/>
    <cellStyle name="SAPBEXexcBad7 6 3 6 2" xfId="14683"/>
    <cellStyle name="SAPBEXexcBad7 6 3 6 3" xfId="14684"/>
    <cellStyle name="SAPBEXexcBad7 6 3 7" xfId="14685"/>
    <cellStyle name="SAPBEXexcBad7 6 3 7 2" xfId="14686"/>
    <cellStyle name="SAPBEXexcBad7 6 3 7 3" xfId="14687"/>
    <cellStyle name="SAPBEXexcBad7 6 3 8" xfId="14688"/>
    <cellStyle name="SAPBEXexcBad7 6 3 8 2" xfId="14689"/>
    <cellStyle name="SAPBEXexcBad7 6 3 8 3" xfId="14690"/>
    <cellStyle name="SAPBEXexcBad7 6 3 9" xfId="14691"/>
    <cellStyle name="SAPBEXexcBad7 6 3_planning-WP" xfId="14692"/>
    <cellStyle name="SAPBEXexcBad7 6 4" xfId="5645"/>
    <cellStyle name="SAPBEXexcBad7 6 4 2" xfId="14694"/>
    <cellStyle name="SAPBEXexcBad7 6 4 3" xfId="14693"/>
    <cellStyle name="SAPBEXexcBad7 6 5" xfId="6154"/>
    <cellStyle name="SAPBEXexcBad7 6 5 2" xfId="14696"/>
    <cellStyle name="SAPBEXexcBad7 6 5 3" xfId="14697"/>
    <cellStyle name="SAPBEXexcBad7 6 5 4" xfId="14695"/>
    <cellStyle name="SAPBEXexcBad7 6 6" xfId="6641"/>
    <cellStyle name="SAPBEXexcBad7 6 6 2" xfId="14699"/>
    <cellStyle name="SAPBEXexcBad7 6 6 3" xfId="14700"/>
    <cellStyle name="SAPBEXexcBad7 6 6 4" xfId="14698"/>
    <cellStyle name="SAPBEXexcBad7 6 7" xfId="7124"/>
    <cellStyle name="SAPBEXexcBad7 6 7 2" xfId="14702"/>
    <cellStyle name="SAPBEXexcBad7 6 7 3" xfId="14703"/>
    <cellStyle name="SAPBEXexcBad7 6 7 4" xfId="14701"/>
    <cellStyle name="SAPBEXexcBad7 6 8" xfId="8193"/>
    <cellStyle name="SAPBEXexcBad7 6 8 2" xfId="14705"/>
    <cellStyle name="SAPBEXexcBad7 6 8 3" xfId="14706"/>
    <cellStyle name="SAPBEXexcBad7 6 8 4" xfId="14704"/>
    <cellStyle name="SAPBEXexcBad7 6 9" xfId="8694"/>
    <cellStyle name="SAPBEXexcBad7 6 9 2" xfId="14708"/>
    <cellStyle name="SAPBEXexcBad7 6 9 3" xfId="14709"/>
    <cellStyle name="SAPBEXexcBad7 6 9 4" xfId="14707"/>
    <cellStyle name="SAPBEXexcBad7 6_planning-WP" xfId="14710"/>
    <cellStyle name="SAPBEXexcBad7 7" xfId="1668"/>
    <cellStyle name="SAPBEXexcBad7 7 10" xfId="9126"/>
    <cellStyle name="SAPBEXexcBad7 7 10 2" xfId="14713"/>
    <cellStyle name="SAPBEXexcBad7 7 10 3" xfId="14714"/>
    <cellStyle name="SAPBEXexcBad7 7 10 4" xfId="14712"/>
    <cellStyle name="SAPBEXexcBad7 7 11" xfId="14715"/>
    <cellStyle name="SAPBEXexcBad7 7 12" xfId="14711"/>
    <cellStyle name="SAPBEXexcBad7 7 13" xfId="9865"/>
    <cellStyle name="SAPBEXexcBad7 7 14" xfId="38881"/>
    <cellStyle name="SAPBEXexcBad7 7 15" xfId="39295"/>
    <cellStyle name="SAPBEXexcBad7 7 2" xfId="2002"/>
    <cellStyle name="SAPBEXexcBad7 7 2 10" xfId="14717"/>
    <cellStyle name="SAPBEXexcBad7 7 2 11" xfId="14716"/>
    <cellStyle name="SAPBEXexcBad7 7 2 12" xfId="10180"/>
    <cellStyle name="SAPBEXexcBad7 7 2 2" xfId="4920"/>
    <cellStyle name="SAPBEXexcBad7 7 2 2 2" xfId="14719"/>
    <cellStyle name="SAPBEXexcBad7 7 2 2 3" xfId="14720"/>
    <cellStyle name="SAPBEXexcBad7 7 2 2 4" xfId="14718"/>
    <cellStyle name="SAPBEXexcBad7 7 2 3" xfId="5899"/>
    <cellStyle name="SAPBEXexcBad7 7 2 3 2" xfId="14722"/>
    <cellStyle name="SAPBEXexcBad7 7 2 3 3" xfId="14723"/>
    <cellStyle name="SAPBEXexcBad7 7 2 3 4" xfId="14721"/>
    <cellStyle name="SAPBEXexcBad7 7 2 4" xfId="6407"/>
    <cellStyle name="SAPBEXexcBad7 7 2 4 2" xfId="14725"/>
    <cellStyle name="SAPBEXexcBad7 7 2 4 3" xfId="14726"/>
    <cellStyle name="SAPBEXexcBad7 7 2 4 4" xfId="14724"/>
    <cellStyle name="SAPBEXexcBad7 7 2 5" xfId="6894"/>
    <cellStyle name="SAPBEXexcBad7 7 2 5 2" xfId="14728"/>
    <cellStyle name="SAPBEXexcBad7 7 2 5 3" xfId="14729"/>
    <cellStyle name="SAPBEXexcBad7 7 2 5 4" xfId="14727"/>
    <cellStyle name="SAPBEXexcBad7 7 2 6" xfId="7377"/>
    <cellStyle name="SAPBEXexcBad7 7 2 6 2" xfId="14731"/>
    <cellStyle name="SAPBEXexcBad7 7 2 6 3" xfId="14732"/>
    <cellStyle name="SAPBEXexcBad7 7 2 6 4" xfId="14730"/>
    <cellStyle name="SAPBEXexcBad7 7 2 7" xfId="8446"/>
    <cellStyle name="SAPBEXexcBad7 7 2 7 2" xfId="14734"/>
    <cellStyle name="SAPBEXexcBad7 7 2 7 3" xfId="14735"/>
    <cellStyle name="SAPBEXexcBad7 7 2 7 4" xfId="14733"/>
    <cellStyle name="SAPBEXexcBad7 7 2 8" xfId="8947"/>
    <cellStyle name="SAPBEXexcBad7 7 2 8 2" xfId="14737"/>
    <cellStyle name="SAPBEXexcBad7 7 2 8 3" xfId="14738"/>
    <cellStyle name="SAPBEXexcBad7 7 2 8 4" xfId="14736"/>
    <cellStyle name="SAPBEXexcBad7 7 2 9" xfId="9441"/>
    <cellStyle name="SAPBEXexcBad7 7 2 9 2" xfId="14740"/>
    <cellStyle name="SAPBEXexcBad7 7 2 9 3" xfId="14741"/>
    <cellStyle name="SAPBEXexcBad7 7 2 9 4" xfId="14739"/>
    <cellStyle name="SAPBEXexcBad7 7 2_planning-WP" xfId="14742"/>
    <cellStyle name="SAPBEXexcBad7 7 3" xfId="4591"/>
    <cellStyle name="SAPBEXexcBad7 7 3 2" xfId="14744"/>
    <cellStyle name="SAPBEXexcBad7 7 3 3" xfId="14745"/>
    <cellStyle name="SAPBEXexcBad7 7 3 4" xfId="14743"/>
    <cellStyle name="SAPBEXexcBad7 7 4" xfId="5583"/>
    <cellStyle name="SAPBEXexcBad7 7 4 2" xfId="14747"/>
    <cellStyle name="SAPBEXexcBad7 7 4 3" xfId="14748"/>
    <cellStyle name="SAPBEXexcBad7 7 4 4" xfId="14746"/>
    <cellStyle name="SAPBEXexcBad7 7 5" xfId="6092"/>
    <cellStyle name="SAPBEXexcBad7 7 5 2" xfId="14750"/>
    <cellStyle name="SAPBEXexcBad7 7 5 3" xfId="14751"/>
    <cellStyle name="SAPBEXexcBad7 7 5 4" xfId="14749"/>
    <cellStyle name="SAPBEXexcBad7 7 6" xfId="6579"/>
    <cellStyle name="SAPBEXexcBad7 7 6 2" xfId="14753"/>
    <cellStyle name="SAPBEXexcBad7 7 6 3" xfId="14754"/>
    <cellStyle name="SAPBEXexcBad7 7 6 4" xfId="14752"/>
    <cellStyle name="SAPBEXexcBad7 7 7" xfId="7062"/>
    <cellStyle name="SAPBEXexcBad7 7 7 2" xfId="14756"/>
    <cellStyle name="SAPBEXexcBad7 7 7 3" xfId="14757"/>
    <cellStyle name="SAPBEXexcBad7 7 7 4" xfId="14755"/>
    <cellStyle name="SAPBEXexcBad7 7 8" xfId="8131"/>
    <cellStyle name="SAPBEXexcBad7 7 8 2" xfId="14759"/>
    <cellStyle name="SAPBEXexcBad7 7 8 3" xfId="14760"/>
    <cellStyle name="SAPBEXexcBad7 7 8 4" xfId="14758"/>
    <cellStyle name="SAPBEXexcBad7 7 9" xfId="8632"/>
    <cellStyle name="SAPBEXexcBad7 7 9 2" xfId="14762"/>
    <cellStyle name="SAPBEXexcBad7 7 9 3" xfId="14763"/>
    <cellStyle name="SAPBEXexcBad7 7 9 4" xfId="14761"/>
    <cellStyle name="SAPBEXexcBad7 7_planning-WP" xfId="14764"/>
    <cellStyle name="SAPBEXexcBad7 8" xfId="1763"/>
    <cellStyle name="SAPBEXexcBad7 8 10" xfId="14766"/>
    <cellStyle name="SAPBEXexcBad7 8 11" xfId="14765"/>
    <cellStyle name="SAPBEXexcBad7 8 12" xfId="9957"/>
    <cellStyle name="SAPBEXexcBad7 8 2" xfId="4684"/>
    <cellStyle name="SAPBEXexcBad7 8 2 2" xfId="14768"/>
    <cellStyle name="SAPBEXexcBad7 8 2 3" xfId="14769"/>
    <cellStyle name="SAPBEXexcBad7 8 2 4" xfId="14767"/>
    <cellStyle name="SAPBEXexcBad7 8 3" xfId="5675"/>
    <cellStyle name="SAPBEXexcBad7 8 3 2" xfId="14771"/>
    <cellStyle name="SAPBEXexcBad7 8 3 3" xfId="14772"/>
    <cellStyle name="SAPBEXexcBad7 8 3 4" xfId="14770"/>
    <cellStyle name="SAPBEXexcBad7 8 4" xfId="6184"/>
    <cellStyle name="SAPBEXexcBad7 8 4 2" xfId="14774"/>
    <cellStyle name="SAPBEXexcBad7 8 4 3" xfId="14775"/>
    <cellStyle name="SAPBEXexcBad7 8 4 4" xfId="14773"/>
    <cellStyle name="SAPBEXexcBad7 8 5" xfId="6671"/>
    <cellStyle name="SAPBEXexcBad7 8 5 2" xfId="14777"/>
    <cellStyle name="SAPBEXexcBad7 8 5 3" xfId="14778"/>
    <cellStyle name="SAPBEXexcBad7 8 5 4" xfId="14776"/>
    <cellStyle name="SAPBEXexcBad7 8 6" xfId="7154"/>
    <cellStyle name="SAPBEXexcBad7 8 6 2" xfId="14780"/>
    <cellStyle name="SAPBEXexcBad7 8 6 3" xfId="14781"/>
    <cellStyle name="SAPBEXexcBad7 8 6 4" xfId="14779"/>
    <cellStyle name="SAPBEXexcBad7 8 7" xfId="8223"/>
    <cellStyle name="SAPBEXexcBad7 8 7 2" xfId="14783"/>
    <cellStyle name="SAPBEXexcBad7 8 7 3" xfId="14784"/>
    <cellStyle name="SAPBEXexcBad7 8 7 4" xfId="14782"/>
    <cellStyle name="SAPBEXexcBad7 8 8" xfId="8724"/>
    <cellStyle name="SAPBEXexcBad7 8 8 2" xfId="14786"/>
    <cellStyle name="SAPBEXexcBad7 8 8 3" xfId="14787"/>
    <cellStyle name="SAPBEXexcBad7 8 8 4" xfId="14785"/>
    <cellStyle name="SAPBEXexcBad7 8 9" xfId="9218"/>
    <cellStyle name="SAPBEXexcBad7 8 9 2" xfId="14789"/>
    <cellStyle name="SAPBEXexcBad7 8 9 3" xfId="14790"/>
    <cellStyle name="SAPBEXexcBad7 8 9 4" xfId="14788"/>
    <cellStyle name="SAPBEXexcBad7 8_planning-WP" xfId="14791"/>
    <cellStyle name="SAPBEXexcBad7 9" xfId="1427"/>
    <cellStyle name="SAPBEXexcBad7 9 10" xfId="14792"/>
    <cellStyle name="SAPBEXexcBad7 9 11" xfId="9625"/>
    <cellStyle name="SAPBEXexcBad7 9 2" xfId="4350"/>
    <cellStyle name="SAPBEXexcBad7 9 2 2" xfId="14794"/>
    <cellStyle name="SAPBEXexcBad7 9 2 3" xfId="14795"/>
    <cellStyle name="SAPBEXexcBad7 9 2 4" xfId="14793"/>
    <cellStyle name="SAPBEXexcBad7 9 3" xfId="5343"/>
    <cellStyle name="SAPBEXexcBad7 9 3 2" xfId="14797"/>
    <cellStyle name="SAPBEXexcBad7 9 3 3" xfId="14798"/>
    <cellStyle name="SAPBEXexcBad7 9 3 4" xfId="14796"/>
    <cellStyle name="SAPBEXexcBad7 9 4" xfId="5161"/>
    <cellStyle name="SAPBEXexcBad7 9 4 2" xfId="14800"/>
    <cellStyle name="SAPBEXexcBad7 9 4 3" xfId="14801"/>
    <cellStyle name="SAPBEXexcBad7 9 4 4" xfId="14799"/>
    <cellStyle name="SAPBEXexcBad7 9 5" xfId="5134"/>
    <cellStyle name="SAPBEXexcBad7 9 5 2" xfId="14803"/>
    <cellStyle name="SAPBEXexcBad7 9 5 3" xfId="14804"/>
    <cellStyle name="SAPBEXexcBad7 9 5 4" xfId="14802"/>
    <cellStyle name="SAPBEXexcBad7 9 6" xfId="6519"/>
    <cellStyle name="SAPBEXexcBad7 9 6 2" xfId="14806"/>
    <cellStyle name="SAPBEXexcBad7 9 6 3" xfId="14807"/>
    <cellStyle name="SAPBEXexcBad7 9 6 4" xfId="14805"/>
    <cellStyle name="SAPBEXexcBad7 9 7" xfId="7891"/>
    <cellStyle name="SAPBEXexcBad7 9 7 2" xfId="14809"/>
    <cellStyle name="SAPBEXexcBad7 9 7 3" xfId="14810"/>
    <cellStyle name="SAPBEXexcBad7 9 7 4" xfId="14808"/>
    <cellStyle name="SAPBEXexcBad7 9 8" xfId="7793"/>
    <cellStyle name="SAPBEXexcBad7 9 8 2" xfId="14812"/>
    <cellStyle name="SAPBEXexcBad7 9 8 3" xfId="14813"/>
    <cellStyle name="SAPBEXexcBad7 9 8 4" xfId="14811"/>
    <cellStyle name="SAPBEXexcBad7 9 9" xfId="7757"/>
    <cellStyle name="SAPBEXexcBad7 9 9 2" xfId="14814"/>
    <cellStyle name="SAPBEXexcBad7 9_planning-WP" xfId="14815"/>
    <cellStyle name="SAPBEXexcBad7_19.RessDest CUC CS SEE+SEM 1009" xfId="38882"/>
    <cellStyle name="SAPBEXexcBad8" xfId="274"/>
    <cellStyle name="SAPBEXexcBad8 10" xfId="14817"/>
    <cellStyle name="SAPBEXexcBad8 10 2" xfId="14818"/>
    <cellStyle name="SAPBEXexcBad8 11" xfId="14819"/>
    <cellStyle name="SAPBEXexcBad8 11 2" xfId="14820"/>
    <cellStyle name="SAPBEXexcBad8 11 3" xfId="14821"/>
    <cellStyle name="SAPBEXexcBad8 12" xfId="14822"/>
    <cellStyle name="SAPBEXexcBad8 12 2" xfId="14823"/>
    <cellStyle name="SAPBEXexcBad8 12 3" xfId="14824"/>
    <cellStyle name="SAPBEXexcBad8 13" xfId="14825"/>
    <cellStyle name="SAPBEXexcBad8 13 2" xfId="14826"/>
    <cellStyle name="SAPBEXexcBad8 13 3" xfId="14827"/>
    <cellStyle name="SAPBEXexcBad8 14" xfId="14828"/>
    <cellStyle name="SAPBEXexcBad8 14 2" xfId="14829"/>
    <cellStyle name="SAPBEXexcBad8 14 3" xfId="14830"/>
    <cellStyle name="SAPBEXexcBad8 15" xfId="14831"/>
    <cellStyle name="SAPBEXexcBad8 15 2" xfId="14832"/>
    <cellStyle name="SAPBEXexcBad8 15 3" xfId="14833"/>
    <cellStyle name="SAPBEXexcBad8 16" xfId="14834"/>
    <cellStyle name="SAPBEXexcBad8 16 2" xfId="14835"/>
    <cellStyle name="SAPBEXexcBad8 16 3" xfId="14836"/>
    <cellStyle name="SAPBEXexcBad8 17" xfId="14837"/>
    <cellStyle name="SAPBEXexcBad8 17 2" xfId="14838"/>
    <cellStyle name="SAPBEXexcBad8 17 3" xfId="14839"/>
    <cellStyle name="SAPBEXexcBad8 18" xfId="14840"/>
    <cellStyle name="SAPBEXexcBad8 19" xfId="14816"/>
    <cellStyle name="SAPBEXexcBad8 2" xfId="891"/>
    <cellStyle name="SAPBEXexcBad8 2 10" xfId="14842"/>
    <cellStyle name="SAPBEXexcBad8 2 10 2" xfId="14843"/>
    <cellStyle name="SAPBEXexcBad8 2 10 3" xfId="14844"/>
    <cellStyle name="SAPBEXexcBad8 2 11" xfId="14845"/>
    <cellStyle name="SAPBEXexcBad8 2 11 2" xfId="14846"/>
    <cellStyle name="SAPBEXexcBad8 2 11 3" xfId="14847"/>
    <cellStyle name="SAPBEXexcBad8 2 12" xfId="14848"/>
    <cellStyle name="SAPBEXexcBad8 2 12 2" xfId="14849"/>
    <cellStyle name="SAPBEXexcBad8 2 12 3" xfId="14850"/>
    <cellStyle name="SAPBEXexcBad8 2 13" xfId="14851"/>
    <cellStyle name="SAPBEXexcBad8 2 14" xfId="14841"/>
    <cellStyle name="SAPBEXexcBad8 2 15" xfId="9575"/>
    <cellStyle name="SAPBEXexcBad8 2 16" xfId="38884"/>
    <cellStyle name="SAPBEXexcBad8 2 17" xfId="39297"/>
    <cellStyle name="SAPBEXexcBad8 2 2" xfId="1955"/>
    <cellStyle name="SAPBEXexcBad8 2 2 10" xfId="14853"/>
    <cellStyle name="SAPBEXexcBad8 2 2 10 2" xfId="14854"/>
    <cellStyle name="SAPBEXexcBad8 2 2 10 3" xfId="14855"/>
    <cellStyle name="SAPBEXexcBad8 2 2 11" xfId="14856"/>
    <cellStyle name="SAPBEXexcBad8 2 2 12" xfId="14852"/>
    <cellStyle name="SAPBEXexcBad8 2 2 13" xfId="10133"/>
    <cellStyle name="SAPBEXexcBad8 2 2 14" xfId="38885"/>
    <cellStyle name="SAPBEXexcBad8 2 2 15" xfId="39298"/>
    <cellStyle name="SAPBEXexcBad8 2 2 2" xfId="4873"/>
    <cellStyle name="SAPBEXexcBad8 2 2 2 10" xfId="14858"/>
    <cellStyle name="SAPBEXexcBad8 2 2 2 11" xfId="14857"/>
    <cellStyle name="SAPBEXexcBad8 2 2 2 2" xfId="14859"/>
    <cellStyle name="SAPBEXexcBad8 2 2 2 2 2" xfId="14860"/>
    <cellStyle name="SAPBEXexcBad8 2 2 2 2 3" xfId="14861"/>
    <cellStyle name="SAPBEXexcBad8 2 2 2 3" xfId="14862"/>
    <cellStyle name="SAPBEXexcBad8 2 2 2 3 2" xfId="14863"/>
    <cellStyle name="SAPBEXexcBad8 2 2 2 3 3" xfId="14864"/>
    <cellStyle name="SAPBEXexcBad8 2 2 2 4" xfId="14865"/>
    <cellStyle name="SAPBEXexcBad8 2 2 2 4 2" xfId="14866"/>
    <cellStyle name="SAPBEXexcBad8 2 2 2 4 3" xfId="14867"/>
    <cellStyle name="SAPBEXexcBad8 2 2 2 5" xfId="14868"/>
    <cellStyle name="SAPBEXexcBad8 2 2 2 5 2" xfId="14869"/>
    <cellStyle name="SAPBEXexcBad8 2 2 2 5 3" xfId="14870"/>
    <cellStyle name="SAPBEXexcBad8 2 2 2 6" xfId="14871"/>
    <cellStyle name="SAPBEXexcBad8 2 2 2 6 2" xfId="14872"/>
    <cellStyle name="SAPBEXexcBad8 2 2 2 6 3" xfId="14873"/>
    <cellStyle name="SAPBEXexcBad8 2 2 2 7" xfId="14874"/>
    <cellStyle name="SAPBEXexcBad8 2 2 2 7 2" xfId="14875"/>
    <cellStyle name="SAPBEXexcBad8 2 2 2 7 3" xfId="14876"/>
    <cellStyle name="SAPBEXexcBad8 2 2 2 8" xfId="14877"/>
    <cellStyle name="SAPBEXexcBad8 2 2 2 8 2" xfId="14878"/>
    <cellStyle name="SAPBEXexcBad8 2 2 2 8 3" xfId="14879"/>
    <cellStyle name="SAPBEXexcBad8 2 2 2 9" xfId="14880"/>
    <cellStyle name="SAPBEXexcBad8 2 2 2 9 2" xfId="14881"/>
    <cellStyle name="SAPBEXexcBad8 2 2 2 9 3" xfId="14882"/>
    <cellStyle name="SAPBEXexcBad8 2 2 2_planning-WP" xfId="14883"/>
    <cellStyle name="SAPBEXexcBad8 2 2 3" xfId="5852"/>
    <cellStyle name="SAPBEXexcBad8 2 2 3 2" xfId="14885"/>
    <cellStyle name="SAPBEXexcBad8 2 2 3 3" xfId="14886"/>
    <cellStyle name="SAPBEXexcBad8 2 2 3 4" xfId="14884"/>
    <cellStyle name="SAPBEXexcBad8 2 2 4" xfId="6360"/>
    <cellStyle name="SAPBEXexcBad8 2 2 4 2" xfId="14888"/>
    <cellStyle name="SAPBEXexcBad8 2 2 4 3" xfId="14889"/>
    <cellStyle name="SAPBEXexcBad8 2 2 4 4" xfId="14887"/>
    <cellStyle name="SAPBEXexcBad8 2 2 5" xfId="6847"/>
    <cellStyle name="SAPBEXexcBad8 2 2 5 2" xfId="14891"/>
    <cellStyle name="SAPBEXexcBad8 2 2 5 3" xfId="14892"/>
    <cellStyle name="SAPBEXexcBad8 2 2 5 4" xfId="14890"/>
    <cellStyle name="SAPBEXexcBad8 2 2 6" xfId="7330"/>
    <cellStyle name="SAPBEXexcBad8 2 2 6 2" xfId="14894"/>
    <cellStyle name="SAPBEXexcBad8 2 2 6 3" xfId="14895"/>
    <cellStyle name="SAPBEXexcBad8 2 2 6 4" xfId="14893"/>
    <cellStyle name="SAPBEXexcBad8 2 2 7" xfId="8399"/>
    <cellStyle name="SAPBEXexcBad8 2 2 7 2" xfId="14897"/>
    <cellStyle name="SAPBEXexcBad8 2 2 7 3" xfId="14898"/>
    <cellStyle name="SAPBEXexcBad8 2 2 7 4" xfId="14896"/>
    <cellStyle name="SAPBEXexcBad8 2 2 8" xfId="8900"/>
    <cellStyle name="SAPBEXexcBad8 2 2 8 2" xfId="14900"/>
    <cellStyle name="SAPBEXexcBad8 2 2 8 3" xfId="14901"/>
    <cellStyle name="SAPBEXexcBad8 2 2 8 4" xfId="14899"/>
    <cellStyle name="SAPBEXexcBad8 2 2 9" xfId="9394"/>
    <cellStyle name="SAPBEXexcBad8 2 2 9 2" xfId="14903"/>
    <cellStyle name="SAPBEXexcBad8 2 2 9 3" xfId="14904"/>
    <cellStyle name="SAPBEXexcBad8 2 2 9 4" xfId="14902"/>
    <cellStyle name="SAPBEXexcBad8 2 2_planning-WP" xfId="14905"/>
    <cellStyle name="SAPBEXexcBad8 2 3" xfId="1617"/>
    <cellStyle name="SAPBEXexcBad8 2 3 10" xfId="14907"/>
    <cellStyle name="SAPBEXexcBad8 2 3 11" xfId="14906"/>
    <cellStyle name="SAPBEXexcBad8 2 3 12" xfId="9814"/>
    <cellStyle name="SAPBEXexcBad8 2 3 2" xfId="4540"/>
    <cellStyle name="SAPBEXexcBad8 2 3 2 2" xfId="14909"/>
    <cellStyle name="SAPBEXexcBad8 2 3 2 3" xfId="14910"/>
    <cellStyle name="SAPBEXexcBad8 2 3 2 4" xfId="14908"/>
    <cellStyle name="SAPBEXexcBad8 2 3 3" xfId="5532"/>
    <cellStyle name="SAPBEXexcBad8 2 3 3 2" xfId="14912"/>
    <cellStyle name="SAPBEXexcBad8 2 3 3 3" xfId="14913"/>
    <cellStyle name="SAPBEXexcBad8 2 3 3 4" xfId="14911"/>
    <cellStyle name="SAPBEXexcBad8 2 3 4" xfId="6041"/>
    <cellStyle name="SAPBEXexcBad8 2 3 4 2" xfId="14915"/>
    <cellStyle name="SAPBEXexcBad8 2 3 4 3" xfId="14916"/>
    <cellStyle name="SAPBEXexcBad8 2 3 4 4" xfId="14914"/>
    <cellStyle name="SAPBEXexcBad8 2 3 5" xfId="6528"/>
    <cellStyle name="SAPBEXexcBad8 2 3 5 2" xfId="14918"/>
    <cellStyle name="SAPBEXexcBad8 2 3 5 3" xfId="14919"/>
    <cellStyle name="SAPBEXexcBad8 2 3 5 4" xfId="14917"/>
    <cellStyle name="SAPBEXexcBad8 2 3 6" xfId="7011"/>
    <cellStyle name="SAPBEXexcBad8 2 3 6 2" xfId="14921"/>
    <cellStyle name="SAPBEXexcBad8 2 3 6 3" xfId="14922"/>
    <cellStyle name="SAPBEXexcBad8 2 3 6 4" xfId="14920"/>
    <cellStyle name="SAPBEXexcBad8 2 3 7" xfId="8080"/>
    <cellStyle name="SAPBEXexcBad8 2 3 7 2" xfId="14924"/>
    <cellStyle name="SAPBEXexcBad8 2 3 7 3" xfId="14925"/>
    <cellStyle name="SAPBEXexcBad8 2 3 7 4" xfId="14923"/>
    <cellStyle name="SAPBEXexcBad8 2 3 8" xfId="8581"/>
    <cellStyle name="SAPBEXexcBad8 2 3 8 2" xfId="14927"/>
    <cellStyle name="SAPBEXexcBad8 2 3 8 3" xfId="14928"/>
    <cellStyle name="SAPBEXexcBad8 2 3 8 4" xfId="14926"/>
    <cellStyle name="SAPBEXexcBad8 2 3 9" xfId="9075"/>
    <cellStyle name="SAPBEXexcBad8 2 3 9 2" xfId="14930"/>
    <cellStyle name="SAPBEXexcBad8 2 3 9 3" xfId="14931"/>
    <cellStyle name="SAPBEXexcBad8 2 3 9 4" xfId="14929"/>
    <cellStyle name="SAPBEXexcBad8 2 3_planning-WP" xfId="14932"/>
    <cellStyle name="SAPBEXexcBad8 2 4" xfId="14933"/>
    <cellStyle name="SAPBEXexcBad8 2 4 2" xfId="14934"/>
    <cellStyle name="SAPBEXexcBad8 2 4 2 2" xfId="14935"/>
    <cellStyle name="SAPBEXexcBad8 2 4 2 3" xfId="14936"/>
    <cellStyle name="SAPBEXexcBad8 2 4 3" xfId="14937"/>
    <cellStyle name="SAPBEXexcBad8 2 4 3 2" xfId="14938"/>
    <cellStyle name="SAPBEXexcBad8 2 4 3 3" xfId="14939"/>
    <cellStyle name="SAPBEXexcBad8 2 4 4" xfId="14940"/>
    <cellStyle name="SAPBEXexcBad8 2 4 4 2" xfId="14941"/>
    <cellStyle name="SAPBEXexcBad8 2 4 4 3" xfId="14942"/>
    <cellStyle name="SAPBEXexcBad8 2 4 5" xfId="14943"/>
    <cellStyle name="SAPBEXexcBad8 2 4 5 2" xfId="14944"/>
    <cellStyle name="SAPBEXexcBad8 2 4 5 3" xfId="14945"/>
    <cellStyle name="SAPBEXexcBad8 2 4 6" xfId="14946"/>
    <cellStyle name="SAPBEXexcBad8 2 4 6 2" xfId="14947"/>
    <cellStyle name="SAPBEXexcBad8 2 4 6 3" xfId="14948"/>
    <cellStyle name="SAPBEXexcBad8 2 4 7" xfId="14949"/>
    <cellStyle name="SAPBEXexcBad8 2 4 7 2" xfId="14950"/>
    <cellStyle name="SAPBEXexcBad8 2 4 7 3" xfId="14951"/>
    <cellStyle name="SAPBEXexcBad8 2 4 8" xfId="14952"/>
    <cellStyle name="SAPBEXexcBad8 2 4 8 2" xfId="14953"/>
    <cellStyle name="SAPBEXexcBad8 2 4 8 3" xfId="14954"/>
    <cellStyle name="SAPBEXexcBad8 2 4 9" xfId="14955"/>
    <cellStyle name="SAPBEXexcBad8 2 4_planning-WP" xfId="14956"/>
    <cellStyle name="SAPBEXexcBad8 2 5" xfId="14957"/>
    <cellStyle name="SAPBEXexcBad8 2 5 2" xfId="14958"/>
    <cellStyle name="SAPBEXexcBad8 2 6" xfId="14959"/>
    <cellStyle name="SAPBEXexcBad8 2 6 2" xfId="14960"/>
    <cellStyle name="SAPBEXexcBad8 2 6 3" xfId="14961"/>
    <cellStyle name="SAPBEXexcBad8 2 7" xfId="14962"/>
    <cellStyle name="SAPBEXexcBad8 2 7 2" xfId="14963"/>
    <cellStyle name="SAPBEXexcBad8 2 7 3" xfId="14964"/>
    <cellStyle name="SAPBEXexcBad8 2 8" xfId="14965"/>
    <cellStyle name="SAPBEXexcBad8 2 8 2" xfId="14966"/>
    <cellStyle name="SAPBEXexcBad8 2 8 3" xfId="14967"/>
    <cellStyle name="SAPBEXexcBad8 2 9" xfId="14968"/>
    <cellStyle name="SAPBEXexcBad8 2 9 2" xfId="14969"/>
    <cellStyle name="SAPBEXexcBad8 2 9 3" xfId="14970"/>
    <cellStyle name="SAPBEXexcBad8 2_planning-WP" xfId="14971"/>
    <cellStyle name="SAPBEXexcBad8 20" xfId="38883"/>
    <cellStyle name="SAPBEXexcBad8 21" xfId="39296"/>
    <cellStyle name="SAPBEXexcBad8 3" xfId="1589"/>
    <cellStyle name="SAPBEXexcBad8 3 10" xfId="7741"/>
    <cellStyle name="SAPBEXexcBad8 3 10 2" xfId="14974"/>
    <cellStyle name="SAPBEXexcBad8 3 10 3" xfId="14975"/>
    <cellStyle name="SAPBEXexcBad8 3 10 4" xfId="14973"/>
    <cellStyle name="SAPBEXexcBad8 3 11" xfId="14976"/>
    <cellStyle name="SAPBEXexcBad8 3 11 2" xfId="14977"/>
    <cellStyle name="SAPBEXexcBad8 3 11 3" xfId="14978"/>
    <cellStyle name="SAPBEXexcBad8 3 12" xfId="14979"/>
    <cellStyle name="SAPBEXexcBad8 3 12 2" xfId="14980"/>
    <cellStyle name="SAPBEXexcBad8 3 12 3" xfId="14981"/>
    <cellStyle name="SAPBEXexcBad8 3 13" xfId="14982"/>
    <cellStyle name="SAPBEXexcBad8 3 14" xfId="14972"/>
    <cellStyle name="SAPBEXexcBad8 3 15" xfId="9786"/>
    <cellStyle name="SAPBEXexcBad8 3 16" xfId="38886"/>
    <cellStyle name="SAPBEXexcBad8 3 17" xfId="39299"/>
    <cellStyle name="SAPBEXexcBad8 3 2" xfId="1932"/>
    <cellStyle name="SAPBEXexcBad8 3 2 10" xfId="14984"/>
    <cellStyle name="SAPBEXexcBad8 3 2 10 2" xfId="14985"/>
    <cellStyle name="SAPBEXexcBad8 3 2 10 3" xfId="14986"/>
    <cellStyle name="SAPBEXexcBad8 3 2 11" xfId="14987"/>
    <cellStyle name="SAPBEXexcBad8 3 2 12" xfId="14983"/>
    <cellStyle name="SAPBEXexcBad8 3 2 13" xfId="10110"/>
    <cellStyle name="SAPBEXexcBad8 3 2 14" xfId="38887"/>
    <cellStyle name="SAPBEXexcBad8 3 2 15" xfId="39300"/>
    <cellStyle name="SAPBEXexcBad8 3 2 2" xfId="4850"/>
    <cellStyle name="SAPBEXexcBad8 3 2 2 10" xfId="14989"/>
    <cellStyle name="SAPBEXexcBad8 3 2 2 11" xfId="14988"/>
    <cellStyle name="SAPBEXexcBad8 3 2 2 2" xfId="14990"/>
    <cellStyle name="SAPBEXexcBad8 3 2 2 2 2" xfId="14991"/>
    <cellStyle name="SAPBEXexcBad8 3 2 2 2 3" xfId="14992"/>
    <cellStyle name="SAPBEXexcBad8 3 2 2 3" xfId="14993"/>
    <cellStyle name="SAPBEXexcBad8 3 2 2 3 2" xfId="14994"/>
    <cellStyle name="SAPBEXexcBad8 3 2 2 3 3" xfId="14995"/>
    <cellStyle name="SAPBEXexcBad8 3 2 2 4" xfId="14996"/>
    <cellStyle name="SAPBEXexcBad8 3 2 2 4 2" xfId="14997"/>
    <cellStyle name="SAPBEXexcBad8 3 2 2 4 3" xfId="14998"/>
    <cellStyle name="SAPBEXexcBad8 3 2 2 5" xfId="14999"/>
    <cellStyle name="SAPBEXexcBad8 3 2 2 5 2" xfId="15000"/>
    <cellStyle name="SAPBEXexcBad8 3 2 2 5 3" xfId="15001"/>
    <cellStyle name="SAPBEXexcBad8 3 2 2 6" xfId="15002"/>
    <cellStyle name="SAPBEXexcBad8 3 2 2 6 2" xfId="15003"/>
    <cellStyle name="SAPBEXexcBad8 3 2 2 6 3" xfId="15004"/>
    <cellStyle name="SAPBEXexcBad8 3 2 2 7" xfId="15005"/>
    <cellStyle name="SAPBEXexcBad8 3 2 2 7 2" xfId="15006"/>
    <cellStyle name="SAPBEXexcBad8 3 2 2 7 3" xfId="15007"/>
    <cellStyle name="SAPBEXexcBad8 3 2 2 8" xfId="15008"/>
    <cellStyle name="SAPBEXexcBad8 3 2 2 8 2" xfId="15009"/>
    <cellStyle name="SAPBEXexcBad8 3 2 2 8 3" xfId="15010"/>
    <cellStyle name="SAPBEXexcBad8 3 2 2 9" xfId="15011"/>
    <cellStyle name="SAPBEXexcBad8 3 2 2 9 2" xfId="15012"/>
    <cellStyle name="SAPBEXexcBad8 3 2 2 9 3" xfId="15013"/>
    <cellStyle name="SAPBEXexcBad8 3 2 2_planning-WP" xfId="15014"/>
    <cellStyle name="SAPBEXexcBad8 3 2 3" xfId="5829"/>
    <cellStyle name="SAPBEXexcBad8 3 2 3 2" xfId="15016"/>
    <cellStyle name="SAPBEXexcBad8 3 2 3 3" xfId="15017"/>
    <cellStyle name="SAPBEXexcBad8 3 2 3 4" xfId="15015"/>
    <cellStyle name="SAPBEXexcBad8 3 2 4" xfId="6337"/>
    <cellStyle name="SAPBEXexcBad8 3 2 4 2" xfId="15019"/>
    <cellStyle name="SAPBEXexcBad8 3 2 4 3" xfId="15020"/>
    <cellStyle name="SAPBEXexcBad8 3 2 4 4" xfId="15018"/>
    <cellStyle name="SAPBEXexcBad8 3 2 5" xfId="6824"/>
    <cellStyle name="SAPBEXexcBad8 3 2 5 2" xfId="15022"/>
    <cellStyle name="SAPBEXexcBad8 3 2 5 3" xfId="15023"/>
    <cellStyle name="SAPBEXexcBad8 3 2 5 4" xfId="15021"/>
    <cellStyle name="SAPBEXexcBad8 3 2 6" xfId="7307"/>
    <cellStyle name="SAPBEXexcBad8 3 2 6 2" xfId="15025"/>
    <cellStyle name="SAPBEXexcBad8 3 2 6 3" xfId="15026"/>
    <cellStyle name="SAPBEXexcBad8 3 2 6 4" xfId="15024"/>
    <cellStyle name="SAPBEXexcBad8 3 2 7" xfId="8376"/>
    <cellStyle name="SAPBEXexcBad8 3 2 7 2" xfId="15028"/>
    <cellStyle name="SAPBEXexcBad8 3 2 7 3" xfId="15029"/>
    <cellStyle name="SAPBEXexcBad8 3 2 7 4" xfId="15027"/>
    <cellStyle name="SAPBEXexcBad8 3 2 8" xfId="8877"/>
    <cellStyle name="SAPBEXexcBad8 3 2 8 2" xfId="15031"/>
    <cellStyle name="SAPBEXexcBad8 3 2 8 3" xfId="15032"/>
    <cellStyle name="SAPBEXexcBad8 3 2 8 4" xfId="15030"/>
    <cellStyle name="SAPBEXexcBad8 3 2 9" xfId="9371"/>
    <cellStyle name="SAPBEXexcBad8 3 2 9 2" xfId="15034"/>
    <cellStyle name="SAPBEXexcBad8 3 2 9 3" xfId="15035"/>
    <cellStyle name="SAPBEXexcBad8 3 2 9 4" xfId="15033"/>
    <cellStyle name="SAPBEXexcBad8 3 2_planning-WP" xfId="15036"/>
    <cellStyle name="SAPBEXexcBad8 3 3" xfId="4512"/>
    <cellStyle name="SAPBEXexcBad8 3 3 10" xfId="15038"/>
    <cellStyle name="SAPBEXexcBad8 3 3 11" xfId="15037"/>
    <cellStyle name="SAPBEXexcBad8 3 3 2" xfId="15039"/>
    <cellStyle name="SAPBEXexcBad8 3 3 2 2" xfId="15040"/>
    <cellStyle name="SAPBEXexcBad8 3 3 2 3" xfId="15041"/>
    <cellStyle name="SAPBEXexcBad8 3 3 3" xfId="15042"/>
    <cellStyle name="SAPBEXexcBad8 3 3 3 2" xfId="15043"/>
    <cellStyle name="SAPBEXexcBad8 3 3 3 3" xfId="15044"/>
    <cellStyle name="SAPBEXexcBad8 3 3 4" xfId="15045"/>
    <cellStyle name="SAPBEXexcBad8 3 3 4 2" xfId="15046"/>
    <cellStyle name="SAPBEXexcBad8 3 3 4 3" xfId="15047"/>
    <cellStyle name="SAPBEXexcBad8 3 3 5" xfId="15048"/>
    <cellStyle name="SAPBEXexcBad8 3 3 5 2" xfId="15049"/>
    <cellStyle name="SAPBEXexcBad8 3 3 5 3" xfId="15050"/>
    <cellStyle name="SAPBEXexcBad8 3 3 6" xfId="15051"/>
    <cellStyle name="SAPBEXexcBad8 3 3 6 2" xfId="15052"/>
    <cellStyle name="SAPBEXexcBad8 3 3 6 3" xfId="15053"/>
    <cellStyle name="SAPBEXexcBad8 3 3 7" xfId="15054"/>
    <cellStyle name="SAPBEXexcBad8 3 3 7 2" xfId="15055"/>
    <cellStyle name="SAPBEXexcBad8 3 3 7 3" xfId="15056"/>
    <cellStyle name="SAPBEXexcBad8 3 3 8" xfId="15057"/>
    <cellStyle name="SAPBEXexcBad8 3 3 8 2" xfId="15058"/>
    <cellStyle name="SAPBEXexcBad8 3 3 8 3" xfId="15059"/>
    <cellStyle name="SAPBEXexcBad8 3 3 9" xfId="15060"/>
    <cellStyle name="SAPBEXexcBad8 3 3 9 2" xfId="15061"/>
    <cellStyle name="SAPBEXexcBad8 3 3 9 3" xfId="15062"/>
    <cellStyle name="SAPBEXexcBad8 3 3_planning-WP" xfId="15063"/>
    <cellStyle name="SAPBEXexcBad8 3 4" xfId="5504"/>
    <cellStyle name="SAPBEXexcBad8 3 4 10" xfId="15064"/>
    <cellStyle name="SAPBEXexcBad8 3 4 2" xfId="15065"/>
    <cellStyle name="SAPBEXexcBad8 3 4 2 2" xfId="15066"/>
    <cellStyle name="SAPBEXexcBad8 3 4 2 3" xfId="15067"/>
    <cellStyle name="SAPBEXexcBad8 3 4 3" xfId="15068"/>
    <cellStyle name="SAPBEXexcBad8 3 4 3 2" xfId="15069"/>
    <cellStyle name="SAPBEXexcBad8 3 4 3 3" xfId="15070"/>
    <cellStyle name="SAPBEXexcBad8 3 4 4" xfId="15071"/>
    <cellStyle name="SAPBEXexcBad8 3 4 4 2" xfId="15072"/>
    <cellStyle name="SAPBEXexcBad8 3 4 4 3" xfId="15073"/>
    <cellStyle name="SAPBEXexcBad8 3 4 5" xfId="15074"/>
    <cellStyle name="SAPBEXexcBad8 3 4 5 2" xfId="15075"/>
    <cellStyle name="SAPBEXexcBad8 3 4 5 3" xfId="15076"/>
    <cellStyle name="SAPBEXexcBad8 3 4 6" xfId="15077"/>
    <cellStyle name="SAPBEXexcBad8 3 4 6 2" xfId="15078"/>
    <cellStyle name="SAPBEXexcBad8 3 4 6 3" xfId="15079"/>
    <cellStyle name="SAPBEXexcBad8 3 4 7" xfId="15080"/>
    <cellStyle name="SAPBEXexcBad8 3 4 7 2" xfId="15081"/>
    <cellStyle name="SAPBEXexcBad8 3 4 7 3" xfId="15082"/>
    <cellStyle name="SAPBEXexcBad8 3 4 8" xfId="15083"/>
    <cellStyle name="SAPBEXexcBad8 3 4 8 2" xfId="15084"/>
    <cellStyle name="SAPBEXexcBad8 3 4 8 3" xfId="15085"/>
    <cellStyle name="SAPBEXexcBad8 3 4 9" xfId="15086"/>
    <cellStyle name="SAPBEXexcBad8 3 4_planning-WP" xfId="15087"/>
    <cellStyle name="SAPBEXexcBad8 3 5" xfId="3328"/>
    <cellStyle name="SAPBEXexcBad8 3 5 2" xfId="15089"/>
    <cellStyle name="SAPBEXexcBad8 3 5 3" xfId="15088"/>
    <cellStyle name="SAPBEXexcBad8 3 6" xfId="5066"/>
    <cellStyle name="SAPBEXexcBad8 3 6 2" xfId="15091"/>
    <cellStyle name="SAPBEXexcBad8 3 6 3" xfId="15092"/>
    <cellStyle name="SAPBEXexcBad8 3 6 4" xfId="15090"/>
    <cellStyle name="SAPBEXexcBad8 3 7" xfId="5087"/>
    <cellStyle name="SAPBEXexcBad8 3 7 2" xfId="15094"/>
    <cellStyle name="SAPBEXexcBad8 3 7 3" xfId="15095"/>
    <cellStyle name="SAPBEXexcBad8 3 7 4" xfId="15093"/>
    <cellStyle name="SAPBEXexcBad8 3 8" xfId="8052"/>
    <cellStyle name="SAPBEXexcBad8 3 8 2" xfId="15097"/>
    <cellStyle name="SAPBEXexcBad8 3 8 3" xfId="15098"/>
    <cellStyle name="SAPBEXexcBad8 3 8 4" xfId="15096"/>
    <cellStyle name="SAPBEXexcBad8 3 9" xfId="7496"/>
    <cellStyle name="SAPBEXexcBad8 3 9 2" xfId="15100"/>
    <cellStyle name="SAPBEXexcBad8 3 9 3" xfId="15101"/>
    <cellStyle name="SAPBEXexcBad8 3 9 4" xfId="15099"/>
    <cellStyle name="SAPBEXexcBad8 3_planning-WP" xfId="15102"/>
    <cellStyle name="SAPBEXexcBad8 4" xfId="1704"/>
    <cellStyle name="SAPBEXexcBad8 4 10" xfId="9161"/>
    <cellStyle name="SAPBEXexcBad8 4 10 2" xfId="15105"/>
    <cellStyle name="SAPBEXexcBad8 4 10 3" xfId="15106"/>
    <cellStyle name="SAPBEXexcBad8 4 10 4" xfId="15104"/>
    <cellStyle name="SAPBEXexcBad8 4 11" xfId="15107"/>
    <cellStyle name="SAPBEXexcBad8 4 11 2" xfId="15108"/>
    <cellStyle name="SAPBEXexcBad8 4 11 3" xfId="15109"/>
    <cellStyle name="SAPBEXexcBad8 4 12" xfId="15110"/>
    <cellStyle name="SAPBEXexcBad8 4 12 2" xfId="15111"/>
    <cellStyle name="SAPBEXexcBad8 4 12 3" xfId="15112"/>
    <cellStyle name="SAPBEXexcBad8 4 13" xfId="15103"/>
    <cellStyle name="SAPBEXexcBad8 4 14" xfId="9900"/>
    <cellStyle name="SAPBEXexcBad8 4 15" xfId="38888"/>
    <cellStyle name="SAPBEXexcBad8 4 16" xfId="39301"/>
    <cellStyle name="SAPBEXexcBad8 4 2" xfId="2036"/>
    <cellStyle name="SAPBEXexcBad8 4 2 10" xfId="15114"/>
    <cellStyle name="SAPBEXexcBad8 4 2 10 2" xfId="15115"/>
    <cellStyle name="SAPBEXexcBad8 4 2 10 3" xfId="15116"/>
    <cellStyle name="SAPBEXexcBad8 4 2 11" xfId="15117"/>
    <cellStyle name="SAPBEXexcBad8 4 2 12" xfId="15113"/>
    <cellStyle name="SAPBEXexcBad8 4 2 13" xfId="10213"/>
    <cellStyle name="SAPBEXexcBad8 4 2 14" xfId="38889"/>
    <cellStyle name="SAPBEXexcBad8 4 2 15" xfId="39302"/>
    <cellStyle name="SAPBEXexcBad8 4 2 2" xfId="4953"/>
    <cellStyle name="SAPBEXexcBad8 4 2 2 10" xfId="15119"/>
    <cellStyle name="SAPBEXexcBad8 4 2 2 11" xfId="15118"/>
    <cellStyle name="SAPBEXexcBad8 4 2 2 2" xfId="15120"/>
    <cellStyle name="SAPBEXexcBad8 4 2 2 2 2" xfId="15121"/>
    <cellStyle name="SAPBEXexcBad8 4 2 2 2 3" xfId="15122"/>
    <cellStyle name="SAPBEXexcBad8 4 2 2 3" xfId="15123"/>
    <cellStyle name="SAPBEXexcBad8 4 2 2 3 2" xfId="15124"/>
    <cellStyle name="SAPBEXexcBad8 4 2 2 3 3" xfId="15125"/>
    <cellStyle name="SAPBEXexcBad8 4 2 2 4" xfId="15126"/>
    <cellStyle name="SAPBEXexcBad8 4 2 2 4 2" xfId="15127"/>
    <cellStyle name="SAPBEXexcBad8 4 2 2 4 3" xfId="15128"/>
    <cellStyle name="SAPBEXexcBad8 4 2 2 5" xfId="15129"/>
    <cellStyle name="SAPBEXexcBad8 4 2 2 5 2" xfId="15130"/>
    <cellStyle name="SAPBEXexcBad8 4 2 2 5 3" xfId="15131"/>
    <cellStyle name="SAPBEXexcBad8 4 2 2 6" xfId="15132"/>
    <cellStyle name="SAPBEXexcBad8 4 2 2 6 2" xfId="15133"/>
    <cellStyle name="SAPBEXexcBad8 4 2 2 6 3" xfId="15134"/>
    <cellStyle name="SAPBEXexcBad8 4 2 2 7" xfId="15135"/>
    <cellStyle name="SAPBEXexcBad8 4 2 2 7 2" xfId="15136"/>
    <cellStyle name="SAPBEXexcBad8 4 2 2 7 3" xfId="15137"/>
    <cellStyle name="SAPBEXexcBad8 4 2 2 8" xfId="15138"/>
    <cellStyle name="SAPBEXexcBad8 4 2 2 8 2" xfId="15139"/>
    <cellStyle name="SAPBEXexcBad8 4 2 2 8 3" xfId="15140"/>
    <cellStyle name="SAPBEXexcBad8 4 2 2 9" xfId="15141"/>
    <cellStyle name="SAPBEXexcBad8 4 2 2 9 2" xfId="15142"/>
    <cellStyle name="SAPBEXexcBad8 4 2 2 9 3" xfId="15143"/>
    <cellStyle name="SAPBEXexcBad8 4 2 2_planning-WP" xfId="15144"/>
    <cellStyle name="SAPBEXexcBad8 4 2 3" xfId="5932"/>
    <cellStyle name="SAPBEXexcBad8 4 2 3 2" xfId="15146"/>
    <cellStyle name="SAPBEXexcBad8 4 2 3 3" xfId="15147"/>
    <cellStyle name="SAPBEXexcBad8 4 2 3 4" xfId="15145"/>
    <cellStyle name="SAPBEXexcBad8 4 2 4" xfId="6440"/>
    <cellStyle name="SAPBEXexcBad8 4 2 4 2" xfId="15149"/>
    <cellStyle name="SAPBEXexcBad8 4 2 4 3" xfId="15150"/>
    <cellStyle name="SAPBEXexcBad8 4 2 4 4" xfId="15148"/>
    <cellStyle name="SAPBEXexcBad8 4 2 5" xfId="6927"/>
    <cellStyle name="SAPBEXexcBad8 4 2 5 2" xfId="15152"/>
    <cellStyle name="SAPBEXexcBad8 4 2 5 3" xfId="15153"/>
    <cellStyle name="SAPBEXexcBad8 4 2 5 4" xfId="15151"/>
    <cellStyle name="SAPBEXexcBad8 4 2 6" xfId="7410"/>
    <cellStyle name="SAPBEXexcBad8 4 2 6 2" xfId="15155"/>
    <cellStyle name="SAPBEXexcBad8 4 2 6 3" xfId="15156"/>
    <cellStyle name="SAPBEXexcBad8 4 2 6 4" xfId="15154"/>
    <cellStyle name="SAPBEXexcBad8 4 2 7" xfId="8479"/>
    <cellStyle name="SAPBEXexcBad8 4 2 7 2" xfId="15158"/>
    <cellStyle name="SAPBEXexcBad8 4 2 7 3" xfId="15159"/>
    <cellStyle name="SAPBEXexcBad8 4 2 7 4" xfId="15157"/>
    <cellStyle name="SAPBEXexcBad8 4 2 8" xfId="8980"/>
    <cellStyle name="SAPBEXexcBad8 4 2 8 2" xfId="15161"/>
    <cellStyle name="SAPBEXexcBad8 4 2 8 3" xfId="15162"/>
    <cellStyle name="SAPBEXexcBad8 4 2 8 4" xfId="15160"/>
    <cellStyle name="SAPBEXexcBad8 4 2 9" xfId="9474"/>
    <cellStyle name="SAPBEXexcBad8 4 2 9 2" xfId="15164"/>
    <cellStyle name="SAPBEXexcBad8 4 2 9 3" xfId="15165"/>
    <cellStyle name="SAPBEXexcBad8 4 2 9 4" xfId="15163"/>
    <cellStyle name="SAPBEXexcBad8 4 2_planning-WP" xfId="15166"/>
    <cellStyle name="SAPBEXexcBad8 4 3" xfId="4626"/>
    <cellStyle name="SAPBEXexcBad8 4 3 10" xfId="15168"/>
    <cellStyle name="SAPBEXexcBad8 4 3 11" xfId="15167"/>
    <cellStyle name="SAPBEXexcBad8 4 3 2" xfId="15169"/>
    <cellStyle name="SAPBEXexcBad8 4 3 2 2" xfId="15170"/>
    <cellStyle name="SAPBEXexcBad8 4 3 2 3" xfId="15171"/>
    <cellStyle name="SAPBEXexcBad8 4 3 3" xfId="15172"/>
    <cellStyle name="SAPBEXexcBad8 4 3 3 2" xfId="15173"/>
    <cellStyle name="SAPBEXexcBad8 4 3 3 3" xfId="15174"/>
    <cellStyle name="SAPBEXexcBad8 4 3 4" xfId="15175"/>
    <cellStyle name="SAPBEXexcBad8 4 3 4 2" xfId="15176"/>
    <cellStyle name="SAPBEXexcBad8 4 3 4 3" xfId="15177"/>
    <cellStyle name="SAPBEXexcBad8 4 3 5" xfId="15178"/>
    <cellStyle name="SAPBEXexcBad8 4 3 5 2" xfId="15179"/>
    <cellStyle name="SAPBEXexcBad8 4 3 5 3" xfId="15180"/>
    <cellStyle name="SAPBEXexcBad8 4 3 6" xfId="15181"/>
    <cellStyle name="SAPBEXexcBad8 4 3 6 2" xfId="15182"/>
    <cellStyle name="SAPBEXexcBad8 4 3 6 3" xfId="15183"/>
    <cellStyle name="SAPBEXexcBad8 4 3 7" xfId="15184"/>
    <cellStyle name="SAPBEXexcBad8 4 3 7 2" xfId="15185"/>
    <cellStyle name="SAPBEXexcBad8 4 3 7 3" xfId="15186"/>
    <cellStyle name="SAPBEXexcBad8 4 3 8" xfId="15187"/>
    <cellStyle name="SAPBEXexcBad8 4 3 8 2" xfId="15188"/>
    <cellStyle name="SAPBEXexcBad8 4 3 8 3" xfId="15189"/>
    <cellStyle name="SAPBEXexcBad8 4 3 9" xfId="15190"/>
    <cellStyle name="SAPBEXexcBad8 4 3 9 2" xfId="15191"/>
    <cellStyle name="SAPBEXexcBad8 4 3 9 3" xfId="15192"/>
    <cellStyle name="SAPBEXexcBad8 4 3_planning-WP" xfId="15193"/>
    <cellStyle name="SAPBEXexcBad8 4 4" xfId="5618"/>
    <cellStyle name="SAPBEXexcBad8 4 4 10" xfId="15194"/>
    <cellStyle name="SAPBEXexcBad8 4 4 2" xfId="15195"/>
    <cellStyle name="SAPBEXexcBad8 4 4 2 2" xfId="15196"/>
    <cellStyle name="SAPBEXexcBad8 4 4 2 3" xfId="15197"/>
    <cellStyle name="SAPBEXexcBad8 4 4 3" xfId="15198"/>
    <cellStyle name="SAPBEXexcBad8 4 4 3 2" xfId="15199"/>
    <cellStyle name="SAPBEXexcBad8 4 4 3 3" xfId="15200"/>
    <cellStyle name="SAPBEXexcBad8 4 4 4" xfId="15201"/>
    <cellStyle name="SAPBEXexcBad8 4 4 4 2" xfId="15202"/>
    <cellStyle name="SAPBEXexcBad8 4 4 4 3" xfId="15203"/>
    <cellStyle name="SAPBEXexcBad8 4 4 5" xfId="15204"/>
    <cellStyle name="SAPBEXexcBad8 4 4 5 2" xfId="15205"/>
    <cellStyle name="SAPBEXexcBad8 4 4 5 3" xfId="15206"/>
    <cellStyle name="SAPBEXexcBad8 4 4 6" xfId="15207"/>
    <cellStyle name="SAPBEXexcBad8 4 4 6 2" xfId="15208"/>
    <cellStyle name="SAPBEXexcBad8 4 4 6 3" xfId="15209"/>
    <cellStyle name="SAPBEXexcBad8 4 4 7" xfId="15210"/>
    <cellStyle name="SAPBEXexcBad8 4 4 7 2" xfId="15211"/>
    <cellStyle name="SAPBEXexcBad8 4 4 7 3" xfId="15212"/>
    <cellStyle name="SAPBEXexcBad8 4 4 8" xfId="15213"/>
    <cellStyle name="SAPBEXexcBad8 4 4 8 2" xfId="15214"/>
    <cellStyle name="SAPBEXexcBad8 4 4 8 3" xfId="15215"/>
    <cellStyle name="SAPBEXexcBad8 4 4 9" xfId="15216"/>
    <cellStyle name="SAPBEXexcBad8 4 4_planning-WP" xfId="15217"/>
    <cellStyle name="SAPBEXexcBad8 4 5" xfId="6127"/>
    <cellStyle name="SAPBEXexcBad8 4 5 2" xfId="15219"/>
    <cellStyle name="SAPBEXexcBad8 4 5 3" xfId="15218"/>
    <cellStyle name="SAPBEXexcBad8 4 6" xfId="6614"/>
    <cellStyle name="SAPBEXexcBad8 4 6 2" xfId="15221"/>
    <cellStyle name="SAPBEXexcBad8 4 6 3" xfId="15222"/>
    <cellStyle name="SAPBEXexcBad8 4 6 4" xfId="15220"/>
    <cellStyle name="SAPBEXexcBad8 4 7" xfId="7097"/>
    <cellStyle name="SAPBEXexcBad8 4 7 2" xfId="15224"/>
    <cellStyle name="SAPBEXexcBad8 4 7 3" xfId="15225"/>
    <cellStyle name="SAPBEXexcBad8 4 7 4" xfId="15223"/>
    <cellStyle name="SAPBEXexcBad8 4 8" xfId="8166"/>
    <cellStyle name="SAPBEXexcBad8 4 8 2" xfId="15227"/>
    <cellStyle name="SAPBEXexcBad8 4 8 3" xfId="15228"/>
    <cellStyle name="SAPBEXexcBad8 4 8 4" xfId="15226"/>
    <cellStyle name="SAPBEXexcBad8 4 9" xfId="8667"/>
    <cellStyle name="SAPBEXexcBad8 4 9 2" xfId="15230"/>
    <cellStyle name="SAPBEXexcBad8 4 9 3" xfId="15231"/>
    <cellStyle name="SAPBEXexcBad8 4 9 4" xfId="15229"/>
    <cellStyle name="SAPBEXexcBad8 4_planning-WP" xfId="15232"/>
    <cellStyle name="SAPBEXexcBad8 5" xfId="1641"/>
    <cellStyle name="SAPBEXexcBad8 5 10" xfId="9099"/>
    <cellStyle name="SAPBEXexcBad8 5 10 2" xfId="15235"/>
    <cellStyle name="SAPBEXexcBad8 5 10 3" xfId="15236"/>
    <cellStyle name="SAPBEXexcBad8 5 10 4" xfId="15234"/>
    <cellStyle name="SAPBEXexcBad8 5 11" xfId="15237"/>
    <cellStyle name="SAPBEXexcBad8 5 11 2" xfId="15238"/>
    <cellStyle name="SAPBEXexcBad8 5 11 3" xfId="15239"/>
    <cellStyle name="SAPBEXexcBad8 5 12" xfId="15240"/>
    <cellStyle name="SAPBEXexcBad8 5 12 2" xfId="15241"/>
    <cellStyle name="SAPBEXexcBad8 5 12 3" xfId="15242"/>
    <cellStyle name="SAPBEXexcBad8 5 13" xfId="15233"/>
    <cellStyle name="SAPBEXexcBad8 5 14" xfId="9838"/>
    <cellStyle name="SAPBEXexcBad8 5 15" xfId="38890"/>
    <cellStyle name="SAPBEXexcBad8 5 16" xfId="39303"/>
    <cellStyle name="SAPBEXexcBad8 5 2" xfId="1977"/>
    <cellStyle name="SAPBEXexcBad8 5 2 10" xfId="15244"/>
    <cellStyle name="SAPBEXexcBad8 5 2 10 2" xfId="15245"/>
    <cellStyle name="SAPBEXexcBad8 5 2 10 3" xfId="15246"/>
    <cellStyle name="SAPBEXexcBad8 5 2 11" xfId="15247"/>
    <cellStyle name="SAPBEXexcBad8 5 2 12" xfId="15243"/>
    <cellStyle name="SAPBEXexcBad8 5 2 13" xfId="10155"/>
    <cellStyle name="SAPBEXexcBad8 5 2 2" xfId="4895"/>
    <cellStyle name="SAPBEXexcBad8 5 2 2 10" xfId="15249"/>
    <cellStyle name="SAPBEXexcBad8 5 2 2 11" xfId="15248"/>
    <cellStyle name="SAPBEXexcBad8 5 2 2 2" xfId="15250"/>
    <cellStyle name="SAPBEXexcBad8 5 2 2 2 2" xfId="15251"/>
    <cellStyle name="SAPBEXexcBad8 5 2 2 2 3" xfId="15252"/>
    <cellStyle name="SAPBEXexcBad8 5 2 2 3" xfId="15253"/>
    <cellStyle name="SAPBEXexcBad8 5 2 2 3 2" xfId="15254"/>
    <cellStyle name="SAPBEXexcBad8 5 2 2 3 3" xfId="15255"/>
    <cellStyle name="SAPBEXexcBad8 5 2 2 4" xfId="15256"/>
    <cellStyle name="SAPBEXexcBad8 5 2 2 4 2" xfId="15257"/>
    <cellStyle name="SAPBEXexcBad8 5 2 2 4 3" xfId="15258"/>
    <cellStyle name="SAPBEXexcBad8 5 2 2 5" xfId="15259"/>
    <cellStyle name="SAPBEXexcBad8 5 2 2 5 2" xfId="15260"/>
    <cellStyle name="SAPBEXexcBad8 5 2 2 5 3" xfId="15261"/>
    <cellStyle name="SAPBEXexcBad8 5 2 2 6" xfId="15262"/>
    <cellStyle name="SAPBEXexcBad8 5 2 2 6 2" xfId="15263"/>
    <cellStyle name="SAPBEXexcBad8 5 2 2 6 3" xfId="15264"/>
    <cellStyle name="SAPBEXexcBad8 5 2 2 7" xfId="15265"/>
    <cellStyle name="SAPBEXexcBad8 5 2 2 7 2" xfId="15266"/>
    <cellStyle name="SAPBEXexcBad8 5 2 2 7 3" xfId="15267"/>
    <cellStyle name="SAPBEXexcBad8 5 2 2 8" xfId="15268"/>
    <cellStyle name="SAPBEXexcBad8 5 2 2 8 2" xfId="15269"/>
    <cellStyle name="SAPBEXexcBad8 5 2 2 8 3" xfId="15270"/>
    <cellStyle name="SAPBEXexcBad8 5 2 2 9" xfId="15271"/>
    <cellStyle name="SAPBEXexcBad8 5 2 2 9 2" xfId="15272"/>
    <cellStyle name="SAPBEXexcBad8 5 2 2 9 3" xfId="15273"/>
    <cellStyle name="SAPBEXexcBad8 5 2 2_planning-WP" xfId="15274"/>
    <cellStyle name="SAPBEXexcBad8 5 2 3" xfId="5874"/>
    <cellStyle name="SAPBEXexcBad8 5 2 3 2" xfId="15276"/>
    <cellStyle name="SAPBEXexcBad8 5 2 3 3" xfId="15277"/>
    <cellStyle name="SAPBEXexcBad8 5 2 3 4" xfId="15275"/>
    <cellStyle name="SAPBEXexcBad8 5 2 4" xfId="6382"/>
    <cellStyle name="SAPBEXexcBad8 5 2 4 2" xfId="15279"/>
    <cellStyle name="SAPBEXexcBad8 5 2 4 3" xfId="15280"/>
    <cellStyle name="SAPBEXexcBad8 5 2 4 4" xfId="15278"/>
    <cellStyle name="SAPBEXexcBad8 5 2 5" xfId="6869"/>
    <cellStyle name="SAPBEXexcBad8 5 2 5 2" xfId="15282"/>
    <cellStyle name="SAPBEXexcBad8 5 2 5 3" xfId="15283"/>
    <cellStyle name="SAPBEXexcBad8 5 2 5 4" xfId="15281"/>
    <cellStyle name="SAPBEXexcBad8 5 2 6" xfId="7352"/>
    <cellStyle name="SAPBEXexcBad8 5 2 6 2" xfId="15285"/>
    <cellStyle name="SAPBEXexcBad8 5 2 6 3" xfId="15286"/>
    <cellStyle name="SAPBEXexcBad8 5 2 6 4" xfId="15284"/>
    <cellStyle name="SAPBEXexcBad8 5 2 7" xfId="8421"/>
    <cellStyle name="SAPBEXexcBad8 5 2 7 2" xfId="15288"/>
    <cellStyle name="SAPBEXexcBad8 5 2 7 3" xfId="15289"/>
    <cellStyle name="SAPBEXexcBad8 5 2 7 4" xfId="15287"/>
    <cellStyle name="SAPBEXexcBad8 5 2 8" xfId="8922"/>
    <cellStyle name="SAPBEXexcBad8 5 2 8 2" xfId="15291"/>
    <cellStyle name="SAPBEXexcBad8 5 2 8 3" xfId="15292"/>
    <cellStyle name="SAPBEXexcBad8 5 2 8 4" xfId="15290"/>
    <cellStyle name="SAPBEXexcBad8 5 2 9" xfId="9416"/>
    <cellStyle name="SAPBEXexcBad8 5 2 9 2" xfId="15294"/>
    <cellStyle name="SAPBEXexcBad8 5 2 9 3" xfId="15295"/>
    <cellStyle name="SAPBEXexcBad8 5 2 9 4" xfId="15293"/>
    <cellStyle name="SAPBEXexcBad8 5 2_planning-WP" xfId="15296"/>
    <cellStyle name="SAPBEXexcBad8 5 3" xfId="4564"/>
    <cellStyle name="SAPBEXexcBad8 5 3 10" xfId="15298"/>
    <cellStyle name="SAPBEXexcBad8 5 3 11" xfId="15297"/>
    <cellStyle name="SAPBEXexcBad8 5 3 2" xfId="15299"/>
    <cellStyle name="SAPBEXexcBad8 5 3 2 2" xfId="15300"/>
    <cellStyle name="SAPBEXexcBad8 5 3 2 3" xfId="15301"/>
    <cellStyle name="SAPBEXexcBad8 5 3 3" xfId="15302"/>
    <cellStyle name="SAPBEXexcBad8 5 3 3 2" xfId="15303"/>
    <cellStyle name="SAPBEXexcBad8 5 3 3 3" xfId="15304"/>
    <cellStyle name="SAPBEXexcBad8 5 3 4" xfId="15305"/>
    <cellStyle name="SAPBEXexcBad8 5 3 4 2" xfId="15306"/>
    <cellStyle name="SAPBEXexcBad8 5 3 4 3" xfId="15307"/>
    <cellStyle name="SAPBEXexcBad8 5 3 5" xfId="15308"/>
    <cellStyle name="SAPBEXexcBad8 5 3 5 2" xfId="15309"/>
    <cellStyle name="SAPBEXexcBad8 5 3 5 3" xfId="15310"/>
    <cellStyle name="SAPBEXexcBad8 5 3 6" xfId="15311"/>
    <cellStyle name="SAPBEXexcBad8 5 3 6 2" xfId="15312"/>
    <cellStyle name="SAPBEXexcBad8 5 3 6 3" xfId="15313"/>
    <cellStyle name="SAPBEXexcBad8 5 3 7" xfId="15314"/>
    <cellStyle name="SAPBEXexcBad8 5 3 7 2" xfId="15315"/>
    <cellStyle name="SAPBEXexcBad8 5 3 7 3" xfId="15316"/>
    <cellStyle name="SAPBEXexcBad8 5 3 8" xfId="15317"/>
    <cellStyle name="SAPBEXexcBad8 5 3 8 2" xfId="15318"/>
    <cellStyle name="SAPBEXexcBad8 5 3 8 3" xfId="15319"/>
    <cellStyle name="SAPBEXexcBad8 5 3 9" xfId="15320"/>
    <cellStyle name="SAPBEXexcBad8 5 3 9 2" xfId="15321"/>
    <cellStyle name="SAPBEXexcBad8 5 3 9 3" xfId="15322"/>
    <cellStyle name="SAPBEXexcBad8 5 3_planning-WP" xfId="15323"/>
    <cellStyle name="SAPBEXexcBad8 5 4" xfId="5556"/>
    <cellStyle name="SAPBEXexcBad8 5 4 10" xfId="15324"/>
    <cellStyle name="SAPBEXexcBad8 5 4 2" xfId="15325"/>
    <cellStyle name="SAPBEXexcBad8 5 4 2 2" xfId="15326"/>
    <cellStyle name="SAPBEXexcBad8 5 4 2 3" xfId="15327"/>
    <cellStyle name="SAPBEXexcBad8 5 4 3" xfId="15328"/>
    <cellStyle name="SAPBEXexcBad8 5 4 3 2" xfId="15329"/>
    <cellStyle name="SAPBEXexcBad8 5 4 3 3" xfId="15330"/>
    <cellStyle name="SAPBEXexcBad8 5 4 4" xfId="15331"/>
    <cellStyle name="SAPBEXexcBad8 5 4 4 2" xfId="15332"/>
    <cellStyle name="SAPBEXexcBad8 5 4 4 3" xfId="15333"/>
    <cellStyle name="SAPBEXexcBad8 5 4 5" xfId="15334"/>
    <cellStyle name="SAPBEXexcBad8 5 4 5 2" xfId="15335"/>
    <cellStyle name="SAPBEXexcBad8 5 4 5 3" xfId="15336"/>
    <cellStyle name="SAPBEXexcBad8 5 4 6" xfId="15337"/>
    <cellStyle name="SAPBEXexcBad8 5 4 6 2" xfId="15338"/>
    <cellStyle name="SAPBEXexcBad8 5 4 6 3" xfId="15339"/>
    <cellStyle name="SAPBEXexcBad8 5 4 7" xfId="15340"/>
    <cellStyle name="SAPBEXexcBad8 5 4 7 2" xfId="15341"/>
    <cellStyle name="SAPBEXexcBad8 5 4 7 3" xfId="15342"/>
    <cellStyle name="SAPBEXexcBad8 5 4 8" xfId="15343"/>
    <cellStyle name="SAPBEXexcBad8 5 4 8 2" xfId="15344"/>
    <cellStyle name="SAPBEXexcBad8 5 4 8 3" xfId="15345"/>
    <cellStyle name="SAPBEXexcBad8 5 4 9" xfId="15346"/>
    <cellStyle name="SAPBEXexcBad8 5 4_planning-WP" xfId="15347"/>
    <cellStyle name="SAPBEXexcBad8 5 5" xfId="6065"/>
    <cellStyle name="SAPBEXexcBad8 5 5 2" xfId="15349"/>
    <cellStyle name="SAPBEXexcBad8 5 5 3" xfId="15348"/>
    <cellStyle name="SAPBEXexcBad8 5 6" xfId="6552"/>
    <cellStyle name="SAPBEXexcBad8 5 6 2" xfId="15351"/>
    <cellStyle name="SAPBEXexcBad8 5 6 3" xfId="15352"/>
    <cellStyle name="SAPBEXexcBad8 5 6 4" xfId="15350"/>
    <cellStyle name="SAPBEXexcBad8 5 7" xfId="7035"/>
    <cellStyle name="SAPBEXexcBad8 5 7 2" xfId="15354"/>
    <cellStyle name="SAPBEXexcBad8 5 7 3" xfId="15355"/>
    <cellStyle name="SAPBEXexcBad8 5 7 4" xfId="15353"/>
    <cellStyle name="SAPBEXexcBad8 5 8" xfId="8104"/>
    <cellStyle name="SAPBEXexcBad8 5 8 2" xfId="15357"/>
    <cellStyle name="SAPBEXexcBad8 5 8 3" xfId="15358"/>
    <cellStyle name="SAPBEXexcBad8 5 8 4" xfId="15356"/>
    <cellStyle name="SAPBEXexcBad8 5 9" xfId="8605"/>
    <cellStyle name="SAPBEXexcBad8 5 9 2" xfId="15360"/>
    <cellStyle name="SAPBEXexcBad8 5 9 3" xfId="15361"/>
    <cellStyle name="SAPBEXexcBad8 5 9 4" xfId="15359"/>
    <cellStyle name="SAPBEXexcBad8 5_planning-WP" xfId="15362"/>
    <cellStyle name="SAPBEXexcBad8 6" xfId="1734"/>
    <cellStyle name="SAPBEXexcBad8 6 10" xfId="9189"/>
    <cellStyle name="SAPBEXexcBad8 6 10 2" xfId="15365"/>
    <cellStyle name="SAPBEXexcBad8 6 10 3" xfId="15366"/>
    <cellStyle name="SAPBEXexcBad8 6 10 4" xfId="15364"/>
    <cellStyle name="SAPBEXexcBad8 6 11" xfId="15367"/>
    <cellStyle name="SAPBEXexcBad8 6 11 2" xfId="15368"/>
    <cellStyle name="SAPBEXexcBad8 6 11 3" xfId="15369"/>
    <cellStyle name="SAPBEXexcBad8 6 12" xfId="15363"/>
    <cellStyle name="SAPBEXexcBad8 6 13" xfId="9928"/>
    <cellStyle name="SAPBEXexcBad8 6 14" xfId="38891"/>
    <cellStyle name="SAPBEXexcBad8 6 15" xfId="39304"/>
    <cellStyle name="SAPBEXexcBad8 6 2" xfId="2064"/>
    <cellStyle name="SAPBEXexcBad8 6 2 10" xfId="15371"/>
    <cellStyle name="SAPBEXexcBad8 6 2 11" xfId="15370"/>
    <cellStyle name="SAPBEXexcBad8 6 2 12" xfId="10239"/>
    <cellStyle name="SAPBEXexcBad8 6 2 2" xfId="4979"/>
    <cellStyle name="SAPBEXexcBad8 6 2 2 2" xfId="15373"/>
    <cellStyle name="SAPBEXexcBad8 6 2 2 3" xfId="15374"/>
    <cellStyle name="SAPBEXexcBad8 6 2 2 4" xfId="15372"/>
    <cellStyle name="SAPBEXexcBad8 6 2 3" xfId="5958"/>
    <cellStyle name="SAPBEXexcBad8 6 2 3 2" xfId="15376"/>
    <cellStyle name="SAPBEXexcBad8 6 2 3 3" xfId="15377"/>
    <cellStyle name="SAPBEXexcBad8 6 2 3 4" xfId="15375"/>
    <cellStyle name="SAPBEXexcBad8 6 2 4" xfId="6466"/>
    <cellStyle name="SAPBEXexcBad8 6 2 4 2" xfId="15379"/>
    <cellStyle name="SAPBEXexcBad8 6 2 4 3" xfId="15380"/>
    <cellStyle name="SAPBEXexcBad8 6 2 4 4" xfId="15378"/>
    <cellStyle name="SAPBEXexcBad8 6 2 5" xfId="6953"/>
    <cellStyle name="SAPBEXexcBad8 6 2 5 2" xfId="15382"/>
    <cellStyle name="SAPBEXexcBad8 6 2 5 3" xfId="15383"/>
    <cellStyle name="SAPBEXexcBad8 6 2 5 4" xfId="15381"/>
    <cellStyle name="SAPBEXexcBad8 6 2 6" xfId="7436"/>
    <cellStyle name="SAPBEXexcBad8 6 2 6 2" xfId="15385"/>
    <cellStyle name="SAPBEXexcBad8 6 2 6 3" xfId="15386"/>
    <cellStyle name="SAPBEXexcBad8 6 2 6 4" xfId="15384"/>
    <cellStyle name="SAPBEXexcBad8 6 2 7" xfId="8505"/>
    <cellStyle name="SAPBEXexcBad8 6 2 7 2" xfId="15388"/>
    <cellStyle name="SAPBEXexcBad8 6 2 7 3" xfId="15389"/>
    <cellStyle name="SAPBEXexcBad8 6 2 7 4" xfId="15387"/>
    <cellStyle name="SAPBEXexcBad8 6 2 8" xfId="9006"/>
    <cellStyle name="SAPBEXexcBad8 6 2 8 2" xfId="15391"/>
    <cellStyle name="SAPBEXexcBad8 6 2 8 3" xfId="15392"/>
    <cellStyle name="SAPBEXexcBad8 6 2 8 4" xfId="15390"/>
    <cellStyle name="SAPBEXexcBad8 6 2 9" xfId="9500"/>
    <cellStyle name="SAPBEXexcBad8 6 2 9 2" xfId="15394"/>
    <cellStyle name="SAPBEXexcBad8 6 2 9 3" xfId="15395"/>
    <cellStyle name="SAPBEXexcBad8 6 2 9 4" xfId="15393"/>
    <cellStyle name="SAPBEXexcBad8 6 2_planning-WP" xfId="15396"/>
    <cellStyle name="SAPBEXexcBad8 6 3" xfId="4655"/>
    <cellStyle name="SAPBEXexcBad8 6 3 10" xfId="15397"/>
    <cellStyle name="SAPBEXexcBad8 6 3 2" xfId="15398"/>
    <cellStyle name="SAPBEXexcBad8 6 3 2 2" xfId="15399"/>
    <cellStyle name="SAPBEXexcBad8 6 3 2 3" xfId="15400"/>
    <cellStyle name="SAPBEXexcBad8 6 3 3" xfId="15401"/>
    <cellStyle name="SAPBEXexcBad8 6 3 3 2" xfId="15402"/>
    <cellStyle name="SAPBEXexcBad8 6 3 3 3" xfId="15403"/>
    <cellStyle name="SAPBEXexcBad8 6 3 4" xfId="15404"/>
    <cellStyle name="SAPBEXexcBad8 6 3 4 2" xfId="15405"/>
    <cellStyle name="SAPBEXexcBad8 6 3 4 3" xfId="15406"/>
    <cellStyle name="SAPBEXexcBad8 6 3 5" xfId="15407"/>
    <cellStyle name="SAPBEXexcBad8 6 3 5 2" xfId="15408"/>
    <cellStyle name="SAPBEXexcBad8 6 3 5 3" xfId="15409"/>
    <cellStyle name="SAPBEXexcBad8 6 3 6" xfId="15410"/>
    <cellStyle name="SAPBEXexcBad8 6 3 6 2" xfId="15411"/>
    <cellStyle name="SAPBEXexcBad8 6 3 6 3" xfId="15412"/>
    <cellStyle name="SAPBEXexcBad8 6 3 7" xfId="15413"/>
    <cellStyle name="SAPBEXexcBad8 6 3 7 2" xfId="15414"/>
    <cellStyle name="SAPBEXexcBad8 6 3 7 3" xfId="15415"/>
    <cellStyle name="SAPBEXexcBad8 6 3 8" xfId="15416"/>
    <cellStyle name="SAPBEXexcBad8 6 3 8 2" xfId="15417"/>
    <cellStyle name="SAPBEXexcBad8 6 3 8 3" xfId="15418"/>
    <cellStyle name="SAPBEXexcBad8 6 3 9" xfId="15419"/>
    <cellStyle name="SAPBEXexcBad8 6 3_planning-WP" xfId="15420"/>
    <cellStyle name="SAPBEXexcBad8 6 4" xfId="5646"/>
    <cellStyle name="SAPBEXexcBad8 6 4 2" xfId="15422"/>
    <cellStyle name="SAPBEXexcBad8 6 4 3" xfId="15421"/>
    <cellStyle name="SAPBEXexcBad8 6 5" xfId="6155"/>
    <cellStyle name="SAPBEXexcBad8 6 5 2" xfId="15424"/>
    <cellStyle name="SAPBEXexcBad8 6 5 3" xfId="15425"/>
    <cellStyle name="SAPBEXexcBad8 6 5 4" xfId="15423"/>
    <cellStyle name="SAPBEXexcBad8 6 6" xfId="6642"/>
    <cellStyle name="SAPBEXexcBad8 6 6 2" xfId="15427"/>
    <cellStyle name="SAPBEXexcBad8 6 6 3" xfId="15428"/>
    <cellStyle name="SAPBEXexcBad8 6 6 4" xfId="15426"/>
    <cellStyle name="SAPBEXexcBad8 6 7" xfId="7125"/>
    <cellStyle name="SAPBEXexcBad8 6 7 2" xfId="15430"/>
    <cellStyle name="SAPBEXexcBad8 6 7 3" xfId="15431"/>
    <cellStyle name="SAPBEXexcBad8 6 7 4" xfId="15429"/>
    <cellStyle name="SAPBEXexcBad8 6 8" xfId="8194"/>
    <cellStyle name="SAPBEXexcBad8 6 8 2" xfId="15433"/>
    <cellStyle name="SAPBEXexcBad8 6 8 3" xfId="15434"/>
    <cellStyle name="SAPBEXexcBad8 6 8 4" xfId="15432"/>
    <cellStyle name="SAPBEXexcBad8 6 9" xfId="8695"/>
    <cellStyle name="SAPBEXexcBad8 6 9 2" xfId="15436"/>
    <cellStyle name="SAPBEXexcBad8 6 9 3" xfId="15437"/>
    <cellStyle name="SAPBEXexcBad8 6 9 4" xfId="15435"/>
    <cellStyle name="SAPBEXexcBad8 6_planning-WP" xfId="15438"/>
    <cellStyle name="SAPBEXexcBad8 7" xfId="1669"/>
    <cellStyle name="SAPBEXexcBad8 7 10" xfId="9127"/>
    <cellStyle name="SAPBEXexcBad8 7 10 2" xfId="15441"/>
    <cellStyle name="SAPBEXexcBad8 7 10 3" xfId="15442"/>
    <cellStyle name="SAPBEXexcBad8 7 10 4" xfId="15440"/>
    <cellStyle name="SAPBEXexcBad8 7 11" xfId="15443"/>
    <cellStyle name="SAPBEXexcBad8 7 12" xfId="15439"/>
    <cellStyle name="SAPBEXexcBad8 7 13" xfId="9866"/>
    <cellStyle name="SAPBEXexcBad8 7 14" xfId="38892"/>
    <cellStyle name="SAPBEXexcBad8 7 15" xfId="39305"/>
    <cellStyle name="SAPBEXexcBad8 7 2" xfId="2003"/>
    <cellStyle name="SAPBEXexcBad8 7 2 10" xfId="15445"/>
    <cellStyle name="SAPBEXexcBad8 7 2 11" xfId="15444"/>
    <cellStyle name="SAPBEXexcBad8 7 2 12" xfId="10181"/>
    <cellStyle name="SAPBEXexcBad8 7 2 2" xfId="4921"/>
    <cellStyle name="SAPBEXexcBad8 7 2 2 2" xfId="15447"/>
    <cellStyle name="SAPBEXexcBad8 7 2 2 3" xfId="15448"/>
    <cellStyle name="SAPBEXexcBad8 7 2 2 4" xfId="15446"/>
    <cellStyle name="SAPBEXexcBad8 7 2 3" xfId="5900"/>
    <cellStyle name="SAPBEXexcBad8 7 2 3 2" xfId="15450"/>
    <cellStyle name="SAPBEXexcBad8 7 2 3 3" xfId="15451"/>
    <cellStyle name="SAPBEXexcBad8 7 2 3 4" xfId="15449"/>
    <cellStyle name="SAPBEXexcBad8 7 2 4" xfId="6408"/>
    <cellStyle name="SAPBEXexcBad8 7 2 4 2" xfId="15453"/>
    <cellStyle name="SAPBEXexcBad8 7 2 4 3" xfId="15454"/>
    <cellStyle name="SAPBEXexcBad8 7 2 4 4" xfId="15452"/>
    <cellStyle name="SAPBEXexcBad8 7 2 5" xfId="6895"/>
    <cellStyle name="SAPBEXexcBad8 7 2 5 2" xfId="15456"/>
    <cellStyle name="SAPBEXexcBad8 7 2 5 3" xfId="15457"/>
    <cellStyle name="SAPBEXexcBad8 7 2 5 4" xfId="15455"/>
    <cellStyle name="SAPBEXexcBad8 7 2 6" xfId="7378"/>
    <cellStyle name="SAPBEXexcBad8 7 2 6 2" xfId="15459"/>
    <cellStyle name="SAPBEXexcBad8 7 2 6 3" xfId="15460"/>
    <cellStyle name="SAPBEXexcBad8 7 2 6 4" xfId="15458"/>
    <cellStyle name="SAPBEXexcBad8 7 2 7" xfId="8447"/>
    <cellStyle name="SAPBEXexcBad8 7 2 7 2" xfId="15462"/>
    <cellStyle name="SAPBEXexcBad8 7 2 7 3" xfId="15463"/>
    <cellStyle name="SAPBEXexcBad8 7 2 7 4" xfId="15461"/>
    <cellStyle name="SAPBEXexcBad8 7 2 8" xfId="8948"/>
    <cellStyle name="SAPBEXexcBad8 7 2 8 2" xfId="15465"/>
    <cellStyle name="SAPBEXexcBad8 7 2 8 3" xfId="15466"/>
    <cellStyle name="SAPBEXexcBad8 7 2 8 4" xfId="15464"/>
    <cellStyle name="SAPBEXexcBad8 7 2 9" xfId="9442"/>
    <cellStyle name="SAPBEXexcBad8 7 2 9 2" xfId="15468"/>
    <cellStyle name="SAPBEXexcBad8 7 2 9 3" xfId="15469"/>
    <cellStyle name="SAPBEXexcBad8 7 2 9 4" xfId="15467"/>
    <cellStyle name="SAPBEXexcBad8 7 2_planning-WP" xfId="15470"/>
    <cellStyle name="SAPBEXexcBad8 7 3" xfId="4592"/>
    <cellStyle name="SAPBEXexcBad8 7 3 2" xfId="15472"/>
    <cellStyle name="SAPBEXexcBad8 7 3 3" xfId="15473"/>
    <cellStyle name="SAPBEXexcBad8 7 3 4" xfId="15471"/>
    <cellStyle name="SAPBEXexcBad8 7 4" xfId="5584"/>
    <cellStyle name="SAPBEXexcBad8 7 4 2" xfId="15475"/>
    <cellStyle name="SAPBEXexcBad8 7 4 3" xfId="15476"/>
    <cellStyle name="SAPBEXexcBad8 7 4 4" xfId="15474"/>
    <cellStyle name="SAPBEXexcBad8 7 5" xfId="6093"/>
    <cellStyle name="SAPBEXexcBad8 7 5 2" xfId="15478"/>
    <cellStyle name="SAPBEXexcBad8 7 5 3" xfId="15479"/>
    <cellStyle name="SAPBEXexcBad8 7 5 4" xfId="15477"/>
    <cellStyle name="SAPBEXexcBad8 7 6" xfId="6580"/>
    <cellStyle name="SAPBEXexcBad8 7 6 2" xfId="15481"/>
    <cellStyle name="SAPBEXexcBad8 7 6 3" xfId="15482"/>
    <cellStyle name="SAPBEXexcBad8 7 6 4" xfId="15480"/>
    <cellStyle name="SAPBEXexcBad8 7 7" xfId="7063"/>
    <cellStyle name="SAPBEXexcBad8 7 7 2" xfId="15484"/>
    <cellStyle name="SAPBEXexcBad8 7 7 3" xfId="15485"/>
    <cellStyle name="SAPBEXexcBad8 7 7 4" xfId="15483"/>
    <cellStyle name="SAPBEXexcBad8 7 8" xfId="8132"/>
    <cellStyle name="SAPBEXexcBad8 7 8 2" xfId="15487"/>
    <cellStyle name="SAPBEXexcBad8 7 8 3" xfId="15488"/>
    <cellStyle name="SAPBEXexcBad8 7 8 4" xfId="15486"/>
    <cellStyle name="SAPBEXexcBad8 7 9" xfId="8633"/>
    <cellStyle name="SAPBEXexcBad8 7 9 2" xfId="15490"/>
    <cellStyle name="SAPBEXexcBad8 7 9 3" xfId="15491"/>
    <cellStyle name="SAPBEXexcBad8 7 9 4" xfId="15489"/>
    <cellStyle name="SAPBEXexcBad8 7_planning-WP" xfId="15492"/>
    <cellStyle name="SAPBEXexcBad8 8" xfId="1728"/>
    <cellStyle name="SAPBEXexcBad8 8 10" xfId="15494"/>
    <cellStyle name="SAPBEXexcBad8 8 11" xfId="15493"/>
    <cellStyle name="SAPBEXexcBad8 8 12" xfId="9924"/>
    <cellStyle name="SAPBEXexcBad8 8 2" xfId="4650"/>
    <cellStyle name="SAPBEXexcBad8 8 2 2" xfId="15496"/>
    <cellStyle name="SAPBEXexcBad8 8 2 3" xfId="15497"/>
    <cellStyle name="SAPBEXexcBad8 8 2 4" xfId="15495"/>
    <cellStyle name="SAPBEXexcBad8 8 3" xfId="5642"/>
    <cellStyle name="SAPBEXexcBad8 8 3 2" xfId="15499"/>
    <cellStyle name="SAPBEXexcBad8 8 3 3" xfId="15500"/>
    <cellStyle name="SAPBEXexcBad8 8 3 4" xfId="15498"/>
    <cellStyle name="SAPBEXexcBad8 8 4" xfId="6151"/>
    <cellStyle name="SAPBEXexcBad8 8 4 2" xfId="15502"/>
    <cellStyle name="SAPBEXexcBad8 8 4 3" xfId="15503"/>
    <cellStyle name="SAPBEXexcBad8 8 4 4" xfId="15501"/>
    <cellStyle name="SAPBEXexcBad8 8 5" xfId="6638"/>
    <cellStyle name="SAPBEXexcBad8 8 5 2" xfId="15505"/>
    <cellStyle name="SAPBEXexcBad8 8 5 3" xfId="15506"/>
    <cellStyle name="SAPBEXexcBad8 8 5 4" xfId="15504"/>
    <cellStyle name="SAPBEXexcBad8 8 6" xfId="7121"/>
    <cellStyle name="SAPBEXexcBad8 8 6 2" xfId="15508"/>
    <cellStyle name="SAPBEXexcBad8 8 6 3" xfId="15509"/>
    <cellStyle name="SAPBEXexcBad8 8 6 4" xfId="15507"/>
    <cellStyle name="SAPBEXexcBad8 8 7" xfId="8190"/>
    <cellStyle name="SAPBEXexcBad8 8 7 2" xfId="15511"/>
    <cellStyle name="SAPBEXexcBad8 8 7 3" xfId="15512"/>
    <cellStyle name="SAPBEXexcBad8 8 7 4" xfId="15510"/>
    <cellStyle name="SAPBEXexcBad8 8 8" xfId="8691"/>
    <cellStyle name="SAPBEXexcBad8 8 8 2" xfId="15514"/>
    <cellStyle name="SAPBEXexcBad8 8 8 3" xfId="15515"/>
    <cellStyle name="SAPBEXexcBad8 8 8 4" xfId="15513"/>
    <cellStyle name="SAPBEXexcBad8 8 9" xfId="9185"/>
    <cellStyle name="SAPBEXexcBad8 8 9 2" xfId="15517"/>
    <cellStyle name="SAPBEXexcBad8 8 9 3" xfId="15518"/>
    <cellStyle name="SAPBEXexcBad8 8 9 4" xfId="15516"/>
    <cellStyle name="SAPBEXexcBad8 8_planning-WP" xfId="15519"/>
    <cellStyle name="SAPBEXexcBad8 9" xfId="1428"/>
    <cellStyle name="SAPBEXexcBad8 9 10" xfId="15520"/>
    <cellStyle name="SAPBEXexcBad8 9 11" xfId="9626"/>
    <cellStyle name="SAPBEXexcBad8 9 2" xfId="4351"/>
    <cellStyle name="SAPBEXexcBad8 9 2 2" xfId="15522"/>
    <cellStyle name="SAPBEXexcBad8 9 2 3" xfId="15523"/>
    <cellStyle name="SAPBEXexcBad8 9 2 4" xfId="15521"/>
    <cellStyle name="SAPBEXexcBad8 9 3" xfId="5344"/>
    <cellStyle name="SAPBEXexcBad8 9 3 2" xfId="15525"/>
    <cellStyle name="SAPBEXexcBad8 9 3 3" xfId="15526"/>
    <cellStyle name="SAPBEXexcBad8 9 3 4" xfId="15524"/>
    <cellStyle name="SAPBEXexcBad8 9 4" xfId="5072"/>
    <cellStyle name="SAPBEXexcBad8 9 4 2" xfId="15528"/>
    <cellStyle name="SAPBEXexcBad8 9 4 3" xfId="15529"/>
    <cellStyle name="SAPBEXexcBad8 9 4 4" xfId="15527"/>
    <cellStyle name="SAPBEXexcBad8 9 5" xfId="6018"/>
    <cellStyle name="SAPBEXexcBad8 9 5 2" xfId="15531"/>
    <cellStyle name="SAPBEXexcBad8 9 5 3" xfId="15532"/>
    <cellStyle name="SAPBEXexcBad8 9 5 4" xfId="15530"/>
    <cellStyle name="SAPBEXexcBad8 9 6" xfId="3241"/>
    <cellStyle name="SAPBEXexcBad8 9 6 2" xfId="15534"/>
    <cellStyle name="SAPBEXexcBad8 9 6 3" xfId="15535"/>
    <cellStyle name="SAPBEXexcBad8 9 6 4" xfId="15533"/>
    <cellStyle name="SAPBEXexcBad8 9 7" xfId="7892"/>
    <cellStyle name="SAPBEXexcBad8 9 7 2" xfId="15537"/>
    <cellStyle name="SAPBEXexcBad8 9 7 3" xfId="15538"/>
    <cellStyle name="SAPBEXexcBad8 9 7 4" xfId="15536"/>
    <cellStyle name="SAPBEXexcBad8 9 8" xfId="7650"/>
    <cellStyle name="SAPBEXexcBad8 9 8 2" xfId="15540"/>
    <cellStyle name="SAPBEXexcBad8 9 8 3" xfId="15541"/>
    <cellStyle name="SAPBEXexcBad8 9 8 4" xfId="15539"/>
    <cellStyle name="SAPBEXexcBad8 9 9" xfId="7761"/>
    <cellStyle name="SAPBEXexcBad8 9 9 2" xfId="15542"/>
    <cellStyle name="SAPBEXexcBad8 9_planning-WP" xfId="15543"/>
    <cellStyle name="SAPBEXexcBad8_19.RessDest CUC CS SEE+SEM 1009" xfId="38893"/>
    <cellStyle name="SAPBEXexcBad9" xfId="275"/>
    <cellStyle name="SAPBEXexcBad9 10" xfId="15545"/>
    <cellStyle name="SAPBEXexcBad9 10 2" xfId="15546"/>
    <cellStyle name="SAPBEXexcBad9 11" xfId="15547"/>
    <cellStyle name="SAPBEXexcBad9 11 2" xfId="15548"/>
    <cellStyle name="SAPBEXexcBad9 11 3" xfId="15549"/>
    <cellStyle name="SAPBEXexcBad9 12" xfId="15550"/>
    <cellStyle name="SAPBEXexcBad9 12 2" xfId="15551"/>
    <cellStyle name="SAPBEXexcBad9 12 3" xfId="15552"/>
    <cellStyle name="SAPBEXexcBad9 13" xfId="15553"/>
    <cellStyle name="SAPBEXexcBad9 13 2" xfId="15554"/>
    <cellStyle name="SAPBEXexcBad9 13 3" xfId="15555"/>
    <cellStyle name="SAPBEXexcBad9 14" xfId="15556"/>
    <cellStyle name="SAPBEXexcBad9 14 2" xfId="15557"/>
    <cellStyle name="SAPBEXexcBad9 14 3" xfId="15558"/>
    <cellStyle name="SAPBEXexcBad9 15" xfId="15559"/>
    <cellStyle name="SAPBEXexcBad9 15 2" xfId="15560"/>
    <cellStyle name="SAPBEXexcBad9 15 3" xfId="15561"/>
    <cellStyle name="SAPBEXexcBad9 16" xfId="15562"/>
    <cellStyle name="SAPBEXexcBad9 16 2" xfId="15563"/>
    <cellStyle name="SAPBEXexcBad9 16 3" xfId="15564"/>
    <cellStyle name="SAPBEXexcBad9 17" xfId="15565"/>
    <cellStyle name="SAPBEXexcBad9 17 2" xfId="15566"/>
    <cellStyle name="SAPBEXexcBad9 17 3" xfId="15567"/>
    <cellStyle name="SAPBEXexcBad9 18" xfId="15568"/>
    <cellStyle name="SAPBEXexcBad9 19" xfId="15544"/>
    <cellStyle name="SAPBEXexcBad9 2" xfId="892"/>
    <cellStyle name="SAPBEXexcBad9 2 10" xfId="15570"/>
    <cellStyle name="SAPBEXexcBad9 2 10 2" xfId="15571"/>
    <cellStyle name="SAPBEXexcBad9 2 10 3" xfId="15572"/>
    <cellStyle name="SAPBEXexcBad9 2 11" xfId="15573"/>
    <cellStyle name="SAPBEXexcBad9 2 11 2" xfId="15574"/>
    <cellStyle name="SAPBEXexcBad9 2 11 3" xfId="15575"/>
    <cellStyle name="SAPBEXexcBad9 2 12" xfId="15576"/>
    <cellStyle name="SAPBEXexcBad9 2 12 2" xfId="15577"/>
    <cellStyle name="SAPBEXexcBad9 2 12 3" xfId="15578"/>
    <cellStyle name="SAPBEXexcBad9 2 13" xfId="15579"/>
    <cellStyle name="SAPBEXexcBad9 2 14" xfId="15569"/>
    <cellStyle name="SAPBEXexcBad9 2 15" xfId="9576"/>
    <cellStyle name="SAPBEXexcBad9 2 16" xfId="38895"/>
    <cellStyle name="SAPBEXexcBad9 2 17" xfId="39307"/>
    <cellStyle name="SAPBEXexcBad9 2 2" xfId="1956"/>
    <cellStyle name="SAPBEXexcBad9 2 2 10" xfId="15581"/>
    <cellStyle name="SAPBEXexcBad9 2 2 10 2" xfId="15582"/>
    <cellStyle name="SAPBEXexcBad9 2 2 10 3" xfId="15583"/>
    <cellStyle name="SAPBEXexcBad9 2 2 11" xfId="15584"/>
    <cellStyle name="SAPBEXexcBad9 2 2 12" xfId="15580"/>
    <cellStyle name="SAPBEXexcBad9 2 2 13" xfId="10134"/>
    <cellStyle name="SAPBEXexcBad9 2 2 14" xfId="38896"/>
    <cellStyle name="SAPBEXexcBad9 2 2 15" xfId="39308"/>
    <cellStyle name="SAPBEXexcBad9 2 2 2" xfId="4874"/>
    <cellStyle name="SAPBEXexcBad9 2 2 2 10" xfId="15586"/>
    <cellStyle name="SAPBEXexcBad9 2 2 2 11" xfId="15585"/>
    <cellStyle name="SAPBEXexcBad9 2 2 2 2" xfId="15587"/>
    <cellStyle name="SAPBEXexcBad9 2 2 2 2 2" xfId="15588"/>
    <cellStyle name="SAPBEXexcBad9 2 2 2 2 3" xfId="15589"/>
    <cellStyle name="SAPBEXexcBad9 2 2 2 3" xfId="15590"/>
    <cellStyle name="SAPBEXexcBad9 2 2 2 3 2" xfId="15591"/>
    <cellStyle name="SAPBEXexcBad9 2 2 2 3 3" xfId="15592"/>
    <cellStyle name="SAPBEXexcBad9 2 2 2 4" xfId="15593"/>
    <cellStyle name="SAPBEXexcBad9 2 2 2 4 2" xfId="15594"/>
    <cellStyle name="SAPBEXexcBad9 2 2 2 4 3" xfId="15595"/>
    <cellStyle name="SAPBEXexcBad9 2 2 2 5" xfId="15596"/>
    <cellStyle name="SAPBEXexcBad9 2 2 2 5 2" xfId="15597"/>
    <cellStyle name="SAPBEXexcBad9 2 2 2 5 3" xfId="15598"/>
    <cellStyle name="SAPBEXexcBad9 2 2 2 6" xfId="15599"/>
    <cellStyle name="SAPBEXexcBad9 2 2 2 6 2" xfId="15600"/>
    <cellStyle name="SAPBEXexcBad9 2 2 2 6 3" xfId="15601"/>
    <cellStyle name="SAPBEXexcBad9 2 2 2 7" xfId="15602"/>
    <cellStyle name="SAPBEXexcBad9 2 2 2 7 2" xfId="15603"/>
    <cellStyle name="SAPBEXexcBad9 2 2 2 7 3" xfId="15604"/>
    <cellStyle name="SAPBEXexcBad9 2 2 2 8" xfId="15605"/>
    <cellStyle name="SAPBEXexcBad9 2 2 2 8 2" xfId="15606"/>
    <cellStyle name="SAPBEXexcBad9 2 2 2 8 3" xfId="15607"/>
    <cellStyle name="SAPBEXexcBad9 2 2 2 9" xfId="15608"/>
    <cellStyle name="SAPBEXexcBad9 2 2 2 9 2" xfId="15609"/>
    <cellStyle name="SAPBEXexcBad9 2 2 2 9 3" xfId="15610"/>
    <cellStyle name="SAPBEXexcBad9 2 2 2_planning-WP" xfId="15611"/>
    <cellStyle name="SAPBEXexcBad9 2 2 3" xfId="5853"/>
    <cellStyle name="SAPBEXexcBad9 2 2 3 2" xfId="15613"/>
    <cellStyle name="SAPBEXexcBad9 2 2 3 3" xfId="15614"/>
    <cellStyle name="SAPBEXexcBad9 2 2 3 4" xfId="15612"/>
    <cellStyle name="SAPBEXexcBad9 2 2 4" xfId="6361"/>
    <cellStyle name="SAPBEXexcBad9 2 2 4 2" xfId="15616"/>
    <cellStyle name="SAPBEXexcBad9 2 2 4 3" xfId="15617"/>
    <cellStyle name="SAPBEXexcBad9 2 2 4 4" xfId="15615"/>
    <cellStyle name="SAPBEXexcBad9 2 2 5" xfId="6848"/>
    <cellStyle name="SAPBEXexcBad9 2 2 5 2" xfId="15619"/>
    <cellStyle name="SAPBEXexcBad9 2 2 5 3" xfId="15620"/>
    <cellStyle name="SAPBEXexcBad9 2 2 5 4" xfId="15618"/>
    <cellStyle name="SAPBEXexcBad9 2 2 6" xfId="7331"/>
    <cellStyle name="SAPBEXexcBad9 2 2 6 2" xfId="15622"/>
    <cellStyle name="SAPBEXexcBad9 2 2 6 3" xfId="15623"/>
    <cellStyle name="SAPBEXexcBad9 2 2 6 4" xfId="15621"/>
    <cellStyle name="SAPBEXexcBad9 2 2 7" xfId="8400"/>
    <cellStyle name="SAPBEXexcBad9 2 2 7 2" xfId="15625"/>
    <cellStyle name="SAPBEXexcBad9 2 2 7 3" xfId="15626"/>
    <cellStyle name="SAPBEXexcBad9 2 2 7 4" xfId="15624"/>
    <cellStyle name="SAPBEXexcBad9 2 2 8" xfId="8901"/>
    <cellStyle name="SAPBEXexcBad9 2 2 8 2" xfId="15628"/>
    <cellStyle name="SAPBEXexcBad9 2 2 8 3" xfId="15629"/>
    <cellStyle name="SAPBEXexcBad9 2 2 8 4" xfId="15627"/>
    <cellStyle name="SAPBEXexcBad9 2 2 9" xfId="9395"/>
    <cellStyle name="SAPBEXexcBad9 2 2 9 2" xfId="15631"/>
    <cellStyle name="SAPBEXexcBad9 2 2 9 3" xfId="15632"/>
    <cellStyle name="SAPBEXexcBad9 2 2 9 4" xfId="15630"/>
    <cellStyle name="SAPBEXexcBad9 2 2_planning-WP" xfId="15633"/>
    <cellStyle name="SAPBEXexcBad9 2 3" xfId="1618"/>
    <cellStyle name="SAPBEXexcBad9 2 3 10" xfId="15635"/>
    <cellStyle name="SAPBEXexcBad9 2 3 11" xfId="15634"/>
    <cellStyle name="SAPBEXexcBad9 2 3 12" xfId="9815"/>
    <cellStyle name="SAPBEXexcBad9 2 3 2" xfId="4541"/>
    <cellStyle name="SAPBEXexcBad9 2 3 2 2" xfId="15637"/>
    <cellStyle name="SAPBEXexcBad9 2 3 2 3" xfId="15638"/>
    <cellStyle name="SAPBEXexcBad9 2 3 2 4" xfId="15636"/>
    <cellStyle name="SAPBEXexcBad9 2 3 3" xfId="5533"/>
    <cellStyle name="SAPBEXexcBad9 2 3 3 2" xfId="15640"/>
    <cellStyle name="SAPBEXexcBad9 2 3 3 3" xfId="15641"/>
    <cellStyle name="SAPBEXexcBad9 2 3 3 4" xfId="15639"/>
    <cellStyle name="SAPBEXexcBad9 2 3 4" xfId="6042"/>
    <cellStyle name="SAPBEXexcBad9 2 3 4 2" xfId="15643"/>
    <cellStyle name="SAPBEXexcBad9 2 3 4 3" xfId="15644"/>
    <cellStyle name="SAPBEXexcBad9 2 3 4 4" xfId="15642"/>
    <cellStyle name="SAPBEXexcBad9 2 3 5" xfId="6529"/>
    <cellStyle name="SAPBEXexcBad9 2 3 5 2" xfId="15646"/>
    <cellStyle name="SAPBEXexcBad9 2 3 5 3" xfId="15647"/>
    <cellStyle name="SAPBEXexcBad9 2 3 5 4" xfId="15645"/>
    <cellStyle name="SAPBEXexcBad9 2 3 6" xfId="7012"/>
    <cellStyle name="SAPBEXexcBad9 2 3 6 2" xfId="15649"/>
    <cellStyle name="SAPBEXexcBad9 2 3 6 3" xfId="15650"/>
    <cellStyle name="SAPBEXexcBad9 2 3 6 4" xfId="15648"/>
    <cellStyle name="SAPBEXexcBad9 2 3 7" xfId="8081"/>
    <cellStyle name="SAPBEXexcBad9 2 3 7 2" xfId="15652"/>
    <cellStyle name="SAPBEXexcBad9 2 3 7 3" xfId="15653"/>
    <cellStyle name="SAPBEXexcBad9 2 3 7 4" xfId="15651"/>
    <cellStyle name="SAPBEXexcBad9 2 3 8" xfId="8582"/>
    <cellStyle name="SAPBEXexcBad9 2 3 8 2" xfId="15655"/>
    <cellStyle name="SAPBEXexcBad9 2 3 8 3" xfId="15656"/>
    <cellStyle name="SAPBEXexcBad9 2 3 8 4" xfId="15654"/>
    <cellStyle name="SAPBEXexcBad9 2 3 9" xfId="9076"/>
    <cellStyle name="SAPBEXexcBad9 2 3 9 2" xfId="15658"/>
    <cellStyle name="SAPBEXexcBad9 2 3 9 3" xfId="15659"/>
    <cellStyle name="SAPBEXexcBad9 2 3 9 4" xfId="15657"/>
    <cellStyle name="SAPBEXexcBad9 2 3_planning-WP" xfId="15660"/>
    <cellStyle name="SAPBEXexcBad9 2 4" xfId="15661"/>
    <cellStyle name="SAPBEXexcBad9 2 4 2" xfId="15662"/>
    <cellStyle name="SAPBEXexcBad9 2 4 2 2" xfId="15663"/>
    <cellStyle name="SAPBEXexcBad9 2 4 2 3" xfId="15664"/>
    <cellStyle name="SAPBEXexcBad9 2 4 3" xfId="15665"/>
    <cellStyle name="SAPBEXexcBad9 2 4 3 2" xfId="15666"/>
    <cellStyle name="SAPBEXexcBad9 2 4 3 3" xfId="15667"/>
    <cellStyle name="SAPBEXexcBad9 2 4 4" xfId="15668"/>
    <cellStyle name="SAPBEXexcBad9 2 4 4 2" xfId="15669"/>
    <cellStyle name="SAPBEXexcBad9 2 4 4 3" xfId="15670"/>
    <cellStyle name="SAPBEXexcBad9 2 4 5" xfId="15671"/>
    <cellStyle name="SAPBEXexcBad9 2 4 5 2" xfId="15672"/>
    <cellStyle name="SAPBEXexcBad9 2 4 5 3" xfId="15673"/>
    <cellStyle name="SAPBEXexcBad9 2 4 6" xfId="15674"/>
    <cellStyle name="SAPBEXexcBad9 2 4 6 2" xfId="15675"/>
    <cellStyle name="SAPBEXexcBad9 2 4 6 3" xfId="15676"/>
    <cellStyle name="SAPBEXexcBad9 2 4 7" xfId="15677"/>
    <cellStyle name="SAPBEXexcBad9 2 4 7 2" xfId="15678"/>
    <cellStyle name="SAPBEXexcBad9 2 4 7 3" xfId="15679"/>
    <cellStyle name="SAPBEXexcBad9 2 4 8" xfId="15680"/>
    <cellStyle name="SAPBEXexcBad9 2 4 8 2" xfId="15681"/>
    <cellStyle name="SAPBEXexcBad9 2 4 8 3" xfId="15682"/>
    <cellStyle name="SAPBEXexcBad9 2 4 9" xfId="15683"/>
    <cellStyle name="SAPBEXexcBad9 2 4_planning-WP" xfId="15684"/>
    <cellStyle name="SAPBEXexcBad9 2 5" xfId="15685"/>
    <cellStyle name="SAPBEXexcBad9 2 5 2" xfId="15686"/>
    <cellStyle name="SAPBEXexcBad9 2 6" xfId="15687"/>
    <cellStyle name="SAPBEXexcBad9 2 6 2" xfId="15688"/>
    <cellStyle name="SAPBEXexcBad9 2 6 3" xfId="15689"/>
    <cellStyle name="SAPBEXexcBad9 2 7" xfId="15690"/>
    <cellStyle name="SAPBEXexcBad9 2 7 2" xfId="15691"/>
    <cellStyle name="SAPBEXexcBad9 2 7 3" xfId="15692"/>
    <cellStyle name="SAPBEXexcBad9 2 8" xfId="15693"/>
    <cellStyle name="SAPBEXexcBad9 2 8 2" xfId="15694"/>
    <cellStyle name="SAPBEXexcBad9 2 8 3" xfId="15695"/>
    <cellStyle name="SAPBEXexcBad9 2 9" xfId="15696"/>
    <cellStyle name="SAPBEXexcBad9 2 9 2" xfId="15697"/>
    <cellStyle name="SAPBEXexcBad9 2 9 3" xfId="15698"/>
    <cellStyle name="SAPBEXexcBad9 2_planning-WP" xfId="15699"/>
    <cellStyle name="SAPBEXexcBad9 20" xfId="38894"/>
    <cellStyle name="SAPBEXexcBad9 21" xfId="39306"/>
    <cellStyle name="SAPBEXexcBad9 3" xfId="1590"/>
    <cellStyle name="SAPBEXexcBad9 3 10" xfId="7742"/>
    <cellStyle name="SAPBEXexcBad9 3 10 2" xfId="15702"/>
    <cellStyle name="SAPBEXexcBad9 3 10 3" xfId="15703"/>
    <cellStyle name="SAPBEXexcBad9 3 10 4" xfId="15701"/>
    <cellStyle name="SAPBEXexcBad9 3 11" xfId="15704"/>
    <cellStyle name="SAPBEXexcBad9 3 11 2" xfId="15705"/>
    <cellStyle name="SAPBEXexcBad9 3 11 3" xfId="15706"/>
    <cellStyle name="SAPBEXexcBad9 3 12" xfId="15707"/>
    <cellStyle name="SAPBEXexcBad9 3 12 2" xfId="15708"/>
    <cellStyle name="SAPBEXexcBad9 3 12 3" xfId="15709"/>
    <cellStyle name="SAPBEXexcBad9 3 13" xfId="15710"/>
    <cellStyle name="SAPBEXexcBad9 3 14" xfId="15700"/>
    <cellStyle name="SAPBEXexcBad9 3 15" xfId="9787"/>
    <cellStyle name="SAPBEXexcBad9 3 16" xfId="38897"/>
    <cellStyle name="SAPBEXexcBad9 3 17" xfId="39309"/>
    <cellStyle name="SAPBEXexcBad9 3 2" xfId="1933"/>
    <cellStyle name="SAPBEXexcBad9 3 2 10" xfId="15712"/>
    <cellStyle name="SAPBEXexcBad9 3 2 10 2" xfId="15713"/>
    <cellStyle name="SAPBEXexcBad9 3 2 10 3" xfId="15714"/>
    <cellStyle name="SAPBEXexcBad9 3 2 11" xfId="15715"/>
    <cellStyle name="SAPBEXexcBad9 3 2 12" xfId="15711"/>
    <cellStyle name="SAPBEXexcBad9 3 2 13" xfId="10111"/>
    <cellStyle name="SAPBEXexcBad9 3 2 14" xfId="38898"/>
    <cellStyle name="SAPBEXexcBad9 3 2 15" xfId="39310"/>
    <cellStyle name="SAPBEXexcBad9 3 2 2" xfId="4851"/>
    <cellStyle name="SAPBEXexcBad9 3 2 2 10" xfId="15717"/>
    <cellStyle name="SAPBEXexcBad9 3 2 2 11" xfId="15716"/>
    <cellStyle name="SAPBEXexcBad9 3 2 2 2" xfId="15718"/>
    <cellStyle name="SAPBEXexcBad9 3 2 2 2 2" xfId="15719"/>
    <cellStyle name="SAPBEXexcBad9 3 2 2 2 3" xfId="15720"/>
    <cellStyle name="SAPBEXexcBad9 3 2 2 3" xfId="15721"/>
    <cellStyle name="SAPBEXexcBad9 3 2 2 3 2" xfId="15722"/>
    <cellStyle name="SAPBEXexcBad9 3 2 2 3 3" xfId="15723"/>
    <cellStyle name="SAPBEXexcBad9 3 2 2 4" xfId="15724"/>
    <cellStyle name="SAPBEXexcBad9 3 2 2 4 2" xfId="15725"/>
    <cellStyle name="SAPBEXexcBad9 3 2 2 4 3" xfId="15726"/>
    <cellStyle name="SAPBEXexcBad9 3 2 2 5" xfId="15727"/>
    <cellStyle name="SAPBEXexcBad9 3 2 2 5 2" xfId="15728"/>
    <cellStyle name="SAPBEXexcBad9 3 2 2 5 3" xfId="15729"/>
    <cellStyle name="SAPBEXexcBad9 3 2 2 6" xfId="15730"/>
    <cellStyle name="SAPBEXexcBad9 3 2 2 6 2" xfId="15731"/>
    <cellStyle name="SAPBEXexcBad9 3 2 2 6 3" xfId="15732"/>
    <cellStyle name="SAPBEXexcBad9 3 2 2 7" xfId="15733"/>
    <cellStyle name="SAPBEXexcBad9 3 2 2 7 2" xfId="15734"/>
    <cellStyle name="SAPBEXexcBad9 3 2 2 7 3" xfId="15735"/>
    <cellStyle name="SAPBEXexcBad9 3 2 2 8" xfId="15736"/>
    <cellStyle name="SAPBEXexcBad9 3 2 2 8 2" xfId="15737"/>
    <cellStyle name="SAPBEXexcBad9 3 2 2 8 3" xfId="15738"/>
    <cellStyle name="SAPBEXexcBad9 3 2 2 9" xfId="15739"/>
    <cellStyle name="SAPBEXexcBad9 3 2 2 9 2" xfId="15740"/>
    <cellStyle name="SAPBEXexcBad9 3 2 2 9 3" xfId="15741"/>
    <cellStyle name="SAPBEXexcBad9 3 2 2_planning-WP" xfId="15742"/>
    <cellStyle name="SAPBEXexcBad9 3 2 3" xfId="5830"/>
    <cellStyle name="SAPBEXexcBad9 3 2 3 2" xfId="15744"/>
    <cellStyle name="SAPBEXexcBad9 3 2 3 3" xfId="15745"/>
    <cellStyle name="SAPBEXexcBad9 3 2 3 4" xfId="15743"/>
    <cellStyle name="SAPBEXexcBad9 3 2 4" xfId="6338"/>
    <cellStyle name="SAPBEXexcBad9 3 2 4 2" xfId="15747"/>
    <cellStyle name="SAPBEXexcBad9 3 2 4 3" xfId="15748"/>
    <cellStyle name="SAPBEXexcBad9 3 2 4 4" xfId="15746"/>
    <cellStyle name="SAPBEXexcBad9 3 2 5" xfId="6825"/>
    <cellStyle name="SAPBEXexcBad9 3 2 5 2" xfId="15750"/>
    <cellStyle name="SAPBEXexcBad9 3 2 5 3" xfId="15751"/>
    <cellStyle name="SAPBEXexcBad9 3 2 5 4" xfId="15749"/>
    <cellStyle name="SAPBEXexcBad9 3 2 6" xfId="7308"/>
    <cellStyle name="SAPBEXexcBad9 3 2 6 2" xfId="15753"/>
    <cellStyle name="SAPBEXexcBad9 3 2 6 3" xfId="15754"/>
    <cellStyle name="SAPBEXexcBad9 3 2 6 4" xfId="15752"/>
    <cellStyle name="SAPBEXexcBad9 3 2 7" xfId="8377"/>
    <cellStyle name="SAPBEXexcBad9 3 2 7 2" xfId="15756"/>
    <cellStyle name="SAPBEXexcBad9 3 2 7 3" xfId="15757"/>
    <cellStyle name="SAPBEXexcBad9 3 2 7 4" xfId="15755"/>
    <cellStyle name="SAPBEXexcBad9 3 2 8" xfId="8878"/>
    <cellStyle name="SAPBEXexcBad9 3 2 8 2" xfId="15759"/>
    <cellStyle name="SAPBEXexcBad9 3 2 8 3" xfId="15760"/>
    <cellStyle name="SAPBEXexcBad9 3 2 8 4" xfId="15758"/>
    <cellStyle name="SAPBEXexcBad9 3 2 9" xfId="9372"/>
    <cellStyle name="SAPBEXexcBad9 3 2 9 2" xfId="15762"/>
    <cellStyle name="SAPBEXexcBad9 3 2 9 3" xfId="15763"/>
    <cellStyle name="SAPBEXexcBad9 3 2 9 4" xfId="15761"/>
    <cellStyle name="SAPBEXexcBad9 3 2_planning-WP" xfId="15764"/>
    <cellStyle name="SAPBEXexcBad9 3 3" xfId="4513"/>
    <cellStyle name="SAPBEXexcBad9 3 3 10" xfId="15766"/>
    <cellStyle name="SAPBEXexcBad9 3 3 11" xfId="15765"/>
    <cellStyle name="SAPBEXexcBad9 3 3 2" xfId="15767"/>
    <cellStyle name="SAPBEXexcBad9 3 3 2 2" xfId="15768"/>
    <cellStyle name="SAPBEXexcBad9 3 3 2 3" xfId="15769"/>
    <cellStyle name="SAPBEXexcBad9 3 3 3" xfId="15770"/>
    <cellStyle name="SAPBEXexcBad9 3 3 3 2" xfId="15771"/>
    <cellStyle name="SAPBEXexcBad9 3 3 3 3" xfId="15772"/>
    <cellStyle name="SAPBEXexcBad9 3 3 4" xfId="15773"/>
    <cellStyle name="SAPBEXexcBad9 3 3 4 2" xfId="15774"/>
    <cellStyle name="SAPBEXexcBad9 3 3 4 3" xfId="15775"/>
    <cellStyle name="SAPBEXexcBad9 3 3 5" xfId="15776"/>
    <cellStyle name="SAPBEXexcBad9 3 3 5 2" xfId="15777"/>
    <cellStyle name="SAPBEXexcBad9 3 3 5 3" xfId="15778"/>
    <cellStyle name="SAPBEXexcBad9 3 3 6" xfId="15779"/>
    <cellStyle name="SAPBEXexcBad9 3 3 6 2" xfId="15780"/>
    <cellStyle name="SAPBEXexcBad9 3 3 6 3" xfId="15781"/>
    <cellStyle name="SAPBEXexcBad9 3 3 7" xfId="15782"/>
    <cellStyle name="SAPBEXexcBad9 3 3 7 2" xfId="15783"/>
    <cellStyle name="SAPBEXexcBad9 3 3 7 3" xfId="15784"/>
    <cellStyle name="SAPBEXexcBad9 3 3 8" xfId="15785"/>
    <cellStyle name="SAPBEXexcBad9 3 3 8 2" xfId="15786"/>
    <cellStyle name="SAPBEXexcBad9 3 3 8 3" xfId="15787"/>
    <cellStyle name="SAPBEXexcBad9 3 3 9" xfId="15788"/>
    <cellStyle name="SAPBEXexcBad9 3 3 9 2" xfId="15789"/>
    <cellStyle name="SAPBEXexcBad9 3 3 9 3" xfId="15790"/>
    <cellStyle name="SAPBEXexcBad9 3 3_planning-WP" xfId="15791"/>
    <cellStyle name="SAPBEXexcBad9 3 4" xfId="5505"/>
    <cellStyle name="SAPBEXexcBad9 3 4 10" xfId="15792"/>
    <cellStyle name="SAPBEXexcBad9 3 4 2" xfId="15793"/>
    <cellStyle name="SAPBEXexcBad9 3 4 2 2" xfId="15794"/>
    <cellStyle name="SAPBEXexcBad9 3 4 2 3" xfId="15795"/>
    <cellStyle name="SAPBEXexcBad9 3 4 3" xfId="15796"/>
    <cellStyle name="SAPBEXexcBad9 3 4 3 2" xfId="15797"/>
    <cellStyle name="SAPBEXexcBad9 3 4 3 3" xfId="15798"/>
    <cellStyle name="SAPBEXexcBad9 3 4 4" xfId="15799"/>
    <cellStyle name="SAPBEXexcBad9 3 4 4 2" xfId="15800"/>
    <cellStyle name="SAPBEXexcBad9 3 4 4 3" xfId="15801"/>
    <cellStyle name="SAPBEXexcBad9 3 4 5" xfId="15802"/>
    <cellStyle name="SAPBEXexcBad9 3 4 5 2" xfId="15803"/>
    <cellStyle name="SAPBEXexcBad9 3 4 5 3" xfId="15804"/>
    <cellStyle name="SAPBEXexcBad9 3 4 6" xfId="15805"/>
    <cellStyle name="SAPBEXexcBad9 3 4 6 2" xfId="15806"/>
    <cellStyle name="SAPBEXexcBad9 3 4 6 3" xfId="15807"/>
    <cellStyle name="SAPBEXexcBad9 3 4 7" xfId="15808"/>
    <cellStyle name="SAPBEXexcBad9 3 4 7 2" xfId="15809"/>
    <cellStyle name="SAPBEXexcBad9 3 4 7 3" xfId="15810"/>
    <cellStyle name="SAPBEXexcBad9 3 4 8" xfId="15811"/>
    <cellStyle name="SAPBEXexcBad9 3 4 8 2" xfId="15812"/>
    <cellStyle name="SAPBEXexcBad9 3 4 8 3" xfId="15813"/>
    <cellStyle name="SAPBEXexcBad9 3 4 9" xfId="15814"/>
    <cellStyle name="SAPBEXexcBad9 3 4_planning-WP" xfId="15815"/>
    <cellStyle name="SAPBEXexcBad9 3 5" xfId="3329"/>
    <cellStyle name="SAPBEXexcBad9 3 5 2" xfId="15817"/>
    <cellStyle name="SAPBEXexcBad9 3 5 3" xfId="15816"/>
    <cellStyle name="SAPBEXexcBad9 3 6" xfId="5035"/>
    <cellStyle name="SAPBEXexcBad9 3 6 2" xfId="15819"/>
    <cellStyle name="SAPBEXexcBad9 3 6 3" xfId="15820"/>
    <cellStyle name="SAPBEXexcBad9 3 6 4" xfId="15818"/>
    <cellStyle name="SAPBEXexcBad9 3 7" xfId="5231"/>
    <cellStyle name="SAPBEXexcBad9 3 7 2" xfId="15822"/>
    <cellStyle name="SAPBEXexcBad9 3 7 3" xfId="15823"/>
    <cellStyle name="SAPBEXexcBad9 3 7 4" xfId="15821"/>
    <cellStyle name="SAPBEXexcBad9 3 8" xfId="8053"/>
    <cellStyle name="SAPBEXexcBad9 3 8 2" xfId="15825"/>
    <cellStyle name="SAPBEXexcBad9 3 8 3" xfId="15826"/>
    <cellStyle name="SAPBEXexcBad9 3 8 4" xfId="15824"/>
    <cellStyle name="SAPBEXexcBad9 3 9" xfId="7495"/>
    <cellStyle name="SAPBEXexcBad9 3 9 2" xfId="15828"/>
    <cellStyle name="SAPBEXexcBad9 3 9 3" xfId="15829"/>
    <cellStyle name="SAPBEXexcBad9 3 9 4" xfId="15827"/>
    <cellStyle name="SAPBEXexcBad9 3_planning-WP" xfId="15830"/>
    <cellStyle name="SAPBEXexcBad9 4" xfId="1705"/>
    <cellStyle name="SAPBEXexcBad9 4 10" xfId="9162"/>
    <cellStyle name="SAPBEXexcBad9 4 10 2" xfId="15833"/>
    <cellStyle name="SAPBEXexcBad9 4 10 3" xfId="15834"/>
    <cellStyle name="SAPBEXexcBad9 4 10 4" xfId="15832"/>
    <cellStyle name="SAPBEXexcBad9 4 11" xfId="15835"/>
    <cellStyle name="SAPBEXexcBad9 4 11 2" xfId="15836"/>
    <cellStyle name="SAPBEXexcBad9 4 11 3" xfId="15837"/>
    <cellStyle name="SAPBEXexcBad9 4 12" xfId="15838"/>
    <cellStyle name="SAPBEXexcBad9 4 12 2" xfId="15839"/>
    <cellStyle name="SAPBEXexcBad9 4 12 3" xfId="15840"/>
    <cellStyle name="SAPBEXexcBad9 4 13" xfId="15831"/>
    <cellStyle name="SAPBEXexcBad9 4 14" xfId="9901"/>
    <cellStyle name="SAPBEXexcBad9 4 15" xfId="38899"/>
    <cellStyle name="SAPBEXexcBad9 4 16" xfId="39311"/>
    <cellStyle name="SAPBEXexcBad9 4 2" xfId="2037"/>
    <cellStyle name="SAPBEXexcBad9 4 2 10" xfId="15842"/>
    <cellStyle name="SAPBEXexcBad9 4 2 10 2" xfId="15843"/>
    <cellStyle name="SAPBEXexcBad9 4 2 10 3" xfId="15844"/>
    <cellStyle name="SAPBEXexcBad9 4 2 11" xfId="15845"/>
    <cellStyle name="SAPBEXexcBad9 4 2 12" xfId="15841"/>
    <cellStyle name="SAPBEXexcBad9 4 2 13" xfId="10214"/>
    <cellStyle name="SAPBEXexcBad9 4 2 14" xfId="38900"/>
    <cellStyle name="SAPBEXexcBad9 4 2 15" xfId="39312"/>
    <cellStyle name="SAPBEXexcBad9 4 2 2" xfId="4954"/>
    <cellStyle name="SAPBEXexcBad9 4 2 2 10" xfId="15847"/>
    <cellStyle name="SAPBEXexcBad9 4 2 2 11" xfId="15846"/>
    <cellStyle name="SAPBEXexcBad9 4 2 2 2" xfId="15848"/>
    <cellStyle name="SAPBEXexcBad9 4 2 2 2 2" xfId="15849"/>
    <cellStyle name="SAPBEXexcBad9 4 2 2 2 3" xfId="15850"/>
    <cellStyle name="SAPBEXexcBad9 4 2 2 3" xfId="15851"/>
    <cellStyle name="SAPBEXexcBad9 4 2 2 3 2" xfId="15852"/>
    <cellStyle name="SAPBEXexcBad9 4 2 2 3 3" xfId="15853"/>
    <cellStyle name="SAPBEXexcBad9 4 2 2 4" xfId="15854"/>
    <cellStyle name="SAPBEXexcBad9 4 2 2 4 2" xfId="15855"/>
    <cellStyle name="SAPBEXexcBad9 4 2 2 4 3" xfId="15856"/>
    <cellStyle name="SAPBEXexcBad9 4 2 2 5" xfId="15857"/>
    <cellStyle name="SAPBEXexcBad9 4 2 2 5 2" xfId="15858"/>
    <cellStyle name="SAPBEXexcBad9 4 2 2 5 3" xfId="15859"/>
    <cellStyle name="SAPBEXexcBad9 4 2 2 6" xfId="15860"/>
    <cellStyle name="SAPBEXexcBad9 4 2 2 6 2" xfId="15861"/>
    <cellStyle name="SAPBEXexcBad9 4 2 2 6 3" xfId="15862"/>
    <cellStyle name="SAPBEXexcBad9 4 2 2 7" xfId="15863"/>
    <cellStyle name="SAPBEXexcBad9 4 2 2 7 2" xfId="15864"/>
    <cellStyle name="SAPBEXexcBad9 4 2 2 7 3" xfId="15865"/>
    <cellStyle name="SAPBEXexcBad9 4 2 2 8" xfId="15866"/>
    <cellStyle name="SAPBEXexcBad9 4 2 2 8 2" xfId="15867"/>
    <cellStyle name="SAPBEXexcBad9 4 2 2 8 3" xfId="15868"/>
    <cellStyle name="SAPBEXexcBad9 4 2 2 9" xfId="15869"/>
    <cellStyle name="SAPBEXexcBad9 4 2 2 9 2" xfId="15870"/>
    <cellStyle name="SAPBEXexcBad9 4 2 2 9 3" xfId="15871"/>
    <cellStyle name="SAPBEXexcBad9 4 2 2_planning-WP" xfId="15872"/>
    <cellStyle name="SAPBEXexcBad9 4 2 3" xfId="5933"/>
    <cellStyle name="SAPBEXexcBad9 4 2 3 2" xfId="15874"/>
    <cellStyle name="SAPBEXexcBad9 4 2 3 3" xfId="15875"/>
    <cellStyle name="SAPBEXexcBad9 4 2 3 4" xfId="15873"/>
    <cellStyle name="SAPBEXexcBad9 4 2 4" xfId="6441"/>
    <cellStyle name="SAPBEXexcBad9 4 2 4 2" xfId="15877"/>
    <cellStyle name="SAPBEXexcBad9 4 2 4 3" xfId="15878"/>
    <cellStyle name="SAPBEXexcBad9 4 2 4 4" xfId="15876"/>
    <cellStyle name="SAPBEXexcBad9 4 2 5" xfId="6928"/>
    <cellStyle name="SAPBEXexcBad9 4 2 5 2" xfId="15880"/>
    <cellStyle name="SAPBEXexcBad9 4 2 5 3" xfId="15881"/>
    <cellStyle name="SAPBEXexcBad9 4 2 5 4" xfId="15879"/>
    <cellStyle name="SAPBEXexcBad9 4 2 6" xfId="7411"/>
    <cellStyle name="SAPBEXexcBad9 4 2 6 2" xfId="15883"/>
    <cellStyle name="SAPBEXexcBad9 4 2 6 3" xfId="15884"/>
    <cellStyle name="SAPBEXexcBad9 4 2 6 4" xfId="15882"/>
    <cellStyle name="SAPBEXexcBad9 4 2 7" xfId="8480"/>
    <cellStyle name="SAPBEXexcBad9 4 2 7 2" xfId="15886"/>
    <cellStyle name="SAPBEXexcBad9 4 2 7 3" xfId="15887"/>
    <cellStyle name="SAPBEXexcBad9 4 2 7 4" xfId="15885"/>
    <cellStyle name="SAPBEXexcBad9 4 2 8" xfId="8981"/>
    <cellStyle name="SAPBEXexcBad9 4 2 8 2" xfId="15889"/>
    <cellStyle name="SAPBEXexcBad9 4 2 8 3" xfId="15890"/>
    <cellStyle name="SAPBEXexcBad9 4 2 8 4" xfId="15888"/>
    <cellStyle name="SAPBEXexcBad9 4 2 9" xfId="9475"/>
    <cellStyle name="SAPBEXexcBad9 4 2 9 2" xfId="15892"/>
    <cellStyle name="SAPBEXexcBad9 4 2 9 3" xfId="15893"/>
    <cellStyle name="SAPBEXexcBad9 4 2 9 4" xfId="15891"/>
    <cellStyle name="SAPBEXexcBad9 4 2_planning-WP" xfId="15894"/>
    <cellStyle name="SAPBEXexcBad9 4 3" xfId="4627"/>
    <cellStyle name="SAPBEXexcBad9 4 3 10" xfId="15896"/>
    <cellStyle name="SAPBEXexcBad9 4 3 11" xfId="15895"/>
    <cellStyle name="SAPBEXexcBad9 4 3 2" xfId="15897"/>
    <cellStyle name="SAPBEXexcBad9 4 3 2 2" xfId="15898"/>
    <cellStyle name="SAPBEXexcBad9 4 3 2 3" xfId="15899"/>
    <cellStyle name="SAPBEXexcBad9 4 3 3" xfId="15900"/>
    <cellStyle name="SAPBEXexcBad9 4 3 3 2" xfId="15901"/>
    <cellStyle name="SAPBEXexcBad9 4 3 3 3" xfId="15902"/>
    <cellStyle name="SAPBEXexcBad9 4 3 4" xfId="15903"/>
    <cellStyle name="SAPBEXexcBad9 4 3 4 2" xfId="15904"/>
    <cellStyle name="SAPBEXexcBad9 4 3 4 3" xfId="15905"/>
    <cellStyle name="SAPBEXexcBad9 4 3 5" xfId="15906"/>
    <cellStyle name="SAPBEXexcBad9 4 3 5 2" xfId="15907"/>
    <cellStyle name="SAPBEXexcBad9 4 3 5 3" xfId="15908"/>
    <cellStyle name="SAPBEXexcBad9 4 3 6" xfId="15909"/>
    <cellStyle name="SAPBEXexcBad9 4 3 6 2" xfId="15910"/>
    <cellStyle name="SAPBEXexcBad9 4 3 6 3" xfId="15911"/>
    <cellStyle name="SAPBEXexcBad9 4 3 7" xfId="15912"/>
    <cellStyle name="SAPBEXexcBad9 4 3 7 2" xfId="15913"/>
    <cellStyle name="SAPBEXexcBad9 4 3 7 3" xfId="15914"/>
    <cellStyle name="SAPBEXexcBad9 4 3 8" xfId="15915"/>
    <cellStyle name="SAPBEXexcBad9 4 3 8 2" xfId="15916"/>
    <cellStyle name="SAPBEXexcBad9 4 3 8 3" xfId="15917"/>
    <cellStyle name="SAPBEXexcBad9 4 3 9" xfId="15918"/>
    <cellStyle name="SAPBEXexcBad9 4 3 9 2" xfId="15919"/>
    <cellStyle name="SAPBEXexcBad9 4 3 9 3" xfId="15920"/>
    <cellStyle name="SAPBEXexcBad9 4 3_planning-WP" xfId="15921"/>
    <cellStyle name="SAPBEXexcBad9 4 4" xfId="5619"/>
    <cellStyle name="SAPBEXexcBad9 4 4 10" xfId="15922"/>
    <cellStyle name="SAPBEXexcBad9 4 4 2" xfId="15923"/>
    <cellStyle name="SAPBEXexcBad9 4 4 2 2" xfId="15924"/>
    <cellStyle name="SAPBEXexcBad9 4 4 2 3" xfId="15925"/>
    <cellStyle name="SAPBEXexcBad9 4 4 3" xfId="15926"/>
    <cellStyle name="SAPBEXexcBad9 4 4 3 2" xfId="15927"/>
    <cellStyle name="SAPBEXexcBad9 4 4 3 3" xfId="15928"/>
    <cellStyle name="SAPBEXexcBad9 4 4 4" xfId="15929"/>
    <cellStyle name="SAPBEXexcBad9 4 4 4 2" xfId="15930"/>
    <cellStyle name="SAPBEXexcBad9 4 4 4 3" xfId="15931"/>
    <cellStyle name="SAPBEXexcBad9 4 4 5" xfId="15932"/>
    <cellStyle name="SAPBEXexcBad9 4 4 5 2" xfId="15933"/>
    <cellStyle name="SAPBEXexcBad9 4 4 5 3" xfId="15934"/>
    <cellStyle name="SAPBEXexcBad9 4 4 6" xfId="15935"/>
    <cellStyle name="SAPBEXexcBad9 4 4 6 2" xfId="15936"/>
    <cellStyle name="SAPBEXexcBad9 4 4 6 3" xfId="15937"/>
    <cellStyle name="SAPBEXexcBad9 4 4 7" xfId="15938"/>
    <cellStyle name="SAPBEXexcBad9 4 4 7 2" xfId="15939"/>
    <cellStyle name="SAPBEXexcBad9 4 4 7 3" xfId="15940"/>
    <cellStyle name="SAPBEXexcBad9 4 4 8" xfId="15941"/>
    <cellStyle name="SAPBEXexcBad9 4 4 8 2" xfId="15942"/>
    <cellStyle name="SAPBEXexcBad9 4 4 8 3" xfId="15943"/>
    <cellStyle name="SAPBEXexcBad9 4 4 9" xfId="15944"/>
    <cellStyle name="SAPBEXexcBad9 4 4_planning-WP" xfId="15945"/>
    <cellStyle name="SAPBEXexcBad9 4 5" xfId="6128"/>
    <cellStyle name="SAPBEXexcBad9 4 5 2" xfId="15947"/>
    <cellStyle name="SAPBEXexcBad9 4 5 3" xfId="15946"/>
    <cellStyle name="SAPBEXexcBad9 4 6" xfId="6615"/>
    <cellStyle name="SAPBEXexcBad9 4 6 2" xfId="15949"/>
    <cellStyle name="SAPBEXexcBad9 4 6 3" xfId="15950"/>
    <cellStyle name="SAPBEXexcBad9 4 6 4" xfId="15948"/>
    <cellStyle name="SAPBEXexcBad9 4 7" xfId="7098"/>
    <cellStyle name="SAPBEXexcBad9 4 7 2" xfId="15952"/>
    <cellStyle name="SAPBEXexcBad9 4 7 3" xfId="15953"/>
    <cellStyle name="SAPBEXexcBad9 4 7 4" xfId="15951"/>
    <cellStyle name="SAPBEXexcBad9 4 8" xfId="8167"/>
    <cellStyle name="SAPBEXexcBad9 4 8 2" xfId="15955"/>
    <cellStyle name="SAPBEXexcBad9 4 8 3" xfId="15956"/>
    <cellStyle name="SAPBEXexcBad9 4 8 4" xfId="15954"/>
    <cellStyle name="SAPBEXexcBad9 4 9" xfId="8668"/>
    <cellStyle name="SAPBEXexcBad9 4 9 2" xfId="15958"/>
    <cellStyle name="SAPBEXexcBad9 4 9 3" xfId="15959"/>
    <cellStyle name="SAPBEXexcBad9 4 9 4" xfId="15957"/>
    <cellStyle name="SAPBEXexcBad9 4_planning-WP" xfId="15960"/>
    <cellStyle name="SAPBEXexcBad9 5" xfId="1642"/>
    <cellStyle name="SAPBEXexcBad9 5 10" xfId="9100"/>
    <cellStyle name="SAPBEXexcBad9 5 10 2" xfId="15963"/>
    <cellStyle name="SAPBEXexcBad9 5 10 3" xfId="15964"/>
    <cellStyle name="SAPBEXexcBad9 5 10 4" xfId="15962"/>
    <cellStyle name="SAPBEXexcBad9 5 11" xfId="15965"/>
    <cellStyle name="SAPBEXexcBad9 5 11 2" xfId="15966"/>
    <cellStyle name="SAPBEXexcBad9 5 11 3" xfId="15967"/>
    <cellStyle name="SAPBEXexcBad9 5 12" xfId="15968"/>
    <cellStyle name="SAPBEXexcBad9 5 12 2" xfId="15969"/>
    <cellStyle name="SAPBEXexcBad9 5 12 3" xfId="15970"/>
    <cellStyle name="SAPBEXexcBad9 5 13" xfId="15961"/>
    <cellStyle name="SAPBEXexcBad9 5 14" xfId="9839"/>
    <cellStyle name="SAPBEXexcBad9 5 15" xfId="38901"/>
    <cellStyle name="SAPBEXexcBad9 5 16" xfId="39313"/>
    <cellStyle name="SAPBEXexcBad9 5 2" xfId="1978"/>
    <cellStyle name="SAPBEXexcBad9 5 2 10" xfId="15972"/>
    <cellStyle name="SAPBEXexcBad9 5 2 10 2" xfId="15973"/>
    <cellStyle name="SAPBEXexcBad9 5 2 10 3" xfId="15974"/>
    <cellStyle name="SAPBEXexcBad9 5 2 11" xfId="15975"/>
    <cellStyle name="SAPBEXexcBad9 5 2 12" xfId="15971"/>
    <cellStyle name="SAPBEXexcBad9 5 2 13" xfId="10156"/>
    <cellStyle name="SAPBEXexcBad9 5 2 2" xfId="4896"/>
    <cellStyle name="SAPBEXexcBad9 5 2 2 10" xfId="15977"/>
    <cellStyle name="SAPBEXexcBad9 5 2 2 11" xfId="15976"/>
    <cellStyle name="SAPBEXexcBad9 5 2 2 2" xfId="15978"/>
    <cellStyle name="SAPBEXexcBad9 5 2 2 2 2" xfId="15979"/>
    <cellStyle name="SAPBEXexcBad9 5 2 2 2 3" xfId="15980"/>
    <cellStyle name="SAPBEXexcBad9 5 2 2 3" xfId="15981"/>
    <cellStyle name="SAPBEXexcBad9 5 2 2 3 2" xfId="15982"/>
    <cellStyle name="SAPBEXexcBad9 5 2 2 3 3" xfId="15983"/>
    <cellStyle name="SAPBEXexcBad9 5 2 2 4" xfId="15984"/>
    <cellStyle name="SAPBEXexcBad9 5 2 2 4 2" xfId="15985"/>
    <cellStyle name="SAPBEXexcBad9 5 2 2 4 3" xfId="15986"/>
    <cellStyle name="SAPBEXexcBad9 5 2 2 5" xfId="15987"/>
    <cellStyle name="SAPBEXexcBad9 5 2 2 5 2" xfId="15988"/>
    <cellStyle name="SAPBEXexcBad9 5 2 2 5 3" xfId="15989"/>
    <cellStyle name="SAPBEXexcBad9 5 2 2 6" xfId="15990"/>
    <cellStyle name="SAPBEXexcBad9 5 2 2 6 2" xfId="15991"/>
    <cellStyle name="SAPBEXexcBad9 5 2 2 6 3" xfId="15992"/>
    <cellStyle name="SAPBEXexcBad9 5 2 2 7" xfId="15993"/>
    <cellStyle name="SAPBEXexcBad9 5 2 2 7 2" xfId="15994"/>
    <cellStyle name="SAPBEXexcBad9 5 2 2 7 3" xfId="15995"/>
    <cellStyle name="SAPBEXexcBad9 5 2 2 8" xfId="15996"/>
    <cellStyle name="SAPBEXexcBad9 5 2 2 8 2" xfId="15997"/>
    <cellStyle name="SAPBEXexcBad9 5 2 2 8 3" xfId="15998"/>
    <cellStyle name="SAPBEXexcBad9 5 2 2 9" xfId="15999"/>
    <cellStyle name="SAPBEXexcBad9 5 2 2 9 2" xfId="16000"/>
    <cellStyle name="SAPBEXexcBad9 5 2 2 9 3" xfId="16001"/>
    <cellStyle name="SAPBEXexcBad9 5 2 2_planning-WP" xfId="16002"/>
    <cellStyle name="SAPBEXexcBad9 5 2 3" xfId="5875"/>
    <cellStyle name="SAPBEXexcBad9 5 2 3 2" xfId="16004"/>
    <cellStyle name="SAPBEXexcBad9 5 2 3 3" xfId="16005"/>
    <cellStyle name="SAPBEXexcBad9 5 2 3 4" xfId="16003"/>
    <cellStyle name="SAPBEXexcBad9 5 2 4" xfId="6383"/>
    <cellStyle name="SAPBEXexcBad9 5 2 4 2" xfId="16007"/>
    <cellStyle name="SAPBEXexcBad9 5 2 4 3" xfId="16008"/>
    <cellStyle name="SAPBEXexcBad9 5 2 4 4" xfId="16006"/>
    <cellStyle name="SAPBEXexcBad9 5 2 5" xfId="6870"/>
    <cellStyle name="SAPBEXexcBad9 5 2 5 2" xfId="16010"/>
    <cellStyle name="SAPBEXexcBad9 5 2 5 3" xfId="16011"/>
    <cellStyle name="SAPBEXexcBad9 5 2 5 4" xfId="16009"/>
    <cellStyle name="SAPBEXexcBad9 5 2 6" xfId="7353"/>
    <cellStyle name="SAPBEXexcBad9 5 2 6 2" xfId="16013"/>
    <cellStyle name="SAPBEXexcBad9 5 2 6 3" xfId="16014"/>
    <cellStyle name="SAPBEXexcBad9 5 2 6 4" xfId="16012"/>
    <cellStyle name="SAPBEXexcBad9 5 2 7" xfId="8422"/>
    <cellStyle name="SAPBEXexcBad9 5 2 7 2" xfId="16016"/>
    <cellStyle name="SAPBEXexcBad9 5 2 7 3" xfId="16017"/>
    <cellStyle name="SAPBEXexcBad9 5 2 7 4" xfId="16015"/>
    <cellStyle name="SAPBEXexcBad9 5 2 8" xfId="8923"/>
    <cellStyle name="SAPBEXexcBad9 5 2 8 2" xfId="16019"/>
    <cellStyle name="SAPBEXexcBad9 5 2 8 3" xfId="16020"/>
    <cellStyle name="SAPBEXexcBad9 5 2 8 4" xfId="16018"/>
    <cellStyle name="SAPBEXexcBad9 5 2 9" xfId="9417"/>
    <cellStyle name="SAPBEXexcBad9 5 2 9 2" xfId="16022"/>
    <cellStyle name="SAPBEXexcBad9 5 2 9 3" xfId="16023"/>
    <cellStyle name="SAPBEXexcBad9 5 2 9 4" xfId="16021"/>
    <cellStyle name="SAPBEXexcBad9 5 2_planning-WP" xfId="16024"/>
    <cellStyle name="SAPBEXexcBad9 5 3" xfId="4565"/>
    <cellStyle name="SAPBEXexcBad9 5 3 10" xfId="16026"/>
    <cellStyle name="SAPBEXexcBad9 5 3 11" xfId="16025"/>
    <cellStyle name="SAPBEXexcBad9 5 3 2" xfId="16027"/>
    <cellStyle name="SAPBEXexcBad9 5 3 2 2" xfId="16028"/>
    <cellStyle name="SAPBEXexcBad9 5 3 2 3" xfId="16029"/>
    <cellStyle name="SAPBEXexcBad9 5 3 3" xfId="16030"/>
    <cellStyle name="SAPBEXexcBad9 5 3 3 2" xfId="16031"/>
    <cellStyle name="SAPBEXexcBad9 5 3 3 3" xfId="16032"/>
    <cellStyle name="SAPBEXexcBad9 5 3 4" xfId="16033"/>
    <cellStyle name="SAPBEXexcBad9 5 3 4 2" xfId="16034"/>
    <cellStyle name="SAPBEXexcBad9 5 3 4 3" xfId="16035"/>
    <cellStyle name="SAPBEXexcBad9 5 3 5" xfId="16036"/>
    <cellStyle name="SAPBEXexcBad9 5 3 5 2" xfId="16037"/>
    <cellStyle name="SAPBEXexcBad9 5 3 5 3" xfId="16038"/>
    <cellStyle name="SAPBEXexcBad9 5 3 6" xfId="16039"/>
    <cellStyle name="SAPBEXexcBad9 5 3 6 2" xfId="16040"/>
    <cellStyle name="SAPBEXexcBad9 5 3 6 3" xfId="16041"/>
    <cellStyle name="SAPBEXexcBad9 5 3 7" xfId="16042"/>
    <cellStyle name="SAPBEXexcBad9 5 3 7 2" xfId="16043"/>
    <cellStyle name="SAPBEXexcBad9 5 3 7 3" xfId="16044"/>
    <cellStyle name="SAPBEXexcBad9 5 3 8" xfId="16045"/>
    <cellStyle name="SAPBEXexcBad9 5 3 8 2" xfId="16046"/>
    <cellStyle name="SAPBEXexcBad9 5 3 8 3" xfId="16047"/>
    <cellStyle name="SAPBEXexcBad9 5 3 9" xfId="16048"/>
    <cellStyle name="SAPBEXexcBad9 5 3 9 2" xfId="16049"/>
    <cellStyle name="SAPBEXexcBad9 5 3 9 3" xfId="16050"/>
    <cellStyle name="SAPBEXexcBad9 5 3_planning-WP" xfId="16051"/>
    <cellStyle name="SAPBEXexcBad9 5 4" xfId="5557"/>
    <cellStyle name="SAPBEXexcBad9 5 4 10" xfId="16052"/>
    <cellStyle name="SAPBEXexcBad9 5 4 2" xfId="16053"/>
    <cellStyle name="SAPBEXexcBad9 5 4 2 2" xfId="16054"/>
    <cellStyle name="SAPBEXexcBad9 5 4 2 3" xfId="16055"/>
    <cellStyle name="SAPBEXexcBad9 5 4 3" xfId="16056"/>
    <cellStyle name="SAPBEXexcBad9 5 4 3 2" xfId="16057"/>
    <cellStyle name="SAPBEXexcBad9 5 4 3 3" xfId="16058"/>
    <cellStyle name="SAPBEXexcBad9 5 4 4" xfId="16059"/>
    <cellStyle name="SAPBEXexcBad9 5 4 4 2" xfId="16060"/>
    <cellStyle name="SAPBEXexcBad9 5 4 4 3" xfId="16061"/>
    <cellStyle name="SAPBEXexcBad9 5 4 5" xfId="16062"/>
    <cellStyle name="SAPBEXexcBad9 5 4 5 2" xfId="16063"/>
    <cellStyle name="SAPBEXexcBad9 5 4 5 3" xfId="16064"/>
    <cellStyle name="SAPBEXexcBad9 5 4 6" xfId="16065"/>
    <cellStyle name="SAPBEXexcBad9 5 4 6 2" xfId="16066"/>
    <cellStyle name="SAPBEXexcBad9 5 4 6 3" xfId="16067"/>
    <cellStyle name="SAPBEXexcBad9 5 4 7" xfId="16068"/>
    <cellStyle name="SAPBEXexcBad9 5 4 7 2" xfId="16069"/>
    <cellStyle name="SAPBEXexcBad9 5 4 7 3" xfId="16070"/>
    <cellStyle name="SAPBEXexcBad9 5 4 8" xfId="16071"/>
    <cellStyle name="SAPBEXexcBad9 5 4 8 2" xfId="16072"/>
    <cellStyle name="SAPBEXexcBad9 5 4 8 3" xfId="16073"/>
    <cellStyle name="SAPBEXexcBad9 5 4 9" xfId="16074"/>
    <cellStyle name="SAPBEXexcBad9 5 4_planning-WP" xfId="16075"/>
    <cellStyle name="SAPBEXexcBad9 5 5" xfId="6066"/>
    <cellStyle name="SAPBEXexcBad9 5 5 2" xfId="16077"/>
    <cellStyle name="SAPBEXexcBad9 5 5 3" xfId="16076"/>
    <cellStyle name="SAPBEXexcBad9 5 6" xfId="6553"/>
    <cellStyle name="SAPBEXexcBad9 5 6 2" xfId="16079"/>
    <cellStyle name="SAPBEXexcBad9 5 6 3" xfId="16080"/>
    <cellStyle name="SAPBEXexcBad9 5 6 4" xfId="16078"/>
    <cellStyle name="SAPBEXexcBad9 5 7" xfId="7036"/>
    <cellStyle name="SAPBEXexcBad9 5 7 2" xfId="16082"/>
    <cellStyle name="SAPBEXexcBad9 5 7 3" xfId="16083"/>
    <cellStyle name="SAPBEXexcBad9 5 7 4" xfId="16081"/>
    <cellStyle name="SAPBEXexcBad9 5 8" xfId="8105"/>
    <cellStyle name="SAPBEXexcBad9 5 8 2" xfId="16085"/>
    <cellStyle name="SAPBEXexcBad9 5 8 3" xfId="16086"/>
    <cellStyle name="SAPBEXexcBad9 5 8 4" xfId="16084"/>
    <cellStyle name="SAPBEXexcBad9 5 9" xfId="8606"/>
    <cellStyle name="SAPBEXexcBad9 5 9 2" xfId="16088"/>
    <cellStyle name="SAPBEXexcBad9 5 9 3" xfId="16089"/>
    <cellStyle name="SAPBEXexcBad9 5 9 4" xfId="16087"/>
    <cellStyle name="SAPBEXexcBad9 5_planning-WP" xfId="16090"/>
    <cellStyle name="SAPBEXexcBad9 6" xfId="1735"/>
    <cellStyle name="SAPBEXexcBad9 6 10" xfId="9190"/>
    <cellStyle name="SAPBEXexcBad9 6 10 2" xfId="16093"/>
    <cellStyle name="SAPBEXexcBad9 6 10 3" xfId="16094"/>
    <cellStyle name="SAPBEXexcBad9 6 10 4" xfId="16092"/>
    <cellStyle name="SAPBEXexcBad9 6 11" xfId="16095"/>
    <cellStyle name="SAPBEXexcBad9 6 11 2" xfId="16096"/>
    <cellStyle name="SAPBEXexcBad9 6 11 3" xfId="16097"/>
    <cellStyle name="SAPBEXexcBad9 6 12" xfId="16091"/>
    <cellStyle name="SAPBEXexcBad9 6 13" xfId="9929"/>
    <cellStyle name="SAPBEXexcBad9 6 14" xfId="38902"/>
    <cellStyle name="SAPBEXexcBad9 6 15" xfId="39314"/>
    <cellStyle name="SAPBEXexcBad9 6 2" xfId="2065"/>
    <cellStyle name="SAPBEXexcBad9 6 2 10" xfId="16099"/>
    <cellStyle name="SAPBEXexcBad9 6 2 11" xfId="16098"/>
    <cellStyle name="SAPBEXexcBad9 6 2 12" xfId="10240"/>
    <cellStyle name="SAPBEXexcBad9 6 2 2" xfId="4980"/>
    <cellStyle name="SAPBEXexcBad9 6 2 2 2" xfId="16101"/>
    <cellStyle name="SAPBEXexcBad9 6 2 2 3" xfId="16102"/>
    <cellStyle name="SAPBEXexcBad9 6 2 2 4" xfId="16100"/>
    <cellStyle name="SAPBEXexcBad9 6 2 3" xfId="5959"/>
    <cellStyle name="SAPBEXexcBad9 6 2 3 2" xfId="16104"/>
    <cellStyle name="SAPBEXexcBad9 6 2 3 3" xfId="16105"/>
    <cellStyle name="SAPBEXexcBad9 6 2 3 4" xfId="16103"/>
    <cellStyle name="SAPBEXexcBad9 6 2 4" xfId="6467"/>
    <cellStyle name="SAPBEXexcBad9 6 2 4 2" xfId="16107"/>
    <cellStyle name="SAPBEXexcBad9 6 2 4 3" xfId="16108"/>
    <cellStyle name="SAPBEXexcBad9 6 2 4 4" xfId="16106"/>
    <cellStyle name="SAPBEXexcBad9 6 2 5" xfId="6954"/>
    <cellStyle name="SAPBEXexcBad9 6 2 5 2" xfId="16110"/>
    <cellStyle name="SAPBEXexcBad9 6 2 5 3" xfId="16111"/>
    <cellStyle name="SAPBEXexcBad9 6 2 5 4" xfId="16109"/>
    <cellStyle name="SAPBEXexcBad9 6 2 6" xfId="7437"/>
    <cellStyle name="SAPBEXexcBad9 6 2 6 2" xfId="16113"/>
    <cellStyle name="SAPBEXexcBad9 6 2 6 3" xfId="16114"/>
    <cellStyle name="SAPBEXexcBad9 6 2 6 4" xfId="16112"/>
    <cellStyle name="SAPBEXexcBad9 6 2 7" xfId="8506"/>
    <cellStyle name="SAPBEXexcBad9 6 2 7 2" xfId="16116"/>
    <cellStyle name="SAPBEXexcBad9 6 2 7 3" xfId="16117"/>
    <cellStyle name="SAPBEXexcBad9 6 2 7 4" xfId="16115"/>
    <cellStyle name="SAPBEXexcBad9 6 2 8" xfId="9007"/>
    <cellStyle name="SAPBEXexcBad9 6 2 8 2" xfId="16119"/>
    <cellStyle name="SAPBEXexcBad9 6 2 8 3" xfId="16120"/>
    <cellStyle name="SAPBEXexcBad9 6 2 8 4" xfId="16118"/>
    <cellStyle name="SAPBEXexcBad9 6 2 9" xfId="9501"/>
    <cellStyle name="SAPBEXexcBad9 6 2 9 2" xfId="16122"/>
    <cellStyle name="SAPBEXexcBad9 6 2 9 3" xfId="16123"/>
    <cellStyle name="SAPBEXexcBad9 6 2 9 4" xfId="16121"/>
    <cellStyle name="SAPBEXexcBad9 6 2_planning-WP" xfId="16124"/>
    <cellStyle name="SAPBEXexcBad9 6 3" xfId="4656"/>
    <cellStyle name="SAPBEXexcBad9 6 3 10" xfId="16125"/>
    <cellStyle name="SAPBEXexcBad9 6 3 2" xfId="16126"/>
    <cellStyle name="SAPBEXexcBad9 6 3 2 2" xfId="16127"/>
    <cellStyle name="SAPBEXexcBad9 6 3 2 3" xfId="16128"/>
    <cellStyle name="SAPBEXexcBad9 6 3 3" xfId="16129"/>
    <cellStyle name="SAPBEXexcBad9 6 3 3 2" xfId="16130"/>
    <cellStyle name="SAPBEXexcBad9 6 3 3 3" xfId="16131"/>
    <cellStyle name="SAPBEXexcBad9 6 3 4" xfId="16132"/>
    <cellStyle name="SAPBEXexcBad9 6 3 4 2" xfId="16133"/>
    <cellStyle name="SAPBEXexcBad9 6 3 4 3" xfId="16134"/>
    <cellStyle name="SAPBEXexcBad9 6 3 5" xfId="16135"/>
    <cellStyle name="SAPBEXexcBad9 6 3 5 2" xfId="16136"/>
    <cellStyle name="SAPBEXexcBad9 6 3 5 3" xfId="16137"/>
    <cellStyle name="SAPBEXexcBad9 6 3 6" xfId="16138"/>
    <cellStyle name="SAPBEXexcBad9 6 3 6 2" xfId="16139"/>
    <cellStyle name="SAPBEXexcBad9 6 3 6 3" xfId="16140"/>
    <cellStyle name="SAPBEXexcBad9 6 3 7" xfId="16141"/>
    <cellStyle name="SAPBEXexcBad9 6 3 7 2" xfId="16142"/>
    <cellStyle name="SAPBEXexcBad9 6 3 7 3" xfId="16143"/>
    <cellStyle name="SAPBEXexcBad9 6 3 8" xfId="16144"/>
    <cellStyle name="SAPBEXexcBad9 6 3 8 2" xfId="16145"/>
    <cellStyle name="SAPBEXexcBad9 6 3 8 3" xfId="16146"/>
    <cellStyle name="SAPBEXexcBad9 6 3 9" xfId="16147"/>
    <cellStyle name="SAPBEXexcBad9 6 3_planning-WP" xfId="16148"/>
    <cellStyle name="SAPBEXexcBad9 6 4" xfId="5647"/>
    <cellStyle name="SAPBEXexcBad9 6 4 2" xfId="16150"/>
    <cellStyle name="SAPBEXexcBad9 6 4 3" xfId="16149"/>
    <cellStyle name="SAPBEXexcBad9 6 5" xfId="6156"/>
    <cellStyle name="SAPBEXexcBad9 6 5 2" xfId="16152"/>
    <cellStyle name="SAPBEXexcBad9 6 5 3" xfId="16153"/>
    <cellStyle name="SAPBEXexcBad9 6 5 4" xfId="16151"/>
    <cellStyle name="SAPBEXexcBad9 6 6" xfId="6643"/>
    <cellStyle name="SAPBEXexcBad9 6 6 2" xfId="16155"/>
    <cellStyle name="SAPBEXexcBad9 6 6 3" xfId="16156"/>
    <cellStyle name="SAPBEXexcBad9 6 6 4" xfId="16154"/>
    <cellStyle name="SAPBEXexcBad9 6 7" xfId="7126"/>
    <cellStyle name="SAPBEXexcBad9 6 7 2" xfId="16158"/>
    <cellStyle name="SAPBEXexcBad9 6 7 3" xfId="16159"/>
    <cellStyle name="SAPBEXexcBad9 6 7 4" xfId="16157"/>
    <cellStyle name="SAPBEXexcBad9 6 8" xfId="8195"/>
    <cellStyle name="SAPBEXexcBad9 6 8 2" xfId="16161"/>
    <cellStyle name="SAPBEXexcBad9 6 8 3" xfId="16162"/>
    <cellStyle name="SAPBEXexcBad9 6 8 4" xfId="16160"/>
    <cellStyle name="SAPBEXexcBad9 6 9" xfId="8696"/>
    <cellStyle name="SAPBEXexcBad9 6 9 2" xfId="16164"/>
    <cellStyle name="SAPBEXexcBad9 6 9 3" xfId="16165"/>
    <cellStyle name="SAPBEXexcBad9 6 9 4" xfId="16163"/>
    <cellStyle name="SAPBEXexcBad9 6_planning-WP" xfId="16166"/>
    <cellStyle name="SAPBEXexcBad9 7" xfId="1670"/>
    <cellStyle name="SAPBEXexcBad9 7 10" xfId="9128"/>
    <cellStyle name="SAPBEXexcBad9 7 10 2" xfId="16169"/>
    <cellStyle name="SAPBEXexcBad9 7 10 3" xfId="16170"/>
    <cellStyle name="SAPBEXexcBad9 7 10 4" xfId="16168"/>
    <cellStyle name="SAPBEXexcBad9 7 11" xfId="16171"/>
    <cellStyle name="SAPBEXexcBad9 7 12" xfId="16167"/>
    <cellStyle name="SAPBEXexcBad9 7 13" xfId="9867"/>
    <cellStyle name="SAPBEXexcBad9 7 14" xfId="38903"/>
    <cellStyle name="SAPBEXexcBad9 7 15" xfId="39315"/>
    <cellStyle name="SAPBEXexcBad9 7 2" xfId="2004"/>
    <cellStyle name="SAPBEXexcBad9 7 2 10" xfId="16173"/>
    <cellStyle name="SAPBEXexcBad9 7 2 11" xfId="16172"/>
    <cellStyle name="SAPBEXexcBad9 7 2 12" xfId="10182"/>
    <cellStyle name="SAPBEXexcBad9 7 2 2" xfId="4922"/>
    <cellStyle name="SAPBEXexcBad9 7 2 2 2" xfId="16175"/>
    <cellStyle name="SAPBEXexcBad9 7 2 2 3" xfId="16176"/>
    <cellStyle name="SAPBEXexcBad9 7 2 2 4" xfId="16174"/>
    <cellStyle name="SAPBEXexcBad9 7 2 3" xfId="5901"/>
    <cellStyle name="SAPBEXexcBad9 7 2 3 2" xfId="16178"/>
    <cellStyle name="SAPBEXexcBad9 7 2 3 3" xfId="16179"/>
    <cellStyle name="SAPBEXexcBad9 7 2 3 4" xfId="16177"/>
    <cellStyle name="SAPBEXexcBad9 7 2 4" xfId="6409"/>
    <cellStyle name="SAPBEXexcBad9 7 2 4 2" xfId="16181"/>
    <cellStyle name="SAPBEXexcBad9 7 2 4 3" xfId="16182"/>
    <cellStyle name="SAPBEXexcBad9 7 2 4 4" xfId="16180"/>
    <cellStyle name="SAPBEXexcBad9 7 2 5" xfId="6896"/>
    <cellStyle name="SAPBEXexcBad9 7 2 5 2" xfId="16184"/>
    <cellStyle name="SAPBEXexcBad9 7 2 5 3" xfId="16185"/>
    <cellStyle name="SAPBEXexcBad9 7 2 5 4" xfId="16183"/>
    <cellStyle name="SAPBEXexcBad9 7 2 6" xfId="7379"/>
    <cellStyle name="SAPBEXexcBad9 7 2 6 2" xfId="16187"/>
    <cellStyle name="SAPBEXexcBad9 7 2 6 3" xfId="16188"/>
    <cellStyle name="SAPBEXexcBad9 7 2 6 4" xfId="16186"/>
    <cellStyle name="SAPBEXexcBad9 7 2 7" xfId="8448"/>
    <cellStyle name="SAPBEXexcBad9 7 2 7 2" xfId="16190"/>
    <cellStyle name="SAPBEXexcBad9 7 2 7 3" xfId="16191"/>
    <cellStyle name="SAPBEXexcBad9 7 2 7 4" xfId="16189"/>
    <cellStyle name="SAPBEXexcBad9 7 2 8" xfId="8949"/>
    <cellStyle name="SAPBEXexcBad9 7 2 8 2" xfId="16193"/>
    <cellStyle name="SAPBEXexcBad9 7 2 8 3" xfId="16194"/>
    <cellStyle name="SAPBEXexcBad9 7 2 8 4" xfId="16192"/>
    <cellStyle name="SAPBEXexcBad9 7 2 9" xfId="9443"/>
    <cellStyle name="SAPBEXexcBad9 7 2 9 2" xfId="16196"/>
    <cellStyle name="SAPBEXexcBad9 7 2 9 3" xfId="16197"/>
    <cellStyle name="SAPBEXexcBad9 7 2 9 4" xfId="16195"/>
    <cellStyle name="SAPBEXexcBad9 7 2_planning-WP" xfId="16198"/>
    <cellStyle name="SAPBEXexcBad9 7 3" xfId="4593"/>
    <cellStyle name="SAPBEXexcBad9 7 3 2" xfId="16200"/>
    <cellStyle name="SAPBEXexcBad9 7 3 3" xfId="16201"/>
    <cellStyle name="SAPBEXexcBad9 7 3 4" xfId="16199"/>
    <cellStyle name="SAPBEXexcBad9 7 4" xfId="5585"/>
    <cellStyle name="SAPBEXexcBad9 7 4 2" xfId="16203"/>
    <cellStyle name="SAPBEXexcBad9 7 4 3" xfId="16204"/>
    <cellStyle name="SAPBEXexcBad9 7 4 4" xfId="16202"/>
    <cellStyle name="SAPBEXexcBad9 7 5" xfId="6094"/>
    <cellStyle name="SAPBEXexcBad9 7 5 2" xfId="16206"/>
    <cellStyle name="SAPBEXexcBad9 7 5 3" xfId="16207"/>
    <cellStyle name="SAPBEXexcBad9 7 5 4" xfId="16205"/>
    <cellStyle name="SAPBEXexcBad9 7 6" xfId="6581"/>
    <cellStyle name="SAPBEXexcBad9 7 6 2" xfId="16209"/>
    <cellStyle name="SAPBEXexcBad9 7 6 3" xfId="16210"/>
    <cellStyle name="SAPBEXexcBad9 7 6 4" xfId="16208"/>
    <cellStyle name="SAPBEXexcBad9 7 7" xfId="7064"/>
    <cellStyle name="SAPBEXexcBad9 7 7 2" xfId="16212"/>
    <cellStyle name="SAPBEXexcBad9 7 7 3" xfId="16213"/>
    <cellStyle name="SAPBEXexcBad9 7 7 4" xfId="16211"/>
    <cellStyle name="SAPBEXexcBad9 7 8" xfId="8133"/>
    <cellStyle name="SAPBEXexcBad9 7 8 2" xfId="16215"/>
    <cellStyle name="SAPBEXexcBad9 7 8 3" xfId="16216"/>
    <cellStyle name="SAPBEXexcBad9 7 8 4" xfId="16214"/>
    <cellStyle name="SAPBEXexcBad9 7 9" xfId="8634"/>
    <cellStyle name="SAPBEXexcBad9 7 9 2" xfId="16218"/>
    <cellStyle name="SAPBEXexcBad9 7 9 3" xfId="16219"/>
    <cellStyle name="SAPBEXexcBad9 7 9 4" xfId="16217"/>
    <cellStyle name="SAPBEXexcBad9 7_planning-WP" xfId="16220"/>
    <cellStyle name="SAPBEXexcBad9 8" xfId="1584"/>
    <cellStyle name="SAPBEXexcBad9 8 10" xfId="16222"/>
    <cellStyle name="SAPBEXexcBad9 8 11" xfId="16221"/>
    <cellStyle name="SAPBEXexcBad9 8 12" xfId="9781"/>
    <cellStyle name="SAPBEXexcBad9 8 2" xfId="4507"/>
    <cellStyle name="SAPBEXexcBad9 8 2 2" xfId="16224"/>
    <cellStyle name="SAPBEXexcBad9 8 2 3" xfId="16225"/>
    <cellStyle name="SAPBEXexcBad9 8 2 4" xfId="16223"/>
    <cellStyle name="SAPBEXexcBad9 8 3" xfId="5499"/>
    <cellStyle name="SAPBEXexcBad9 8 3 2" xfId="16227"/>
    <cellStyle name="SAPBEXexcBad9 8 3 3" xfId="16228"/>
    <cellStyle name="SAPBEXexcBad9 8 3 4" xfId="16226"/>
    <cellStyle name="SAPBEXexcBad9 8 4" xfId="3323"/>
    <cellStyle name="SAPBEXexcBad9 8 4 2" xfId="16230"/>
    <cellStyle name="SAPBEXexcBad9 8 4 3" xfId="16231"/>
    <cellStyle name="SAPBEXexcBad9 8 4 4" xfId="16229"/>
    <cellStyle name="SAPBEXexcBad9 8 5" xfId="5081"/>
    <cellStyle name="SAPBEXexcBad9 8 5 2" xfId="16233"/>
    <cellStyle name="SAPBEXexcBad9 8 5 3" xfId="16234"/>
    <cellStyle name="SAPBEXexcBad9 8 5 4" xfId="16232"/>
    <cellStyle name="SAPBEXexcBad9 8 6" xfId="5233"/>
    <cellStyle name="SAPBEXexcBad9 8 6 2" xfId="16236"/>
    <cellStyle name="SAPBEXexcBad9 8 6 3" xfId="16237"/>
    <cellStyle name="SAPBEXexcBad9 8 6 4" xfId="16235"/>
    <cellStyle name="SAPBEXexcBad9 8 7" xfId="8047"/>
    <cellStyle name="SAPBEXexcBad9 8 7 2" xfId="16239"/>
    <cellStyle name="SAPBEXexcBad9 8 7 3" xfId="16240"/>
    <cellStyle name="SAPBEXexcBad9 8 7 4" xfId="16238"/>
    <cellStyle name="SAPBEXexcBad9 8 8" xfId="7501"/>
    <cellStyle name="SAPBEXexcBad9 8 8 2" xfId="16242"/>
    <cellStyle name="SAPBEXexcBad9 8 8 3" xfId="16243"/>
    <cellStyle name="SAPBEXexcBad9 8 8 4" xfId="16241"/>
    <cellStyle name="SAPBEXexcBad9 8 9" xfId="7736"/>
    <cellStyle name="SAPBEXexcBad9 8 9 2" xfId="16245"/>
    <cellStyle name="SAPBEXexcBad9 8 9 3" xfId="16246"/>
    <cellStyle name="SAPBEXexcBad9 8 9 4" xfId="16244"/>
    <cellStyle name="SAPBEXexcBad9 8_planning-WP" xfId="16247"/>
    <cellStyle name="SAPBEXexcBad9 9" xfId="1429"/>
    <cellStyle name="SAPBEXexcBad9 9 10" xfId="16248"/>
    <cellStyle name="SAPBEXexcBad9 9 11" xfId="9627"/>
    <cellStyle name="SAPBEXexcBad9 9 2" xfId="4352"/>
    <cellStyle name="SAPBEXexcBad9 9 2 2" xfId="16250"/>
    <cellStyle name="SAPBEXexcBad9 9 2 3" xfId="16251"/>
    <cellStyle name="SAPBEXexcBad9 9 2 4" xfId="16249"/>
    <cellStyle name="SAPBEXexcBad9 9 3" xfId="5345"/>
    <cellStyle name="SAPBEXexcBad9 9 3 2" xfId="16253"/>
    <cellStyle name="SAPBEXexcBad9 9 3 3" xfId="16254"/>
    <cellStyle name="SAPBEXexcBad9 9 3 4" xfId="16252"/>
    <cellStyle name="SAPBEXexcBad9 9 4" xfId="5097"/>
    <cellStyle name="SAPBEXexcBad9 9 4 2" xfId="16256"/>
    <cellStyle name="SAPBEXexcBad9 9 4 3" xfId="16257"/>
    <cellStyle name="SAPBEXexcBad9 9 4 4" xfId="16255"/>
    <cellStyle name="SAPBEXexcBad9 9 5" xfId="5298"/>
    <cellStyle name="SAPBEXexcBad9 9 5 2" xfId="16259"/>
    <cellStyle name="SAPBEXexcBad9 9 5 3" xfId="16260"/>
    <cellStyle name="SAPBEXexcBad9 9 5 4" xfId="16258"/>
    <cellStyle name="SAPBEXexcBad9 9 6" xfId="5292"/>
    <cellStyle name="SAPBEXexcBad9 9 6 2" xfId="16262"/>
    <cellStyle name="SAPBEXexcBad9 9 6 3" xfId="16263"/>
    <cellStyle name="SAPBEXexcBad9 9 6 4" xfId="16261"/>
    <cellStyle name="SAPBEXexcBad9 9 7" xfId="7893"/>
    <cellStyle name="SAPBEXexcBad9 9 7 2" xfId="16265"/>
    <cellStyle name="SAPBEXexcBad9 9 7 3" xfId="16266"/>
    <cellStyle name="SAPBEXexcBad9 9 7 4" xfId="16264"/>
    <cellStyle name="SAPBEXexcBad9 9 8" xfId="7792"/>
    <cellStyle name="SAPBEXexcBad9 9 8 2" xfId="16268"/>
    <cellStyle name="SAPBEXexcBad9 9 8 3" xfId="16269"/>
    <cellStyle name="SAPBEXexcBad9 9 8 4" xfId="16267"/>
    <cellStyle name="SAPBEXexcBad9 9 9" xfId="8559"/>
    <cellStyle name="SAPBEXexcBad9 9 9 2" xfId="16270"/>
    <cellStyle name="SAPBEXexcBad9 9_planning-WP" xfId="16271"/>
    <cellStyle name="SAPBEXexcBad9_19.RessDest CUC CS SEE+SEM 1009" xfId="38904"/>
    <cellStyle name="SAPBEXexcCritical4" xfId="276"/>
    <cellStyle name="SAPBEXexcCritical4 10" xfId="16273"/>
    <cellStyle name="SAPBEXexcCritical4 10 2" xfId="16274"/>
    <cellStyle name="SAPBEXexcCritical4 11" xfId="16275"/>
    <cellStyle name="SAPBEXexcCritical4 11 2" xfId="16276"/>
    <cellStyle name="SAPBEXexcCritical4 11 3" xfId="16277"/>
    <cellStyle name="SAPBEXexcCritical4 12" xfId="16278"/>
    <cellStyle name="SAPBEXexcCritical4 12 2" xfId="16279"/>
    <cellStyle name="SAPBEXexcCritical4 12 3" xfId="16280"/>
    <cellStyle name="SAPBEXexcCritical4 13" xfId="16281"/>
    <cellStyle name="SAPBEXexcCritical4 13 2" xfId="16282"/>
    <cellStyle name="SAPBEXexcCritical4 13 3" xfId="16283"/>
    <cellStyle name="SAPBEXexcCritical4 14" xfId="16284"/>
    <cellStyle name="SAPBEXexcCritical4 14 2" xfId="16285"/>
    <cellStyle name="SAPBEXexcCritical4 14 3" xfId="16286"/>
    <cellStyle name="SAPBEXexcCritical4 15" xfId="16287"/>
    <cellStyle name="SAPBEXexcCritical4 15 2" xfId="16288"/>
    <cellStyle name="SAPBEXexcCritical4 15 3" xfId="16289"/>
    <cellStyle name="SAPBEXexcCritical4 16" xfId="16290"/>
    <cellStyle name="SAPBEXexcCritical4 16 2" xfId="16291"/>
    <cellStyle name="SAPBEXexcCritical4 16 3" xfId="16292"/>
    <cellStyle name="SAPBEXexcCritical4 17" xfId="16293"/>
    <cellStyle name="SAPBEXexcCritical4 17 2" xfId="16294"/>
    <cellStyle name="SAPBEXexcCritical4 17 3" xfId="16295"/>
    <cellStyle name="SAPBEXexcCritical4 18" xfId="16296"/>
    <cellStyle name="SAPBEXexcCritical4 19" xfId="16272"/>
    <cellStyle name="SAPBEXexcCritical4 2" xfId="893"/>
    <cellStyle name="SAPBEXexcCritical4 2 10" xfId="16298"/>
    <cellStyle name="SAPBEXexcCritical4 2 10 2" xfId="16299"/>
    <cellStyle name="SAPBEXexcCritical4 2 10 3" xfId="16300"/>
    <cellStyle name="SAPBEXexcCritical4 2 11" xfId="16301"/>
    <cellStyle name="SAPBEXexcCritical4 2 11 2" xfId="16302"/>
    <cellStyle name="SAPBEXexcCritical4 2 11 3" xfId="16303"/>
    <cellStyle name="SAPBEXexcCritical4 2 12" xfId="16304"/>
    <cellStyle name="SAPBEXexcCritical4 2 12 2" xfId="16305"/>
    <cellStyle name="SAPBEXexcCritical4 2 12 3" xfId="16306"/>
    <cellStyle name="SAPBEXexcCritical4 2 13" xfId="16307"/>
    <cellStyle name="SAPBEXexcCritical4 2 14" xfId="16297"/>
    <cellStyle name="SAPBEXexcCritical4 2 15" xfId="9577"/>
    <cellStyle name="SAPBEXexcCritical4 2 16" xfId="38906"/>
    <cellStyle name="SAPBEXexcCritical4 2 17" xfId="39317"/>
    <cellStyle name="SAPBEXexcCritical4 2 2" xfId="1957"/>
    <cellStyle name="SAPBEXexcCritical4 2 2 10" xfId="16309"/>
    <cellStyle name="SAPBEXexcCritical4 2 2 10 2" xfId="16310"/>
    <cellStyle name="SAPBEXexcCritical4 2 2 10 3" xfId="16311"/>
    <cellStyle name="SAPBEXexcCritical4 2 2 11" xfId="16312"/>
    <cellStyle name="SAPBEXexcCritical4 2 2 12" xfId="16308"/>
    <cellStyle name="SAPBEXexcCritical4 2 2 13" xfId="10135"/>
    <cellStyle name="SAPBEXexcCritical4 2 2 14" xfId="38907"/>
    <cellStyle name="SAPBEXexcCritical4 2 2 15" xfId="39318"/>
    <cellStyle name="SAPBEXexcCritical4 2 2 2" xfId="4875"/>
    <cellStyle name="SAPBEXexcCritical4 2 2 2 10" xfId="16314"/>
    <cellStyle name="SAPBEXexcCritical4 2 2 2 11" xfId="16313"/>
    <cellStyle name="SAPBEXexcCritical4 2 2 2 2" xfId="16315"/>
    <cellStyle name="SAPBEXexcCritical4 2 2 2 2 2" xfId="16316"/>
    <cellStyle name="SAPBEXexcCritical4 2 2 2 2 3" xfId="16317"/>
    <cellStyle name="SAPBEXexcCritical4 2 2 2 3" xfId="16318"/>
    <cellStyle name="SAPBEXexcCritical4 2 2 2 3 2" xfId="16319"/>
    <cellStyle name="SAPBEXexcCritical4 2 2 2 3 3" xfId="16320"/>
    <cellStyle name="SAPBEXexcCritical4 2 2 2 4" xfId="16321"/>
    <cellStyle name="SAPBEXexcCritical4 2 2 2 4 2" xfId="16322"/>
    <cellStyle name="SAPBEXexcCritical4 2 2 2 4 3" xfId="16323"/>
    <cellStyle name="SAPBEXexcCritical4 2 2 2 5" xfId="16324"/>
    <cellStyle name="SAPBEXexcCritical4 2 2 2 5 2" xfId="16325"/>
    <cellStyle name="SAPBEXexcCritical4 2 2 2 5 3" xfId="16326"/>
    <cellStyle name="SAPBEXexcCritical4 2 2 2 6" xfId="16327"/>
    <cellStyle name="SAPBEXexcCritical4 2 2 2 6 2" xfId="16328"/>
    <cellStyle name="SAPBEXexcCritical4 2 2 2 6 3" xfId="16329"/>
    <cellStyle name="SAPBEXexcCritical4 2 2 2 7" xfId="16330"/>
    <cellStyle name="SAPBEXexcCritical4 2 2 2 7 2" xfId="16331"/>
    <cellStyle name="SAPBEXexcCritical4 2 2 2 7 3" xfId="16332"/>
    <cellStyle name="SAPBEXexcCritical4 2 2 2 8" xfId="16333"/>
    <cellStyle name="SAPBEXexcCritical4 2 2 2 8 2" xfId="16334"/>
    <cellStyle name="SAPBEXexcCritical4 2 2 2 8 3" xfId="16335"/>
    <cellStyle name="SAPBEXexcCritical4 2 2 2 9" xfId="16336"/>
    <cellStyle name="SAPBEXexcCritical4 2 2 2 9 2" xfId="16337"/>
    <cellStyle name="SAPBEXexcCritical4 2 2 2 9 3" xfId="16338"/>
    <cellStyle name="SAPBEXexcCritical4 2 2 2_planning-WP" xfId="16339"/>
    <cellStyle name="SAPBEXexcCritical4 2 2 3" xfId="5854"/>
    <cellStyle name="SAPBEXexcCritical4 2 2 3 2" xfId="16341"/>
    <cellStyle name="SAPBEXexcCritical4 2 2 3 3" xfId="16342"/>
    <cellStyle name="SAPBEXexcCritical4 2 2 3 4" xfId="16340"/>
    <cellStyle name="SAPBEXexcCritical4 2 2 4" xfId="6362"/>
    <cellStyle name="SAPBEXexcCritical4 2 2 4 2" xfId="16344"/>
    <cellStyle name="SAPBEXexcCritical4 2 2 4 3" xfId="16345"/>
    <cellStyle name="SAPBEXexcCritical4 2 2 4 4" xfId="16343"/>
    <cellStyle name="SAPBEXexcCritical4 2 2 5" xfId="6849"/>
    <cellStyle name="SAPBEXexcCritical4 2 2 5 2" xfId="16347"/>
    <cellStyle name="SAPBEXexcCritical4 2 2 5 3" xfId="16348"/>
    <cellStyle name="SAPBEXexcCritical4 2 2 5 4" xfId="16346"/>
    <cellStyle name="SAPBEXexcCritical4 2 2 6" xfId="7332"/>
    <cellStyle name="SAPBEXexcCritical4 2 2 6 2" xfId="16350"/>
    <cellStyle name="SAPBEXexcCritical4 2 2 6 3" xfId="16351"/>
    <cellStyle name="SAPBEXexcCritical4 2 2 6 4" xfId="16349"/>
    <cellStyle name="SAPBEXexcCritical4 2 2 7" xfId="8401"/>
    <cellStyle name="SAPBEXexcCritical4 2 2 7 2" xfId="16353"/>
    <cellStyle name="SAPBEXexcCritical4 2 2 7 3" xfId="16354"/>
    <cellStyle name="SAPBEXexcCritical4 2 2 7 4" xfId="16352"/>
    <cellStyle name="SAPBEXexcCritical4 2 2 8" xfId="8902"/>
    <cellStyle name="SAPBEXexcCritical4 2 2 8 2" xfId="16356"/>
    <cellStyle name="SAPBEXexcCritical4 2 2 8 3" xfId="16357"/>
    <cellStyle name="SAPBEXexcCritical4 2 2 8 4" xfId="16355"/>
    <cellStyle name="SAPBEXexcCritical4 2 2 9" xfId="9396"/>
    <cellStyle name="SAPBEXexcCritical4 2 2 9 2" xfId="16359"/>
    <cellStyle name="SAPBEXexcCritical4 2 2 9 3" xfId="16360"/>
    <cellStyle name="SAPBEXexcCritical4 2 2 9 4" xfId="16358"/>
    <cellStyle name="SAPBEXexcCritical4 2 2_planning-WP" xfId="16361"/>
    <cellStyle name="SAPBEXexcCritical4 2 3" xfId="1619"/>
    <cellStyle name="SAPBEXexcCritical4 2 3 10" xfId="16363"/>
    <cellStyle name="SAPBEXexcCritical4 2 3 11" xfId="16362"/>
    <cellStyle name="SAPBEXexcCritical4 2 3 12" xfId="9816"/>
    <cellStyle name="SAPBEXexcCritical4 2 3 2" xfId="4542"/>
    <cellStyle name="SAPBEXexcCritical4 2 3 2 2" xfId="16365"/>
    <cellStyle name="SAPBEXexcCritical4 2 3 2 3" xfId="16366"/>
    <cellStyle name="SAPBEXexcCritical4 2 3 2 4" xfId="16364"/>
    <cellStyle name="SAPBEXexcCritical4 2 3 3" xfId="5534"/>
    <cellStyle name="SAPBEXexcCritical4 2 3 3 2" xfId="16368"/>
    <cellStyle name="SAPBEXexcCritical4 2 3 3 3" xfId="16369"/>
    <cellStyle name="SAPBEXexcCritical4 2 3 3 4" xfId="16367"/>
    <cellStyle name="SAPBEXexcCritical4 2 3 4" xfId="6043"/>
    <cellStyle name="SAPBEXexcCritical4 2 3 4 2" xfId="16371"/>
    <cellStyle name="SAPBEXexcCritical4 2 3 4 3" xfId="16372"/>
    <cellStyle name="SAPBEXexcCritical4 2 3 4 4" xfId="16370"/>
    <cellStyle name="SAPBEXexcCritical4 2 3 5" xfId="6530"/>
    <cellStyle name="SAPBEXexcCritical4 2 3 5 2" xfId="16374"/>
    <cellStyle name="SAPBEXexcCritical4 2 3 5 3" xfId="16375"/>
    <cellStyle name="SAPBEXexcCritical4 2 3 5 4" xfId="16373"/>
    <cellStyle name="SAPBEXexcCritical4 2 3 6" xfId="7013"/>
    <cellStyle name="SAPBEXexcCritical4 2 3 6 2" xfId="16377"/>
    <cellStyle name="SAPBEXexcCritical4 2 3 6 3" xfId="16378"/>
    <cellStyle name="SAPBEXexcCritical4 2 3 6 4" xfId="16376"/>
    <cellStyle name="SAPBEXexcCritical4 2 3 7" xfId="8082"/>
    <cellStyle name="SAPBEXexcCritical4 2 3 7 2" xfId="16380"/>
    <cellStyle name="SAPBEXexcCritical4 2 3 7 3" xfId="16381"/>
    <cellStyle name="SAPBEXexcCritical4 2 3 7 4" xfId="16379"/>
    <cellStyle name="SAPBEXexcCritical4 2 3 8" xfId="8583"/>
    <cellStyle name="SAPBEXexcCritical4 2 3 8 2" xfId="16383"/>
    <cellStyle name="SAPBEXexcCritical4 2 3 8 3" xfId="16384"/>
    <cellStyle name="SAPBEXexcCritical4 2 3 8 4" xfId="16382"/>
    <cellStyle name="SAPBEXexcCritical4 2 3 9" xfId="9077"/>
    <cellStyle name="SAPBEXexcCritical4 2 3 9 2" xfId="16386"/>
    <cellStyle name="SAPBEXexcCritical4 2 3 9 3" xfId="16387"/>
    <cellStyle name="SAPBEXexcCritical4 2 3 9 4" xfId="16385"/>
    <cellStyle name="SAPBEXexcCritical4 2 3_planning-WP" xfId="16388"/>
    <cellStyle name="SAPBEXexcCritical4 2 4" xfId="16389"/>
    <cellStyle name="SAPBEXexcCritical4 2 4 2" xfId="16390"/>
    <cellStyle name="SAPBEXexcCritical4 2 4 2 2" xfId="16391"/>
    <cellStyle name="SAPBEXexcCritical4 2 4 2 3" xfId="16392"/>
    <cellStyle name="SAPBEXexcCritical4 2 4 3" xfId="16393"/>
    <cellStyle name="SAPBEXexcCritical4 2 4 3 2" xfId="16394"/>
    <cellStyle name="SAPBEXexcCritical4 2 4 3 3" xfId="16395"/>
    <cellStyle name="SAPBEXexcCritical4 2 4 4" xfId="16396"/>
    <cellStyle name="SAPBEXexcCritical4 2 4 4 2" xfId="16397"/>
    <cellStyle name="SAPBEXexcCritical4 2 4 4 3" xfId="16398"/>
    <cellStyle name="SAPBEXexcCritical4 2 4 5" xfId="16399"/>
    <cellStyle name="SAPBEXexcCritical4 2 4 5 2" xfId="16400"/>
    <cellStyle name="SAPBEXexcCritical4 2 4 5 3" xfId="16401"/>
    <cellStyle name="SAPBEXexcCritical4 2 4 6" xfId="16402"/>
    <cellStyle name="SAPBEXexcCritical4 2 4 6 2" xfId="16403"/>
    <cellStyle name="SAPBEXexcCritical4 2 4 6 3" xfId="16404"/>
    <cellStyle name="SAPBEXexcCritical4 2 4 7" xfId="16405"/>
    <cellStyle name="SAPBEXexcCritical4 2 4 7 2" xfId="16406"/>
    <cellStyle name="SAPBEXexcCritical4 2 4 7 3" xfId="16407"/>
    <cellStyle name="SAPBEXexcCritical4 2 4 8" xfId="16408"/>
    <cellStyle name="SAPBEXexcCritical4 2 4 8 2" xfId="16409"/>
    <cellStyle name="SAPBEXexcCritical4 2 4 8 3" xfId="16410"/>
    <cellStyle name="SAPBEXexcCritical4 2 4 9" xfId="16411"/>
    <cellStyle name="SAPBEXexcCritical4 2 4_planning-WP" xfId="16412"/>
    <cellStyle name="SAPBEXexcCritical4 2 5" xfId="16413"/>
    <cellStyle name="SAPBEXexcCritical4 2 5 2" xfId="16414"/>
    <cellStyle name="SAPBEXexcCritical4 2 6" xfId="16415"/>
    <cellStyle name="SAPBEXexcCritical4 2 6 2" xfId="16416"/>
    <cellStyle name="SAPBEXexcCritical4 2 6 3" xfId="16417"/>
    <cellStyle name="SAPBEXexcCritical4 2 7" xfId="16418"/>
    <cellStyle name="SAPBEXexcCritical4 2 7 2" xfId="16419"/>
    <cellStyle name="SAPBEXexcCritical4 2 7 3" xfId="16420"/>
    <cellStyle name="SAPBEXexcCritical4 2 8" xfId="16421"/>
    <cellStyle name="SAPBEXexcCritical4 2 8 2" xfId="16422"/>
    <cellStyle name="SAPBEXexcCritical4 2 8 3" xfId="16423"/>
    <cellStyle name="SAPBEXexcCritical4 2 9" xfId="16424"/>
    <cellStyle name="SAPBEXexcCritical4 2 9 2" xfId="16425"/>
    <cellStyle name="SAPBEXexcCritical4 2 9 3" xfId="16426"/>
    <cellStyle name="SAPBEXexcCritical4 2_planning-WP" xfId="16427"/>
    <cellStyle name="SAPBEXexcCritical4 20" xfId="38905"/>
    <cellStyle name="SAPBEXexcCritical4 21" xfId="39316"/>
    <cellStyle name="SAPBEXexcCritical4 3" xfId="1591"/>
    <cellStyle name="SAPBEXexcCritical4 3 10" xfId="7743"/>
    <cellStyle name="SAPBEXexcCritical4 3 10 2" xfId="16430"/>
    <cellStyle name="SAPBEXexcCritical4 3 10 3" xfId="16431"/>
    <cellStyle name="SAPBEXexcCritical4 3 10 4" xfId="16429"/>
    <cellStyle name="SAPBEXexcCritical4 3 11" xfId="16432"/>
    <cellStyle name="SAPBEXexcCritical4 3 11 2" xfId="16433"/>
    <cellStyle name="SAPBEXexcCritical4 3 11 3" xfId="16434"/>
    <cellStyle name="SAPBEXexcCritical4 3 12" xfId="16435"/>
    <cellStyle name="SAPBEXexcCritical4 3 12 2" xfId="16436"/>
    <cellStyle name="SAPBEXexcCritical4 3 12 3" xfId="16437"/>
    <cellStyle name="SAPBEXexcCritical4 3 13" xfId="16438"/>
    <cellStyle name="SAPBEXexcCritical4 3 14" xfId="16428"/>
    <cellStyle name="SAPBEXexcCritical4 3 15" xfId="9788"/>
    <cellStyle name="SAPBEXexcCritical4 3 16" xfId="38908"/>
    <cellStyle name="SAPBEXexcCritical4 3 17" xfId="39319"/>
    <cellStyle name="SAPBEXexcCritical4 3 2" xfId="1934"/>
    <cellStyle name="SAPBEXexcCritical4 3 2 10" xfId="16440"/>
    <cellStyle name="SAPBEXexcCritical4 3 2 10 2" xfId="16441"/>
    <cellStyle name="SAPBEXexcCritical4 3 2 10 3" xfId="16442"/>
    <cellStyle name="SAPBEXexcCritical4 3 2 11" xfId="16443"/>
    <cellStyle name="SAPBEXexcCritical4 3 2 12" xfId="16439"/>
    <cellStyle name="SAPBEXexcCritical4 3 2 13" xfId="10112"/>
    <cellStyle name="SAPBEXexcCritical4 3 2 14" xfId="38909"/>
    <cellStyle name="SAPBEXexcCritical4 3 2 15" xfId="39320"/>
    <cellStyle name="SAPBEXexcCritical4 3 2 2" xfId="4852"/>
    <cellStyle name="SAPBEXexcCritical4 3 2 2 10" xfId="16445"/>
    <cellStyle name="SAPBEXexcCritical4 3 2 2 11" xfId="16444"/>
    <cellStyle name="SAPBEXexcCritical4 3 2 2 2" xfId="16446"/>
    <cellStyle name="SAPBEXexcCritical4 3 2 2 2 2" xfId="16447"/>
    <cellStyle name="SAPBEXexcCritical4 3 2 2 2 3" xfId="16448"/>
    <cellStyle name="SAPBEXexcCritical4 3 2 2 3" xfId="16449"/>
    <cellStyle name="SAPBEXexcCritical4 3 2 2 3 2" xfId="16450"/>
    <cellStyle name="SAPBEXexcCritical4 3 2 2 3 3" xfId="16451"/>
    <cellStyle name="SAPBEXexcCritical4 3 2 2 4" xfId="16452"/>
    <cellStyle name="SAPBEXexcCritical4 3 2 2 4 2" xfId="16453"/>
    <cellStyle name="SAPBEXexcCritical4 3 2 2 4 3" xfId="16454"/>
    <cellStyle name="SAPBEXexcCritical4 3 2 2 5" xfId="16455"/>
    <cellStyle name="SAPBEXexcCritical4 3 2 2 5 2" xfId="16456"/>
    <cellStyle name="SAPBEXexcCritical4 3 2 2 5 3" xfId="16457"/>
    <cellStyle name="SAPBEXexcCritical4 3 2 2 6" xfId="16458"/>
    <cellStyle name="SAPBEXexcCritical4 3 2 2 6 2" xfId="16459"/>
    <cellStyle name="SAPBEXexcCritical4 3 2 2 6 3" xfId="16460"/>
    <cellStyle name="SAPBEXexcCritical4 3 2 2 7" xfId="16461"/>
    <cellStyle name="SAPBEXexcCritical4 3 2 2 7 2" xfId="16462"/>
    <cellStyle name="SAPBEXexcCritical4 3 2 2 7 3" xfId="16463"/>
    <cellStyle name="SAPBEXexcCritical4 3 2 2 8" xfId="16464"/>
    <cellStyle name="SAPBEXexcCritical4 3 2 2 8 2" xfId="16465"/>
    <cellStyle name="SAPBEXexcCritical4 3 2 2 8 3" xfId="16466"/>
    <cellStyle name="SAPBEXexcCritical4 3 2 2 9" xfId="16467"/>
    <cellStyle name="SAPBEXexcCritical4 3 2 2 9 2" xfId="16468"/>
    <cellStyle name="SAPBEXexcCritical4 3 2 2 9 3" xfId="16469"/>
    <cellStyle name="SAPBEXexcCritical4 3 2 2_planning-WP" xfId="16470"/>
    <cellStyle name="SAPBEXexcCritical4 3 2 3" xfId="5831"/>
    <cellStyle name="SAPBEXexcCritical4 3 2 3 2" xfId="16472"/>
    <cellStyle name="SAPBEXexcCritical4 3 2 3 3" xfId="16473"/>
    <cellStyle name="SAPBEXexcCritical4 3 2 3 4" xfId="16471"/>
    <cellStyle name="SAPBEXexcCritical4 3 2 4" xfId="6339"/>
    <cellStyle name="SAPBEXexcCritical4 3 2 4 2" xfId="16475"/>
    <cellStyle name="SAPBEXexcCritical4 3 2 4 3" xfId="16476"/>
    <cellStyle name="SAPBEXexcCritical4 3 2 4 4" xfId="16474"/>
    <cellStyle name="SAPBEXexcCritical4 3 2 5" xfId="6826"/>
    <cellStyle name="SAPBEXexcCritical4 3 2 5 2" xfId="16478"/>
    <cellStyle name="SAPBEXexcCritical4 3 2 5 3" xfId="16479"/>
    <cellStyle name="SAPBEXexcCritical4 3 2 5 4" xfId="16477"/>
    <cellStyle name="SAPBEXexcCritical4 3 2 6" xfId="7309"/>
    <cellStyle name="SAPBEXexcCritical4 3 2 6 2" xfId="16481"/>
    <cellStyle name="SAPBEXexcCritical4 3 2 6 3" xfId="16482"/>
    <cellStyle name="SAPBEXexcCritical4 3 2 6 4" xfId="16480"/>
    <cellStyle name="SAPBEXexcCritical4 3 2 7" xfId="8378"/>
    <cellStyle name="SAPBEXexcCritical4 3 2 7 2" xfId="16484"/>
    <cellStyle name="SAPBEXexcCritical4 3 2 7 3" xfId="16485"/>
    <cellStyle name="SAPBEXexcCritical4 3 2 7 4" xfId="16483"/>
    <cellStyle name="SAPBEXexcCritical4 3 2 8" xfId="8879"/>
    <cellStyle name="SAPBEXexcCritical4 3 2 8 2" xfId="16487"/>
    <cellStyle name="SAPBEXexcCritical4 3 2 8 3" xfId="16488"/>
    <cellStyle name="SAPBEXexcCritical4 3 2 8 4" xfId="16486"/>
    <cellStyle name="SAPBEXexcCritical4 3 2 9" xfId="9373"/>
    <cellStyle name="SAPBEXexcCritical4 3 2 9 2" xfId="16490"/>
    <cellStyle name="SAPBEXexcCritical4 3 2 9 3" xfId="16491"/>
    <cellStyle name="SAPBEXexcCritical4 3 2 9 4" xfId="16489"/>
    <cellStyle name="SAPBEXexcCritical4 3 2_planning-WP" xfId="16492"/>
    <cellStyle name="SAPBEXexcCritical4 3 3" xfId="4514"/>
    <cellStyle name="SAPBEXexcCritical4 3 3 10" xfId="16494"/>
    <cellStyle name="SAPBEXexcCritical4 3 3 11" xfId="16493"/>
    <cellStyle name="SAPBEXexcCritical4 3 3 2" xfId="16495"/>
    <cellStyle name="SAPBEXexcCritical4 3 3 2 2" xfId="16496"/>
    <cellStyle name="SAPBEXexcCritical4 3 3 2 3" xfId="16497"/>
    <cellStyle name="SAPBEXexcCritical4 3 3 3" xfId="16498"/>
    <cellStyle name="SAPBEXexcCritical4 3 3 3 2" xfId="16499"/>
    <cellStyle name="SAPBEXexcCritical4 3 3 3 3" xfId="16500"/>
    <cellStyle name="SAPBEXexcCritical4 3 3 4" xfId="16501"/>
    <cellStyle name="SAPBEXexcCritical4 3 3 4 2" xfId="16502"/>
    <cellStyle name="SAPBEXexcCritical4 3 3 4 3" xfId="16503"/>
    <cellStyle name="SAPBEXexcCritical4 3 3 5" xfId="16504"/>
    <cellStyle name="SAPBEXexcCritical4 3 3 5 2" xfId="16505"/>
    <cellStyle name="SAPBEXexcCritical4 3 3 5 3" xfId="16506"/>
    <cellStyle name="SAPBEXexcCritical4 3 3 6" xfId="16507"/>
    <cellStyle name="SAPBEXexcCritical4 3 3 6 2" xfId="16508"/>
    <cellStyle name="SAPBEXexcCritical4 3 3 6 3" xfId="16509"/>
    <cellStyle name="SAPBEXexcCritical4 3 3 7" xfId="16510"/>
    <cellStyle name="SAPBEXexcCritical4 3 3 7 2" xfId="16511"/>
    <cellStyle name="SAPBEXexcCritical4 3 3 7 3" xfId="16512"/>
    <cellStyle name="SAPBEXexcCritical4 3 3 8" xfId="16513"/>
    <cellStyle name="SAPBEXexcCritical4 3 3 8 2" xfId="16514"/>
    <cellStyle name="SAPBEXexcCritical4 3 3 8 3" xfId="16515"/>
    <cellStyle name="SAPBEXexcCritical4 3 3 9" xfId="16516"/>
    <cellStyle name="SAPBEXexcCritical4 3 3 9 2" xfId="16517"/>
    <cellStyle name="SAPBEXexcCritical4 3 3 9 3" xfId="16518"/>
    <cellStyle name="SAPBEXexcCritical4 3 3_planning-WP" xfId="16519"/>
    <cellStyle name="SAPBEXexcCritical4 3 4" xfId="5506"/>
    <cellStyle name="SAPBEXexcCritical4 3 4 10" xfId="16520"/>
    <cellStyle name="SAPBEXexcCritical4 3 4 2" xfId="16521"/>
    <cellStyle name="SAPBEXexcCritical4 3 4 2 2" xfId="16522"/>
    <cellStyle name="SAPBEXexcCritical4 3 4 2 3" xfId="16523"/>
    <cellStyle name="SAPBEXexcCritical4 3 4 3" xfId="16524"/>
    <cellStyle name="SAPBEXexcCritical4 3 4 3 2" xfId="16525"/>
    <cellStyle name="SAPBEXexcCritical4 3 4 3 3" xfId="16526"/>
    <cellStyle name="SAPBEXexcCritical4 3 4 4" xfId="16527"/>
    <cellStyle name="SAPBEXexcCritical4 3 4 4 2" xfId="16528"/>
    <cellStyle name="SAPBEXexcCritical4 3 4 4 3" xfId="16529"/>
    <cellStyle name="SAPBEXexcCritical4 3 4 5" xfId="16530"/>
    <cellStyle name="SAPBEXexcCritical4 3 4 5 2" xfId="16531"/>
    <cellStyle name="SAPBEXexcCritical4 3 4 5 3" xfId="16532"/>
    <cellStyle name="SAPBEXexcCritical4 3 4 6" xfId="16533"/>
    <cellStyle name="SAPBEXexcCritical4 3 4 6 2" xfId="16534"/>
    <cellStyle name="SAPBEXexcCritical4 3 4 6 3" xfId="16535"/>
    <cellStyle name="SAPBEXexcCritical4 3 4 7" xfId="16536"/>
    <cellStyle name="SAPBEXexcCritical4 3 4 7 2" xfId="16537"/>
    <cellStyle name="SAPBEXexcCritical4 3 4 7 3" xfId="16538"/>
    <cellStyle name="SAPBEXexcCritical4 3 4 8" xfId="16539"/>
    <cellStyle name="SAPBEXexcCritical4 3 4 8 2" xfId="16540"/>
    <cellStyle name="SAPBEXexcCritical4 3 4 8 3" xfId="16541"/>
    <cellStyle name="SAPBEXexcCritical4 3 4 9" xfId="16542"/>
    <cellStyle name="SAPBEXexcCritical4 3 4_planning-WP" xfId="16543"/>
    <cellStyle name="SAPBEXexcCritical4 3 5" xfId="3330"/>
    <cellStyle name="SAPBEXexcCritical4 3 5 2" xfId="16545"/>
    <cellStyle name="SAPBEXexcCritical4 3 5 3" xfId="16544"/>
    <cellStyle name="SAPBEXexcCritical4 3 6" xfId="3357"/>
    <cellStyle name="SAPBEXexcCritical4 3 6 2" xfId="16547"/>
    <cellStyle name="SAPBEXexcCritical4 3 6 3" xfId="16548"/>
    <cellStyle name="SAPBEXexcCritical4 3 6 4" xfId="16546"/>
    <cellStyle name="SAPBEXexcCritical4 3 7" xfId="3231"/>
    <cellStyle name="SAPBEXexcCritical4 3 7 2" xfId="16550"/>
    <cellStyle name="SAPBEXexcCritical4 3 7 3" xfId="16551"/>
    <cellStyle name="SAPBEXexcCritical4 3 7 4" xfId="16549"/>
    <cellStyle name="SAPBEXexcCritical4 3 8" xfId="8054"/>
    <cellStyle name="SAPBEXexcCritical4 3 8 2" xfId="16553"/>
    <cellStyle name="SAPBEXexcCritical4 3 8 3" xfId="16554"/>
    <cellStyle name="SAPBEXexcCritical4 3 8 4" xfId="16552"/>
    <cellStyle name="SAPBEXexcCritical4 3 9" xfId="7494"/>
    <cellStyle name="SAPBEXexcCritical4 3 9 2" xfId="16556"/>
    <cellStyle name="SAPBEXexcCritical4 3 9 3" xfId="16557"/>
    <cellStyle name="SAPBEXexcCritical4 3 9 4" xfId="16555"/>
    <cellStyle name="SAPBEXexcCritical4 3_planning-WP" xfId="16558"/>
    <cellStyle name="SAPBEXexcCritical4 4" xfId="1706"/>
    <cellStyle name="SAPBEXexcCritical4 4 10" xfId="9163"/>
    <cellStyle name="SAPBEXexcCritical4 4 10 2" xfId="16561"/>
    <cellStyle name="SAPBEXexcCritical4 4 10 3" xfId="16562"/>
    <cellStyle name="SAPBEXexcCritical4 4 10 4" xfId="16560"/>
    <cellStyle name="SAPBEXexcCritical4 4 11" xfId="16563"/>
    <cellStyle name="SAPBEXexcCritical4 4 11 2" xfId="16564"/>
    <cellStyle name="SAPBEXexcCritical4 4 11 3" xfId="16565"/>
    <cellStyle name="SAPBEXexcCritical4 4 12" xfId="16566"/>
    <cellStyle name="SAPBEXexcCritical4 4 12 2" xfId="16567"/>
    <cellStyle name="SAPBEXexcCritical4 4 12 3" xfId="16568"/>
    <cellStyle name="SAPBEXexcCritical4 4 13" xfId="16559"/>
    <cellStyle name="SAPBEXexcCritical4 4 14" xfId="9902"/>
    <cellStyle name="SAPBEXexcCritical4 4 15" xfId="38910"/>
    <cellStyle name="SAPBEXexcCritical4 4 16" xfId="39321"/>
    <cellStyle name="SAPBEXexcCritical4 4 2" xfId="2038"/>
    <cellStyle name="SAPBEXexcCritical4 4 2 10" xfId="16570"/>
    <cellStyle name="SAPBEXexcCritical4 4 2 10 2" xfId="16571"/>
    <cellStyle name="SAPBEXexcCritical4 4 2 10 3" xfId="16572"/>
    <cellStyle name="SAPBEXexcCritical4 4 2 11" xfId="16573"/>
    <cellStyle name="SAPBEXexcCritical4 4 2 12" xfId="16569"/>
    <cellStyle name="SAPBEXexcCritical4 4 2 13" xfId="10215"/>
    <cellStyle name="SAPBEXexcCritical4 4 2 14" xfId="38911"/>
    <cellStyle name="SAPBEXexcCritical4 4 2 15" xfId="39322"/>
    <cellStyle name="SAPBEXexcCritical4 4 2 2" xfId="4955"/>
    <cellStyle name="SAPBEXexcCritical4 4 2 2 10" xfId="16575"/>
    <cellStyle name="SAPBEXexcCritical4 4 2 2 11" xfId="16574"/>
    <cellStyle name="SAPBEXexcCritical4 4 2 2 2" xfId="16576"/>
    <cellStyle name="SAPBEXexcCritical4 4 2 2 2 2" xfId="16577"/>
    <cellStyle name="SAPBEXexcCritical4 4 2 2 2 3" xfId="16578"/>
    <cellStyle name="SAPBEXexcCritical4 4 2 2 3" xfId="16579"/>
    <cellStyle name="SAPBEXexcCritical4 4 2 2 3 2" xfId="16580"/>
    <cellStyle name="SAPBEXexcCritical4 4 2 2 3 3" xfId="16581"/>
    <cellStyle name="SAPBEXexcCritical4 4 2 2 4" xfId="16582"/>
    <cellStyle name="SAPBEXexcCritical4 4 2 2 4 2" xfId="16583"/>
    <cellStyle name="SAPBEXexcCritical4 4 2 2 4 3" xfId="16584"/>
    <cellStyle name="SAPBEXexcCritical4 4 2 2 5" xfId="16585"/>
    <cellStyle name="SAPBEXexcCritical4 4 2 2 5 2" xfId="16586"/>
    <cellStyle name="SAPBEXexcCritical4 4 2 2 5 3" xfId="16587"/>
    <cellStyle name="SAPBEXexcCritical4 4 2 2 6" xfId="16588"/>
    <cellStyle name="SAPBEXexcCritical4 4 2 2 6 2" xfId="16589"/>
    <cellStyle name="SAPBEXexcCritical4 4 2 2 6 3" xfId="16590"/>
    <cellStyle name="SAPBEXexcCritical4 4 2 2 7" xfId="16591"/>
    <cellStyle name="SAPBEXexcCritical4 4 2 2 7 2" xfId="16592"/>
    <cellStyle name="SAPBEXexcCritical4 4 2 2 7 3" xfId="16593"/>
    <cellStyle name="SAPBEXexcCritical4 4 2 2 8" xfId="16594"/>
    <cellStyle name="SAPBEXexcCritical4 4 2 2 8 2" xfId="16595"/>
    <cellStyle name="SAPBEXexcCritical4 4 2 2 8 3" xfId="16596"/>
    <cellStyle name="SAPBEXexcCritical4 4 2 2 9" xfId="16597"/>
    <cellStyle name="SAPBEXexcCritical4 4 2 2 9 2" xfId="16598"/>
    <cellStyle name="SAPBEXexcCritical4 4 2 2 9 3" xfId="16599"/>
    <cellStyle name="SAPBEXexcCritical4 4 2 2_planning-WP" xfId="16600"/>
    <cellStyle name="SAPBEXexcCritical4 4 2 3" xfId="5934"/>
    <cellStyle name="SAPBEXexcCritical4 4 2 3 2" xfId="16602"/>
    <cellStyle name="SAPBEXexcCritical4 4 2 3 3" xfId="16603"/>
    <cellStyle name="SAPBEXexcCritical4 4 2 3 4" xfId="16601"/>
    <cellStyle name="SAPBEXexcCritical4 4 2 4" xfId="6442"/>
    <cellStyle name="SAPBEXexcCritical4 4 2 4 2" xfId="16605"/>
    <cellStyle name="SAPBEXexcCritical4 4 2 4 3" xfId="16606"/>
    <cellStyle name="SAPBEXexcCritical4 4 2 4 4" xfId="16604"/>
    <cellStyle name="SAPBEXexcCritical4 4 2 5" xfId="6929"/>
    <cellStyle name="SAPBEXexcCritical4 4 2 5 2" xfId="16608"/>
    <cellStyle name="SAPBEXexcCritical4 4 2 5 3" xfId="16609"/>
    <cellStyle name="SAPBEXexcCritical4 4 2 5 4" xfId="16607"/>
    <cellStyle name="SAPBEXexcCritical4 4 2 6" xfId="7412"/>
    <cellStyle name="SAPBEXexcCritical4 4 2 6 2" xfId="16611"/>
    <cellStyle name="SAPBEXexcCritical4 4 2 6 3" xfId="16612"/>
    <cellStyle name="SAPBEXexcCritical4 4 2 6 4" xfId="16610"/>
    <cellStyle name="SAPBEXexcCritical4 4 2 7" xfId="8481"/>
    <cellStyle name="SAPBEXexcCritical4 4 2 7 2" xfId="16614"/>
    <cellStyle name="SAPBEXexcCritical4 4 2 7 3" xfId="16615"/>
    <cellStyle name="SAPBEXexcCritical4 4 2 7 4" xfId="16613"/>
    <cellStyle name="SAPBEXexcCritical4 4 2 8" xfId="8982"/>
    <cellStyle name="SAPBEXexcCritical4 4 2 8 2" xfId="16617"/>
    <cellStyle name="SAPBEXexcCritical4 4 2 8 3" xfId="16618"/>
    <cellStyle name="SAPBEXexcCritical4 4 2 8 4" xfId="16616"/>
    <cellStyle name="SAPBEXexcCritical4 4 2 9" xfId="9476"/>
    <cellStyle name="SAPBEXexcCritical4 4 2 9 2" xfId="16620"/>
    <cellStyle name="SAPBEXexcCritical4 4 2 9 3" xfId="16621"/>
    <cellStyle name="SAPBEXexcCritical4 4 2 9 4" xfId="16619"/>
    <cellStyle name="SAPBEXexcCritical4 4 2_planning-WP" xfId="16622"/>
    <cellStyle name="SAPBEXexcCritical4 4 3" xfId="4628"/>
    <cellStyle name="SAPBEXexcCritical4 4 3 10" xfId="16624"/>
    <cellStyle name="SAPBEXexcCritical4 4 3 11" xfId="16623"/>
    <cellStyle name="SAPBEXexcCritical4 4 3 2" xfId="16625"/>
    <cellStyle name="SAPBEXexcCritical4 4 3 2 2" xfId="16626"/>
    <cellStyle name="SAPBEXexcCritical4 4 3 2 3" xfId="16627"/>
    <cellStyle name="SAPBEXexcCritical4 4 3 3" xfId="16628"/>
    <cellStyle name="SAPBEXexcCritical4 4 3 3 2" xfId="16629"/>
    <cellStyle name="SAPBEXexcCritical4 4 3 3 3" xfId="16630"/>
    <cellStyle name="SAPBEXexcCritical4 4 3 4" xfId="16631"/>
    <cellStyle name="SAPBEXexcCritical4 4 3 4 2" xfId="16632"/>
    <cellStyle name="SAPBEXexcCritical4 4 3 4 3" xfId="16633"/>
    <cellStyle name="SAPBEXexcCritical4 4 3 5" xfId="16634"/>
    <cellStyle name="SAPBEXexcCritical4 4 3 5 2" xfId="16635"/>
    <cellStyle name="SAPBEXexcCritical4 4 3 5 3" xfId="16636"/>
    <cellStyle name="SAPBEXexcCritical4 4 3 6" xfId="16637"/>
    <cellStyle name="SAPBEXexcCritical4 4 3 6 2" xfId="16638"/>
    <cellStyle name="SAPBEXexcCritical4 4 3 6 3" xfId="16639"/>
    <cellStyle name="SAPBEXexcCritical4 4 3 7" xfId="16640"/>
    <cellStyle name="SAPBEXexcCritical4 4 3 7 2" xfId="16641"/>
    <cellStyle name="SAPBEXexcCritical4 4 3 7 3" xfId="16642"/>
    <cellStyle name="SAPBEXexcCritical4 4 3 8" xfId="16643"/>
    <cellStyle name="SAPBEXexcCritical4 4 3 8 2" xfId="16644"/>
    <cellStyle name="SAPBEXexcCritical4 4 3 8 3" xfId="16645"/>
    <cellStyle name="SAPBEXexcCritical4 4 3 9" xfId="16646"/>
    <cellStyle name="SAPBEXexcCritical4 4 3 9 2" xfId="16647"/>
    <cellStyle name="SAPBEXexcCritical4 4 3 9 3" xfId="16648"/>
    <cellStyle name="SAPBEXexcCritical4 4 3_planning-WP" xfId="16649"/>
    <cellStyle name="SAPBEXexcCritical4 4 4" xfId="5620"/>
    <cellStyle name="SAPBEXexcCritical4 4 4 10" xfId="16650"/>
    <cellStyle name="SAPBEXexcCritical4 4 4 2" xfId="16651"/>
    <cellStyle name="SAPBEXexcCritical4 4 4 2 2" xfId="16652"/>
    <cellStyle name="SAPBEXexcCritical4 4 4 2 3" xfId="16653"/>
    <cellStyle name="SAPBEXexcCritical4 4 4 3" xfId="16654"/>
    <cellStyle name="SAPBEXexcCritical4 4 4 3 2" xfId="16655"/>
    <cellStyle name="SAPBEXexcCritical4 4 4 3 3" xfId="16656"/>
    <cellStyle name="SAPBEXexcCritical4 4 4 4" xfId="16657"/>
    <cellStyle name="SAPBEXexcCritical4 4 4 4 2" xfId="16658"/>
    <cellStyle name="SAPBEXexcCritical4 4 4 4 3" xfId="16659"/>
    <cellStyle name="SAPBEXexcCritical4 4 4 5" xfId="16660"/>
    <cellStyle name="SAPBEXexcCritical4 4 4 5 2" xfId="16661"/>
    <cellStyle name="SAPBEXexcCritical4 4 4 5 3" xfId="16662"/>
    <cellStyle name="SAPBEXexcCritical4 4 4 6" xfId="16663"/>
    <cellStyle name="SAPBEXexcCritical4 4 4 6 2" xfId="16664"/>
    <cellStyle name="SAPBEXexcCritical4 4 4 6 3" xfId="16665"/>
    <cellStyle name="SAPBEXexcCritical4 4 4 7" xfId="16666"/>
    <cellStyle name="SAPBEXexcCritical4 4 4 7 2" xfId="16667"/>
    <cellStyle name="SAPBEXexcCritical4 4 4 7 3" xfId="16668"/>
    <cellStyle name="SAPBEXexcCritical4 4 4 8" xfId="16669"/>
    <cellStyle name="SAPBEXexcCritical4 4 4 8 2" xfId="16670"/>
    <cellStyle name="SAPBEXexcCritical4 4 4 8 3" xfId="16671"/>
    <cellStyle name="SAPBEXexcCritical4 4 4 9" xfId="16672"/>
    <cellStyle name="SAPBEXexcCritical4 4 4_planning-WP" xfId="16673"/>
    <cellStyle name="SAPBEXexcCritical4 4 5" xfId="6129"/>
    <cellStyle name="SAPBEXexcCritical4 4 5 2" xfId="16675"/>
    <cellStyle name="SAPBEXexcCritical4 4 5 3" xfId="16674"/>
    <cellStyle name="SAPBEXexcCritical4 4 6" xfId="6616"/>
    <cellStyle name="SAPBEXexcCritical4 4 6 2" xfId="16677"/>
    <cellStyle name="SAPBEXexcCritical4 4 6 3" xfId="16678"/>
    <cellStyle name="SAPBEXexcCritical4 4 6 4" xfId="16676"/>
    <cellStyle name="SAPBEXexcCritical4 4 7" xfId="7099"/>
    <cellStyle name="SAPBEXexcCritical4 4 7 2" xfId="16680"/>
    <cellStyle name="SAPBEXexcCritical4 4 7 3" xfId="16681"/>
    <cellStyle name="SAPBEXexcCritical4 4 7 4" xfId="16679"/>
    <cellStyle name="SAPBEXexcCritical4 4 8" xfId="8168"/>
    <cellStyle name="SAPBEXexcCritical4 4 8 2" xfId="16683"/>
    <cellStyle name="SAPBEXexcCritical4 4 8 3" xfId="16684"/>
    <cellStyle name="SAPBEXexcCritical4 4 8 4" xfId="16682"/>
    <cellStyle name="SAPBEXexcCritical4 4 9" xfId="8669"/>
    <cellStyle name="SAPBEXexcCritical4 4 9 2" xfId="16686"/>
    <cellStyle name="SAPBEXexcCritical4 4 9 3" xfId="16687"/>
    <cellStyle name="SAPBEXexcCritical4 4 9 4" xfId="16685"/>
    <cellStyle name="SAPBEXexcCritical4 4_planning-WP" xfId="16688"/>
    <cellStyle name="SAPBEXexcCritical4 5" xfId="1643"/>
    <cellStyle name="SAPBEXexcCritical4 5 10" xfId="9101"/>
    <cellStyle name="SAPBEXexcCritical4 5 10 2" xfId="16691"/>
    <cellStyle name="SAPBEXexcCritical4 5 10 3" xfId="16692"/>
    <cellStyle name="SAPBEXexcCritical4 5 10 4" xfId="16690"/>
    <cellStyle name="SAPBEXexcCritical4 5 11" xfId="16693"/>
    <cellStyle name="SAPBEXexcCritical4 5 11 2" xfId="16694"/>
    <cellStyle name="SAPBEXexcCritical4 5 11 3" xfId="16695"/>
    <cellStyle name="SAPBEXexcCritical4 5 12" xfId="16696"/>
    <cellStyle name="SAPBEXexcCritical4 5 12 2" xfId="16697"/>
    <cellStyle name="SAPBEXexcCritical4 5 12 3" xfId="16698"/>
    <cellStyle name="SAPBEXexcCritical4 5 13" xfId="16689"/>
    <cellStyle name="SAPBEXexcCritical4 5 14" xfId="9840"/>
    <cellStyle name="SAPBEXexcCritical4 5 15" xfId="38912"/>
    <cellStyle name="SAPBEXexcCritical4 5 16" xfId="39323"/>
    <cellStyle name="SAPBEXexcCritical4 5 2" xfId="1979"/>
    <cellStyle name="SAPBEXexcCritical4 5 2 10" xfId="16700"/>
    <cellStyle name="SAPBEXexcCritical4 5 2 10 2" xfId="16701"/>
    <cellStyle name="SAPBEXexcCritical4 5 2 10 3" xfId="16702"/>
    <cellStyle name="SAPBEXexcCritical4 5 2 11" xfId="16703"/>
    <cellStyle name="SAPBEXexcCritical4 5 2 12" xfId="16699"/>
    <cellStyle name="SAPBEXexcCritical4 5 2 13" xfId="10157"/>
    <cellStyle name="SAPBEXexcCritical4 5 2 2" xfId="4897"/>
    <cellStyle name="SAPBEXexcCritical4 5 2 2 10" xfId="16705"/>
    <cellStyle name="SAPBEXexcCritical4 5 2 2 11" xfId="16704"/>
    <cellStyle name="SAPBEXexcCritical4 5 2 2 2" xfId="16706"/>
    <cellStyle name="SAPBEXexcCritical4 5 2 2 2 2" xfId="16707"/>
    <cellStyle name="SAPBEXexcCritical4 5 2 2 2 3" xfId="16708"/>
    <cellStyle name="SAPBEXexcCritical4 5 2 2 3" xfId="16709"/>
    <cellStyle name="SAPBEXexcCritical4 5 2 2 3 2" xfId="16710"/>
    <cellStyle name="SAPBEXexcCritical4 5 2 2 3 3" xfId="16711"/>
    <cellStyle name="SAPBEXexcCritical4 5 2 2 4" xfId="16712"/>
    <cellStyle name="SAPBEXexcCritical4 5 2 2 4 2" xfId="16713"/>
    <cellStyle name="SAPBEXexcCritical4 5 2 2 4 3" xfId="16714"/>
    <cellStyle name="SAPBEXexcCritical4 5 2 2 5" xfId="16715"/>
    <cellStyle name="SAPBEXexcCritical4 5 2 2 5 2" xfId="16716"/>
    <cellStyle name="SAPBEXexcCritical4 5 2 2 5 3" xfId="16717"/>
    <cellStyle name="SAPBEXexcCritical4 5 2 2 6" xfId="16718"/>
    <cellStyle name="SAPBEXexcCritical4 5 2 2 6 2" xfId="16719"/>
    <cellStyle name="SAPBEXexcCritical4 5 2 2 6 3" xfId="16720"/>
    <cellStyle name="SAPBEXexcCritical4 5 2 2 7" xfId="16721"/>
    <cellStyle name="SAPBEXexcCritical4 5 2 2 7 2" xfId="16722"/>
    <cellStyle name="SAPBEXexcCritical4 5 2 2 7 3" xfId="16723"/>
    <cellStyle name="SAPBEXexcCritical4 5 2 2 8" xfId="16724"/>
    <cellStyle name="SAPBEXexcCritical4 5 2 2 8 2" xfId="16725"/>
    <cellStyle name="SAPBEXexcCritical4 5 2 2 8 3" xfId="16726"/>
    <cellStyle name="SAPBEXexcCritical4 5 2 2 9" xfId="16727"/>
    <cellStyle name="SAPBEXexcCritical4 5 2 2 9 2" xfId="16728"/>
    <cellStyle name="SAPBEXexcCritical4 5 2 2 9 3" xfId="16729"/>
    <cellStyle name="SAPBEXexcCritical4 5 2 2_planning-WP" xfId="16730"/>
    <cellStyle name="SAPBEXexcCritical4 5 2 3" xfId="5876"/>
    <cellStyle name="SAPBEXexcCritical4 5 2 3 2" xfId="16732"/>
    <cellStyle name="SAPBEXexcCritical4 5 2 3 3" xfId="16733"/>
    <cellStyle name="SAPBEXexcCritical4 5 2 3 4" xfId="16731"/>
    <cellStyle name="SAPBEXexcCritical4 5 2 4" xfId="6384"/>
    <cellStyle name="SAPBEXexcCritical4 5 2 4 2" xfId="16735"/>
    <cellStyle name="SAPBEXexcCritical4 5 2 4 3" xfId="16736"/>
    <cellStyle name="SAPBEXexcCritical4 5 2 4 4" xfId="16734"/>
    <cellStyle name="SAPBEXexcCritical4 5 2 5" xfId="6871"/>
    <cellStyle name="SAPBEXexcCritical4 5 2 5 2" xfId="16738"/>
    <cellStyle name="SAPBEXexcCritical4 5 2 5 3" xfId="16739"/>
    <cellStyle name="SAPBEXexcCritical4 5 2 5 4" xfId="16737"/>
    <cellStyle name="SAPBEXexcCritical4 5 2 6" xfId="7354"/>
    <cellStyle name="SAPBEXexcCritical4 5 2 6 2" xfId="16741"/>
    <cellStyle name="SAPBEXexcCritical4 5 2 6 3" xfId="16742"/>
    <cellStyle name="SAPBEXexcCritical4 5 2 6 4" xfId="16740"/>
    <cellStyle name="SAPBEXexcCritical4 5 2 7" xfId="8423"/>
    <cellStyle name="SAPBEXexcCritical4 5 2 7 2" xfId="16744"/>
    <cellStyle name="SAPBEXexcCritical4 5 2 7 3" xfId="16745"/>
    <cellStyle name="SAPBEXexcCritical4 5 2 7 4" xfId="16743"/>
    <cellStyle name="SAPBEXexcCritical4 5 2 8" xfId="8924"/>
    <cellStyle name="SAPBEXexcCritical4 5 2 8 2" xfId="16747"/>
    <cellStyle name="SAPBEXexcCritical4 5 2 8 3" xfId="16748"/>
    <cellStyle name="SAPBEXexcCritical4 5 2 8 4" xfId="16746"/>
    <cellStyle name="SAPBEXexcCritical4 5 2 9" xfId="9418"/>
    <cellStyle name="SAPBEXexcCritical4 5 2 9 2" xfId="16750"/>
    <cellStyle name="SAPBEXexcCritical4 5 2 9 3" xfId="16751"/>
    <cellStyle name="SAPBEXexcCritical4 5 2 9 4" xfId="16749"/>
    <cellStyle name="SAPBEXexcCritical4 5 2_planning-WP" xfId="16752"/>
    <cellStyle name="SAPBEXexcCritical4 5 3" xfId="4566"/>
    <cellStyle name="SAPBEXexcCritical4 5 3 10" xfId="16754"/>
    <cellStyle name="SAPBEXexcCritical4 5 3 11" xfId="16753"/>
    <cellStyle name="SAPBEXexcCritical4 5 3 2" xfId="16755"/>
    <cellStyle name="SAPBEXexcCritical4 5 3 2 2" xfId="16756"/>
    <cellStyle name="SAPBEXexcCritical4 5 3 2 3" xfId="16757"/>
    <cellStyle name="SAPBEXexcCritical4 5 3 3" xfId="16758"/>
    <cellStyle name="SAPBEXexcCritical4 5 3 3 2" xfId="16759"/>
    <cellStyle name="SAPBEXexcCritical4 5 3 3 3" xfId="16760"/>
    <cellStyle name="SAPBEXexcCritical4 5 3 4" xfId="16761"/>
    <cellStyle name="SAPBEXexcCritical4 5 3 4 2" xfId="16762"/>
    <cellStyle name="SAPBEXexcCritical4 5 3 4 3" xfId="16763"/>
    <cellStyle name="SAPBEXexcCritical4 5 3 5" xfId="16764"/>
    <cellStyle name="SAPBEXexcCritical4 5 3 5 2" xfId="16765"/>
    <cellStyle name="SAPBEXexcCritical4 5 3 5 3" xfId="16766"/>
    <cellStyle name="SAPBEXexcCritical4 5 3 6" xfId="16767"/>
    <cellStyle name="SAPBEXexcCritical4 5 3 6 2" xfId="16768"/>
    <cellStyle name="SAPBEXexcCritical4 5 3 6 3" xfId="16769"/>
    <cellStyle name="SAPBEXexcCritical4 5 3 7" xfId="16770"/>
    <cellStyle name="SAPBEXexcCritical4 5 3 7 2" xfId="16771"/>
    <cellStyle name="SAPBEXexcCritical4 5 3 7 3" xfId="16772"/>
    <cellStyle name="SAPBEXexcCritical4 5 3 8" xfId="16773"/>
    <cellStyle name="SAPBEXexcCritical4 5 3 8 2" xfId="16774"/>
    <cellStyle name="SAPBEXexcCritical4 5 3 8 3" xfId="16775"/>
    <cellStyle name="SAPBEXexcCritical4 5 3 9" xfId="16776"/>
    <cellStyle name="SAPBEXexcCritical4 5 3 9 2" xfId="16777"/>
    <cellStyle name="SAPBEXexcCritical4 5 3 9 3" xfId="16778"/>
    <cellStyle name="SAPBEXexcCritical4 5 3_planning-WP" xfId="16779"/>
    <cellStyle name="SAPBEXexcCritical4 5 4" xfId="5558"/>
    <cellStyle name="SAPBEXexcCritical4 5 4 10" xfId="16780"/>
    <cellStyle name="SAPBEXexcCritical4 5 4 2" xfId="16781"/>
    <cellStyle name="SAPBEXexcCritical4 5 4 2 2" xfId="16782"/>
    <cellStyle name="SAPBEXexcCritical4 5 4 2 3" xfId="16783"/>
    <cellStyle name="SAPBEXexcCritical4 5 4 3" xfId="16784"/>
    <cellStyle name="SAPBEXexcCritical4 5 4 3 2" xfId="16785"/>
    <cellStyle name="SAPBEXexcCritical4 5 4 3 3" xfId="16786"/>
    <cellStyle name="SAPBEXexcCritical4 5 4 4" xfId="16787"/>
    <cellStyle name="SAPBEXexcCritical4 5 4 4 2" xfId="16788"/>
    <cellStyle name="SAPBEXexcCritical4 5 4 4 3" xfId="16789"/>
    <cellStyle name="SAPBEXexcCritical4 5 4 5" xfId="16790"/>
    <cellStyle name="SAPBEXexcCritical4 5 4 5 2" xfId="16791"/>
    <cellStyle name="SAPBEXexcCritical4 5 4 5 3" xfId="16792"/>
    <cellStyle name="SAPBEXexcCritical4 5 4 6" xfId="16793"/>
    <cellStyle name="SAPBEXexcCritical4 5 4 6 2" xfId="16794"/>
    <cellStyle name="SAPBEXexcCritical4 5 4 6 3" xfId="16795"/>
    <cellStyle name="SAPBEXexcCritical4 5 4 7" xfId="16796"/>
    <cellStyle name="SAPBEXexcCritical4 5 4 7 2" xfId="16797"/>
    <cellStyle name="SAPBEXexcCritical4 5 4 7 3" xfId="16798"/>
    <cellStyle name="SAPBEXexcCritical4 5 4 8" xfId="16799"/>
    <cellStyle name="SAPBEXexcCritical4 5 4 8 2" xfId="16800"/>
    <cellStyle name="SAPBEXexcCritical4 5 4 8 3" xfId="16801"/>
    <cellStyle name="SAPBEXexcCritical4 5 4 9" xfId="16802"/>
    <cellStyle name="SAPBEXexcCritical4 5 4_planning-WP" xfId="16803"/>
    <cellStyle name="SAPBEXexcCritical4 5 5" xfId="6067"/>
    <cellStyle name="SAPBEXexcCritical4 5 5 2" xfId="16805"/>
    <cellStyle name="SAPBEXexcCritical4 5 5 3" xfId="16804"/>
    <cellStyle name="SAPBEXexcCritical4 5 6" xfId="6554"/>
    <cellStyle name="SAPBEXexcCritical4 5 6 2" xfId="16807"/>
    <cellStyle name="SAPBEXexcCritical4 5 6 3" xfId="16808"/>
    <cellStyle name="SAPBEXexcCritical4 5 6 4" xfId="16806"/>
    <cellStyle name="SAPBEXexcCritical4 5 7" xfId="7037"/>
    <cellStyle name="SAPBEXexcCritical4 5 7 2" xfId="16810"/>
    <cellStyle name="SAPBEXexcCritical4 5 7 3" xfId="16811"/>
    <cellStyle name="SAPBEXexcCritical4 5 7 4" xfId="16809"/>
    <cellStyle name="SAPBEXexcCritical4 5 8" xfId="8106"/>
    <cellStyle name="SAPBEXexcCritical4 5 8 2" xfId="16813"/>
    <cellStyle name="SAPBEXexcCritical4 5 8 3" xfId="16814"/>
    <cellStyle name="SAPBEXexcCritical4 5 8 4" xfId="16812"/>
    <cellStyle name="SAPBEXexcCritical4 5 9" xfId="8607"/>
    <cellStyle name="SAPBEXexcCritical4 5 9 2" xfId="16816"/>
    <cellStyle name="SAPBEXexcCritical4 5 9 3" xfId="16817"/>
    <cellStyle name="SAPBEXexcCritical4 5 9 4" xfId="16815"/>
    <cellStyle name="SAPBEXexcCritical4 5_planning-WP" xfId="16818"/>
    <cellStyle name="SAPBEXexcCritical4 6" xfId="1736"/>
    <cellStyle name="SAPBEXexcCritical4 6 10" xfId="9191"/>
    <cellStyle name="SAPBEXexcCritical4 6 10 2" xfId="16821"/>
    <cellStyle name="SAPBEXexcCritical4 6 10 3" xfId="16822"/>
    <cellStyle name="SAPBEXexcCritical4 6 10 4" xfId="16820"/>
    <cellStyle name="SAPBEXexcCritical4 6 11" xfId="16823"/>
    <cellStyle name="SAPBEXexcCritical4 6 11 2" xfId="16824"/>
    <cellStyle name="SAPBEXexcCritical4 6 11 3" xfId="16825"/>
    <cellStyle name="SAPBEXexcCritical4 6 12" xfId="16819"/>
    <cellStyle name="SAPBEXexcCritical4 6 13" xfId="9930"/>
    <cellStyle name="SAPBEXexcCritical4 6 14" xfId="38913"/>
    <cellStyle name="SAPBEXexcCritical4 6 15" xfId="39324"/>
    <cellStyle name="SAPBEXexcCritical4 6 2" xfId="2066"/>
    <cellStyle name="SAPBEXexcCritical4 6 2 10" xfId="16827"/>
    <cellStyle name="SAPBEXexcCritical4 6 2 11" xfId="16826"/>
    <cellStyle name="SAPBEXexcCritical4 6 2 12" xfId="10241"/>
    <cellStyle name="SAPBEXexcCritical4 6 2 2" xfId="4981"/>
    <cellStyle name="SAPBEXexcCritical4 6 2 2 2" xfId="16829"/>
    <cellStyle name="SAPBEXexcCritical4 6 2 2 3" xfId="16830"/>
    <cellStyle name="SAPBEXexcCritical4 6 2 2 4" xfId="16828"/>
    <cellStyle name="SAPBEXexcCritical4 6 2 3" xfId="5960"/>
    <cellStyle name="SAPBEXexcCritical4 6 2 3 2" xfId="16832"/>
    <cellStyle name="SAPBEXexcCritical4 6 2 3 3" xfId="16833"/>
    <cellStyle name="SAPBEXexcCritical4 6 2 3 4" xfId="16831"/>
    <cellStyle name="SAPBEXexcCritical4 6 2 4" xfId="6468"/>
    <cellStyle name="SAPBEXexcCritical4 6 2 4 2" xfId="16835"/>
    <cellStyle name="SAPBEXexcCritical4 6 2 4 3" xfId="16836"/>
    <cellStyle name="SAPBEXexcCritical4 6 2 4 4" xfId="16834"/>
    <cellStyle name="SAPBEXexcCritical4 6 2 5" xfId="6955"/>
    <cellStyle name="SAPBEXexcCritical4 6 2 5 2" xfId="16838"/>
    <cellStyle name="SAPBEXexcCritical4 6 2 5 3" xfId="16839"/>
    <cellStyle name="SAPBEXexcCritical4 6 2 5 4" xfId="16837"/>
    <cellStyle name="SAPBEXexcCritical4 6 2 6" xfId="7438"/>
    <cellStyle name="SAPBEXexcCritical4 6 2 6 2" xfId="16841"/>
    <cellStyle name="SAPBEXexcCritical4 6 2 6 3" xfId="16842"/>
    <cellStyle name="SAPBEXexcCritical4 6 2 6 4" xfId="16840"/>
    <cellStyle name="SAPBEXexcCritical4 6 2 7" xfId="8507"/>
    <cellStyle name="SAPBEXexcCritical4 6 2 7 2" xfId="16844"/>
    <cellStyle name="SAPBEXexcCritical4 6 2 7 3" xfId="16845"/>
    <cellStyle name="SAPBEXexcCritical4 6 2 7 4" xfId="16843"/>
    <cellStyle name="SAPBEXexcCritical4 6 2 8" xfId="9008"/>
    <cellStyle name="SAPBEXexcCritical4 6 2 8 2" xfId="16847"/>
    <cellStyle name="SAPBEXexcCritical4 6 2 8 3" xfId="16848"/>
    <cellStyle name="SAPBEXexcCritical4 6 2 8 4" xfId="16846"/>
    <cellStyle name="SAPBEXexcCritical4 6 2 9" xfId="9502"/>
    <cellStyle name="SAPBEXexcCritical4 6 2 9 2" xfId="16850"/>
    <cellStyle name="SAPBEXexcCritical4 6 2 9 3" xfId="16851"/>
    <cellStyle name="SAPBEXexcCritical4 6 2 9 4" xfId="16849"/>
    <cellStyle name="SAPBEXexcCritical4 6 2_planning-WP" xfId="16852"/>
    <cellStyle name="SAPBEXexcCritical4 6 3" xfId="4657"/>
    <cellStyle name="SAPBEXexcCritical4 6 3 10" xfId="16853"/>
    <cellStyle name="SAPBEXexcCritical4 6 3 2" xfId="16854"/>
    <cellStyle name="SAPBEXexcCritical4 6 3 2 2" xfId="16855"/>
    <cellStyle name="SAPBEXexcCritical4 6 3 2 3" xfId="16856"/>
    <cellStyle name="SAPBEXexcCritical4 6 3 3" xfId="16857"/>
    <cellStyle name="SAPBEXexcCritical4 6 3 3 2" xfId="16858"/>
    <cellStyle name="SAPBEXexcCritical4 6 3 3 3" xfId="16859"/>
    <cellStyle name="SAPBEXexcCritical4 6 3 4" xfId="16860"/>
    <cellStyle name="SAPBEXexcCritical4 6 3 4 2" xfId="16861"/>
    <cellStyle name="SAPBEXexcCritical4 6 3 4 3" xfId="16862"/>
    <cellStyle name="SAPBEXexcCritical4 6 3 5" xfId="16863"/>
    <cellStyle name="SAPBEXexcCritical4 6 3 5 2" xfId="16864"/>
    <cellStyle name="SAPBEXexcCritical4 6 3 5 3" xfId="16865"/>
    <cellStyle name="SAPBEXexcCritical4 6 3 6" xfId="16866"/>
    <cellStyle name="SAPBEXexcCritical4 6 3 6 2" xfId="16867"/>
    <cellStyle name="SAPBEXexcCritical4 6 3 6 3" xfId="16868"/>
    <cellStyle name="SAPBEXexcCritical4 6 3 7" xfId="16869"/>
    <cellStyle name="SAPBEXexcCritical4 6 3 7 2" xfId="16870"/>
    <cellStyle name="SAPBEXexcCritical4 6 3 7 3" xfId="16871"/>
    <cellStyle name="SAPBEXexcCritical4 6 3 8" xfId="16872"/>
    <cellStyle name="SAPBEXexcCritical4 6 3 8 2" xfId="16873"/>
    <cellStyle name="SAPBEXexcCritical4 6 3 8 3" xfId="16874"/>
    <cellStyle name="SAPBEXexcCritical4 6 3 9" xfId="16875"/>
    <cellStyle name="SAPBEXexcCritical4 6 3_planning-WP" xfId="16876"/>
    <cellStyle name="SAPBEXexcCritical4 6 4" xfId="5648"/>
    <cellStyle name="SAPBEXexcCritical4 6 4 2" xfId="16878"/>
    <cellStyle name="SAPBEXexcCritical4 6 4 3" xfId="16877"/>
    <cellStyle name="SAPBEXexcCritical4 6 5" xfId="6157"/>
    <cellStyle name="SAPBEXexcCritical4 6 5 2" xfId="16880"/>
    <cellStyle name="SAPBEXexcCritical4 6 5 3" xfId="16881"/>
    <cellStyle name="SAPBEXexcCritical4 6 5 4" xfId="16879"/>
    <cellStyle name="SAPBEXexcCritical4 6 6" xfId="6644"/>
    <cellStyle name="SAPBEXexcCritical4 6 6 2" xfId="16883"/>
    <cellStyle name="SAPBEXexcCritical4 6 6 3" xfId="16884"/>
    <cellStyle name="SAPBEXexcCritical4 6 6 4" xfId="16882"/>
    <cellStyle name="SAPBEXexcCritical4 6 7" xfId="7127"/>
    <cellStyle name="SAPBEXexcCritical4 6 7 2" xfId="16886"/>
    <cellStyle name="SAPBEXexcCritical4 6 7 3" xfId="16887"/>
    <cellStyle name="SAPBEXexcCritical4 6 7 4" xfId="16885"/>
    <cellStyle name="SAPBEXexcCritical4 6 8" xfId="8196"/>
    <cellStyle name="SAPBEXexcCritical4 6 8 2" xfId="16889"/>
    <cellStyle name="SAPBEXexcCritical4 6 8 3" xfId="16890"/>
    <cellStyle name="SAPBEXexcCritical4 6 8 4" xfId="16888"/>
    <cellStyle name="SAPBEXexcCritical4 6 9" xfId="8697"/>
    <cellStyle name="SAPBEXexcCritical4 6 9 2" xfId="16892"/>
    <cellStyle name="SAPBEXexcCritical4 6 9 3" xfId="16893"/>
    <cellStyle name="SAPBEXexcCritical4 6 9 4" xfId="16891"/>
    <cellStyle name="SAPBEXexcCritical4 6_planning-WP" xfId="16894"/>
    <cellStyle name="SAPBEXexcCritical4 7" xfId="1677"/>
    <cellStyle name="SAPBEXexcCritical4 7 10" xfId="9135"/>
    <cellStyle name="SAPBEXexcCritical4 7 10 2" xfId="16897"/>
    <cellStyle name="SAPBEXexcCritical4 7 10 3" xfId="16898"/>
    <cellStyle name="SAPBEXexcCritical4 7 10 4" xfId="16896"/>
    <cellStyle name="SAPBEXexcCritical4 7 11" xfId="16899"/>
    <cellStyle name="SAPBEXexcCritical4 7 12" xfId="16895"/>
    <cellStyle name="SAPBEXexcCritical4 7 13" xfId="9874"/>
    <cellStyle name="SAPBEXexcCritical4 7 14" xfId="38914"/>
    <cellStyle name="SAPBEXexcCritical4 7 15" xfId="39325"/>
    <cellStyle name="SAPBEXexcCritical4 7 2" xfId="2011"/>
    <cellStyle name="SAPBEXexcCritical4 7 2 10" xfId="16901"/>
    <cellStyle name="SAPBEXexcCritical4 7 2 11" xfId="16900"/>
    <cellStyle name="SAPBEXexcCritical4 7 2 12" xfId="10189"/>
    <cellStyle name="SAPBEXexcCritical4 7 2 2" xfId="4929"/>
    <cellStyle name="SAPBEXexcCritical4 7 2 2 2" xfId="16903"/>
    <cellStyle name="SAPBEXexcCritical4 7 2 2 3" xfId="16904"/>
    <cellStyle name="SAPBEXexcCritical4 7 2 2 4" xfId="16902"/>
    <cellStyle name="SAPBEXexcCritical4 7 2 3" xfId="5908"/>
    <cellStyle name="SAPBEXexcCritical4 7 2 3 2" xfId="16906"/>
    <cellStyle name="SAPBEXexcCritical4 7 2 3 3" xfId="16907"/>
    <cellStyle name="SAPBEXexcCritical4 7 2 3 4" xfId="16905"/>
    <cellStyle name="SAPBEXexcCritical4 7 2 4" xfId="6416"/>
    <cellStyle name="SAPBEXexcCritical4 7 2 4 2" xfId="16909"/>
    <cellStyle name="SAPBEXexcCritical4 7 2 4 3" xfId="16910"/>
    <cellStyle name="SAPBEXexcCritical4 7 2 4 4" xfId="16908"/>
    <cellStyle name="SAPBEXexcCritical4 7 2 5" xfId="6903"/>
    <cellStyle name="SAPBEXexcCritical4 7 2 5 2" xfId="16912"/>
    <cellStyle name="SAPBEXexcCritical4 7 2 5 3" xfId="16913"/>
    <cellStyle name="SAPBEXexcCritical4 7 2 5 4" xfId="16911"/>
    <cellStyle name="SAPBEXexcCritical4 7 2 6" xfId="7386"/>
    <cellStyle name="SAPBEXexcCritical4 7 2 6 2" xfId="16915"/>
    <cellStyle name="SAPBEXexcCritical4 7 2 6 3" xfId="16916"/>
    <cellStyle name="SAPBEXexcCritical4 7 2 6 4" xfId="16914"/>
    <cellStyle name="SAPBEXexcCritical4 7 2 7" xfId="8455"/>
    <cellStyle name="SAPBEXexcCritical4 7 2 7 2" xfId="16918"/>
    <cellStyle name="SAPBEXexcCritical4 7 2 7 3" xfId="16919"/>
    <cellStyle name="SAPBEXexcCritical4 7 2 7 4" xfId="16917"/>
    <cellStyle name="SAPBEXexcCritical4 7 2 8" xfId="8956"/>
    <cellStyle name="SAPBEXexcCritical4 7 2 8 2" xfId="16921"/>
    <cellStyle name="SAPBEXexcCritical4 7 2 8 3" xfId="16922"/>
    <cellStyle name="SAPBEXexcCritical4 7 2 8 4" xfId="16920"/>
    <cellStyle name="SAPBEXexcCritical4 7 2 9" xfId="9450"/>
    <cellStyle name="SAPBEXexcCritical4 7 2 9 2" xfId="16924"/>
    <cellStyle name="SAPBEXexcCritical4 7 2 9 3" xfId="16925"/>
    <cellStyle name="SAPBEXexcCritical4 7 2 9 4" xfId="16923"/>
    <cellStyle name="SAPBEXexcCritical4 7 2_planning-WP" xfId="16926"/>
    <cellStyle name="SAPBEXexcCritical4 7 3" xfId="4600"/>
    <cellStyle name="SAPBEXexcCritical4 7 3 2" xfId="16928"/>
    <cellStyle name="SAPBEXexcCritical4 7 3 3" xfId="16929"/>
    <cellStyle name="SAPBEXexcCritical4 7 3 4" xfId="16927"/>
    <cellStyle name="SAPBEXexcCritical4 7 4" xfId="5592"/>
    <cellStyle name="SAPBEXexcCritical4 7 4 2" xfId="16931"/>
    <cellStyle name="SAPBEXexcCritical4 7 4 3" xfId="16932"/>
    <cellStyle name="SAPBEXexcCritical4 7 4 4" xfId="16930"/>
    <cellStyle name="SAPBEXexcCritical4 7 5" xfId="6101"/>
    <cellStyle name="SAPBEXexcCritical4 7 5 2" xfId="16934"/>
    <cellStyle name="SAPBEXexcCritical4 7 5 3" xfId="16935"/>
    <cellStyle name="SAPBEXexcCritical4 7 5 4" xfId="16933"/>
    <cellStyle name="SAPBEXexcCritical4 7 6" xfId="6588"/>
    <cellStyle name="SAPBEXexcCritical4 7 6 2" xfId="16937"/>
    <cellStyle name="SAPBEXexcCritical4 7 6 3" xfId="16938"/>
    <cellStyle name="SAPBEXexcCritical4 7 6 4" xfId="16936"/>
    <cellStyle name="SAPBEXexcCritical4 7 7" xfId="7071"/>
    <cellStyle name="SAPBEXexcCritical4 7 7 2" xfId="16940"/>
    <cellStyle name="SAPBEXexcCritical4 7 7 3" xfId="16941"/>
    <cellStyle name="SAPBEXexcCritical4 7 7 4" xfId="16939"/>
    <cellStyle name="SAPBEXexcCritical4 7 8" xfId="8140"/>
    <cellStyle name="SAPBEXexcCritical4 7 8 2" xfId="16943"/>
    <cellStyle name="SAPBEXexcCritical4 7 8 3" xfId="16944"/>
    <cellStyle name="SAPBEXexcCritical4 7 8 4" xfId="16942"/>
    <cellStyle name="SAPBEXexcCritical4 7 9" xfId="8641"/>
    <cellStyle name="SAPBEXexcCritical4 7 9 2" xfId="16946"/>
    <cellStyle name="SAPBEXexcCritical4 7 9 3" xfId="16947"/>
    <cellStyle name="SAPBEXexcCritical4 7 9 4" xfId="16945"/>
    <cellStyle name="SAPBEXexcCritical4 7_planning-WP" xfId="16948"/>
    <cellStyle name="SAPBEXexcCritical4 8" xfId="1585"/>
    <cellStyle name="SAPBEXexcCritical4 8 10" xfId="16950"/>
    <cellStyle name="SAPBEXexcCritical4 8 11" xfId="16949"/>
    <cellStyle name="SAPBEXexcCritical4 8 12" xfId="9782"/>
    <cellStyle name="SAPBEXexcCritical4 8 2" xfId="4508"/>
    <cellStyle name="SAPBEXexcCritical4 8 2 2" xfId="16952"/>
    <cellStyle name="SAPBEXexcCritical4 8 2 3" xfId="16953"/>
    <cellStyle name="SAPBEXexcCritical4 8 2 4" xfId="16951"/>
    <cellStyle name="SAPBEXexcCritical4 8 3" xfId="5500"/>
    <cellStyle name="SAPBEXexcCritical4 8 3 2" xfId="16955"/>
    <cellStyle name="SAPBEXexcCritical4 8 3 3" xfId="16956"/>
    <cellStyle name="SAPBEXexcCritical4 8 3 4" xfId="16954"/>
    <cellStyle name="SAPBEXexcCritical4 8 4" xfId="3324"/>
    <cellStyle name="SAPBEXexcCritical4 8 4 2" xfId="16958"/>
    <cellStyle name="SAPBEXexcCritical4 8 4 3" xfId="16959"/>
    <cellStyle name="SAPBEXexcCritical4 8 4 4" xfId="16957"/>
    <cellStyle name="SAPBEXexcCritical4 8 5" xfId="5106"/>
    <cellStyle name="SAPBEXexcCritical4 8 5 2" xfId="16961"/>
    <cellStyle name="SAPBEXexcCritical4 8 5 3" xfId="16962"/>
    <cellStyle name="SAPBEXexcCritical4 8 5 4" xfId="16960"/>
    <cellStyle name="SAPBEXexcCritical4 8 6" xfId="3229"/>
    <cellStyle name="SAPBEXexcCritical4 8 6 2" xfId="16964"/>
    <cellStyle name="SAPBEXexcCritical4 8 6 3" xfId="16965"/>
    <cellStyle name="SAPBEXexcCritical4 8 6 4" xfId="16963"/>
    <cellStyle name="SAPBEXexcCritical4 8 7" xfId="8048"/>
    <cellStyle name="SAPBEXexcCritical4 8 7 2" xfId="16967"/>
    <cellStyle name="SAPBEXexcCritical4 8 7 3" xfId="16968"/>
    <cellStyle name="SAPBEXexcCritical4 8 7 4" xfId="16966"/>
    <cellStyle name="SAPBEXexcCritical4 8 8" xfId="7500"/>
    <cellStyle name="SAPBEXexcCritical4 8 8 2" xfId="16970"/>
    <cellStyle name="SAPBEXexcCritical4 8 8 3" xfId="16971"/>
    <cellStyle name="SAPBEXexcCritical4 8 8 4" xfId="16969"/>
    <cellStyle name="SAPBEXexcCritical4 8 9" xfId="7737"/>
    <cellStyle name="SAPBEXexcCritical4 8 9 2" xfId="16973"/>
    <cellStyle name="SAPBEXexcCritical4 8 9 3" xfId="16974"/>
    <cellStyle name="SAPBEXexcCritical4 8 9 4" xfId="16972"/>
    <cellStyle name="SAPBEXexcCritical4 8_planning-WP" xfId="16975"/>
    <cellStyle name="SAPBEXexcCritical4 9" xfId="1430"/>
    <cellStyle name="SAPBEXexcCritical4 9 10" xfId="16976"/>
    <cellStyle name="SAPBEXexcCritical4 9 11" xfId="9628"/>
    <cellStyle name="SAPBEXexcCritical4 9 2" xfId="4353"/>
    <cellStyle name="SAPBEXexcCritical4 9 2 2" xfId="16978"/>
    <cellStyle name="SAPBEXexcCritical4 9 2 3" xfId="16979"/>
    <cellStyle name="SAPBEXexcCritical4 9 2 4" xfId="16977"/>
    <cellStyle name="SAPBEXexcCritical4 9 3" xfId="5346"/>
    <cellStyle name="SAPBEXexcCritical4 9 3 2" xfId="16981"/>
    <cellStyle name="SAPBEXexcCritical4 9 3 3" xfId="16982"/>
    <cellStyle name="SAPBEXexcCritical4 9 3 4" xfId="16980"/>
    <cellStyle name="SAPBEXexcCritical4 9 4" xfId="5045"/>
    <cellStyle name="SAPBEXexcCritical4 9 4 2" xfId="16984"/>
    <cellStyle name="SAPBEXexcCritical4 9 4 3" xfId="16985"/>
    <cellStyle name="SAPBEXexcCritical4 9 4 4" xfId="16983"/>
    <cellStyle name="SAPBEXexcCritical4 9 5" xfId="5217"/>
    <cellStyle name="SAPBEXexcCritical4 9 5 2" xfId="16987"/>
    <cellStyle name="SAPBEXexcCritical4 9 5 3" xfId="16988"/>
    <cellStyle name="SAPBEXexcCritical4 9 5 4" xfId="16986"/>
    <cellStyle name="SAPBEXexcCritical4 9 6" xfId="6024"/>
    <cellStyle name="SAPBEXexcCritical4 9 6 2" xfId="16990"/>
    <cellStyle name="SAPBEXexcCritical4 9 6 3" xfId="16991"/>
    <cellStyle name="SAPBEXexcCritical4 9 6 4" xfId="16989"/>
    <cellStyle name="SAPBEXexcCritical4 9 7" xfId="7894"/>
    <cellStyle name="SAPBEXexcCritical4 9 7 2" xfId="16993"/>
    <cellStyle name="SAPBEXexcCritical4 9 7 3" xfId="16994"/>
    <cellStyle name="SAPBEXexcCritical4 9 7 4" xfId="16992"/>
    <cellStyle name="SAPBEXexcCritical4 9 8" xfId="7649"/>
    <cellStyle name="SAPBEXexcCritical4 9 8 2" xfId="16996"/>
    <cellStyle name="SAPBEXexcCritical4 9 8 3" xfId="16997"/>
    <cellStyle name="SAPBEXexcCritical4 9 8 4" xfId="16995"/>
    <cellStyle name="SAPBEXexcCritical4 9 9" xfId="7769"/>
    <cellStyle name="SAPBEXexcCritical4 9 9 2" xfId="16998"/>
    <cellStyle name="SAPBEXexcCritical4 9_planning-WP" xfId="16999"/>
    <cellStyle name="SAPBEXexcCritical4_19.RessDest CUC CS SEE+SEM 1009" xfId="38915"/>
    <cellStyle name="SAPBEXexcCritical5" xfId="277"/>
    <cellStyle name="SAPBEXexcCritical5 10" xfId="17001"/>
    <cellStyle name="SAPBEXexcCritical5 10 2" xfId="17002"/>
    <cellStyle name="SAPBEXexcCritical5 11" xfId="17003"/>
    <cellStyle name="SAPBEXexcCritical5 11 2" xfId="17004"/>
    <cellStyle name="SAPBEXexcCritical5 11 3" xfId="17005"/>
    <cellStyle name="SAPBEXexcCritical5 12" xfId="17006"/>
    <cellStyle name="SAPBEXexcCritical5 12 2" xfId="17007"/>
    <cellStyle name="SAPBEXexcCritical5 12 3" xfId="17008"/>
    <cellStyle name="SAPBEXexcCritical5 13" xfId="17009"/>
    <cellStyle name="SAPBEXexcCritical5 13 2" xfId="17010"/>
    <cellStyle name="SAPBEXexcCritical5 13 3" xfId="17011"/>
    <cellStyle name="SAPBEXexcCritical5 14" xfId="17012"/>
    <cellStyle name="SAPBEXexcCritical5 14 2" xfId="17013"/>
    <cellStyle name="SAPBEXexcCritical5 14 3" xfId="17014"/>
    <cellStyle name="SAPBEXexcCritical5 15" xfId="17015"/>
    <cellStyle name="SAPBEXexcCritical5 15 2" xfId="17016"/>
    <cellStyle name="SAPBEXexcCritical5 15 3" xfId="17017"/>
    <cellStyle name="SAPBEXexcCritical5 16" xfId="17018"/>
    <cellStyle name="SAPBEXexcCritical5 16 2" xfId="17019"/>
    <cellStyle name="SAPBEXexcCritical5 16 3" xfId="17020"/>
    <cellStyle name="SAPBEXexcCritical5 17" xfId="17021"/>
    <cellStyle name="SAPBEXexcCritical5 17 2" xfId="17022"/>
    <cellStyle name="SAPBEXexcCritical5 17 3" xfId="17023"/>
    <cellStyle name="SAPBEXexcCritical5 18" xfId="17024"/>
    <cellStyle name="SAPBEXexcCritical5 19" xfId="17000"/>
    <cellStyle name="SAPBEXexcCritical5 2" xfId="894"/>
    <cellStyle name="SAPBEXexcCritical5 2 10" xfId="17026"/>
    <cellStyle name="SAPBEXexcCritical5 2 10 2" xfId="17027"/>
    <cellStyle name="SAPBEXexcCritical5 2 10 3" xfId="17028"/>
    <cellStyle name="SAPBEXexcCritical5 2 11" xfId="17029"/>
    <cellStyle name="SAPBEXexcCritical5 2 11 2" xfId="17030"/>
    <cellStyle name="SAPBEXexcCritical5 2 11 3" xfId="17031"/>
    <cellStyle name="SAPBEXexcCritical5 2 12" xfId="17032"/>
    <cellStyle name="SAPBEXexcCritical5 2 12 2" xfId="17033"/>
    <cellStyle name="SAPBEXexcCritical5 2 12 3" xfId="17034"/>
    <cellStyle name="SAPBEXexcCritical5 2 13" xfId="17035"/>
    <cellStyle name="SAPBEXexcCritical5 2 14" xfId="17025"/>
    <cellStyle name="SAPBEXexcCritical5 2 15" xfId="9578"/>
    <cellStyle name="SAPBEXexcCritical5 2 16" xfId="38917"/>
    <cellStyle name="SAPBEXexcCritical5 2 17" xfId="39327"/>
    <cellStyle name="SAPBEXexcCritical5 2 2" xfId="1958"/>
    <cellStyle name="SAPBEXexcCritical5 2 2 10" xfId="17037"/>
    <cellStyle name="SAPBEXexcCritical5 2 2 10 2" xfId="17038"/>
    <cellStyle name="SAPBEXexcCritical5 2 2 10 3" xfId="17039"/>
    <cellStyle name="SAPBEXexcCritical5 2 2 11" xfId="17040"/>
    <cellStyle name="SAPBEXexcCritical5 2 2 12" xfId="17036"/>
    <cellStyle name="SAPBEXexcCritical5 2 2 13" xfId="10136"/>
    <cellStyle name="SAPBEXexcCritical5 2 2 14" xfId="38918"/>
    <cellStyle name="SAPBEXexcCritical5 2 2 15" xfId="39328"/>
    <cellStyle name="SAPBEXexcCritical5 2 2 2" xfId="4876"/>
    <cellStyle name="SAPBEXexcCritical5 2 2 2 10" xfId="17042"/>
    <cellStyle name="SAPBEXexcCritical5 2 2 2 11" xfId="17041"/>
    <cellStyle name="SAPBEXexcCritical5 2 2 2 2" xfId="17043"/>
    <cellStyle name="SAPBEXexcCritical5 2 2 2 2 2" xfId="17044"/>
    <cellStyle name="SAPBEXexcCritical5 2 2 2 2 3" xfId="17045"/>
    <cellStyle name="SAPBEXexcCritical5 2 2 2 3" xfId="17046"/>
    <cellStyle name="SAPBEXexcCritical5 2 2 2 3 2" xfId="17047"/>
    <cellStyle name="SAPBEXexcCritical5 2 2 2 3 3" xfId="17048"/>
    <cellStyle name="SAPBEXexcCritical5 2 2 2 4" xfId="17049"/>
    <cellStyle name="SAPBEXexcCritical5 2 2 2 4 2" xfId="17050"/>
    <cellStyle name="SAPBEXexcCritical5 2 2 2 4 3" xfId="17051"/>
    <cellStyle name="SAPBEXexcCritical5 2 2 2 5" xfId="17052"/>
    <cellStyle name="SAPBEXexcCritical5 2 2 2 5 2" xfId="17053"/>
    <cellStyle name="SAPBEXexcCritical5 2 2 2 5 3" xfId="17054"/>
    <cellStyle name="SAPBEXexcCritical5 2 2 2 6" xfId="17055"/>
    <cellStyle name="SAPBEXexcCritical5 2 2 2 6 2" xfId="17056"/>
    <cellStyle name="SAPBEXexcCritical5 2 2 2 6 3" xfId="17057"/>
    <cellStyle name="SAPBEXexcCritical5 2 2 2 7" xfId="17058"/>
    <cellStyle name="SAPBEXexcCritical5 2 2 2 7 2" xfId="17059"/>
    <cellStyle name="SAPBEXexcCritical5 2 2 2 7 3" xfId="17060"/>
    <cellStyle name="SAPBEXexcCritical5 2 2 2 8" xfId="17061"/>
    <cellStyle name="SAPBEXexcCritical5 2 2 2 8 2" xfId="17062"/>
    <cellStyle name="SAPBEXexcCritical5 2 2 2 8 3" xfId="17063"/>
    <cellStyle name="SAPBEXexcCritical5 2 2 2 9" xfId="17064"/>
    <cellStyle name="SAPBEXexcCritical5 2 2 2 9 2" xfId="17065"/>
    <cellStyle name="SAPBEXexcCritical5 2 2 2 9 3" xfId="17066"/>
    <cellStyle name="SAPBEXexcCritical5 2 2 2_planning-WP" xfId="17067"/>
    <cellStyle name="SAPBEXexcCritical5 2 2 3" xfId="5855"/>
    <cellStyle name="SAPBEXexcCritical5 2 2 3 2" xfId="17069"/>
    <cellStyle name="SAPBEXexcCritical5 2 2 3 3" xfId="17070"/>
    <cellStyle name="SAPBEXexcCritical5 2 2 3 4" xfId="17068"/>
    <cellStyle name="SAPBEXexcCritical5 2 2 4" xfId="6363"/>
    <cellStyle name="SAPBEXexcCritical5 2 2 4 2" xfId="17072"/>
    <cellStyle name="SAPBEXexcCritical5 2 2 4 3" xfId="17073"/>
    <cellStyle name="SAPBEXexcCritical5 2 2 4 4" xfId="17071"/>
    <cellStyle name="SAPBEXexcCritical5 2 2 5" xfId="6850"/>
    <cellStyle name="SAPBEXexcCritical5 2 2 5 2" xfId="17075"/>
    <cellStyle name="SAPBEXexcCritical5 2 2 5 3" xfId="17076"/>
    <cellStyle name="SAPBEXexcCritical5 2 2 5 4" xfId="17074"/>
    <cellStyle name="SAPBEXexcCritical5 2 2 6" xfId="7333"/>
    <cellStyle name="SAPBEXexcCritical5 2 2 6 2" xfId="17078"/>
    <cellStyle name="SAPBEXexcCritical5 2 2 6 3" xfId="17079"/>
    <cellStyle name="SAPBEXexcCritical5 2 2 6 4" xfId="17077"/>
    <cellStyle name="SAPBEXexcCritical5 2 2 7" xfId="8402"/>
    <cellStyle name="SAPBEXexcCritical5 2 2 7 2" xfId="17081"/>
    <cellStyle name="SAPBEXexcCritical5 2 2 7 3" xfId="17082"/>
    <cellStyle name="SAPBEXexcCritical5 2 2 7 4" xfId="17080"/>
    <cellStyle name="SAPBEXexcCritical5 2 2 8" xfId="8903"/>
    <cellStyle name="SAPBEXexcCritical5 2 2 8 2" xfId="17084"/>
    <cellStyle name="SAPBEXexcCritical5 2 2 8 3" xfId="17085"/>
    <cellStyle name="SAPBEXexcCritical5 2 2 8 4" xfId="17083"/>
    <cellStyle name="SAPBEXexcCritical5 2 2 9" xfId="9397"/>
    <cellStyle name="SAPBEXexcCritical5 2 2 9 2" xfId="17087"/>
    <cellStyle name="SAPBEXexcCritical5 2 2 9 3" xfId="17088"/>
    <cellStyle name="SAPBEXexcCritical5 2 2 9 4" xfId="17086"/>
    <cellStyle name="SAPBEXexcCritical5 2 2_planning-WP" xfId="17089"/>
    <cellStyle name="SAPBEXexcCritical5 2 3" xfId="1620"/>
    <cellStyle name="SAPBEXexcCritical5 2 3 10" xfId="17091"/>
    <cellStyle name="SAPBEXexcCritical5 2 3 11" xfId="17090"/>
    <cellStyle name="SAPBEXexcCritical5 2 3 12" xfId="9817"/>
    <cellStyle name="SAPBEXexcCritical5 2 3 2" xfId="4543"/>
    <cellStyle name="SAPBEXexcCritical5 2 3 2 2" xfId="17093"/>
    <cellStyle name="SAPBEXexcCritical5 2 3 2 3" xfId="17094"/>
    <cellStyle name="SAPBEXexcCritical5 2 3 2 4" xfId="17092"/>
    <cellStyle name="SAPBEXexcCritical5 2 3 3" xfId="5535"/>
    <cellStyle name="SAPBEXexcCritical5 2 3 3 2" xfId="17096"/>
    <cellStyle name="SAPBEXexcCritical5 2 3 3 3" xfId="17097"/>
    <cellStyle name="SAPBEXexcCritical5 2 3 3 4" xfId="17095"/>
    <cellStyle name="SAPBEXexcCritical5 2 3 4" xfId="6044"/>
    <cellStyle name="SAPBEXexcCritical5 2 3 4 2" xfId="17099"/>
    <cellStyle name="SAPBEXexcCritical5 2 3 4 3" xfId="17100"/>
    <cellStyle name="SAPBEXexcCritical5 2 3 4 4" xfId="17098"/>
    <cellStyle name="SAPBEXexcCritical5 2 3 5" xfId="6531"/>
    <cellStyle name="SAPBEXexcCritical5 2 3 5 2" xfId="17102"/>
    <cellStyle name="SAPBEXexcCritical5 2 3 5 3" xfId="17103"/>
    <cellStyle name="SAPBEXexcCritical5 2 3 5 4" xfId="17101"/>
    <cellStyle name="SAPBEXexcCritical5 2 3 6" xfId="7014"/>
    <cellStyle name="SAPBEXexcCritical5 2 3 6 2" xfId="17105"/>
    <cellStyle name="SAPBEXexcCritical5 2 3 6 3" xfId="17106"/>
    <cellStyle name="SAPBEXexcCritical5 2 3 6 4" xfId="17104"/>
    <cellStyle name="SAPBEXexcCritical5 2 3 7" xfId="8083"/>
    <cellStyle name="SAPBEXexcCritical5 2 3 7 2" xfId="17108"/>
    <cellStyle name="SAPBEXexcCritical5 2 3 7 3" xfId="17109"/>
    <cellStyle name="SAPBEXexcCritical5 2 3 7 4" xfId="17107"/>
    <cellStyle name="SAPBEXexcCritical5 2 3 8" xfId="8584"/>
    <cellStyle name="SAPBEXexcCritical5 2 3 8 2" xfId="17111"/>
    <cellStyle name="SAPBEXexcCritical5 2 3 8 3" xfId="17112"/>
    <cellStyle name="SAPBEXexcCritical5 2 3 8 4" xfId="17110"/>
    <cellStyle name="SAPBEXexcCritical5 2 3 9" xfId="9078"/>
    <cellStyle name="SAPBEXexcCritical5 2 3 9 2" xfId="17114"/>
    <cellStyle name="SAPBEXexcCritical5 2 3 9 3" xfId="17115"/>
    <cellStyle name="SAPBEXexcCritical5 2 3 9 4" xfId="17113"/>
    <cellStyle name="SAPBEXexcCritical5 2 3_planning-WP" xfId="17116"/>
    <cellStyle name="SAPBEXexcCritical5 2 4" xfId="17117"/>
    <cellStyle name="SAPBEXexcCritical5 2 4 2" xfId="17118"/>
    <cellStyle name="SAPBEXexcCritical5 2 4 2 2" xfId="17119"/>
    <cellStyle name="SAPBEXexcCritical5 2 4 2 3" xfId="17120"/>
    <cellStyle name="SAPBEXexcCritical5 2 4 3" xfId="17121"/>
    <cellStyle name="SAPBEXexcCritical5 2 4 3 2" xfId="17122"/>
    <cellStyle name="SAPBEXexcCritical5 2 4 3 3" xfId="17123"/>
    <cellStyle name="SAPBEXexcCritical5 2 4 4" xfId="17124"/>
    <cellStyle name="SAPBEXexcCritical5 2 4 4 2" xfId="17125"/>
    <cellStyle name="SAPBEXexcCritical5 2 4 4 3" xfId="17126"/>
    <cellStyle name="SAPBEXexcCritical5 2 4 5" xfId="17127"/>
    <cellStyle name="SAPBEXexcCritical5 2 4 5 2" xfId="17128"/>
    <cellStyle name="SAPBEXexcCritical5 2 4 5 3" xfId="17129"/>
    <cellStyle name="SAPBEXexcCritical5 2 4 6" xfId="17130"/>
    <cellStyle name="SAPBEXexcCritical5 2 4 6 2" xfId="17131"/>
    <cellStyle name="SAPBEXexcCritical5 2 4 6 3" xfId="17132"/>
    <cellStyle name="SAPBEXexcCritical5 2 4 7" xfId="17133"/>
    <cellStyle name="SAPBEXexcCritical5 2 4 7 2" xfId="17134"/>
    <cellStyle name="SAPBEXexcCritical5 2 4 7 3" xfId="17135"/>
    <cellStyle name="SAPBEXexcCritical5 2 4 8" xfId="17136"/>
    <cellStyle name="SAPBEXexcCritical5 2 4 8 2" xfId="17137"/>
    <cellStyle name="SAPBEXexcCritical5 2 4 8 3" xfId="17138"/>
    <cellStyle name="SAPBEXexcCritical5 2 4 9" xfId="17139"/>
    <cellStyle name="SAPBEXexcCritical5 2 4_planning-WP" xfId="17140"/>
    <cellStyle name="SAPBEXexcCritical5 2 5" xfId="17141"/>
    <cellStyle name="SAPBEXexcCritical5 2 5 2" xfId="17142"/>
    <cellStyle name="SAPBEXexcCritical5 2 6" xfId="17143"/>
    <cellStyle name="SAPBEXexcCritical5 2 6 2" xfId="17144"/>
    <cellStyle name="SAPBEXexcCritical5 2 6 3" xfId="17145"/>
    <cellStyle name="SAPBEXexcCritical5 2 7" xfId="17146"/>
    <cellStyle name="SAPBEXexcCritical5 2 7 2" xfId="17147"/>
    <cellStyle name="SAPBEXexcCritical5 2 7 3" xfId="17148"/>
    <cellStyle name="SAPBEXexcCritical5 2 8" xfId="17149"/>
    <cellStyle name="SAPBEXexcCritical5 2 8 2" xfId="17150"/>
    <cellStyle name="SAPBEXexcCritical5 2 8 3" xfId="17151"/>
    <cellStyle name="SAPBEXexcCritical5 2 9" xfId="17152"/>
    <cellStyle name="SAPBEXexcCritical5 2 9 2" xfId="17153"/>
    <cellStyle name="SAPBEXexcCritical5 2 9 3" xfId="17154"/>
    <cellStyle name="SAPBEXexcCritical5 2_planning-WP" xfId="17155"/>
    <cellStyle name="SAPBEXexcCritical5 20" xfId="38916"/>
    <cellStyle name="SAPBEXexcCritical5 21" xfId="39326"/>
    <cellStyle name="SAPBEXexcCritical5 3" xfId="1592"/>
    <cellStyle name="SAPBEXexcCritical5 3 10" xfId="7744"/>
    <cellStyle name="SAPBEXexcCritical5 3 10 2" xfId="17158"/>
    <cellStyle name="SAPBEXexcCritical5 3 10 3" xfId="17159"/>
    <cellStyle name="SAPBEXexcCritical5 3 10 4" xfId="17157"/>
    <cellStyle name="SAPBEXexcCritical5 3 11" xfId="17160"/>
    <cellStyle name="SAPBEXexcCritical5 3 11 2" xfId="17161"/>
    <cellStyle name="SAPBEXexcCritical5 3 11 3" xfId="17162"/>
    <cellStyle name="SAPBEXexcCritical5 3 12" xfId="17163"/>
    <cellStyle name="SAPBEXexcCritical5 3 12 2" xfId="17164"/>
    <cellStyle name="SAPBEXexcCritical5 3 12 3" xfId="17165"/>
    <cellStyle name="SAPBEXexcCritical5 3 13" xfId="17166"/>
    <cellStyle name="SAPBEXexcCritical5 3 14" xfId="17156"/>
    <cellStyle name="SAPBEXexcCritical5 3 15" xfId="9789"/>
    <cellStyle name="SAPBEXexcCritical5 3 16" xfId="38919"/>
    <cellStyle name="SAPBEXexcCritical5 3 17" xfId="39329"/>
    <cellStyle name="SAPBEXexcCritical5 3 2" xfId="1935"/>
    <cellStyle name="SAPBEXexcCritical5 3 2 10" xfId="17168"/>
    <cellStyle name="SAPBEXexcCritical5 3 2 10 2" xfId="17169"/>
    <cellStyle name="SAPBEXexcCritical5 3 2 10 3" xfId="17170"/>
    <cellStyle name="SAPBEXexcCritical5 3 2 11" xfId="17171"/>
    <cellStyle name="SAPBEXexcCritical5 3 2 12" xfId="17167"/>
    <cellStyle name="SAPBEXexcCritical5 3 2 13" xfId="10113"/>
    <cellStyle name="SAPBEXexcCritical5 3 2 14" xfId="38920"/>
    <cellStyle name="SAPBEXexcCritical5 3 2 15" xfId="39330"/>
    <cellStyle name="SAPBEXexcCritical5 3 2 2" xfId="4853"/>
    <cellStyle name="SAPBEXexcCritical5 3 2 2 10" xfId="17173"/>
    <cellStyle name="SAPBEXexcCritical5 3 2 2 11" xfId="17172"/>
    <cellStyle name="SAPBEXexcCritical5 3 2 2 2" xfId="17174"/>
    <cellStyle name="SAPBEXexcCritical5 3 2 2 2 2" xfId="17175"/>
    <cellStyle name="SAPBEXexcCritical5 3 2 2 2 3" xfId="17176"/>
    <cellStyle name="SAPBEXexcCritical5 3 2 2 3" xfId="17177"/>
    <cellStyle name="SAPBEXexcCritical5 3 2 2 3 2" xfId="17178"/>
    <cellStyle name="SAPBEXexcCritical5 3 2 2 3 3" xfId="17179"/>
    <cellStyle name="SAPBEXexcCritical5 3 2 2 4" xfId="17180"/>
    <cellStyle name="SAPBEXexcCritical5 3 2 2 4 2" xfId="17181"/>
    <cellStyle name="SAPBEXexcCritical5 3 2 2 4 3" xfId="17182"/>
    <cellStyle name="SAPBEXexcCritical5 3 2 2 5" xfId="17183"/>
    <cellStyle name="SAPBEXexcCritical5 3 2 2 5 2" xfId="17184"/>
    <cellStyle name="SAPBEXexcCritical5 3 2 2 5 3" xfId="17185"/>
    <cellStyle name="SAPBEXexcCritical5 3 2 2 6" xfId="17186"/>
    <cellStyle name="SAPBEXexcCritical5 3 2 2 6 2" xfId="17187"/>
    <cellStyle name="SAPBEXexcCritical5 3 2 2 6 3" xfId="17188"/>
    <cellStyle name="SAPBEXexcCritical5 3 2 2 7" xfId="17189"/>
    <cellStyle name="SAPBEXexcCritical5 3 2 2 7 2" xfId="17190"/>
    <cellStyle name="SAPBEXexcCritical5 3 2 2 7 3" xfId="17191"/>
    <cellStyle name="SAPBEXexcCritical5 3 2 2 8" xfId="17192"/>
    <cellStyle name="SAPBEXexcCritical5 3 2 2 8 2" xfId="17193"/>
    <cellStyle name="SAPBEXexcCritical5 3 2 2 8 3" xfId="17194"/>
    <cellStyle name="SAPBEXexcCritical5 3 2 2 9" xfId="17195"/>
    <cellStyle name="SAPBEXexcCritical5 3 2 2 9 2" xfId="17196"/>
    <cellStyle name="SAPBEXexcCritical5 3 2 2 9 3" xfId="17197"/>
    <cellStyle name="SAPBEXexcCritical5 3 2 2_planning-WP" xfId="17198"/>
    <cellStyle name="SAPBEXexcCritical5 3 2 3" xfId="5832"/>
    <cellStyle name="SAPBEXexcCritical5 3 2 3 2" xfId="17200"/>
    <cellStyle name="SAPBEXexcCritical5 3 2 3 3" xfId="17201"/>
    <cellStyle name="SAPBEXexcCritical5 3 2 3 4" xfId="17199"/>
    <cellStyle name="SAPBEXexcCritical5 3 2 4" xfId="6340"/>
    <cellStyle name="SAPBEXexcCritical5 3 2 4 2" xfId="17203"/>
    <cellStyle name="SAPBEXexcCritical5 3 2 4 3" xfId="17204"/>
    <cellStyle name="SAPBEXexcCritical5 3 2 4 4" xfId="17202"/>
    <cellStyle name="SAPBEXexcCritical5 3 2 5" xfId="6827"/>
    <cellStyle name="SAPBEXexcCritical5 3 2 5 2" xfId="17206"/>
    <cellStyle name="SAPBEXexcCritical5 3 2 5 3" xfId="17207"/>
    <cellStyle name="SAPBEXexcCritical5 3 2 5 4" xfId="17205"/>
    <cellStyle name="SAPBEXexcCritical5 3 2 6" xfId="7310"/>
    <cellStyle name="SAPBEXexcCritical5 3 2 6 2" xfId="17209"/>
    <cellStyle name="SAPBEXexcCritical5 3 2 6 3" xfId="17210"/>
    <cellStyle name="SAPBEXexcCritical5 3 2 6 4" xfId="17208"/>
    <cellStyle name="SAPBEXexcCritical5 3 2 7" xfId="8379"/>
    <cellStyle name="SAPBEXexcCritical5 3 2 7 2" xfId="17212"/>
    <cellStyle name="SAPBEXexcCritical5 3 2 7 3" xfId="17213"/>
    <cellStyle name="SAPBEXexcCritical5 3 2 7 4" xfId="17211"/>
    <cellStyle name="SAPBEXexcCritical5 3 2 8" xfId="8880"/>
    <cellStyle name="SAPBEXexcCritical5 3 2 8 2" xfId="17215"/>
    <cellStyle name="SAPBEXexcCritical5 3 2 8 3" xfId="17216"/>
    <cellStyle name="SAPBEXexcCritical5 3 2 8 4" xfId="17214"/>
    <cellStyle name="SAPBEXexcCritical5 3 2 9" xfId="9374"/>
    <cellStyle name="SAPBEXexcCritical5 3 2 9 2" xfId="17218"/>
    <cellStyle name="SAPBEXexcCritical5 3 2 9 3" xfId="17219"/>
    <cellStyle name="SAPBEXexcCritical5 3 2 9 4" xfId="17217"/>
    <cellStyle name="SAPBEXexcCritical5 3 2_planning-WP" xfId="17220"/>
    <cellStyle name="SAPBEXexcCritical5 3 3" xfId="4515"/>
    <cellStyle name="SAPBEXexcCritical5 3 3 10" xfId="17222"/>
    <cellStyle name="SAPBEXexcCritical5 3 3 11" xfId="17221"/>
    <cellStyle name="SAPBEXexcCritical5 3 3 2" xfId="17223"/>
    <cellStyle name="SAPBEXexcCritical5 3 3 2 2" xfId="17224"/>
    <cellStyle name="SAPBEXexcCritical5 3 3 2 3" xfId="17225"/>
    <cellStyle name="SAPBEXexcCritical5 3 3 3" xfId="17226"/>
    <cellStyle name="SAPBEXexcCritical5 3 3 3 2" xfId="17227"/>
    <cellStyle name="SAPBEXexcCritical5 3 3 3 3" xfId="17228"/>
    <cellStyle name="SAPBEXexcCritical5 3 3 4" xfId="17229"/>
    <cellStyle name="SAPBEXexcCritical5 3 3 4 2" xfId="17230"/>
    <cellStyle name="SAPBEXexcCritical5 3 3 4 3" xfId="17231"/>
    <cellStyle name="SAPBEXexcCritical5 3 3 5" xfId="17232"/>
    <cellStyle name="SAPBEXexcCritical5 3 3 5 2" xfId="17233"/>
    <cellStyle name="SAPBEXexcCritical5 3 3 5 3" xfId="17234"/>
    <cellStyle name="SAPBEXexcCritical5 3 3 6" xfId="17235"/>
    <cellStyle name="SAPBEXexcCritical5 3 3 6 2" xfId="17236"/>
    <cellStyle name="SAPBEXexcCritical5 3 3 6 3" xfId="17237"/>
    <cellStyle name="SAPBEXexcCritical5 3 3 7" xfId="17238"/>
    <cellStyle name="SAPBEXexcCritical5 3 3 7 2" xfId="17239"/>
    <cellStyle name="SAPBEXexcCritical5 3 3 7 3" xfId="17240"/>
    <cellStyle name="SAPBEXexcCritical5 3 3 8" xfId="17241"/>
    <cellStyle name="SAPBEXexcCritical5 3 3 8 2" xfId="17242"/>
    <cellStyle name="SAPBEXexcCritical5 3 3 8 3" xfId="17243"/>
    <cellStyle name="SAPBEXexcCritical5 3 3 9" xfId="17244"/>
    <cellStyle name="SAPBEXexcCritical5 3 3 9 2" xfId="17245"/>
    <cellStyle name="SAPBEXexcCritical5 3 3 9 3" xfId="17246"/>
    <cellStyle name="SAPBEXexcCritical5 3 3_planning-WP" xfId="17247"/>
    <cellStyle name="SAPBEXexcCritical5 3 4" xfId="5507"/>
    <cellStyle name="SAPBEXexcCritical5 3 4 10" xfId="17248"/>
    <cellStyle name="SAPBEXexcCritical5 3 4 2" xfId="17249"/>
    <cellStyle name="SAPBEXexcCritical5 3 4 2 2" xfId="17250"/>
    <cellStyle name="SAPBEXexcCritical5 3 4 2 3" xfId="17251"/>
    <cellStyle name="SAPBEXexcCritical5 3 4 3" xfId="17252"/>
    <cellStyle name="SAPBEXexcCritical5 3 4 3 2" xfId="17253"/>
    <cellStyle name="SAPBEXexcCritical5 3 4 3 3" xfId="17254"/>
    <cellStyle name="SAPBEXexcCritical5 3 4 4" xfId="17255"/>
    <cellStyle name="SAPBEXexcCritical5 3 4 4 2" xfId="17256"/>
    <cellStyle name="SAPBEXexcCritical5 3 4 4 3" xfId="17257"/>
    <cellStyle name="SAPBEXexcCritical5 3 4 5" xfId="17258"/>
    <cellStyle name="SAPBEXexcCritical5 3 4 5 2" xfId="17259"/>
    <cellStyle name="SAPBEXexcCritical5 3 4 5 3" xfId="17260"/>
    <cellStyle name="SAPBEXexcCritical5 3 4 6" xfId="17261"/>
    <cellStyle name="SAPBEXexcCritical5 3 4 6 2" xfId="17262"/>
    <cellStyle name="SAPBEXexcCritical5 3 4 6 3" xfId="17263"/>
    <cellStyle name="SAPBEXexcCritical5 3 4 7" xfId="17264"/>
    <cellStyle name="SAPBEXexcCritical5 3 4 7 2" xfId="17265"/>
    <cellStyle name="SAPBEXexcCritical5 3 4 7 3" xfId="17266"/>
    <cellStyle name="SAPBEXexcCritical5 3 4 8" xfId="17267"/>
    <cellStyle name="SAPBEXexcCritical5 3 4 8 2" xfId="17268"/>
    <cellStyle name="SAPBEXexcCritical5 3 4 8 3" xfId="17269"/>
    <cellStyle name="SAPBEXexcCritical5 3 4 9" xfId="17270"/>
    <cellStyle name="SAPBEXexcCritical5 3 4_planning-WP" xfId="17271"/>
    <cellStyle name="SAPBEXexcCritical5 3 5" xfId="3331"/>
    <cellStyle name="SAPBEXexcCritical5 3 5 2" xfId="17273"/>
    <cellStyle name="SAPBEXexcCritical5 3 5 3" xfId="17272"/>
    <cellStyle name="SAPBEXexcCritical5 3 6" xfId="3248"/>
    <cellStyle name="SAPBEXexcCritical5 3 6 2" xfId="17275"/>
    <cellStyle name="SAPBEXexcCritical5 3 6 3" xfId="17276"/>
    <cellStyle name="SAPBEXexcCritical5 3 6 4" xfId="17274"/>
    <cellStyle name="SAPBEXexcCritical5 3 7" xfId="5230"/>
    <cellStyle name="SAPBEXexcCritical5 3 7 2" xfId="17278"/>
    <cellStyle name="SAPBEXexcCritical5 3 7 3" xfId="17279"/>
    <cellStyle name="SAPBEXexcCritical5 3 7 4" xfId="17277"/>
    <cellStyle name="SAPBEXexcCritical5 3 8" xfId="8055"/>
    <cellStyle name="SAPBEXexcCritical5 3 8 2" xfId="17281"/>
    <cellStyle name="SAPBEXexcCritical5 3 8 3" xfId="17282"/>
    <cellStyle name="SAPBEXexcCritical5 3 8 4" xfId="17280"/>
    <cellStyle name="SAPBEXexcCritical5 3 9" xfId="7493"/>
    <cellStyle name="SAPBEXexcCritical5 3 9 2" xfId="17284"/>
    <cellStyle name="SAPBEXexcCritical5 3 9 3" xfId="17285"/>
    <cellStyle name="SAPBEXexcCritical5 3 9 4" xfId="17283"/>
    <cellStyle name="SAPBEXexcCritical5 3_planning-WP" xfId="17286"/>
    <cellStyle name="SAPBEXexcCritical5 4" xfId="1707"/>
    <cellStyle name="SAPBEXexcCritical5 4 10" xfId="9164"/>
    <cellStyle name="SAPBEXexcCritical5 4 10 2" xfId="17289"/>
    <cellStyle name="SAPBEXexcCritical5 4 10 3" xfId="17290"/>
    <cellStyle name="SAPBEXexcCritical5 4 10 4" xfId="17288"/>
    <cellStyle name="SAPBEXexcCritical5 4 11" xfId="17291"/>
    <cellStyle name="SAPBEXexcCritical5 4 11 2" xfId="17292"/>
    <cellStyle name="SAPBEXexcCritical5 4 11 3" xfId="17293"/>
    <cellStyle name="SAPBEXexcCritical5 4 12" xfId="17294"/>
    <cellStyle name="SAPBEXexcCritical5 4 12 2" xfId="17295"/>
    <cellStyle name="SAPBEXexcCritical5 4 12 3" xfId="17296"/>
    <cellStyle name="SAPBEXexcCritical5 4 13" xfId="17287"/>
    <cellStyle name="SAPBEXexcCritical5 4 14" xfId="9903"/>
    <cellStyle name="SAPBEXexcCritical5 4 15" xfId="38921"/>
    <cellStyle name="SAPBEXexcCritical5 4 16" xfId="39331"/>
    <cellStyle name="SAPBEXexcCritical5 4 2" xfId="2039"/>
    <cellStyle name="SAPBEXexcCritical5 4 2 10" xfId="17298"/>
    <cellStyle name="SAPBEXexcCritical5 4 2 10 2" xfId="17299"/>
    <cellStyle name="SAPBEXexcCritical5 4 2 10 3" xfId="17300"/>
    <cellStyle name="SAPBEXexcCritical5 4 2 11" xfId="17301"/>
    <cellStyle name="SAPBEXexcCritical5 4 2 12" xfId="17297"/>
    <cellStyle name="SAPBEXexcCritical5 4 2 13" xfId="10216"/>
    <cellStyle name="SAPBEXexcCritical5 4 2 14" xfId="38922"/>
    <cellStyle name="SAPBEXexcCritical5 4 2 15" xfId="39332"/>
    <cellStyle name="SAPBEXexcCritical5 4 2 2" xfId="4956"/>
    <cellStyle name="SAPBEXexcCritical5 4 2 2 10" xfId="17303"/>
    <cellStyle name="SAPBEXexcCritical5 4 2 2 11" xfId="17302"/>
    <cellStyle name="SAPBEXexcCritical5 4 2 2 2" xfId="17304"/>
    <cellStyle name="SAPBEXexcCritical5 4 2 2 2 2" xfId="17305"/>
    <cellStyle name="SAPBEXexcCritical5 4 2 2 2 3" xfId="17306"/>
    <cellStyle name="SAPBEXexcCritical5 4 2 2 3" xfId="17307"/>
    <cellStyle name="SAPBEXexcCritical5 4 2 2 3 2" xfId="17308"/>
    <cellStyle name="SAPBEXexcCritical5 4 2 2 3 3" xfId="17309"/>
    <cellStyle name="SAPBEXexcCritical5 4 2 2 4" xfId="17310"/>
    <cellStyle name="SAPBEXexcCritical5 4 2 2 4 2" xfId="17311"/>
    <cellStyle name="SAPBEXexcCritical5 4 2 2 4 3" xfId="17312"/>
    <cellStyle name="SAPBEXexcCritical5 4 2 2 5" xfId="17313"/>
    <cellStyle name="SAPBEXexcCritical5 4 2 2 5 2" xfId="17314"/>
    <cellStyle name="SAPBEXexcCritical5 4 2 2 5 3" xfId="17315"/>
    <cellStyle name="SAPBEXexcCritical5 4 2 2 6" xfId="17316"/>
    <cellStyle name="SAPBEXexcCritical5 4 2 2 6 2" xfId="17317"/>
    <cellStyle name="SAPBEXexcCritical5 4 2 2 6 3" xfId="17318"/>
    <cellStyle name="SAPBEXexcCritical5 4 2 2 7" xfId="17319"/>
    <cellStyle name="SAPBEXexcCritical5 4 2 2 7 2" xfId="17320"/>
    <cellStyle name="SAPBEXexcCritical5 4 2 2 7 3" xfId="17321"/>
    <cellStyle name="SAPBEXexcCritical5 4 2 2 8" xfId="17322"/>
    <cellStyle name="SAPBEXexcCritical5 4 2 2 8 2" xfId="17323"/>
    <cellStyle name="SAPBEXexcCritical5 4 2 2 8 3" xfId="17324"/>
    <cellStyle name="SAPBEXexcCritical5 4 2 2 9" xfId="17325"/>
    <cellStyle name="SAPBEXexcCritical5 4 2 2 9 2" xfId="17326"/>
    <cellStyle name="SAPBEXexcCritical5 4 2 2 9 3" xfId="17327"/>
    <cellStyle name="SAPBEXexcCritical5 4 2 2_planning-WP" xfId="17328"/>
    <cellStyle name="SAPBEXexcCritical5 4 2 3" xfId="5935"/>
    <cellStyle name="SAPBEXexcCritical5 4 2 3 2" xfId="17330"/>
    <cellStyle name="SAPBEXexcCritical5 4 2 3 3" xfId="17331"/>
    <cellStyle name="SAPBEXexcCritical5 4 2 3 4" xfId="17329"/>
    <cellStyle name="SAPBEXexcCritical5 4 2 4" xfId="6443"/>
    <cellStyle name="SAPBEXexcCritical5 4 2 4 2" xfId="17333"/>
    <cellStyle name="SAPBEXexcCritical5 4 2 4 3" xfId="17334"/>
    <cellStyle name="SAPBEXexcCritical5 4 2 4 4" xfId="17332"/>
    <cellStyle name="SAPBEXexcCritical5 4 2 5" xfId="6930"/>
    <cellStyle name="SAPBEXexcCritical5 4 2 5 2" xfId="17336"/>
    <cellStyle name="SAPBEXexcCritical5 4 2 5 3" xfId="17337"/>
    <cellStyle name="SAPBEXexcCritical5 4 2 5 4" xfId="17335"/>
    <cellStyle name="SAPBEXexcCritical5 4 2 6" xfId="7413"/>
    <cellStyle name="SAPBEXexcCritical5 4 2 6 2" xfId="17339"/>
    <cellStyle name="SAPBEXexcCritical5 4 2 6 3" xfId="17340"/>
    <cellStyle name="SAPBEXexcCritical5 4 2 6 4" xfId="17338"/>
    <cellStyle name="SAPBEXexcCritical5 4 2 7" xfId="8482"/>
    <cellStyle name="SAPBEXexcCritical5 4 2 7 2" xfId="17342"/>
    <cellStyle name="SAPBEXexcCritical5 4 2 7 3" xfId="17343"/>
    <cellStyle name="SAPBEXexcCritical5 4 2 7 4" xfId="17341"/>
    <cellStyle name="SAPBEXexcCritical5 4 2 8" xfId="8983"/>
    <cellStyle name="SAPBEXexcCritical5 4 2 8 2" xfId="17345"/>
    <cellStyle name="SAPBEXexcCritical5 4 2 8 3" xfId="17346"/>
    <cellStyle name="SAPBEXexcCritical5 4 2 8 4" xfId="17344"/>
    <cellStyle name="SAPBEXexcCritical5 4 2 9" xfId="9477"/>
    <cellStyle name="SAPBEXexcCritical5 4 2 9 2" xfId="17348"/>
    <cellStyle name="SAPBEXexcCritical5 4 2 9 3" xfId="17349"/>
    <cellStyle name="SAPBEXexcCritical5 4 2 9 4" xfId="17347"/>
    <cellStyle name="SAPBEXexcCritical5 4 2_planning-WP" xfId="17350"/>
    <cellStyle name="SAPBEXexcCritical5 4 3" xfId="4629"/>
    <cellStyle name="SAPBEXexcCritical5 4 3 10" xfId="17352"/>
    <cellStyle name="SAPBEXexcCritical5 4 3 11" xfId="17351"/>
    <cellStyle name="SAPBEXexcCritical5 4 3 2" xfId="17353"/>
    <cellStyle name="SAPBEXexcCritical5 4 3 2 2" xfId="17354"/>
    <cellStyle name="SAPBEXexcCritical5 4 3 2 3" xfId="17355"/>
    <cellStyle name="SAPBEXexcCritical5 4 3 3" xfId="17356"/>
    <cellStyle name="SAPBEXexcCritical5 4 3 3 2" xfId="17357"/>
    <cellStyle name="SAPBEXexcCritical5 4 3 3 3" xfId="17358"/>
    <cellStyle name="SAPBEXexcCritical5 4 3 4" xfId="17359"/>
    <cellStyle name="SAPBEXexcCritical5 4 3 4 2" xfId="17360"/>
    <cellStyle name="SAPBEXexcCritical5 4 3 4 3" xfId="17361"/>
    <cellStyle name="SAPBEXexcCritical5 4 3 5" xfId="17362"/>
    <cellStyle name="SAPBEXexcCritical5 4 3 5 2" xfId="17363"/>
    <cellStyle name="SAPBEXexcCritical5 4 3 5 3" xfId="17364"/>
    <cellStyle name="SAPBEXexcCritical5 4 3 6" xfId="17365"/>
    <cellStyle name="SAPBEXexcCritical5 4 3 6 2" xfId="17366"/>
    <cellStyle name="SAPBEXexcCritical5 4 3 6 3" xfId="17367"/>
    <cellStyle name="SAPBEXexcCritical5 4 3 7" xfId="17368"/>
    <cellStyle name="SAPBEXexcCritical5 4 3 7 2" xfId="17369"/>
    <cellStyle name="SAPBEXexcCritical5 4 3 7 3" xfId="17370"/>
    <cellStyle name="SAPBEXexcCritical5 4 3 8" xfId="17371"/>
    <cellStyle name="SAPBEXexcCritical5 4 3 8 2" xfId="17372"/>
    <cellStyle name="SAPBEXexcCritical5 4 3 8 3" xfId="17373"/>
    <cellStyle name="SAPBEXexcCritical5 4 3 9" xfId="17374"/>
    <cellStyle name="SAPBEXexcCritical5 4 3 9 2" xfId="17375"/>
    <cellStyle name="SAPBEXexcCritical5 4 3 9 3" xfId="17376"/>
    <cellStyle name="SAPBEXexcCritical5 4 3_planning-WP" xfId="17377"/>
    <cellStyle name="SAPBEXexcCritical5 4 4" xfId="5621"/>
    <cellStyle name="SAPBEXexcCritical5 4 4 10" xfId="17378"/>
    <cellStyle name="SAPBEXexcCritical5 4 4 2" xfId="17379"/>
    <cellStyle name="SAPBEXexcCritical5 4 4 2 2" xfId="17380"/>
    <cellStyle name="SAPBEXexcCritical5 4 4 2 3" xfId="17381"/>
    <cellStyle name="SAPBEXexcCritical5 4 4 3" xfId="17382"/>
    <cellStyle name="SAPBEXexcCritical5 4 4 3 2" xfId="17383"/>
    <cellStyle name="SAPBEXexcCritical5 4 4 3 3" xfId="17384"/>
    <cellStyle name="SAPBEXexcCritical5 4 4 4" xfId="17385"/>
    <cellStyle name="SAPBEXexcCritical5 4 4 4 2" xfId="17386"/>
    <cellStyle name="SAPBEXexcCritical5 4 4 4 3" xfId="17387"/>
    <cellStyle name="SAPBEXexcCritical5 4 4 5" xfId="17388"/>
    <cellStyle name="SAPBEXexcCritical5 4 4 5 2" xfId="17389"/>
    <cellStyle name="SAPBEXexcCritical5 4 4 5 3" xfId="17390"/>
    <cellStyle name="SAPBEXexcCritical5 4 4 6" xfId="17391"/>
    <cellStyle name="SAPBEXexcCritical5 4 4 6 2" xfId="17392"/>
    <cellStyle name="SAPBEXexcCritical5 4 4 6 3" xfId="17393"/>
    <cellStyle name="SAPBEXexcCritical5 4 4 7" xfId="17394"/>
    <cellStyle name="SAPBEXexcCritical5 4 4 7 2" xfId="17395"/>
    <cellStyle name="SAPBEXexcCritical5 4 4 7 3" xfId="17396"/>
    <cellStyle name="SAPBEXexcCritical5 4 4 8" xfId="17397"/>
    <cellStyle name="SAPBEXexcCritical5 4 4 8 2" xfId="17398"/>
    <cellStyle name="SAPBEXexcCritical5 4 4 8 3" xfId="17399"/>
    <cellStyle name="SAPBEXexcCritical5 4 4 9" xfId="17400"/>
    <cellStyle name="SAPBEXexcCritical5 4 4_planning-WP" xfId="17401"/>
    <cellStyle name="SAPBEXexcCritical5 4 5" xfId="6130"/>
    <cellStyle name="SAPBEXexcCritical5 4 5 2" xfId="17403"/>
    <cellStyle name="SAPBEXexcCritical5 4 5 3" xfId="17402"/>
    <cellStyle name="SAPBEXexcCritical5 4 6" xfId="6617"/>
    <cellStyle name="SAPBEXexcCritical5 4 6 2" xfId="17405"/>
    <cellStyle name="SAPBEXexcCritical5 4 6 3" xfId="17406"/>
    <cellStyle name="SAPBEXexcCritical5 4 6 4" xfId="17404"/>
    <cellStyle name="SAPBEXexcCritical5 4 7" xfId="7100"/>
    <cellStyle name="SAPBEXexcCritical5 4 7 2" xfId="17408"/>
    <cellStyle name="SAPBEXexcCritical5 4 7 3" xfId="17409"/>
    <cellStyle name="SAPBEXexcCritical5 4 7 4" xfId="17407"/>
    <cellStyle name="SAPBEXexcCritical5 4 8" xfId="8169"/>
    <cellStyle name="SAPBEXexcCritical5 4 8 2" xfId="17411"/>
    <cellStyle name="SAPBEXexcCritical5 4 8 3" xfId="17412"/>
    <cellStyle name="SAPBEXexcCritical5 4 8 4" xfId="17410"/>
    <cellStyle name="SAPBEXexcCritical5 4 9" xfId="8670"/>
    <cellStyle name="SAPBEXexcCritical5 4 9 2" xfId="17414"/>
    <cellStyle name="SAPBEXexcCritical5 4 9 3" xfId="17415"/>
    <cellStyle name="SAPBEXexcCritical5 4 9 4" xfId="17413"/>
    <cellStyle name="SAPBEXexcCritical5 4_planning-WP" xfId="17416"/>
    <cellStyle name="SAPBEXexcCritical5 5" xfId="1644"/>
    <cellStyle name="SAPBEXexcCritical5 5 10" xfId="9102"/>
    <cellStyle name="SAPBEXexcCritical5 5 10 2" xfId="17419"/>
    <cellStyle name="SAPBEXexcCritical5 5 10 3" xfId="17420"/>
    <cellStyle name="SAPBEXexcCritical5 5 10 4" xfId="17418"/>
    <cellStyle name="SAPBEXexcCritical5 5 11" xfId="17421"/>
    <cellStyle name="SAPBEXexcCritical5 5 11 2" xfId="17422"/>
    <cellStyle name="SAPBEXexcCritical5 5 11 3" xfId="17423"/>
    <cellStyle name="SAPBEXexcCritical5 5 12" xfId="17424"/>
    <cellStyle name="SAPBEXexcCritical5 5 12 2" xfId="17425"/>
    <cellStyle name="SAPBEXexcCritical5 5 12 3" xfId="17426"/>
    <cellStyle name="SAPBEXexcCritical5 5 13" xfId="17417"/>
    <cellStyle name="SAPBEXexcCritical5 5 14" xfId="9841"/>
    <cellStyle name="SAPBEXexcCritical5 5 15" xfId="38923"/>
    <cellStyle name="SAPBEXexcCritical5 5 16" xfId="39333"/>
    <cellStyle name="SAPBEXexcCritical5 5 2" xfId="1980"/>
    <cellStyle name="SAPBEXexcCritical5 5 2 10" xfId="17428"/>
    <cellStyle name="SAPBEXexcCritical5 5 2 10 2" xfId="17429"/>
    <cellStyle name="SAPBEXexcCritical5 5 2 10 3" xfId="17430"/>
    <cellStyle name="SAPBEXexcCritical5 5 2 11" xfId="17431"/>
    <cellStyle name="SAPBEXexcCritical5 5 2 12" xfId="17427"/>
    <cellStyle name="SAPBEXexcCritical5 5 2 13" xfId="10158"/>
    <cellStyle name="SAPBEXexcCritical5 5 2 2" xfId="4898"/>
    <cellStyle name="SAPBEXexcCritical5 5 2 2 10" xfId="17433"/>
    <cellStyle name="SAPBEXexcCritical5 5 2 2 11" xfId="17432"/>
    <cellStyle name="SAPBEXexcCritical5 5 2 2 2" xfId="17434"/>
    <cellStyle name="SAPBEXexcCritical5 5 2 2 2 2" xfId="17435"/>
    <cellStyle name="SAPBEXexcCritical5 5 2 2 2 3" xfId="17436"/>
    <cellStyle name="SAPBEXexcCritical5 5 2 2 3" xfId="17437"/>
    <cellStyle name="SAPBEXexcCritical5 5 2 2 3 2" xfId="17438"/>
    <cellStyle name="SAPBEXexcCritical5 5 2 2 3 3" xfId="17439"/>
    <cellStyle name="SAPBEXexcCritical5 5 2 2 4" xfId="17440"/>
    <cellStyle name="SAPBEXexcCritical5 5 2 2 4 2" xfId="17441"/>
    <cellStyle name="SAPBEXexcCritical5 5 2 2 4 3" xfId="17442"/>
    <cellStyle name="SAPBEXexcCritical5 5 2 2 5" xfId="17443"/>
    <cellStyle name="SAPBEXexcCritical5 5 2 2 5 2" xfId="17444"/>
    <cellStyle name="SAPBEXexcCritical5 5 2 2 5 3" xfId="17445"/>
    <cellStyle name="SAPBEXexcCritical5 5 2 2 6" xfId="17446"/>
    <cellStyle name="SAPBEXexcCritical5 5 2 2 6 2" xfId="17447"/>
    <cellStyle name="SAPBEXexcCritical5 5 2 2 6 3" xfId="17448"/>
    <cellStyle name="SAPBEXexcCritical5 5 2 2 7" xfId="17449"/>
    <cellStyle name="SAPBEXexcCritical5 5 2 2 7 2" xfId="17450"/>
    <cellStyle name="SAPBEXexcCritical5 5 2 2 7 3" xfId="17451"/>
    <cellStyle name="SAPBEXexcCritical5 5 2 2 8" xfId="17452"/>
    <cellStyle name="SAPBEXexcCritical5 5 2 2 8 2" xfId="17453"/>
    <cellStyle name="SAPBEXexcCritical5 5 2 2 8 3" xfId="17454"/>
    <cellStyle name="SAPBEXexcCritical5 5 2 2 9" xfId="17455"/>
    <cellStyle name="SAPBEXexcCritical5 5 2 2 9 2" xfId="17456"/>
    <cellStyle name="SAPBEXexcCritical5 5 2 2 9 3" xfId="17457"/>
    <cellStyle name="SAPBEXexcCritical5 5 2 2_planning-WP" xfId="17458"/>
    <cellStyle name="SAPBEXexcCritical5 5 2 3" xfId="5877"/>
    <cellStyle name="SAPBEXexcCritical5 5 2 3 2" xfId="17460"/>
    <cellStyle name="SAPBEXexcCritical5 5 2 3 3" xfId="17461"/>
    <cellStyle name="SAPBEXexcCritical5 5 2 3 4" xfId="17459"/>
    <cellStyle name="SAPBEXexcCritical5 5 2 4" xfId="6385"/>
    <cellStyle name="SAPBEXexcCritical5 5 2 4 2" xfId="17463"/>
    <cellStyle name="SAPBEXexcCritical5 5 2 4 3" xfId="17464"/>
    <cellStyle name="SAPBEXexcCritical5 5 2 4 4" xfId="17462"/>
    <cellStyle name="SAPBEXexcCritical5 5 2 5" xfId="6872"/>
    <cellStyle name="SAPBEXexcCritical5 5 2 5 2" xfId="17466"/>
    <cellStyle name="SAPBEXexcCritical5 5 2 5 3" xfId="17467"/>
    <cellStyle name="SAPBEXexcCritical5 5 2 5 4" xfId="17465"/>
    <cellStyle name="SAPBEXexcCritical5 5 2 6" xfId="7355"/>
    <cellStyle name="SAPBEXexcCritical5 5 2 6 2" xfId="17469"/>
    <cellStyle name="SAPBEXexcCritical5 5 2 6 3" xfId="17470"/>
    <cellStyle name="SAPBEXexcCritical5 5 2 6 4" xfId="17468"/>
    <cellStyle name="SAPBEXexcCritical5 5 2 7" xfId="8424"/>
    <cellStyle name="SAPBEXexcCritical5 5 2 7 2" xfId="17472"/>
    <cellStyle name="SAPBEXexcCritical5 5 2 7 3" xfId="17473"/>
    <cellStyle name="SAPBEXexcCritical5 5 2 7 4" xfId="17471"/>
    <cellStyle name="SAPBEXexcCritical5 5 2 8" xfId="8925"/>
    <cellStyle name="SAPBEXexcCritical5 5 2 8 2" xfId="17475"/>
    <cellStyle name="SAPBEXexcCritical5 5 2 8 3" xfId="17476"/>
    <cellStyle name="SAPBEXexcCritical5 5 2 8 4" xfId="17474"/>
    <cellStyle name="SAPBEXexcCritical5 5 2 9" xfId="9419"/>
    <cellStyle name="SAPBEXexcCritical5 5 2 9 2" xfId="17478"/>
    <cellStyle name="SAPBEXexcCritical5 5 2 9 3" xfId="17479"/>
    <cellStyle name="SAPBEXexcCritical5 5 2 9 4" xfId="17477"/>
    <cellStyle name="SAPBEXexcCritical5 5 2_planning-WP" xfId="17480"/>
    <cellStyle name="SAPBEXexcCritical5 5 3" xfId="4567"/>
    <cellStyle name="SAPBEXexcCritical5 5 3 10" xfId="17482"/>
    <cellStyle name="SAPBEXexcCritical5 5 3 11" xfId="17481"/>
    <cellStyle name="SAPBEXexcCritical5 5 3 2" xfId="17483"/>
    <cellStyle name="SAPBEXexcCritical5 5 3 2 2" xfId="17484"/>
    <cellStyle name="SAPBEXexcCritical5 5 3 2 3" xfId="17485"/>
    <cellStyle name="SAPBEXexcCritical5 5 3 3" xfId="17486"/>
    <cellStyle name="SAPBEXexcCritical5 5 3 3 2" xfId="17487"/>
    <cellStyle name="SAPBEXexcCritical5 5 3 3 3" xfId="17488"/>
    <cellStyle name="SAPBEXexcCritical5 5 3 4" xfId="17489"/>
    <cellStyle name="SAPBEXexcCritical5 5 3 4 2" xfId="17490"/>
    <cellStyle name="SAPBEXexcCritical5 5 3 4 3" xfId="17491"/>
    <cellStyle name="SAPBEXexcCritical5 5 3 5" xfId="17492"/>
    <cellStyle name="SAPBEXexcCritical5 5 3 5 2" xfId="17493"/>
    <cellStyle name="SAPBEXexcCritical5 5 3 5 3" xfId="17494"/>
    <cellStyle name="SAPBEXexcCritical5 5 3 6" xfId="17495"/>
    <cellStyle name="SAPBEXexcCritical5 5 3 6 2" xfId="17496"/>
    <cellStyle name="SAPBEXexcCritical5 5 3 6 3" xfId="17497"/>
    <cellStyle name="SAPBEXexcCritical5 5 3 7" xfId="17498"/>
    <cellStyle name="SAPBEXexcCritical5 5 3 7 2" xfId="17499"/>
    <cellStyle name="SAPBEXexcCritical5 5 3 7 3" xfId="17500"/>
    <cellStyle name="SAPBEXexcCritical5 5 3 8" xfId="17501"/>
    <cellStyle name="SAPBEXexcCritical5 5 3 8 2" xfId="17502"/>
    <cellStyle name="SAPBEXexcCritical5 5 3 8 3" xfId="17503"/>
    <cellStyle name="SAPBEXexcCritical5 5 3 9" xfId="17504"/>
    <cellStyle name="SAPBEXexcCritical5 5 3 9 2" xfId="17505"/>
    <cellStyle name="SAPBEXexcCritical5 5 3 9 3" xfId="17506"/>
    <cellStyle name="SAPBEXexcCritical5 5 3_planning-WP" xfId="17507"/>
    <cellStyle name="SAPBEXexcCritical5 5 4" xfId="5559"/>
    <cellStyle name="SAPBEXexcCritical5 5 4 10" xfId="17508"/>
    <cellStyle name="SAPBEXexcCritical5 5 4 2" xfId="17509"/>
    <cellStyle name="SAPBEXexcCritical5 5 4 2 2" xfId="17510"/>
    <cellStyle name="SAPBEXexcCritical5 5 4 2 3" xfId="17511"/>
    <cellStyle name="SAPBEXexcCritical5 5 4 3" xfId="17512"/>
    <cellStyle name="SAPBEXexcCritical5 5 4 3 2" xfId="17513"/>
    <cellStyle name="SAPBEXexcCritical5 5 4 3 3" xfId="17514"/>
    <cellStyle name="SAPBEXexcCritical5 5 4 4" xfId="17515"/>
    <cellStyle name="SAPBEXexcCritical5 5 4 4 2" xfId="17516"/>
    <cellStyle name="SAPBEXexcCritical5 5 4 4 3" xfId="17517"/>
    <cellStyle name="SAPBEXexcCritical5 5 4 5" xfId="17518"/>
    <cellStyle name="SAPBEXexcCritical5 5 4 5 2" xfId="17519"/>
    <cellStyle name="SAPBEXexcCritical5 5 4 5 3" xfId="17520"/>
    <cellStyle name="SAPBEXexcCritical5 5 4 6" xfId="17521"/>
    <cellStyle name="SAPBEXexcCritical5 5 4 6 2" xfId="17522"/>
    <cellStyle name="SAPBEXexcCritical5 5 4 6 3" xfId="17523"/>
    <cellStyle name="SAPBEXexcCritical5 5 4 7" xfId="17524"/>
    <cellStyle name="SAPBEXexcCritical5 5 4 7 2" xfId="17525"/>
    <cellStyle name="SAPBEXexcCritical5 5 4 7 3" xfId="17526"/>
    <cellStyle name="SAPBEXexcCritical5 5 4 8" xfId="17527"/>
    <cellStyle name="SAPBEXexcCritical5 5 4 8 2" xfId="17528"/>
    <cellStyle name="SAPBEXexcCritical5 5 4 8 3" xfId="17529"/>
    <cellStyle name="SAPBEXexcCritical5 5 4 9" xfId="17530"/>
    <cellStyle name="SAPBEXexcCritical5 5 4_planning-WP" xfId="17531"/>
    <cellStyle name="SAPBEXexcCritical5 5 5" xfId="6068"/>
    <cellStyle name="SAPBEXexcCritical5 5 5 2" xfId="17533"/>
    <cellStyle name="SAPBEXexcCritical5 5 5 3" xfId="17532"/>
    <cellStyle name="SAPBEXexcCritical5 5 6" xfId="6555"/>
    <cellStyle name="SAPBEXexcCritical5 5 6 2" xfId="17535"/>
    <cellStyle name="SAPBEXexcCritical5 5 6 3" xfId="17536"/>
    <cellStyle name="SAPBEXexcCritical5 5 6 4" xfId="17534"/>
    <cellStyle name="SAPBEXexcCritical5 5 7" xfId="7038"/>
    <cellStyle name="SAPBEXexcCritical5 5 7 2" xfId="17538"/>
    <cellStyle name="SAPBEXexcCritical5 5 7 3" xfId="17539"/>
    <cellStyle name="SAPBEXexcCritical5 5 7 4" xfId="17537"/>
    <cellStyle name="SAPBEXexcCritical5 5 8" xfId="8107"/>
    <cellStyle name="SAPBEXexcCritical5 5 8 2" xfId="17541"/>
    <cellStyle name="SAPBEXexcCritical5 5 8 3" xfId="17542"/>
    <cellStyle name="SAPBEXexcCritical5 5 8 4" xfId="17540"/>
    <cellStyle name="SAPBEXexcCritical5 5 9" xfId="8608"/>
    <cellStyle name="SAPBEXexcCritical5 5 9 2" xfId="17544"/>
    <cellStyle name="SAPBEXexcCritical5 5 9 3" xfId="17545"/>
    <cellStyle name="SAPBEXexcCritical5 5 9 4" xfId="17543"/>
    <cellStyle name="SAPBEXexcCritical5 5_planning-WP" xfId="17546"/>
    <cellStyle name="SAPBEXexcCritical5 6" xfId="1737"/>
    <cellStyle name="SAPBEXexcCritical5 6 10" xfId="9192"/>
    <cellStyle name="SAPBEXexcCritical5 6 10 2" xfId="17549"/>
    <cellStyle name="SAPBEXexcCritical5 6 10 3" xfId="17550"/>
    <cellStyle name="SAPBEXexcCritical5 6 10 4" xfId="17548"/>
    <cellStyle name="SAPBEXexcCritical5 6 11" xfId="17551"/>
    <cellStyle name="SAPBEXexcCritical5 6 11 2" xfId="17552"/>
    <cellStyle name="SAPBEXexcCritical5 6 11 3" xfId="17553"/>
    <cellStyle name="SAPBEXexcCritical5 6 12" xfId="17547"/>
    <cellStyle name="SAPBEXexcCritical5 6 13" xfId="9931"/>
    <cellStyle name="SAPBEXexcCritical5 6 14" xfId="38924"/>
    <cellStyle name="SAPBEXexcCritical5 6 15" xfId="39334"/>
    <cellStyle name="SAPBEXexcCritical5 6 2" xfId="2067"/>
    <cellStyle name="SAPBEXexcCritical5 6 2 10" xfId="17555"/>
    <cellStyle name="SAPBEXexcCritical5 6 2 11" xfId="17554"/>
    <cellStyle name="SAPBEXexcCritical5 6 2 12" xfId="10242"/>
    <cellStyle name="SAPBEXexcCritical5 6 2 2" xfId="4982"/>
    <cellStyle name="SAPBEXexcCritical5 6 2 2 2" xfId="17557"/>
    <cellStyle name="SAPBEXexcCritical5 6 2 2 3" xfId="17558"/>
    <cellStyle name="SAPBEXexcCritical5 6 2 2 4" xfId="17556"/>
    <cellStyle name="SAPBEXexcCritical5 6 2 3" xfId="5961"/>
    <cellStyle name="SAPBEXexcCritical5 6 2 3 2" xfId="17560"/>
    <cellStyle name="SAPBEXexcCritical5 6 2 3 3" xfId="17561"/>
    <cellStyle name="SAPBEXexcCritical5 6 2 3 4" xfId="17559"/>
    <cellStyle name="SAPBEXexcCritical5 6 2 4" xfId="6469"/>
    <cellStyle name="SAPBEXexcCritical5 6 2 4 2" xfId="17563"/>
    <cellStyle name="SAPBEXexcCritical5 6 2 4 3" xfId="17564"/>
    <cellStyle name="SAPBEXexcCritical5 6 2 4 4" xfId="17562"/>
    <cellStyle name="SAPBEXexcCritical5 6 2 5" xfId="6956"/>
    <cellStyle name="SAPBEXexcCritical5 6 2 5 2" xfId="17566"/>
    <cellStyle name="SAPBEXexcCritical5 6 2 5 3" xfId="17567"/>
    <cellStyle name="SAPBEXexcCritical5 6 2 5 4" xfId="17565"/>
    <cellStyle name="SAPBEXexcCritical5 6 2 6" xfId="7439"/>
    <cellStyle name="SAPBEXexcCritical5 6 2 6 2" xfId="17569"/>
    <cellStyle name="SAPBEXexcCritical5 6 2 6 3" xfId="17570"/>
    <cellStyle name="SAPBEXexcCritical5 6 2 6 4" xfId="17568"/>
    <cellStyle name="SAPBEXexcCritical5 6 2 7" xfId="8508"/>
    <cellStyle name="SAPBEXexcCritical5 6 2 7 2" xfId="17572"/>
    <cellStyle name="SAPBEXexcCritical5 6 2 7 3" xfId="17573"/>
    <cellStyle name="SAPBEXexcCritical5 6 2 7 4" xfId="17571"/>
    <cellStyle name="SAPBEXexcCritical5 6 2 8" xfId="9009"/>
    <cellStyle name="SAPBEXexcCritical5 6 2 8 2" xfId="17575"/>
    <cellStyle name="SAPBEXexcCritical5 6 2 8 3" xfId="17576"/>
    <cellStyle name="SAPBEXexcCritical5 6 2 8 4" xfId="17574"/>
    <cellStyle name="SAPBEXexcCritical5 6 2 9" xfId="9503"/>
    <cellStyle name="SAPBEXexcCritical5 6 2 9 2" xfId="17578"/>
    <cellStyle name="SAPBEXexcCritical5 6 2 9 3" xfId="17579"/>
    <cellStyle name="SAPBEXexcCritical5 6 2 9 4" xfId="17577"/>
    <cellStyle name="SAPBEXexcCritical5 6 2_planning-WP" xfId="17580"/>
    <cellStyle name="SAPBEXexcCritical5 6 3" xfId="4658"/>
    <cellStyle name="SAPBEXexcCritical5 6 3 10" xfId="17581"/>
    <cellStyle name="SAPBEXexcCritical5 6 3 2" xfId="17582"/>
    <cellStyle name="SAPBEXexcCritical5 6 3 2 2" xfId="17583"/>
    <cellStyle name="SAPBEXexcCritical5 6 3 2 3" xfId="17584"/>
    <cellStyle name="SAPBEXexcCritical5 6 3 3" xfId="17585"/>
    <cellStyle name="SAPBEXexcCritical5 6 3 3 2" xfId="17586"/>
    <cellStyle name="SAPBEXexcCritical5 6 3 3 3" xfId="17587"/>
    <cellStyle name="SAPBEXexcCritical5 6 3 4" xfId="17588"/>
    <cellStyle name="SAPBEXexcCritical5 6 3 4 2" xfId="17589"/>
    <cellStyle name="SAPBEXexcCritical5 6 3 4 3" xfId="17590"/>
    <cellStyle name="SAPBEXexcCritical5 6 3 5" xfId="17591"/>
    <cellStyle name="SAPBEXexcCritical5 6 3 5 2" xfId="17592"/>
    <cellStyle name="SAPBEXexcCritical5 6 3 5 3" xfId="17593"/>
    <cellStyle name="SAPBEXexcCritical5 6 3 6" xfId="17594"/>
    <cellStyle name="SAPBEXexcCritical5 6 3 6 2" xfId="17595"/>
    <cellStyle name="SAPBEXexcCritical5 6 3 6 3" xfId="17596"/>
    <cellStyle name="SAPBEXexcCritical5 6 3 7" xfId="17597"/>
    <cellStyle name="SAPBEXexcCritical5 6 3 7 2" xfId="17598"/>
    <cellStyle name="SAPBEXexcCritical5 6 3 7 3" xfId="17599"/>
    <cellStyle name="SAPBEXexcCritical5 6 3 8" xfId="17600"/>
    <cellStyle name="SAPBEXexcCritical5 6 3 8 2" xfId="17601"/>
    <cellStyle name="SAPBEXexcCritical5 6 3 8 3" xfId="17602"/>
    <cellStyle name="SAPBEXexcCritical5 6 3 9" xfId="17603"/>
    <cellStyle name="SAPBEXexcCritical5 6 3_planning-WP" xfId="17604"/>
    <cellStyle name="SAPBEXexcCritical5 6 4" xfId="5649"/>
    <cellStyle name="SAPBEXexcCritical5 6 4 2" xfId="17606"/>
    <cellStyle name="SAPBEXexcCritical5 6 4 3" xfId="17605"/>
    <cellStyle name="SAPBEXexcCritical5 6 5" xfId="6158"/>
    <cellStyle name="SAPBEXexcCritical5 6 5 2" xfId="17608"/>
    <cellStyle name="SAPBEXexcCritical5 6 5 3" xfId="17609"/>
    <cellStyle name="SAPBEXexcCritical5 6 5 4" xfId="17607"/>
    <cellStyle name="SAPBEXexcCritical5 6 6" xfId="6645"/>
    <cellStyle name="SAPBEXexcCritical5 6 6 2" xfId="17611"/>
    <cellStyle name="SAPBEXexcCritical5 6 6 3" xfId="17612"/>
    <cellStyle name="SAPBEXexcCritical5 6 6 4" xfId="17610"/>
    <cellStyle name="SAPBEXexcCritical5 6 7" xfId="7128"/>
    <cellStyle name="SAPBEXexcCritical5 6 7 2" xfId="17614"/>
    <cellStyle name="SAPBEXexcCritical5 6 7 3" xfId="17615"/>
    <cellStyle name="SAPBEXexcCritical5 6 7 4" xfId="17613"/>
    <cellStyle name="SAPBEXexcCritical5 6 8" xfId="8197"/>
    <cellStyle name="SAPBEXexcCritical5 6 8 2" xfId="17617"/>
    <cellStyle name="SAPBEXexcCritical5 6 8 3" xfId="17618"/>
    <cellStyle name="SAPBEXexcCritical5 6 8 4" xfId="17616"/>
    <cellStyle name="SAPBEXexcCritical5 6 9" xfId="8698"/>
    <cellStyle name="SAPBEXexcCritical5 6 9 2" xfId="17620"/>
    <cellStyle name="SAPBEXexcCritical5 6 9 3" xfId="17621"/>
    <cellStyle name="SAPBEXexcCritical5 6 9 4" xfId="17619"/>
    <cellStyle name="SAPBEXexcCritical5 6_planning-WP" xfId="17622"/>
    <cellStyle name="SAPBEXexcCritical5 7" xfId="1678"/>
    <cellStyle name="SAPBEXexcCritical5 7 10" xfId="9136"/>
    <cellStyle name="SAPBEXexcCritical5 7 10 2" xfId="17625"/>
    <cellStyle name="SAPBEXexcCritical5 7 10 3" xfId="17626"/>
    <cellStyle name="SAPBEXexcCritical5 7 10 4" xfId="17624"/>
    <cellStyle name="SAPBEXexcCritical5 7 11" xfId="17627"/>
    <cellStyle name="SAPBEXexcCritical5 7 12" xfId="17623"/>
    <cellStyle name="SAPBEXexcCritical5 7 13" xfId="9875"/>
    <cellStyle name="SAPBEXexcCritical5 7 14" xfId="38925"/>
    <cellStyle name="SAPBEXexcCritical5 7 15" xfId="39335"/>
    <cellStyle name="SAPBEXexcCritical5 7 2" xfId="2012"/>
    <cellStyle name="SAPBEXexcCritical5 7 2 10" xfId="17629"/>
    <cellStyle name="SAPBEXexcCritical5 7 2 11" xfId="17628"/>
    <cellStyle name="SAPBEXexcCritical5 7 2 12" xfId="10190"/>
    <cellStyle name="SAPBEXexcCritical5 7 2 2" xfId="4930"/>
    <cellStyle name="SAPBEXexcCritical5 7 2 2 2" xfId="17631"/>
    <cellStyle name="SAPBEXexcCritical5 7 2 2 3" xfId="17632"/>
    <cellStyle name="SAPBEXexcCritical5 7 2 2 4" xfId="17630"/>
    <cellStyle name="SAPBEXexcCritical5 7 2 3" xfId="5909"/>
    <cellStyle name="SAPBEXexcCritical5 7 2 3 2" xfId="17634"/>
    <cellStyle name="SAPBEXexcCritical5 7 2 3 3" xfId="17635"/>
    <cellStyle name="SAPBEXexcCritical5 7 2 3 4" xfId="17633"/>
    <cellStyle name="SAPBEXexcCritical5 7 2 4" xfId="6417"/>
    <cellStyle name="SAPBEXexcCritical5 7 2 4 2" xfId="17637"/>
    <cellStyle name="SAPBEXexcCritical5 7 2 4 3" xfId="17638"/>
    <cellStyle name="SAPBEXexcCritical5 7 2 4 4" xfId="17636"/>
    <cellStyle name="SAPBEXexcCritical5 7 2 5" xfId="6904"/>
    <cellStyle name="SAPBEXexcCritical5 7 2 5 2" xfId="17640"/>
    <cellStyle name="SAPBEXexcCritical5 7 2 5 3" xfId="17641"/>
    <cellStyle name="SAPBEXexcCritical5 7 2 5 4" xfId="17639"/>
    <cellStyle name="SAPBEXexcCritical5 7 2 6" xfId="7387"/>
    <cellStyle name="SAPBEXexcCritical5 7 2 6 2" xfId="17643"/>
    <cellStyle name="SAPBEXexcCritical5 7 2 6 3" xfId="17644"/>
    <cellStyle name="SAPBEXexcCritical5 7 2 6 4" xfId="17642"/>
    <cellStyle name="SAPBEXexcCritical5 7 2 7" xfId="8456"/>
    <cellStyle name="SAPBEXexcCritical5 7 2 7 2" xfId="17646"/>
    <cellStyle name="SAPBEXexcCritical5 7 2 7 3" xfId="17647"/>
    <cellStyle name="SAPBEXexcCritical5 7 2 7 4" xfId="17645"/>
    <cellStyle name="SAPBEXexcCritical5 7 2 8" xfId="8957"/>
    <cellStyle name="SAPBEXexcCritical5 7 2 8 2" xfId="17649"/>
    <cellStyle name="SAPBEXexcCritical5 7 2 8 3" xfId="17650"/>
    <cellStyle name="SAPBEXexcCritical5 7 2 8 4" xfId="17648"/>
    <cellStyle name="SAPBEXexcCritical5 7 2 9" xfId="9451"/>
    <cellStyle name="SAPBEXexcCritical5 7 2 9 2" xfId="17652"/>
    <cellStyle name="SAPBEXexcCritical5 7 2 9 3" xfId="17653"/>
    <cellStyle name="SAPBEXexcCritical5 7 2 9 4" xfId="17651"/>
    <cellStyle name="SAPBEXexcCritical5 7 2_planning-WP" xfId="17654"/>
    <cellStyle name="SAPBEXexcCritical5 7 3" xfId="4601"/>
    <cellStyle name="SAPBEXexcCritical5 7 3 2" xfId="17656"/>
    <cellStyle name="SAPBEXexcCritical5 7 3 3" xfId="17657"/>
    <cellStyle name="SAPBEXexcCritical5 7 3 4" xfId="17655"/>
    <cellStyle name="SAPBEXexcCritical5 7 4" xfId="5593"/>
    <cellStyle name="SAPBEXexcCritical5 7 4 2" xfId="17659"/>
    <cellStyle name="SAPBEXexcCritical5 7 4 3" xfId="17660"/>
    <cellStyle name="SAPBEXexcCritical5 7 4 4" xfId="17658"/>
    <cellStyle name="SAPBEXexcCritical5 7 5" xfId="6102"/>
    <cellStyle name="SAPBEXexcCritical5 7 5 2" xfId="17662"/>
    <cellStyle name="SAPBEXexcCritical5 7 5 3" xfId="17663"/>
    <cellStyle name="SAPBEXexcCritical5 7 5 4" xfId="17661"/>
    <cellStyle name="SAPBEXexcCritical5 7 6" xfId="6589"/>
    <cellStyle name="SAPBEXexcCritical5 7 6 2" xfId="17665"/>
    <cellStyle name="SAPBEXexcCritical5 7 6 3" xfId="17666"/>
    <cellStyle name="SAPBEXexcCritical5 7 6 4" xfId="17664"/>
    <cellStyle name="SAPBEXexcCritical5 7 7" xfId="7072"/>
    <cellStyle name="SAPBEXexcCritical5 7 7 2" xfId="17668"/>
    <cellStyle name="SAPBEXexcCritical5 7 7 3" xfId="17669"/>
    <cellStyle name="SAPBEXexcCritical5 7 7 4" xfId="17667"/>
    <cellStyle name="SAPBEXexcCritical5 7 8" xfId="8141"/>
    <cellStyle name="SAPBEXexcCritical5 7 8 2" xfId="17671"/>
    <cellStyle name="SAPBEXexcCritical5 7 8 3" xfId="17672"/>
    <cellStyle name="SAPBEXexcCritical5 7 8 4" xfId="17670"/>
    <cellStyle name="SAPBEXexcCritical5 7 9" xfId="8642"/>
    <cellStyle name="SAPBEXexcCritical5 7 9 2" xfId="17674"/>
    <cellStyle name="SAPBEXexcCritical5 7 9 3" xfId="17675"/>
    <cellStyle name="SAPBEXexcCritical5 7 9 4" xfId="17673"/>
    <cellStyle name="SAPBEXexcCritical5 7_planning-WP" xfId="17676"/>
    <cellStyle name="SAPBEXexcCritical5 8" xfId="1587"/>
    <cellStyle name="SAPBEXexcCritical5 8 10" xfId="17678"/>
    <cellStyle name="SAPBEXexcCritical5 8 11" xfId="17677"/>
    <cellStyle name="SAPBEXexcCritical5 8 12" xfId="9784"/>
    <cellStyle name="SAPBEXexcCritical5 8 2" xfId="4510"/>
    <cellStyle name="SAPBEXexcCritical5 8 2 2" xfId="17680"/>
    <cellStyle name="SAPBEXexcCritical5 8 2 3" xfId="17681"/>
    <cellStyle name="SAPBEXexcCritical5 8 2 4" xfId="17679"/>
    <cellStyle name="SAPBEXexcCritical5 8 3" xfId="5502"/>
    <cellStyle name="SAPBEXexcCritical5 8 3 2" xfId="17683"/>
    <cellStyle name="SAPBEXexcCritical5 8 3 3" xfId="17684"/>
    <cellStyle name="SAPBEXexcCritical5 8 3 4" xfId="17682"/>
    <cellStyle name="SAPBEXexcCritical5 8 4" xfId="3326"/>
    <cellStyle name="SAPBEXexcCritical5 8 4 2" xfId="17686"/>
    <cellStyle name="SAPBEXexcCritical5 8 4 3" xfId="17687"/>
    <cellStyle name="SAPBEXexcCritical5 8 4 4" xfId="17685"/>
    <cellStyle name="SAPBEXexcCritical5 8 5" xfId="5090"/>
    <cellStyle name="SAPBEXexcCritical5 8 5 2" xfId="17689"/>
    <cellStyle name="SAPBEXexcCritical5 8 5 3" xfId="17690"/>
    <cellStyle name="SAPBEXexcCritical5 8 5 4" xfId="17688"/>
    <cellStyle name="SAPBEXexcCritical5 8 6" xfId="3230"/>
    <cellStyle name="SAPBEXexcCritical5 8 6 2" xfId="17692"/>
    <cellStyle name="SAPBEXexcCritical5 8 6 3" xfId="17693"/>
    <cellStyle name="SAPBEXexcCritical5 8 6 4" xfId="17691"/>
    <cellStyle name="SAPBEXexcCritical5 8 7" xfId="8050"/>
    <cellStyle name="SAPBEXexcCritical5 8 7 2" xfId="17695"/>
    <cellStyle name="SAPBEXexcCritical5 8 7 3" xfId="17696"/>
    <cellStyle name="SAPBEXexcCritical5 8 7 4" xfId="17694"/>
    <cellStyle name="SAPBEXexcCritical5 8 8" xfId="7498"/>
    <cellStyle name="SAPBEXexcCritical5 8 8 2" xfId="17698"/>
    <cellStyle name="SAPBEXexcCritical5 8 8 3" xfId="17699"/>
    <cellStyle name="SAPBEXexcCritical5 8 8 4" xfId="17697"/>
    <cellStyle name="SAPBEXexcCritical5 8 9" xfId="7739"/>
    <cellStyle name="SAPBEXexcCritical5 8 9 2" xfId="17701"/>
    <cellStyle name="SAPBEXexcCritical5 8 9 3" xfId="17702"/>
    <cellStyle name="SAPBEXexcCritical5 8 9 4" xfId="17700"/>
    <cellStyle name="SAPBEXexcCritical5 8_planning-WP" xfId="17703"/>
    <cellStyle name="SAPBEXexcCritical5 9" xfId="1431"/>
    <cellStyle name="SAPBEXexcCritical5 9 10" xfId="17704"/>
    <cellStyle name="SAPBEXexcCritical5 9 11" xfId="9629"/>
    <cellStyle name="SAPBEXexcCritical5 9 2" xfId="4354"/>
    <cellStyle name="SAPBEXexcCritical5 9 2 2" xfId="17706"/>
    <cellStyle name="SAPBEXexcCritical5 9 2 3" xfId="17707"/>
    <cellStyle name="SAPBEXexcCritical5 9 2 4" xfId="17705"/>
    <cellStyle name="SAPBEXexcCritical5 9 3" xfId="5347"/>
    <cellStyle name="SAPBEXexcCritical5 9 3 2" xfId="17709"/>
    <cellStyle name="SAPBEXexcCritical5 9 3 3" xfId="17710"/>
    <cellStyle name="SAPBEXexcCritical5 9 3 4" xfId="17708"/>
    <cellStyle name="SAPBEXexcCritical5 9 4" xfId="3465"/>
    <cellStyle name="SAPBEXexcCritical5 9 4 2" xfId="17712"/>
    <cellStyle name="SAPBEXexcCritical5 9 4 3" xfId="17713"/>
    <cellStyle name="SAPBEXexcCritical5 9 4 4" xfId="17711"/>
    <cellStyle name="SAPBEXexcCritical5 9 5" xfId="3202"/>
    <cellStyle name="SAPBEXexcCritical5 9 5 2" xfId="17715"/>
    <cellStyle name="SAPBEXexcCritical5 9 5 3" xfId="17716"/>
    <cellStyle name="SAPBEXexcCritical5 9 5 4" xfId="17714"/>
    <cellStyle name="SAPBEXexcCritical5 9 6" xfId="5294"/>
    <cellStyle name="SAPBEXexcCritical5 9 6 2" xfId="17718"/>
    <cellStyle name="SAPBEXexcCritical5 9 6 3" xfId="17719"/>
    <cellStyle name="SAPBEXexcCritical5 9 6 4" xfId="17717"/>
    <cellStyle name="SAPBEXexcCritical5 9 7" xfId="7895"/>
    <cellStyle name="SAPBEXexcCritical5 9 7 2" xfId="17721"/>
    <cellStyle name="SAPBEXexcCritical5 9 7 3" xfId="17722"/>
    <cellStyle name="SAPBEXexcCritical5 9 7 4" xfId="17720"/>
    <cellStyle name="SAPBEXexcCritical5 9 8" xfId="7791"/>
    <cellStyle name="SAPBEXexcCritical5 9 8 2" xfId="17724"/>
    <cellStyle name="SAPBEXexcCritical5 9 8 3" xfId="17725"/>
    <cellStyle name="SAPBEXexcCritical5 9 8 4" xfId="17723"/>
    <cellStyle name="SAPBEXexcCritical5 9 9" xfId="7760"/>
    <cellStyle name="SAPBEXexcCritical5 9 9 2" xfId="17726"/>
    <cellStyle name="SAPBEXexcCritical5 9_planning-WP" xfId="17727"/>
    <cellStyle name="SAPBEXexcCritical5_19.RessDest CUC CS SEE+SEM 1009" xfId="38926"/>
    <cellStyle name="SAPBEXexcCritical6" xfId="278"/>
    <cellStyle name="SAPBEXexcCritical6 10" xfId="17729"/>
    <cellStyle name="SAPBEXexcCritical6 10 2" xfId="17730"/>
    <cellStyle name="SAPBEXexcCritical6 11" xfId="17731"/>
    <cellStyle name="SAPBEXexcCritical6 11 2" xfId="17732"/>
    <cellStyle name="SAPBEXexcCritical6 11 3" xfId="17733"/>
    <cellStyle name="SAPBEXexcCritical6 12" xfId="17734"/>
    <cellStyle name="SAPBEXexcCritical6 12 2" xfId="17735"/>
    <cellStyle name="SAPBEXexcCritical6 12 3" xfId="17736"/>
    <cellStyle name="SAPBEXexcCritical6 13" xfId="17737"/>
    <cellStyle name="SAPBEXexcCritical6 13 2" xfId="17738"/>
    <cellStyle name="SAPBEXexcCritical6 13 3" xfId="17739"/>
    <cellStyle name="SAPBEXexcCritical6 14" xfId="17740"/>
    <cellStyle name="SAPBEXexcCritical6 14 2" xfId="17741"/>
    <cellStyle name="SAPBEXexcCritical6 14 3" xfId="17742"/>
    <cellStyle name="SAPBEXexcCritical6 15" xfId="17743"/>
    <cellStyle name="SAPBEXexcCritical6 15 2" xfId="17744"/>
    <cellStyle name="SAPBEXexcCritical6 15 3" xfId="17745"/>
    <cellStyle name="SAPBEXexcCritical6 16" xfId="17746"/>
    <cellStyle name="SAPBEXexcCritical6 16 2" xfId="17747"/>
    <cellStyle name="SAPBEXexcCritical6 16 3" xfId="17748"/>
    <cellStyle name="SAPBEXexcCritical6 17" xfId="17749"/>
    <cellStyle name="SAPBEXexcCritical6 17 2" xfId="17750"/>
    <cellStyle name="SAPBEXexcCritical6 17 3" xfId="17751"/>
    <cellStyle name="SAPBEXexcCritical6 18" xfId="17752"/>
    <cellStyle name="SAPBEXexcCritical6 19" xfId="17728"/>
    <cellStyle name="SAPBEXexcCritical6 2" xfId="895"/>
    <cellStyle name="SAPBEXexcCritical6 2 10" xfId="17754"/>
    <cellStyle name="SAPBEXexcCritical6 2 10 2" xfId="17755"/>
    <cellStyle name="SAPBEXexcCritical6 2 10 3" xfId="17756"/>
    <cellStyle name="SAPBEXexcCritical6 2 11" xfId="17757"/>
    <cellStyle name="SAPBEXexcCritical6 2 11 2" xfId="17758"/>
    <cellStyle name="SAPBEXexcCritical6 2 11 3" xfId="17759"/>
    <cellStyle name="SAPBEXexcCritical6 2 12" xfId="17760"/>
    <cellStyle name="SAPBEXexcCritical6 2 12 2" xfId="17761"/>
    <cellStyle name="SAPBEXexcCritical6 2 12 3" xfId="17762"/>
    <cellStyle name="SAPBEXexcCritical6 2 13" xfId="17763"/>
    <cellStyle name="SAPBEXexcCritical6 2 14" xfId="17753"/>
    <cellStyle name="SAPBEXexcCritical6 2 15" xfId="9579"/>
    <cellStyle name="SAPBEXexcCritical6 2 16" xfId="38928"/>
    <cellStyle name="SAPBEXexcCritical6 2 17" xfId="39337"/>
    <cellStyle name="SAPBEXexcCritical6 2 2" xfId="1959"/>
    <cellStyle name="SAPBEXexcCritical6 2 2 10" xfId="17765"/>
    <cellStyle name="SAPBEXexcCritical6 2 2 10 2" xfId="17766"/>
    <cellStyle name="SAPBEXexcCritical6 2 2 10 3" xfId="17767"/>
    <cellStyle name="SAPBEXexcCritical6 2 2 11" xfId="17768"/>
    <cellStyle name="SAPBEXexcCritical6 2 2 12" xfId="17764"/>
    <cellStyle name="SAPBEXexcCritical6 2 2 13" xfId="10137"/>
    <cellStyle name="SAPBEXexcCritical6 2 2 14" xfId="38929"/>
    <cellStyle name="SAPBEXexcCritical6 2 2 15" xfId="39338"/>
    <cellStyle name="SAPBEXexcCritical6 2 2 2" xfId="4877"/>
    <cellStyle name="SAPBEXexcCritical6 2 2 2 10" xfId="17770"/>
    <cellStyle name="SAPBEXexcCritical6 2 2 2 11" xfId="17769"/>
    <cellStyle name="SAPBEXexcCritical6 2 2 2 2" xfId="17771"/>
    <cellStyle name="SAPBEXexcCritical6 2 2 2 2 2" xfId="17772"/>
    <cellStyle name="SAPBEXexcCritical6 2 2 2 2 3" xfId="17773"/>
    <cellStyle name="SAPBEXexcCritical6 2 2 2 3" xfId="17774"/>
    <cellStyle name="SAPBEXexcCritical6 2 2 2 3 2" xfId="17775"/>
    <cellStyle name="SAPBEXexcCritical6 2 2 2 3 3" xfId="17776"/>
    <cellStyle name="SAPBEXexcCritical6 2 2 2 4" xfId="17777"/>
    <cellStyle name="SAPBEXexcCritical6 2 2 2 4 2" xfId="17778"/>
    <cellStyle name="SAPBEXexcCritical6 2 2 2 4 3" xfId="17779"/>
    <cellStyle name="SAPBEXexcCritical6 2 2 2 5" xfId="17780"/>
    <cellStyle name="SAPBEXexcCritical6 2 2 2 5 2" xfId="17781"/>
    <cellStyle name="SAPBEXexcCritical6 2 2 2 5 3" xfId="17782"/>
    <cellStyle name="SAPBEXexcCritical6 2 2 2 6" xfId="17783"/>
    <cellStyle name="SAPBEXexcCritical6 2 2 2 6 2" xfId="17784"/>
    <cellStyle name="SAPBEXexcCritical6 2 2 2 6 3" xfId="17785"/>
    <cellStyle name="SAPBEXexcCritical6 2 2 2 7" xfId="17786"/>
    <cellStyle name="SAPBEXexcCritical6 2 2 2 7 2" xfId="17787"/>
    <cellStyle name="SAPBEXexcCritical6 2 2 2 7 3" xfId="17788"/>
    <cellStyle name="SAPBEXexcCritical6 2 2 2 8" xfId="17789"/>
    <cellStyle name="SAPBEXexcCritical6 2 2 2 8 2" xfId="17790"/>
    <cellStyle name="SAPBEXexcCritical6 2 2 2 8 3" xfId="17791"/>
    <cellStyle name="SAPBEXexcCritical6 2 2 2 9" xfId="17792"/>
    <cellStyle name="SAPBEXexcCritical6 2 2 2 9 2" xfId="17793"/>
    <cellStyle name="SAPBEXexcCritical6 2 2 2 9 3" xfId="17794"/>
    <cellStyle name="SAPBEXexcCritical6 2 2 2_planning-WP" xfId="17795"/>
    <cellStyle name="SAPBEXexcCritical6 2 2 3" xfId="5856"/>
    <cellStyle name="SAPBEXexcCritical6 2 2 3 2" xfId="17797"/>
    <cellStyle name="SAPBEXexcCritical6 2 2 3 3" xfId="17798"/>
    <cellStyle name="SAPBEXexcCritical6 2 2 3 4" xfId="17796"/>
    <cellStyle name="SAPBEXexcCritical6 2 2 4" xfId="6364"/>
    <cellStyle name="SAPBEXexcCritical6 2 2 4 2" xfId="17800"/>
    <cellStyle name="SAPBEXexcCritical6 2 2 4 3" xfId="17801"/>
    <cellStyle name="SAPBEXexcCritical6 2 2 4 4" xfId="17799"/>
    <cellStyle name="SAPBEXexcCritical6 2 2 5" xfId="6851"/>
    <cellStyle name="SAPBEXexcCritical6 2 2 5 2" xfId="17803"/>
    <cellStyle name="SAPBEXexcCritical6 2 2 5 3" xfId="17804"/>
    <cellStyle name="SAPBEXexcCritical6 2 2 5 4" xfId="17802"/>
    <cellStyle name="SAPBEXexcCritical6 2 2 6" xfId="7334"/>
    <cellStyle name="SAPBEXexcCritical6 2 2 6 2" xfId="17806"/>
    <cellStyle name="SAPBEXexcCritical6 2 2 6 3" xfId="17807"/>
    <cellStyle name="SAPBEXexcCritical6 2 2 6 4" xfId="17805"/>
    <cellStyle name="SAPBEXexcCritical6 2 2 7" xfId="8403"/>
    <cellStyle name="SAPBEXexcCritical6 2 2 7 2" xfId="17809"/>
    <cellStyle name="SAPBEXexcCritical6 2 2 7 3" xfId="17810"/>
    <cellStyle name="SAPBEXexcCritical6 2 2 7 4" xfId="17808"/>
    <cellStyle name="SAPBEXexcCritical6 2 2 8" xfId="8904"/>
    <cellStyle name="SAPBEXexcCritical6 2 2 8 2" xfId="17812"/>
    <cellStyle name="SAPBEXexcCritical6 2 2 8 3" xfId="17813"/>
    <cellStyle name="SAPBEXexcCritical6 2 2 8 4" xfId="17811"/>
    <cellStyle name="SAPBEXexcCritical6 2 2 9" xfId="9398"/>
    <cellStyle name="SAPBEXexcCritical6 2 2 9 2" xfId="17815"/>
    <cellStyle name="SAPBEXexcCritical6 2 2 9 3" xfId="17816"/>
    <cellStyle name="SAPBEXexcCritical6 2 2 9 4" xfId="17814"/>
    <cellStyle name="SAPBEXexcCritical6 2 2_planning-WP" xfId="17817"/>
    <cellStyle name="SAPBEXexcCritical6 2 3" xfId="1621"/>
    <cellStyle name="SAPBEXexcCritical6 2 3 10" xfId="17819"/>
    <cellStyle name="SAPBEXexcCritical6 2 3 11" xfId="17818"/>
    <cellStyle name="SAPBEXexcCritical6 2 3 12" xfId="9818"/>
    <cellStyle name="SAPBEXexcCritical6 2 3 2" xfId="4544"/>
    <cellStyle name="SAPBEXexcCritical6 2 3 2 2" xfId="17821"/>
    <cellStyle name="SAPBEXexcCritical6 2 3 2 3" xfId="17822"/>
    <cellStyle name="SAPBEXexcCritical6 2 3 2 4" xfId="17820"/>
    <cellStyle name="SAPBEXexcCritical6 2 3 3" xfId="5536"/>
    <cellStyle name="SAPBEXexcCritical6 2 3 3 2" xfId="17824"/>
    <cellStyle name="SAPBEXexcCritical6 2 3 3 3" xfId="17825"/>
    <cellStyle name="SAPBEXexcCritical6 2 3 3 4" xfId="17823"/>
    <cellStyle name="SAPBEXexcCritical6 2 3 4" xfId="6045"/>
    <cellStyle name="SAPBEXexcCritical6 2 3 4 2" xfId="17827"/>
    <cellStyle name="SAPBEXexcCritical6 2 3 4 3" xfId="17828"/>
    <cellStyle name="SAPBEXexcCritical6 2 3 4 4" xfId="17826"/>
    <cellStyle name="SAPBEXexcCritical6 2 3 5" xfId="6532"/>
    <cellStyle name="SAPBEXexcCritical6 2 3 5 2" xfId="17830"/>
    <cellStyle name="SAPBEXexcCritical6 2 3 5 3" xfId="17831"/>
    <cellStyle name="SAPBEXexcCritical6 2 3 5 4" xfId="17829"/>
    <cellStyle name="SAPBEXexcCritical6 2 3 6" xfId="7015"/>
    <cellStyle name="SAPBEXexcCritical6 2 3 6 2" xfId="17833"/>
    <cellStyle name="SAPBEXexcCritical6 2 3 6 3" xfId="17834"/>
    <cellStyle name="SAPBEXexcCritical6 2 3 6 4" xfId="17832"/>
    <cellStyle name="SAPBEXexcCritical6 2 3 7" xfId="8084"/>
    <cellStyle name="SAPBEXexcCritical6 2 3 7 2" xfId="17836"/>
    <cellStyle name="SAPBEXexcCritical6 2 3 7 3" xfId="17837"/>
    <cellStyle name="SAPBEXexcCritical6 2 3 7 4" xfId="17835"/>
    <cellStyle name="SAPBEXexcCritical6 2 3 8" xfId="8585"/>
    <cellStyle name="SAPBEXexcCritical6 2 3 8 2" xfId="17839"/>
    <cellStyle name="SAPBEXexcCritical6 2 3 8 3" xfId="17840"/>
    <cellStyle name="SAPBEXexcCritical6 2 3 8 4" xfId="17838"/>
    <cellStyle name="SAPBEXexcCritical6 2 3 9" xfId="9079"/>
    <cellStyle name="SAPBEXexcCritical6 2 3 9 2" xfId="17842"/>
    <cellStyle name="SAPBEXexcCritical6 2 3 9 3" xfId="17843"/>
    <cellStyle name="SAPBEXexcCritical6 2 3 9 4" xfId="17841"/>
    <cellStyle name="SAPBEXexcCritical6 2 3_planning-WP" xfId="17844"/>
    <cellStyle name="SAPBEXexcCritical6 2 4" xfId="17845"/>
    <cellStyle name="SAPBEXexcCritical6 2 4 2" xfId="17846"/>
    <cellStyle name="SAPBEXexcCritical6 2 4 2 2" xfId="17847"/>
    <cellStyle name="SAPBEXexcCritical6 2 4 2 3" xfId="17848"/>
    <cellStyle name="SAPBEXexcCritical6 2 4 3" xfId="17849"/>
    <cellStyle name="SAPBEXexcCritical6 2 4 3 2" xfId="17850"/>
    <cellStyle name="SAPBEXexcCritical6 2 4 3 3" xfId="17851"/>
    <cellStyle name="SAPBEXexcCritical6 2 4 4" xfId="17852"/>
    <cellStyle name="SAPBEXexcCritical6 2 4 4 2" xfId="17853"/>
    <cellStyle name="SAPBEXexcCritical6 2 4 4 3" xfId="17854"/>
    <cellStyle name="SAPBEXexcCritical6 2 4 5" xfId="17855"/>
    <cellStyle name="SAPBEXexcCritical6 2 4 5 2" xfId="17856"/>
    <cellStyle name="SAPBEXexcCritical6 2 4 5 3" xfId="17857"/>
    <cellStyle name="SAPBEXexcCritical6 2 4 6" xfId="17858"/>
    <cellStyle name="SAPBEXexcCritical6 2 4 6 2" xfId="17859"/>
    <cellStyle name="SAPBEXexcCritical6 2 4 6 3" xfId="17860"/>
    <cellStyle name="SAPBEXexcCritical6 2 4 7" xfId="17861"/>
    <cellStyle name="SAPBEXexcCritical6 2 4 7 2" xfId="17862"/>
    <cellStyle name="SAPBEXexcCritical6 2 4 7 3" xfId="17863"/>
    <cellStyle name="SAPBEXexcCritical6 2 4 8" xfId="17864"/>
    <cellStyle name="SAPBEXexcCritical6 2 4 8 2" xfId="17865"/>
    <cellStyle name="SAPBEXexcCritical6 2 4 8 3" xfId="17866"/>
    <cellStyle name="SAPBEXexcCritical6 2 4 9" xfId="17867"/>
    <cellStyle name="SAPBEXexcCritical6 2 4_planning-WP" xfId="17868"/>
    <cellStyle name="SAPBEXexcCritical6 2 5" xfId="17869"/>
    <cellStyle name="SAPBEXexcCritical6 2 5 2" xfId="17870"/>
    <cellStyle name="SAPBEXexcCritical6 2 6" xfId="17871"/>
    <cellStyle name="SAPBEXexcCritical6 2 6 2" xfId="17872"/>
    <cellStyle name="SAPBEXexcCritical6 2 6 3" xfId="17873"/>
    <cellStyle name="SAPBEXexcCritical6 2 7" xfId="17874"/>
    <cellStyle name="SAPBEXexcCritical6 2 7 2" xfId="17875"/>
    <cellStyle name="SAPBEXexcCritical6 2 7 3" xfId="17876"/>
    <cellStyle name="SAPBEXexcCritical6 2 8" xfId="17877"/>
    <cellStyle name="SAPBEXexcCritical6 2 8 2" xfId="17878"/>
    <cellStyle name="SAPBEXexcCritical6 2 8 3" xfId="17879"/>
    <cellStyle name="SAPBEXexcCritical6 2 9" xfId="17880"/>
    <cellStyle name="SAPBEXexcCritical6 2 9 2" xfId="17881"/>
    <cellStyle name="SAPBEXexcCritical6 2 9 3" xfId="17882"/>
    <cellStyle name="SAPBEXexcCritical6 2_planning-WP" xfId="17883"/>
    <cellStyle name="SAPBEXexcCritical6 20" xfId="38927"/>
    <cellStyle name="SAPBEXexcCritical6 21" xfId="39336"/>
    <cellStyle name="SAPBEXexcCritical6 3" xfId="1593"/>
    <cellStyle name="SAPBEXexcCritical6 3 10" xfId="7745"/>
    <cellStyle name="SAPBEXexcCritical6 3 10 2" xfId="17886"/>
    <cellStyle name="SAPBEXexcCritical6 3 10 3" xfId="17887"/>
    <cellStyle name="SAPBEXexcCritical6 3 10 4" xfId="17885"/>
    <cellStyle name="SAPBEXexcCritical6 3 11" xfId="17888"/>
    <cellStyle name="SAPBEXexcCritical6 3 11 2" xfId="17889"/>
    <cellStyle name="SAPBEXexcCritical6 3 11 3" xfId="17890"/>
    <cellStyle name="SAPBEXexcCritical6 3 12" xfId="17891"/>
    <cellStyle name="SAPBEXexcCritical6 3 12 2" xfId="17892"/>
    <cellStyle name="SAPBEXexcCritical6 3 12 3" xfId="17893"/>
    <cellStyle name="SAPBEXexcCritical6 3 13" xfId="17894"/>
    <cellStyle name="SAPBEXexcCritical6 3 14" xfId="17884"/>
    <cellStyle name="SAPBEXexcCritical6 3 15" xfId="9790"/>
    <cellStyle name="SAPBEXexcCritical6 3 16" xfId="38930"/>
    <cellStyle name="SAPBEXexcCritical6 3 17" xfId="39339"/>
    <cellStyle name="SAPBEXexcCritical6 3 2" xfId="1936"/>
    <cellStyle name="SAPBEXexcCritical6 3 2 10" xfId="17896"/>
    <cellStyle name="SAPBEXexcCritical6 3 2 10 2" xfId="17897"/>
    <cellStyle name="SAPBEXexcCritical6 3 2 10 3" xfId="17898"/>
    <cellStyle name="SAPBEXexcCritical6 3 2 11" xfId="17899"/>
    <cellStyle name="SAPBEXexcCritical6 3 2 12" xfId="17895"/>
    <cellStyle name="SAPBEXexcCritical6 3 2 13" xfId="10114"/>
    <cellStyle name="SAPBEXexcCritical6 3 2 14" xfId="38931"/>
    <cellStyle name="SAPBEXexcCritical6 3 2 15" xfId="39340"/>
    <cellStyle name="SAPBEXexcCritical6 3 2 2" xfId="4854"/>
    <cellStyle name="SAPBEXexcCritical6 3 2 2 10" xfId="17901"/>
    <cellStyle name="SAPBEXexcCritical6 3 2 2 11" xfId="17900"/>
    <cellStyle name="SAPBEXexcCritical6 3 2 2 2" xfId="17902"/>
    <cellStyle name="SAPBEXexcCritical6 3 2 2 2 2" xfId="17903"/>
    <cellStyle name="SAPBEXexcCritical6 3 2 2 2 3" xfId="17904"/>
    <cellStyle name="SAPBEXexcCritical6 3 2 2 3" xfId="17905"/>
    <cellStyle name="SAPBEXexcCritical6 3 2 2 3 2" xfId="17906"/>
    <cellStyle name="SAPBEXexcCritical6 3 2 2 3 3" xfId="17907"/>
    <cellStyle name="SAPBEXexcCritical6 3 2 2 4" xfId="17908"/>
    <cellStyle name="SAPBEXexcCritical6 3 2 2 4 2" xfId="17909"/>
    <cellStyle name="SAPBEXexcCritical6 3 2 2 4 3" xfId="17910"/>
    <cellStyle name="SAPBEXexcCritical6 3 2 2 5" xfId="17911"/>
    <cellStyle name="SAPBEXexcCritical6 3 2 2 5 2" xfId="17912"/>
    <cellStyle name="SAPBEXexcCritical6 3 2 2 5 3" xfId="17913"/>
    <cellStyle name="SAPBEXexcCritical6 3 2 2 6" xfId="17914"/>
    <cellStyle name="SAPBEXexcCritical6 3 2 2 6 2" xfId="17915"/>
    <cellStyle name="SAPBEXexcCritical6 3 2 2 6 3" xfId="17916"/>
    <cellStyle name="SAPBEXexcCritical6 3 2 2 7" xfId="17917"/>
    <cellStyle name="SAPBEXexcCritical6 3 2 2 7 2" xfId="17918"/>
    <cellStyle name="SAPBEXexcCritical6 3 2 2 7 3" xfId="17919"/>
    <cellStyle name="SAPBEXexcCritical6 3 2 2 8" xfId="17920"/>
    <cellStyle name="SAPBEXexcCritical6 3 2 2 8 2" xfId="17921"/>
    <cellStyle name="SAPBEXexcCritical6 3 2 2 8 3" xfId="17922"/>
    <cellStyle name="SAPBEXexcCritical6 3 2 2 9" xfId="17923"/>
    <cellStyle name="SAPBEXexcCritical6 3 2 2 9 2" xfId="17924"/>
    <cellStyle name="SAPBEXexcCritical6 3 2 2 9 3" xfId="17925"/>
    <cellStyle name="SAPBEXexcCritical6 3 2 2_planning-WP" xfId="17926"/>
    <cellStyle name="SAPBEXexcCritical6 3 2 3" xfId="5833"/>
    <cellStyle name="SAPBEXexcCritical6 3 2 3 2" xfId="17928"/>
    <cellStyle name="SAPBEXexcCritical6 3 2 3 3" xfId="17929"/>
    <cellStyle name="SAPBEXexcCritical6 3 2 3 4" xfId="17927"/>
    <cellStyle name="SAPBEXexcCritical6 3 2 4" xfId="6341"/>
    <cellStyle name="SAPBEXexcCritical6 3 2 4 2" xfId="17931"/>
    <cellStyle name="SAPBEXexcCritical6 3 2 4 3" xfId="17932"/>
    <cellStyle name="SAPBEXexcCritical6 3 2 4 4" xfId="17930"/>
    <cellStyle name="SAPBEXexcCritical6 3 2 5" xfId="6828"/>
    <cellStyle name="SAPBEXexcCritical6 3 2 5 2" xfId="17934"/>
    <cellStyle name="SAPBEXexcCritical6 3 2 5 3" xfId="17935"/>
    <cellStyle name="SAPBEXexcCritical6 3 2 5 4" xfId="17933"/>
    <cellStyle name="SAPBEXexcCritical6 3 2 6" xfId="7311"/>
    <cellStyle name="SAPBEXexcCritical6 3 2 6 2" xfId="17937"/>
    <cellStyle name="SAPBEXexcCritical6 3 2 6 3" xfId="17938"/>
    <cellStyle name="SAPBEXexcCritical6 3 2 6 4" xfId="17936"/>
    <cellStyle name="SAPBEXexcCritical6 3 2 7" xfId="8380"/>
    <cellStyle name="SAPBEXexcCritical6 3 2 7 2" xfId="17940"/>
    <cellStyle name="SAPBEXexcCritical6 3 2 7 3" xfId="17941"/>
    <cellStyle name="SAPBEXexcCritical6 3 2 7 4" xfId="17939"/>
    <cellStyle name="SAPBEXexcCritical6 3 2 8" xfId="8881"/>
    <cellStyle name="SAPBEXexcCritical6 3 2 8 2" xfId="17943"/>
    <cellStyle name="SAPBEXexcCritical6 3 2 8 3" xfId="17944"/>
    <cellStyle name="SAPBEXexcCritical6 3 2 8 4" xfId="17942"/>
    <cellStyle name="SAPBEXexcCritical6 3 2 9" xfId="9375"/>
    <cellStyle name="SAPBEXexcCritical6 3 2 9 2" xfId="17946"/>
    <cellStyle name="SAPBEXexcCritical6 3 2 9 3" xfId="17947"/>
    <cellStyle name="SAPBEXexcCritical6 3 2 9 4" xfId="17945"/>
    <cellStyle name="SAPBEXexcCritical6 3 2_planning-WP" xfId="17948"/>
    <cellStyle name="SAPBEXexcCritical6 3 3" xfId="4516"/>
    <cellStyle name="SAPBEXexcCritical6 3 3 10" xfId="17950"/>
    <cellStyle name="SAPBEXexcCritical6 3 3 11" xfId="17949"/>
    <cellStyle name="SAPBEXexcCritical6 3 3 2" xfId="17951"/>
    <cellStyle name="SAPBEXexcCritical6 3 3 2 2" xfId="17952"/>
    <cellStyle name="SAPBEXexcCritical6 3 3 2 3" xfId="17953"/>
    <cellStyle name="SAPBEXexcCritical6 3 3 3" xfId="17954"/>
    <cellStyle name="SAPBEXexcCritical6 3 3 3 2" xfId="17955"/>
    <cellStyle name="SAPBEXexcCritical6 3 3 3 3" xfId="17956"/>
    <cellStyle name="SAPBEXexcCritical6 3 3 4" xfId="17957"/>
    <cellStyle name="SAPBEXexcCritical6 3 3 4 2" xfId="17958"/>
    <cellStyle name="SAPBEXexcCritical6 3 3 4 3" xfId="17959"/>
    <cellStyle name="SAPBEXexcCritical6 3 3 5" xfId="17960"/>
    <cellStyle name="SAPBEXexcCritical6 3 3 5 2" xfId="17961"/>
    <cellStyle name="SAPBEXexcCritical6 3 3 5 3" xfId="17962"/>
    <cellStyle name="SAPBEXexcCritical6 3 3 6" xfId="17963"/>
    <cellStyle name="SAPBEXexcCritical6 3 3 6 2" xfId="17964"/>
    <cellStyle name="SAPBEXexcCritical6 3 3 6 3" xfId="17965"/>
    <cellStyle name="SAPBEXexcCritical6 3 3 7" xfId="17966"/>
    <cellStyle name="SAPBEXexcCritical6 3 3 7 2" xfId="17967"/>
    <cellStyle name="SAPBEXexcCritical6 3 3 7 3" xfId="17968"/>
    <cellStyle name="SAPBEXexcCritical6 3 3 8" xfId="17969"/>
    <cellStyle name="SAPBEXexcCritical6 3 3 8 2" xfId="17970"/>
    <cellStyle name="SAPBEXexcCritical6 3 3 8 3" xfId="17971"/>
    <cellStyle name="SAPBEXexcCritical6 3 3 9" xfId="17972"/>
    <cellStyle name="SAPBEXexcCritical6 3 3 9 2" xfId="17973"/>
    <cellStyle name="SAPBEXexcCritical6 3 3 9 3" xfId="17974"/>
    <cellStyle name="SAPBEXexcCritical6 3 3_planning-WP" xfId="17975"/>
    <cellStyle name="SAPBEXexcCritical6 3 4" xfId="5508"/>
    <cellStyle name="SAPBEXexcCritical6 3 4 10" xfId="17976"/>
    <cellStyle name="SAPBEXexcCritical6 3 4 2" xfId="17977"/>
    <cellStyle name="SAPBEXexcCritical6 3 4 2 2" xfId="17978"/>
    <cellStyle name="SAPBEXexcCritical6 3 4 2 3" xfId="17979"/>
    <cellStyle name="SAPBEXexcCritical6 3 4 3" xfId="17980"/>
    <cellStyle name="SAPBEXexcCritical6 3 4 3 2" xfId="17981"/>
    <cellStyle name="SAPBEXexcCritical6 3 4 3 3" xfId="17982"/>
    <cellStyle name="SAPBEXexcCritical6 3 4 4" xfId="17983"/>
    <cellStyle name="SAPBEXexcCritical6 3 4 4 2" xfId="17984"/>
    <cellStyle name="SAPBEXexcCritical6 3 4 4 3" xfId="17985"/>
    <cellStyle name="SAPBEXexcCritical6 3 4 5" xfId="17986"/>
    <cellStyle name="SAPBEXexcCritical6 3 4 5 2" xfId="17987"/>
    <cellStyle name="SAPBEXexcCritical6 3 4 5 3" xfId="17988"/>
    <cellStyle name="SAPBEXexcCritical6 3 4 6" xfId="17989"/>
    <cellStyle name="SAPBEXexcCritical6 3 4 6 2" xfId="17990"/>
    <cellStyle name="SAPBEXexcCritical6 3 4 6 3" xfId="17991"/>
    <cellStyle name="SAPBEXexcCritical6 3 4 7" xfId="17992"/>
    <cellStyle name="SAPBEXexcCritical6 3 4 7 2" xfId="17993"/>
    <cellStyle name="SAPBEXexcCritical6 3 4 7 3" xfId="17994"/>
    <cellStyle name="SAPBEXexcCritical6 3 4 8" xfId="17995"/>
    <cellStyle name="SAPBEXexcCritical6 3 4 8 2" xfId="17996"/>
    <cellStyle name="SAPBEXexcCritical6 3 4 8 3" xfId="17997"/>
    <cellStyle name="SAPBEXexcCritical6 3 4 9" xfId="17998"/>
    <cellStyle name="SAPBEXexcCritical6 3 4_planning-WP" xfId="17999"/>
    <cellStyle name="SAPBEXexcCritical6 3 5" xfId="3332"/>
    <cellStyle name="SAPBEXexcCritical6 3 5 2" xfId="18001"/>
    <cellStyle name="SAPBEXexcCritical6 3 5 3" xfId="18000"/>
    <cellStyle name="SAPBEXexcCritical6 3 6" xfId="3247"/>
    <cellStyle name="SAPBEXexcCritical6 3 6 2" xfId="18003"/>
    <cellStyle name="SAPBEXexcCritical6 3 6 3" xfId="18004"/>
    <cellStyle name="SAPBEXexcCritical6 3 6 4" xfId="18002"/>
    <cellStyle name="SAPBEXexcCritical6 3 7" xfId="3232"/>
    <cellStyle name="SAPBEXexcCritical6 3 7 2" xfId="18006"/>
    <cellStyle name="SAPBEXexcCritical6 3 7 3" xfId="18007"/>
    <cellStyle name="SAPBEXexcCritical6 3 7 4" xfId="18005"/>
    <cellStyle name="SAPBEXexcCritical6 3 8" xfId="8056"/>
    <cellStyle name="SAPBEXexcCritical6 3 8 2" xfId="18009"/>
    <cellStyle name="SAPBEXexcCritical6 3 8 3" xfId="18010"/>
    <cellStyle name="SAPBEXexcCritical6 3 8 4" xfId="18008"/>
    <cellStyle name="SAPBEXexcCritical6 3 9" xfId="7492"/>
    <cellStyle name="SAPBEXexcCritical6 3 9 2" xfId="18012"/>
    <cellStyle name="SAPBEXexcCritical6 3 9 3" xfId="18013"/>
    <cellStyle name="SAPBEXexcCritical6 3 9 4" xfId="18011"/>
    <cellStyle name="SAPBEXexcCritical6 3_planning-WP" xfId="18014"/>
    <cellStyle name="SAPBEXexcCritical6 4" xfId="1708"/>
    <cellStyle name="SAPBEXexcCritical6 4 10" xfId="9165"/>
    <cellStyle name="SAPBEXexcCritical6 4 10 2" xfId="18017"/>
    <cellStyle name="SAPBEXexcCritical6 4 10 3" xfId="18018"/>
    <cellStyle name="SAPBEXexcCritical6 4 10 4" xfId="18016"/>
    <cellStyle name="SAPBEXexcCritical6 4 11" xfId="18019"/>
    <cellStyle name="SAPBEXexcCritical6 4 11 2" xfId="18020"/>
    <cellStyle name="SAPBEXexcCritical6 4 11 3" xfId="18021"/>
    <cellStyle name="SAPBEXexcCritical6 4 12" xfId="18022"/>
    <cellStyle name="SAPBEXexcCritical6 4 12 2" xfId="18023"/>
    <cellStyle name="SAPBEXexcCritical6 4 12 3" xfId="18024"/>
    <cellStyle name="SAPBEXexcCritical6 4 13" xfId="18015"/>
    <cellStyle name="SAPBEXexcCritical6 4 14" xfId="9904"/>
    <cellStyle name="SAPBEXexcCritical6 4 15" xfId="38932"/>
    <cellStyle name="SAPBEXexcCritical6 4 16" xfId="39341"/>
    <cellStyle name="SAPBEXexcCritical6 4 2" xfId="2040"/>
    <cellStyle name="SAPBEXexcCritical6 4 2 10" xfId="18026"/>
    <cellStyle name="SAPBEXexcCritical6 4 2 10 2" xfId="18027"/>
    <cellStyle name="SAPBEXexcCritical6 4 2 10 3" xfId="18028"/>
    <cellStyle name="SAPBEXexcCritical6 4 2 11" xfId="18029"/>
    <cellStyle name="SAPBEXexcCritical6 4 2 12" xfId="18025"/>
    <cellStyle name="SAPBEXexcCritical6 4 2 13" xfId="10217"/>
    <cellStyle name="SAPBEXexcCritical6 4 2 14" xfId="38933"/>
    <cellStyle name="SAPBEXexcCritical6 4 2 15" xfId="39342"/>
    <cellStyle name="SAPBEXexcCritical6 4 2 2" xfId="4957"/>
    <cellStyle name="SAPBEXexcCritical6 4 2 2 10" xfId="18031"/>
    <cellStyle name="SAPBEXexcCritical6 4 2 2 11" xfId="18030"/>
    <cellStyle name="SAPBEXexcCritical6 4 2 2 2" xfId="18032"/>
    <cellStyle name="SAPBEXexcCritical6 4 2 2 2 2" xfId="18033"/>
    <cellStyle name="SAPBEXexcCritical6 4 2 2 2 3" xfId="18034"/>
    <cellStyle name="SAPBEXexcCritical6 4 2 2 3" xfId="18035"/>
    <cellStyle name="SAPBEXexcCritical6 4 2 2 3 2" xfId="18036"/>
    <cellStyle name="SAPBEXexcCritical6 4 2 2 3 3" xfId="18037"/>
    <cellStyle name="SAPBEXexcCritical6 4 2 2 4" xfId="18038"/>
    <cellStyle name="SAPBEXexcCritical6 4 2 2 4 2" xfId="18039"/>
    <cellStyle name="SAPBEXexcCritical6 4 2 2 4 3" xfId="18040"/>
    <cellStyle name="SAPBEXexcCritical6 4 2 2 5" xfId="18041"/>
    <cellStyle name="SAPBEXexcCritical6 4 2 2 5 2" xfId="18042"/>
    <cellStyle name="SAPBEXexcCritical6 4 2 2 5 3" xfId="18043"/>
    <cellStyle name="SAPBEXexcCritical6 4 2 2 6" xfId="18044"/>
    <cellStyle name="SAPBEXexcCritical6 4 2 2 6 2" xfId="18045"/>
    <cellStyle name="SAPBEXexcCritical6 4 2 2 6 3" xfId="18046"/>
    <cellStyle name="SAPBEXexcCritical6 4 2 2 7" xfId="18047"/>
    <cellStyle name="SAPBEXexcCritical6 4 2 2 7 2" xfId="18048"/>
    <cellStyle name="SAPBEXexcCritical6 4 2 2 7 3" xfId="18049"/>
    <cellStyle name="SAPBEXexcCritical6 4 2 2 8" xfId="18050"/>
    <cellStyle name="SAPBEXexcCritical6 4 2 2 8 2" xfId="18051"/>
    <cellStyle name="SAPBEXexcCritical6 4 2 2 8 3" xfId="18052"/>
    <cellStyle name="SAPBEXexcCritical6 4 2 2 9" xfId="18053"/>
    <cellStyle name="SAPBEXexcCritical6 4 2 2 9 2" xfId="18054"/>
    <cellStyle name="SAPBEXexcCritical6 4 2 2 9 3" xfId="18055"/>
    <cellStyle name="SAPBEXexcCritical6 4 2 2_planning-WP" xfId="18056"/>
    <cellStyle name="SAPBEXexcCritical6 4 2 3" xfId="5936"/>
    <cellStyle name="SAPBEXexcCritical6 4 2 3 2" xfId="18058"/>
    <cellStyle name="SAPBEXexcCritical6 4 2 3 3" xfId="18059"/>
    <cellStyle name="SAPBEXexcCritical6 4 2 3 4" xfId="18057"/>
    <cellStyle name="SAPBEXexcCritical6 4 2 4" xfId="6444"/>
    <cellStyle name="SAPBEXexcCritical6 4 2 4 2" xfId="18061"/>
    <cellStyle name="SAPBEXexcCritical6 4 2 4 3" xfId="18062"/>
    <cellStyle name="SAPBEXexcCritical6 4 2 4 4" xfId="18060"/>
    <cellStyle name="SAPBEXexcCritical6 4 2 5" xfId="6931"/>
    <cellStyle name="SAPBEXexcCritical6 4 2 5 2" xfId="18064"/>
    <cellStyle name="SAPBEXexcCritical6 4 2 5 3" xfId="18065"/>
    <cellStyle name="SAPBEXexcCritical6 4 2 5 4" xfId="18063"/>
    <cellStyle name="SAPBEXexcCritical6 4 2 6" xfId="7414"/>
    <cellStyle name="SAPBEXexcCritical6 4 2 6 2" xfId="18067"/>
    <cellStyle name="SAPBEXexcCritical6 4 2 6 3" xfId="18068"/>
    <cellStyle name="SAPBEXexcCritical6 4 2 6 4" xfId="18066"/>
    <cellStyle name="SAPBEXexcCritical6 4 2 7" xfId="8483"/>
    <cellStyle name="SAPBEXexcCritical6 4 2 7 2" xfId="18070"/>
    <cellStyle name="SAPBEXexcCritical6 4 2 7 3" xfId="18071"/>
    <cellStyle name="SAPBEXexcCritical6 4 2 7 4" xfId="18069"/>
    <cellStyle name="SAPBEXexcCritical6 4 2 8" xfId="8984"/>
    <cellStyle name="SAPBEXexcCritical6 4 2 8 2" xfId="18073"/>
    <cellStyle name="SAPBEXexcCritical6 4 2 8 3" xfId="18074"/>
    <cellStyle name="SAPBEXexcCritical6 4 2 8 4" xfId="18072"/>
    <cellStyle name="SAPBEXexcCritical6 4 2 9" xfId="9478"/>
    <cellStyle name="SAPBEXexcCritical6 4 2 9 2" xfId="18076"/>
    <cellStyle name="SAPBEXexcCritical6 4 2 9 3" xfId="18077"/>
    <cellStyle name="SAPBEXexcCritical6 4 2 9 4" xfId="18075"/>
    <cellStyle name="SAPBEXexcCritical6 4 2_planning-WP" xfId="18078"/>
    <cellStyle name="SAPBEXexcCritical6 4 3" xfId="4630"/>
    <cellStyle name="SAPBEXexcCritical6 4 3 10" xfId="18080"/>
    <cellStyle name="SAPBEXexcCritical6 4 3 11" xfId="18079"/>
    <cellStyle name="SAPBEXexcCritical6 4 3 2" xfId="18081"/>
    <cellStyle name="SAPBEXexcCritical6 4 3 2 2" xfId="18082"/>
    <cellStyle name="SAPBEXexcCritical6 4 3 2 3" xfId="18083"/>
    <cellStyle name="SAPBEXexcCritical6 4 3 3" xfId="18084"/>
    <cellStyle name="SAPBEXexcCritical6 4 3 3 2" xfId="18085"/>
    <cellStyle name="SAPBEXexcCritical6 4 3 3 3" xfId="18086"/>
    <cellStyle name="SAPBEXexcCritical6 4 3 4" xfId="18087"/>
    <cellStyle name="SAPBEXexcCritical6 4 3 4 2" xfId="18088"/>
    <cellStyle name="SAPBEXexcCritical6 4 3 4 3" xfId="18089"/>
    <cellStyle name="SAPBEXexcCritical6 4 3 5" xfId="18090"/>
    <cellStyle name="SAPBEXexcCritical6 4 3 5 2" xfId="18091"/>
    <cellStyle name="SAPBEXexcCritical6 4 3 5 3" xfId="18092"/>
    <cellStyle name="SAPBEXexcCritical6 4 3 6" xfId="18093"/>
    <cellStyle name="SAPBEXexcCritical6 4 3 6 2" xfId="18094"/>
    <cellStyle name="SAPBEXexcCritical6 4 3 6 3" xfId="18095"/>
    <cellStyle name="SAPBEXexcCritical6 4 3 7" xfId="18096"/>
    <cellStyle name="SAPBEXexcCritical6 4 3 7 2" xfId="18097"/>
    <cellStyle name="SAPBEXexcCritical6 4 3 7 3" xfId="18098"/>
    <cellStyle name="SAPBEXexcCritical6 4 3 8" xfId="18099"/>
    <cellStyle name="SAPBEXexcCritical6 4 3 8 2" xfId="18100"/>
    <cellStyle name="SAPBEXexcCritical6 4 3 8 3" xfId="18101"/>
    <cellStyle name="SAPBEXexcCritical6 4 3 9" xfId="18102"/>
    <cellStyle name="SAPBEXexcCritical6 4 3 9 2" xfId="18103"/>
    <cellStyle name="SAPBEXexcCritical6 4 3 9 3" xfId="18104"/>
    <cellStyle name="SAPBEXexcCritical6 4 3_planning-WP" xfId="18105"/>
    <cellStyle name="SAPBEXexcCritical6 4 4" xfId="5622"/>
    <cellStyle name="SAPBEXexcCritical6 4 4 10" xfId="18106"/>
    <cellStyle name="SAPBEXexcCritical6 4 4 2" xfId="18107"/>
    <cellStyle name="SAPBEXexcCritical6 4 4 2 2" xfId="18108"/>
    <cellStyle name="SAPBEXexcCritical6 4 4 2 3" xfId="18109"/>
    <cellStyle name="SAPBEXexcCritical6 4 4 3" xfId="18110"/>
    <cellStyle name="SAPBEXexcCritical6 4 4 3 2" xfId="18111"/>
    <cellStyle name="SAPBEXexcCritical6 4 4 3 3" xfId="18112"/>
    <cellStyle name="SAPBEXexcCritical6 4 4 4" xfId="18113"/>
    <cellStyle name="SAPBEXexcCritical6 4 4 4 2" xfId="18114"/>
    <cellStyle name="SAPBEXexcCritical6 4 4 4 3" xfId="18115"/>
    <cellStyle name="SAPBEXexcCritical6 4 4 5" xfId="18116"/>
    <cellStyle name="SAPBEXexcCritical6 4 4 5 2" xfId="18117"/>
    <cellStyle name="SAPBEXexcCritical6 4 4 5 3" xfId="18118"/>
    <cellStyle name="SAPBEXexcCritical6 4 4 6" xfId="18119"/>
    <cellStyle name="SAPBEXexcCritical6 4 4 6 2" xfId="18120"/>
    <cellStyle name="SAPBEXexcCritical6 4 4 6 3" xfId="18121"/>
    <cellStyle name="SAPBEXexcCritical6 4 4 7" xfId="18122"/>
    <cellStyle name="SAPBEXexcCritical6 4 4 7 2" xfId="18123"/>
    <cellStyle name="SAPBEXexcCritical6 4 4 7 3" xfId="18124"/>
    <cellStyle name="SAPBEXexcCritical6 4 4 8" xfId="18125"/>
    <cellStyle name="SAPBEXexcCritical6 4 4 8 2" xfId="18126"/>
    <cellStyle name="SAPBEXexcCritical6 4 4 8 3" xfId="18127"/>
    <cellStyle name="SAPBEXexcCritical6 4 4 9" xfId="18128"/>
    <cellStyle name="SAPBEXexcCritical6 4 4_planning-WP" xfId="18129"/>
    <cellStyle name="SAPBEXexcCritical6 4 5" xfId="6131"/>
    <cellStyle name="SAPBEXexcCritical6 4 5 2" xfId="18131"/>
    <cellStyle name="SAPBEXexcCritical6 4 5 3" xfId="18130"/>
    <cellStyle name="SAPBEXexcCritical6 4 6" xfId="6618"/>
    <cellStyle name="SAPBEXexcCritical6 4 6 2" xfId="18133"/>
    <cellStyle name="SAPBEXexcCritical6 4 6 3" xfId="18134"/>
    <cellStyle name="SAPBEXexcCritical6 4 6 4" xfId="18132"/>
    <cellStyle name="SAPBEXexcCritical6 4 7" xfId="7101"/>
    <cellStyle name="SAPBEXexcCritical6 4 7 2" xfId="18136"/>
    <cellStyle name="SAPBEXexcCritical6 4 7 3" xfId="18137"/>
    <cellStyle name="SAPBEXexcCritical6 4 7 4" xfId="18135"/>
    <cellStyle name="SAPBEXexcCritical6 4 8" xfId="8170"/>
    <cellStyle name="SAPBEXexcCritical6 4 8 2" xfId="18139"/>
    <cellStyle name="SAPBEXexcCritical6 4 8 3" xfId="18140"/>
    <cellStyle name="SAPBEXexcCritical6 4 8 4" xfId="18138"/>
    <cellStyle name="SAPBEXexcCritical6 4 9" xfId="8671"/>
    <cellStyle name="SAPBEXexcCritical6 4 9 2" xfId="18142"/>
    <cellStyle name="SAPBEXexcCritical6 4 9 3" xfId="18143"/>
    <cellStyle name="SAPBEXexcCritical6 4 9 4" xfId="18141"/>
    <cellStyle name="SAPBEXexcCritical6 4_planning-WP" xfId="18144"/>
    <cellStyle name="SAPBEXexcCritical6 5" xfId="1651"/>
    <cellStyle name="SAPBEXexcCritical6 5 10" xfId="9109"/>
    <cellStyle name="SAPBEXexcCritical6 5 10 2" xfId="18147"/>
    <cellStyle name="SAPBEXexcCritical6 5 10 3" xfId="18148"/>
    <cellStyle name="SAPBEXexcCritical6 5 10 4" xfId="18146"/>
    <cellStyle name="SAPBEXexcCritical6 5 11" xfId="18149"/>
    <cellStyle name="SAPBEXexcCritical6 5 11 2" xfId="18150"/>
    <cellStyle name="SAPBEXexcCritical6 5 11 3" xfId="18151"/>
    <cellStyle name="SAPBEXexcCritical6 5 12" xfId="18152"/>
    <cellStyle name="SAPBEXexcCritical6 5 12 2" xfId="18153"/>
    <cellStyle name="SAPBEXexcCritical6 5 12 3" xfId="18154"/>
    <cellStyle name="SAPBEXexcCritical6 5 13" xfId="18145"/>
    <cellStyle name="SAPBEXexcCritical6 5 14" xfId="9848"/>
    <cellStyle name="SAPBEXexcCritical6 5 15" xfId="38934"/>
    <cellStyle name="SAPBEXexcCritical6 5 16" xfId="39343"/>
    <cellStyle name="SAPBEXexcCritical6 5 2" xfId="1987"/>
    <cellStyle name="SAPBEXexcCritical6 5 2 10" xfId="18156"/>
    <cellStyle name="SAPBEXexcCritical6 5 2 10 2" xfId="18157"/>
    <cellStyle name="SAPBEXexcCritical6 5 2 10 3" xfId="18158"/>
    <cellStyle name="SAPBEXexcCritical6 5 2 11" xfId="18159"/>
    <cellStyle name="SAPBEXexcCritical6 5 2 12" xfId="18155"/>
    <cellStyle name="SAPBEXexcCritical6 5 2 13" xfId="10165"/>
    <cellStyle name="SAPBEXexcCritical6 5 2 2" xfId="4905"/>
    <cellStyle name="SAPBEXexcCritical6 5 2 2 10" xfId="18161"/>
    <cellStyle name="SAPBEXexcCritical6 5 2 2 11" xfId="18160"/>
    <cellStyle name="SAPBEXexcCritical6 5 2 2 2" xfId="18162"/>
    <cellStyle name="SAPBEXexcCritical6 5 2 2 2 2" xfId="18163"/>
    <cellStyle name="SAPBEXexcCritical6 5 2 2 2 3" xfId="18164"/>
    <cellStyle name="SAPBEXexcCritical6 5 2 2 3" xfId="18165"/>
    <cellStyle name="SAPBEXexcCritical6 5 2 2 3 2" xfId="18166"/>
    <cellStyle name="SAPBEXexcCritical6 5 2 2 3 3" xfId="18167"/>
    <cellStyle name="SAPBEXexcCritical6 5 2 2 4" xfId="18168"/>
    <cellStyle name="SAPBEXexcCritical6 5 2 2 4 2" xfId="18169"/>
    <cellStyle name="SAPBEXexcCritical6 5 2 2 4 3" xfId="18170"/>
    <cellStyle name="SAPBEXexcCritical6 5 2 2 5" xfId="18171"/>
    <cellStyle name="SAPBEXexcCritical6 5 2 2 5 2" xfId="18172"/>
    <cellStyle name="SAPBEXexcCritical6 5 2 2 5 3" xfId="18173"/>
    <cellStyle name="SAPBEXexcCritical6 5 2 2 6" xfId="18174"/>
    <cellStyle name="SAPBEXexcCritical6 5 2 2 6 2" xfId="18175"/>
    <cellStyle name="SAPBEXexcCritical6 5 2 2 6 3" xfId="18176"/>
    <cellStyle name="SAPBEXexcCritical6 5 2 2 7" xfId="18177"/>
    <cellStyle name="SAPBEXexcCritical6 5 2 2 7 2" xfId="18178"/>
    <cellStyle name="SAPBEXexcCritical6 5 2 2 7 3" xfId="18179"/>
    <cellStyle name="SAPBEXexcCritical6 5 2 2 8" xfId="18180"/>
    <cellStyle name="SAPBEXexcCritical6 5 2 2 8 2" xfId="18181"/>
    <cellStyle name="SAPBEXexcCritical6 5 2 2 8 3" xfId="18182"/>
    <cellStyle name="SAPBEXexcCritical6 5 2 2 9" xfId="18183"/>
    <cellStyle name="SAPBEXexcCritical6 5 2 2 9 2" xfId="18184"/>
    <cellStyle name="SAPBEXexcCritical6 5 2 2 9 3" xfId="18185"/>
    <cellStyle name="SAPBEXexcCritical6 5 2 2_planning-WP" xfId="18186"/>
    <cellStyle name="SAPBEXexcCritical6 5 2 3" xfId="5884"/>
    <cellStyle name="SAPBEXexcCritical6 5 2 3 2" xfId="18188"/>
    <cellStyle name="SAPBEXexcCritical6 5 2 3 3" xfId="18189"/>
    <cellStyle name="SAPBEXexcCritical6 5 2 3 4" xfId="18187"/>
    <cellStyle name="SAPBEXexcCritical6 5 2 4" xfId="6392"/>
    <cellStyle name="SAPBEXexcCritical6 5 2 4 2" xfId="18191"/>
    <cellStyle name="SAPBEXexcCritical6 5 2 4 3" xfId="18192"/>
    <cellStyle name="SAPBEXexcCritical6 5 2 4 4" xfId="18190"/>
    <cellStyle name="SAPBEXexcCritical6 5 2 5" xfId="6879"/>
    <cellStyle name="SAPBEXexcCritical6 5 2 5 2" xfId="18194"/>
    <cellStyle name="SAPBEXexcCritical6 5 2 5 3" xfId="18195"/>
    <cellStyle name="SAPBEXexcCritical6 5 2 5 4" xfId="18193"/>
    <cellStyle name="SAPBEXexcCritical6 5 2 6" xfId="7362"/>
    <cellStyle name="SAPBEXexcCritical6 5 2 6 2" xfId="18197"/>
    <cellStyle name="SAPBEXexcCritical6 5 2 6 3" xfId="18198"/>
    <cellStyle name="SAPBEXexcCritical6 5 2 6 4" xfId="18196"/>
    <cellStyle name="SAPBEXexcCritical6 5 2 7" xfId="8431"/>
    <cellStyle name="SAPBEXexcCritical6 5 2 7 2" xfId="18200"/>
    <cellStyle name="SAPBEXexcCritical6 5 2 7 3" xfId="18201"/>
    <cellStyle name="SAPBEXexcCritical6 5 2 7 4" xfId="18199"/>
    <cellStyle name="SAPBEXexcCritical6 5 2 8" xfId="8932"/>
    <cellStyle name="SAPBEXexcCritical6 5 2 8 2" xfId="18203"/>
    <cellStyle name="SAPBEXexcCritical6 5 2 8 3" xfId="18204"/>
    <cellStyle name="SAPBEXexcCritical6 5 2 8 4" xfId="18202"/>
    <cellStyle name="SAPBEXexcCritical6 5 2 9" xfId="9426"/>
    <cellStyle name="SAPBEXexcCritical6 5 2 9 2" xfId="18206"/>
    <cellStyle name="SAPBEXexcCritical6 5 2 9 3" xfId="18207"/>
    <cellStyle name="SAPBEXexcCritical6 5 2 9 4" xfId="18205"/>
    <cellStyle name="SAPBEXexcCritical6 5 2_planning-WP" xfId="18208"/>
    <cellStyle name="SAPBEXexcCritical6 5 3" xfId="4574"/>
    <cellStyle name="SAPBEXexcCritical6 5 3 10" xfId="18210"/>
    <cellStyle name="SAPBEXexcCritical6 5 3 11" xfId="18209"/>
    <cellStyle name="SAPBEXexcCritical6 5 3 2" xfId="18211"/>
    <cellStyle name="SAPBEXexcCritical6 5 3 2 2" xfId="18212"/>
    <cellStyle name="SAPBEXexcCritical6 5 3 2 3" xfId="18213"/>
    <cellStyle name="SAPBEXexcCritical6 5 3 3" xfId="18214"/>
    <cellStyle name="SAPBEXexcCritical6 5 3 3 2" xfId="18215"/>
    <cellStyle name="SAPBEXexcCritical6 5 3 3 3" xfId="18216"/>
    <cellStyle name="SAPBEXexcCritical6 5 3 4" xfId="18217"/>
    <cellStyle name="SAPBEXexcCritical6 5 3 4 2" xfId="18218"/>
    <cellStyle name="SAPBEXexcCritical6 5 3 4 3" xfId="18219"/>
    <cellStyle name="SAPBEXexcCritical6 5 3 5" xfId="18220"/>
    <cellStyle name="SAPBEXexcCritical6 5 3 5 2" xfId="18221"/>
    <cellStyle name="SAPBEXexcCritical6 5 3 5 3" xfId="18222"/>
    <cellStyle name="SAPBEXexcCritical6 5 3 6" xfId="18223"/>
    <cellStyle name="SAPBEXexcCritical6 5 3 6 2" xfId="18224"/>
    <cellStyle name="SAPBEXexcCritical6 5 3 6 3" xfId="18225"/>
    <cellStyle name="SAPBEXexcCritical6 5 3 7" xfId="18226"/>
    <cellStyle name="SAPBEXexcCritical6 5 3 7 2" xfId="18227"/>
    <cellStyle name="SAPBEXexcCritical6 5 3 7 3" xfId="18228"/>
    <cellStyle name="SAPBEXexcCritical6 5 3 8" xfId="18229"/>
    <cellStyle name="SAPBEXexcCritical6 5 3 8 2" xfId="18230"/>
    <cellStyle name="SAPBEXexcCritical6 5 3 8 3" xfId="18231"/>
    <cellStyle name="SAPBEXexcCritical6 5 3 9" xfId="18232"/>
    <cellStyle name="SAPBEXexcCritical6 5 3 9 2" xfId="18233"/>
    <cellStyle name="SAPBEXexcCritical6 5 3 9 3" xfId="18234"/>
    <cellStyle name="SAPBEXexcCritical6 5 3_planning-WP" xfId="18235"/>
    <cellStyle name="SAPBEXexcCritical6 5 4" xfId="5566"/>
    <cellStyle name="SAPBEXexcCritical6 5 4 10" xfId="18236"/>
    <cellStyle name="SAPBEXexcCritical6 5 4 2" xfId="18237"/>
    <cellStyle name="SAPBEXexcCritical6 5 4 2 2" xfId="18238"/>
    <cellStyle name="SAPBEXexcCritical6 5 4 2 3" xfId="18239"/>
    <cellStyle name="SAPBEXexcCritical6 5 4 3" xfId="18240"/>
    <cellStyle name="SAPBEXexcCritical6 5 4 3 2" xfId="18241"/>
    <cellStyle name="SAPBEXexcCritical6 5 4 3 3" xfId="18242"/>
    <cellStyle name="SAPBEXexcCritical6 5 4 4" xfId="18243"/>
    <cellStyle name="SAPBEXexcCritical6 5 4 4 2" xfId="18244"/>
    <cellStyle name="SAPBEXexcCritical6 5 4 4 3" xfId="18245"/>
    <cellStyle name="SAPBEXexcCritical6 5 4 5" xfId="18246"/>
    <cellStyle name="SAPBEXexcCritical6 5 4 5 2" xfId="18247"/>
    <cellStyle name="SAPBEXexcCritical6 5 4 5 3" xfId="18248"/>
    <cellStyle name="SAPBEXexcCritical6 5 4 6" xfId="18249"/>
    <cellStyle name="SAPBEXexcCritical6 5 4 6 2" xfId="18250"/>
    <cellStyle name="SAPBEXexcCritical6 5 4 6 3" xfId="18251"/>
    <cellStyle name="SAPBEXexcCritical6 5 4 7" xfId="18252"/>
    <cellStyle name="SAPBEXexcCritical6 5 4 7 2" xfId="18253"/>
    <cellStyle name="SAPBEXexcCritical6 5 4 7 3" xfId="18254"/>
    <cellStyle name="SAPBEXexcCritical6 5 4 8" xfId="18255"/>
    <cellStyle name="SAPBEXexcCritical6 5 4 8 2" xfId="18256"/>
    <cellStyle name="SAPBEXexcCritical6 5 4 8 3" xfId="18257"/>
    <cellStyle name="SAPBEXexcCritical6 5 4 9" xfId="18258"/>
    <cellStyle name="SAPBEXexcCritical6 5 4_planning-WP" xfId="18259"/>
    <cellStyle name="SAPBEXexcCritical6 5 5" xfId="6075"/>
    <cellStyle name="SAPBEXexcCritical6 5 5 2" xfId="18261"/>
    <cellStyle name="SAPBEXexcCritical6 5 5 3" xfId="18260"/>
    <cellStyle name="SAPBEXexcCritical6 5 6" xfId="6562"/>
    <cellStyle name="SAPBEXexcCritical6 5 6 2" xfId="18263"/>
    <cellStyle name="SAPBEXexcCritical6 5 6 3" xfId="18264"/>
    <cellStyle name="SAPBEXexcCritical6 5 6 4" xfId="18262"/>
    <cellStyle name="SAPBEXexcCritical6 5 7" xfId="7045"/>
    <cellStyle name="SAPBEXexcCritical6 5 7 2" xfId="18266"/>
    <cellStyle name="SAPBEXexcCritical6 5 7 3" xfId="18267"/>
    <cellStyle name="SAPBEXexcCritical6 5 7 4" xfId="18265"/>
    <cellStyle name="SAPBEXexcCritical6 5 8" xfId="8114"/>
    <cellStyle name="SAPBEXexcCritical6 5 8 2" xfId="18269"/>
    <cellStyle name="SAPBEXexcCritical6 5 8 3" xfId="18270"/>
    <cellStyle name="SAPBEXexcCritical6 5 8 4" xfId="18268"/>
    <cellStyle name="SAPBEXexcCritical6 5 9" xfId="8615"/>
    <cellStyle name="SAPBEXexcCritical6 5 9 2" xfId="18272"/>
    <cellStyle name="SAPBEXexcCritical6 5 9 3" xfId="18273"/>
    <cellStyle name="SAPBEXexcCritical6 5 9 4" xfId="18271"/>
    <cellStyle name="SAPBEXexcCritical6 5_planning-WP" xfId="18274"/>
    <cellStyle name="SAPBEXexcCritical6 6" xfId="1738"/>
    <cellStyle name="SAPBEXexcCritical6 6 10" xfId="9193"/>
    <cellStyle name="SAPBEXexcCritical6 6 10 2" xfId="18277"/>
    <cellStyle name="SAPBEXexcCritical6 6 10 3" xfId="18278"/>
    <cellStyle name="SAPBEXexcCritical6 6 10 4" xfId="18276"/>
    <cellStyle name="SAPBEXexcCritical6 6 11" xfId="18279"/>
    <cellStyle name="SAPBEXexcCritical6 6 11 2" xfId="18280"/>
    <cellStyle name="SAPBEXexcCritical6 6 11 3" xfId="18281"/>
    <cellStyle name="SAPBEXexcCritical6 6 12" xfId="18275"/>
    <cellStyle name="SAPBEXexcCritical6 6 13" xfId="9932"/>
    <cellStyle name="SAPBEXexcCritical6 6 14" xfId="38935"/>
    <cellStyle name="SAPBEXexcCritical6 6 15" xfId="39344"/>
    <cellStyle name="SAPBEXexcCritical6 6 2" xfId="2068"/>
    <cellStyle name="SAPBEXexcCritical6 6 2 10" xfId="18283"/>
    <cellStyle name="SAPBEXexcCritical6 6 2 11" xfId="18282"/>
    <cellStyle name="SAPBEXexcCritical6 6 2 12" xfId="10243"/>
    <cellStyle name="SAPBEXexcCritical6 6 2 2" xfId="4983"/>
    <cellStyle name="SAPBEXexcCritical6 6 2 2 2" xfId="18285"/>
    <cellStyle name="SAPBEXexcCritical6 6 2 2 3" xfId="18286"/>
    <cellStyle name="SAPBEXexcCritical6 6 2 2 4" xfId="18284"/>
    <cellStyle name="SAPBEXexcCritical6 6 2 3" xfId="5962"/>
    <cellStyle name="SAPBEXexcCritical6 6 2 3 2" xfId="18288"/>
    <cellStyle name="SAPBEXexcCritical6 6 2 3 3" xfId="18289"/>
    <cellStyle name="SAPBEXexcCritical6 6 2 3 4" xfId="18287"/>
    <cellStyle name="SAPBEXexcCritical6 6 2 4" xfId="6470"/>
    <cellStyle name="SAPBEXexcCritical6 6 2 4 2" xfId="18291"/>
    <cellStyle name="SAPBEXexcCritical6 6 2 4 3" xfId="18292"/>
    <cellStyle name="SAPBEXexcCritical6 6 2 4 4" xfId="18290"/>
    <cellStyle name="SAPBEXexcCritical6 6 2 5" xfId="6957"/>
    <cellStyle name="SAPBEXexcCritical6 6 2 5 2" xfId="18294"/>
    <cellStyle name="SAPBEXexcCritical6 6 2 5 3" xfId="18295"/>
    <cellStyle name="SAPBEXexcCritical6 6 2 5 4" xfId="18293"/>
    <cellStyle name="SAPBEXexcCritical6 6 2 6" xfId="7440"/>
    <cellStyle name="SAPBEXexcCritical6 6 2 6 2" xfId="18297"/>
    <cellStyle name="SAPBEXexcCritical6 6 2 6 3" xfId="18298"/>
    <cellStyle name="SAPBEXexcCritical6 6 2 6 4" xfId="18296"/>
    <cellStyle name="SAPBEXexcCritical6 6 2 7" xfId="8509"/>
    <cellStyle name="SAPBEXexcCritical6 6 2 7 2" xfId="18300"/>
    <cellStyle name="SAPBEXexcCritical6 6 2 7 3" xfId="18301"/>
    <cellStyle name="SAPBEXexcCritical6 6 2 7 4" xfId="18299"/>
    <cellStyle name="SAPBEXexcCritical6 6 2 8" xfId="9010"/>
    <cellStyle name="SAPBEXexcCritical6 6 2 8 2" xfId="18303"/>
    <cellStyle name="SAPBEXexcCritical6 6 2 8 3" xfId="18304"/>
    <cellStyle name="SAPBEXexcCritical6 6 2 8 4" xfId="18302"/>
    <cellStyle name="SAPBEXexcCritical6 6 2 9" xfId="9504"/>
    <cellStyle name="SAPBEXexcCritical6 6 2 9 2" xfId="18306"/>
    <cellStyle name="SAPBEXexcCritical6 6 2 9 3" xfId="18307"/>
    <cellStyle name="SAPBEXexcCritical6 6 2 9 4" xfId="18305"/>
    <cellStyle name="SAPBEXexcCritical6 6 2_planning-WP" xfId="18308"/>
    <cellStyle name="SAPBEXexcCritical6 6 3" xfId="4659"/>
    <cellStyle name="SAPBEXexcCritical6 6 3 10" xfId="18309"/>
    <cellStyle name="SAPBEXexcCritical6 6 3 2" xfId="18310"/>
    <cellStyle name="SAPBEXexcCritical6 6 3 2 2" xfId="18311"/>
    <cellStyle name="SAPBEXexcCritical6 6 3 2 3" xfId="18312"/>
    <cellStyle name="SAPBEXexcCritical6 6 3 3" xfId="18313"/>
    <cellStyle name="SAPBEXexcCritical6 6 3 3 2" xfId="18314"/>
    <cellStyle name="SAPBEXexcCritical6 6 3 3 3" xfId="18315"/>
    <cellStyle name="SAPBEXexcCritical6 6 3 4" xfId="18316"/>
    <cellStyle name="SAPBEXexcCritical6 6 3 4 2" xfId="18317"/>
    <cellStyle name="SAPBEXexcCritical6 6 3 4 3" xfId="18318"/>
    <cellStyle name="SAPBEXexcCritical6 6 3 5" xfId="18319"/>
    <cellStyle name="SAPBEXexcCritical6 6 3 5 2" xfId="18320"/>
    <cellStyle name="SAPBEXexcCritical6 6 3 5 3" xfId="18321"/>
    <cellStyle name="SAPBEXexcCritical6 6 3 6" xfId="18322"/>
    <cellStyle name="SAPBEXexcCritical6 6 3 6 2" xfId="18323"/>
    <cellStyle name="SAPBEXexcCritical6 6 3 6 3" xfId="18324"/>
    <cellStyle name="SAPBEXexcCritical6 6 3 7" xfId="18325"/>
    <cellStyle name="SAPBEXexcCritical6 6 3 7 2" xfId="18326"/>
    <cellStyle name="SAPBEXexcCritical6 6 3 7 3" xfId="18327"/>
    <cellStyle name="SAPBEXexcCritical6 6 3 8" xfId="18328"/>
    <cellStyle name="SAPBEXexcCritical6 6 3 8 2" xfId="18329"/>
    <cellStyle name="SAPBEXexcCritical6 6 3 8 3" xfId="18330"/>
    <cellStyle name="SAPBEXexcCritical6 6 3 9" xfId="18331"/>
    <cellStyle name="SAPBEXexcCritical6 6 3_planning-WP" xfId="18332"/>
    <cellStyle name="SAPBEXexcCritical6 6 4" xfId="5650"/>
    <cellStyle name="SAPBEXexcCritical6 6 4 2" xfId="18334"/>
    <cellStyle name="SAPBEXexcCritical6 6 4 3" xfId="18333"/>
    <cellStyle name="SAPBEXexcCritical6 6 5" xfId="6159"/>
    <cellStyle name="SAPBEXexcCritical6 6 5 2" xfId="18336"/>
    <cellStyle name="SAPBEXexcCritical6 6 5 3" xfId="18337"/>
    <cellStyle name="SAPBEXexcCritical6 6 5 4" xfId="18335"/>
    <cellStyle name="SAPBEXexcCritical6 6 6" xfId="6646"/>
    <cellStyle name="SAPBEXexcCritical6 6 6 2" xfId="18339"/>
    <cellStyle name="SAPBEXexcCritical6 6 6 3" xfId="18340"/>
    <cellStyle name="SAPBEXexcCritical6 6 6 4" xfId="18338"/>
    <cellStyle name="SAPBEXexcCritical6 6 7" xfId="7129"/>
    <cellStyle name="SAPBEXexcCritical6 6 7 2" xfId="18342"/>
    <cellStyle name="SAPBEXexcCritical6 6 7 3" xfId="18343"/>
    <cellStyle name="SAPBEXexcCritical6 6 7 4" xfId="18341"/>
    <cellStyle name="SAPBEXexcCritical6 6 8" xfId="8198"/>
    <cellStyle name="SAPBEXexcCritical6 6 8 2" xfId="18345"/>
    <cellStyle name="SAPBEXexcCritical6 6 8 3" xfId="18346"/>
    <cellStyle name="SAPBEXexcCritical6 6 8 4" xfId="18344"/>
    <cellStyle name="SAPBEXexcCritical6 6 9" xfId="8699"/>
    <cellStyle name="SAPBEXexcCritical6 6 9 2" xfId="18348"/>
    <cellStyle name="SAPBEXexcCritical6 6 9 3" xfId="18349"/>
    <cellStyle name="SAPBEXexcCritical6 6 9 4" xfId="18347"/>
    <cellStyle name="SAPBEXexcCritical6 6_planning-WP" xfId="18350"/>
    <cellStyle name="SAPBEXexcCritical6 7" xfId="1679"/>
    <cellStyle name="SAPBEXexcCritical6 7 10" xfId="9137"/>
    <cellStyle name="SAPBEXexcCritical6 7 10 2" xfId="18353"/>
    <cellStyle name="SAPBEXexcCritical6 7 10 3" xfId="18354"/>
    <cellStyle name="SAPBEXexcCritical6 7 10 4" xfId="18352"/>
    <cellStyle name="SAPBEXexcCritical6 7 11" xfId="18355"/>
    <cellStyle name="SAPBEXexcCritical6 7 12" xfId="18351"/>
    <cellStyle name="SAPBEXexcCritical6 7 13" xfId="9876"/>
    <cellStyle name="SAPBEXexcCritical6 7 14" xfId="38936"/>
    <cellStyle name="SAPBEXexcCritical6 7 15" xfId="39345"/>
    <cellStyle name="SAPBEXexcCritical6 7 2" xfId="2013"/>
    <cellStyle name="SAPBEXexcCritical6 7 2 10" xfId="18357"/>
    <cellStyle name="SAPBEXexcCritical6 7 2 11" xfId="18356"/>
    <cellStyle name="SAPBEXexcCritical6 7 2 12" xfId="10191"/>
    <cellStyle name="SAPBEXexcCritical6 7 2 2" xfId="4931"/>
    <cellStyle name="SAPBEXexcCritical6 7 2 2 2" xfId="18359"/>
    <cellStyle name="SAPBEXexcCritical6 7 2 2 3" xfId="18360"/>
    <cellStyle name="SAPBEXexcCritical6 7 2 2 4" xfId="18358"/>
    <cellStyle name="SAPBEXexcCritical6 7 2 3" xfId="5910"/>
    <cellStyle name="SAPBEXexcCritical6 7 2 3 2" xfId="18362"/>
    <cellStyle name="SAPBEXexcCritical6 7 2 3 3" xfId="18363"/>
    <cellStyle name="SAPBEXexcCritical6 7 2 3 4" xfId="18361"/>
    <cellStyle name="SAPBEXexcCritical6 7 2 4" xfId="6418"/>
    <cellStyle name="SAPBEXexcCritical6 7 2 4 2" xfId="18365"/>
    <cellStyle name="SAPBEXexcCritical6 7 2 4 3" xfId="18366"/>
    <cellStyle name="SAPBEXexcCritical6 7 2 4 4" xfId="18364"/>
    <cellStyle name="SAPBEXexcCritical6 7 2 5" xfId="6905"/>
    <cellStyle name="SAPBEXexcCritical6 7 2 5 2" xfId="18368"/>
    <cellStyle name="SAPBEXexcCritical6 7 2 5 3" xfId="18369"/>
    <cellStyle name="SAPBEXexcCritical6 7 2 5 4" xfId="18367"/>
    <cellStyle name="SAPBEXexcCritical6 7 2 6" xfId="7388"/>
    <cellStyle name="SAPBEXexcCritical6 7 2 6 2" xfId="18371"/>
    <cellStyle name="SAPBEXexcCritical6 7 2 6 3" xfId="18372"/>
    <cellStyle name="SAPBEXexcCritical6 7 2 6 4" xfId="18370"/>
    <cellStyle name="SAPBEXexcCritical6 7 2 7" xfId="8457"/>
    <cellStyle name="SAPBEXexcCritical6 7 2 7 2" xfId="18374"/>
    <cellStyle name="SAPBEXexcCritical6 7 2 7 3" xfId="18375"/>
    <cellStyle name="SAPBEXexcCritical6 7 2 7 4" xfId="18373"/>
    <cellStyle name="SAPBEXexcCritical6 7 2 8" xfId="8958"/>
    <cellStyle name="SAPBEXexcCritical6 7 2 8 2" xfId="18377"/>
    <cellStyle name="SAPBEXexcCritical6 7 2 8 3" xfId="18378"/>
    <cellStyle name="SAPBEXexcCritical6 7 2 8 4" xfId="18376"/>
    <cellStyle name="SAPBEXexcCritical6 7 2 9" xfId="9452"/>
    <cellStyle name="SAPBEXexcCritical6 7 2 9 2" xfId="18380"/>
    <cellStyle name="SAPBEXexcCritical6 7 2 9 3" xfId="18381"/>
    <cellStyle name="SAPBEXexcCritical6 7 2 9 4" xfId="18379"/>
    <cellStyle name="SAPBEXexcCritical6 7 2_planning-WP" xfId="18382"/>
    <cellStyle name="SAPBEXexcCritical6 7 3" xfId="4602"/>
    <cellStyle name="SAPBEXexcCritical6 7 3 2" xfId="18384"/>
    <cellStyle name="SAPBEXexcCritical6 7 3 3" xfId="18385"/>
    <cellStyle name="SAPBEXexcCritical6 7 3 4" xfId="18383"/>
    <cellStyle name="SAPBEXexcCritical6 7 4" xfId="5594"/>
    <cellStyle name="SAPBEXexcCritical6 7 4 2" xfId="18387"/>
    <cellStyle name="SAPBEXexcCritical6 7 4 3" xfId="18388"/>
    <cellStyle name="SAPBEXexcCritical6 7 4 4" xfId="18386"/>
    <cellStyle name="SAPBEXexcCritical6 7 5" xfId="6103"/>
    <cellStyle name="SAPBEXexcCritical6 7 5 2" xfId="18390"/>
    <cellStyle name="SAPBEXexcCritical6 7 5 3" xfId="18391"/>
    <cellStyle name="SAPBEXexcCritical6 7 5 4" xfId="18389"/>
    <cellStyle name="SAPBEXexcCritical6 7 6" xfId="6590"/>
    <cellStyle name="SAPBEXexcCritical6 7 6 2" xfId="18393"/>
    <cellStyle name="SAPBEXexcCritical6 7 6 3" xfId="18394"/>
    <cellStyle name="SAPBEXexcCritical6 7 6 4" xfId="18392"/>
    <cellStyle name="SAPBEXexcCritical6 7 7" xfId="7073"/>
    <cellStyle name="SAPBEXexcCritical6 7 7 2" xfId="18396"/>
    <cellStyle name="SAPBEXexcCritical6 7 7 3" xfId="18397"/>
    <cellStyle name="SAPBEXexcCritical6 7 7 4" xfId="18395"/>
    <cellStyle name="SAPBEXexcCritical6 7 8" xfId="8142"/>
    <cellStyle name="SAPBEXexcCritical6 7 8 2" xfId="18399"/>
    <cellStyle name="SAPBEXexcCritical6 7 8 3" xfId="18400"/>
    <cellStyle name="SAPBEXexcCritical6 7 8 4" xfId="18398"/>
    <cellStyle name="SAPBEXexcCritical6 7 9" xfId="8643"/>
    <cellStyle name="SAPBEXexcCritical6 7 9 2" xfId="18402"/>
    <cellStyle name="SAPBEXexcCritical6 7 9 3" xfId="18403"/>
    <cellStyle name="SAPBEXexcCritical6 7 9 4" xfId="18401"/>
    <cellStyle name="SAPBEXexcCritical6 7_planning-WP" xfId="18404"/>
    <cellStyle name="SAPBEXexcCritical6 8" xfId="1597"/>
    <cellStyle name="SAPBEXexcCritical6 8 10" xfId="18406"/>
    <cellStyle name="SAPBEXexcCritical6 8 11" xfId="18405"/>
    <cellStyle name="SAPBEXexcCritical6 8 12" xfId="9794"/>
    <cellStyle name="SAPBEXexcCritical6 8 2" xfId="4520"/>
    <cellStyle name="SAPBEXexcCritical6 8 2 2" xfId="18408"/>
    <cellStyle name="SAPBEXexcCritical6 8 2 3" xfId="18409"/>
    <cellStyle name="SAPBEXexcCritical6 8 2 4" xfId="18407"/>
    <cellStyle name="SAPBEXexcCritical6 8 3" xfId="5512"/>
    <cellStyle name="SAPBEXexcCritical6 8 3 2" xfId="18411"/>
    <cellStyle name="SAPBEXexcCritical6 8 3 3" xfId="18412"/>
    <cellStyle name="SAPBEXexcCritical6 8 3 4" xfId="18410"/>
    <cellStyle name="SAPBEXexcCritical6 8 4" xfId="3336"/>
    <cellStyle name="SAPBEXexcCritical6 8 4 2" xfId="18414"/>
    <cellStyle name="SAPBEXexcCritical6 8 4 3" xfId="18415"/>
    <cellStyle name="SAPBEXexcCritical6 8 4 4" xfId="18413"/>
    <cellStyle name="SAPBEXexcCritical6 8 5" xfId="3348"/>
    <cellStyle name="SAPBEXexcCritical6 8 5 2" xfId="18417"/>
    <cellStyle name="SAPBEXexcCritical6 8 5 3" xfId="18418"/>
    <cellStyle name="SAPBEXexcCritical6 8 5 4" xfId="18416"/>
    <cellStyle name="SAPBEXexcCritical6 8 6" xfId="3234"/>
    <cellStyle name="SAPBEXexcCritical6 8 6 2" xfId="18420"/>
    <cellStyle name="SAPBEXexcCritical6 8 6 3" xfId="18421"/>
    <cellStyle name="SAPBEXexcCritical6 8 6 4" xfId="18419"/>
    <cellStyle name="SAPBEXexcCritical6 8 7" xfId="8060"/>
    <cellStyle name="SAPBEXexcCritical6 8 7 2" xfId="18423"/>
    <cellStyle name="SAPBEXexcCritical6 8 7 3" xfId="18424"/>
    <cellStyle name="SAPBEXexcCritical6 8 7 4" xfId="18422"/>
    <cellStyle name="SAPBEXexcCritical6 8 8" xfId="8561"/>
    <cellStyle name="SAPBEXexcCritical6 8 8 2" xfId="18426"/>
    <cellStyle name="SAPBEXexcCritical6 8 8 3" xfId="18427"/>
    <cellStyle name="SAPBEXexcCritical6 8 8 4" xfId="18425"/>
    <cellStyle name="SAPBEXexcCritical6 8 9" xfId="7749"/>
    <cellStyle name="SAPBEXexcCritical6 8 9 2" xfId="18429"/>
    <cellStyle name="SAPBEXexcCritical6 8 9 3" xfId="18430"/>
    <cellStyle name="SAPBEXexcCritical6 8 9 4" xfId="18428"/>
    <cellStyle name="SAPBEXexcCritical6 8_planning-WP" xfId="18431"/>
    <cellStyle name="SAPBEXexcCritical6 9" xfId="1432"/>
    <cellStyle name="SAPBEXexcCritical6 9 10" xfId="18432"/>
    <cellStyle name="SAPBEXexcCritical6 9 11" xfId="9630"/>
    <cellStyle name="SAPBEXexcCritical6 9 2" xfId="4355"/>
    <cellStyle name="SAPBEXexcCritical6 9 2 2" xfId="18434"/>
    <cellStyle name="SAPBEXexcCritical6 9 2 3" xfId="18435"/>
    <cellStyle name="SAPBEXexcCritical6 9 2 4" xfId="18433"/>
    <cellStyle name="SAPBEXexcCritical6 9 3" xfId="5348"/>
    <cellStyle name="SAPBEXexcCritical6 9 3 2" xfId="18437"/>
    <cellStyle name="SAPBEXexcCritical6 9 3 3" xfId="18438"/>
    <cellStyle name="SAPBEXexcCritical6 9 3 4" xfId="18436"/>
    <cellStyle name="SAPBEXexcCritical6 9 4" xfId="3974"/>
    <cellStyle name="SAPBEXexcCritical6 9 4 2" xfId="18440"/>
    <cellStyle name="SAPBEXexcCritical6 9 4 3" xfId="18441"/>
    <cellStyle name="SAPBEXexcCritical6 9 4 4" xfId="18439"/>
    <cellStyle name="SAPBEXexcCritical6 9 5" xfId="5269"/>
    <cellStyle name="SAPBEXexcCritical6 9 5 2" xfId="18443"/>
    <cellStyle name="SAPBEXexcCritical6 9 5 3" xfId="18444"/>
    <cellStyle name="SAPBEXexcCritical6 9 5 4" xfId="18442"/>
    <cellStyle name="SAPBEXexcCritical6 9 6" xfId="5311"/>
    <cellStyle name="SAPBEXexcCritical6 9 6 2" xfId="18446"/>
    <cellStyle name="SAPBEXexcCritical6 9 6 3" xfId="18447"/>
    <cellStyle name="SAPBEXexcCritical6 9 6 4" xfId="18445"/>
    <cellStyle name="SAPBEXexcCritical6 9 7" xfId="7896"/>
    <cellStyle name="SAPBEXexcCritical6 9 7 2" xfId="18449"/>
    <cellStyle name="SAPBEXexcCritical6 9 7 3" xfId="18450"/>
    <cellStyle name="SAPBEXexcCritical6 9 7 4" xfId="18448"/>
    <cellStyle name="SAPBEXexcCritical6 9 8" xfId="7648"/>
    <cellStyle name="SAPBEXexcCritical6 9 8 2" xfId="18452"/>
    <cellStyle name="SAPBEXexcCritical6 9 8 3" xfId="18453"/>
    <cellStyle name="SAPBEXexcCritical6 9 8 4" xfId="18451"/>
    <cellStyle name="SAPBEXexcCritical6 9 9" xfId="7845"/>
    <cellStyle name="SAPBEXexcCritical6 9 9 2" xfId="18454"/>
    <cellStyle name="SAPBEXexcCritical6 9_planning-WP" xfId="18455"/>
    <cellStyle name="SAPBEXexcCritical6_19.RessDest CUC CS SEE+SEM 1009" xfId="38937"/>
    <cellStyle name="SAPBEXexcGood1" xfId="279"/>
    <cellStyle name="SAPBEXexcGood1 10" xfId="18457"/>
    <cellStyle name="SAPBEXexcGood1 10 2" xfId="18458"/>
    <cellStyle name="SAPBEXexcGood1 11" xfId="18459"/>
    <cellStyle name="SAPBEXexcGood1 11 2" xfId="18460"/>
    <cellStyle name="SAPBEXexcGood1 11 3" xfId="18461"/>
    <cellStyle name="SAPBEXexcGood1 12" xfId="18462"/>
    <cellStyle name="SAPBEXexcGood1 12 2" xfId="18463"/>
    <cellStyle name="SAPBEXexcGood1 12 3" xfId="18464"/>
    <cellStyle name="SAPBEXexcGood1 13" xfId="18465"/>
    <cellStyle name="SAPBEXexcGood1 13 2" xfId="18466"/>
    <cellStyle name="SAPBEXexcGood1 13 3" xfId="18467"/>
    <cellStyle name="SAPBEXexcGood1 14" xfId="18468"/>
    <cellStyle name="SAPBEXexcGood1 14 2" xfId="18469"/>
    <cellStyle name="SAPBEXexcGood1 14 3" xfId="18470"/>
    <cellStyle name="SAPBEXexcGood1 15" xfId="18471"/>
    <cellStyle name="SAPBEXexcGood1 15 2" xfId="18472"/>
    <cellStyle name="SAPBEXexcGood1 15 3" xfId="18473"/>
    <cellStyle name="SAPBEXexcGood1 16" xfId="18474"/>
    <cellStyle name="SAPBEXexcGood1 16 2" xfId="18475"/>
    <cellStyle name="SAPBEXexcGood1 16 3" xfId="18476"/>
    <cellStyle name="SAPBEXexcGood1 17" xfId="18477"/>
    <cellStyle name="SAPBEXexcGood1 17 2" xfId="18478"/>
    <cellStyle name="SAPBEXexcGood1 17 3" xfId="18479"/>
    <cellStyle name="SAPBEXexcGood1 18" xfId="18480"/>
    <cellStyle name="SAPBEXexcGood1 19" xfId="18456"/>
    <cellStyle name="SAPBEXexcGood1 2" xfId="896"/>
    <cellStyle name="SAPBEXexcGood1 2 10" xfId="18482"/>
    <cellStyle name="SAPBEXexcGood1 2 10 2" xfId="18483"/>
    <cellStyle name="SAPBEXexcGood1 2 10 3" xfId="18484"/>
    <cellStyle name="SAPBEXexcGood1 2 11" xfId="18485"/>
    <cellStyle name="SAPBEXexcGood1 2 11 2" xfId="18486"/>
    <cellStyle name="SAPBEXexcGood1 2 11 3" xfId="18487"/>
    <cellStyle name="SAPBEXexcGood1 2 12" xfId="18488"/>
    <cellStyle name="SAPBEXexcGood1 2 12 2" xfId="18489"/>
    <cellStyle name="SAPBEXexcGood1 2 12 3" xfId="18490"/>
    <cellStyle name="SAPBEXexcGood1 2 13" xfId="18491"/>
    <cellStyle name="SAPBEXexcGood1 2 14" xfId="18481"/>
    <cellStyle name="SAPBEXexcGood1 2 15" xfId="9580"/>
    <cellStyle name="SAPBEXexcGood1 2 16" xfId="38939"/>
    <cellStyle name="SAPBEXexcGood1 2 17" xfId="39347"/>
    <cellStyle name="SAPBEXexcGood1 2 2" xfId="1960"/>
    <cellStyle name="SAPBEXexcGood1 2 2 10" xfId="18493"/>
    <cellStyle name="SAPBEXexcGood1 2 2 10 2" xfId="18494"/>
    <cellStyle name="SAPBEXexcGood1 2 2 10 3" xfId="18495"/>
    <cellStyle name="SAPBEXexcGood1 2 2 11" xfId="18496"/>
    <cellStyle name="SAPBEXexcGood1 2 2 12" xfId="18492"/>
    <cellStyle name="SAPBEXexcGood1 2 2 13" xfId="10138"/>
    <cellStyle name="SAPBEXexcGood1 2 2 14" xfId="38940"/>
    <cellStyle name="SAPBEXexcGood1 2 2 15" xfId="39348"/>
    <cellStyle name="SAPBEXexcGood1 2 2 2" xfId="4878"/>
    <cellStyle name="SAPBEXexcGood1 2 2 2 10" xfId="18498"/>
    <cellStyle name="SAPBEXexcGood1 2 2 2 11" xfId="18497"/>
    <cellStyle name="SAPBEXexcGood1 2 2 2 2" xfId="18499"/>
    <cellStyle name="SAPBEXexcGood1 2 2 2 2 2" xfId="18500"/>
    <cellStyle name="SAPBEXexcGood1 2 2 2 2 3" xfId="18501"/>
    <cellStyle name="SAPBEXexcGood1 2 2 2 3" xfId="18502"/>
    <cellStyle name="SAPBEXexcGood1 2 2 2 3 2" xfId="18503"/>
    <cellStyle name="SAPBEXexcGood1 2 2 2 3 3" xfId="18504"/>
    <cellStyle name="SAPBEXexcGood1 2 2 2 4" xfId="18505"/>
    <cellStyle name="SAPBEXexcGood1 2 2 2 4 2" xfId="18506"/>
    <cellStyle name="SAPBEXexcGood1 2 2 2 4 3" xfId="18507"/>
    <cellStyle name="SAPBEXexcGood1 2 2 2 5" xfId="18508"/>
    <cellStyle name="SAPBEXexcGood1 2 2 2 5 2" xfId="18509"/>
    <cellStyle name="SAPBEXexcGood1 2 2 2 5 3" xfId="18510"/>
    <cellStyle name="SAPBEXexcGood1 2 2 2 6" xfId="18511"/>
    <cellStyle name="SAPBEXexcGood1 2 2 2 6 2" xfId="18512"/>
    <cellStyle name="SAPBEXexcGood1 2 2 2 6 3" xfId="18513"/>
    <cellStyle name="SAPBEXexcGood1 2 2 2 7" xfId="18514"/>
    <cellStyle name="SAPBEXexcGood1 2 2 2 7 2" xfId="18515"/>
    <cellStyle name="SAPBEXexcGood1 2 2 2 7 3" xfId="18516"/>
    <cellStyle name="SAPBEXexcGood1 2 2 2 8" xfId="18517"/>
    <cellStyle name="SAPBEXexcGood1 2 2 2 8 2" xfId="18518"/>
    <cellStyle name="SAPBEXexcGood1 2 2 2 8 3" xfId="18519"/>
    <cellStyle name="SAPBEXexcGood1 2 2 2 9" xfId="18520"/>
    <cellStyle name="SAPBEXexcGood1 2 2 2 9 2" xfId="18521"/>
    <cellStyle name="SAPBEXexcGood1 2 2 2 9 3" xfId="18522"/>
    <cellStyle name="SAPBEXexcGood1 2 2 2_planning-WP" xfId="18523"/>
    <cellStyle name="SAPBEXexcGood1 2 2 3" xfId="5857"/>
    <cellStyle name="SAPBEXexcGood1 2 2 3 2" xfId="18525"/>
    <cellStyle name="SAPBEXexcGood1 2 2 3 3" xfId="18526"/>
    <cellStyle name="SAPBEXexcGood1 2 2 3 4" xfId="18524"/>
    <cellStyle name="SAPBEXexcGood1 2 2 4" xfId="6365"/>
    <cellStyle name="SAPBEXexcGood1 2 2 4 2" xfId="18528"/>
    <cellStyle name="SAPBEXexcGood1 2 2 4 3" xfId="18529"/>
    <cellStyle name="SAPBEXexcGood1 2 2 4 4" xfId="18527"/>
    <cellStyle name="SAPBEXexcGood1 2 2 5" xfId="6852"/>
    <cellStyle name="SAPBEXexcGood1 2 2 5 2" xfId="18531"/>
    <cellStyle name="SAPBEXexcGood1 2 2 5 3" xfId="18532"/>
    <cellStyle name="SAPBEXexcGood1 2 2 5 4" xfId="18530"/>
    <cellStyle name="SAPBEXexcGood1 2 2 6" xfId="7335"/>
    <cellStyle name="SAPBEXexcGood1 2 2 6 2" xfId="18534"/>
    <cellStyle name="SAPBEXexcGood1 2 2 6 3" xfId="18535"/>
    <cellStyle name="SAPBEXexcGood1 2 2 6 4" xfId="18533"/>
    <cellStyle name="SAPBEXexcGood1 2 2 7" xfId="8404"/>
    <cellStyle name="SAPBEXexcGood1 2 2 7 2" xfId="18537"/>
    <cellStyle name="SAPBEXexcGood1 2 2 7 3" xfId="18538"/>
    <cellStyle name="SAPBEXexcGood1 2 2 7 4" xfId="18536"/>
    <cellStyle name="SAPBEXexcGood1 2 2 8" xfId="8905"/>
    <cellStyle name="SAPBEXexcGood1 2 2 8 2" xfId="18540"/>
    <cellStyle name="SAPBEXexcGood1 2 2 8 3" xfId="18541"/>
    <cellStyle name="SAPBEXexcGood1 2 2 8 4" xfId="18539"/>
    <cellStyle name="SAPBEXexcGood1 2 2 9" xfId="9399"/>
    <cellStyle name="SAPBEXexcGood1 2 2 9 2" xfId="18543"/>
    <cellStyle name="SAPBEXexcGood1 2 2 9 3" xfId="18544"/>
    <cellStyle name="SAPBEXexcGood1 2 2 9 4" xfId="18542"/>
    <cellStyle name="SAPBEXexcGood1 2 2_planning-WP" xfId="18545"/>
    <cellStyle name="SAPBEXexcGood1 2 3" xfId="1622"/>
    <cellStyle name="SAPBEXexcGood1 2 3 10" xfId="18547"/>
    <cellStyle name="SAPBEXexcGood1 2 3 11" xfId="18546"/>
    <cellStyle name="SAPBEXexcGood1 2 3 12" xfId="9819"/>
    <cellStyle name="SAPBEXexcGood1 2 3 2" xfId="4545"/>
    <cellStyle name="SAPBEXexcGood1 2 3 2 2" xfId="18549"/>
    <cellStyle name="SAPBEXexcGood1 2 3 2 3" xfId="18550"/>
    <cellStyle name="SAPBEXexcGood1 2 3 2 4" xfId="18548"/>
    <cellStyle name="SAPBEXexcGood1 2 3 3" xfId="5537"/>
    <cellStyle name="SAPBEXexcGood1 2 3 3 2" xfId="18552"/>
    <cellStyle name="SAPBEXexcGood1 2 3 3 3" xfId="18553"/>
    <cellStyle name="SAPBEXexcGood1 2 3 3 4" xfId="18551"/>
    <cellStyle name="SAPBEXexcGood1 2 3 4" xfId="6046"/>
    <cellStyle name="SAPBEXexcGood1 2 3 4 2" xfId="18555"/>
    <cellStyle name="SAPBEXexcGood1 2 3 4 3" xfId="18556"/>
    <cellStyle name="SAPBEXexcGood1 2 3 4 4" xfId="18554"/>
    <cellStyle name="SAPBEXexcGood1 2 3 5" xfId="6533"/>
    <cellStyle name="SAPBEXexcGood1 2 3 5 2" xfId="18558"/>
    <cellStyle name="SAPBEXexcGood1 2 3 5 3" xfId="18559"/>
    <cellStyle name="SAPBEXexcGood1 2 3 5 4" xfId="18557"/>
    <cellStyle name="SAPBEXexcGood1 2 3 6" xfId="7016"/>
    <cellStyle name="SAPBEXexcGood1 2 3 6 2" xfId="18561"/>
    <cellStyle name="SAPBEXexcGood1 2 3 6 3" xfId="18562"/>
    <cellStyle name="SAPBEXexcGood1 2 3 6 4" xfId="18560"/>
    <cellStyle name="SAPBEXexcGood1 2 3 7" xfId="8085"/>
    <cellStyle name="SAPBEXexcGood1 2 3 7 2" xfId="18564"/>
    <cellStyle name="SAPBEXexcGood1 2 3 7 3" xfId="18565"/>
    <cellStyle name="SAPBEXexcGood1 2 3 7 4" xfId="18563"/>
    <cellStyle name="SAPBEXexcGood1 2 3 8" xfId="8586"/>
    <cellStyle name="SAPBEXexcGood1 2 3 8 2" xfId="18567"/>
    <cellStyle name="SAPBEXexcGood1 2 3 8 3" xfId="18568"/>
    <cellStyle name="SAPBEXexcGood1 2 3 8 4" xfId="18566"/>
    <cellStyle name="SAPBEXexcGood1 2 3 9" xfId="9080"/>
    <cellStyle name="SAPBEXexcGood1 2 3 9 2" xfId="18570"/>
    <cellStyle name="SAPBEXexcGood1 2 3 9 3" xfId="18571"/>
    <cellStyle name="SAPBEXexcGood1 2 3 9 4" xfId="18569"/>
    <cellStyle name="SAPBEXexcGood1 2 3_planning-WP" xfId="18572"/>
    <cellStyle name="SAPBEXexcGood1 2 4" xfId="18573"/>
    <cellStyle name="SAPBEXexcGood1 2 4 2" xfId="18574"/>
    <cellStyle name="SAPBEXexcGood1 2 4 2 2" xfId="18575"/>
    <cellStyle name="SAPBEXexcGood1 2 4 2 3" xfId="18576"/>
    <cellStyle name="SAPBEXexcGood1 2 4 3" xfId="18577"/>
    <cellStyle name="SAPBEXexcGood1 2 4 3 2" xfId="18578"/>
    <cellStyle name="SAPBEXexcGood1 2 4 3 3" xfId="18579"/>
    <cellStyle name="SAPBEXexcGood1 2 4 4" xfId="18580"/>
    <cellStyle name="SAPBEXexcGood1 2 4 4 2" xfId="18581"/>
    <cellStyle name="SAPBEXexcGood1 2 4 4 3" xfId="18582"/>
    <cellStyle name="SAPBEXexcGood1 2 4 5" xfId="18583"/>
    <cellStyle name="SAPBEXexcGood1 2 4 5 2" xfId="18584"/>
    <cellStyle name="SAPBEXexcGood1 2 4 5 3" xfId="18585"/>
    <cellStyle name="SAPBEXexcGood1 2 4 6" xfId="18586"/>
    <cellStyle name="SAPBEXexcGood1 2 4 6 2" xfId="18587"/>
    <cellStyle name="SAPBEXexcGood1 2 4 6 3" xfId="18588"/>
    <cellStyle name="SAPBEXexcGood1 2 4 7" xfId="18589"/>
    <cellStyle name="SAPBEXexcGood1 2 4 7 2" xfId="18590"/>
    <cellStyle name="SAPBEXexcGood1 2 4 7 3" xfId="18591"/>
    <cellStyle name="SAPBEXexcGood1 2 4 8" xfId="18592"/>
    <cellStyle name="SAPBEXexcGood1 2 4 8 2" xfId="18593"/>
    <cellStyle name="SAPBEXexcGood1 2 4 8 3" xfId="18594"/>
    <cellStyle name="SAPBEXexcGood1 2 4 9" xfId="18595"/>
    <cellStyle name="SAPBEXexcGood1 2 4_planning-WP" xfId="18596"/>
    <cellStyle name="SAPBEXexcGood1 2 5" xfId="18597"/>
    <cellStyle name="SAPBEXexcGood1 2 5 2" xfId="18598"/>
    <cellStyle name="SAPBEXexcGood1 2 6" xfId="18599"/>
    <cellStyle name="SAPBEXexcGood1 2 6 2" xfId="18600"/>
    <cellStyle name="SAPBEXexcGood1 2 6 3" xfId="18601"/>
    <cellStyle name="SAPBEXexcGood1 2 7" xfId="18602"/>
    <cellStyle name="SAPBEXexcGood1 2 7 2" xfId="18603"/>
    <cellStyle name="SAPBEXexcGood1 2 7 3" xfId="18604"/>
    <cellStyle name="SAPBEXexcGood1 2 8" xfId="18605"/>
    <cellStyle name="SAPBEXexcGood1 2 8 2" xfId="18606"/>
    <cellStyle name="SAPBEXexcGood1 2 8 3" xfId="18607"/>
    <cellStyle name="SAPBEXexcGood1 2 9" xfId="18608"/>
    <cellStyle name="SAPBEXexcGood1 2 9 2" xfId="18609"/>
    <cellStyle name="SAPBEXexcGood1 2 9 3" xfId="18610"/>
    <cellStyle name="SAPBEXexcGood1 2_planning-WP" xfId="18611"/>
    <cellStyle name="SAPBEXexcGood1 20" xfId="38938"/>
    <cellStyle name="SAPBEXexcGood1 21" xfId="39346"/>
    <cellStyle name="SAPBEXexcGood1 3" xfId="1594"/>
    <cellStyle name="SAPBEXexcGood1 3 10" xfId="7746"/>
    <cellStyle name="SAPBEXexcGood1 3 10 2" xfId="18614"/>
    <cellStyle name="SAPBEXexcGood1 3 10 3" xfId="18615"/>
    <cellStyle name="SAPBEXexcGood1 3 10 4" xfId="18613"/>
    <cellStyle name="SAPBEXexcGood1 3 11" xfId="18616"/>
    <cellStyle name="SAPBEXexcGood1 3 11 2" xfId="18617"/>
    <cellStyle name="SAPBEXexcGood1 3 11 3" xfId="18618"/>
    <cellStyle name="SAPBEXexcGood1 3 12" xfId="18619"/>
    <cellStyle name="SAPBEXexcGood1 3 12 2" xfId="18620"/>
    <cellStyle name="SAPBEXexcGood1 3 12 3" xfId="18621"/>
    <cellStyle name="SAPBEXexcGood1 3 13" xfId="18622"/>
    <cellStyle name="SAPBEXexcGood1 3 14" xfId="18612"/>
    <cellStyle name="SAPBEXexcGood1 3 15" xfId="9791"/>
    <cellStyle name="SAPBEXexcGood1 3 16" xfId="38941"/>
    <cellStyle name="SAPBEXexcGood1 3 17" xfId="39349"/>
    <cellStyle name="SAPBEXexcGood1 3 2" xfId="1937"/>
    <cellStyle name="SAPBEXexcGood1 3 2 10" xfId="18624"/>
    <cellStyle name="SAPBEXexcGood1 3 2 10 2" xfId="18625"/>
    <cellStyle name="SAPBEXexcGood1 3 2 10 3" xfId="18626"/>
    <cellStyle name="SAPBEXexcGood1 3 2 11" xfId="18627"/>
    <cellStyle name="SAPBEXexcGood1 3 2 12" xfId="18623"/>
    <cellStyle name="SAPBEXexcGood1 3 2 13" xfId="10115"/>
    <cellStyle name="SAPBEXexcGood1 3 2 14" xfId="38942"/>
    <cellStyle name="SAPBEXexcGood1 3 2 15" xfId="39350"/>
    <cellStyle name="SAPBEXexcGood1 3 2 2" xfId="4855"/>
    <cellStyle name="SAPBEXexcGood1 3 2 2 10" xfId="18629"/>
    <cellStyle name="SAPBEXexcGood1 3 2 2 11" xfId="18628"/>
    <cellStyle name="SAPBEXexcGood1 3 2 2 2" xfId="18630"/>
    <cellStyle name="SAPBEXexcGood1 3 2 2 2 2" xfId="18631"/>
    <cellStyle name="SAPBEXexcGood1 3 2 2 2 3" xfId="18632"/>
    <cellStyle name="SAPBEXexcGood1 3 2 2 3" xfId="18633"/>
    <cellStyle name="SAPBEXexcGood1 3 2 2 3 2" xfId="18634"/>
    <cellStyle name="SAPBEXexcGood1 3 2 2 3 3" xfId="18635"/>
    <cellStyle name="SAPBEXexcGood1 3 2 2 4" xfId="18636"/>
    <cellStyle name="SAPBEXexcGood1 3 2 2 4 2" xfId="18637"/>
    <cellStyle name="SAPBEXexcGood1 3 2 2 4 3" xfId="18638"/>
    <cellStyle name="SAPBEXexcGood1 3 2 2 5" xfId="18639"/>
    <cellStyle name="SAPBEXexcGood1 3 2 2 5 2" xfId="18640"/>
    <cellStyle name="SAPBEXexcGood1 3 2 2 5 3" xfId="18641"/>
    <cellStyle name="SAPBEXexcGood1 3 2 2 6" xfId="18642"/>
    <cellStyle name="SAPBEXexcGood1 3 2 2 6 2" xfId="18643"/>
    <cellStyle name="SAPBEXexcGood1 3 2 2 6 3" xfId="18644"/>
    <cellStyle name="SAPBEXexcGood1 3 2 2 7" xfId="18645"/>
    <cellStyle name="SAPBEXexcGood1 3 2 2 7 2" xfId="18646"/>
    <cellStyle name="SAPBEXexcGood1 3 2 2 7 3" xfId="18647"/>
    <cellStyle name="SAPBEXexcGood1 3 2 2 8" xfId="18648"/>
    <cellStyle name="SAPBEXexcGood1 3 2 2 8 2" xfId="18649"/>
    <cellStyle name="SAPBEXexcGood1 3 2 2 8 3" xfId="18650"/>
    <cellStyle name="SAPBEXexcGood1 3 2 2 9" xfId="18651"/>
    <cellStyle name="SAPBEXexcGood1 3 2 2 9 2" xfId="18652"/>
    <cellStyle name="SAPBEXexcGood1 3 2 2 9 3" xfId="18653"/>
    <cellStyle name="SAPBEXexcGood1 3 2 2_planning-WP" xfId="18654"/>
    <cellStyle name="SAPBEXexcGood1 3 2 3" xfId="5834"/>
    <cellStyle name="SAPBEXexcGood1 3 2 3 2" xfId="18656"/>
    <cellStyle name="SAPBEXexcGood1 3 2 3 3" xfId="18657"/>
    <cellStyle name="SAPBEXexcGood1 3 2 3 4" xfId="18655"/>
    <cellStyle name="SAPBEXexcGood1 3 2 4" xfId="6342"/>
    <cellStyle name="SAPBEXexcGood1 3 2 4 2" xfId="18659"/>
    <cellStyle name="SAPBEXexcGood1 3 2 4 3" xfId="18660"/>
    <cellStyle name="SAPBEXexcGood1 3 2 4 4" xfId="18658"/>
    <cellStyle name="SAPBEXexcGood1 3 2 5" xfId="6829"/>
    <cellStyle name="SAPBEXexcGood1 3 2 5 2" xfId="18662"/>
    <cellStyle name="SAPBEXexcGood1 3 2 5 3" xfId="18663"/>
    <cellStyle name="SAPBEXexcGood1 3 2 5 4" xfId="18661"/>
    <cellStyle name="SAPBEXexcGood1 3 2 6" xfId="7312"/>
    <cellStyle name="SAPBEXexcGood1 3 2 6 2" xfId="18665"/>
    <cellStyle name="SAPBEXexcGood1 3 2 6 3" xfId="18666"/>
    <cellStyle name="SAPBEXexcGood1 3 2 6 4" xfId="18664"/>
    <cellStyle name="SAPBEXexcGood1 3 2 7" xfId="8381"/>
    <cellStyle name="SAPBEXexcGood1 3 2 7 2" xfId="18668"/>
    <cellStyle name="SAPBEXexcGood1 3 2 7 3" xfId="18669"/>
    <cellStyle name="SAPBEXexcGood1 3 2 7 4" xfId="18667"/>
    <cellStyle name="SAPBEXexcGood1 3 2 8" xfId="8882"/>
    <cellStyle name="SAPBEXexcGood1 3 2 8 2" xfId="18671"/>
    <cellStyle name="SAPBEXexcGood1 3 2 8 3" xfId="18672"/>
    <cellStyle name="SAPBEXexcGood1 3 2 8 4" xfId="18670"/>
    <cellStyle name="SAPBEXexcGood1 3 2 9" xfId="9376"/>
    <cellStyle name="SAPBEXexcGood1 3 2 9 2" xfId="18674"/>
    <cellStyle name="SAPBEXexcGood1 3 2 9 3" xfId="18675"/>
    <cellStyle name="SAPBEXexcGood1 3 2 9 4" xfId="18673"/>
    <cellStyle name="SAPBEXexcGood1 3 2_planning-WP" xfId="18676"/>
    <cellStyle name="SAPBEXexcGood1 3 3" xfId="4517"/>
    <cellStyle name="SAPBEXexcGood1 3 3 10" xfId="18678"/>
    <cellStyle name="SAPBEXexcGood1 3 3 11" xfId="18677"/>
    <cellStyle name="SAPBEXexcGood1 3 3 2" xfId="18679"/>
    <cellStyle name="SAPBEXexcGood1 3 3 2 2" xfId="18680"/>
    <cellStyle name="SAPBEXexcGood1 3 3 2 3" xfId="18681"/>
    <cellStyle name="SAPBEXexcGood1 3 3 3" xfId="18682"/>
    <cellStyle name="SAPBEXexcGood1 3 3 3 2" xfId="18683"/>
    <cellStyle name="SAPBEXexcGood1 3 3 3 3" xfId="18684"/>
    <cellStyle name="SAPBEXexcGood1 3 3 4" xfId="18685"/>
    <cellStyle name="SAPBEXexcGood1 3 3 4 2" xfId="18686"/>
    <cellStyle name="SAPBEXexcGood1 3 3 4 3" xfId="18687"/>
    <cellStyle name="SAPBEXexcGood1 3 3 5" xfId="18688"/>
    <cellStyle name="SAPBEXexcGood1 3 3 5 2" xfId="18689"/>
    <cellStyle name="SAPBEXexcGood1 3 3 5 3" xfId="18690"/>
    <cellStyle name="SAPBEXexcGood1 3 3 6" xfId="18691"/>
    <cellStyle name="SAPBEXexcGood1 3 3 6 2" xfId="18692"/>
    <cellStyle name="SAPBEXexcGood1 3 3 6 3" xfId="18693"/>
    <cellStyle name="SAPBEXexcGood1 3 3 7" xfId="18694"/>
    <cellStyle name="SAPBEXexcGood1 3 3 7 2" xfId="18695"/>
    <cellStyle name="SAPBEXexcGood1 3 3 7 3" xfId="18696"/>
    <cellStyle name="SAPBEXexcGood1 3 3 8" xfId="18697"/>
    <cellStyle name="SAPBEXexcGood1 3 3 8 2" xfId="18698"/>
    <cellStyle name="SAPBEXexcGood1 3 3 8 3" xfId="18699"/>
    <cellStyle name="SAPBEXexcGood1 3 3 9" xfId="18700"/>
    <cellStyle name="SAPBEXexcGood1 3 3 9 2" xfId="18701"/>
    <cellStyle name="SAPBEXexcGood1 3 3 9 3" xfId="18702"/>
    <cellStyle name="SAPBEXexcGood1 3 3_planning-WP" xfId="18703"/>
    <cellStyle name="SAPBEXexcGood1 3 4" xfId="5509"/>
    <cellStyle name="SAPBEXexcGood1 3 4 10" xfId="18704"/>
    <cellStyle name="SAPBEXexcGood1 3 4 2" xfId="18705"/>
    <cellStyle name="SAPBEXexcGood1 3 4 2 2" xfId="18706"/>
    <cellStyle name="SAPBEXexcGood1 3 4 2 3" xfId="18707"/>
    <cellStyle name="SAPBEXexcGood1 3 4 3" xfId="18708"/>
    <cellStyle name="SAPBEXexcGood1 3 4 3 2" xfId="18709"/>
    <cellStyle name="SAPBEXexcGood1 3 4 3 3" xfId="18710"/>
    <cellStyle name="SAPBEXexcGood1 3 4 4" xfId="18711"/>
    <cellStyle name="SAPBEXexcGood1 3 4 4 2" xfId="18712"/>
    <cellStyle name="SAPBEXexcGood1 3 4 4 3" xfId="18713"/>
    <cellStyle name="SAPBEXexcGood1 3 4 5" xfId="18714"/>
    <cellStyle name="SAPBEXexcGood1 3 4 5 2" xfId="18715"/>
    <cellStyle name="SAPBEXexcGood1 3 4 5 3" xfId="18716"/>
    <cellStyle name="SAPBEXexcGood1 3 4 6" xfId="18717"/>
    <cellStyle name="SAPBEXexcGood1 3 4 6 2" xfId="18718"/>
    <cellStyle name="SAPBEXexcGood1 3 4 6 3" xfId="18719"/>
    <cellStyle name="SAPBEXexcGood1 3 4 7" xfId="18720"/>
    <cellStyle name="SAPBEXexcGood1 3 4 7 2" xfId="18721"/>
    <cellStyle name="SAPBEXexcGood1 3 4 7 3" xfId="18722"/>
    <cellStyle name="SAPBEXexcGood1 3 4 8" xfId="18723"/>
    <cellStyle name="SAPBEXexcGood1 3 4 8 2" xfId="18724"/>
    <cellStyle name="SAPBEXexcGood1 3 4 8 3" xfId="18725"/>
    <cellStyle name="SAPBEXexcGood1 3 4 9" xfId="18726"/>
    <cellStyle name="SAPBEXexcGood1 3 4_planning-WP" xfId="18727"/>
    <cellStyle name="SAPBEXexcGood1 3 5" xfId="3333"/>
    <cellStyle name="SAPBEXexcGood1 3 5 2" xfId="18729"/>
    <cellStyle name="SAPBEXexcGood1 3 5 3" xfId="18728"/>
    <cellStyle name="SAPBEXexcGood1 3 6" xfId="3246"/>
    <cellStyle name="SAPBEXexcGood1 3 6 2" xfId="18731"/>
    <cellStyle name="SAPBEXexcGood1 3 6 3" xfId="18732"/>
    <cellStyle name="SAPBEXexcGood1 3 6 4" xfId="18730"/>
    <cellStyle name="SAPBEXexcGood1 3 7" xfId="5229"/>
    <cellStyle name="SAPBEXexcGood1 3 7 2" xfId="18734"/>
    <cellStyle name="SAPBEXexcGood1 3 7 3" xfId="18735"/>
    <cellStyle name="SAPBEXexcGood1 3 7 4" xfId="18733"/>
    <cellStyle name="SAPBEXexcGood1 3 8" xfId="8057"/>
    <cellStyle name="SAPBEXexcGood1 3 8 2" xfId="18737"/>
    <cellStyle name="SAPBEXexcGood1 3 8 3" xfId="18738"/>
    <cellStyle name="SAPBEXexcGood1 3 8 4" xfId="18736"/>
    <cellStyle name="SAPBEXexcGood1 3 9" xfId="7491"/>
    <cellStyle name="SAPBEXexcGood1 3 9 2" xfId="18740"/>
    <cellStyle name="SAPBEXexcGood1 3 9 3" xfId="18741"/>
    <cellStyle name="SAPBEXexcGood1 3 9 4" xfId="18739"/>
    <cellStyle name="SAPBEXexcGood1 3_planning-WP" xfId="18742"/>
    <cellStyle name="SAPBEXexcGood1 4" xfId="1709"/>
    <cellStyle name="SAPBEXexcGood1 4 10" xfId="9166"/>
    <cellStyle name="SAPBEXexcGood1 4 10 2" xfId="18745"/>
    <cellStyle name="SAPBEXexcGood1 4 10 3" xfId="18746"/>
    <cellStyle name="SAPBEXexcGood1 4 10 4" xfId="18744"/>
    <cellStyle name="SAPBEXexcGood1 4 11" xfId="18747"/>
    <cellStyle name="SAPBEXexcGood1 4 11 2" xfId="18748"/>
    <cellStyle name="SAPBEXexcGood1 4 11 3" xfId="18749"/>
    <cellStyle name="SAPBEXexcGood1 4 12" xfId="18750"/>
    <cellStyle name="SAPBEXexcGood1 4 12 2" xfId="18751"/>
    <cellStyle name="SAPBEXexcGood1 4 12 3" xfId="18752"/>
    <cellStyle name="SAPBEXexcGood1 4 13" xfId="18743"/>
    <cellStyle name="SAPBEXexcGood1 4 14" xfId="9905"/>
    <cellStyle name="SAPBEXexcGood1 4 15" xfId="38943"/>
    <cellStyle name="SAPBEXexcGood1 4 16" xfId="39351"/>
    <cellStyle name="SAPBEXexcGood1 4 2" xfId="2041"/>
    <cellStyle name="SAPBEXexcGood1 4 2 10" xfId="18754"/>
    <cellStyle name="SAPBEXexcGood1 4 2 10 2" xfId="18755"/>
    <cellStyle name="SAPBEXexcGood1 4 2 10 3" xfId="18756"/>
    <cellStyle name="SAPBEXexcGood1 4 2 11" xfId="18757"/>
    <cellStyle name="SAPBEXexcGood1 4 2 12" xfId="18753"/>
    <cellStyle name="SAPBEXexcGood1 4 2 13" xfId="10218"/>
    <cellStyle name="SAPBEXexcGood1 4 2 14" xfId="38944"/>
    <cellStyle name="SAPBEXexcGood1 4 2 15" xfId="39352"/>
    <cellStyle name="SAPBEXexcGood1 4 2 2" xfId="4958"/>
    <cellStyle name="SAPBEXexcGood1 4 2 2 10" xfId="18759"/>
    <cellStyle name="SAPBEXexcGood1 4 2 2 11" xfId="18758"/>
    <cellStyle name="SAPBEXexcGood1 4 2 2 2" xfId="18760"/>
    <cellStyle name="SAPBEXexcGood1 4 2 2 2 2" xfId="18761"/>
    <cellStyle name="SAPBEXexcGood1 4 2 2 2 3" xfId="18762"/>
    <cellStyle name="SAPBEXexcGood1 4 2 2 3" xfId="18763"/>
    <cellStyle name="SAPBEXexcGood1 4 2 2 3 2" xfId="18764"/>
    <cellStyle name="SAPBEXexcGood1 4 2 2 3 3" xfId="18765"/>
    <cellStyle name="SAPBEXexcGood1 4 2 2 4" xfId="18766"/>
    <cellStyle name="SAPBEXexcGood1 4 2 2 4 2" xfId="18767"/>
    <cellStyle name="SAPBEXexcGood1 4 2 2 4 3" xfId="18768"/>
    <cellStyle name="SAPBEXexcGood1 4 2 2 5" xfId="18769"/>
    <cellStyle name="SAPBEXexcGood1 4 2 2 5 2" xfId="18770"/>
    <cellStyle name="SAPBEXexcGood1 4 2 2 5 3" xfId="18771"/>
    <cellStyle name="SAPBEXexcGood1 4 2 2 6" xfId="18772"/>
    <cellStyle name="SAPBEXexcGood1 4 2 2 6 2" xfId="18773"/>
    <cellStyle name="SAPBEXexcGood1 4 2 2 6 3" xfId="18774"/>
    <cellStyle name="SAPBEXexcGood1 4 2 2 7" xfId="18775"/>
    <cellStyle name="SAPBEXexcGood1 4 2 2 7 2" xfId="18776"/>
    <cellStyle name="SAPBEXexcGood1 4 2 2 7 3" xfId="18777"/>
    <cellStyle name="SAPBEXexcGood1 4 2 2 8" xfId="18778"/>
    <cellStyle name="SAPBEXexcGood1 4 2 2 8 2" xfId="18779"/>
    <cellStyle name="SAPBEXexcGood1 4 2 2 8 3" xfId="18780"/>
    <cellStyle name="SAPBEXexcGood1 4 2 2 9" xfId="18781"/>
    <cellStyle name="SAPBEXexcGood1 4 2 2 9 2" xfId="18782"/>
    <cellStyle name="SAPBEXexcGood1 4 2 2 9 3" xfId="18783"/>
    <cellStyle name="SAPBEXexcGood1 4 2 2_planning-WP" xfId="18784"/>
    <cellStyle name="SAPBEXexcGood1 4 2 3" xfId="5937"/>
    <cellStyle name="SAPBEXexcGood1 4 2 3 2" xfId="18786"/>
    <cellStyle name="SAPBEXexcGood1 4 2 3 3" xfId="18787"/>
    <cellStyle name="SAPBEXexcGood1 4 2 3 4" xfId="18785"/>
    <cellStyle name="SAPBEXexcGood1 4 2 4" xfId="6445"/>
    <cellStyle name="SAPBEXexcGood1 4 2 4 2" xfId="18789"/>
    <cellStyle name="SAPBEXexcGood1 4 2 4 3" xfId="18790"/>
    <cellStyle name="SAPBEXexcGood1 4 2 4 4" xfId="18788"/>
    <cellStyle name="SAPBEXexcGood1 4 2 5" xfId="6932"/>
    <cellStyle name="SAPBEXexcGood1 4 2 5 2" xfId="18792"/>
    <cellStyle name="SAPBEXexcGood1 4 2 5 3" xfId="18793"/>
    <cellStyle name="SAPBEXexcGood1 4 2 5 4" xfId="18791"/>
    <cellStyle name="SAPBEXexcGood1 4 2 6" xfId="7415"/>
    <cellStyle name="SAPBEXexcGood1 4 2 6 2" xfId="18795"/>
    <cellStyle name="SAPBEXexcGood1 4 2 6 3" xfId="18796"/>
    <cellStyle name="SAPBEXexcGood1 4 2 6 4" xfId="18794"/>
    <cellStyle name="SAPBEXexcGood1 4 2 7" xfId="8484"/>
    <cellStyle name="SAPBEXexcGood1 4 2 7 2" xfId="18798"/>
    <cellStyle name="SAPBEXexcGood1 4 2 7 3" xfId="18799"/>
    <cellStyle name="SAPBEXexcGood1 4 2 7 4" xfId="18797"/>
    <cellStyle name="SAPBEXexcGood1 4 2 8" xfId="8985"/>
    <cellStyle name="SAPBEXexcGood1 4 2 8 2" xfId="18801"/>
    <cellStyle name="SAPBEXexcGood1 4 2 8 3" xfId="18802"/>
    <cellStyle name="SAPBEXexcGood1 4 2 8 4" xfId="18800"/>
    <cellStyle name="SAPBEXexcGood1 4 2 9" xfId="9479"/>
    <cellStyle name="SAPBEXexcGood1 4 2 9 2" xfId="18804"/>
    <cellStyle name="SAPBEXexcGood1 4 2 9 3" xfId="18805"/>
    <cellStyle name="SAPBEXexcGood1 4 2 9 4" xfId="18803"/>
    <cellStyle name="SAPBEXexcGood1 4 2_planning-WP" xfId="18806"/>
    <cellStyle name="SAPBEXexcGood1 4 3" xfId="4631"/>
    <cellStyle name="SAPBEXexcGood1 4 3 10" xfId="18808"/>
    <cellStyle name="SAPBEXexcGood1 4 3 11" xfId="18807"/>
    <cellStyle name="SAPBEXexcGood1 4 3 2" xfId="18809"/>
    <cellStyle name="SAPBEXexcGood1 4 3 2 2" xfId="18810"/>
    <cellStyle name="SAPBEXexcGood1 4 3 2 3" xfId="18811"/>
    <cellStyle name="SAPBEXexcGood1 4 3 3" xfId="18812"/>
    <cellStyle name="SAPBEXexcGood1 4 3 3 2" xfId="18813"/>
    <cellStyle name="SAPBEXexcGood1 4 3 3 3" xfId="18814"/>
    <cellStyle name="SAPBEXexcGood1 4 3 4" xfId="18815"/>
    <cellStyle name="SAPBEXexcGood1 4 3 4 2" xfId="18816"/>
    <cellStyle name="SAPBEXexcGood1 4 3 4 3" xfId="18817"/>
    <cellStyle name="SAPBEXexcGood1 4 3 5" xfId="18818"/>
    <cellStyle name="SAPBEXexcGood1 4 3 5 2" xfId="18819"/>
    <cellStyle name="SAPBEXexcGood1 4 3 5 3" xfId="18820"/>
    <cellStyle name="SAPBEXexcGood1 4 3 6" xfId="18821"/>
    <cellStyle name="SAPBEXexcGood1 4 3 6 2" xfId="18822"/>
    <cellStyle name="SAPBEXexcGood1 4 3 6 3" xfId="18823"/>
    <cellStyle name="SAPBEXexcGood1 4 3 7" xfId="18824"/>
    <cellStyle name="SAPBEXexcGood1 4 3 7 2" xfId="18825"/>
    <cellStyle name="SAPBEXexcGood1 4 3 7 3" xfId="18826"/>
    <cellStyle name="SAPBEXexcGood1 4 3 8" xfId="18827"/>
    <cellStyle name="SAPBEXexcGood1 4 3 8 2" xfId="18828"/>
    <cellStyle name="SAPBEXexcGood1 4 3 8 3" xfId="18829"/>
    <cellStyle name="SAPBEXexcGood1 4 3 9" xfId="18830"/>
    <cellStyle name="SAPBEXexcGood1 4 3 9 2" xfId="18831"/>
    <cellStyle name="SAPBEXexcGood1 4 3 9 3" xfId="18832"/>
    <cellStyle name="SAPBEXexcGood1 4 3_planning-WP" xfId="18833"/>
    <cellStyle name="SAPBEXexcGood1 4 4" xfId="5623"/>
    <cellStyle name="SAPBEXexcGood1 4 4 10" xfId="18834"/>
    <cellStyle name="SAPBEXexcGood1 4 4 2" xfId="18835"/>
    <cellStyle name="SAPBEXexcGood1 4 4 2 2" xfId="18836"/>
    <cellStyle name="SAPBEXexcGood1 4 4 2 3" xfId="18837"/>
    <cellStyle name="SAPBEXexcGood1 4 4 3" xfId="18838"/>
    <cellStyle name="SAPBEXexcGood1 4 4 3 2" xfId="18839"/>
    <cellStyle name="SAPBEXexcGood1 4 4 3 3" xfId="18840"/>
    <cellStyle name="SAPBEXexcGood1 4 4 4" xfId="18841"/>
    <cellStyle name="SAPBEXexcGood1 4 4 4 2" xfId="18842"/>
    <cellStyle name="SAPBEXexcGood1 4 4 4 3" xfId="18843"/>
    <cellStyle name="SAPBEXexcGood1 4 4 5" xfId="18844"/>
    <cellStyle name="SAPBEXexcGood1 4 4 5 2" xfId="18845"/>
    <cellStyle name="SAPBEXexcGood1 4 4 5 3" xfId="18846"/>
    <cellStyle name="SAPBEXexcGood1 4 4 6" xfId="18847"/>
    <cellStyle name="SAPBEXexcGood1 4 4 6 2" xfId="18848"/>
    <cellStyle name="SAPBEXexcGood1 4 4 6 3" xfId="18849"/>
    <cellStyle name="SAPBEXexcGood1 4 4 7" xfId="18850"/>
    <cellStyle name="SAPBEXexcGood1 4 4 7 2" xfId="18851"/>
    <cellStyle name="SAPBEXexcGood1 4 4 7 3" xfId="18852"/>
    <cellStyle name="SAPBEXexcGood1 4 4 8" xfId="18853"/>
    <cellStyle name="SAPBEXexcGood1 4 4 8 2" xfId="18854"/>
    <cellStyle name="SAPBEXexcGood1 4 4 8 3" xfId="18855"/>
    <cellStyle name="SAPBEXexcGood1 4 4 9" xfId="18856"/>
    <cellStyle name="SAPBEXexcGood1 4 4_planning-WP" xfId="18857"/>
    <cellStyle name="SAPBEXexcGood1 4 5" xfId="6132"/>
    <cellStyle name="SAPBEXexcGood1 4 5 2" xfId="18859"/>
    <cellStyle name="SAPBEXexcGood1 4 5 3" xfId="18858"/>
    <cellStyle name="SAPBEXexcGood1 4 6" xfId="6619"/>
    <cellStyle name="SAPBEXexcGood1 4 6 2" xfId="18861"/>
    <cellStyle name="SAPBEXexcGood1 4 6 3" xfId="18862"/>
    <cellStyle name="SAPBEXexcGood1 4 6 4" xfId="18860"/>
    <cellStyle name="SAPBEXexcGood1 4 7" xfId="7102"/>
    <cellStyle name="SAPBEXexcGood1 4 7 2" xfId="18864"/>
    <cellStyle name="SAPBEXexcGood1 4 7 3" xfId="18865"/>
    <cellStyle name="SAPBEXexcGood1 4 7 4" xfId="18863"/>
    <cellStyle name="SAPBEXexcGood1 4 8" xfId="8171"/>
    <cellStyle name="SAPBEXexcGood1 4 8 2" xfId="18867"/>
    <cellStyle name="SAPBEXexcGood1 4 8 3" xfId="18868"/>
    <cellStyle name="SAPBEXexcGood1 4 8 4" xfId="18866"/>
    <cellStyle name="SAPBEXexcGood1 4 9" xfId="8672"/>
    <cellStyle name="SAPBEXexcGood1 4 9 2" xfId="18870"/>
    <cellStyle name="SAPBEXexcGood1 4 9 3" xfId="18871"/>
    <cellStyle name="SAPBEXexcGood1 4 9 4" xfId="18869"/>
    <cellStyle name="SAPBEXexcGood1 4_planning-WP" xfId="18872"/>
    <cellStyle name="SAPBEXexcGood1 5" xfId="1652"/>
    <cellStyle name="SAPBEXexcGood1 5 10" xfId="9110"/>
    <cellStyle name="SAPBEXexcGood1 5 10 2" xfId="18875"/>
    <cellStyle name="SAPBEXexcGood1 5 10 3" xfId="18876"/>
    <cellStyle name="SAPBEXexcGood1 5 10 4" xfId="18874"/>
    <cellStyle name="SAPBEXexcGood1 5 11" xfId="18877"/>
    <cellStyle name="SAPBEXexcGood1 5 11 2" xfId="18878"/>
    <cellStyle name="SAPBEXexcGood1 5 11 3" xfId="18879"/>
    <cellStyle name="SAPBEXexcGood1 5 12" xfId="18880"/>
    <cellStyle name="SAPBEXexcGood1 5 12 2" xfId="18881"/>
    <cellStyle name="SAPBEXexcGood1 5 12 3" xfId="18882"/>
    <cellStyle name="SAPBEXexcGood1 5 13" xfId="18873"/>
    <cellStyle name="SAPBEXexcGood1 5 14" xfId="9849"/>
    <cellStyle name="SAPBEXexcGood1 5 15" xfId="38945"/>
    <cellStyle name="SAPBEXexcGood1 5 16" xfId="39353"/>
    <cellStyle name="SAPBEXexcGood1 5 2" xfId="1988"/>
    <cellStyle name="SAPBEXexcGood1 5 2 10" xfId="18884"/>
    <cellStyle name="SAPBEXexcGood1 5 2 10 2" xfId="18885"/>
    <cellStyle name="SAPBEXexcGood1 5 2 10 3" xfId="18886"/>
    <cellStyle name="SAPBEXexcGood1 5 2 11" xfId="18887"/>
    <cellStyle name="SAPBEXexcGood1 5 2 12" xfId="18883"/>
    <cellStyle name="SAPBEXexcGood1 5 2 13" xfId="10166"/>
    <cellStyle name="SAPBEXexcGood1 5 2 2" xfId="4906"/>
    <cellStyle name="SAPBEXexcGood1 5 2 2 10" xfId="18889"/>
    <cellStyle name="SAPBEXexcGood1 5 2 2 11" xfId="18888"/>
    <cellStyle name="SAPBEXexcGood1 5 2 2 2" xfId="18890"/>
    <cellStyle name="SAPBEXexcGood1 5 2 2 2 2" xfId="18891"/>
    <cellStyle name="SAPBEXexcGood1 5 2 2 2 3" xfId="18892"/>
    <cellStyle name="SAPBEXexcGood1 5 2 2 3" xfId="18893"/>
    <cellStyle name="SAPBEXexcGood1 5 2 2 3 2" xfId="18894"/>
    <cellStyle name="SAPBEXexcGood1 5 2 2 3 3" xfId="18895"/>
    <cellStyle name="SAPBEXexcGood1 5 2 2 4" xfId="18896"/>
    <cellStyle name="SAPBEXexcGood1 5 2 2 4 2" xfId="18897"/>
    <cellStyle name="SAPBEXexcGood1 5 2 2 4 3" xfId="18898"/>
    <cellStyle name="SAPBEXexcGood1 5 2 2 5" xfId="18899"/>
    <cellStyle name="SAPBEXexcGood1 5 2 2 5 2" xfId="18900"/>
    <cellStyle name="SAPBEXexcGood1 5 2 2 5 3" xfId="18901"/>
    <cellStyle name="SAPBEXexcGood1 5 2 2 6" xfId="18902"/>
    <cellStyle name="SAPBEXexcGood1 5 2 2 6 2" xfId="18903"/>
    <cellStyle name="SAPBEXexcGood1 5 2 2 6 3" xfId="18904"/>
    <cellStyle name="SAPBEXexcGood1 5 2 2 7" xfId="18905"/>
    <cellStyle name="SAPBEXexcGood1 5 2 2 7 2" xfId="18906"/>
    <cellStyle name="SAPBEXexcGood1 5 2 2 7 3" xfId="18907"/>
    <cellStyle name="SAPBEXexcGood1 5 2 2 8" xfId="18908"/>
    <cellStyle name="SAPBEXexcGood1 5 2 2 8 2" xfId="18909"/>
    <cellStyle name="SAPBEXexcGood1 5 2 2 8 3" xfId="18910"/>
    <cellStyle name="SAPBEXexcGood1 5 2 2 9" xfId="18911"/>
    <cellStyle name="SAPBEXexcGood1 5 2 2 9 2" xfId="18912"/>
    <cellStyle name="SAPBEXexcGood1 5 2 2 9 3" xfId="18913"/>
    <cellStyle name="SAPBEXexcGood1 5 2 2_planning-WP" xfId="18914"/>
    <cellStyle name="SAPBEXexcGood1 5 2 3" xfId="5885"/>
    <cellStyle name="SAPBEXexcGood1 5 2 3 2" xfId="18916"/>
    <cellStyle name="SAPBEXexcGood1 5 2 3 3" xfId="18917"/>
    <cellStyle name="SAPBEXexcGood1 5 2 3 4" xfId="18915"/>
    <cellStyle name="SAPBEXexcGood1 5 2 4" xfId="6393"/>
    <cellStyle name="SAPBEXexcGood1 5 2 4 2" xfId="18919"/>
    <cellStyle name="SAPBEXexcGood1 5 2 4 3" xfId="18920"/>
    <cellStyle name="SAPBEXexcGood1 5 2 4 4" xfId="18918"/>
    <cellStyle name="SAPBEXexcGood1 5 2 5" xfId="6880"/>
    <cellStyle name="SAPBEXexcGood1 5 2 5 2" xfId="18922"/>
    <cellStyle name="SAPBEXexcGood1 5 2 5 3" xfId="18923"/>
    <cellStyle name="SAPBEXexcGood1 5 2 5 4" xfId="18921"/>
    <cellStyle name="SAPBEXexcGood1 5 2 6" xfId="7363"/>
    <cellStyle name="SAPBEXexcGood1 5 2 6 2" xfId="18925"/>
    <cellStyle name="SAPBEXexcGood1 5 2 6 3" xfId="18926"/>
    <cellStyle name="SAPBEXexcGood1 5 2 6 4" xfId="18924"/>
    <cellStyle name="SAPBEXexcGood1 5 2 7" xfId="8432"/>
    <cellStyle name="SAPBEXexcGood1 5 2 7 2" xfId="18928"/>
    <cellStyle name="SAPBEXexcGood1 5 2 7 3" xfId="18929"/>
    <cellStyle name="SAPBEXexcGood1 5 2 7 4" xfId="18927"/>
    <cellStyle name="SAPBEXexcGood1 5 2 8" xfId="8933"/>
    <cellStyle name="SAPBEXexcGood1 5 2 8 2" xfId="18931"/>
    <cellStyle name="SAPBEXexcGood1 5 2 8 3" xfId="18932"/>
    <cellStyle name="SAPBEXexcGood1 5 2 8 4" xfId="18930"/>
    <cellStyle name="SAPBEXexcGood1 5 2 9" xfId="9427"/>
    <cellStyle name="SAPBEXexcGood1 5 2 9 2" xfId="18934"/>
    <cellStyle name="SAPBEXexcGood1 5 2 9 3" xfId="18935"/>
    <cellStyle name="SAPBEXexcGood1 5 2 9 4" xfId="18933"/>
    <cellStyle name="SAPBEXexcGood1 5 2_planning-WP" xfId="18936"/>
    <cellStyle name="SAPBEXexcGood1 5 3" xfId="4575"/>
    <cellStyle name="SAPBEXexcGood1 5 3 10" xfId="18938"/>
    <cellStyle name="SAPBEXexcGood1 5 3 11" xfId="18937"/>
    <cellStyle name="SAPBEXexcGood1 5 3 2" xfId="18939"/>
    <cellStyle name="SAPBEXexcGood1 5 3 2 2" xfId="18940"/>
    <cellStyle name="SAPBEXexcGood1 5 3 2 3" xfId="18941"/>
    <cellStyle name="SAPBEXexcGood1 5 3 3" xfId="18942"/>
    <cellStyle name="SAPBEXexcGood1 5 3 3 2" xfId="18943"/>
    <cellStyle name="SAPBEXexcGood1 5 3 3 3" xfId="18944"/>
    <cellStyle name="SAPBEXexcGood1 5 3 4" xfId="18945"/>
    <cellStyle name="SAPBEXexcGood1 5 3 4 2" xfId="18946"/>
    <cellStyle name="SAPBEXexcGood1 5 3 4 3" xfId="18947"/>
    <cellStyle name="SAPBEXexcGood1 5 3 5" xfId="18948"/>
    <cellStyle name="SAPBEXexcGood1 5 3 5 2" xfId="18949"/>
    <cellStyle name="SAPBEXexcGood1 5 3 5 3" xfId="18950"/>
    <cellStyle name="SAPBEXexcGood1 5 3 6" xfId="18951"/>
    <cellStyle name="SAPBEXexcGood1 5 3 6 2" xfId="18952"/>
    <cellStyle name="SAPBEXexcGood1 5 3 6 3" xfId="18953"/>
    <cellStyle name="SAPBEXexcGood1 5 3 7" xfId="18954"/>
    <cellStyle name="SAPBEXexcGood1 5 3 7 2" xfId="18955"/>
    <cellStyle name="SAPBEXexcGood1 5 3 7 3" xfId="18956"/>
    <cellStyle name="SAPBEXexcGood1 5 3 8" xfId="18957"/>
    <cellStyle name="SAPBEXexcGood1 5 3 8 2" xfId="18958"/>
    <cellStyle name="SAPBEXexcGood1 5 3 8 3" xfId="18959"/>
    <cellStyle name="SAPBEXexcGood1 5 3 9" xfId="18960"/>
    <cellStyle name="SAPBEXexcGood1 5 3 9 2" xfId="18961"/>
    <cellStyle name="SAPBEXexcGood1 5 3 9 3" xfId="18962"/>
    <cellStyle name="SAPBEXexcGood1 5 3_planning-WP" xfId="18963"/>
    <cellStyle name="SAPBEXexcGood1 5 4" xfId="5567"/>
    <cellStyle name="SAPBEXexcGood1 5 4 10" xfId="18964"/>
    <cellStyle name="SAPBEXexcGood1 5 4 2" xfId="18965"/>
    <cellStyle name="SAPBEXexcGood1 5 4 2 2" xfId="18966"/>
    <cellStyle name="SAPBEXexcGood1 5 4 2 3" xfId="18967"/>
    <cellStyle name="SAPBEXexcGood1 5 4 3" xfId="18968"/>
    <cellStyle name="SAPBEXexcGood1 5 4 3 2" xfId="18969"/>
    <cellStyle name="SAPBEXexcGood1 5 4 3 3" xfId="18970"/>
    <cellStyle name="SAPBEXexcGood1 5 4 4" xfId="18971"/>
    <cellStyle name="SAPBEXexcGood1 5 4 4 2" xfId="18972"/>
    <cellStyle name="SAPBEXexcGood1 5 4 4 3" xfId="18973"/>
    <cellStyle name="SAPBEXexcGood1 5 4 5" xfId="18974"/>
    <cellStyle name="SAPBEXexcGood1 5 4 5 2" xfId="18975"/>
    <cellStyle name="SAPBEXexcGood1 5 4 5 3" xfId="18976"/>
    <cellStyle name="SAPBEXexcGood1 5 4 6" xfId="18977"/>
    <cellStyle name="SAPBEXexcGood1 5 4 6 2" xfId="18978"/>
    <cellStyle name="SAPBEXexcGood1 5 4 6 3" xfId="18979"/>
    <cellStyle name="SAPBEXexcGood1 5 4 7" xfId="18980"/>
    <cellStyle name="SAPBEXexcGood1 5 4 7 2" xfId="18981"/>
    <cellStyle name="SAPBEXexcGood1 5 4 7 3" xfId="18982"/>
    <cellStyle name="SAPBEXexcGood1 5 4 8" xfId="18983"/>
    <cellStyle name="SAPBEXexcGood1 5 4 8 2" xfId="18984"/>
    <cellStyle name="SAPBEXexcGood1 5 4 8 3" xfId="18985"/>
    <cellStyle name="SAPBEXexcGood1 5 4 9" xfId="18986"/>
    <cellStyle name="SAPBEXexcGood1 5 4_planning-WP" xfId="18987"/>
    <cellStyle name="SAPBEXexcGood1 5 5" xfId="6076"/>
    <cellStyle name="SAPBEXexcGood1 5 5 2" xfId="18989"/>
    <cellStyle name="SAPBEXexcGood1 5 5 3" xfId="18988"/>
    <cellStyle name="SAPBEXexcGood1 5 6" xfId="6563"/>
    <cellStyle name="SAPBEXexcGood1 5 6 2" xfId="18991"/>
    <cellStyle name="SAPBEXexcGood1 5 6 3" xfId="18992"/>
    <cellStyle name="SAPBEXexcGood1 5 6 4" xfId="18990"/>
    <cellStyle name="SAPBEXexcGood1 5 7" xfId="7046"/>
    <cellStyle name="SAPBEXexcGood1 5 7 2" xfId="18994"/>
    <cellStyle name="SAPBEXexcGood1 5 7 3" xfId="18995"/>
    <cellStyle name="SAPBEXexcGood1 5 7 4" xfId="18993"/>
    <cellStyle name="SAPBEXexcGood1 5 8" xfId="8115"/>
    <cellStyle name="SAPBEXexcGood1 5 8 2" xfId="18997"/>
    <cellStyle name="SAPBEXexcGood1 5 8 3" xfId="18998"/>
    <cellStyle name="SAPBEXexcGood1 5 8 4" xfId="18996"/>
    <cellStyle name="SAPBEXexcGood1 5 9" xfId="8616"/>
    <cellStyle name="SAPBEXexcGood1 5 9 2" xfId="19000"/>
    <cellStyle name="SAPBEXexcGood1 5 9 3" xfId="19001"/>
    <cellStyle name="SAPBEXexcGood1 5 9 4" xfId="18999"/>
    <cellStyle name="SAPBEXexcGood1 5_planning-WP" xfId="19002"/>
    <cellStyle name="SAPBEXexcGood1 6" xfId="1739"/>
    <cellStyle name="SAPBEXexcGood1 6 10" xfId="9194"/>
    <cellStyle name="SAPBEXexcGood1 6 10 2" xfId="19005"/>
    <cellStyle name="SAPBEXexcGood1 6 10 3" xfId="19006"/>
    <cellStyle name="SAPBEXexcGood1 6 10 4" xfId="19004"/>
    <cellStyle name="SAPBEXexcGood1 6 11" xfId="19007"/>
    <cellStyle name="SAPBEXexcGood1 6 11 2" xfId="19008"/>
    <cellStyle name="SAPBEXexcGood1 6 11 3" xfId="19009"/>
    <cellStyle name="SAPBEXexcGood1 6 12" xfId="19003"/>
    <cellStyle name="SAPBEXexcGood1 6 13" xfId="9933"/>
    <cellStyle name="SAPBEXexcGood1 6 14" xfId="38946"/>
    <cellStyle name="SAPBEXexcGood1 6 15" xfId="39354"/>
    <cellStyle name="SAPBEXexcGood1 6 2" xfId="2069"/>
    <cellStyle name="SAPBEXexcGood1 6 2 10" xfId="19011"/>
    <cellStyle name="SAPBEXexcGood1 6 2 11" xfId="19010"/>
    <cellStyle name="SAPBEXexcGood1 6 2 12" xfId="10244"/>
    <cellStyle name="SAPBEXexcGood1 6 2 2" xfId="4984"/>
    <cellStyle name="SAPBEXexcGood1 6 2 2 2" xfId="19013"/>
    <cellStyle name="SAPBEXexcGood1 6 2 2 3" xfId="19014"/>
    <cellStyle name="SAPBEXexcGood1 6 2 2 4" xfId="19012"/>
    <cellStyle name="SAPBEXexcGood1 6 2 3" xfId="5963"/>
    <cellStyle name="SAPBEXexcGood1 6 2 3 2" xfId="19016"/>
    <cellStyle name="SAPBEXexcGood1 6 2 3 3" xfId="19017"/>
    <cellStyle name="SAPBEXexcGood1 6 2 3 4" xfId="19015"/>
    <cellStyle name="SAPBEXexcGood1 6 2 4" xfId="6471"/>
    <cellStyle name="SAPBEXexcGood1 6 2 4 2" xfId="19019"/>
    <cellStyle name="SAPBEXexcGood1 6 2 4 3" xfId="19020"/>
    <cellStyle name="SAPBEXexcGood1 6 2 4 4" xfId="19018"/>
    <cellStyle name="SAPBEXexcGood1 6 2 5" xfId="6958"/>
    <cellStyle name="SAPBEXexcGood1 6 2 5 2" xfId="19022"/>
    <cellStyle name="SAPBEXexcGood1 6 2 5 3" xfId="19023"/>
    <cellStyle name="SAPBEXexcGood1 6 2 5 4" xfId="19021"/>
    <cellStyle name="SAPBEXexcGood1 6 2 6" xfId="7441"/>
    <cellStyle name="SAPBEXexcGood1 6 2 6 2" xfId="19025"/>
    <cellStyle name="SAPBEXexcGood1 6 2 6 3" xfId="19026"/>
    <cellStyle name="SAPBEXexcGood1 6 2 6 4" xfId="19024"/>
    <cellStyle name="SAPBEXexcGood1 6 2 7" xfId="8510"/>
    <cellStyle name="SAPBEXexcGood1 6 2 7 2" xfId="19028"/>
    <cellStyle name="SAPBEXexcGood1 6 2 7 3" xfId="19029"/>
    <cellStyle name="SAPBEXexcGood1 6 2 7 4" xfId="19027"/>
    <cellStyle name="SAPBEXexcGood1 6 2 8" xfId="9011"/>
    <cellStyle name="SAPBEXexcGood1 6 2 8 2" xfId="19031"/>
    <cellStyle name="SAPBEXexcGood1 6 2 8 3" xfId="19032"/>
    <cellStyle name="SAPBEXexcGood1 6 2 8 4" xfId="19030"/>
    <cellStyle name="SAPBEXexcGood1 6 2 9" xfId="9505"/>
    <cellStyle name="SAPBEXexcGood1 6 2 9 2" xfId="19034"/>
    <cellStyle name="SAPBEXexcGood1 6 2 9 3" xfId="19035"/>
    <cellStyle name="SAPBEXexcGood1 6 2 9 4" xfId="19033"/>
    <cellStyle name="SAPBEXexcGood1 6 2_planning-WP" xfId="19036"/>
    <cellStyle name="SAPBEXexcGood1 6 3" xfId="4660"/>
    <cellStyle name="SAPBEXexcGood1 6 3 10" xfId="19037"/>
    <cellStyle name="SAPBEXexcGood1 6 3 2" xfId="19038"/>
    <cellStyle name="SAPBEXexcGood1 6 3 2 2" xfId="19039"/>
    <cellStyle name="SAPBEXexcGood1 6 3 2 3" xfId="19040"/>
    <cellStyle name="SAPBEXexcGood1 6 3 3" xfId="19041"/>
    <cellStyle name="SAPBEXexcGood1 6 3 3 2" xfId="19042"/>
    <cellStyle name="SAPBEXexcGood1 6 3 3 3" xfId="19043"/>
    <cellStyle name="SAPBEXexcGood1 6 3 4" xfId="19044"/>
    <cellStyle name="SAPBEXexcGood1 6 3 4 2" xfId="19045"/>
    <cellStyle name="SAPBEXexcGood1 6 3 4 3" xfId="19046"/>
    <cellStyle name="SAPBEXexcGood1 6 3 5" xfId="19047"/>
    <cellStyle name="SAPBEXexcGood1 6 3 5 2" xfId="19048"/>
    <cellStyle name="SAPBEXexcGood1 6 3 5 3" xfId="19049"/>
    <cellStyle name="SAPBEXexcGood1 6 3 6" xfId="19050"/>
    <cellStyle name="SAPBEXexcGood1 6 3 6 2" xfId="19051"/>
    <cellStyle name="SAPBEXexcGood1 6 3 6 3" xfId="19052"/>
    <cellStyle name="SAPBEXexcGood1 6 3 7" xfId="19053"/>
    <cellStyle name="SAPBEXexcGood1 6 3 7 2" xfId="19054"/>
    <cellStyle name="SAPBEXexcGood1 6 3 7 3" xfId="19055"/>
    <cellStyle name="SAPBEXexcGood1 6 3 8" xfId="19056"/>
    <cellStyle name="SAPBEXexcGood1 6 3 8 2" xfId="19057"/>
    <cellStyle name="SAPBEXexcGood1 6 3 8 3" xfId="19058"/>
    <cellStyle name="SAPBEXexcGood1 6 3 9" xfId="19059"/>
    <cellStyle name="SAPBEXexcGood1 6 3_planning-WP" xfId="19060"/>
    <cellStyle name="SAPBEXexcGood1 6 4" xfId="5651"/>
    <cellStyle name="SAPBEXexcGood1 6 4 2" xfId="19062"/>
    <cellStyle name="SAPBEXexcGood1 6 4 3" xfId="19061"/>
    <cellStyle name="SAPBEXexcGood1 6 5" xfId="6160"/>
    <cellStyle name="SAPBEXexcGood1 6 5 2" xfId="19064"/>
    <cellStyle name="SAPBEXexcGood1 6 5 3" xfId="19065"/>
    <cellStyle name="SAPBEXexcGood1 6 5 4" xfId="19063"/>
    <cellStyle name="SAPBEXexcGood1 6 6" xfId="6647"/>
    <cellStyle name="SAPBEXexcGood1 6 6 2" xfId="19067"/>
    <cellStyle name="SAPBEXexcGood1 6 6 3" xfId="19068"/>
    <cellStyle name="SAPBEXexcGood1 6 6 4" xfId="19066"/>
    <cellStyle name="SAPBEXexcGood1 6 7" xfId="7130"/>
    <cellStyle name="SAPBEXexcGood1 6 7 2" xfId="19070"/>
    <cellStyle name="SAPBEXexcGood1 6 7 3" xfId="19071"/>
    <cellStyle name="SAPBEXexcGood1 6 7 4" xfId="19069"/>
    <cellStyle name="SAPBEXexcGood1 6 8" xfId="8199"/>
    <cellStyle name="SAPBEXexcGood1 6 8 2" xfId="19073"/>
    <cellStyle name="SAPBEXexcGood1 6 8 3" xfId="19074"/>
    <cellStyle name="SAPBEXexcGood1 6 8 4" xfId="19072"/>
    <cellStyle name="SAPBEXexcGood1 6 9" xfId="8700"/>
    <cellStyle name="SAPBEXexcGood1 6 9 2" xfId="19076"/>
    <cellStyle name="SAPBEXexcGood1 6 9 3" xfId="19077"/>
    <cellStyle name="SAPBEXexcGood1 6 9 4" xfId="19075"/>
    <cellStyle name="SAPBEXexcGood1 6_planning-WP" xfId="19078"/>
    <cellStyle name="SAPBEXexcGood1 7" xfId="1680"/>
    <cellStyle name="SAPBEXexcGood1 7 10" xfId="9138"/>
    <cellStyle name="SAPBEXexcGood1 7 10 2" xfId="19081"/>
    <cellStyle name="SAPBEXexcGood1 7 10 3" xfId="19082"/>
    <cellStyle name="SAPBEXexcGood1 7 10 4" xfId="19080"/>
    <cellStyle name="SAPBEXexcGood1 7 11" xfId="19083"/>
    <cellStyle name="SAPBEXexcGood1 7 12" xfId="19079"/>
    <cellStyle name="SAPBEXexcGood1 7 13" xfId="9877"/>
    <cellStyle name="SAPBEXexcGood1 7 14" xfId="38947"/>
    <cellStyle name="SAPBEXexcGood1 7 15" xfId="39355"/>
    <cellStyle name="SAPBEXexcGood1 7 2" xfId="2014"/>
    <cellStyle name="SAPBEXexcGood1 7 2 10" xfId="19085"/>
    <cellStyle name="SAPBEXexcGood1 7 2 11" xfId="19084"/>
    <cellStyle name="SAPBEXexcGood1 7 2 12" xfId="10192"/>
    <cellStyle name="SAPBEXexcGood1 7 2 2" xfId="4932"/>
    <cellStyle name="SAPBEXexcGood1 7 2 2 2" xfId="19087"/>
    <cellStyle name="SAPBEXexcGood1 7 2 2 3" xfId="19088"/>
    <cellStyle name="SAPBEXexcGood1 7 2 2 4" xfId="19086"/>
    <cellStyle name="SAPBEXexcGood1 7 2 3" xfId="5911"/>
    <cellStyle name="SAPBEXexcGood1 7 2 3 2" xfId="19090"/>
    <cellStyle name="SAPBEXexcGood1 7 2 3 3" xfId="19091"/>
    <cellStyle name="SAPBEXexcGood1 7 2 3 4" xfId="19089"/>
    <cellStyle name="SAPBEXexcGood1 7 2 4" xfId="6419"/>
    <cellStyle name="SAPBEXexcGood1 7 2 4 2" xfId="19093"/>
    <cellStyle name="SAPBEXexcGood1 7 2 4 3" xfId="19094"/>
    <cellStyle name="SAPBEXexcGood1 7 2 4 4" xfId="19092"/>
    <cellStyle name="SAPBEXexcGood1 7 2 5" xfId="6906"/>
    <cellStyle name="SAPBEXexcGood1 7 2 5 2" xfId="19096"/>
    <cellStyle name="SAPBEXexcGood1 7 2 5 3" xfId="19097"/>
    <cellStyle name="SAPBEXexcGood1 7 2 5 4" xfId="19095"/>
    <cellStyle name="SAPBEXexcGood1 7 2 6" xfId="7389"/>
    <cellStyle name="SAPBEXexcGood1 7 2 6 2" xfId="19099"/>
    <cellStyle name="SAPBEXexcGood1 7 2 6 3" xfId="19100"/>
    <cellStyle name="SAPBEXexcGood1 7 2 6 4" xfId="19098"/>
    <cellStyle name="SAPBEXexcGood1 7 2 7" xfId="8458"/>
    <cellStyle name="SAPBEXexcGood1 7 2 7 2" xfId="19102"/>
    <cellStyle name="SAPBEXexcGood1 7 2 7 3" xfId="19103"/>
    <cellStyle name="SAPBEXexcGood1 7 2 7 4" xfId="19101"/>
    <cellStyle name="SAPBEXexcGood1 7 2 8" xfId="8959"/>
    <cellStyle name="SAPBEXexcGood1 7 2 8 2" xfId="19105"/>
    <cellStyle name="SAPBEXexcGood1 7 2 8 3" xfId="19106"/>
    <cellStyle name="SAPBEXexcGood1 7 2 8 4" xfId="19104"/>
    <cellStyle name="SAPBEXexcGood1 7 2 9" xfId="9453"/>
    <cellStyle name="SAPBEXexcGood1 7 2 9 2" xfId="19108"/>
    <cellStyle name="SAPBEXexcGood1 7 2 9 3" xfId="19109"/>
    <cellStyle name="SAPBEXexcGood1 7 2 9 4" xfId="19107"/>
    <cellStyle name="SAPBEXexcGood1 7 2_planning-WP" xfId="19110"/>
    <cellStyle name="SAPBEXexcGood1 7 3" xfId="4603"/>
    <cellStyle name="SAPBEXexcGood1 7 3 2" xfId="19112"/>
    <cellStyle name="SAPBEXexcGood1 7 3 3" xfId="19113"/>
    <cellStyle name="SAPBEXexcGood1 7 3 4" xfId="19111"/>
    <cellStyle name="SAPBEXexcGood1 7 4" xfId="5595"/>
    <cellStyle name="SAPBEXexcGood1 7 4 2" xfId="19115"/>
    <cellStyle name="SAPBEXexcGood1 7 4 3" xfId="19116"/>
    <cellStyle name="SAPBEXexcGood1 7 4 4" xfId="19114"/>
    <cellStyle name="SAPBEXexcGood1 7 5" xfId="6104"/>
    <cellStyle name="SAPBEXexcGood1 7 5 2" xfId="19118"/>
    <cellStyle name="SAPBEXexcGood1 7 5 3" xfId="19119"/>
    <cellStyle name="SAPBEXexcGood1 7 5 4" xfId="19117"/>
    <cellStyle name="SAPBEXexcGood1 7 6" xfId="6591"/>
    <cellStyle name="SAPBEXexcGood1 7 6 2" xfId="19121"/>
    <cellStyle name="SAPBEXexcGood1 7 6 3" xfId="19122"/>
    <cellStyle name="SAPBEXexcGood1 7 6 4" xfId="19120"/>
    <cellStyle name="SAPBEXexcGood1 7 7" xfId="7074"/>
    <cellStyle name="SAPBEXexcGood1 7 7 2" xfId="19124"/>
    <cellStyle name="SAPBEXexcGood1 7 7 3" xfId="19125"/>
    <cellStyle name="SAPBEXexcGood1 7 7 4" xfId="19123"/>
    <cellStyle name="SAPBEXexcGood1 7 8" xfId="8143"/>
    <cellStyle name="SAPBEXexcGood1 7 8 2" xfId="19127"/>
    <cellStyle name="SAPBEXexcGood1 7 8 3" xfId="19128"/>
    <cellStyle name="SAPBEXexcGood1 7 8 4" xfId="19126"/>
    <cellStyle name="SAPBEXexcGood1 7 9" xfId="8644"/>
    <cellStyle name="SAPBEXexcGood1 7 9 2" xfId="19130"/>
    <cellStyle name="SAPBEXexcGood1 7 9 3" xfId="19131"/>
    <cellStyle name="SAPBEXexcGood1 7 9 4" xfId="19129"/>
    <cellStyle name="SAPBEXexcGood1 7_planning-WP" xfId="19132"/>
    <cellStyle name="SAPBEXexcGood1 8" xfId="1800"/>
    <cellStyle name="SAPBEXexcGood1 8 10" xfId="19134"/>
    <cellStyle name="SAPBEXexcGood1 8 11" xfId="19133"/>
    <cellStyle name="SAPBEXexcGood1 8 12" xfId="9990"/>
    <cellStyle name="SAPBEXexcGood1 8 2" xfId="4719"/>
    <cellStyle name="SAPBEXexcGood1 8 2 2" xfId="19136"/>
    <cellStyle name="SAPBEXexcGood1 8 2 3" xfId="19137"/>
    <cellStyle name="SAPBEXexcGood1 8 2 4" xfId="19135"/>
    <cellStyle name="SAPBEXexcGood1 8 3" xfId="5708"/>
    <cellStyle name="SAPBEXexcGood1 8 3 2" xfId="19139"/>
    <cellStyle name="SAPBEXexcGood1 8 3 3" xfId="19140"/>
    <cellStyle name="SAPBEXexcGood1 8 3 4" xfId="19138"/>
    <cellStyle name="SAPBEXexcGood1 8 4" xfId="6217"/>
    <cellStyle name="SAPBEXexcGood1 8 4 2" xfId="19142"/>
    <cellStyle name="SAPBEXexcGood1 8 4 3" xfId="19143"/>
    <cellStyle name="SAPBEXexcGood1 8 4 4" xfId="19141"/>
    <cellStyle name="SAPBEXexcGood1 8 5" xfId="6704"/>
    <cellStyle name="SAPBEXexcGood1 8 5 2" xfId="19145"/>
    <cellStyle name="SAPBEXexcGood1 8 5 3" xfId="19146"/>
    <cellStyle name="SAPBEXexcGood1 8 5 4" xfId="19144"/>
    <cellStyle name="SAPBEXexcGood1 8 6" xfId="7187"/>
    <cellStyle name="SAPBEXexcGood1 8 6 2" xfId="19148"/>
    <cellStyle name="SAPBEXexcGood1 8 6 3" xfId="19149"/>
    <cellStyle name="SAPBEXexcGood1 8 6 4" xfId="19147"/>
    <cellStyle name="SAPBEXexcGood1 8 7" xfId="8256"/>
    <cellStyle name="SAPBEXexcGood1 8 7 2" xfId="19151"/>
    <cellStyle name="SAPBEXexcGood1 8 7 3" xfId="19152"/>
    <cellStyle name="SAPBEXexcGood1 8 7 4" xfId="19150"/>
    <cellStyle name="SAPBEXexcGood1 8 8" xfId="8757"/>
    <cellStyle name="SAPBEXexcGood1 8 8 2" xfId="19154"/>
    <cellStyle name="SAPBEXexcGood1 8 8 3" xfId="19155"/>
    <cellStyle name="SAPBEXexcGood1 8 8 4" xfId="19153"/>
    <cellStyle name="SAPBEXexcGood1 8 9" xfId="9251"/>
    <cellStyle name="SAPBEXexcGood1 8 9 2" xfId="19157"/>
    <cellStyle name="SAPBEXexcGood1 8 9 3" xfId="19158"/>
    <cellStyle name="SAPBEXexcGood1 8 9 4" xfId="19156"/>
    <cellStyle name="SAPBEXexcGood1 8_planning-WP" xfId="19159"/>
    <cellStyle name="SAPBEXexcGood1 9" xfId="1433"/>
    <cellStyle name="SAPBEXexcGood1 9 10" xfId="19160"/>
    <cellStyle name="SAPBEXexcGood1 9 11" xfId="9631"/>
    <cellStyle name="SAPBEXexcGood1 9 2" xfId="4356"/>
    <cellStyle name="SAPBEXexcGood1 9 2 2" xfId="19162"/>
    <cellStyle name="SAPBEXexcGood1 9 2 3" xfId="19163"/>
    <cellStyle name="SAPBEXexcGood1 9 2 4" xfId="19161"/>
    <cellStyle name="SAPBEXexcGood1 9 3" xfId="5349"/>
    <cellStyle name="SAPBEXexcGood1 9 3 2" xfId="19165"/>
    <cellStyle name="SAPBEXexcGood1 9 3 3" xfId="19166"/>
    <cellStyle name="SAPBEXexcGood1 9 3 4" xfId="19164"/>
    <cellStyle name="SAPBEXexcGood1 9 4" xfId="5126"/>
    <cellStyle name="SAPBEXexcGood1 9 4 2" xfId="19168"/>
    <cellStyle name="SAPBEXexcGood1 9 4 3" xfId="19169"/>
    <cellStyle name="SAPBEXexcGood1 9 4 4" xfId="19167"/>
    <cellStyle name="SAPBEXexcGood1 9 5" xfId="3183"/>
    <cellStyle name="SAPBEXexcGood1 9 5 2" xfId="19171"/>
    <cellStyle name="SAPBEXexcGood1 9 5 3" xfId="19172"/>
    <cellStyle name="SAPBEXexcGood1 9 5 4" xfId="19170"/>
    <cellStyle name="SAPBEXexcGood1 9 6" xfId="5133"/>
    <cellStyle name="SAPBEXexcGood1 9 6 2" xfId="19174"/>
    <cellStyle name="SAPBEXexcGood1 9 6 3" xfId="19175"/>
    <cellStyle name="SAPBEXexcGood1 9 6 4" xfId="19173"/>
    <cellStyle name="SAPBEXexcGood1 9 7" xfId="7897"/>
    <cellStyle name="SAPBEXexcGood1 9 7 2" xfId="19177"/>
    <cellStyle name="SAPBEXexcGood1 9 7 3" xfId="19178"/>
    <cellStyle name="SAPBEXexcGood1 9 7 4" xfId="19176"/>
    <cellStyle name="SAPBEXexcGood1 9 8" xfId="7790"/>
    <cellStyle name="SAPBEXexcGood1 9 8 2" xfId="19180"/>
    <cellStyle name="SAPBEXexcGood1 9 8 3" xfId="19181"/>
    <cellStyle name="SAPBEXexcGood1 9 8 4" xfId="19179"/>
    <cellStyle name="SAPBEXexcGood1 9 9" xfId="7768"/>
    <cellStyle name="SAPBEXexcGood1 9 9 2" xfId="19182"/>
    <cellStyle name="SAPBEXexcGood1 9_planning-WP" xfId="19183"/>
    <cellStyle name="SAPBEXexcGood1_19.RessDest CUC CS SEE+SEM 1009" xfId="38948"/>
    <cellStyle name="SAPBEXexcGood2" xfId="280"/>
    <cellStyle name="SAPBEXexcGood2 10" xfId="19185"/>
    <cellStyle name="SAPBEXexcGood2 10 2" xfId="19186"/>
    <cellStyle name="SAPBEXexcGood2 11" xfId="19187"/>
    <cellStyle name="SAPBEXexcGood2 11 2" xfId="19188"/>
    <cellStyle name="SAPBEXexcGood2 11 3" xfId="19189"/>
    <cellStyle name="SAPBEXexcGood2 12" xfId="19190"/>
    <cellStyle name="SAPBEXexcGood2 12 2" xfId="19191"/>
    <cellStyle name="SAPBEXexcGood2 12 3" xfId="19192"/>
    <cellStyle name="SAPBEXexcGood2 13" xfId="19193"/>
    <cellStyle name="SAPBEXexcGood2 13 2" xfId="19194"/>
    <cellStyle name="SAPBEXexcGood2 13 3" xfId="19195"/>
    <cellStyle name="SAPBEXexcGood2 14" xfId="19196"/>
    <cellStyle name="SAPBEXexcGood2 14 2" xfId="19197"/>
    <cellStyle name="SAPBEXexcGood2 14 3" xfId="19198"/>
    <cellStyle name="SAPBEXexcGood2 15" xfId="19199"/>
    <cellStyle name="SAPBEXexcGood2 15 2" xfId="19200"/>
    <cellStyle name="SAPBEXexcGood2 15 3" xfId="19201"/>
    <cellStyle name="SAPBEXexcGood2 16" xfId="19202"/>
    <cellStyle name="SAPBEXexcGood2 16 2" xfId="19203"/>
    <cellStyle name="SAPBEXexcGood2 16 3" xfId="19204"/>
    <cellStyle name="SAPBEXexcGood2 17" xfId="19205"/>
    <cellStyle name="SAPBEXexcGood2 17 2" xfId="19206"/>
    <cellStyle name="SAPBEXexcGood2 17 3" xfId="19207"/>
    <cellStyle name="SAPBEXexcGood2 18" xfId="19208"/>
    <cellStyle name="SAPBEXexcGood2 19" xfId="19184"/>
    <cellStyle name="SAPBEXexcGood2 2" xfId="897"/>
    <cellStyle name="SAPBEXexcGood2 2 10" xfId="19210"/>
    <cellStyle name="SAPBEXexcGood2 2 10 2" xfId="19211"/>
    <cellStyle name="SAPBEXexcGood2 2 10 3" xfId="19212"/>
    <cellStyle name="SAPBEXexcGood2 2 11" xfId="19213"/>
    <cellStyle name="SAPBEXexcGood2 2 11 2" xfId="19214"/>
    <cellStyle name="SAPBEXexcGood2 2 11 3" xfId="19215"/>
    <cellStyle name="SAPBEXexcGood2 2 12" xfId="19216"/>
    <cellStyle name="SAPBEXexcGood2 2 12 2" xfId="19217"/>
    <cellStyle name="SAPBEXexcGood2 2 12 3" xfId="19218"/>
    <cellStyle name="SAPBEXexcGood2 2 13" xfId="19219"/>
    <cellStyle name="SAPBEXexcGood2 2 14" xfId="19209"/>
    <cellStyle name="SAPBEXexcGood2 2 15" xfId="9581"/>
    <cellStyle name="SAPBEXexcGood2 2 16" xfId="38950"/>
    <cellStyle name="SAPBEXexcGood2 2 17" xfId="39357"/>
    <cellStyle name="SAPBEXexcGood2 2 2" xfId="1961"/>
    <cellStyle name="SAPBEXexcGood2 2 2 10" xfId="19221"/>
    <cellStyle name="SAPBEXexcGood2 2 2 10 2" xfId="19222"/>
    <cellStyle name="SAPBEXexcGood2 2 2 10 3" xfId="19223"/>
    <cellStyle name="SAPBEXexcGood2 2 2 11" xfId="19224"/>
    <cellStyle name="SAPBEXexcGood2 2 2 12" xfId="19220"/>
    <cellStyle name="SAPBEXexcGood2 2 2 13" xfId="10139"/>
    <cellStyle name="SAPBEXexcGood2 2 2 14" xfId="38951"/>
    <cellStyle name="SAPBEXexcGood2 2 2 15" xfId="39358"/>
    <cellStyle name="SAPBEXexcGood2 2 2 2" xfId="4879"/>
    <cellStyle name="SAPBEXexcGood2 2 2 2 10" xfId="19226"/>
    <cellStyle name="SAPBEXexcGood2 2 2 2 11" xfId="19225"/>
    <cellStyle name="SAPBEXexcGood2 2 2 2 2" xfId="19227"/>
    <cellStyle name="SAPBEXexcGood2 2 2 2 2 2" xfId="19228"/>
    <cellStyle name="SAPBEXexcGood2 2 2 2 2 3" xfId="19229"/>
    <cellStyle name="SAPBEXexcGood2 2 2 2 3" xfId="19230"/>
    <cellStyle name="SAPBEXexcGood2 2 2 2 3 2" xfId="19231"/>
    <cellStyle name="SAPBEXexcGood2 2 2 2 3 3" xfId="19232"/>
    <cellStyle name="SAPBEXexcGood2 2 2 2 4" xfId="19233"/>
    <cellStyle name="SAPBEXexcGood2 2 2 2 4 2" xfId="19234"/>
    <cellStyle name="SAPBEXexcGood2 2 2 2 4 3" xfId="19235"/>
    <cellStyle name="SAPBEXexcGood2 2 2 2 5" xfId="19236"/>
    <cellStyle name="SAPBEXexcGood2 2 2 2 5 2" xfId="19237"/>
    <cellStyle name="SAPBEXexcGood2 2 2 2 5 3" xfId="19238"/>
    <cellStyle name="SAPBEXexcGood2 2 2 2 6" xfId="19239"/>
    <cellStyle name="SAPBEXexcGood2 2 2 2 6 2" xfId="19240"/>
    <cellStyle name="SAPBEXexcGood2 2 2 2 6 3" xfId="19241"/>
    <cellStyle name="SAPBEXexcGood2 2 2 2 7" xfId="19242"/>
    <cellStyle name="SAPBEXexcGood2 2 2 2 7 2" xfId="19243"/>
    <cellStyle name="SAPBEXexcGood2 2 2 2 7 3" xfId="19244"/>
    <cellStyle name="SAPBEXexcGood2 2 2 2 8" xfId="19245"/>
    <cellStyle name="SAPBEXexcGood2 2 2 2 8 2" xfId="19246"/>
    <cellStyle name="SAPBEXexcGood2 2 2 2 8 3" xfId="19247"/>
    <cellStyle name="SAPBEXexcGood2 2 2 2 9" xfId="19248"/>
    <cellStyle name="SAPBEXexcGood2 2 2 2 9 2" xfId="19249"/>
    <cellStyle name="SAPBEXexcGood2 2 2 2 9 3" xfId="19250"/>
    <cellStyle name="SAPBEXexcGood2 2 2 2_planning-WP" xfId="19251"/>
    <cellStyle name="SAPBEXexcGood2 2 2 3" xfId="5858"/>
    <cellStyle name="SAPBEXexcGood2 2 2 3 2" xfId="19253"/>
    <cellStyle name="SAPBEXexcGood2 2 2 3 3" xfId="19254"/>
    <cellStyle name="SAPBEXexcGood2 2 2 3 4" xfId="19252"/>
    <cellStyle name="SAPBEXexcGood2 2 2 4" xfId="6366"/>
    <cellStyle name="SAPBEXexcGood2 2 2 4 2" xfId="19256"/>
    <cellStyle name="SAPBEXexcGood2 2 2 4 3" xfId="19257"/>
    <cellStyle name="SAPBEXexcGood2 2 2 4 4" xfId="19255"/>
    <cellStyle name="SAPBEXexcGood2 2 2 5" xfId="6853"/>
    <cellStyle name="SAPBEXexcGood2 2 2 5 2" xfId="19259"/>
    <cellStyle name="SAPBEXexcGood2 2 2 5 3" xfId="19260"/>
    <cellStyle name="SAPBEXexcGood2 2 2 5 4" xfId="19258"/>
    <cellStyle name="SAPBEXexcGood2 2 2 6" xfId="7336"/>
    <cellStyle name="SAPBEXexcGood2 2 2 6 2" xfId="19262"/>
    <cellStyle name="SAPBEXexcGood2 2 2 6 3" xfId="19263"/>
    <cellStyle name="SAPBEXexcGood2 2 2 6 4" xfId="19261"/>
    <cellStyle name="SAPBEXexcGood2 2 2 7" xfId="8405"/>
    <cellStyle name="SAPBEXexcGood2 2 2 7 2" xfId="19265"/>
    <cellStyle name="SAPBEXexcGood2 2 2 7 3" xfId="19266"/>
    <cellStyle name="SAPBEXexcGood2 2 2 7 4" xfId="19264"/>
    <cellStyle name="SAPBEXexcGood2 2 2 8" xfId="8906"/>
    <cellStyle name="SAPBEXexcGood2 2 2 8 2" xfId="19268"/>
    <cellStyle name="SAPBEXexcGood2 2 2 8 3" xfId="19269"/>
    <cellStyle name="SAPBEXexcGood2 2 2 8 4" xfId="19267"/>
    <cellStyle name="SAPBEXexcGood2 2 2 9" xfId="9400"/>
    <cellStyle name="SAPBEXexcGood2 2 2 9 2" xfId="19271"/>
    <cellStyle name="SAPBEXexcGood2 2 2 9 3" xfId="19272"/>
    <cellStyle name="SAPBEXexcGood2 2 2 9 4" xfId="19270"/>
    <cellStyle name="SAPBEXexcGood2 2 2_planning-WP" xfId="19273"/>
    <cellStyle name="SAPBEXexcGood2 2 3" xfId="1623"/>
    <cellStyle name="SAPBEXexcGood2 2 3 10" xfId="19275"/>
    <cellStyle name="SAPBEXexcGood2 2 3 11" xfId="19274"/>
    <cellStyle name="SAPBEXexcGood2 2 3 12" xfId="9820"/>
    <cellStyle name="SAPBEXexcGood2 2 3 2" xfId="4546"/>
    <cellStyle name="SAPBEXexcGood2 2 3 2 2" xfId="19277"/>
    <cellStyle name="SAPBEXexcGood2 2 3 2 3" xfId="19278"/>
    <cellStyle name="SAPBEXexcGood2 2 3 2 4" xfId="19276"/>
    <cellStyle name="SAPBEXexcGood2 2 3 3" xfId="5538"/>
    <cellStyle name="SAPBEXexcGood2 2 3 3 2" xfId="19280"/>
    <cellStyle name="SAPBEXexcGood2 2 3 3 3" xfId="19281"/>
    <cellStyle name="SAPBEXexcGood2 2 3 3 4" xfId="19279"/>
    <cellStyle name="SAPBEXexcGood2 2 3 4" xfId="6047"/>
    <cellStyle name="SAPBEXexcGood2 2 3 4 2" xfId="19283"/>
    <cellStyle name="SAPBEXexcGood2 2 3 4 3" xfId="19284"/>
    <cellStyle name="SAPBEXexcGood2 2 3 4 4" xfId="19282"/>
    <cellStyle name="SAPBEXexcGood2 2 3 5" xfId="6534"/>
    <cellStyle name="SAPBEXexcGood2 2 3 5 2" xfId="19286"/>
    <cellStyle name="SAPBEXexcGood2 2 3 5 3" xfId="19287"/>
    <cellStyle name="SAPBEXexcGood2 2 3 5 4" xfId="19285"/>
    <cellStyle name="SAPBEXexcGood2 2 3 6" xfId="7017"/>
    <cellStyle name="SAPBEXexcGood2 2 3 6 2" xfId="19289"/>
    <cellStyle name="SAPBEXexcGood2 2 3 6 3" xfId="19290"/>
    <cellStyle name="SAPBEXexcGood2 2 3 6 4" xfId="19288"/>
    <cellStyle name="SAPBEXexcGood2 2 3 7" xfId="8086"/>
    <cellStyle name="SAPBEXexcGood2 2 3 7 2" xfId="19292"/>
    <cellStyle name="SAPBEXexcGood2 2 3 7 3" xfId="19293"/>
    <cellStyle name="SAPBEXexcGood2 2 3 7 4" xfId="19291"/>
    <cellStyle name="SAPBEXexcGood2 2 3 8" xfId="8587"/>
    <cellStyle name="SAPBEXexcGood2 2 3 8 2" xfId="19295"/>
    <cellStyle name="SAPBEXexcGood2 2 3 8 3" xfId="19296"/>
    <cellStyle name="SAPBEXexcGood2 2 3 8 4" xfId="19294"/>
    <cellStyle name="SAPBEXexcGood2 2 3 9" xfId="9081"/>
    <cellStyle name="SAPBEXexcGood2 2 3 9 2" xfId="19298"/>
    <cellStyle name="SAPBEXexcGood2 2 3 9 3" xfId="19299"/>
    <cellStyle name="SAPBEXexcGood2 2 3 9 4" xfId="19297"/>
    <cellStyle name="SAPBEXexcGood2 2 3_planning-WP" xfId="19300"/>
    <cellStyle name="SAPBEXexcGood2 2 4" xfId="19301"/>
    <cellStyle name="SAPBEXexcGood2 2 4 2" xfId="19302"/>
    <cellStyle name="SAPBEXexcGood2 2 4 2 2" xfId="19303"/>
    <cellStyle name="SAPBEXexcGood2 2 4 2 3" xfId="19304"/>
    <cellStyle name="SAPBEXexcGood2 2 4 3" xfId="19305"/>
    <cellStyle name="SAPBEXexcGood2 2 4 3 2" xfId="19306"/>
    <cellStyle name="SAPBEXexcGood2 2 4 3 3" xfId="19307"/>
    <cellStyle name="SAPBEXexcGood2 2 4 4" xfId="19308"/>
    <cellStyle name="SAPBEXexcGood2 2 4 4 2" xfId="19309"/>
    <cellStyle name="SAPBEXexcGood2 2 4 4 3" xfId="19310"/>
    <cellStyle name="SAPBEXexcGood2 2 4 5" xfId="19311"/>
    <cellStyle name="SAPBEXexcGood2 2 4 5 2" xfId="19312"/>
    <cellStyle name="SAPBEXexcGood2 2 4 5 3" xfId="19313"/>
    <cellStyle name="SAPBEXexcGood2 2 4 6" xfId="19314"/>
    <cellStyle name="SAPBEXexcGood2 2 4 6 2" xfId="19315"/>
    <cellStyle name="SAPBEXexcGood2 2 4 6 3" xfId="19316"/>
    <cellStyle name="SAPBEXexcGood2 2 4 7" xfId="19317"/>
    <cellStyle name="SAPBEXexcGood2 2 4 7 2" xfId="19318"/>
    <cellStyle name="SAPBEXexcGood2 2 4 7 3" xfId="19319"/>
    <cellStyle name="SAPBEXexcGood2 2 4 8" xfId="19320"/>
    <cellStyle name="SAPBEXexcGood2 2 4 8 2" xfId="19321"/>
    <cellStyle name="SAPBEXexcGood2 2 4 8 3" xfId="19322"/>
    <cellStyle name="SAPBEXexcGood2 2 4 9" xfId="19323"/>
    <cellStyle name="SAPBEXexcGood2 2 4_planning-WP" xfId="19324"/>
    <cellStyle name="SAPBEXexcGood2 2 5" xfId="19325"/>
    <cellStyle name="SAPBEXexcGood2 2 5 2" xfId="19326"/>
    <cellStyle name="SAPBEXexcGood2 2 6" xfId="19327"/>
    <cellStyle name="SAPBEXexcGood2 2 6 2" xfId="19328"/>
    <cellStyle name="SAPBEXexcGood2 2 6 3" xfId="19329"/>
    <cellStyle name="SAPBEXexcGood2 2 7" xfId="19330"/>
    <cellStyle name="SAPBEXexcGood2 2 7 2" xfId="19331"/>
    <cellStyle name="SAPBEXexcGood2 2 7 3" xfId="19332"/>
    <cellStyle name="SAPBEXexcGood2 2 8" xfId="19333"/>
    <cellStyle name="SAPBEXexcGood2 2 8 2" xfId="19334"/>
    <cellStyle name="SAPBEXexcGood2 2 8 3" xfId="19335"/>
    <cellStyle name="SAPBEXexcGood2 2 9" xfId="19336"/>
    <cellStyle name="SAPBEXexcGood2 2 9 2" xfId="19337"/>
    <cellStyle name="SAPBEXexcGood2 2 9 3" xfId="19338"/>
    <cellStyle name="SAPBEXexcGood2 2_planning-WP" xfId="19339"/>
    <cellStyle name="SAPBEXexcGood2 20" xfId="38949"/>
    <cellStyle name="SAPBEXexcGood2 21" xfId="39356"/>
    <cellStyle name="SAPBEXexcGood2 3" xfId="1595"/>
    <cellStyle name="SAPBEXexcGood2 3 10" xfId="7747"/>
    <cellStyle name="SAPBEXexcGood2 3 10 2" xfId="19342"/>
    <cellStyle name="SAPBEXexcGood2 3 10 3" xfId="19343"/>
    <cellStyle name="SAPBEXexcGood2 3 10 4" xfId="19341"/>
    <cellStyle name="SAPBEXexcGood2 3 11" xfId="19344"/>
    <cellStyle name="SAPBEXexcGood2 3 11 2" xfId="19345"/>
    <cellStyle name="SAPBEXexcGood2 3 11 3" xfId="19346"/>
    <cellStyle name="SAPBEXexcGood2 3 12" xfId="19347"/>
    <cellStyle name="SAPBEXexcGood2 3 12 2" xfId="19348"/>
    <cellStyle name="SAPBEXexcGood2 3 12 3" xfId="19349"/>
    <cellStyle name="SAPBEXexcGood2 3 13" xfId="19350"/>
    <cellStyle name="SAPBEXexcGood2 3 14" xfId="19340"/>
    <cellStyle name="SAPBEXexcGood2 3 15" xfId="9792"/>
    <cellStyle name="SAPBEXexcGood2 3 16" xfId="38952"/>
    <cellStyle name="SAPBEXexcGood2 3 17" xfId="39359"/>
    <cellStyle name="SAPBEXexcGood2 3 2" xfId="1938"/>
    <cellStyle name="SAPBEXexcGood2 3 2 10" xfId="19352"/>
    <cellStyle name="SAPBEXexcGood2 3 2 10 2" xfId="19353"/>
    <cellStyle name="SAPBEXexcGood2 3 2 10 3" xfId="19354"/>
    <cellStyle name="SAPBEXexcGood2 3 2 11" xfId="19355"/>
    <cellStyle name="SAPBEXexcGood2 3 2 12" xfId="19351"/>
    <cellStyle name="SAPBEXexcGood2 3 2 13" xfId="10116"/>
    <cellStyle name="SAPBEXexcGood2 3 2 14" xfId="38953"/>
    <cellStyle name="SAPBEXexcGood2 3 2 15" xfId="39360"/>
    <cellStyle name="SAPBEXexcGood2 3 2 2" xfId="4856"/>
    <cellStyle name="SAPBEXexcGood2 3 2 2 10" xfId="19357"/>
    <cellStyle name="SAPBEXexcGood2 3 2 2 11" xfId="19356"/>
    <cellStyle name="SAPBEXexcGood2 3 2 2 2" xfId="19358"/>
    <cellStyle name="SAPBEXexcGood2 3 2 2 2 2" xfId="19359"/>
    <cellStyle name="SAPBEXexcGood2 3 2 2 2 3" xfId="19360"/>
    <cellStyle name="SAPBEXexcGood2 3 2 2 3" xfId="19361"/>
    <cellStyle name="SAPBEXexcGood2 3 2 2 3 2" xfId="19362"/>
    <cellStyle name="SAPBEXexcGood2 3 2 2 3 3" xfId="19363"/>
    <cellStyle name="SAPBEXexcGood2 3 2 2 4" xfId="19364"/>
    <cellStyle name="SAPBEXexcGood2 3 2 2 4 2" xfId="19365"/>
    <cellStyle name="SAPBEXexcGood2 3 2 2 4 3" xfId="19366"/>
    <cellStyle name="SAPBEXexcGood2 3 2 2 5" xfId="19367"/>
    <cellStyle name="SAPBEXexcGood2 3 2 2 5 2" xfId="19368"/>
    <cellStyle name="SAPBEXexcGood2 3 2 2 5 3" xfId="19369"/>
    <cellStyle name="SAPBEXexcGood2 3 2 2 6" xfId="19370"/>
    <cellStyle name="SAPBEXexcGood2 3 2 2 6 2" xfId="19371"/>
    <cellStyle name="SAPBEXexcGood2 3 2 2 6 3" xfId="19372"/>
    <cellStyle name="SAPBEXexcGood2 3 2 2 7" xfId="19373"/>
    <cellStyle name="SAPBEXexcGood2 3 2 2 7 2" xfId="19374"/>
    <cellStyle name="SAPBEXexcGood2 3 2 2 7 3" xfId="19375"/>
    <cellStyle name="SAPBEXexcGood2 3 2 2 8" xfId="19376"/>
    <cellStyle name="SAPBEXexcGood2 3 2 2 8 2" xfId="19377"/>
    <cellStyle name="SAPBEXexcGood2 3 2 2 8 3" xfId="19378"/>
    <cellStyle name="SAPBEXexcGood2 3 2 2 9" xfId="19379"/>
    <cellStyle name="SAPBEXexcGood2 3 2 2 9 2" xfId="19380"/>
    <cellStyle name="SAPBEXexcGood2 3 2 2 9 3" xfId="19381"/>
    <cellStyle name="SAPBEXexcGood2 3 2 2_planning-WP" xfId="19382"/>
    <cellStyle name="SAPBEXexcGood2 3 2 3" xfId="5835"/>
    <cellStyle name="SAPBEXexcGood2 3 2 3 2" xfId="19384"/>
    <cellStyle name="SAPBEXexcGood2 3 2 3 3" xfId="19385"/>
    <cellStyle name="SAPBEXexcGood2 3 2 3 4" xfId="19383"/>
    <cellStyle name="SAPBEXexcGood2 3 2 4" xfId="6343"/>
    <cellStyle name="SAPBEXexcGood2 3 2 4 2" xfId="19387"/>
    <cellStyle name="SAPBEXexcGood2 3 2 4 3" xfId="19388"/>
    <cellStyle name="SAPBEXexcGood2 3 2 4 4" xfId="19386"/>
    <cellStyle name="SAPBEXexcGood2 3 2 5" xfId="6830"/>
    <cellStyle name="SAPBEXexcGood2 3 2 5 2" xfId="19390"/>
    <cellStyle name="SAPBEXexcGood2 3 2 5 3" xfId="19391"/>
    <cellStyle name="SAPBEXexcGood2 3 2 5 4" xfId="19389"/>
    <cellStyle name="SAPBEXexcGood2 3 2 6" xfId="7313"/>
    <cellStyle name="SAPBEXexcGood2 3 2 6 2" xfId="19393"/>
    <cellStyle name="SAPBEXexcGood2 3 2 6 3" xfId="19394"/>
    <cellStyle name="SAPBEXexcGood2 3 2 6 4" xfId="19392"/>
    <cellStyle name="SAPBEXexcGood2 3 2 7" xfId="8382"/>
    <cellStyle name="SAPBEXexcGood2 3 2 7 2" xfId="19396"/>
    <cellStyle name="SAPBEXexcGood2 3 2 7 3" xfId="19397"/>
    <cellStyle name="SAPBEXexcGood2 3 2 7 4" xfId="19395"/>
    <cellStyle name="SAPBEXexcGood2 3 2 8" xfId="8883"/>
    <cellStyle name="SAPBEXexcGood2 3 2 8 2" xfId="19399"/>
    <cellStyle name="SAPBEXexcGood2 3 2 8 3" xfId="19400"/>
    <cellStyle name="SAPBEXexcGood2 3 2 8 4" xfId="19398"/>
    <cellStyle name="SAPBEXexcGood2 3 2 9" xfId="9377"/>
    <cellStyle name="SAPBEXexcGood2 3 2 9 2" xfId="19402"/>
    <cellStyle name="SAPBEXexcGood2 3 2 9 3" xfId="19403"/>
    <cellStyle name="SAPBEXexcGood2 3 2 9 4" xfId="19401"/>
    <cellStyle name="SAPBEXexcGood2 3 2_planning-WP" xfId="19404"/>
    <cellStyle name="SAPBEXexcGood2 3 3" xfId="4518"/>
    <cellStyle name="SAPBEXexcGood2 3 3 10" xfId="19406"/>
    <cellStyle name="SAPBEXexcGood2 3 3 11" xfId="19405"/>
    <cellStyle name="SAPBEXexcGood2 3 3 2" xfId="19407"/>
    <cellStyle name="SAPBEXexcGood2 3 3 2 2" xfId="19408"/>
    <cellStyle name="SAPBEXexcGood2 3 3 2 3" xfId="19409"/>
    <cellStyle name="SAPBEXexcGood2 3 3 3" xfId="19410"/>
    <cellStyle name="SAPBEXexcGood2 3 3 3 2" xfId="19411"/>
    <cellStyle name="SAPBEXexcGood2 3 3 3 3" xfId="19412"/>
    <cellStyle name="SAPBEXexcGood2 3 3 4" xfId="19413"/>
    <cellStyle name="SAPBEXexcGood2 3 3 4 2" xfId="19414"/>
    <cellStyle name="SAPBEXexcGood2 3 3 4 3" xfId="19415"/>
    <cellStyle name="SAPBEXexcGood2 3 3 5" xfId="19416"/>
    <cellStyle name="SAPBEXexcGood2 3 3 5 2" xfId="19417"/>
    <cellStyle name="SAPBEXexcGood2 3 3 5 3" xfId="19418"/>
    <cellStyle name="SAPBEXexcGood2 3 3 6" xfId="19419"/>
    <cellStyle name="SAPBEXexcGood2 3 3 6 2" xfId="19420"/>
    <cellStyle name="SAPBEXexcGood2 3 3 6 3" xfId="19421"/>
    <cellStyle name="SAPBEXexcGood2 3 3 7" xfId="19422"/>
    <cellStyle name="SAPBEXexcGood2 3 3 7 2" xfId="19423"/>
    <cellStyle name="SAPBEXexcGood2 3 3 7 3" xfId="19424"/>
    <cellStyle name="SAPBEXexcGood2 3 3 8" xfId="19425"/>
    <cellStyle name="SAPBEXexcGood2 3 3 8 2" xfId="19426"/>
    <cellStyle name="SAPBEXexcGood2 3 3 8 3" xfId="19427"/>
    <cellStyle name="SAPBEXexcGood2 3 3 9" xfId="19428"/>
    <cellStyle name="SAPBEXexcGood2 3 3 9 2" xfId="19429"/>
    <cellStyle name="SAPBEXexcGood2 3 3 9 3" xfId="19430"/>
    <cellStyle name="SAPBEXexcGood2 3 3_planning-WP" xfId="19431"/>
    <cellStyle name="SAPBEXexcGood2 3 4" xfId="5510"/>
    <cellStyle name="SAPBEXexcGood2 3 4 10" xfId="19432"/>
    <cellStyle name="SAPBEXexcGood2 3 4 2" xfId="19433"/>
    <cellStyle name="SAPBEXexcGood2 3 4 2 2" xfId="19434"/>
    <cellStyle name="SAPBEXexcGood2 3 4 2 3" xfId="19435"/>
    <cellStyle name="SAPBEXexcGood2 3 4 3" xfId="19436"/>
    <cellStyle name="SAPBEXexcGood2 3 4 3 2" xfId="19437"/>
    <cellStyle name="SAPBEXexcGood2 3 4 3 3" xfId="19438"/>
    <cellStyle name="SAPBEXexcGood2 3 4 4" xfId="19439"/>
    <cellStyle name="SAPBEXexcGood2 3 4 4 2" xfId="19440"/>
    <cellStyle name="SAPBEXexcGood2 3 4 4 3" xfId="19441"/>
    <cellStyle name="SAPBEXexcGood2 3 4 5" xfId="19442"/>
    <cellStyle name="SAPBEXexcGood2 3 4 5 2" xfId="19443"/>
    <cellStyle name="SAPBEXexcGood2 3 4 5 3" xfId="19444"/>
    <cellStyle name="SAPBEXexcGood2 3 4 6" xfId="19445"/>
    <cellStyle name="SAPBEXexcGood2 3 4 6 2" xfId="19446"/>
    <cellStyle name="SAPBEXexcGood2 3 4 6 3" xfId="19447"/>
    <cellStyle name="SAPBEXexcGood2 3 4 7" xfId="19448"/>
    <cellStyle name="SAPBEXexcGood2 3 4 7 2" xfId="19449"/>
    <cellStyle name="SAPBEXexcGood2 3 4 7 3" xfId="19450"/>
    <cellStyle name="SAPBEXexcGood2 3 4 8" xfId="19451"/>
    <cellStyle name="SAPBEXexcGood2 3 4 8 2" xfId="19452"/>
    <cellStyle name="SAPBEXexcGood2 3 4 8 3" xfId="19453"/>
    <cellStyle name="SAPBEXexcGood2 3 4 9" xfId="19454"/>
    <cellStyle name="SAPBEXexcGood2 3 4_planning-WP" xfId="19455"/>
    <cellStyle name="SAPBEXexcGood2 3 5" xfId="3334"/>
    <cellStyle name="SAPBEXexcGood2 3 5 2" xfId="19457"/>
    <cellStyle name="SAPBEXexcGood2 3 5 3" xfId="19456"/>
    <cellStyle name="SAPBEXexcGood2 3 6" xfId="3245"/>
    <cellStyle name="SAPBEXexcGood2 3 6 2" xfId="19459"/>
    <cellStyle name="SAPBEXexcGood2 3 6 3" xfId="19460"/>
    <cellStyle name="SAPBEXexcGood2 3 6 4" xfId="19458"/>
    <cellStyle name="SAPBEXexcGood2 3 7" xfId="3233"/>
    <cellStyle name="SAPBEXexcGood2 3 7 2" xfId="19462"/>
    <cellStyle name="SAPBEXexcGood2 3 7 3" xfId="19463"/>
    <cellStyle name="SAPBEXexcGood2 3 7 4" xfId="19461"/>
    <cellStyle name="SAPBEXexcGood2 3 8" xfId="8058"/>
    <cellStyle name="SAPBEXexcGood2 3 8 2" xfId="19465"/>
    <cellStyle name="SAPBEXexcGood2 3 8 3" xfId="19466"/>
    <cellStyle name="SAPBEXexcGood2 3 8 4" xfId="19464"/>
    <cellStyle name="SAPBEXexcGood2 3 9" xfId="7490"/>
    <cellStyle name="SAPBEXexcGood2 3 9 2" xfId="19468"/>
    <cellStyle name="SAPBEXexcGood2 3 9 3" xfId="19469"/>
    <cellStyle name="SAPBEXexcGood2 3 9 4" xfId="19467"/>
    <cellStyle name="SAPBEXexcGood2 3_planning-WP" xfId="19470"/>
    <cellStyle name="SAPBEXexcGood2 4" xfId="1710"/>
    <cellStyle name="SAPBEXexcGood2 4 10" xfId="9167"/>
    <cellStyle name="SAPBEXexcGood2 4 10 2" xfId="19473"/>
    <cellStyle name="SAPBEXexcGood2 4 10 3" xfId="19474"/>
    <cellStyle name="SAPBEXexcGood2 4 10 4" xfId="19472"/>
    <cellStyle name="SAPBEXexcGood2 4 11" xfId="19475"/>
    <cellStyle name="SAPBEXexcGood2 4 11 2" xfId="19476"/>
    <cellStyle name="SAPBEXexcGood2 4 11 3" xfId="19477"/>
    <cellStyle name="SAPBEXexcGood2 4 12" xfId="19478"/>
    <cellStyle name="SAPBEXexcGood2 4 12 2" xfId="19479"/>
    <cellStyle name="SAPBEXexcGood2 4 12 3" xfId="19480"/>
    <cellStyle name="SAPBEXexcGood2 4 13" xfId="19471"/>
    <cellStyle name="SAPBEXexcGood2 4 14" xfId="9906"/>
    <cellStyle name="SAPBEXexcGood2 4 15" xfId="38954"/>
    <cellStyle name="SAPBEXexcGood2 4 16" xfId="39361"/>
    <cellStyle name="SAPBEXexcGood2 4 2" xfId="2042"/>
    <cellStyle name="SAPBEXexcGood2 4 2 10" xfId="19482"/>
    <cellStyle name="SAPBEXexcGood2 4 2 10 2" xfId="19483"/>
    <cellStyle name="SAPBEXexcGood2 4 2 10 3" xfId="19484"/>
    <cellStyle name="SAPBEXexcGood2 4 2 11" xfId="19485"/>
    <cellStyle name="SAPBEXexcGood2 4 2 12" xfId="19481"/>
    <cellStyle name="SAPBEXexcGood2 4 2 13" xfId="10219"/>
    <cellStyle name="SAPBEXexcGood2 4 2 14" xfId="38955"/>
    <cellStyle name="SAPBEXexcGood2 4 2 15" xfId="39362"/>
    <cellStyle name="SAPBEXexcGood2 4 2 2" xfId="4959"/>
    <cellStyle name="SAPBEXexcGood2 4 2 2 10" xfId="19487"/>
    <cellStyle name="SAPBEXexcGood2 4 2 2 11" xfId="19486"/>
    <cellStyle name="SAPBEXexcGood2 4 2 2 2" xfId="19488"/>
    <cellStyle name="SAPBEXexcGood2 4 2 2 2 2" xfId="19489"/>
    <cellStyle name="SAPBEXexcGood2 4 2 2 2 3" xfId="19490"/>
    <cellStyle name="SAPBEXexcGood2 4 2 2 3" xfId="19491"/>
    <cellStyle name="SAPBEXexcGood2 4 2 2 3 2" xfId="19492"/>
    <cellStyle name="SAPBEXexcGood2 4 2 2 3 3" xfId="19493"/>
    <cellStyle name="SAPBEXexcGood2 4 2 2 4" xfId="19494"/>
    <cellStyle name="SAPBEXexcGood2 4 2 2 4 2" xfId="19495"/>
    <cellStyle name="SAPBEXexcGood2 4 2 2 4 3" xfId="19496"/>
    <cellStyle name="SAPBEXexcGood2 4 2 2 5" xfId="19497"/>
    <cellStyle name="SAPBEXexcGood2 4 2 2 5 2" xfId="19498"/>
    <cellStyle name="SAPBEXexcGood2 4 2 2 5 3" xfId="19499"/>
    <cellStyle name="SAPBEXexcGood2 4 2 2 6" xfId="19500"/>
    <cellStyle name="SAPBEXexcGood2 4 2 2 6 2" xfId="19501"/>
    <cellStyle name="SAPBEXexcGood2 4 2 2 6 3" xfId="19502"/>
    <cellStyle name="SAPBEXexcGood2 4 2 2 7" xfId="19503"/>
    <cellStyle name="SAPBEXexcGood2 4 2 2 7 2" xfId="19504"/>
    <cellStyle name="SAPBEXexcGood2 4 2 2 7 3" xfId="19505"/>
    <cellStyle name="SAPBEXexcGood2 4 2 2 8" xfId="19506"/>
    <cellStyle name="SAPBEXexcGood2 4 2 2 8 2" xfId="19507"/>
    <cellStyle name="SAPBEXexcGood2 4 2 2 8 3" xfId="19508"/>
    <cellStyle name="SAPBEXexcGood2 4 2 2 9" xfId="19509"/>
    <cellStyle name="SAPBEXexcGood2 4 2 2 9 2" xfId="19510"/>
    <cellStyle name="SAPBEXexcGood2 4 2 2 9 3" xfId="19511"/>
    <cellStyle name="SAPBEXexcGood2 4 2 2_planning-WP" xfId="19512"/>
    <cellStyle name="SAPBEXexcGood2 4 2 3" xfId="5938"/>
    <cellStyle name="SAPBEXexcGood2 4 2 3 2" xfId="19514"/>
    <cellStyle name="SAPBEXexcGood2 4 2 3 3" xfId="19515"/>
    <cellStyle name="SAPBEXexcGood2 4 2 3 4" xfId="19513"/>
    <cellStyle name="SAPBEXexcGood2 4 2 4" xfId="6446"/>
    <cellStyle name="SAPBEXexcGood2 4 2 4 2" xfId="19517"/>
    <cellStyle name="SAPBEXexcGood2 4 2 4 3" xfId="19518"/>
    <cellStyle name="SAPBEXexcGood2 4 2 4 4" xfId="19516"/>
    <cellStyle name="SAPBEXexcGood2 4 2 5" xfId="6933"/>
    <cellStyle name="SAPBEXexcGood2 4 2 5 2" xfId="19520"/>
    <cellStyle name="SAPBEXexcGood2 4 2 5 3" xfId="19521"/>
    <cellStyle name="SAPBEXexcGood2 4 2 5 4" xfId="19519"/>
    <cellStyle name="SAPBEXexcGood2 4 2 6" xfId="7416"/>
    <cellStyle name="SAPBEXexcGood2 4 2 6 2" xfId="19523"/>
    <cellStyle name="SAPBEXexcGood2 4 2 6 3" xfId="19524"/>
    <cellStyle name="SAPBEXexcGood2 4 2 6 4" xfId="19522"/>
    <cellStyle name="SAPBEXexcGood2 4 2 7" xfId="8485"/>
    <cellStyle name="SAPBEXexcGood2 4 2 7 2" xfId="19526"/>
    <cellStyle name="SAPBEXexcGood2 4 2 7 3" xfId="19527"/>
    <cellStyle name="SAPBEXexcGood2 4 2 7 4" xfId="19525"/>
    <cellStyle name="SAPBEXexcGood2 4 2 8" xfId="8986"/>
    <cellStyle name="SAPBEXexcGood2 4 2 8 2" xfId="19529"/>
    <cellStyle name="SAPBEXexcGood2 4 2 8 3" xfId="19530"/>
    <cellStyle name="SAPBEXexcGood2 4 2 8 4" xfId="19528"/>
    <cellStyle name="SAPBEXexcGood2 4 2 9" xfId="9480"/>
    <cellStyle name="SAPBEXexcGood2 4 2 9 2" xfId="19532"/>
    <cellStyle name="SAPBEXexcGood2 4 2 9 3" xfId="19533"/>
    <cellStyle name="SAPBEXexcGood2 4 2 9 4" xfId="19531"/>
    <cellStyle name="SAPBEXexcGood2 4 2_planning-WP" xfId="19534"/>
    <cellStyle name="SAPBEXexcGood2 4 3" xfId="4632"/>
    <cellStyle name="SAPBEXexcGood2 4 3 10" xfId="19536"/>
    <cellStyle name="SAPBEXexcGood2 4 3 11" xfId="19535"/>
    <cellStyle name="SAPBEXexcGood2 4 3 2" xfId="19537"/>
    <cellStyle name="SAPBEXexcGood2 4 3 2 2" xfId="19538"/>
    <cellStyle name="SAPBEXexcGood2 4 3 2 3" xfId="19539"/>
    <cellStyle name="SAPBEXexcGood2 4 3 3" xfId="19540"/>
    <cellStyle name="SAPBEXexcGood2 4 3 3 2" xfId="19541"/>
    <cellStyle name="SAPBEXexcGood2 4 3 3 3" xfId="19542"/>
    <cellStyle name="SAPBEXexcGood2 4 3 4" xfId="19543"/>
    <cellStyle name="SAPBEXexcGood2 4 3 4 2" xfId="19544"/>
    <cellStyle name="SAPBEXexcGood2 4 3 4 3" xfId="19545"/>
    <cellStyle name="SAPBEXexcGood2 4 3 5" xfId="19546"/>
    <cellStyle name="SAPBEXexcGood2 4 3 5 2" xfId="19547"/>
    <cellStyle name="SAPBEXexcGood2 4 3 5 3" xfId="19548"/>
    <cellStyle name="SAPBEXexcGood2 4 3 6" xfId="19549"/>
    <cellStyle name="SAPBEXexcGood2 4 3 6 2" xfId="19550"/>
    <cellStyle name="SAPBEXexcGood2 4 3 6 3" xfId="19551"/>
    <cellStyle name="SAPBEXexcGood2 4 3 7" xfId="19552"/>
    <cellStyle name="SAPBEXexcGood2 4 3 7 2" xfId="19553"/>
    <cellStyle name="SAPBEXexcGood2 4 3 7 3" xfId="19554"/>
    <cellStyle name="SAPBEXexcGood2 4 3 8" xfId="19555"/>
    <cellStyle name="SAPBEXexcGood2 4 3 8 2" xfId="19556"/>
    <cellStyle name="SAPBEXexcGood2 4 3 8 3" xfId="19557"/>
    <cellStyle name="SAPBEXexcGood2 4 3 9" xfId="19558"/>
    <cellStyle name="SAPBEXexcGood2 4 3 9 2" xfId="19559"/>
    <cellStyle name="SAPBEXexcGood2 4 3 9 3" xfId="19560"/>
    <cellStyle name="SAPBEXexcGood2 4 3_planning-WP" xfId="19561"/>
    <cellStyle name="SAPBEXexcGood2 4 4" xfId="5624"/>
    <cellStyle name="SAPBEXexcGood2 4 4 10" xfId="19562"/>
    <cellStyle name="SAPBEXexcGood2 4 4 2" xfId="19563"/>
    <cellStyle name="SAPBEXexcGood2 4 4 2 2" xfId="19564"/>
    <cellStyle name="SAPBEXexcGood2 4 4 2 3" xfId="19565"/>
    <cellStyle name="SAPBEXexcGood2 4 4 3" xfId="19566"/>
    <cellStyle name="SAPBEXexcGood2 4 4 3 2" xfId="19567"/>
    <cellStyle name="SAPBEXexcGood2 4 4 3 3" xfId="19568"/>
    <cellStyle name="SAPBEXexcGood2 4 4 4" xfId="19569"/>
    <cellStyle name="SAPBEXexcGood2 4 4 4 2" xfId="19570"/>
    <cellStyle name="SAPBEXexcGood2 4 4 4 3" xfId="19571"/>
    <cellStyle name="SAPBEXexcGood2 4 4 5" xfId="19572"/>
    <cellStyle name="SAPBEXexcGood2 4 4 5 2" xfId="19573"/>
    <cellStyle name="SAPBEXexcGood2 4 4 5 3" xfId="19574"/>
    <cellStyle name="SAPBEXexcGood2 4 4 6" xfId="19575"/>
    <cellStyle name="SAPBEXexcGood2 4 4 6 2" xfId="19576"/>
    <cellStyle name="SAPBEXexcGood2 4 4 6 3" xfId="19577"/>
    <cellStyle name="SAPBEXexcGood2 4 4 7" xfId="19578"/>
    <cellStyle name="SAPBEXexcGood2 4 4 7 2" xfId="19579"/>
    <cellStyle name="SAPBEXexcGood2 4 4 7 3" xfId="19580"/>
    <cellStyle name="SAPBEXexcGood2 4 4 8" xfId="19581"/>
    <cellStyle name="SAPBEXexcGood2 4 4 8 2" xfId="19582"/>
    <cellStyle name="SAPBEXexcGood2 4 4 8 3" xfId="19583"/>
    <cellStyle name="SAPBEXexcGood2 4 4 9" xfId="19584"/>
    <cellStyle name="SAPBEXexcGood2 4 4_planning-WP" xfId="19585"/>
    <cellStyle name="SAPBEXexcGood2 4 5" xfId="6133"/>
    <cellStyle name="SAPBEXexcGood2 4 5 2" xfId="19587"/>
    <cellStyle name="SAPBEXexcGood2 4 5 3" xfId="19586"/>
    <cellStyle name="SAPBEXexcGood2 4 6" xfId="6620"/>
    <cellStyle name="SAPBEXexcGood2 4 6 2" xfId="19589"/>
    <cellStyle name="SAPBEXexcGood2 4 6 3" xfId="19590"/>
    <cellStyle name="SAPBEXexcGood2 4 6 4" xfId="19588"/>
    <cellStyle name="SAPBEXexcGood2 4 7" xfId="7103"/>
    <cellStyle name="SAPBEXexcGood2 4 7 2" xfId="19592"/>
    <cellStyle name="SAPBEXexcGood2 4 7 3" xfId="19593"/>
    <cellStyle name="SAPBEXexcGood2 4 7 4" xfId="19591"/>
    <cellStyle name="SAPBEXexcGood2 4 8" xfId="8172"/>
    <cellStyle name="SAPBEXexcGood2 4 8 2" xfId="19595"/>
    <cellStyle name="SAPBEXexcGood2 4 8 3" xfId="19596"/>
    <cellStyle name="SAPBEXexcGood2 4 8 4" xfId="19594"/>
    <cellStyle name="SAPBEXexcGood2 4 9" xfId="8673"/>
    <cellStyle name="SAPBEXexcGood2 4 9 2" xfId="19598"/>
    <cellStyle name="SAPBEXexcGood2 4 9 3" xfId="19599"/>
    <cellStyle name="SAPBEXexcGood2 4 9 4" xfId="19597"/>
    <cellStyle name="SAPBEXexcGood2 4_planning-WP" xfId="19600"/>
    <cellStyle name="SAPBEXexcGood2 5" xfId="1653"/>
    <cellStyle name="SAPBEXexcGood2 5 10" xfId="9111"/>
    <cellStyle name="SAPBEXexcGood2 5 10 2" xfId="19603"/>
    <cellStyle name="SAPBEXexcGood2 5 10 3" xfId="19604"/>
    <cellStyle name="SAPBEXexcGood2 5 10 4" xfId="19602"/>
    <cellStyle name="SAPBEXexcGood2 5 11" xfId="19605"/>
    <cellStyle name="SAPBEXexcGood2 5 11 2" xfId="19606"/>
    <cellStyle name="SAPBEXexcGood2 5 11 3" xfId="19607"/>
    <cellStyle name="SAPBEXexcGood2 5 12" xfId="19608"/>
    <cellStyle name="SAPBEXexcGood2 5 12 2" xfId="19609"/>
    <cellStyle name="SAPBEXexcGood2 5 12 3" xfId="19610"/>
    <cellStyle name="SAPBEXexcGood2 5 13" xfId="19601"/>
    <cellStyle name="SAPBEXexcGood2 5 14" xfId="9850"/>
    <cellStyle name="SAPBEXexcGood2 5 15" xfId="38956"/>
    <cellStyle name="SAPBEXexcGood2 5 16" xfId="39363"/>
    <cellStyle name="SAPBEXexcGood2 5 2" xfId="1989"/>
    <cellStyle name="SAPBEXexcGood2 5 2 10" xfId="19612"/>
    <cellStyle name="SAPBEXexcGood2 5 2 10 2" xfId="19613"/>
    <cellStyle name="SAPBEXexcGood2 5 2 10 3" xfId="19614"/>
    <cellStyle name="SAPBEXexcGood2 5 2 11" xfId="19615"/>
    <cellStyle name="SAPBEXexcGood2 5 2 12" xfId="19611"/>
    <cellStyle name="SAPBEXexcGood2 5 2 13" xfId="10167"/>
    <cellStyle name="SAPBEXexcGood2 5 2 2" xfId="4907"/>
    <cellStyle name="SAPBEXexcGood2 5 2 2 10" xfId="19617"/>
    <cellStyle name="SAPBEXexcGood2 5 2 2 11" xfId="19616"/>
    <cellStyle name="SAPBEXexcGood2 5 2 2 2" xfId="19618"/>
    <cellStyle name="SAPBEXexcGood2 5 2 2 2 2" xfId="19619"/>
    <cellStyle name="SAPBEXexcGood2 5 2 2 2 3" xfId="19620"/>
    <cellStyle name="SAPBEXexcGood2 5 2 2 3" xfId="19621"/>
    <cellStyle name="SAPBEXexcGood2 5 2 2 3 2" xfId="19622"/>
    <cellStyle name="SAPBEXexcGood2 5 2 2 3 3" xfId="19623"/>
    <cellStyle name="SAPBEXexcGood2 5 2 2 4" xfId="19624"/>
    <cellStyle name="SAPBEXexcGood2 5 2 2 4 2" xfId="19625"/>
    <cellStyle name="SAPBEXexcGood2 5 2 2 4 3" xfId="19626"/>
    <cellStyle name="SAPBEXexcGood2 5 2 2 5" xfId="19627"/>
    <cellStyle name="SAPBEXexcGood2 5 2 2 5 2" xfId="19628"/>
    <cellStyle name="SAPBEXexcGood2 5 2 2 5 3" xfId="19629"/>
    <cellStyle name="SAPBEXexcGood2 5 2 2 6" xfId="19630"/>
    <cellStyle name="SAPBEXexcGood2 5 2 2 6 2" xfId="19631"/>
    <cellStyle name="SAPBEXexcGood2 5 2 2 6 3" xfId="19632"/>
    <cellStyle name="SAPBEXexcGood2 5 2 2 7" xfId="19633"/>
    <cellStyle name="SAPBEXexcGood2 5 2 2 7 2" xfId="19634"/>
    <cellStyle name="SAPBEXexcGood2 5 2 2 7 3" xfId="19635"/>
    <cellStyle name="SAPBEXexcGood2 5 2 2 8" xfId="19636"/>
    <cellStyle name="SAPBEXexcGood2 5 2 2 8 2" xfId="19637"/>
    <cellStyle name="SAPBEXexcGood2 5 2 2 8 3" xfId="19638"/>
    <cellStyle name="SAPBEXexcGood2 5 2 2 9" xfId="19639"/>
    <cellStyle name="SAPBEXexcGood2 5 2 2 9 2" xfId="19640"/>
    <cellStyle name="SAPBEXexcGood2 5 2 2 9 3" xfId="19641"/>
    <cellStyle name="SAPBEXexcGood2 5 2 2_planning-WP" xfId="19642"/>
    <cellStyle name="SAPBEXexcGood2 5 2 3" xfId="5886"/>
    <cellStyle name="SAPBEXexcGood2 5 2 3 2" xfId="19644"/>
    <cellStyle name="SAPBEXexcGood2 5 2 3 3" xfId="19645"/>
    <cellStyle name="SAPBEXexcGood2 5 2 3 4" xfId="19643"/>
    <cellStyle name="SAPBEXexcGood2 5 2 4" xfId="6394"/>
    <cellStyle name="SAPBEXexcGood2 5 2 4 2" xfId="19647"/>
    <cellStyle name="SAPBEXexcGood2 5 2 4 3" xfId="19648"/>
    <cellStyle name="SAPBEXexcGood2 5 2 4 4" xfId="19646"/>
    <cellStyle name="SAPBEXexcGood2 5 2 5" xfId="6881"/>
    <cellStyle name="SAPBEXexcGood2 5 2 5 2" xfId="19650"/>
    <cellStyle name="SAPBEXexcGood2 5 2 5 3" xfId="19651"/>
    <cellStyle name="SAPBEXexcGood2 5 2 5 4" xfId="19649"/>
    <cellStyle name="SAPBEXexcGood2 5 2 6" xfId="7364"/>
    <cellStyle name="SAPBEXexcGood2 5 2 6 2" xfId="19653"/>
    <cellStyle name="SAPBEXexcGood2 5 2 6 3" xfId="19654"/>
    <cellStyle name="SAPBEXexcGood2 5 2 6 4" xfId="19652"/>
    <cellStyle name="SAPBEXexcGood2 5 2 7" xfId="8433"/>
    <cellStyle name="SAPBEXexcGood2 5 2 7 2" xfId="19656"/>
    <cellStyle name="SAPBEXexcGood2 5 2 7 3" xfId="19657"/>
    <cellStyle name="SAPBEXexcGood2 5 2 7 4" xfId="19655"/>
    <cellStyle name="SAPBEXexcGood2 5 2 8" xfId="8934"/>
    <cellStyle name="SAPBEXexcGood2 5 2 8 2" xfId="19659"/>
    <cellStyle name="SAPBEXexcGood2 5 2 8 3" xfId="19660"/>
    <cellStyle name="SAPBEXexcGood2 5 2 8 4" xfId="19658"/>
    <cellStyle name="SAPBEXexcGood2 5 2 9" xfId="9428"/>
    <cellStyle name="SAPBEXexcGood2 5 2 9 2" xfId="19662"/>
    <cellStyle name="SAPBEXexcGood2 5 2 9 3" xfId="19663"/>
    <cellStyle name="SAPBEXexcGood2 5 2 9 4" xfId="19661"/>
    <cellStyle name="SAPBEXexcGood2 5 2_planning-WP" xfId="19664"/>
    <cellStyle name="SAPBEXexcGood2 5 3" xfId="4576"/>
    <cellStyle name="SAPBEXexcGood2 5 3 10" xfId="19666"/>
    <cellStyle name="SAPBEXexcGood2 5 3 11" xfId="19665"/>
    <cellStyle name="SAPBEXexcGood2 5 3 2" xfId="19667"/>
    <cellStyle name="SAPBEXexcGood2 5 3 2 2" xfId="19668"/>
    <cellStyle name="SAPBEXexcGood2 5 3 2 3" xfId="19669"/>
    <cellStyle name="SAPBEXexcGood2 5 3 3" xfId="19670"/>
    <cellStyle name="SAPBEXexcGood2 5 3 3 2" xfId="19671"/>
    <cellStyle name="SAPBEXexcGood2 5 3 3 3" xfId="19672"/>
    <cellStyle name="SAPBEXexcGood2 5 3 4" xfId="19673"/>
    <cellStyle name="SAPBEXexcGood2 5 3 4 2" xfId="19674"/>
    <cellStyle name="SAPBEXexcGood2 5 3 4 3" xfId="19675"/>
    <cellStyle name="SAPBEXexcGood2 5 3 5" xfId="19676"/>
    <cellStyle name="SAPBEXexcGood2 5 3 5 2" xfId="19677"/>
    <cellStyle name="SAPBEXexcGood2 5 3 5 3" xfId="19678"/>
    <cellStyle name="SAPBEXexcGood2 5 3 6" xfId="19679"/>
    <cellStyle name="SAPBEXexcGood2 5 3 6 2" xfId="19680"/>
    <cellStyle name="SAPBEXexcGood2 5 3 6 3" xfId="19681"/>
    <cellStyle name="SAPBEXexcGood2 5 3 7" xfId="19682"/>
    <cellStyle name="SAPBEXexcGood2 5 3 7 2" xfId="19683"/>
    <cellStyle name="SAPBEXexcGood2 5 3 7 3" xfId="19684"/>
    <cellStyle name="SAPBEXexcGood2 5 3 8" xfId="19685"/>
    <cellStyle name="SAPBEXexcGood2 5 3 8 2" xfId="19686"/>
    <cellStyle name="SAPBEXexcGood2 5 3 8 3" xfId="19687"/>
    <cellStyle name="SAPBEXexcGood2 5 3 9" xfId="19688"/>
    <cellStyle name="SAPBEXexcGood2 5 3 9 2" xfId="19689"/>
    <cellStyle name="SAPBEXexcGood2 5 3 9 3" xfId="19690"/>
    <cellStyle name="SAPBEXexcGood2 5 3_planning-WP" xfId="19691"/>
    <cellStyle name="SAPBEXexcGood2 5 4" xfId="5568"/>
    <cellStyle name="SAPBEXexcGood2 5 4 10" xfId="19692"/>
    <cellStyle name="SAPBEXexcGood2 5 4 2" xfId="19693"/>
    <cellStyle name="SAPBEXexcGood2 5 4 2 2" xfId="19694"/>
    <cellStyle name="SAPBEXexcGood2 5 4 2 3" xfId="19695"/>
    <cellStyle name="SAPBEXexcGood2 5 4 3" xfId="19696"/>
    <cellStyle name="SAPBEXexcGood2 5 4 3 2" xfId="19697"/>
    <cellStyle name="SAPBEXexcGood2 5 4 3 3" xfId="19698"/>
    <cellStyle name="SAPBEXexcGood2 5 4 4" xfId="19699"/>
    <cellStyle name="SAPBEXexcGood2 5 4 4 2" xfId="19700"/>
    <cellStyle name="SAPBEXexcGood2 5 4 4 3" xfId="19701"/>
    <cellStyle name="SAPBEXexcGood2 5 4 5" xfId="19702"/>
    <cellStyle name="SAPBEXexcGood2 5 4 5 2" xfId="19703"/>
    <cellStyle name="SAPBEXexcGood2 5 4 5 3" xfId="19704"/>
    <cellStyle name="SAPBEXexcGood2 5 4 6" xfId="19705"/>
    <cellStyle name="SAPBEXexcGood2 5 4 6 2" xfId="19706"/>
    <cellStyle name="SAPBEXexcGood2 5 4 6 3" xfId="19707"/>
    <cellStyle name="SAPBEXexcGood2 5 4 7" xfId="19708"/>
    <cellStyle name="SAPBEXexcGood2 5 4 7 2" xfId="19709"/>
    <cellStyle name="SAPBEXexcGood2 5 4 7 3" xfId="19710"/>
    <cellStyle name="SAPBEXexcGood2 5 4 8" xfId="19711"/>
    <cellStyle name="SAPBEXexcGood2 5 4 8 2" xfId="19712"/>
    <cellStyle name="SAPBEXexcGood2 5 4 8 3" xfId="19713"/>
    <cellStyle name="SAPBEXexcGood2 5 4 9" xfId="19714"/>
    <cellStyle name="SAPBEXexcGood2 5 4_planning-WP" xfId="19715"/>
    <cellStyle name="SAPBEXexcGood2 5 5" xfId="6077"/>
    <cellStyle name="SAPBEXexcGood2 5 5 2" xfId="19717"/>
    <cellStyle name="SAPBEXexcGood2 5 5 3" xfId="19716"/>
    <cellStyle name="SAPBEXexcGood2 5 6" xfId="6564"/>
    <cellStyle name="SAPBEXexcGood2 5 6 2" xfId="19719"/>
    <cellStyle name="SAPBEXexcGood2 5 6 3" xfId="19720"/>
    <cellStyle name="SAPBEXexcGood2 5 6 4" xfId="19718"/>
    <cellStyle name="SAPBEXexcGood2 5 7" xfId="7047"/>
    <cellStyle name="SAPBEXexcGood2 5 7 2" xfId="19722"/>
    <cellStyle name="SAPBEXexcGood2 5 7 3" xfId="19723"/>
    <cellStyle name="SAPBEXexcGood2 5 7 4" xfId="19721"/>
    <cellStyle name="SAPBEXexcGood2 5 8" xfId="8116"/>
    <cellStyle name="SAPBEXexcGood2 5 8 2" xfId="19725"/>
    <cellStyle name="SAPBEXexcGood2 5 8 3" xfId="19726"/>
    <cellStyle name="SAPBEXexcGood2 5 8 4" xfId="19724"/>
    <cellStyle name="SAPBEXexcGood2 5 9" xfId="8617"/>
    <cellStyle name="SAPBEXexcGood2 5 9 2" xfId="19728"/>
    <cellStyle name="SAPBEXexcGood2 5 9 3" xfId="19729"/>
    <cellStyle name="SAPBEXexcGood2 5 9 4" xfId="19727"/>
    <cellStyle name="SAPBEXexcGood2 5_planning-WP" xfId="19730"/>
    <cellStyle name="SAPBEXexcGood2 6" xfId="1740"/>
    <cellStyle name="SAPBEXexcGood2 6 10" xfId="9195"/>
    <cellStyle name="SAPBEXexcGood2 6 10 2" xfId="19733"/>
    <cellStyle name="SAPBEXexcGood2 6 10 3" xfId="19734"/>
    <cellStyle name="SAPBEXexcGood2 6 10 4" xfId="19732"/>
    <cellStyle name="SAPBEXexcGood2 6 11" xfId="19735"/>
    <cellStyle name="SAPBEXexcGood2 6 11 2" xfId="19736"/>
    <cellStyle name="SAPBEXexcGood2 6 11 3" xfId="19737"/>
    <cellStyle name="SAPBEXexcGood2 6 12" xfId="19731"/>
    <cellStyle name="SAPBEXexcGood2 6 13" xfId="9934"/>
    <cellStyle name="SAPBEXexcGood2 6 14" xfId="38957"/>
    <cellStyle name="SAPBEXexcGood2 6 15" xfId="39364"/>
    <cellStyle name="SAPBEXexcGood2 6 2" xfId="2070"/>
    <cellStyle name="SAPBEXexcGood2 6 2 10" xfId="19739"/>
    <cellStyle name="SAPBEXexcGood2 6 2 11" xfId="19738"/>
    <cellStyle name="SAPBEXexcGood2 6 2 12" xfId="10245"/>
    <cellStyle name="SAPBEXexcGood2 6 2 2" xfId="4985"/>
    <cellStyle name="SAPBEXexcGood2 6 2 2 2" xfId="19741"/>
    <cellStyle name="SAPBEXexcGood2 6 2 2 3" xfId="19742"/>
    <cellStyle name="SAPBEXexcGood2 6 2 2 4" xfId="19740"/>
    <cellStyle name="SAPBEXexcGood2 6 2 3" xfId="5964"/>
    <cellStyle name="SAPBEXexcGood2 6 2 3 2" xfId="19744"/>
    <cellStyle name="SAPBEXexcGood2 6 2 3 3" xfId="19745"/>
    <cellStyle name="SAPBEXexcGood2 6 2 3 4" xfId="19743"/>
    <cellStyle name="SAPBEXexcGood2 6 2 4" xfId="6472"/>
    <cellStyle name="SAPBEXexcGood2 6 2 4 2" xfId="19747"/>
    <cellStyle name="SAPBEXexcGood2 6 2 4 3" xfId="19748"/>
    <cellStyle name="SAPBEXexcGood2 6 2 4 4" xfId="19746"/>
    <cellStyle name="SAPBEXexcGood2 6 2 5" xfId="6959"/>
    <cellStyle name="SAPBEXexcGood2 6 2 5 2" xfId="19750"/>
    <cellStyle name="SAPBEXexcGood2 6 2 5 3" xfId="19751"/>
    <cellStyle name="SAPBEXexcGood2 6 2 5 4" xfId="19749"/>
    <cellStyle name="SAPBEXexcGood2 6 2 6" xfId="7442"/>
    <cellStyle name="SAPBEXexcGood2 6 2 6 2" xfId="19753"/>
    <cellStyle name="SAPBEXexcGood2 6 2 6 3" xfId="19754"/>
    <cellStyle name="SAPBEXexcGood2 6 2 6 4" xfId="19752"/>
    <cellStyle name="SAPBEXexcGood2 6 2 7" xfId="8511"/>
    <cellStyle name="SAPBEXexcGood2 6 2 7 2" xfId="19756"/>
    <cellStyle name="SAPBEXexcGood2 6 2 7 3" xfId="19757"/>
    <cellStyle name="SAPBEXexcGood2 6 2 7 4" xfId="19755"/>
    <cellStyle name="SAPBEXexcGood2 6 2 8" xfId="9012"/>
    <cellStyle name="SAPBEXexcGood2 6 2 8 2" xfId="19759"/>
    <cellStyle name="SAPBEXexcGood2 6 2 8 3" xfId="19760"/>
    <cellStyle name="SAPBEXexcGood2 6 2 8 4" xfId="19758"/>
    <cellStyle name="SAPBEXexcGood2 6 2 9" xfId="9506"/>
    <cellStyle name="SAPBEXexcGood2 6 2 9 2" xfId="19762"/>
    <cellStyle name="SAPBEXexcGood2 6 2 9 3" xfId="19763"/>
    <cellStyle name="SAPBEXexcGood2 6 2 9 4" xfId="19761"/>
    <cellStyle name="SAPBEXexcGood2 6 2_planning-WP" xfId="19764"/>
    <cellStyle name="SAPBEXexcGood2 6 3" xfId="4661"/>
    <cellStyle name="SAPBEXexcGood2 6 3 10" xfId="19765"/>
    <cellStyle name="SAPBEXexcGood2 6 3 2" xfId="19766"/>
    <cellStyle name="SAPBEXexcGood2 6 3 2 2" xfId="19767"/>
    <cellStyle name="SAPBEXexcGood2 6 3 2 3" xfId="19768"/>
    <cellStyle name="SAPBEXexcGood2 6 3 3" xfId="19769"/>
    <cellStyle name="SAPBEXexcGood2 6 3 3 2" xfId="19770"/>
    <cellStyle name="SAPBEXexcGood2 6 3 3 3" xfId="19771"/>
    <cellStyle name="SAPBEXexcGood2 6 3 4" xfId="19772"/>
    <cellStyle name="SAPBEXexcGood2 6 3 4 2" xfId="19773"/>
    <cellStyle name="SAPBEXexcGood2 6 3 4 3" xfId="19774"/>
    <cellStyle name="SAPBEXexcGood2 6 3 5" xfId="19775"/>
    <cellStyle name="SAPBEXexcGood2 6 3 5 2" xfId="19776"/>
    <cellStyle name="SAPBEXexcGood2 6 3 5 3" xfId="19777"/>
    <cellStyle name="SAPBEXexcGood2 6 3 6" xfId="19778"/>
    <cellStyle name="SAPBEXexcGood2 6 3 6 2" xfId="19779"/>
    <cellStyle name="SAPBEXexcGood2 6 3 6 3" xfId="19780"/>
    <cellStyle name="SAPBEXexcGood2 6 3 7" xfId="19781"/>
    <cellStyle name="SAPBEXexcGood2 6 3 7 2" xfId="19782"/>
    <cellStyle name="SAPBEXexcGood2 6 3 7 3" xfId="19783"/>
    <cellStyle name="SAPBEXexcGood2 6 3 8" xfId="19784"/>
    <cellStyle name="SAPBEXexcGood2 6 3 8 2" xfId="19785"/>
    <cellStyle name="SAPBEXexcGood2 6 3 8 3" xfId="19786"/>
    <cellStyle name="SAPBEXexcGood2 6 3 9" xfId="19787"/>
    <cellStyle name="SAPBEXexcGood2 6 3_planning-WP" xfId="19788"/>
    <cellStyle name="SAPBEXexcGood2 6 4" xfId="5652"/>
    <cellStyle name="SAPBEXexcGood2 6 4 2" xfId="19790"/>
    <cellStyle name="SAPBEXexcGood2 6 4 3" xfId="19789"/>
    <cellStyle name="SAPBEXexcGood2 6 5" xfId="6161"/>
    <cellStyle name="SAPBEXexcGood2 6 5 2" xfId="19792"/>
    <cellStyle name="SAPBEXexcGood2 6 5 3" xfId="19793"/>
    <cellStyle name="SAPBEXexcGood2 6 5 4" xfId="19791"/>
    <cellStyle name="SAPBEXexcGood2 6 6" xfId="6648"/>
    <cellStyle name="SAPBEXexcGood2 6 6 2" xfId="19795"/>
    <cellStyle name="SAPBEXexcGood2 6 6 3" xfId="19796"/>
    <cellStyle name="SAPBEXexcGood2 6 6 4" xfId="19794"/>
    <cellStyle name="SAPBEXexcGood2 6 7" xfId="7131"/>
    <cellStyle name="SAPBEXexcGood2 6 7 2" xfId="19798"/>
    <cellStyle name="SAPBEXexcGood2 6 7 3" xfId="19799"/>
    <cellStyle name="SAPBEXexcGood2 6 7 4" xfId="19797"/>
    <cellStyle name="SAPBEXexcGood2 6 8" xfId="8200"/>
    <cellStyle name="SAPBEXexcGood2 6 8 2" xfId="19801"/>
    <cellStyle name="SAPBEXexcGood2 6 8 3" xfId="19802"/>
    <cellStyle name="SAPBEXexcGood2 6 8 4" xfId="19800"/>
    <cellStyle name="SAPBEXexcGood2 6 9" xfId="8701"/>
    <cellStyle name="SAPBEXexcGood2 6 9 2" xfId="19804"/>
    <cellStyle name="SAPBEXexcGood2 6 9 3" xfId="19805"/>
    <cellStyle name="SAPBEXexcGood2 6 9 4" xfId="19803"/>
    <cellStyle name="SAPBEXexcGood2 6_planning-WP" xfId="19806"/>
    <cellStyle name="SAPBEXexcGood2 7" xfId="1681"/>
    <cellStyle name="SAPBEXexcGood2 7 10" xfId="9139"/>
    <cellStyle name="SAPBEXexcGood2 7 10 2" xfId="19809"/>
    <cellStyle name="SAPBEXexcGood2 7 10 3" xfId="19810"/>
    <cellStyle name="SAPBEXexcGood2 7 10 4" xfId="19808"/>
    <cellStyle name="SAPBEXexcGood2 7 11" xfId="19811"/>
    <cellStyle name="SAPBEXexcGood2 7 12" xfId="19807"/>
    <cellStyle name="SAPBEXexcGood2 7 13" xfId="9878"/>
    <cellStyle name="SAPBEXexcGood2 7 14" xfId="38958"/>
    <cellStyle name="SAPBEXexcGood2 7 15" xfId="39365"/>
    <cellStyle name="SAPBEXexcGood2 7 2" xfId="2015"/>
    <cellStyle name="SAPBEXexcGood2 7 2 10" xfId="19813"/>
    <cellStyle name="SAPBEXexcGood2 7 2 11" xfId="19812"/>
    <cellStyle name="SAPBEXexcGood2 7 2 12" xfId="10193"/>
    <cellStyle name="SAPBEXexcGood2 7 2 2" xfId="4933"/>
    <cellStyle name="SAPBEXexcGood2 7 2 2 2" xfId="19815"/>
    <cellStyle name="SAPBEXexcGood2 7 2 2 3" xfId="19816"/>
    <cellStyle name="SAPBEXexcGood2 7 2 2 4" xfId="19814"/>
    <cellStyle name="SAPBEXexcGood2 7 2 3" xfId="5912"/>
    <cellStyle name="SAPBEXexcGood2 7 2 3 2" xfId="19818"/>
    <cellStyle name="SAPBEXexcGood2 7 2 3 3" xfId="19819"/>
    <cellStyle name="SAPBEXexcGood2 7 2 3 4" xfId="19817"/>
    <cellStyle name="SAPBEXexcGood2 7 2 4" xfId="6420"/>
    <cellStyle name="SAPBEXexcGood2 7 2 4 2" xfId="19821"/>
    <cellStyle name="SAPBEXexcGood2 7 2 4 3" xfId="19822"/>
    <cellStyle name="SAPBEXexcGood2 7 2 4 4" xfId="19820"/>
    <cellStyle name="SAPBEXexcGood2 7 2 5" xfId="6907"/>
    <cellStyle name="SAPBEXexcGood2 7 2 5 2" xfId="19824"/>
    <cellStyle name="SAPBEXexcGood2 7 2 5 3" xfId="19825"/>
    <cellStyle name="SAPBEXexcGood2 7 2 5 4" xfId="19823"/>
    <cellStyle name="SAPBEXexcGood2 7 2 6" xfId="7390"/>
    <cellStyle name="SAPBEXexcGood2 7 2 6 2" xfId="19827"/>
    <cellStyle name="SAPBEXexcGood2 7 2 6 3" xfId="19828"/>
    <cellStyle name="SAPBEXexcGood2 7 2 6 4" xfId="19826"/>
    <cellStyle name="SAPBEXexcGood2 7 2 7" xfId="8459"/>
    <cellStyle name="SAPBEXexcGood2 7 2 7 2" xfId="19830"/>
    <cellStyle name="SAPBEXexcGood2 7 2 7 3" xfId="19831"/>
    <cellStyle name="SAPBEXexcGood2 7 2 7 4" xfId="19829"/>
    <cellStyle name="SAPBEXexcGood2 7 2 8" xfId="8960"/>
    <cellStyle name="SAPBEXexcGood2 7 2 8 2" xfId="19833"/>
    <cellStyle name="SAPBEXexcGood2 7 2 8 3" xfId="19834"/>
    <cellStyle name="SAPBEXexcGood2 7 2 8 4" xfId="19832"/>
    <cellStyle name="SAPBEXexcGood2 7 2 9" xfId="9454"/>
    <cellStyle name="SAPBEXexcGood2 7 2 9 2" xfId="19836"/>
    <cellStyle name="SAPBEXexcGood2 7 2 9 3" xfId="19837"/>
    <cellStyle name="SAPBEXexcGood2 7 2 9 4" xfId="19835"/>
    <cellStyle name="SAPBEXexcGood2 7 2_planning-WP" xfId="19838"/>
    <cellStyle name="SAPBEXexcGood2 7 3" xfId="4604"/>
    <cellStyle name="SAPBEXexcGood2 7 3 2" xfId="19840"/>
    <cellStyle name="SAPBEXexcGood2 7 3 3" xfId="19841"/>
    <cellStyle name="SAPBEXexcGood2 7 3 4" xfId="19839"/>
    <cellStyle name="SAPBEXexcGood2 7 4" xfId="5596"/>
    <cellStyle name="SAPBEXexcGood2 7 4 2" xfId="19843"/>
    <cellStyle name="SAPBEXexcGood2 7 4 3" xfId="19844"/>
    <cellStyle name="SAPBEXexcGood2 7 4 4" xfId="19842"/>
    <cellStyle name="SAPBEXexcGood2 7 5" xfId="6105"/>
    <cellStyle name="SAPBEXexcGood2 7 5 2" xfId="19846"/>
    <cellStyle name="SAPBEXexcGood2 7 5 3" xfId="19847"/>
    <cellStyle name="SAPBEXexcGood2 7 5 4" xfId="19845"/>
    <cellStyle name="SAPBEXexcGood2 7 6" xfId="6592"/>
    <cellStyle name="SAPBEXexcGood2 7 6 2" xfId="19849"/>
    <cellStyle name="SAPBEXexcGood2 7 6 3" xfId="19850"/>
    <cellStyle name="SAPBEXexcGood2 7 6 4" xfId="19848"/>
    <cellStyle name="SAPBEXexcGood2 7 7" xfId="7075"/>
    <cellStyle name="SAPBEXexcGood2 7 7 2" xfId="19852"/>
    <cellStyle name="SAPBEXexcGood2 7 7 3" xfId="19853"/>
    <cellStyle name="SAPBEXexcGood2 7 7 4" xfId="19851"/>
    <cellStyle name="SAPBEXexcGood2 7 8" xfId="8144"/>
    <cellStyle name="SAPBEXexcGood2 7 8 2" xfId="19855"/>
    <cellStyle name="SAPBEXexcGood2 7 8 3" xfId="19856"/>
    <cellStyle name="SAPBEXexcGood2 7 8 4" xfId="19854"/>
    <cellStyle name="SAPBEXexcGood2 7 9" xfId="8645"/>
    <cellStyle name="SAPBEXexcGood2 7 9 2" xfId="19858"/>
    <cellStyle name="SAPBEXexcGood2 7 9 3" xfId="19859"/>
    <cellStyle name="SAPBEXexcGood2 7 9 4" xfId="19857"/>
    <cellStyle name="SAPBEXexcGood2 7_planning-WP" xfId="19860"/>
    <cellStyle name="SAPBEXexcGood2 8" xfId="1457"/>
    <cellStyle name="SAPBEXexcGood2 8 10" xfId="19862"/>
    <cellStyle name="SAPBEXexcGood2 8 11" xfId="19861"/>
    <cellStyle name="SAPBEXexcGood2 8 12" xfId="9654"/>
    <cellStyle name="SAPBEXexcGood2 8 2" xfId="4380"/>
    <cellStyle name="SAPBEXexcGood2 8 2 2" xfId="19864"/>
    <cellStyle name="SAPBEXexcGood2 8 2 3" xfId="19865"/>
    <cellStyle name="SAPBEXexcGood2 8 2 4" xfId="19863"/>
    <cellStyle name="SAPBEXexcGood2 8 3" xfId="5372"/>
    <cellStyle name="SAPBEXexcGood2 8 3 2" xfId="19867"/>
    <cellStyle name="SAPBEXexcGood2 8 3 3" xfId="19868"/>
    <cellStyle name="SAPBEXexcGood2 8 3 4" xfId="19866"/>
    <cellStyle name="SAPBEXexcGood2 8 4" xfId="5074"/>
    <cellStyle name="SAPBEXexcGood2 8 4 2" xfId="19870"/>
    <cellStyle name="SAPBEXexcGood2 8 4 3" xfId="19871"/>
    <cellStyle name="SAPBEXexcGood2 8 4 4" xfId="19869"/>
    <cellStyle name="SAPBEXexcGood2 8 5" xfId="5142"/>
    <cellStyle name="SAPBEXexcGood2 8 5 2" xfId="19873"/>
    <cellStyle name="SAPBEXexcGood2 8 5 3" xfId="19874"/>
    <cellStyle name="SAPBEXexcGood2 8 5 4" xfId="19872"/>
    <cellStyle name="SAPBEXexcGood2 8 6" xfId="3193"/>
    <cellStyle name="SAPBEXexcGood2 8 6 2" xfId="19876"/>
    <cellStyle name="SAPBEXexcGood2 8 6 3" xfId="19877"/>
    <cellStyle name="SAPBEXexcGood2 8 6 4" xfId="19875"/>
    <cellStyle name="SAPBEXexcGood2 8 7" xfId="7920"/>
    <cellStyle name="SAPBEXexcGood2 8 7 2" xfId="19879"/>
    <cellStyle name="SAPBEXexcGood2 8 7 3" xfId="19880"/>
    <cellStyle name="SAPBEXexcGood2 8 7 4" xfId="19878"/>
    <cellStyle name="SAPBEXexcGood2 8 8" xfId="7626"/>
    <cellStyle name="SAPBEXexcGood2 8 8 2" xfId="19882"/>
    <cellStyle name="SAPBEXexcGood2 8 8 3" xfId="19883"/>
    <cellStyle name="SAPBEXexcGood2 8 8 4" xfId="19881"/>
    <cellStyle name="SAPBEXexcGood2 8 9" xfId="7856"/>
    <cellStyle name="SAPBEXexcGood2 8 9 2" xfId="19885"/>
    <cellStyle name="SAPBEXexcGood2 8 9 3" xfId="19886"/>
    <cellStyle name="SAPBEXexcGood2 8 9 4" xfId="19884"/>
    <cellStyle name="SAPBEXexcGood2 8_planning-WP" xfId="19887"/>
    <cellStyle name="SAPBEXexcGood2 9" xfId="1434"/>
    <cellStyle name="SAPBEXexcGood2 9 10" xfId="19888"/>
    <cellStyle name="SAPBEXexcGood2 9 11" xfId="9632"/>
    <cellStyle name="SAPBEXexcGood2 9 2" xfId="4357"/>
    <cellStyle name="SAPBEXexcGood2 9 2 2" xfId="19890"/>
    <cellStyle name="SAPBEXexcGood2 9 2 3" xfId="19891"/>
    <cellStyle name="SAPBEXexcGood2 9 2 4" xfId="19889"/>
    <cellStyle name="SAPBEXexcGood2 9 3" xfId="5350"/>
    <cellStyle name="SAPBEXexcGood2 9 3 2" xfId="19893"/>
    <cellStyle name="SAPBEXexcGood2 9 3 3" xfId="19894"/>
    <cellStyle name="SAPBEXexcGood2 9 3 4" xfId="19892"/>
    <cellStyle name="SAPBEXexcGood2 9 4" xfId="5073"/>
    <cellStyle name="SAPBEXexcGood2 9 4 2" xfId="19896"/>
    <cellStyle name="SAPBEXexcGood2 9 4 3" xfId="19897"/>
    <cellStyle name="SAPBEXexcGood2 9 4 4" xfId="19895"/>
    <cellStyle name="SAPBEXexcGood2 9 5" xfId="5287"/>
    <cellStyle name="SAPBEXexcGood2 9 5 2" xfId="19899"/>
    <cellStyle name="SAPBEXexcGood2 9 5 3" xfId="19900"/>
    <cellStyle name="SAPBEXexcGood2 9 5 4" xfId="19898"/>
    <cellStyle name="SAPBEXexcGood2 9 6" xfId="3377"/>
    <cellStyle name="SAPBEXexcGood2 9 6 2" xfId="19902"/>
    <cellStyle name="SAPBEXexcGood2 9 6 3" xfId="19903"/>
    <cellStyle name="SAPBEXexcGood2 9 6 4" xfId="19901"/>
    <cellStyle name="SAPBEXexcGood2 9 7" xfId="7898"/>
    <cellStyle name="SAPBEXexcGood2 9 7 2" xfId="19905"/>
    <cellStyle name="SAPBEXexcGood2 9 7 3" xfId="19906"/>
    <cellStyle name="SAPBEXexcGood2 9 7 4" xfId="19904"/>
    <cellStyle name="SAPBEXexcGood2 9 8" xfId="7647"/>
    <cellStyle name="SAPBEXexcGood2 9 8 2" xfId="19908"/>
    <cellStyle name="SAPBEXexcGood2 9 8 3" xfId="19909"/>
    <cellStyle name="SAPBEXexcGood2 9 8 4" xfId="19907"/>
    <cellStyle name="SAPBEXexcGood2 9 9" xfId="7777"/>
    <cellStyle name="SAPBEXexcGood2 9 9 2" xfId="19910"/>
    <cellStyle name="SAPBEXexcGood2 9_planning-WP" xfId="19911"/>
    <cellStyle name="SAPBEXexcGood2_19.RessDest CUC CS SEE+SEM 1009" xfId="38959"/>
    <cellStyle name="SAPBEXexcGood3" xfId="281"/>
    <cellStyle name="SAPBEXexcGood3 10" xfId="19913"/>
    <cellStyle name="SAPBEXexcGood3 10 2" xfId="19914"/>
    <cellStyle name="SAPBEXexcGood3 11" xfId="19915"/>
    <cellStyle name="SAPBEXexcGood3 11 2" xfId="19916"/>
    <cellStyle name="SAPBEXexcGood3 11 3" xfId="19917"/>
    <cellStyle name="SAPBEXexcGood3 12" xfId="19918"/>
    <cellStyle name="SAPBEXexcGood3 12 2" xfId="19919"/>
    <cellStyle name="SAPBEXexcGood3 12 3" xfId="19920"/>
    <cellStyle name="SAPBEXexcGood3 13" xfId="19921"/>
    <cellStyle name="SAPBEXexcGood3 13 2" xfId="19922"/>
    <cellStyle name="SAPBEXexcGood3 13 3" xfId="19923"/>
    <cellStyle name="SAPBEXexcGood3 14" xfId="19924"/>
    <cellStyle name="SAPBEXexcGood3 14 2" xfId="19925"/>
    <cellStyle name="SAPBEXexcGood3 14 3" xfId="19926"/>
    <cellStyle name="SAPBEXexcGood3 15" xfId="19927"/>
    <cellStyle name="SAPBEXexcGood3 15 2" xfId="19928"/>
    <cellStyle name="SAPBEXexcGood3 15 3" xfId="19929"/>
    <cellStyle name="SAPBEXexcGood3 16" xfId="19930"/>
    <cellStyle name="SAPBEXexcGood3 16 2" xfId="19931"/>
    <cellStyle name="SAPBEXexcGood3 16 3" xfId="19932"/>
    <cellStyle name="SAPBEXexcGood3 17" xfId="19933"/>
    <cellStyle name="SAPBEXexcGood3 17 2" xfId="19934"/>
    <cellStyle name="SAPBEXexcGood3 17 3" xfId="19935"/>
    <cellStyle name="SAPBEXexcGood3 18" xfId="19936"/>
    <cellStyle name="SAPBEXexcGood3 19" xfId="19912"/>
    <cellStyle name="SAPBEXexcGood3 2" xfId="898"/>
    <cellStyle name="SAPBEXexcGood3 2 10" xfId="19938"/>
    <cellStyle name="SAPBEXexcGood3 2 10 2" xfId="19939"/>
    <cellStyle name="SAPBEXexcGood3 2 10 3" xfId="19940"/>
    <cellStyle name="SAPBEXexcGood3 2 11" xfId="19941"/>
    <cellStyle name="SAPBEXexcGood3 2 11 2" xfId="19942"/>
    <cellStyle name="SAPBEXexcGood3 2 11 3" xfId="19943"/>
    <cellStyle name="SAPBEXexcGood3 2 12" xfId="19944"/>
    <cellStyle name="SAPBEXexcGood3 2 12 2" xfId="19945"/>
    <cellStyle name="SAPBEXexcGood3 2 12 3" xfId="19946"/>
    <cellStyle name="SAPBEXexcGood3 2 13" xfId="19947"/>
    <cellStyle name="SAPBEXexcGood3 2 14" xfId="19937"/>
    <cellStyle name="SAPBEXexcGood3 2 15" xfId="9582"/>
    <cellStyle name="SAPBEXexcGood3 2 16" xfId="38961"/>
    <cellStyle name="SAPBEXexcGood3 2 17" xfId="39367"/>
    <cellStyle name="SAPBEXexcGood3 2 2" xfId="1962"/>
    <cellStyle name="SAPBEXexcGood3 2 2 10" xfId="19949"/>
    <cellStyle name="SAPBEXexcGood3 2 2 10 2" xfId="19950"/>
    <cellStyle name="SAPBEXexcGood3 2 2 10 3" xfId="19951"/>
    <cellStyle name="SAPBEXexcGood3 2 2 11" xfId="19952"/>
    <cellStyle name="SAPBEXexcGood3 2 2 12" xfId="19948"/>
    <cellStyle name="SAPBEXexcGood3 2 2 13" xfId="10140"/>
    <cellStyle name="SAPBEXexcGood3 2 2 14" xfId="38962"/>
    <cellStyle name="SAPBEXexcGood3 2 2 15" xfId="39368"/>
    <cellStyle name="SAPBEXexcGood3 2 2 2" xfId="4880"/>
    <cellStyle name="SAPBEXexcGood3 2 2 2 10" xfId="19954"/>
    <cellStyle name="SAPBEXexcGood3 2 2 2 11" xfId="19953"/>
    <cellStyle name="SAPBEXexcGood3 2 2 2 2" xfId="19955"/>
    <cellStyle name="SAPBEXexcGood3 2 2 2 2 2" xfId="19956"/>
    <cellStyle name="SAPBEXexcGood3 2 2 2 2 3" xfId="19957"/>
    <cellStyle name="SAPBEXexcGood3 2 2 2 3" xfId="19958"/>
    <cellStyle name="SAPBEXexcGood3 2 2 2 3 2" xfId="19959"/>
    <cellStyle name="SAPBEXexcGood3 2 2 2 3 3" xfId="19960"/>
    <cellStyle name="SAPBEXexcGood3 2 2 2 4" xfId="19961"/>
    <cellStyle name="SAPBEXexcGood3 2 2 2 4 2" xfId="19962"/>
    <cellStyle name="SAPBEXexcGood3 2 2 2 4 3" xfId="19963"/>
    <cellStyle name="SAPBEXexcGood3 2 2 2 5" xfId="19964"/>
    <cellStyle name="SAPBEXexcGood3 2 2 2 5 2" xfId="19965"/>
    <cellStyle name="SAPBEXexcGood3 2 2 2 5 3" xfId="19966"/>
    <cellStyle name="SAPBEXexcGood3 2 2 2 6" xfId="19967"/>
    <cellStyle name="SAPBEXexcGood3 2 2 2 6 2" xfId="19968"/>
    <cellStyle name="SAPBEXexcGood3 2 2 2 6 3" xfId="19969"/>
    <cellStyle name="SAPBEXexcGood3 2 2 2 7" xfId="19970"/>
    <cellStyle name="SAPBEXexcGood3 2 2 2 7 2" xfId="19971"/>
    <cellStyle name="SAPBEXexcGood3 2 2 2 7 3" xfId="19972"/>
    <cellStyle name="SAPBEXexcGood3 2 2 2 8" xfId="19973"/>
    <cellStyle name="SAPBEXexcGood3 2 2 2 8 2" xfId="19974"/>
    <cellStyle name="SAPBEXexcGood3 2 2 2 8 3" xfId="19975"/>
    <cellStyle name="SAPBEXexcGood3 2 2 2 9" xfId="19976"/>
    <cellStyle name="SAPBEXexcGood3 2 2 2 9 2" xfId="19977"/>
    <cellStyle name="SAPBEXexcGood3 2 2 2 9 3" xfId="19978"/>
    <cellStyle name="SAPBEXexcGood3 2 2 2_planning-WP" xfId="19979"/>
    <cellStyle name="SAPBEXexcGood3 2 2 3" xfId="5859"/>
    <cellStyle name="SAPBEXexcGood3 2 2 3 2" xfId="19981"/>
    <cellStyle name="SAPBEXexcGood3 2 2 3 3" xfId="19982"/>
    <cellStyle name="SAPBEXexcGood3 2 2 3 4" xfId="19980"/>
    <cellStyle name="SAPBEXexcGood3 2 2 4" xfId="6367"/>
    <cellStyle name="SAPBEXexcGood3 2 2 4 2" xfId="19984"/>
    <cellStyle name="SAPBEXexcGood3 2 2 4 3" xfId="19985"/>
    <cellStyle name="SAPBEXexcGood3 2 2 4 4" xfId="19983"/>
    <cellStyle name="SAPBEXexcGood3 2 2 5" xfId="6854"/>
    <cellStyle name="SAPBEXexcGood3 2 2 5 2" xfId="19987"/>
    <cellStyle name="SAPBEXexcGood3 2 2 5 3" xfId="19988"/>
    <cellStyle name="SAPBEXexcGood3 2 2 5 4" xfId="19986"/>
    <cellStyle name="SAPBEXexcGood3 2 2 6" xfId="7337"/>
    <cellStyle name="SAPBEXexcGood3 2 2 6 2" xfId="19990"/>
    <cellStyle name="SAPBEXexcGood3 2 2 6 3" xfId="19991"/>
    <cellStyle name="SAPBEXexcGood3 2 2 6 4" xfId="19989"/>
    <cellStyle name="SAPBEXexcGood3 2 2 7" xfId="8406"/>
    <cellStyle name="SAPBEXexcGood3 2 2 7 2" xfId="19993"/>
    <cellStyle name="SAPBEXexcGood3 2 2 7 3" xfId="19994"/>
    <cellStyle name="SAPBEXexcGood3 2 2 7 4" xfId="19992"/>
    <cellStyle name="SAPBEXexcGood3 2 2 8" xfId="8907"/>
    <cellStyle name="SAPBEXexcGood3 2 2 8 2" xfId="19996"/>
    <cellStyle name="SAPBEXexcGood3 2 2 8 3" xfId="19997"/>
    <cellStyle name="SAPBEXexcGood3 2 2 8 4" xfId="19995"/>
    <cellStyle name="SAPBEXexcGood3 2 2 9" xfId="9401"/>
    <cellStyle name="SAPBEXexcGood3 2 2 9 2" xfId="19999"/>
    <cellStyle name="SAPBEXexcGood3 2 2 9 3" xfId="20000"/>
    <cellStyle name="SAPBEXexcGood3 2 2 9 4" xfId="19998"/>
    <cellStyle name="SAPBEXexcGood3 2 2_planning-WP" xfId="20001"/>
    <cellStyle name="SAPBEXexcGood3 2 3" xfId="1624"/>
    <cellStyle name="SAPBEXexcGood3 2 3 10" xfId="20003"/>
    <cellStyle name="SAPBEXexcGood3 2 3 11" xfId="20002"/>
    <cellStyle name="SAPBEXexcGood3 2 3 12" xfId="9821"/>
    <cellStyle name="SAPBEXexcGood3 2 3 2" xfId="4547"/>
    <cellStyle name="SAPBEXexcGood3 2 3 2 2" xfId="20005"/>
    <cellStyle name="SAPBEXexcGood3 2 3 2 3" xfId="20006"/>
    <cellStyle name="SAPBEXexcGood3 2 3 2 4" xfId="20004"/>
    <cellStyle name="SAPBEXexcGood3 2 3 3" xfId="5539"/>
    <cellStyle name="SAPBEXexcGood3 2 3 3 2" xfId="20008"/>
    <cellStyle name="SAPBEXexcGood3 2 3 3 3" xfId="20009"/>
    <cellStyle name="SAPBEXexcGood3 2 3 3 4" xfId="20007"/>
    <cellStyle name="SAPBEXexcGood3 2 3 4" xfId="6048"/>
    <cellStyle name="SAPBEXexcGood3 2 3 4 2" xfId="20011"/>
    <cellStyle name="SAPBEXexcGood3 2 3 4 3" xfId="20012"/>
    <cellStyle name="SAPBEXexcGood3 2 3 4 4" xfId="20010"/>
    <cellStyle name="SAPBEXexcGood3 2 3 5" xfId="6535"/>
    <cellStyle name="SAPBEXexcGood3 2 3 5 2" xfId="20014"/>
    <cellStyle name="SAPBEXexcGood3 2 3 5 3" xfId="20015"/>
    <cellStyle name="SAPBEXexcGood3 2 3 5 4" xfId="20013"/>
    <cellStyle name="SAPBEXexcGood3 2 3 6" xfId="7018"/>
    <cellStyle name="SAPBEXexcGood3 2 3 6 2" xfId="20017"/>
    <cellStyle name="SAPBEXexcGood3 2 3 6 3" xfId="20018"/>
    <cellStyle name="SAPBEXexcGood3 2 3 6 4" xfId="20016"/>
    <cellStyle name="SAPBEXexcGood3 2 3 7" xfId="8087"/>
    <cellStyle name="SAPBEXexcGood3 2 3 7 2" xfId="20020"/>
    <cellStyle name="SAPBEXexcGood3 2 3 7 3" xfId="20021"/>
    <cellStyle name="SAPBEXexcGood3 2 3 7 4" xfId="20019"/>
    <cellStyle name="SAPBEXexcGood3 2 3 8" xfId="8588"/>
    <cellStyle name="SAPBEXexcGood3 2 3 8 2" xfId="20023"/>
    <cellStyle name="SAPBEXexcGood3 2 3 8 3" xfId="20024"/>
    <cellStyle name="SAPBEXexcGood3 2 3 8 4" xfId="20022"/>
    <cellStyle name="SAPBEXexcGood3 2 3 9" xfId="9082"/>
    <cellStyle name="SAPBEXexcGood3 2 3 9 2" xfId="20026"/>
    <cellStyle name="SAPBEXexcGood3 2 3 9 3" xfId="20027"/>
    <cellStyle name="SAPBEXexcGood3 2 3 9 4" xfId="20025"/>
    <cellStyle name="SAPBEXexcGood3 2 3_planning-WP" xfId="20028"/>
    <cellStyle name="SAPBEXexcGood3 2 4" xfId="20029"/>
    <cellStyle name="SAPBEXexcGood3 2 4 2" xfId="20030"/>
    <cellStyle name="SAPBEXexcGood3 2 4 2 2" xfId="20031"/>
    <cellStyle name="SAPBEXexcGood3 2 4 2 3" xfId="20032"/>
    <cellStyle name="SAPBEXexcGood3 2 4 3" xfId="20033"/>
    <cellStyle name="SAPBEXexcGood3 2 4 3 2" xfId="20034"/>
    <cellStyle name="SAPBEXexcGood3 2 4 3 3" xfId="20035"/>
    <cellStyle name="SAPBEXexcGood3 2 4 4" xfId="20036"/>
    <cellStyle name="SAPBEXexcGood3 2 4 4 2" xfId="20037"/>
    <cellStyle name="SAPBEXexcGood3 2 4 4 3" xfId="20038"/>
    <cellStyle name="SAPBEXexcGood3 2 4 5" xfId="20039"/>
    <cellStyle name="SAPBEXexcGood3 2 4 5 2" xfId="20040"/>
    <cellStyle name="SAPBEXexcGood3 2 4 5 3" xfId="20041"/>
    <cellStyle name="SAPBEXexcGood3 2 4 6" xfId="20042"/>
    <cellStyle name="SAPBEXexcGood3 2 4 6 2" xfId="20043"/>
    <cellStyle name="SAPBEXexcGood3 2 4 6 3" xfId="20044"/>
    <cellStyle name="SAPBEXexcGood3 2 4 7" xfId="20045"/>
    <cellStyle name="SAPBEXexcGood3 2 4 7 2" xfId="20046"/>
    <cellStyle name="SAPBEXexcGood3 2 4 7 3" xfId="20047"/>
    <cellStyle name="SAPBEXexcGood3 2 4 8" xfId="20048"/>
    <cellStyle name="SAPBEXexcGood3 2 4 8 2" xfId="20049"/>
    <cellStyle name="SAPBEXexcGood3 2 4 8 3" xfId="20050"/>
    <cellStyle name="SAPBEXexcGood3 2 4 9" xfId="20051"/>
    <cellStyle name="SAPBEXexcGood3 2 4_planning-WP" xfId="20052"/>
    <cellStyle name="SAPBEXexcGood3 2 5" xfId="20053"/>
    <cellStyle name="SAPBEXexcGood3 2 5 2" xfId="20054"/>
    <cellStyle name="SAPBEXexcGood3 2 6" xfId="20055"/>
    <cellStyle name="SAPBEXexcGood3 2 6 2" xfId="20056"/>
    <cellStyle name="SAPBEXexcGood3 2 6 3" xfId="20057"/>
    <cellStyle name="SAPBEXexcGood3 2 7" xfId="20058"/>
    <cellStyle name="SAPBEXexcGood3 2 7 2" xfId="20059"/>
    <cellStyle name="SAPBEXexcGood3 2 7 3" xfId="20060"/>
    <cellStyle name="SAPBEXexcGood3 2 8" xfId="20061"/>
    <cellStyle name="SAPBEXexcGood3 2 8 2" xfId="20062"/>
    <cellStyle name="SAPBEXexcGood3 2 8 3" xfId="20063"/>
    <cellStyle name="SAPBEXexcGood3 2 9" xfId="20064"/>
    <cellStyle name="SAPBEXexcGood3 2 9 2" xfId="20065"/>
    <cellStyle name="SAPBEXexcGood3 2 9 3" xfId="20066"/>
    <cellStyle name="SAPBEXexcGood3 2_planning-WP" xfId="20067"/>
    <cellStyle name="SAPBEXexcGood3 20" xfId="38960"/>
    <cellStyle name="SAPBEXexcGood3 21" xfId="39366"/>
    <cellStyle name="SAPBEXexcGood3 3" xfId="1596"/>
    <cellStyle name="SAPBEXexcGood3 3 10" xfId="7748"/>
    <cellStyle name="SAPBEXexcGood3 3 10 2" xfId="20070"/>
    <cellStyle name="SAPBEXexcGood3 3 10 3" xfId="20071"/>
    <cellStyle name="SAPBEXexcGood3 3 10 4" xfId="20069"/>
    <cellStyle name="SAPBEXexcGood3 3 11" xfId="20072"/>
    <cellStyle name="SAPBEXexcGood3 3 11 2" xfId="20073"/>
    <cellStyle name="SAPBEXexcGood3 3 11 3" xfId="20074"/>
    <cellStyle name="SAPBEXexcGood3 3 12" xfId="20075"/>
    <cellStyle name="SAPBEXexcGood3 3 12 2" xfId="20076"/>
    <cellStyle name="SAPBEXexcGood3 3 12 3" xfId="20077"/>
    <cellStyle name="SAPBEXexcGood3 3 13" xfId="20078"/>
    <cellStyle name="SAPBEXexcGood3 3 14" xfId="20068"/>
    <cellStyle name="SAPBEXexcGood3 3 15" xfId="9793"/>
    <cellStyle name="SAPBEXexcGood3 3 16" xfId="38963"/>
    <cellStyle name="SAPBEXexcGood3 3 17" xfId="39369"/>
    <cellStyle name="SAPBEXexcGood3 3 2" xfId="1939"/>
    <cellStyle name="SAPBEXexcGood3 3 2 10" xfId="20080"/>
    <cellStyle name="SAPBEXexcGood3 3 2 10 2" xfId="20081"/>
    <cellStyle name="SAPBEXexcGood3 3 2 10 3" xfId="20082"/>
    <cellStyle name="SAPBEXexcGood3 3 2 11" xfId="20083"/>
    <cellStyle name="SAPBEXexcGood3 3 2 12" xfId="20079"/>
    <cellStyle name="SAPBEXexcGood3 3 2 13" xfId="10117"/>
    <cellStyle name="SAPBEXexcGood3 3 2 14" xfId="38964"/>
    <cellStyle name="SAPBEXexcGood3 3 2 15" xfId="39370"/>
    <cellStyle name="SAPBEXexcGood3 3 2 2" xfId="4857"/>
    <cellStyle name="SAPBEXexcGood3 3 2 2 10" xfId="20085"/>
    <cellStyle name="SAPBEXexcGood3 3 2 2 11" xfId="20084"/>
    <cellStyle name="SAPBEXexcGood3 3 2 2 2" xfId="20086"/>
    <cellStyle name="SAPBEXexcGood3 3 2 2 2 2" xfId="20087"/>
    <cellStyle name="SAPBEXexcGood3 3 2 2 2 3" xfId="20088"/>
    <cellStyle name="SAPBEXexcGood3 3 2 2 3" xfId="20089"/>
    <cellStyle name="SAPBEXexcGood3 3 2 2 3 2" xfId="20090"/>
    <cellStyle name="SAPBEXexcGood3 3 2 2 3 3" xfId="20091"/>
    <cellStyle name="SAPBEXexcGood3 3 2 2 4" xfId="20092"/>
    <cellStyle name="SAPBEXexcGood3 3 2 2 4 2" xfId="20093"/>
    <cellStyle name="SAPBEXexcGood3 3 2 2 4 3" xfId="20094"/>
    <cellStyle name="SAPBEXexcGood3 3 2 2 5" xfId="20095"/>
    <cellStyle name="SAPBEXexcGood3 3 2 2 5 2" xfId="20096"/>
    <cellStyle name="SAPBEXexcGood3 3 2 2 5 3" xfId="20097"/>
    <cellStyle name="SAPBEXexcGood3 3 2 2 6" xfId="20098"/>
    <cellStyle name="SAPBEXexcGood3 3 2 2 6 2" xfId="20099"/>
    <cellStyle name="SAPBEXexcGood3 3 2 2 6 3" xfId="20100"/>
    <cellStyle name="SAPBEXexcGood3 3 2 2 7" xfId="20101"/>
    <cellStyle name="SAPBEXexcGood3 3 2 2 7 2" xfId="20102"/>
    <cellStyle name="SAPBEXexcGood3 3 2 2 7 3" xfId="20103"/>
    <cellStyle name="SAPBEXexcGood3 3 2 2 8" xfId="20104"/>
    <cellStyle name="SAPBEXexcGood3 3 2 2 8 2" xfId="20105"/>
    <cellStyle name="SAPBEXexcGood3 3 2 2 8 3" xfId="20106"/>
    <cellStyle name="SAPBEXexcGood3 3 2 2 9" xfId="20107"/>
    <cellStyle name="SAPBEXexcGood3 3 2 2 9 2" xfId="20108"/>
    <cellStyle name="SAPBEXexcGood3 3 2 2 9 3" xfId="20109"/>
    <cellStyle name="SAPBEXexcGood3 3 2 2_planning-WP" xfId="20110"/>
    <cellStyle name="SAPBEXexcGood3 3 2 3" xfId="5836"/>
    <cellStyle name="SAPBEXexcGood3 3 2 3 2" xfId="20112"/>
    <cellStyle name="SAPBEXexcGood3 3 2 3 3" xfId="20113"/>
    <cellStyle name="SAPBEXexcGood3 3 2 3 4" xfId="20111"/>
    <cellStyle name="SAPBEXexcGood3 3 2 4" xfId="6344"/>
    <cellStyle name="SAPBEXexcGood3 3 2 4 2" xfId="20115"/>
    <cellStyle name="SAPBEXexcGood3 3 2 4 3" xfId="20116"/>
    <cellStyle name="SAPBEXexcGood3 3 2 4 4" xfId="20114"/>
    <cellStyle name="SAPBEXexcGood3 3 2 5" xfId="6831"/>
    <cellStyle name="SAPBEXexcGood3 3 2 5 2" xfId="20118"/>
    <cellStyle name="SAPBEXexcGood3 3 2 5 3" xfId="20119"/>
    <cellStyle name="SAPBEXexcGood3 3 2 5 4" xfId="20117"/>
    <cellStyle name="SAPBEXexcGood3 3 2 6" xfId="7314"/>
    <cellStyle name="SAPBEXexcGood3 3 2 6 2" xfId="20121"/>
    <cellStyle name="SAPBEXexcGood3 3 2 6 3" xfId="20122"/>
    <cellStyle name="SAPBEXexcGood3 3 2 6 4" xfId="20120"/>
    <cellStyle name="SAPBEXexcGood3 3 2 7" xfId="8383"/>
    <cellStyle name="SAPBEXexcGood3 3 2 7 2" xfId="20124"/>
    <cellStyle name="SAPBEXexcGood3 3 2 7 3" xfId="20125"/>
    <cellStyle name="SAPBEXexcGood3 3 2 7 4" xfId="20123"/>
    <cellStyle name="SAPBEXexcGood3 3 2 8" xfId="8884"/>
    <cellStyle name="SAPBEXexcGood3 3 2 8 2" xfId="20127"/>
    <cellStyle name="SAPBEXexcGood3 3 2 8 3" xfId="20128"/>
    <cellStyle name="SAPBEXexcGood3 3 2 8 4" xfId="20126"/>
    <cellStyle name="SAPBEXexcGood3 3 2 9" xfId="9378"/>
    <cellStyle name="SAPBEXexcGood3 3 2 9 2" xfId="20130"/>
    <cellStyle name="SAPBEXexcGood3 3 2 9 3" xfId="20131"/>
    <cellStyle name="SAPBEXexcGood3 3 2 9 4" xfId="20129"/>
    <cellStyle name="SAPBEXexcGood3 3 2_planning-WP" xfId="20132"/>
    <cellStyle name="SAPBEXexcGood3 3 3" xfId="4519"/>
    <cellStyle name="SAPBEXexcGood3 3 3 10" xfId="20134"/>
    <cellStyle name="SAPBEXexcGood3 3 3 11" xfId="20133"/>
    <cellStyle name="SAPBEXexcGood3 3 3 2" xfId="20135"/>
    <cellStyle name="SAPBEXexcGood3 3 3 2 2" xfId="20136"/>
    <cellStyle name="SAPBEXexcGood3 3 3 2 3" xfId="20137"/>
    <cellStyle name="SAPBEXexcGood3 3 3 3" xfId="20138"/>
    <cellStyle name="SAPBEXexcGood3 3 3 3 2" xfId="20139"/>
    <cellStyle name="SAPBEXexcGood3 3 3 3 3" xfId="20140"/>
    <cellStyle name="SAPBEXexcGood3 3 3 4" xfId="20141"/>
    <cellStyle name="SAPBEXexcGood3 3 3 4 2" xfId="20142"/>
    <cellStyle name="SAPBEXexcGood3 3 3 4 3" xfId="20143"/>
    <cellStyle name="SAPBEXexcGood3 3 3 5" xfId="20144"/>
    <cellStyle name="SAPBEXexcGood3 3 3 5 2" xfId="20145"/>
    <cellStyle name="SAPBEXexcGood3 3 3 5 3" xfId="20146"/>
    <cellStyle name="SAPBEXexcGood3 3 3 6" xfId="20147"/>
    <cellStyle name="SAPBEXexcGood3 3 3 6 2" xfId="20148"/>
    <cellStyle name="SAPBEXexcGood3 3 3 6 3" xfId="20149"/>
    <cellStyle name="SAPBEXexcGood3 3 3 7" xfId="20150"/>
    <cellStyle name="SAPBEXexcGood3 3 3 7 2" xfId="20151"/>
    <cellStyle name="SAPBEXexcGood3 3 3 7 3" xfId="20152"/>
    <cellStyle name="SAPBEXexcGood3 3 3 8" xfId="20153"/>
    <cellStyle name="SAPBEXexcGood3 3 3 8 2" xfId="20154"/>
    <cellStyle name="SAPBEXexcGood3 3 3 8 3" xfId="20155"/>
    <cellStyle name="SAPBEXexcGood3 3 3 9" xfId="20156"/>
    <cellStyle name="SAPBEXexcGood3 3 3 9 2" xfId="20157"/>
    <cellStyle name="SAPBEXexcGood3 3 3 9 3" xfId="20158"/>
    <cellStyle name="SAPBEXexcGood3 3 3_planning-WP" xfId="20159"/>
    <cellStyle name="SAPBEXexcGood3 3 4" xfId="5511"/>
    <cellStyle name="SAPBEXexcGood3 3 4 10" xfId="20160"/>
    <cellStyle name="SAPBEXexcGood3 3 4 2" xfId="20161"/>
    <cellStyle name="SAPBEXexcGood3 3 4 2 2" xfId="20162"/>
    <cellStyle name="SAPBEXexcGood3 3 4 2 3" xfId="20163"/>
    <cellStyle name="SAPBEXexcGood3 3 4 3" xfId="20164"/>
    <cellStyle name="SAPBEXexcGood3 3 4 3 2" xfId="20165"/>
    <cellStyle name="SAPBEXexcGood3 3 4 3 3" xfId="20166"/>
    <cellStyle name="SAPBEXexcGood3 3 4 4" xfId="20167"/>
    <cellStyle name="SAPBEXexcGood3 3 4 4 2" xfId="20168"/>
    <cellStyle name="SAPBEXexcGood3 3 4 4 3" xfId="20169"/>
    <cellStyle name="SAPBEXexcGood3 3 4 5" xfId="20170"/>
    <cellStyle name="SAPBEXexcGood3 3 4 5 2" xfId="20171"/>
    <cellStyle name="SAPBEXexcGood3 3 4 5 3" xfId="20172"/>
    <cellStyle name="SAPBEXexcGood3 3 4 6" xfId="20173"/>
    <cellStyle name="SAPBEXexcGood3 3 4 6 2" xfId="20174"/>
    <cellStyle name="SAPBEXexcGood3 3 4 6 3" xfId="20175"/>
    <cellStyle name="SAPBEXexcGood3 3 4 7" xfId="20176"/>
    <cellStyle name="SAPBEXexcGood3 3 4 7 2" xfId="20177"/>
    <cellStyle name="SAPBEXexcGood3 3 4 7 3" xfId="20178"/>
    <cellStyle name="SAPBEXexcGood3 3 4 8" xfId="20179"/>
    <cellStyle name="SAPBEXexcGood3 3 4 8 2" xfId="20180"/>
    <cellStyle name="SAPBEXexcGood3 3 4 8 3" xfId="20181"/>
    <cellStyle name="SAPBEXexcGood3 3 4 9" xfId="20182"/>
    <cellStyle name="SAPBEXexcGood3 3 4_planning-WP" xfId="20183"/>
    <cellStyle name="SAPBEXexcGood3 3 5" xfId="3335"/>
    <cellStyle name="SAPBEXexcGood3 3 5 2" xfId="20185"/>
    <cellStyle name="SAPBEXexcGood3 3 5 3" xfId="20184"/>
    <cellStyle name="SAPBEXexcGood3 3 6" xfId="3244"/>
    <cellStyle name="SAPBEXexcGood3 3 6 2" xfId="20187"/>
    <cellStyle name="SAPBEXexcGood3 3 6 3" xfId="20188"/>
    <cellStyle name="SAPBEXexcGood3 3 6 4" xfId="20186"/>
    <cellStyle name="SAPBEXexcGood3 3 7" xfId="5228"/>
    <cellStyle name="SAPBEXexcGood3 3 7 2" xfId="20190"/>
    <cellStyle name="SAPBEXexcGood3 3 7 3" xfId="20191"/>
    <cellStyle name="SAPBEXexcGood3 3 7 4" xfId="20189"/>
    <cellStyle name="SAPBEXexcGood3 3 8" xfId="8059"/>
    <cellStyle name="SAPBEXexcGood3 3 8 2" xfId="20193"/>
    <cellStyle name="SAPBEXexcGood3 3 8 3" xfId="20194"/>
    <cellStyle name="SAPBEXexcGood3 3 8 4" xfId="20192"/>
    <cellStyle name="SAPBEXexcGood3 3 9" xfId="8560"/>
    <cellStyle name="SAPBEXexcGood3 3 9 2" xfId="20196"/>
    <cellStyle name="SAPBEXexcGood3 3 9 3" xfId="20197"/>
    <cellStyle name="SAPBEXexcGood3 3 9 4" xfId="20195"/>
    <cellStyle name="SAPBEXexcGood3 3_planning-WP" xfId="20198"/>
    <cellStyle name="SAPBEXexcGood3 4" xfId="1711"/>
    <cellStyle name="SAPBEXexcGood3 4 10" xfId="9168"/>
    <cellStyle name="SAPBEXexcGood3 4 10 2" xfId="20201"/>
    <cellStyle name="SAPBEXexcGood3 4 10 3" xfId="20202"/>
    <cellStyle name="SAPBEXexcGood3 4 10 4" xfId="20200"/>
    <cellStyle name="SAPBEXexcGood3 4 11" xfId="20203"/>
    <cellStyle name="SAPBEXexcGood3 4 11 2" xfId="20204"/>
    <cellStyle name="SAPBEXexcGood3 4 11 3" xfId="20205"/>
    <cellStyle name="SAPBEXexcGood3 4 12" xfId="20206"/>
    <cellStyle name="SAPBEXexcGood3 4 12 2" xfId="20207"/>
    <cellStyle name="SAPBEXexcGood3 4 12 3" xfId="20208"/>
    <cellStyle name="SAPBEXexcGood3 4 13" xfId="20199"/>
    <cellStyle name="SAPBEXexcGood3 4 14" xfId="9907"/>
    <cellStyle name="SAPBEXexcGood3 4 15" xfId="38965"/>
    <cellStyle name="SAPBEXexcGood3 4 16" xfId="39371"/>
    <cellStyle name="SAPBEXexcGood3 4 2" xfId="2043"/>
    <cellStyle name="SAPBEXexcGood3 4 2 10" xfId="20210"/>
    <cellStyle name="SAPBEXexcGood3 4 2 10 2" xfId="20211"/>
    <cellStyle name="SAPBEXexcGood3 4 2 10 3" xfId="20212"/>
    <cellStyle name="SAPBEXexcGood3 4 2 11" xfId="20213"/>
    <cellStyle name="SAPBEXexcGood3 4 2 12" xfId="20209"/>
    <cellStyle name="SAPBEXexcGood3 4 2 13" xfId="10220"/>
    <cellStyle name="SAPBEXexcGood3 4 2 14" xfId="38966"/>
    <cellStyle name="SAPBEXexcGood3 4 2 15" xfId="39372"/>
    <cellStyle name="SAPBEXexcGood3 4 2 2" xfId="4960"/>
    <cellStyle name="SAPBEXexcGood3 4 2 2 10" xfId="20215"/>
    <cellStyle name="SAPBEXexcGood3 4 2 2 11" xfId="20214"/>
    <cellStyle name="SAPBEXexcGood3 4 2 2 2" xfId="20216"/>
    <cellStyle name="SAPBEXexcGood3 4 2 2 2 2" xfId="20217"/>
    <cellStyle name="SAPBEXexcGood3 4 2 2 2 3" xfId="20218"/>
    <cellStyle name="SAPBEXexcGood3 4 2 2 3" xfId="20219"/>
    <cellStyle name="SAPBEXexcGood3 4 2 2 3 2" xfId="20220"/>
    <cellStyle name="SAPBEXexcGood3 4 2 2 3 3" xfId="20221"/>
    <cellStyle name="SAPBEXexcGood3 4 2 2 4" xfId="20222"/>
    <cellStyle name="SAPBEXexcGood3 4 2 2 4 2" xfId="20223"/>
    <cellStyle name="SAPBEXexcGood3 4 2 2 4 3" xfId="20224"/>
    <cellStyle name="SAPBEXexcGood3 4 2 2 5" xfId="20225"/>
    <cellStyle name="SAPBEXexcGood3 4 2 2 5 2" xfId="20226"/>
    <cellStyle name="SAPBEXexcGood3 4 2 2 5 3" xfId="20227"/>
    <cellStyle name="SAPBEXexcGood3 4 2 2 6" xfId="20228"/>
    <cellStyle name="SAPBEXexcGood3 4 2 2 6 2" xfId="20229"/>
    <cellStyle name="SAPBEXexcGood3 4 2 2 6 3" xfId="20230"/>
    <cellStyle name="SAPBEXexcGood3 4 2 2 7" xfId="20231"/>
    <cellStyle name="SAPBEXexcGood3 4 2 2 7 2" xfId="20232"/>
    <cellStyle name="SAPBEXexcGood3 4 2 2 7 3" xfId="20233"/>
    <cellStyle name="SAPBEXexcGood3 4 2 2 8" xfId="20234"/>
    <cellStyle name="SAPBEXexcGood3 4 2 2 8 2" xfId="20235"/>
    <cellStyle name="SAPBEXexcGood3 4 2 2 8 3" xfId="20236"/>
    <cellStyle name="SAPBEXexcGood3 4 2 2 9" xfId="20237"/>
    <cellStyle name="SAPBEXexcGood3 4 2 2 9 2" xfId="20238"/>
    <cellStyle name="SAPBEXexcGood3 4 2 2 9 3" xfId="20239"/>
    <cellStyle name="SAPBEXexcGood3 4 2 2_planning-WP" xfId="20240"/>
    <cellStyle name="SAPBEXexcGood3 4 2 3" xfId="5939"/>
    <cellStyle name="SAPBEXexcGood3 4 2 3 2" xfId="20242"/>
    <cellStyle name="SAPBEXexcGood3 4 2 3 3" xfId="20243"/>
    <cellStyle name="SAPBEXexcGood3 4 2 3 4" xfId="20241"/>
    <cellStyle name="SAPBEXexcGood3 4 2 4" xfId="6447"/>
    <cellStyle name="SAPBEXexcGood3 4 2 4 2" xfId="20245"/>
    <cellStyle name="SAPBEXexcGood3 4 2 4 3" xfId="20246"/>
    <cellStyle name="SAPBEXexcGood3 4 2 4 4" xfId="20244"/>
    <cellStyle name="SAPBEXexcGood3 4 2 5" xfId="6934"/>
    <cellStyle name="SAPBEXexcGood3 4 2 5 2" xfId="20248"/>
    <cellStyle name="SAPBEXexcGood3 4 2 5 3" xfId="20249"/>
    <cellStyle name="SAPBEXexcGood3 4 2 5 4" xfId="20247"/>
    <cellStyle name="SAPBEXexcGood3 4 2 6" xfId="7417"/>
    <cellStyle name="SAPBEXexcGood3 4 2 6 2" xfId="20251"/>
    <cellStyle name="SAPBEXexcGood3 4 2 6 3" xfId="20252"/>
    <cellStyle name="SAPBEXexcGood3 4 2 6 4" xfId="20250"/>
    <cellStyle name="SAPBEXexcGood3 4 2 7" xfId="8486"/>
    <cellStyle name="SAPBEXexcGood3 4 2 7 2" xfId="20254"/>
    <cellStyle name="SAPBEXexcGood3 4 2 7 3" xfId="20255"/>
    <cellStyle name="SAPBEXexcGood3 4 2 7 4" xfId="20253"/>
    <cellStyle name="SAPBEXexcGood3 4 2 8" xfId="8987"/>
    <cellStyle name="SAPBEXexcGood3 4 2 8 2" xfId="20257"/>
    <cellStyle name="SAPBEXexcGood3 4 2 8 3" xfId="20258"/>
    <cellStyle name="SAPBEXexcGood3 4 2 8 4" xfId="20256"/>
    <cellStyle name="SAPBEXexcGood3 4 2 9" xfId="9481"/>
    <cellStyle name="SAPBEXexcGood3 4 2 9 2" xfId="20260"/>
    <cellStyle name="SAPBEXexcGood3 4 2 9 3" xfId="20261"/>
    <cellStyle name="SAPBEXexcGood3 4 2 9 4" xfId="20259"/>
    <cellStyle name="SAPBEXexcGood3 4 2_planning-WP" xfId="20262"/>
    <cellStyle name="SAPBEXexcGood3 4 3" xfId="4633"/>
    <cellStyle name="SAPBEXexcGood3 4 3 10" xfId="20264"/>
    <cellStyle name="SAPBEXexcGood3 4 3 11" xfId="20263"/>
    <cellStyle name="SAPBEXexcGood3 4 3 2" xfId="20265"/>
    <cellStyle name="SAPBEXexcGood3 4 3 2 2" xfId="20266"/>
    <cellStyle name="SAPBEXexcGood3 4 3 2 3" xfId="20267"/>
    <cellStyle name="SAPBEXexcGood3 4 3 3" xfId="20268"/>
    <cellStyle name="SAPBEXexcGood3 4 3 3 2" xfId="20269"/>
    <cellStyle name="SAPBEXexcGood3 4 3 3 3" xfId="20270"/>
    <cellStyle name="SAPBEXexcGood3 4 3 4" xfId="20271"/>
    <cellStyle name="SAPBEXexcGood3 4 3 4 2" xfId="20272"/>
    <cellStyle name="SAPBEXexcGood3 4 3 4 3" xfId="20273"/>
    <cellStyle name="SAPBEXexcGood3 4 3 5" xfId="20274"/>
    <cellStyle name="SAPBEXexcGood3 4 3 5 2" xfId="20275"/>
    <cellStyle name="SAPBEXexcGood3 4 3 5 3" xfId="20276"/>
    <cellStyle name="SAPBEXexcGood3 4 3 6" xfId="20277"/>
    <cellStyle name="SAPBEXexcGood3 4 3 6 2" xfId="20278"/>
    <cellStyle name="SAPBEXexcGood3 4 3 6 3" xfId="20279"/>
    <cellStyle name="SAPBEXexcGood3 4 3 7" xfId="20280"/>
    <cellStyle name="SAPBEXexcGood3 4 3 7 2" xfId="20281"/>
    <cellStyle name="SAPBEXexcGood3 4 3 7 3" xfId="20282"/>
    <cellStyle name="SAPBEXexcGood3 4 3 8" xfId="20283"/>
    <cellStyle name="SAPBEXexcGood3 4 3 8 2" xfId="20284"/>
    <cellStyle name="SAPBEXexcGood3 4 3 8 3" xfId="20285"/>
    <cellStyle name="SAPBEXexcGood3 4 3 9" xfId="20286"/>
    <cellStyle name="SAPBEXexcGood3 4 3 9 2" xfId="20287"/>
    <cellStyle name="SAPBEXexcGood3 4 3 9 3" xfId="20288"/>
    <cellStyle name="SAPBEXexcGood3 4 3_planning-WP" xfId="20289"/>
    <cellStyle name="SAPBEXexcGood3 4 4" xfId="5625"/>
    <cellStyle name="SAPBEXexcGood3 4 4 10" xfId="20290"/>
    <cellStyle name="SAPBEXexcGood3 4 4 2" xfId="20291"/>
    <cellStyle name="SAPBEXexcGood3 4 4 2 2" xfId="20292"/>
    <cellStyle name="SAPBEXexcGood3 4 4 2 3" xfId="20293"/>
    <cellStyle name="SAPBEXexcGood3 4 4 3" xfId="20294"/>
    <cellStyle name="SAPBEXexcGood3 4 4 3 2" xfId="20295"/>
    <cellStyle name="SAPBEXexcGood3 4 4 3 3" xfId="20296"/>
    <cellStyle name="SAPBEXexcGood3 4 4 4" xfId="20297"/>
    <cellStyle name="SAPBEXexcGood3 4 4 4 2" xfId="20298"/>
    <cellStyle name="SAPBEXexcGood3 4 4 4 3" xfId="20299"/>
    <cellStyle name="SAPBEXexcGood3 4 4 5" xfId="20300"/>
    <cellStyle name="SAPBEXexcGood3 4 4 5 2" xfId="20301"/>
    <cellStyle name="SAPBEXexcGood3 4 4 5 3" xfId="20302"/>
    <cellStyle name="SAPBEXexcGood3 4 4 6" xfId="20303"/>
    <cellStyle name="SAPBEXexcGood3 4 4 6 2" xfId="20304"/>
    <cellStyle name="SAPBEXexcGood3 4 4 6 3" xfId="20305"/>
    <cellStyle name="SAPBEXexcGood3 4 4 7" xfId="20306"/>
    <cellStyle name="SAPBEXexcGood3 4 4 7 2" xfId="20307"/>
    <cellStyle name="SAPBEXexcGood3 4 4 7 3" xfId="20308"/>
    <cellStyle name="SAPBEXexcGood3 4 4 8" xfId="20309"/>
    <cellStyle name="SAPBEXexcGood3 4 4 8 2" xfId="20310"/>
    <cellStyle name="SAPBEXexcGood3 4 4 8 3" xfId="20311"/>
    <cellStyle name="SAPBEXexcGood3 4 4 9" xfId="20312"/>
    <cellStyle name="SAPBEXexcGood3 4 4_planning-WP" xfId="20313"/>
    <cellStyle name="SAPBEXexcGood3 4 5" xfId="6134"/>
    <cellStyle name="SAPBEXexcGood3 4 5 2" xfId="20315"/>
    <cellStyle name="SAPBEXexcGood3 4 5 3" xfId="20314"/>
    <cellStyle name="SAPBEXexcGood3 4 6" xfId="6621"/>
    <cellStyle name="SAPBEXexcGood3 4 6 2" xfId="20317"/>
    <cellStyle name="SAPBEXexcGood3 4 6 3" xfId="20318"/>
    <cellStyle name="SAPBEXexcGood3 4 6 4" xfId="20316"/>
    <cellStyle name="SAPBEXexcGood3 4 7" xfId="7104"/>
    <cellStyle name="SAPBEXexcGood3 4 7 2" xfId="20320"/>
    <cellStyle name="SAPBEXexcGood3 4 7 3" xfId="20321"/>
    <cellStyle name="SAPBEXexcGood3 4 7 4" xfId="20319"/>
    <cellStyle name="SAPBEXexcGood3 4 8" xfId="8173"/>
    <cellStyle name="SAPBEXexcGood3 4 8 2" xfId="20323"/>
    <cellStyle name="SAPBEXexcGood3 4 8 3" xfId="20324"/>
    <cellStyle name="SAPBEXexcGood3 4 8 4" xfId="20322"/>
    <cellStyle name="SAPBEXexcGood3 4 9" xfId="8674"/>
    <cellStyle name="SAPBEXexcGood3 4 9 2" xfId="20326"/>
    <cellStyle name="SAPBEXexcGood3 4 9 3" xfId="20327"/>
    <cellStyle name="SAPBEXexcGood3 4 9 4" xfId="20325"/>
    <cellStyle name="SAPBEXexcGood3 4_planning-WP" xfId="20328"/>
    <cellStyle name="SAPBEXexcGood3 5" xfId="1654"/>
    <cellStyle name="SAPBEXexcGood3 5 10" xfId="9112"/>
    <cellStyle name="SAPBEXexcGood3 5 10 2" xfId="20331"/>
    <cellStyle name="SAPBEXexcGood3 5 10 3" xfId="20332"/>
    <cellStyle name="SAPBEXexcGood3 5 10 4" xfId="20330"/>
    <cellStyle name="SAPBEXexcGood3 5 11" xfId="20333"/>
    <cellStyle name="SAPBEXexcGood3 5 11 2" xfId="20334"/>
    <cellStyle name="SAPBEXexcGood3 5 11 3" xfId="20335"/>
    <cellStyle name="SAPBEXexcGood3 5 12" xfId="20336"/>
    <cellStyle name="SAPBEXexcGood3 5 12 2" xfId="20337"/>
    <cellStyle name="SAPBEXexcGood3 5 12 3" xfId="20338"/>
    <cellStyle name="SAPBEXexcGood3 5 13" xfId="20329"/>
    <cellStyle name="SAPBEXexcGood3 5 14" xfId="9851"/>
    <cellStyle name="SAPBEXexcGood3 5 15" xfId="38967"/>
    <cellStyle name="SAPBEXexcGood3 5 16" xfId="39373"/>
    <cellStyle name="SAPBEXexcGood3 5 2" xfId="1990"/>
    <cellStyle name="SAPBEXexcGood3 5 2 10" xfId="20340"/>
    <cellStyle name="SAPBEXexcGood3 5 2 10 2" xfId="20341"/>
    <cellStyle name="SAPBEXexcGood3 5 2 10 3" xfId="20342"/>
    <cellStyle name="SAPBEXexcGood3 5 2 11" xfId="20343"/>
    <cellStyle name="SAPBEXexcGood3 5 2 12" xfId="20339"/>
    <cellStyle name="SAPBEXexcGood3 5 2 13" xfId="10168"/>
    <cellStyle name="SAPBEXexcGood3 5 2 2" xfId="4908"/>
    <cellStyle name="SAPBEXexcGood3 5 2 2 10" xfId="20345"/>
    <cellStyle name="SAPBEXexcGood3 5 2 2 11" xfId="20344"/>
    <cellStyle name="SAPBEXexcGood3 5 2 2 2" xfId="20346"/>
    <cellStyle name="SAPBEXexcGood3 5 2 2 2 2" xfId="20347"/>
    <cellStyle name="SAPBEXexcGood3 5 2 2 2 3" xfId="20348"/>
    <cellStyle name="SAPBEXexcGood3 5 2 2 3" xfId="20349"/>
    <cellStyle name="SAPBEXexcGood3 5 2 2 3 2" xfId="20350"/>
    <cellStyle name="SAPBEXexcGood3 5 2 2 3 3" xfId="20351"/>
    <cellStyle name="SAPBEXexcGood3 5 2 2 4" xfId="20352"/>
    <cellStyle name="SAPBEXexcGood3 5 2 2 4 2" xfId="20353"/>
    <cellStyle name="SAPBEXexcGood3 5 2 2 4 3" xfId="20354"/>
    <cellStyle name="SAPBEXexcGood3 5 2 2 5" xfId="20355"/>
    <cellStyle name="SAPBEXexcGood3 5 2 2 5 2" xfId="20356"/>
    <cellStyle name="SAPBEXexcGood3 5 2 2 5 3" xfId="20357"/>
    <cellStyle name="SAPBEXexcGood3 5 2 2 6" xfId="20358"/>
    <cellStyle name="SAPBEXexcGood3 5 2 2 6 2" xfId="20359"/>
    <cellStyle name="SAPBEXexcGood3 5 2 2 6 3" xfId="20360"/>
    <cellStyle name="SAPBEXexcGood3 5 2 2 7" xfId="20361"/>
    <cellStyle name="SAPBEXexcGood3 5 2 2 7 2" xfId="20362"/>
    <cellStyle name="SAPBEXexcGood3 5 2 2 7 3" xfId="20363"/>
    <cellStyle name="SAPBEXexcGood3 5 2 2 8" xfId="20364"/>
    <cellStyle name="SAPBEXexcGood3 5 2 2 8 2" xfId="20365"/>
    <cellStyle name="SAPBEXexcGood3 5 2 2 8 3" xfId="20366"/>
    <cellStyle name="SAPBEXexcGood3 5 2 2 9" xfId="20367"/>
    <cellStyle name="SAPBEXexcGood3 5 2 2 9 2" xfId="20368"/>
    <cellStyle name="SAPBEXexcGood3 5 2 2 9 3" xfId="20369"/>
    <cellStyle name="SAPBEXexcGood3 5 2 2_planning-WP" xfId="20370"/>
    <cellStyle name="SAPBEXexcGood3 5 2 3" xfId="5887"/>
    <cellStyle name="SAPBEXexcGood3 5 2 3 2" xfId="20372"/>
    <cellStyle name="SAPBEXexcGood3 5 2 3 3" xfId="20373"/>
    <cellStyle name="SAPBEXexcGood3 5 2 3 4" xfId="20371"/>
    <cellStyle name="SAPBEXexcGood3 5 2 4" xfId="6395"/>
    <cellStyle name="SAPBEXexcGood3 5 2 4 2" xfId="20375"/>
    <cellStyle name="SAPBEXexcGood3 5 2 4 3" xfId="20376"/>
    <cellStyle name="SAPBEXexcGood3 5 2 4 4" xfId="20374"/>
    <cellStyle name="SAPBEXexcGood3 5 2 5" xfId="6882"/>
    <cellStyle name="SAPBEXexcGood3 5 2 5 2" xfId="20378"/>
    <cellStyle name="SAPBEXexcGood3 5 2 5 3" xfId="20379"/>
    <cellStyle name="SAPBEXexcGood3 5 2 5 4" xfId="20377"/>
    <cellStyle name="SAPBEXexcGood3 5 2 6" xfId="7365"/>
    <cellStyle name="SAPBEXexcGood3 5 2 6 2" xfId="20381"/>
    <cellStyle name="SAPBEXexcGood3 5 2 6 3" xfId="20382"/>
    <cellStyle name="SAPBEXexcGood3 5 2 6 4" xfId="20380"/>
    <cellStyle name="SAPBEXexcGood3 5 2 7" xfId="8434"/>
    <cellStyle name="SAPBEXexcGood3 5 2 7 2" xfId="20384"/>
    <cellStyle name="SAPBEXexcGood3 5 2 7 3" xfId="20385"/>
    <cellStyle name="SAPBEXexcGood3 5 2 7 4" xfId="20383"/>
    <cellStyle name="SAPBEXexcGood3 5 2 8" xfId="8935"/>
    <cellStyle name="SAPBEXexcGood3 5 2 8 2" xfId="20387"/>
    <cellStyle name="SAPBEXexcGood3 5 2 8 3" xfId="20388"/>
    <cellStyle name="SAPBEXexcGood3 5 2 8 4" xfId="20386"/>
    <cellStyle name="SAPBEXexcGood3 5 2 9" xfId="9429"/>
    <cellStyle name="SAPBEXexcGood3 5 2 9 2" xfId="20390"/>
    <cellStyle name="SAPBEXexcGood3 5 2 9 3" xfId="20391"/>
    <cellStyle name="SAPBEXexcGood3 5 2 9 4" xfId="20389"/>
    <cellStyle name="SAPBEXexcGood3 5 2_planning-WP" xfId="20392"/>
    <cellStyle name="SAPBEXexcGood3 5 3" xfId="4577"/>
    <cellStyle name="SAPBEXexcGood3 5 3 10" xfId="20394"/>
    <cellStyle name="SAPBEXexcGood3 5 3 11" xfId="20393"/>
    <cellStyle name="SAPBEXexcGood3 5 3 2" xfId="20395"/>
    <cellStyle name="SAPBEXexcGood3 5 3 2 2" xfId="20396"/>
    <cellStyle name="SAPBEXexcGood3 5 3 2 3" xfId="20397"/>
    <cellStyle name="SAPBEXexcGood3 5 3 3" xfId="20398"/>
    <cellStyle name="SAPBEXexcGood3 5 3 3 2" xfId="20399"/>
    <cellStyle name="SAPBEXexcGood3 5 3 3 3" xfId="20400"/>
    <cellStyle name="SAPBEXexcGood3 5 3 4" xfId="20401"/>
    <cellStyle name="SAPBEXexcGood3 5 3 4 2" xfId="20402"/>
    <cellStyle name="SAPBEXexcGood3 5 3 4 3" xfId="20403"/>
    <cellStyle name="SAPBEXexcGood3 5 3 5" xfId="20404"/>
    <cellStyle name="SAPBEXexcGood3 5 3 5 2" xfId="20405"/>
    <cellStyle name="SAPBEXexcGood3 5 3 5 3" xfId="20406"/>
    <cellStyle name="SAPBEXexcGood3 5 3 6" xfId="20407"/>
    <cellStyle name="SAPBEXexcGood3 5 3 6 2" xfId="20408"/>
    <cellStyle name="SAPBEXexcGood3 5 3 6 3" xfId="20409"/>
    <cellStyle name="SAPBEXexcGood3 5 3 7" xfId="20410"/>
    <cellStyle name="SAPBEXexcGood3 5 3 7 2" xfId="20411"/>
    <cellStyle name="SAPBEXexcGood3 5 3 7 3" xfId="20412"/>
    <cellStyle name="SAPBEXexcGood3 5 3 8" xfId="20413"/>
    <cellStyle name="SAPBEXexcGood3 5 3 8 2" xfId="20414"/>
    <cellStyle name="SAPBEXexcGood3 5 3 8 3" xfId="20415"/>
    <cellStyle name="SAPBEXexcGood3 5 3 9" xfId="20416"/>
    <cellStyle name="SAPBEXexcGood3 5 3 9 2" xfId="20417"/>
    <cellStyle name="SAPBEXexcGood3 5 3 9 3" xfId="20418"/>
    <cellStyle name="SAPBEXexcGood3 5 3_planning-WP" xfId="20419"/>
    <cellStyle name="SAPBEXexcGood3 5 4" xfId="5569"/>
    <cellStyle name="SAPBEXexcGood3 5 4 10" xfId="20420"/>
    <cellStyle name="SAPBEXexcGood3 5 4 2" xfId="20421"/>
    <cellStyle name="SAPBEXexcGood3 5 4 2 2" xfId="20422"/>
    <cellStyle name="SAPBEXexcGood3 5 4 2 3" xfId="20423"/>
    <cellStyle name="SAPBEXexcGood3 5 4 3" xfId="20424"/>
    <cellStyle name="SAPBEXexcGood3 5 4 3 2" xfId="20425"/>
    <cellStyle name="SAPBEXexcGood3 5 4 3 3" xfId="20426"/>
    <cellStyle name="SAPBEXexcGood3 5 4 4" xfId="20427"/>
    <cellStyle name="SAPBEXexcGood3 5 4 4 2" xfId="20428"/>
    <cellStyle name="SAPBEXexcGood3 5 4 4 3" xfId="20429"/>
    <cellStyle name="SAPBEXexcGood3 5 4 5" xfId="20430"/>
    <cellStyle name="SAPBEXexcGood3 5 4 5 2" xfId="20431"/>
    <cellStyle name="SAPBEXexcGood3 5 4 5 3" xfId="20432"/>
    <cellStyle name="SAPBEXexcGood3 5 4 6" xfId="20433"/>
    <cellStyle name="SAPBEXexcGood3 5 4 6 2" xfId="20434"/>
    <cellStyle name="SAPBEXexcGood3 5 4 6 3" xfId="20435"/>
    <cellStyle name="SAPBEXexcGood3 5 4 7" xfId="20436"/>
    <cellStyle name="SAPBEXexcGood3 5 4 7 2" xfId="20437"/>
    <cellStyle name="SAPBEXexcGood3 5 4 7 3" xfId="20438"/>
    <cellStyle name="SAPBEXexcGood3 5 4 8" xfId="20439"/>
    <cellStyle name="SAPBEXexcGood3 5 4 8 2" xfId="20440"/>
    <cellStyle name="SAPBEXexcGood3 5 4 8 3" xfId="20441"/>
    <cellStyle name="SAPBEXexcGood3 5 4 9" xfId="20442"/>
    <cellStyle name="SAPBEXexcGood3 5 4_planning-WP" xfId="20443"/>
    <cellStyle name="SAPBEXexcGood3 5 5" xfId="6078"/>
    <cellStyle name="SAPBEXexcGood3 5 5 2" xfId="20445"/>
    <cellStyle name="SAPBEXexcGood3 5 5 3" xfId="20444"/>
    <cellStyle name="SAPBEXexcGood3 5 6" xfId="6565"/>
    <cellStyle name="SAPBEXexcGood3 5 6 2" xfId="20447"/>
    <cellStyle name="SAPBEXexcGood3 5 6 3" xfId="20448"/>
    <cellStyle name="SAPBEXexcGood3 5 6 4" xfId="20446"/>
    <cellStyle name="SAPBEXexcGood3 5 7" xfId="7048"/>
    <cellStyle name="SAPBEXexcGood3 5 7 2" xfId="20450"/>
    <cellStyle name="SAPBEXexcGood3 5 7 3" xfId="20451"/>
    <cellStyle name="SAPBEXexcGood3 5 7 4" xfId="20449"/>
    <cellStyle name="SAPBEXexcGood3 5 8" xfId="8117"/>
    <cellStyle name="SAPBEXexcGood3 5 8 2" xfId="20453"/>
    <cellStyle name="SAPBEXexcGood3 5 8 3" xfId="20454"/>
    <cellStyle name="SAPBEXexcGood3 5 8 4" xfId="20452"/>
    <cellStyle name="SAPBEXexcGood3 5 9" xfId="8618"/>
    <cellStyle name="SAPBEXexcGood3 5 9 2" xfId="20456"/>
    <cellStyle name="SAPBEXexcGood3 5 9 3" xfId="20457"/>
    <cellStyle name="SAPBEXexcGood3 5 9 4" xfId="20455"/>
    <cellStyle name="SAPBEXexcGood3 5_planning-WP" xfId="20458"/>
    <cellStyle name="SAPBEXexcGood3 6" xfId="1741"/>
    <cellStyle name="SAPBEXexcGood3 6 10" xfId="9196"/>
    <cellStyle name="SAPBEXexcGood3 6 10 2" xfId="20461"/>
    <cellStyle name="SAPBEXexcGood3 6 10 3" xfId="20462"/>
    <cellStyle name="SAPBEXexcGood3 6 10 4" xfId="20460"/>
    <cellStyle name="SAPBEXexcGood3 6 11" xfId="20463"/>
    <cellStyle name="SAPBEXexcGood3 6 11 2" xfId="20464"/>
    <cellStyle name="SAPBEXexcGood3 6 11 3" xfId="20465"/>
    <cellStyle name="SAPBEXexcGood3 6 12" xfId="20459"/>
    <cellStyle name="SAPBEXexcGood3 6 13" xfId="9935"/>
    <cellStyle name="SAPBEXexcGood3 6 14" xfId="38968"/>
    <cellStyle name="SAPBEXexcGood3 6 15" xfId="39374"/>
    <cellStyle name="SAPBEXexcGood3 6 2" xfId="2071"/>
    <cellStyle name="SAPBEXexcGood3 6 2 10" xfId="20467"/>
    <cellStyle name="SAPBEXexcGood3 6 2 11" xfId="20466"/>
    <cellStyle name="SAPBEXexcGood3 6 2 12" xfId="10246"/>
    <cellStyle name="SAPBEXexcGood3 6 2 2" xfId="4986"/>
    <cellStyle name="SAPBEXexcGood3 6 2 2 2" xfId="20469"/>
    <cellStyle name="SAPBEXexcGood3 6 2 2 3" xfId="20470"/>
    <cellStyle name="SAPBEXexcGood3 6 2 2 4" xfId="20468"/>
    <cellStyle name="SAPBEXexcGood3 6 2 3" xfId="5965"/>
    <cellStyle name="SAPBEXexcGood3 6 2 3 2" xfId="20472"/>
    <cellStyle name="SAPBEXexcGood3 6 2 3 3" xfId="20473"/>
    <cellStyle name="SAPBEXexcGood3 6 2 3 4" xfId="20471"/>
    <cellStyle name="SAPBEXexcGood3 6 2 4" xfId="6473"/>
    <cellStyle name="SAPBEXexcGood3 6 2 4 2" xfId="20475"/>
    <cellStyle name="SAPBEXexcGood3 6 2 4 3" xfId="20476"/>
    <cellStyle name="SAPBEXexcGood3 6 2 4 4" xfId="20474"/>
    <cellStyle name="SAPBEXexcGood3 6 2 5" xfId="6960"/>
    <cellStyle name="SAPBEXexcGood3 6 2 5 2" xfId="20478"/>
    <cellStyle name="SAPBEXexcGood3 6 2 5 3" xfId="20479"/>
    <cellStyle name="SAPBEXexcGood3 6 2 5 4" xfId="20477"/>
    <cellStyle name="SAPBEXexcGood3 6 2 6" xfId="7443"/>
    <cellStyle name="SAPBEXexcGood3 6 2 6 2" xfId="20481"/>
    <cellStyle name="SAPBEXexcGood3 6 2 6 3" xfId="20482"/>
    <cellStyle name="SAPBEXexcGood3 6 2 6 4" xfId="20480"/>
    <cellStyle name="SAPBEXexcGood3 6 2 7" xfId="8512"/>
    <cellStyle name="SAPBEXexcGood3 6 2 7 2" xfId="20484"/>
    <cellStyle name="SAPBEXexcGood3 6 2 7 3" xfId="20485"/>
    <cellStyle name="SAPBEXexcGood3 6 2 7 4" xfId="20483"/>
    <cellStyle name="SAPBEXexcGood3 6 2 8" xfId="9013"/>
    <cellStyle name="SAPBEXexcGood3 6 2 8 2" xfId="20487"/>
    <cellStyle name="SAPBEXexcGood3 6 2 8 3" xfId="20488"/>
    <cellStyle name="SAPBEXexcGood3 6 2 8 4" xfId="20486"/>
    <cellStyle name="SAPBEXexcGood3 6 2 9" xfId="9507"/>
    <cellStyle name="SAPBEXexcGood3 6 2 9 2" xfId="20490"/>
    <cellStyle name="SAPBEXexcGood3 6 2 9 3" xfId="20491"/>
    <cellStyle name="SAPBEXexcGood3 6 2 9 4" xfId="20489"/>
    <cellStyle name="SAPBEXexcGood3 6 2_planning-WP" xfId="20492"/>
    <cellStyle name="SAPBEXexcGood3 6 3" xfId="4662"/>
    <cellStyle name="SAPBEXexcGood3 6 3 10" xfId="20493"/>
    <cellStyle name="SAPBEXexcGood3 6 3 2" xfId="20494"/>
    <cellStyle name="SAPBEXexcGood3 6 3 2 2" xfId="20495"/>
    <cellStyle name="SAPBEXexcGood3 6 3 2 3" xfId="20496"/>
    <cellStyle name="SAPBEXexcGood3 6 3 3" xfId="20497"/>
    <cellStyle name="SAPBEXexcGood3 6 3 3 2" xfId="20498"/>
    <cellStyle name="SAPBEXexcGood3 6 3 3 3" xfId="20499"/>
    <cellStyle name="SAPBEXexcGood3 6 3 4" xfId="20500"/>
    <cellStyle name="SAPBEXexcGood3 6 3 4 2" xfId="20501"/>
    <cellStyle name="SAPBEXexcGood3 6 3 4 3" xfId="20502"/>
    <cellStyle name="SAPBEXexcGood3 6 3 5" xfId="20503"/>
    <cellStyle name="SAPBEXexcGood3 6 3 5 2" xfId="20504"/>
    <cellStyle name="SAPBEXexcGood3 6 3 5 3" xfId="20505"/>
    <cellStyle name="SAPBEXexcGood3 6 3 6" xfId="20506"/>
    <cellStyle name="SAPBEXexcGood3 6 3 6 2" xfId="20507"/>
    <cellStyle name="SAPBEXexcGood3 6 3 6 3" xfId="20508"/>
    <cellStyle name="SAPBEXexcGood3 6 3 7" xfId="20509"/>
    <cellStyle name="SAPBEXexcGood3 6 3 7 2" xfId="20510"/>
    <cellStyle name="SAPBEXexcGood3 6 3 7 3" xfId="20511"/>
    <cellStyle name="SAPBEXexcGood3 6 3 8" xfId="20512"/>
    <cellStyle name="SAPBEXexcGood3 6 3 8 2" xfId="20513"/>
    <cellStyle name="SAPBEXexcGood3 6 3 8 3" xfId="20514"/>
    <cellStyle name="SAPBEXexcGood3 6 3 9" xfId="20515"/>
    <cellStyle name="SAPBEXexcGood3 6 3_planning-WP" xfId="20516"/>
    <cellStyle name="SAPBEXexcGood3 6 4" xfId="5653"/>
    <cellStyle name="SAPBEXexcGood3 6 4 2" xfId="20518"/>
    <cellStyle name="SAPBEXexcGood3 6 4 3" xfId="20517"/>
    <cellStyle name="SAPBEXexcGood3 6 5" xfId="6162"/>
    <cellStyle name="SAPBEXexcGood3 6 5 2" xfId="20520"/>
    <cellStyle name="SAPBEXexcGood3 6 5 3" xfId="20521"/>
    <cellStyle name="SAPBEXexcGood3 6 5 4" xfId="20519"/>
    <cellStyle name="SAPBEXexcGood3 6 6" xfId="6649"/>
    <cellStyle name="SAPBEXexcGood3 6 6 2" xfId="20523"/>
    <cellStyle name="SAPBEXexcGood3 6 6 3" xfId="20524"/>
    <cellStyle name="SAPBEXexcGood3 6 6 4" xfId="20522"/>
    <cellStyle name="SAPBEXexcGood3 6 7" xfId="7132"/>
    <cellStyle name="SAPBEXexcGood3 6 7 2" xfId="20526"/>
    <cellStyle name="SAPBEXexcGood3 6 7 3" xfId="20527"/>
    <cellStyle name="SAPBEXexcGood3 6 7 4" xfId="20525"/>
    <cellStyle name="SAPBEXexcGood3 6 8" xfId="8201"/>
    <cellStyle name="SAPBEXexcGood3 6 8 2" xfId="20529"/>
    <cellStyle name="SAPBEXexcGood3 6 8 3" xfId="20530"/>
    <cellStyle name="SAPBEXexcGood3 6 8 4" xfId="20528"/>
    <cellStyle name="SAPBEXexcGood3 6 9" xfId="8702"/>
    <cellStyle name="SAPBEXexcGood3 6 9 2" xfId="20532"/>
    <cellStyle name="SAPBEXexcGood3 6 9 3" xfId="20533"/>
    <cellStyle name="SAPBEXexcGood3 6 9 4" xfId="20531"/>
    <cellStyle name="SAPBEXexcGood3 6_planning-WP" xfId="20534"/>
    <cellStyle name="SAPBEXexcGood3 7" xfId="1688"/>
    <cellStyle name="SAPBEXexcGood3 7 10" xfId="9146"/>
    <cellStyle name="SAPBEXexcGood3 7 10 2" xfId="20537"/>
    <cellStyle name="SAPBEXexcGood3 7 10 3" xfId="20538"/>
    <cellStyle name="SAPBEXexcGood3 7 10 4" xfId="20536"/>
    <cellStyle name="SAPBEXexcGood3 7 11" xfId="20539"/>
    <cellStyle name="SAPBEXexcGood3 7 12" xfId="20535"/>
    <cellStyle name="SAPBEXexcGood3 7 13" xfId="9885"/>
    <cellStyle name="SAPBEXexcGood3 7 14" xfId="38969"/>
    <cellStyle name="SAPBEXexcGood3 7 15" xfId="39375"/>
    <cellStyle name="SAPBEXexcGood3 7 2" xfId="2022"/>
    <cellStyle name="SAPBEXexcGood3 7 2 10" xfId="20541"/>
    <cellStyle name="SAPBEXexcGood3 7 2 11" xfId="20540"/>
    <cellStyle name="SAPBEXexcGood3 7 2 12" xfId="10200"/>
    <cellStyle name="SAPBEXexcGood3 7 2 2" xfId="4940"/>
    <cellStyle name="SAPBEXexcGood3 7 2 2 2" xfId="20543"/>
    <cellStyle name="SAPBEXexcGood3 7 2 2 3" xfId="20544"/>
    <cellStyle name="SAPBEXexcGood3 7 2 2 4" xfId="20542"/>
    <cellStyle name="SAPBEXexcGood3 7 2 3" xfId="5919"/>
    <cellStyle name="SAPBEXexcGood3 7 2 3 2" xfId="20546"/>
    <cellStyle name="SAPBEXexcGood3 7 2 3 3" xfId="20547"/>
    <cellStyle name="SAPBEXexcGood3 7 2 3 4" xfId="20545"/>
    <cellStyle name="SAPBEXexcGood3 7 2 4" xfId="6427"/>
    <cellStyle name="SAPBEXexcGood3 7 2 4 2" xfId="20549"/>
    <cellStyle name="SAPBEXexcGood3 7 2 4 3" xfId="20550"/>
    <cellStyle name="SAPBEXexcGood3 7 2 4 4" xfId="20548"/>
    <cellStyle name="SAPBEXexcGood3 7 2 5" xfId="6914"/>
    <cellStyle name="SAPBEXexcGood3 7 2 5 2" xfId="20552"/>
    <cellStyle name="SAPBEXexcGood3 7 2 5 3" xfId="20553"/>
    <cellStyle name="SAPBEXexcGood3 7 2 5 4" xfId="20551"/>
    <cellStyle name="SAPBEXexcGood3 7 2 6" xfId="7397"/>
    <cellStyle name="SAPBEXexcGood3 7 2 6 2" xfId="20555"/>
    <cellStyle name="SAPBEXexcGood3 7 2 6 3" xfId="20556"/>
    <cellStyle name="SAPBEXexcGood3 7 2 6 4" xfId="20554"/>
    <cellStyle name="SAPBEXexcGood3 7 2 7" xfId="8466"/>
    <cellStyle name="SAPBEXexcGood3 7 2 7 2" xfId="20558"/>
    <cellStyle name="SAPBEXexcGood3 7 2 7 3" xfId="20559"/>
    <cellStyle name="SAPBEXexcGood3 7 2 7 4" xfId="20557"/>
    <cellStyle name="SAPBEXexcGood3 7 2 8" xfId="8967"/>
    <cellStyle name="SAPBEXexcGood3 7 2 8 2" xfId="20561"/>
    <cellStyle name="SAPBEXexcGood3 7 2 8 3" xfId="20562"/>
    <cellStyle name="SAPBEXexcGood3 7 2 8 4" xfId="20560"/>
    <cellStyle name="SAPBEXexcGood3 7 2 9" xfId="9461"/>
    <cellStyle name="SAPBEXexcGood3 7 2 9 2" xfId="20564"/>
    <cellStyle name="SAPBEXexcGood3 7 2 9 3" xfId="20565"/>
    <cellStyle name="SAPBEXexcGood3 7 2 9 4" xfId="20563"/>
    <cellStyle name="SAPBEXexcGood3 7 2_planning-WP" xfId="20566"/>
    <cellStyle name="SAPBEXexcGood3 7 3" xfId="4611"/>
    <cellStyle name="SAPBEXexcGood3 7 3 2" xfId="20568"/>
    <cellStyle name="SAPBEXexcGood3 7 3 3" xfId="20569"/>
    <cellStyle name="SAPBEXexcGood3 7 3 4" xfId="20567"/>
    <cellStyle name="SAPBEXexcGood3 7 4" xfId="5603"/>
    <cellStyle name="SAPBEXexcGood3 7 4 2" xfId="20571"/>
    <cellStyle name="SAPBEXexcGood3 7 4 3" xfId="20572"/>
    <cellStyle name="SAPBEXexcGood3 7 4 4" xfId="20570"/>
    <cellStyle name="SAPBEXexcGood3 7 5" xfId="6112"/>
    <cellStyle name="SAPBEXexcGood3 7 5 2" xfId="20574"/>
    <cellStyle name="SAPBEXexcGood3 7 5 3" xfId="20575"/>
    <cellStyle name="SAPBEXexcGood3 7 5 4" xfId="20573"/>
    <cellStyle name="SAPBEXexcGood3 7 6" xfId="6599"/>
    <cellStyle name="SAPBEXexcGood3 7 6 2" xfId="20577"/>
    <cellStyle name="SAPBEXexcGood3 7 6 3" xfId="20578"/>
    <cellStyle name="SAPBEXexcGood3 7 6 4" xfId="20576"/>
    <cellStyle name="SAPBEXexcGood3 7 7" xfId="7082"/>
    <cellStyle name="SAPBEXexcGood3 7 7 2" xfId="20580"/>
    <cellStyle name="SAPBEXexcGood3 7 7 3" xfId="20581"/>
    <cellStyle name="SAPBEXexcGood3 7 7 4" xfId="20579"/>
    <cellStyle name="SAPBEXexcGood3 7 8" xfId="8151"/>
    <cellStyle name="SAPBEXexcGood3 7 8 2" xfId="20583"/>
    <cellStyle name="SAPBEXexcGood3 7 8 3" xfId="20584"/>
    <cellStyle name="SAPBEXexcGood3 7 8 4" xfId="20582"/>
    <cellStyle name="SAPBEXexcGood3 7 9" xfId="8652"/>
    <cellStyle name="SAPBEXexcGood3 7 9 2" xfId="20586"/>
    <cellStyle name="SAPBEXexcGood3 7 9 3" xfId="20587"/>
    <cellStyle name="SAPBEXexcGood3 7 9 4" xfId="20585"/>
    <cellStyle name="SAPBEXexcGood3 7_planning-WP" xfId="20588"/>
    <cellStyle name="SAPBEXexcGood3 8" xfId="1598"/>
    <cellStyle name="SAPBEXexcGood3 8 10" xfId="20590"/>
    <cellStyle name="SAPBEXexcGood3 8 11" xfId="20589"/>
    <cellStyle name="SAPBEXexcGood3 8 12" xfId="9795"/>
    <cellStyle name="SAPBEXexcGood3 8 2" xfId="4521"/>
    <cellStyle name="SAPBEXexcGood3 8 2 2" xfId="20592"/>
    <cellStyle name="SAPBEXexcGood3 8 2 3" xfId="20593"/>
    <cellStyle name="SAPBEXexcGood3 8 2 4" xfId="20591"/>
    <cellStyle name="SAPBEXexcGood3 8 3" xfId="5513"/>
    <cellStyle name="SAPBEXexcGood3 8 3 2" xfId="20595"/>
    <cellStyle name="SAPBEXexcGood3 8 3 3" xfId="20596"/>
    <cellStyle name="SAPBEXexcGood3 8 3 4" xfId="20594"/>
    <cellStyle name="SAPBEXexcGood3 8 4" xfId="3337"/>
    <cellStyle name="SAPBEXexcGood3 8 4 2" xfId="20598"/>
    <cellStyle name="SAPBEXexcGood3 8 4 3" xfId="20599"/>
    <cellStyle name="SAPBEXexcGood3 8 4 4" xfId="20597"/>
    <cellStyle name="SAPBEXexcGood3 8 5" xfId="3178"/>
    <cellStyle name="SAPBEXexcGood3 8 5 2" xfId="20601"/>
    <cellStyle name="SAPBEXexcGood3 8 5 3" xfId="20602"/>
    <cellStyle name="SAPBEXexcGood3 8 5 4" xfId="20600"/>
    <cellStyle name="SAPBEXexcGood3 8 6" xfId="5227"/>
    <cellStyle name="SAPBEXexcGood3 8 6 2" xfId="20604"/>
    <cellStyle name="SAPBEXexcGood3 8 6 3" xfId="20605"/>
    <cellStyle name="SAPBEXexcGood3 8 6 4" xfId="20603"/>
    <cellStyle name="SAPBEXexcGood3 8 7" xfId="8061"/>
    <cellStyle name="SAPBEXexcGood3 8 7 2" xfId="20607"/>
    <cellStyle name="SAPBEXexcGood3 8 7 3" xfId="20608"/>
    <cellStyle name="SAPBEXexcGood3 8 7 4" xfId="20606"/>
    <cellStyle name="SAPBEXexcGood3 8 8" xfId="8562"/>
    <cellStyle name="SAPBEXexcGood3 8 8 2" xfId="20610"/>
    <cellStyle name="SAPBEXexcGood3 8 8 3" xfId="20611"/>
    <cellStyle name="SAPBEXexcGood3 8 8 4" xfId="20609"/>
    <cellStyle name="SAPBEXexcGood3 8 9" xfId="7750"/>
    <cellStyle name="SAPBEXexcGood3 8 9 2" xfId="20613"/>
    <cellStyle name="SAPBEXexcGood3 8 9 3" xfId="20614"/>
    <cellStyle name="SAPBEXexcGood3 8 9 4" xfId="20612"/>
    <cellStyle name="SAPBEXexcGood3 8_planning-WP" xfId="20615"/>
    <cellStyle name="SAPBEXexcGood3 9" xfId="1435"/>
    <cellStyle name="SAPBEXexcGood3 9 10" xfId="20616"/>
    <cellStyle name="SAPBEXexcGood3 9 11" xfId="9633"/>
    <cellStyle name="SAPBEXexcGood3 9 2" xfId="4358"/>
    <cellStyle name="SAPBEXexcGood3 9 2 2" xfId="20618"/>
    <cellStyle name="SAPBEXexcGood3 9 2 3" xfId="20619"/>
    <cellStyle name="SAPBEXexcGood3 9 2 4" xfId="20617"/>
    <cellStyle name="SAPBEXexcGood3 9 3" xfId="5351"/>
    <cellStyle name="SAPBEXexcGood3 9 3 2" xfId="20621"/>
    <cellStyle name="SAPBEXexcGood3 9 3 3" xfId="20622"/>
    <cellStyle name="SAPBEXexcGood3 9 3 4" xfId="20620"/>
    <cellStyle name="SAPBEXexcGood3 9 4" xfId="5098"/>
    <cellStyle name="SAPBEXexcGood3 9 4 2" xfId="20624"/>
    <cellStyle name="SAPBEXexcGood3 9 4 3" xfId="20625"/>
    <cellStyle name="SAPBEXexcGood3 9 4 4" xfId="20623"/>
    <cellStyle name="SAPBEXexcGood3 9 5" xfId="5208"/>
    <cellStyle name="SAPBEXexcGood3 9 5 2" xfId="20627"/>
    <cellStyle name="SAPBEXexcGood3 9 5 3" xfId="20628"/>
    <cellStyle name="SAPBEXexcGood3 9 5 4" xfId="20626"/>
    <cellStyle name="SAPBEXexcGood3 9 6" xfId="5276"/>
    <cellStyle name="SAPBEXexcGood3 9 6 2" xfId="20630"/>
    <cellStyle name="SAPBEXexcGood3 9 6 3" xfId="20631"/>
    <cellStyle name="SAPBEXexcGood3 9 6 4" xfId="20629"/>
    <cellStyle name="SAPBEXexcGood3 9 7" xfId="7899"/>
    <cellStyle name="SAPBEXexcGood3 9 7 2" xfId="20633"/>
    <cellStyle name="SAPBEXexcGood3 9 7 3" xfId="20634"/>
    <cellStyle name="SAPBEXexcGood3 9 7 4" xfId="20632"/>
    <cellStyle name="SAPBEXexcGood3 9 8" xfId="7789"/>
    <cellStyle name="SAPBEXexcGood3 9 8 2" xfId="20636"/>
    <cellStyle name="SAPBEXexcGood3 9 8 3" xfId="20637"/>
    <cellStyle name="SAPBEXexcGood3 9 8 4" xfId="20635"/>
    <cellStyle name="SAPBEXexcGood3 9 9" xfId="7844"/>
    <cellStyle name="SAPBEXexcGood3 9 9 2" xfId="20638"/>
    <cellStyle name="SAPBEXexcGood3 9_planning-WP" xfId="20639"/>
    <cellStyle name="SAPBEXexcGood3_19.RessDest CUC CS SEE+SEM 1009" xfId="38970"/>
    <cellStyle name="SAPBEXfilterDrill" xfId="282"/>
    <cellStyle name="SAPBEXfilterDrill 10" xfId="20641"/>
    <cellStyle name="SAPBEXfilterDrill 10 2" xfId="20642"/>
    <cellStyle name="SAPBEXfilterDrill 11" xfId="20643"/>
    <cellStyle name="SAPBEXfilterDrill 11 2" xfId="20644"/>
    <cellStyle name="SAPBEXfilterDrill 12" xfId="20645"/>
    <cellStyle name="SAPBEXfilterDrill 13" xfId="20640"/>
    <cellStyle name="SAPBEXfilterDrill 2" xfId="20646"/>
    <cellStyle name="SAPBEXfilterDrill 2 10" xfId="20647"/>
    <cellStyle name="SAPBEXfilterDrill 2 10 2" xfId="20648"/>
    <cellStyle name="SAPBEXfilterDrill 2 11" xfId="20649"/>
    <cellStyle name="SAPBEXfilterDrill 2 12" xfId="38971"/>
    <cellStyle name="SAPBEXfilterDrill 2 2" xfId="20650"/>
    <cellStyle name="SAPBEXfilterDrill 2 2 2" xfId="20651"/>
    <cellStyle name="SAPBEXfilterDrill 2 2 2 2" xfId="20652"/>
    <cellStyle name="SAPBEXfilterDrill 2 2 3" xfId="20653"/>
    <cellStyle name="SAPBEXfilterDrill 2 2 3 2" xfId="20654"/>
    <cellStyle name="SAPBEXfilterDrill 2 2 4" xfId="20655"/>
    <cellStyle name="SAPBEXfilterDrill 2 2 4 2" xfId="20656"/>
    <cellStyle name="SAPBEXfilterDrill 2 2 5" xfId="20657"/>
    <cellStyle name="SAPBEXfilterDrill 2 2 5 2" xfId="20658"/>
    <cellStyle name="SAPBEXfilterDrill 2 2 6" xfId="20659"/>
    <cellStyle name="SAPBEXfilterDrill 2 2 6 2" xfId="20660"/>
    <cellStyle name="SAPBEXfilterDrill 2 2 7" xfId="20661"/>
    <cellStyle name="SAPBEXfilterDrill 2 2 7 2" xfId="20662"/>
    <cellStyle name="SAPBEXfilterDrill 2 2 8" xfId="20663"/>
    <cellStyle name="SAPBEXfilterDrill 2 2_planning-WP" xfId="20664"/>
    <cellStyle name="SAPBEXfilterDrill 2 3" xfId="20665"/>
    <cellStyle name="SAPBEXfilterDrill 2 3 2" xfId="20666"/>
    <cellStyle name="SAPBEXfilterDrill 2 3 2 2" xfId="20667"/>
    <cellStyle name="SAPBEXfilterDrill 2 3 3" xfId="20668"/>
    <cellStyle name="SAPBEXfilterDrill 2 3 3 2" xfId="20669"/>
    <cellStyle name="SAPBEXfilterDrill 2 3 4" xfId="20670"/>
    <cellStyle name="SAPBEXfilterDrill 2 3 4 2" xfId="20671"/>
    <cellStyle name="SAPBEXfilterDrill 2 3 5" xfId="20672"/>
    <cellStyle name="SAPBEXfilterDrill 2 3 5 2" xfId="20673"/>
    <cellStyle name="SAPBEXfilterDrill 2 3 6" xfId="20674"/>
    <cellStyle name="SAPBEXfilterDrill 2 3 6 2" xfId="20675"/>
    <cellStyle name="SAPBEXfilterDrill 2 3 7" xfId="20676"/>
    <cellStyle name="SAPBEXfilterDrill 2 3 7 2" xfId="20677"/>
    <cellStyle name="SAPBEXfilterDrill 2 3 8" xfId="20678"/>
    <cellStyle name="SAPBEXfilterDrill 2 3_planning-WP" xfId="20679"/>
    <cellStyle name="SAPBEXfilterDrill 2 4" xfId="20680"/>
    <cellStyle name="SAPBEXfilterDrill 2 4 2" xfId="20681"/>
    <cellStyle name="SAPBEXfilterDrill 2 5" xfId="20682"/>
    <cellStyle name="SAPBEXfilterDrill 2 5 2" xfId="20683"/>
    <cellStyle name="SAPBEXfilterDrill 2 6" xfId="20684"/>
    <cellStyle name="SAPBEXfilterDrill 2 6 2" xfId="20685"/>
    <cellStyle name="SAPBEXfilterDrill 2 7" xfId="20686"/>
    <cellStyle name="SAPBEXfilterDrill 2 7 2" xfId="20687"/>
    <cellStyle name="SAPBEXfilterDrill 2 8" xfId="20688"/>
    <cellStyle name="SAPBEXfilterDrill 2 8 2" xfId="20689"/>
    <cellStyle name="SAPBEXfilterDrill 2 9" xfId="20690"/>
    <cellStyle name="SAPBEXfilterDrill 2 9 2" xfId="20691"/>
    <cellStyle name="SAPBEXfilterDrill 2_planning-WP" xfId="20692"/>
    <cellStyle name="SAPBEXfilterDrill 3" xfId="20693"/>
    <cellStyle name="SAPBEXfilterDrill 3 10" xfId="38972"/>
    <cellStyle name="SAPBEXfilterDrill 3 11" xfId="39376"/>
    <cellStyle name="SAPBEXfilterDrill 3 2" xfId="20694"/>
    <cellStyle name="SAPBEXfilterDrill 3 2 2" xfId="20695"/>
    <cellStyle name="SAPBEXfilterDrill 3 3" xfId="20696"/>
    <cellStyle name="SAPBEXfilterDrill 3 3 2" xfId="20697"/>
    <cellStyle name="SAPBEXfilterDrill 3 4" xfId="20698"/>
    <cellStyle name="SAPBEXfilterDrill 3 4 2" xfId="20699"/>
    <cellStyle name="SAPBEXfilterDrill 3 5" xfId="20700"/>
    <cellStyle name="SAPBEXfilterDrill 3 5 2" xfId="20701"/>
    <cellStyle name="SAPBEXfilterDrill 3 6" xfId="20702"/>
    <cellStyle name="SAPBEXfilterDrill 3 6 2" xfId="20703"/>
    <cellStyle name="SAPBEXfilterDrill 3 7" xfId="20704"/>
    <cellStyle name="SAPBEXfilterDrill 3 7 2" xfId="20705"/>
    <cellStyle name="SAPBEXfilterDrill 3 8" xfId="20706"/>
    <cellStyle name="SAPBEXfilterDrill 3 9" xfId="20707"/>
    <cellStyle name="SAPBEXfilterDrill 3_planning-WP" xfId="20708"/>
    <cellStyle name="SAPBEXfilterDrill 4" xfId="20709"/>
    <cellStyle name="SAPBEXfilterDrill 4 10" xfId="38973"/>
    <cellStyle name="SAPBEXfilterDrill 4 11" xfId="39377"/>
    <cellStyle name="SAPBEXfilterDrill 4 2" xfId="20710"/>
    <cellStyle name="SAPBEXfilterDrill 4 2 2" xfId="20711"/>
    <cellStyle name="SAPBEXfilterDrill 4 3" xfId="20712"/>
    <cellStyle name="SAPBEXfilterDrill 4 3 2" xfId="20713"/>
    <cellStyle name="SAPBEXfilterDrill 4 4" xfId="20714"/>
    <cellStyle name="SAPBEXfilterDrill 4 4 2" xfId="20715"/>
    <cellStyle name="SAPBEXfilterDrill 4 5" xfId="20716"/>
    <cellStyle name="SAPBEXfilterDrill 4 5 2" xfId="20717"/>
    <cellStyle name="SAPBEXfilterDrill 4 6" xfId="20718"/>
    <cellStyle name="SAPBEXfilterDrill 4 6 2" xfId="20719"/>
    <cellStyle name="SAPBEXfilterDrill 4 7" xfId="20720"/>
    <cellStyle name="SAPBEXfilterDrill 4 7 2" xfId="20721"/>
    <cellStyle name="SAPBEXfilterDrill 4 8" xfId="20722"/>
    <cellStyle name="SAPBEXfilterDrill 4 9" xfId="20723"/>
    <cellStyle name="SAPBEXfilterDrill 4_planning-WP" xfId="20724"/>
    <cellStyle name="SAPBEXfilterDrill 5" xfId="20725"/>
    <cellStyle name="SAPBEXfilterDrill 5 2" xfId="20726"/>
    <cellStyle name="SAPBEXfilterDrill 5 3" xfId="20727"/>
    <cellStyle name="SAPBEXfilterDrill 5 4" xfId="38974"/>
    <cellStyle name="SAPBEXfilterDrill 5 5" xfId="39378"/>
    <cellStyle name="SAPBEXfilterDrill 6" xfId="20728"/>
    <cellStyle name="SAPBEXfilterDrill 6 2" xfId="20729"/>
    <cellStyle name="SAPBEXfilterDrill 6 3" xfId="38975"/>
    <cellStyle name="SAPBEXfilterDrill 6 4" xfId="39379"/>
    <cellStyle name="SAPBEXfilterDrill 7" xfId="20730"/>
    <cellStyle name="SAPBEXfilterDrill 7 2" xfId="20731"/>
    <cellStyle name="SAPBEXfilterDrill 8" xfId="20732"/>
    <cellStyle name="SAPBEXfilterDrill 8 2" xfId="20733"/>
    <cellStyle name="SAPBEXfilterDrill 9" xfId="20734"/>
    <cellStyle name="SAPBEXfilterDrill 9 2" xfId="20735"/>
    <cellStyle name="SAPBEXfilterDrill_planning-WP" xfId="20736"/>
    <cellStyle name="SAPBEXfilterItem" xfId="283"/>
    <cellStyle name="SAPBEXfilterItem 2" xfId="20738"/>
    <cellStyle name="SAPBEXfilterItem 2 2" xfId="20739"/>
    <cellStyle name="SAPBEXfilterItem 3" xfId="20740"/>
    <cellStyle name="SAPBEXfilterItem 3 2" xfId="38976"/>
    <cellStyle name="SAPBEXfilterItem 3 3" xfId="39380"/>
    <cellStyle name="SAPBEXfilterItem 4" xfId="20741"/>
    <cellStyle name="SAPBEXfilterItem 4 2" xfId="38977"/>
    <cellStyle name="SAPBEXfilterItem 4 3" xfId="39381"/>
    <cellStyle name="SAPBEXfilterItem 5" xfId="20742"/>
    <cellStyle name="SAPBEXfilterItem 5 2" xfId="38978"/>
    <cellStyle name="SAPBEXfilterItem 5 3" xfId="39382"/>
    <cellStyle name="SAPBEXfilterItem 6" xfId="20737"/>
    <cellStyle name="SAPBEXfilterItem 6 2" xfId="38979"/>
    <cellStyle name="SAPBEXfilterItem 6 3" xfId="39383"/>
    <cellStyle name="SAPBEXfilterItem 7" xfId="38980"/>
    <cellStyle name="SAPBEXfilterItem 7 2" xfId="39384"/>
    <cellStyle name="SAPBEXfilterItem_19.RessDest CUC CS SEE+SEM 1009" xfId="38981"/>
    <cellStyle name="SAPBEXfilterText" xfId="284"/>
    <cellStyle name="SAPBEXfilterText 2" xfId="20743"/>
    <cellStyle name="SAPBEXfilterText 3" xfId="38982"/>
    <cellStyle name="SAPBEXfilterText 4" xfId="38983"/>
    <cellStyle name="SAPBEXfilterText 5" xfId="38984"/>
    <cellStyle name="SAPBEXfilterText 6" xfId="38985"/>
    <cellStyle name="SAPBEXfilterText 7" xfId="38986"/>
    <cellStyle name="SAPBEXfilterText_19.RessDest CUC CS SEE+SEM 1009" xfId="38987"/>
    <cellStyle name="SAPBEXformats" xfId="285"/>
    <cellStyle name="SAPBEXformats 10" xfId="20745"/>
    <cellStyle name="SAPBEXformats 10 2" xfId="20746"/>
    <cellStyle name="SAPBEXformats 11" xfId="20747"/>
    <cellStyle name="SAPBEXformats 11 2" xfId="20748"/>
    <cellStyle name="SAPBEXformats 11 3" xfId="20749"/>
    <cellStyle name="SAPBEXformats 12" xfId="20750"/>
    <cellStyle name="SAPBEXformats 12 2" xfId="20751"/>
    <cellStyle name="SAPBEXformats 12 3" xfId="20752"/>
    <cellStyle name="SAPBEXformats 13" xfId="20753"/>
    <cellStyle name="SAPBEXformats 13 2" xfId="20754"/>
    <cellStyle name="SAPBEXformats 13 3" xfId="20755"/>
    <cellStyle name="SAPBEXformats 14" xfId="20756"/>
    <cellStyle name="SAPBEXformats 14 2" xfId="20757"/>
    <cellStyle name="SAPBEXformats 14 3" xfId="20758"/>
    <cellStyle name="SAPBEXformats 15" xfId="20759"/>
    <cellStyle name="SAPBEXformats 15 2" xfId="20760"/>
    <cellStyle name="SAPBEXformats 15 3" xfId="20761"/>
    <cellStyle name="SAPBEXformats 16" xfId="20762"/>
    <cellStyle name="SAPBEXformats 16 2" xfId="20763"/>
    <cellStyle name="SAPBEXformats 16 3" xfId="20764"/>
    <cellStyle name="SAPBEXformats 17" xfId="20765"/>
    <cellStyle name="SAPBEXformats 17 2" xfId="20766"/>
    <cellStyle name="SAPBEXformats 17 3" xfId="20767"/>
    <cellStyle name="SAPBEXformats 18" xfId="20768"/>
    <cellStyle name="SAPBEXformats 19" xfId="20744"/>
    <cellStyle name="SAPBEXformats 2" xfId="899"/>
    <cellStyle name="SAPBEXformats 2 10" xfId="20770"/>
    <cellStyle name="SAPBEXformats 2 10 2" xfId="20771"/>
    <cellStyle name="SAPBEXformats 2 10 3" xfId="20772"/>
    <cellStyle name="SAPBEXformats 2 11" xfId="20773"/>
    <cellStyle name="SAPBEXformats 2 11 2" xfId="20774"/>
    <cellStyle name="SAPBEXformats 2 11 3" xfId="20775"/>
    <cellStyle name="SAPBEXformats 2 12" xfId="20776"/>
    <cellStyle name="SAPBEXformats 2 12 2" xfId="20777"/>
    <cellStyle name="SAPBEXformats 2 12 3" xfId="20778"/>
    <cellStyle name="SAPBEXformats 2 13" xfId="20779"/>
    <cellStyle name="SAPBEXformats 2 14" xfId="20769"/>
    <cellStyle name="SAPBEXformats 2 15" xfId="9583"/>
    <cellStyle name="SAPBEXformats 2 16" xfId="38989"/>
    <cellStyle name="SAPBEXformats 2 17" xfId="39386"/>
    <cellStyle name="SAPBEXformats 2 2" xfId="1966"/>
    <cellStyle name="SAPBEXformats 2 2 10" xfId="20781"/>
    <cellStyle name="SAPBEXformats 2 2 10 2" xfId="20782"/>
    <cellStyle name="SAPBEXformats 2 2 10 3" xfId="20783"/>
    <cellStyle name="SAPBEXformats 2 2 11" xfId="20784"/>
    <cellStyle name="SAPBEXformats 2 2 12" xfId="20780"/>
    <cellStyle name="SAPBEXformats 2 2 13" xfId="10144"/>
    <cellStyle name="SAPBEXformats 2 2 2" xfId="4884"/>
    <cellStyle name="SAPBEXformats 2 2 2 10" xfId="20786"/>
    <cellStyle name="SAPBEXformats 2 2 2 11" xfId="20785"/>
    <cellStyle name="SAPBEXformats 2 2 2 2" xfId="20787"/>
    <cellStyle name="SAPBEXformats 2 2 2 2 2" xfId="20788"/>
    <cellStyle name="SAPBEXformats 2 2 2 2 3" xfId="20789"/>
    <cellStyle name="SAPBEXformats 2 2 2 3" xfId="20790"/>
    <cellStyle name="SAPBEXformats 2 2 2 3 2" xfId="20791"/>
    <cellStyle name="SAPBEXformats 2 2 2 3 3" xfId="20792"/>
    <cellStyle name="SAPBEXformats 2 2 2 4" xfId="20793"/>
    <cellStyle name="SAPBEXformats 2 2 2 4 2" xfId="20794"/>
    <cellStyle name="SAPBEXformats 2 2 2 4 3" xfId="20795"/>
    <cellStyle name="SAPBEXformats 2 2 2 5" xfId="20796"/>
    <cellStyle name="SAPBEXformats 2 2 2 5 2" xfId="20797"/>
    <cellStyle name="SAPBEXformats 2 2 2 5 3" xfId="20798"/>
    <cellStyle name="SAPBEXformats 2 2 2 6" xfId="20799"/>
    <cellStyle name="SAPBEXformats 2 2 2 6 2" xfId="20800"/>
    <cellStyle name="SAPBEXformats 2 2 2 6 3" xfId="20801"/>
    <cellStyle name="SAPBEXformats 2 2 2 7" xfId="20802"/>
    <cellStyle name="SAPBEXformats 2 2 2 7 2" xfId="20803"/>
    <cellStyle name="SAPBEXformats 2 2 2 7 3" xfId="20804"/>
    <cellStyle name="SAPBEXformats 2 2 2 8" xfId="20805"/>
    <cellStyle name="SAPBEXformats 2 2 2 8 2" xfId="20806"/>
    <cellStyle name="SAPBEXformats 2 2 2 8 3" xfId="20807"/>
    <cellStyle name="SAPBEXformats 2 2 2 9" xfId="20808"/>
    <cellStyle name="SAPBEXformats 2 2 2 9 2" xfId="20809"/>
    <cellStyle name="SAPBEXformats 2 2 2 9 3" xfId="20810"/>
    <cellStyle name="SAPBEXformats 2 2 2_planning-WP" xfId="20811"/>
    <cellStyle name="SAPBEXformats 2 2 3" xfId="5863"/>
    <cellStyle name="SAPBEXformats 2 2 3 2" xfId="20813"/>
    <cellStyle name="SAPBEXformats 2 2 3 3" xfId="20814"/>
    <cellStyle name="SAPBEXformats 2 2 3 4" xfId="20812"/>
    <cellStyle name="SAPBEXformats 2 2 4" xfId="6371"/>
    <cellStyle name="SAPBEXformats 2 2 4 2" xfId="20816"/>
    <cellStyle name="SAPBEXformats 2 2 4 3" xfId="20817"/>
    <cellStyle name="SAPBEXformats 2 2 4 4" xfId="20815"/>
    <cellStyle name="SAPBEXformats 2 2 5" xfId="6858"/>
    <cellStyle name="SAPBEXformats 2 2 5 2" xfId="20819"/>
    <cellStyle name="SAPBEXformats 2 2 5 3" xfId="20820"/>
    <cellStyle name="SAPBEXformats 2 2 5 4" xfId="20818"/>
    <cellStyle name="SAPBEXformats 2 2 6" xfId="7341"/>
    <cellStyle name="SAPBEXformats 2 2 6 2" xfId="20822"/>
    <cellStyle name="SAPBEXformats 2 2 6 3" xfId="20823"/>
    <cellStyle name="SAPBEXformats 2 2 6 4" xfId="20821"/>
    <cellStyle name="SAPBEXformats 2 2 7" xfId="8410"/>
    <cellStyle name="SAPBEXformats 2 2 7 2" xfId="20825"/>
    <cellStyle name="SAPBEXformats 2 2 7 3" xfId="20826"/>
    <cellStyle name="SAPBEXformats 2 2 7 4" xfId="20824"/>
    <cellStyle name="SAPBEXformats 2 2 8" xfId="8911"/>
    <cellStyle name="SAPBEXformats 2 2 8 2" xfId="20828"/>
    <cellStyle name="SAPBEXformats 2 2 8 3" xfId="20829"/>
    <cellStyle name="SAPBEXformats 2 2 8 4" xfId="20827"/>
    <cellStyle name="SAPBEXformats 2 2 9" xfId="9405"/>
    <cellStyle name="SAPBEXformats 2 2 9 2" xfId="20831"/>
    <cellStyle name="SAPBEXformats 2 2 9 3" xfId="20832"/>
    <cellStyle name="SAPBEXformats 2 2 9 4" xfId="20830"/>
    <cellStyle name="SAPBEXformats 2 2_planning-WP" xfId="20833"/>
    <cellStyle name="SAPBEXformats 2 3" xfId="1628"/>
    <cellStyle name="SAPBEXformats 2 3 10" xfId="20835"/>
    <cellStyle name="SAPBEXformats 2 3 11" xfId="20834"/>
    <cellStyle name="SAPBEXformats 2 3 12" xfId="9825"/>
    <cellStyle name="SAPBEXformats 2 3 2" xfId="4551"/>
    <cellStyle name="SAPBEXformats 2 3 2 2" xfId="20837"/>
    <cellStyle name="SAPBEXformats 2 3 2 3" xfId="20838"/>
    <cellStyle name="SAPBEXformats 2 3 2 4" xfId="20836"/>
    <cellStyle name="SAPBEXformats 2 3 3" xfId="5543"/>
    <cellStyle name="SAPBEXformats 2 3 3 2" xfId="20840"/>
    <cellStyle name="SAPBEXformats 2 3 3 3" xfId="20841"/>
    <cellStyle name="SAPBEXformats 2 3 3 4" xfId="20839"/>
    <cellStyle name="SAPBEXformats 2 3 4" xfId="6052"/>
    <cellStyle name="SAPBEXformats 2 3 4 2" xfId="20843"/>
    <cellStyle name="SAPBEXformats 2 3 4 3" xfId="20844"/>
    <cellStyle name="SAPBEXformats 2 3 4 4" xfId="20842"/>
    <cellStyle name="SAPBEXformats 2 3 5" xfId="6539"/>
    <cellStyle name="SAPBEXformats 2 3 5 2" xfId="20846"/>
    <cellStyle name="SAPBEXformats 2 3 5 3" xfId="20847"/>
    <cellStyle name="SAPBEXformats 2 3 5 4" xfId="20845"/>
    <cellStyle name="SAPBEXformats 2 3 6" xfId="7022"/>
    <cellStyle name="SAPBEXformats 2 3 6 2" xfId="20849"/>
    <cellStyle name="SAPBEXformats 2 3 6 3" xfId="20850"/>
    <cellStyle name="SAPBEXformats 2 3 6 4" xfId="20848"/>
    <cellStyle name="SAPBEXformats 2 3 7" xfId="8091"/>
    <cellStyle name="SAPBEXformats 2 3 7 2" xfId="20852"/>
    <cellStyle name="SAPBEXformats 2 3 7 3" xfId="20853"/>
    <cellStyle name="SAPBEXformats 2 3 7 4" xfId="20851"/>
    <cellStyle name="SAPBEXformats 2 3 8" xfId="8592"/>
    <cellStyle name="SAPBEXformats 2 3 8 2" xfId="20855"/>
    <cellStyle name="SAPBEXformats 2 3 8 3" xfId="20856"/>
    <cellStyle name="SAPBEXformats 2 3 8 4" xfId="20854"/>
    <cellStyle name="SAPBEXformats 2 3 9" xfId="9086"/>
    <cellStyle name="SAPBEXformats 2 3 9 2" xfId="20858"/>
    <cellStyle name="SAPBEXformats 2 3 9 3" xfId="20859"/>
    <cellStyle name="SAPBEXformats 2 3 9 4" xfId="20857"/>
    <cellStyle name="SAPBEXformats 2 3_planning-WP" xfId="20860"/>
    <cellStyle name="SAPBEXformats 2 4" xfId="20861"/>
    <cellStyle name="SAPBEXformats 2 4 2" xfId="20862"/>
    <cellStyle name="SAPBEXformats 2 4 2 2" xfId="20863"/>
    <cellStyle name="SAPBEXformats 2 4 2 3" xfId="20864"/>
    <cellStyle name="SAPBEXformats 2 4 3" xfId="20865"/>
    <cellStyle name="SAPBEXformats 2 4 3 2" xfId="20866"/>
    <cellStyle name="SAPBEXformats 2 4 3 3" xfId="20867"/>
    <cellStyle name="SAPBEXformats 2 4 4" xfId="20868"/>
    <cellStyle name="SAPBEXformats 2 4 4 2" xfId="20869"/>
    <cellStyle name="SAPBEXformats 2 4 4 3" xfId="20870"/>
    <cellStyle name="SAPBEXformats 2 4 5" xfId="20871"/>
    <cellStyle name="SAPBEXformats 2 4 5 2" xfId="20872"/>
    <cellStyle name="SAPBEXformats 2 4 5 3" xfId="20873"/>
    <cellStyle name="SAPBEXformats 2 4 6" xfId="20874"/>
    <cellStyle name="SAPBEXformats 2 4 6 2" xfId="20875"/>
    <cellStyle name="SAPBEXformats 2 4 6 3" xfId="20876"/>
    <cellStyle name="SAPBEXformats 2 4 7" xfId="20877"/>
    <cellStyle name="SAPBEXformats 2 4 7 2" xfId="20878"/>
    <cellStyle name="SAPBEXformats 2 4 7 3" xfId="20879"/>
    <cellStyle name="SAPBEXformats 2 4 8" xfId="20880"/>
    <cellStyle name="SAPBEXformats 2 4 8 2" xfId="20881"/>
    <cellStyle name="SAPBEXformats 2 4 8 3" xfId="20882"/>
    <cellStyle name="SAPBEXformats 2 4 9" xfId="20883"/>
    <cellStyle name="SAPBEXformats 2 4_planning-WP" xfId="20884"/>
    <cellStyle name="SAPBEXformats 2 5" xfId="20885"/>
    <cellStyle name="SAPBEXformats 2 5 2" xfId="20886"/>
    <cellStyle name="SAPBEXformats 2 6" xfId="20887"/>
    <cellStyle name="SAPBEXformats 2 6 2" xfId="20888"/>
    <cellStyle name="SAPBEXformats 2 6 3" xfId="20889"/>
    <cellStyle name="SAPBEXformats 2 7" xfId="20890"/>
    <cellStyle name="SAPBEXformats 2 7 2" xfId="20891"/>
    <cellStyle name="SAPBEXformats 2 7 3" xfId="20892"/>
    <cellStyle name="SAPBEXformats 2 8" xfId="20893"/>
    <cellStyle name="SAPBEXformats 2 8 2" xfId="20894"/>
    <cellStyle name="SAPBEXformats 2 8 3" xfId="20895"/>
    <cellStyle name="SAPBEXformats 2 9" xfId="20896"/>
    <cellStyle name="SAPBEXformats 2 9 2" xfId="20897"/>
    <cellStyle name="SAPBEXformats 2 9 3" xfId="20898"/>
    <cellStyle name="SAPBEXformats 2_planning-WP" xfId="20899"/>
    <cellStyle name="SAPBEXformats 20" xfId="38988"/>
    <cellStyle name="SAPBEXformats 21" xfId="39385"/>
    <cellStyle name="SAPBEXformats 3" xfId="1599"/>
    <cellStyle name="SAPBEXformats 3 10" xfId="7751"/>
    <cellStyle name="SAPBEXformats 3 10 2" xfId="20902"/>
    <cellStyle name="SAPBEXformats 3 10 3" xfId="20903"/>
    <cellStyle name="SAPBEXformats 3 10 4" xfId="20901"/>
    <cellStyle name="SAPBEXformats 3 11" xfId="20904"/>
    <cellStyle name="SAPBEXformats 3 11 2" xfId="20905"/>
    <cellStyle name="SAPBEXformats 3 11 3" xfId="20906"/>
    <cellStyle name="SAPBEXformats 3 12" xfId="20907"/>
    <cellStyle name="SAPBEXformats 3 12 2" xfId="20908"/>
    <cellStyle name="SAPBEXformats 3 12 3" xfId="20909"/>
    <cellStyle name="SAPBEXformats 3 13" xfId="20910"/>
    <cellStyle name="SAPBEXformats 3 14" xfId="20900"/>
    <cellStyle name="SAPBEXformats 3 15" xfId="9796"/>
    <cellStyle name="SAPBEXformats 3 16" xfId="38990"/>
    <cellStyle name="SAPBEXformats 3 17" xfId="39387"/>
    <cellStyle name="SAPBEXformats 3 2" xfId="1940"/>
    <cellStyle name="SAPBEXformats 3 2 10" xfId="20912"/>
    <cellStyle name="SAPBEXformats 3 2 10 2" xfId="20913"/>
    <cellStyle name="SAPBEXformats 3 2 10 2 2" xfId="20914"/>
    <cellStyle name="SAPBEXformats 3 2 10 3" xfId="20915"/>
    <cellStyle name="SAPBEXformats 3 2 11" xfId="20916"/>
    <cellStyle name="SAPBEXformats 3 2 12" xfId="20911"/>
    <cellStyle name="SAPBEXformats 3 2 13" xfId="10118"/>
    <cellStyle name="SAPBEXformats 3 2 2" xfId="4858"/>
    <cellStyle name="SAPBEXformats 3 2 2 10" xfId="20918"/>
    <cellStyle name="SAPBEXformats 3 2 2 10 2" xfId="20919"/>
    <cellStyle name="SAPBEXformats 3 2 2 11" xfId="20917"/>
    <cellStyle name="SAPBEXformats 3 2 2 2" xfId="20920"/>
    <cellStyle name="SAPBEXformats 3 2 2 2 2" xfId="20921"/>
    <cellStyle name="SAPBEXformats 3 2 2 2 2 2" xfId="20922"/>
    <cellStyle name="SAPBEXformats 3 2 2 2 3" xfId="20923"/>
    <cellStyle name="SAPBEXformats 3 2 2 3" xfId="20924"/>
    <cellStyle name="SAPBEXformats 3 2 2 3 2" xfId="20925"/>
    <cellStyle name="SAPBEXformats 3 2 2 3 2 2" xfId="20926"/>
    <cellStyle name="SAPBEXformats 3 2 2 3 3" xfId="20927"/>
    <cellStyle name="SAPBEXformats 3 2 2 4" xfId="20928"/>
    <cellStyle name="SAPBEXformats 3 2 2 4 2" xfId="20929"/>
    <cellStyle name="SAPBEXformats 3 2 2 4 2 2" xfId="20930"/>
    <cellStyle name="SAPBEXformats 3 2 2 4 3" xfId="20931"/>
    <cellStyle name="SAPBEXformats 3 2 2 5" xfId="20932"/>
    <cellStyle name="SAPBEXformats 3 2 2 5 2" xfId="20933"/>
    <cellStyle name="SAPBEXformats 3 2 2 5 2 2" xfId="20934"/>
    <cellStyle name="SAPBEXformats 3 2 2 5 3" xfId="20935"/>
    <cellStyle name="SAPBEXformats 3 2 2 6" xfId="20936"/>
    <cellStyle name="SAPBEXformats 3 2 2 6 2" xfId="20937"/>
    <cellStyle name="SAPBEXformats 3 2 2 6 2 2" xfId="20938"/>
    <cellStyle name="SAPBEXformats 3 2 2 6 3" xfId="20939"/>
    <cellStyle name="SAPBEXformats 3 2 2 7" xfId="20940"/>
    <cellStyle name="SAPBEXformats 3 2 2 7 2" xfId="20941"/>
    <cellStyle name="SAPBEXformats 3 2 2 7 2 2" xfId="20942"/>
    <cellStyle name="SAPBEXformats 3 2 2 7 3" xfId="20943"/>
    <cellStyle name="SAPBEXformats 3 2 2 8" xfId="20944"/>
    <cellStyle name="SAPBEXformats 3 2 2 8 2" xfId="20945"/>
    <cellStyle name="SAPBEXformats 3 2 2 8 2 2" xfId="20946"/>
    <cellStyle name="SAPBEXformats 3 2 2 8 3" xfId="20947"/>
    <cellStyle name="SAPBEXformats 3 2 2 9" xfId="20948"/>
    <cellStyle name="SAPBEXformats 3 2 2 9 2" xfId="20949"/>
    <cellStyle name="SAPBEXformats 3 2 2 9 2 2" xfId="20950"/>
    <cellStyle name="SAPBEXformats 3 2 2 9 3" xfId="20951"/>
    <cellStyle name="SAPBEXformats 3 2 2_planning-WP" xfId="20952"/>
    <cellStyle name="SAPBEXformats 3 2 3" xfId="5837"/>
    <cellStyle name="SAPBEXformats 3 2 3 2" xfId="20954"/>
    <cellStyle name="SAPBEXformats 3 2 3 2 2" xfId="20955"/>
    <cellStyle name="SAPBEXformats 3 2 3 3" xfId="20956"/>
    <cellStyle name="SAPBEXformats 3 2 3 4" xfId="20953"/>
    <cellStyle name="SAPBEXformats 3 2 4" xfId="6345"/>
    <cellStyle name="SAPBEXformats 3 2 4 2" xfId="20958"/>
    <cellStyle name="SAPBEXformats 3 2 4 2 2" xfId="20959"/>
    <cellStyle name="SAPBEXformats 3 2 4 3" xfId="20960"/>
    <cellStyle name="SAPBEXformats 3 2 4 4" xfId="20957"/>
    <cellStyle name="SAPBEXformats 3 2 5" xfId="6832"/>
    <cellStyle name="SAPBEXformats 3 2 5 2" xfId="20962"/>
    <cellStyle name="SAPBEXformats 3 2 5 2 2" xfId="20963"/>
    <cellStyle name="SAPBEXformats 3 2 5 3" xfId="20964"/>
    <cellStyle name="SAPBEXformats 3 2 5 4" xfId="20961"/>
    <cellStyle name="SAPBEXformats 3 2 6" xfId="7315"/>
    <cellStyle name="SAPBEXformats 3 2 6 2" xfId="20966"/>
    <cellStyle name="SAPBEXformats 3 2 6 2 2" xfId="20967"/>
    <cellStyle name="SAPBEXformats 3 2 6 3" xfId="20968"/>
    <cellStyle name="SAPBEXformats 3 2 6 4" xfId="20965"/>
    <cellStyle name="SAPBEXformats 3 2 7" xfId="8384"/>
    <cellStyle name="SAPBEXformats 3 2 7 2" xfId="20970"/>
    <cellStyle name="SAPBEXformats 3 2 7 2 2" xfId="20971"/>
    <cellStyle name="SAPBEXformats 3 2 7 3" xfId="20972"/>
    <cellStyle name="SAPBEXformats 3 2 7 4" xfId="20969"/>
    <cellStyle name="SAPBEXformats 3 2 8" xfId="8885"/>
    <cellStyle name="SAPBEXformats 3 2 8 2" xfId="20974"/>
    <cellStyle name="SAPBEXformats 3 2 8 2 2" xfId="20975"/>
    <cellStyle name="SAPBEXformats 3 2 8 3" xfId="20976"/>
    <cellStyle name="SAPBEXformats 3 2 8 4" xfId="20973"/>
    <cellStyle name="SAPBEXformats 3 2 9" xfId="9379"/>
    <cellStyle name="SAPBEXformats 3 2 9 2" xfId="20978"/>
    <cellStyle name="SAPBEXformats 3 2 9 2 2" xfId="20979"/>
    <cellStyle name="SAPBEXformats 3 2 9 3" xfId="20980"/>
    <cellStyle name="SAPBEXformats 3 2 9 4" xfId="20977"/>
    <cellStyle name="SAPBEXformats 3 2_planning-WP" xfId="20981"/>
    <cellStyle name="SAPBEXformats 3 3" xfId="4522"/>
    <cellStyle name="SAPBEXformats 3 3 10" xfId="20983"/>
    <cellStyle name="SAPBEXformats 3 3 10 2" xfId="20984"/>
    <cellStyle name="SAPBEXformats 3 3 11" xfId="20982"/>
    <cellStyle name="SAPBEXformats 3 3 2" xfId="20985"/>
    <cellStyle name="SAPBEXformats 3 3 2 2" xfId="20986"/>
    <cellStyle name="SAPBEXformats 3 3 2 2 2" xfId="20987"/>
    <cellStyle name="SAPBEXformats 3 3 2 3" xfId="20988"/>
    <cellStyle name="SAPBEXformats 3 3 3" xfId="20989"/>
    <cellStyle name="SAPBEXformats 3 3 3 2" xfId="20990"/>
    <cellStyle name="SAPBEXformats 3 3 3 2 2" xfId="20991"/>
    <cellStyle name="SAPBEXformats 3 3 3 3" xfId="20992"/>
    <cellStyle name="SAPBEXformats 3 3 4" xfId="20993"/>
    <cellStyle name="SAPBEXformats 3 3 4 2" xfId="20994"/>
    <cellStyle name="SAPBEXformats 3 3 4 2 2" xfId="20995"/>
    <cellStyle name="SAPBEXformats 3 3 4 3" xfId="20996"/>
    <cellStyle name="SAPBEXformats 3 3 5" xfId="20997"/>
    <cellStyle name="SAPBEXformats 3 3 5 2" xfId="20998"/>
    <cellStyle name="SAPBEXformats 3 3 5 2 2" xfId="20999"/>
    <cellStyle name="SAPBEXformats 3 3 5 3" xfId="21000"/>
    <cellStyle name="SAPBEXformats 3 3 6" xfId="21001"/>
    <cellStyle name="SAPBEXformats 3 3 6 2" xfId="21002"/>
    <cellStyle name="SAPBEXformats 3 3 6 2 2" xfId="21003"/>
    <cellStyle name="SAPBEXformats 3 3 6 3" xfId="21004"/>
    <cellStyle name="SAPBEXformats 3 3 7" xfId="21005"/>
    <cellStyle name="SAPBEXformats 3 3 7 2" xfId="21006"/>
    <cellStyle name="SAPBEXformats 3 3 7 2 2" xfId="21007"/>
    <cellStyle name="SAPBEXformats 3 3 7 3" xfId="21008"/>
    <cellStyle name="SAPBEXformats 3 3 8" xfId="21009"/>
    <cellStyle name="SAPBEXformats 3 3 8 2" xfId="21010"/>
    <cellStyle name="SAPBEXformats 3 3 8 2 2" xfId="21011"/>
    <cellStyle name="SAPBEXformats 3 3 8 3" xfId="21012"/>
    <cellStyle name="SAPBEXformats 3 3 9" xfId="21013"/>
    <cellStyle name="SAPBEXformats 3 3 9 2" xfId="21014"/>
    <cellStyle name="SAPBEXformats 3 3 9 2 2" xfId="21015"/>
    <cellStyle name="SAPBEXformats 3 3 9 3" xfId="21016"/>
    <cellStyle name="SAPBEXformats 3 3_planning-WP" xfId="21017"/>
    <cellStyle name="SAPBEXformats 3 4" xfId="5514"/>
    <cellStyle name="SAPBEXformats 3 4 10" xfId="21018"/>
    <cellStyle name="SAPBEXformats 3 4 2" xfId="21019"/>
    <cellStyle name="SAPBEXformats 3 4 2 2" xfId="21020"/>
    <cellStyle name="SAPBEXformats 3 4 2 2 2" xfId="21021"/>
    <cellStyle name="SAPBEXformats 3 4 2 3" xfId="21022"/>
    <cellStyle name="SAPBEXformats 3 4 3" xfId="21023"/>
    <cellStyle name="SAPBEXformats 3 4 3 2" xfId="21024"/>
    <cellStyle name="SAPBEXformats 3 4 3 2 2" xfId="21025"/>
    <cellStyle name="SAPBEXformats 3 4 3 3" xfId="21026"/>
    <cellStyle name="SAPBEXformats 3 4 4" xfId="21027"/>
    <cellStyle name="SAPBEXformats 3 4 4 2" xfId="21028"/>
    <cellStyle name="SAPBEXformats 3 4 4 2 2" xfId="21029"/>
    <cellStyle name="SAPBEXformats 3 4 4 3" xfId="21030"/>
    <cellStyle name="SAPBEXformats 3 4 5" xfId="21031"/>
    <cellStyle name="SAPBEXformats 3 4 5 2" xfId="21032"/>
    <cellStyle name="SAPBEXformats 3 4 5 2 2" xfId="21033"/>
    <cellStyle name="SAPBEXformats 3 4 5 3" xfId="21034"/>
    <cellStyle name="SAPBEXformats 3 4 6" xfId="21035"/>
    <cellStyle name="SAPBEXformats 3 4 6 2" xfId="21036"/>
    <cellStyle name="SAPBEXformats 3 4 6 2 2" xfId="21037"/>
    <cellStyle name="SAPBEXformats 3 4 6 3" xfId="21038"/>
    <cellStyle name="SAPBEXformats 3 4 7" xfId="21039"/>
    <cellStyle name="SAPBEXformats 3 4 7 2" xfId="21040"/>
    <cellStyle name="SAPBEXformats 3 4 7 2 2" xfId="21041"/>
    <cellStyle name="SAPBEXformats 3 4 7 3" xfId="21042"/>
    <cellStyle name="SAPBEXformats 3 4 8" xfId="21043"/>
    <cellStyle name="SAPBEXformats 3 4 8 2" xfId="21044"/>
    <cellStyle name="SAPBEXformats 3 4 8 2 2" xfId="21045"/>
    <cellStyle name="SAPBEXformats 3 4 8 3" xfId="21046"/>
    <cellStyle name="SAPBEXformats 3 4 9" xfId="21047"/>
    <cellStyle name="SAPBEXformats 3 4 9 2" xfId="21048"/>
    <cellStyle name="SAPBEXformats 3 4_planning-WP" xfId="21049"/>
    <cellStyle name="SAPBEXformats 3 5" xfId="3338"/>
    <cellStyle name="SAPBEXformats 3 5 2" xfId="21051"/>
    <cellStyle name="SAPBEXformats 3 5 2 2" xfId="21052"/>
    <cellStyle name="SAPBEXformats 3 5 3" xfId="21050"/>
    <cellStyle name="SAPBEXformats 3 6" xfId="3347"/>
    <cellStyle name="SAPBEXformats 3 6 2" xfId="21054"/>
    <cellStyle name="SAPBEXformats 3 6 2 2" xfId="21055"/>
    <cellStyle name="SAPBEXformats 3 6 3" xfId="21056"/>
    <cellStyle name="SAPBEXformats 3 6 4" xfId="21053"/>
    <cellStyle name="SAPBEXformats 3 7" xfId="3235"/>
    <cellStyle name="SAPBEXformats 3 7 2" xfId="21058"/>
    <cellStyle name="SAPBEXformats 3 7 2 2" xfId="21059"/>
    <cellStyle name="SAPBEXformats 3 7 3" xfId="21060"/>
    <cellStyle name="SAPBEXformats 3 7 4" xfId="21057"/>
    <cellStyle name="SAPBEXformats 3 8" xfId="8062"/>
    <cellStyle name="SAPBEXformats 3 8 2" xfId="21062"/>
    <cellStyle name="SAPBEXformats 3 8 2 2" xfId="21063"/>
    <cellStyle name="SAPBEXformats 3 8 3" xfId="21064"/>
    <cellStyle name="SAPBEXformats 3 8 4" xfId="21061"/>
    <cellStyle name="SAPBEXformats 3 9" xfId="8563"/>
    <cellStyle name="SAPBEXformats 3 9 2" xfId="21066"/>
    <cellStyle name="SAPBEXformats 3 9 2 2" xfId="21067"/>
    <cellStyle name="SAPBEXformats 3 9 3" xfId="21068"/>
    <cellStyle name="SAPBEXformats 3 9 4" xfId="21065"/>
    <cellStyle name="SAPBEXformats 3_planning-WP" xfId="21069"/>
    <cellStyle name="SAPBEXformats 4" xfId="1713"/>
    <cellStyle name="SAPBEXformats 4 10" xfId="9170"/>
    <cellStyle name="SAPBEXformats 4 10 2" xfId="21072"/>
    <cellStyle name="SAPBEXformats 4 10 2 2" xfId="21073"/>
    <cellStyle name="SAPBEXformats 4 10 3" xfId="21074"/>
    <cellStyle name="SAPBEXformats 4 10 4" xfId="21071"/>
    <cellStyle name="SAPBEXformats 4 11" xfId="21075"/>
    <cellStyle name="SAPBEXformats 4 11 2" xfId="21076"/>
    <cellStyle name="SAPBEXformats 4 11 2 2" xfId="21077"/>
    <cellStyle name="SAPBEXformats 4 11 3" xfId="21078"/>
    <cellStyle name="SAPBEXformats 4 12" xfId="21079"/>
    <cellStyle name="SAPBEXformats 4 12 2" xfId="21080"/>
    <cellStyle name="SAPBEXformats 4 12 2 2" xfId="21081"/>
    <cellStyle name="SAPBEXformats 4 12 3" xfId="21082"/>
    <cellStyle name="SAPBEXformats 4 13" xfId="21083"/>
    <cellStyle name="SAPBEXformats 4 14" xfId="21084"/>
    <cellStyle name="SAPBEXformats 4 15" xfId="21070"/>
    <cellStyle name="SAPBEXformats 4 16" xfId="9909"/>
    <cellStyle name="SAPBEXformats 4 17" xfId="38991"/>
    <cellStyle name="SAPBEXformats 4 18" xfId="39388"/>
    <cellStyle name="SAPBEXformats 4 2" xfId="2044"/>
    <cellStyle name="SAPBEXformats 4 2 10" xfId="21086"/>
    <cellStyle name="SAPBEXformats 4 2 10 2" xfId="21087"/>
    <cellStyle name="SAPBEXformats 4 2 10 2 2" xfId="21088"/>
    <cellStyle name="SAPBEXformats 4 2 10 3" xfId="21089"/>
    <cellStyle name="SAPBEXformats 4 2 11" xfId="21090"/>
    <cellStyle name="SAPBEXformats 4 2 11 2" xfId="21091"/>
    <cellStyle name="SAPBEXformats 4 2 12" xfId="21085"/>
    <cellStyle name="SAPBEXformats 4 2 13" xfId="10221"/>
    <cellStyle name="SAPBEXformats 4 2 2" xfId="4961"/>
    <cellStyle name="SAPBEXformats 4 2 2 10" xfId="21093"/>
    <cellStyle name="SAPBEXformats 4 2 2 10 2" xfId="21094"/>
    <cellStyle name="SAPBEXformats 4 2 2 11" xfId="21092"/>
    <cellStyle name="SAPBEXformats 4 2 2 2" xfId="21095"/>
    <cellStyle name="SAPBEXformats 4 2 2 2 2" xfId="21096"/>
    <cellStyle name="SAPBEXformats 4 2 2 2 2 2" xfId="21097"/>
    <cellStyle name="SAPBEXformats 4 2 2 2 3" xfId="21098"/>
    <cellStyle name="SAPBEXformats 4 2 2 3" xfId="21099"/>
    <cellStyle name="SAPBEXformats 4 2 2 3 2" xfId="21100"/>
    <cellStyle name="SAPBEXformats 4 2 2 3 2 2" xfId="21101"/>
    <cellStyle name="SAPBEXformats 4 2 2 3 3" xfId="21102"/>
    <cellStyle name="SAPBEXformats 4 2 2 4" xfId="21103"/>
    <cellStyle name="SAPBEXformats 4 2 2 4 2" xfId="21104"/>
    <cellStyle name="SAPBEXformats 4 2 2 4 2 2" xfId="21105"/>
    <cellStyle name="SAPBEXformats 4 2 2 4 3" xfId="21106"/>
    <cellStyle name="SAPBEXformats 4 2 2 5" xfId="21107"/>
    <cellStyle name="SAPBEXformats 4 2 2 5 2" xfId="21108"/>
    <cellStyle name="SAPBEXformats 4 2 2 5 2 2" xfId="21109"/>
    <cellStyle name="SAPBEXformats 4 2 2 5 3" xfId="21110"/>
    <cellStyle name="SAPBEXformats 4 2 2 6" xfId="21111"/>
    <cellStyle name="SAPBEXformats 4 2 2 6 2" xfId="21112"/>
    <cellStyle name="SAPBEXformats 4 2 2 6 2 2" xfId="21113"/>
    <cellStyle name="SAPBEXformats 4 2 2 6 3" xfId="21114"/>
    <cellStyle name="SAPBEXformats 4 2 2 7" xfId="21115"/>
    <cellStyle name="SAPBEXformats 4 2 2 7 2" xfId="21116"/>
    <cellStyle name="SAPBEXformats 4 2 2 7 2 2" xfId="21117"/>
    <cellStyle name="SAPBEXformats 4 2 2 7 3" xfId="21118"/>
    <cellStyle name="SAPBEXformats 4 2 2 8" xfId="21119"/>
    <cellStyle name="SAPBEXformats 4 2 2 8 2" xfId="21120"/>
    <cellStyle name="SAPBEXformats 4 2 2 8 2 2" xfId="21121"/>
    <cellStyle name="SAPBEXformats 4 2 2 8 3" xfId="21122"/>
    <cellStyle name="SAPBEXformats 4 2 2 9" xfId="21123"/>
    <cellStyle name="SAPBEXformats 4 2 2 9 2" xfId="21124"/>
    <cellStyle name="SAPBEXformats 4 2 2 9 2 2" xfId="21125"/>
    <cellStyle name="SAPBEXformats 4 2 2 9 3" xfId="21126"/>
    <cellStyle name="SAPBEXformats 4 2 2_planning-WP" xfId="21127"/>
    <cellStyle name="SAPBEXformats 4 2 3" xfId="5940"/>
    <cellStyle name="SAPBEXformats 4 2 3 2" xfId="21129"/>
    <cellStyle name="SAPBEXformats 4 2 3 2 2" xfId="21130"/>
    <cellStyle name="SAPBEXformats 4 2 3 3" xfId="21131"/>
    <cellStyle name="SAPBEXformats 4 2 3 4" xfId="21128"/>
    <cellStyle name="SAPBEXformats 4 2 4" xfId="6448"/>
    <cellStyle name="SAPBEXformats 4 2 4 2" xfId="21133"/>
    <cellStyle name="SAPBEXformats 4 2 4 2 2" xfId="21134"/>
    <cellStyle name="SAPBEXformats 4 2 4 3" xfId="21135"/>
    <cellStyle name="SAPBEXformats 4 2 4 4" xfId="21132"/>
    <cellStyle name="SAPBEXformats 4 2 5" xfId="6935"/>
    <cellStyle name="SAPBEXformats 4 2 5 2" xfId="21137"/>
    <cellStyle name="SAPBEXformats 4 2 5 2 2" xfId="21138"/>
    <cellStyle name="SAPBEXformats 4 2 5 3" xfId="21139"/>
    <cellStyle name="SAPBEXformats 4 2 5 4" xfId="21136"/>
    <cellStyle name="SAPBEXformats 4 2 6" xfId="7418"/>
    <cellStyle name="SAPBEXformats 4 2 6 2" xfId="21141"/>
    <cellStyle name="SAPBEXformats 4 2 6 2 2" xfId="21142"/>
    <cellStyle name="SAPBEXformats 4 2 6 3" xfId="21143"/>
    <cellStyle name="SAPBEXformats 4 2 6 4" xfId="21140"/>
    <cellStyle name="SAPBEXformats 4 2 7" xfId="8487"/>
    <cellStyle name="SAPBEXformats 4 2 7 2" xfId="21145"/>
    <cellStyle name="SAPBEXformats 4 2 7 2 2" xfId="21146"/>
    <cellStyle name="SAPBEXformats 4 2 7 3" xfId="21147"/>
    <cellStyle name="SAPBEXformats 4 2 7 4" xfId="21144"/>
    <cellStyle name="SAPBEXformats 4 2 8" xfId="8988"/>
    <cellStyle name="SAPBEXformats 4 2 8 2" xfId="21149"/>
    <cellStyle name="SAPBEXformats 4 2 8 2 2" xfId="21150"/>
    <cellStyle name="SAPBEXformats 4 2 8 3" xfId="21151"/>
    <cellStyle name="SAPBEXformats 4 2 8 4" xfId="21148"/>
    <cellStyle name="SAPBEXformats 4 2 9" xfId="9482"/>
    <cellStyle name="SAPBEXformats 4 2 9 2" xfId="21153"/>
    <cellStyle name="SAPBEXformats 4 2 9 2 2" xfId="21154"/>
    <cellStyle name="SAPBEXformats 4 2 9 3" xfId="21155"/>
    <cellStyle name="SAPBEXformats 4 2 9 4" xfId="21152"/>
    <cellStyle name="SAPBEXformats 4 2_planning-WP" xfId="21156"/>
    <cellStyle name="SAPBEXformats 4 3" xfId="4635"/>
    <cellStyle name="SAPBEXformats 4 3 10" xfId="21158"/>
    <cellStyle name="SAPBEXformats 4 3 10 2" xfId="21159"/>
    <cellStyle name="SAPBEXformats 4 3 11" xfId="21157"/>
    <cellStyle name="SAPBEXformats 4 3 2" xfId="21160"/>
    <cellStyle name="SAPBEXformats 4 3 2 2" xfId="21161"/>
    <cellStyle name="SAPBEXformats 4 3 2 2 2" xfId="21162"/>
    <cellStyle name="SAPBEXformats 4 3 2 3" xfId="21163"/>
    <cellStyle name="SAPBEXformats 4 3 3" xfId="21164"/>
    <cellStyle name="SAPBEXformats 4 3 3 2" xfId="21165"/>
    <cellStyle name="SAPBEXformats 4 3 3 2 2" xfId="21166"/>
    <cellStyle name="SAPBEXformats 4 3 3 3" xfId="21167"/>
    <cellStyle name="SAPBEXformats 4 3 4" xfId="21168"/>
    <cellStyle name="SAPBEXformats 4 3 4 2" xfId="21169"/>
    <cellStyle name="SAPBEXformats 4 3 4 2 2" xfId="21170"/>
    <cellStyle name="SAPBEXformats 4 3 4 3" xfId="21171"/>
    <cellStyle name="SAPBEXformats 4 3 5" xfId="21172"/>
    <cellStyle name="SAPBEXformats 4 3 5 2" xfId="21173"/>
    <cellStyle name="SAPBEXformats 4 3 5 2 2" xfId="21174"/>
    <cellStyle name="SAPBEXformats 4 3 5 3" xfId="21175"/>
    <cellStyle name="SAPBEXformats 4 3 6" xfId="21176"/>
    <cellStyle name="SAPBEXformats 4 3 6 2" xfId="21177"/>
    <cellStyle name="SAPBEXformats 4 3 6 2 2" xfId="21178"/>
    <cellStyle name="SAPBEXformats 4 3 6 3" xfId="21179"/>
    <cellStyle name="SAPBEXformats 4 3 7" xfId="21180"/>
    <cellStyle name="SAPBEXformats 4 3 7 2" xfId="21181"/>
    <cellStyle name="SAPBEXformats 4 3 7 2 2" xfId="21182"/>
    <cellStyle name="SAPBEXformats 4 3 7 3" xfId="21183"/>
    <cellStyle name="SAPBEXformats 4 3 8" xfId="21184"/>
    <cellStyle name="SAPBEXformats 4 3 8 2" xfId="21185"/>
    <cellStyle name="SAPBEXformats 4 3 8 2 2" xfId="21186"/>
    <cellStyle name="SAPBEXformats 4 3 8 3" xfId="21187"/>
    <cellStyle name="SAPBEXformats 4 3 9" xfId="21188"/>
    <cellStyle name="SAPBEXformats 4 3 9 2" xfId="21189"/>
    <cellStyle name="SAPBEXformats 4 3 9 2 2" xfId="21190"/>
    <cellStyle name="SAPBEXformats 4 3 9 3" xfId="21191"/>
    <cellStyle name="SAPBEXformats 4 3_planning-WP" xfId="21192"/>
    <cellStyle name="SAPBEXformats 4 4" xfId="5627"/>
    <cellStyle name="SAPBEXformats 4 4 10" xfId="21193"/>
    <cellStyle name="SAPBEXformats 4 4 2" xfId="21194"/>
    <cellStyle name="SAPBEXformats 4 4 2 2" xfId="21195"/>
    <cellStyle name="SAPBEXformats 4 4 2 2 2" xfId="21196"/>
    <cellStyle name="SAPBEXformats 4 4 2 3" xfId="21197"/>
    <cellStyle name="SAPBEXformats 4 4 3" xfId="21198"/>
    <cellStyle name="SAPBEXformats 4 4 3 2" xfId="21199"/>
    <cellStyle name="SAPBEXformats 4 4 3 2 2" xfId="21200"/>
    <cellStyle name="SAPBEXformats 4 4 3 3" xfId="21201"/>
    <cellStyle name="SAPBEXformats 4 4 4" xfId="21202"/>
    <cellStyle name="SAPBEXformats 4 4 4 2" xfId="21203"/>
    <cellStyle name="SAPBEXformats 4 4 4 2 2" xfId="21204"/>
    <cellStyle name="SAPBEXformats 4 4 4 3" xfId="21205"/>
    <cellStyle name="SAPBEXformats 4 4 5" xfId="21206"/>
    <cellStyle name="SAPBEXformats 4 4 5 2" xfId="21207"/>
    <cellStyle name="SAPBEXformats 4 4 5 2 2" xfId="21208"/>
    <cellStyle name="SAPBEXformats 4 4 5 3" xfId="21209"/>
    <cellStyle name="SAPBEXformats 4 4 6" xfId="21210"/>
    <cellStyle name="SAPBEXformats 4 4 6 2" xfId="21211"/>
    <cellStyle name="SAPBEXformats 4 4 6 2 2" xfId="21212"/>
    <cellStyle name="SAPBEXformats 4 4 6 3" xfId="21213"/>
    <cellStyle name="SAPBEXformats 4 4 7" xfId="21214"/>
    <cellStyle name="SAPBEXformats 4 4 7 2" xfId="21215"/>
    <cellStyle name="SAPBEXformats 4 4 7 2 2" xfId="21216"/>
    <cellStyle name="SAPBEXformats 4 4 7 3" xfId="21217"/>
    <cellStyle name="SAPBEXformats 4 4 8" xfId="21218"/>
    <cellStyle name="SAPBEXformats 4 4 8 2" xfId="21219"/>
    <cellStyle name="SAPBEXformats 4 4 8 2 2" xfId="21220"/>
    <cellStyle name="SAPBEXformats 4 4 8 3" xfId="21221"/>
    <cellStyle name="SAPBEXformats 4 4 9" xfId="21222"/>
    <cellStyle name="SAPBEXformats 4 4 9 2" xfId="21223"/>
    <cellStyle name="SAPBEXformats 4 4_planning-WP" xfId="21224"/>
    <cellStyle name="SAPBEXformats 4 5" xfId="6136"/>
    <cellStyle name="SAPBEXformats 4 5 2" xfId="21226"/>
    <cellStyle name="SAPBEXformats 4 5 2 2" xfId="21227"/>
    <cellStyle name="SAPBEXformats 4 5 3" xfId="21225"/>
    <cellStyle name="SAPBEXformats 4 6" xfId="6623"/>
    <cellStyle name="SAPBEXformats 4 6 2" xfId="21229"/>
    <cellStyle name="SAPBEXformats 4 6 2 2" xfId="21230"/>
    <cellStyle name="SAPBEXformats 4 6 3" xfId="21231"/>
    <cellStyle name="SAPBEXformats 4 6 4" xfId="21228"/>
    <cellStyle name="SAPBEXformats 4 7" xfId="7106"/>
    <cellStyle name="SAPBEXformats 4 7 2" xfId="21233"/>
    <cellStyle name="SAPBEXformats 4 7 2 2" xfId="21234"/>
    <cellStyle name="SAPBEXformats 4 7 3" xfId="21235"/>
    <cellStyle name="SAPBEXformats 4 7 4" xfId="21232"/>
    <cellStyle name="SAPBEXformats 4 8" xfId="8175"/>
    <cellStyle name="SAPBEXformats 4 8 2" xfId="21237"/>
    <cellStyle name="SAPBEXformats 4 8 2 2" xfId="21238"/>
    <cellStyle name="SAPBEXformats 4 8 3" xfId="21239"/>
    <cellStyle name="SAPBEXformats 4 8 4" xfId="21236"/>
    <cellStyle name="SAPBEXformats 4 9" xfId="8676"/>
    <cellStyle name="SAPBEXformats 4 9 2" xfId="21241"/>
    <cellStyle name="SAPBEXformats 4 9 2 2" xfId="21242"/>
    <cellStyle name="SAPBEXformats 4 9 3" xfId="21243"/>
    <cellStyle name="SAPBEXformats 4 9 4" xfId="21240"/>
    <cellStyle name="SAPBEXformats 4_planning-WP" xfId="21244"/>
    <cellStyle name="SAPBEXformats 5" xfId="1657"/>
    <cellStyle name="SAPBEXformats 5 10" xfId="9115"/>
    <cellStyle name="SAPBEXformats 5 10 2" xfId="21247"/>
    <cellStyle name="SAPBEXformats 5 10 2 2" xfId="21248"/>
    <cellStyle name="SAPBEXformats 5 10 3" xfId="21249"/>
    <cellStyle name="SAPBEXformats 5 10 4" xfId="21246"/>
    <cellStyle name="SAPBEXformats 5 11" xfId="21250"/>
    <cellStyle name="SAPBEXformats 5 11 2" xfId="21251"/>
    <cellStyle name="SAPBEXformats 5 11 2 2" xfId="21252"/>
    <cellStyle name="SAPBEXformats 5 11 3" xfId="21253"/>
    <cellStyle name="SAPBEXformats 5 12" xfId="21254"/>
    <cellStyle name="SAPBEXformats 5 12 2" xfId="21255"/>
    <cellStyle name="SAPBEXformats 5 12 2 2" xfId="21256"/>
    <cellStyle name="SAPBEXformats 5 12 3" xfId="21257"/>
    <cellStyle name="SAPBEXformats 5 13" xfId="21258"/>
    <cellStyle name="SAPBEXformats 5 14" xfId="21259"/>
    <cellStyle name="SAPBEXformats 5 15" xfId="21245"/>
    <cellStyle name="SAPBEXformats 5 16" xfId="9854"/>
    <cellStyle name="SAPBEXformats 5 17" xfId="38992"/>
    <cellStyle name="SAPBEXformats 5 18" xfId="39389"/>
    <cellStyle name="SAPBEXformats 5 2" xfId="1991"/>
    <cellStyle name="SAPBEXformats 5 2 10" xfId="21261"/>
    <cellStyle name="SAPBEXformats 5 2 10 2" xfId="21262"/>
    <cellStyle name="SAPBEXformats 5 2 10 2 2" xfId="21263"/>
    <cellStyle name="SAPBEXformats 5 2 10 3" xfId="21264"/>
    <cellStyle name="SAPBEXformats 5 2 11" xfId="21265"/>
    <cellStyle name="SAPBEXformats 5 2 11 2" xfId="21266"/>
    <cellStyle name="SAPBEXformats 5 2 12" xfId="21260"/>
    <cellStyle name="SAPBEXformats 5 2 13" xfId="10169"/>
    <cellStyle name="SAPBEXformats 5 2 2" xfId="4909"/>
    <cellStyle name="SAPBEXformats 5 2 2 10" xfId="21268"/>
    <cellStyle name="SAPBEXformats 5 2 2 10 2" xfId="21269"/>
    <cellStyle name="SAPBEXformats 5 2 2 11" xfId="21267"/>
    <cellStyle name="SAPBEXformats 5 2 2 2" xfId="21270"/>
    <cellStyle name="SAPBEXformats 5 2 2 2 2" xfId="21271"/>
    <cellStyle name="SAPBEXformats 5 2 2 2 2 2" xfId="21272"/>
    <cellStyle name="SAPBEXformats 5 2 2 2 3" xfId="21273"/>
    <cellStyle name="SAPBEXformats 5 2 2 3" xfId="21274"/>
    <cellStyle name="SAPBEXformats 5 2 2 3 2" xfId="21275"/>
    <cellStyle name="SAPBEXformats 5 2 2 3 2 2" xfId="21276"/>
    <cellStyle name="SAPBEXformats 5 2 2 3 3" xfId="21277"/>
    <cellStyle name="SAPBEXformats 5 2 2 4" xfId="21278"/>
    <cellStyle name="SAPBEXformats 5 2 2 4 2" xfId="21279"/>
    <cellStyle name="SAPBEXformats 5 2 2 4 2 2" xfId="21280"/>
    <cellStyle name="SAPBEXformats 5 2 2 4 3" xfId="21281"/>
    <cellStyle name="SAPBEXformats 5 2 2 5" xfId="21282"/>
    <cellStyle name="SAPBEXformats 5 2 2 5 2" xfId="21283"/>
    <cellStyle name="SAPBEXformats 5 2 2 5 2 2" xfId="21284"/>
    <cellStyle name="SAPBEXformats 5 2 2 5 3" xfId="21285"/>
    <cellStyle name="SAPBEXformats 5 2 2 6" xfId="21286"/>
    <cellStyle name="SAPBEXformats 5 2 2 6 2" xfId="21287"/>
    <cellStyle name="SAPBEXformats 5 2 2 6 2 2" xfId="21288"/>
    <cellStyle name="SAPBEXformats 5 2 2 6 3" xfId="21289"/>
    <cellStyle name="SAPBEXformats 5 2 2 7" xfId="21290"/>
    <cellStyle name="SAPBEXformats 5 2 2 7 2" xfId="21291"/>
    <cellStyle name="SAPBEXformats 5 2 2 7 2 2" xfId="21292"/>
    <cellStyle name="SAPBEXformats 5 2 2 7 3" xfId="21293"/>
    <cellStyle name="SAPBEXformats 5 2 2 8" xfId="21294"/>
    <cellStyle name="SAPBEXformats 5 2 2 8 2" xfId="21295"/>
    <cellStyle name="SAPBEXformats 5 2 2 8 2 2" xfId="21296"/>
    <cellStyle name="SAPBEXformats 5 2 2 8 3" xfId="21297"/>
    <cellStyle name="SAPBEXformats 5 2 2 9" xfId="21298"/>
    <cellStyle name="SAPBEXformats 5 2 2 9 2" xfId="21299"/>
    <cellStyle name="SAPBEXformats 5 2 2 9 2 2" xfId="21300"/>
    <cellStyle name="SAPBEXformats 5 2 2 9 3" xfId="21301"/>
    <cellStyle name="SAPBEXformats 5 2 2_planning-WP" xfId="21302"/>
    <cellStyle name="SAPBEXformats 5 2 3" xfId="5888"/>
    <cellStyle name="SAPBEXformats 5 2 3 2" xfId="21304"/>
    <cellStyle name="SAPBEXformats 5 2 3 2 2" xfId="21305"/>
    <cellStyle name="SAPBEXformats 5 2 3 3" xfId="21306"/>
    <cellStyle name="SAPBEXformats 5 2 3 4" xfId="21303"/>
    <cellStyle name="SAPBEXformats 5 2 4" xfId="6396"/>
    <cellStyle name="SAPBEXformats 5 2 4 2" xfId="21308"/>
    <cellStyle name="SAPBEXformats 5 2 4 2 2" xfId="21309"/>
    <cellStyle name="SAPBEXformats 5 2 4 3" xfId="21310"/>
    <cellStyle name="SAPBEXformats 5 2 4 4" xfId="21307"/>
    <cellStyle name="SAPBEXformats 5 2 5" xfId="6883"/>
    <cellStyle name="SAPBEXformats 5 2 5 2" xfId="21312"/>
    <cellStyle name="SAPBEXformats 5 2 5 2 2" xfId="21313"/>
    <cellStyle name="SAPBEXformats 5 2 5 3" xfId="21314"/>
    <cellStyle name="SAPBEXformats 5 2 5 4" xfId="21311"/>
    <cellStyle name="SAPBEXformats 5 2 6" xfId="7366"/>
    <cellStyle name="SAPBEXformats 5 2 6 2" xfId="21316"/>
    <cellStyle name="SAPBEXformats 5 2 6 2 2" xfId="21317"/>
    <cellStyle name="SAPBEXformats 5 2 6 3" xfId="21318"/>
    <cellStyle name="SAPBEXformats 5 2 6 4" xfId="21315"/>
    <cellStyle name="SAPBEXformats 5 2 7" xfId="8435"/>
    <cellStyle name="SAPBEXformats 5 2 7 2" xfId="21320"/>
    <cellStyle name="SAPBEXformats 5 2 7 2 2" xfId="21321"/>
    <cellStyle name="SAPBEXformats 5 2 7 3" xfId="21322"/>
    <cellStyle name="SAPBEXformats 5 2 7 4" xfId="21319"/>
    <cellStyle name="SAPBEXformats 5 2 8" xfId="8936"/>
    <cellStyle name="SAPBEXformats 5 2 8 2" xfId="21324"/>
    <cellStyle name="SAPBEXformats 5 2 8 2 2" xfId="21325"/>
    <cellStyle name="SAPBEXformats 5 2 8 3" xfId="21326"/>
    <cellStyle name="SAPBEXformats 5 2 8 4" xfId="21323"/>
    <cellStyle name="SAPBEXformats 5 2 9" xfId="9430"/>
    <cellStyle name="SAPBEXformats 5 2 9 2" xfId="21328"/>
    <cellStyle name="SAPBEXformats 5 2 9 2 2" xfId="21329"/>
    <cellStyle name="SAPBEXformats 5 2 9 3" xfId="21330"/>
    <cellStyle name="SAPBEXformats 5 2 9 4" xfId="21327"/>
    <cellStyle name="SAPBEXformats 5 2_planning-WP" xfId="21331"/>
    <cellStyle name="SAPBEXformats 5 3" xfId="4580"/>
    <cellStyle name="SAPBEXformats 5 3 10" xfId="21333"/>
    <cellStyle name="SAPBEXformats 5 3 10 2" xfId="21334"/>
    <cellStyle name="SAPBEXformats 5 3 11" xfId="21332"/>
    <cellStyle name="SAPBEXformats 5 3 2" xfId="21335"/>
    <cellStyle name="SAPBEXformats 5 3 2 2" xfId="21336"/>
    <cellStyle name="SAPBEXformats 5 3 2 2 2" xfId="21337"/>
    <cellStyle name="SAPBEXformats 5 3 2 3" xfId="21338"/>
    <cellStyle name="SAPBEXformats 5 3 3" xfId="21339"/>
    <cellStyle name="SAPBEXformats 5 3 3 2" xfId="21340"/>
    <cellStyle name="SAPBEXformats 5 3 3 2 2" xfId="21341"/>
    <cellStyle name="SAPBEXformats 5 3 3 3" xfId="21342"/>
    <cellStyle name="SAPBEXformats 5 3 4" xfId="21343"/>
    <cellStyle name="SAPBEXformats 5 3 4 2" xfId="21344"/>
    <cellStyle name="SAPBEXformats 5 3 4 2 2" xfId="21345"/>
    <cellStyle name="SAPBEXformats 5 3 4 3" xfId="21346"/>
    <cellStyle name="SAPBEXformats 5 3 5" xfId="21347"/>
    <cellStyle name="SAPBEXformats 5 3 5 2" xfId="21348"/>
    <cellStyle name="SAPBEXformats 5 3 5 2 2" xfId="21349"/>
    <cellStyle name="SAPBEXformats 5 3 5 3" xfId="21350"/>
    <cellStyle name="SAPBEXformats 5 3 6" xfId="21351"/>
    <cellStyle name="SAPBEXformats 5 3 6 2" xfId="21352"/>
    <cellStyle name="SAPBEXformats 5 3 6 2 2" xfId="21353"/>
    <cellStyle name="SAPBEXformats 5 3 6 3" xfId="21354"/>
    <cellStyle name="SAPBEXformats 5 3 7" xfId="21355"/>
    <cellStyle name="SAPBEXformats 5 3 7 2" xfId="21356"/>
    <cellStyle name="SAPBEXformats 5 3 7 2 2" xfId="21357"/>
    <cellStyle name="SAPBEXformats 5 3 7 3" xfId="21358"/>
    <cellStyle name="SAPBEXformats 5 3 8" xfId="21359"/>
    <cellStyle name="SAPBEXformats 5 3 8 2" xfId="21360"/>
    <cellStyle name="SAPBEXformats 5 3 8 2 2" xfId="21361"/>
    <cellStyle name="SAPBEXformats 5 3 8 3" xfId="21362"/>
    <cellStyle name="SAPBEXformats 5 3 9" xfId="21363"/>
    <cellStyle name="SAPBEXformats 5 3 9 2" xfId="21364"/>
    <cellStyle name="SAPBEXformats 5 3 9 2 2" xfId="21365"/>
    <cellStyle name="SAPBEXformats 5 3 9 3" xfId="21366"/>
    <cellStyle name="SAPBEXformats 5 3_planning-WP" xfId="21367"/>
    <cellStyle name="SAPBEXformats 5 4" xfId="5572"/>
    <cellStyle name="SAPBEXformats 5 4 10" xfId="21368"/>
    <cellStyle name="SAPBEXformats 5 4 2" xfId="21369"/>
    <cellStyle name="SAPBEXformats 5 4 2 2" xfId="21370"/>
    <cellStyle name="SAPBEXformats 5 4 2 2 2" xfId="21371"/>
    <cellStyle name="SAPBEXformats 5 4 2 3" xfId="21372"/>
    <cellStyle name="SAPBEXformats 5 4 3" xfId="21373"/>
    <cellStyle name="SAPBEXformats 5 4 3 2" xfId="21374"/>
    <cellStyle name="SAPBEXformats 5 4 3 2 2" xfId="21375"/>
    <cellStyle name="SAPBEXformats 5 4 3 3" xfId="21376"/>
    <cellStyle name="SAPBEXformats 5 4 4" xfId="21377"/>
    <cellStyle name="SAPBEXformats 5 4 4 2" xfId="21378"/>
    <cellStyle name="SAPBEXformats 5 4 4 2 2" xfId="21379"/>
    <cellStyle name="SAPBEXformats 5 4 4 3" xfId="21380"/>
    <cellStyle name="SAPBEXformats 5 4 5" xfId="21381"/>
    <cellStyle name="SAPBEXformats 5 4 5 2" xfId="21382"/>
    <cellStyle name="SAPBEXformats 5 4 5 2 2" xfId="21383"/>
    <cellStyle name="SAPBEXformats 5 4 5 3" xfId="21384"/>
    <cellStyle name="SAPBEXformats 5 4 6" xfId="21385"/>
    <cellStyle name="SAPBEXformats 5 4 6 2" xfId="21386"/>
    <cellStyle name="SAPBEXformats 5 4 6 2 2" xfId="21387"/>
    <cellStyle name="SAPBEXformats 5 4 6 3" xfId="21388"/>
    <cellStyle name="SAPBEXformats 5 4 7" xfId="21389"/>
    <cellStyle name="SAPBEXformats 5 4 7 2" xfId="21390"/>
    <cellStyle name="SAPBEXformats 5 4 7 2 2" xfId="21391"/>
    <cellStyle name="SAPBEXformats 5 4 7 3" xfId="21392"/>
    <cellStyle name="SAPBEXformats 5 4 8" xfId="21393"/>
    <cellStyle name="SAPBEXformats 5 4 8 2" xfId="21394"/>
    <cellStyle name="SAPBEXformats 5 4 8 2 2" xfId="21395"/>
    <cellStyle name="SAPBEXformats 5 4 8 3" xfId="21396"/>
    <cellStyle name="SAPBEXformats 5 4 9" xfId="21397"/>
    <cellStyle name="SAPBEXformats 5 4 9 2" xfId="21398"/>
    <cellStyle name="SAPBEXformats 5 4_planning-WP" xfId="21399"/>
    <cellStyle name="SAPBEXformats 5 5" xfId="6081"/>
    <cellStyle name="SAPBEXformats 5 5 2" xfId="21401"/>
    <cellStyle name="SAPBEXformats 5 5 2 2" xfId="21402"/>
    <cellStyle name="SAPBEXformats 5 5 3" xfId="21400"/>
    <cellStyle name="SAPBEXformats 5 6" xfId="6568"/>
    <cellStyle name="SAPBEXformats 5 6 2" xfId="21404"/>
    <cellStyle name="SAPBEXformats 5 6 2 2" xfId="21405"/>
    <cellStyle name="SAPBEXformats 5 6 3" xfId="21406"/>
    <cellStyle name="SAPBEXformats 5 6 4" xfId="21403"/>
    <cellStyle name="SAPBEXformats 5 7" xfId="7051"/>
    <cellStyle name="SAPBEXformats 5 7 2" xfId="21408"/>
    <cellStyle name="SAPBEXformats 5 7 2 2" xfId="21409"/>
    <cellStyle name="SAPBEXformats 5 7 3" xfId="21410"/>
    <cellStyle name="SAPBEXformats 5 7 4" xfId="21407"/>
    <cellStyle name="SAPBEXformats 5 8" xfId="8120"/>
    <cellStyle name="SAPBEXformats 5 8 2" xfId="21412"/>
    <cellStyle name="SAPBEXformats 5 8 2 2" xfId="21413"/>
    <cellStyle name="SAPBEXformats 5 8 3" xfId="21414"/>
    <cellStyle name="SAPBEXformats 5 8 4" xfId="21411"/>
    <cellStyle name="SAPBEXformats 5 9" xfId="8621"/>
    <cellStyle name="SAPBEXformats 5 9 2" xfId="21416"/>
    <cellStyle name="SAPBEXformats 5 9 2 2" xfId="21417"/>
    <cellStyle name="SAPBEXformats 5 9 3" xfId="21418"/>
    <cellStyle name="SAPBEXformats 5 9 4" xfId="21415"/>
    <cellStyle name="SAPBEXformats 5_planning-WP" xfId="21419"/>
    <cellStyle name="SAPBEXformats 6" xfId="1742"/>
    <cellStyle name="SAPBEXformats 6 10" xfId="9197"/>
    <cellStyle name="SAPBEXformats 6 10 2" xfId="21422"/>
    <cellStyle name="SAPBEXformats 6 10 2 2" xfId="21423"/>
    <cellStyle name="SAPBEXformats 6 10 3" xfId="21424"/>
    <cellStyle name="SAPBEXformats 6 10 4" xfId="21421"/>
    <cellStyle name="SAPBEXformats 6 11" xfId="21425"/>
    <cellStyle name="SAPBEXformats 6 11 2" xfId="21426"/>
    <cellStyle name="SAPBEXformats 6 11 2 2" xfId="21427"/>
    <cellStyle name="SAPBEXformats 6 11 3" xfId="21428"/>
    <cellStyle name="SAPBEXformats 6 12" xfId="21429"/>
    <cellStyle name="SAPBEXformats 6 13" xfId="21430"/>
    <cellStyle name="SAPBEXformats 6 14" xfId="21420"/>
    <cellStyle name="SAPBEXformats 6 15" xfId="9936"/>
    <cellStyle name="SAPBEXformats 6 16" xfId="38993"/>
    <cellStyle name="SAPBEXformats 6 17" xfId="39390"/>
    <cellStyle name="SAPBEXformats 6 2" xfId="2072"/>
    <cellStyle name="SAPBEXformats 6 2 10" xfId="21432"/>
    <cellStyle name="SAPBEXformats 6 2 10 2" xfId="21433"/>
    <cellStyle name="SAPBEXformats 6 2 11" xfId="21431"/>
    <cellStyle name="SAPBEXformats 6 2 12" xfId="10247"/>
    <cellStyle name="SAPBEXformats 6 2 2" xfId="4987"/>
    <cellStyle name="SAPBEXformats 6 2 2 2" xfId="21435"/>
    <cellStyle name="SAPBEXformats 6 2 2 2 2" xfId="21436"/>
    <cellStyle name="SAPBEXformats 6 2 2 3" xfId="21437"/>
    <cellStyle name="SAPBEXformats 6 2 2 4" xfId="21434"/>
    <cellStyle name="SAPBEXformats 6 2 3" xfId="5966"/>
    <cellStyle name="SAPBEXformats 6 2 3 2" xfId="21439"/>
    <cellStyle name="SAPBEXformats 6 2 3 2 2" xfId="21440"/>
    <cellStyle name="SAPBEXformats 6 2 3 3" xfId="21441"/>
    <cellStyle name="SAPBEXformats 6 2 3 4" xfId="21438"/>
    <cellStyle name="SAPBEXformats 6 2 4" xfId="6474"/>
    <cellStyle name="SAPBEXformats 6 2 4 2" xfId="21443"/>
    <cellStyle name="SAPBEXformats 6 2 4 2 2" xfId="21444"/>
    <cellStyle name="SAPBEXformats 6 2 4 3" xfId="21445"/>
    <cellStyle name="SAPBEXformats 6 2 4 4" xfId="21442"/>
    <cellStyle name="SAPBEXformats 6 2 5" xfId="6961"/>
    <cellStyle name="SAPBEXformats 6 2 5 2" xfId="21447"/>
    <cellStyle name="SAPBEXformats 6 2 5 2 2" xfId="21448"/>
    <cellStyle name="SAPBEXformats 6 2 5 3" xfId="21449"/>
    <cellStyle name="SAPBEXformats 6 2 5 4" xfId="21446"/>
    <cellStyle name="SAPBEXformats 6 2 6" xfId="7444"/>
    <cellStyle name="SAPBEXformats 6 2 6 2" xfId="21451"/>
    <cellStyle name="SAPBEXformats 6 2 6 2 2" xfId="21452"/>
    <cellStyle name="SAPBEXformats 6 2 6 3" xfId="21453"/>
    <cellStyle name="SAPBEXformats 6 2 6 4" xfId="21450"/>
    <cellStyle name="SAPBEXformats 6 2 7" xfId="8513"/>
    <cellStyle name="SAPBEXformats 6 2 7 2" xfId="21455"/>
    <cellStyle name="SAPBEXformats 6 2 7 2 2" xfId="21456"/>
    <cellStyle name="SAPBEXformats 6 2 7 3" xfId="21457"/>
    <cellStyle name="SAPBEXformats 6 2 7 4" xfId="21454"/>
    <cellStyle name="SAPBEXformats 6 2 8" xfId="9014"/>
    <cellStyle name="SAPBEXformats 6 2 8 2" xfId="21459"/>
    <cellStyle name="SAPBEXformats 6 2 8 2 2" xfId="21460"/>
    <cellStyle name="SAPBEXformats 6 2 8 3" xfId="21461"/>
    <cellStyle name="SAPBEXformats 6 2 8 4" xfId="21458"/>
    <cellStyle name="SAPBEXformats 6 2 9" xfId="9508"/>
    <cellStyle name="SAPBEXformats 6 2 9 2" xfId="21463"/>
    <cellStyle name="SAPBEXformats 6 2 9 2 2" xfId="21464"/>
    <cellStyle name="SAPBEXformats 6 2 9 3" xfId="21465"/>
    <cellStyle name="SAPBEXformats 6 2 9 4" xfId="21462"/>
    <cellStyle name="SAPBEXformats 6 2_planning-WP" xfId="21466"/>
    <cellStyle name="SAPBEXformats 6 3" xfId="4663"/>
    <cellStyle name="SAPBEXformats 6 3 10" xfId="21467"/>
    <cellStyle name="SAPBEXformats 6 3 2" xfId="21468"/>
    <cellStyle name="SAPBEXformats 6 3 2 2" xfId="21469"/>
    <cellStyle name="SAPBEXformats 6 3 2 2 2" xfId="21470"/>
    <cellStyle name="SAPBEXformats 6 3 2 3" xfId="21471"/>
    <cellStyle name="SAPBEXformats 6 3 3" xfId="21472"/>
    <cellStyle name="SAPBEXformats 6 3 3 2" xfId="21473"/>
    <cellStyle name="SAPBEXformats 6 3 3 2 2" xfId="21474"/>
    <cellStyle name="SAPBEXformats 6 3 3 3" xfId="21475"/>
    <cellStyle name="SAPBEXformats 6 3 4" xfId="21476"/>
    <cellStyle name="SAPBEXformats 6 3 4 2" xfId="21477"/>
    <cellStyle name="SAPBEXformats 6 3 4 2 2" xfId="21478"/>
    <cellStyle name="SAPBEXformats 6 3 4 3" xfId="21479"/>
    <cellStyle name="SAPBEXformats 6 3 5" xfId="21480"/>
    <cellStyle name="SAPBEXformats 6 3 5 2" xfId="21481"/>
    <cellStyle name="SAPBEXformats 6 3 5 2 2" xfId="21482"/>
    <cellStyle name="SAPBEXformats 6 3 5 3" xfId="21483"/>
    <cellStyle name="SAPBEXformats 6 3 6" xfId="21484"/>
    <cellStyle name="SAPBEXformats 6 3 6 2" xfId="21485"/>
    <cellStyle name="SAPBEXformats 6 3 6 2 2" xfId="21486"/>
    <cellStyle name="SAPBEXformats 6 3 6 3" xfId="21487"/>
    <cellStyle name="SAPBEXformats 6 3 7" xfId="21488"/>
    <cellStyle name="SAPBEXformats 6 3 7 2" xfId="21489"/>
    <cellStyle name="SAPBEXformats 6 3 7 2 2" xfId="21490"/>
    <cellStyle name="SAPBEXformats 6 3 7 3" xfId="21491"/>
    <cellStyle name="SAPBEXformats 6 3 8" xfId="21492"/>
    <cellStyle name="SAPBEXformats 6 3 8 2" xfId="21493"/>
    <cellStyle name="SAPBEXformats 6 3 8 2 2" xfId="21494"/>
    <cellStyle name="SAPBEXformats 6 3 8 3" xfId="21495"/>
    <cellStyle name="SAPBEXformats 6 3 9" xfId="21496"/>
    <cellStyle name="SAPBEXformats 6 3 9 2" xfId="21497"/>
    <cellStyle name="SAPBEXformats 6 3_planning-WP" xfId="21498"/>
    <cellStyle name="SAPBEXformats 6 4" xfId="5654"/>
    <cellStyle name="SAPBEXformats 6 4 2" xfId="21500"/>
    <cellStyle name="SAPBEXformats 6 4 2 2" xfId="21501"/>
    <cellStyle name="SAPBEXformats 6 4 3" xfId="21499"/>
    <cellStyle name="SAPBEXformats 6 5" xfId="6163"/>
    <cellStyle name="SAPBEXformats 6 5 2" xfId="21503"/>
    <cellStyle name="SAPBEXformats 6 5 2 2" xfId="21504"/>
    <cellStyle name="SAPBEXformats 6 5 3" xfId="21505"/>
    <cellStyle name="SAPBEXformats 6 5 4" xfId="21502"/>
    <cellStyle name="SAPBEXformats 6 6" xfId="6650"/>
    <cellStyle name="SAPBEXformats 6 6 2" xfId="21507"/>
    <cellStyle name="SAPBEXformats 6 6 2 2" xfId="21508"/>
    <cellStyle name="SAPBEXformats 6 6 3" xfId="21509"/>
    <cellStyle name="SAPBEXformats 6 6 4" xfId="21506"/>
    <cellStyle name="SAPBEXformats 6 7" xfId="7133"/>
    <cellStyle name="SAPBEXformats 6 7 2" xfId="21511"/>
    <cellStyle name="SAPBEXformats 6 7 2 2" xfId="21512"/>
    <cellStyle name="SAPBEXformats 6 7 3" xfId="21513"/>
    <cellStyle name="SAPBEXformats 6 7 4" xfId="21510"/>
    <cellStyle name="SAPBEXformats 6 8" xfId="8202"/>
    <cellStyle name="SAPBEXformats 6 8 2" xfId="21515"/>
    <cellStyle name="SAPBEXformats 6 8 2 2" xfId="21516"/>
    <cellStyle name="SAPBEXformats 6 8 3" xfId="21517"/>
    <cellStyle name="SAPBEXformats 6 8 4" xfId="21514"/>
    <cellStyle name="SAPBEXformats 6 9" xfId="8703"/>
    <cellStyle name="SAPBEXformats 6 9 2" xfId="21519"/>
    <cellStyle name="SAPBEXformats 6 9 2 2" xfId="21520"/>
    <cellStyle name="SAPBEXformats 6 9 3" xfId="21521"/>
    <cellStyle name="SAPBEXformats 6 9 4" xfId="21518"/>
    <cellStyle name="SAPBEXformats 6_planning-WP" xfId="21522"/>
    <cellStyle name="SAPBEXformats 7" xfId="1767"/>
    <cellStyle name="SAPBEXformats 7 10" xfId="9221"/>
    <cellStyle name="SAPBEXformats 7 10 2" xfId="21525"/>
    <cellStyle name="SAPBEXformats 7 10 2 2" xfId="21526"/>
    <cellStyle name="SAPBEXformats 7 10 3" xfId="21527"/>
    <cellStyle name="SAPBEXformats 7 10 4" xfId="21524"/>
    <cellStyle name="SAPBEXformats 7 11" xfId="21528"/>
    <cellStyle name="SAPBEXformats 7 11 2" xfId="21529"/>
    <cellStyle name="SAPBEXformats 7 12" xfId="21523"/>
    <cellStyle name="SAPBEXformats 7 13" xfId="9960"/>
    <cellStyle name="SAPBEXformats 7 14" xfId="38994"/>
    <cellStyle name="SAPBEXformats 7 15" xfId="39391"/>
    <cellStyle name="SAPBEXformats 7 2" xfId="2092"/>
    <cellStyle name="SAPBEXformats 7 2 10" xfId="21531"/>
    <cellStyle name="SAPBEXformats 7 2 10 2" xfId="21532"/>
    <cellStyle name="SAPBEXformats 7 2 11" xfId="21530"/>
    <cellStyle name="SAPBEXformats 7 2 12" xfId="10266"/>
    <cellStyle name="SAPBEXformats 7 2 2" xfId="5006"/>
    <cellStyle name="SAPBEXformats 7 2 2 2" xfId="21534"/>
    <cellStyle name="SAPBEXformats 7 2 2 2 2" xfId="21535"/>
    <cellStyle name="SAPBEXformats 7 2 2 3" xfId="21536"/>
    <cellStyle name="SAPBEXformats 7 2 2 4" xfId="21533"/>
    <cellStyle name="SAPBEXformats 7 2 3" xfId="5985"/>
    <cellStyle name="SAPBEXformats 7 2 3 2" xfId="21538"/>
    <cellStyle name="SAPBEXformats 7 2 3 2 2" xfId="21539"/>
    <cellStyle name="SAPBEXformats 7 2 3 3" xfId="21540"/>
    <cellStyle name="SAPBEXformats 7 2 3 4" xfId="21537"/>
    <cellStyle name="SAPBEXformats 7 2 4" xfId="6493"/>
    <cellStyle name="SAPBEXformats 7 2 4 2" xfId="21542"/>
    <cellStyle name="SAPBEXformats 7 2 4 2 2" xfId="21543"/>
    <cellStyle name="SAPBEXformats 7 2 4 3" xfId="21544"/>
    <cellStyle name="SAPBEXformats 7 2 4 4" xfId="21541"/>
    <cellStyle name="SAPBEXformats 7 2 5" xfId="6980"/>
    <cellStyle name="SAPBEXformats 7 2 5 2" xfId="21546"/>
    <cellStyle name="SAPBEXformats 7 2 5 2 2" xfId="21547"/>
    <cellStyle name="SAPBEXformats 7 2 5 3" xfId="21548"/>
    <cellStyle name="SAPBEXformats 7 2 5 4" xfId="21545"/>
    <cellStyle name="SAPBEXformats 7 2 6" xfId="7463"/>
    <cellStyle name="SAPBEXformats 7 2 6 2" xfId="21550"/>
    <cellStyle name="SAPBEXformats 7 2 6 2 2" xfId="21551"/>
    <cellStyle name="SAPBEXformats 7 2 6 3" xfId="21552"/>
    <cellStyle name="SAPBEXformats 7 2 6 4" xfId="21549"/>
    <cellStyle name="SAPBEXformats 7 2 7" xfId="8532"/>
    <cellStyle name="SAPBEXformats 7 2 7 2" xfId="21554"/>
    <cellStyle name="SAPBEXformats 7 2 7 2 2" xfId="21555"/>
    <cellStyle name="SAPBEXformats 7 2 7 3" xfId="21556"/>
    <cellStyle name="SAPBEXformats 7 2 7 4" xfId="21553"/>
    <cellStyle name="SAPBEXformats 7 2 8" xfId="9033"/>
    <cellStyle name="SAPBEXformats 7 2 8 2" xfId="21558"/>
    <cellStyle name="SAPBEXformats 7 2 8 2 2" xfId="21559"/>
    <cellStyle name="SAPBEXformats 7 2 8 3" xfId="21560"/>
    <cellStyle name="SAPBEXformats 7 2 8 4" xfId="21557"/>
    <cellStyle name="SAPBEXformats 7 2 9" xfId="9527"/>
    <cellStyle name="SAPBEXformats 7 2 9 2" xfId="21562"/>
    <cellStyle name="SAPBEXformats 7 2 9 2 2" xfId="21563"/>
    <cellStyle name="SAPBEXformats 7 2 9 3" xfId="21564"/>
    <cellStyle name="SAPBEXformats 7 2 9 4" xfId="21561"/>
    <cellStyle name="SAPBEXformats 7 2_planning-WP" xfId="21565"/>
    <cellStyle name="SAPBEXformats 7 3" xfId="4688"/>
    <cellStyle name="SAPBEXformats 7 3 2" xfId="21567"/>
    <cellStyle name="SAPBEXformats 7 3 2 2" xfId="21568"/>
    <cellStyle name="SAPBEXformats 7 3 3" xfId="21569"/>
    <cellStyle name="SAPBEXformats 7 3 4" xfId="21566"/>
    <cellStyle name="SAPBEXformats 7 4" xfId="5678"/>
    <cellStyle name="SAPBEXformats 7 4 2" xfId="21571"/>
    <cellStyle name="SAPBEXformats 7 4 2 2" xfId="21572"/>
    <cellStyle name="SAPBEXformats 7 4 3" xfId="21573"/>
    <cellStyle name="SAPBEXformats 7 4 4" xfId="21570"/>
    <cellStyle name="SAPBEXformats 7 5" xfId="6187"/>
    <cellStyle name="SAPBEXformats 7 5 2" xfId="21575"/>
    <cellStyle name="SAPBEXformats 7 5 2 2" xfId="21576"/>
    <cellStyle name="SAPBEXformats 7 5 3" xfId="21577"/>
    <cellStyle name="SAPBEXformats 7 5 4" xfId="21574"/>
    <cellStyle name="SAPBEXformats 7 6" xfId="6674"/>
    <cellStyle name="SAPBEXformats 7 6 2" xfId="21579"/>
    <cellStyle name="SAPBEXformats 7 6 2 2" xfId="21580"/>
    <cellStyle name="SAPBEXformats 7 6 3" xfId="21581"/>
    <cellStyle name="SAPBEXformats 7 6 4" xfId="21578"/>
    <cellStyle name="SAPBEXformats 7 7" xfId="7157"/>
    <cellStyle name="SAPBEXformats 7 7 2" xfId="21583"/>
    <cellStyle name="SAPBEXformats 7 7 2 2" xfId="21584"/>
    <cellStyle name="SAPBEXformats 7 7 3" xfId="21585"/>
    <cellStyle name="SAPBEXformats 7 7 4" xfId="21582"/>
    <cellStyle name="SAPBEXformats 7 8" xfId="8226"/>
    <cellStyle name="SAPBEXformats 7 8 2" xfId="21587"/>
    <cellStyle name="SAPBEXformats 7 8 2 2" xfId="21588"/>
    <cellStyle name="SAPBEXformats 7 8 3" xfId="21589"/>
    <cellStyle name="SAPBEXformats 7 8 4" xfId="21586"/>
    <cellStyle name="SAPBEXformats 7 9" xfId="8727"/>
    <cellStyle name="SAPBEXformats 7 9 2" xfId="21591"/>
    <cellStyle name="SAPBEXformats 7 9 2 2" xfId="21592"/>
    <cellStyle name="SAPBEXformats 7 9 3" xfId="21593"/>
    <cellStyle name="SAPBEXformats 7 9 4" xfId="21590"/>
    <cellStyle name="SAPBEXformats 7_planning-WP" xfId="21594"/>
    <cellStyle name="SAPBEXformats 8" xfId="1607"/>
    <cellStyle name="SAPBEXformats 8 10" xfId="21596"/>
    <cellStyle name="SAPBEXformats 8 10 2" xfId="21597"/>
    <cellStyle name="SAPBEXformats 8 11" xfId="21595"/>
    <cellStyle name="SAPBEXformats 8 12" xfId="9804"/>
    <cellStyle name="SAPBEXformats 8 2" xfId="4530"/>
    <cellStyle name="SAPBEXformats 8 2 2" xfId="21599"/>
    <cellStyle name="SAPBEXformats 8 2 2 2" xfId="21600"/>
    <cellStyle name="SAPBEXformats 8 2 3" xfId="21601"/>
    <cellStyle name="SAPBEXformats 8 2 4" xfId="21598"/>
    <cellStyle name="SAPBEXformats 8 3" xfId="5522"/>
    <cellStyle name="SAPBEXformats 8 3 2" xfId="21603"/>
    <cellStyle name="SAPBEXformats 8 3 2 2" xfId="21604"/>
    <cellStyle name="SAPBEXformats 8 3 3" xfId="21605"/>
    <cellStyle name="SAPBEXformats 8 3 4" xfId="21602"/>
    <cellStyle name="SAPBEXformats 8 4" xfId="3344"/>
    <cellStyle name="SAPBEXformats 8 4 2" xfId="21607"/>
    <cellStyle name="SAPBEXformats 8 4 2 2" xfId="21608"/>
    <cellStyle name="SAPBEXformats 8 4 3" xfId="21609"/>
    <cellStyle name="SAPBEXformats 8 4 4" xfId="21606"/>
    <cellStyle name="SAPBEXformats 8 5" xfId="5197"/>
    <cellStyle name="SAPBEXformats 8 5 2" xfId="21611"/>
    <cellStyle name="SAPBEXformats 8 5 2 2" xfId="21612"/>
    <cellStyle name="SAPBEXformats 8 5 3" xfId="21613"/>
    <cellStyle name="SAPBEXformats 8 5 4" xfId="21610"/>
    <cellStyle name="SAPBEXformats 8 6" xfId="5211"/>
    <cellStyle name="SAPBEXformats 8 6 2" xfId="21615"/>
    <cellStyle name="SAPBEXformats 8 6 2 2" xfId="21616"/>
    <cellStyle name="SAPBEXformats 8 6 3" xfId="21617"/>
    <cellStyle name="SAPBEXformats 8 6 4" xfId="21614"/>
    <cellStyle name="SAPBEXformats 8 7" xfId="8070"/>
    <cellStyle name="SAPBEXformats 8 7 2" xfId="21619"/>
    <cellStyle name="SAPBEXformats 8 7 2 2" xfId="21620"/>
    <cellStyle name="SAPBEXformats 8 7 3" xfId="21621"/>
    <cellStyle name="SAPBEXformats 8 7 4" xfId="21618"/>
    <cellStyle name="SAPBEXformats 8 8" xfId="8571"/>
    <cellStyle name="SAPBEXformats 8 8 2" xfId="21623"/>
    <cellStyle name="SAPBEXformats 8 8 2 2" xfId="21624"/>
    <cellStyle name="SAPBEXformats 8 8 3" xfId="21625"/>
    <cellStyle name="SAPBEXformats 8 8 4" xfId="21622"/>
    <cellStyle name="SAPBEXformats 8 9" xfId="9065"/>
    <cellStyle name="SAPBEXformats 8 9 2" xfId="21627"/>
    <cellStyle name="SAPBEXformats 8 9 2 2" xfId="21628"/>
    <cellStyle name="SAPBEXformats 8 9 3" xfId="21629"/>
    <cellStyle name="SAPBEXformats 8 9 4" xfId="21626"/>
    <cellStyle name="SAPBEXformats 8_planning-WP" xfId="21630"/>
    <cellStyle name="SAPBEXformats 9" xfId="1436"/>
    <cellStyle name="SAPBEXformats 9 10" xfId="21631"/>
    <cellStyle name="SAPBEXformats 9 11" xfId="9634"/>
    <cellStyle name="SAPBEXformats 9 2" xfId="4359"/>
    <cellStyle name="SAPBEXformats 9 2 2" xfId="21633"/>
    <cellStyle name="SAPBEXformats 9 2 2 2" xfId="21634"/>
    <cellStyle name="SAPBEXformats 9 2 3" xfId="21635"/>
    <cellStyle name="SAPBEXformats 9 2 4" xfId="21632"/>
    <cellStyle name="SAPBEXformats 9 3" xfId="5352"/>
    <cellStyle name="SAPBEXformats 9 3 2" xfId="21637"/>
    <cellStyle name="SAPBEXformats 9 3 2 2" xfId="21638"/>
    <cellStyle name="SAPBEXformats 9 3 3" xfId="21639"/>
    <cellStyle name="SAPBEXformats 9 3 4" xfId="21636"/>
    <cellStyle name="SAPBEXformats 9 4" xfId="5046"/>
    <cellStyle name="SAPBEXformats 9 4 2" xfId="21641"/>
    <cellStyle name="SAPBEXformats 9 4 2 2" xfId="21642"/>
    <cellStyle name="SAPBEXformats 9 4 3" xfId="21643"/>
    <cellStyle name="SAPBEXformats 9 4 4" xfId="21640"/>
    <cellStyle name="SAPBEXformats 9 5" xfId="3242"/>
    <cellStyle name="SAPBEXformats 9 5 2" xfId="21645"/>
    <cellStyle name="SAPBEXformats 9 5 2 2" xfId="21646"/>
    <cellStyle name="SAPBEXformats 9 5 3" xfId="21647"/>
    <cellStyle name="SAPBEXformats 9 5 4" xfId="21644"/>
    <cellStyle name="SAPBEXformats 9 6" xfId="5293"/>
    <cellStyle name="SAPBEXformats 9 6 2" xfId="21649"/>
    <cellStyle name="SAPBEXformats 9 6 2 2" xfId="21650"/>
    <cellStyle name="SAPBEXformats 9 6 3" xfId="21651"/>
    <cellStyle name="SAPBEXformats 9 6 4" xfId="21648"/>
    <cellStyle name="SAPBEXformats 9 7" xfId="7900"/>
    <cellStyle name="SAPBEXformats 9 7 2" xfId="21653"/>
    <cellStyle name="SAPBEXformats 9 7 2 2" xfId="21654"/>
    <cellStyle name="SAPBEXformats 9 7 3" xfId="21655"/>
    <cellStyle name="SAPBEXformats 9 7 4" xfId="21652"/>
    <cellStyle name="SAPBEXformats 9 8" xfId="7646"/>
    <cellStyle name="SAPBEXformats 9 8 2" xfId="21657"/>
    <cellStyle name="SAPBEXformats 9 8 2 2" xfId="21658"/>
    <cellStyle name="SAPBEXformats 9 8 3" xfId="21659"/>
    <cellStyle name="SAPBEXformats 9 8 4" xfId="21656"/>
    <cellStyle name="SAPBEXformats 9 9" xfId="7855"/>
    <cellStyle name="SAPBEXformats 9 9 2" xfId="21661"/>
    <cellStyle name="SAPBEXformats 9 9 3" xfId="21660"/>
    <cellStyle name="SAPBEXformats 9_planning-WP" xfId="21662"/>
    <cellStyle name="SAPBEXformats_19.RessDest CUC CS SEE+SEM 1009" xfId="38995"/>
    <cellStyle name="SAPBEXheaderItem" xfId="286"/>
    <cellStyle name="SAPBEXheaderItem 2" xfId="21664"/>
    <cellStyle name="SAPBEXheaderItem 2 2" xfId="21665"/>
    <cellStyle name="SAPBEXheaderItem 2 2 2" xfId="21666"/>
    <cellStyle name="SAPBEXheaderItem 2 3" xfId="21667"/>
    <cellStyle name="SAPBEXheaderItem 3" xfId="21668"/>
    <cellStyle name="SAPBEXheaderItem 3 2" xfId="21669"/>
    <cellStyle name="SAPBEXheaderItem 3 3" xfId="38996"/>
    <cellStyle name="SAPBEXheaderItem 4" xfId="21670"/>
    <cellStyle name="SAPBEXheaderItem 5" xfId="21671"/>
    <cellStyle name="SAPBEXheaderItem 5 2" xfId="38997"/>
    <cellStyle name="SAPBEXheaderItem 6" xfId="21663"/>
    <cellStyle name="SAPBEXheaderItem 6 2" xfId="38998"/>
    <cellStyle name="SAPBEXheaderItem_SEU - Implementation Contract - revisedproposal" xfId="38999"/>
    <cellStyle name="SAPBEXheaderText" xfId="287"/>
    <cellStyle name="SAPBEXheaderText 2" xfId="21673"/>
    <cellStyle name="SAPBEXheaderText 2 2" xfId="21674"/>
    <cellStyle name="SAPBEXheaderText 2 2 2" xfId="21675"/>
    <cellStyle name="SAPBEXheaderText 2 3" xfId="21676"/>
    <cellStyle name="SAPBEXheaderText 3" xfId="21677"/>
    <cellStyle name="SAPBEXheaderText 3 2" xfId="21678"/>
    <cellStyle name="SAPBEXheaderText 3 3" xfId="39000"/>
    <cellStyle name="SAPBEXheaderText 4" xfId="21679"/>
    <cellStyle name="SAPBEXheaderText 5" xfId="21680"/>
    <cellStyle name="SAPBEXheaderText 5 2" xfId="39001"/>
    <cellStyle name="SAPBEXheaderText 6" xfId="21672"/>
    <cellStyle name="SAPBEXheaderText 6 2" xfId="39002"/>
    <cellStyle name="SAPBEXheaderText_SEU - Implementation Contract - revisedproposal" xfId="39003"/>
    <cellStyle name="SAPBEXHLevel0" xfId="21681"/>
    <cellStyle name="SAPBEXHLevel0 10" xfId="21682"/>
    <cellStyle name="SAPBEXHLevel0 10 2" xfId="21683"/>
    <cellStyle name="SAPBEXHLevel0 10 2 2" xfId="21684"/>
    <cellStyle name="SAPBEXHLevel0 11" xfId="21685"/>
    <cellStyle name="SAPBEXHLevel0 11 2" xfId="21686"/>
    <cellStyle name="SAPBEXHLevel0 11 2 2" xfId="21687"/>
    <cellStyle name="SAPBEXHLevel0 11 3" xfId="21688"/>
    <cellStyle name="SAPBEXHLevel0 12" xfId="21689"/>
    <cellStyle name="SAPBEXHLevel0 12 2" xfId="21690"/>
    <cellStyle name="SAPBEXHLevel0 12 2 2" xfId="21691"/>
    <cellStyle name="SAPBEXHLevel0 12 3" xfId="21692"/>
    <cellStyle name="SAPBEXHLevel0 13" xfId="21693"/>
    <cellStyle name="SAPBEXHLevel0 13 2" xfId="21694"/>
    <cellStyle name="SAPBEXHLevel0 13 2 2" xfId="21695"/>
    <cellStyle name="SAPBEXHLevel0 13 3" xfId="21696"/>
    <cellStyle name="SAPBEXHLevel0 14" xfId="21697"/>
    <cellStyle name="SAPBEXHLevel0 14 2" xfId="21698"/>
    <cellStyle name="SAPBEXHLevel0 14 2 2" xfId="21699"/>
    <cellStyle name="SAPBEXHLevel0 14 3" xfId="21700"/>
    <cellStyle name="SAPBEXHLevel0 15" xfId="21701"/>
    <cellStyle name="SAPBEXHLevel0 15 2" xfId="21702"/>
    <cellStyle name="SAPBEXHLevel0 15 2 2" xfId="21703"/>
    <cellStyle name="SAPBEXHLevel0 15 3" xfId="21704"/>
    <cellStyle name="SAPBEXHLevel0 16" xfId="21705"/>
    <cellStyle name="SAPBEXHLevel0 16 2" xfId="21706"/>
    <cellStyle name="SAPBEXHLevel0 16 2 2" xfId="21707"/>
    <cellStyle name="SAPBEXHLevel0 16 3" xfId="21708"/>
    <cellStyle name="SAPBEXHLevel0 17" xfId="21709"/>
    <cellStyle name="SAPBEXHLevel0 17 2" xfId="21710"/>
    <cellStyle name="SAPBEXHLevel0 17 2 2" xfId="21711"/>
    <cellStyle name="SAPBEXHLevel0 17 3" xfId="21712"/>
    <cellStyle name="SAPBEXHLevel0 18" xfId="21713"/>
    <cellStyle name="SAPBEXHLevel0 19" xfId="39004"/>
    <cellStyle name="SAPBEXHLevel0 2" xfId="21714"/>
    <cellStyle name="SAPBEXHLevel0 2 10" xfId="21715"/>
    <cellStyle name="SAPBEXHLevel0 2 10 2" xfId="21716"/>
    <cellStyle name="SAPBEXHLevel0 2 10 2 2" xfId="21717"/>
    <cellStyle name="SAPBEXHLevel0 2 10 3" xfId="21718"/>
    <cellStyle name="SAPBEXHLevel0 2 11" xfId="21719"/>
    <cellStyle name="SAPBEXHLevel0 2 11 2" xfId="21720"/>
    <cellStyle name="SAPBEXHLevel0 2 11 2 2" xfId="21721"/>
    <cellStyle name="SAPBEXHLevel0 2 11 3" xfId="21722"/>
    <cellStyle name="SAPBEXHLevel0 2 12" xfId="21723"/>
    <cellStyle name="SAPBEXHLevel0 2 12 2" xfId="21724"/>
    <cellStyle name="SAPBEXHLevel0 2 12 2 2" xfId="21725"/>
    <cellStyle name="SAPBEXHLevel0 2 12 3" xfId="21726"/>
    <cellStyle name="SAPBEXHLevel0 2 13" xfId="21727"/>
    <cellStyle name="SAPBEXHLevel0 2 14" xfId="39005"/>
    <cellStyle name="SAPBEXHLevel0 2 15" xfId="39393"/>
    <cellStyle name="SAPBEXHLevel0 2 2" xfId="21728"/>
    <cellStyle name="SAPBEXHLevel0 2 2 10" xfId="21729"/>
    <cellStyle name="SAPBEXHLevel0 2 2 10 2" xfId="21730"/>
    <cellStyle name="SAPBEXHLevel0 2 2 10 2 2" xfId="21731"/>
    <cellStyle name="SAPBEXHLevel0 2 2 10 3" xfId="21732"/>
    <cellStyle name="SAPBEXHLevel0 2 2 11" xfId="21733"/>
    <cellStyle name="SAPBEXHLevel0 2 2 11 2" xfId="21734"/>
    <cellStyle name="SAPBEXHLevel0 2 2 12" xfId="39006"/>
    <cellStyle name="SAPBEXHLevel0 2 2 13" xfId="39394"/>
    <cellStyle name="SAPBEXHLevel0 2 2 2" xfId="21735"/>
    <cellStyle name="SAPBEXHLevel0 2 2 2 10" xfId="21736"/>
    <cellStyle name="SAPBEXHLevel0 2 2 2 10 2" xfId="21737"/>
    <cellStyle name="SAPBEXHLevel0 2 2 2 2" xfId="21738"/>
    <cellStyle name="SAPBEXHLevel0 2 2 2 2 2" xfId="21739"/>
    <cellStyle name="SAPBEXHLevel0 2 2 2 2 2 2" xfId="21740"/>
    <cellStyle name="SAPBEXHLevel0 2 2 2 2 3" xfId="21741"/>
    <cellStyle name="SAPBEXHLevel0 2 2 2 3" xfId="21742"/>
    <cellStyle name="SAPBEXHLevel0 2 2 2 3 2" xfId="21743"/>
    <cellStyle name="SAPBEXHLevel0 2 2 2 3 2 2" xfId="21744"/>
    <cellStyle name="SAPBEXHLevel0 2 2 2 3 3" xfId="21745"/>
    <cellStyle name="SAPBEXHLevel0 2 2 2 4" xfId="21746"/>
    <cellStyle name="SAPBEXHLevel0 2 2 2 4 2" xfId="21747"/>
    <cellStyle name="SAPBEXHLevel0 2 2 2 4 2 2" xfId="21748"/>
    <cellStyle name="SAPBEXHLevel0 2 2 2 4 3" xfId="21749"/>
    <cellStyle name="SAPBEXHLevel0 2 2 2 5" xfId="21750"/>
    <cellStyle name="SAPBEXHLevel0 2 2 2 5 2" xfId="21751"/>
    <cellStyle name="SAPBEXHLevel0 2 2 2 5 2 2" xfId="21752"/>
    <cellStyle name="SAPBEXHLevel0 2 2 2 5 3" xfId="21753"/>
    <cellStyle name="SAPBEXHLevel0 2 2 2 6" xfId="21754"/>
    <cellStyle name="SAPBEXHLevel0 2 2 2 6 2" xfId="21755"/>
    <cellStyle name="SAPBEXHLevel0 2 2 2 6 2 2" xfId="21756"/>
    <cellStyle name="SAPBEXHLevel0 2 2 2 6 3" xfId="21757"/>
    <cellStyle name="SAPBEXHLevel0 2 2 2 7" xfId="21758"/>
    <cellStyle name="SAPBEXHLevel0 2 2 2 7 2" xfId="21759"/>
    <cellStyle name="SAPBEXHLevel0 2 2 2 7 2 2" xfId="21760"/>
    <cellStyle name="SAPBEXHLevel0 2 2 2 7 3" xfId="21761"/>
    <cellStyle name="SAPBEXHLevel0 2 2 2 8" xfId="21762"/>
    <cellStyle name="SAPBEXHLevel0 2 2 2 8 2" xfId="21763"/>
    <cellStyle name="SAPBEXHLevel0 2 2 2 8 2 2" xfId="21764"/>
    <cellStyle name="SAPBEXHLevel0 2 2 2 8 3" xfId="21765"/>
    <cellStyle name="SAPBEXHLevel0 2 2 2 9" xfId="21766"/>
    <cellStyle name="SAPBEXHLevel0 2 2 2 9 2" xfId="21767"/>
    <cellStyle name="SAPBEXHLevel0 2 2 2 9 2 2" xfId="21768"/>
    <cellStyle name="SAPBEXHLevel0 2 2 2 9 3" xfId="21769"/>
    <cellStyle name="SAPBEXHLevel0 2 2 2_planning-WP" xfId="21770"/>
    <cellStyle name="SAPBEXHLevel0 2 2 3" xfId="21771"/>
    <cellStyle name="SAPBEXHLevel0 2 2 3 2" xfId="21772"/>
    <cellStyle name="SAPBEXHLevel0 2 2 3 2 2" xfId="21773"/>
    <cellStyle name="SAPBEXHLevel0 2 2 3 3" xfId="21774"/>
    <cellStyle name="SAPBEXHLevel0 2 2 4" xfId="21775"/>
    <cellStyle name="SAPBEXHLevel0 2 2 4 2" xfId="21776"/>
    <cellStyle name="SAPBEXHLevel0 2 2 4 2 2" xfId="21777"/>
    <cellStyle name="SAPBEXHLevel0 2 2 4 3" xfId="21778"/>
    <cellStyle name="SAPBEXHLevel0 2 2 5" xfId="21779"/>
    <cellStyle name="SAPBEXHLevel0 2 2 5 2" xfId="21780"/>
    <cellStyle name="SAPBEXHLevel0 2 2 5 2 2" xfId="21781"/>
    <cellStyle name="SAPBEXHLevel0 2 2 5 3" xfId="21782"/>
    <cellStyle name="SAPBEXHLevel0 2 2 6" xfId="21783"/>
    <cellStyle name="SAPBEXHLevel0 2 2 6 2" xfId="21784"/>
    <cellStyle name="SAPBEXHLevel0 2 2 6 2 2" xfId="21785"/>
    <cellStyle name="SAPBEXHLevel0 2 2 6 3" xfId="21786"/>
    <cellStyle name="SAPBEXHLevel0 2 2 7" xfId="21787"/>
    <cellStyle name="SAPBEXHLevel0 2 2 7 2" xfId="21788"/>
    <cellStyle name="SAPBEXHLevel0 2 2 7 2 2" xfId="21789"/>
    <cellStyle name="SAPBEXHLevel0 2 2 7 3" xfId="21790"/>
    <cellStyle name="SAPBEXHLevel0 2 2 8" xfId="21791"/>
    <cellStyle name="SAPBEXHLevel0 2 2 8 2" xfId="21792"/>
    <cellStyle name="SAPBEXHLevel0 2 2 8 2 2" xfId="21793"/>
    <cellStyle name="SAPBEXHLevel0 2 2 8 3" xfId="21794"/>
    <cellStyle name="SAPBEXHLevel0 2 2 9" xfId="21795"/>
    <cellStyle name="SAPBEXHLevel0 2 2 9 2" xfId="21796"/>
    <cellStyle name="SAPBEXHLevel0 2 2 9 2 2" xfId="21797"/>
    <cellStyle name="SAPBEXHLevel0 2 2 9 3" xfId="21798"/>
    <cellStyle name="SAPBEXHLevel0 2 2_planning-WP" xfId="21799"/>
    <cellStyle name="SAPBEXHLevel0 2 3" xfId="21800"/>
    <cellStyle name="SAPBEXHLevel0 2 3 10" xfId="21801"/>
    <cellStyle name="SAPBEXHLevel0 2 3 10 2" xfId="21802"/>
    <cellStyle name="SAPBEXHLevel0 2 3 2" xfId="21803"/>
    <cellStyle name="SAPBEXHLevel0 2 3 2 2" xfId="21804"/>
    <cellStyle name="SAPBEXHLevel0 2 3 2 2 2" xfId="21805"/>
    <cellStyle name="SAPBEXHLevel0 2 3 2 3" xfId="21806"/>
    <cellStyle name="SAPBEXHLevel0 2 3 3" xfId="21807"/>
    <cellStyle name="SAPBEXHLevel0 2 3 3 2" xfId="21808"/>
    <cellStyle name="SAPBEXHLevel0 2 3 3 2 2" xfId="21809"/>
    <cellStyle name="SAPBEXHLevel0 2 3 3 3" xfId="21810"/>
    <cellStyle name="SAPBEXHLevel0 2 3 4" xfId="21811"/>
    <cellStyle name="SAPBEXHLevel0 2 3 4 2" xfId="21812"/>
    <cellStyle name="SAPBEXHLevel0 2 3 4 2 2" xfId="21813"/>
    <cellStyle name="SAPBEXHLevel0 2 3 4 3" xfId="21814"/>
    <cellStyle name="SAPBEXHLevel0 2 3 5" xfId="21815"/>
    <cellStyle name="SAPBEXHLevel0 2 3 5 2" xfId="21816"/>
    <cellStyle name="SAPBEXHLevel0 2 3 5 2 2" xfId="21817"/>
    <cellStyle name="SAPBEXHLevel0 2 3 5 3" xfId="21818"/>
    <cellStyle name="SAPBEXHLevel0 2 3 6" xfId="21819"/>
    <cellStyle name="SAPBEXHLevel0 2 3 6 2" xfId="21820"/>
    <cellStyle name="SAPBEXHLevel0 2 3 6 2 2" xfId="21821"/>
    <cellStyle name="SAPBEXHLevel0 2 3 6 3" xfId="21822"/>
    <cellStyle name="SAPBEXHLevel0 2 3 7" xfId="21823"/>
    <cellStyle name="SAPBEXHLevel0 2 3 7 2" xfId="21824"/>
    <cellStyle name="SAPBEXHLevel0 2 3 7 2 2" xfId="21825"/>
    <cellStyle name="SAPBEXHLevel0 2 3 7 3" xfId="21826"/>
    <cellStyle name="SAPBEXHLevel0 2 3 8" xfId="21827"/>
    <cellStyle name="SAPBEXHLevel0 2 3 8 2" xfId="21828"/>
    <cellStyle name="SAPBEXHLevel0 2 3 8 2 2" xfId="21829"/>
    <cellStyle name="SAPBEXHLevel0 2 3 8 3" xfId="21830"/>
    <cellStyle name="SAPBEXHLevel0 2 3 9" xfId="21831"/>
    <cellStyle name="SAPBEXHLevel0 2 3 9 2" xfId="21832"/>
    <cellStyle name="SAPBEXHLevel0 2 3 9 2 2" xfId="21833"/>
    <cellStyle name="SAPBEXHLevel0 2 3 9 3" xfId="21834"/>
    <cellStyle name="SAPBEXHLevel0 2 3_planning-WP" xfId="21835"/>
    <cellStyle name="SAPBEXHLevel0 2 4" xfId="21836"/>
    <cellStyle name="SAPBEXHLevel0 2 4 2" xfId="21837"/>
    <cellStyle name="SAPBEXHLevel0 2 4 2 2" xfId="21838"/>
    <cellStyle name="SAPBEXHLevel0 2 4 2 2 2" xfId="21839"/>
    <cellStyle name="SAPBEXHLevel0 2 4 2 3" xfId="21840"/>
    <cellStyle name="SAPBEXHLevel0 2 4 3" xfId="21841"/>
    <cellStyle name="SAPBEXHLevel0 2 4 3 2" xfId="21842"/>
    <cellStyle name="SAPBEXHLevel0 2 4 3 2 2" xfId="21843"/>
    <cellStyle name="SAPBEXHLevel0 2 4 3 3" xfId="21844"/>
    <cellStyle name="SAPBEXHLevel0 2 4 4" xfId="21845"/>
    <cellStyle name="SAPBEXHLevel0 2 4 4 2" xfId="21846"/>
    <cellStyle name="SAPBEXHLevel0 2 4 4 2 2" xfId="21847"/>
    <cellStyle name="SAPBEXHLevel0 2 4 4 3" xfId="21848"/>
    <cellStyle name="SAPBEXHLevel0 2 4 5" xfId="21849"/>
    <cellStyle name="SAPBEXHLevel0 2 4 5 2" xfId="21850"/>
    <cellStyle name="SAPBEXHLevel0 2 4 5 2 2" xfId="21851"/>
    <cellStyle name="SAPBEXHLevel0 2 4 5 3" xfId="21852"/>
    <cellStyle name="SAPBEXHLevel0 2 4 6" xfId="21853"/>
    <cellStyle name="SAPBEXHLevel0 2 4 6 2" xfId="21854"/>
    <cellStyle name="SAPBEXHLevel0 2 4 6 2 2" xfId="21855"/>
    <cellStyle name="SAPBEXHLevel0 2 4 6 3" xfId="21856"/>
    <cellStyle name="SAPBEXHLevel0 2 4 7" xfId="21857"/>
    <cellStyle name="SAPBEXHLevel0 2 4 7 2" xfId="21858"/>
    <cellStyle name="SAPBEXHLevel0 2 4 7 2 2" xfId="21859"/>
    <cellStyle name="SAPBEXHLevel0 2 4 7 3" xfId="21860"/>
    <cellStyle name="SAPBEXHLevel0 2 4 8" xfId="21861"/>
    <cellStyle name="SAPBEXHLevel0 2 4 8 2" xfId="21862"/>
    <cellStyle name="SAPBEXHLevel0 2 4 8 2 2" xfId="21863"/>
    <cellStyle name="SAPBEXHLevel0 2 4 8 3" xfId="21864"/>
    <cellStyle name="SAPBEXHLevel0 2 4 9" xfId="21865"/>
    <cellStyle name="SAPBEXHLevel0 2 4 9 2" xfId="21866"/>
    <cellStyle name="SAPBEXHLevel0 2 4_planning-WP" xfId="21867"/>
    <cellStyle name="SAPBEXHLevel0 2 5" xfId="21868"/>
    <cellStyle name="SAPBEXHLevel0 2 5 2" xfId="21869"/>
    <cellStyle name="SAPBEXHLevel0 2 5 2 2" xfId="21870"/>
    <cellStyle name="SAPBEXHLevel0 2 6" xfId="21871"/>
    <cellStyle name="SAPBEXHLevel0 2 6 2" xfId="21872"/>
    <cellStyle name="SAPBEXHLevel0 2 6 2 2" xfId="21873"/>
    <cellStyle name="SAPBEXHLevel0 2 6 3" xfId="21874"/>
    <cellStyle name="SAPBEXHLevel0 2 7" xfId="21875"/>
    <cellStyle name="SAPBEXHLevel0 2 7 2" xfId="21876"/>
    <cellStyle name="SAPBEXHLevel0 2 7 2 2" xfId="21877"/>
    <cellStyle name="SAPBEXHLevel0 2 7 3" xfId="21878"/>
    <cellStyle name="SAPBEXHLevel0 2 8" xfId="21879"/>
    <cellStyle name="SAPBEXHLevel0 2 8 2" xfId="21880"/>
    <cellStyle name="SAPBEXHLevel0 2 8 2 2" xfId="21881"/>
    <cellStyle name="SAPBEXHLevel0 2 8 3" xfId="21882"/>
    <cellStyle name="SAPBEXHLevel0 2 9" xfId="21883"/>
    <cellStyle name="SAPBEXHLevel0 2 9 2" xfId="21884"/>
    <cellStyle name="SAPBEXHLevel0 2 9 2 2" xfId="21885"/>
    <cellStyle name="SAPBEXHLevel0 2 9 3" xfId="21886"/>
    <cellStyle name="SAPBEXHLevel0 2_planning-WP" xfId="21887"/>
    <cellStyle name="SAPBEXHLevel0 20" xfId="39392"/>
    <cellStyle name="SAPBEXHLevel0 3" xfId="21888"/>
    <cellStyle name="SAPBEXHLevel0 3 10" xfId="21889"/>
    <cellStyle name="SAPBEXHLevel0 3 10 2" xfId="21890"/>
    <cellStyle name="SAPBEXHLevel0 3 10 2 2" xfId="21891"/>
    <cellStyle name="SAPBEXHLevel0 3 10 3" xfId="21892"/>
    <cellStyle name="SAPBEXHLevel0 3 11" xfId="21893"/>
    <cellStyle name="SAPBEXHLevel0 3 11 2" xfId="21894"/>
    <cellStyle name="SAPBEXHLevel0 3 11 2 2" xfId="21895"/>
    <cellStyle name="SAPBEXHLevel0 3 11 3" xfId="21896"/>
    <cellStyle name="SAPBEXHLevel0 3 12" xfId="21897"/>
    <cellStyle name="SAPBEXHLevel0 3 12 2" xfId="21898"/>
    <cellStyle name="SAPBEXHLevel0 3 12 2 2" xfId="21899"/>
    <cellStyle name="SAPBEXHLevel0 3 12 3" xfId="21900"/>
    <cellStyle name="SAPBEXHLevel0 3 13" xfId="21901"/>
    <cellStyle name="SAPBEXHLevel0 3 14" xfId="39007"/>
    <cellStyle name="SAPBEXHLevel0 3 15" xfId="39395"/>
    <cellStyle name="SAPBEXHLevel0 3 2" xfId="21902"/>
    <cellStyle name="SAPBEXHLevel0 3 2 10" xfId="21903"/>
    <cellStyle name="SAPBEXHLevel0 3 2 10 2" xfId="21904"/>
    <cellStyle name="SAPBEXHLevel0 3 2 10 2 2" xfId="21905"/>
    <cellStyle name="SAPBEXHLevel0 3 2 10 3" xfId="21906"/>
    <cellStyle name="SAPBEXHLevel0 3 2 11" xfId="21907"/>
    <cellStyle name="SAPBEXHLevel0 3 2 11 2" xfId="21908"/>
    <cellStyle name="SAPBEXHLevel0 3 2 12" xfId="39008"/>
    <cellStyle name="SAPBEXHLevel0 3 2 13" xfId="39396"/>
    <cellStyle name="SAPBEXHLevel0 3 2 2" xfId="21909"/>
    <cellStyle name="SAPBEXHLevel0 3 2 2 10" xfId="21910"/>
    <cellStyle name="SAPBEXHLevel0 3 2 2 10 2" xfId="21911"/>
    <cellStyle name="SAPBEXHLevel0 3 2 2 2" xfId="21912"/>
    <cellStyle name="SAPBEXHLevel0 3 2 2 2 2" xfId="21913"/>
    <cellStyle name="SAPBEXHLevel0 3 2 2 2 2 2" xfId="21914"/>
    <cellStyle name="SAPBEXHLevel0 3 2 2 2 3" xfId="21915"/>
    <cellStyle name="SAPBEXHLevel0 3 2 2 3" xfId="21916"/>
    <cellStyle name="SAPBEXHLevel0 3 2 2 3 2" xfId="21917"/>
    <cellStyle name="SAPBEXHLevel0 3 2 2 3 2 2" xfId="21918"/>
    <cellStyle name="SAPBEXHLevel0 3 2 2 3 3" xfId="21919"/>
    <cellStyle name="SAPBEXHLevel0 3 2 2 4" xfId="21920"/>
    <cellStyle name="SAPBEXHLevel0 3 2 2 4 2" xfId="21921"/>
    <cellStyle name="SAPBEXHLevel0 3 2 2 4 2 2" xfId="21922"/>
    <cellStyle name="SAPBEXHLevel0 3 2 2 4 3" xfId="21923"/>
    <cellStyle name="SAPBEXHLevel0 3 2 2 5" xfId="21924"/>
    <cellStyle name="SAPBEXHLevel0 3 2 2 5 2" xfId="21925"/>
    <cellStyle name="SAPBEXHLevel0 3 2 2 5 2 2" xfId="21926"/>
    <cellStyle name="SAPBEXHLevel0 3 2 2 5 3" xfId="21927"/>
    <cellStyle name="SAPBEXHLevel0 3 2 2 6" xfId="21928"/>
    <cellStyle name="SAPBEXHLevel0 3 2 2 6 2" xfId="21929"/>
    <cellStyle name="SAPBEXHLevel0 3 2 2 6 2 2" xfId="21930"/>
    <cellStyle name="SAPBEXHLevel0 3 2 2 6 3" xfId="21931"/>
    <cellStyle name="SAPBEXHLevel0 3 2 2 7" xfId="21932"/>
    <cellStyle name="SAPBEXHLevel0 3 2 2 7 2" xfId="21933"/>
    <cellStyle name="SAPBEXHLevel0 3 2 2 7 2 2" xfId="21934"/>
    <cellStyle name="SAPBEXHLevel0 3 2 2 7 3" xfId="21935"/>
    <cellStyle name="SAPBEXHLevel0 3 2 2 8" xfId="21936"/>
    <cellStyle name="SAPBEXHLevel0 3 2 2 8 2" xfId="21937"/>
    <cellStyle name="SAPBEXHLevel0 3 2 2 8 2 2" xfId="21938"/>
    <cellStyle name="SAPBEXHLevel0 3 2 2 8 3" xfId="21939"/>
    <cellStyle name="SAPBEXHLevel0 3 2 2 9" xfId="21940"/>
    <cellStyle name="SAPBEXHLevel0 3 2 2 9 2" xfId="21941"/>
    <cellStyle name="SAPBEXHLevel0 3 2 2 9 2 2" xfId="21942"/>
    <cellStyle name="SAPBEXHLevel0 3 2 2 9 3" xfId="21943"/>
    <cellStyle name="SAPBEXHLevel0 3 2 2_planning-WP" xfId="21944"/>
    <cellStyle name="SAPBEXHLevel0 3 2 3" xfId="21945"/>
    <cellStyle name="SAPBEXHLevel0 3 2 3 2" xfId="21946"/>
    <cellStyle name="SAPBEXHLevel0 3 2 3 2 2" xfId="21947"/>
    <cellStyle name="SAPBEXHLevel0 3 2 3 3" xfId="21948"/>
    <cellStyle name="SAPBEXHLevel0 3 2 4" xfId="21949"/>
    <cellStyle name="SAPBEXHLevel0 3 2 4 2" xfId="21950"/>
    <cellStyle name="SAPBEXHLevel0 3 2 4 2 2" xfId="21951"/>
    <cellStyle name="SAPBEXHLevel0 3 2 4 3" xfId="21952"/>
    <cellStyle name="SAPBEXHLevel0 3 2 5" xfId="21953"/>
    <cellStyle name="SAPBEXHLevel0 3 2 5 2" xfId="21954"/>
    <cellStyle name="SAPBEXHLevel0 3 2 5 2 2" xfId="21955"/>
    <cellStyle name="SAPBEXHLevel0 3 2 5 3" xfId="21956"/>
    <cellStyle name="SAPBEXHLevel0 3 2 6" xfId="21957"/>
    <cellStyle name="SAPBEXHLevel0 3 2 6 2" xfId="21958"/>
    <cellStyle name="SAPBEXHLevel0 3 2 6 2 2" xfId="21959"/>
    <cellStyle name="SAPBEXHLevel0 3 2 6 3" xfId="21960"/>
    <cellStyle name="SAPBEXHLevel0 3 2 7" xfId="21961"/>
    <cellStyle name="SAPBEXHLevel0 3 2 7 2" xfId="21962"/>
    <cellStyle name="SAPBEXHLevel0 3 2 7 2 2" xfId="21963"/>
    <cellStyle name="SAPBEXHLevel0 3 2 7 3" xfId="21964"/>
    <cellStyle name="SAPBEXHLevel0 3 2 8" xfId="21965"/>
    <cellStyle name="SAPBEXHLevel0 3 2 8 2" xfId="21966"/>
    <cellStyle name="SAPBEXHLevel0 3 2 8 2 2" xfId="21967"/>
    <cellStyle name="SAPBEXHLevel0 3 2 8 3" xfId="21968"/>
    <cellStyle name="SAPBEXHLevel0 3 2 9" xfId="21969"/>
    <cellStyle name="SAPBEXHLevel0 3 2 9 2" xfId="21970"/>
    <cellStyle name="SAPBEXHLevel0 3 2 9 2 2" xfId="21971"/>
    <cellStyle name="SAPBEXHLevel0 3 2 9 3" xfId="21972"/>
    <cellStyle name="SAPBEXHLevel0 3 2_planning-WP" xfId="21973"/>
    <cellStyle name="SAPBEXHLevel0 3 3" xfId="21974"/>
    <cellStyle name="SAPBEXHLevel0 3 3 10" xfId="21975"/>
    <cellStyle name="SAPBEXHLevel0 3 3 10 2" xfId="21976"/>
    <cellStyle name="SAPBEXHLevel0 3 3 2" xfId="21977"/>
    <cellStyle name="SAPBEXHLevel0 3 3 2 2" xfId="21978"/>
    <cellStyle name="SAPBEXHLevel0 3 3 2 2 2" xfId="21979"/>
    <cellStyle name="SAPBEXHLevel0 3 3 2 3" xfId="21980"/>
    <cellStyle name="SAPBEXHLevel0 3 3 3" xfId="21981"/>
    <cellStyle name="SAPBEXHLevel0 3 3 3 2" xfId="21982"/>
    <cellStyle name="SAPBEXHLevel0 3 3 3 2 2" xfId="21983"/>
    <cellStyle name="SAPBEXHLevel0 3 3 3 3" xfId="21984"/>
    <cellStyle name="SAPBEXHLevel0 3 3 4" xfId="21985"/>
    <cellStyle name="SAPBEXHLevel0 3 3 4 2" xfId="21986"/>
    <cellStyle name="SAPBEXHLevel0 3 3 4 2 2" xfId="21987"/>
    <cellStyle name="SAPBEXHLevel0 3 3 4 3" xfId="21988"/>
    <cellStyle name="SAPBEXHLevel0 3 3 5" xfId="21989"/>
    <cellStyle name="SAPBEXHLevel0 3 3 5 2" xfId="21990"/>
    <cellStyle name="SAPBEXHLevel0 3 3 5 2 2" xfId="21991"/>
    <cellStyle name="SAPBEXHLevel0 3 3 5 3" xfId="21992"/>
    <cellStyle name="SAPBEXHLevel0 3 3 6" xfId="21993"/>
    <cellStyle name="SAPBEXHLevel0 3 3 6 2" xfId="21994"/>
    <cellStyle name="SAPBEXHLevel0 3 3 6 2 2" xfId="21995"/>
    <cellStyle name="SAPBEXHLevel0 3 3 6 3" xfId="21996"/>
    <cellStyle name="SAPBEXHLevel0 3 3 7" xfId="21997"/>
    <cellStyle name="SAPBEXHLevel0 3 3 7 2" xfId="21998"/>
    <cellStyle name="SAPBEXHLevel0 3 3 7 2 2" xfId="21999"/>
    <cellStyle name="SAPBEXHLevel0 3 3 7 3" xfId="22000"/>
    <cellStyle name="SAPBEXHLevel0 3 3 8" xfId="22001"/>
    <cellStyle name="SAPBEXHLevel0 3 3 8 2" xfId="22002"/>
    <cellStyle name="SAPBEXHLevel0 3 3 8 2 2" xfId="22003"/>
    <cellStyle name="SAPBEXHLevel0 3 3 8 3" xfId="22004"/>
    <cellStyle name="SAPBEXHLevel0 3 3 9" xfId="22005"/>
    <cellStyle name="SAPBEXHLevel0 3 3 9 2" xfId="22006"/>
    <cellStyle name="SAPBEXHLevel0 3 3 9 2 2" xfId="22007"/>
    <cellStyle name="SAPBEXHLevel0 3 3 9 3" xfId="22008"/>
    <cellStyle name="SAPBEXHLevel0 3 3_planning-WP" xfId="22009"/>
    <cellStyle name="SAPBEXHLevel0 3 4" xfId="22010"/>
    <cellStyle name="SAPBEXHLevel0 3 4 2" xfId="22011"/>
    <cellStyle name="SAPBEXHLevel0 3 4 2 2" xfId="22012"/>
    <cellStyle name="SAPBEXHLevel0 3 4 2 2 2" xfId="22013"/>
    <cellStyle name="SAPBEXHLevel0 3 4 2 3" xfId="22014"/>
    <cellStyle name="SAPBEXHLevel0 3 4 3" xfId="22015"/>
    <cellStyle name="SAPBEXHLevel0 3 4 3 2" xfId="22016"/>
    <cellStyle name="SAPBEXHLevel0 3 4 3 2 2" xfId="22017"/>
    <cellStyle name="SAPBEXHLevel0 3 4 3 3" xfId="22018"/>
    <cellStyle name="SAPBEXHLevel0 3 4 4" xfId="22019"/>
    <cellStyle name="SAPBEXHLevel0 3 4 4 2" xfId="22020"/>
    <cellStyle name="SAPBEXHLevel0 3 4 4 2 2" xfId="22021"/>
    <cellStyle name="SAPBEXHLevel0 3 4 4 3" xfId="22022"/>
    <cellStyle name="SAPBEXHLevel0 3 4 5" xfId="22023"/>
    <cellStyle name="SAPBEXHLevel0 3 4 5 2" xfId="22024"/>
    <cellStyle name="SAPBEXHLevel0 3 4 5 2 2" xfId="22025"/>
    <cellStyle name="SAPBEXHLevel0 3 4 5 3" xfId="22026"/>
    <cellStyle name="SAPBEXHLevel0 3 4 6" xfId="22027"/>
    <cellStyle name="SAPBEXHLevel0 3 4 6 2" xfId="22028"/>
    <cellStyle name="SAPBEXHLevel0 3 4 6 2 2" xfId="22029"/>
    <cellStyle name="SAPBEXHLevel0 3 4 6 3" xfId="22030"/>
    <cellStyle name="SAPBEXHLevel0 3 4 7" xfId="22031"/>
    <cellStyle name="SAPBEXHLevel0 3 4 7 2" xfId="22032"/>
    <cellStyle name="SAPBEXHLevel0 3 4 7 2 2" xfId="22033"/>
    <cellStyle name="SAPBEXHLevel0 3 4 7 3" xfId="22034"/>
    <cellStyle name="SAPBEXHLevel0 3 4 8" xfId="22035"/>
    <cellStyle name="SAPBEXHLevel0 3 4 8 2" xfId="22036"/>
    <cellStyle name="SAPBEXHLevel0 3 4 8 2 2" xfId="22037"/>
    <cellStyle name="SAPBEXHLevel0 3 4 8 3" xfId="22038"/>
    <cellStyle name="SAPBEXHLevel0 3 4 9" xfId="22039"/>
    <cellStyle name="SAPBEXHLevel0 3 4 9 2" xfId="22040"/>
    <cellStyle name="SAPBEXHLevel0 3 4_planning-WP" xfId="22041"/>
    <cellStyle name="SAPBEXHLevel0 3 5" xfId="22042"/>
    <cellStyle name="SAPBEXHLevel0 3 5 2" xfId="22043"/>
    <cellStyle name="SAPBEXHLevel0 3 5 2 2" xfId="22044"/>
    <cellStyle name="SAPBEXHLevel0 3 6" xfId="22045"/>
    <cellStyle name="SAPBEXHLevel0 3 6 2" xfId="22046"/>
    <cellStyle name="SAPBEXHLevel0 3 6 2 2" xfId="22047"/>
    <cellStyle name="SAPBEXHLevel0 3 6 3" xfId="22048"/>
    <cellStyle name="SAPBEXHLevel0 3 7" xfId="22049"/>
    <cellStyle name="SAPBEXHLevel0 3 7 2" xfId="22050"/>
    <cellStyle name="SAPBEXHLevel0 3 7 2 2" xfId="22051"/>
    <cellStyle name="SAPBEXHLevel0 3 7 3" xfId="22052"/>
    <cellStyle name="SAPBEXHLevel0 3 8" xfId="22053"/>
    <cellStyle name="SAPBEXHLevel0 3 8 2" xfId="22054"/>
    <cellStyle name="SAPBEXHLevel0 3 8 2 2" xfId="22055"/>
    <cellStyle name="SAPBEXHLevel0 3 8 3" xfId="22056"/>
    <cellStyle name="SAPBEXHLevel0 3 9" xfId="22057"/>
    <cellStyle name="SAPBEXHLevel0 3 9 2" xfId="22058"/>
    <cellStyle name="SAPBEXHLevel0 3 9 2 2" xfId="22059"/>
    <cellStyle name="SAPBEXHLevel0 3 9 3" xfId="22060"/>
    <cellStyle name="SAPBEXHLevel0 3_planning-WP" xfId="22061"/>
    <cellStyle name="SAPBEXHLevel0 4" xfId="22062"/>
    <cellStyle name="SAPBEXHLevel0 4 10" xfId="22063"/>
    <cellStyle name="SAPBEXHLevel0 4 10 2" xfId="22064"/>
    <cellStyle name="SAPBEXHLevel0 4 10 2 2" xfId="22065"/>
    <cellStyle name="SAPBEXHLevel0 4 10 3" xfId="22066"/>
    <cellStyle name="SAPBEXHLevel0 4 11" xfId="22067"/>
    <cellStyle name="SAPBEXHLevel0 4 11 2" xfId="22068"/>
    <cellStyle name="SAPBEXHLevel0 4 11 2 2" xfId="22069"/>
    <cellStyle name="SAPBEXHLevel0 4 11 3" xfId="22070"/>
    <cellStyle name="SAPBEXHLevel0 4 12" xfId="22071"/>
    <cellStyle name="SAPBEXHLevel0 4 12 2" xfId="22072"/>
    <cellStyle name="SAPBEXHLevel0 4 12 2 2" xfId="22073"/>
    <cellStyle name="SAPBEXHLevel0 4 12 3" xfId="22074"/>
    <cellStyle name="SAPBEXHLevel0 4 13" xfId="22075"/>
    <cellStyle name="SAPBEXHLevel0 4 14" xfId="39009"/>
    <cellStyle name="SAPBEXHLevel0 4 15" xfId="39397"/>
    <cellStyle name="SAPBEXHLevel0 4 2" xfId="22076"/>
    <cellStyle name="SAPBEXHLevel0 4 2 10" xfId="22077"/>
    <cellStyle name="SAPBEXHLevel0 4 2 10 2" xfId="22078"/>
    <cellStyle name="SAPBEXHLevel0 4 2 10 2 2" xfId="22079"/>
    <cellStyle name="SAPBEXHLevel0 4 2 10 3" xfId="22080"/>
    <cellStyle name="SAPBEXHLevel0 4 2 11" xfId="22081"/>
    <cellStyle name="SAPBEXHLevel0 4 2 11 2" xfId="22082"/>
    <cellStyle name="SAPBEXHLevel0 4 2 12" xfId="39010"/>
    <cellStyle name="SAPBEXHLevel0 4 2 13" xfId="39398"/>
    <cellStyle name="SAPBEXHLevel0 4 2 2" xfId="22083"/>
    <cellStyle name="SAPBEXHLevel0 4 2 2 10" xfId="22084"/>
    <cellStyle name="SAPBEXHLevel0 4 2 2 10 2" xfId="22085"/>
    <cellStyle name="SAPBEXHLevel0 4 2 2 2" xfId="22086"/>
    <cellStyle name="SAPBEXHLevel0 4 2 2 2 2" xfId="22087"/>
    <cellStyle name="SAPBEXHLevel0 4 2 2 2 2 2" xfId="22088"/>
    <cellStyle name="SAPBEXHLevel0 4 2 2 2 3" xfId="22089"/>
    <cellStyle name="SAPBEXHLevel0 4 2 2 3" xfId="22090"/>
    <cellStyle name="SAPBEXHLevel0 4 2 2 3 2" xfId="22091"/>
    <cellStyle name="SAPBEXHLevel0 4 2 2 3 2 2" xfId="22092"/>
    <cellStyle name="SAPBEXHLevel0 4 2 2 3 3" xfId="22093"/>
    <cellStyle name="SAPBEXHLevel0 4 2 2 4" xfId="22094"/>
    <cellStyle name="SAPBEXHLevel0 4 2 2 4 2" xfId="22095"/>
    <cellStyle name="SAPBEXHLevel0 4 2 2 4 2 2" xfId="22096"/>
    <cellStyle name="SAPBEXHLevel0 4 2 2 4 3" xfId="22097"/>
    <cellStyle name="SAPBEXHLevel0 4 2 2 5" xfId="22098"/>
    <cellStyle name="SAPBEXHLevel0 4 2 2 5 2" xfId="22099"/>
    <cellStyle name="SAPBEXHLevel0 4 2 2 5 2 2" xfId="22100"/>
    <cellStyle name="SAPBEXHLevel0 4 2 2 5 3" xfId="22101"/>
    <cellStyle name="SAPBEXHLevel0 4 2 2 6" xfId="22102"/>
    <cellStyle name="SAPBEXHLevel0 4 2 2 6 2" xfId="22103"/>
    <cellStyle name="SAPBEXHLevel0 4 2 2 6 2 2" xfId="22104"/>
    <cellStyle name="SAPBEXHLevel0 4 2 2 6 3" xfId="22105"/>
    <cellStyle name="SAPBEXHLevel0 4 2 2 7" xfId="22106"/>
    <cellStyle name="SAPBEXHLevel0 4 2 2 7 2" xfId="22107"/>
    <cellStyle name="SAPBEXHLevel0 4 2 2 7 2 2" xfId="22108"/>
    <cellStyle name="SAPBEXHLevel0 4 2 2 7 3" xfId="22109"/>
    <cellStyle name="SAPBEXHLevel0 4 2 2 8" xfId="22110"/>
    <cellStyle name="SAPBEXHLevel0 4 2 2 8 2" xfId="22111"/>
    <cellStyle name="SAPBEXHLevel0 4 2 2 8 2 2" xfId="22112"/>
    <cellStyle name="SAPBEXHLevel0 4 2 2 8 3" xfId="22113"/>
    <cellStyle name="SAPBEXHLevel0 4 2 2 9" xfId="22114"/>
    <cellStyle name="SAPBEXHLevel0 4 2 2 9 2" xfId="22115"/>
    <cellStyle name="SAPBEXHLevel0 4 2 2 9 2 2" xfId="22116"/>
    <cellStyle name="SAPBEXHLevel0 4 2 2 9 3" xfId="22117"/>
    <cellStyle name="SAPBEXHLevel0 4 2 2_planning-WP" xfId="22118"/>
    <cellStyle name="SAPBEXHLevel0 4 2 3" xfId="22119"/>
    <cellStyle name="SAPBEXHLevel0 4 2 3 2" xfId="22120"/>
    <cellStyle name="SAPBEXHLevel0 4 2 3 2 2" xfId="22121"/>
    <cellStyle name="SAPBEXHLevel0 4 2 3 3" xfId="22122"/>
    <cellStyle name="SAPBEXHLevel0 4 2 4" xfId="22123"/>
    <cellStyle name="SAPBEXHLevel0 4 2 4 2" xfId="22124"/>
    <cellStyle name="SAPBEXHLevel0 4 2 4 2 2" xfId="22125"/>
    <cellStyle name="SAPBEXHLevel0 4 2 4 3" xfId="22126"/>
    <cellStyle name="SAPBEXHLevel0 4 2 5" xfId="22127"/>
    <cellStyle name="SAPBEXHLevel0 4 2 5 2" xfId="22128"/>
    <cellStyle name="SAPBEXHLevel0 4 2 5 2 2" xfId="22129"/>
    <cellStyle name="SAPBEXHLevel0 4 2 5 3" xfId="22130"/>
    <cellStyle name="SAPBEXHLevel0 4 2 6" xfId="22131"/>
    <cellStyle name="SAPBEXHLevel0 4 2 6 2" xfId="22132"/>
    <cellStyle name="SAPBEXHLevel0 4 2 6 2 2" xfId="22133"/>
    <cellStyle name="SAPBEXHLevel0 4 2 6 3" xfId="22134"/>
    <cellStyle name="SAPBEXHLevel0 4 2 7" xfId="22135"/>
    <cellStyle name="SAPBEXHLevel0 4 2 7 2" xfId="22136"/>
    <cellStyle name="SAPBEXHLevel0 4 2 7 2 2" xfId="22137"/>
    <cellStyle name="SAPBEXHLevel0 4 2 7 3" xfId="22138"/>
    <cellStyle name="SAPBEXHLevel0 4 2 8" xfId="22139"/>
    <cellStyle name="SAPBEXHLevel0 4 2 8 2" xfId="22140"/>
    <cellStyle name="SAPBEXHLevel0 4 2 8 2 2" xfId="22141"/>
    <cellStyle name="SAPBEXHLevel0 4 2 8 3" xfId="22142"/>
    <cellStyle name="SAPBEXHLevel0 4 2 9" xfId="22143"/>
    <cellStyle name="SAPBEXHLevel0 4 2 9 2" xfId="22144"/>
    <cellStyle name="SAPBEXHLevel0 4 2 9 2 2" xfId="22145"/>
    <cellStyle name="SAPBEXHLevel0 4 2 9 3" xfId="22146"/>
    <cellStyle name="SAPBEXHLevel0 4 2_planning-WP" xfId="22147"/>
    <cellStyle name="SAPBEXHLevel0 4 3" xfId="22148"/>
    <cellStyle name="SAPBEXHLevel0 4 3 10" xfId="22149"/>
    <cellStyle name="SAPBEXHLevel0 4 3 10 2" xfId="22150"/>
    <cellStyle name="SAPBEXHLevel0 4 3 2" xfId="22151"/>
    <cellStyle name="SAPBEXHLevel0 4 3 2 2" xfId="22152"/>
    <cellStyle name="SAPBEXHLevel0 4 3 2 2 2" xfId="22153"/>
    <cellStyle name="SAPBEXHLevel0 4 3 2 3" xfId="22154"/>
    <cellStyle name="SAPBEXHLevel0 4 3 3" xfId="22155"/>
    <cellStyle name="SAPBEXHLevel0 4 3 3 2" xfId="22156"/>
    <cellStyle name="SAPBEXHLevel0 4 3 3 2 2" xfId="22157"/>
    <cellStyle name="SAPBEXHLevel0 4 3 3 3" xfId="22158"/>
    <cellStyle name="SAPBEXHLevel0 4 3 4" xfId="22159"/>
    <cellStyle name="SAPBEXHLevel0 4 3 4 2" xfId="22160"/>
    <cellStyle name="SAPBEXHLevel0 4 3 4 2 2" xfId="22161"/>
    <cellStyle name="SAPBEXHLevel0 4 3 4 3" xfId="22162"/>
    <cellStyle name="SAPBEXHLevel0 4 3 5" xfId="22163"/>
    <cellStyle name="SAPBEXHLevel0 4 3 5 2" xfId="22164"/>
    <cellStyle name="SAPBEXHLevel0 4 3 5 2 2" xfId="22165"/>
    <cellStyle name="SAPBEXHLevel0 4 3 5 3" xfId="22166"/>
    <cellStyle name="SAPBEXHLevel0 4 3 6" xfId="22167"/>
    <cellStyle name="SAPBEXHLevel0 4 3 6 2" xfId="22168"/>
    <cellStyle name="SAPBEXHLevel0 4 3 6 2 2" xfId="22169"/>
    <cellStyle name="SAPBEXHLevel0 4 3 6 3" xfId="22170"/>
    <cellStyle name="SAPBEXHLevel0 4 3 7" xfId="22171"/>
    <cellStyle name="SAPBEXHLevel0 4 3 7 2" xfId="22172"/>
    <cellStyle name="SAPBEXHLevel0 4 3 7 2 2" xfId="22173"/>
    <cellStyle name="SAPBEXHLevel0 4 3 7 3" xfId="22174"/>
    <cellStyle name="SAPBEXHLevel0 4 3 8" xfId="22175"/>
    <cellStyle name="SAPBEXHLevel0 4 3 8 2" xfId="22176"/>
    <cellStyle name="SAPBEXHLevel0 4 3 8 2 2" xfId="22177"/>
    <cellStyle name="SAPBEXHLevel0 4 3 8 3" xfId="22178"/>
    <cellStyle name="SAPBEXHLevel0 4 3 9" xfId="22179"/>
    <cellStyle name="SAPBEXHLevel0 4 3 9 2" xfId="22180"/>
    <cellStyle name="SAPBEXHLevel0 4 3 9 2 2" xfId="22181"/>
    <cellStyle name="SAPBEXHLevel0 4 3 9 3" xfId="22182"/>
    <cellStyle name="SAPBEXHLevel0 4 3_planning-WP" xfId="22183"/>
    <cellStyle name="SAPBEXHLevel0 4 4" xfId="22184"/>
    <cellStyle name="SAPBEXHLevel0 4 4 2" xfId="22185"/>
    <cellStyle name="SAPBEXHLevel0 4 4 2 2" xfId="22186"/>
    <cellStyle name="SAPBEXHLevel0 4 4 2 2 2" xfId="22187"/>
    <cellStyle name="SAPBEXHLevel0 4 4 2 3" xfId="22188"/>
    <cellStyle name="SAPBEXHLevel0 4 4 3" xfId="22189"/>
    <cellStyle name="SAPBEXHLevel0 4 4 3 2" xfId="22190"/>
    <cellStyle name="SAPBEXHLevel0 4 4 3 2 2" xfId="22191"/>
    <cellStyle name="SAPBEXHLevel0 4 4 3 3" xfId="22192"/>
    <cellStyle name="SAPBEXHLevel0 4 4 4" xfId="22193"/>
    <cellStyle name="SAPBEXHLevel0 4 4 4 2" xfId="22194"/>
    <cellStyle name="SAPBEXHLevel0 4 4 4 2 2" xfId="22195"/>
    <cellStyle name="SAPBEXHLevel0 4 4 4 3" xfId="22196"/>
    <cellStyle name="SAPBEXHLevel0 4 4 5" xfId="22197"/>
    <cellStyle name="SAPBEXHLevel0 4 4 5 2" xfId="22198"/>
    <cellStyle name="SAPBEXHLevel0 4 4 5 2 2" xfId="22199"/>
    <cellStyle name="SAPBEXHLevel0 4 4 5 3" xfId="22200"/>
    <cellStyle name="SAPBEXHLevel0 4 4 6" xfId="22201"/>
    <cellStyle name="SAPBEXHLevel0 4 4 6 2" xfId="22202"/>
    <cellStyle name="SAPBEXHLevel0 4 4 6 2 2" xfId="22203"/>
    <cellStyle name="SAPBEXHLevel0 4 4 6 3" xfId="22204"/>
    <cellStyle name="SAPBEXHLevel0 4 4 7" xfId="22205"/>
    <cellStyle name="SAPBEXHLevel0 4 4 7 2" xfId="22206"/>
    <cellStyle name="SAPBEXHLevel0 4 4 7 2 2" xfId="22207"/>
    <cellStyle name="SAPBEXHLevel0 4 4 7 3" xfId="22208"/>
    <cellStyle name="SAPBEXHLevel0 4 4 8" xfId="22209"/>
    <cellStyle name="SAPBEXHLevel0 4 4 8 2" xfId="22210"/>
    <cellStyle name="SAPBEXHLevel0 4 4 8 2 2" xfId="22211"/>
    <cellStyle name="SAPBEXHLevel0 4 4 8 3" xfId="22212"/>
    <cellStyle name="SAPBEXHLevel0 4 4 9" xfId="22213"/>
    <cellStyle name="SAPBEXHLevel0 4 4 9 2" xfId="22214"/>
    <cellStyle name="SAPBEXHLevel0 4 4_planning-WP" xfId="22215"/>
    <cellStyle name="SAPBEXHLevel0 4 5" xfId="22216"/>
    <cellStyle name="SAPBEXHLevel0 4 5 2" xfId="22217"/>
    <cellStyle name="SAPBEXHLevel0 4 5 2 2" xfId="22218"/>
    <cellStyle name="SAPBEXHLevel0 4 6" xfId="22219"/>
    <cellStyle name="SAPBEXHLevel0 4 6 2" xfId="22220"/>
    <cellStyle name="SAPBEXHLevel0 4 6 2 2" xfId="22221"/>
    <cellStyle name="SAPBEXHLevel0 4 6 3" xfId="22222"/>
    <cellStyle name="SAPBEXHLevel0 4 7" xfId="22223"/>
    <cellStyle name="SAPBEXHLevel0 4 7 2" xfId="22224"/>
    <cellStyle name="SAPBEXHLevel0 4 7 2 2" xfId="22225"/>
    <cellStyle name="SAPBEXHLevel0 4 7 3" xfId="22226"/>
    <cellStyle name="SAPBEXHLevel0 4 8" xfId="22227"/>
    <cellStyle name="SAPBEXHLevel0 4 8 2" xfId="22228"/>
    <cellStyle name="SAPBEXHLevel0 4 8 2 2" xfId="22229"/>
    <cellStyle name="SAPBEXHLevel0 4 8 3" xfId="22230"/>
    <cellStyle name="SAPBEXHLevel0 4 9" xfId="22231"/>
    <cellStyle name="SAPBEXHLevel0 4 9 2" xfId="22232"/>
    <cellStyle name="SAPBEXHLevel0 4 9 2 2" xfId="22233"/>
    <cellStyle name="SAPBEXHLevel0 4 9 3" xfId="22234"/>
    <cellStyle name="SAPBEXHLevel0 4_planning-WP" xfId="22235"/>
    <cellStyle name="SAPBEXHLevel0 5" xfId="22236"/>
    <cellStyle name="SAPBEXHLevel0 5 10" xfId="22237"/>
    <cellStyle name="SAPBEXHLevel0 5 10 2" xfId="22238"/>
    <cellStyle name="SAPBEXHLevel0 5 10 2 2" xfId="22239"/>
    <cellStyle name="SAPBEXHLevel0 5 10 3" xfId="22240"/>
    <cellStyle name="SAPBEXHLevel0 5 11" xfId="22241"/>
    <cellStyle name="SAPBEXHLevel0 5 11 2" xfId="22242"/>
    <cellStyle name="SAPBEXHLevel0 5 11 2 2" xfId="22243"/>
    <cellStyle name="SAPBEXHLevel0 5 11 3" xfId="22244"/>
    <cellStyle name="SAPBEXHLevel0 5 12" xfId="22245"/>
    <cellStyle name="SAPBEXHLevel0 5 12 2" xfId="22246"/>
    <cellStyle name="SAPBEXHLevel0 5 12 2 2" xfId="22247"/>
    <cellStyle name="SAPBEXHLevel0 5 12 3" xfId="22248"/>
    <cellStyle name="SAPBEXHLevel0 5 13" xfId="22249"/>
    <cellStyle name="SAPBEXHLevel0 5 14" xfId="39011"/>
    <cellStyle name="SAPBEXHLevel0 5 15" xfId="39399"/>
    <cellStyle name="SAPBEXHLevel0 5 2" xfId="22250"/>
    <cellStyle name="SAPBEXHLevel0 5 2 10" xfId="22251"/>
    <cellStyle name="SAPBEXHLevel0 5 2 10 2" xfId="22252"/>
    <cellStyle name="SAPBEXHLevel0 5 2 10 2 2" xfId="22253"/>
    <cellStyle name="SAPBEXHLevel0 5 2 10 3" xfId="22254"/>
    <cellStyle name="SAPBEXHLevel0 5 2 11" xfId="22255"/>
    <cellStyle name="SAPBEXHLevel0 5 2 11 2" xfId="22256"/>
    <cellStyle name="SAPBEXHLevel0 5 2 2" xfId="22257"/>
    <cellStyle name="SAPBEXHLevel0 5 2 2 10" xfId="22258"/>
    <cellStyle name="SAPBEXHLevel0 5 2 2 10 2" xfId="22259"/>
    <cellStyle name="SAPBEXHLevel0 5 2 2 2" xfId="22260"/>
    <cellStyle name="SAPBEXHLevel0 5 2 2 2 2" xfId="22261"/>
    <cellStyle name="SAPBEXHLevel0 5 2 2 2 2 2" xfId="22262"/>
    <cellStyle name="SAPBEXHLevel0 5 2 2 2 3" xfId="22263"/>
    <cellStyle name="SAPBEXHLevel0 5 2 2 3" xfId="22264"/>
    <cellStyle name="SAPBEXHLevel0 5 2 2 3 2" xfId="22265"/>
    <cellStyle name="SAPBEXHLevel0 5 2 2 3 2 2" xfId="22266"/>
    <cellStyle name="SAPBEXHLevel0 5 2 2 3 3" xfId="22267"/>
    <cellStyle name="SAPBEXHLevel0 5 2 2 4" xfId="22268"/>
    <cellStyle name="SAPBEXHLevel0 5 2 2 4 2" xfId="22269"/>
    <cellStyle name="SAPBEXHLevel0 5 2 2 4 2 2" xfId="22270"/>
    <cellStyle name="SAPBEXHLevel0 5 2 2 4 3" xfId="22271"/>
    <cellStyle name="SAPBEXHLevel0 5 2 2 5" xfId="22272"/>
    <cellStyle name="SAPBEXHLevel0 5 2 2 5 2" xfId="22273"/>
    <cellStyle name="SAPBEXHLevel0 5 2 2 5 2 2" xfId="22274"/>
    <cellStyle name="SAPBEXHLevel0 5 2 2 5 3" xfId="22275"/>
    <cellStyle name="SAPBEXHLevel0 5 2 2 6" xfId="22276"/>
    <cellStyle name="SAPBEXHLevel0 5 2 2 6 2" xfId="22277"/>
    <cellStyle name="SAPBEXHLevel0 5 2 2 6 2 2" xfId="22278"/>
    <cellStyle name="SAPBEXHLevel0 5 2 2 6 3" xfId="22279"/>
    <cellStyle name="SAPBEXHLevel0 5 2 2 7" xfId="22280"/>
    <cellStyle name="SAPBEXHLevel0 5 2 2 7 2" xfId="22281"/>
    <cellStyle name="SAPBEXHLevel0 5 2 2 7 2 2" xfId="22282"/>
    <cellStyle name="SAPBEXHLevel0 5 2 2 7 3" xfId="22283"/>
    <cellStyle name="SAPBEXHLevel0 5 2 2 8" xfId="22284"/>
    <cellStyle name="SAPBEXHLevel0 5 2 2 8 2" xfId="22285"/>
    <cellStyle name="SAPBEXHLevel0 5 2 2 8 2 2" xfId="22286"/>
    <cellStyle name="SAPBEXHLevel0 5 2 2 8 3" xfId="22287"/>
    <cellStyle name="SAPBEXHLevel0 5 2 2 9" xfId="22288"/>
    <cellStyle name="SAPBEXHLevel0 5 2 2 9 2" xfId="22289"/>
    <cellStyle name="SAPBEXHLevel0 5 2 2 9 2 2" xfId="22290"/>
    <cellStyle name="SAPBEXHLevel0 5 2 2 9 3" xfId="22291"/>
    <cellStyle name="SAPBEXHLevel0 5 2 2_planning-WP" xfId="22292"/>
    <cellStyle name="SAPBEXHLevel0 5 2 3" xfId="22293"/>
    <cellStyle name="SAPBEXHLevel0 5 2 3 2" xfId="22294"/>
    <cellStyle name="SAPBEXHLevel0 5 2 3 2 2" xfId="22295"/>
    <cellStyle name="SAPBEXHLevel0 5 2 3 3" xfId="22296"/>
    <cellStyle name="SAPBEXHLevel0 5 2 4" xfId="22297"/>
    <cellStyle name="SAPBEXHLevel0 5 2 4 2" xfId="22298"/>
    <cellStyle name="SAPBEXHLevel0 5 2 4 2 2" xfId="22299"/>
    <cellStyle name="SAPBEXHLevel0 5 2 4 3" xfId="22300"/>
    <cellStyle name="SAPBEXHLevel0 5 2 5" xfId="22301"/>
    <cellStyle name="SAPBEXHLevel0 5 2 5 2" xfId="22302"/>
    <cellStyle name="SAPBEXHLevel0 5 2 5 2 2" xfId="22303"/>
    <cellStyle name="SAPBEXHLevel0 5 2 5 3" xfId="22304"/>
    <cellStyle name="SAPBEXHLevel0 5 2 6" xfId="22305"/>
    <cellStyle name="SAPBEXHLevel0 5 2 6 2" xfId="22306"/>
    <cellStyle name="SAPBEXHLevel0 5 2 6 2 2" xfId="22307"/>
    <cellStyle name="SAPBEXHLevel0 5 2 6 3" xfId="22308"/>
    <cellStyle name="SAPBEXHLevel0 5 2 7" xfId="22309"/>
    <cellStyle name="SAPBEXHLevel0 5 2 7 2" xfId="22310"/>
    <cellStyle name="SAPBEXHLevel0 5 2 7 2 2" xfId="22311"/>
    <cellStyle name="SAPBEXHLevel0 5 2 7 3" xfId="22312"/>
    <cellStyle name="SAPBEXHLevel0 5 2 8" xfId="22313"/>
    <cellStyle name="SAPBEXHLevel0 5 2 8 2" xfId="22314"/>
    <cellStyle name="SAPBEXHLevel0 5 2 8 2 2" xfId="22315"/>
    <cellStyle name="SAPBEXHLevel0 5 2 8 3" xfId="22316"/>
    <cellStyle name="SAPBEXHLevel0 5 2 9" xfId="22317"/>
    <cellStyle name="SAPBEXHLevel0 5 2 9 2" xfId="22318"/>
    <cellStyle name="SAPBEXHLevel0 5 2 9 2 2" xfId="22319"/>
    <cellStyle name="SAPBEXHLevel0 5 2 9 3" xfId="22320"/>
    <cellStyle name="SAPBEXHLevel0 5 2_planning-WP" xfId="22321"/>
    <cellStyle name="SAPBEXHLevel0 5 3" xfId="22322"/>
    <cellStyle name="SAPBEXHLevel0 5 3 10" xfId="22323"/>
    <cellStyle name="SAPBEXHLevel0 5 3 10 2" xfId="22324"/>
    <cellStyle name="SAPBEXHLevel0 5 3 2" xfId="22325"/>
    <cellStyle name="SAPBEXHLevel0 5 3 2 2" xfId="22326"/>
    <cellStyle name="SAPBEXHLevel0 5 3 2 2 2" xfId="22327"/>
    <cellStyle name="SAPBEXHLevel0 5 3 2 3" xfId="22328"/>
    <cellStyle name="SAPBEXHLevel0 5 3 3" xfId="22329"/>
    <cellStyle name="SAPBEXHLevel0 5 3 3 2" xfId="22330"/>
    <cellStyle name="SAPBEXHLevel0 5 3 3 2 2" xfId="22331"/>
    <cellStyle name="SAPBEXHLevel0 5 3 3 3" xfId="22332"/>
    <cellStyle name="SAPBEXHLevel0 5 3 4" xfId="22333"/>
    <cellStyle name="SAPBEXHLevel0 5 3 4 2" xfId="22334"/>
    <cellStyle name="SAPBEXHLevel0 5 3 4 2 2" xfId="22335"/>
    <cellStyle name="SAPBEXHLevel0 5 3 4 3" xfId="22336"/>
    <cellStyle name="SAPBEXHLevel0 5 3 5" xfId="22337"/>
    <cellStyle name="SAPBEXHLevel0 5 3 5 2" xfId="22338"/>
    <cellStyle name="SAPBEXHLevel0 5 3 5 2 2" xfId="22339"/>
    <cellStyle name="SAPBEXHLevel0 5 3 5 3" xfId="22340"/>
    <cellStyle name="SAPBEXHLevel0 5 3 6" xfId="22341"/>
    <cellStyle name="SAPBEXHLevel0 5 3 6 2" xfId="22342"/>
    <cellStyle name="SAPBEXHLevel0 5 3 6 2 2" xfId="22343"/>
    <cellStyle name="SAPBEXHLevel0 5 3 6 3" xfId="22344"/>
    <cellStyle name="SAPBEXHLevel0 5 3 7" xfId="22345"/>
    <cellStyle name="SAPBEXHLevel0 5 3 7 2" xfId="22346"/>
    <cellStyle name="SAPBEXHLevel0 5 3 7 2 2" xfId="22347"/>
    <cellStyle name="SAPBEXHLevel0 5 3 7 3" xfId="22348"/>
    <cellStyle name="SAPBEXHLevel0 5 3 8" xfId="22349"/>
    <cellStyle name="SAPBEXHLevel0 5 3 8 2" xfId="22350"/>
    <cellStyle name="SAPBEXHLevel0 5 3 8 2 2" xfId="22351"/>
    <cellStyle name="SAPBEXHLevel0 5 3 8 3" xfId="22352"/>
    <cellStyle name="SAPBEXHLevel0 5 3 9" xfId="22353"/>
    <cellStyle name="SAPBEXHLevel0 5 3 9 2" xfId="22354"/>
    <cellStyle name="SAPBEXHLevel0 5 3 9 2 2" xfId="22355"/>
    <cellStyle name="SAPBEXHLevel0 5 3 9 3" xfId="22356"/>
    <cellStyle name="SAPBEXHLevel0 5 3_planning-WP" xfId="22357"/>
    <cellStyle name="SAPBEXHLevel0 5 4" xfId="22358"/>
    <cellStyle name="SAPBEXHLevel0 5 4 2" xfId="22359"/>
    <cellStyle name="SAPBEXHLevel0 5 4 2 2" xfId="22360"/>
    <cellStyle name="SAPBEXHLevel0 5 4 2 2 2" xfId="22361"/>
    <cellStyle name="SAPBEXHLevel0 5 4 2 3" xfId="22362"/>
    <cellStyle name="SAPBEXHLevel0 5 4 3" xfId="22363"/>
    <cellStyle name="SAPBEXHLevel0 5 4 3 2" xfId="22364"/>
    <cellStyle name="SAPBEXHLevel0 5 4 3 2 2" xfId="22365"/>
    <cellStyle name="SAPBEXHLevel0 5 4 3 3" xfId="22366"/>
    <cellStyle name="SAPBEXHLevel0 5 4 4" xfId="22367"/>
    <cellStyle name="SAPBEXHLevel0 5 4 4 2" xfId="22368"/>
    <cellStyle name="SAPBEXHLevel0 5 4 4 2 2" xfId="22369"/>
    <cellStyle name="SAPBEXHLevel0 5 4 4 3" xfId="22370"/>
    <cellStyle name="SAPBEXHLevel0 5 4 5" xfId="22371"/>
    <cellStyle name="SAPBEXHLevel0 5 4 5 2" xfId="22372"/>
    <cellStyle name="SAPBEXHLevel0 5 4 5 2 2" xfId="22373"/>
    <cellStyle name="SAPBEXHLevel0 5 4 5 3" xfId="22374"/>
    <cellStyle name="SAPBEXHLevel0 5 4 6" xfId="22375"/>
    <cellStyle name="SAPBEXHLevel0 5 4 6 2" xfId="22376"/>
    <cellStyle name="SAPBEXHLevel0 5 4 6 2 2" xfId="22377"/>
    <cellStyle name="SAPBEXHLevel0 5 4 6 3" xfId="22378"/>
    <cellStyle name="SAPBEXHLevel0 5 4 7" xfId="22379"/>
    <cellStyle name="SAPBEXHLevel0 5 4 7 2" xfId="22380"/>
    <cellStyle name="SAPBEXHLevel0 5 4 7 2 2" xfId="22381"/>
    <cellStyle name="SAPBEXHLevel0 5 4 7 3" xfId="22382"/>
    <cellStyle name="SAPBEXHLevel0 5 4 8" xfId="22383"/>
    <cellStyle name="SAPBEXHLevel0 5 4 8 2" xfId="22384"/>
    <cellStyle name="SAPBEXHLevel0 5 4 8 2 2" xfId="22385"/>
    <cellStyle name="SAPBEXHLevel0 5 4 8 3" xfId="22386"/>
    <cellStyle name="SAPBEXHLevel0 5 4 9" xfId="22387"/>
    <cellStyle name="SAPBEXHLevel0 5 4 9 2" xfId="22388"/>
    <cellStyle name="SAPBEXHLevel0 5 4_planning-WP" xfId="22389"/>
    <cellStyle name="SAPBEXHLevel0 5 5" xfId="22390"/>
    <cellStyle name="SAPBEXHLevel0 5 5 2" xfId="22391"/>
    <cellStyle name="SAPBEXHLevel0 5 5 2 2" xfId="22392"/>
    <cellStyle name="SAPBEXHLevel0 5 6" xfId="22393"/>
    <cellStyle name="SAPBEXHLevel0 5 6 2" xfId="22394"/>
    <cellStyle name="SAPBEXHLevel0 5 6 2 2" xfId="22395"/>
    <cellStyle name="SAPBEXHLevel0 5 6 3" xfId="22396"/>
    <cellStyle name="SAPBEXHLevel0 5 7" xfId="22397"/>
    <cellStyle name="SAPBEXHLevel0 5 7 2" xfId="22398"/>
    <cellStyle name="SAPBEXHLevel0 5 7 2 2" xfId="22399"/>
    <cellStyle name="SAPBEXHLevel0 5 7 3" xfId="22400"/>
    <cellStyle name="SAPBEXHLevel0 5 8" xfId="22401"/>
    <cellStyle name="SAPBEXHLevel0 5 8 2" xfId="22402"/>
    <cellStyle name="SAPBEXHLevel0 5 8 2 2" xfId="22403"/>
    <cellStyle name="SAPBEXHLevel0 5 8 3" xfId="22404"/>
    <cellStyle name="SAPBEXHLevel0 5 9" xfId="22405"/>
    <cellStyle name="SAPBEXHLevel0 5 9 2" xfId="22406"/>
    <cellStyle name="SAPBEXHLevel0 5 9 2 2" xfId="22407"/>
    <cellStyle name="SAPBEXHLevel0 5 9 3" xfId="22408"/>
    <cellStyle name="SAPBEXHLevel0 5_planning-WP" xfId="22409"/>
    <cellStyle name="SAPBEXHLevel0 6" xfId="22410"/>
    <cellStyle name="SAPBEXHLevel0 6 10" xfId="22411"/>
    <cellStyle name="SAPBEXHLevel0 6 10 2" xfId="22412"/>
    <cellStyle name="SAPBEXHLevel0 6 10 2 2" xfId="22413"/>
    <cellStyle name="SAPBEXHLevel0 6 10 3" xfId="22414"/>
    <cellStyle name="SAPBEXHLevel0 6 11" xfId="22415"/>
    <cellStyle name="SAPBEXHLevel0 6 11 2" xfId="22416"/>
    <cellStyle name="SAPBEXHLevel0 6 11 2 2" xfId="22417"/>
    <cellStyle name="SAPBEXHLevel0 6 11 3" xfId="22418"/>
    <cellStyle name="SAPBEXHLevel0 6 12" xfId="22419"/>
    <cellStyle name="SAPBEXHLevel0 6 13" xfId="39012"/>
    <cellStyle name="SAPBEXHLevel0 6 14" xfId="39400"/>
    <cellStyle name="SAPBEXHLevel0 6 2" xfId="22420"/>
    <cellStyle name="SAPBEXHLevel0 6 2 10" xfId="22421"/>
    <cellStyle name="SAPBEXHLevel0 6 2 10 2" xfId="22422"/>
    <cellStyle name="SAPBEXHLevel0 6 2 2" xfId="22423"/>
    <cellStyle name="SAPBEXHLevel0 6 2 2 2" xfId="22424"/>
    <cellStyle name="SAPBEXHLevel0 6 2 2 2 2" xfId="22425"/>
    <cellStyle name="SAPBEXHLevel0 6 2 2 3" xfId="22426"/>
    <cellStyle name="SAPBEXHLevel0 6 2 3" xfId="22427"/>
    <cellStyle name="SAPBEXHLevel0 6 2 3 2" xfId="22428"/>
    <cellStyle name="SAPBEXHLevel0 6 2 3 2 2" xfId="22429"/>
    <cellStyle name="SAPBEXHLevel0 6 2 3 3" xfId="22430"/>
    <cellStyle name="SAPBEXHLevel0 6 2 4" xfId="22431"/>
    <cellStyle name="SAPBEXHLevel0 6 2 4 2" xfId="22432"/>
    <cellStyle name="SAPBEXHLevel0 6 2 4 2 2" xfId="22433"/>
    <cellStyle name="SAPBEXHLevel0 6 2 4 3" xfId="22434"/>
    <cellStyle name="SAPBEXHLevel0 6 2 5" xfId="22435"/>
    <cellStyle name="SAPBEXHLevel0 6 2 5 2" xfId="22436"/>
    <cellStyle name="SAPBEXHLevel0 6 2 5 2 2" xfId="22437"/>
    <cellStyle name="SAPBEXHLevel0 6 2 5 3" xfId="22438"/>
    <cellStyle name="SAPBEXHLevel0 6 2 6" xfId="22439"/>
    <cellStyle name="SAPBEXHLevel0 6 2 6 2" xfId="22440"/>
    <cellStyle name="SAPBEXHLevel0 6 2 6 2 2" xfId="22441"/>
    <cellStyle name="SAPBEXHLevel0 6 2 6 3" xfId="22442"/>
    <cellStyle name="SAPBEXHLevel0 6 2 7" xfId="22443"/>
    <cellStyle name="SAPBEXHLevel0 6 2 7 2" xfId="22444"/>
    <cellStyle name="SAPBEXHLevel0 6 2 7 2 2" xfId="22445"/>
    <cellStyle name="SAPBEXHLevel0 6 2 7 3" xfId="22446"/>
    <cellStyle name="SAPBEXHLevel0 6 2 8" xfId="22447"/>
    <cellStyle name="SAPBEXHLevel0 6 2 8 2" xfId="22448"/>
    <cellStyle name="SAPBEXHLevel0 6 2 8 2 2" xfId="22449"/>
    <cellStyle name="SAPBEXHLevel0 6 2 8 3" xfId="22450"/>
    <cellStyle name="SAPBEXHLevel0 6 2 9" xfId="22451"/>
    <cellStyle name="SAPBEXHLevel0 6 2 9 2" xfId="22452"/>
    <cellStyle name="SAPBEXHLevel0 6 2 9 2 2" xfId="22453"/>
    <cellStyle name="SAPBEXHLevel0 6 2 9 3" xfId="22454"/>
    <cellStyle name="SAPBEXHLevel0 6 2_planning-WP" xfId="22455"/>
    <cellStyle name="SAPBEXHLevel0 6 3" xfId="22456"/>
    <cellStyle name="SAPBEXHLevel0 6 3 2" xfId="22457"/>
    <cellStyle name="SAPBEXHLevel0 6 3 2 2" xfId="22458"/>
    <cellStyle name="SAPBEXHLevel0 6 3 2 2 2" xfId="22459"/>
    <cellStyle name="SAPBEXHLevel0 6 3 2 3" xfId="22460"/>
    <cellStyle name="SAPBEXHLevel0 6 3 3" xfId="22461"/>
    <cellStyle name="SAPBEXHLevel0 6 3 3 2" xfId="22462"/>
    <cellStyle name="SAPBEXHLevel0 6 3 3 2 2" xfId="22463"/>
    <cellStyle name="SAPBEXHLevel0 6 3 3 3" xfId="22464"/>
    <cellStyle name="SAPBEXHLevel0 6 3 4" xfId="22465"/>
    <cellStyle name="SAPBEXHLevel0 6 3 4 2" xfId="22466"/>
    <cellStyle name="SAPBEXHLevel0 6 3 4 2 2" xfId="22467"/>
    <cellStyle name="SAPBEXHLevel0 6 3 4 3" xfId="22468"/>
    <cellStyle name="SAPBEXHLevel0 6 3 5" xfId="22469"/>
    <cellStyle name="SAPBEXHLevel0 6 3 5 2" xfId="22470"/>
    <cellStyle name="SAPBEXHLevel0 6 3 5 2 2" xfId="22471"/>
    <cellStyle name="SAPBEXHLevel0 6 3 5 3" xfId="22472"/>
    <cellStyle name="SAPBEXHLevel0 6 3 6" xfId="22473"/>
    <cellStyle name="SAPBEXHLevel0 6 3 6 2" xfId="22474"/>
    <cellStyle name="SAPBEXHLevel0 6 3 6 2 2" xfId="22475"/>
    <cellStyle name="SAPBEXHLevel0 6 3 6 3" xfId="22476"/>
    <cellStyle name="SAPBEXHLevel0 6 3 7" xfId="22477"/>
    <cellStyle name="SAPBEXHLevel0 6 3 7 2" xfId="22478"/>
    <cellStyle name="SAPBEXHLevel0 6 3 7 2 2" xfId="22479"/>
    <cellStyle name="SAPBEXHLevel0 6 3 7 3" xfId="22480"/>
    <cellStyle name="SAPBEXHLevel0 6 3 8" xfId="22481"/>
    <cellStyle name="SAPBEXHLevel0 6 3 8 2" xfId="22482"/>
    <cellStyle name="SAPBEXHLevel0 6 3 8 2 2" xfId="22483"/>
    <cellStyle name="SAPBEXHLevel0 6 3 8 3" xfId="22484"/>
    <cellStyle name="SAPBEXHLevel0 6 3 9" xfId="22485"/>
    <cellStyle name="SAPBEXHLevel0 6 3 9 2" xfId="22486"/>
    <cellStyle name="SAPBEXHLevel0 6 3_planning-WP" xfId="22487"/>
    <cellStyle name="SAPBEXHLevel0 6 4" xfId="22488"/>
    <cellStyle name="SAPBEXHLevel0 6 4 2" xfId="22489"/>
    <cellStyle name="SAPBEXHLevel0 6 4 2 2" xfId="22490"/>
    <cellStyle name="SAPBEXHLevel0 6 5" xfId="22491"/>
    <cellStyle name="SAPBEXHLevel0 6 5 2" xfId="22492"/>
    <cellStyle name="SAPBEXHLevel0 6 5 2 2" xfId="22493"/>
    <cellStyle name="SAPBEXHLevel0 6 5 3" xfId="22494"/>
    <cellStyle name="SAPBEXHLevel0 6 6" xfId="22495"/>
    <cellStyle name="SAPBEXHLevel0 6 6 2" xfId="22496"/>
    <cellStyle name="SAPBEXHLevel0 6 6 2 2" xfId="22497"/>
    <cellStyle name="SAPBEXHLevel0 6 6 3" xfId="22498"/>
    <cellStyle name="SAPBEXHLevel0 6 7" xfId="22499"/>
    <cellStyle name="SAPBEXHLevel0 6 7 2" xfId="22500"/>
    <cellStyle name="SAPBEXHLevel0 6 7 2 2" xfId="22501"/>
    <cellStyle name="SAPBEXHLevel0 6 7 3" xfId="22502"/>
    <cellStyle name="SAPBEXHLevel0 6 8" xfId="22503"/>
    <cellStyle name="SAPBEXHLevel0 6 8 2" xfId="22504"/>
    <cellStyle name="SAPBEXHLevel0 6 8 2 2" xfId="22505"/>
    <cellStyle name="SAPBEXHLevel0 6 8 3" xfId="22506"/>
    <cellStyle name="SAPBEXHLevel0 6 9" xfId="22507"/>
    <cellStyle name="SAPBEXHLevel0 6 9 2" xfId="22508"/>
    <cellStyle name="SAPBEXHLevel0 6 9 2 2" xfId="22509"/>
    <cellStyle name="SAPBEXHLevel0 6 9 3" xfId="22510"/>
    <cellStyle name="SAPBEXHLevel0 6_planning-WP" xfId="22511"/>
    <cellStyle name="SAPBEXHLevel0 7" xfId="22512"/>
    <cellStyle name="SAPBEXHLevel0 7 10" xfId="22513"/>
    <cellStyle name="SAPBEXHLevel0 7 10 2" xfId="22514"/>
    <cellStyle name="SAPBEXHLevel0 7 10 2 2" xfId="22515"/>
    <cellStyle name="SAPBEXHLevel0 7 10 3" xfId="22516"/>
    <cellStyle name="SAPBEXHLevel0 7 11" xfId="22517"/>
    <cellStyle name="SAPBEXHLevel0 7 11 2" xfId="22518"/>
    <cellStyle name="SAPBEXHLevel0 7 12" xfId="39013"/>
    <cellStyle name="SAPBEXHLevel0 7 13" xfId="39401"/>
    <cellStyle name="SAPBEXHLevel0 7 2" xfId="22519"/>
    <cellStyle name="SAPBEXHLevel0 7 2 10" xfId="22520"/>
    <cellStyle name="SAPBEXHLevel0 7 2 10 2" xfId="22521"/>
    <cellStyle name="SAPBEXHLevel0 7 2 2" xfId="22522"/>
    <cellStyle name="SAPBEXHLevel0 7 2 2 2" xfId="22523"/>
    <cellStyle name="SAPBEXHLevel0 7 2 2 2 2" xfId="22524"/>
    <cellStyle name="SAPBEXHLevel0 7 2 2 3" xfId="22525"/>
    <cellStyle name="SAPBEXHLevel0 7 2 3" xfId="22526"/>
    <cellStyle name="SAPBEXHLevel0 7 2 3 2" xfId="22527"/>
    <cellStyle name="SAPBEXHLevel0 7 2 3 2 2" xfId="22528"/>
    <cellStyle name="SAPBEXHLevel0 7 2 3 3" xfId="22529"/>
    <cellStyle name="SAPBEXHLevel0 7 2 4" xfId="22530"/>
    <cellStyle name="SAPBEXHLevel0 7 2 4 2" xfId="22531"/>
    <cellStyle name="SAPBEXHLevel0 7 2 4 2 2" xfId="22532"/>
    <cellStyle name="SAPBEXHLevel0 7 2 4 3" xfId="22533"/>
    <cellStyle name="SAPBEXHLevel0 7 2 5" xfId="22534"/>
    <cellStyle name="SAPBEXHLevel0 7 2 5 2" xfId="22535"/>
    <cellStyle name="SAPBEXHLevel0 7 2 5 2 2" xfId="22536"/>
    <cellStyle name="SAPBEXHLevel0 7 2 5 3" xfId="22537"/>
    <cellStyle name="SAPBEXHLevel0 7 2 6" xfId="22538"/>
    <cellStyle name="SAPBEXHLevel0 7 2 6 2" xfId="22539"/>
    <cellStyle name="SAPBEXHLevel0 7 2 6 2 2" xfId="22540"/>
    <cellStyle name="SAPBEXHLevel0 7 2 6 3" xfId="22541"/>
    <cellStyle name="SAPBEXHLevel0 7 2 7" xfId="22542"/>
    <cellStyle name="SAPBEXHLevel0 7 2 7 2" xfId="22543"/>
    <cellStyle name="SAPBEXHLevel0 7 2 7 2 2" xfId="22544"/>
    <cellStyle name="SAPBEXHLevel0 7 2 7 3" xfId="22545"/>
    <cellStyle name="SAPBEXHLevel0 7 2 8" xfId="22546"/>
    <cellStyle name="SAPBEXHLevel0 7 2 8 2" xfId="22547"/>
    <cellStyle name="SAPBEXHLevel0 7 2 8 2 2" xfId="22548"/>
    <cellStyle name="SAPBEXHLevel0 7 2 8 3" xfId="22549"/>
    <cellStyle name="SAPBEXHLevel0 7 2 9" xfId="22550"/>
    <cellStyle name="SAPBEXHLevel0 7 2 9 2" xfId="22551"/>
    <cellStyle name="SAPBEXHLevel0 7 2 9 2 2" xfId="22552"/>
    <cellStyle name="SAPBEXHLevel0 7 2 9 3" xfId="22553"/>
    <cellStyle name="SAPBEXHLevel0 7 2_planning-WP" xfId="22554"/>
    <cellStyle name="SAPBEXHLevel0 7 3" xfId="22555"/>
    <cellStyle name="SAPBEXHLevel0 7 3 2" xfId="22556"/>
    <cellStyle name="SAPBEXHLevel0 7 3 2 2" xfId="22557"/>
    <cellStyle name="SAPBEXHLevel0 7 3 3" xfId="22558"/>
    <cellStyle name="SAPBEXHLevel0 7 4" xfId="22559"/>
    <cellStyle name="SAPBEXHLevel0 7 4 2" xfId="22560"/>
    <cellStyle name="SAPBEXHLevel0 7 4 2 2" xfId="22561"/>
    <cellStyle name="SAPBEXHLevel0 7 4 3" xfId="22562"/>
    <cellStyle name="SAPBEXHLevel0 7 5" xfId="22563"/>
    <cellStyle name="SAPBEXHLevel0 7 5 2" xfId="22564"/>
    <cellStyle name="SAPBEXHLevel0 7 5 2 2" xfId="22565"/>
    <cellStyle name="SAPBEXHLevel0 7 5 3" xfId="22566"/>
    <cellStyle name="SAPBEXHLevel0 7 6" xfId="22567"/>
    <cellStyle name="SAPBEXHLevel0 7 6 2" xfId="22568"/>
    <cellStyle name="SAPBEXHLevel0 7 6 2 2" xfId="22569"/>
    <cellStyle name="SAPBEXHLevel0 7 6 3" xfId="22570"/>
    <cellStyle name="SAPBEXHLevel0 7 7" xfId="22571"/>
    <cellStyle name="SAPBEXHLevel0 7 7 2" xfId="22572"/>
    <cellStyle name="SAPBEXHLevel0 7 7 2 2" xfId="22573"/>
    <cellStyle name="SAPBEXHLevel0 7 7 3" xfId="22574"/>
    <cellStyle name="SAPBEXHLevel0 7 8" xfId="22575"/>
    <cellStyle name="SAPBEXHLevel0 7 8 2" xfId="22576"/>
    <cellStyle name="SAPBEXHLevel0 7 8 2 2" xfId="22577"/>
    <cellStyle name="SAPBEXHLevel0 7 8 3" xfId="22578"/>
    <cellStyle name="SAPBEXHLevel0 7 9" xfId="22579"/>
    <cellStyle name="SAPBEXHLevel0 7 9 2" xfId="22580"/>
    <cellStyle name="SAPBEXHLevel0 7 9 2 2" xfId="22581"/>
    <cellStyle name="SAPBEXHLevel0 7 9 3" xfId="22582"/>
    <cellStyle name="SAPBEXHLevel0 7_planning-WP" xfId="22583"/>
    <cellStyle name="SAPBEXHLevel0 8" xfId="22584"/>
    <cellStyle name="SAPBEXHLevel0 8 10" xfId="22585"/>
    <cellStyle name="SAPBEXHLevel0 8 10 2" xfId="22586"/>
    <cellStyle name="SAPBEXHLevel0 8 11" xfId="39014"/>
    <cellStyle name="SAPBEXHLevel0 8 12" xfId="39402"/>
    <cellStyle name="SAPBEXHLevel0 8 2" xfId="22587"/>
    <cellStyle name="SAPBEXHLevel0 8 2 2" xfId="22588"/>
    <cellStyle name="SAPBEXHLevel0 8 2 2 2" xfId="22589"/>
    <cellStyle name="SAPBEXHLevel0 8 2 3" xfId="22590"/>
    <cellStyle name="SAPBEXHLevel0 8 3" xfId="22591"/>
    <cellStyle name="SAPBEXHLevel0 8 3 2" xfId="22592"/>
    <cellStyle name="SAPBEXHLevel0 8 3 2 2" xfId="22593"/>
    <cellStyle name="SAPBEXHLevel0 8 3 3" xfId="22594"/>
    <cellStyle name="SAPBEXHLevel0 8 4" xfId="22595"/>
    <cellStyle name="SAPBEXHLevel0 8 4 2" xfId="22596"/>
    <cellStyle name="SAPBEXHLevel0 8 4 2 2" xfId="22597"/>
    <cellStyle name="SAPBEXHLevel0 8 4 3" xfId="22598"/>
    <cellStyle name="SAPBEXHLevel0 8 5" xfId="22599"/>
    <cellStyle name="SAPBEXHLevel0 8 5 2" xfId="22600"/>
    <cellStyle name="SAPBEXHLevel0 8 5 2 2" xfId="22601"/>
    <cellStyle name="SAPBEXHLevel0 8 5 3" xfId="22602"/>
    <cellStyle name="SAPBEXHLevel0 8 6" xfId="22603"/>
    <cellStyle name="SAPBEXHLevel0 8 6 2" xfId="22604"/>
    <cellStyle name="SAPBEXHLevel0 8 6 2 2" xfId="22605"/>
    <cellStyle name="SAPBEXHLevel0 8 6 3" xfId="22606"/>
    <cellStyle name="SAPBEXHLevel0 8 7" xfId="22607"/>
    <cellStyle name="SAPBEXHLevel0 8 7 2" xfId="22608"/>
    <cellStyle name="SAPBEXHLevel0 8 7 2 2" xfId="22609"/>
    <cellStyle name="SAPBEXHLevel0 8 7 3" xfId="22610"/>
    <cellStyle name="SAPBEXHLevel0 8 8" xfId="22611"/>
    <cellStyle name="SAPBEXHLevel0 8 8 2" xfId="22612"/>
    <cellStyle name="SAPBEXHLevel0 8 8 2 2" xfId="22613"/>
    <cellStyle name="SAPBEXHLevel0 8 8 3" xfId="22614"/>
    <cellStyle name="SAPBEXHLevel0 8 9" xfId="22615"/>
    <cellStyle name="SAPBEXHLevel0 8 9 2" xfId="22616"/>
    <cellStyle name="SAPBEXHLevel0 8 9 2 2" xfId="22617"/>
    <cellStyle name="SAPBEXHLevel0 8 9 3" xfId="22618"/>
    <cellStyle name="SAPBEXHLevel0 8_planning-WP" xfId="22619"/>
    <cellStyle name="SAPBEXHLevel0 9" xfId="22620"/>
    <cellStyle name="SAPBEXHLevel0 9 2" xfId="22621"/>
    <cellStyle name="SAPBEXHLevel0 9 2 2" xfId="22622"/>
    <cellStyle name="SAPBEXHLevel0 9 2 2 2" xfId="22623"/>
    <cellStyle name="SAPBEXHLevel0 9 2 3" xfId="22624"/>
    <cellStyle name="SAPBEXHLevel0 9 3" xfId="22625"/>
    <cellStyle name="SAPBEXHLevel0 9 3 2" xfId="22626"/>
    <cellStyle name="SAPBEXHLevel0 9 3 2 2" xfId="22627"/>
    <cellStyle name="SAPBEXHLevel0 9 3 3" xfId="22628"/>
    <cellStyle name="SAPBEXHLevel0 9 4" xfId="22629"/>
    <cellStyle name="SAPBEXHLevel0 9 4 2" xfId="22630"/>
    <cellStyle name="SAPBEXHLevel0 9 4 2 2" xfId="22631"/>
    <cellStyle name="SAPBEXHLevel0 9 4 3" xfId="22632"/>
    <cellStyle name="SAPBEXHLevel0 9 5" xfId="22633"/>
    <cellStyle name="SAPBEXHLevel0 9 5 2" xfId="22634"/>
    <cellStyle name="SAPBEXHLevel0 9 5 2 2" xfId="22635"/>
    <cellStyle name="SAPBEXHLevel0 9 5 3" xfId="22636"/>
    <cellStyle name="SAPBEXHLevel0 9 6" xfId="22637"/>
    <cellStyle name="SAPBEXHLevel0 9 6 2" xfId="22638"/>
    <cellStyle name="SAPBEXHLevel0 9 6 2 2" xfId="22639"/>
    <cellStyle name="SAPBEXHLevel0 9 6 3" xfId="22640"/>
    <cellStyle name="SAPBEXHLevel0 9 7" xfId="22641"/>
    <cellStyle name="SAPBEXHLevel0 9 7 2" xfId="22642"/>
    <cellStyle name="SAPBEXHLevel0 9 7 2 2" xfId="22643"/>
    <cellStyle name="SAPBEXHLevel0 9 7 3" xfId="22644"/>
    <cellStyle name="SAPBEXHLevel0 9 8" xfId="22645"/>
    <cellStyle name="SAPBEXHLevel0 9 8 2" xfId="22646"/>
    <cellStyle name="SAPBEXHLevel0 9 8 2 2" xfId="22647"/>
    <cellStyle name="SAPBEXHLevel0 9 8 3" xfId="22648"/>
    <cellStyle name="SAPBEXHLevel0 9 9" xfId="22649"/>
    <cellStyle name="SAPBEXHLevel0 9 9 2" xfId="22650"/>
    <cellStyle name="SAPBEXHLevel0 9_planning-WP" xfId="22651"/>
    <cellStyle name="SAPBEXHLevel0_19.RessDest CUC CS SEE+SEM 1009" xfId="39015"/>
    <cellStyle name="SAPBEXHLevel0X" xfId="22652"/>
    <cellStyle name="SAPBEXHLevel0X 10" xfId="22653"/>
    <cellStyle name="SAPBEXHLevel0X 10 2" xfId="22654"/>
    <cellStyle name="SAPBEXHLevel0X 10 2 2" xfId="22655"/>
    <cellStyle name="SAPBEXHLevel0X 11" xfId="22656"/>
    <cellStyle name="SAPBEXHLevel0X 11 2" xfId="22657"/>
    <cellStyle name="SAPBEXHLevel0X 11 2 2" xfId="22658"/>
    <cellStyle name="SAPBEXHLevel0X 11 3" xfId="22659"/>
    <cellStyle name="SAPBEXHLevel0X 12" xfId="22660"/>
    <cellStyle name="SAPBEXHLevel0X 12 2" xfId="22661"/>
    <cellStyle name="SAPBEXHLevel0X 12 2 2" xfId="22662"/>
    <cellStyle name="SAPBEXHLevel0X 12 3" xfId="22663"/>
    <cellStyle name="SAPBEXHLevel0X 13" xfId="22664"/>
    <cellStyle name="SAPBEXHLevel0X 13 2" xfId="22665"/>
    <cellStyle name="SAPBEXHLevel0X 13 2 2" xfId="22666"/>
    <cellStyle name="SAPBEXHLevel0X 13 3" xfId="22667"/>
    <cellStyle name="SAPBEXHLevel0X 14" xfId="22668"/>
    <cellStyle name="SAPBEXHLevel0X 14 2" xfId="22669"/>
    <cellStyle name="SAPBEXHLevel0X 14 2 2" xfId="22670"/>
    <cellStyle name="SAPBEXHLevel0X 14 3" xfId="22671"/>
    <cellStyle name="SAPBEXHLevel0X 15" xfId="22672"/>
    <cellStyle name="SAPBEXHLevel0X 15 2" xfId="22673"/>
    <cellStyle name="SAPBEXHLevel0X 15 2 2" xfId="22674"/>
    <cellStyle name="SAPBEXHLevel0X 15 3" xfId="22675"/>
    <cellStyle name="SAPBEXHLevel0X 16" xfId="22676"/>
    <cellStyle name="SAPBEXHLevel0X 16 2" xfId="22677"/>
    <cellStyle name="SAPBEXHLevel0X 16 2 2" xfId="22678"/>
    <cellStyle name="SAPBEXHLevel0X 16 3" xfId="22679"/>
    <cellStyle name="SAPBEXHLevel0X 17" xfId="22680"/>
    <cellStyle name="SAPBEXHLevel0X 17 2" xfId="22681"/>
    <cellStyle name="SAPBEXHLevel0X 17 2 2" xfId="22682"/>
    <cellStyle name="SAPBEXHLevel0X 17 3" xfId="22683"/>
    <cellStyle name="SAPBEXHLevel0X 18" xfId="22684"/>
    <cellStyle name="SAPBEXHLevel0X 19" xfId="39016"/>
    <cellStyle name="SAPBEXHLevel0X 2" xfId="22685"/>
    <cellStyle name="SAPBEXHLevel0X 2 10" xfId="22686"/>
    <cellStyle name="SAPBEXHLevel0X 2 10 2" xfId="22687"/>
    <cellStyle name="SAPBEXHLevel0X 2 10 2 2" xfId="22688"/>
    <cellStyle name="SAPBEXHLevel0X 2 10 3" xfId="22689"/>
    <cellStyle name="SAPBEXHLevel0X 2 11" xfId="22690"/>
    <cellStyle name="SAPBEXHLevel0X 2 11 2" xfId="22691"/>
    <cellStyle name="SAPBEXHLevel0X 2 11 2 2" xfId="22692"/>
    <cellStyle name="SAPBEXHLevel0X 2 11 3" xfId="22693"/>
    <cellStyle name="SAPBEXHLevel0X 2 12" xfId="22694"/>
    <cellStyle name="SAPBEXHLevel0X 2 12 2" xfId="22695"/>
    <cellStyle name="SAPBEXHLevel0X 2 12 2 2" xfId="22696"/>
    <cellStyle name="SAPBEXHLevel0X 2 12 3" xfId="22697"/>
    <cellStyle name="SAPBEXHLevel0X 2 13" xfId="22698"/>
    <cellStyle name="SAPBEXHLevel0X 2 14" xfId="39017"/>
    <cellStyle name="SAPBEXHLevel0X 2 15" xfId="39404"/>
    <cellStyle name="SAPBEXHLevel0X 2 2" xfId="22699"/>
    <cellStyle name="SAPBEXHLevel0X 2 2 10" xfId="22700"/>
    <cellStyle name="SAPBEXHLevel0X 2 2 10 2" xfId="22701"/>
    <cellStyle name="SAPBEXHLevel0X 2 2 10 2 2" xfId="22702"/>
    <cellStyle name="SAPBEXHLevel0X 2 2 10 3" xfId="22703"/>
    <cellStyle name="SAPBEXHLevel0X 2 2 11" xfId="22704"/>
    <cellStyle name="SAPBEXHLevel0X 2 2 11 2" xfId="22705"/>
    <cellStyle name="SAPBEXHLevel0X 2 2 12" xfId="39018"/>
    <cellStyle name="SAPBEXHLevel0X 2 2 13" xfId="39405"/>
    <cellStyle name="SAPBEXHLevel0X 2 2 2" xfId="22706"/>
    <cellStyle name="SAPBEXHLevel0X 2 2 2 10" xfId="22707"/>
    <cellStyle name="SAPBEXHLevel0X 2 2 2 10 2" xfId="22708"/>
    <cellStyle name="SAPBEXHLevel0X 2 2 2 2" xfId="22709"/>
    <cellStyle name="SAPBEXHLevel0X 2 2 2 2 2" xfId="22710"/>
    <cellStyle name="SAPBEXHLevel0X 2 2 2 2 2 2" xfId="22711"/>
    <cellStyle name="SAPBEXHLevel0X 2 2 2 2 3" xfId="22712"/>
    <cellStyle name="SAPBEXHLevel0X 2 2 2 3" xfId="22713"/>
    <cellStyle name="SAPBEXHLevel0X 2 2 2 3 2" xfId="22714"/>
    <cellStyle name="SAPBEXHLevel0X 2 2 2 3 2 2" xfId="22715"/>
    <cellStyle name="SAPBEXHLevel0X 2 2 2 3 3" xfId="22716"/>
    <cellStyle name="SAPBEXHLevel0X 2 2 2 4" xfId="22717"/>
    <cellStyle name="SAPBEXHLevel0X 2 2 2 4 2" xfId="22718"/>
    <cellStyle name="SAPBEXHLevel0X 2 2 2 4 2 2" xfId="22719"/>
    <cellStyle name="SAPBEXHLevel0X 2 2 2 4 3" xfId="22720"/>
    <cellStyle name="SAPBEXHLevel0X 2 2 2 5" xfId="22721"/>
    <cellStyle name="SAPBEXHLevel0X 2 2 2 5 2" xfId="22722"/>
    <cellStyle name="SAPBEXHLevel0X 2 2 2 5 2 2" xfId="22723"/>
    <cellStyle name="SAPBEXHLevel0X 2 2 2 5 3" xfId="22724"/>
    <cellStyle name="SAPBEXHLevel0X 2 2 2 6" xfId="22725"/>
    <cellStyle name="SAPBEXHLevel0X 2 2 2 6 2" xfId="22726"/>
    <cellStyle name="SAPBEXHLevel0X 2 2 2 6 2 2" xfId="22727"/>
    <cellStyle name="SAPBEXHLevel0X 2 2 2 6 3" xfId="22728"/>
    <cellStyle name="SAPBEXHLevel0X 2 2 2 7" xfId="22729"/>
    <cellStyle name="SAPBEXHLevel0X 2 2 2 7 2" xfId="22730"/>
    <cellStyle name="SAPBEXHLevel0X 2 2 2 7 2 2" xfId="22731"/>
    <cellStyle name="SAPBEXHLevel0X 2 2 2 7 3" xfId="22732"/>
    <cellStyle name="SAPBEXHLevel0X 2 2 2 8" xfId="22733"/>
    <cellStyle name="SAPBEXHLevel0X 2 2 2 8 2" xfId="22734"/>
    <cellStyle name="SAPBEXHLevel0X 2 2 2 8 2 2" xfId="22735"/>
    <cellStyle name="SAPBEXHLevel0X 2 2 2 8 3" xfId="22736"/>
    <cellStyle name="SAPBEXHLevel0X 2 2 2 9" xfId="22737"/>
    <cellStyle name="SAPBEXHLevel0X 2 2 2 9 2" xfId="22738"/>
    <cellStyle name="SAPBEXHLevel0X 2 2 2 9 2 2" xfId="22739"/>
    <cellStyle name="SAPBEXHLevel0X 2 2 2 9 3" xfId="22740"/>
    <cellStyle name="SAPBEXHLevel0X 2 2 2_planning-WP" xfId="22741"/>
    <cellStyle name="SAPBEXHLevel0X 2 2 3" xfId="22742"/>
    <cellStyle name="SAPBEXHLevel0X 2 2 3 2" xfId="22743"/>
    <cellStyle name="SAPBEXHLevel0X 2 2 3 2 2" xfId="22744"/>
    <cellStyle name="SAPBEXHLevel0X 2 2 3 3" xfId="22745"/>
    <cellStyle name="SAPBEXHLevel0X 2 2 4" xfId="22746"/>
    <cellStyle name="SAPBEXHLevel0X 2 2 4 2" xfId="22747"/>
    <cellStyle name="SAPBEXHLevel0X 2 2 4 2 2" xfId="22748"/>
    <cellStyle name="SAPBEXHLevel0X 2 2 4 3" xfId="22749"/>
    <cellStyle name="SAPBEXHLevel0X 2 2 5" xfId="22750"/>
    <cellStyle name="SAPBEXHLevel0X 2 2 5 2" xfId="22751"/>
    <cellStyle name="SAPBEXHLevel0X 2 2 5 2 2" xfId="22752"/>
    <cellStyle name="SAPBEXHLevel0X 2 2 5 3" xfId="22753"/>
    <cellStyle name="SAPBEXHLevel0X 2 2 6" xfId="22754"/>
    <cellStyle name="SAPBEXHLevel0X 2 2 6 2" xfId="22755"/>
    <cellStyle name="SAPBEXHLevel0X 2 2 6 2 2" xfId="22756"/>
    <cellStyle name="SAPBEXHLevel0X 2 2 6 3" xfId="22757"/>
    <cellStyle name="SAPBEXHLevel0X 2 2 7" xfId="22758"/>
    <cellStyle name="SAPBEXHLevel0X 2 2 7 2" xfId="22759"/>
    <cellStyle name="SAPBEXHLevel0X 2 2 7 2 2" xfId="22760"/>
    <cellStyle name="SAPBEXHLevel0X 2 2 7 3" xfId="22761"/>
    <cellStyle name="SAPBEXHLevel0X 2 2 8" xfId="22762"/>
    <cellStyle name="SAPBEXHLevel0X 2 2 8 2" xfId="22763"/>
    <cellStyle name="SAPBEXHLevel0X 2 2 8 2 2" xfId="22764"/>
    <cellStyle name="SAPBEXHLevel0X 2 2 8 3" xfId="22765"/>
    <cellStyle name="SAPBEXHLevel0X 2 2 9" xfId="22766"/>
    <cellStyle name="SAPBEXHLevel0X 2 2 9 2" xfId="22767"/>
    <cellStyle name="SAPBEXHLevel0X 2 2 9 2 2" xfId="22768"/>
    <cellStyle name="SAPBEXHLevel0X 2 2 9 3" xfId="22769"/>
    <cellStyle name="SAPBEXHLevel0X 2 2_planning-WP" xfId="22770"/>
    <cellStyle name="SAPBEXHLevel0X 2 3" xfId="22771"/>
    <cellStyle name="SAPBEXHLevel0X 2 3 10" xfId="22772"/>
    <cellStyle name="SAPBEXHLevel0X 2 3 10 2" xfId="22773"/>
    <cellStyle name="SAPBEXHLevel0X 2 3 2" xfId="22774"/>
    <cellStyle name="SAPBEXHLevel0X 2 3 2 2" xfId="22775"/>
    <cellStyle name="SAPBEXHLevel0X 2 3 2 2 2" xfId="22776"/>
    <cellStyle name="SAPBEXHLevel0X 2 3 2 3" xfId="22777"/>
    <cellStyle name="SAPBEXHLevel0X 2 3 3" xfId="22778"/>
    <cellStyle name="SAPBEXHLevel0X 2 3 3 2" xfId="22779"/>
    <cellStyle name="SAPBEXHLevel0X 2 3 3 2 2" xfId="22780"/>
    <cellStyle name="SAPBEXHLevel0X 2 3 3 3" xfId="22781"/>
    <cellStyle name="SAPBEXHLevel0X 2 3 4" xfId="22782"/>
    <cellStyle name="SAPBEXHLevel0X 2 3 4 2" xfId="22783"/>
    <cellStyle name="SAPBEXHLevel0X 2 3 4 2 2" xfId="22784"/>
    <cellStyle name="SAPBEXHLevel0X 2 3 4 3" xfId="22785"/>
    <cellStyle name="SAPBEXHLevel0X 2 3 5" xfId="22786"/>
    <cellStyle name="SAPBEXHLevel0X 2 3 5 2" xfId="22787"/>
    <cellStyle name="SAPBEXHLevel0X 2 3 5 2 2" xfId="22788"/>
    <cellStyle name="SAPBEXHLevel0X 2 3 5 3" xfId="22789"/>
    <cellStyle name="SAPBEXHLevel0X 2 3 6" xfId="22790"/>
    <cellStyle name="SAPBEXHLevel0X 2 3 6 2" xfId="22791"/>
    <cellStyle name="SAPBEXHLevel0X 2 3 6 2 2" xfId="22792"/>
    <cellStyle name="SAPBEXHLevel0X 2 3 6 3" xfId="22793"/>
    <cellStyle name="SAPBEXHLevel0X 2 3 7" xfId="22794"/>
    <cellStyle name="SAPBEXHLevel0X 2 3 7 2" xfId="22795"/>
    <cellStyle name="SAPBEXHLevel0X 2 3 7 2 2" xfId="22796"/>
    <cellStyle name="SAPBEXHLevel0X 2 3 7 3" xfId="22797"/>
    <cellStyle name="SAPBEXHLevel0X 2 3 8" xfId="22798"/>
    <cellStyle name="SAPBEXHLevel0X 2 3 8 2" xfId="22799"/>
    <cellStyle name="SAPBEXHLevel0X 2 3 8 2 2" xfId="22800"/>
    <cellStyle name="SAPBEXHLevel0X 2 3 8 3" xfId="22801"/>
    <cellStyle name="SAPBEXHLevel0X 2 3 9" xfId="22802"/>
    <cellStyle name="SAPBEXHLevel0X 2 3 9 2" xfId="22803"/>
    <cellStyle name="SAPBEXHLevel0X 2 3 9 2 2" xfId="22804"/>
    <cellStyle name="SAPBEXHLevel0X 2 3 9 3" xfId="22805"/>
    <cellStyle name="SAPBEXHLevel0X 2 3_planning-WP" xfId="22806"/>
    <cellStyle name="SAPBEXHLevel0X 2 4" xfId="22807"/>
    <cellStyle name="SAPBEXHLevel0X 2 4 2" xfId="22808"/>
    <cellStyle name="SAPBEXHLevel0X 2 4 2 2" xfId="22809"/>
    <cellStyle name="SAPBEXHLevel0X 2 4 2 2 2" xfId="22810"/>
    <cellStyle name="SAPBEXHLevel0X 2 4 2 3" xfId="22811"/>
    <cellStyle name="SAPBEXHLevel0X 2 4 3" xfId="22812"/>
    <cellStyle name="SAPBEXHLevel0X 2 4 3 2" xfId="22813"/>
    <cellStyle name="SAPBEXHLevel0X 2 4 3 2 2" xfId="22814"/>
    <cellStyle name="SAPBEXHLevel0X 2 4 3 3" xfId="22815"/>
    <cellStyle name="SAPBEXHLevel0X 2 4 4" xfId="22816"/>
    <cellStyle name="SAPBEXHLevel0X 2 4 4 2" xfId="22817"/>
    <cellStyle name="SAPBEXHLevel0X 2 4 4 2 2" xfId="22818"/>
    <cellStyle name="SAPBEXHLevel0X 2 4 4 3" xfId="22819"/>
    <cellStyle name="SAPBEXHLevel0X 2 4 5" xfId="22820"/>
    <cellStyle name="SAPBEXHLevel0X 2 4 5 2" xfId="22821"/>
    <cellStyle name="SAPBEXHLevel0X 2 4 5 2 2" xfId="22822"/>
    <cellStyle name="SAPBEXHLevel0X 2 4 5 3" xfId="22823"/>
    <cellStyle name="SAPBEXHLevel0X 2 4 6" xfId="22824"/>
    <cellStyle name="SAPBEXHLevel0X 2 4 6 2" xfId="22825"/>
    <cellStyle name="SAPBEXHLevel0X 2 4 6 2 2" xfId="22826"/>
    <cellStyle name="SAPBEXHLevel0X 2 4 6 3" xfId="22827"/>
    <cellStyle name="SAPBEXHLevel0X 2 4 7" xfId="22828"/>
    <cellStyle name="SAPBEXHLevel0X 2 4 7 2" xfId="22829"/>
    <cellStyle name="SAPBEXHLevel0X 2 4 7 2 2" xfId="22830"/>
    <cellStyle name="SAPBEXHLevel0X 2 4 7 3" xfId="22831"/>
    <cellStyle name="SAPBEXHLevel0X 2 4 8" xfId="22832"/>
    <cellStyle name="SAPBEXHLevel0X 2 4 8 2" xfId="22833"/>
    <cellStyle name="SAPBEXHLevel0X 2 4 8 2 2" xfId="22834"/>
    <cellStyle name="SAPBEXHLevel0X 2 4 8 3" xfId="22835"/>
    <cellStyle name="SAPBEXHLevel0X 2 4 9" xfId="22836"/>
    <cellStyle name="SAPBEXHLevel0X 2 4 9 2" xfId="22837"/>
    <cellStyle name="SAPBEXHLevel0X 2 4_planning-WP" xfId="22838"/>
    <cellStyle name="SAPBEXHLevel0X 2 5" xfId="22839"/>
    <cellStyle name="SAPBEXHLevel0X 2 5 2" xfId="22840"/>
    <cellStyle name="SAPBEXHLevel0X 2 5 2 2" xfId="22841"/>
    <cellStyle name="SAPBEXHLevel0X 2 6" xfId="22842"/>
    <cellStyle name="SAPBEXHLevel0X 2 6 2" xfId="22843"/>
    <cellStyle name="SAPBEXHLevel0X 2 6 2 2" xfId="22844"/>
    <cellStyle name="SAPBEXHLevel0X 2 6 3" xfId="22845"/>
    <cellStyle name="SAPBEXHLevel0X 2 7" xfId="22846"/>
    <cellStyle name="SAPBEXHLevel0X 2 7 2" xfId="22847"/>
    <cellStyle name="SAPBEXHLevel0X 2 7 2 2" xfId="22848"/>
    <cellStyle name="SAPBEXHLevel0X 2 7 3" xfId="22849"/>
    <cellStyle name="SAPBEXHLevel0X 2 8" xfId="22850"/>
    <cellStyle name="SAPBEXHLevel0X 2 8 2" xfId="22851"/>
    <cellStyle name="SAPBEXHLevel0X 2 8 2 2" xfId="22852"/>
    <cellStyle name="SAPBEXHLevel0X 2 8 3" xfId="22853"/>
    <cellStyle name="SAPBEXHLevel0X 2 9" xfId="22854"/>
    <cellStyle name="SAPBEXHLevel0X 2 9 2" xfId="22855"/>
    <cellStyle name="SAPBEXHLevel0X 2 9 2 2" xfId="22856"/>
    <cellStyle name="SAPBEXHLevel0X 2 9 3" xfId="22857"/>
    <cellStyle name="SAPBEXHLevel0X 2_planning-WP" xfId="22858"/>
    <cellStyle name="SAPBEXHLevel0X 20" xfId="39403"/>
    <cellStyle name="SAPBEXHLevel0X 3" xfId="22859"/>
    <cellStyle name="SAPBEXHLevel0X 3 10" xfId="22860"/>
    <cellStyle name="SAPBEXHLevel0X 3 10 2" xfId="22861"/>
    <cellStyle name="SAPBEXHLevel0X 3 10 2 2" xfId="22862"/>
    <cellStyle name="SAPBEXHLevel0X 3 10 3" xfId="22863"/>
    <cellStyle name="SAPBEXHLevel0X 3 11" xfId="22864"/>
    <cellStyle name="SAPBEXHLevel0X 3 11 2" xfId="22865"/>
    <cellStyle name="SAPBEXHLevel0X 3 11 2 2" xfId="22866"/>
    <cellStyle name="SAPBEXHLevel0X 3 11 3" xfId="22867"/>
    <cellStyle name="SAPBEXHLevel0X 3 12" xfId="22868"/>
    <cellStyle name="SAPBEXHLevel0X 3 12 2" xfId="22869"/>
    <cellStyle name="SAPBEXHLevel0X 3 12 2 2" xfId="22870"/>
    <cellStyle name="SAPBEXHLevel0X 3 12 3" xfId="22871"/>
    <cellStyle name="SAPBEXHLevel0X 3 13" xfId="22872"/>
    <cellStyle name="SAPBEXHLevel0X 3 14" xfId="39019"/>
    <cellStyle name="SAPBEXHLevel0X 3 15" xfId="39406"/>
    <cellStyle name="SAPBEXHLevel0X 3 2" xfId="22873"/>
    <cellStyle name="SAPBEXHLevel0X 3 2 10" xfId="22874"/>
    <cellStyle name="SAPBEXHLevel0X 3 2 10 2" xfId="22875"/>
    <cellStyle name="SAPBEXHLevel0X 3 2 10 2 2" xfId="22876"/>
    <cellStyle name="SAPBEXHLevel0X 3 2 10 3" xfId="22877"/>
    <cellStyle name="SAPBEXHLevel0X 3 2 11" xfId="22878"/>
    <cellStyle name="SAPBEXHLevel0X 3 2 11 2" xfId="22879"/>
    <cellStyle name="SAPBEXHLevel0X 3 2 12" xfId="39020"/>
    <cellStyle name="SAPBEXHLevel0X 3 2 13" xfId="39407"/>
    <cellStyle name="SAPBEXHLevel0X 3 2 2" xfId="22880"/>
    <cellStyle name="SAPBEXHLevel0X 3 2 2 10" xfId="22881"/>
    <cellStyle name="SAPBEXHLevel0X 3 2 2 10 2" xfId="22882"/>
    <cellStyle name="SAPBEXHLevel0X 3 2 2 2" xfId="22883"/>
    <cellStyle name="SAPBEXHLevel0X 3 2 2 2 2" xfId="22884"/>
    <cellStyle name="SAPBEXHLevel0X 3 2 2 2 2 2" xfId="22885"/>
    <cellStyle name="SAPBEXHLevel0X 3 2 2 2 3" xfId="22886"/>
    <cellStyle name="SAPBEXHLevel0X 3 2 2 3" xfId="22887"/>
    <cellStyle name="SAPBEXHLevel0X 3 2 2 3 2" xfId="22888"/>
    <cellStyle name="SAPBEXHLevel0X 3 2 2 3 2 2" xfId="22889"/>
    <cellStyle name="SAPBEXHLevel0X 3 2 2 3 3" xfId="22890"/>
    <cellStyle name="SAPBEXHLevel0X 3 2 2 4" xfId="22891"/>
    <cellStyle name="SAPBEXHLevel0X 3 2 2 4 2" xfId="22892"/>
    <cellStyle name="SAPBEXHLevel0X 3 2 2 4 2 2" xfId="22893"/>
    <cellStyle name="SAPBEXHLevel0X 3 2 2 4 3" xfId="22894"/>
    <cellStyle name="SAPBEXHLevel0X 3 2 2 5" xfId="22895"/>
    <cellStyle name="SAPBEXHLevel0X 3 2 2 5 2" xfId="22896"/>
    <cellStyle name="SAPBEXHLevel0X 3 2 2 5 2 2" xfId="22897"/>
    <cellStyle name="SAPBEXHLevel0X 3 2 2 5 3" xfId="22898"/>
    <cellStyle name="SAPBEXHLevel0X 3 2 2 6" xfId="22899"/>
    <cellStyle name="SAPBEXHLevel0X 3 2 2 6 2" xfId="22900"/>
    <cellStyle name="SAPBEXHLevel0X 3 2 2 6 2 2" xfId="22901"/>
    <cellStyle name="SAPBEXHLevel0X 3 2 2 6 3" xfId="22902"/>
    <cellStyle name="SAPBEXHLevel0X 3 2 2 7" xfId="22903"/>
    <cellStyle name="SAPBEXHLevel0X 3 2 2 7 2" xfId="22904"/>
    <cellStyle name="SAPBEXHLevel0X 3 2 2 7 2 2" xfId="22905"/>
    <cellStyle name="SAPBEXHLevel0X 3 2 2 7 3" xfId="22906"/>
    <cellStyle name="SAPBEXHLevel0X 3 2 2 8" xfId="22907"/>
    <cellStyle name="SAPBEXHLevel0X 3 2 2 8 2" xfId="22908"/>
    <cellStyle name="SAPBEXHLevel0X 3 2 2 8 2 2" xfId="22909"/>
    <cellStyle name="SAPBEXHLevel0X 3 2 2 8 3" xfId="22910"/>
    <cellStyle name="SAPBEXHLevel0X 3 2 2 9" xfId="22911"/>
    <cellStyle name="SAPBEXHLevel0X 3 2 2 9 2" xfId="22912"/>
    <cellStyle name="SAPBEXHLevel0X 3 2 2 9 2 2" xfId="22913"/>
    <cellStyle name="SAPBEXHLevel0X 3 2 2 9 3" xfId="22914"/>
    <cellStyle name="SAPBEXHLevel0X 3 2 2_planning-WP" xfId="22915"/>
    <cellStyle name="SAPBEXHLevel0X 3 2 3" xfId="22916"/>
    <cellStyle name="SAPBEXHLevel0X 3 2 3 2" xfId="22917"/>
    <cellStyle name="SAPBEXHLevel0X 3 2 3 2 2" xfId="22918"/>
    <cellStyle name="SAPBEXHLevel0X 3 2 3 3" xfId="22919"/>
    <cellStyle name="SAPBEXHLevel0X 3 2 4" xfId="22920"/>
    <cellStyle name="SAPBEXHLevel0X 3 2 4 2" xfId="22921"/>
    <cellStyle name="SAPBEXHLevel0X 3 2 4 2 2" xfId="22922"/>
    <cellStyle name="SAPBEXHLevel0X 3 2 4 3" xfId="22923"/>
    <cellStyle name="SAPBEXHLevel0X 3 2 5" xfId="22924"/>
    <cellStyle name="SAPBEXHLevel0X 3 2 5 2" xfId="22925"/>
    <cellStyle name="SAPBEXHLevel0X 3 2 5 2 2" xfId="22926"/>
    <cellStyle name="SAPBEXHLevel0X 3 2 5 3" xfId="22927"/>
    <cellStyle name="SAPBEXHLevel0X 3 2 6" xfId="22928"/>
    <cellStyle name="SAPBEXHLevel0X 3 2 6 2" xfId="22929"/>
    <cellStyle name="SAPBEXHLevel0X 3 2 6 2 2" xfId="22930"/>
    <cellStyle name="SAPBEXHLevel0X 3 2 6 3" xfId="22931"/>
    <cellStyle name="SAPBEXHLevel0X 3 2 7" xfId="22932"/>
    <cellStyle name="SAPBEXHLevel0X 3 2 7 2" xfId="22933"/>
    <cellStyle name="SAPBEXHLevel0X 3 2 7 2 2" xfId="22934"/>
    <cellStyle name="SAPBEXHLevel0X 3 2 7 3" xfId="22935"/>
    <cellStyle name="SAPBEXHLevel0X 3 2 8" xfId="22936"/>
    <cellStyle name="SAPBEXHLevel0X 3 2 8 2" xfId="22937"/>
    <cellStyle name="SAPBEXHLevel0X 3 2 8 2 2" xfId="22938"/>
    <cellStyle name="SAPBEXHLevel0X 3 2 8 3" xfId="22939"/>
    <cellStyle name="SAPBEXHLevel0X 3 2 9" xfId="22940"/>
    <cellStyle name="SAPBEXHLevel0X 3 2 9 2" xfId="22941"/>
    <cellStyle name="SAPBEXHLevel0X 3 2 9 2 2" xfId="22942"/>
    <cellStyle name="SAPBEXHLevel0X 3 2 9 3" xfId="22943"/>
    <cellStyle name="SAPBEXHLevel0X 3 2_planning-WP" xfId="22944"/>
    <cellStyle name="SAPBEXHLevel0X 3 3" xfId="22945"/>
    <cellStyle name="SAPBEXHLevel0X 3 3 10" xfId="22946"/>
    <cellStyle name="SAPBEXHLevel0X 3 3 10 2" xfId="22947"/>
    <cellStyle name="SAPBEXHLevel0X 3 3 2" xfId="22948"/>
    <cellStyle name="SAPBEXHLevel0X 3 3 2 2" xfId="22949"/>
    <cellStyle name="SAPBEXHLevel0X 3 3 2 2 2" xfId="22950"/>
    <cellStyle name="SAPBEXHLevel0X 3 3 2 3" xfId="22951"/>
    <cellStyle name="SAPBEXHLevel0X 3 3 3" xfId="22952"/>
    <cellStyle name="SAPBEXHLevel0X 3 3 3 2" xfId="22953"/>
    <cellStyle name="SAPBEXHLevel0X 3 3 3 2 2" xfId="22954"/>
    <cellStyle name="SAPBEXHLevel0X 3 3 3 3" xfId="22955"/>
    <cellStyle name="SAPBEXHLevel0X 3 3 4" xfId="22956"/>
    <cellStyle name="SAPBEXHLevel0X 3 3 4 2" xfId="22957"/>
    <cellStyle name="SAPBEXHLevel0X 3 3 4 2 2" xfId="22958"/>
    <cellStyle name="SAPBEXHLevel0X 3 3 4 3" xfId="22959"/>
    <cellStyle name="SAPBEXHLevel0X 3 3 5" xfId="22960"/>
    <cellStyle name="SAPBEXHLevel0X 3 3 5 2" xfId="22961"/>
    <cellStyle name="SAPBEXHLevel0X 3 3 5 2 2" xfId="22962"/>
    <cellStyle name="SAPBEXHLevel0X 3 3 5 3" xfId="22963"/>
    <cellStyle name="SAPBEXHLevel0X 3 3 6" xfId="22964"/>
    <cellStyle name="SAPBEXHLevel0X 3 3 6 2" xfId="22965"/>
    <cellStyle name="SAPBEXHLevel0X 3 3 6 2 2" xfId="22966"/>
    <cellStyle name="SAPBEXHLevel0X 3 3 6 3" xfId="22967"/>
    <cellStyle name="SAPBEXHLevel0X 3 3 7" xfId="22968"/>
    <cellStyle name="SAPBEXHLevel0X 3 3 7 2" xfId="22969"/>
    <cellStyle name="SAPBEXHLevel0X 3 3 7 2 2" xfId="22970"/>
    <cellStyle name="SAPBEXHLevel0X 3 3 7 3" xfId="22971"/>
    <cellStyle name="SAPBEXHLevel0X 3 3 8" xfId="22972"/>
    <cellStyle name="SAPBEXHLevel0X 3 3 8 2" xfId="22973"/>
    <cellStyle name="SAPBEXHLevel0X 3 3 8 2 2" xfId="22974"/>
    <cellStyle name="SAPBEXHLevel0X 3 3 8 3" xfId="22975"/>
    <cellStyle name="SAPBEXHLevel0X 3 3 9" xfId="22976"/>
    <cellStyle name="SAPBEXHLevel0X 3 3 9 2" xfId="22977"/>
    <cellStyle name="SAPBEXHLevel0X 3 3 9 2 2" xfId="22978"/>
    <cellStyle name="SAPBEXHLevel0X 3 3 9 3" xfId="22979"/>
    <cellStyle name="SAPBEXHLevel0X 3 3_planning-WP" xfId="22980"/>
    <cellStyle name="SAPBEXHLevel0X 3 4" xfId="22981"/>
    <cellStyle name="SAPBEXHLevel0X 3 4 2" xfId="22982"/>
    <cellStyle name="SAPBEXHLevel0X 3 4 2 2" xfId="22983"/>
    <cellStyle name="SAPBEXHLevel0X 3 4 2 2 2" xfId="22984"/>
    <cellStyle name="SAPBEXHLevel0X 3 4 2 3" xfId="22985"/>
    <cellStyle name="SAPBEXHLevel0X 3 4 3" xfId="22986"/>
    <cellStyle name="SAPBEXHLevel0X 3 4 3 2" xfId="22987"/>
    <cellStyle name="SAPBEXHLevel0X 3 4 3 2 2" xfId="22988"/>
    <cellStyle name="SAPBEXHLevel0X 3 4 3 3" xfId="22989"/>
    <cellStyle name="SAPBEXHLevel0X 3 4 4" xfId="22990"/>
    <cellStyle name="SAPBEXHLevel0X 3 4 4 2" xfId="22991"/>
    <cellStyle name="SAPBEXHLevel0X 3 4 4 2 2" xfId="22992"/>
    <cellStyle name="SAPBEXHLevel0X 3 4 4 3" xfId="22993"/>
    <cellStyle name="SAPBEXHLevel0X 3 4 5" xfId="22994"/>
    <cellStyle name="SAPBEXHLevel0X 3 4 5 2" xfId="22995"/>
    <cellStyle name="SAPBEXHLevel0X 3 4 5 2 2" xfId="22996"/>
    <cellStyle name="SAPBEXHLevel0X 3 4 5 3" xfId="22997"/>
    <cellStyle name="SAPBEXHLevel0X 3 4 6" xfId="22998"/>
    <cellStyle name="SAPBEXHLevel0X 3 4 6 2" xfId="22999"/>
    <cellStyle name="SAPBEXHLevel0X 3 4 6 2 2" xfId="23000"/>
    <cellStyle name="SAPBEXHLevel0X 3 4 6 3" xfId="23001"/>
    <cellStyle name="SAPBEXHLevel0X 3 4 7" xfId="23002"/>
    <cellStyle name="SAPBEXHLevel0X 3 4 7 2" xfId="23003"/>
    <cellStyle name="SAPBEXHLevel0X 3 4 7 2 2" xfId="23004"/>
    <cellStyle name="SAPBEXHLevel0X 3 4 7 3" xfId="23005"/>
    <cellStyle name="SAPBEXHLevel0X 3 4 8" xfId="23006"/>
    <cellStyle name="SAPBEXHLevel0X 3 4 8 2" xfId="23007"/>
    <cellStyle name="SAPBEXHLevel0X 3 4 8 2 2" xfId="23008"/>
    <cellStyle name="SAPBEXHLevel0X 3 4 8 3" xfId="23009"/>
    <cellStyle name="SAPBEXHLevel0X 3 4 9" xfId="23010"/>
    <cellStyle name="SAPBEXHLevel0X 3 4 9 2" xfId="23011"/>
    <cellStyle name="SAPBEXHLevel0X 3 4_planning-WP" xfId="23012"/>
    <cellStyle name="SAPBEXHLevel0X 3 5" xfId="23013"/>
    <cellStyle name="SAPBEXHLevel0X 3 5 2" xfId="23014"/>
    <cellStyle name="SAPBEXHLevel0X 3 5 2 2" xfId="23015"/>
    <cellStyle name="SAPBEXHLevel0X 3 6" xfId="23016"/>
    <cellStyle name="SAPBEXHLevel0X 3 6 2" xfId="23017"/>
    <cellStyle name="SAPBEXHLevel0X 3 6 2 2" xfId="23018"/>
    <cellStyle name="SAPBEXHLevel0X 3 6 3" xfId="23019"/>
    <cellStyle name="SAPBEXHLevel0X 3 7" xfId="23020"/>
    <cellStyle name="SAPBEXHLevel0X 3 7 2" xfId="23021"/>
    <cellStyle name="SAPBEXHLevel0X 3 7 2 2" xfId="23022"/>
    <cellStyle name="SAPBEXHLevel0X 3 7 3" xfId="23023"/>
    <cellStyle name="SAPBEXHLevel0X 3 8" xfId="23024"/>
    <cellStyle name="SAPBEXHLevel0X 3 8 2" xfId="23025"/>
    <cellStyle name="SAPBEXHLevel0X 3 8 2 2" xfId="23026"/>
    <cellStyle name="SAPBEXHLevel0X 3 8 3" xfId="23027"/>
    <cellStyle name="SAPBEXHLevel0X 3 9" xfId="23028"/>
    <cellStyle name="SAPBEXHLevel0X 3 9 2" xfId="23029"/>
    <cellStyle name="SAPBEXHLevel0X 3 9 2 2" xfId="23030"/>
    <cellStyle name="SAPBEXHLevel0X 3 9 3" xfId="23031"/>
    <cellStyle name="SAPBEXHLevel0X 3_planning-WP" xfId="23032"/>
    <cellStyle name="SAPBEXHLevel0X 4" xfId="23033"/>
    <cellStyle name="SAPBEXHLevel0X 4 10" xfId="23034"/>
    <cellStyle name="SAPBEXHLevel0X 4 10 2" xfId="23035"/>
    <cellStyle name="SAPBEXHLevel0X 4 10 2 2" xfId="23036"/>
    <cellStyle name="SAPBEXHLevel0X 4 10 3" xfId="23037"/>
    <cellStyle name="SAPBEXHLevel0X 4 11" xfId="23038"/>
    <cellStyle name="SAPBEXHLevel0X 4 11 2" xfId="23039"/>
    <cellStyle name="SAPBEXHLevel0X 4 11 2 2" xfId="23040"/>
    <cellStyle name="SAPBEXHLevel0X 4 11 3" xfId="23041"/>
    <cellStyle name="SAPBEXHLevel0X 4 12" xfId="23042"/>
    <cellStyle name="SAPBEXHLevel0X 4 12 2" xfId="23043"/>
    <cellStyle name="SAPBEXHLevel0X 4 12 2 2" xfId="23044"/>
    <cellStyle name="SAPBEXHLevel0X 4 12 3" xfId="23045"/>
    <cellStyle name="SAPBEXHLevel0X 4 13" xfId="23046"/>
    <cellStyle name="SAPBEXHLevel0X 4 14" xfId="39021"/>
    <cellStyle name="SAPBEXHLevel0X 4 15" xfId="39408"/>
    <cellStyle name="SAPBEXHLevel0X 4 2" xfId="23047"/>
    <cellStyle name="SAPBEXHLevel0X 4 2 10" xfId="23048"/>
    <cellStyle name="SAPBEXHLevel0X 4 2 10 2" xfId="23049"/>
    <cellStyle name="SAPBEXHLevel0X 4 2 10 2 2" xfId="23050"/>
    <cellStyle name="SAPBEXHLevel0X 4 2 10 3" xfId="23051"/>
    <cellStyle name="SAPBEXHLevel0X 4 2 11" xfId="23052"/>
    <cellStyle name="SAPBEXHLevel0X 4 2 11 2" xfId="23053"/>
    <cellStyle name="SAPBEXHLevel0X 4 2 12" xfId="39022"/>
    <cellStyle name="SAPBEXHLevel0X 4 2 13" xfId="39409"/>
    <cellStyle name="SAPBEXHLevel0X 4 2 2" xfId="23054"/>
    <cellStyle name="SAPBEXHLevel0X 4 2 2 10" xfId="23055"/>
    <cellStyle name="SAPBEXHLevel0X 4 2 2 10 2" xfId="23056"/>
    <cellStyle name="SAPBEXHLevel0X 4 2 2 2" xfId="23057"/>
    <cellStyle name="SAPBEXHLevel0X 4 2 2 2 2" xfId="23058"/>
    <cellStyle name="SAPBEXHLevel0X 4 2 2 2 2 2" xfId="23059"/>
    <cellStyle name="SAPBEXHLevel0X 4 2 2 2 3" xfId="23060"/>
    <cellStyle name="SAPBEXHLevel0X 4 2 2 3" xfId="23061"/>
    <cellStyle name="SAPBEXHLevel0X 4 2 2 3 2" xfId="23062"/>
    <cellStyle name="SAPBEXHLevel0X 4 2 2 3 2 2" xfId="23063"/>
    <cellStyle name="SAPBEXHLevel0X 4 2 2 3 3" xfId="23064"/>
    <cellStyle name="SAPBEXHLevel0X 4 2 2 4" xfId="23065"/>
    <cellStyle name="SAPBEXHLevel0X 4 2 2 4 2" xfId="23066"/>
    <cellStyle name="SAPBEXHLevel0X 4 2 2 4 2 2" xfId="23067"/>
    <cellStyle name="SAPBEXHLevel0X 4 2 2 4 3" xfId="23068"/>
    <cellStyle name="SAPBEXHLevel0X 4 2 2 5" xfId="23069"/>
    <cellStyle name="SAPBEXHLevel0X 4 2 2 5 2" xfId="23070"/>
    <cellStyle name="SAPBEXHLevel0X 4 2 2 5 2 2" xfId="23071"/>
    <cellStyle name="SAPBEXHLevel0X 4 2 2 5 3" xfId="23072"/>
    <cellStyle name="SAPBEXHLevel0X 4 2 2 6" xfId="23073"/>
    <cellStyle name="SAPBEXHLevel0X 4 2 2 6 2" xfId="23074"/>
    <cellStyle name="SAPBEXHLevel0X 4 2 2 6 2 2" xfId="23075"/>
    <cellStyle name="SAPBEXHLevel0X 4 2 2 6 3" xfId="23076"/>
    <cellStyle name="SAPBEXHLevel0X 4 2 2 7" xfId="23077"/>
    <cellStyle name="SAPBEXHLevel0X 4 2 2 7 2" xfId="23078"/>
    <cellStyle name="SAPBEXHLevel0X 4 2 2 7 2 2" xfId="23079"/>
    <cellStyle name="SAPBEXHLevel0X 4 2 2 7 3" xfId="23080"/>
    <cellStyle name="SAPBEXHLevel0X 4 2 2 8" xfId="23081"/>
    <cellStyle name="SAPBEXHLevel0X 4 2 2 8 2" xfId="23082"/>
    <cellStyle name="SAPBEXHLevel0X 4 2 2 8 2 2" xfId="23083"/>
    <cellStyle name="SAPBEXHLevel0X 4 2 2 8 3" xfId="23084"/>
    <cellStyle name="SAPBEXHLevel0X 4 2 2 9" xfId="23085"/>
    <cellStyle name="SAPBEXHLevel0X 4 2 2 9 2" xfId="23086"/>
    <cellStyle name="SAPBEXHLevel0X 4 2 2 9 2 2" xfId="23087"/>
    <cellStyle name="SAPBEXHLevel0X 4 2 2 9 3" xfId="23088"/>
    <cellStyle name="SAPBEXHLevel0X 4 2 2_planning-WP" xfId="23089"/>
    <cellStyle name="SAPBEXHLevel0X 4 2 3" xfId="23090"/>
    <cellStyle name="SAPBEXHLevel0X 4 2 3 2" xfId="23091"/>
    <cellStyle name="SAPBEXHLevel0X 4 2 3 2 2" xfId="23092"/>
    <cellStyle name="SAPBEXHLevel0X 4 2 3 3" xfId="23093"/>
    <cellStyle name="SAPBEXHLevel0X 4 2 4" xfId="23094"/>
    <cellStyle name="SAPBEXHLevel0X 4 2 4 2" xfId="23095"/>
    <cellStyle name="SAPBEXHLevel0X 4 2 4 2 2" xfId="23096"/>
    <cellStyle name="SAPBEXHLevel0X 4 2 4 3" xfId="23097"/>
    <cellStyle name="SAPBEXHLevel0X 4 2 5" xfId="23098"/>
    <cellStyle name="SAPBEXHLevel0X 4 2 5 2" xfId="23099"/>
    <cellStyle name="SAPBEXHLevel0X 4 2 5 2 2" xfId="23100"/>
    <cellStyle name="SAPBEXHLevel0X 4 2 5 3" xfId="23101"/>
    <cellStyle name="SAPBEXHLevel0X 4 2 6" xfId="23102"/>
    <cellStyle name="SAPBEXHLevel0X 4 2 6 2" xfId="23103"/>
    <cellStyle name="SAPBEXHLevel0X 4 2 6 2 2" xfId="23104"/>
    <cellStyle name="SAPBEXHLevel0X 4 2 6 3" xfId="23105"/>
    <cellStyle name="SAPBEXHLevel0X 4 2 7" xfId="23106"/>
    <cellStyle name="SAPBEXHLevel0X 4 2 7 2" xfId="23107"/>
    <cellStyle name="SAPBEXHLevel0X 4 2 7 2 2" xfId="23108"/>
    <cellStyle name="SAPBEXHLevel0X 4 2 7 3" xfId="23109"/>
    <cellStyle name="SAPBEXHLevel0X 4 2 8" xfId="23110"/>
    <cellStyle name="SAPBEXHLevel0X 4 2 8 2" xfId="23111"/>
    <cellStyle name="SAPBEXHLevel0X 4 2 8 2 2" xfId="23112"/>
    <cellStyle name="SAPBEXHLevel0X 4 2 8 3" xfId="23113"/>
    <cellStyle name="SAPBEXHLevel0X 4 2 9" xfId="23114"/>
    <cellStyle name="SAPBEXHLevel0X 4 2 9 2" xfId="23115"/>
    <cellStyle name="SAPBEXHLevel0X 4 2 9 2 2" xfId="23116"/>
    <cellStyle name="SAPBEXHLevel0X 4 2 9 3" xfId="23117"/>
    <cellStyle name="SAPBEXHLevel0X 4 2_planning-WP" xfId="23118"/>
    <cellStyle name="SAPBEXHLevel0X 4 3" xfId="23119"/>
    <cellStyle name="SAPBEXHLevel0X 4 3 10" xfId="23120"/>
    <cellStyle name="SAPBEXHLevel0X 4 3 10 2" xfId="23121"/>
    <cellStyle name="SAPBEXHLevel0X 4 3 2" xfId="23122"/>
    <cellStyle name="SAPBEXHLevel0X 4 3 2 2" xfId="23123"/>
    <cellStyle name="SAPBEXHLevel0X 4 3 2 2 2" xfId="23124"/>
    <cellStyle name="SAPBEXHLevel0X 4 3 2 3" xfId="23125"/>
    <cellStyle name="SAPBEXHLevel0X 4 3 3" xfId="23126"/>
    <cellStyle name="SAPBEXHLevel0X 4 3 3 2" xfId="23127"/>
    <cellStyle name="SAPBEXHLevel0X 4 3 3 2 2" xfId="23128"/>
    <cellStyle name="SAPBEXHLevel0X 4 3 3 3" xfId="23129"/>
    <cellStyle name="SAPBEXHLevel0X 4 3 4" xfId="23130"/>
    <cellStyle name="SAPBEXHLevel0X 4 3 4 2" xfId="23131"/>
    <cellStyle name="SAPBEXHLevel0X 4 3 4 2 2" xfId="23132"/>
    <cellStyle name="SAPBEXHLevel0X 4 3 4 3" xfId="23133"/>
    <cellStyle name="SAPBEXHLevel0X 4 3 5" xfId="23134"/>
    <cellStyle name="SAPBEXHLevel0X 4 3 5 2" xfId="23135"/>
    <cellStyle name="SAPBEXHLevel0X 4 3 5 2 2" xfId="23136"/>
    <cellStyle name="SAPBEXHLevel0X 4 3 5 3" xfId="23137"/>
    <cellStyle name="SAPBEXHLevel0X 4 3 6" xfId="23138"/>
    <cellStyle name="SAPBEXHLevel0X 4 3 6 2" xfId="23139"/>
    <cellStyle name="SAPBEXHLevel0X 4 3 6 2 2" xfId="23140"/>
    <cellStyle name="SAPBEXHLevel0X 4 3 6 3" xfId="23141"/>
    <cellStyle name="SAPBEXHLevel0X 4 3 7" xfId="23142"/>
    <cellStyle name="SAPBEXHLevel0X 4 3 7 2" xfId="23143"/>
    <cellStyle name="SAPBEXHLevel0X 4 3 7 2 2" xfId="23144"/>
    <cellStyle name="SAPBEXHLevel0X 4 3 7 3" xfId="23145"/>
    <cellStyle name="SAPBEXHLevel0X 4 3 8" xfId="23146"/>
    <cellStyle name="SAPBEXHLevel0X 4 3 8 2" xfId="23147"/>
    <cellStyle name="SAPBEXHLevel0X 4 3 8 2 2" xfId="23148"/>
    <cellStyle name="SAPBEXHLevel0X 4 3 8 3" xfId="23149"/>
    <cellStyle name="SAPBEXHLevel0X 4 3 9" xfId="23150"/>
    <cellStyle name="SAPBEXHLevel0X 4 3 9 2" xfId="23151"/>
    <cellStyle name="SAPBEXHLevel0X 4 3 9 2 2" xfId="23152"/>
    <cellStyle name="SAPBEXHLevel0X 4 3 9 3" xfId="23153"/>
    <cellStyle name="SAPBEXHLevel0X 4 3_planning-WP" xfId="23154"/>
    <cellStyle name="SAPBEXHLevel0X 4 4" xfId="23155"/>
    <cellStyle name="SAPBEXHLevel0X 4 4 2" xfId="23156"/>
    <cellStyle name="SAPBEXHLevel0X 4 4 2 2" xfId="23157"/>
    <cellStyle name="SAPBEXHLevel0X 4 4 2 2 2" xfId="23158"/>
    <cellStyle name="SAPBEXHLevel0X 4 4 2 3" xfId="23159"/>
    <cellStyle name="SAPBEXHLevel0X 4 4 3" xfId="23160"/>
    <cellStyle name="SAPBEXHLevel0X 4 4 3 2" xfId="23161"/>
    <cellStyle name="SAPBEXHLevel0X 4 4 3 2 2" xfId="23162"/>
    <cellStyle name="SAPBEXHLevel0X 4 4 3 3" xfId="23163"/>
    <cellStyle name="SAPBEXHLevel0X 4 4 4" xfId="23164"/>
    <cellStyle name="SAPBEXHLevel0X 4 4 4 2" xfId="23165"/>
    <cellStyle name="SAPBEXHLevel0X 4 4 4 2 2" xfId="23166"/>
    <cellStyle name="SAPBEXHLevel0X 4 4 4 3" xfId="23167"/>
    <cellStyle name="SAPBEXHLevel0X 4 4 5" xfId="23168"/>
    <cellStyle name="SAPBEXHLevel0X 4 4 5 2" xfId="23169"/>
    <cellStyle name="SAPBEXHLevel0X 4 4 5 2 2" xfId="23170"/>
    <cellStyle name="SAPBEXHLevel0X 4 4 5 3" xfId="23171"/>
    <cellStyle name="SAPBEXHLevel0X 4 4 6" xfId="23172"/>
    <cellStyle name="SAPBEXHLevel0X 4 4 6 2" xfId="23173"/>
    <cellStyle name="SAPBEXHLevel0X 4 4 6 2 2" xfId="23174"/>
    <cellStyle name="SAPBEXHLevel0X 4 4 6 3" xfId="23175"/>
    <cellStyle name="SAPBEXHLevel0X 4 4 7" xfId="23176"/>
    <cellStyle name="SAPBEXHLevel0X 4 4 7 2" xfId="23177"/>
    <cellStyle name="SAPBEXHLevel0X 4 4 7 2 2" xfId="23178"/>
    <cellStyle name="SAPBEXHLevel0X 4 4 7 3" xfId="23179"/>
    <cellStyle name="SAPBEXHLevel0X 4 4 8" xfId="23180"/>
    <cellStyle name="SAPBEXHLevel0X 4 4 8 2" xfId="23181"/>
    <cellStyle name="SAPBEXHLevel0X 4 4 8 2 2" xfId="23182"/>
    <cellStyle name="SAPBEXHLevel0X 4 4 8 3" xfId="23183"/>
    <cellStyle name="SAPBEXHLevel0X 4 4 9" xfId="23184"/>
    <cellStyle name="SAPBEXHLevel0X 4 4 9 2" xfId="23185"/>
    <cellStyle name="SAPBEXHLevel0X 4 4_planning-WP" xfId="23186"/>
    <cellStyle name="SAPBEXHLevel0X 4 5" xfId="23187"/>
    <cellStyle name="SAPBEXHLevel0X 4 5 2" xfId="23188"/>
    <cellStyle name="SAPBEXHLevel0X 4 5 2 2" xfId="23189"/>
    <cellStyle name="SAPBEXHLevel0X 4 6" xfId="23190"/>
    <cellStyle name="SAPBEXHLevel0X 4 6 2" xfId="23191"/>
    <cellStyle name="SAPBEXHLevel0X 4 6 2 2" xfId="23192"/>
    <cellStyle name="SAPBEXHLevel0X 4 6 3" xfId="23193"/>
    <cellStyle name="SAPBEXHLevel0X 4 7" xfId="23194"/>
    <cellStyle name="SAPBEXHLevel0X 4 7 2" xfId="23195"/>
    <cellStyle name="SAPBEXHLevel0X 4 7 2 2" xfId="23196"/>
    <cellStyle name="SAPBEXHLevel0X 4 7 3" xfId="23197"/>
    <cellStyle name="SAPBEXHLevel0X 4 8" xfId="23198"/>
    <cellStyle name="SAPBEXHLevel0X 4 8 2" xfId="23199"/>
    <cellStyle name="SAPBEXHLevel0X 4 8 2 2" xfId="23200"/>
    <cellStyle name="SAPBEXHLevel0X 4 8 3" xfId="23201"/>
    <cellStyle name="SAPBEXHLevel0X 4 9" xfId="23202"/>
    <cellStyle name="SAPBEXHLevel0X 4 9 2" xfId="23203"/>
    <cellStyle name="SAPBEXHLevel0X 4 9 2 2" xfId="23204"/>
    <cellStyle name="SAPBEXHLevel0X 4 9 3" xfId="23205"/>
    <cellStyle name="SAPBEXHLevel0X 4_planning-WP" xfId="23206"/>
    <cellStyle name="SAPBEXHLevel0X 5" xfId="23207"/>
    <cellStyle name="SAPBEXHLevel0X 5 10" xfId="23208"/>
    <cellStyle name="SAPBEXHLevel0X 5 10 2" xfId="23209"/>
    <cellStyle name="SAPBEXHLevel0X 5 10 2 2" xfId="23210"/>
    <cellStyle name="SAPBEXHLevel0X 5 10 3" xfId="23211"/>
    <cellStyle name="SAPBEXHLevel0X 5 11" xfId="23212"/>
    <cellStyle name="SAPBEXHLevel0X 5 11 2" xfId="23213"/>
    <cellStyle name="SAPBEXHLevel0X 5 11 2 2" xfId="23214"/>
    <cellStyle name="SAPBEXHLevel0X 5 11 3" xfId="23215"/>
    <cellStyle name="SAPBEXHLevel0X 5 12" xfId="23216"/>
    <cellStyle name="SAPBEXHLevel0X 5 12 2" xfId="23217"/>
    <cellStyle name="SAPBEXHLevel0X 5 12 2 2" xfId="23218"/>
    <cellStyle name="SAPBEXHLevel0X 5 12 3" xfId="23219"/>
    <cellStyle name="SAPBEXHLevel0X 5 13" xfId="23220"/>
    <cellStyle name="SAPBEXHLevel0X 5 14" xfId="39023"/>
    <cellStyle name="SAPBEXHLevel0X 5 15" xfId="39410"/>
    <cellStyle name="SAPBEXHLevel0X 5 2" xfId="23221"/>
    <cellStyle name="SAPBEXHLevel0X 5 2 10" xfId="23222"/>
    <cellStyle name="SAPBEXHLevel0X 5 2 10 2" xfId="23223"/>
    <cellStyle name="SAPBEXHLevel0X 5 2 10 2 2" xfId="23224"/>
    <cellStyle name="SAPBEXHLevel0X 5 2 10 3" xfId="23225"/>
    <cellStyle name="SAPBEXHLevel0X 5 2 11" xfId="23226"/>
    <cellStyle name="SAPBEXHLevel0X 5 2 11 2" xfId="23227"/>
    <cellStyle name="SAPBEXHLevel0X 5 2 2" xfId="23228"/>
    <cellStyle name="SAPBEXHLevel0X 5 2 2 10" xfId="23229"/>
    <cellStyle name="SAPBEXHLevel0X 5 2 2 10 2" xfId="23230"/>
    <cellStyle name="SAPBEXHLevel0X 5 2 2 2" xfId="23231"/>
    <cellStyle name="SAPBEXHLevel0X 5 2 2 2 2" xfId="23232"/>
    <cellStyle name="SAPBEXHLevel0X 5 2 2 2 2 2" xfId="23233"/>
    <cellStyle name="SAPBEXHLevel0X 5 2 2 2 3" xfId="23234"/>
    <cellStyle name="SAPBEXHLevel0X 5 2 2 3" xfId="23235"/>
    <cellStyle name="SAPBEXHLevel0X 5 2 2 3 2" xfId="23236"/>
    <cellStyle name="SAPBEXHLevel0X 5 2 2 3 2 2" xfId="23237"/>
    <cellStyle name="SAPBEXHLevel0X 5 2 2 3 3" xfId="23238"/>
    <cellStyle name="SAPBEXHLevel0X 5 2 2 4" xfId="23239"/>
    <cellStyle name="SAPBEXHLevel0X 5 2 2 4 2" xfId="23240"/>
    <cellStyle name="SAPBEXHLevel0X 5 2 2 4 2 2" xfId="23241"/>
    <cellStyle name="SAPBEXHLevel0X 5 2 2 4 3" xfId="23242"/>
    <cellStyle name="SAPBEXHLevel0X 5 2 2 5" xfId="23243"/>
    <cellStyle name="SAPBEXHLevel0X 5 2 2 5 2" xfId="23244"/>
    <cellStyle name="SAPBEXHLevel0X 5 2 2 5 2 2" xfId="23245"/>
    <cellStyle name="SAPBEXHLevel0X 5 2 2 5 3" xfId="23246"/>
    <cellStyle name="SAPBEXHLevel0X 5 2 2 6" xfId="23247"/>
    <cellStyle name="SAPBEXHLevel0X 5 2 2 6 2" xfId="23248"/>
    <cellStyle name="SAPBEXHLevel0X 5 2 2 6 2 2" xfId="23249"/>
    <cellStyle name="SAPBEXHLevel0X 5 2 2 6 3" xfId="23250"/>
    <cellStyle name="SAPBEXHLevel0X 5 2 2 7" xfId="23251"/>
    <cellStyle name="SAPBEXHLevel0X 5 2 2 7 2" xfId="23252"/>
    <cellStyle name="SAPBEXHLevel0X 5 2 2 7 2 2" xfId="23253"/>
    <cellStyle name="SAPBEXHLevel0X 5 2 2 7 3" xfId="23254"/>
    <cellStyle name="SAPBEXHLevel0X 5 2 2 8" xfId="23255"/>
    <cellStyle name="SAPBEXHLevel0X 5 2 2 8 2" xfId="23256"/>
    <cellStyle name="SAPBEXHLevel0X 5 2 2 8 2 2" xfId="23257"/>
    <cellStyle name="SAPBEXHLevel0X 5 2 2 8 3" xfId="23258"/>
    <cellStyle name="SAPBEXHLevel0X 5 2 2 9" xfId="23259"/>
    <cellStyle name="SAPBEXHLevel0X 5 2 2 9 2" xfId="23260"/>
    <cellStyle name="SAPBEXHLevel0X 5 2 2 9 2 2" xfId="23261"/>
    <cellStyle name="SAPBEXHLevel0X 5 2 2 9 3" xfId="23262"/>
    <cellStyle name="SAPBEXHLevel0X 5 2 2_planning-WP" xfId="23263"/>
    <cellStyle name="SAPBEXHLevel0X 5 2 3" xfId="23264"/>
    <cellStyle name="SAPBEXHLevel0X 5 2 3 2" xfId="23265"/>
    <cellStyle name="SAPBEXHLevel0X 5 2 3 2 2" xfId="23266"/>
    <cellStyle name="SAPBEXHLevel0X 5 2 3 3" xfId="23267"/>
    <cellStyle name="SAPBEXHLevel0X 5 2 4" xfId="23268"/>
    <cellStyle name="SAPBEXHLevel0X 5 2 4 2" xfId="23269"/>
    <cellStyle name="SAPBEXHLevel0X 5 2 4 2 2" xfId="23270"/>
    <cellStyle name="SAPBEXHLevel0X 5 2 4 3" xfId="23271"/>
    <cellStyle name="SAPBEXHLevel0X 5 2 5" xfId="23272"/>
    <cellStyle name="SAPBEXHLevel0X 5 2 5 2" xfId="23273"/>
    <cellStyle name="SAPBEXHLevel0X 5 2 5 2 2" xfId="23274"/>
    <cellStyle name="SAPBEXHLevel0X 5 2 5 3" xfId="23275"/>
    <cellStyle name="SAPBEXHLevel0X 5 2 6" xfId="23276"/>
    <cellStyle name="SAPBEXHLevel0X 5 2 6 2" xfId="23277"/>
    <cellStyle name="SAPBEXHLevel0X 5 2 6 2 2" xfId="23278"/>
    <cellStyle name="SAPBEXHLevel0X 5 2 6 3" xfId="23279"/>
    <cellStyle name="SAPBEXHLevel0X 5 2 7" xfId="23280"/>
    <cellStyle name="SAPBEXHLevel0X 5 2 7 2" xfId="23281"/>
    <cellStyle name="SAPBEXHLevel0X 5 2 7 2 2" xfId="23282"/>
    <cellStyle name="SAPBEXHLevel0X 5 2 7 3" xfId="23283"/>
    <cellStyle name="SAPBEXHLevel0X 5 2 8" xfId="23284"/>
    <cellStyle name="SAPBEXHLevel0X 5 2 8 2" xfId="23285"/>
    <cellStyle name="SAPBEXHLevel0X 5 2 8 2 2" xfId="23286"/>
    <cellStyle name="SAPBEXHLevel0X 5 2 8 3" xfId="23287"/>
    <cellStyle name="SAPBEXHLevel0X 5 2 9" xfId="23288"/>
    <cellStyle name="SAPBEXHLevel0X 5 2 9 2" xfId="23289"/>
    <cellStyle name="SAPBEXHLevel0X 5 2 9 2 2" xfId="23290"/>
    <cellStyle name="SAPBEXHLevel0X 5 2 9 3" xfId="23291"/>
    <cellStyle name="SAPBEXHLevel0X 5 2_planning-WP" xfId="23292"/>
    <cellStyle name="SAPBEXHLevel0X 5 3" xfId="23293"/>
    <cellStyle name="SAPBEXHLevel0X 5 3 10" xfId="23294"/>
    <cellStyle name="SAPBEXHLevel0X 5 3 10 2" xfId="23295"/>
    <cellStyle name="SAPBEXHLevel0X 5 3 2" xfId="23296"/>
    <cellStyle name="SAPBEXHLevel0X 5 3 2 2" xfId="23297"/>
    <cellStyle name="SAPBEXHLevel0X 5 3 2 2 2" xfId="23298"/>
    <cellStyle name="SAPBEXHLevel0X 5 3 2 3" xfId="23299"/>
    <cellStyle name="SAPBEXHLevel0X 5 3 3" xfId="23300"/>
    <cellStyle name="SAPBEXHLevel0X 5 3 3 2" xfId="23301"/>
    <cellStyle name="SAPBEXHLevel0X 5 3 3 2 2" xfId="23302"/>
    <cellStyle name="SAPBEXHLevel0X 5 3 3 3" xfId="23303"/>
    <cellStyle name="SAPBEXHLevel0X 5 3 4" xfId="23304"/>
    <cellStyle name="SAPBEXHLevel0X 5 3 4 2" xfId="23305"/>
    <cellStyle name="SAPBEXHLevel0X 5 3 4 2 2" xfId="23306"/>
    <cellStyle name="SAPBEXHLevel0X 5 3 4 3" xfId="23307"/>
    <cellStyle name="SAPBEXHLevel0X 5 3 5" xfId="23308"/>
    <cellStyle name="SAPBEXHLevel0X 5 3 5 2" xfId="23309"/>
    <cellStyle name="SAPBEXHLevel0X 5 3 5 2 2" xfId="23310"/>
    <cellStyle name="SAPBEXHLevel0X 5 3 5 3" xfId="23311"/>
    <cellStyle name="SAPBEXHLevel0X 5 3 6" xfId="23312"/>
    <cellStyle name="SAPBEXHLevel0X 5 3 6 2" xfId="23313"/>
    <cellStyle name="SAPBEXHLevel0X 5 3 6 2 2" xfId="23314"/>
    <cellStyle name="SAPBEXHLevel0X 5 3 6 3" xfId="23315"/>
    <cellStyle name="SAPBEXHLevel0X 5 3 7" xfId="23316"/>
    <cellStyle name="SAPBEXHLevel0X 5 3 7 2" xfId="23317"/>
    <cellStyle name="SAPBEXHLevel0X 5 3 7 2 2" xfId="23318"/>
    <cellStyle name="SAPBEXHLevel0X 5 3 7 3" xfId="23319"/>
    <cellStyle name="SAPBEXHLevel0X 5 3 8" xfId="23320"/>
    <cellStyle name="SAPBEXHLevel0X 5 3 8 2" xfId="23321"/>
    <cellStyle name="SAPBEXHLevel0X 5 3 8 2 2" xfId="23322"/>
    <cellStyle name="SAPBEXHLevel0X 5 3 8 3" xfId="23323"/>
    <cellStyle name="SAPBEXHLevel0X 5 3 9" xfId="23324"/>
    <cellStyle name="SAPBEXHLevel0X 5 3 9 2" xfId="23325"/>
    <cellStyle name="SAPBEXHLevel0X 5 3 9 2 2" xfId="23326"/>
    <cellStyle name="SAPBEXHLevel0X 5 3 9 3" xfId="23327"/>
    <cellStyle name="SAPBEXHLevel0X 5 3_planning-WP" xfId="23328"/>
    <cellStyle name="SAPBEXHLevel0X 5 4" xfId="23329"/>
    <cellStyle name="SAPBEXHLevel0X 5 4 2" xfId="23330"/>
    <cellStyle name="SAPBEXHLevel0X 5 4 2 2" xfId="23331"/>
    <cellStyle name="SAPBEXHLevel0X 5 4 2 2 2" xfId="23332"/>
    <cellStyle name="SAPBEXHLevel0X 5 4 2 3" xfId="23333"/>
    <cellStyle name="SAPBEXHLevel0X 5 4 3" xfId="23334"/>
    <cellStyle name="SAPBEXHLevel0X 5 4 3 2" xfId="23335"/>
    <cellStyle name="SAPBEXHLevel0X 5 4 3 2 2" xfId="23336"/>
    <cellStyle name="SAPBEXHLevel0X 5 4 3 3" xfId="23337"/>
    <cellStyle name="SAPBEXHLevel0X 5 4 4" xfId="23338"/>
    <cellStyle name="SAPBEXHLevel0X 5 4 4 2" xfId="23339"/>
    <cellStyle name="SAPBEXHLevel0X 5 4 4 2 2" xfId="23340"/>
    <cellStyle name="SAPBEXHLevel0X 5 4 4 3" xfId="23341"/>
    <cellStyle name="SAPBEXHLevel0X 5 4 5" xfId="23342"/>
    <cellStyle name="SAPBEXHLevel0X 5 4 5 2" xfId="23343"/>
    <cellStyle name="SAPBEXHLevel0X 5 4 5 2 2" xfId="23344"/>
    <cellStyle name="SAPBEXHLevel0X 5 4 5 3" xfId="23345"/>
    <cellStyle name="SAPBEXHLevel0X 5 4 6" xfId="23346"/>
    <cellStyle name="SAPBEXHLevel0X 5 4 6 2" xfId="23347"/>
    <cellStyle name="SAPBEXHLevel0X 5 4 6 2 2" xfId="23348"/>
    <cellStyle name="SAPBEXHLevel0X 5 4 6 3" xfId="23349"/>
    <cellStyle name="SAPBEXHLevel0X 5 4 7" xfId="23350"/>
    <cellStyle name="SAPBEXHLevel0X 5 4 7 2" xfId="23351"/>
    <cellStyle name="SAPBEXHLevel0X 5 4 7 2 2" xfId="23352"/>
    <cellStyle name="SAPBEXHLevel0X 5 4 7 3" xfId="23353"/>
    <cellStyle name="SAPBEXHLevel0X 5 4 8" xfId="23354"/>
    <cellStyle name="SAPBEXHLevel0X 5 4 8 2" xfId="23355"/>
    <cellStyle name="SAPBEXHLevel0X 5 4 8 2 2" xfId="23356"/>
    <cellStyle name="SAPBEXHLevel0X 5 4 8 3" xfId="23357"/>
    <cellStyle name="SAPBEXHLevel0X 5 4 9" xfId="23358"/>
    <cellStyle name="SAPBEXHLevel0X 5 4 9 2" xfId="23359"/>
    <cellStyle name="SAPBEXHLevel0X 5 4_planning-WP" xfId="23360"/>
    <cellStyle name="SAPBEXHLevel0X 5 5" xfId="23361"/>
    <cellStyle name="SAPBEXHLevel0X 5 5 2" xfId="23362"/>
    <cellStyle name="SAPBEXHLevel0X 5 5 2 2" xfId="23363"/>
    <cellStyle name="SAPBEXHLevel0X 5 6" xfId="23364"/>
    <cellStyle name="SAPBEXHLevel0X 5 6 2" xfId="23365"/>
    <cellStyle name="SAPBEXHLevel0X 5 6 2 2" xfId="23366"/>
    <cellStyle name="SAPBEXHLevel0X 5 6 3" xfId="23367"/>
    <cellStyle name="SAPBEXHLevel0X 5 7" xfId="23368"/>
    <cellStyle name="SAPBEXHLevel0X 5 7 2" xfId="23369"/>
    <cellStyle name="SAPBEXHLevel0X 5 7 2 2" xfId="23370"/>
    <cellStyle name="SAPBEXHLevel0X 5 7 3" xfId="23371"/>
    <cellStyle name="SAPBEXHLevel0X 5 8" xfId="23372"/>
    <cellStyle name="SAPBEXHLevel0X 5 8 2" xfId="23373"/>
    <cellStyle name="SAPBEXHLevel0X 5 8 2 2" xfId="23374"/>
    <cellStyle name="SAPBEXHLevel0X 5 8 3" xfId="23375"/>
    <cellStyle name="SAPBEXHLevel0X 5 9" xfId="23376"/>
    <cellStyle name="SAPBEXHLevel0X 5 9 2" xfId="23377"/>
    <cellStyle name="SAPBEXHLevel0X 5 9 2 2" xfId="23378"/>
    <cellStyle name="SAPBEXHLevel0X 5 9 3" xfId="23379"/>
    <cellStyle name="SAPBEXHLevel0X 5_planning-WP" xfId="23380"/>
    <cellStyle name="SAPBEXHLevel0X 6" xfId="23381"/>
    <cellStyle name="SAPBEXHLevel0X 6 10" xfId="23382"/>
    <cellStyle name="SAPBEXHLevel0X 6 10 2" xfId="23383"/>
    <cellStyle name="SAPBEXHLevel0X 6 10 2 2" xfId="23384"/>
    <cellStyle name="SAPBEXHLevel0X 6 10 3" xfId="23385"/>
    <cellStyle name="SAPBEXHLevel0X 6 11" xfId="23386"/>
    <cellStyle name="SAPBEXHLevel0X 6 11 2" xfId="23387"/>
    <cellStyle name="SAPBEXHLevel0X 6 11 2 2" xfId="23388"/>
    <cellStyle name="SAPBEXHLevel0X 6 11 3" xfId="23389"/>
    <cellStyle name="SAPBEXHLevel0X 6 12" xfId="23390"/>
    <cellStyle name="SAPBEXHLevel0X 6 13" xfId="39024"/>
    <cellStyle name="SAPBEXHLevel0X 6 14" xfId="39411"/>
    <cellStyle name="SAPBEXHLevel0X 6 2" xfId="23391"/>
    <cellStyle name="SAPBEXHLevel0X 6 2 10" xfId="23392"/>
    <cellStyle name="SAPBEXHLevel0X 6 2 10 2" xfId="23393"/>
    <cellStyle name="SAPBEXHLevel0X 6 2 2" xfId="23394"/>
    <cellStyle name="SAPBEXHLevel0X 6 2 2 2" xfId="23395"/>
    <cellStyle name="SAPBEXHLevel0X 6 2 2 2 2" xfId="23396"/>
    <cellStyle name="SAPBEXHLevel0X 6 2 2 3" xfId="23397"/>
    <cellStyle name="SAPBEXHLevel0X 6 2 3" xfId="23398"/>
    <cellStyle name="SAPBEXHLevel0X 6 2 3 2" xfId="23399"/>
    <cellStyle name="SAPBEXHLevel0X 6 2 3 2 2" xfId="23400"/>
    <cellStyle name="SAPBEXHLevel0X 6 2 3 3" xfId="23401"/>
    <cellStyle name="SAPBEXHLevel0X 6 2 4" xfId="23402"/>
    <cellStyle name="SAPBEXHLevel0X 6 2 4 2" xfId="23403"/>
    <cellStyle name="SAPBEXHLevel0X 6 2 4 2 2" xfId="23404"/>
    <cellStyle name="SAPBEXHLevel0X 6 2 4 3" xfId="23405"/>
    <cellStyle name="SAPBEXHLevel0X 6 2 5" xfId="23406"/>
    <cellStyle name="SAPBEXHLevel0X 6 2 5 2" xfId="23407"/>
    <cellStyle name="SAPBEXHLevel0X 6 2 5 2 2" xfId="23408"/>
    <cellStyle name="SAPBEXHLevel0X 6 2 5 3" xfId="23409"/>
    <cellStyle name="SAPBEXHLevel0X 6 2 6" xfId="23410"/>
    <cellStyle name="SAPBEXHLevel0X 6 2 6 2" xfId="23411"/>
    <cellStyle name="SAPBEXHLevel0X 6 2 6 2 2" xfId="23412"/>
    <cellStyle name="SAPBEXHLevel0X 6 2 6 3" xfId="23413"/>
    <cellStyle name="SAPBEXHLevel0X 6 2 7" xfId="23414"/>
    <cellStyle name="SAPBEXHLevel0X 6 2 7 2" xfId="23415"/>
    <cellStyle name="SAPBEXHLevel0X 6 2 7 2 2" xfId="23416"/>
    <cellStyle name="SAPBEXHLevel0X 6 2 7 3" xfId="23417"/>
    <cellStyle name="SAPBEXHLevel0X 6 2 8" xfId="23418"/>
    <cellStyle name="SAPBEXHLevel0X 6 2 8 2" xfId="23419"/>
    <cellStyle name="SAPBEXHLevel0X 6 2 8 2 2" xfId="23420"/>
    <cellStyle name="SAPBEXHLevel0X 6 2 8 3" xfId="23421"/>
    <cellStyle name="SAPBEXHLevel0X 6 2 9" xfId="23422"/>
    <cellStyle name="SAPBEXHLevel0X 6 2 9 2" xfId="23423"/>
    <cellStyle name="SAPBEXHLevel0X 6 2 9 2 2" xfId="23424"/>
    <cellStyle name="SAPBEXHLevel0X 6 2 9 3" xfId="23425"/>
    <cellStyle name="SAPBEXHLevel0X 6 2_planning-WP" xfId="23426"/>
    <cellStyle name="SAPBEXHLevel0X 6 3" xfId="23427"/>
    <cellStyle name="SAPBEXHLevel0X 6 3 2" xfId="23428"/>
    <cellStyle name="SAPBEXHLevel0X 6 3 2 2" xfId="23429"/>
    <cellStyle name="SAPBEXHLevel0X 6 3 2 2 2" xfId="23430"/>
    <cellStyle name="SAPBEXHLevel0X 6 3 2 3" xfId="23431"/>
    <cellStyle name="SAPBEXHLevel0X 6 3 3" xfId="23432"/>
    <cellStyle name="SAPBEXHLevel0X 6 3 3 2" xfId="23433"/>
    <cellStyle name="SAPBEXHLevel0X 6 3 3 2 2" xfId="23434"/>
    <cellStyle name="SAPBEXHLevel0X 6 3 3 3" xfId="23435"/>
    <cellStyle name="SAPBEXHLevel0X 6 3 4" xfId="23436"/>
    <cellStyle name="SAPBEXHLevel0X 6 3 4 2" xfId="23437"/>
    <cellStyle name="SAPBEXHLevel0X 6 3 4 2 2" xfId="23438"/>
    <cellStyle name="SAPBEXHLevel0X 6 3 4 3" xfId="23439"/>
    <cellStyle name="SAPBEXHLevel0X 6 3 5" xfId="23440"/>
    <cellStyle name="SAPBEXHLevel0X 6 3 5 2" xfId="23441"/>
    <cellStyle name="SAPBEXHLevel0X 6 3 5 2 2" xfId="23442"/>
    <cellStyle name="SAPBEXHLevel0X 6 3 5 3" xfId="23443"/>
    <cellStyle name="SAPBEXHLevel0X 6 3 6" xfId="23444"/>
    <cellStyle name="SAPBEXHLevel0X 6 3 6 2" xfId="23445"/>
    <cellStyle name="SAPBEXHLevel0X 6 3 6 2 2" xfId="23446"/>
    <cellStyle name="SAPBEXHLevel0X 6 3 6 3" xfId="23447"/>
    <cellStyle name="SAPBEXHLevel0X 6 3 7" xfId="23448"/>
    <cellStyle name="SAPBEXHLevel0X 6 3 7 2" xfId="23449"/>
    <cellStyle name="SAPBEXHLevel0X 6 3 7 2 2" xfId="23450"/>
    <cellStyle name="SAPBEXHLevel0X 6 3 7 3" xfId="23451"/>
    <cellStyle name="SAPBEXHLevel0X 6 3 8" xfId="23452"/>
    <cellStyle name="SAPBEXHLevel0X 6 3 8 2" xfId="23453"/>
    <cellStyle name="SAPBEXHLevel0X 6 3 8 2 2" xfId="23454"/>
    <cellStyle name="SAPBEXHLevel0X 6 3 8 3" xfId="23455"/>
    <cellStyle name="SAPBEXHLevel0X 6 3 9" xfId="23456"/>
    <cellStyle name="SAPBEXHLevel0X 6 3 9 2" xfId="23457"/>
    <cellStyle name="SAPBEXHLevel0X 6 3_planning-WP" xfId="23458"/>
    <cellStyle name="SAPBEXHLevel0X 6 4" xfId="23459"/>
    <cellStyle name="SAPBEXHLevel0X 6 4 2" xfId="23460"/>
    <cellStyle name="SAPBEXHLevel0X 6 4 2 2" xfId="23461"/>
    <cellStyle name="SAPBEXHLevel0X 6 5" xfId="23462"/>
    <cellStyle name="SAPBEXHLevel0X 6 5 2" xfId="23463"/>
    <cellStyle name="SAPBEXHLevel0X 6 5 2 2" xfId="23464"/>
    <cellStyle name="SAPBEXHLevel0X 6 5 3" xfId="23465"/>
    <cellStyle name="SAPBEXHLevel0X 6 6" xfId="23466"/>
    <cellStyle name="SAPBEXHLevel0X 6 6 2" xfId="23467"/>
    <cellStyle name="SAPBEXHLevel0X 6 6 2 2" xfId="23468"/>
    <cellStyle name="SAPBEXHLevel0X 6 6 3" xfId="23469"/>
    <cellStyle name="SAPBEXHLevel0X 6 7" xfId="23470"/>
    <cellStyle name="SAPBEXHLevel0X 6 7 2" xfId="23471"/>
    <cellStyle name="SAPBEXHLevel0X 6 7 2 2" xfId="23472"/>
    <cellStyle name="SAPBEXHLevel0X 6 7 3" xfId="23473"/>
    <cellStyle name="SAPBEXHLevel0X 6 8" xfId="23474"/>
    <cellStyle name="SAPBEXHLevel0X 6 8 2" xfId="23475"/>
    <cellStyle name="SAPBEXHLevel0X 6 8 2 2" xfId="23476"/>
    <cellStyle name="SAPBEXHLevel0X 6 8 3" xfId="23477"/>
    <cellStyle name="SAPBEXHLevel0X 6 9" xfId="23478"/>
    <cellStyle name="SAPBEXHLevel0X 6 9 2" xfId="23479"/>
    <cellStyle name="SAPBEXHLevel0X 6 9 2 2" xfId="23480"/>
    <cellStyle name="SAPBEXHLevel0X 6 9 3" xfId="23481"/>
    <cellStyle name="SAPBEXHLevel0X 6_planning-WP" xfId="23482"/>
    <cellStyle name="SAPBEXHLevel0X 7" xfId="23483"/>
    <cellStyle name="SAPBEXHLevel0X 7 10" xfId="23484"/>
    <cellStyle name="SAPBEXHLevel0X 7 10 2" xfId="23485"/>
    <cellStyle name="SAPBEXHLevel0X 7 10 2 2" xfId="23486"/>
    <cellStyle name="SAPBEXHLevel0X 7 10 3" xfId="23487"/>
    <cellStyle name="SAPBEXHLevel0X 7 11" xfId="23488"/>
    <cellStyle name="SAPBEXHLevel0X 7 11 2" xfId="23489"/>
    <cellStyle name="SAPBEXHLevel0X 7 12" xfId="39025"/>
    <cellStyle name="SAPBEXHLevel0X 7 13" xfId="39412"/>
    <cellStyle name="SAPBEXHLevel0X 7 2" xfId="23490"/>
    <cellStyle name="SAPBEXHLevel0X 7 2 10" xfId="23491"/>
    <cellStyle name="SAPBEXHLevel0X 7 2 10 2" xfId="23492"/>
    <cellStyle name="SAPBEXHLevel0X 7 2 2" xfId="23493"/>
    <cellStyle name="SAPBEXHLevel0X 7 2 2 2" xfId="23494"/>
    <cellStyle name="SAPBEXHLevel0X 7 2 2 2 2" xfId="23495"/>
    <cellStyle name="SAPBEXHLevel0X 7 2 2 3" xfId="23496"/>
    <cellStyle name="SAPBEXHLevel0X 7 2 3" xfId="23497"/>
    <cellStyle name="SAPBEXHLevel0X 7 2 3 2" xfId="23498"/>
    <cellStyle name="SAPBEXHLevel0X 7 2 3 2 2" xfId="23499"/>
    <cellStyle name="SAPBEXHLevel0X 7 2 3 3" xfId="23500"/>
    <cellStyle name="SAPBEXHLevel0X 7 2 4" xfId="23501"/>
    <cellStyle name="SAPBEXHLevel0X 7 2 4 2" xfId="23502"/>
    <cellStyle name="SAPBEXHLevel0X 7 2 4 2 2" xfId="23503"/>
    <cellStyle name="SAPBEXHLevel0X 7 2 4 3" xfId="23504"/>
    <cellStyle name="SAPBEXHLevel0X 7 2 5" xfId="23505"/>
    <cellStyle name="SAPBEXHLevel0X 7 2 5 2" xfId="23506"/>
    <cellStyle name="SAPBEXHLevel0X 7 2 5 2 2" xfId="23507"/>
    <cellStyle name="SAPBEXHLevel0X 7 2 5 3" xfId="23508"/>
    <cellStyle name="SAPBEXHLevel0X 7 2 6" xfId="23509"/>
    <cellStyle name="SAPBEXHLevel0X 7 2 6 2" xfId="23510"/>
    <cellStyle name="SAPBEXHLevel0X 7 2 6 2 2" xfId="23511"/>
    <cellStyle name="SAPBEXHLevel0X 7 2 6 3" xfId="23512"/>
    <cellStyle name="SAPBEXHLevel0X 7 2 7" xfId="23513"/>
    <cellStyle name="SAPBEXHLevel0X 7 2 7 2" xfId="23514"/>
    <cellStyle name="SAPBEXHLevel0X 7 2 7 2 2" xfId="23515"/>
    <cellStyle name="SAPBEXHLevel0X 7 2 7 3" xfId="23516"/>
    <cellStyle name="SAPBEXHLevel0X 7 2 8" xfId="23517"/>
    <cellStyle name="SAPBEXHLevel0X 7 2 8 2" xfId="23518"/>
    <cellStyle name="SAPBEXHLevel0X 7 2 8 2 2" xfId="23519"/>
    <cellStyle name="SAPBEXHLevel0X 7 2 8 3" xfId="23520"/>
    <cellStyle name="SAPBEXHLevel0X 7 2 9" xfId="23521"/>
    <cellStyle name="SAPBEXHLevel0X 7 2 9 2" xfId="23522"/>
    <cellStyle name="SAPBEXHLevel0X 7 2 9 2 2" xfId="23523"/>
    <cellStyle name="SAPBEXHLevel0X 7 2 9 3" xfId="23524"/>
    <cellStyle name="SAPBEXHLevel0X 7 2_planning-WP" xfId="23525"/>
    <cellStyle name="SAPBEXHLevel0X 7 3" xfId="23526"/>
    <cellStyle name="SAPBEXHLevel0X 7 3 2" xfId="23527"/>
    <cellStyle name="SAPBEXHLevel0X 7 3 2 2" xfId="23528"/>
    <cellStyle name="SAPBEXHLevel0X 7 3 3" xfId="23529"/>
    <cellStyle name="SAPBEXHLevel0X 7 4" xfId="23530"/>
    <cellStyle name="SAPBEXHLevel0X 7 4 2" xfId="23531"/>
    <cellStyle name="SAPBEXHLevel0X 7 4 2 2" xfId="23532"/>
    <cellStyle name="SAPBEXHLevel0X 7 4 3" xfId="23533"/>
    <cellStyle name="SAPBEXHLevel0X 7 5" xfId="23534"/>
    <cellStyle name="SAPBEXHLevel0X 7 5 2" xfId="23535"/>
    <cellStyle name="SAPBEXHLevel0X 7 5 2 2" xfId="23536"/>
    <cellStyle name="SAPBEXHLevel0X 7 5 3" xfId="23537"/>
    <cellStyle name="SAPBEXHLevel0X 7 6" xfId="23538"/>
    <cellStyle name="SAPBEXHLevel0X 7 6 2" xfId="23539"/>
    <cellStyle name="SAPBEXHLevel0X 7 6 2 2" xfId="23540"/>
    <cellStyle name="SAPBEXHLevel0X 7 6 3" xfId="23541"/>
    <cellStyle name="SAPBEXHLevel0X 7 7" xfId="23542"/>
    <cellStyle name="SAPBEXHLevel0X 7 7 2" xfId="23543"/>
    <cellStyle name="SAPBEXHLevel0X 7 7 2 2" xfId="23544"/>
    <cellStyle name="SAPBEXHLevel0X 7 7 3" xfId="23545"/>
    <cellStyle name="SAPBEXHLevel0X 7 8" xfId="23546"/>
    <cellStyle name="SAPBEXHLevel0X 7 8 2" xfId="23547"/>
    <cellStyle name="SAPBEXHLevel0X 7 8 2 2" xfId="23548"/>
    <cellStyle name="SAPBEXHLevel0X 7 8 3" xfId="23549"/>
    <cellStyle name="SAPBEXHLevel0X 7 9" xfId="23550"/>
    <cellStyle name="SAPBEXHLevel0X 7 9 2" xfId="23551"/>
    <cellStyle name="SAPBEXHLevel0X 7 9 2 2" xfId="23552"/>
    <cellStyle name="SAPBEXHLevel0X 7 9 3" xfId="23553"/>
    <cellStyle name="SAPBEXHLevel0X 7_planning-WP" xfId="23554"/>
    <cellStyle name="SAPBEXHLevel0X 8" xfId="23555"/>
    <cellStyle name="SAPBEXHLevel0X 8 10" xfId="23556"/>
    <cellStyle name="SAPBEXHLevel0X 8 10 2" xfId="23557"/>
    <cellStyle name="SAPBEXHLevel0X 8 11" xfId="39026"/>
    <cellStyle name="SAPBEXHLevel0X 8 12" xfId="39413"/>
    <cellStyle name="SAPBEXHLevel0X 8 2" xfId="23558"/>
    <cellStyle name="SAPBEXHLevel0X 8 2 2" xfId="23559"/>
    <cellStyle name="SAPBEXHLevel0X 8 2 2 2" xfId="23560"/>
    <cellStyle name="SAPBEXHLevel0X 8 2 3" xfId="23561"/>
    <cellStyle name="SAPBEXHLevel0X 8 3" xfId="23562"/>
    <cellStyle name="SAPBEXHLevel0X 8 3 2" xfId="23563"/>
    <cellStyle name="SAPBEXHLevel0X 8 3 2 2" xfId="23564"/>
    <cellStyle name="SAPBEXHLevel0X 8 3 3" xfId="23565"/>
    <cellStyle name="SAPBEXHLevel0X 8 4" xfId="23566"/>
    <cellStyle name="SAPBEXHLevel0X 8 4 2" xfId="23567"/>
    <cellStyle name="SAPBEXHLevel0X 8 4 2 2" xfId="23568"/>
    <cellStyle name="SAPBEXHLevel0X 8 4 3" xfId="23569"/>
    <cellStyle name="SAPBEXHLevel0X 8 5" xfId="23570"/>
    <cellStyle name="SAPBEXHLevel0X 8 5 2" xfId="23571"/>
    <cellStyle name="SAPBEXHLevel0X 8 5 2 2" xfId="23572"/>
    <cellStyle name="SAPBEXHLevel0X 8 5 3" xfId="23573"/>
    <cellStyle name="SAPBEXHLevel0X 8 6" xfId="23574"/>
    <cellStyle name="SAPBEXHLevel0X 8 6 2" xfId="23575"/>
    <cellStyle name="SAPBEXHLevel0X 8 6 2 2" xfId="23576"/>
    <cellStyle name="SAPBEXHLevel0X 8 6 3" xfId="23577"/>
    <cellStyle name="SAPBEXHLevel0X 8 7" xfId="23578"/>
    <cellStyle name="SAPBEXHLevel0X 8 7 2" xfId="23579"/>
    <cellStyle name="SAPBEXHLevel0X 8 7 2 2" xfId="23580"/>
    <cellStyle name="SAPBEXHLevel0X 8 7 3" xfId="23581"/>
    <cellStyle name="SAPBEXHLevel0X 8 8" xfId="23582"/>
    <cellStyle name="SAPBEXHLevel0X 8 8 2" xfId="23583"/>
    <cellStyle name="SAPBEXHLevel0X 8 8 2 2" xfId="23584"/>
    <cellStyle name="SAPBEXHLevel0X 8 8 3" xfId="23585"/>
    <cellStyle name="SAPBEXHLevel0X 8 9" xfId="23586"/>
    <cellStyle name="SAPBEXHLevel0X 8 9 2" xfId="23587"/>
    <cellStyle name="SAPBEXHLevel0X 8 9 2 2" xfId="23588"/>
    <cellStyle name="SAPBEXHLevel0X 8 9 3" xfId="23589"/>
    <cellStyle name="SAPBEXHLevel0X 8_planning-WP" xfId="23590"/>
    <cellStyle name="SAPBEXHLevel0X 9" xfId="23591"/>
    <cellStyle name="SAPBEXHLevel0X 9 2" xfId="23592"/>
    <cellStyle name="SAPBEXHLevel0X 9 2 2" xfId="23593"/>
    <cellStyle name="SAPBEXHLevel0X 9 2 2 2" xfId="23594"/>
    <cellStyle name="SAPBEXHLevel0X 9 2 3" xfId="23595"/>
    <cellStyle name="SAPBEXHLevel0X 9 3" xfId="23596"/>
    <cellStyle name="SAPBEXHLevel0X 9 3 2" xfId="23597"/>
    <cellStyle name="SAPBEXHLevel0X 9 3 2 2" xfId="23598"/>
    <cellStyle name="SAPBEXHLevel0X 9 3 3" xfId="23599"/>
    <cellStyle name="SAPBEXHLevel0X 9 4" xfId="23600"/>
    <cellStyle name="SAPBEXHLevel0X 9 4 2" xfId="23601"/>
    <cellStyle name="SAPBEXHLevel0X 9 4 2 2" xfId="23602"/>
    <cellStyle name="SAPBEXHLevel0X 9 4 3" xfId="23603"/>
    <cellStyle name="SAPBEXHLevel0X 9 5" xfId="23604"/>
    <cellStyle name="SAPBEXHLevel0X 9 5 2" xfId="23605"/>
    <cellStyle name="SAPBEXHLevel0X 9 5 2 2" xfId="23606"/>
    <cellStyle name="SAPBEXHLevel0X 9 5 3" xfId="23607"/>
    <cellStyle name="SAPBEXHLevel0X 9 6" xfId="23608"/>
    <cellStyle name="SAPBEXHLevel0X 9 6 2" xfId="23609"/>
    <cellStyle name="SAPBEXHLevel0X 9 6 2 2" xfId="23610"/>
    <cellStyle name="SAPBEXHLevel0X 9 6 3" xfId="23611"/>
    <cellStyle name="SAPBEXHLevel0X 9 7" xfId="23612"/>
    <cellStyle name="SAPBEXHLevel0X 9 7 2" xfId="23613"/>
    <cellStyle name="SAPBEXHLevel0X 9 7 2 2" xfId="23614"/>
    <cellStyle name="SAPBEXHLevel0X 9 7 3" xfId="23615"/>
    <cellStyle name="SAPBEXHLevel0X 9 8" xfId="23616"/>
    <cellStyle name="SAPBEXHLevel0X 9 8 2" xfId="23617"/>
    <cellStyle name="SAPBEXHLevel0X 9 8 2 2" xfId="23618"/>
    <cellStyle name="SAPBEXHLevel0X 9 8 3" xfId="23619"/>
    <cellStyle name="SAPBEXHLevel0X 9 9" xfId="23620"/>
    <cellStyle name="SAPBEXHLevel0X 9 9 2" xfId="23621"/>
    <cellStyle name="SAPBEXHLevel0X 9_planning-WP" xfId="23622"/>
    <cellStyle name="SAPBEXHLevel0X_planning-WP" xfId="23623"/>
    <cellStyle name="SAPBEXHLevel1" xfId="23624"/>
    <cellStyle name="SAPBEXHLevel1 10" xfId="23625"/>
    <cellStyle name="SAPBEXHLevel1 10 2" xfId="23626"/>
    <cellStyle name="SAPBEXHLevel1 10 2 2" xfId="23627"/>
    <cellStyle name="SAPBEXHLevel1 11" xfId="23628"/>
    <cellStyle name="SAPBEXHLevel1 11 2" xfId="23629"/>
    <cellStyle name="SAPBEXHLevel1 11 2 2" xfId="23630"/>
    <cellStyle name="SAPBEXHLevel1 11 3" xfId="23631"/>
    <cellStyle name="SAPBEXHLevel1 12" xfId="23632"/>
    <cellStyle name="SAPBEXHLevel1 12 2" xfId="23633"/>
    <cellStyle name="SAPBEXHLevel1 12 2 2" xfId="23634"/>
    <cellStyle name="SAPBEXHLevel1 12 3" xfId="23635"/>
    <cellStyle name="SAPBEXHLevel1 13" xfId="23636"/>
    <cellStyle name="SAPBEXHLevel1 13 2" xfId="23637"/>
    <cellStyle name="SAPBEXHLevel1 13 2 2" xfId="23638"/>
    <cellStyle name="SAPBEXHLevel1 13 3" xfId="23639"/>
    <cellStyle name="SAPBEXHLevel1 14" xfId="23640"/>
    <cellStyle name="SAPBEXHLevel1 14 2" xfId="23641"/>
    <cellStyle name="SAPBEXHLevel1 14 2 2" xfId="23642"/>
    <cellStyle name="SAPBEXHLevel1 14 3" xfId="23643"/>
    <cellStyle name="SAPBEXHLevel1 15" xfId="23644"/>
    <cellStyle name="SAPBEXHLevel1 15 2" xfId="23645"/>
    <cellStyle name="SAPBEXHLevel1 15 2 2" xfId="23646"/>
    <cellStyle name="SAPBEXHLevel1 15 3" xfId="23647"/>
    <cellStyle name="SAPBEXHLevel1 16" xfId="23648"/>
    <cellStyle name="SAPBEXHLevel1 16 2" xfId="23649"/>
    <cellStyle name="SAPBEXHLevel1 16 2 2" xfId="23650"/>
    <cellStyle name="SAPBEXHLevel1 16 3" xfId="23651"/>
    <cellStyle name="SAPBEXHLevel1 17" xfId="23652"/>
    <cellStyle name="SAPBEXHLevel1 17 2" xfId="23653"/>
    <cellStyle name="SAPBEXHLevel1 17 2 2" xfId="23654"/>
    <cellStyle name="SAPBEXHLevel1 17 3" xfId="23655"/>
    <cellStyle name="SAPBEXHLevel1 18" xfId="23656"/>
    <cellStyle name="SAPBEXHLevel1 19" xfId="39027"/>
    <cellStyle name="SAPBEXHLevel1 2" xfId="23657"/>
    <cellStyle name="SAPBEXHLevel1 2 10" xfId="23658"/>
    <cellStyle name="SAPBEXHLevel1 2 10 2" xfId="23659"/>
    <cellStyle name="SAPBEXHLevel1 2 10 2 2" xfId="23660"/>
    <cellStyle name="SAPBEXHLevel1 2 10 3" xfId="23661"/>
    <cellStyle name="SAPBEXHLevel1 2 11" xfId="23662"/>
    <cellStyle name="SAPBEXHLevel1 2 11 2" xfId="23663"/>
    <cellStyle name="SAPBEXHLevel1 2 11 2 2" xfId="23664"/>
    <cellStyle name="SAPBEXHLevel1 2 11 3" xfId="23665"/>
    <cellStyle name="SAPBEXHLevel1 2 12" xfId="23666"/>
    <cellStyle name="SAPBEXHLevel1 2 12 2" xfId="23667"/>
    <cellStyle name="SAPBEXHLevel1 2 12 2 2" xfId="23668"/>
    <cellStyle name="SAPBEXHLevel1 2 12 3" xfId="23669"/>
    <cellStyle name="SAPBEXHLevel1 2 13" xfId="23670"/>
    <cellStyle name="SAPBEXHLevel1 2 14" xfId="39028"/>
    <cellStyle name="SAPBEXHLevel1 2 15" xfId="39415"/>
    <cellStyle name="SAPBEXHLevel1 2 2" xfId="23671"/>
    <cellStyle name="SAPBEXHLevel1 2 2 10" xfId="23672"/>
    <cellStyle name="SAPBEXHLevel1 2 2 10 2" xfId="23673"/>
    <cellStyle name="SAPBEXHLevel1 2 2 10 2 2" xfId="23674"/>
    <cellStyle name="SAPBEXHLevel1 2 2 10 3" xfId="23675"/>
    <cellStyle name="SAPBEXHLevel1 2 2 11" xfId="23676"/>
    <cellStyle name="SAPBEXHLevel1 2 2 11 2" xfId="23677"/>
    <cellStyle name="SAPBEXHLevel1 2 2 12" xfId="39029"/>
    <cellStyle name="SAPBEXHLevel1 2 2 13" xfId="39416"/>
    <cellStyle name="SAPBEXHLevel1 2 2 2" xfId="23678"/>
    <cellStyle name="SAPBEXHLevel1 2 2 2 10" xfId="23679"/>
    <cellStyle name="SAPBEXHLevel1 2 2 2 10 2" xfId="23680"/>
    <cellStyle name="SAPBEXHLevel1 2 2 2 2" xfId="23681"/>
    <cellStyle name="SAPBEXHLevel1 2 2 2 2 2" xfId="23682"/>
    <cellStyle name="SAPBEXHLevel1 2 2 2 2 2 2" xfId="23683"/>
    <cellStyle name="SAPBEXHLevel1 2 2 2 2 3" xfId="23684"/>
    <cellStyle name="SAPBEXHLevel1 2 2 2 3" xfId="23685"/>
    <cellStyle name="SAPBEXHLevel1 2 2 2 3 2" xfId="23686"/>
    <cellStyle name="SAPBEXHLevel1 2 2 2 3 2 2" xfId="23687"/>
    <cellStyle name="SAPBEXHLevel1 2 2 2 3 3" xfId="23688"/>
    <cellStyle name="SAPBEXHLevel1 2 2 2 4" xfId="23689"/>
    <cellStyle name="SAPBEXHLevel1 2 2 2 4 2" xfId="23690"/>
    <cellStyle name="SAPBEXHLevel1 2 2 2 4 2 2" xfId="23691"/>
    <cellStyle name="SAPBEXHLevel1 2 2 2 4 3" xfId="23692"/>
    <cellStyle name="SAPBEXHLevel1 2 2 2 5" xfId="23693"/>
    <cellStyle name="SAPBEXHLevel1 2 2 2 5 2" xfId="23694"/>
    <cellStyle name="SAPBEXHLevel1 2 2 2 5 2 2" xfId="23695"/>
    <cellStyle name="SAPBEXHLevel1 2 2 2 5 3" xfId="23696"/>
    <cellStyle name="SAPBEXHLevel1 2 2 2 6" xfId="23697"/>
    <cellStyle name="SAPBEXHLevel1 2 2 2 6 2" xfId="23698"/>
    <cellStyle name="SAPBEXHLevel1 2 2 2 6 2 2" xfId="23699"/>
    <cellStyle name="SAPBEXHLevel1 2 2 2 6 3" xfId="23700"/>
    <cellStyle name="SAPBEXHLevel1 2 2 2 7" xfId="23701"/>
    <cellStyle name="SAPBEXHLevel1 2 2 2 7 2" xfId="23702"/>
    <cellStyle name="SAPBEXHLevel1 2 2 2 7 2 2" xfId="23703"/>
    <cellStyle name="SAPBEXHLevel1 2 2 2 7 3" xfId="23704"/>
    <cellStyle name="SAPBEXHLevel1 2 2 2 8" xfId="23705"/>
    <cellStyle name="SAPBEXHLevel1 2 2 2 8 2" xfId="23706"/>
    <cellStyle name="SAPBEXHLevel1 2 2 2 8 2 2" xfId="23707"/>
    <cellStyle name="SAPBEXHLevel1 2 2 2 8 3" xfId="23708"/>
    <cellStyle name="SAPBEXHLevel1 2 2 2 9" xfId="23709"/>
    <cellStyle name="SAPBEXHLevel1 2 2 2 9 2" xfId="23710"/>
    <cellStyle name="SAPBEXHLevel1 2 2 2 9 2 2" xfId="23711"/>
    <cellStyle name="SAPBEXHLevel1 2 2 2 9 3" xfId="23712"/>
    <cellStyle name="SAPBEXHLevel1 2 2 2_planning-WP" xfId="23713"/>
    <cellStyle name="SAPBEXHLevel1 2 2 3" xfId="23714"/>
    <cellStyle name="SAPBEXHLevel1 2 2 3 2" xfId="23715"/>
    <cellStyle name="SAPBEXHLevel1 2 2 3 2 2" xfId="23716"/>
    <cellStyle name="SAPBEXHLevel1 2 2 3 3" xfId="23717"/>
    <cellStyle name="SAPBEXHLevel1 2 2 4" xfId="23718"/>
    <cellStyle name="SAPBEXHLevel1 2 2 4 2" xfId="23719"/>
    <cellStyle name="SAPBEXHLevel1 2 2 4 2 2" xfId="23720"/>
    <cellStyle name="SAPBEXHLevel1 2 2 4 3" xfId="23721"/>
    <cellStyle name="SAPBEXHLevel1 2 2 5" xfId="23722"/>
    <cellStyle name="SAPBEXHLevel1 2 2 5 2" xfId="23723"/>
    <cellStyle name="SAPBEXHLevel1 2 2 5 2 2" xfId="23724"/>
    <cellStyle name="SAPBEXHLevel1 2 2 5 3" xfId="23725"/>
    <cellStyle name="SAPBEXHLevel1 2 2 6" xfId="23726"/>
    <cellStyle name="SAPBEXHLevel1 2 2 6 2" xfId="23727"/>
    <cellStyle name="SAPBEXHLevel1 2 2 6 2 2" xfId="23728"/>
    <cellStyle name="SAPBEXHLevel1 2 2 6 3" xfId="23729"/>
    <cellStyle name="SAPBEXHLevel1 2 2 7" xfId="23730"/>
    <cellStyle name="SAPBEXHLevel1 2 2 7 2" xfId="23731"/>
    <cellStyle name="SAPBEXHLevel1 2 2 7 2 2" xfId="23732"/>
    <cellStyle name="SAPBEXHLevel1 2 2 7 3" xfId="23733"/>
    <cellStyle name="SAPBEXHLevel1 2 2 8" xfId="23734"/>
    <cellStyle name="SAPBEXHLevel1 2 2 8 2" xfId="23735"/>
    <cellStyle name="SAPBEXHLevel1 2 2 8 2 2" xfId="23736"/>
    <cellStyle name="SAPBEXHLevel1 2 2 8 3" xfId="23737"/>
    <cellStyle name="SAPBEXHLevel1 2 2 9" xfId="23738"/>
    <cellStyle name="SAPBEXHLevel1 2 2 9 2" xfId="23739"/>
    <cellStyle name="SAPBEXHLevel1 2 2 9 2 2" xfId="23740"/>
    <cellStyle name="SAPBEXHLevel1 2 2 9 3" xfId="23741"/>
    <cellStyle name="SAPBEXHLevel1 2 2_planning-WP" xfId="23742"/>
    <cellStyle name="SAPBEXHLevel1 2 3" xfId="23743"/>
    <cellStyle name="SAPBEXHLevel1 2 3 10" xfId="23744"/>
    <cellStyle name="SAPBEXHLevel1 2 3 10 2" xfId="23745"/>
    <cellStyle name="SAPBEXHLevel1 2 3 2" xfId="23746"/>
    <cellStyle name="SAPBEXHLevel1 2 3 2 2" xfId="23747"/>
    <cellStyle name="SAPBEXHLevel1 2 3 2 2 2" xfId="23748"/>
    <cellStyle name="SAPBEXHLevel1 2 3 2 3" xfId="23749"/>
    <cellStyle name="SAPBEXHLevel1 2 3 3" xfId="23750"/>
    <cellStyle name="SAPBEXHLevel1 2 3 3 2" xfId="23751"/>
    <cellStyle name="SAPBEXHLevel1 2 3 3 2 2" xfId="23752"/>
    <cellStyle name="SAPBEXHLevel1 2 3 3 3" xfId="23753"/>
    <cellStyle name="SAPBEXHLevel1 2 3 4" xfId="23754"/>
    <cellStyle name="SAPBEXHLevel1 2 3 4 2" xfId="23755"/>
    <cellStyle name="SAPBEXHLevel1 2 3 4 2 2" xfId="23756"/>
    <cellStyle name="SAPBEXHLevel1 2 3 4 3" xfId="23757"/>
    <cellStyle name="SAPBEXHLevel1 2 3 5" xfId="23758"/>
    <cellStyle name="SAPBEXHLevel1 2 3 5 2" xfId="23759"/>
    <cellStyle name="SAPBEXHLevel1 2 3 5 2 2" xfId="23760"/>
    <cellStyle name="SAPBEXHLevel1 2 3 5 3" xfId="23761"/>
    <cellStyle name="SAPBEXHLevel1 2 3 6" xfId="23762"/>
    <cellStyle name="SAPBEXHLevel1 2 3 6 2" xfId="23763"/>
    <cellStyle name="SAPBEXHLevel1 2 3 6 2 2" xfId="23764"/>
    <cellStyle name="SAPBEXHLevel1 2 3 6 3" xfId="23765"/>
    <cellStyle name="SAPBEXHLevel1 2 3 7" xfId="23766"/>
    <cellStyle name="SAPBEXHLevel1 2 3 7 2" xfId="23767"/>
    <cellStyle name="SAPBEXHLevel1 2 3 7 2 2" xfId="23768"/>
    <cellStyle name="SAPBEXHLevel1 2 3 7 3" xfId="23769"/>
    <cellStyle name="SAPBEXHLevel1 2 3 8" xfId="23770"/>
    <cellStyle name="SAPBEXHLevel1 2 3 8 2" xfId="23771"/>
    <cellStyle name="SAPBEXHLevel1 2 3 8 2 2" xfId="23772"/>
    <cellStyle name="SAPBEXHLevel1 2 3 8 3" xfId="23773"/>
    <cellStyle name="SAPBEXHLevel1 2 3 9" xfId="23774"/>
    <cellStyle name="SAPBEXHLevel1 2 3 9 2" xfId="23775"/>
    <cellStyle name="SAPBEXHLevel1 2 3 9 2 2" xfId="23776"/>
    <cellStyle name="SAPBEXHLevel1 2 3 9 3" xfId="23777"/>
    <cellStyle name="SAPBEXHLevel1 2 3_planning-WP" xfId="23778"/>
    <cellStyle name="SAPBEXHLevel1 2 4" xfId="23779"/>
    <cellStyle name="SAPBEXHLevel1 2 4 2" xfId="23780"/>
    <cellStyle name="SAPBEXHLevel1 2 4 2 2" xfId="23781"/>
    <cellStyle name="SAPBEXHLevel1 2 4 2 2 2" xfId="23782"/>
    <cellStyle name="SAPBEXHLevel1 2 4 2 3" xfId="23783"/>
    <cellStyle name="SAPBEXHLevel1 2 4 3" xfId="23784"/>
    <cellStyle name="SAPBEXHLevel1 2 4 3 2" xfId="23785"/>
    <cellStyle name="SAPBEXHLevel1 2 4 3 2 2" xfId="23786"/>
    <cellStyle name="SAPBEXHLevel1 2 4 3 3" xfId="23787"/>
    <cellStyle name="SAPBEXHLevel1 2 4 4" xfId="23788"/>
    <cellStyle name="SAPBEXHLevel1 2 4 4 2" xfId="23789"/>
    <cellStyle name="SAPBEXHLevel1 2 4 4 2 2" xfId="23790"/>
    <cellStyle name="SAPBEXHLevel1 2 4 4 3" xfId="23791"/>
    <cellStyle name="SAPBEXHLevel1 2 4 5" xfId="23792"/>
    <cellStyle name="SAPBEXHLevel1 2 4 5 2" xfId="23793"/>
    <cellStyle name="SAPBEXHLevel1 2 4 5 2 2" xfId="23794"/>
    <cellStyle name="SAPBEXHLevel1 2 4 5 3" xfId="23795"/>
    <cellStyle name="SAPBEXHLevel1 2 4 6" xfId="23796"/>
    <cellStyle name="SAPBEXHLevel1 2 4 6 2" xfId="23797"/>
    <cellStyle name="SAPBEXHLevel1 2 4 6 2 2" xfId="23798"/>
    <cellStyle name="SAPBEXHLevel1 2 4 6 3" xfId="23799"/>
    <cellStyle name="SAPBEXHLevel1 2 4 7" xfId="23800"/>
    <cellStyle name="SAPBEXHLevel1 2 4 7 2" xfId="23801"/>
    <cellStyle name="SAPBEXHLevel1 2 4 7 2 2" xfId="23802"/>
    <cellStyle name="SAPBEXHLevel1 2 4 7 3" xfId="23803"/>
    <cellStyle name="SAPBEXHLevel1 2 4 8" xfId="23804"/>
    <cellStyle name="SAPBEXHLevel1 2 4 8 2" xfId="23805"/>
    <cellStyle name="SAPBEXHLevel1 2 4 8 2 2" xfId="23806"/>
    <cellStyle name="SAPBEXHLevel1 2 4 8 3" xfId="23807"/>
    <cellStyle name="SAPBEXHLevel1 2 4 9" xfId="23808"/>
    <cellStyle name="SAPBEXHLevel1 2 4 9 2" xfId="23809"/>
    <cellStyle name="SAPBEXHLevel1 2 4_planning-WP" xfId="23810"/>
    <cellStyle name="SAPBEXHLevel1 2 5" xfId="23811"/>
    <cellStyle name="SAPBEXHLevel1 2 5 2" xfId="23812"/>
    <cellStyle name="SAPBEXHLevel1 2 5 2 2" xfId="23813"/>
    <cellStyle name="SAPBEXHLevel1 2 6" xfId="23814"/>
    <cellStyle name="SAPBEXHLevel1 2 6 2" xfId="23815"/>
    <cellStyle name="SAPBEXHLevel1 2 6 2 2" xfId="23816"/>
    <cellStyle name="SAPBEXHLevel1 2 6 3" xfId="23817"/>
    <cellStyle name="SAPBEXHLevel1 2 7" xfId="23818"/>
    <cellStyle name="SAPBEXHLevel1 2 7 2" xfId="23819"/>
    <cellStyle name="SAPBEXHLevel1 2 7 2 2" xfId="23820"/>
    <cellStyle name="SAPBEXHLevel1 2 7 3" xfId="23821"/>
    <cellStyle name="SAPBEXHLevel1 2 8" xfId="23822"/>
    <cellStyle name="SAPBEXHLevel1 2 8 2" xfId="23823"/>
    <cellStyle name="SAPBEXHLevel1 2 8 2 2" xfId="23824"/>
    <cellStyle name="SAPBEXHLevel1 2 8 3" xfId="23825"/>
    <cellStyle name="SAPBEXHLevel1 2 9" xfId="23826"/>
    <cellStyle name="SAPBEXHLevel1 2 9 2" xfId="23827"/>
    <cellStyle name="SAPBEXHLevel1 2 9 2 2" xfId="23828"/>
    <cellStyle name="SAPBEXHLevel1 2 9 3" xfId="23829"/>
    <cellStyle name="SAPBEXHLevel1 2_planning-WP" xfId="23830"/>
    <cellStyle name="SAPBEXHLevel1 20" xfId="39414"/>
    <cellStyle name="SAPBEXHLevel1 3" xfId="23831"/>
    <cellStyle name="SAPBEXHLevel1 3 10" xfId="23832"/>
    <cellStyle name="SAPBEXHLevel1 3 10 2" xfId="23833"/>
    <cellStyle name="SAPBEXHLevel1 3 10 2 2" xfId="23834"/>
    <cellStyle name="SAPBEXHLevel1 3 10 3" xfId="23835"/>
    <cellStyle name="SAPBEXHLevel1 3 11" xfId="23836"/>
    <cellStyle name="SAPBEXHLevel1 3 11 2" xfId="23837"/>
    <cellStyle name="SAPBEXHLevel1 3 11 2 2" xfId="23838"/>
    <cellStyle name="SAPBEXHLevel1 3 11 3" xfId="23839"/>
    <cellStyle name="SAPBEXHLevel1 3 12" xfId="23840"/>
    <cellStyle name="SAPBEXHLevel1 3 12 2" xfId="23841"/>
    <cellStyle name="SAPBEXHLevel1 3 12 2 2" xfId="23842"/>
    <cellStyle name="SAPBEXHLevel1 3 12 3" xfId="23843"/>
    <cellStyle name="SAPBEXHLevel1 3 13" xfId="23844"/>
    <cellStyle name="SAPBEXHLevel1 3 14" xfId="39030"/>
    <cellStyle name="SAPBEXHLevel1 3 15" xfId="39417"/>
    <cellStyle name="SAPBEXHLevel1 3 2" xfId="23845"/>
    <cellStyle name="SAPBEXHLevel1 3 2 10" xfId="23846"/>
    <cellStyle name="SAPBEXHLevel1 3 2 10 2" xfId="23847"/>
    <cellStyle name="SAPBEXHLevel1 3 2 10 2 2" xfId="23848"/>
    <cellStyle name="SAPBEXHLevel1 3 2 10 3" xfId="23849"/>
    <cellStyle name="SAPBEXHLevel1 3 2 11" xfId="23850"/>
    <cellStyle name="SAPBEXHLevel1 3 2 11 2" xfId="23851"/>
    <cellStyle name="SAPBEXHLevel1 3 2 12" xfId="39031"/>
    <cellStyle name="SAPBEXHLevel1 3 2 13" xfId="39418"/>
    <cellStyle name="SAPBEXHLevel1 3 2 2" xfId="23852"/>
    <cellStyle name="SAPBEXHLevel1 3 2 2 10" xfId="23853"/>
    <cellStyle name="SAPBEXHLevel1 3 2 2 10 2" xfId="23854"/>
    <cellStyle name="SAPBEXHLevel1 3 2 2 2" xfId="23855"/>
    <cellStyle name="SAPBEXHLevel1 3 2 2 2 2" xfId="23856"/>
    <cellStyle name="SAPBEXHLevel1 3 2 2 2 2 2" xfId="23857"/>
    <cellStyle name="SAPBEXHLevel1 3 2 2 2 3" xfId="23858"/>
    <cellStyle name="SAPBEXHLevel1 3 2 2 3" xfId="23859"/>
    <cellStyle name="SAPBEXHLevel1 3 2 2 3 2" xfId="23860"/>
    <cellStyle name="SAPBEXHLevel1 3 2 2 3 2 2" xfId="23861"/>
    <cellStyle name="SAPBEXHLevel1 3 2 2 3 3" xfId="23862"/>
    <cellStyle name="SAPBEXHLevel1 3 2 2 4" xfId="23863"/>
    <cellStyle name="SAPBEXHLevel1 3 2 2 4 2" xfId="23864"/>
    <cellStyle name="SAPBEXHLevel1 3 2 2 4 2 2" xfId="23865"/>
    <cellStyle name="SAPBEXHLevel1 3 2 2 4 3" xfId="23866"/>
    <cellStyle name="SAPBEXHLevel1 3 2 2 5" xfId="23867"/>
    <cellStyle name="SAPBEXHLevel1 3 2 2 5 2" xfId="23868"/>
    <cellStyle name="SAPBEXHLevel1 3 2 2 5 2 2" xfId="23869"/>
    <cellStyle name="SAPBEXHLevel1 3 2 2 5 3" xfId="23870"/>
    <cellStyle name="SAPBEXHLevel1 3 2 2 6" xfId="23871"/>
    <cellStyle name="SAPBEXHLevel1 3 2 2 6 2" xfId="23872"/>
    <cellStyle name="SAPBEXHLevel1 3 2 2 6 2 2" xfId="23873"/>
    <cellStyle name="SAPBEXHLevel1 3 2 2 6 3" xfId="23874"/>
    <cellStyle name="SAPBEXHLevel1 3 2 2 7" xfId="23875"/>
    <cellStyle name="SAPBEXHLevel1 3 2 2 7 2" xfId="23876"/>
    <cellStyle name="SAPBEXHLevel1 3 2 2 7 2 2" xfId="23877"/>
    <cellStyle name="SAPBEXHLevel1 3 2 2 7 3" xfId="23878"/>
    <cellStyle name="SAPBEXHLevel1 3 2 2 8" xfId="23879"/>
    <cellStyle name="SAPBEXHLevel1 3 2 2 8 2" xfId="23880"/>
    <cellStyle name="SAPBEXHLevel1 3 2 2 8 2 2" xfId="23881"/>
    <cellStyle name="SAPBEXHLevel1 3 2 2 8 3" xfId="23882"/>
    <cellStyle name="SAPBEXHLevel1 3 2 2 9" xfId="23883"/>
    <cellStyle name="SAPBEXHLevel1 3 2 2 9 2" xfId="23884"/>
    <cellStyle name="SAPBEXHLevel1 3 2 2 9 2 2" xfId="23885"/>
    <cellStyle name="SAPBEXHLevel1 3 2 2 9 3" xfId="23886"/>
    <cellStyle name="SAPBEXHLevel1 3 2 2_planning-WP" xfId="23887"/>
    <cellStyle name="SAPBEXHLevel1 3 2 3" xfId="23888"/>
    <cellStyle name="SAPBEXHLevel1 3 2 3 2" xfId="23889"/>
    <cellStyle name="SAPBEXHLevel1 3 2 3 2 2" xfId="23890"/>
    <cellStyle name="SAPBEXHLevel1 3 2 3 3" xfId="23891"/>
    <cellStyle name="SAPBEXHLevel1 3 2 4" xfId="23892"/>
    <cellStyle name="SAPBEXHLevel1 3 2 4 2" xfId="23893"/>
    <cellStyle name="SAPBEXHLevel1 3 2 4 2 2" xfId="23894"/>
    <cellStyle name="SAPBEXHLevel1 3 2 4 3" xfId="23895"/>
    <cellStyle name="SAPBEXHLevel1 3 2 5" xfId="23896"/>
    <cellStyle name="SAPBEXHLevel1 3 2 5 2" xfId="23897"/>
    <cellStyle name="SAPBEXHLevel1 3 2 5 2 2" xfId="23898"/>
    <cellStyle name="SAPBEXHLevel1 3 2 5 3" xfId="23899"/>
    <cellStyle name="SAPBEXHLevel1 3 2 6" xfId="23900"/>
    <cellStyle name="SAPBEXHLevel1 3 2 6 2" xfId="23901"/>
    <cellStyle name="SAPBEXHLevel1 3 2 6 2 2" xfId="23902"/>
    <cellStyle name="SAPBEXHLevel1 3 2 6 3" xfId="23903"/>
    <cellStyle name="SAPBEXHLevel1 3 2 7" xfId="23904"/>
    <cellStyle name="SAPBEXHLevel1 3 2 7 2" xfId="23905"/>
    <cellStyle name="SAPBEXHLevel1 3 2 7 2 2" xfId="23906"/>
    <cellStyle name="SAPBEXHLevel1 3 2 7 3" xfId="23907"/>
    <cellStyle name="SAPBEXHLevel1 3 2 8" xfId="23908"/>
    <cellStyle name="SAPBEXHLevel1 3 2 8 2" xfId="23909"/>
    <cellStyle name="SAPBEXHLevel1 3 2 8 2 2" xfId="23910"/>
    <cellStyle name="SAPBEXHLevel1 3 2 8 3" xfId="23911"/>
    <cellStyle name="SAPBEXHLevel1 3 2 9" xfId="23912"/>
    <cellStyle name="SAPBEXHLevel1 3 2 9 2" xfId="23913"/>
    <cellStyle name="SAPBEXHLevel1 3 2 9 2 2" xfId="23914"/>
    <cellStyle name="SAPBEXHLevel1 3 2 9 3" xfId="23915"/>
    <cellStyle name="SAPBEXHLevel1 3 2_planning-WP" xfId="23916"/>
    <cellStyle name="SAPBEXHLevel1 3 3" xfId="23917"/>
    <cellStyle name="SAPBEXHLevel1 3 3 10" xfId="23918"/>
    <cellStyle name="SAPBEXHLevel1 3 3 10 2" xfId="23919"/>
    <cellStyle name="SAPBEXHLevel1 3 3 2" xfId="23920"/>
    <cellStyle name="SAPBEXHLevel1 3 3 2 2" xfId="23921"/>
    <cellStyle name="SAPBEXHLevel1 3 3 2 2 2" xfId="23922"/>
    <cellStyle name="SAPBEXHLevel1 3 3 2 3" xfId="23923"/>
    <cellStyle name="SAPBEXHLevel1 3 3 3" xfId="23924"/>
    <cellStyle name="SAPBEXHLevel1 3 3 3 2" xfId="23925"/>
    <cellStyle name="SAPBEXHLevel1 3 3 3 2 2" xfId="23926"/>
    <cellStyle name="SAPBEXHLevel1 3 3 3 3" xfId="23927"/>
    <cellStyle name="SAPBEXHLevel1 3 3 4" xfId="23928"/>
    <cellStyle name="SAPBEXHLevel1 3 3 4 2" xfId="23929"/>
    <cellStyle name="SAPBEXHLevel1 3 3 4 2 2" xfId="23930"/>
    <cellStyle name="SAPBEXHLevel1 3 3 4 3" xfId="23931"/>
    <cellStyle name="SAPBEXHLevel1 3 3 5" xfId="23932"/>
    <cellStyle name="SAPBEXHLevel1 3 3 5 2" xfId="23933"/>
    <cellStyle name="SAPBEXHLevel1 3 3 5 2 2" xfId="23934"/>
    <cellStyle name="SAPBEXHLevel1 3 3 5 3" xfId="23935"/>
    <cellStyle name="SAPBEXHLevel1 3 3 6" xfId="23936"/>
    <cellStyle name="SAPBEXHLevel1 3 3 6 2" xfId="23937"/>
    <cellStyle name="SAPBEXHLevel1 3 3 6 2 2" xfId="23938"/>
    <cellStyle name="SAPBEXHLevel1 3 3 6 3" xfId="23939"/>
    <cellStyle name="SAPBEXHLevel1 3 3 7" xfId="23940"/>
    <cellStyle name="SAPBEXHLevel1 3 3 7 2" xfId="23941"/>
    <cellStyle name="SAPBEXHLevel1 3 3 7 2 2" xfId="23942"/>
    <cellStyle name="SAPBEXHLevel1 3 3 7 3" xfId="23943"/>
    <cellStyle name="SAPBEXHLevel1 3 3 8" xfId="23944"/>
    <cellStyle name="SAPBEXHLevel1 3 3 8 2" xfId="23945"/>
    <cellStyle name="SAPBEXHLevel1 3 3 8 2 2" xfId="23946"/>
    <cellStyle name="SAPBEXHLevel1 3 3 8 3" xfId="23947"/>
    <cellStyle name="SAPBEXHLevel1 3 3 9" xfId="23948"/>
    <cellStyle name="SAPBEXHLevel1 3 3 9 2" xfId="23949"/>
    <cellStyle name="SAPBEXHLevel1 3 3 9 2 2" xfId="23950"/>
    <cellStyle name="SAPBEXHLevel1 3 3 9 3" xfId="23951"/>
    <cellStyle name="SAPBEXHLevel1 3 3_planning-WP" xfId="23952"/>
    <cellStyle name="SAPBEXHLevel1 3 4" xfId="23953"/>
    <cellStyle name="SAPBEXHLevel1 3 4 2" xfId="23954"/>
    <cellStyle name="SAPBEXHLevel1 3 4 2 2" xfId="23955"/>
    <cellStyle name="SAPBEXHLevel1 3 4 2 2 2" xfId="23956"/>
    <cellStyle name="SAPBEXHLevel1 3 4 2 3" xfId="23957"/>
    <cellStyle name="SAPBEXHLevel1 3 4 3" xfId="23958"/>
    <cellStyle name="SAPBEXHLevel1 3 4 3 2" xfId="23959"/>
    <cellStyle name="SAPBEXHLevel1 3 4 3 2 2" xfId="23960"/>
    <cellStyle name="SAPBEXHLevel1 3 4 3 3" xfId="23961"/>
    <cellStyle name="SAPBEXHLevel1 3 4 4" xfId="23962"/>
    <cellStyle name="SAPBEXHLevel1 3 4 4 2" xfId="23963"/>
    <cellStyle name="SAPBEXHLevel1 3 4 4 2 2" xfId="23964"/>
    <cellStyle name="SAPBEXHLevel1 3 4 4 3" xfId="23965"/>
    <cellStyle name="SAPBEXHLevel1 3 4 5" xfId="23966"/>
    <cellStyle name="SAPBEXHLevel1 3 4 5 2" xfId="23967"/>
    <cellStyle name="SAPBEXHLevel1 3 4 5 2 2" xfId="23968"/>
    <cellStyle name="SAPBEXHLevel1 3 4 5 3" xfId="23969"/>
    <cellStyle name="SAPBEXHLevel1 3 4 6" xfId="23970"/>
    <cellStyle name="SAPBEXHLevel1 3 4 6 2" xfId="23971"/>
    <cellStyle name="SAPBEXHLevel1 3 4 6 2 2" xfId="23972"/>
    <cellStyle name="SAPBEXHLevel1 3 4 6 3" xfId="23973"/>
    <cellStyle name="SAPBEXHLevel1 3 4 7" xfId="23974"/>
    <cellStyle name="SAPBEXHLevel1 3 4 7 2" xfId="23975"/>
    <cellStyle name="SAPBEXHLevel1 3 4 7 2 2" xfId="23976"/>
    <cellStyle name="SAPBEXHLevel1 3 4 7 3" xfId="23977"/>
    <cellStyle name="SAPBEXHLevel1 3 4 8" xfId="23978"/>
    <cellStyle name="SAPBEXHLevel1 3 4 8 2" xfId="23979"/>
    <cellStyle name="SAPBEXHLevel1 3 4 8 2 2" xfId="23980"/>
    <cellStyle name="SAPBEXHLevel1 3 4 8 3" xfId="23981"/>
    <cellStyle name="SAPBEXHLevel1 3 4 9" xfId="23982"/>
    <cellStyle name="SAPBEXHLevel1 3 4 9 2" xfId="23983"/>
    <cellStyle name="SAPBEXHLevel1 3 4_planning-WP" xfId="23984"/>
    <cellStyle name="SAPBEXHLevel1 3 5" xfId="23985"/>
    <cellStyle name="SAPBEXHLevel1 3 5 2" xfId="23986"/>
    <cellStyle name="SAPBEXHLevel1 3 5 2 2" xfId="23987"/>
    <cellStyle name="SAPBEXHLevel1 3 6" xfId="23988"/>
    <cellStyle name="SAPBEXHLevel1 3 6 2" xfId="23989"/>
    <cellStyle name="SAPBEXHLevel1 3 6 2 2" xfId="23990"/>
    <cellStyle name="SAPBEXHLevel1 3 6 3" xfId="23991"/>
    <cellStyle name="SAPBEXHLevel1 3 7" xfId="23992"/>
    <cellStyle name="SAPBEXHLevel1 3 7 2" xfId="23993"/>
    <cellStyle name="SAPBEXHLevel1 3 7 2 2" xfId="23994"/>
    <cellStyle name="SAPBEXHLevel1 3 7 3" xfId="23995"/>
    <cellStyle name="SAPBEXHLevel1 3 8" xfId="23996"/>
    <cellStyle name="SAPBEXHLevel1 3 8 2" xfId="23997"/>
    <cellStyle name="SAPBEXHLevel1 3 8 2 2" xfId="23998"/>
    <cellStyle name="SAPBEXHLevel1 3 8 3" xfId="23999"/>
    <cellStyle name="SAPBEXHLevel1 3 9" xfId="24000"/>
    <cellStyle name="SAPBEXHLevel1 3 9 2" xfId="24001"/>
    <cellStyle name="SAPBEXHLevel1 3 9 2 2" xfId="24002"/>
    <cellStyle name="SAPBEXHLevel1 3 9 3" xfId="24003"/>
    <cellStyle name="SAPBEXHLevel1 3_planning-WP" xfId="24004"/>
    <cellStyle name="SAPBEXHLevel1 4" xfId="24005"/>
    <cellStyle name="SAPBEXHLevel1 4 10" xfId="24006"/>
    <cellStyle name="SAPBEXHLevel1 4 10 2" xfId="24007"/>
    <cellStyle name="SAPBEXHLevel1 4 10 2 2" xfId="24008"/>
    <cellStyle name="SAPBEXHLevel1 4 10 3" xfId="24009"/>
    <cellStyle name="SAPBEXHLevel1 4 11" xfId="24010"/>
    <cellStyle name="SAPBEXHLevel1 4 11 2" xfId="24011"/>
    <cellStyle name="SAPBEXHLevel1 4 11 2 2" xfId="24012"/>
    <cellStyle name="SAPBEXHLevel1 4 11 3" xfId="24013"/>
    <cellStyle name="SAPBEXHLevel1 4 12" xfId="24014"/>
    <cellStyle name="SAPBEXHLevel1 4 12 2" xfId="24015"/>
    <cellStyle name="SAPBEXHLevel1 4 12 2 2" xfId="24016"/>
    <cellStyle name="SAPBEXHLevel1 4 12 3" xfId="24017"/>
    <cellStyle name="SAPBEXHLevel1 4 13" xfId="24018"/>
    <cellStyle name="SAPBEXHLevel1 4 14" xfId="39032"/>
    <cellStyle name="SAPBEXHLevel1 4 15" xfId="39419"/>
    <cellStyle name="SAPBEXHLevel1 4 2" xfId="24019"/>
    <cellStyle name="SAPBEXHLevel1 4 2 10" xfId="24020"/>
    <cellStyle name="SAPBEXHLevel1 4 2 10 2" xfId="24021"/>
    <cellStyle name="SAPBEXHLevel1 4 2 10 2 2" xfId="24022"/>
    <cellStyle name="SAPBEXHLevel1 4 2 10 3" xfId="24023"/>
    <cellStyle name="SAPBEXHLevel1 4 2 11" xfId="24024"/>
    <cellStyle name="SAPBEXHLevel1 4 2 11 2" xfId="24025"/>
    <cellStyle name="SAPBEXHLevel1 4 2 12" xfId="39033"/>
    <cellStyle name="SAPBEXHLevel1 4 2 13" xfId="39420"/>
    <cellStyle name="SAPBEXHLevel1 4 2 2" xfId="24026"/>
    <cellStyle name="SAPBEXHLevel1 4 2 2 10" xfId="24027"/>
    <cellStyle name="SAPBEXHLevel1 4 2 2 10 2" xfId="24028"/>
    <cellStyle name="SAPBEXHLevel1 4 2 2 2" xfId="24029"/>
    <cellStyle name="SAPBEXHLevel1 4 2 2 2 2" xfId="24030"/>
    <cellStyle name="SAPBEXHLevel1 4 2 2 2 2 2" xfId="24031"/>
    <cellStyle name="SAPBEXHLevel1 4 2 2 2 3" xfId="24032"/>
    <cellStyle name="SAPBEXHLevel1 4 2 2 3" xfId="24033"/>
    <cellStyle name="SAPBEXHLevel1 4 2 2 3 2" xfId="24034"/>
    <cellStyle name="SAPBEXHLevel1 4 2 2 3 2 2" xfId="24035"/>
    <cellStyle name="SAPBEXHLevel1 4 2 2 3 3" xfId="24036"/>
    <cellStyle name="SAPBEXHLevel1 4 2 2 4" xfId="24037"/>
    <cellStyle name="SAPBEXHLevel1 4 2 2 4 2" xfId="24038"/>
    <cellStyle name="SAPBEXHLevel1 4 2 2 4 2 2" xfId="24039"/>
    <cellStyle name="SAPBEXHLevel1 4 2 2 4 3" xfId="24040"/>
    <cellStyle name="SAPBEXHLevel1 4 2 2 5" xfId="24041"/>
    <cellStyle name="SAPBEXHLevel1 4 2 2 5 2" xfId="24042"/>
    <cellStyle name="SAPBEXHLevel1 4 2 2 5 2 2" xfId="24043"/>
    <cellStyle name="SAPBEXHLevel1 4 2 2 5 3" xfId="24044"/>
    <cellStyle name="SAPBEXHLevel1 4 2 2 6" xfId="24045"/>
    <cellStyle name="SAPBEXHLevel1 4 2 2 6 2" xfId="24046"/>
    <cellStyle name="SAPBEXHLevel1 4 2 2 6 2 2" xfId="24047"/>
    <cellStyle name="SAPBEXHLevel1 4 2 2 6 3" xfId="24048"/>
    <cellStyle name="SAPBEXHLevel1 4 2 2 7" xfId="24049"/>
    <cellStyle name="SAPBEXHLevel1 4 2 2 7 2" xfId="24050"/>
    <cellStyle name="SAPBEXHLevel1 4 2 2 7 2 2" xfId="24051"/>
    <cellStyle name="SAPBEXHLevel1 4 2 2 7 3" xfId="24052"/>
    <cellStyle name="SAPBEXHLevel1 4 2 2 8" xfId="24053"/>
    <cellStyle name="SAPBEXHLevel1 4 2 2 8 2" xfId="24054"/>
    <cellStyle name="SAPBEXHLevel1 4 2 2 8 2 2" xfId="24055"/>
    <cellStyle name="SAPBEXHLevel1 4 2 2 8 3" xfId="24056"/>
    <cellStyle name="SAPBEXHLevel1 4 2 2 9" xfId="24057"/>
    <cellStyle name="SAPBEXHLevel1 4 2 2 9 2" xfId="24058"/>
    <cellStyle name="SAPBEXHLevel1 4 2 2 9 2 2" xfId="24059"/>
    <cellStyle name="SAPBEXHLevel1 4 2 2 9 3" xfId="24060"/>
    <cellStyle name="SAPBEXHLevel1 4 2 2_planning-WP" xfId="24061"/>
    <cellStyle name="SAPBEXHLevel1 4 2 3" xfId="24062"/>
    <cellStyle name="SAPBEXHLevel1 4 2 3 2" xfId="24063"/>
    <cellStyle name="SAPBEXHLevel1 4 2 3 2 2" xfId="24064"/>
    <cellStyle name="SAPBEXHLevel1 4 2 3 3" xfId="24065"/>
    <cellStyle name="SAPBEXHLevel1 4 2 4" xfId="24066"/>
    <cellStyle name="SAPBEXHLevel1 4 2 4 2" xfId="24067"/>
    <cellStyle name="SAPBEXHLevel1 4 2 4 2 2" xfId="24068"/>
    <cellStyle name="SAPBEXHLevel1 4 2 4 3" xfId="24069"/>
    <cellStyle name="SAPBEXHLevel1 4 2 5" xfId="24070"/>
    <cellStyle name="SAPBEXHLevel1 4 2 5 2" xfId="24071"/>
    <cellStyle name="SAPBEXHLevel1 4 2 5 2 2" xfId="24072"/>
    <cellStyle name="SAPBEXHLevel1 4 2 5 3" xfId="24073"/>
    <cellStyle name="SAPBEXHLevel1 4 2 6" xfId="24074"/>
    <cellStyle name="SAPBEXHLevel1 4 2 6 2" xfId="24075"/>
    <cellStyle name="SAPBEXHLevel1 4 2 6 2 2" xfId="24076"/>
    <cellStyle name="SAPBEXHLevel1 4 2 6 3" xfId="24077"/>
    <cellStyle name="SAPBEXHLevel1 4 2 7" xfId="24078"/>
    <cellStyle name="SAPBEXHLevel1 4 2 7 2" xfId="24079"/>
    <cellStyle name="SAPBEXHLevel1 4 2 7 2 2" xfId="24080"/>
    <cellStyle name="SAPBEXHLevel1 4 2 7 3" xfId="24081"/>
    <cellStyle name="SAPBEXHLevel1 4 2 8" xfId="24082"/>
    <cellStyle name="SAPBEXHLevel1 4 2 8 2" xfId="24083"/>
    <cellStyle name="SAPBEXHLevel1 4 2 8 2 2" xfId="24084"/>
    <cellStyle name="SAPBEXHLevel1 4 2 8 3" xfId="24085"/>
    <cellStyle name="SAPBEXHLevel1 4 2 9" xfId="24086"/>
    <cellStyle name="SAPBEXHLevel1 4 2 9 2" xfId="24087"/>
    <cellStyle name="SAPBEXHLevel1 4 2 9 2 2" xfId="24088"/>
    <cellStyle name="SAPBEXHLevel1 4 2 9 3" xfId="24089"/>
    <cellStyle name="SAPBEXHLevel1 4 2_planning-WP" xfId="24090"/>
    <cellStyle name="SAPBEXHLevel1 4 3" xfId="24091"/>
    <cellStyle name="SAPBEXHLevel1 4 3 10" xfId="24092"/>
    <cellStyle name="SAPBEXHLevel1 4 3 10 2" xfId="24093"/>
    <cellStyle name="SAPBEXHLevel1 4 3 2" xfId="24094"/>
    <cellStyle name="SAPBEXHLevel1 4 3 2 2" xfId="24095"/>
    <cellStyle name="SAPBEXHLevel1 4 3 2 2 2" xfId="24096"/>
    <cellStyle name="SAPBEXHLevel1 4 3 2 3" xfId="24097"/>
    <cellStyle name="SAPBEXHLevel1 4 3 3" xfId="24098"/>
    <cellStyle name="SAPBEXHLevel1 4 3 3 2" xfId="24099"/>
    <cellStyle name="SAPBEXHLevel1 4 3 3 2 2" xfId="24100"/>
    <cellStyle name="SAPBEXHLevel1 4 3 3 3" xfId="24101"/>
    <cellStyle name="SAPBEXHLevel1 4 3 4" xfId="24102"/>
    <cellStyle name="SAPBEXHLevel1 4 3 4 2" xfId="24103"/>
    <cellStyle name="SAPBEXHLevel1 4 3 4 2 2" xfId="24104"/>
    <cellStyle name="SAPBEXHLevel1 4 3 4 3" xfId="24105"/>
    <cellStyle name="SAPBEXHLevel1 4 3 5" xfId="24106"/>
    <cellStyle name="SAPBEXHLevel1 4 3 5 2" xfId="24107"/>
    <cellStyle name="SAPBEXHLevel1 4 3 5 2 2" xfId="24108"/>
    <cellStyle name="SAPBEXHLevel1 4 3 5 3" xfId="24109"/>
    <cellStyle name="SAPBEXHLevel1 4 3 6" xfId="24110"/>
    <cellStyle name="SAPBEXHLevel1 4 3 6 2" xfId="24111"/>
    <cellStyle name="SAPBEXHLevel1 4 3 6 2 2" xfId="24112"/>
    <cellStyle name="SAPBEXHLevel1 4 3 6 3" xfId="24113"/>
    <cellStyle name="SAPBEXHLevel1 4 3 7" xfId="24114"/>
    <cellStyle name="SAPBEXHLevel1 4 3 7 2" xfId="24115"/>
    <cellStyle name="SAPBEXHLevel1 4 3 7 2 2" xfId="24116"/>
    <cellStyle name="SAPBEXHLevel1 4 3 7 3" xfId="24117"/>
    <cellStyle name="SAPBEXHLevel1 4 3 8" xfId="24118"/>
    <cellStyle name="SAPBEXHLevel1 4 3 8 2" xfId="24119"/>
    <cellStyle name="SAPBEXHLevel1 4 3 8 2 2" xfId="24120"/>
    <cellStyle name="SAPBEXHLevel1 4 3 8 3" xfId="24121"/>
    <cellStyle name="SAPBEXHLevel1 4 3 9" xfId="24122"/>
    <cellStyle name="SAPBEXHLevel1 4 3 9 2" xfId="24123"/>
    <cellStyle name="SAPBEXHLevel1 4 3 9 2 2" xfId="24124"/>
    <cellStyle name="SAPBEXHLevel1 4 3 9 3" xfId="24125"/>
    <cellStyle name="SAPBEXHLevel1 4 3_planning-WP" xfId="24126"/>
    <cellStyle name="SAPBEXHLevel1 4 4" xfId="24127"/>
    <cellStyle name="SAPBEXHLevel1 4 4 2" xfId="24128"/>
    <cellStyle name="SAPBEXHLevel1 4 4 2 2" xfId="24129"/>
    <cellStyle name="SAPBEXHLevel1 4 4 2 2 2" xfId="24130"/>
    <cellStyle name="SAPBEXHLevel1 4 4 2 3" xfId="24131"/>
    <cellStyle name="SAPBEXHLevel1 4 4 3" xfId="24132"/>
    <cellStyle name="SAPBEXHLevel1 4 4 3 2" xfId="24133"/>
    <cellStyle name="SAPBEXHLevel1 4 4 3 2 2" xfId="24134"/>
    <cellStyle name="SAPBEXHLevel1 4 4 3 3" xfId="24135"/>
    <cellStyle name="SAPBEXHLevel1 4 4 4" xfId="24136"/>
    <cellStyle name="SAPBEXHLevel1 4 4 4 2" xfId="24137"/>
    <cellStyle name="SAPBEXHLevel1 4 4 4 2 2" xfId="24138"/>
    <cellStyle name="SAPBEXHLevel1 4 4 4 3" xfId="24139"/>
    <cellStyle name="SAPBEXHLevel1 4 4 5" xfId="24140"/>
    <cellStyle name="SAPBEXHLevel1 4 4 5 2" xfId="24141"/>
    <cellStyle name="SAPBEXHLevel1 4 4 5 2 2" xfId="24142"/>
    <cellStyle name="SAPBEXHLevel1 4 4 5 3" xfId="24143"/>
    <cellStyle name="SAPBEXHLevel1 4 4 6" xfId="24144"/>
    <cellStyle name="SAPBEXHLevel1 4 4 6 2" xfId="24145"/>
    <cellStyle name="SAPBEXHLevel1 4 4 6 2 2" xfId="24146"/>
    <cellStyle name="SAPBEXHLevel1 4 4 6 3" xfId="24147"/>
    <cellStyle name="SAPBEXHLevel1 4 4 7" xfId="24148"/>
    <cellStyle name="SAPBEXHLevel1 4 4 7 2" xfId="24149"/>
    <cellStyle name="SAPBEXHLevel1 4 4 7 2 2" xfId="24150"/>
    <cellStyle name="SAPBEXHLevel1 4 4 7 3" xfId="24151"/>
    <cellStyle name="SAPBEXHLevel1 4 4 8" xfId="24152"/>
    <cellStyle name="SAPBEXHLevel1 4 4 8 2" xfId="24153"/>
    <cellStyle name="SAPBEXHLevel1 4 4 8 2 2" xfId="24154"/>
    <cellStyle name="SAPBEXHLevel1 4 4 8 3" xfId="24155"/>
    <cellStyle name="SAPBEXHLevel1 4 4 9" xfId="24156"/>
    <cellStyle name="SAPBEXHLevel1 4 4 9 2" xfId="24157"/>
    <cellStyle name="SAPBEXHLevel1 4 4_planning-WP" xfId="24158"/>
    <cellStyle name="SAPBEXHLevel1 4 5" xfId="24159"/>
    <cellStyle name="SAPBEXHLevel1 4 5 2" xfId="24160"/>
    <cellStyle name="SAPBEXHLevel1 4 5 2 2" xfId="24161"/>
    <cellStyle name="SAPBEXHLevel1 4 6" xfId="24162"/>
    <cellStyle name="SAPBEXHLevel1 4 6 2" xfId="24163"/>
    <cellStyle name="SAPBEXHLevel1 4 6 2 2" xfId="24164"/>
    <cellStyle name="SAPBEXHLevel1 4 6 3" xfId="24165"/>
    <cellStyle name="SAPBEXHLevel1 4 7" xfId="24166"/>
    <cellStyle name="SAPBEXHLevel1 4 7 2" xfId="24167"/>
    <cellStyle name="SAPBEXHLevel1 4 7 2 2" xfId="24168"/>
    <cellStyle name="SAPBEXHLevel1 4 7 3" xfId="24169"/>
    <cellStyle name="SAPBEXHLevel1 4 8" xfId="24170"/>
    <cellStyle name="SAPBEXHLevel1 4 8 2" xfId="24171"/>
    <cellStyle name="SAPBEXHLevel1 4 8 2 2" xfId="24172"/>
    <cellStyle name="SAPBEXHLevel1 4 8 3" xfId="24173"/>
    <cellStyle name="SAPBEXHLevel1 4 9" xfId="24174"/>
    <cellStyle name="SAPBEXHLevel1 4 9 2" xfId="24175"/>
    <cellStyle name="SAPBEXHLevel1 4 9 2 2" xfId="24176"/>
    <cellStyle name="SAPBEXHLevel1 4 9 3" xfId="24177"/>
    <cellStyle name="SAPBEXHLevel1 4_planning-WP" xfId="24178"/>
    <cellStyle name="SAPBEXHLevel1 5" xfId="24179"/>
    <cellStyle name="SAPBEXHLevel1 5 10" xfId="24180"/>
    <cellStyle name="SAPBEXHLevel1 5 10 2" xfId="24181"/>
    <cellStyle name="SAPBEXHLevel1 5 10 2 2" xfId="24182"/>
    <cellStyle name="SAPBEXHLevel1 5 10 3" xfId="24183"/>
    <cellStyle name="SAPBEXHLevel1 5 11" xfId="24184"/>
    <cellStyle name="SAPBEXHLevel1 5 11 2" xfId="24185"/>
    <cellStyle name="SAPBEXHLevel1 5 11 2 2" xfId="24186"/>
    <cellStyle name="SAPBEXHLevel1 5 11 3" xfId="24187"/>
    <cellStyle name="SAPBEXHLevel1 5 12" xfId="24188"/>
    <cellStyle name="SAPBEXHLevel1 5 12 2" xfId="24189"/>
    <cellStyle name="SAPBEXHLevel1 5 12 2 2" xfId="24190"/>
    <cellStyle name="SAPBEXHLevel1 5 12 3" xfId="24191"/>
    <cellStyle name="SAPBEXHLevel1 5 13" xfId="24192"/>
    <cellStyle name="SAPBEXHLevel1 5 14" xfId="39034"/>
    <cellStyle name="SAPBEXHLevel1 5 15" xfId="39421"/>
    <cellStyle name="SAPBEXHLevel1 5 2" xfId="24193"/>
    <cellStyle name="SAPBEXHLevel1 5 2 10" xfId="24194"/>
    <cellStyle name="SAPBEXHLevel1 5 2 10 2" xfId="24195"/>
    <cellStyle name="SAPBEXHLevel1 5 2 10 2 2" xfId="24196"/>
    <cellStyle name="SAPBEXHLevel1 5 2 10 3" xfId="24197"/>
    <cellStyle name="SAPBEXHLevel1 5 2 11" xfId="24198"/>
    <cellStyle name="SAPBEXHLevel1 5 2 11 2" xfId="24199"/>
    <cellStyle name="SAPBEXHLevel1 5 2 2" xfId="24200"/>
    <cellStyle name="SAPBEXHLevel1 5 2 2 10" xfId="24201"/>
    <cellStyle name="SAPBEXHLevel1 5 2 2 10 2" xfId="24202"/>
    <cellStyle name="SAPBEXHLevel1 5 2 2 2" xfId="24203"/>
    <cellStyle name="SAPBEXHLevel1 5 2 2 2 2" xfId="24204"/>
    <cellStyle name="SAPBEXHLevel1 5 2 2 2 2 2" xfId="24205"/>
    <cellStyle name="SAPBEXHLevel1 5 2 2 2 3" xfId="24206"/>
    <cellStyle name="SAPBEXHLevel1 5 2 2 3" xfId="24207"/>
    <cellStyle name="SAPBEXHLevel1 5 2 2 3 2" xfId="24208"/>
    <cellStyle name="SAPBEXHLevel1 5 2 2 3 2 2" xfId="24209"/>
    <cellStyle name="SAPBEXHLevel1 5 2 2 3 3" xfId="24210"/>
    <cellStyle name="SAPBEXHLevel1 5 2 2 4" xfId="24211"/>
    <cellStyle name="SAPBEXHLevel1 5 2 2 4 2" xfId="24212"/>
    <cellStyle name="SAPBEXHLevel1 5 2 2 4 2 2" xfId="24213"/>
    <cellStyle name="SAPBEXHLevel1 5 2 2 4 3" xfId="24214"/>
    <cellStyle name="SAPBEXHLevel1 5 2 2 5" xfId="24215"/>
    <cellStyle name="SAPBEXHLevel1 5 2 2 5 2" xfId="24216"/>
    <cellStyle name="SAPBEXHLevel1 5 2 2 5 2 2" xfId="24217"/>
    <cellStyle name="SAPBEXHLevel1 5 2 2 5 3" xfId="24218"/>
    <cellStyle name="SAPBEXHLevel1 5 2 2 6" xfId="24219"/>
    <cellStyle name="SAPBEXHLevel1 5 2 2 6 2" xfId="24220"/>
    <cellStyle name="SAPBEXHLevel1 5 2 2 6 2 2" xfId="24221"/>
    <cellStyle name="SAPBEXHLevel1 5 2 2 6 3" xfId="24222"/>
    <cellStyle name="SAPBEXHLevel1 5 2 2 7" xfId="24223"/>
    <cellStyle name="SAPBEXHLevel1 5 2 2 7 2" xfId="24224"/>
    <cellStyle name="SAPBEXHLevel1 5 2 2 7 2 2" xfId="24225"/>
    <cellStyle name="SAPBEXHLevel1 5 2 2 7 3" xfId="24226"/>
    <cellStyle name="SAPBEXHLevel1 5 2 2 8" xfId="24227"/>
    <cellStyle name="SAPBEXHLevel1 5 2 2 8 2" xfId="24228"/>
    <cellStyle name="SAPBEXHLevel1 5 2 2 8 2 2" xfId="24229"/>
    <cellStyle name="SAPBEXHLevel1 5 2 2 8 3" xfId="24230"/>
    <cellStyle name="SAPBEXHLevel1 5 2 2 9" xfId="24231"/>
    <cellStyle name="SAPBEXHLevel1 5 2 2 9 2" xfId="24232"/>
    <cellStyle name="SAPBEXHLevel1 5 2 2 9 2 2" xfId="24233"/>
    <cellStyle name="SAPBEXHLevel1 5 2 2 9 3" xfId="24234"/>
    <cellStyle name="SAPBEXHLevel1 5 2 2_planning-WP" xfId="24235"/>
    <cellStyle name="SAPBEXHLevel1 5 2 3" xfId="24236"/>
    <cellStyle name="SAPBEXHLevel1 5 2 3 2" xfId="24237"/>
    <cellStyle name="SAPBEXHLevel1 5 2 3 2 2" xfId="24238"/>
    <cellStyle name="SAPBEXHLevel1 5 2 3 3" xfId="24239"/>
    <cellStyle name="SAPBEXHLevel1 5 2 4" xfId="24240"/>
    <cellStyle name="SAPBEXHLevel1 5 2 4 2" xfId="24241"/>
    <cellStyle name="SAPBEXHLevel1 5 2 4 2 2" xfId="24242"/>
    <cellStyle name="SAPBEXHLevel1 5 2 4 3" xfId="24243"/>
    <cellStyle name="SAPBEXHLevel1 5 2 5" xfId="24244"/>
    <cellStyle name="SAPBEXHLevel1 5 2 5 2" xfId="24245"/>
    <cellStyle name="SAPBEXHLevel1 5 2 5 2 2" xfId="24246"/>
    <cellStyle name="SAPBEXHLevel1 5 2 5 3" xfId="24247"/>
    <cellStyle name="SAPBEXHLevel1 5 2 6" xfId="24248"/>
    <cellStyle name="SAPBEXHLevel1 5 2 6 2" xfId="24249"/>
    <cellStyle name="SAPBEXHLevel1 5 2 6 2 2" xfId="24250"/>
    <cellStyle name="SAPBEXHLevel1 5 2 6 3" xfId="24251"/>
    <cellStyle name="SAPBEXHLevel1 5 2 7" xfId="24252"/>
    <cellStyle name="SAPBEXHLevel1 5 2 7 2" xfId="24253"/>
    <cellStyle name="SAPBEXHLevel1 5 2 7 2 2" xfId="24254"/>
    <cellStyle name="SAPBEXHLevel1 5 2 7 3" xfId="24255"/>
    <cellStyle name="SAPBEXHLevel1 5 2 8" xfId="24256"/>
    <cellStyle name="SAPBEXHLevel1 5 2 8 2" xfId="24257"/>
    <cellStyle name="SAPBEXHLevel1 5 2 8 2 2" xfId="24258"/>
    <cellStyle name="SAPBEXHLevel1 5 2 8 3" xfId="24259"/>
    <cellStyle name="SAPBEXHLevel1 5 2 9" xfId="24260"/>
    <cellStyle name="SAPBEXHLevel1 5 2 9 2" xfId="24261"/>
    <cellStyle name="SAPBEXHLevel1 5 2 9 2 2" xfId="24262"/>
    <cellStyle name="SAPBEXHLevel1 5 2 9 3" xfId="24263"/>
    <cellStyle name="SAPBEXHLevel1 5 2_planning-WP" xfId="24264"/>
    <cellStyle name="SAPBEXHLevel1 5 3" xfId="24265"/>
    <cellStyle name="SAPBEXHLevel1 5 3 10" xfId="24266"/>
    <cellStyle name="SAPBEXHLevel1 5 3 10 2" xfId="24267"/>
    <cellStyle name="SAPBEXHLevel1 5 3 2" xfId="24268"/>
    <cellStyle name="SAPBEXHLevel1 5 3 2 2" xfId="24269"/>
    <cellStyle name="SAPBEXHLevel1 5 3 2 2 2" xfId="24270"/>
    <cellStyle name="SAPBEXHLevel1 5 3 2 3" xfId="24271"/>
    <cellStyle name="SAPBEXHLevel1 5 3 3" xfId="24272"/>
    <cellStyle name="SAPBEXHLevel1 5 3 3 2" xfId="24273"/>
    <cellStyle name="SAPBEXHLevel1 5 3 3 2 2" xfId="24274"/>
    <cellStyle name="SAPBEXHLevel1 5 3 3 3" xfId="24275"/>
    <cellStyle name="SAPBEXHLevel1 5 3 4" xfId="24276"/>
    <cellStyle name="SAPBEXHLevel1 5 3 4 2" xfId="24277"/>
    <cellStyle name="SAPBEXHLevel1 5 3 4 2 2" xfId="24278"/>
    <cellStyle name="SAPBEXHLevel1 5 3 4 3" xfId="24279"/>
    <cellStyle name="SAPBEXHLevel1 5 3 5" xfId="24280"/>
    <cellStyle name="SAPBEXHLevel1 5 3 5 2" xfId="24281"/>
    <cellStyle name="SAPBEXHLevel1 5 3 5 2 2" xfId="24282"/>
    <cellStyle name="SAPBEXHLevel1 5 3 5 3" xfId="24283"/>
    <cellStyle name="SAPBEXHLevel1 5 3 6" xfId="24284"/>
    <cellStyle name="SAPBEXHLevel1 5 3 6 2" xfId="24285"/>
    <cellStyle name="SAPBEXHLevel1 5 3 6 2 2" xfId="24286"/>
    <cellStyle name="SAPBEXHLevel1 5 3 6 3" xfId="24287"/>
    <cellStyle name="SAPBEXHLevel1 5 3 7" xfId="24288"/>
    <cellStyle name="SAPBEXHLevel1 5 3 7 2" xfId="24289"/>
    <cellStyle name="SAPBEXHLevel1 5 3 7 2 2" xfId="24290"/>
    <cellStyle name="SAPBEXHLevel1 5 3 7 3" xfId="24291"/>
    <cellStyle name="SAPBEXHLevel1 5 3 8" xfId="24292"/>
    <cellStyle name="SAPBEXHLevel1 5 3 8 2" xfId="24293"/>
    <cellStyle name="SAPBEXHLevel1 5 3 8 2 2" xfId="24294"/>
    <cellStyle name="SAPBEXHLevel1 5 3 8 3" xfId="24295"/>
    <cellStyle name="SAPBEXHLevel1 5 3 9" xfId="24296"/>
    <cellStyle name="SAPBEXHLevel1 5 3 9 2" xfId="24297"/>
    <cellStyle name="SAPBEXHLevel1 5 3 9 2 2" xfId="24298"/>
    <cellStyle name="SAPBEXHLevel1 5 3 9 3" xfId="24299"/>
    <cellStyle name="SAPBEXHLevel1 5 3_planning-WP" xfId="24300"/>
    <cellStyle name="SAPBEXHLevel1 5 4" xfId="24301"/>
    <cellStyle name="SAPBEXHLevel1 5 4 2" xfId="24302"/>
    <cellStyle name="SAPBEXHLevel1 5 4 2 2" xfId="24303"/>
    <cellStyle name="SAPBEXHLevel1 5 4 2 2 2" xfId="24304"/>
    <cellStyle name="SAPBEXHLevel1 5 4 2 3" xfId="24305"/>
    <cellStyle name="SAPBEXHLevel1 5 4 3" xfId="24306"/>
    <cellStyle name="SAPBEXHLevel1 5 4 3 2" xfId="24307"/>
    <cellStyle name="SAPBEXHLevel1 5 4 3 2 2" xfId="24308"/>
    <cellStyle name="SAPBEXHLevel1 5 4 3 3" xfId="24309"/>
    <cellStyle name="SAPBEXHLevel1 5 4 4" xfId="24310"/>
    <cellStyle name="SAPBEXHLevel1 5 4 4 2" xfId="24311"/>
    <cellStyle name="SAPBEXHLevel1 5 4 4 2 2" xfId="24312"/>
    <cellStyle name="SAPBEXHLevel1 5 4 4 3" xfId="24313"/>
    <cellStyle name="SAPBEXHLevel1 5 4 5" xfId="24314"/>
    <cellStyle name="SAPBEXHLevel1 5 4 5 2" xfId="24315"/>
    <cellStyle name="SAPBEXHLevel1 5 4 5 2 2" xfId="24316"/>
    <cellStyle name="SAPBEXHLevel1 5 4 5 3" xfId="24317"/>
    <cellStyle name="SAPBEXHLevel1 5 4 6" xfId="24318"/>
    <cellStyle name="SAPBEXHLevel1 5 4 6 2" xfId="24319"/>
    <cellStyle name="SAPBEXHLevel1 5 4 6 2 2" xfId="24320"/>
    <cellStyle name="SAPBEXHLevel1 5 4 6 3" xfId="24321"/>
    <cellStyle name="SAPBEXHLevel1 5 4 7" xfId="24322"/>
    <cellStyle name="SAPBEXHLevel1 5 4 7 2" xfId="24323"/>
    <cellStyle name="SAPBEXHLevel1 5 4 7 2 2" xfId="24324"/>
    <cellStyle name="SAPBEXHLevel1 5 4 7 3" xfId="24325"/>
    <cellStyle name="SAPBEXHLevel1 5 4 8" xfId="24326"/>
    <cellStyle name="SAPBEXHLevel1 5 4 8 2" xfId="24327"/>
    <cellStyle name="SAPBEXHLevel1 5 4 8 2 2" xfId="24328"/>
    <cellStyle name="SAPBEXHLevel1 5 4 8 3" xfId="24329"/>
    <cellStyle name="SAPBEXHLevel1 5 4 9" xfId="24330"/>
    <cellStyle name="SAPBEXHLevel1 5 4 9 2" xfId="24331"/>
    <cellStyle name="SAPBEXHLevel1 5 4_planning-WP" xfId="24332"/>
    <cellStyle name="SAPBEXHLevel1 5 5" xfId="24333"/>
    <cellStyle name="SAPBEXHLevel1 5 5 2" xfId="24334"/>
    <cellStyle name="SAPBEXHLevel1 5 5 2 2" xfId="24335"/>
    <cellStyle name="SAPBEXHLevel1 5 6" xfId="24336"/>
    <cellStyle name="SAPBEXHLevel1 5 6 2" xfId="24337"/>
    <cellStyle name="SAPBEXHLevel1 5 6 2 2" xfId="24338"/>
    <cellStyle name="SAPBEXHLevel1 5 6 3" xfId="24339"/>
    <cellStyle name="SAPBEXHLevel1 5 7" xfId="24340"/>
    <cellStyle name="SAPBEXHLevel1 5 7 2" xfId="24341"/>
    <cellStyle name="SAPBEXHLevel1 5 7 2 2" xfId="24342"/>
    <cellStyle name="SAPBEXHLevel1 5 7 3" xfId="24343"/>
    <cellStyle name="SAPBEXHLevel1 5 8" xfId="24344"/>
    <cellStyle name="SAPBEXHLevel1 5 8 2" xfId="24345"/>
    <cellStyle name="SAPBEXHLevel1 5 8 2 2" xfId="24346"/>
    <cellStyle name="SAPBEXHLevel1 5 8 3" xfId="24347"/>
    <cellStyle name="SAPBEXHLevel1 5 9" xfId="24348"/>
    <cellStyle name="SAPBEXHLevel1 5 9 2" xfId="24349"/>
    <cellStyle name="SAPBEXHLevel1 5 9 2 2" xfId="24350"/>
    <cellStyle name="SAPBEXHLevel1 5 9 3" xfId="24351"/>
    <cellStyle name="SAPBEXHLevel1 5_planning-WP" xfId="24352"/>
    <cellStyle name="SAPBEXHLevel1 6" xfId="24353"/>
    <cellStyle name="SAPBEXHLevel1 6 10" xfId="24354"/>
    <cellStyle name="SAPBEXHLevel1 6 10 2" xfId="24355"/>
    <cellStyle name="SAPBEXHLevel1 6 10 2 2" xfId="24356"/>
    <cellStyle name="SAPBEXHLevel1 6 10 3" xfId="24357"/>
    <cellStyle name="SAPBEXHLevel1 6 11" xfId="24358"/>
    <cellStyle name="SAPBEXHLevel1 6 11 2" xfId="24359"/>
    <cellStyle name="SAPBEXHLevel1 6 11 2 2" xfId="24360"/>
    <cellStyle name="SAPBEXHLevel1 6 11 3" xfId="24361"/>
    <cellStyle name="SAPBEXHLevel1 6 12" xfId="24362"/>
    <cellStyle name="SAPBEXHLevel1 6 13" xfId="39035"/>
    <cellStyle name="SAPBEXHLevel1 6 14" xfId="39422"/>
    <cellStyle name="SAPBEXHLevel1 6 2" xfId="24363"/>
    <cellStyle name="SAPBEXHLevel1 6 2 10" xfId="24364"/>
    <cellStyle name="SAPBEXHLevel1 6 2 10 2" xfId="24365"/>
    <cellStyle name="SAPBEXHLevel1 6 2 2" xfId="24366"/>
    <cellStyle name="SAPBEXHLevel1 6 2 2 2" xfId="24367"/>
    <cellStyle name="SAPBEXHLevel1 6 2 2 2 2" xfId="24368"/>
    <cellStyle name="SAPBEXHLevel1 6 2 2 3" xfId="24369"/>
    <cellStyle name="SAPBEXHLevel1 6 2 3" xfId="24370"/>
    <cellStyle name="SAPBEXHLevel1 6 2 3 2" xfId="24371"/>
    <cellStyle name="SAPBEXHLevel1 6 2 3 2 2" xfId="24372"/>
    <cellStyle name="SAPBEXHLevel1 6 2 3 3" xfId="24373"/>
    <cellStyle name="SAPBEXHLevel1 6 2 4" xfId="24374"/>
    <cellStyle name="SAPBEXHLevel1 6 2 4 2" xfId="24375"/>
    <cellStyle name="SAPBEXHLevel1 6 2 4 2 2" xfId="24376"/>
    <cellStyle name="SAPBEXHLevel1 6 2 4 3" xfId="24377"/>
    <cellStyle name="SAPBEXHLevel1 6 2 5" xfId="24378"/>
    <cellStyle name="SAPBEXHLevel1 6 2 5 2" xfId="24379"/>
    <cellStyle name="SAPBEXHLevel1 6 2 5 2 2" xfId="24380"/>
    <cellStyle name="SAPBEXHLevel1 6 2 5 3" xfId="24381"/>
    <cellStyle name="SAPBEXHLevel1 6 2 6" xfId="24382"/>
    <cellStyle name="SAPBEXHLevel1 6 2 6 2" xfId="24383"/>
    <cellStyle name="SAPBEXHLevel1 6 2 6 2 2" xfId="24384"/>
    <cellStyle name="SAPBEXHLevel1 6 2 6 3" xfId="24385"/>
    <cellStyle name="SAPBEXHLevel1 6 2 7" xfId="24386"/>
    <cellStyle name="SAPBEXHLevel1 6 2 7 2" xfId="24387"/>
    <cellStyle name="SAPBEXHLevel1 6 2 7 2 2" xfId="24388"/>
    <cellStyle name="SAPBEXHLevel1 6 2 7 3" xfId="24389"/>
    <cellStyle name="SAPBEXHLevel1 6 2 8" xfId="24390"/>
    <cellStyle name="SAPBEXHLevel1 6 2 8 2" xfId="24391"/>
    <cellStyle name="SAPBEXHLevel1 6 2 8 2 2" xfId="24392"/>
    <cellStyle name="SAPBEXHLevel1 6 2 8 3" xfId="24393"/>
    <cellStyle name="SAPBEXHLevel1 6 2 9" xfId="24394"/>
    <cellStyle name="SAPBEXHLevel1 6 2 9 2" xfId="24395"/>
    <cellStyle name="SAPBEXHLevel1 6 2 9 2 2" xfId="24396"/>
    <cellStyle name="SAPBEXHLevel1 6 2 9 3" xfId="24397"/>
    <cellStyle name="SAPBEXHLevel1 6 2_planning-WP" xfId="24398"/>
    <cellStyle name="SAPBEXHLevel1 6 3" xfId="24399"/>
    <cellStyle name="SAPBEXHLevel1 6 3 2" xfId="24400"/>
    <cellStyle name="SAPBEXHLevel1 6 3 2 2" xfId="24401"/>
    <cellStyle name="SAPBEXHLevel1 6 3 2 2 2" xfId="24402"/>
    <cellStyle name="SAPBEXHLevel1 6 3 2 3" xfId="24403"/>
    <cellStyle name="SAPBEXHLevel1 6 3 3" xfId="24404"/>
    <cellStyle name="SAPBEXHLevel1 6 3 3 2" xfId="24405"/>
    <cellStyle name="SAPBEXHLevel1 6 3 3 2 2" xfId="24406"/>
    <cellStyle name="SAPBEXHLevel1 6 3 3 3" xfId="24407"/>
    <cellStyle name="SAPBEXHLevel1 6 3 4" xfId="24408"/>
    <cellStyle name="SAPBEXHLevel1 6 3 4 2" xfId="24409"/>
    <cellStyle name="SAPBEXHLevel1 6 3 4 2 2" xfId="24410"/>
    <cellStyle name="SAPBEXHLevel1 6 3 4 3" xfId="24411"/>
    <cellStyle name="SAPBEXHLevel1 6 3 5" xfId="24412"/>
    <cellStyle name="SAPBEXHLevel1 6 3 5 2" xfId="24413"/>
    <cellStyle name="SAPBEXHLevel1 6 3 5 2 2" xfId="24414"/>
    <cellStyle name="SAPBEXHLevel1 6 3 5 3" xfId="24415"/>
    <cellStyle name="SAPBEXHLevel1 6 3 6" xfId="24416"/>
    <cellStyle name="SAPBEXHLevel1 6 3 6 2" xfId="24417"/>
    <cellStyle name="SAPBEXHLevel1 6 3 6 2 2" xfId="24418"/>
    <cellStyle name="SAPBEXHLevel1 6 3 6 3" xfId="24419"/>
    <cellStyle name="SAPBEXHLevel1 6 3 7" xfId="24420"/>
    <cellStyle name="SAPBEXHLevel1 6 3 7 2" xfId="24421"/>
    <cellStyle name="SAPBEXHLevel1 6 3 7 2 2" xfId="24422"/>
    <cellStyle name="SAPBEXHLevel1 6 3 7 3" xfId="24423"/>
    <cellStyle name="SAPBEXHLevel1 6 3 8" xfId="24424"/>
    <cellStyle name="SAPBEXHLevel1 6 3 8 2" xfId="24425"/>
    <cellStyle name="SAPBEXHLevel1 6 3 8 2 2" xfId="24426"/>
    <cellStyle name="SAPBEXHLevel1 6 3 8 3" xfId="24427"/>
    <cellStyle name="SAPBEXHLevel1 6 3 9" xfId="24428"/>
    <cellStyle name="SAPBEXHLevel1 6 3 9 2" xfId="24429"/>
    <cellStyle name="SAPBEXHLevel1 6 3_planning-WP" xfId="24430"/>
    <cellStyle name="SAPBEXHLevel1 6 4" xfId="24431"/>
    <cellStyle name="SAPBEXHLevel1 6 4 2" xfId="24432"/>
    <cellStyle name="SAPBEXHLevel1 6 4 2 2" xfId="24433"/>
    <cellStyle name="SAPBEXHLevel1 6 5" xfId="24434"/>
    <cellStyle name="SAPBEXHLevel1 6 5 2" xfId="24435"/>
    <cellStyle name="SAPBEXHLevel1 6 5 2 2" xfId="24436"/>
    <cellStyle name="SAPBEXHLevel1 6 5 3" xfId="24437"/>
    <cellStyle name="SAPBEXHLevel1 6 6" xfId="24438"/>
    <cellStyle name="SAPBEXHLevel1 6 6 2" xfId="24439"/>
    <cellStyle name="SAPBEXHLevel1 6 6 2 2" xfId="24440"/>
    <cellStyle name="SAPBEXHLevel1 6 6 3" xfId="24441"/>
    <cellStyle name="SAPBEXHLevel1 6 7" xfId="24442"/>
    <cellStyle name="SAPBEXHLevel1 6 7 2" xfId="24443"/>
    <cellStyle name="SAPBEXHLevel1 6 7 2 2" xfId="24444"/>
    <cellStyle name="SAPBEXHLevel1 6 7 3" xfId="24445"/>
    <cellStyle name="SAPBEXHLevel1 6 8" xfId="24446"/>
    <cellStyle name="SAPBEXHLevel1 6 8 2" xfId="24447"/>
    <cellStyle name="SAPBEXHLevel1 6 8 2 2" xfId="24448"/>
    <cellStyle name="SAPBEXHLevel1 6 8 3" xfId="24449"/>
    <cellStyle name="SAPBEXHLevel1 6 9" xfId="24450"/>
    <cellStyle name="SAPBEXHLevel1 6 9 2" xfId="24451"/>
    <cellStyle name="SAPBEXHLevel1 6 9 2 2" xfId="24452"/>
    <cellStyle name="SAPBEXHLevel1 6 9 3" xfId="24453"/>
    <cellStyle name="SAPBEXHLevel1 6_planning-WP" xfId="24454"/>
    <cellStyle name="SAPBEXHLevel1 7" xfId="24455"/>
    <cellStyle name="SAPBEXHLevel1 7 10" xfId="24456"/>
    <cellStyle name="SAPBEXHLevel1 7 10 2" xfId="24457"/>
    <cellStyle name="SAPBEXHLevel1 7 10 2 2" xfId="24458"/>
    <cellStyle name="SAPBEXHLevel1 7 10 3" xfId="24459"/>
    <cellStyle name="SAPBEXHLevel1 7 11" xfId="24460"/>
    <cellStyle name="SAPBEXHLevel1 7 11 2" xfId="24461"/>
    <cellStyle name="SAPBEXHLevel1 7 12" xfId="39036"/>
    <cellStyle name="SAPBEXHLevel1 7 13" xfId="39423"/>
    <cellStyle name="SAPBEXHLevel1 7 2" xfId="24462"/>
    <cellStyle name="SAPBEXHLevel1 7 2 10" xfId="24463"/>
    <cellStyle name="SAPBEXHLevel1 7 2 10 2" xfId="24464"/>
    <cellStyle name="SAPBEXHLevel1 7 2 2" xfId="24465"/>
    <cellStyle name="SAPBEXHLevel1 7 2 2 2" xfId="24466"/>
    <cellStyle name="SAPBEXHLevel1 7 2 2 2 2" xfId="24467"/>
    <cellStyle name="SAPBEXHLevel1 7 2 2 3" xfId="24468"/>
    <cellStyle name="SAPBEXHLevel1 7 2 3" xfId="24469"/>
    <cellStyle name="SAPBEXHLevel1 7 2 3 2" xfId="24470"/>
    <cellStyle name="SAPBEXHLevel1 7 2 3 2 2" xfId="24471"/>
    <cellStyle name="SAPBEXHLevel1 7 2 3 3" xfId="24472"/>
    <cellStyle name="SAPBEXHLevel1 7 2 4" xfId="24473"/>
    <cellStyle name="SAPBEXHLevel1 7 2 4 2" xfId="24474"/>
    <cellStyle name="SAPBEXHLevel1 7 2 4 2 2" xfId="24475"/>
    <cellStyle name="SAPBEXHLevel1 7 2 4 3" xfId="24476"/>
    <cellStyle name="SAPBEXHLevel1 7 2 5" xfId="24477"/>
    <cellStyle name="SAPBEXHLevel1 7 2 5 2" xfId="24478"/>
    <cellStyle name="SAPBEXHLevel1 7 2 5 2 2" xfId="24479"/>
    <cellStyle name="SAPBEXHLevel1 7 2 5 3" xfId="24480"/>
    <cellStyle name="SAPBEXHLevel1 7 2 6" xfId="24481"/>
    <cellStyle name="SAPBEXHLevel1 7 2 6 2" xfId="24482"/>
    <cellStyle name="SAPBEXHLevel1 7 2 6 2 2" xfId="24483"/>
    <cellStyle name="SAPBEXHLevel1 7 2 6 3" xfId="24484"/>
    <cellStyle name="SAPBEXHLevel1 7 2 7" xfId="24485"/>
    <cellStyle name="SAPBEXHLevel1 7 2 7 2" xfId="24486"/>
    <cellStyle name="SAPBEXHLevel1 7 2 7 2 2" xfId="24487"/>
    <cellStyle name="SAPBEXHLevel1 7 2 7 3" xfId="24488"/>
    <cellStyle name="SAPBEXHLevel1 7 2 8" xfId="24489"/>
    <cellStyle name="SAPBEXHLevel1 7 2 8 2" xfId="24490"/>
    <cellStyle name="SAPBEXHLevel1 7 2 8 2 2" xfId="24491"/>
    <cellStyle name="SAPBEXHLevel1 7 2 8 3" xfId="24492"/>
    <cellStyle name="SAPBEXHLevel1 7 2 9" xfId="24493"/>
    <cellStyle name="SAPBEXHLevel1 7 2 9 2" xfId="24494"/>
    <cellStyle name="SAPBEXHLevel1 7 2 9 2 2" xfId="24495"/>
    <cellStyle name="SAPBEXHLevel1 7 2 9 3" xfId="24496"/>
    <cellStyle name="SAPBEXHLevel1 7 2_planning-WP" xfId="24497"/>
    <cellStyle name="SAPBEXHLevel1 7 3" xfId="24498"/>
    <cellStyle name="SAPBEXHLevel1 7 3 2" xfId="24499"/>
    <cellStyle name="SAPBEXHLevel1 7 3 2 2" xfId="24500"/>
    <cellStyle name="SAPBEXHLevel1 7 3 3" xfId="24501"/>
    <cellStyle name="SAPBEXHLevel1 7 4" xfId="24502"/>
    <cellStyle name="SAPBEXHLevel1 7 4 2" xfId="24503"/>
    <cellStyle name="SAPBEXHLevel1 7 4 2 2" xfId="24504"/>
    <cellStyle name="SAPBEXHLevel1 7 4 3" xfId="24505"/>
    <cellStyle name="SAPBEXHLevel1 7 5" xfId="24506"/>
    <cellStyle name="SAPBEXHLevel1 7 5 2" xfId="24507"/>
    <cellStyle name="SAPBEXHLevel1 7 5 2 2" xfId="24508"/>
    <cellStyle name="SAPBEXHLevel1 7 5 3" xfId="24509"/>
    <cellStyle name="SAPBEXHLevel1 7 6" xfId="24510"/>
    <cellStyle name="SAPBEXHLevel1 7 6 2" xfId="24511"/>
    <cellStyle name="SAPBEXHLevel1 7 6 2 2" xfId="24512"/>
    <cellStyle name="SAPBEXHLevel1 7 6 3" xfId="24513"/>
    <cellStyle name="SAPBEXHLevel1 7 7" xfId="24514"/>
    <cellStyle name="SAPBEXHLevel1 7 7 2" xfId="24515"/>
    <cellStyle name="SAPBEXHLevel1 7 7 2 2" xfId="24516"/>
    <cellStyle name="SAPBEXHLevel1 7 7 3" xfId="24517"/>
    <cellStyle name="SAPBEXHLevel1 7 8" xfId="24518"/>
    <cellStyle name="SAPBEXHLevel1 7 8 2" xfId="24519"/>
    <cellStyle name="SAPBEXHLevel1 7 8 2 2" xfId="24520"/>
    <cellStyle name="SAPBEXHLevel1 7 8 3" xfId="24521"/>
    <cellStyle name="SAPBEXHLevel1 7 9" xfId="24522"/>
    <cellStyle name="SAPBEXHLevel1 7 9 2" xfId="24523"/>
    <cellStyle name="SAPBEXHLevel1 7 9 2 2" xfId="24524"/>
    <cellStyle name="SAPBEXHLevel1 7 9 3" xfId="24525"/>
    <cellStyle name="SAPBEXHLevel1 7_planning-WP" xfId="24526"/>
    <cellStyle name="SAPBEXHLevel1 8" xfId="24527"/>
    <cellStyle name="SAPBEXHLevel1 8 10" xfId="24528"/>
    <cellStyle name="SAPBEXHLevel1 8 10 2" xfId="24529"/>
    <cellStyle name="SAPBEXHLevel1 8 11" xfId="39037"/>
    <cellStyle name="SAPBEXHLevel1 8 12" xfId="39424"/>
    <cellStyle name="SAPBEXHLevel1 8 2" xfId="24530"/>
    <cellStyle name="SAPBEXHLevel1 8 2 2" xfId="24531"/>
    <cellStyle name="SAPBEXHLevel1 8 2 2 2" xfId="24532"/>
    <cellStyle name="SAPBEXHLevel1 8 2 3" xfId="24533"/>
    <cellStyle name="SAPBEXHLevel1 8 3" xfId="24534"/>
    <cellStyle name="SAPBEXHLevel1 8 3 2" xfId="24535"/>
    <cellStyle name="SAPBEXHLevel1 8 3 2 2" xfId="24536"/>
    <cellStyle name="SAPBEXHLevel1 8 3 3" xfId="24537"/>
    <cellStyle name="SAPBEXHLevel1 8 4" xfId="24538"/>
    <cellStyle name="SAPBEXHLevel1 8 4 2" xfId="24539"/>
    <cellStyle name="SAPBEXHLevel1 8 4 2 2" xfId="24540"/>
    <cellStyle name="SAPBEXHLevel1 8 4 3" xfId="24541"/>
    <cellStyle name="SAPBEXHLevel1 8 5" xfId="24542"/>
    <cellStyle name="SAPBEXHLevel1 8 5 2" xfId="24543"/>
    <cellStyle name="SAPBEXHLevel1 8 5 2 2" xfId="24544"/>
    <cellStyle name="SAPBEXHLevel1 8 5 3" xfId="24545"/>
    <cellStyle name="SAPBEXHLevel1 8 6" xfId="24546"/>
    <cellStyle name="SAPBEXHLevel1 8 6 2" xfId="24547"/>
    <cellStyle name="SAPBEXHLevel1 8 6 2 2" xfId="24548"/>
    <cellStyle name="SAPBEXHLevel1 8 6 3" xfId="24549"/>
    <cellStyle name="SAPBEXHLevel1 8 7" xfId="24550"/>
    <cellStyle name="SAPBEXHLevel1 8 7 2" xfId="24551"/>
    <cellStyle name="SAPBEXHLevel1 8 7 2 2" xfId="24552"/>
    <cellStyle name="SAPBEXHLevel1 8 7 3" xfId="24553"/>
    <cellStyle name="SAPBEXHLevel1 8 8" xfId="24554"/>
    <cellStyle name="SAPBEXHLevel1 8 8 2" xfId="24555"/>
    <cellStyle name="SAPBEXHLevel1 8 8 2 2" xfId="24556"/>
    <cellStyle name="SAPBEXHLevel1 8 8 3" xfId="24557"/>
    <cellStyle name="SAPBEXHLevel1 8 9" xfId="24558"/>
    <cellStyle name="SAPBEXHLevel1 8 9 2" xfId="24559"/>
    <cellStyle name="SAPBEXHLevel1 8 9 2 2" xfId="24560"/>
    <cellStyle name="SAPBEXHLevel1 8 9 3" xfId="24561"/>
    <cellStyle name="SAPBEXHLevel1 8_planning-WP" xfId="24562"/>
    <cellStyle name="SAPBEXHLevel1 9" xfId="24563"/>
    <cellStyle name="SAPBEXHLevel1 9 2" xfId="24564"/>
    <cellStyle name="SAPBEXHLevel1 9 2 2" xfId="24565"/>
    <cellStyle name="SAPBEXHLevel1 9 2 2 2" xfId="24566"/>
    <cellStyle name="SAPBEXHLevel1 9 2 3" xfId="24567"/>
    <cellStyle name="SAPBEXHLevel1 9 3" xfId="24568"/>
    <cellStyle name="SAPBEXHLevel1 9 3 2" xfId="24569"/>
    <cellStyle name="SAPBEXHLevel1 9 3 2 2" xfId="24570"/>
    <cellStyle name="SAPBEXHLevel1 9 3 3" xfId="24571"/>
    <cellStyle name="SAPBEXHLevel1 9 4" xfId="24572"/>
    <cellStyle name="SAPBEXHLevel1 9 4 2" xfId="24573"/>
    <cellStyle name="SAPBEXHLevel1 9 4 2 2" xfId="24574"/>
    <cellStyle name="SAPBEXHLevel1 9 4 3" xfId="24575"/>
    <cellStyle name="SAPBEXHLevel1 9 5" xfId="24576"/>
    <cellStyle name="SAPBEXHLevel1 9 5 2" xfId="24577"/>
    <cellStyle name="SAPBEXHLevel1 9 5 2 2" xfId="24578"/>
    <cellStyle name="SAPBEXHLevel1 9 5 3" xfId="24579"/>
    <cellStyle name="SAPBEXHLevel1 9 6" xfId="24580"/>
    <cellStyle name="SAPBEXHLevel1 9 6 2" xfId="24581"/>
    <cellStyle name="SAPBEXHLevel1 9 6 2 2" xfId="24582"/>
    <cellStyle name="SAPBEXHLevel1 9 6 3" xfId="24583"/>
    <cellStyle name="SAPBEXHLevel1 9 7" xfId="24584"/>
    <cellStyle name="SAPBEXHLevel1 9 7 2" xfId="24585"/>
    <cellStyle name="SAPBEXHLevel1 9 7 2 2" xfId="24586"/>
    <cellStyle name="SAPBEXHLevel1 9 7 3" xfId="24587"/>
    <cellStyle name="SAPBEXHLevel1 9 8" xfId="24588"/>
    <cellStyle name="SAPBEXHLevel1 9 8 2" xfId="24589"/>
    <cellStyle name="SAPBEXHLevel1 9 8 2 2" xfId="24590"/>
    <cellStyle name="SAPBEXHLevel1 9 8 3" xfId="24591"/>
    <cellStyle name="SAPBEXHLevel1 9 9" xfId="24592"/>
    <cellStyle name="SAPBEXHLevel1 9 9 2" xfId="24593"/>
    <cellStyle name="SAPBEXHLevel1 9_planning-WP" xfId="24594"/>
    <cellStyle name="SAPBEXHLevel1_19.RessDest CUC CS SEE+SEM 1009" xfId="39038"/>
    <cellStyle name="SAPBEXHLevel1X" xfId="24595"/>
    <cellStyle name="SAPBEXHLevel1X 10" xfId="24596"/>
    <cellStyle name="SAPBEXHLevel1X 10 2" xfId="24597"/>
    <cellStyle name="SAPBEXHLevel1X 10 2 2" xfId="24598"/>
    <cellStyle name="SAPBEXHLevel1X 11" xfId="24599"/>
    <cellStyle name="SAPBEXHLevel1X 11 2" xfId="24600"/>
    <cellStyle name="SAPBEXHLevel1X 11 2 2" xfId="24601"/>
    <cellStyle name="SAPBEXHLevel1X 11 3" xfId="24602"/>
    <cellStyle name="SAPBEXHLevel1X 12" xfId="24603"/>
    <cellStyle name="SAPBEXHLevel1X 12 2" xfId="24604"/>
    <cellStyle name="SAPBEXHLevel1X 12 2 2" xfId="24605"/>
    <cellStyle name="SAPBEXHLevel1X 12 3" xfId="24606"/>
    <cellStyle name="SAPBEXHLevel1X 13" xfId="24607"/>
    <cellStyle name="SAPBEXHLevel1X 13 2" xfId="24608"/>
    <cellStyle name="SAPBEXHLevel1X 13 2 2" xfId="24609"/>
    <cellStyle name="SAPBEXHLevel1X 13 3" xfId="24610"/>
    <cellStyle name="SAPBEXHLevel1X 14" xfId="24611"/>
    <cellStyle name="SAPBEXHLevel1X 14 2" xfId="24612"/>
    <cellStyle name="SAPBEXHLevel1X 14 2 2" xfId="24613"/>
    <cellStyle name="SAPBEXHLevel1X 14 3" xfId="24614"/>
    <cellStyle name="SAPBEXHLevel1X 15" xfId="24615"/>
    <cellStyle name="SAPBEXHLevel1X 15 2" xfId="24616"/>
    <cellStyle name="SAPBEXHLevel1X 15 2 2" xfId="24617"/>
    <cellStyle name="SAPBEXHLevel1X 15 3" xfId="24618"/>
    <cellStyle name="SAPBEXHLevel1X 16" xfId="24619"/>
    <cellStyle name="SAPBEXHLevel1X 16 2" xfId="24620"/>
    <cellStyle name="SAPBEXHLevel1X 16 2 2" xfId="24621"/>
    <cellStyle name="SAPBEXHLevel1X 16 3" xfId="24622"/>
    <cellStyle name="SAPBEXHLevel1X 17" xfId="24623"/>
    <cellStyle name="SAPBEXHLevel1X 17 2" xfId="24624"/>
    <cellStyle name="SAPBEXHLevel1X 17 2 2" xfId="24625"/>
    <cellStyle name="SAPBEXHLevel1X 17 3" xfId="24626"/>
    <cellStyle name="SAPBEXHLevel1X 18" xfId="24627"/>
    <cellStyle name="SAPBEXHLevel1X 19" xfId="39039"/>
    <cellStyle name="SAPBEXHLevel1X 2" xfId="24628"/>
    <cellStyle name="SAPBEXHLevel1X 2 10" xfId="24629"/>
    <cellStyle name="SAPBEXHLevel1X 2 10 2" xfId="24630"/>
    <cellStyle name="SAPBEXHLevel1X 2 10 2 2" xfId="24631"/>
    <cellStyle name="SAPBEXHLevel1X 2 10 3" xfId="24632"/>
    <cellStyle name="SAPBEXHLevel1X 2 11" xfId="24633"/>
    <cellStyle name="SAPBEXHLevel1X 2 11 2" xfId="24634"/>
    <cellStyle name="SAPBEXHLevel1X 2 11 2 2" xfId="24635"/>
    <cellStyle name="SAPBEXHLevel1X 2 11 3" xfId="24636"/>
    <cellStyle name="SAPBEXHLevel1X 2 12" xfId="24637"/>
    <cellStyle name="SAPBEXHLevel1X 2 12 2" xfId="24638"/>
    <cellStyle name="SAPBEXHLevel1X 2 12 2 2" xfId="24639"/>
    <cellStyle name="SAPBEXHLevel1X 2 12 3" xfId="24640"/>
    <cellStyle name="SAPBEXHLevel1X 2 13" xfId="24641"/>
    <cellStyle name="SAPBEXHLevel1X 2 14" xfId="39040"/>
    <cellStyle name="SAPBEXHLevel1X 2 15" xfId="39426"/>
    <cellStyle name="SAPBEXHLevel1X 2 2" xfId="24642"/>
    <cellStyle name="SAPBEXHLevel1X 2 2 10" xfId="24643"/>
    <cellStyle name="SAPBEXHLevel1X 2 2 10 2" xfId="24644"/>
    <cellStyle name="SAPBEXHLevel1X 2 2 10 2 2" xfId="24645"/>
    <cellStyle name="SAPBEXHLevel1X 2 2 10 3" xfId="24646"/>
    <cellStyle name="SAPBEXHLevel1X 2 2 11" xfId="24647"/>
    <cellStyle name="SAPBEXHLevel1X 2 2 11 2" xfId="24648"/>
    <cellStyle name="SAPBEXHLevel1X 2 2 12" xfId="39041"/>
    <cellStyle name="SAPBEXHLevel1X 2 2 13" xfId="39427"/>
    <cellStyle name="SAPBEXHLevel1X 2 2 2" xfId="24649"/>
    <cellStyle name="SAPBEXHLevel1X 2 2 2 10" xfId="24650"/>
    <cellStyle name="SAPBEXHLevel1X 2 2 2 10 2" xfId="24651"/>
    <cellStyle name="SAPBEXHLevel1X 2 2 2 2" xfId="24652"/>
    <cellStyle name="SAPBEXHLevel1X 2 2 2 2 2" xfId="24653"/>
    <cellStyle name="SAPBEXHLevel1X 2 2 2 2 2 2" xfId="24654"/>
    <cellStyle name="SAPBEXHLevel1X 2 2 2 2 3" xfId="24655"/>
    <cellStyle name="SAPBEXHLevel1X 2 2 2 3" xfId="24656"/>
    <cellStyle name="SAPBEXHLevel1X 2 2 2 3 2" xfId="24657"/>
    <cellStyle name="SAPBEXHLevel1X 2 2 2 3 2 2" xfId="24658"/>
    <cellStyle name="SAPBEXHLevel1X 2 2 2 3 3" xfId="24659"/>
    <cellStyle name="SAPBEXHLevel1X 2 2 2 4" xfId="24660"/>
    <cellStyle name="SAPBEXHLevel1X 2 2 2 4 2" xfId="24661"/>
    <cellStyle name="SAPBEXHLevel1X 2 2 2 4 2 2" xfId="24662"/>
    <cellStyle name="SAPBEXHLevel1X 2 2 2 4 3" xfId="24663"/>
    <cellStyle name="SAPBEXHLevel1X 2 2 2 5" xfId="24664"/>
    <cellStyle name="SAPBEXHLevel1X 2 2 2 5 2" xfId="24665"/>
    <cellStyle name="SAPBEXHLevel1X 2 2 2 5 2 2" xfId="24666"/>
    <cellStyle name="SAPBEXHLevel1X 2 2 2 5 3" xfId="24667"/>
    <cellStyle name="SAPBEXHLevel1X 2 2 2 6" xfId="24668"/>
    <cellStyle name="SAPBEXHLevel1X 2 2 2 6 2" xfId="24669"/>
    <cellStyle name="SAPBEXHLevel1X 2 2 2 6 2 2" xfId="24670"/>
    <cellStyle name="SAPBEXHLevel1X 2 2 2 6 3" xfId="24671"/>
    <cellStyle name="SAPBEXHLevel1X 2 2 2 7" xfId="24672"/>
    <cellStyle name="SAPBEXHLevel1X 2 2 2 7 2" xfId="24673"/>
    <cellStyle name="SAPBEXHLevel1X 2 2 2 7 2 2" xfId="24674"/>
    <cellStyle name="SAPBEXHLevel1X 2 2 2 7 3" xfId="24675"/>
    <cellStyle name="SAPBEXHLevel1X 2 2 2 8" xfId="24676"/>
    <cellStyle name="SAPBEXHLevel1X 2 2 2 8 2" xfId="24677"/>
    <cellStyle name="SAPBEXHLevel1X 2 2 2 8 2 2" xfId="24678"/>
    <cellStyle name="SAPBEXHLevel1X 2 2 2 8 3" xfId="24679"/>
    <cellStyle name="SAPBEXHLevel1X 2 2 2 9" xfId="24680"/>
    <cellStyle name="SAPBEXHLevel1X 2 2 2 9 2" xfId="24681"/>
    <cellStyle name="SAPBEXHLevel1X 2 2 2 9 2 2" xfId="24682"/>
    <cellStyle name="SAPBEXHLevel1X 2 2 2 9 3" xfId="24683"/>
    <cellStyle name="SAPBEXHLevel1X 2 2 2_planning-WP" xfId="24684"/>
    <cellStyle name="SAPBEXHLevel1X 2 2 3" xfId="24685"/>
    <cellStyle name="SAPBEXHLevel1X 2 2 3 2" xfId="24686"/>
    <cellStyle name="SAPBEXHLevel1X 2 2 3 2 2" xfId="24687"/>
    <cellStyle name="SAPBEXHLevel1X 2 2 3 3" xfId="24688"/>
    <cellStyle name="SAPBEXHLevel1X 2 2 4" xfId="24689"/>
    <cellStyle name="SAPBEXHLevel1X 2 2 4 2" xfId="24690"/>
    <cellStyle name="SAPBEXHLevel1X 2 2 4 2 2" xfId="24691"/>
    <cellStyle name="SAPBEXHLevel1X 2 2 4 3" xfId="24692"/>
    <cellStyle name="SAPBEXHLevel1X 2 2 5" xfId="24693"/>
    <cellStyle name="SAPBEXHLevel1X 2 2 5 2" xfId="24694"/>
    <cellStyle name="SAPBEXHLevel1X 2 2 5 2 2" xfId="24695"/>
    <cellStyle name="SAPBEXHLevel1X 2 2 5 3" xfId="24696"/>
    <cellStyle name="SAPBEXHLevel1X 2 2 6" xfId="24697"/>
    <cellStyle name="SAPBEXHLevel1X 2 2 6 2" xfId="24698"/>
    <cellStyle name="SAPBEXHLevel1X 2 2 6 2 2" xfId="24699"/>
    <cellStyle name="SAPBEXHLevel1X 2 2 6 3" xfId="24700"/>
    <cellStyle name="SAPBEXHLevel1X 2 2 7" xfId="24701"/>
    <cellStyle name="SAPBEXHLevel1X 2 2 7 2" xfId="24702"/>
    <cellStyle name="SAPBEXHLevel1X 2 2 7 2 2" xfId="24703"/>
    <cellStyle name="SAPBEXHLevel1X 2 2 7 3" xfId="24704"/>
    <cellStyle name="SAPBEXHLevel1X 2 2 8" xfId="24705"/>
    <cellStyle name="SAPBEXHLevel1X 2 2 8 2" xfId="24706"/>
    <cellStyle name="SAPBEXHLevel1X 2 2 8 2 2" xfId="24707"/>
    <cellStyle name="SAPBEXHLevel1X 2 2 8 3" xfId="24708"/>
    <cellStyle name="SAPBEXHLevel1X 2 2 9" xfId="24709"/>
    <cellStyle name="SAPBEXHLevel1X 2 2 9 2" xfId="24710"/>
    <cellStyle name="SAPBEXHLevel1X 2 2 9 2 2" xfId="24711"/>
    <cellStyle name="SAPBEXHLevel1X 2 2 9 3" xfId="24712"/>
    <cellStyle name="SAPBEXHLevel1X 2 2_planning-WP" xfId="24713"/>
    <cellStyle name="SAPBEXHLevel1X 2 3" xfId="24714"/>
    <cellStyle name="SAPBEXHLevel1X 2 3 10" xfId="24715"/>
    <cellStyle name="SAPBEXHLevel1X 2 3 10 2" xfId="24716"/>
    <cellStyle name="SAPBEXHLevel1X 2 3 2" xfId="24717"/>
    <cellStyle name="SAPBEXHLevel1X 2 3 2 2" xfId="24718"/>
    <cellStyle name="SAPBEXHLevel1X 2 3 2 2 2" xfId="24719"/>
    <cellStyle name="SAPBEXHLevel1X 2 3 2 3" xfId="24720"/>
    <cellStyle name="SAPBEXHLevel1X 2 3 3" xfId="24721"/>
    <cellStyle name="SAPBEXHLevel1X 2 3 3 2" xfId="24722"/>
    <cellStyle name="SAPBEXHLevel1X 2 3 3 2 2" xfId="24723"/>
    <cellStyle name="SAPBEXHLevel1X 2 3 3 3" xfId="24724"/>
    <cellStyle name="SAPBEXHLevel1X 2 3 4" xfId="24725"/>
    <cellStyle name="SAPBEXHLevel1X 2 3 4 2" xfId="24726"/>
    <cellStyle name="SAPBEXHLevel1X 2 3 4 2 2" xfId="24727"/>
    <cellStyle name="SAPBEXHLevel1X 2 3 4 3" xfId="24728"/>
    <cellStyle name="SAPBEXHLevel1X 2 3 5" xfId="24729"/>
    <cellStyle name="SAPBEXHLevel1X 2 3 5 2" xfId="24730"/>
    <cellStyle name="SAPBEXHLevel1X 2 3 5 2 2" xfId="24731"/>
    <cellStyle name="SAPBEXHLevel1X 2 3 5 3" xfId="24732"/>
    <cellStyle name="SAPBEXHLevel1X 2 3 6" xfId="24733"/>
    <cellStyle name="SAPBEXHLevel1X 2 3 6 2" xfId="24734"/>
    <cellStyle name="SAPBEXHLevel1X 2 3 6 2 2" xfId="24735"/>
    <cellStyle name="SAPBEXHLevel1X 2 3 6 3" xfId="24736"/>
    <cellStyle name="SAPBEXHLevel1X 2 3 7" xfId="24737"/>
    <cellStyle name="SAPBEXHLevel1X 2 3 7 2" xfId="24738"/>
    <cellStyle name="SAPBEXHLevel1X 2 3 7 2 2" xfId="24739"/>
    <cellStyle name="SAPBEXHLevel1X 2 3 7 3" xfId="24740"/>
    <cellStyle name="SAPBEXHLevel1X 2 3 8" xfId="24741"/>
    <cellStyle name="SAPBEXHLevel1X 2 3 8 2" xfId="24742"/>
    <cellStyle name="SAPBEXHLevel1X 2 3 8 2 2" xfId="24743"/>
    <cellStyle name="SAPBEXHLevel1X 2 3 8 3" xfId="24744"/>
    <cellStyle name="SAPBEXHLevel1X 2 3 9" xfId="24745"/>
    <cellStyle name="SAPBEXHLevel1X 2 3 9 2" xfId="24746"/>
    <cellStyle name="SAPBEXHLevel1X 2 3 9 2 2" xfId="24747"/>
    <cellStyle name="SAPBEXHLevel1X 2 3 9 3" xfId="24748"/>
    <cellStyle name="SAPBEXHLevel1X 2 3_planning-WP" xfId="24749"/>
    <cellStyle name="SAPBEXHLevel1X 2 4" xfId="24750"/>
    <cellStyle name="SAPBEXHLevel1X 2 4 2" xfId="24751"/>
    <cellStyle name="SAPBEXHLevel1X 2 4 2 2" xfId="24752"/>
    <cellStyle name="SAPBEXHLevel1X 2 4 2 2 2" xfId="24753"/>
    <cellStyle name="SAPBEXHLevel1X 2 4 2 3" xfId="24754"/>
    <cellStyle name="SAPBEXHLevel1X 2 4 3" xfId="24755"/>
    <cellStyle name="SAPBEXHLevel1X 2 4 3 2" xfId="24756"/>
    <cellStyle name="SAPBEXHLevel1X 2 4 3 2 2" xfId="24757"/>
    <cellStyle name="SAPBEXHLevel1X 2 4 3 3" xfId="24758"/>
    <cellStyle name="SAPBEXHLevel1X 2 4 4" xfId="24759"/>
    <cellStyle name="SAPBEXHLevel1X 2 4 4 2" xfId="24760"/>
    <cellStyle name="SAPBEXHLevel1X 2 4 4 2 2" xfId="24761"/>
    <cellStyle name="SAPBEXHLevel1X 2 4 4 3" xfId="24762"/>
    <cellStyle name="SAPBEXHLevel1X 2 4 5" xfId="24763"/>
    <cellStyle name="SAPBEXHLevel1X 2 4 5 2" xfId="24764"/>
    <cellStyle name="SAPBEXHLevel1X 2 4 5 2 2" xfId="24765"/>
    <cellStyle name="SAPBEXHLevel1X 2 4 5 3" xfId="24766"/>
    <cellStyle name="SAPBEXHLevel1X 2 4 6" xfId="24767"/>
    <cellStyle name="SAPBEXHLevel1X 2 4 6 2" xfId="24768"/>
    <cellStyle name="SAPBEXHLevel1X 2 4 6 2 2" xfId="24769"/>
    <cellStyle name="SAPBEXHLevel1X 2 4 6 3" xfId="24770"/>
    <cellStyle name="SAPBEXHLevel1X 2 4 7" xfId="24771"/>
    <cellStyle name="SAPBEXHLevel1X 2 4 7 2" xfId="24772"/>
    <cellStyle name="SAPBEXHLevel1X 2 4 7 2 2" xfId="24773"/>
    <cellStyle name="SAPBEXHLevel1X 2 4 7 3" xfId="24774"/>
    <cellStyle name="SAPBEXHLevel1X 2 4 8" xfId="24775"/>
    <cellStyle name="SAPBEXHLevel1X 2 4 8 2" xfId="24776"/>
    <cellStyle name="SAPBEXHLevel1X 2 4 8 2 2" xfId="24777"/>
    <cellStyle name="SAPBEXHLevel1X 2 4 8 3" xfId="24778"/>
    <cellStyle name="SAPBEXHLevel1X 2 4 9" xfId="24779"/>
    <cellStyle name="SAPBEXHLevel1X 2 4 9 2" xfId="24780"/>
    <cellStyle name="SAPBEXHLevel1X 2 4_planning-WP" xfId="24781"/>
    <cellStyle name="SAPBEXHLevel1X 2 5" xfId="24782"/>
    <cellStyle name="SAPBEXHLevel1X 2 5 2" xfId="24783"/>
    <cellStyle name="SAPBEXHLevel1X 2 5 2 2" xfId="24784"/>
    <cellStyle name="SAPBEXHLevel1X 2 6" xfId="24785"/>
    <cellStyle name="SAPBEXHLevel1X 2 6 2" xfId="24786"/>
    <cellStyle name="SAPBEXHLevel1X 2 6 2 2" xfId="24787"/>
    <cellStyle name="SAPBEXHLevel1X 2 6 3" xfId="24788"/>
    <cellStyle name="SAPBEXHLevel1X 2 7" xfId="24789"/>
    <cellStyle name="SAPBEXHLevel1X 2 7 2" xfId="24790"/>
    <cellStyle name="SAPBEXHLevel1X 2 7 2 2" xfId="24791"/>
    <cellStyle name="SAPBEXHLevel1X 2 7 3" xfId="24792"/>
    <cellStyle name="SAPBEXHLevel1X 2 8" xfId="24793"/>
    <cellStyle name="SAPBEXHLevel1X 2 8 2" xfId="24794"/>
    <cellStyle name="SAPBEXHLevel1X 2 8 2 2" xfId="24795"/>
    <cellStyle name="SAPBEXHLevel1X 2 8 3" xfId="24796"/>
    <cellStyle name="SAPBEXHLevel1X 2 9" xfId="24797"/>
    <cellStyle name="SAPBEXHLevel1X 2 9 2" xfId="24798"/>
    <cellStyle name="SAPBEXHLevel1X 2 9 2 2" xfId="24799"/>
    <cellStyle name="SAPBEXHLevel1X 2 9 3" xfId="24800"/>
    <cellStyle name="SAPBEXHLevel1X 2_planning-WP" xfId="24801"/>
    <cellStyle name="SAPBEXHLevel1X 20" xfId="39425"/>
    <cellStyle name="SAPBEXHLevel1X 3" xfId="24802"/>
    <cellStyle name="SAPBEXHLevel1X 3 10" xfId="24803"/>
    <cellStyle name="SAPBEXHLevel1X 3 10 2" xfId="24804"/>
    <cellStyle name="SAPBEXHLevel1X 3 10 2 2" xfId="24805"/>
    <cellStyle name="SAPBEXHLevel1X 3 10 3" xfId="24806"/>
    <cellStyle name="SAPBEXHLevel1X 3 11" xfId="24807"/>
    <cellStyle name="SAPBEXHLevel1X 3 11 2" xfId="24808"/>
    <cellStyle name="SAPBEXHLevel1X 3 11 2 2" xfId="24809"/>
    <cellStyle name="SAPBEXHLevel1X 3 11 3" xfId="24810"/>
    <cellStyle name="SAPBEXHLevel1X 3 12" xfId="24811"/>
    <cellStyle name="SAPBEXHLevel1X 3 12 2" xfId="24812"/>
    <cellStyle name="SAPBEXHLevel1X 3 12 2 2" xfId="24813"/>
    <cellStyle name="SAPBEXHLevel1X 3 12 3" xfId="24814"/>
    <cellStyle name="SAPBEXHLevel1X 3 13" xfId="24815"/>
    <cellStyle name="SAPBEXHLevel1X 3 14" xfId="39042"/>
    <cellStyle name="SAPBEXHLevel1X 3 15" xfId="39428"/>
    <cellStyle name="SAPBEXHLevel1X 3 2" xfId="24816"/>
    <cellStyle name="SAPBEXHLevel1X 3 2 10" xfId="24817"/>
    <cellStyle name="SAPBEXHLevel1X 3 2 10 2" xfId="24818"/>
    <cellStyle name="SAPBEXHLevel1X 3 2 10 2 2" xfId="24819"/>
    <cellStyle name="SAPBEXHLevel1X 3 2 10 3" xfId="24820"/>
    <cellStyle name="SAPBEXHLevel1X 3 2 11" xfId="24821"/>
    <cellStyle name="SAPBEXHLevel1X 3 2 11 2" xfId="24822"/>
    <cellStyle name="SAPBEXHLevel1X 3 2 12" xfId="39043"/>
    <cellStyle name="SAPBEXHLevel1X 3 2 13" xfId="39429"/>
    <cellStyle name="SAPBEXHLevel1X 3 2 2" xfId="24823"/>
    <cellStyle name="SAPBEXHLevel1X 3 2 2 10" xfId="24824"/>
    <cellStyle name="SAPBEXHLevel1X 3 2 2 10 2" xfId="24825"/>
    <cellStyle name="SAPBEXHLevel1X 3 2 2 2" xfId="24826"/>
    <cellStyle name="SAPBEXHLevel1X 3 2 2 2 2" xfId="24827"/>
    <cellStyle name="SAPBEXHLevel1X 3 2 2 2 2 2" xfId="24828"/>
    <cellStyle name="SAPBEXHLevel1X 3 2 2 2 3" xfId="24829"/>
    <cellStyle name="SAPBEXHLevel1X 3 2 2 3" xfId="24830"/>
    <cellStyle name="SAPBEXHLevel1X 3 2 2 3 2" xfId="24831"/>
    <cellStyle name="SAPBEXHLevel1X 3 2 2 3 2 2" xfId="24832"/>
    <cellStyle name="SAPBEXHLevel1X 3 2 2 3 3" xfId="24833"/>
    <cellStyle name="SAPBEXHLevel1X 3 2 2 4" xfId="24834"/>
    <cellStyle name="SAPBEXHLevel1X 3 2 2 4 2" xfId="24835"/>
    <cellStyle name="SAPBEXHLevel1X 3 2 2 4 2 2" xfId="24836"/>
    <cellStyle name="SAPBEXHLevel1X 3 2 2 4 3" xfId="24837"/>
    <cellStyle name="SAPBEXHLevel1X 3 2 2 5" xfId="24838"/>
    <cellStyle name="SAPBEXHLevel1X 3 2 2 5 2" xfId="24839"/>
    <cellStyle name="SAPBEXHLevel1X 3 2 2 5 2 2" xfId="24840"/>
    <cellStyle name="SAPBEXHLevel1X 3 2 2 5 3" xfId="24841"/>
    <cellStyle name="SAPBEXHLevel1X 3 2 2 6" xfId="24842"/>
    <cellStyle name="SAPBEXHLevel1X 3 2 2 6 2" xfId="24843"/>
    <cellStyle name="SAPBEXHLevel1X 3 2 2 6 2 2" xfId="24844"/>
    <cellStyle name="SAPBEXHLevel1X 3 2 2 6 3" xfId="24845"/>
    <cellStyle name="SAPBEXHLevel1X 3 2 2 7" xfId="24846"/>
    <cellStyle name="SAPBEXHLevel1X 3 2 2 7 2" xfId="24847"/>
    <cellStyle name="SAPBEXHLevel1X 3 2 2 7 2 2" xfId="24848"/>
    <cellStyle name="SAPBEXHLevel1X 3 2 2 7 3" xfId="24849"/>
    <cellStyle name="SAPBEXHLevel1X 3 2 2 8" xfId="24850"/>
    <cellStyle name="SAPBEXHLevel1X 3 2 2 8 2" xfId="24851"/>
    <cellStyle name="SAPBEXHLevel1X 3 2 2 8 2 2" xfId="24852"/>
    <cellStyle name="SAPBEXHLevel1X 3 2 2 8 3" xfId="24853"/>
    <cellStyle name="SAPBEXHLevel1X 3 2 2 9" xfId="24854"/>
    <cellStyle name="SAPBEXHLevel1X 3 2 2 9 2" xfId="24855"/>
    <cellStyle name="SAPBEXHLevel1X 3 2 2 9 2 2" xfId="24856"/>
    <cellStyle name="SAPBEXHLevel1X 3 2 2 9 3" xfId="24857"/>
    <cellStyle name="SAPBEXHLevel1X 3 2 2_planning-WP" xfId="24858"/>
    <cellStyle name="SAPBEXHLevel1X 3 2 3" xfId="24859"/>
    <cellStyle name="SAPBEXHLevel1X 3 2 3 2" xfId="24860"/>
    <cellStyle name="SAPBEXHLevel1X 3 2 3 2 2" xfId="24861"/>
    <cellStyle name="SAPBEXHLevel1X 3 2 3 3" xfId="24862"/>
    <cellStyle name="SAPBEXHLevel1X 3 2 4" xfId="24863"/>
    <cellStyle name="SAPBEXHLevel1X 3 2 4 2" xfId="24864"/>
    <cellStyle name="SAPBEXHLevel1X 3 2 4 2 2" xfId="24865"/>
    <cellStyle name="SAPBEXHLevel1X 3 2 4 3" xfId="24866"/>
    <cellStyle name="SAPBEXHLevel1X 3 2 5" xfId="24867"/>
    <cellStyle name="SAPBEXHLevel1X 3 2 5 2" xfId="24868"/>
    <cellStyle name="SAPBEXHLevel1X 3 2 5 2 2" xfId="24869"/>
    <cellStyle name="SAPBEXHLevel1X 3 2 5 3" xfId="24870"/>
    <cellStyle name="SAPBEXHLevel1X 3 2 6" xfId="24871"/>
    <cellStyle name="SAPBEXHLevel1X 3 2 6 2" xfId="24872"/>
    <cellStyle name="SAPBEXHLevel1X 3 2 6 2 2" xfId="24873"/>
    <cellStyle name="SAPBEXHLevel1X 3 2 6 3" xfId="24874"/>
    <cellStyle name="SAPBEXHLevel1X 3 2 7" xfId="24875"/>
    <cellStyle name="SAPBEXHLevel1X 3 2 7 2" xfId="24876"/>
    <cellStyle name="SAPBEXHLevel1X 3 2 7 2 2" xfId="24877"/>
    <cellStyle name="SAPBEXHLevel1X 3 2 7 3" xfId="24878"/>
    <cellStyle name="SAPBEXHLevel1X 3 2 8" xfId="24879"/>
    <cellStyle name="SAPBEXHLevel1X 3 2 8 2" xfId="24880"/>
    <cellStyle name="SAPBEXHLevel1X 3 2 8 2 2" xfId="24881"/>
    <cellStyle name="SAPBEXHLevel1X 3 2 8 3" xfId="24882"/>
    <cellStyle name="SAPBEXHLevel1X 3 2 9" xfId="24883"/>
    <cellStyle name="SAPBEXHLevel1X 3 2 9 2" xfId="24884"/>
    <cellStyle name="SAPBEXHLevel1X 3 2 9 2 2" xfId="24885"/>
    <cellStyle name="SAPBEXHLevel1X 3 2 9 3" xfId="24886"/>
    <cellStyle name="SAPBEXHLevel1X 3 2_planning-WP" xfId="24887"/>
    <cellStyle name="SAPBEXHLevel1X 3 3" xfId="24888"/>
    <cellStyle name="SAPBEXHLevel1X 3 3 10" xfId="24889"/>
    <cellStyle name="SAPBEXHLevel1X 3 3 10 2" xfId="24890"/>
    <cellStyle name="SAPBEXHLevel1X 3 3 2" xfId="24891"/>
    <cellStyle name="SAPBEXHLevel1X 3 3 2 2" xfId="24892"/>
    <cellStyle name="SAPBEXHLevel1X 3 3 2 2 2" xfId="24893"/>
    <cellStyle name="SAPBEXHLevel1X 3 3 2 3" xfId="24894"/>
    <cellStyle name="SAPBEXHLevel1X 3 3 3" xfId="24895"/>
    <cellStyle name="SAPBEXHLevel1X 3 3 3 2" xfId="24896"/>
    <cellStyle name="SAPBEXHLevel1X 3 3 3 2 2" xfId="24897"/>
    <cellStyle name="SAPBEXHLevel1X 3 3 3 3" xfId="24898"/>
    <cellStyle name="SAPBEXHLevel1X 3 3 4" xfId="24899"/>
    <cellStyle name="SAPBEXHLevel1X 3 3 4 2" xfId="24900"/>
    <cellStyle name="SAPBEXHLevel1X 3 3 4 2 2" xfId="24901"/>
    <cellStyle name="SAPBEXHLevel1X 3 3 4 3" xfId="24902"/>
    <cellStyle name="SAPBEXHLevel1X 3 3 5" xfId="24903"/>
    <cellStyle name="SAPBEXHLevel1X 3 3 5 2" xfId="24904"/>
    <cellStyle name="SAPBEXHLevel1X 3 3 5 2 2" xfId="24905"/>
    <cellStyle name="SAPBEXHLevel1X 3 3 5 3" xfId="24906"/>
    <cellStyle name="SAPBEXHLevel1X 3 3 6" xfId="24907"/>
    <cellStyle name="SAPBEXHLevel1X 3 3 6 2" xfId="24908"/>
    <cellStyle name="SAPBEXHLevel1X 3 3 6 2 2" xfId="24909"/>
    <cellStyle name="SAPBEXHLevel1X 3 3 6 3" xfId="24910"/>
    <cellStyle name="SAPBEXHLevel1X 3 3 7" xfId="24911"/>
    <cellStyle name="SAPBEXHLevel1X 3 3 7 2" xfId="24912"/>
    <cellStyle name="SAPBEXHLevel1X 3 3 7 2 2" xfId="24913"/>
    <cellStyle name="SAPBEXHLevel1X 3 3 7 3" xfId="24914"/>
    <cellStyle name="SAPBEXHLevel1X 3 3 8" xfId="24915"/>
    <cellStyle name="SAPBEXHLevel1X 3 3 8 2" xfId="24916"/>
    <cellStyle name="SAPBEXHLevel1X 3 3 8 2 2" xfId="24917"/>
    <cellStyle name="SAPBEXHLevel1X 3 3 8 3" xfId="24918"/>
    <cellStyle name="SAPBEXHLevel1X 3 3 9" xfId="24919"/>
    <cellStyle name="SAPBEXHLevel1X 3 3 9 2" xfId="24920"/>
    <cellStyle name="SAPBEXHLevel1X 3 3 9 2 2" xfId="24921"/>
    <cellStyle name="SAPBEXHLevel1X 3 3 9 3" xfId="24922"/>
    <cellStyle name="SAPBEXHLevel1X 3 3_planning-WP" xfId="24923"/>
    <cellStyle name="SAPBEXHLevel1X 3 4" xfId="24924"/>
    <cellStyle name="SAPBEXHLevel1X 3 4 2" xfId="24925"/>
    <cellStyle name="SAPBEXHLevel1X 3 4 2 2" xfId="24926"/>
    <cellStyle name="SAPBEXHLevel1X 3 4 2 2 2" xfId="24927"/>
    <cellStyle name="SAPBEXHLevel1X 3 4 2 3" xfId="24928"/>
    <cellStyle name="SAPBEXHLevel1X 3 4 3" xfId="24929"/>
    <cellStyle name="SAPBEXHLevel1X 3 4 3 2" xfId="24930"/>
    <cellStyle name="SAPBEXHLevel1X 3 4 3 2 2" xfId="24931"/>
    <cellStyle name="SAPBEXHLevel1X 3 4 3 3" xfId="24932"/>
    <cellStyle name="SAPBEXHLevel1X 3 4 4" xfId="24933"/>
    <cellStyle name="SAPBEXHLevel1X 3 4 4 2" xfId="24934"/>
    <cellStyle name="SAPBEXHLevel1X 3 4 4 2 2" xfId="24935"/>
    <cellStyle name="SAPBEXHLevel1X 3 4 4 3" xfId="24936"/>
    <cellStyle name="SAPBEXHLevel1X 3 4 5" xfId="24937"/>
    <cellStyle name="SAPBEXHLevel1X 3 4 5 2" xfId="24938"/>
    <cellStyle name="SAPBEXHLevel1X 3 4 5 2 2" xfId="24939"/>
    <cellStyle name="SAPBEXHLevel1X 3 4 5 3" xfId="24940"/>
    <cellStyle name="SAPBEXHLevel1X 3 4 6" xfId="24941"/>
    <cellStyle name="SAPBEXHLevel1X 3 4 6 2" xfId="24942"/>
    <cellStyle name="SAPBEXHLevel1X 3 4 6 2 2" xfId="24943"/>
    <cellStyle name="SAPBEXHLevel1X 3 4 6 3" xfId="24944"/>
    <cellStyle name="SAPBEXHLevel1X 3 4 7" xfId="24945"/>
    <cellStyle name="SAPBEXHLevel1X 3 4 7 2" xfId="24946"/>
    <cellStyle name="SAPBEXHLevel1X 3 4 7 2 2" xfId="24947"/>
    <cellStyle name="SAPBEXHLevel1X 3 4 7 3" xfId="24948"/>
    <cellStyle name="SAPBEXHLevel1X 3 4 8" xfId="24949"/>
    <cellStyle name="SAPBEXHLevel1X 3 4 8 2" xfId="24950"/>
    <cellStyle name="SAPBEXHLevel1X 3 4 8 2 2" xfId="24951"/>
    <cellStyle name="SAPBEXHLevel1X 3 4 8 3" xfId="24952"/>
    <cellStyle name="SAPBEXHLevel1X 3 4 9" xfId="24953"/>
    <cellStyle name="SAPBEXHLevel1X 3 4 9 2" xfId="24954"/>
    <cellStyle name="SAPBEXHLevel1X 3 4_planning-WP" xfId="24955"/>
    <cellStyle name="SAPBEXHLevel1X 3 5" xfId="24956"/>
    <cellStyle name="SAPBEXHLevel1X 3 5 2" xfId="24957"/>
    <cellStyle name="SAPBEXHLevel1X 3 5 2 2" xfId="24958"/>
    <cellStyle name="SAPBEXHLevel1X 3 6" xfId="24959"/>
    <cellStyle name="SAPBEXHLevel1X 3 6 2" xfId="24960"/>
    <cellStyle name="SAPBEXHLevel1X 3 6 2 2" xfId="24961"/>
    <cellStyle name="SAPBEXHLevel1X 3 6 3" xfId="24962"/>
    <cellStyle name="SAPBEXHLevel1X 3 7" xfId="24963"/>
    <cellStyle name="SAPBEXHLevel1X 3 7 2" xfId="24964"/>
    <cellStyle name="SAPBEXHLevel1X 3 7 2 2" xfId="24965"/>
    <cellStyle name="SAPBEXHLevel1X 3 7 3" xfId="24966"/>
    <cellStyle name="SAPBEXHLevel1X 3 8" xfId="24967"/>
    <cellStyle name="SAPBEXHLevel1X 3 8 2" xfId="24968"/>
    <cellStyle name="SAPBEXHLevel1X 3 8 2 2" xfId="24969"/>
    <cellStyle name="SAPBEXHLevel1X 3 8 3" xfId="24970"/>
    <cellStyle name="SAPBEXHLevel1X 3 9" xfId="24971"/>
    <cellStyle name="SAPBEXHLevel1X 3 9 2" xfId="24972"/>
    <cellStyle name="SAPBEXHLevel1X 3 9 2 2" xfId="24973"/>
    <cellStyle name="SAPBEXHLevel1X 3 9 3" xfId="24974"/>
    <cellStyle name="SAPBEXHLevel1X 3_planning-WP" xfId="24975"/>
    <cellStyle name="SAPBEXHLevel1X 4" xfId="24976"/>
    <cellStyle name="SAPBEXHLevel1X 4 10" xfId="24977"/>
    <cellStyle name="SAPBEXHLevel1X 4 10 2" xfId="24978"/>
    <cellStyle name="SAPBEXHLevel1X 4 10 2 2" xfId="24979"/>
    <cellStyle name="SAPBEXHLevel1X 4 10 3" xfId="24980"/>
    <cellStyle name="SAPBEXHLevel1X 4 11" xfId="24981"/>
    <cellStyle name="SAPBEXHLevel1X 4 11 2" xfId="24982"/>
    <cellStyle name="SAPBEXHLevel1X 4 11 2 2" xfId="24983"/>
    <cellStyle name="SAPBEXHLevel1X 4 11 3" xfId="24984"/>
    <cellStyle name="SAPBEXHLevel1X 4 12" xfId="24985"/>
    <cellStyle name="SAPBEXHLevel1X 4 12 2" xfId="24986"/>
    <cellStyle name="SAPBEXHLevel1X 4 12 2 2" xfId="24987"/>
    <cellStyle name="SAPBEXHLevel1X 4 12 3" xfId="24988"/>
    <cellStyle name="SAPBEXHLevel1X 4 13" xfId="24989"/>
    <cellStyle name="SAPBEXHLevel1X 4 14" xfId="39044"/>
    <cellStyle name="SAPBEXHLevel1X 4 15" xfId="39430"/>
    <cellStyle name="SAPBEXHLevel1X 4 2" xfId="24990"/>
    <cellStyle name="SAPBEXHLevel1X 4 2 10" xfId="24991"/>
    <cellStyle name="SAPBEXHLevel1X 4 2 10 2" xfId="24992"/>
    <cellStyle name="SAPBEXHLevel1X 4 2 10 2 2" xfId="24993"/>
    <cellStyle name="SAPBEXHLevel1X 4 2 10 3" xfId="24994"/>
    <cellStyle name="SAPBEXHLevel1X 4 2 11" xfId="24995"/>
    <cellStyle name="SAPBEXHLevel1X 4 2 11 2" xfId="24996"/>
    <cellStyle name="SAPBEXHLevel1X 4 2 12" xfId="39045"/>
    <cellStyle name="SAPBEXHLevel1X 4 2 13" xfId="39431"/>
    <cellStyle name="SAPBEXHLevel1X 4 2 2" xfId="24997"/>
    <cellStyle name="SAPBEXHLevel1X 4 2 2 10" xfId="24998"/>
    <cellStyle name="SAPBEXHLevel1X 4 2 2 10 2" xfId="24999"/>
    <cellStyle name="SAPBEXHLevel1X 4 2 2 2" xfId="25000"/>
    <cellStyle name="SAPBEXHLevel1X 4 2 2 2 2" xfId="25001"/>
    <cellStyle name="SAPBEXHLevel1X 4 2 2 2 2 2" xfId="25002"/>
    <cellStyle name="SAPBEXHLevel1X 4 2 2 2 3" xfId="25003"/>
    <cellStyle name="SAPBEXHLevel1X 4 2 2 3" xfId="25004"/>
    <cellStyle name="SAPBEXHLevel1X 4 2 2 3 2" xfId="25005"/>
    <cellStyle name="SAPBEXHLevel1X 4 2 2 3 2 2" xfId="25006"/>
    <cellStyle name="SAPBEXHLevel1X 4 2 2 3 3" xfId="25007"/>
    <cellStyle name="SAPBEXHLevel1X 4 2 2 4" xfId="25008"/>
    <cellStyle name="SAPBEXHLevel1X 4 2 2 4 2" xfId="25009"/>
    <cellStyle name="SAPBEXHLevel1X 4 2 2 4 2 2" xfId="25010"/>
    <cellStyle name="SAPBEXHLevel1X 4 2 2 4 3" xfId="25011"/>
    <cellStyle name="SAPBEXHLevel1X 4 2 2 5" xfId="25012"/>
    <cellStyle name="SAPBEXHLevel1X 4 2 2 5 2" xfId="25013"/>
    <cellStyle name="SAPBEXHLevel1X 4 2 2 5 2 2" xfId="25014"/>
    <cellStyle name="SAPBEXHLevel1X 4 2 2 5 3" xfId="25015"/>
    <cellStyle name="SAPBEXHLevel1X 4 2 2 6" xfId="25016"/>
    <cellStyle name="SAPBEXHLevel1X 4 2 2 6 2" xfId="25017"/>
    <cellStyle name="SAPBEXHLevel1X 4 2 2 6 2 2" xfId="25018"/>
    <cellStyle name="SAPBEXHLevel1X 4 2 2 6 3" xfId="25019"/>
    <cellStyle name="SAPBEXHLevel1X 4 2 2 7" xfId="25020"/>
    <cellStyle name="SAPBEXHLevel1X 4 2 2 7 2" xfId="25021"/>
    <cellStyle name="SAPBEXHLevel1X 4 2 2 7 2 2" xfId="25022"/>
    <cellStyle name="SAPBEXHLevel1X 4 2 2 7 3" xfId="25023"/>
    <cellStyle name="SAPBEXHLevel1X 4 2 2 8" xfId="25024"/>
    <cellStyle name="SAPBEXHLevel1X 4 2 2 8 2" xfId="25025"/>
    <cellStyle name="SAPBEXHLevel1X 4 2 2 8 2 2" xfId="25026"/>
    <cellStyle name="SAPBEXHLevel1X 4 2 2 8 3" xfId="25027"/>
    <cellStyle name="SAPBEXHLevel1X 4 2 2 9" xfId="25028"/>
    <cellStyle name="SAPBEXHLevel1X 4 2 2 9 2" xfId="25029"/>
    <cellStyle name="SAPBEXHLevel1X 4 2 2 9 2 2" xfId="25030"/>
    <cellStyle name="SAPBEXHLevel1X 4 2 2 9 3" xfId="25031"/>
    <cellStyle name="SAPBEXHLevel1X 4 2 2_planning-WP" xfId="25032"/>
    <cellStyle name="SAPBEXHLevel1X 4 2 3" xfId="25033"/>
    <cellStyle name="SAPBEXHLevel1X 4 2 3 2" xfId="25034"/>
    <cellStyle name="SAPBEXHLevel1X 4 2 3 2 2" xfId="25035"/>
    <cellStyle name="SAPBEXHLevel1X 4 2 3 3" xfId="25036"/>
    <cellStyle name="SAPBEXHLevel1X 4 2 4" xfId="25037"/>
    <cellStyle name="SAPBEXHLevel1X 4 2 4 2" xfId="25038"/>
    <cellStyle name="SAPBEXHLevel1X 4 2 4 2 2" xfId="25039"/>
    <cellStyle name="SAPBEXHLevel1X 4 2 4 3" xfId="25040"/>
    <cellStyle name="SAPBEXHLevel1X 4 2 5" xfId="25041"/>
    <cellStyle name="SAPBEXHLevel1X 4 2 5 2" xfId="25042"/>
    <cellStyle name="SAPBEXHLevel1X 4 2 5 2 2" xfId="25043"/>
    <cellStyle name="SAPBEXHLevel1X 4 2 5 3" xfId="25044"/>
    <cellStyle name="SAPBEXHLevel1X 4 2 6" xfId="25045"/>
    <cellStyle name="SAPBEXHLevel1X 4 2 6 2" xfId="25046"/>
    <cellStyle name="SAPBEXHLevel1X 4 2 6 2 2" xfId="25047"/>
    <cellStyle name="SAPBEXHLevel1X 4 2 6 3" xfId="25048"/>
    <cellStyle name="SAPBEXHLevel1X 4 2 7" xfId="25049"/>
    <cellStyle name="SAPBEXHLevel1X 4 2 7 2" xfId="25050"/>
    <cellStyle name="SAPBEXHLevel1X 4 2 7 2 2" xfId="25051"/>
    <cellStyle name="SAPBEXHLevel1X 4 2 7 3" xfId="25052"/>
    <cellStyle name="SAPBEXHLevel1X 4 2 8" xfId="25053"/>
    <cellStyle name="SAPBEXHLevel1X 4 2 8 2" xfId="25054"/>
    <cellStyle name="SAPBEXHLevel1X 4 2 8 2 2" xfId="25055"/>
    <cellStyle name="SAPBEXHLevel1X 4 2 8 3" xfId="25056"/>
    <cellStyle name="SAPBEXHLevel1X 4 2 9" xfId="25057"/>
    <cellStyle name="SAPBEXHLevel1X 4 2 9 2" xfId="25058"/>
    <cellStyle name="SAPBEXHLevel1X 4 2 9 2 2" xfId="25059"/>
    <cellStyle name="SAPBEXHLevel1X 4 2 9 3" xfId="25060"/>
    <cellStyle name="SAPBEXHLevel1X 4 2_planning-WP" xfId="25061"/>
    <cellStyle name="SAPBEXHLevel1X 4 3" xfId="25062"/>
    <cellStyle name="SAPBEXHLevel1X 4 3 10" xfId="25063"/>
    <cellStyle name="SAPBEXHLevel1X 4 3 10 2" xfId="25064"/>
    <cellStyle name="SAPBEXHLevel1X 4 3 2" xfId="25065"/>
    <cellStyle name="SAPBEXHLevel1X 4 3 2 2" xfId="25066"/>
    <cellStyle name="SAPBEXHLevel1X 4 3 2 2 2" xfId="25067"/>
    <cellStyle name="SAPBEXHLevel1X 4 3 2 3" xfId="25068"/>
    <cellStyle name="SAPBEXHLevel1X 4 3 3" xfId="25069"/>
    <cellStyle name="SAPBEXHLevel1X 4 3 3 2" xfId="25070"/>
    <cellStyle name="SAPBEXHLevel1X 4 3 3 2 2" xfId="25071"/>
    <cellStyle name="SAPBEXHLevel1X 4 3 3 3" xfId="25072"/>
    <cellStyle name="SAPBEXHLevel1X 4 3 4" xfId="25073"/>
    <cellStyle name="SAPBEXHLevel1X 4 3 4 2" xfId="25074"/>
    <cellStyle name="SAPBEXHLevel1X 4 3 4 2 2" xfId="25075"/>
    <cellStyle name="SAPBEXHLevel1X 4 3 4 3" xfId="25076"/>
    <cellStyle name="SAPBEXHLevel1X 4 3 5" xfId="25077"/>
    <cellStyle name="SAPBEXHLevel1X 4 3 5 2" xfId="25078"/>
    <cellStyle name="SAPBEXHLevel1X 4 3 5 2 2" xfId="25079"/>
    <cellStyle name="SAPBEXHLevel1X 4 3 5 3" xfId="25080"/>
    <cellStyle name="SAPBEXHLevel1X 4 3 6" xfId="25081"/>
    <cellStyle name="SAPBEXHLevel1X 4 3 6 2" xfId="25082"/>
    <cellStyle name="SAPBEXHLevel1X 4 3 6 2 2" xfId="25083"/>
    <cellStyle name="SAPBEXHLevel1X 4 3 6 3" xfId="25084"/>
    <cellStyle name="SAPBEXHLevel1X 4 3 7" xfId="25085"/>
    <cellStyle name="SAPBEXHLevel1X 4 3 7 2" xfId="25086"/>
    <cellStyle name="SAPBEXHLevel1X 4 3 7 2 2" xfId="25087"/>
    <cellStyle name="SAPBEXHLevel1X 4 3 7 3" xfId="25088"/>
    <cellStyle name="SAPBEXHLevel1X 4 3 8" xfId="25089"/>
    <cellStyle name="SAPBEXHLevel1X 4 3 8 2" xfId="25090"/>
    <cellStyle name="SAPBEXHLevel1X 4 3 8 2 2" xfId="25091"/>
    <cellStyle name="SAPBEXHLevel1X 4 3 8 3" xfId="25092"/>
    <cellStyle name="SAPBEXHLevel1X 4 3 9" xfId="25093"/>
    <cellStyle name="SAPBEXHLevel1X 4 3 9 2" xfId="25094"/>
    <cellStyle name="SAPBEXHLevel1X 4 3 9 2 2" xfId="25095"/>
    <cellStyle name="SAPBEXHLevel1X 4 3 9 3" xfId="25096"/>
    <cellStyle name="SAPBEXHLevel1X 4 3_planning-WP" xfId="25097"/>
    <cellStyle name="SAPBEXHLevel1X 4 4" xfId="25098"/>
    <cellStyle name="SAPBEXHLevel1X 4 4 2" xfId="25099"/>
    <cellStyle name="SAPBEXHLevel1X 4 4 2 2" xfId="25100"/>
    <cellStyle name="SAPBEXHLevel1X 4 4 2 2 2" xfId="25101"/>
    <cellStyle name="SAPBEXHLevel1X 4 4 2 3" xfId="25102"/>
    <cellStyle name="SAPBEXHLevel1X 4 4 3" xfId="25103"/>
    <cellStyle name="SAPBEXHLevel1X 4 4 3 2" xfId="25104"/>
    <cellStyle name="SAPBEXHLevel1X 4 4 3 2 2" xfId="25105"/>
    <cellStyle name="SAPBEXHLevel1X 4 4 3 3" xfId="25106"/>
    <cellStyle name="SAPBEXHLevel1X 4 4 4" xfId="25107"/>
    <cellStyle name="SAPBEXHLevel1X 4 4 4 2" xfId="25108"/>
    <cellStyle name="SAPBEXHLevel1X 4 4 4 2 2" xfId="25109"/>
    <cellStyle name="SAPBEXHLevel1X 4 4 4 3" xfId="25110"/>
    <cellStyle name="SAPBEXHLevel1X 4 4 5" xfId="25111"/>
    <cellStyle name="SAPBEXHLevel1X 4 4 5 2" xfId="25112"/>
    <cellStyle name="SAPBEXHLevel1X 4 4 5 2 2" xfId="25113"/>
    <cellStyle name="SAPBEXHLevel1X 4 4 5 3" xfId="25114"/>
    <cellStyle name="SAPBEXHLevel1X 4 4 6" xfId="25115"/>
    <cellStyle name="SAPBEXHLevel1X 4 4 6 2" xfId="25116"/>
    <cellStyle name="SAPBEXHLevel1X 4 4 6 2 2" xfId="25117"/>
    <cellStyle name="SAPBEXHLevel1X 4 4 6 3" xfId="25118"/>
    <cellStyle name="SAPBEXHLevel1X 4 4 7" xfId="25119"/>
    <cellStyle name="SAPBEXHLevel1X 4 4 7 2" xfId="25120"/>
    <cellStyle name="SAPBEXHLevel1X 4 4 7 2 2" xfId="25121"/>
    <cellStyle name="SAPBEXHLevel1X 4 4 7 3" xfId="25122"/>
    <cellStyle name="SAPBEXHLevel1X 4 4 8" xfId="25123"/>
    <cellStyle name="SAPBEXHLevel1X 4 4 8 2" xfId="25124"/>
    <cellStyle name="SAPBEXHLevel1X 4 4 8 2 2" xfId="25125"/>
    <cellStyle name="SAPBEXHLevel1X 4 4 8 3" xfId="25126"/>
    <cellStyle name="SAPBEXHLevel1X 4 4 9" xfId="25127"/>
    <cellStyle name="SAPBEXHLevel1X 4 4 9 2" xfId="25128"/>
    <cellStyle name="SAPBEXHLevel1X 4 4_planning-WP" xfId="25129"/>
    <cellStyle name="SAPBEXHLevel1X 4 5" xfId="25130"/>
    <cellStyle name="SAPBEXHLevel1X 4 5 2" xfId="25131"/>
    <cellStyle name="SAPBEXHLevel1X 4 5 2 2" xfId="25132"/>
    <cellStyle name="SAPBEXHLevel1X 4 6" xfId="25133"/>
    <cellStyle name="SAPBEXHLevel1X 4 6 2" xfId="25134"/>
    <cellStyle name="SAPBEXHLevel1X 4 6 2 2" xfId="25135"/>
    <cellStyle name="SAPBEXHLevel1X 4 6 3" xfId="25136"/>
    <cellStyle name="SAPBEXHLevel1X 4 7" xfId="25137"/>
    <cellStyle name="SAPBEXHLevel1X 4 7 2" xfId="25138"/>
    <cellStyle name="SAPBEXHLevel1X 4 7 2 2" xfId="25139"/>
    <cellStyle name="SAPBEXHLevel1X 4 7 3" xfId="25140"/>
    <cellStyle name="SAPBEXHLevel1X 4 8" xfId="25141"/>
    <cellStyle name="SAPBEXHLevel1X 4 8 2" xfId="25142"/>
    <cellStyle name="SAPBEXHLevel1X 4 8 2 2" xfId="25143"/>
    <cellStyle name="SAPBEXHLevel1X 4 8 3" xfId="25144"/>
    <cellStyle name="SAPBEXHLevel1X 4 9" xfId="25145"/>
    <cellStyle name="SAPBEXHLevel1X 4 9 2" xfId="25146"/>
    <cellStyle name="SAPBEXHLevel1X 4 9 2 2" xfId="25147"/>
    <cellStyle name="SAPBEXHLevel1X 4 9 3" xfId="25148"/>
    <cellStyle name="SAPBEXHLevel1X 4_planning-WP" xfId="25149"/>
    <cellStyle name="SAPBEXHLevel1X 5" xfId="25150"/>
    <cellStyle name="SAPBEXHLevel1X 5 10" xfId="25151"/>
    <cellStyle name="SAPBEXHLevel1X 5 10 2" xfId="25152"/>
    <cellStyle name="SAPBEXHLevel1X 5 10 2 2" xfId="25153"/>
    <cellStyle name="SAPBEXHLevel1X 5 10 3" xfId="25154"/>
    <cellStyle name="SAPBEXHLevel1X 5 11" xfId="25155"/>
    <cellStyle name="SAPBEXHLevel1X 5 11 2" xfId="25156"/>
    <cellStyle name="SAPBEXHLevel1X 5 11 2 2" xfId="25157"/>
    <cellStyle name="SAPBEXHLevel1X 5 11 3" xfId="25158"/>
    <cellStyle name="SAPBEXHLevel1X 5 12" xfId="25159"/>
    <cellStyle name="SAPBEXHLevel1X 5 12 2" xfId="25160"/>
    <cellStyle name="SAPBEXHLevel1X 5 12 2 2" xfId="25161"/>
    <cellStyle name="SAPBEXHLevel1X 5 12 3" xfId="25162"/>
    <cellStyle name="SAPBEXHLevel1X 5 13" xfId="25163"/>
    <cellStyle name="SAPBEXHLevel1X 5 14" xfId="39046"/>
    <cellStyle name="SAPBEXHLevel1X 5 15" xfId="39432"/>
    <cellStyle name="SAPBEXHLevel1X 5 2" xfId="25164"/>
    <cellStyle name="SAPBEXHLevel1X 5 2 10" xfId="25165"/>
    <cellStyle name="SAPBEXHLevel1X 5 2 10 2" xfId="25166"/>
    <cellStyle name="SAPBEXHLevel1X 5 2 10 2 2" xfId="25167"/>
    <cellStyle name="SAPBEXHLevel1X 5 2 10 3" xfId="25168"/>
    <cellStyle name="SAPBEXHLevel1X 5 2 11" xfId="25169"/>
    <cellStyle name="SAPBEXHLevel1X 5 2 11 2" xfId="25170"/>
    <cellStyle name="SAPBEXHLevel1X 5 2 2" xfId="25171"/>
    <cellStyle name="SAPBEXHLevel1X 5 2 2 10" xfId="25172"/>
    <cellStyle name="SAPBEXHLevel1X 5 2 2 10 2" xfId="25173"/>
    <cellStyle name="SAPBEXHLevel1X 5 2 2 2" xfId="25174"/>
    <cellStyle name="SAPBEXHLevel1X 5 2 2 2 2" xfId="25175"/>
    <cellStyle name="SAPBEXHLevel1X 5 2 2 2 2 2" xfId="25176"/>
    <cellStyle name="SAPBEXHLevel1X 5 2 2 2 3" xfId="25177"/>
    <cellStyle name="SAPBEXHLevel1X 5 2 2 3" xfId="25178"/>
    <cellStyle name="SAPBEXHLevel1X 5 2 2 3 2" xfId="25179"/>
    <cellStyle name="SAPBEXHLevel1X 5 2 2 3 2 2" xfId="25180"/>
    <cellStyle name="SAPBEXHLevel1X 5 2 2 3 3" xfId="25181"/>
    <cellStyle name="SAPBEXHLevel1X 5 2 2 4" xfId="25182"/>
    <cellStyle name="SAPBEXHLevel1X 5 2 2 4 2" xfId="25183"/>
    <cellStyle name="SAPBEXHLevel1X 5 2 2 4 2 2" xfId="25184"/>
    <cellStyle name="SAPBEXHLevel1X 5 2 2 4 3" xfId="25185"/>
    <cellStyle name="SAPBEXHLevel1X 5 2 2 5" xfId="25186"/>
    <cellStyle name="SAPBEXHLevel1X 5 2 2 5 2" xfId="25187"/>
    <cellStyle name="SAPBEXHLevel1X 5 2 2 5 2 2" xfId="25188"/>
    <cellStyle name="SAPBEXHLevel1X 5 2 2 5 3" xfId="25189"/>
    <cellStyle name="SAPBEXHLevel1X 5 2 2 6" xfId="25190"/>
    <cellStyle name="SAPBEXHLevel1X 5 2 2 6 2" xfId="25191"/>
    <cellStyle name="SAPBEXHLevel1X 5 2 2 6 2 2" xfId="25192"/>
    <cellStyle name="SAPBEXHLevel1X 5 2 2 6 3" xfId="25193"/>
    <cellStyle name="SAPBEXHLevel1X 5 2 2 7" xfId="25194"/>
    <cellStyle name="SAPBEXHLevel1X 5 2 2 7 2" xfId="25195"/>
    <cellStyle name="SAPBEXHLevel1X 5 2 2 7 2 2" xfId="25196"/>
    <cellStyle name="SAPBEXHLevel1X 5 2 2 7 3" xfId="25197"/>
    <cellStyle name="SAPBEXHLevel1X 5 2 2 8" xfId="25198"/>
    <cellStyle name="SAPBEXHLevel1X 5 2 2 8 2" xfId="25199"/>
    <cellStyle name="SAPBEXHLevel1X 5 2 2 8 2 2" xfId="25200"/>
    <cellStyle name="SAPBEXHLevel1X 5 2 2 8 3" xfId="25201"/>
    <cellStyle name="SAPBEXHLevel1X 5 2 2 9" xfId="25202"/>
    <cellStyle name="SAPBEXHLevel1X 5 2 2 9 2" xfId="25203"/>
    <cellStyle name="SAPBEXHLevel1X 5 2 2 9 2 2" xfId="25204"/>
    <cellStyle name="SAPBEXHLevel1X 5 2 2 9 3" xfId="25205"/>
    <cellStyle name="SAPBEXHLevel1X 5 2 2_planning-WP" xfId="25206"/>
    <cellStyle name="SAPBEXHLevel1X 5 2 3" xfId="25207"/>
    <cellStyle name="SAPBEXHLevel1X 5 2 3 2" xfId="25208"/>
    <cellStyle name="SAPBEXHLevel1X 5 2 3 2 2" xfId="25209"/>
    <cellStyle name="SAPBEXHLevel1X 5 2 3 3" xfId="25210"/>
    <cellStyle name="SAPBEXHLevel1X 5 2 4" xfId="25211"/>
    <cellStyle name="SAPBEXHLevel1X 5 2 4 2" xfId="25212"/>
    <cellStyle name="SAPBEXHLevel1X 5 2 4 2 2" xfId="25213"/>
    <cellStyle name="SAPBEXHLevel1X 5 2 4 3" xfId="25214"/>
    <cellStyle name="SAPBEXHLevel1X 5 2 5" xfId="25215"/>
    <cellStyle name="SAPBEXHLevel1X 5 2 5 2" xfId="25216"/>
    <cellStyle name="SAPBEXHLevel1X 5 2 5 2 2" xfId="25217"/>
    <cellStyle name="SAPBEXHLevel1X 5 2 5 3" xfId="25218"/>
    <cellStyle name="SAPBEXHLevel1X 5 2 6" xfId="25219"/>
    <cellStyle name="SAPBEXHLevel1X 5 2 6 2" xfId="25220"/>
    <cellStyle name="SAPBEXHLevel1X 5 2 6 2 2" xfId="25221"/>
    <cellStyle name="SAPBEXHLevel1X 5 2 6 3" xfId="25222"/>
    <cellStyle name="SAPBEXHLevel1X 5 2 7" xfId="25223"/>
    <cellStyle name="SAPBEXHLevel1X 5 2 7 2" xfId="25224"/>
    <cellStyle name="SAPBEXHLevel1X 5 2 7 2 2" xfId="25225"/>
    <cellStyle name="SAPBEXHLevel1X 5 2 7 3" xfId="25226"/>
    <cellStyle name="SAPBEXHLevel1X 5 2 8" xfId="25227"/>
    <cellStyle name="SAPBEXHLevel1X 5 2 8 2" xfId="25228"/>
    <cellStyle name="SAPBEXHLevel1X 5 2 8 2 2" xfId="25229"/>
    <cellStyle name="SAPBEXHLevel1X 5 2 8 3" xfId="25230"/>
    <cellStyle name="SAPBEXHLevel1X 5 2 9" xfId="25231"/>
    <cellStyle name="SAPBEXHLevel1X 5 2 9 2" xfId="25232"/>
    <cellStyle name="SAPBEXHLevel1X 5 2 9 2 2" xfId="25233"/>
    <cellStyle name="SAPBEXHLevel1X 5 2 9 3" xfId="25234"/>
    <cellStyle name="SAPBEXHLevel1X 5 2_planning-WP" xfId="25235"/>
    <cellStyle name="SAPBEXHLevel1X 5 3" xfId="25236"/>
    <cellStyle name="SAPBEXHLevel1X 5 3 10" xfId="25237"/>
    <cellStyle name="SAPBEXHLevel1X 5 3 10 2" xfId="25238"/>
    <cellStyle name="SAPBEXHLevel1X 5 3 2" xfId="25239"/>
    <cellStyle name="SAPBEXHLevel1X 5 3 2 2" xfId="25240"/>
    <cellStyle name="SAPBEXHLevel1X 5 3 2 2 2" xfId="25241"/>
    <cellStyle name="SAPBEXHLevel1X 5 3 2 3" xfId="25242"/>
    <cellStyle name="SAPBEXHLevel1X 5 3 3" xfId="25243"/>
    <cellStyle name="SAPBEXHLevel1X 5 3 3 2" xfId="25244"/>
    <cellStyle name="SAPBEXHLevel1X 5 3 3 2 2" xfId="25245"/>
    <cellStyle name="SAPBEXHLevel1X 5 3 3 3" xfId="25246"/>
    <cellStyle name="SAPBEXHLevel1X 5 3 4" xfId="25247"/>
    <cellStyle name="SAPBEXHLevel1X 5 3 4 2" xfId="25248"/>
    <cellStyle name="SAPBEXHLevel1X 5 3 4 2 2" xfId="25249"/>
    <cellStyle name="SAPBEXHLevel1X 5 3 4 3" xfId="25250"/>
    <cellStyle name="SAPBEXHLevel1X 5 3 5" xfId="25251"/>
    <cellStyle name="SAPBEXHLevel1X 5 3 5 2" xfId="25252"/>
    <cellStyle name="SAPBEXHLevel1X 5 3 5 2 2" xfId="25253"/>
    <cellStyle name="SAPBEXHLevel1X 5 3 5 3" xfId="25254"/>
    <cellStyle name="SAPBEXHLevel1X 5 3 6" xfId="25255"/>
    <cellStyle name="SAPBEXHLevel1X 5 3 6 2" xfId="25256"/>
    <cellStyle name="SAPBEXHLevel1X 5 3 6 2 2" xfId="25257"/>
    <cellStyle name="SAPBEXHLevel1X 5 3 6 3" xfId="25258"/>
    <cellStyle name="SAPBEXHLevel1X 5 3 7" xfId="25259"/>
    <cellStyle name="SAPBEXHLevel1X 5 3 7 2" xfId="25260"/>
    <cellStyle name="SAPBEXHLevel1X 5 3 7 2 2" xfId="25261"/>
    <cellStyle name="SAPBEXHLevel1X 5 3 7 3" xfId="25262"/>
    <cellStyle name="SAPBEXHLevel1X 5 3 8" xfId="25263"/>
    <cellStyle name="SAPBEXHLevel1X 5 3 8 2" xfId="25264"/>
    <cellStyle name="SAPBEXHLevel1X 5 3 8 2 2" xfId="25265"/>
    <cellStyle name="SAPBEXHLevel1X 5 3 8 3" xfId="25266"/>
    <cellStyle name="SAPBEXHLevel1X 5 3 9" xfId="25267"/>
    <cellStyle name="SAPBEXHLevel1X 5 3 9 2" xfId="25268"/>
    <cellStyle name="SAPBEXHLevel1X 5 3 9 2 2" xfId="25269"/>
    <cellStyle name="SAPBEXHLevel1X 5 3 9 3" xfId="25270"/>
    <cellStyle name="SAPBEXHLevel1X 5 3_planning-WP" xfId="25271"/>
    <cellStyle name="SAPBEXHLevel1X 5 4" xfId="25272"/>
    <cellStyle name="SAPBEXHLevel1X 5 4 2" xfId="25273"/>
    <cellStyle name="SAPBEXHLevel1X 5 4 2 2" xfId="25274"/>
    <cellStyle name="SAPBEXHLevel1X 5 4 2 2 2" xfId="25275"/>
    <cellStyle name="SAPBEXHLevel1X 5 4 2 3" xfId="25276"/>
    <cellStyle name="SAPBEXHLevel1X 5 4 3" xfId="25277"/>
    <cellStyle name="SAPBEXHLevel1X 5 4 3 2" xfId="25278"/>
    <cellStyle name="SAPBEXHLevel1X 5 4 3 2 2" xfId="25279"/>
    <cellStyle name="SAPBEXHLevel1X 5 4 3 3" xfId="25280"/>
    <cellStyle name="SAPBEXHLevel1X 5 4 4" xfId="25281"/>
    <cellStyle name="SAPBEXHLevel1X 5 4 4 2" xfId="25282"/>
    <cellStyle name="SAPBEXHLevel1X 5 4 4 2 2" xfId="25283"/>
    <cellStyle name="SAPBEXHLevel1X 5 4 4 3" xfId="25284"/>
    <cellStyle name="SAPBEXHLevel1X 5 4 5" xfId="25285"/>
    <cellStyle name="SAPBEXHLevel1X 5 4 5 2" xfId="25286"/>
    <cellStyle name="SAPBEXHLevel1X 5 4 5 2 2" xfId="25287"/>
    <cellStyle name="SAPBEXHLevel1X 5 4 5 3" xfId="25288"/>
    <cellStyle name="SAPBEXHLevel1X 5 4 6" xfId="25289"/>
    <cellStyle name="SAPBEXHLevel1X 5 4 6 2" xfId="25290"/>
    <cellStyle name="SAPBEXHLevel1X 5 4 6 2 2" xfId="25291"/>
    <cellStyle name="SAPBEXHLevel1X 5 4 6 3" xfId="25292"/>
    <cellStyle name="SAPBEXHLevel1X 5 4 7" xfId="25293"/>
    <cellStyle name="SAPBEXHLevel1X 5 4 7 2" xfId="25294"/>
    <cellStyle name="SAPBEXHLevel1X 5 4 7 2 2" xfId="25295"/>
    <cellStyle name="SAPBEXHLevel1X 5 4 7 3" xfId="25296"/>
    <cellStyle name="SAPBEXHLevel1X 5 4 8" xfId="25297"/>
    <cellStyle name="SAPBEXHLevel1X 5 4 8 2" xfId="25298"/>
    <cellStyle name="SAPBEXHLevel1X 5 4 8 2 2" xfId="25299"/>
    <cellStyle name="SAPBEXHLevel1X 5 4 8 3" xfId="25300"/>
    <cellStyle name="SAPBEXHLevel1X 5 4 9" xfId="25301"/>
    <cellStyle name="SAPBEXHLevel1X 5 4 9 2" xfId="25302"/>
    <cellStyle name="SAPBEXHLevel1X 5 4_planning-WP" xfId="25303"/>
    <cellStyle name="SAPBEXHLevel1X 5 5" xfId="25304"/>
    <cellStyle name="SAPBEXHLevel1X 5 5 2" xfId="25305"/>
    <cellStyle name="SAPBEXHLevel1X 5 5 2 2" xfId="25306"/>
    <cellStyle name="SAPBEXHLevel1X 5 6" xfId="25307"/>
    <cellStyle name="SAPBEXHLevel1X 5 6 2" xfId="25308"/>
    <cellStyle name="SAPBEXHLevel1X 5 6 2 2" xfId="25309"/>
    <cellStyle name="SAPBEXHLevel1X 5 6 3" xfId="25310"/>
    <cellStyle name="SAPBEXHLevel1X 5 7" xfId="25311"/>
    <cellStyle name="SAPBEXHLevel1X 5 7 2" xfId="25312"/>
    <cellStyle name="SAPBEXHLevel1X 5 7 2 2" xfId="25313"/>
    <cellStyle name="SAPBEXHLevel1X 5 7 3" xfId="25314"/>
    <cellStyle name="SAPBEXHLevel1X 5 8" xfId="25315"/>
    <cellStyle name="SAPBEXHLevel1X 5 8 2" xfId="25316"/>
    <cellStyle name="SAPBEXHLevel1X 5 8 2 2" xfId="25317"/>
    <cellStyle name="SAPBEXHLevel1X 5 8 3" xfId="25318"/>
    <cellStyle name="SAPBEXHLevel1X 5 9" xfId="25319"/>
    <cellStyle name="SAPBEXHLevel1X 5 9 2" xfId="25320"/>
    <cellStyle name="SAPBEXHLevel1X 5 9 2 2" xfId="25321"/>
    <cellStyle name="SAPBEXHLevel1X 5 9 3" xfId="25322"/>
    <cellStyle name="SAPBEXHLevel1X 5_planning-WP" xfId="25323"/>
    <cellStyle name="SAPBEXHLevel1X 6" xfId="25324"/>
    <cellStyle name="SAPBEXHLevel1X 6 10" xfId="25325"/>
    <cellStyle name="SAPBEXHLevel1X 6 10 2" xfId="25326"/>
    <cellStyle name="SAPBEXHLevel1X 6 10 2 2" xfId="25327"/>
    <cellStyle name="SAPBEXHLevel1X 6 10 3" xfId="25328"/>
    <cellStyle name="SAPBEXHLevel1X 6 11" xfId="25329"/>
    <cellStyle name="SAPBEXHLevel1X 6 11 2" xfId="25330"/>
    <cellStyle name="SAPBEXHLevel1X 6 11 2 2" xfId="25331"/>
    <cellStyle name="SAPBEXHLevel1X 6 11 3" xfId="25332"/>
    <cellStyle name="SAPBEXHLevel1X 6 12" xfId="25333"/>
    <cellStyle name="SAPBEXHLevel1X 6 13" xfId="39047"/>
    <cellStyle name="SAPBEXHLevel1X 6 14" xfId="39433"/>
    <cellStyle name="SAPBEXHLevel1X 6 2" xfId="25334"/>
    <cellStyle name="SAPBEXHLevel1X 6 2 10" xfId="25335"/>
    <cellStyle name="SAPBEXHLevel1X 6 2 10 2" xfId="25336"/>
    <cellStyle name="SAPBEXHLevel1X 6 2 2" xfId="25337"/>
    <cellStyle name="SAPBEXHLevel1X 6 2 2 2" xfId="25338"/>
    <cellStyle name="SAPBEXHLevel1X 6 2 2 2 2" xfId="25339"/>
    <cellStyle name="SAPBEXHLevel1X 6 2 2 3" xfId="25340"/>
    <cellStyle name="SAPBEXHLevel1X 6 2 3" xfId="25341"/>
    <cellStyle name="SAPBEXHLevel1X 6 2 3 2" xfId="25342"/>
    <cellStyle name="SAPBEXHLevel1X 6 2 3 2 2" xfId="25343"/>
    <cellStyle name="SAPBEXHLevel1X 6 2 3 3" xfId="25344"/>
    <cellStyle name="SAPBEXHLevel1X 6 2 4" xfId="25345"/>
    <cellStyle name="SAPBEXHLevel1X 6 2 4 2" xfId="25346"/>
    <cellStyle name="SAPBEXHLevel1X 6 2 4 2 2" xfId="25347"/>
    <cellStyle name="SAPBEXHLevel1X 6 2 4 3" xfId="25348"/>
    <cellStyle name="SAPBEXHLevel1X 6 2 5" xfId="25349"/>
    <cellStyle name="SAPBEXHLevel1X 6 2 5 2" xfId="25350"/>
    <cellStyle name="SAPBEXHLevel1X 6 2 5 2 2" xfId="25351"/>
    <cellStyle name="SAPBEXHLevel1X 6 2 5 3" xfId="25352"/>
    <cellStyle name="SAPBEXHLevel1X 6 2 6" xfId="25353"/>
    <cellStyle name="SAPBEXHLevel1X 6 2 6 2" xfId="25354"/>
    <cellStyle name="SAPBEXHLevel1X 6 2 6 2 2" xfId="25355"/>
    <cellStyle name="SAPBEXHLevel1X 6 2 6 3" xfId="25356"/>
    <cellStyle name="SAPBEXHLevel1X 6 2 7" xfId="25357"/>
    <cellStyle name="SAPBEXHLevel1X 6 2 7 2" xfId="25358"/>
    <cellStyle name="SAPBEXHLevel1X 6 2 7 2 2" xfId="25359"/>
    <cellStyle name="SAPBEXHLevel1X 6 2 7 3" xfId="25360"/>
    <cellStyle name="SAPBEXHLevel1X 6 2 8" xfId="25361"/>
    <cellStyle name="SAPBEXHLevel1X 6 2 8 2" xfId="25362"/>
    <cellStyle name="SAPBEXHLevel1X 6 2 8 2 2" xfId="25363"/>
    <cellStyle name="SAPBEXHLevel1X 6 2 8 3" xfId="25364"/>
    <cellStyle name="SAPBEXHLevel1X 6 2 9" xfId="25365"/>
    <cellStyle name="SAPBEXHLevel1X 6 2 9 2" xfId="25366"/>
    <cellStyle name="SAPBEXHLevel1X 6 2 9 2 2" xfId="25367"/>
    <cellStyle name="SAPBEXHLevel1X 6 2 9 3" xfId="25368"/>
    <cellStyle name="SAPBEXHLevel1X 6 2_planning-WP" xfId="25369"/>
    <cellStyle name="SAPBEXHLevel1X 6 3" xfId="25370"/>
    <cellStyle name="SAPBEXHLevel1X 6 3 2" xfId="25371"/>
    <cellStyle name="SAPBEXHLevel1X 6 3 2 2" xfId="25372"/>
    <cellStyle name="SAPBEXHLevel1X 6 3 2 2 2" xfId="25373"/>
    <cellStyle name="SAPBEXHLevel1X 6 3 2 3" xfId="25374"/>
    <cellStyle name="SAPBEXHLevel1X 6 3 3" xfId="25375"/>
    <cellStyle name="SAPBEXHLevel1X 6 3 3 2" xfId="25376"/>
    <cellStyle name="SAPBEXHLevel1X 6 3 3 2 2" xfId="25377"/>
    <cellStyle name="SAPBEXHLevel1X 6 3 3 3" xfId="25378"/>
    <cellStyle name="SAPBEXHLevel1X 6 3 4" xfId="25379"/>
    <cellStyle name="SAPBEXHLevel1X 6 3 4 2" xfId="25380"/>
    <cellStyle name="SAPBEXHLevel1X 6 3 4 2 2" xfId="25381"/>
    <cellStyle name="SAPBEXHLevel1X 6 3 4 3" xfId="25382"/>
    <cellStyle name="SAPBEXHLevel1X 6 3 5" xfId="25383"/>
    <cellStyle name="SAPBEXHLevel1X 6 3 5 2" xfId="25384"/>
    <cellStyle name="SAPBEXHLevel1X 6 3 5 2 2" xfId="25385"/>
    <cellStyle name="SAPBEXHLevel1X 6 3 5 3" xfId="25386"/>
    <cellStyle name="SAPBEXHLevel1X 6 3 6" xfId="25387"/>
    <cellStyle name="SAPBEXHLevel1X 6 3 6 2" xfId="25388"/>
    <cellStyle name="SAPBEXHLevel1X 6 3 6 2 2" xfId="25389"/>
    <cellStyle name="SAPBEXHLevel1X 6 3 6 3" xfId="25390"/>
    <cellStyle name="SAPBEXHLevel1X 6 3 7" xfId="25391"/>
    <cellStyle name="SAPBEXHLevel1X 6 3 7 2" xfId="25392"/>
    <cellStyle name="SAPBEXHLevel1X 6 3 7 2 2" xfId="25393"/>
    <cellStyle name="SAPBEXHLevel1X 6 3 7 3" xfId="25394"/>
    <cellStyle name="SAPBEXHLevel1X 6 3 8" xfId="25395"/>
    <cellStyle name="SAPBEXHLevel1X 6 3 8 2" xfId="25396"/>
    <cellStyle name="SAPBEXHLevel1X 6 3 8 2 2" xfId="25397"/>
    <cellStyle name="SAPBEXHLevel1X 6 3 8 3" xfId="25398"/>
    <cellStyle name="SAPBEXHLevel1X 6 3 9" xfId="25399"/>
    <cellStyle name="SAPBEXHLevel1X 6 3 9 2" xfId="25400"/>
    <cellStyle name="SAPBEXHLevel1X 6 3_planning-WP" xfId="25401"/>
    <cellStyle name="SAPBEXHLevel1X 6 4" xfId="25402"/>
    <cellStyle name="SAPBEXHLevel1X 6 4 2" xfId="25403"/>
    <cellStyle name="SAPBEXHLevel1X 6 4 2 2" xfId="25404"/>
    <cellStyle name="SAPBEXHLevel1X 6 5" xfId="25405"/>
    <cellStyle name="SAPBEXHLevel1X 6 5 2" xfId="25406"/>
    <cellStyle name="SAPBEXHLevel1X 6 5 2 2" xfId="25407"/>
    <cellStyle name="SAPBEXHLevel1X 6 5 3" xfId="25408"/>
    <cellStyle name="SAPBEXHLevel1X 6 6" xfId="25409"/>
    <cellStyle name="SAPBEXHLevel1X 6 6 2" xfId="25410"/>
    <cellStyle name="SAPBEXHLevel1X 6 6 2 2" xfId="25411"/>
    <cellStyle name="SAPBEXHLevel1X 6 6 3" xfId="25412"/>
    <cellStyle name="SAPBEXHLevel1X 6 7" xfId="25413"/>
    <cellStyle name="SAPBEXHLevel1X 6 7 2" xfId="25414"/>
    <cellStyle name="SAPBEXHLevel1X 6 7 2 2" xfId="25415"/>
    <cellStyle name="SAPBEXHLevel1X 6 7 3" xfId="25416"/>
    <cellStyle name="SAPBEXHLevel1X 6 8" xfId="25417"/>
    <cellStyle name="SAPBEXHLevel1X 6 8 2" xfId="25418"/>
    <cellStyle name="SAPBEXHLevel1X 6 8 2 2" xfId="25419"/>
    <cellStyle name="SAPBEXHLevel1X 6 8 3" xfId="25420"/>
    <cellStyle name="SAPBEXHLevel1X 6 9" xfId="25421"/>
    <cellStyle name="SAPBEXHLevel1X 6 9 2" xfId="25422"/>
    <cellStyle name="SAPBEXHLevel1X 6 9 2 2" xfId="25423"/>
    <cellStyle name="SAPBEXHLevel1X 6 9 3" xfId="25424"/>
    <cellStyle name="SAPBEXHLevel1X 6_planning-WP" xfId="25425"/>
    <cellStyle name="SAPBEXHLevel1X 7" xfId="25426"/>
    <cellStyle name="SAPBEXHLevel1X 7 10" xfId="25427"/>
    <cellStyle name="SAPBEXHLevel1X 7 10 2" xfId="25428"/>
    <cellStyle name="SAPBEXHLevel1X 7 10 2 2" xfId="25429"/>
    <cellStyle name="SAPBEXHLevel1X 7 10 3" xfId="25430"/>
    <cellStyle name="SAPBEXHLevel1X 7 11" xfId="25431"/>
    <cellStyle name="SAPBEXHLevel1X 7 11 2" xfId="25432"/>
    <cellStyle name="SAPBEXHLevel1X 7 12" xfId="39048"/>
    <cellStyle name="SAPBEXHLevel1X 7 13" xfId="39434"/>
    <cellStyle name="SAPBEXHLevel1X 7 2" xfId="25433"/>
    <cellStyle name="SAPBEXHLevel1X 7 2 10" xfId="25434"/>
    <cellStyle name="SAPBEXHLevel1X 7 2 10 2" xfId="25435"/>
    <cellStyle name="SAPBEXHLevel1X 7 2 2" xfId="25436"/>
    <cellStyle name="SAPBEXHLevel1X 7 2 2 2" xfId="25437"/>
    <cellStyle name="SAPBEXHLevel1X 7 2 2 2 2" xfId="25438"/>
    <cellStyle name="SAPBEXHLevel1X 7 2 2 3" xfId="25439"/>
    <cellStyle name="SAPBEXHLevel1X 7 2 3" xfId="25440"/>
    <cellStyle name="SAPBEXHLevel1X 7 2 3 2" xfId="25441"/>
    <cellStyle name="SAPBEXHLevel1X 7 2 3 2 2" xfId="25442"/>
    <cellStyle name="SAPBEXHLevel1X 7 2 3 3" xfId="25443"/>
    <cellStyle name="SAPBEXHLevel1X 7 2 4" xfId="25444"/>
    <cellStyle name="SAPBEXHLevel1X 7 2 4 2" xfId="25445"/>
    <cellStyle name="SAPBEXHLevel1X 7 2 4 2 2" xfId="25446"/>
    <cellStyle name="SAPBEXHLevel1X 7 2 4 3" xfId="25447"/>
    <cellStyle name="SAPBEXHLevel1X 7 2 5" xfId="25448"/>
    <cellStyle name="SAPBEXHLevel1X 7 2 5 2" xfId="25449"/>
    <cellStyle name="SAPBEXHLevel1X 7 2 5 2 2" xfId="25450"/>
    <cellStyle name="SAPBEXHLevel1X 7 2 5 3" xfId="25451"/>
    <cellStyle name="SAPBEXHLevel1X 7 2 6" xfId="25452"/>
    <cellStyle name="SAPBEXHLevel1X 7 2 6 2" xfId="25453"/>
    <cellStyle name="SAPBEXHLevel1X 7 2 6 2 2" xfId="25454"/>
    <cellStyle name="SAPBEXHLevel1X 7 2 6 3" xfId="25455"/>
    <cellStyle name="SAPBEXHLevel1X 7 2 7" xfId="25456"/>
    <cellStyle name="SAPBEXHLevel1X 7 2 7 2" xfId="25457"/>
    <cellStyle name="SAPBEXHLevel1X 7 2 7 2 2" xfId="25458"/>
    <cellStyle name="SAPBEXHLevel1X 7 2 7 3" xfId="25459"/>
    <cellStyle name="SAPBEXHLevel1X 7 2 8" xfId="25460"/>
    <cellStyle name="SAPBEXHLevel1X 7 2 8 2" xfId="25461"/>
    <cellStyle name="SAPBEXHLevel1X 7 2 8 2 2" xfId="25462"/>
    <cellStyle name="SAPBEXHLevel1X 7 2 8 3" xfId="25463"/>
    <cellStyle name="SAPBEXHLevel1X 7 2 9" xfId="25464"/>
    <cellStyle name="SAPBEXHLevel1X 7 2 9 2" xfId="25465"/>
    <cellStyle name="SAPBEXHLevel1X 7 2 9 2 2" xfId="25466"/>
    <cellStyle name="SAPBEXHLevel1X 7 2 9 3" xfId="25467"/>
    <cellStyle name="SAPBEXHLevel1X 7 2_planning-WP" xfId="25468"/>
    <cellStyle name="SAPBEXHLevel1X 7 3" xfId="25469"/>
    <cellStyle name="SAPBEXHLevel1X 7 3 2" xfId="25470"/>
    <cellStyle name="SAPBEXHLevel1X 7 3 2 2" xfId="25471"/>
    <cellStyle name="SAPBEXHLevel1X 7 3 3" xfId="25472"/>
    <cellStyle name="SAPBEXHLevel1X 7 4" xfId="25473"/>
    <cellStyle name="SAPBEXHLevel1X 7 4 2" xfId="25474"/>
    <cellStyle name="SAPBEXHLevel1X 7 4 2 2" xfId="25475"/>
    <cellStyle name="SAPBEXHLevel1X 7 4 3" xfId="25476"/>
    <cellStyle name="SAPBEXHLevel1X 7 5" xfId="25477"/>
    <cellStyle name="SAPBEXHLevel1X 7 5 2" xfId="25478"/>
    <cellStyle name="SAPBEXHLevel1X 7 5 2 2" xfId="25479"/>
    <cellStyle name="SAPBEXHLevel1X 7 5 3" xfId="25480"/>
    <cellStyle name="SAPBEXHLevel1X 7 6" xfId="25481"/>
    <cellStyle name="SAPBEXHLevel1X 7 6 2" xfId="25482"/>
    <cellStyle name="SAPBEXHLevel1X 7 6 2 2" xfId="25483"/>
    <cellStyle name="SAPBEXHLevel1X 7 6 3" xfId="25484"/>
    <cellStyle name="SAPBEXHLevel1X 7 7" xfId="25485"/>
    <cellStyle name="SAPBEXHLevel1X 7 7 2" xfId="25486"/>
    <cellStyle name="SAPBEXHLevel1X 7 7 2 2" xfId="25487"/>
    <cellStyle name="SAPBEXHLevel1X 7 7 3" xfId="25488"/>
    <cellStyle name="SAPBEXHLevel1X 7 8" xfId="25489"/>
    <cellStyle name="SAPBEXHLevel1X 7 8 2" xfId="25490"/>
    <cellStyle name="SAPBEXHLevel1X 7 8 2 2" xfId="25491"/>
    <cellStyle name="SAPBEXHLevel1X 7 8 3" xfId="25492"/>
    <cellStyle name="SAPBEXHLevel1X 7 9" xfId="25493"/>
    <cellStyle name="SAPBEXHLevel1X 7 9 2" xfId="25494"/>
    <cellStyle name="SAPBEXHLevel1X 7 9 2 2" xfId="25495"/>
    <cellStyle name="SAPBEXHLevel1X 7 9 3" xfId="25496"/>
    <cellStyle name="SAPBEXHLevel1X 7_planning-WP" xfId="25497"/>
    <cellStyle name="SAPBEXHLevel1X 8" xfId="25498"/>
    <cellStyle name="SAPBEXHLevel1X 8 10" xfId="25499"/>
    <cellStyle name="SAPBEXHLevel1X 8 10 2" xfId="25500"/>
    <cellStyle name="SAPBEXHLevel1X 8 11" xfId="39049"/>
    <cellStyle name="SAPBEXHLevel1X 8 12" xfId="39435"/>
    <cellStyle name="SAPBEXHLevel1X 8 2" xfId="25501"/>
    <cellStyle name="SAPBEXHLevel1X 8 2 2" xfId="25502"/>
    <cellStyle name="SAPBEXHLevel1X 8 2 2 2" xfId="25503"/>
    <cellStyle name="SAPBEXHLevel1X 8 2 3" xfId="25504"/>
    <cellStyle name="SAPBEXHLevel1X 8 3" xfId="25505"/>
    <cellStyle name="SAPBEXHLevel1X 8 3 2" xfId="25506"/>
    <cellStyle name="SAPBEXHLevel1X 8 3 2 2" xfId="25507"/>
    <cellStyle name="SAPBEXHLevel1X 8 3 3" xfId="25508"/>
    <cellStyle name="SAPBEXHLevel1X 8 4" xfId="25509"/>
    <cellStyle name="SAPBEXHLevel1X 8 4 2" xfId="25510"/>
    <cellStyle name="SAPBEXHLevel1X 8 4 2 2" xfId="25511"/>
    <cellStyle name="SAPBEXHLevel1X 8 4 3" xfId="25512"/>
    <cellStyle name="SAPBEXHLevel1X 8 5" xfId="25513"/>
    <cellStyle name="SAPBEXHLevel1X 8 5 2" xfId="25514"/>
    <cellStyle name="SAPBEXHLevel1X 8 5 2 2" xfId="25515"/>
    <cellStyle name="SAPBEXHLevel1X 8 5 3" xfId="25516"/>
    <cellStyle name="SAPBEXHLevel1X 8 6" xfId="25517"/>
    <cellStyle name="SAPBEXHLevel1X 8 6 2" xfId="25518"/>
    <cellStyle name="SAPBEXHLevel1X 8 6 2 2" xfId="25519"/>
    <cellStyle name="SAPBEXHLevel1X 8 6 3" xfId="25520"/>
    <cellStyle name="SAPBEXHLevel1X 8 7" xfId="25521"/>
    <cellStyle name="SAPBEXHLevel1X 8 7 2" xfId="25522"/>
    <cellStyle name="SAPBEXHLevel1X 8 7 2 2" xfId="25523"/>
    <cellStyle name="SAPBEXHLevel1X 8 7 3" xfId="25524"/>
    <cellStyle name="SAPBEXHLevel1X 8 8" xfId="25525"/>
    <cellStyle name="SAPBEXHLevel1X 8 8 2" xfId="25526"/>
    <cellStyle name="SAPBEXHLevel1X 8 8 2 2" xfId="25527"/>
    <cellStyle name="SAPBEXHLevel1X 8 8 3" xfId="25528"/>
    <cellStyle name="SAPBEXHLevel1X 8 9" xfId="25529"/>
    <cellStyle name="SAPBEXHLevel1X 8 9 2" xfId="25530"/>
    <cellStyle name="SAPBEXHLevel1X 8 9 2 2" xfId="25531"/>
    <cellStyle name="SAPBEXHLevel1X 8 9 3" xfId="25532"/>
    <cellStyle name="SAPBEXHLevel1X 8_planning-WP" xfId="25533"/>
    <cellStyle name="SAPBEXHLevel1X 9" xfId="25534"/>
    <cellStyle name="SAPBEXHLevel1X 9 2" xfId="25535"/>
    <cellStyle name="SAPBEXHLevel1X 9 2 2" xfId="25536"/>
    <cellStyle name="SAPBEXHLevel1X 9 2 2 2" xfId="25537"/>
    <cellStyle name="SAPBEXHLevel1X 9 2 3" xfId="25538"/>
    <cellStyle name="SAPBEXHLevel1X 9 3" xfId="25539"/>
    <cellStyle name="SAPBEXHLevel1X 9 3 2" xfId="25540"/>
    <cellStyle name="SAPBEXHLevel1X 9 3 2 2" xfId="25541"/>
    <cellStyle name="SAPBEXHLevel1X 9 3 3" xfId="25542"/>
    <cellStyle name="SAPBEXHLevel1X 9 4" xfId="25543"/>
    <cellStyle name="SAPBEXHLevel1X 9 4 2" xfId="25544"/>
    <cellStyle name="SAPBEXHLevel1X 9 4 2 2" xfId="25545"/>
    <cellStyle name="SAPBEXHLevel1X 9 4 3" xfId="25546"/>
    <cellStyle name="SAPBEXHLevel1X 9 5" xfId="25547"/>
    <cellStyle name="SAPBEXHLevel1X 9 5 2" xfId="25548"/>
    <cellStyle name="SAPBEXHLevel1X 9 5 2 2" xfId="25549"/>
    <cellStyle name="SAPBEXHLevel1X 9 5 3" xfId="25550"/>
    <cellStyle name="SAPBEXHLevel1X 9 6" xfId="25551"/>
    <cellStyle name="SAPBEXHLevel1X 9 6 2" xfId="25552"/>
    <cellStyle name="SAPBEXHLevel1X 9 6 2 2" xfId="25553"/>
    <cellStyle name="SAPBEXHLevel1X 9 6 3" xfId="25554"/>
    <cellStyle name="SAPBEXHLevel1X 9 7" xfId="25555"/>
    <cellStyle name="SAPBEXHLevel1X 9 7 2" xfId="25556"/>
    <cellStyle name="SAPBEXHLevel1X 9 7 2 2" xfId="25557"/>
    <cellStyle name="SAPBEXHLevel1X 9 7 3" xfId="25558"/>
    <cellStyle name="SAPBEXHLevel1X 9 8" xfId="25559"/>
    <cellStyle name="SAPBEXHLevel1X 9 8 2" xfId="25560"/>
    <cellStyle name="SAPBEXHLevel1X 9 8 2 2" xfId="25561"/>
    <cellStyle name="SAPBEXHLevel1X 9 8 3" xfId="25562"/>
    <cellStyle name="SAPBEXHLevel1X 9 9" xfId="25563"/>
    <cellStyle name="SAPBEXHLevel1X 9 9 2" xfId="25564"/>
    <cellStyle name="SAPBEXHLevel1X 9_planning-WP" xfId="25565"/>
    <cellStyle name="SAPBEXHLevel1X_planning-WP" xfId="25566"/>
    <cellStyle name="SAPBEXHLevel2" xfId="25567"/>
    <cellStyle name="SAPBEXHLevel2 10" xfId="25568"/>
    <cellStyle name="SAPBEXHLevel2 10 2" xfId="25569"/>
    <cellStyle name="SAPBEXHLevel2 10 2 2" xfId="25570"/>
    <cellStyle name="SAPBEXHLevel2 11" xfId="25571"/>
    <cellStyle name="SAPBEXHLevel2 11 2" xfId="25572"/>
    <cellStyle name="SAPBEXHLevel2 11 2 2" xfId="25573"/>
    <cellStyle name="SAPBEXHLevel2 11 3" xfId="25574"/>
    <cellStyle name="SAPBEXHLevel2 12" xfId="25575"/>
    <cellStyle name="SAPBEXHLevel2 12 2" xfId="25576"/>
    <cellStyle name="SAPBEXHLevel2 12 2 2" xfId="25577"/>
    <cellStyle name="SAPBEXHLevel2 12 3" xfId="25578"/>
    <cellStyle name="SAPBEXHLevel2 13" xfId="25579"/>
    <cellStyle name="SAPBEXHLevel2 13 2" xfId="25580"/>
    <cellStyle name="SAPBEXHLevel2 13 2 2" xfId="25581"/>
    <cellStyle name="SAPBEXHLevel2 13 3" xfId="25582"/>
    <cellStyle name="SAPBEXHLevel2 14" xfId="25583"/>
    <cellStyle name="SAPBEXHLevel2 14 2" xfId="25584"/>
    <cellStyle name="SAPBEXHLevel2 14 2 2" xfId="25585"/>
    <cellStyle name="SAPBEXHLevel2 14 3" xfId="25586"/>
    <cellStyle name="SAPBEXHLevel2 15" xfId="25587"/>
    <cellStyle name="SAPBEXHLevel2 15 2" xfId="25588"/>
    <cellStyle name="SAPBEXHLevel2 15 2 2" xfId="25589"/>
    <cellStyle name="SAPBEXHLevel2 15 3" xfId="25590"/>
    <cellStyle name="SAPBEXHLevel2 16" xfId="25591"/>
    <cellStyle name="SAPBEXHLevel2 16 2" xfId="25592"/>
    <cellStyle name="SAPBEXHLevel2 16 2 2" xfId="25593"/>
    <cellStyle name="SAPBEXHLevel2 16 3" xfId="25594"/>
    <cellStyle name="SAPBEXHLevel2 17" xfId="25595"/>
    <cellStyle name="SAPBEXHLevel2 17 2" xfId="25596"/>
    <cellStyle name="SAPBEXHLevel2 17 2 2" xfId="25597"/>
    <cellStyle name="SAPBEXHLevel2 17 3" xfId="25598"/>
    <cellStyle name="SAPBEXHLevel2 18" xfId="25599"/>
    <cellStyle name="SAPBEXHLevel2 19" xfId="39050"/>
    <cellStyle name="SAPBEXHLevel2 2" xfId="25600"/>
    <cellStyle name="SAPBEXHLevel2 2 10" xfId="25601"/>
    <cellStyle name="SAPBEXHLevel2 2 10 2" xfId="25602"/>
    <cellStyle name="SAPBEXHLevel2 2 10 2 2" xfId="25603"/>
    <cellStyle name="SAPBEXHLevel2 2 10 3" xfId="25604"/>
    <cellStyle name="SAPBEXHLevel2 2 11" xfId="25605"/>
    <cellStyle name="SAPBEXHLevel2 2 11 2" xfId="25606"/>
    <cellStyle name="SAPBEXHLevel2 2 11 2 2" xfId="25607"/>
    <cellStyle name="SAPBEXHLevel2 2 11 3" xfId="25608"/>
    <cellStyle name="SAPBEXHLevel2 2 12" xfId="25609"/>
    <cellStyle name="SAPBEXHLevel2 2 12 2" xfId="25610"/>
    <cellStyle name="SAPBEXHLevel2 2 12 2 2" xfId="25611"/>
    <cellStyle name="SAPBEXHLevel2 2 12 3" xfId="25612"/>
    <cellStyle name="SAPBEXHLevel2 2 13" xfId="25613"/>
    <cellStyle name="SAPBEXHLevel2 2 14" xfId="39051"/>
    <cellStyle name="SAPBEXHLevel2 2 15" xfId="39437"/>
    <cellStyle name="SAPBEXHLevel2 2 2" xfId="25614"/>
    <cellStyle name="SAPBEXHLevel2 2 2 10" xfId="25615"/>
    <cellStyle name="SAPBEXHLevel2 2 2 10 2" xfId="25616"/>
    <cellStyle name="SAPBEXHLevel2 2 2 10 2 2" xfId="25617"/>
    <cellStyle name="SAPBEXHLevel2 2 2 10 3" xfId="25618"/>
    <cellStyle name="SAPBEXHLevel2 2 2 11" xfId="25619"/>
    <cellStyle name="SAPBEXHLevel2 2 2 11 2" xfId="25620"/>
    <cellStyle name="SAPBEXHLevel2 2 2 12" xfId="39052"/>
    <cellStyle name="SAPBEXHLevel2 2 2 13" xfId="39438"/>
    <cellStyle name="SAPBEXHLevel2 2 2 2" xfId="25621"/>
    <cellStyle name="SAPBEXHLevel2 2 2 2 10" xfId="25622"/>
    <cellStyle name="SAPBEXHLevel2 2 2 2 10 2" xfId="25623"/>
    <cellStyle name="SAPBEXHLevel2 2 2 2 2" xfId="25624"/>
    <cellStyle name="SAPBEXHLevel2 2 2 2 2 2" xfId="25625"/>
    <cellStyle name="SAPBEXHLevel2 2 2 2 2 2 2" xfId="25626"/>
    <cellStyle name="SAPBEXHLevel2 2 2 2 2 3" xfId="25627"/>
    <cellStyle name="SAPBEXHLevel2 2 2 2 3" xfId="25628"/>
    <cellStyle name="SAPBEXHLevel2 2 2 2 3 2" xfId="25629"/>
    <cellStyle name="SAPBEXHLevel2 2 2 2 3 2 2" xfId="25630"/>
    <cellStyle name="SAPBEXHLevel2 2 2 2 3 3" xfId="25631"/>
    <cellStyle name="SAPBEXHLevel2 2 2 2 4" xfId="25632"/>
    <cellStyle name="SAPBEXHLevel2 2 2 2 4 2" xfId="25633"/>
    <cellStyle name="SAPBEXHLevel2 2 2 2 4 2 2" xfId="25634"/>
    <cellStyle name="SAPBEXHLevel2 2 2 2 4 3" xfId="25635"/>
    <cellStyle name="SAPBEXHLevel2 2 2 2 5" xfId="25636"/>
    <cellStyle name="SAPBEXHLevel2 2 2 2 5 2" xfId="25637"/>
    <cellStyle name="SAPBEXHLevel2 2 2 2 5 2 2" xfId="25638"/>
    <cellStyle name="SAPBEXHLevel2 2 2 2 5 3" xfId="25639"/>
    <cellStyle name="SAPBEXHLevel2 2 2 2 6" xfId="25640"/>
    <cellStyle name="SAPBEXHLevel2 2 2 2 6 2" xfId="25641"/>
    <cellStyle name="SAPBEXHLevel2 2 2 2 6 2 2" xfId="25642"/>
    <cellStyle name="SAPBEXHLevel2 2 2 2 6 3" xfId="25643"/>
    <cellStyle name="SAPBEXHLevel2 2 2 2 7" xfId="25644"/>
    <cellStyle name="SAPBEXHLevel2 2 2 2 7 2" xfId="25645"/>
    <cellStyle name="SAPBEXHLevel2 2 2 2 7 2 2" xfId="25646"/>
    <cellStyle name="SAPBEXHLevel2 2 2 2 7 3" xfId="25647"/>
    <cellStyle name="SAPBEXHLevel2 2 2 2 8" xfId="25648"/>
    <cellStyle name="SAPBEXHLevel2 2 2 2 8 2" xfId="25649"/>
    <cellStyle name="SAPBEXHLevel2 2 2 2 8 2 2" xfId="25650"/>
    <cellStyle name="SAPBEXHLevel2 2 2 2 8 3" xfId="25651"/>
    <cellStyle name="SAPBEXHLevel2 2 2 2 9" xfId="25652"/>
    <cellStyle name="SAPBEXHLevel2 2 2 2 9 2" xfId="25653"/>
    <cellStyle name="SAPBEXHLevel2 2 2 2 9 2 2" xfId="25654"/>
    <cellStyle name="SAPBEXHLevel2 2 2 2 9 3" xfId="25655"/>
    <cellStyle name="SAPBEXHLevel2 2 2 2_planning-WP" xfId="25656"/>
    <cellStyle name="SAPBEXHLevel2 2 2 3" xfId="25657"/>
    <cellStyle name="SAPBEXHLevel2 2 2 3 2" xfId="25658"/>
    <cellStyle name="SAPBEXHLevel2 2 2 3 2 2" xfId="25659"/>
    <cellStyle name="SAPBEXHLevel2 2 2 3 3" xfId="25660"/>
    <cellStyle name="SAPBEXHLevel2 2 2 4" xfId="25661"/>
    <cellStyle name="SAPBEXHLevel2 2 2 4 2" xfId="25662"/>
    <cellStyle name="SAPBEXHLevel2 2 2 4 2 2" xfId="25663"/>
    <cellStyle name="SAPBEXHLevel2 2 2 4 3" xfId="25664"/>
    <cellStyle name="SAPBEXHLevel2 2 2 5" xfId="25665"/>
    <cellStyle name="SAPBEXHLevel2 2 2 5 2" xfId="25666"/>
    <cellStyle name="SAPBEXHLevel2 2 2 5 2 2" xfId="25667"/>
    <cellStyle name="SAPBEXHLevel2 2 2 5 3" xfId="25668"/>
    <cellStyle name="SAPBEXHLevel2 2 2 6" xfId="25669"/>
    <cellStyle name="SAPBEXHLevel2 2 2 6 2" xfId="25670"/>
    <cellStyle name="SAPBEXHLevel2 2 2 6 2 2" xfId="25671"/>
    <cellStyle name="SAPBEXHLevel2 2 2 6 3" xfId="25672"/>
    <cellStyle name="SAPBEXHLevel2 2 2 7" xfId="25673"/>
    <cellStyle name="SAPBEXHLevel2 2 2 7 2" xfId="25674"/>
    <cellStyle name="SAPBEXHLevel2 2 2 7 2 2" xfId="25675"/>
    <cellStyle name="SAPBEXHLevel2 2 2 7 3" xfId="25676"/>
    <cellStyle name="SAPBEXHLevel2 2 2 8" xfId="25677"/>
    <cellStyle name="SAPBEXHLevel2 2 2 8 2" xfId="25678"/>
    <cellStyle name="SAPBEXHLevel2 2 2 8 2 2" xfId="25679"/>
    <cellStyle name="SAPBEXHLevel2 2 2 8 3" xfId="25680"/>
    <cellStyle name="SAPBEXHLevel2 2 2 9" xfId="25681"/>
    <cellStyle name="SAPBEXHLevel2 2 2 9 2" xfId="25682"/>
    <cellStyle name="SAPBEXHLevel2 2 2 9 2 2" xfId="25683"/>
    <cellStyle name="SAPBEXHLevel2 2 2 9 3" xfId="25684"/>
    <cellStyle name="SAPBEXHLevel2 2 2_planning-WP" xfId="25685"/>
    <cellStyle name="SAPBEXHLevel2 2 3" xfId="25686"/>
    <cellStyle name="SAPBEXHLevel2 2 3 10" xfId="25687"/>
    <cellStyle name="SAPBEXHLevel2 2 3 10 2" xfId="25688"/>
    <cellStyle name="SAPBEXHLevel2 2 3 2" xfId="25689"/>
    <cellStyle name="SAPBEXHLevel2 2 3 2 2" xfId="25690"/>
    <cellStyle name="SAPBEXHLevel2 2 3 2 2 2" xfId="25691"/>
    <cellStyle name="SAPBEXHLevel2 2 3 2 3" xfId="25692"/>
    <cellStyle name="SAPBEXHLevel2 2 3 3" xfId="25693"/>
    <cellStyle name="SAPBEXHLevel2 2 3 3 2" xfId="25694"/>
    <cellStyle name="SAPBEXHLevel2 2 3 3 2 2" xfId="25695"/>
    <cellStyle name="SAPBEXHLevel2 2 3 3 3" xfId="25696"/>
    <cellStyle name="SAPBEXHLevel2 2 3 4" xfId="25697"/>
    <cellStyle name="SAPBEXHLevel2 2 3 4 2" xfId="25698"/>
    <cellStyle name="SAPBEXHLevel2 2 3 4 2 2" xfId="25699"/>
    <cellStyle name="SAPBEXHLevel2 2 3 4 3" xfId="25700"/>
    <cellStyle name="SAPBEXHLevel2 2 3 5" xfId="25701"/>
    <cellStyle name="SAPBEXHLevel2 2 3 5 2" xfId="25702"/>
    <cellStyle name="SAPBEXHLevel2 2 3 5 2 2" xfId="25703"/>
    <cellStyle name="SAPBEXHLevel2 2 3 5 3" xfId="25704"/>
    <cellStyle name="SAPBEXHLevel2 2 3 6" xfId="25705"/>
    <cellStyle name="SAPBEXHLevel2 2 3 6 2" xfId="25706"/>
    <cellStyle name="SAPBEXHLevel2 2 3 6 2 2" xfId="25707"/>
    <cellStyle name="SAPBEXHLevel2 2 3 6 3" xfId="25708"/>
    <cellStyle name="SAPBEXHLevel2 2 3 7" xfId="25709"/>
    <cellStyle name="SAPBEXHLevel2 2 3 7 2" xfId="25710"/>
    <cellStyle name="SAPBEXHLevel2 2 3 7 2 2" xfId="25711"/>
    <cellStyle name="SAPBEXHLevel2 2 3 7 3" xfId="25712"/>
    <cellStyle name="SAPBEXHLevel2 2 3 8" xfId="25713"/>
    <cellStyle name="SAPBEXHLevel2 2 3 8 2" xfId="25714"/>
    <cellStyle name="SAPBEXHLevel2 2 3 8 2 2" xfId="25715"/>
    <cellStyle name="SAPBEXHLevel2 2 3 8 3" xfId="25716"/>
    <cellStyle name="SAPBEXHLevel2 2 3 9" xfId="25717"/>
    <cellStyle name="SAPBEXHLevel2 2 3 9 2" xfId="25718"/>
    <cellStyle name="SAPBEXHLevel2 2 3 9 2 2" xfId="25719"/>
    <cellStyle name="SAPBEXHLevel2 2 3 9 3" xfId="25720"/>
    <cellStyle name="SAPBEXHLevel2 2 3_planning-WP" xfId="25721"/>
    <cellStyle name="SAPBEXHLevel2 2 4" xfId="25722"/>
    <cellStyle name="SAPBEXHLevel2 2 4 2" xfId="25723"/>
    <cellStyle name="SAPBEXHLevel2 2 4 2 2" xfId="25724"/>
    <cellStyle name="SAPBEXHLevel2 2 4 2 2 2" xfId="25725"/>
    <cellStyle name="SAPBEXHLevel2 2 4 2 3" xfId="25726"/>
    <cellStyle name="SAPBEXHLevel2 2 4 3" xfId="25727"/>
    <cellStyle name="SAPBEXHLevel2 2 4 3 2" xfId="25728"/>
    <cellStyle name="SAPBEXHLevel2 2 4 3 2 2" xfId="25729"/>
    <cellStyle name="SAPBEXHLevel2 2 4 3 3" xfId="25730"/>
    <cellStyle name="SAPBEXHLevel2 2 4 4" xfId="25731"/>
    <cellStyle name="SAPBEXHLevel2 2 4 4 2" xfId="25732"/>
    <cellStyle name="SAPBEXHLevel2 2 4 4 2 2" xfId="25733"/>
    <cellStyle name="SAPBEXHLevel2 2 4 4 3" xfId="25734"/>
    <cellStyle name="SAPBEXHLevel2 2 4 5" xfId="25735"/>
    <cellStyle name="SAPBEXHLevel2 2 4 5 2" xfId="25736"/>
    <cellStyle name="SAPBEXHLevel2 2 4 5 2 2" xfId="25737"/>
    <cellStyle name="SAPBEXHLevel2 2 4 5 3" xfId="25738"/>
    <cellStyle name="SAPBEXHLevel2 2 4 6" xfId="25739"/>
    <cellStyle name="SAPBEXHLevel2 2 4 6 2" xfId="25740"/>
    <cellStyle name="SAPBEXHLevel2 2 4 6 2 2" xfId="25741"/>
    <cellStyle name="SAPBEXHLevel2 2 4 6 3" xfId="25742"/>
    <cellStyle name="SAPBEXHLevel2 2 4 7" xfId="25743"/>
    <cellStyle name="SAPBEXHLevel2 2 4 7 2" xfId="25744"/>
    <cellStyle name="SAPBEXHLevel2 2 4 7 2 2" xfId="25745"/>
    <cellStyle name="SAPBEXHLevel2 2 4 7 3" xfId="25746"/>
    <cellStyle name="SAPBEXHLevel2 2 4 8" xfId="25747"/>
    <cellStyle name="SAPBEXHLevel2 2 4 8 2" xfId="25748"/>
    <cellStyle name="SAPBEXHLevel2 2 4 8 2 2" xfId="25749"/>
    <cellStyle name="SAPBEXHLevel2 2 4 8 3" xfId="25750"/>
    <cellStyle name="SAPBEXHLevel2 2 4 9" xfId="25751"/>
    <cellStyle name="SAPBEXHLevel2 2 4 9 2" xfId="25752"/>
    <cellStyle name="SAPBEXHLevel2 2 4_planning-WP" xfId="25753"/>
    <cellStyle name="SAPBEXHLevel2 2 5" xfId="25754"/>
    <cellStyle name="SAPBEXHLevel2 2 5 2" xfId="25755"/>
    <cellStyle name="SAPBEXHLevel2 2 5 2 2" xfId="25756"/>
    <cellStyle name="SAPBEXHLevel2 2 6" xfId="25757"/>
    <cellStyle name="SAPBEXHLevel2 2 6 2" xfId="25758"/>
    <cellStyle name="SAPBEXHLevel2 2 6 2 2" xfId="25759"/>
    <cellStyle name="SAPBEXHLevel2 2 6 3" xfId="25760"/>
    <cellStyle name="SAPBEXHLevel2 2 7" xfId="25761"/>
    <cellStyle name="SAPBEXHLevel2 2 7 2" xfId="25762"/>
    <cellStyle name="SAPBEXHLevel2 2 7 2 2" xfId="25763"/>
    <cellStyle name="SAPBEXHLevel2 2 7 3" xfId="25764"/>
    <cellStyle name="SAPBEXHLevel2 2 8" xfId="25765"/>
    <cellStyle name="SAPBEXHLevel2 2 8 2" xfId="25766"/>
    <cellStyle name="SAPBEXHLevel2 2 8 2 2" xfId="25767"/>
    <cellStyle name="SAPBEXHLevel2 2 8 3" xfId="25768"/>
    <cellStyle name="SAPBEXHLevel2 2 9" xfId="25769"/>
    <cellStyle name="SAPBEXHLevel2 2 9 2" xfId="25770"/>
    <cellStyle name="SAPBEXHLevel2 2 9 2 2" xfId="25771"/>
    <cellStyle name="SAPBEXHLevel2 2 9 3" xfId="25772"/>
    <cellStyle name="SAPBEXHLevel2 2_planning-WP" xfId="25773"/>
    <cellStyle name="SAPBEXHLevel2 20" xfId="39436"/>
    <cellStyle name="SAPBEXHLevel2 3" xfId="25774"/>
    <cellStyle name="SAPBEXHLevel2 3 10" xfId="25775"/>
    <cellStyle name="SAPBEXHLevel2 3 10 2" xfId="25776"/>
    <cellStyle name="SAPBEXHLevel2 3 10 2 2" xfId="25777"/>
    <cellStyle name="SAPBEXHLevel2 3 10 3" xfId="25778"/>
    <cellStyle name="SAPBEXHLevel2 3 11" xfId="25779"/>
    <cellStyle name="SAPBEXHLevel2 3 11 2" xfId="25780"/>
    <cellStyle name="SAPBEXHLevel2 3 11 2 2" xfId="25781"/>
    <cellStyle name="SAPBEXHLevel2 3 11 3" xfId="25782"/>
    <cellStyle name="SAPBEXHLevel2 3 12" xfId="25783"/>
    <cellStyle name="SAPBEXHLevel2 3 12 2" xfId="25784"/>
    <cellStyle name="SAPBEXHLevel2 3 12 2 2" xfId="25785"/>
    <cellStyle name="SAPBEXHLevel2 3 12 3" xfId="25786"/>
    <cellStyle name="SAPBEXHLevel2 3 13" xfId="25787"/>
    <cellStyle name="SAPBEXHLevel2 3 14" xfId="39053"/>
    <cellStyle name="SAPBEXHLevel2 3 15" xfId="39439"/>
    <cellStyle name="SAPBEXHLevel2 3 2" xfId="25788"/>
    <cellStyle name="SAPBEXHLevel2 3 2 10" xfId="25789"/>
    <cellStyle name="SAPBEXHLevel2 3 2 10 2" xfId="25790"/>
    <cellStyle name="SAPBEXHLevel2 3 2 10 2 2" xfId="25791"/>
    <cellStyle name="SAPBEXHLevel2 3 2 10 3" xfId="25792"/>
    <cellStyle name="SAPBEXHLevel2 3 2 11" xfId="25793"/>
    <cellStyle name="SAPBEXHLevel2 3 2 11 2" xfId="25794"/>
    <cellStyle name="SAPBEXHLevel2 3 2 12" xfId="39054"/>
    <cellStyle name="SAPBEXHLevel2 3 2 13" xfId="39440"/>
    <cellStyle name="SAPBEXHLevel2 3 2 2" xfId="25795"/>
    <cellStyle name="SAPBEXHLevel2 3 2 2 10" xfId="25796"/>
    <cellStyle name="SAPBEXHLevel2 3 2 2 10 2" xfId="25797"/>
    <cellStyle name="SAPBEXHLevel2 3 2 2 2" xfId="25798"/>
    <cellStyle name="SAPBEXHLevel2 3 2 2 2 2" xfId="25799"/>
    <cellStyle name="SAPBEXHLevel2 3 2 2 2 2 2" xfId="25800"/>
    <cellStyle name="SAPBEXHLevel2 3 2 2 2 3" xfId="25801"/>
    <cellStyle name="SAPBEXHLevel2 3 2 2 3" xfId="25802"/>
    <cellStyle name="SAPBEXHLevel2 3 2 2 3 2" xfId="25803"/>
    <cellStyle name="SAPBEXHLevel2 3 2 2 3 2 2" xfId="25804"/>
    <cellStyle name="SAPBEXHLevel2 3 2 2 3 3" xfId="25805"/>
    <cellStyle name="SAPBEXHLevel2 3 2 2 4" xfId="25806"/>
    <cellStyle name="SAPBEXHLevel2 3 2 2 4 2" xfId="25807"/>
    <cellStyle name="SAPBEXHLevel2 3 2 2 4 2 2" xfId="25808"/>
    <cellStyle name="SAPBEXHLevel2 3 2 2 4 3" xfId="25809"/>
    <cellStyle name="SAPBEXHLevel2 3 2 2 5" xfId="25810"/>
    <cellStyle name="SAPBEXHLevel2 3 2 2 5 2" xfId="25811"/>
    <cellStyle name="SAPBEXHLevel2 3 2 2 5 2 2" xfId="25812"/>
    <cellStyle name="SAPBEXHLevel2 3 2 2 5 3" xfId="25813"/>
    <cellStyle name="SAPBEXHLevel2 3 2 2 6" xfId="25814"/>
    <cellStyle name="SAPBEXHLevel2 3 2 2 6 2" xfId="25815"/>
    <cellStyle name="SAPBEXHLevel2 3 2 2 6 2 2" xfId="25816"/>
    <cellStyle name="SAPBEXHLevel2 3 2 2 6 3" xfId="25817"/>
    <cellStyle name="SAPBEXHLevel2 3 2 2 7" xfId="25818"/>
    <cellStyle name="SAPBEXHLevel2 3 2 2 7 2" xfId="25819"/>
    <cellStyle name="SAPBEXHLevel2 3 2 2 7 2 2" xfId="25820"/>
    <cellStyle name="SAPBEXHLevel2 3 2 2 7 3" xfId="25821"/>
    <cellStyle name="SAPBEXHLevel2 3 2 2 8" xfId="25822"/>
    <cellStyle name="SAPBEXHLevel2 3 2 2 8 2" xfId="25823"/>
    <cellStyle name="SAPBEXHLevel2 3 2 2 8 2 2" xfId="25824"/>
    <cellStyle name="SAPBEXHLevel2 3 2 2 8 3" xfId="25825"/>
    <cellStyle name="SAPBEXHLevel2 3 2 2 9" xfId="25826"/>
    <cellStyle name="SAPBEXHLevel2 3 2 2 9 2" xfId="25827"/>
    <cellStyle name="SAPBEXHLevel2 3 2 2 9 2 2" xfId="25828"/>
    <cellStyle name="SAPBEXHLevel2 3 2 2 9 3" xfId="25829"/>
    <cellStyle name="SAPBEXHLevel2 3 2 2_planning-WP" xfId="25830"/>
    <cellStyle name="SAPBEXHLevel2 3 2 3" xfId="25831"/>
    <cellStyle name="SAPBEXHLevel2 3 2 3 2" xfId="25832"/>
    <cellStyle name="SAPBEXHLevel2 3 2 3 2 2" xfId="25833"/>
    <cellStyle name="SAPBEXHLevel2 3 2 3 3" xfId="25834"/>
    <cellStyle name="SAPBEXHLevel2 3 2 4" xfId="25835"/>
    <cellStyle name="SAPBEXHLevel2 3 2 4 2" xfId="25836"/>
    <cellStyle name="SAPBEXHLevel2 3 2 4 2 2" xfId="25837"/>
    <cellStyle name="SAPBEXHLevel2 3 2 4 3" xfId="25838"/>
    <cellStyle name="SAPBEXHLevel2 3 2 5" xfId="25839"/>
    <cellStyle name="SAPBEXHLevel2 3 2 5 2" xfId="25840"/>
    <cellStyle name="SAPBEXHLevel2 3 2 5 2 2" xfId="25841"/>
    <cellStyle name="SAPBEXHLevel2 3 2 5 3" xfId="25842"/>
    <cellStyle name="SAPBEXHLevel2 3 2 6" xfId="25843"/>
    <cellStyle name="SAPBEXHLevel2 3 2 6 2" xfId="25844"/>
    <cellStyle name="SAPBEXHLevel2 3 2 6 2 2" xfId="25845"/>
    <cellStyle name="SAPBEXHLevel2 3 2 6 3" xfId="25846"/>
    <cellStyle name="SAPBEXHLevel2 3 2 7" xfId="25847"/>
    <cellStyle name="SAPBEXHLevel2 3 2 7 2" xfId="25848"/>
    <cellStyle name="SAPBEXHLevel2 3 2 7 2 2" xfId="25849"/>
    <cellStyle name="SAPBEXHLevel2 3 2 7 3" xfId="25850"/>
    <cellStyle name="SAPBEXHLevel2 3 2 8" xfId="25851"/>
    <cellStyle name="SAPBEXHLevel2 3 2 8 2" xfId="25852"/>
    <cellStyle name="SAPBEXHLevel2 3 2 8 2 2" xfId="25853"/>
    <cellStyle name="SAPBEXHLevel2 3 2 8 3" xfId="25854"/>
    <cellStyle name="SAPBEXHLevel2 3 2 9" xfId="25855"/>
    <cellStyle name="SAPBEXHLevel2 3 2 9 2" xfId="25856"/>
    <cellStyle name="SAPBEXHLevel2 3 2 9 2 2" xfId="25857"/>
    <cellStyle name="SAPBEXHLevel2 3 2 9 3" xfId="25858"/>
    <cellStyle name="SAPBEXHLevel2 3 2_planning-WP" xfId="25859"/>
    <cellStyle name="SAPBEXHLevel2 3 3" xfId="25860"/>
    <cellStyle name="SAPBEXHLevel2 3 3 10" xfId="25861"/>
    <cellStyle name="SAPBEXHLevel2 3 3 10 2" xfId="25862"/>
    <cellStyle name="SAPBEXHLevel2 3 3 2" xfId="25863"/>
    <cellStyle name="SAPBEXHLevel2 3 3 2 2" xfId="25864"/>
    <cellStyle name="SAPBEXHLevel2 3 3 2 2 2" xfId="25865"/>
    <cellStyle name="SAPBEXHLevel2 3 3 2 3" xfId="25866"/>
    <cellStyle name="SAPBEXHLevel2 3 3 3" xfId="25867"/>
    <cellStyle name="SAPBEXHLevel2 3 3 3 2" xfId="25868"/>
    <cellStyle name="SAPBEXHLevel2 3 3 3 2 2" xfId="25869"/>
    <cellStyle name="SAPBEXHLevel2 3 3 3 3" xfId="25870"/>
    <cellStyle name="SAPBEXHLevel2 3 3 4" xfId="25871"/>
    <cellStyle name="SAPBEXHLevel2 3 3 4 2" xfId="25872"/>
    <cellStyle name="SAPBEXHLevel2 3 3 4 2 2" xfId="25873"/>
    <cellStyle name="SAPBEXHLevel2 3 3 4 3" xfId="25874"/>
    <cellStyle name="SAPBEXHLevel2 3 3 5" xfId="25875"/>
    <cellStyle name="SAPBEXHLevel2 3 3 5 2" xfId="25876"/>
    <cellStyle name="SAPBEXHLevel2 3 3 5 2 2" xfId="25877"/>
    <cellStyle name="SAPBEXHLevel2 3 3 5 3" xfId="25878"/>
    <cellStyle name="SAPBEXHLevel2 3 3 6" xfId="25879"/>
    <cellStyle name="SAPBEXHLevel2 3 3 6 2" xfId="25880"/>
    <cellStyle name="SAPBEXHLevel2 3 3 6 2 2" xfId="25881"/>
    <cellStyle name="SAPBEXHLevel2 3 3 6 3" xfId="25882"/>
    <cellStyle name="SAPBEXHLevel2 3 3 7" xfId="25883"/>
    <cellStyle name="SAPBEXHLevel2 3 3 7 2" xfId="25884"/>
    <cellStyle name="SAPBEXHLevel2 3 3 7 2 2" xfId="25885"/>
    <cellStyle name="SAPBEXHLevel2 3 3 7 3" xfId="25886"/>
    <cellStyle name="SAPBEXHLevel2 3 3 8" xfId="25887"/>
    <cellStyle name="SAPBEXHLevel2 3 3 8 2" xfId="25888"/>
    <cellStyle name="SAPBEXHLevel2 3 3 8 2 2" xfId="25889"/>
    <cellStyle name="SAPBEXHLevel2 3 3 8 3" xfId="25890"/>
    <cellStyle name="SAPBEXHLevel2 3 3 9" xfId="25891"/>
    <cellStyle name="SAPBEXHLevel2 3 3 9 2" xfId="25892"/>
    <cellStyle name="SAPBEXHLevel2 3 3 9 2 2" xfId="25893"/>
    <cellStyle name="SAPBEXHLevel2 3 3 9 3" xfId="25894"/>
    <cellStyle name="SAPBEXHLevel2 3 3_planning-WP" xfId="25895"/>
    <cellStyle name="SAPBEXHLevel2 3 4" xfId="25896"/>
    <cellStyle name="SAPBEXHLevel2 3 4 2" xfId="25897"/>
    <cellStyle name="SAPBEXHLevel2 3 4 2 2" xfId="25898"/>
    <cellStyle name="SAPBEXHLevel2 3 4 2 2 2" xfId="25899"/>
    <cellStyle name="SAPBEXHLevel2 3 4 2 3" xfId="25900"/>
    <cellStyle name="SAPBEXHLevel2 3 4 3" xfId="25901"/>
    <cellStyle name="SAPBEXHLevel2 3 4 3 2" xfId="25902"/>
    <cellStyle name="SAPBEXHLevel2 3 4 3 2 2" xfId="25903"/>
    <cellStyle name="SAPBEXHLevel2 3 4 3 3" xfId="25904"/>
    <cellStyle name="SAPBEXHLevel2 3 4 4" xfId="25905"/>
    <cellStyle name="SAPBEXHLevel2 3 4 4 2" xfId="25906"/>
    <cellStyle name="SAPBEXHLevel2 3 4 4 2 2" xfId="25907"/>
    <cellStyle name="SAPBEXHLevel2 3 4 4 3" xfId="25908"/>
    <cellStyle name="SAPBEXHLevel2 3 4 5" xfId="25909"/>
    <cellStyle name="SAPBEXHLevel2 3 4 5 2" xfId="25910"/>
    <cellStyle name="SAPBEXHLevel2 3 4 5 2 2" xfId="25911"/>
    <cellStyle name="SAPBEXHLevel2 3 4 5 3" xfId="25912"/>
    <cellStyle name="SAPBEXHLevel2 3 4 6" xfId="25913"/>
    <cellStyle name="SAPBEXHLevel2 3 4 6 2" xfId="25914"/>
    <cellStyle name="SAPBEXHLevel2 3 4 6 2 2" xfId="25915"/>
    <cellStyle name="SAPBEXHLevel2 3 4 6 3" xfId="25916"/>
    <cellStyle name="SAPBEXHLevel2 3 4 7" xfId="25917"/>
    <cellStyle name="SAPBEXHLevel2 3 4 7 2" xfId="25918"/>
    <cellStyle name="SAPBEXHLevel2 3 4 7 2 2" xfId="25919"/>
    <cellStyle name="SAPBEXHLevel2 3 4 7 3" xfId="25920"/>
    <cellStyle name="SAPBEXHLevel2 3 4 8" xfId="25921"/>
    <cellStyle name="SAPBEXHLevel2 3 4 8 2" xfId="25922"/>
    <cellStyle name="SAPBEXHLevel2 3 4 8 2 2" xfId="25923"/>
    <cellStyle name="SAPBEXHLevel2 3 4 8 3" xfId="25924"/>
    <cellStyle name="SAPBEXHLevel2 3 4 9" xfId="25925"/>
    <cellStyle name="SAPBEXHLevel2 3 4 9 2" xfId="25926"/>
    <cellStyle name="SAPBEXHLevel2 3 4_planning-WP" xfId="25927"/>
    <cellStyle name="SAPBEXHLevel2 3 5" xfId="25928"/>
    <cellStyle name="SAPBEXHLevel2 3 5 2" xfId="25929"/>
    <cellStyle name="SAPBEXHLevel2 3 5 2 2" xfId="25930"/>
    <cellStyle name="SAPBEXHLevel2 3 6" xfId="25931"/>
    <cellStyle name="SAPBEXHLevel2 3 6 2" xfId="25932"/>
    <cellStyle name="SAPBEXHLevel2 3 6 2 2" xfId="25933"/>
    <cellStyle name="SAPBEXHLevel2 3 6 3" xfId="25934"/>
    <cellStyle name="SAPBEXHLevel2 3 7" xfId="25935"/>
    <cellStyle name="SAPBEXHLevel2 3 7 2" xfId="25936"/>
    <cellStyle name="SAPBEXHLevel2 3 7 2 2" xfId="25937"/>
    <cellStyle name="SAPBEXHLevel2 3 7 3" xfId="25938"/>
    <cellStyle name="SAPBEXHLevel2 3 8" xfId="25939"/>
    <cellStyle name="SAPBEXHLevel2 3 8 2" xfId="25940"/>
    <cellStyle name="SAPBEXHLevel2 3 8 2 2" xfId="25941"/>
    <cellStyle name="SAPBEXHLevel2 3 8 3" xfId="25942"/>
    <cellStyle name="SAPBEXHLevel2 3 9" xfId="25943"/>
    <cellStyle name="SAPBEXHLevel2 3 9 2" xfId="25944"/>
    <cellStyle name="SAPBEXHLevel2 3 9 2 2" xfId="25945"/>
    <cellStyle name="SAPBEXHLevel2 3 9 3" xfId="25946"/>
    <cellStyle name="SAPBEXHLevel2 3_planning-WP" xfId="25947"/>
    <cellStyle name="SAPBEXHLevel2 4" xfId="25948"/>
    <cellStyle name="SAPBEXHLevel2 4 10" xfId="25949"/>
    <cellStyle name="SAPBEXHLevel2 4 10 2" xfId="25950"/>
    <cellStyle name="SAPBEXHLevel2 4 10 2 2" xfId="25951"/>
    <cellStyle name="SAPBEXHLevel2 4 10 3" xfId="25952"/>
    <cellStyle name="SAPBEXHLevel2 4 11" xfId="25953"/>
    <cellStyle name="SAPBEXHLevel2 4 11 2" xfId="25954"/>
    <cellStyle name="SAPBEXHLevel2 4 11 2 2" xfId="25955"/>
    <cellStyle name="SAPBEXHLevel2 4 11 3" xfId="25956"/>
    <cellStyle name="SAPBEXHLevel2 4 12" xfId="25957"/>
    <cellStyle name="SAPBEXHLevel2 4 12 2" xfId="25958"/>
    <cellStyle name="SAPBEXHLevel2 4 12 2 2" xfId="25959"/>
    <cellStyle name="SAPBEXHLevel2 4 12 3" xfId="25960"/>
    <cellStyle name="SAPBEXHLevel2 4 13" xfId="25961"/>
    <cellStyle name="SAPBEXHLevel2 4 14" xfId="39055"/>
    <cellStyle name="SAPBEXHLevel2 4 15" xfId="39441"/>
    <cellStyle name="SAPBEXHLevel2 4 2" xfId="25962"/>
    <cellStyle name="SAPBEXHLevel2 4 2 10" xfId="25963"/>
    <cellStyle name="SAPBEXHLevel2 4 2 10 2" xfId="25964"/>
    <cellStyle name="SAPBEXHLevel2 4 2 10 2 2" xfId="25965"/>
    <cellStyle name="SAPBEXHLevel2 4 2 10 3" xfId="25966"/>
    <cellStyle name="SAPBEXHLevel2 4 2 11" xfId="25967"/>
    <cellStyle name="SAPBEXHLevel2 4 2 11 2" xfId="25968"/>
    <cellStyle name="SAPBEXHLevel2 4 2 12" xfId="39056"/>
    <cellStyle name="SAPBEXHLevel2 4 2 13" xfId="39442"/>
    <cellStyle name="SAPBEXHLevel2 4 2 2" xfId="25969"/>
    <cellStyle name="SAPBEXHLevel2 4 2 2 10" xfId="25970"/>
    <cellStyle name="SAPBEXHLevel2 4 2 2 10 2" xfId="25971"/>
    <cellStyle name="SAPBEXHLevel2 4 2 2 2" xfId="25972"/>
    <cellStyle name="SAPBEXHLevel2 4 2 2 2 2" xfId="25973"/>
    <cellStyle name="SAPBEXHLevel2 4 2 2 2 2 2" xfId="25974"/>
    <cellStyle name="SAPBEXHLevel2 4 2 2 2 3" xfId="25975"/>
    <cellStyle name="SAPBEXHLevel2 4 2 2 3" xfId="25976"/>
    <cellStyle name="SAPBEXHLevel2 4 2 2 3 2" xfId="25977"/>
    <cellStyle name="SAPBEXHLevel2 4 2 2 3 2 2" xfId="25978"/>
    <cellStyle name="SAPBEXHLevel2 4 2 2 3 3" xfId="25979"/>
    <cellStyle name="SAPBEXHLevel2 4 2 2 4" xfId="25980"/>
    <cellStyle name="SAPBEXHLevel2 4 2 2 4 2" xfId="25981"/>
    <cellStyle name="SAPBEXHLevel2 4 2 2 4 2 2" xfId="25982"/>
    <cellStyle name="SAPBEXHLevel2 4 2 2 4 3" xfId="25983"/>
    <cellStyle name="SAPBEXHLevel2 4 2 2 5" xfId="25984"/>
    <cellStyle name="SAPBEXHLevel2 4 2 2 5 2" xfId="25985"/>
    <cellStyle name="SAPBEXHLevel2 4 2 2 5 2 2" xfId="25986"/>
    <cellStyle name="SAPBEXHLevel2 4 2 2 5 3" xfId="25987"/>
    <cellStyle name="SAPBEXHLevel2 4 2 2 6" xfId="25988"/>
    <cellStyle name="SAPBEXHLevel2 4 2 2 6 2" xfId="25989"/>
    <cellStyle name="SAPBEXHLevel2 4 2 2 6 2 2" xfId="25990"/>
    <cellStyle name="SAPBEXHLevel2 4 2 2 6 3" xfId="25991"/>
    <cellStyle name="SAPBEXHLevel2 4 2 2 7" xfId="25992"/>
    <cellStyle name="SAPBEXHLevel2 4 2 2 7 2" xfId="25993"/>
    <cellStyle name="SAPBEXHLevel2 4 2 2 7 2 2" xfId="25994"/>
    <cellStyle name="SAPBEXHLevel2 4 2 2 7 3" xfId="25995"/>
    <cellStyle name="SAPBEXHLevel2 4 2 2 8" xfId="25996"/>
    <cellStyle name="SAPBEXHLevel2 4 2 2 8 2" xfId="25997"/>
    <cellStyle name="SAPBEXHLevel2 4 2 2 8 2 2" xfId="25998"/>
    <cellStyle name="SAPBEXHLevel2 4 2 2 8 3" xfId="25999"/>
    <cellStyle name="SAPBEXHLevel2 4 2 2 9" xfId="26000"/>
    <cellStyle name="SAPBEXHLevel2 4 2 2 9 2" xfId="26001"/>
    <cellStyle name="SAPBEXHLevel2 4 2 2 9 2 2" xfId="26002"/>
    <cellStyle name="SAPBEXHLevel2 4 2 2 9 3" xfId="26003"/>
    <cellStyle name="SAPBEXHLevel2 4 2 2_planning-WP" xfId="26004"/>
    <cellStyle name="SAPBEXHLevel2 4 2 3" xfId="26005"/>
    <cellStyle name="SAPBEXHLevel2 4 2 3 2" xfId="26006"/>
    <cellStyle name="SAPBEXHLevel2 4 2 3 2 2" xfId="26007"/>
    <cellStyle name="SAPBEXHLevel2 4 2 3 3" xfId="26008"/>
    <cellStyle name="SAPBEXHLevel2 4 2 4" xfId="26009"/>
    <cellStyle name="SAPBEXHLevel2 4 2 4 2" xfId="26010"/>
    <cellStyle name="SAPBEXHLevel2 4 2 4 2 2" xfId="26011"/>
    <cellStyle name="SAPBEXHLevel2 4 2 4 3" xfId="26012"/>
    <cellStyle name="SAPBEXHLevel2 4 2 5" xfId="26013"/>
    <cellStyle name="SAPBEXHLevel2 4 2 5 2" xfId="26014"/>
    <cellStyle name="SAPBEXHLevel2 4 2 5 2 2" xfId="26015"/>
    <cellStyle name="SAPBEXHLevel2 4 2 5 3" xfId="26016"/>
    <cellStyle name="SAPBEXHLevel2 4 2 6" xfId="26017"/>
    <cellStyle name="SAPBEXHLevel2 4 2 6 2" xfId="26018"/>
    <cellStyle name="SAPBEXHLevel2 4 2 6 2 2" xfId="26019"/>
    <cellStyle name="SAPBEXHLevel2 4 2 6 3" xfId="26020"/>
    <cellStyle name="SAPBEXHLevel2 4 2 7" xfId="26021"/>
    <cellStyle name="SAPBEXHLevel2 4 2 7 2" xfId="26022"/>
    <cellStyle name="SAPBEXHLevel2 4 2 7 2 2" xfId="26023"/>
    <cellStyle name="SAPBEXHLevel2 4 2 7 3" xfId="26024"/>
    <cellStyle name="SAPBEXHLevel2 4 2 8" xfId="26025"/>
    <cellStyle name="SAPBEXHLevel2 4 2 8 2" xfId="26026"/>
    <cellStyle name="SAPBEXHLevel2 4 2 8 2 2" xfId="26027"/>
    <cellStyle name="SAPBEXHLevel2 4 2 8 3" xfId="26028"/>
    <cellStyle name="SAPBEXHLevel2 4 2 9" xfId="26029"/>
    <cellStyle name="SAPBEXHLevel2 4 2 9 2" xfId="26030"/>
    <cellStyle name="SAPBEXHLevel2 4 2 9 2 2" xfId="26031"/>
    <cellStyle name="SAPBEXHLevel2 4 2 9 3" xfId="26032"/>
    <cellStyle name="SAPBEXHLevel2 4 2_planning-WP" xfId="26033"/>
    <cellStyle name="SAPBEXHLevel2 4 3" xfId="26034"/>
    <cellStyle name="SAPBEXHLevel2 4 3 10" xfId="26035"/>
    <cellStyle name="SAPBEXHLevel2 4 3 10 2" xfId="26036"/>
    <cellStyle name="SAPBEXHLevel2 4 3 2" xfId="26037"/>
    <cellStyle name="SAPBEXHLevel2 4 3 2 2" xfId="26038"/>
    <cellStyle name="SAPBEXHLevel2 4 3 2 2 2" xfId="26039"/>
    <cellStyle name="SAPBEXHLevel2 4 3 2 3" xfId="26040"/>
    <cellStyle name="SAPBEXHLevel2 4 3 3" xfId="26041"/>
    <cellStyle name="SAPBEXHLevel2 4 3 3 2" xfId="26042"/>
    <cellStyle name="SAPBEXHLevel2 4 3 3 2 2" xfId="26043"/>
    <cellStyle name="SAPBEXHLevel2 4 3 3 3" xfId="26044"/>
    <cellStyle name="SAPBEXHLevel2 4 3 4" xfId="26045"/>
    <cellStyle name="SAPBEXHLevel2 4 3 4 2" xfId="26046"/>
    <cellStyle name="SAPBEXHLevel2 4 3 4 2 2" xfId="26047"/>
    <cellStyle name="SAPBEXHLevel2 4 3 4 3" xfId="26048"/>
    <cellStyle name="SAPBEXHLevel2 4 3 5" xfId="26049"/>
    <cellStyle name="SAPBEXHLevel2 4 3 5 2" xfId="26050"/>
    <cellStyle name="SAPBEXHLevel2 4 3 5 2 2" xfId="26051"/>
    <cellStyle name="SAPBEXHLevel2 4 3 5 3" xfId="26052"/>
    <cellStyle name="SAPBEXHLevel2 4 3 6" xfId="26053"/>
    <cellStyle name="SAPBEXHLevel2 4 3 6 2" xfId="26054"/>
    <cellStyle name="SAPBEXHLevel2 4 3 6 2 2" xfId="26055"/>
    <cellStyle name="SAPBEXHLevel2 4 3 6 3" xfId="26056"/>
    <cellStyle name="SAPBEXHLevel2 4 3 7" xfId="26057"/>
    <cellStyle name="SAPBEXHLevel2 4 3 7 2" xfId="26058"/>
    <cellStyle name="SAPBEXHLevel2 4 3 7 2 2" xfId="26059"/>
    <cellStyle name="SAPBEXHLevel2 4 3 7 3" xfId="26060"/>
    <cellStyle name="SAPBEXHLevel2 4 3 8" xfId="26061"/>
    <cellStyle name="SAPBEXHLevel2 4 3 8 2" xfId="26062"/>
    <cellStyle name="SAPBEXHLevel2 4 3 8 2 2" xfId="26063"/>
    <cellStyle name="SAPBEXHLevel2 4 3 8 3" xfId="26064"/>
    <cellStyle name="SAPBEXHLevel2 4 3 9" xfId="26065"/>
    <cellStyle name="SAPBEXHLevel2 4 3 9 2" xfId="26066"/>
    <cellStyle name="SAPBEXHLevel2 4 3 9 2 2" xfId="26067"/>
    <cellStyle name="SAPBEXHLevel2 4 3 9 3" xfId="26068"/>
    <cellStyle name="SAPBEXHLevel2 4 3_planning-WP" xfId="26069"/>
    <cellStyle name="SAPBEXHLevel2 4 4" xfId="26070"/>
    <cellStyle name="SAPBEXHLevel2 4 4 2" xfId="26071"/>
    <cellStyle name="SAPBEXHLevel2 4 4 2 2" xfId="26072"/>
    <cellStyle name="SAPBEXHLevel2 4 4 2 2 2" xfId="26073"/>
    <cellStyle name="SAPBEXHLevel2 4 4 2 3" xfId="26074"/>
    <cellStyle name="SAPBEXHLevel2 4 4 3" xfId="26075"/>
    <cellStyle name="SAPBEXHLevel2 4 4 3 2" xfId="26076"/>
    <cellStyle name="SAPBEXHLevel2 4 4 3 2 2" xfId="26077"/>
    <cellStyle name="SAPBEXHLevel2 4 4 3 3" xfId="26078"/>
    <cellStyle name="SAPBEXHLevel2 4 4 4" xfId="26079"/>
    <cellStyle name="SAPBEXHLevel2 4 4 4 2" xfId="26080"/>
    <cellStyle name="SAPBEXHLevel2 4 4 4 2 2" xfId="26081"/>
    <cellStyle name="SAPBEXHLevel2 4 4 4 3" xfId="26082"/>
    <cellStyle name="SAPBEXHLevel2 4 4 5" xfId="26083"/>
    <cellStyle name="SAPBEXHLevel2 4 4 5 2" xfId="26084"/>
    <cellStyle name="SAPBEXHLevel2 4 4 5 2 2" xfId="26085"/>
    <cellStyle name="SAPBEXHLevel2 4 4 5 3" xfId="26086"/>
    <cellStyle name="SAPBEXHLevel2 4 4 6" xfId="26087"/>
    <cellStyle name="SAPBEXHLevel2 4 4 6 2" xfId="26088"/>
    <cellStyle name="SAPBEXHLevel2 4 4 6 2 2" xfId="26089"/>
    <cellStyle name="SAPBEXHLevel2 4 4 6 3" xfId="26090"/>
    <cellStyle name="SAPBEXHLevel2 4 4 7" xfId="26091"/>
    <cellStyle name="SAPBEXHLevel2 4 4 7 2" xfId="26092"/>
    <cellStyle name="SAPBEXHLevel2 4 4 7 2 2" xfId="26093"/>
    <cellStyle name="SAPBEXHLevel2 4 4 7 3" xfId="26094"/>
    <cellStyle name="SAPBEXHLevel2 4 4 8" xfId="26095"/>
    <cellStyle name="SAPBEXHLevel2 4 4 8 2" xfId="26096"/>
    <cellStyle name="SAPBEXHLevel2 4 4 8 2 2" xfId="26097"/>
    <cellStyle name="SAPBEXHLevel2 4 4 8 3" xfId="26098"/>
    <cellStyle name="SAPBEXHLevel2 4 4 9" xfId="26099"/>
    <cellStyle name="SAPBEXHLevel2 4 4 9 2" xfId="26100"/>
    <cellStyle name="SAPBEXHLevel2 4 4_planning-WP" xfId="26101"/>
    <cellStyle name="SAPBEXHLevel2 4 5" xfId="26102"/>
    <cellStyle name="SAPBEXHLevel2 4 5 2" xfId="26103"/>
    <cellStyle name="SAPBEXHLevel2 4 5 2 2" xfId="26104"/>
    <cellStyle name="SAPBEXHLevel2 4 6" xfId="26105"/>
    <cellStyle name="SAPBEXHLevel2 4 6 2" xfId="26106"/>
    <cellStyle name="SAPBEXHLevel2 4 6 2 2" xfId="26107"/>
    <cellStyle name="SAPBEXHLevel2 4 6 3" xfId="26108"/>
    <cellStyle name="SAPBEXHLevel2 4 7" xfId="26109"/>
    <cellStyle name="SAPBEXHLevel2 4 7 2" xfId="26110"/>
    <cellStyle name="SAPBEXHLevel2 4 7 2 2" xfId="26111"/>
    <cellStyle name="SAPBEXHLevel2 4 7 3" xfId="26112"/>
    <cellStyle name="SAPBEXHLevel2 4 8" xfId="26113"/>
    <cellStyle name="SAPBEXHLevel2 4 8 2" xfId="26114"/>
    <cellStyle name="SAPBEXHLevel2 4 8 2 2" xfId="26115"/>
    <cellStyle name="SAPBEXHLevel2 4 8 3" xfId="26116"/>
    <cellStyle name="SAPBEXHLevel2 4 9" xfId="26117"/>
    <cellStyle name="SAPBEXHLevel2 4 9 2" xfId="26118"/>
    <cellStyle name="SAPBEXHLevel2 4 9 2 2" xfId="26119"/>
    <cellStyle name="SAPBEXHLevel2 4 9 3" xfId="26120"/>
    <cellStyle name="SAPBEXHLevel2 4_planning-WP" xfId="26121"/>
    <cellStyle name="SAPBEXHLevel2 5" xfId="26122"/>
    <cellStyle name="SAPBEXHLevel2 5 10" xfId="26123"/>
    <cellStyle name="SAPBEXHLevel2 5 10 2" xfId="26124"/>
    <cellStyle name="SAPBEXHLevel2 5 10 2 2" xfId="26125"/>
    <cellStyle name="SAPBEXHLevel2 5 10 3" xfId="26126"/>
    <cellStyle name="SAPBEXHLevel2 5 11" xfId="26127"/>
    <cellStyle name="SAPBEXHLevel2 5 11 2" xfId="26128"/>
    <cellStyle name="SAPBEXHLevel2 5 11 2 2" xfId="26129"/>
    <cellStyle name="SAPBEXHLevel2 5 11 3" xfId="26130"/>
    <cellStyle name="SAPBEXHLevel2 5 12" xfId="26131"/>
    <cellStyle name="SAPBEXHLevel2 5 12 2" xfId="26132"/>
    <cellStyle name="SAPBEXHLevel2 5 12 2 2" xfId="26133"/>
    <cellStyle name="SAPBEXHLevel2 5 12 3" xfId="26134"/>
    <cellStyle name="SAPBEXHLevel2 5 13" xfId="26135"/>
    <cellStyle name="SAPBEXHLevel2 5 14" xfId="39057"/>
    <cellStyle name="SAPBEXHLevel2 5 15" xfId="39443"/>
    <cellStyle name="SAPBEXHLevel2 5 2" xfId="26136"/>
    <cellStyle name="SAPBEXHLevel2 5 2 10" xfId="26137"/>
    <cellStyle name="SAPBEXHLevel2 5 2 10 2" xfId="26138"/>
    <cellStyle name="SAPBEXHLevel2 5 2 10 2 2" xfId="26139"/>
    <cellStyle name="SAPBEXHLevel2 5 2 10 3" xfId="26140"/>
    <cellStyle name="SAPBEXHLevel2 5 2 11" xfId="26141"/>
    <cellStyle name="SAPBEXHLevel2 5 2 11 2" xfId="26142"/>
    <cellStyle name="SAPBEXHLevel2 5 2 12" xfId="39058"/>
    <cellStyle name="SAPBEXHLevel2 5 2 13" xfId="39444"/>
    <cellStyle name="SAPBEXHLevel2 5 2 2" xfId="26143"/>
    <cellStyle name="SAPBEXHLevel2 5 2 2 10" xfId="26144"/>
    <cellStyle name="SAPBEXHLevel2 5 2 2 10 2" xfId="26145"/>
    <cellStyle name="SAPBEXHLevel2 5 2 2 2" xfId="26146"/>
    <cellStyle name="SAPBEXHLevel2 5 2 2 2 2" xfId="26147"/>
    <cellStyle name="SAPBEXHLevel2 5 2 2 2 2 2" xfId="26148"/>
    <cellStyle name="SAPBEXHLevel2 5 2 2 2 3" xfId="26149"/>
    <cellStyle name="SAPBEXHLevel2 5 2 2 3" xfId="26150"/>
    <cellStyle name="SAPBEXHLevel2 5 2 2 3 2" xfId="26151"/>
    <cellStyle name="SAPBEXHLevel2 5 2 2 3 2 2" xfId="26152"/>
    <cellStyle name="SAPBEXHLevel2 5 2 2 3 3" xfId="26153"/>
    <cellStyle name="SAPBEXHLevel2 5 2 2 4" xfId="26154"/>
    <cellStyle name="SAPBEXHLevel2 5 2 2 4 2" xfId="26155"/>
    <cellStyle name="SAPBEXHLevel2 5 2 2 4 2 2" xfId="26156"/>
    <cellStyle name="SAPBEXHLevel2 5 2 2 4 3" xfId="26157"/>
    <cellStyle name="SAPBEXHLevel2 5 2 2 5" xfId="26158"/>
    <cellStyle name="SAPBEXHLevel2 5 2 2 5 2" xfId="26159"/>
    <cellStyle name="SAPBEXHLevel2 5 2 2 5 2 2" xfId="26160"/>
    <cellStyle name="SAPBEXHLevel2 5 2 2 5 3" xfId="26161"/>
    <cellStyle name="SAPBEXHLevel2 5 2 2 6" xfId="26162"/>
    <cellStyle name="SAPBEXHLevel2 5 2 2 6 2" xfId="26163"/>
    <cellStyle name="SAPBEXHLevel2 5 2 2 6 2 2" xfId="26164"/>
    <cellStyle name="SAPBEXHLevel2 5 2 2 6 3" xfId="26165"/>
    <cellStyle name="SAPBEXHLevel2 5 2 2 7" xfId="26166"/>
    <cellStyle name="SAPBEXHLevel2 5 2 2 7 2" xfId="26167"/>
    <cellStyle name="SAPBEXHLevel2 5 2 2 7 2 2" xfId="26168"/>
    <cellStyle name="SAPBEXHLevel2 5 2 2 7 3" xfId="26169"/>
    <cellStyle name="SAPBEXHLevel2 5 2 2 8" xfId="26170"/>
    <cellStyle name="SAPBEXHLevel2 5 2 2 8 2" xfId="26171"/>
    <cellStyle name="SAPBEXHLevel2 5 2 2 8 2 2" xfId="26172"/>
    <cellStyle name="SAPBEXHLevel2 5 2 2 8 3" xfId="26173"/>
    <cellStyle name="SAPBEXHLevel2 5 2 2 9" xfId="26174"/>
    <cellStyle name="SAPBEXHLevel2 5 2 2 9 2" xfId="26175"/>
    <cellStyle name="SAPBEXHLevel2 5 2 2 9 2 2" xfId="26176"/>
    <cellStyle name="SAPBEXHLevel2 5 2 2 9 3" xfId="26177"/>
    <cellStyle name="SAPBEXHLevel2 5 2 2_planning-WP" xfId="26178"/>
    <cellStyle name="SAPBEXHLevel2 5 2 3" xfId="26179"/>
    <cellStyle name="SAPBEXHLevel2 5 2 3 2" xfId="26180"/>
    <cellStyle name="SAPBEXHLevel2 5 2 3 2 2" xfId="26181"/>
    <cellStyle name="SAPBEXHLevel2 5 2 3 3" xfId="26182"/>
    <cellStyle name="SAPBEXHLevel2 5 2 4" xfId="26183"/>
    <cellStyle name="SAPBEXHLevel2 5 2 4 2" xfId="26184"/>
    <cellStyle name="SAPBEXHLevel2 5 2 4 2 2" xfId="26185"/>
    <cellStyle name="SAPBEXHLevel2 5 2 4 3" xfId="26186"/>
    <cellStyle name="SAPBEXHLevel2 5 2 5" xfId="26187"/>
    <cellStyle name="SAPBEXHLevel2 5 2 5 2" xfId="26188"/>
    <cellStyle name="SAPBEXHLevel2 5 2 5 2 2" xfId="26189"/>
    <cellStyle name="SAPBEXHLevel2 5 2 5 3" xfId="26190"/>
    <cellStyle name="SAPBEXHLevel2 5 2 6" xfId="26191"/>
    <cellStyle name="SAPBEXHLevel2 5 2 6 2" xfId="26192"/>
    <cellStyle name="SAPBEXHLevel2 5 2 6 2 2" xfId="26193"/>
    <cellStyle name="SAPBEXHLevel2 5 2 6 3" xfId="26194"/>
    <cellStyle name="SAPBEXHLevel2 5 2 7" xfId="26195"/>
    <cellStyle name="SAPBEXHLevel2 5 2 7 2" xfId="26196"/>
    <cellStyle name="SAPBEXHLevel2 5 2 7 2 2" xfId="26197"/>
    <cellStyle name="SAPBEXHLevel2 5 2 7 3" xfId="26198"/>
    <cellStyle name="SAPBEXHLevel2 5 2 8" xfId="26199"/>
    <cellStyle name="SAPBEXHLevel2 5 2 8 2" xfId="26200"/>
    <cellStyle name="SAPBEXHLevel2 5 2 8 2 2" xfId="26201"/>
    <cellStyle name="SAPBEXHLevel2 5 2 8 3" xfId="26202"/>
    <cellStyle name="SAPBEXHLevel2 5 2 9" xfId="26203"/>
    <cellStyle name="SAPBEXHLevel2 5 2 9 2" xfId="26204"/>
    <cellStyle name="SAPBEXHLevel2 5 2 9 2 2" xfId="26205"/>
    <cellStyle name="SAPBEXHLevel2 5 2 9 3" xfId="26206"/>
    <cellStyle name="SAPBEXHLevel2 5 2_planning-WP" xfId="26207"/>
    <cellStyle name="SAPBEXHLevel2 5 3" xfId="26208"/>
    <cellStyle name="SAPBEXHLevel2 5 3 10" xfId="26209"/>
    <cellStyle name="SAPBEXHLevel2 5 3 10 2" xfId="26210"/>
    <cellStyle name="SAPBEXHLevel2 5 3 2" xfId="26211"/>
    <cellStyle name="SAPBEXHLevel2 5 3 2 2" xfId="26212"/>
    <cellStyle name="SAPBEXHLevel2 5 3 2 2 2" xfId="26213"/>
    <cellStyle name="SAPBEXHLevel2 5 3 2 3" xfId="26214"/>
    <cellStyle name="SAPBEXHLevel2 5 3 3" xfId="26215"/>
    <cellStyle name="SAPBEXHLevel2 5 3 3 2" xfId="26216"/>
    <cellStyle name="SAPBEXHLevel2 5 3 3 2 2" xfId="26217"/>
    <cellStyle name="SAPBEXHLevel2 5 3 3 3" xfId="26218"/>
    <cellStyle name="SAPBEXHLevel2 5 3 4" xfId="26219"/>
    <cellStyle name="SAPBEXHLevel2 5 3 4 2" xfId="26220"/>
    <cellStyle name="SAPBEXHLevel2 5 3 4 2 2" xfId="26221"/>
    <cellStyle name="SAPBEXHLevel2 5 3 4 3" xfId="26222"/>
    <cellStyle name="SAPBEXHLevel2 5 3 5" xfId="26223"/>
    <cellStyle name="SAPBEXHLevel2 5 3 5 2" xfId="26224"/>
    <cellStyle name="SAPBEXHLevel2 5 3 5 2 2" xfId="26225"/>
    <cellStyle name="SAPBEXHLevel2 5 3 5 3" xfId="26226"/>
    <cellStyle name="SAPBEXHLevel2 5 3 6" xfId="26227"/>
    <cellStyle name="SAPBEXHLevel2 5 3 6 2" xfId="26228"/>
    <cellStyle name="SAPBEXHLevel2 5 3 6 2 2" xfId="26229"/>
    <cellStyle name="SAPBEXHLevel2 5 3 6 3" xfId="26230"/>
    <cellStyle name="SAPBEXHLevel2 5 3 7" xfId="26231"/>
    <cellStyle name="SAPBEXHLevel2 5 3 7 2" xfId="26232"/>
    <cellStyle name="SAPBEXHLevel2 5 3 7 2 2" xfId="26233"/>
    <cellStyle name="SAPBEXHLevel2 5 3 7 3" xfId="26234"/>
    <cellStyle name="SAPBEXHLevel2 5 3 8" xfId="26235"/>
    <cellStyle name="SAPBEXHLevel2 5 3 8 2" xfId="26236"/>
    <cellStyle name="SAPBEXHLevel2 5 3 8 2 2" xfId="26237"/>
    <cellStyle name="SAPBEXHLevel2 5 3 8 3" xfId="26238"/>
    <cellStyle name="SAPBEXHLevel2 5 3 9" xfId="26239"/>
    <cellStyle name="SAPBEXHLevel2 5 3 9 2" xfId="26240"/>
    <cellStyle name="SAPBEXHLevel2 5 3 9 2 2" xfId="26241"/>
    <cellStyle name="SAPBEXHLevel2 5 3 9 3" xfId="26242"/>
    <cellStyle name="SAPBEXHLevel2 5 3_planning-WP" xfId="26243"/>
    <cellStyle name="SAPBEXHLevel2 5 4" xfId="26244"/>
    <cellStyle name="SAPBEXHLevel2 5 4 2" xfId="26245"/>
    <cellStyle name="SAPBEXHLevel2 5 4 2 2" xfId="26246"/>
    <cellStyle name="SAPBEXHLevel2 5 4 2 2 2" xfId="26247"/>
    <cellStyle name="SAPBEXHLevel2 5 4 2 3" xfId="26248"/>
    <cellStyle name="SAPBEXHLevel2 5 4 3" xfId="26249"/>
    <cellStyle name="SAPBEXHLevel2 5 4 3 2" xfId="26250"/>
    <cellStyle name="SAPBEXHLevel2 5 4 3 2 2" xfId="26251"/>
    <cellStyle name="SAPBEXHLevel2 5 4 3 3" xfId="26252"/>
    <cellStyle name="SAPBEXHLevel2 5 4 4" xfId="26253"/>
    <cellStyle name="SAPBEXHLevel2 5 4 4 2" xfId="26254"/>
    <cellStyle name="SAPBEXHLevel2 5 4 4 2 2" xfId="26255"/>
    <cellStyle name="SAPBEXHLevel2 5 4 4 3" xfId="26256"/>
    <cellStyle name="SAPBEXHLevel2 5 4 5" xfId="26257"/>
    <cellStyle name="SAPBEXHLevel2 5 4 5 2" xfId="26258"/>
    <cellStyle name="SAPBEXHLevel2 5 4 5 2 2" xfId="26259"/>
    <cellStyle name="SAPBEXHLevel2 5 4 5 3" xfId="26260"/>
    <cellStyle name="SAPBEXHLevel2 5 4 6" xfId="26261"/>
    <cellStyle name="SAPBEXHLevel2 5 4 6 2" xfId="26262"/>
    <cellStyle name="SAPBEXHLevel2 5 4 6 2 2" xfId="26263"/>
    <cellStyle name="SAPBEXHLevel2 5 4 6 3" xfId="26264"/>
    <cellStyle name="SAPBEXHLevel2 5 4 7" xfId="26265"/>
    <cellStyle name="SAPBEXHLevel2 5 4 7 2" xfId="26266"/>
    <cellStyle name="SAPBEXHLevel2 5 4 7 2 2" xfId="26267"/>
    <cellStyle name="SAPBEXHLevel2 5 4 7 3" xfId="26268"/>
    <cellStyle name="SAPBEXHLevel2 5 4 8" xfId="26269"/>
    <cellStyle name="SAPBEXHLevel2 5 4 8 2" xfId="26270"/>
    <cellStyle name="SAPBEXHLevel2 5 4 8 2 2" xfId="26271"/>
    <cellStyle name="SAPBEXHLevel2 5 4 8 3" xfId="26272"/>
    <cellStyle name="SAPBEXHLevel2 5 4 9" xfId="26273"/>
    <cellStyle name="SAPBEXHLevel2 5 4 9 2" xfId="26274"/>
    <cellStyle name="SAPBEXHLevel2 5 4_planning-WP" xfId="26275"/>
    <cellStyle name="SAPBEXHLevel2 5 5" xfId="26276"/>
    <cellStyle name="SAPBEXHLevel2 5 5 2" xfId="26277"/>
    <cellStyle name="SAPBEXHLevel2 5 5 2 2" xfId="26278"/>
    <cellStyle name="SAPBEXHLevel2 5 6" xfId="26279"/>
    <cellStyle name="SAPBEXHLevel2 5 6 2" xfId="26280"/>
    <cellStyle name="SAPBEXHLevel2 5 6 2 2" xfId="26281"/>
    <cellStyle name="SAPBEXHLevel2 5 6 3" xfId="26282"/>
    <cellStyle name="SAPBEXHLevel2 5 7" xfId="26283"/>
    <cellStyle name="SAPBEXHLevel2 5 7 2" xfId="26284"/>
    <cellStyle name="SAPBEXHLevel2 5 7 2 2" xfId="26285"/>
    <cellStyle name="SAPBEXHLevel2 5 7 3" xfId="26286"/>
    <cellStyle name="SAPBEXHLevel2 5 8" xfId="26287"/>
    <cellStyle name="SAPBEXHLevel2 5 8 2" xfId="26288"/>
    <cellStyle name="SAPBEXHLevel2 5 8 2 2" xfId="26289"/>
    <cellStyle name="SAPBEXHLevel2 5 8 3" xfId="26290"/>
    <cellStyle name="SAPBEXHLevel2 5 9" xfId="26291"/>
    <cellStyle name="SAPBEXHLevel2 5 9 2" xfId="26292"/>
    <cellStyle name="SAPBEXHLevel2 5 9 2 2" xfId="26293"/>
    <cellStyle name="SAPBEXHLevel2 5 9 3" xfId="26294"/>
    <cellStyle name="SAPBEXHLevel2 5_planning-WP" xfId="26295"/>
    <cellStyle name="SAPBEXHLevel2 6" xfId="26296"/>
    <cellStyle name="SAPBEXHLevel2 6 10" xfId="26297"/>
    <cellStyle name="SAPBEXHLevel2 6 10 2" xfId="26298"/>
    <cellStyle name="SAPBEXHLevel2 6 10 2 2" xfId="26299"/>
    <cellStyle name="SAPBEXHLevel2 6 10 3" xfId="26300"/>
    <cellStyle name="SAPBEXHLevel2 6 11" xfId="26301"/>
    <cellStyle name="SAPBEXHLevel2 6 11 2" xfId="26302"/>
    <cellStyle name="SAPBEXHLevel2 6 11 2 2" xfId="26303"/>
    <cellStyle name="SAPBEXHLevel2 6 11 3" xfId="26304"/>
    <cellStyle name="SAPBEXHLevel2 6 12" xfId="26305"/>
    <cellStyle name="SAPBEXHLevel2 6 13" xfId="39059"/>
    <cellStyle name="SAPBEXHLevel2 6 14" xfId="39445"/>
    <cellStyle name="SAPBEXHLevel2 6 2" xfId="26306"/>
    <cellStyle name="SAPBEXHLevel2 6 2 10" xfId="26307"/>
    <cellStyle name="SAPBEXHLevel2 6 2 10 2" xfId="26308"/>
    <cellStyle name="SAPBEXHLevel2 6 2 2" xfId="26309"/>
    <cellStyle name="SAPBEXHLevel2 6 2 2 2" xfId="26310"/>
    <cellStyle name="SAPBEXHLevel2 6 2 2 2 2" xfId="26311"/>
    <cellStyle name="SAPBEXHLevel2 6 2 2 3" xfId="26312"/>
    <cellStyle name="SAPBEXHLevel2 6 2 3" xfId="26313"/>
    <cellStyle name="SAPBEXHLevel2 6 2 3 2" xfId="26314"/>
    <cellStyle name="SAPBEXHLevel2 6 2 3 2 2" xfId="26315"/>
    <cellStyle name="SAPBEXHLevel2 6 2 3 3" xfId="26316"/>
    <cellStyle name="SAPBEXHLevel2 6 2 4" xfId="26317"/>
    <cellStyle name="SAPBEXHLevel2 6 2 4 2" xfId="26318"/>
    <cellStyle name="SAPBEXHLevel2 6 2 4 2 2" xfId="26319"/>
    <cellStyle name="SAPBEXHLevel2 6 2 4 3" xfId="26320"/>
    <cellStyle name="SAPBEXHLevel2 6 2 5" xfId="26321"/>
    <cellStyle name="SAPBEXHLevel2 6 2 5 2" xfId="26322"/>
    <cellStyle name="SAPBEXHLevel2 6 2 5 2 2" xfId="26323"/>
    <cellStyle name="SAPBEXHLevel2 6 2 5 3" xfId="26324"/>
    <cellStyle name="SAPBEXHLevel2 6 2 6" xfId="26325"/>
    <cellStyle name="SAPBEXHLevel2 6 2 6 2" xfId="26326"/>
    <cellStyle name="SAPBEXHLevel2 6 2 6 2 2" xfId="26327"/>
    <cellStyle name="SAPBEXHLevel2 6 2 6 3" xfId="26328"/>
    <cellStyle name="SAPBEXHLevel2 6 2 7" xfId="26329"/>
    <cellStyle name="SAPBEXHLevel2 6 2 7 2" xfId="26330"/>
    <cellStyle name="SAPBEXHLevel2 6 2 7 2 2" xfId="26331"/>
    <cellStyle name="SAPBEXHLevel2 6 2 7 3" xfId="26332"/>
    <cellStyle name="SAPBEXHLevel2 6 2 8" xfId="26333"/>
    <cellStyle name="SAPBEXHLevel2 6 2 8 2" xfId="26334"/>
    <cellStyle name="SAPBEXHLevel2 6 2 8 2 2" xfId="26335"/>
    <cellStyle name="SAPBEXHLevel2 6 2 8 3" xfId="26336"/>
    <cellStyle name="SAPBEXHLevel2 6 2 9" xfId="26337"/>
    <cellStyle name="SAPBEXHLevel2 6 2 9 2" xfId="26338"/>
    <cellStyle name="SAPBEXHLevel2 6 2 9 2 2" xfId="26339"/>
    <cellStyle name="SAPBEXHLevel2 6 2 9 3" xfId="26340"/>
    <cellStyle name="SAPBEXHLevel2 6 2_planning-WP" xfId="26341"/>
    <cellStyle name="SAPBEXHLevel2 6 3" xfId="26342"/>
    <cellStyle name="SAPBEXHLevel2 6 3 2" xfId="26343"/>
    <cellStyle name="SAPBEXHLevel2 6 3 2 2" xfId="26344"/>
    <cellStyle name="SAPBEXHLevel2 6 3 2 2 2" xfId="26345"/>
    <cellStyle name="SAPBEXHLevel2 6 3 2 3" xfId="26346"/>
    <cellStyle name="SAPBEXHLevel2 6 3 3" xfId="26347"/>
    <cellStyle name="SAPBEXHLevel2 6 3 3 2" xfId="26348"/>
    <cellStyle name="SAPBEXHLevel2 6 3 3 2 2" xfId="26349"/>
    <cellStyle name="SAPBEXHLevel2 6 3 3 3" xfId="26350"/>
    <cellStyle name="SAPBEXHLevel2 6 3 4" xfId="26351"/>
    <cellStyle name="SAPBEXHLevel2 6 3 4 2" xfId="26352"/>
    <cellStyle name="SAPBEXHLevel2 6 3 4 2 2" xfId="26353"/>
    <cellStyle name="SAPBEXHLevel2 6 3 4 3" xfId="26354"/>
    <cellStyle name="SAPBEXHLevel2 6 3 5" xfId="26355"/>
    <cellStyle name="SAPBEXHLevel2 6 3 5 2" xfId="26356"/>
    <cellStyle name="SAPBEXHLevel2 6 3 5 2 2" xfId="26357"/>
    <cellStyle name="SAPBEXHLevel2 6 3 5 3" xfId="26358"/>
    <cellStyle name="SAPBEXHLevel2 6 3 6" xfId="26359"/>
    <cellStyle name="SAPBEXHLevel2 6 3 6 2" xfId="26360"/>
    <cellStyle name="SAPBEXHLevel2 6 3 6 2 2" xfId="26361"/>
    <cellStyle name="SAPBEXHLevel2 6 3 6 3" xfId="26362"/>
    <cellStyle name="SAPBEXHLevel2 6 3 7" xfId="26363"/>
    <cellStyle name="SAPBEXHLevel2 6 3 7 2" xfId="26364"/>
    <cellStyle name="SAPBEXHLevel2 6 3 7 2 2" xfId="26365"/>
    <cellStyle name="SAPBEXHLevel2 6 3 7 3" xfId="26366"/>
    <cellStyle name="SAPBEXHLevel2 6 3 8" xfId="26367"/>
    <cellStyle name="SAPBEXHLevel2 6 3 8 2" xfId="26368"/>
    <cellStyle name="SAPBEXHLevel2 6 3 8 2 2" xfId="26369"/>
    <cellStyle name="SAPBEXHLevel2 6 3 8 3" xfId="26370"/>
    <cellStyle name="SAPBEXHLevel2 6 3 9" xfId="26371"/>
    <cellStyle name="SAPBEXHLevel2 6 3 9 2" xfId="26372"/>
    <cellStyle name="SAPBEXHLevel2 6 3_planning-WP" xfId="26373"/>
    <cellStyle name="SAPBEXHLevel2 6 4" xfId="26374"/>
    <cellStyle name="SAPBEXHLevel2 6 4 2" xfId="26375"/>
    <cellStyle name="SAPBEXHLevel2 6 4 2 2" xfId="26376"/>
    <cellStyle name="SAPBEXHLevel2 6 5" xfId="26377"/>
    <cellStyle name="SAPBEXHLevel2 6 5 2" xfId="26378"/>
    <cellStyle name="SAPBEXHLevel2 6 5 2 2" xfId="26379"/>
    <cellStyle name="SAPBEXHLevel2 6 5 3" xfId="26380"/>
    <cellStyle name="SAPBEXHLevel2 6 6" xfId="26381"/>
    <cellStyle name="SAPBEXHLevel2 6 6 2" xfId="26382"/>
    <cellStyle name="SAPBEXHLevel2 6 6 2 2" xfId="26383"/>
    <cellStyle name="SAPBEXHLevel2 6 6 3" xfId="26384"/>
    <cellStyle name="SAPBEXHLevel2 6 7" xfId="26385"/>
    <cellStyle name="SAPBEXHLevel2 6 7 2" xfId="26386"/>
    <cellStyle name="SAPBEXHLevel2 6 7 2 2" xfId="26387"/>
    <cellStyle name="SAPBEXHLevel2 6 7 3" xfId="26388"/>
    <cellStyle name="SAPBEXHLevel2 6 8" xfId="26389"/>
    <cellStyle name="SAPBEXHLevel2 6 8 2" xfId="26390"/>
    <cellStyle name="SAPBEXHLevel2 6 8 2 2" xfId="26391"/>
    <cellStyle name="SAPBEXHLevel2 6 8 3" xfId="26392"/>
    <cellStyle name="SAPBEXHLevel2 6 9" xfId="26393"/>
    <cellStyle name="SAPBEXHLevel2 6 9 2" xfId="26394"/>
    <cellStyle name="SAPBEXHLevel2 6 9 2 2" xfId="26395"/>
    <cellStyle name="SAPBEXHLevel2 6 9 3" xfId="26396"/>
    <cellStyle name="SAPBEXHLevel2 6_planning-WP" xfId="26397"/>
    <cellStyle name="SAPBEXHLevel2 7" xfId="26398"/>
    <cellStyle name="SAPBEXHLevel2 7 10" xfId="26399"/>
    <cellStyle name="SAPBEXHLevel2 7 10 2" xfId="26400"/>
    <cellStyle name="SAPBEXHLevel2 7 10 2 2" xfId="26401"/>
    <cellStyle name="SAPBEXHLevel2 7 10 3" xfId="26402"/>
    <cellStyle name="SAPBEXHLevel2 7 11" xfId="26403"/>
    <cellStyle name="SAPBEXHLevel2 7 11 2" xfId="26404"/>
    <cellStyle name="SAPBEXHLevel2 7 12" xfId="39060"/>
    <cellStyle name="SAPBEXHLevel2 7 13" xfId="39446"/>
    <cellStyle name="SAPBEXHLevel2 7 2" xfId="26405"/>
    <cellStyle name="SAPBEXHLevel2 7 2 10" xfId="26406"/>
    <cellStyle name="SAPBEXHLevel2 7 2 10 2" xfId="26407"/>
    <cellStyle name="SAPBEXHLevel2 7 2 2" xfId="26408"/>
    <cellStyle name="SAPBEXHLevel2 7 2 2 2" xfId="26409"/>
    <cellStyle name="SAPBEXHLevel2 7 2 2 2 2" xfId="26410"/>
    <cellStyle name="SAPBEXHLevel2 7 2 2 3" xfId="26411"/>
    <cellStyle name="SAPBEXHLevel2 7 2 3" xfId="26412"/>
    <cellStyle name="SAPBEXHLevel2 7 2 3 2" xfId="26413"/>
    <cellStyle name="SAPBEXHLevel2 7 2 3 2 2" xfId="26414"/>
    <cellStyle name="SAPBEXHLevel2 7 2 3 3" xfId="26415"/>
    <cellStyle name="SAPBEXHLevel2 7 2 4" xfId="26416"/>
    <cellStyle name="SAPBEXHLevel2 7 2 4 2" xfId="26417"/>
    <cellStyle name="SAPBEXHLevel2 7 2 4 2 2" xfId="26418"/>
    <cellStyle name="SAPBEXHLevel2 7 2 4 3" xfId="26419"/>
    <cellStyle name="SAPBEXHLevel2 7 2 5" xfId="26420"/>
    <cellStyle name="SAPBEXHLevel2 7 2 5 2" xfId="26421"/>
    <cellStyle name="SAPBEXHLevel2 7 2 5 2 2" xfId="26422"/>
    <cellStyle name="SAPBEXHLevel2 7 2 5 3" xfId="26423"/>
    <cellStyle name="SAPBEXHLevel2 7 2 6" xfId="26424"/>
    <cellStyle name="SAPBEXHLevel2 7 2 6 2" xfId="26425"/>
    <cellStyle name="SAPBEXHLevel2 7 2 6 2 2" xfId="26426"/>
    <cellStyle name="SAPBEXHLevel2 7 2 6 3" xfId="26427"/>
    <cellStyle name="SAPBEXHLevel2 7 2 7" xfId="26428"/>
    <cellStyle name="SAPBEXHLevel2 7 2 7 2" xfId="26429"/>
    <cellStyle name="SAPBEXHLevel2 7 2 7 2 2" xfId="26430"/>
    <cellStyle name="SAPBEXHLevel2 7 2 7 3" xfId="26431"/>
    <cellStyle name="SAPBEXHLevel2 7 2 8" xfId="26432"/>
    <cellStyle name="SAPBEXHLevel2 7 2 8 2" xfId="26433"/>
    <cellStyle name="SAPBEXHLevel2 7 2 8 2 2" xfId="26434"/>
    <cellStyle name="SAPBEXHLevel2 7 2 8 3" xfId="26435"/>
    <cellStyle name="SAPBEXHLevel2 7 2 9" xfId="26436"/>
    <cellStyle name="SAPBEXHLevel2 7 2 9 2" xfId="26437"/>
    <cellStyle name="SAPBEXHLevel2 7 2 9 2 2" xfId="26438"/>
    <cellStyle name="SAPBEXHLevel2 7 2 9 3" xfId="26439"/>
    <cellStyle name="SAPBEXHLevel2 7 2_planning-WP" xfId="26440"/>
    <cellStyle name="SAPBEXHLevel2 7 3" xfId="26441"/>
    <cellStyle name="SAPBEXHLevel2 7 3 2" xfId="26442"/>
    <cellStyle name="SAPBEXHLevel2 7 3 2 2" xfId="26443"/>
    <cellStyle name="SAPBEXHLevel2 7 3 3" xfId="26444"/>
    <cellStyle name="SAPBEXHLevel2 7 4" xfId="26445"/>
    <cellStyle name="SAPBEXHLevel2 7 4 2" xfId="26446"/>
    <cellStyle name="SAPBEXHLevel2 7 4 2 2" xfId="26447"/>
    <cellStyle name="SAPBEXHLevel2 7 4 3" xfId="26448"/>
    <cellStyle name="SAPBEXHLevel2 7 5" xfId="26449"/>
    <cellStyle name="SAPBEXHLevel2 7 5 2" xfId="26450"/>
    <cellStyle name="SAPBEXHLevel2 7 5 2 2" xfId="26451"/>
    <cellStyle name="SAPBEXHLevel2 7 5 3" xfId="26452"/>
    <cellStyle name="SAPBEXHLevel2 7 6" xfId="26453"/>
    <cellStyle name="SAPBEXHLevel2 7 6 2" xfId="26454"/>
    <cellStyle name="SAPBEXHLevel2 7 6 2 2" xfId="26455"/>
    <cellStyle name="SAPBEXHLevel2 7 6 3" xfId="26456"/>
    <cellStyle name="SAPBEXHLevel2 7 7" xfId="26457"/>
    <cellStyle name="SAPBEXHLevel2 7 7 2" xfId="26458"/>
    <cellStyle name="SAPBEXHLevel2 7 7 2 2" xfId="26459"/>
    <cellStyle name="SAPBEXHLevel2 7 7 3" xfId="26460"/>
    <cellStyle name="SAPBEXHLevel2 7 8" xfId="26461"/>
    <cellStyle name="SAPBEXHLevel2 7 8 2" xfId="26462"/>
    <cellStyle name="SAPBEXHLevel2 7 8 2 2" xfId="26463"/>
    <cellStyle name="SAPBEXHLevel2 7 8 3" xfId="26464"/>
    <cellStyle name="SAPBEXHLevel2 7 9" xfId="26465"/>
    <cellStyle name="SAPBEXHLevel2 7 9 2" xfId="26466"/>
    <cellStyle name="SAPBEXHLevel2 7 9 2 2" xfId="26467"/>
    <cellStyle name="SAPBEXHLevel2 7 9 3" xfId="26468"/>
    <cellStyle name="SAPBEXHLevel2 7_planning-WP" xfId="26469"/>
    <cellStyle name="SAPBEXHLevel2 8" xfId="26470"/>
    <cellStyle name="SAPBEXHLevel2 8 10" xfId="26471"/>
    <cellStyle name="SAPBEXHLevel2 8 10 2" xfId="26472"/>
    <cellStyle name="SAPBEXHLevel2 8 11" xfId="39061"/>
    <cellStyle name="SAPBEXHLevel2 8 12" xfId="39447"/>
    <cellStyle name="SAPBEXHLevel2 8 2" xfId="26473"/>
    <cellStyle name="SAPBEXHLevel2 8 2 2" xfId="26474"/>
    <cellStyle name="SAPBEXHLevel2 8 2 2 2" xfId="26475"/>
    <cellStyle name="SAPBEXHLevel2 8 2 3" xfId="26476"/>
    <cellStyle name="SAPBEXHLevel2 8 3" xfId="26477"/>
    <cellStyle name="SAPBEXHLevel2 8 3 2" xfId="26478"/>
    <cellStyle name="SAPBEXHLevel2 8 3 2 2" xfId="26479"/>
    <cellStyle name="SAPBEXHLevel2 8 3 3" xfId="26480"/>
    <cellStyle name="SAPBEXHLevel2 8 4" xfId="26481"/>
    <cellStyle name="SAPBEXHLevel2 8 4 2" xfId="26482"/>
    <cellStyle name="SAPBEXHLevel2 8 4 2 2" xfId="26483"/>
    <cellStyle name="SAPBEXHLevel2 8 4 3" xfId="26484"/>
    <cellStyle name="SAPBEXHLevel2 8 5" xfId="26485"/>
    <cellStyle name="SAPBEXHLevel2 8 5 2" xfId="26486"/>
    <cellStyle name="SAPBEXHLevel2 8 5 2 2" xfId="26487"/>
    <cellStyle name="SAPBEXHLevel2 8 5 3" xfId="26488"/>
    <cellStyle name="SAPBEXHLevel2 8 6" xfId="26489"/>
    <cellStyle name="SAPBEXHLevel2 8 6 2" xfId="26490"/>
    <cellStyle name="SAPBEXHLevel2 8 6 2 2" xfId="26491"/>
    <cellStyle name="SAPBEXHLevel2 8 6 3" xfId="26492"/>
    <cellStyle name="SAPBEXHLevel2 8 7" xfId="26493"/>
    <cellStyle name="SAPBEXHLevel2 8 7 2" xfId="26494"/>
    <cellStyle name="SAPBEXHLevel2 8 7 2 2" xfId="26495"/>
    <cellStyle name="SAPBEXHLevel2 8 7 3" xfId="26496"/>
    <cellStyle name="SAPBEXHLevel2 8 8" xfId="26497"/>
    <cellStyle name="SAPBEXHLevel2 8 8 2" xfId="26498"/>
    <cellStyle name="SAPBEXHLevel2 8 8 2 2" xfId="26499"/>
    <cellStyle name="SAPBEXHLevel2 8 8 3" xfId="26500"/>
    <cellStyle name="SAPBEXHLevel2 8 9" xfId="26501"/>
    <cellStyle name="SAPBEXHLevel2 8 9 2" xfId="26502"/>
    <cellStyle name="SAPBEXHLevel2 8 9 2 2" xfId="26503"/>
    <cellStyle name="SAPBEXHLevel2 8 9 3" xfId="26504"/>
    <cellStyle name="SAPBEXHLevel2 8_planning-WP" xfId="26505"/>
    <cellStyle name="SAPBEXHLevel2 9" xfId="26506"/>
    <cellStyle name="SAPBEXHLevel2 9 2" xfId="26507"/>
    <cellStyle name="SAPBEXHLevel2 9 2 2" xfId="26508"/>
    <cellStyle name="SAPBEXHLevel2 9 2 2 2" xfId="26509"/>
    <cellStyle name="SAPBEXHLevel2 9 2 3" xfId="26510"/>
    <cellStyle name="SAPBEXHLevel2 9 3" xfId="26511"/>
    <cellStyle name="SAPBEXHLevel2 9 3 2" xfId="26512"/>
    <cellStyle name="SAPBEXHLevel2 9 3 2 2" xfId="26513"/>
    <cellStyle name="SAPBEXHLevel2 9 3 3" xfId="26514"/>
    <cellStyle name="SAPBEXHLevel2 9 4" xfId="26515"/>
    <cellStyle name="SAPBEXHLevel2 9 4 2" xfId="26516"/>
    <cellStyle name="SAPBEXHLevel2 9 4 2 2" xfId="26517"/>
    <cellStyle name="SAPBEXHLevel2 9 4 3" xfId="26518"/>
    <cellStyle name="SAPBEXHLevel2 9 5" xfId="26519"/>
    <cellStyle name="SAPBEXHLevel2 9 5 2" xfId="26520"/>
    <cellStyle name="SAPBEXHLevel2 9 5 2 2" xfId="26521"/>
    <cellStyle name="SAPBEXHLevel2 9 5 3" xfId="26522"/>
    <cellStyle name="SAPBEXHLevel2 9 6" xfId="26523"/>
    <cellStyle name="SAPBEXHLevel2 9 6 2" xfId="26524"/>
    <cellStyle name="SAPBEXHLevel2 9 6 2 2" xfId="26525"/>
    <cellStyle name="SAPBEXHLevel2 9 6 3" xfId="26526"/>
    <cellStyle name="SAPBEXHLevel2 9 7" xfId="26527"/>
    <cellStyle name="SAPBEXHLevel2 9 7 2" xfId="26528"/>
    <cellStyle name="SAPBEXHLevel2 9 7 2 2" xfId="26529"/>
    <cellStyle name="SAPBEXHLevel2 9 7 3" xfId="26530"/>
    <cellStyle name="SAPBEXHLevel2 9 8" xfId="26531"/>
    <cellStyle name="SAPBEXHLevel2 9 8 2" xfId="26532"/>
    <cellStyle name="SAPBEXHLevel2 9 8 2 2" xfId="26533"/>
    <cellStyle name="SAPBEXHLevel2 9 8 3" xfId="26534"/>
    <cellStyle name="SAPBEXHLevel2 9 9" xfId="26535"/>
    <cellStyle name="SAPBEXHLevel2 9 9 2" xfId="26536"/>
    <cellStyle name="SAPBEXHLevel2 9_planning-WP" xfId="26537"/>
    <cellStyle name="SAPBEXHLevel2_19.BCS P&amp;L 0609" xfId="39062"/>
    <cellStyle name="SAPBEXHLevel2X" xfId="26538"/>
    <cellStyle name="SAPBEXHLevel2X 10" xfId="26539"/>
    <cellStyle name="SAPBEXHLevel2X 10 2" xfId="26540"/>
    <cellStyle name="SAPBEXHLevel2X 10 2 2" xfId="26541"/>
    <cellStyle name="SAPBEXHLevel2X 11" xfId="26542"/>
    <cellStyle name="SAPBEXHLevel2X 11 2" xfId="26543"/>
    <cellStyle name="SAPBEXHLevel2X 11 2 2" xfId="26544"/>
    <cellStyle name="SAPBEXHLevel2X 11 3" xfId="26545"/>
    <cellStyle name="SAPBEXHLevel2X 12" xfId="26546"/>
    <cellStyle name="SAPBEXHLevel2X 12 2" xfId="26547"/>
    <cellStyle name="SAPBEXHLevel2X 12 2 2" xfId="26548"/>
    <cellStyle name="SAPBEXHLevel2X 12 3" xfId="26549"/>
    <cellStyle name="SAPBEXHLevel2X 13" xfId="26550"/>
    <cellStyle name="SAPBEXHLevel2X 13 2" xfId="26551"/>
    <cellStyle name="SAPBEXHLevel2X 13 2 2" xfId="26552"/>
    <cellStyle name="SAPBEXHLevel2X 13 3" xfId="26553"/>
    <cellStyle name="SAPBEXHLevel2X 14" xfId="26554"/>
    <cellStyle name="SAPBEXHLevel2X 14 2" xfId="26555"/>
    <cellStyle name="SAPBEXHLevel2X 14 2 2" xfId="26556"/>
    <cellStyle name="SAPBEXHLevel2X 14 3" xfId="26557"/>
    <cellStyle name="SAPBEXHLevel2X 15" xfId="26558"/>
    <cellStyle name="SAPBEXHLevel2X 15 2" xfId="26559"/>
    <cellStyle name="SAPBEXHLevel2X 15 2 2" xfId="26560"/>
    <cellStyle name="SAPBEXHLevel2X 15 3" xfId="26561"/>
    <cellStyle name="SAPBEXHLevel2X 16" xfId="26562"/>
    <cellStyle name="SAPBEXHLevel2X 16 2" xfId="26563"/>
    <cellStyle name="SAPBEXHLevel2X 16 2 2" xfId="26564"/>
    <cellStyle name="SAPBEXHLevel2X 16 3" xfId="26565"/>
    <cellStyle name="SAPBEXHLevel2X 17" xfId="26566"/>
    <cellStyle name="SAPBEXHLevel2X 17 2" xfId="26567"/>
    <cellStyle name="SAPBEXHLevel2X 17 2 2" xfId="26568"/>
    <cellStyle name="SAPBEXHLevel2X 17 3" xfId="26569"/>
    <cellStyle name="SAPBEXHLevel2X 18" xfId="26570"/>
    <cellStyle name="SAPBEXHLevel2X 19" xfId="39063"/>
    <cellStyle name="SAPBEXHLevel2X 2" xfId="26571"/>
    <cellStyle name="SAPBEXHLevel2X 2 10" xfId="26572"/>
    <cellStyle name="SAPBEXHLevel2X 2 10 2" xfId="26573"/>
    <cellStyle name="SAPBEXHLevel2X 2 10 2 2" xfId="26574"/>
    <cellStyle name="SAPBEXHLevel2X 2 10 3" xfId="26575"/>
    <cellStyle name="SAPBEXHLevel2X 2 11" xfId="26576"/>
    <cellStyle name="SAPBEXHLevel2X 2 11 2" xfId="26577"/>
    <cellStyle name="SAPBEXHLevel2X 2 11 2 2" xfId="26578"/>
    <cellStyle name="SAPBEXHLevel2X 2 11 3" xfId="26579"/>
    <cellStyle name="SAPBEXHLevel2X 2 12" xfId="26580"/>
    <cellStyle name="SAPBEXHLevel2X 2 12 2" xfId="26581"/>
    <cellStyle name="SAPBEXHLevel2X 2 12 2 2" xfId="26582"/>
    <cellStyle name="SAPBEXHLevel2X 2 12 3" xfId="26583"/>
    <cellStyle name="SAPBEXHLevel2X 2 13" xfId="26584"/>
    <cellStyle name="SAPBEXHLevel2X 2 14" xfId="39064"/>
    <cellStyle name="SAPBEXHLevel2X 2 15" xfId="39449"/>
    <cellStyle name="SAPBEXHLevel2X 2 2" xfId="26585"/>
    <cellStyle name="SAPBEXHLevel2X 2 2 10" xfId="26586"/>
    <cellStyle name="SAPBEXHLevel2X 2 2 10 2" xfId="26587"/>
    <cellStyle name="SAPBEXHLevel2X 2 2 10 2 2" xfId="26588"/>
    <cellStyle name="SAPBEXHLevel2X 2 2 10 3" xfId="26589"/>
    <cellStyle name="SAPBEXHLevel2X 2 2 11" xfId="26590"/>
    <cellStyle name="SAPBEXHLevel2X 2 2 11 2" xfId="26591"/>
    <cellStyle name="SAPBEXHLevel2X 2 2 12" xfId="39065"/>
    <cellStyle name="SAPBEXHLevel2X 2 2 13" xfId="39450"/>
    <cellStyle name="SAPBEXHLevel2X 2 2 2" xfId="26592"/>
    <cellStyle name="SAPBEXHLevel2X 2 2 2 10" xfId="26593"/>
    <cellStyle name="SAPBEXHLevel2X 2 2 2 10 2" xfId="26594"/>
    <cellStyle name="SAPBEXHLevel2X 2 2 2 2" xfId="26595"/>
    <cellStyle name="SAPBEXHLevel2X 2 2 2 2 2" xfId="26596"/>
    <cellStyle name="SAPBEXHLevel2X 2 2 2 2 2 2" xfId="26597"/>
    <cellStyle name="SAPBEXHLevel2X 2 2 2 2 3" xfId="26598"/>
    <cellStyle name="SAPBEXHLevel2X 2 2 2 3" xfId="26599"/>
    <cellStyle name="SAPBEXHLevel2X 2 2 2 3 2" xfId="26600"/>
    <cellStyle name="SAPBEXHLevel2X 2 2 2 3 2 2" xfId="26601"/>
    <cellStyle name="SAPBEXHLevel2X 2 2 2 3 3" xfId="26602"/>
    <cellStyle name="SAPBEXHLevel2X 2 2 2 4" xfId="26603"/>
    <cellStyle name="SAPBEXHLevel2X 2 2 2 4 2" xfId="26604"/>
    <cellStyle name="SAPBEXHLevel2X 2 2 2 4 2 2" xfId="26605"/>
    <cellStyle name="SAPBEXHLevel2X 2 2 2 4 3" xfId="26606"/>
    <cellStyle name="SAPBEXHLevel2X 2 2 2 5" xfId="26607"/>
    <cellStyle name="SAPBEXHLevel2X 2 2 2 5 2" xfId="26608"/>
    <cellStyle name="SAPBEXHLevel2X 2 2 2 5 2 2" xfId="26609"/>
    <cellStyle name="SAPBEXHLevel2X 2 2 2 5 3" xfId="26610"/>
    <cellStyle name="SAPBEXHLevel2X 2 2 2 6" xfId="26611"/>
    <cellStyle name="SAPBEXHLevel2X 2 2 2 6 2" xfId="26612"/>
    <cellStyle name="SAPBEXHLevel2X 2 2 2 6 2 2" xfId="26613"/>
    <cellStyle name="SAPBEXHLevel2X 2 2 2 6 3" xfId="26614"/>
    <cellStyle name="SAPBEXHLevel2X 2 2 2 7" xfId="26615"/>
    <cellStyle name="SAPBEXHLevel2X 2 2 2 7 2" xfId="26616"/>
    <cellStyle name="SAPBEXHLevel2X 2 2 2 7 2 2" xfId="26617"/>
    <cellStyle name="SAPBEXHLevel2X 2 2 2 7 3" xfId="26618"/>
    <cellStyle name="SAPBEXHLevel2X 2 2 2 8" xfId="26619"/>
    <cellStyle name="SAPBEXHLevel2X 2 2 2 8 2" xfId="26620"/>
    <cellStyle name="SAPBEXHLevel2X 2 2 2 8 2 2" xfId="26621"/>
    <cellStyle name="SAPBEXHLevel2X 2 2 2 8 3" xfId="26622"/>
    <cellStyle name="SAPBEXHLevel2X 2 2 2 9" xfId="26623"/>
    <cellStyle name="SAPBEXHLevel2X 2 2 2 9 2" xfId="26624"/>
    <cellStyle name="SAPBEXHLevel2X 2 2 2 9 2 2" xfId="26625"/>
    <cellStyle name="SAPBEXHLevel2X 2 2 2 9 3" xfId="26626"/>
    <cellStyle name="SAPBEXHLevel2X 2 2 2_planning-WP" xfId="26627"/>
    <cellStyle name="SAPBEXHLevel2X 2 2 3" xfId="26628"/>
    <cellStyle name="SAPBEXHLevel2X 2 2 3 2" xfId="26629"/>
    <cellStyle name="SAPBEXHLevel2X 2 2 3 2 2" xfId="26630"/>
    <cellStyle name="SAPBEXHLevel2X 2 2 3 3" xfId="26631"/>
    <cellStyle name="SAPBEXHLevel2X 2 2 4" xfId="26632"/>
    <cellStyle name="SAPBEXHLevel2X 2 2 4 2" xfId="26633"/>
    <cellStyle name="SAPBEXHLevel2X 2 2 4 2 2" xfId="26634"/>
    <cellStyle name="SAPBEXHLevel2X 2 2 4 3" xfId="26635"/>
    <cellStyle name="SAPBEXHLevel2X 2 2 5" xfId="26636"/>
    <cellStyle name="SAPBEXHLevel2X 2 2 5 2" xfId="26637"/>
    <cellStyle name="SAPBEXHLevel2X 2 2 5 2 2" xfId="26638"/>
    <cellStyle name="SAPBEXHLevel2X 2 2 5 3" xfId="26639"/>
    <cellStyle name="SAPBEXHLevel2X 2 2 6" xfId="26640"/>
    <cellStyle name="SAPBEXHLevel2X 2 2 6 2" xfId="26641"/>
    <cellStyle name="SAPBEXHLevel2X 2 2 6 2 2" xfId="26642"/>
    <cellStyle name="SAPBEXHLevel2X 2 2 6 3" xfId="26643"/>
    <cellStyle name="SAPBEXHLevel2X 2 2 7" xfId="26644"/>
    <cellStyle name="SAPBEXHLevel2X 2 2 7 2" xfId="26645"/>
    <cellStyle name="SAPBEXHLevel2X 2 2 7 2 2" xfId="26646"/>
    <cellStyle name="SAPBEXHLevel2X 2 2 7 3" xfId="26647"/>
    <cellStyle name="SAPBEXHLevel2X 2 2 8" xfId="26648"/>
    <cellStyle name="SAPBEXHLevel2X 2 2 8 2" xfId="26649"/>
    <cellStyle name="SAPBEXHLevel2X 2 2 8 2 2" xfId="26650"/>
    <cellStyle name="SAPBEXHLevel2X 2 2 8 3" xfId="26651"/>
    <cellStyle name="SAPBEXHLevel2X 2 2 9" xfId="26652"/>
    <cellStyle name="SAPBEXHLevel2X 2 2 9 2" xfId="26653"/>
    <cellStyle name="SAPBEXHLevel2X 2 2 9 2 2" xfId="26654"/>
    <cellStyle name="SAPBEXHLevel2X 2 2 9 3" xfId="26655"/>
    <cellStyle name="SAPBEXHLevel2X 2 2_planning-WP" xfId="26656"/>
    <cellStyle name="SAPBEXHLevel2X 2 3" xfId="26657"/>
    <cellStyle name="SAPBEXHLevel2X 2 3 10" xfId="26658"/>
    <cellStyle name="SAPBEXHLevel2X 2 3 10 2" xfId="26659"/>
    <cellStyle name="SAPBEXHLevel2X 2 3 2" xfId="26660"/>
    <cellStyle name="SAPBEXHLevel2X 2 3 2 2" xfId="26661"/>
    <cellStyle name="SAPBEXHLevel2X 2 3 2 2 2" xfId="26662"/>
    <cellStyle name="SAPBEXHLevel2X 2 3 2 3" xfId="26663"/>
    <cellStyle name="SAPBEXHLevel2X 2 3 3" xfId="26664"/>
    <cellStyle name="SAPBEXHLevel2X 2 3 3 2" xfId="26665"/>
    <cellStyle name="SAPBEXHLevel2X 2 3 3 2 2" xfId="26666"/>
    <cellStyle name="SAPBEXHLevel2X 2 3 3 3" xfId="26667"/>
    <cellStyle name="SAPBEXHLevel2X 2 3 4" xfId="26668"/>
    <cellStyle name="SAPBEXHLevel2X 2 3 4 2" xfId="26669"/>
    <cellStyle name="SAPBEXHLevel2X 2 3 4 2 2" xfId="26670"/>
    <cellStyle name="SAPBEXHLevel2X 2 3 4 3" xfId="26671"/>
    <cellStyle name="SAPBEXHLevel2X 2 3 5" xfId="26672"/>
    <cellStyle name="SAPBEXHLevel2X 2 3 5 2" xfId="26673"/>
    <cellStyle name="SAPBEXHLevel2X 2 3 5 2 2" xfId="26674"/>
    <cellStyle name="SAPBEXHLevel2X 2 3 5 3" xfId="26675"/>
    <cellStyle name="SAPBEXHLevel2X 2 3 6" xfId="26676"/>
    <cellStyle name="SAPBEXHLevel2X 2 3 6 2" xfId="26677"/>
    <cellStyle name="SAPBEXHLevel2X 2 3 6 2 2" xfId="26678"/>
    <cellStyle name="SAPBEXHLevel2X 2 3 6 3" xfId="26679"/>
    <cellStyle name="SAPBEXHLevel2X 2 3 7" xfId="26680"/>
    <cellStyle name="SAPBEXHLevel2X 2 3 7 2" xfId="26681"/>
    <cellStyle name="SAPBEXHLevel2X 2 3 7 2 2" xfId="26682"/>
    <cellStyle name="SAPBEXHLevel2X 2 3 7 3" xfId="26683"/>
    <cellStyle name="SAPBEXHLevel2X 2 3 8" xfId="26684"/>
    <cellStyle name="SAPBEXHLevel2X 2 3 8 2" xfId="26685"/>
    <cellStyle name="SAPBEXHLevel2X 2 3 8 2 2" xfId="26686"/>
    <cellStyle name="SAPBEXHLevel2X 2 3 8 3" xfId="26687"/>
    <cellStyle name="SAPBEXHLevel2X 2 3 9" xfId="26688"/>
    <cellStyle name="SAPBEXHLevel2X 2 3 9 2" xfId="26689"/>
    <cellStyle name="SAPBEXHLevel2X 2 3 9 2 2" xfId="26690"/>
    <cellStyle name="SAPBEXHLevel2X 2 3 9 3" xfId="26691"/>
    <cellStyle name="SAPBEXHLevel2X 2 3_planning-WP" xfId="26692"/>
    <cellStyle name="SAPBEXHLevel2X 2 4" xfId="26693"/>
    <cellStyle name="SAPBEXHLevel2X 2 4 2" xfId="26694"/>
    <cellStyle name="SAPBEXHLevel2X 2 4 2 2" xfId="26695"/>
    <cellStyle name="SAPBEXHLevel2X 2 4 2 2 2" xfId="26696"/>
    <cellStyle name="SAPBEXHLevel2X 2 4 2 3" xfId="26697"/>
    <cellStyle name="SAPBEXHLevel2X 2 4 3" xfId="26698"/>
    <cellStyle name="SAPBEXHLevel2X 2 4 3 2" xfId="26699"/>
    <cellStyle name="SAPBEXHLevel2X 2 4 3 2 2" xfId="26700"/>
    <cellStyle name="SAPBEXHLevel2X 2 4 3 3" xfId="26701"/>
    <cellStyle name="SAPBEXHLevel2X 2 4 4" xfId="26702"/>
    <cellStyle name="SAPBEXHLevel2X 2 4 4 2" xfId="26703"/>
    <cellStyle name="SAPBEXHLevel2X 2 4 4 2 2" xfId="26704"/>
    <cellStyle name="SAPBEXHLevel2X 2 4 4 3" xfId="26705"/>
    <cellStyle name="SAPBEXHLevel2X 2 4 5" xfId="26706"/>
    <cellStyle name="SAPBEXHLevel2X 2 4 5 2" xfId="26707"/>
    <cellStyle name="SAPBEXHLevel2X 2 4 5 2 2" xfId="26708"/>
    <cellStyle name="SAPBEXHLevel2X 2 4 5 3" xfId="26709"/>
    <cellStyle name="SAPBEXHLevel2X 2 4 6" xfId="26710"/>
    <cellStyle name="SAPBEXHLevel2X 2 4 6 2" xfId="26711"/>
    <cellStyle name="SAPBEXHLevel2X 2 4 6 2 2" xfId="26712"/>
    <cellStyle name="SAPBEXHLevel2X 2 4 6 3" xfId="26713"/>
    <cellStyle name="SAPBEXHLevel2X 2 4 7" xfId="26714"/>
    <cellStyle name="SAPBEXHLevel2X 2 4 7 2" xfId="26715"/>
    <cellStyle name="SAPBEXHLevel2X 2 4 7 2 2" xfId="26716"/>
    <cellStyle name="SAPBEXHLevel2X 2 4 7 3" xfId="26717"/>
    <cellStyle name="SAPBEXHLevel2X 2 4 8" xfId="26718"/>
    <cellStyle name="SAPBEXHLevel2X 2 4 8 2" xfId="26719"/>
    <cellStyle name="SAPBEXHLevel2X 2 4 8 2 2" xfId="26720"/>
    <cellStyle name="SAPBEXHLevel2X 2 4 8 3" xfId="26721"/>
    <cellStyle name="SAPBEXHLevel2X 2 4 9" xfId="26722"/>
    <cellStyle name="SAPBEXHLevel2X 2 4 9 2" xfId="26723"/>
    <cellStyle name="SAPBEXHLevel2X 2 4_planning-WP" xfId="26724"/>
    <cellStyle name="SAPBEXHLevel2X 2 5" xfId="26725"/>
    <cellStyle name="SAPBEXHLevel2X 2 5 2" xfId="26726"/>
    <cellStyle name="SAPBEXHLevel2X 2 5 2 2" xfId="26727"/>
    <cellStyle name="SAPBEXHLevel2X 2 6" xfId="26728"/>
    <cellStyle name="SAPBEXHLevel2X 2 6 2" xfId="26729"/>
    <cellStyle name="SAPBEXHLevel2X 2 6 2 2" xfId="26730"/>
    <cellStyle name="SAPBEXHLevel2X 2 6 3" xfId="26731"/>
    <cellStyle name="SAPBEXHLevel2X 2 7" xfId="26732"/>
    <cellStyle name="SAPBEXHLevel2X 2 7 2" xfId="26733"/>
    <cellStyle name="SAPBEXHLevel2X 2 7 2 2" xfId="26734"/>
    <cellStyle name="SAPBEXHLevel2X 2 7 3" xfId="26735"/>
    <cellStyle name="SAPBEXHLevel2X 2 8" xfId="26736"/>
    <cellStyle name="SAPBEXHLevel2X 2 8 2" xfId="26737"/>
    <cellStyle name="SAPBEXHLevel2X 2 8 2 2" xfId="26738"/>
    <cellStyle name="SAPBEXHLevel2X 2 8 3" xfId="26739"/>
    <cellStyle name="SAPBEXHLevel2X 2 9" xfId="26740"/>
    <cellStyle name="SAPBEXHLevel2X 2 9 2" xfId="26741"/>
    <cellStyle name="SAPBEXHLevel2X 2 9 2 2" xfId="26742"/>
    <cellStyle name="SAPBEXHLevel2X 2 9 3" xfId="26743"/>
    <cellStyle name="SAPBEXHLevel2X 2_planning-WP" xfId="26744"/>
    <cellStyle name="SAPBEXHLevel2X 20" xfId="39448"/>
    <cellStyle name="SAPBEXHLevel2X 3" xfId="26745"/>
    <cellStyle name="SAPBEXHLevel2X 3 10" xfId="26746"/>
    <cellStyle name="SAPBEXHLevel2X 3 10 2" xfId="26747"/>
    <cellStyle name="SAPBEXHLevel2X 3 10 2 2" xfId="26748"/>
    <cellStyle name="SAPBEXHLevel2X 3 10 3" xfId="26749"/>
    <cellStyle name="SAPBEXHLevel2X 3 11" xfId="26750"/>
    <cellStyle name="SAPBEXHLevel2X 3 11 2" xfId="26751"/>
    <cellStyle name="SAPBEXHLevel2X 3 11 2 2" xfId="26752"/>
    <cellStyle name="SAPBEXHLevel2X 3 11 3" xfId="26753"/>
    <cellStyle name="SAPBEXHLevel2X 3 12" xfId="26754"/>
    <cellStyle name="SAPBEXHLevel2X 3 12 2" xfId="26755"/>
    <cellStyle name="SAPBEXHLevel2X 3 12 2 2" xfId="26756"/>
    <cellStyle name="SAPBEXHLevel2X 3 12 3" xfId="26757"/>
    <cellStyle name="SAPBEXHLevel2X 3 13" xfId="26758"/>
    <cellStyle name="SAPBEXHLevel2X 3 14" xfId="39066"/>
    <cellStyle name="SAPBEXHLevel2X 3 15" xfId="39451"/>
    <cellStyle name="SAPBEXHLevel2X 3 2" xfId="26759"/>
    <cellStyle name="SAPBEXHLevel2X 3 2 10" xfId="26760"/>
    <cellStyle name="SAPBEXHLevel2X 3 2 10 2" xfId="26761"/>
    <cellStyle name="SAPBEXHLevel2X 3 2 10 2 2" xfId="26762"/>
    <cellStyle name="SAPBEXHLevel2X 3 2 10 3" xfId="26763"/>
    <cellStyle name="SAPBEXHLevel2X 3 2 11" xfId="26764"/>
    <cellStyle name="SAPBEXHLevel2X 3 2 11 2" xfId="26765"/>
    <cellStyle name="SAPBEXHLevel2X 3 2 12" xfId="39067"/>
    <cellStyle name="SAPBEXHLevel2X 3 2 13" xfId="39452"/>
    <cellStyle name="SAPBEXHLevel2X 3 2 2" xfId="26766"/>
    <cellStyle name="SAPBEXHLevel2X 3 2 2 10" xfId="26767"/>
    <cellStyle name="SAPBEXHLevel2X 3 2 2 10 2" xfId="26768"/>
    <cellStyle name="SAPBEXHLevel2X 3 2 2 2" xfId="26769"/>
    <cellStyle name="SAPBEXHLevel2X 3 2 2 2 2" xfId="26770"/>
    <cellStyle name="SAPBEXHLevel2X 3 2 2 2 2 2" xfId="26771"/>
    <cellStyle name="SAPBEXHLevel2X 3 2 2 2 3" xfId="26772"/>
    <cellStyle name="SAPBEXHLevel2X 3 2 2 3" xfId="26773"/>
    <cellStyle name="SAPBEXHLevel2X 3 2 2 3 2" xfId="26774"/>
    <cellStyle name="SAPBEXHLevel2X 3 2 2 3 2 2" xfId="26775"/>
    <cellStyle name="SAPBEXHLevel2X 3 2 2 3 3" xfId="26776"/>
    <cellStyle name="SAPBEXHLevel2X 3 2 2 4" xfId="26777"/>
    <cellStyle name="SAPBEXHLevel2X 3 2 2 4 2" xfId="26778"/>
    <cellStyle name="SAPBEXHLevel2X 3 2 2 4 2 2" xfId="26779"/>
    <cellStyle name="SAPBEXHLevel2X 3 2 2 4 3" xfId="26780"/>
    <cellStyle name="SAPBEXHLevel2X 3 2 2 5" xfId="26781"/>
    <cellStyle name="SAPBEXHLevel2X 3 2 2 5 2" xfId="26782"/>
    <cellStyle name="SAPBEXHLevel2X 3 2 2 5 2 2" xfId="26783"/>
    <cellStyle name="SAPBEXHLevel2X 3 2 2 5 3" xfId="26784"/>
    <cellStyle name="SAPBEXHLevel2X 3 2 2 6" xfId="26785"/>
    <cellStyle name="SAPBEXHLevel2X 3 2 2 6 2" xfId="26786"/>
    <cellStyle name="SAPBEXHLevel2X 3 2 2 6 2 2" xfId="26787"/>
    <cellStyle name="SAPBEXHLevel2X 3 2 2 6 3" xfId="26788"/>
    <cellStyle name="SAPBEXHLevel2X 3 2 2 7" xfId="26789"/>
    <cellStyle name="SAPBEXHLevel2X 3 2 2 7 2" xfId="26790"/>
    <cellStyle name="SAPBEXHLevel2X 3 2 2 7 2 2" xfId="26791"/>
    <cellStyle name="SAPBEXHLevel2X 3 2 2 7 3" xfId="26792"/>
    <cellStyle name="SAPBEXHLevel2X 3 2 2 8" xfId="26793"/>
    <cellStyle name="SAPBEXHLevel2X 3 2 2 8 2" xfId="26794"/>
    <cellStyle name="SAPBEXHLevel2X 3 2 2 8 2 2" xfId="26795"/>
    <cellStyle name="SAPBEXHLevel2X 3 2 2 8 3" xfId="26796"/>
    <cellStyle name="SAPBEXHLevel2X 3 2 2 9" xfId="26797"/>
    <cellStyle name="SAPBEXHLevel2X 3 2 2 9 2" xfId="26798"/>
    <cellStyle name="SAPBEXHLevel2X 3 2 2 9 2 2" xfId="26799"/>
    <cellStyle name="SAPBEXHLevel2X 3 2 2 9 3" xfId="26800"/>
    <cellStyle name="SAPBEXHLevel2X 3 2 2_planning-WP" xfId="26801"/>
    <cellStyle name="SAPBEXHLevel2X 3 2 3" xfId="26802"/>
    <cellStyle name="SAPBEXHLevel2X 3 2 3 2" xfId="26803"/>
    <cellStyle name="SAPBEXHLevel2X 3 2 3 2 2" xfId="26804"/>
    <cellStyle name="SAPBEXHLevel2X 3 2 3 3" xfId="26805"/>
    <cellStyle name="SAPBEXHLevel2X 3 2 4" xfId="26806"/>
    <cellStyle name="SAPBEXHLevel2X 3 2 4 2" xfId="26807"/>
    <cellStyle name="SAPBEXHLevel2X 3 2 4 2 2" xfId="26808"/>
    <cellStyle name="SAPBEXHLevel2X 3 2 4 3" xfId="26809"/>
    <cellStyle name="SAPBEXHLevel2X 3 2 5" xfId="26810"/>
    <cellStyle name="SAPBEXHLevel2X 3 2 5 2" xfId="26811"/>
    <cellStyle name="SAPBEXHLevel2X 3 2 5 2 2" xfId="26812"/>
    <cellStyle name="SAPBEXHLevel2X 3 2 5 3" xfId="26813"/>
    <cellStyle name="SAPBEXHLevel2X 3 2 6" xfId="26814"/>
    <cellStyle name="SAPBEXHLevel2X 3 2 6 2" xfId="26815"/>
    <cellStyle name="SAPBEXHLevel2X 3 2 6 2 2" xfId="26816"/>
    <cellStyle name="SAPBEXHLevel2X 3 2 6 3" xfId="26817"/>
    <cellStyle name="SAPBEXHLevel2X 3 2 7" xfId="26818"/>
    <cellStyle name="SAPBEXHLevel2X 3 2 7 2" xfId="26819"/>
    <cellStyle name="SAPBEXHLevel2X 3 2 7 2 2" xfId="26820"/>
    <cellStyle name="SAPBEXHLevel2X 3 2 7 3" xfId="26821"/>
    <cellStyle name="SAPBEXHLevel2X 3 2 8" xfId="26822"/>
    <cellStyle name="SAPBEXHLevel2X 3 2 8 2" xfId="26823"/>
    <cellStyle name="SAPBEXHLevel2X 3 2 8 2 2" xfId="26824"/>
    <cellStyle name="SAPBEXHLevel2X 3 2 8 3" xfId="26825"/>
    <cellStyle name="SAPBEXHLevel2X 3 2 9" xfId="26826"/>
    <cellStyle name="SAPBEXHLevel2X 3 2 9 2" xfId="26827"/>
    <cellStyle name="SAPBEXHLevel2X 3 2 9 2 2" xfId="26828"/>
    <cellStyle name="SAPBEXHLevel2X 3 2 9 3" xfId="26829"/>
    <cellStyle name="SAPBEXHLevel2X 3 2_planning-WP" xfId="26830"/>
    <cellStyle name="SAPBEXHLevel2X 3 3" xfId="26831"/>
    <cellStyle name="SAPBEXHLevel2X 3 3 10" xfId="26832"/>
    <cellStyle name="SAPBEXHLevel2X 3 3 10 2" xfId="26833"/>
    <cellStyle name="SAPBEXHLevel2X 3 3 2" xfId="26834"/>
    <cellStyle name="SAPBEXHLevel2X 3 3 2 2" xfId="26835"/>
    <cellStyle name="SAPBEXHLevel2X 3 3 2 2 2" xfId="26836"/>
    <cellStyle name="SAPBEXHLevel2X 3 3 2 3" xfId="26837"/>
    <cellStyle name="SAPBEXHLevel2X 3 3 3" xfId="26838"/>
    <cellStyle name="SAPBEXHLevel2X 3 3 3 2" xfId="26839"/>
    <cellStyle name="SAPBEXHLevel2X 3 3 3 2 2" xfId="26840"/>
    <cellStyle name="SAPBEXHLevel2X 3 3 3 3" xfId="26841"/>
    <cellStyle name="SAPBEXHLevel2X 3 3 4" xfId="26842"/>
    <cellStyle name="SAPBEXHLevel2X 3 3 4 2" xfId="26843"/>
    <cellStyle name="SAPBEXHLevel2X 3 3 4 2 2" xfId="26844"/>
    <cellStyle name="SAPBEXHLevel2X 3 3 4 3" xfId="26845"/>
    <cellStyle name="SAPBEXHLevel2X 3 3 5" xfId="26846"/>
    <cellStyle name="SAPBEXHLevel2X 3 3 5 2" xfId="26847"/>
    <cellStyle name="SAPBEXHLevel2X 3 3 5 2 2" xfId="26848"/>
    <cellStyle name="SAPBEXHLevel2X 3 3 5 3" xfId="26849"/>
    <cellStyle name="SAPBEXHLevel2X 3 3 6" xfId="26850"/>
    <cellStyle name="SAPBEXHLevel2X 3 3 6 2" xfId="26851"/>
    <cellStyle name="SAPBEXHLevel2X 3 3 6 2 2" xfId="26852"/>
    <cellStyle name="SAPBEXHLevel2X 3 3 6 3" xfId="26853"/>
    <cellStyle name="SAPBEXHLevel2X 3 3 7" xfId="26854"/>
    <cellStyle name="SAPBEXHLevel2X 3 3 7 2" xfId="26855"/>
    <cellStyle name="SAPBEXHLevel2X 3 3 7 2 2" xfId="26856"/>
    <cellStyle name="SAPBEXHLevel2X 3 3 7 3" xfId="26857"/>
    <cellStyle name="SAPBEXHLevel2X 3 3 8" xfId="26858"/>
    <cellStyle name="SAPBEXHLevel2X 3 3 8 2" xfId="26859"/>
    <cellStyle name="SAPBEXHLevel2X 3 3 8 2 2" xfId="26860"/>
    <cellStyle name="SAPBEXHLevel2X 3 3 8 3" xfId="26861"/>
    <cellStyle name="SAPBEXHLevel2X 3 3 9" xfId="26862"/>
    <cellStyle name="SAPBEXHLevel2X 3 3 9 2" xfId="26863"/>
    <cellStyle name="SAPBEXHLevel2X 3 3 9 2 2" xfId="26864"/>
    <cellStyle name="SAPBEXHLevel2X 3 3 9 3" xfId="26865"/>
    <cellStyle name="SAPBEXHLevel2X 3 3_planning-WP" xfId="26866"/>
    <cellStyle name="SAPBEXHLevel2X 3 4" xfId="26867"/>
    <cellStyle name="SAPBEXHLevel2X 3 4 2" xfId="26868"/>
    <cellStyle name="SAPBEXHLevel2X 3 4 2 2" xfId="26869"/>
    <cellStyle name="SAPBEXHLevel2X 3 4 2 2 2" xfId="26870"/>
    <cellStyle name="SAPBEXHLevel2X 3 4 2 3" xfId="26871"/>
    <cellStyle name="SAPBEXHLevel2X 3 4 3" xfId="26872"/>
    <cellStyle name="SAPBEXHLevel2X 3 4 3 2" xfId="26873"/>
    <cellStyle name="SAPBEXHLevel2X 3 4 3 2 2" xfId="26874"/>
    <cellStyle name="SAPBEXHLevel2X 3 4 3 3" xfId="26875"/>
    <cellStyle name="SAPBEXHLevel2X 3 4 4" xfId="26876"/>
    <cellStyle name="SAPBEXHLevel2X 3 4 4 2" xfId="26877"/>
    <cellStyle name="SAPBEXHLevel2X 3 4 4 2 2" xfId="26878"/>
    <cellStyle name="SAPBEXHLevel2X 3 4 4 3" xfId="26879"/>
    <cellStyle name="SAPBEXHLevel2X 3 4 5" xfId="26880"/>
    <cellStyle name="SAPBEXHLevel2X 3 4 5 2" xfId="26881"/>
    <cellStyle name="SAPBEXHLevel2X 3 4 5 2 2" xfId="26882"/>
    <cellStyle name="SAPBEXHLevel2X 3 4 5 3" xfId="26883"/>
    <cellStyle name="SAPBEXHLevel2X 3 4 6" xfId="26884"/>
    <cellStyle name="SAPBEXHLevel2X 3 4 6 2" xfId="26885"/>
    <cellStyle name="SAPBEXHLevel2X 3 4 6 2 2" xfId="26886"/>
    <cellStyle name="SAPBEXHLevel2X 3 4 6 3" xfId="26887"/>
    <cellStyle name="SAPBEXHLevel2X 3 4 7" xfId="26888"/>
    <cellStyle name="SAPBEXHLevel2X 3 4 7 2" xfId="26889"/>
    <cellStyle name="SAPBEXHLevel2X 3 4 7 2 2" xfId="26890"/>
    <cellStyle name="SAPBEXHLevel2X 3 4 7 3" xfId="26891"/>
    <cellStyle name="SAPBEXHLevel2X 3 4 8" xfId="26892"/>
    <cellStyle name="SAPBEXHLevel2X 3 4 8 2" xfId="26893"/>
    <cellStyle name="SAPBEXHLevel2X 3 4 8 2 2" xfId="26894"/>
    <cellStyle name="SAPBEXHLevel2X 3 4 8 3" xfId="26895"/>
    <cellStyle name="SAPBEXHLevel2X 3 4 9" xfId="26896"/>
    <cellStyle name="SAPBEXHLevel2X 3 4 9 2" xfId="26897"/>
    <cellStyle name="SAPBEXHLevel2X 3 4_planning-WP" xfId="26898"/>
    <cellStyle name="SAPBEXHLevel2X 3 5" xfId="26899"/>
    <cellStyle name="SAPBEXHLevel2X 3 5 2" xfId="26900"/>
    <cellStyle name="SAPBEXHLevel2X 3 5 2 2" xfId="26901"/>
    <cellStyle name="SAPBEXHLevel2X 3 6" xfId="26902"/>
    <cellStyle name="SAPBEXHLevel2X 3 6 2" xfId="26903"/>
    <cellStyle name="SAPBEXHLevel2X 3 6 2 2" xfId="26904"/>
    <cellStyle name="SAPBEXHLevel2X 3 6 3" xfId="26905"/>
    <cellStyle name="SAPBEXHLevel2X 3 7" xfId="26906"/>
    <cellStyle name="SAPBEXHLevel2X 3 7 2" xfId="26907"/>
    <cellStyle name="SAPBEXHLevel2X 3 7 2 2" xfId="26908"/>
    <cellStyle name="SAPBEXHLevel2X 3 7 3" xfId="26909"/>
    <cellStyle name="SAPBEXHLevel2X 3 8" xfId="26910"/>
    <cellStyle name="SAPBEXHLevel2X 3 8 2" xfId="26911"/>
    <cellStyle name="SAPBEXHLevel2X 3 8 2 2" xfId="26912"/>
    <cellStyle name="SAPBEXHLevel2X 3 8 3" xfId="26913"/>
    <cellStyle name="SAPBEXHLevel2X 3 9" xfId="26914"/>
    <cellStyle name="SAPBEXHLevel2X 3 9 2" xfId="26915"/>
    <cellStyle name="SAPBEXHLevel2X 3 9 2 2" xfId="26916"/>
    <cellStyle name="SAPBEXHLevel2X 3 9 3" xfId="26917"/>
    <cellStyle name="SAPBEXHLevel2X 3_planning-WP" xfId="26918"/>
    <cellStyle name="SAPBEXHLevel2X 4" xfId="26919"/>
    <cellStyle name="SAPBEXHLevel2X 4 10" xfId="26920"/>
    <cellStyle name="SAPBEXHLevel2X 4 10 2" xfId="26921"/>
    <cellStyle name="SAPBEXHLevel2X 4 10 2 2" xfId="26922"/>
    <cellStyle name="SAPBEXHLevel2X 4 10 3" xfId="26923"/>
    <cellStyle name="SAPBEXHLevel2X 4 11" xfId="26924"/>
    <cellStyle name="SAPBEXHLevel2X 4 11 2" xfId="26925"/>
    <cellStyle name="SAPBEXHLevel2X 4 11 2 2" xfId="26926"/>
    <cellStyle name="SAPBEXHLevel2X 4 11 3" xfId="26927"/>
    <cellStyle name="SAPBEXHLevel2X 4 12" xfId="26928"/>
    <cellStyle name="SAPBEXHLevel2X 4 12 2" xfId="26929"/>
    <cellStyle name="SAPBEXHLevel2X 4 12 2 2" xfId="26930"/>
    <cellStyle name="SAPBEXHLevel2X 4 12 3" xfId="26931"/>
    <cellStyle name="SAPBEXHLevel2X 4 13" xfId="26932"/>
    <cellStyle name="SAPBEXHLevel2X 4 14" xfId="39068"/>
    <cellStyle name="SAPBEXHLevel2X 4 15" xfId="39453"/>
    <cellStyle name="SAPBEXHLevel2X 4 2" xfId="26933"/>
    <cellStyle name="SAPBEXHLevel2X 4 2 10" xfId="26934"/>
    <cellStyle name="SAPBEXHLevel2X 4 2 10 2" xfId="26935"/>
    <cellStyle name="SAPBEXHLevel2X 4 2 10 2 2" xfId="26936"/>
    <cellStyle name="SAPBEXHLevel2X 4 2 10 3" xfId="26937"/>
    <cellStyle name="SAPBEXHLevel2X 4 2 11" xfId="26938"/>
    <cellStyle name="SAPBEXHLevel2X 4 2 11 2" xfId="26939"/>
    <cellStyle name="SAPBEXHLevel2X 4 2 12" xfId="39069"/>
    <cellStyle name="SAPBEXHLevel2X 4 2 13" xfId="39454"/>
    <cellStyle name="SAPBEXHLevel2X 4 2 2" xfId="26940"/>
    <cellStyle name="SAPBEXHLevel2X 4 2 2 10" xfId="26941"/>
    <cellStyle name="SAPBEXHLevel2X 4 2 2 10 2" xfId="26942"/>
    <cellStyle name="SAPBEXHLevel2X 4 2 2 2" xfId="26943"/>
    <cellStyle name="SAPBEXHLevel2X 4 2 2 2 2" xfId="26944"/>
    <cellStyle name="SAPBEXHLevel2X 4 2 2 2 2 2" xfId="26945"/>
    <cellStyle name="SAPBEXHLevel2X 4 2 2 2 3" xfId="26946"/>
    <cellStyle name="SAPBEXHLevel2X 4 2 2 3" xfId="26947"/>
    <cellStyle name="SAPBEXHLevel2X 4 2 2 3 2" xfId="26948"/>
    <cellStyle name="SAPBEXHLevel2X 4 2 2 3 2 2" xfId="26949"/>
    <cellStyle name="SAPBEXHLevel2X 4 2 2 3 3" xfId="26950"/>
    <cellStyle name="SAPBEXHLevel2X 4 2 2 4" xfId="26951"/>
    <cellStyle name="SAPBEXHLevel2X 4 2 2 4 2" xfId="26952"/>
    <cellStyle name="SAPBEXHLevel2X 4 2 2 4 2 2" xfId="26953"/>
    <cellStyle name="SAPBEXHLevel2X 4 2 2 4 3" xfId="26954"/>
    <cellStyle name="SAPBEXHLevel2X 4 2 2 5" xfId="26955"/>
    <cellStyle name="SAPBEXHLevel2X 4 2 2 5 2" xfId="26956"/>
    <cellStyle name="SAPBEXHLevel2X 4 2 2 5 2 2" xfId="26957"/>
    <cellStyle name="SAPBEXHLevel2X 4 2 2 5 3" xfId="26958"/>
    <cellStyle name="SAPBEXHLevel2X 4 2 2 6" xfId="26959"/>
    <cellStyle name="SAPBEXHLevel2X 4 2 2 6 2" xfId="26960"/>
    <cellStyle name="SAPBEXHLevel2X 4 2 2 6 2 2" xfId="26961"/>
    <cellStyle name="SAPBEXHLevel2X 4 2 2 6 3" xfId="26962"/>
    <cellStyle name="SAPBEXHLevel2X 4 2 2 7" xfId="26963"/>
    <cellStyle name="SAPBEXHLevel2X 4 2 2 7 2" xfId="26964"/>
    <cellStyle name="SAPBEXHLevel2X 4 2 2 7 2 2" xfId="26965"/>
    <cellStyle name="SAPBEXHLevel2X 4 2 2 7 3" xfId="26966"/>
    <cellStyle name="SAPBEXHLevel2X 4 2 2 8" xfId="26967"/>
    <cellStyle name="SAPBEXHLevel2X 4 2 2 8 2" xfId="26968"/>
    <cellStyle name="SAPBEXHLevel2X 4 2 2 8 2 2" xfId="26969"/>
    <cellStyle name="SAPBEXHLevel2X 4 2 2 8 3" xfId="26970"/>
    <cellStyle name="SAPBEXHLevel2X 4 2 2 9" xfId="26971"/>
    <cellStyle name="SAPBEXHLevel2X 4 2 2 9 2" xfId="26972"/>
    <cellStyle name="SAPBEXHLevel2X 4 2 2 9 2 2" xfId="26973"/>
    <cellStyle name="SAPBEXHLevel2X 4 2 2 9 3" xfId="26974"/>
    <cellStyle name="SAPBEXHLevel2X 4 2 2_planning-WP" xfId="26975"/>
    <cellStyle name="SAPBEXHLevel2X 4 2 3" xfId="26976"/>
    <cellStyle name="SAPBEXHLevel2X 4 2 3 2" xfId="26977"/>
    <cellStyle name="SAPBEXHLevel2X 4 2 3 2 2" xfId="26978"/>
    <cellStyle name="SAPBEXHLevel2X 4 2 3 3" xfId="26979"/>
    <cellStyle name="SAPBEXHLevel2X 4 2 4" xfId="26980"/>
    <cellStyle name="SAPBEXHLevel2X 4 2 4 2" xfId="26981"/>
    <cellStyle name="SAPBEXHLevel2X 4 2 4 2 2" xfId="26982"/>
    <cellStyle name="SAPBEXHLevel2X 4 2 4 3" xfId="26983"/>
    <cellStyle name="SAPBEXHLevel2X 4 2 5" xfId="26984"/>
    <cellStyle name="SAPBEXHLevel2X 4 2 5 2" xfId="26985"/>
    <cellStyle name="SAPBEXHLevel2X 4 2 5 2 2" xfId="26986"/>
    <cellStyle name="SAPBEXHLevel2X 4 2 5 3" xfId="26987"/>
    <cellStyle name="SAPBEXHLevel2X 4 2 6" xfId="26988"/>
    <cellStyle name="SAPBEXHLevel2X 4 2 6 2" xfId="26989"/>
    <cellStyle name="SAPBEXHLevel2X 4 2 6 2 2" xfId="26990"/>
    <cellStyle name="SAPBEXHLevel2X 4 2 6 3" xfId="26991"/>
    <cellStyle name="SAPBEXHLevel2X 4 2 7" xfId="26992"/>
    <cellStyle name="SAPBEXHLevel2X 4 2 7 2" xfId="26993"/>
    <cellStyle name="SAPBEXHLevel2X 4 2 7 2 2" xfId="26994"/>
    <cellStyle name="SAPBEXHLevel2X 4 2 7 3" xfId="26995"/>
    <cellStyle name="SAPBEXHLevel2X 4 2 8" xfId="26996"/>
    <cellStyle name="SAPBEXHLevel2X 4 2 8 2" xfId="26997"/>
    <cellStyle name="SAPBEXHLevel2X 4 2 8 2 2" xfId="26998"/>
    <cellStyle name="SAPBEXHLevel2X 4 2 8 3" xfId="26999"/>
    <cellStyle name="SAPBEXHLevel2X 4 2 9" xfId="27000"/>
    <cellStyle name="SAPBEXHLevel2X 4 2 9 2" xfId="27001"/>
    <cellStyle name="SAPBEXHLevel2X 4 2 9 2 2" xfId="27002"/>
    <cellStyle name="SAPBEXHLevel2X 4 2 9 3" xfId="27003"/>
    <cellStyle name="SAPBEXHLevel2X 4 2_planning-WP" xfId="27004"/>
    <cellStyle name="SAPBEXHLevel2X 4 3" xfId="27005"/>
    <cellStyle name="SAPBEXHLevel2X 4 3 10" xfId="27006"/>
    <cellStyle name="SAPBEXHLevel2X 4 3 10 2" xfId="27007"/>
    <cellStyle name="SAPBEXHLevel2X 4 3 2" xfId="27008"/>
    <cellStyle name="SAPBEXHLevel2X 4 3 2 2" xfId="27009"/>
    <cellStyle name="SAPBEXHLevel2X 4 3 2 2 2" xfId="27010"/>
    <cellStyle name="SAPBEXHLevel2X 4 3 2 3" xfId="27011"/>
    <cellStyle name="SAPBEXHLevel2X 4 3 3" xfId="27012"/>
    <cellStyle name="SAPBEXHLevel2X 4 3 3 2" xfId="27013"/>
    <cellStyle name="SAPBEXHLevel2X 4 3 3 2 2" xfId="27014"/>
    <cellStyle name="SAPBEXHLevel2X 4 3 3 3" xfId="27015"/>
    <cellStyle name="SAPBEXHLevel2X 4 3 4" xfId="27016"/>
    <cellStyle name="SAPBEXHLevel2X 4 3 4 2" xfId="27017"/>
    <cellStyle name="SAPBEXHLevel2X 4 3 4 2 2" xfId="27018"/>
    <cellStyle name="SAPBEXHLevel2X 4 3 4 3" xfId="27019"/>
    <cellStyle name="SAPBEXHLevel2X 4 3 5" xfId="27020"/>
    <cellStyle name="SAPBEXHLevel2X 4 3 5 2" xfId="27021"/>
    <cellStyle name="SAPBEXHLevel2X 4 3 5 2 2" xfId="27022"/>
    <cellStyle name="SAPBEXHLevel2X 4 3 5 3" xfId="27023"/>
    <cellStyle name="SAPBEXHLevel2X 4 3 6" xfId="27024"/>
    <cellStyle name="SAPBEXHLevel2X 4 3 6 2" xfId="27025"/>
    <cellStyle name="SAPBEXHLevel2X 4 3 6 2 2" xfId="27026"/>
    <cellStyle name="SAPBEXHLevel2X 4 3 6 3" xfId="27027"/>
    <cellStyle name="SAPBEXHLevel2X 4 3 7" xfId="27028"/>
    <cellStyle name="SAPBEXHLevel2X 4 3 7 2" xfId="27029"/>
    <cellStyle name="SAPBEXHLevel2X 4 3 7 2 2" xfId="27030"/>
    <cellStyle name="SAPBEXHLevel2X 4 3 7 3" xfId="27031"/>
    <cellStyle name="SAPBEXHLevel2X 4 3 8" xfId="27032"/>
    <cellStyle name="SAPBEXHLevel2X 4 3 8 2" xfId="27033"/>
    <cellStyle name="SAPBEXHLevel2X 4 3 8 2 2" xfId="27034"/>
    <cellStyle name="SAPBEXHLevel2X 4 3 8 3" xfId="27035"/>
    <cellStyle name="SAPBEXHLevel2X 4 3 9" xfId="27036"/>
    <cellStyle name="SAPBEXHLevel2X 4 3 9 2" xfId="27037"/>
    <cellStyle name="SAPBEXHLevel2X 4 3 9 2 2" xfId="27038"/>
    <cellStyle name="SAPBEXHLevel2X 4 3 9 3" xfId="27039"/>
    <cellStyle name="SAPBEXHLevel2X 4 3_planning-WP" xfId="27040"/>
    <cellStyle name="SAPBEXHLevel2X 4 4" xfId="27041"/>
    <cellStyle name="SAPBEXHLevel2X 4 4 2" xfId="27042"/>
    <cellStyle name="SAPBEXHLevel2X 4 4 2 2" xfId="27043"/>
    <cellStyle name="SAPBEXHLevel2X 4 4 2 2 2" xfId="27044"/>
    <cellStyle name="SAPBEXHLevel2X 4 4 2 3" xfId="27045"/>
    <cellStyle name="SAPBEXHLevel2X 4 4 3" xfId="27046"/>
    <cellStyle name="SAPBEXHLevel2X 4 4 3 2" xfId="27047"/>
    <cellStyle name="SAPBEXHLevel2X 4 4 3 2 2" xfId="27048"/>
    <cellStyle name="SAPBEXHLevel2X 4 4 3 3" xfId="27049"/>
    <cellStyle name="SAPBEXHLevel2X 4 4 4" xfId="27050"/>
    <cellStyle name="SAPBEXHLevel2X 4 4 4 2" xfId="27051"/>
    <cellStyle name="SAPBEXHLevel2X 4 4 4 2 2" xfId="27052"/>
    <cellStyle name="SAPBEXHLevel2X 4 4 4 3" xfId="27053"/>
    <cellStyle name="SAPBEXHLevel2X 4 4 5" xfId="27054"/>
    <cellStyle name="SAPBEXHLevel2X 4 4 5 2" xfId="27055"/>
    <cellStyle name="SAPBEXHLevel2X 4 4 5 2 2" xfId="27056"/>
    <cellStyle name="SAPBEXHLevel2X 4 4 5 3" xfId="27057"/>
    <cellStyle name="SAPBEXHLevel2X 4 4 6" xfId="27058"/>
    <cellStyle name="SAPBEXHLevel2X 4 4 6 2" xfId="27059"/>
    <cellStyle name="SAPBEXHLevel2X 4 4 6 2 2" xfId="27060"/>
    <cellStyle name="SAPBEXHLevel2X 4 4 6 3" xfId="27061"/>
    <cellStyle name="SAPBEXHLevel2X 4 4 7" xfId="27062"/>
    <cellStyle name="SAPBEXHLevel2X 4 4 7 2" xfId="27063"/>
    <cellStyle name="SAPBEXHLevel2X 4 4 7 2 2" xfId="27064"/>
    <cellStyle name="SAPBEXHLevel2X 4 4 7 3" xfId="27065"/>
    <cellStyle name="SAPBEXHLevel2X 4 4 8" xfId="27066"/>
    <cellStyle name="SAPBEXHLevel2X 4 4 8 2" xfId="27067"/>
    <cellStyle name="SAPBEXHLevel2X 4 4 8 2 2" xfId="27068"/>
    <cellStyle name="SAPBEXHLevel2X 4 4 8 3" xfId="27069"/>
    <cellStyle name="SAPBEXHLevel2X 4 4 9" xfId="27070"/>
    <cellStyle name="SAPBEXHLevel2X 4 4 9 2" xfId="27071"/>
    <cellStyle name="SAPBEXHLevel2X 4 4_planning-WP" xfId="27072"/>
    <cellStyle name="SAPBEXHLevel2X 4 5" xfId="27073"/>
    <cellStyle name="SAPBEXHLevel2X 4 5 2" xfId="27074"/>
    <cellStyle name="SAPBEXHLevel2X 4 5 2 2" xfId="27075"/>
    <cellStyle name="SAPBEXHLevel2X 4 6" xfId="27076"/>
    <cellStyle name="SAPBEXHLevel2X 4 6 2" xfId="27077"/>
    <cellStyle name="SAPBEXHLevel2X 4 6 2 2" xfId="27078"/>
    <cellStyle name="SAPBEXHLevel2X 4 6 3" xfId="27079"/>
    <cellStyle name="SAPBEXHLevel2X 4 7" xfId="27080"/>
    <cellStyle name="SAPBEXHLevel2X 4 7 2" xfId="27081"/>
    <cellStyle name="SAPBEXHLevel2X 4 7 2 2" xfId="27082"/>
    <cellStyle name="SAPBEXHLevel2X 4 7 3" xfId="27083"/>
    <cellStyle name="SAPBEXHLevel2X 4 8" xfId="27084"/>
    <cellStyle name="SAPBEXHLevel2X 4 8 2" xfId="27085"/>
    <cellStyle name="SAPBEXHLevel2X 4 8 2 2" xfId="27086"/>
    <cellStyle name="SAPBEXHLevel2X 4 8 3" xfId="27087"/>
    <cellStyle name="SAPBEXHLevel2X 4 9" xfId="27088"/>
    <cellStyle name="SAPBEXHLevel2X 4 9 2" xfId="27089"/>
    <cellStyle name="SAPBEXHLevel2X 4 9 2 2" xfId="27090"/>
    <cellStyle name="SAPBEXHLevel2X 4 9 3" xfId="27091"/>
    <cellStyle name="SAPBEXHLevel2X 4_planning-WP" xfId="27092"/>
    <cellStyle name="SAPBEXHLevel2X 5" xfId="27093"/>
    <cellStyle name="SAPBEXHLevel2X 5 10" xfId="27094"/>
    <cellStyle name="SAPBEXHLevel2X 5 10 2" xfId="27095"/>
    <cellStyle name="SAPBEXHLevel2X 5 10 2 2" xfId="27096"/>
    <cellStyle name="SAPBEXHLevel2X 5 10 3" xfId="27097"/>
    <cellStyle name="SAPBEXHLevel2X 5 11" xfId="27098"/>
    <cellStyle name="SAPBEXHLevel2X 5 11 2" xfId="27099"/>
    <cellStyle name="SAPBEXHLevel2X 5 11 2 2" xfId="27100"/>
    <cellStyle name="SAPBEXHLevel2X 5 11 3" xfId="27101"/>
    <cellStyle name="SAPBEXHLevel2X 5 12" xfId="27102"/>
    <cellStyle name="SAPBEXHLevel2X 5 12 2" xfId="27103"/>
    <cellStyle name="SAPBEXHLevel2X 5 12 2 2" xfId="27104"/>
    <cellStyle name="SAPBEXHLevel2X 5 12 3" xfId="27105"/>
    <cellStyle name="SAPBEXHLevel2X 5 13" xfId="27106"/>
    <cellStyle name="SAPBEXHLevel2X 5 14" xfId="39070"/>
    <cellStyle name="SAPBEXHLevel2X 5 15" xfId="39455"/>
    <cellStyle name="SAPBEXHLevel2X 5 2" xfId="27107"/>
    <cellStyle name="SAPBEXHLevel2X 5 2 10" xfId="27108"/>
    <cellStyle name="SAPBEXHLevel2X 5 2 10 2" xfId="27109"/>
    <cellStyle name="SAPBEXHLevel2X 5 2 10 2 2" xfId="27110"/>
    <cellStyle name="SAPBEXHLevel2X 5 2 10 3" xfId="27111"/>
    <cellStyle name="SAPBEXHLevel2X 5 2 11" xfId="27112"/>
    <cellStyle name="SAPBEXHLevel2X 5 2 11 2" xfId="27113"/>
    <cellStyle name="SAPBEXHLevel2X 5 2 2" xfId="27114"/>
    <cellStyle name="SAPBEXHLevel2X 5 2 2 10" xfId="27115"/>
    <cellStyle name="SAPBEXHLevel2X 5 2 2 10 2" xfId="27116"/>
    <cellStyle name="SAPBEXHLevel2X 5 2 2 2" xfId="27117"/>
    <cellStyle name="SAPBEXHLevel2X 5 2 2 2 2" xfId="27118"/>
    <cellStyle name="SAPBEXHLevel2X 5 2 2 2 2 2" xfId="27119"/>
    <cellStyle name="SAPBEXHLevel2X 5 2 2 2 3" xfId="27120"/>
    <cellStyle name="SAPBEXHLevel2X 5 2 2 3" xfId="27121"/>
    <cellStyle name="SAPBEXHLevel2X 5 2 2 3 2" xfId="27122"/>
    <cellStyle name="SAPBEXHLevel2X 5 2 2 3 2 2" xfId="27123"/>
    <cellStyle name="SAPBEXHLevel2X 5 2 2 3 3" xfId="27124"/>
    <cellStyle name="SAPBEXHLevel2X 5 2 2 4" xfId="27125"/>
    <cellStyle name="SAPBEXHLevel2X 5 2 2 4 2" xfId="27126"/>
    <cellStyle name="SAPBEXHLevel2X 5 2 2 4 2 2" xfId="27127"/>
    <cellStyle name="SAPBEXHLevel2X 5 2 2 4 3" xfId="27128"/>
    <cellStyle name="SAPBEXHLevel2X 5 2 2 5" xfId="27129"/>
    <cellStyle name="SAPBEXHLevel2X 5 2 2 5 2" xfId="27130"/>
    <cellStyle name="SAPBEXHLevel2X 5 2 2 5 2 2" xfId="27131"/>
    <cellStyle name="SAPBEXHLevel2X 5 2 2 5 3" xfId="27132"/>
    <cellStyle name="SAPBEXHLevel2X 5 2 2 6" xfId="27133"/>
    <cellStyle name="SAPBEXHLevel2X 5 2 2 6 2" xfId="27134"/>
    <cellStyle name="SAPBEXHLevel2X 5 2 2 6 2 2" xfId="27135"/>
    <cellStyle name="SAPBEXHLevel2X 5 2 2 6 3" xfId="27136"/>
    <cellStyle name="SAPBEXHLevel2X 5 2 2 7" xfId="27137"/>
    <cellStyle name="SAPBEXHLevel2X 5 2 2 7 2" xfId="27138"/>
    <cellStyle name="SAPBEXHLevel2X 5 2 2 7 2 2" xfId="27139"/>
    <cellStyle name="SAPBEXHLevel2X 5 2 2 7 3" xfId="27140"/>
    <cellStyle name="SAPBEXHLevel2X 5 2 2 8" xfId="27141"/>
    <cellStyle name="SAPBEXHLevel2X 5 2 2 8 2" xfId="27142"/>
    <cellStyle name="SAPBEXHLevel2X 5 2 2 8 2 2" xfId="27143"/>
    <cellStyle name="SAPBEXHLevel2X 5 2 2 8 3" xfId="27144"/>
    <cellStyle name="SAPBEXHLevel2X 5 2 2 9" xfId="27145"/>
    <cellStyle name="SAPBEXHLevel2X 5 2 2 9 2" xfId="27146"/>
    <cellStyle name="SAPBEXHLevel2X 5 2 2 9 2 2" xfId="27147"/>
    <cellStyle name="SAPBEXHLevel2X 5 2 2 9 3" xfId="27148"/>
    <cellStyle name="SAPBEXHLevel2X 5 2 2_planning-WP" xfId="27149"/>
    <cellStyle name="SAPBEXHLevel2X 5 2 3" xfId="27150"/>
    <cellStyle name="SAPBEXHLevel2X 5 2 3 2" xfId="27151"/>
    <cellStyle name="SAPBEXHLevel2X 5 2 3 2 2" xfId="27152"/>
    <cellStyle name="SAPBEXHLevel2X 5 2 3 3" xfId="27153"/>
    <cellStyle name="SAPBEXHLevel2X 5 2 4" xfId="27154"/>
    <cellStyle name="SAPBEXHLevel2X 5 2 4 2" xfId="27155"/>
    <cellStyle name="SAPBEXHLevel2X 5 2 4 2 2" xfId="27156"/>
    <cellStyle name="SAPBEXHLevel2X 5 2 4 3" xfId="27157"/>
    <cellStyle name="SAPBEXHLevel2X 5 2 5" xfId="27158"/>
    <cellStyle name="SAPBEXHLevel2X 5 2 5 2" xfId="27159"/>
    <cellStyle name="SAPBEXHLevel2X 5 2 5 2 2" xfId="27160"/>
    <cellStyle name="SAPBEXHLevel2X 5 2 5 3" xfId="27161"/>
    <cellStyle name="SAPBEXHLevel2X 5 2 6" xfId="27162"/>
    <cellStyle name="SAPBEXHLevel2X 5 2 6 2" xfId="27163"/>
    <cellStyle name="SAPBEXHLevel2X 5 2 6 2 2" xfId="27164"/>
    <cellStyle name="SAPBEXHLevel2X 5 2 6 3" xfId="27165"/>
    <cellStyle name="SAPBEXHLevel2X 5 2 7" xfId="27166"/>
    <cellStyle name="SAPBEXHLevel2X 5 2 7 2" xfId="27167"/>
    <cellStyle name="SAPBEXHLevel2X 5 2 7 2 2" xfId="27168"/>
    <cellStyle name="SAPBEXHLevel2X 5 2 7 3" xfId="27169"/>
    <cellStyle name="SAPBEXHLevel2X 5 2 8" xfId="27170"/>
    <cellStyle name="SAPBEXHLevel2X 5 2 8 2" xfId="27171"/>
    <cellStyle name="SAPBEXHLevel2X 5 2 8 2 2" xfId="27172"/>
    <cellStyle name="SAPBEXHLevel2X 5 2 8 3" xfId="27173"/>
    <cellStyle name="SAPBEXHLevel2X 5 2 9" xfId="27174"/>
    <cellStyle name="SAPBEXHLevel2X 5 2 9 2" xfId="27175"/>
    <cellStyle name="SAPBEXHLevel2X 5 2 9 2 2" xfId="27176"/>
    <cellStyle name="SAPBEXHLevel2X 5 2 9 3" xfId="27177"/>
    <cellStyle name="SAPBEXHLevel2X 5 2_planning-WP" xfId="27178"/>
    <cellStyle name="SAPBEXHLevel2X 5 3" xfId="27179"/>
    <cellStyle name="SAPBEXHLevel2X 5 3 10" xfId="27180"/>
    <cellStyle name="SAPBEXHLevel2X 5 3 10 2" xfId="27181"/>
    <cellStyle name="SAPBEXHLevel2X 5 3 2" xfId="27182"/>
    <cellStyle name="SAPBEXHLevel2X 5 3 2 2" xfId="27183"/>
    <cellStyle name="SAPBEXHLevel2X 5 3 2 2 2" xfId="27184"/>
    <cellStyle name="SAPBEXHLevel2X 5 3 2 3" xfId="27185"/>
    <cellStyle name="SAPBEXHLevel2X 5 3 3" xfId="27186"/>
    <cellStyle name="SAPBEXHLevel2X 5 3 3 2" xfId="27187"/>
    <cellStyle name="SAPBEXHLevel2X 5 3 3 2 2" xfId="27188"/>
    <cellStyle name="SAPBEXHLevel2X 5 3 3 3" xfId="27189"/>
    <cellStyle name="SAPBEXHLevel2X 5 3 4" xfId="27190"/>
    <cellStyle name="SAPBEXHLevel2X 5 3 4 2" xfId="27191"/>
    <cellStyle name="SAPBEXHLevel2X 5 3 4 2 2" xfId="27192"/>
    <cellStyle name="SAPBEXHLevel2X 5 3 4 3" xfId="27193"/>
    <cellStyle name="SAPBEXHLevel2X 5 3 5" xfId="27194"/>
    <cellStyle name="SAPBEXHLevel2X 5 3 5 2" xfId="27195"/>
    <cellStyle name="SAPBEXHLevel2X 5 3 5 2 2" xfId="27196"/>
    <cellStyle name="SAPBEXHLevel2X 5 3 5 3" xfId="27197"/>
    <cellStyle name="SAPBEXHLevel2X 5 3 6" xfId="27198"/>
    <cellStyle name="SAPBEXHLevel2X 5 3 6 2" xfId="27199"/>
    <cellStyle name="SAPBEXHLevel2X 5 3 6 2 2" xfId="27200"/>
    <cellStyle name="SAPBEXHLevel2X 5 3 6 3" xfId="27201"/>
    <cellStyle name="SAPBEXHLevel2X 5 3 7" xfId="27202"/>
    <cellStyle name="SAPBEXHLevel2X 5 3 7 2" xfId="27203"/>
    <cellStyle name="SAPBEXHLevel2X 5 3 7 2 2" xfId="27204"/>
    <cellStyle name="SAPBEXHLevel2X 5 3 7 3" xfId="27205"/>
    <cellStyle name="SAPBEXHLevel2X 5 3 8" xfId="27206"/>
    <cellStyle name="SAPBEXHLevel2X 5 3 8 2" xfId="27207"/>
    <cellStyle name="SAPBEXHLevel2X 5 3 8 2 2" xfId="27208"/>
    <cellStyle name="SAPBEXHLevel2X 5 3 8 3" xfId="27209"/>
    <cellStyle name="SAPBEXHLevel2X 5 3 9" xfId="27210"/>
    <cellStyle name="SAPBEXHLevel2X 5 3 9 2" xfId="27211"/>
    <cellStyle name="SAPBEXHLevel2X 5 3 9 2 2" xfId="27212"/>
    <cellStyle name="SAPBEXHLevel2X 5 3 9 3" xfId="27213"/>
    <cellStyle name="SAPBEXHLevel2X 5 3_planning-WP" xfId="27214"/>
    <cellStyle name="SAPBEXHLevel2X 5 4" xfId="27215"/>
    <cellStyle name="SAPBEXHLevel2X 5 4 2" xfId="27216"/>
    <cellStyle name="SAPBEXHLevel2X 5 4 2 2" xfId="27217"/>
    <cellStyle name="SAPBEXHLevel2X 5 4 2 2 2" xfId="27218"/>
    <cellStyle name="SAPBEXHLevel2X 5 4 2 3" xfId="27219"/>
    <cellStyle name="SAPBEXHLevel2X 5 4 3" xfId="27220"/>
    <cellStyle name="SAPBEXHLevel2X 5 4 3 2" xfId="27221"/>
    <cellStyle name="SAPBEXHLevel2X 5 4 3 2 2" xfId="27222"/>
    <cellStyle name="SAPBEXHLevel2X 5 4 3 3" xfId="27223"/>
    <cellStyle name="SAPBEXHLevel2X 5 4 4" xfId="27224"/>
    <cellStyle name="SAPBEXHLevel2X 5 4 4 2" xfId="27225"/>
    <cellStyle name="SAPBEXHLevel2X 5 4 4 2 2" xfId="27226"/>
    <cellStyle name="SAPBEXHLevel2X 5 4 4 3" xfId="27227"/>
    <cellStyle name="SAPBEXHLevel2X 5 4 5" xfId="27228"/>
    <cellStyle name="SAPBEXHLevel2X 5 4 5 2" xfId="27229"/>
    <cellStyle name="SAPBEXHLevel2X 5 4 5 2 2" xfId="27230"/>
    <cellStyle name="SAPBEXHLevel2X 5 4 5 3" xfId="27231"/>
    <cellStyle name="SAPBEXHLevel2X 5 4 6" xfId="27232"/>
    <cellStyle name="SAPBEXHLevel2X 5 4 6 2" xfId="27233"/>
    <cellStyle name="SAPBEXHLevel2X 5 4 6 2 2" xfId="27234"/>
    <cellStyle name="SAPBEXHLevel2X 5 4 6 3" xfId="27235"/>
    <cellStyle name="SAPBEXHLevel2X 5 4 7" xfId="27236"/>
    <cellStyle name="SAPBEXHLevel2X 5 4 7 2" xfId="27237"/>
    <cellStyle name="SAPBEXHLevel2X 5 4 7 2 2" xfId="27238"/>
    <cellStyle name="SAPBEXHLevel2X 5 4 7 3" xfId="27239"/>
    <cellStyle name="SAPBEXHLevel2X 5 4 8" xfId="27240"/>
    <cellStyle name="SAPBEXHLevel2X 5 4 8 2" xfId="27241"/>
    <cellStyle name="SAPBEXHLevel2X 5 4 8 2 2" xfId="27242"/>
    <cellStyle name="SAPBEXHLevel2X 5 4 8 3" xfId="27243"/>
    <cellStyle name="SAPBEXHLevel2X 5 4 9" xfId="27244"/>
    <cellStyle name="SAPBEXHLevel2X 5 4 9 2" xfId="27245"/>
    <cellStyle name="SAPBEXHLevel2X 5 4_planning-WP" xfId="27246"/>
    <cellStyle name="SAPBEXHLevel2X 5 5" xfId="27247"/>
    <cellStyle name="SAPBEXHLevel2X 5 5 2" xfId="27248"/>
    <cellStyle name="SAPBEXHLevel2X 5 5 2 2" xfId="27249"/>
    <cellStyle name="SAPBEXHLevel2X 5 6" xfId="27250"/>
    <cellStyle name="SAPBEXHLevel2X 5 6 2" xfId="27251"/>
    <cellStyle name="SAPBEXHLevel2X 5 6 2 2" xfId="27252"/>
    <cellStyle name="SAPBEXHLevel2X 5 6 3" xfId="27253"/>
    <cellStyle name="SAPBEXHLevel2X 5 7" xfId="27254"/>
    <cellStyle name="SAPBEXHLevel2X 5 7 2" xfId="27255"/>
    <cellStyle name="SAPBEXHLevel2X 5 7 2 2" xfId="27256"/>
    <cellStyle name="SAPBEXHLevel2X 5 7 3" xfId="27257"/>
    <cellStyle name="SAPBEXHLevel2X 5 8" xfId="27258"/>
    <cellStyle name="SAPBEXHLevel2X 5 8 2" xfId="27259"/>
    <cellStyle name="SAPBEXHLevel2X 5 8 2 2" xfId="27260"/>
    <cellStyle name="SAPBEXHLevel2X 5 8 3" xfId="27261"/>
    <cellStyle name="SAPBEXHLevel2X 5 9" xfId="27262"/>
    <cellStyle name="SAPBEXHLevel2X 5 9 2" xfId="27263"/>
    <cellStyle name="SAPBEXHLevel2X 5 9 2 2" xfId="27264"/>
    <cellStyle name="SAPBEXHLevel2X 5 9 3" xfId="27265"/>
    <cellStyle name="SAPBEXHLevel2X 5_planning-WP" xfId="27266"/>
    <cellStyle name="SAPBEXHLevel2X 6" xfId="27267"/>
    <cellStyle name="SAPBEXHLevel2X 6 10" xfId="27268"/>
    <cellStyle name="SAPBEXHLevel2X 6 10 2" xfId="27269"/>
    <cellStyle name="SAPBEXHLevel2X 6 10 2 2" xfId="27270"/>
    <cellStyle name="SAPBEXHLevel2X 6 10 3" xfId="27271"/>
    <cellStyle name="SAPBEXHLevel2X 6 11" xfId="27272"/>
    <cellStyle name="SAPBEXHLevel2X 6 11 2" xfId="27273"/>
    <cellStyle name="SAPBEXHLevel2X 6 11 2 2" xfId="27274"/>
    <cellStyle name="SAPBEXHLevel2X 6 11 3" xfId="27275"/>
    <cellStyle name="SAPBEXHLevel2X 6 12" xfId="27276"/>
    <cellStyle name="SAPBEXHLevel2X 6 13" xfId="39071"/>
    <cellStyle name="SAPBEXHLevel2X 6 14" xfId="39456"/>
    <cellStyle name="SAPBEXHLevel2X 6 2" xfId="27277"/>
    <cellStyle name="SAPBEXHLevel2X 6 2 10" xfId="27278"/>
    <cellStyle name="SAPBEXHLevel2X 6 2 10 2" xfId="27279"/>
    <cellStyle name="SAPBEXHLevel2X 6 2 2" xfId="27280"/>
    <cellStyle name="SAPBEXHLevel2X 6 2 2 2" xfId="27281"/>
    <cellStyle name="SAPBEXHLevel2X 6 2 2 2 2" xfId="27282"/>
    <cellStyle name="SAPBEXHLevel2X 6 2 2 3" xfId="27283"/>
    <cellStyle name="SAPBEXHLevel2X 6 2 3" xfId="27284"/>
    <cellStyle name="SAPBEXHLevel2X 6 2 3 2" xfId="27285"/>
    <cellStyle name="SAPBEXHLevel2X 6 2 3 2 2" xfId="27286"/>
    <cellStyle name="SAPBEXHLevel2X 6 2 3 3" xfId="27287"/>
    <cellStyle name="SAPBEXHLevel2X 6 2 4" xfId="27288"/>
    <cellStyle name="SAPBEXHLevel2X 6 2 4 2" xfId="27289"/>
    <cellStyle name="SAPBEXHLevel2X 6 2 4 2 2" xfId="27290"/>
    <cellStyle name="SAPBEXHLevel2X 6 2 4 3" xfId="27291"/>
    <cellStyle name="SAPBEXHLevel2X 6 2 5" xfId="27292"/>
    <cellStyle name="SAPBEXHLevel2X 6 2 5 2" xfId="27293"/>
    <cellStyle name="SAPBEXHLevel2X 6 2 5 2 2" xfId="27294"/>
    <cellStyle name="SAPBEXHLevel2X 6 2 5 3" xfId="27295"/>
    <cellStyle name="SAPBEXHLevel2X 6 2 6" xfId="27296"/>
    <cellStyle name="SAPBEXHLevel2X 6 2 6 2" xfId="27297"/>
    <cellStyle name="SAPBEXHLevel2X 6 2 6 2 2" xfId="27298"/>
    <cellStyle name="SAPBEXHLevel2X 6 2 6 3" xfId="27299"/>
    <cellStyle name="SAPBEXHLevel2X 6 2 7" xfId="27300"/>
    <cellStyle name="SAPBEXHLevel2X 6 2 7 2" xfId="27301"/>
    <cellStyle name="SAPBEXHLevel2X 6 2 7 2 2" xfId="27302"/>
    <cellStyle name="SAPBEXHLevel2X 6 2 7 3" xfId="27303"/>
    <cellStyle name="SAPBEXHLevel2X 6 2 8" xfId="27304"/>
    <cellStyle name="SAPBEXHLevel2X 6 2 8 2" xfId="27305"/>
    <cellStyle name="SAPBEXHLevel2X 6 2 8 2 2" xfId="27306"/>
    <cellStyle name="SAPBEXHLevel2X 6 2 8 3" xfId="27307"/>
    <cellStyle name="SAPBEXHLevel2X 6 2 9" xfId="27308"/>
    <cellStyle name="SAPBEXHLevel2X 6 2 9 2" xfId="27309"/>
    <cellStyle name="SAPBEXHLevel2X 6 2 9 2 2" xfId="27310"/>
    <cellStyle name="SAPBEXHLevel2X 6 2 9 3" xfId="27311"/>
    <cellStyle name="SAPBEXHLevel2X 6 2_planning-WP" xfId="27312"/>
    <cellStyle name="SAPBEXHLevel2X 6 3" xfId="27313"/>
    <cellStyle name="SAPBEXHLevel2X 6 3 2" xfId="27314"/>
    <cellStyle name="SAPBEXHLevel2X 6 3 2 2" xfId="27315"/>
    <cellStyle name="SAPBEXHLevel2X 6 3 2 2 2" xfId="27316"/>
    <cellStyle name="SAPBEXHLevel2X 6 3 2 3" xfId="27317"/>
    <cellStyle name="SAPBEXHLevel2X 6 3 3" xfId="27318"/>
    <cellStyle name="SAPBEXHLevel2X 6 3 3 2" xfId="27319"/>
    <cellStyle name="SAPBEXHLevel2X 6 3 3 2 2" xfId="27320"/>
    <cellStyle name="SAPBEXHLevel2X 6 3 3 3" xfId="27321"/>
    <cellStyle name="SAPBEXHLevel2X 6 3 4" xfId="27322"/>
    <cellStyle name="SAPBEXHLevel2X 6 3 4 2" xfId="27323"/>
    <cellStyle name="SAPBEXHLevel2X 6 3 4 2 2" xfId="27324"/>
    <cellStyle name="SAPBEXHLevel2X 6 3 4 3" xfId="27325"/>
    <cellStyle name="SAPBEXHLevel2X 6 3 5" xfId="27326"/>
    <cellStyle name="SAPBEXHLevel2X 6 3 5 2" xfId="27327"/>
    <cellStyle name="SAPBEXHLevel2X 6 3 5 2 2" xfId="27328"/>
    <cellStyle name="SAPBEXHLevel2X 6 3 5 3" xfId="27329"/>
    <cellStyle name="SAPBEXHLevel2X 6 3 6" xfId="27330"/>
    <cellStyle name="SAPBEXHLevel2X 6 3 6 2" xfId="27331"/>
    <cellStyle name="SAPBEXHLevel2X 6 3 6 2 2" xfId="27332"/>
    <cellStyle name="SAPBEXHLevel2X 6 3 6 3" xfId="27333"/>
    <cellStyle name="SAPBEXHLevel2X 6 3 7" xfId="27334"/>
    <cellStyle name="SAPBEXHLevel2X 6 3 7 2" xfId="27335"/>
    <cellStyle name="SAPBEXHLevel2X 6 3 7 2 2" xfId="27336"/>
    <cellStyle name="SAPBEXHLevel2X 6 3 7 3" xfId="27337"/>
    <cellStyle name="SAPBEXHLevel2X 6 3 8" xfId="27338"/>
    <cellStyle name="SAPBEXHLevel2X 6 3 8 2" xfId="27339"/>
    <cellStyle name="SAPBEXHLevel2X 6 3 8 2 2" xfId="27340"/>
    <cellStyle name="SAPBEXHLevel2X 6 3 8 3" xfId="27341"/>
    <cellStyle name="SAPBEXHLevel2X 6 3 9" xfId="27342"/>
    <cellStyle name="SAPBEXHLevel2X 6 3 9 2" xfId="27343"/>
    <cellStyle name="SAPBEXHLevel2X 6 3_planning-WP" xfId="27344"/>
    <cellStyle name="SAPBEXHLevel2X 6 4" xfId="27345"/>
    <cellStyle name="SAPBEXHLevel2X 6 4 2" xfId="27346"/>
    <cellStyle name="SAPBEXHLevel2X 6 4 2 2" xfId="27347"/>
    <cellStyle name="SAPBEXHLevel2X 6 5" xfId="27348"/>
    <cellStyle name="SAPBEXHLevel2X 6 5 2" xfId="27349"/>
    <cellStyle name="SAPBEXHLevel2X 6 5 2 2" xfId="27350"/>
    <cellStyle name="SAPBEXHLevel2X 6 5 3" xfId="27351"/>
    <cellStyle name="SAPBEXHLevel2X 6 6" xfId="27352"/>
    <cellStyle name="SAPBEXHLevel2X 6 6 2" xfId="27353"/>
    <cellStyle name="SAPBEXHLevel2X 6 6 2 2" xfId="27354"/>
    <cellStyle name="SAPBEXHLevel2X 6 6 3" xfId="27355"/>
    <cellStyle name="SAPBEXHLevel2X 6 7" xfId="27356"/>
    <cellStyle name="SAPBEXHLevel2X 6 7 2" xfId="27357"/>
    <cellStyle name="SAPBEXHLevel2X 6 7 2 2" xfId="27358"/>
    <cellStyle name="SAPBEXHLevel2X 6 7 3" xfId="27359"/>
    <cellStyle name="SAPBEXHLevel2X 6 8" xfId="27360"/>
    <cellStyle name="SAPBEXHLevel2X 6 8 2" xfId="27361"/>
    <cellStyle name="SAPBEXHLevel2X 6 8 2 2" xfId="27362"/>
    <cellStyle name="SAPBEXHLevel2X 6 8 3" xfId="27363"/>
    <cellStyle name="SAPBEXHLevel2X 6 9" xfId="27364"/>
    <cellStyle name="SAPBEXHLevel2X 6 9 2" xfId="27365"/>
    <cellStyle name="SAPBEXHLevel2X 6 9 2 2" xfId="27366"/>
    <cellStyle name="SAPBEXHLevel2X 6 9 3" xfId="27367"/>
    <cellStyle name="SAPBEXHLevel2X 6_planning-WP" xfId="27368"/>
    <cellStyle name="SAPBEXHLevel2X 7" xfId="27369"/>
    <cellStyle name="SAPBEXHLevel2X 7 10" xfId="27370"/>
    <cellStyle name="SAPBEXHLevel2X 7 10 2" xfId="27371"/>
    <cellStyle name="SAPBEXHLevel2X 7 10 2 2" xfId="27372"/>
    <cellStyle name="SAPBEXHLevel2X 7 10 3" xfId="27373"/>
    <cellStyle name="SAPBEXHLevel2X 7 11" xfId="27374"/>
    <cellStyle name="SAPBEXHLevel2X 7 11 2" xfId="27375"/>
    <cellStyle name="SAPBEXHLevel2X 7 12" xfId="39072"/>
    <cellStyle name="SAPBEXHLevel2X 7 13" xfId="39457"/>
    <cellStyle name="SAPBEXHLevel2X 7 2" xfId="27376"/>
    <cellStyle name="SAPBEXHLevel2X 7 2 10" xfId="27377"/>
    <cellStyle name="SAPBEXHLevel2X 7 2 10 2" xfId="27378"/>
    <cellStyle name="SAPBEXHLevel2X 7 2 2" xfId="27379"/>
    <cellStyle name="SAPBEXHLevel2X 7 2 2 2" xfId="27380"/>
    <cellStyle name="SAPBEXHLevel2X 7 2 2 2 2" xfId="27381"/>
    <cellStyle name="SAPBEXHLevel2X 7 2 2 3" xfId="27382"/>
    <cellStyle name="SAPBEXHLevel2X 7 2 3" xfId="27383"/>
    <cellStyle name="SAPBEXHLevel2X 7 2 3 2" xfId="27384"/>
    <cellStyle name="SAPBEXHLevel2X 7 2 3 2 2" xfId="27385"/>
    <cellStyle name="SAPBEXHLevel2X 7 2 3 3" xfId="27386"/>
    <cellStyle name="SAPBEXHLevel2X 7 2 4" xfId="27387"/>
    <cellStyle name="SAPBEXHLevel2X 7 2 4 2" xfId="27388"/>
    <cellStyle name="SAPBEXHLevel2X 7 2 4 2 2" xfId="27389"/>
    <cellStyle name="SAPBEXHLevel2X 7 2 4 3" xfId="27390"/>
    <cellStyle name="SAPBEXHLevel2X 7 2 5" xfId="27391"/>
    <cellStyle name="SAPBEXHLevel2X 7 2 5 2" xfId="27392"/>
    <cellStyle name="SAPBEXHLevel2X 7 2 5 2 2" xfId="27393"/>
    <cellStyle name="SAPBEXHLevel2X 7 2 5 3" xfId="27394"/>
    <cellStyle name="SAPBEXHLevel2X 7 2 6" xfId="27395"/>
    <cellStyle name="SAPBEXHLevel2X 7 2 6 2" xfId="27396"/>
    <cellStyle name="SAPBEXHLevel2X 7 2 6 2 2" xfId="27397"/>
    <cellStyle name="SAPBEXHLevel2X 7 2 6 3" xfId="27398"/>
    <cellStyle name="SAPBEXHLevel2X 7 2 7" xfId="27399"/>
    <cellStyle name="SAPBEXHLevel2X 7 2 7 2" xfId="27400"/>
    <cellStyle name="SAPBEXHLevel2X 7 2 7 2 2" xfId="27401"/>
    <cellStyle name="SAPBEXHLevel2X 7 2 7 3" xfId="27402"/>
    <cellStyle name="SAPBEXHLevel2X 7 2 8" xfId="27403"/>
    <cellStyle name="SAPBEXHLevel2X 7 2 8 2" xfId="27404"/>
    <cellStyle name="SAPBEXHLevel2X 7 2 8 2 2" xfId="27405"/>
    <cellStyle name="SAPBEXHLevel2X 7 2 8 3" xfId="27406"/>
    <cellStyle name="SAPBEXHLevel2X 7 2 9" xfId="27407"/>
    <cellStyle name="SAPBEXHLevel2X 7 2 9 2" xfId="27408"/>
    <cellStyle name="SAPBEXHLevel2X 7 2 9 2 2" xfId="27409"/>
    <cellStyle name="SAPBEXHLevel2X 7 2 9 3" xfId="27410"/>
    <cellStyle name="SAPBEXHLevel2X 7 2_planning-WP" xfId="27411"/>
    <cellStyle name="SAPBEXHLevel2X 7 3" xfId="27412"/>
    <cellStyle name="SAPBEXHLevel2X 7 3 2" xfId="27413"/>
    <cellStyle name="SAPBEXHLevel2X 7 3 2 2" xfId="27414"/>
    <cellStyle name="SAPBEXHLevel2X 7 3 3" xfId="27415"/>
    <cellStyle name="SAPBEXHLevel2X 7 4" xfId="27416"/>
    <cellStyle name="SAPBEXHLevel2X 7 4 2" xfId="27417"/>
    <cellStyle name="SAPBEXHLevel2X 7 4 2 2" xfId="27418"/>
    <cellStyle name="SAPBEXHLevel2X 7 4 3" xfId="27419"/>
    <cellStyle name="SAPBEXHLevel2X 7 5" xfId="27420"/>
    <cellStyle name="SAPBEXHLevel2X 7 5 2" xfId="27421"/>
    <cellStyle name="SAPBEXHLevel2X 7 5 2 2" xfId="27422"/>
    <cellStyle name="SAPBEXHLevel2X 7 5 3" xfId="27423"/>
    <cellStyle name="SAPBEXHLevel2X 7 6" xfId="27424"/>
    <cellStyle name="SAPBEXHLevel2X 7 6 2" xfId="27425"/>
    <cellStyle name="SAPBEXHLevel2X 7 6 2 2" xfId="27426"/>
    <cellStyle name="SAPBEXHLevel2X 7 6 3" xfId="27427"/>
    <cellStyle name="SAPBEXHLevel2X 7 7" xfId="27428"/>
    <cellStyle name="SAPBEXHLevel2X 7 7 2" xfId="27429"/>
    <cellStyle name="SAPBEXHLevel2X 7 7 2 2" xfId="27430"/>
    <cellStyle name="SAPBEXHLevel2X 7 7 3" xfId="27431"/>
    <cellStyle name="SAPBEXHLevel2X 7 8" xfId="27432"/>
    <cellStyle name="SAPBEXHLevel2X 7 8 2" xfId="27433"/>
    <cellStyle name="SAPBEXHLevel2X 7 8 2 2" xfId="27434"/>
    <cellStyle name="SAPBEXHLevel2X 7 8 3" xfId="27435"/>
    <cellStyle name="SAPBEXHLevel2X 7 9" xfId="27436"/>
    <cellStyle name="SAPBEXHLevel2X 7 9 2" xfId="27437"/>
    <cellStyle name="SAPBEXHLevel2X 7 9 2 2" xfId="27438"/>
    <cellStyle name="SAPBEXHLevel2X 7 9 3" xfId="27439"/>
    <cellStyle name="SAPBEXHLevel2X 7_planning-WP" xfId="27440"/>
    <cellStyle name="SAPBEXHLevel2X 8" xfId="27441"/>
    <cellStyle name="SAPBEXHLevel2X 8 10" xfId="27442"/>
    <cellStyle name="SAPBEXHLevel2X 8 10 2" xfId="27443"/>
    <cellStyle name="SAPBEXHLevel2X 8 11" xfId="39073"/>
    <cellStyle name="SAPBEXHLevel2X 8 12" xfId="39458"/>
    <cellStyle name="SAPBEXHLevel2X 8 2" xfId="27444"/>
    <cellStyle name="SAPBEXHLevel2X 8 2 2" xfId="27445"/>
    <cellStyle name="SAPBEXHLevel2X 8 2 2 2" xfId="27446"/>
    <cellStyle name="SAPBEXHLevel2X 8 2 3" xfId="27447"/>
    <cellStyle name="SAPBEXHLevel2X 8 3" xfId="27448"/>
    <cellStyle name="SAPBEXHLevel2X 8 3 2" xfId="27449"/>
    <cellStyle name="SAPBEXHLevel2X 8 3 2 2" xfId="27450"/>
    <cellStyle name="SAPBEXHLevel2X 8 3 3" xfId="27451"/>
    <cellStyle name="SAPBEXHLevel2X 8 4" xfId="27452"/>
    <cellStyle name="SAPBEXHLevel2X 8 4 2" xfId="27453"/>
    <cellStyle name="SAPBEXHLevel2X 8 4 2 2" xfId="27454"/>
    <cellStyle name="SAPBEXHLevel2X 8 4 3" xfId="27455"/>
    <cellStyle name="SAPBEXHLevel2X 8 5" xfId="27456"/>
    <cellStyle name="SAPBEXHLevel2X 8 5 2" xfId="27457"/>
    <cellStyle name="SAPBEXHLevel2X 8 5 2 2" xfId="27458"/>
    <cellStyle name="SAPBEXHLevel2X 8 5 3" xfId="27459"/>
    <cellStyle name="SAPBEXHLevel2X 8 6" xfId="27460"/>
    <cellStyle name="SAPBEXHLevel2X 8 6 2" xfId="27461"/>
    <cellStyle name="SAPBEXHLevel2X 8 6 2 2" xfId="27462"/>
    <cellStyle name="SAPBEXHLevel2X 8 6 3" xfId="27463"/>
    <cellStyle name="SAPBEXHLevel2X 8 7" xfId="27464"/>
    <cellStyle name="SAPBEXHLevel2X 8 7 2" xfId="27465"/>
    <cellStyle name="SAPBEXHLevel2X 8 7 2 2" xfId="27466"/>
    <cellStyle name="SAPBEXHLevel2X 8 7 3" xfId="27467"/>
    <cellStyle name="SAPBEXHLevel2X 8 8" xfId="27468"/>
    <cellStyle name="SAPBEXHLevel2X 8 8 2" xfId="27469"/>
    <cellStyle name="SAPBEXHLevel2X 8 8 2 2" xfId="27470"/>
    <cellStyle name="SAPBEXHLevel2X 8 8 3" xfId="27471"/>
    <cellStyle name="SAPBEXHLevel2X 8 9" xfId="27472"/>
    <cellStyle name="SAPBEXHLevel2X 8 9 2" xfId="27473"/>
    <cellStyle name="SAPBEXHLevel2X 8 9 2 2" xfId="27474"/>
    <cellStyle name="SAPBEXHLevel2X 8 9 3" xfId="27475"/>
    <cellStyle name="SAPBEXHLevel2X 8_planning-WP" xfId="27476"/>
    <cellStyle name="SAPBEXHLevel2X 9" xfId="27477"/>
    <cellStyle name="SAPBEXHLevel2X 9 2" xfId="27478"/>
    <cellStyle name="SAPBEXHLevel2X 9 2 2" xfId="27479"/>
    <cellStyle name="SAPBEXHLevel2X 9 2 2 2" xfId="27480"/>
    <cellStyle name="SAPBEXHLevel2X 9 2 3" xfId="27481"/>
    <cellStyle name="SAPBEXHLevel2X 9 3" xfId="27482"/>
    <cellStyle name="SAPBEXHLevel2X 9 3 2" xfId="27483"/>
    <cellStyle name="SAPBEXHLevel2X 9 3 2 2" xfId="27484"/>
    <cellStyle name="SAPBEXHLevel2X 9 3 3" xfId="27485"/>
    <cellStyle name="SAPBEXHLevel2X 9 4" xfId="27486"/>
    <cellStyle name="SAPBEXHLevel2X 9 4 2" xfId="27487"/>
    <cellStyle name="SAPBEXHLevel2X 9 4 2 2" xfId="27488"/>
    <cellStyle name="SAPBEXHLevel2X 9 4 3" xfId="27489"/>
    <cellStyle name="SAPBEXHLevel2X 9 5" xfId="27490"/>
    <cellStyle name="SAPBEXHLevel2X 9 5 2" xfId="27491"/>
    <cellStyle name="SAPBEXHLevel2X 9 5 2 2" xfId="27492"/>
    <cellStyle name="SAPBEXHLevel2X 9 5 3" xfId="27493"/>
    <cellStyle name="SAPBEXHLevel2X 9 6" xfId="27494"/>
    <cellStyle name="SAPBEXHLevel2X 9 6 2" xfId="27495"/>
    <cellStyle name="SAPBEXHLevel2X 9 6 2 2" xfId="27496"/>
    <cellStyle name="SAPBEXHLevel2X 9 6 3" xfId="27497"/>
    <cellStyle name="SAPBEXHLevel2X 9 7" xfId="27498"/>
    <cellStyle name="SAPBEXHLevel2X 9 7 2" xfId="27499"/>
    <cellStyle name="SAPBEXHLevel2X 9 7 2 2" xfId="27500"/>
    <cellStyle name="SAPBEXHLevel2X 9 7 3" xfId="27501"/>
    <cellStyle name="SAPBEXHLevel2X 9 8" xfId="27502"/>
    <cellStyle name="SAPBEXHLevel2X 9 8 2" xfId="27503"/>
    <cellStyle name="SAPBEXHLevel2X 9 8 2 2" xfId="27504"/>
    <cellStyle name="SAPBEXHLevel2X 9 8 3" xfId="27505"/>
    <cellStyle name="SAPBEXHLevel2X 9 9" xfId="27506"/>
    <cellStyle name="SAPBEXHLevel2X 9 9 2" xfId="27507"/>
    <cellStyle name="SAPBEXHLevel2X 9_planning-WP" xfId="27508"/>
    <cellStyle name="SAPBEXHLevel2X_planning-WP" xfId="27509"/>
    <cellStyle name="SAPBEXHLevel3" xfId="27510"/>
    <cellStyle name="SAPBEXHLevel3 10" xfId="27511"/>
    <cellStyle name="SAPBEXHLevel3 10 2" xfId="27512"/>
    <cellStyle name="SAPBEXHLevel3 10 2 2" xfId="27513"/>
    <cellStyle name="SAPBEXHLevel3 11" xfId="27514"/>
    <cellStyle name="SAPBEXHLevel3 11 2" xfId="27515"/>
    <cellStyle name="SAPBEXHLevel3 11 2 2" xfId="27516"/>
    <cellStyle name="SAPBEXHLevel3 11 3" xfId="27517"/>
    <cellStyle name="SAPBEXHLevel3 12" xfId="27518"/>
    <cellStyle name="SAPBEXHLevel3 12 2" xfId="27519"/>
    <cellStyle name="SAPBEXHLevel3 12 2 2" xfId="27520"/>
    <cellStyle name="SAPBEXHLevel3 12 3" xfId="27521"/>
    <cellStyle name="SAPBEXHLevel3 13" xfId="27522"/>
    <cellStyle name="SAPBEXHLevel3 13 2" xfId="27523"/>
    <cellStyle name="SAPBEXHLevel3 13 2 2" xfId="27524"/>
    <cellStyle name="SAPBEXHLevel3 13 3" xfId="27525"/>
    <cellStyle name="SAPBEXHLevel3 14" xfId="27526"/>
    <cellStyle name="SAPBEXHLevel3 14 2" xfId="27527"/>
    <cellStyle name="SAPBEXHLevel3 14 2 2" xfId="27528"/>
    <cellStyle name="SAPBEXHLevel3 14 3" xfId="27529"/>
    <cellStyle name="SAPBEXHLevel3 15" xfId="27530"/>
    <cellStyle name="SAPBEXHLevel3 15 2" xfId="27531"/>
    <cellStyle name="SAPBEXHLevel3 15 2 2" xfId="27532"/>
    <cellStyle name="SAPBEXHLevel3 15 3" xfId="27533"/>
    <cellStyle name="SAPBEXHLevel3 16" xfId="27534"/>
    <cellStyle name="SAPBEXHLevel3 16 2" xfId="27535"/>
    <cellStyle name="SAPBEXHLevel3 16 2 2" xfId="27536"/>
    <cellStyle name="SAPBEXHLevel3 16 3" xfId="27537"/>
    <cellStyle name="SAPBEXHLevel3 17" xfId="27538"/>
    <cellStyle name="SAPBEXHLevel3 17 2" xfId="27539"/>
    <cellStyle name="SAPBEXHLevel3 17 2 2" xfId="27540"/>
    <cellStyle name="SAPBEXHLevel3 17 3" xfId="27541"/>
    <cellStyle name="SAPBEXHLevel3 18" xfId="27542"/>
    <cellStyle name="SAPBEXHLevel3 19" xfId="39074"/>
    <cellStyle name="SAPBEXHLevel3 2" xfId="27543"/>
    <cellStyle name="SAPBEXHLevel3 2 10" xfId="27544"/>
    <cellStyle name="SAPBEXHLevel3 2 10 2" xfId="27545"/>
    <cellStyle name="SAPBEXHLevel3 2 10 2 2" xfId="27546"/>
    <cellStyle name="SAPBEXHLevel3 2 10 3" xfId="27547"/>
    <cellStyle name="SAPBEXHLevel3 2 11" xfId="27548"/>
    <cellStyle name="SAPBEXHLevel3 2 11 2" xfId="27549"/>
    <cellStyle name="SAPBEXHLevel3 2 11 2 2" xfId="27550"/>
    <cellStyle name="SAPBEXHLevel3 2 11 3" xfId="27551"/>
    <cellStyle name="SAPBEXHLevel3 2 12" xfId="27552"/>
    <cellStyle name="SAPBEXHLevel3 2 12 2" xfId="27553"/>
    <cellStyle name="SAPBEXHLevel3 2 12 2 2" xfId="27554"/>
    <cellStyle name="SAPBEXHLevel3 2 12 3" xfId="27555"/>
    <cellStyle name="SAPBEXHLevel3 2 13" xfId="27556"/>
    <cellStyle name="SAPBEXHLevel3 2 14" xfId="39075"/>
    <cellStyle name="SAPBEXHLevel3 2 15" xfId="39460"/>
    <cellStyle name="SAPBEXHLevel3 2 2" xfId="27557"/>
    <cellStyle name="SAPBEXHLevel3 2 2 10" xfId="27558"/>
    <cellStyle name="SAPBEXHLevel3 2 2 10 2" xfId="27559"/>
    <cellStyle name="SAPBEXHLevel3 2 2 10 2 2" xfId="27560"/>
    <cellStyle name="SAPBEXHLevel3 2 2 10 3" xfId="27561"/>
    <cellStyle name="SAPBEXHLevel3 2 2 11" xfId="27562"/>
    <cellStyle name="SAPBEXHLevel3 2 2 11 2" xfId="27563"/>
    <cellStyle name="SAPBEXHLevel3 2 2 12" xfId="39076"/>
    <cellStyle name="SAPBEXHLevel3 2 2 13" xfId="39461"/>
    <cellStyle name="SAPBEXHLevel3 2 2 2" xfId="27564"/>
    <cellStyle name="SAPBEXHLevel3 2 2 2 10" xfId="27565"/>
    <cellStyle name="SAPBEXHLevel3 2 2 2 10 2" xfId="27566"/>
    <cellStyle name="SAPBEXHLevel3 2 2 2 2" xfId="27567"/>
    <cellStyle name="SAPBEXHLevel3 2 2 2 2 2" xfId="27568"/>
    <cellStyle name="SAPBEXHLevel3 2 2 2 2 2 2" xfId="27569"/>
    <cellStyle name="SAPBEXHLevel3 2 2 2 2 3" xfId="27570"/>
    <cellStyle name="SAPBEXHLevel3 2 2 2 3" xfId="27571"/>
    <cellStyle name="SAPBEXHLevel3 2 2 2 3 2" xfId="27572"/>
    <cellStyle name="SAPBEXHLevel3 2 2 2 3 2 2" xfId="27573"/>
    <cellStyle name="SAPBEXHLevel3 2 2 2 3 3" xfId="27574"/>
    <cellStyle name="SAPBEXHLevel3 2 2 2 4" xfId="27575"/>
    <cellStyle name="SAPBEXHLevel3 2 2 2 4 2" xfId="27576"/>
    <cellStyle name="SAPBEXHLevel3 2 2 2 4 2 2" xfId="27577"/>
    <cellStyle name="SAPBEXHLevel3 2 2 2 4 3" xfId="27578"/>
    <cellStyle name="SAPBEXHLevel3 2 2 2 5" xfId="27579"/>
    <cellStyle name="SAPBEXHLevel3 2 2 2 5 2" xfId="27580"/>
    <cellStyle name="SAPBEXHLevel3 2 2 2 5 2 2" xfId="27581"/>
    <cellStyle name="SAPBEXHLevel3 2 2 2 5 3" xfId="27582"/>
    <cellStyle name="SAPBEXHLevel3 2 2 2 6" xfId="27583"/>
    <cellStyle name="SAPBEXHLevel3 2 2 2 6 2" xfId="27584"/>
    <cellStyle name="SAPBEXHLevel3 2 2 2 6 2 2" xfId="27585"/>
    <cellStyle name="SAPBEXHLevel3 2 2 2 6 3" xfId="27586"/>
    <cellStyle name="SAPBEXHLevel3 2 2 2 7" xfId="27587"/>
    <cellStyle name="SAPBEXHLevel3 2 2 2 7 2" xfId="27588"/>
    <cellStyle name="SAPBEXHLevel3 2 2 2 7 2 2" xfId="27589"/>
    <cellStyle name="SAPBEXHLevel3 2 2 2 7 3" xfId="27590"/>
    <cellStyle name="SAPBEXHLevel3 2 2 2 8" xfId="27591"/>
    <cellStyle name="SAPBEXHLevel3 2 2 2 8 2" xfId="27592"/>
    <cellStyle name="SAPBEXHLevel3 2 2 2 8 2 2" xfId="27593"/>
    <cellStyle name="SAPBEXHLevel3 2 2 2 8 3" xfId="27594"/>
    <cellStyle name="SAPBEXHLevel3 2 2 2 9" xfId="27595"/>
    <cellStyle name="SAPBEXHLevel3 2 2 2 9 2" xfId="27596"/>
    <cellStyle name="SAPBEXHLevel3 2 2 2 9 2 2" xfId="27597"/>
    <cellStyle name="SAPBEXHLevel3 2 2 2 9 3" xfId="27598"/>
    <cellStyle name="SAPBEXHLevel3 2 2 2_planning-WP" xfId="27599"/>
    <cellStyle name="SAPBEXHLevel3 2 2 3" xfId="27600"/>
    <cellStyle name="SAPBEXHLevel3 2 2 3 2" xfId="27601"/>
    <cellStyle name="SAPBEXHLevel3 2 2 3 2 2" xfId="27602"/>
    <cellStyle name="SAPBEXHLevel3 2 2 3 3" xfId="27603"/>
    <cellStyle name="SAPBEXHLevel3 2 2 4" xfId="27604"/>
    <cellStyle name="SAPBEXHLevel3 2 2 4 2" xfId="27605"/>
    <cellStyle name="SAPBEXHLevel3 2 2 4 2 2" xfId="27606"/>
    <cellStyle name="SAPBEXHLevel3 2 2 4 3" xfId="27607"/>
    <cellStyle name="SAPBEXHLevel3 2 2 5" xfId="27608"/>
    <cellStyle name="SAPBEXHLevel3 2 2 5 2" xfId="27609"/>
    <cellStyle name="SAPBEXHLevel3 2 2 5 2 2" xfId="27610"/>
    <cellStyle name="SAPBEXHLevel3 2 2 5 3" xfId="27611"/>
    <cellStyle name="SAPBEXHLevel3 2 2 6" xfId="27612"/>
    <cellStyle name="SAPBEXHLevel3 2 2 6 2" xfId="27613"/>
    <cellStyle name="SAPBEXHLevel3 2 2 6 2 2" xfId="27614"/>
    <cellStyle name="SAPBEXHLevel3 2 2 6 3" xfId="27615"/>
    <cellStyle name="SAPBEXHLevel3 2 2 7" xfId="27616"/>
    <cellStyle name="SAPBEXHLevel3 2 2 7 2" xfId="27617"/>
    <cellStyle name="SAPBEXHLevel3 2 2 7 2 2" xfId="27618"/>
    <cellStyle name="SAPBEXHLevel3 2 2 7 3" xfId="27619"/>
    <cellStyle name="SAPBEXHLevel3 2 2 8" xfId="27620"/>
    <cellStyle name="SAPBEXHLevel3 2 2 8 2" xfId="27621"/>
    <cellStyle name="SAPBEXHLevel3 2 2 8 2 2" xfId="27622"/>
    <cellStyle name="SAPBEXHLevel3 2 2 8 3" xfId="27623"/>
    <cellStyle name="SAPBEXHLevel3 2 2 9" xfId="27624"/>
    <cellStyle name="SAPBEXHLevel3 2 2 9 2" xfId="27625"/>
    <cellStyle name="SAPBEXHLevel3 2 2 9 2 2" xfId="27626"/>
    <cellStyle name="SAPBEXHLevel3 2 2 9 3" xfId="27627"/>
    <cellStyle name="SAPBEXHLevel3 2 2_planning-WP" xfId="27628"/>
    <cellStyle name="SAPBEXHLevel3 2 3" xfId="27629"/>
    <cellStyle name="SAPBEXHLevel3 2 3 10" xfId="27630"/>
    <cellStyle name="SAPBEXHLevel3 2 3 10 2" xfId="27631"/>
    <cellStyle name="SAPBEXHLevel3 2 3 2" xfId="27632"/>
    <cellStyle name="SAPBEXHLevel3 2 3 2 2" xfId="27633"/>
    <cellStyle name="SAPBEXHLevel3 2 3 2 2 2" xfId="27634"/>
    <cellStyle name="SAPBEXHLevel3 2 3 2 3" xfId="27635"/>
    <cellStyle name="SAPBEXHLevel3 2 3 3" xfId="27636"/>
    <cellStyle name="SAPBEXHLevel3 2 3 3 2" xfId="27637"/>
    <cellStyle name="SAPBEXHLevel3 2 3 3 2 2" xfId="27638"/>
    <cellStyle name="SAPBEXHLevel3 2 3 3 3" xfId="27639"/>
    <cellStyle name="SAPBEXHLevel3 2 3 4" xfId="27640"/>
    <cellStyle name="SAPBEXHLevel3 2 3 4 2" xfId="27641"/>
    <cellStyle name="SAPBEXHLevel3 2 3 4 2 2" xfId="27642"/>
    <cellStyle name="SAPBEXHLevel3 2 3 4 3" xfId="27643"/>
    <cellStyle name="SAPBEXHLevel3 2 3 5" xfId="27644"/>
    <cellStyle name="SAPBEXHLevel3 2 3 5 2" xfId="27645"/>
    <cellStyle name="SAPBEXHLevel3 2 3 5 2 2" xfId="27646"/>
    <cellStyle name="SAPBEXHLevel3 2 3 5 3" xfId="27647"/>
    <cellStyle name="SAPBEXHLevel3 2 3 6" xfId="27648"/>
    <cellStyle name="SAPBEXHLevel3 2 3 6 2" xfId="27649"/>
    <cellStyle name="SAPBEXHLevel3 2 3 6 2 2" xfId="27650"/>
    <cellStyle name="SAPBEXHLevel3 2 3 6 3" xfId="27651"/>
    <cellStyle name="SAPBEXHLevel3 2 3 7" xfId="27652"/>
    <cellStyle name="SAPBEXHLevel3 2 3 7 2" xfId="27653"/>
    <cellStyle name="SAPBEXHLevel3 2 3 7 2 2" xfId="27654"/>
    <cellStyle name="SAPBEXHLevel3 2 3 7 3" xfId="27655"/>
    <cellStyle name="SAPBEXHLevel3 2 3 8" xfId="27656"/>
    <cellStyle name="SAPBEXHLevel3 2 3 8 2" xfId="27657"/>
    <cellStyle name="SAPBEXHLevel3 2 3 8 2 2" xfId="27658"/>
    <cellStyle name="SAPBEXHLevel3 2 3 8 3" xfId="27659"/>
    <cellStyle name="SAPBEXHLevel3 2 3 9" xfId="27660"/>
    <cellStyle name="SAPBEXHLevel3 2 3 9 2" xfId="27661"/>
    <cellStyle name="SAPBEXHLevel3 2 3 9 2 2" xfId="27662"/>
    <cellStyle name="SAPBEXHLevel3 2 3 9 3" xfId="27663"/>
    <cellStyle name="SAPBEXHLevel3 2 3_planning-WP" xfId="27664"/>
    <cellStyle name="SAPBEXHLevel3 2 4" xfId="27665"/>
    <cellStyle name="SAPBEXHLevel3 2 4 2" xfId="27666"/>
    <cellStyle name="SAPBEXHLevel3 2 4 2 2" xfId="27667"/>
    <cellStyle name="SAPBEXHLevel3 2 4 2 2 2" xfId="27668"/>
    <cellStyle name="SAPBEXHLevel3 2 4 2 3" xfId="27669"/>
    <cellStyle name="SAPBEXHLevel3 2 4 3" xfId="27670"/>
    <cellStyle name="SAPBEXHLevel3 2 4 3 2" xfId="27671"/>
    <cellStyle name="SAPBEXHLevel3 2 4 3 2 2" xfId="27672"/>
    <cellStyle name="SAPBEXHLevel3 2 4 3 3" xfId="27673"/>
    <cellStyle name="SAPBEXHLevel3 2 4 4" xfId="27674"/>
    <cellStyle name="SAPBEXHLevel3 2 4 4 2" xfId="27675"/>
    <cellStyle name="SAPBEXHLevel3 2 4 4 2 2" xfId="27676"/>
    <cellStyle name="SAPBEXHLevel3 2 4 4 3" xfId="27677"/>
    <cellStyle name="SAPBEXHLevel3 2 4 5" xfId="27678"/>
    <cellStyle name="SAPBEXHLevel3 2 4 5 2" xfId="27679"/>
    <cellStyle name="SAPBEXHLevel3 2 4 5 2 2" xfId="27680"/>
    <cellStyle name="SAPBEXHLevel3 2 4 5 3" xfId="27681"/>
    <cellStyle name="SAPBEXHLevel3 2 4 6" xfId="27682"/>
    <cellStyle name="SAPBEXHLevel3 2 4 6 2" xfId="27683"/>
    <cellStyle name="SAPBEXHLevel3 2 4 6 2 2" xfId="27684"/>
    <cellStyle name="SAPBEXHLevel3 2 4 6 3" xfId="27685"/>
    <cellStyle name="SAPBEXHLevel3 2 4 7" xfId="27686"/>
    <cellStyle name="SAPBEXHLevel3 2 4 7 2" xfId="27687"/>
    <cellStyle name="SAPBEXHLevel3 2 4 7 2 2" xfId="27688"/>
    <cellStyle name="SAPBEXHLevel3 2 4 7 3" xfId="27689"/>
    <cellStyle name="SAPBEXHLevel3 2 4 8" xfId="27690"/>
    <cellStyle name="SAPBEXHLevel3 2 4 8 2" xfId="27691"/>
    <cellStyle name="SAPBEXHLevel3 2 4 8 2 2" xfId="27692"/>
    <cellStyle name="SAPBEXHLevel3 2 4 8 3" xfId="27693"/>
    <cellStyle name="SAPBEXHLevel3 2 4 9" xfId="27694"/>
    <cellStyle name="SAPBEXHLevel3 2 4 9 2" xfId="27695"/>
    <cellStyle name="SAPBEXHLevel3 2 4_planning-WP" xfId="27696"/>
    <cellStyle name="SAPBEXHLevel3 2 5" xfId="27697"/>
    <cellStyle name="SAPBEXHLevel3 2 5 2" xfId="27698"/>
    <cellStyle name="SAPBEXHLevel3 2 5 2 2" xfId="27699"/>
    <cellStyle name="SAPBEXHLevel3 2 6" xfId="27700"/>
    <cellStyle name="SAPBEXHLevel3 2 6 2" xfId="27701"/>
    <cellStyle name="SAPBEXHLevel3 2 6 2 2" xfId="27702"/>
    <cellStyle name="SAPBEXHLevel3 2 6 3" xfId="27703"/>
    <cellStyle name="SAPBEXHLevel3 2 7" xfId="27704"/>
    <cellStyle name="SAPBEXHLevel3 2 7 2" xfId="27705"/>
    <cellStyle name="SAPBEXHLevel3 2 7 2 2" xfId="27706"/>
    <cellStyle name="SAPBEXHLevel3 2 7 3" xfId="27707"/>
    <cellStyle name="SAPBEXHLevel3 2 8" xfId="27708"/>
    <cellStyle name="SAPBEXHLevel3 2 8 2" xfId="27709"/>
    <cellStyle name="SAPBEXHLevel3 2 8 2 2" xfId="27710"/>
    <cellStyle name="SAPBEXHLevel3 2 8 3" xfId="27711"/>
    <cellStyle name="SAPBEXHLevel3 2 9" xfId="27712"/>
    <cellStyle name="SAPBEXHLevel3 2 9 2" xfId="27713"/>
    <cellStyle name="SAPBEXHLevel3 2 9 2 2" xfId="27714"/>
    <cellStyle name="SAPBEXHLevel3 2 9 3" xfId="27715"/>
    <cellStyle name="SAPBEXHLevel3 2_planning-WP" xfId="27716"/>
    <cellStyle name="SAPBEXHLevel3 20" xfId="39459"/>
    <cellStyle name="SAPBEXHLevel3 3" xfId="27717"/>
    <cellStyle name="SAPBEXHLevel3 3 10" xfId="27718"/>
    <cellStyle name="SAPBEXHLevel3 3 10 2" xfId="27719"/>
    <cellStyle name="SAPBEXHLevel3 3 10 2 2" xfId="27720"/>
    <cellStyle name="SAPBEXHLevel3 3 10 3" xfId="27721"/>
    <cellStyle name="SAPBEXHLevel3 3 11" xfId="27722"/>
    <cellStyle name="SAPBEXHLevel3 3 11 2" xfId="27723"/>
    <cellStyle name="SAPBEXHLevel3 3 11 2 2" xfId="27724"/>
    <cellStyle name="SAPBEXHLevel3 3 11 3" xfId="27725"/>
    <cellStyle name="SAPBEXHLevel3 3 12" xfId="27726"/>
    <cellStyle name="SAPBEXHLevel3 3 12 2" xfId="27727"/>
    <cellStyle name="SAPBEXHLevel3 3 12 2 2" xfId="27728"/>
    <cellStyle name="SAPBEXHLevel3 3 12 3" xfId="27729"/>
    <cellStyle name="SAPBEXHLevel3 3 13" xfId="27730"/>
    <cellStyle name="SAPBEXHLevel3 3 14" xfId="39077"/>
    <cellStyle name="SAPBEXHLevel3 3 15" xfId="39462"/>
    <cellStyle name="SAPBEXHLevel3 3 2" xfId="27731"/>
    <cellStyle name="SAPBEXHLevel3 3 2 10" xfId="27732"/>
    <cellStyle name="SAPBEXHLevel3 3 2 10 2" xfId="27733"/>
    <cellStyle name="SAPBEXHLevel3 3 2 10 2 2" xfId="27734"/>
    <cellStyle name="SAPBEXHLevel3 3 2 10 3" xfId="27735"/>
    <cellStyle name="SAPBEXHLevel3 3 2 11" xfId="27736"/>
    <cellStyle name="SAPBEXHLevel3 3 2 11 2" xfId="27737"/>
    <cellStyle name="SAPBEXHLevel3 3 2 12" xfId="39078"/>
    <cellStyle name="SAPBEXHLevel3 3 2 13" xfId="39463"/>
    <cellStyle name="SAPBEXHLevel3 3 2 2" xfId="27738"/>
    <cellStyle name="SAPBEXHLevel3 3 2 2 10" xfId="27739"/>
    <cellStyle name="SAPBEXHLevel3 3 2 2 10 2" xfId="27740"/>
    <cellStyle name="SAPBEXHLevel3 3 2 2 2" xfId="27741"/>
    <cellStyle name="SAPBEXHLevel3 3 2 2 2 2" xfId="27742"/>
    <cellStyle name="SAPBEXHLevel3 3 2 2 2 2 2" xfId="27743"/>
    <cellStyle name="SAPBEXHLevel3 3 2 2 2 3" xfId="27744"/>
    <cellStyle name="SAPBEXHLevel3 3 2 2 3" xfId="27745"/>
    <cellStyle name="SAPBEXHLevel3 3 2 2 3 2" xfId="27746"/>
    <cellStyle name="SAPBEXHLevel3 3 2 2 3 2 2" xfId="27747"/>
    <cellStyle name="SAPBEXHLevel3 3 2 2 3 3" xfId="27748"/>
    <cellStyle name="SAPBEXHLevel3 3 2 2 4" xfId="27749"/>
    <cellStyle name="SAPBEXHLevel3 3 2 2 4 2" xfId="27750"/>
    <cellStyle name="SAPBEXHLevel3 3 2 2 4 2 2" xfId="27751"/>
    <cellStyle name="SAPBEXHLevel3 3 2 2 4 3" xfId="27752"/>
    <cellStyle name="SAPBEXHLevel3 3 2 2 5" xfId="27753"/>
    <cellStyle name="SAPBEXHLevel3 3 2 2 5 2" xfId="27754"/>
    <cellStyle name="SAPBEXHLevel3 3 2 2 5 2 2" xfId="27755"/>
    <cellStyle name="SAPBEXHLevel3 3 2 2 5 3" xfId="27756"/>
    <cellStyle name="SAPBEXHLevel3 3 2 2 6" xfId="27757"/>
    <cellStyle name="SAPBEXHLevel3 3 2 2 6 2" xfId="27758"/>
    <cellStyle name="SAPBEXHLevel3 3 2 2 6 2 2" xfId="27759"/>
    <cellStyle name="SAPBEXHLevel3 3 2 2 6 3" xfId="27760"/>
    <cellStyle name="SAPBEXHLevel3 3 2 2 7" xfId="27761"/>
    <cellStyle name="SAPBEXHLevel3 3 2 2 7 2" xfId="27762"/>
    <cellStyle name="SAPBEXHLevel3 3 2 2 7 2 2" xfId="27763"/>
    <cellStyle name="SAPBEXHLevel3 3 2 2 7 3" xfId="27764"/>
    <cellStyle name="SAPBEXHLevel3 3 2 2 8" xfId="27765"/>
    <cellStyle name="SAPBEXHLevel3 3 2 2 8 2" xfId="27766"/>
    <cellStyle name="SAPBEXHLevel3 3 2 2 8 2 2" xfId="27767"/>
    <cellStyle name="SAPBEXHLevel3 3 2 2 8 3" xfId="27768"/>
    <cellStyle name="SAPBEXHLevel3 3 2 2 9" xfId="27769"/>
    <cellStyle name="SAPBEXHLevel3 3 2 2 9 2" xfId="27770"/>
    <cellStyle name="SAPBEXHLevel3 3 2 2 9 2 2" xfId="27771"/>
    <cellStyle name="SAPBEXHLevel3 3 2 2 9 3" xfId="27772"/>
    <cellStyle name="SAPBEXHLevel3 3 2 2_planning-WP" xfId="27773"/>
    <cellStyle name="SAPBEXHLevel3 3 2 3" xfId="27774"/>
    <cellStyle name="SAPBEXHLevel3 3 2 3 2" xfId="27775"/>
    <cellStyle name="SAPBEXHLevel3 3 2 3 2 2" xfId="27776"/>
    <cellStyle name="SAPBEXHLevel3 3 2 3 3" xfId="27777"/>
    <cellStyle name="SAPBEXHLevel3 3 2 4" xfId="27778"/>
    <cellStyle name="SAPBEXHLevel3 3 2 4 2" xfId="27779"/>
    <cellStyle name="SAPBEXHLevel3 3 2 4 2 2" xfId="27780"/>
    <cellStyle name="SAPBEXHLevel3 3 2 4 3" xfId="27781"/>
    <cellStyle name="SAPBEXHLevel3 3 2 5" xfId="27782"/>
    <cellStyle name="SAPBEXHLevel3 3 2 5 2" xfId="27783"/>
    <cellStyle name="SAPBEXHLevel3 3 2 5 2 2" xfId="27784"/>
    <cellStyle name="SAPBEXHLevel3 3 2 5 3" xfId="27785"/>
    <cellStyle name="SAPBEXHLevel3 3 2 6" xfId="27786"/>
    <cellStyle name="SAPBEXHLevel3 3 2 6 2" xfId="27787"/>
    <cellStyle name="SAPBEXHLevel3 3 2 6 2 2" xfId="27788"/>
    <cellStyle name="SAPBEXHLevel3 3 2 6 3" xfId="27789"/>
    <cellStyle name="SAPBEXHLevel3 3 2 7" xfId="27790"/>
    <cellStyle name="SAPBEXHLevel3 3 2 7 2" xfId="27791"/>
    <cellStyle name="SAPBEXHLevel3 3 2 7 2 2" xfId="27792"/>
    <cellStyle name="SAPBEXHLevel3 3 2 7 3" xfId="27793"/>
    <cellStyle name="SAPBEXHLevel3 3 2 8" xfId="27794"/>
    <cellStyle name="SAPBEXHLevel3 3 2 8 2" xfId="27795"/>
    <cellStyle name="SAPBEXHLevel3 3 2 8 2 2" xfId="27796"/>
    <cellStyle name="SAPBEXHLevel3 3 2 8 3" xfId="27797"/>
    <cellStyle name="SAPBEXHLevel3 3 2 9" xfId="27798"/>
    <cellStyle name="SAPBEXHLevel3 3 2 9 2" xfId="27799"/>
    <cellStyle name="SAPBEXHLevel3 3 2 9 2 2" xfId="27800"/>
    <cellStyle name="SAPBEXHLevel3 3 2 9 3" xfId="27801"/>
    <cellStyle name="SAPBEXHLevel3 3 2_planning-WP" xfId="27802"/>
    <cellStyle name="SAPBEXHLevel3 3 3" xfId="27803"/>
    <cellStyle name="SAPBEXHLevel3 3 3 10" xfId="27804"/>
    <cellStyle name="SAPBEXHLevel3 3 3 10 2" xfId="27805"/>
    <cellStyle name="SAPBEXHLevel3 3 3 2" xfId="27806"/>
    <cellStyle name="SAPBEXHLevel3 3 3 2 2" xfId="27807"/>
    <cellStyle name="SAPBEXHLevel3 3 3 2 2 2" xfId="27808"/>
    <cellStyle name="SAPBEXHLevel3 3 3 2 3" xfId="27809"/>
    <cellStyle name="SAPBEXHLevel3 3 3 3" xfId="27810"/>
    <cellStyle name="SAPBEXHLevel3 3 3 3 2" xfId="27811"/>
    <cellStyle name="SAPBEXHLevel3 3 3 3 2 2" xfId="27812"/>
    <cellStyle name="SAPBEXHLevel3 3 3 3 3" xfId="27813"/>
    <cellStyle name="SAPBEXHLevel3 3 3 4" xfId="27814"/>
    <cellStyle name="SAPBEXHLevel3 3 3 4 2" xfId="27815"/>
    <cellStyle name="SAPBEXHLevel3 3 3 4 2 2" xfId="27816"/>
    <cellStyle name="SAPBEXHLevel3 3 3 4 3" xfId="27817"/>
    <cellStyle name="SAPBEXHLevel3 3 3 5" xfId="27818"/>
    <cellStyle name="SAPBEXHLevel3 3 3 5 2" xfId="27819"/>
    <cellStyle name="SAPBEXHLevel3 3 3 5 2 2" xfId="27820"/>
    <cellStyle name="SAPBEXHLevel3 3 3 5 3" xfId="27821"/>
    <cellStyle name="SAPBEXHLevel3 3 3 6" xfId="27822"/>
    <cellStyle name="SAPBEXHLevel3 3 3 6 2" xfId="27823"/>
    <cellStyle name="SAPBEXHLevel3 3 3 6 2 2" xfId="27824"/>
    <cellStyle name="SAPBEXHLevel3 3 3 6 3" xfId="27825"/>
    <cellStyle name="SAPBEXHLevel3 3 3 7" xfId="27826"/>
    <cellStyle name="SAPBEXHLevel3 3 3 7 2" xfId="27827"/>
    <cellStyle name="SAPBEXHLevel3 3 3 7 2 2" xfId="27828"/>
    <cellStyle name="SAPBEXHLevel3 3 3 7 3" xfId="27829"/>
    <cellStyle name="SAPBEXHLevel3 3 3 8" xfId="27830"/>
    <cellStyle name="SAPBEXHLevel3 3 3 8 2" xfId="27831"/>
    <cellStyle name="SAPBEXHLevel3 3 3 8 2 2" xfId="27832"/>
    <cellStyle name="SAPBEXHLevel3 3 3 8 3" xfId="27833"/>
    <cellStyle name="SAPBEXHLevel3 3 3 9" xfId="27834"/>
    <cellStyle name="SAPBEXHLevel3 3 3 9 2" xfId="27835"/>
    <cellStyle name="SAPBEXHLevel3 3 3 9 2 2" xfId="27836"/>
    <cellStyle name="SAPBEXHLevel3 3 3 9 3" xfId="27837"/>
    <cellStyle name="SAPBEXHLevel3 3 3_planning-WP" xfId="27838"/>
    <cellStyle name="SAPBEXHLevel3 3 4" xfId="27839"/>
    <cellStyle name="SAPBEXHLevel3 3 4 2" xfId="27840"/>
    <cellStyle name="SAPBEXHLevel3 3 4 2 2" xfId="27841"/>
    <cellStyle name="SAPBEXHLevel3 3 4 2 2 2" xfId="27842"/>
    <cellStyle name="SAPBEXHLevel3 3 4 2 3" xfId="27843"/>
    <cellStyle name="SAPBEXHLevel3 3 4 3" xfId="27844"/>
    <cellStyle name="SAPBEXHLevel3 3 4 3 2" xfId="27845"/>
    <cellStyle name="SAPBEXHLevel3 3 4 3 2 2" xfId="27846"/>
    <cellStyle name="SAPBEXHLevel3 3 4 3 3" xfId="27847"/>
    <cellStyle name="SAPBEXHLevel3 3 4 4" xfId="27848"/>
    <cellStyle name="SAPBEXHLevel3 3 4 4 2" xfId="27849"/>
    <cellStyle name="SAPBEXHLevel3 3 4 4 2 2" xfId="27850"/>
    <cellStyle name="SAPBEXHLevel3 3 4 4 3" xfId="27851"/>
    <cellStyle name="SAPBEXHLevel3 3 4 5" xfId="27852"/>
    <cellStyle name="SAPBEXHLevel3 3 4 5 2" xfId="27853"/>
    <cellStyle name="SAPBEXHLevel3 3 4 5 2 2" xfId="27854"/>
    <cellStyle name="SAPBEXHLevel3 3 4 5 3" xfId="27855"/>
    <cellStyle name="SAPBEXHLevel3 3 4 6" xfId="27856"/>
    <cellStyle name="SAPBEXHLevel3 3 4 6 2" xfId="27857"/>
    <cellStyle name="SAPBEXHLevel3 3 4 6 2 2" xfId="27858"/>
    <cellStyle name="SAPBEXHLevel3 3 4 6 3" xfId="27859"/>
    <cellStyle name="SAPBEXHLevel3 3 4 7" xfId="27860"/>
    <cellStyle name="SAPBEXHLevel3 3 4 7 2" xfId="27861"/>
    <cellStyle name="SAPBEXHLevel3 3 4 7 2 2" xfId="27862"/>
    <cellStyle name="SAPBEXHLevel3 3 4 7 3" xfId="27863"/>
    <cellStyle name="SAPBEXHLevel3 3 4 8" xfId="27864"/>
    <cellStyle name="SAPBEXHLevel3 3 4 8 2" xfId="27865"/>
    <cellStyle name="SAPBEXHLevel3 3 4 8 2 2" xfId="27866"/>
    <cellStyle name="SAPBEXHLevel3 3 4 8 3" xfId="27867"/>
    <cellStyle name="SAPBEXHLevel3 3 4 9" xfId="27868"/>
    <cellStyle name="SAPBEXHLevel3 3 4 9 2" xfId="27869"/>
    <cellStyle name="SAPBEXHLevel3 3 4_planning-WP" xfId="27870"/>
    <cellStyle name="SAPBEXHLevel3 3 5" xfId="27871"/>
    <cellStyle name="SAPBEXHLevel3 3 5 2" xfId="27872"/>
    <cellStyle name="SAPBEXHLevel3 3 5 2 2" xfId="27873"/>
    <cellStyle name="SAPBEXHLevel3 3 6" xfId="27874"/>
    <cellStyle name="SAPBEXHLevel3 3 6 2" xfId="27875"/>
    <cellStyle name="SAPBEXHLevel3 3 6 2 2" xfId="27876"/>
    <cellStyle name="SAPBEXHLevel3 3 6 3" xfId="27877"/>
    <cellStyle name="SAPBEXHLevel3 3 7" xfId="27878"/>
    <cellStyle name="SAPBEXHLevel3 3 7 2" xfId="27879"/>
    <cellStyle name="SAPBEXHLevel3 3 7 2 2" xfId="27880"/>
    <cellStyle name="SAPBEXHLevel3 3 7 3" xfId="27881"/>
    <cellStyle name="SAPBEXHLevel3 3 8" xfId="27882"/>
    <cellStyle name="SAPBEXHLevel3 3 8 2" xfId="27883"/>
    <cellStyle name="SAPBEXHLevel3 3 8 2 2" xfId="27884"/>
    <cellStyle name="SAPBEXHLevel3 3 8 3" xfId="27885"/>
    <cellStyle name="SAPBEXHLevel3 3 9" xfId="27886"/>
    <cellStyle name="SAPBEXHLevel3 3 9 2" xfId="27887"/>
    <cellStyle name="SAPBEXHLevel3 3 9 2 2" xfId="27888"/>
    <cellStyle name="SAPBEXHLevel3 3 9 3" xfId="27889"/>
    <cellStyle name="SAPBEXHLevel3 3_planning-WP" xfId="27890"/>
    <cellStyle name="SAPBEXHLevel3 4" xfId="27891"/>
    <cellStyle name="SAPBEXHLevel3 4 10" xfId="27892"/>
    <cellStyle name="SAPBEXHLevel3 4 10 2" xfId="27893"/>
    <cellStyle name="SAPBEXHLevel3 4 10 2 2" xfId="27894"/>
    <cellStyle name="SAPBEXHLevel3 4 10 3" xfId="27895"/>
    <cellStyle name="SAPBEXHLevel3 4 11" xfId="27896"/>
    <cellStyle name="SAPBEXHLevel3 4 11 2" xfId="27897"/>
    <cellStyle name="SAPBEXHLevel3 4 11 2 2" xfId="27898"/>
    <cellStyle name="SAPBEXHLevel3 4 11 3" xfId="27899"/>
    <cellStyle name="SAPBEXHLevel3 4 12" xfId="27900"/>
    <cellStyle name="SAPBEXHLevel3 4 12 2" xfId="27901"/>
    <cellStyle name="SAPBEXHLevel3 4 12 2 2" xfId="27902"/>
    <cellStyle name="SAPBEXHLevel3 4 12 3" xfId="27903"/>
    <cellStyle name="SAPBEXHLevel3 4 13" xfId="27904"/>
    <cellStyle name="SAPBEXHLevel3 4 14" xfId="39079"/>
    <cellStyle name="SAPBEXHLevel3 4 15" xfId="39464"/>
    <cellStyle name="SAPBEXHLevel3 4 2" xfId="27905"/>
    <cellStyle name="SAPBEXHLevel3 4 2 10" xfId="27906"/>
    <cellStyle name="SAPBEXHLevel3 4 2 10 2" xfId="27907"/>
    <cellStyle name="SAPBEXHLevel3 4 2 10 2 2" xfId="27908"/>
    <cellStyle name="SAPBEXHLevel3 4 2 10 3" xfId="27909"/>
    <cellStyle name="SAPBEXHLevel3 4 2 11" xfId="27910"/>
    <cellStyle name="SAPBEXHLevel3 4 2 11 2" xfId="27911"/>
    <cellStyle name="SAPBEXHLevel3 4 2 12" xfId="39080"/>
    <cellStyle name="SAPBEXHLevel3 4 2 13" xfId="39465"/>
    <cellStyle name="SAPBEXHLevel3 4 2 2" xfId="27912"/>
    <cellStyle name="SAPBEXHLevel3 4 2 2 10" xfId="27913"/>
    <cellStyle name="SAPBEXHLevel3 4 2 2 10 2" xfId="27914"/>
    <cellStyle name="SAPBEXHLevel3 4 2 2 2" xfId="27915"/>
    <cellStyle name="SAPBEXHLevel3 4 2 2 2 2" xfId="27916"/>
    <cellStyle name="SAPBEXHLevel3 4 2 2 2 2 2" xfId="27917"/>
    <cellStyle name="SAPBEXHLevel3 4 2 2 2 3" xfId="27918"/>
    <cellStyle name="SAPBEXHLevel3 4 2 2 3" xfId="27919"/>
    <cellStyle name="SAPBEXHLevel3 4 2 2 3 2" xfId="27920"/>
    <cellStyle name="SAPBEXHLevel3 4 2 2 3 2 2" xfId="27921"/>
    <cellStyle name="SAPBEXHLevel3 4 2 2 3 3" xfId="27922"/>
    <cellStyle name="SAPBEXHLevel3 4 2 2 4" xfId="27923"/>
    <cellStyle name="SAPBEXHLevel3 4 2 2 4 2" xfId="27924"/>
    <cellStyle name="SAPBEXHLevel3 4 2 2 4 2 2" xfId="27925"/>
    <cellStyle name="SAPBEXHLevel3 4 2 2 4 3" xfId="27926"/>
    <cellStyle name="SAPBEXHLevel3 4 2 2 5" xfId="27927"/>
    <cellStyle name="SAPBEXHLevel3 4 2 2 5 2" xfId="27928"/>
    <cellStyle name="SAPBEXHLevel3 4 2 2 5 2 2" xfId="27929"/>
    <cellStyle name="SAPBEXHLevel3 4 2 2 5 3" xfId="27930"/>
    <cellStyle name="SAPBEXHLevel3 4 2 2 6" xfId="27931"/>
    <cellStyle name="SAPBEXHLevel3 4 2 2 6 2" xfId="27932"/>
    <cellStyle name="SAPBEXHLevel3 4 2 2 6 2 2" xfId="27933"/>
    <cellStyle name="SAPBEXHLevel3 4 2 2 6 3" xfId="27934"/>
    <cellStyle name="SAPBEXHLevel3 4 2 2 7" xfId="27935"/>
    <cellStyle name="SAPBEXHLevel3 4 2 2 7 2" xfId="27936"/>
    <cellStyle name="SAPBEXHLevel3 4 2 2 7 2 2" xfId="27937"/>
    <cellStyle name="SAPBEXHLevel3 4 2 2 7 3" xfId="27938"/>
    <cellStyle name="SAPBEXHLevel3 4 2 2 8" xfId="27939"/>
    <cellStyle name="SAPBEXHLevel3 4 2 2 8 2" xfId="27940"/>
    <cellStyle name="SAPBEXHLevel3 4 2 2 8 2 2" xfId="27941"/>
    <cellStyle name="SAPBEXHLevel3 4 2 2 8 3" xfId="27942"/>
    <cellStyle name="SAPBEXHLevel3 4 2 2 9" xfId="27943"/>
    <cellStyle name="SAPBEXHLevel3 4 2 2 9 2" xfId="27944"/>
    <cellStyle name="SAPBEXHLevel3 4 2 2 9 2 2" xfId="27945"/>
    <cellStyle name="SAPBEXHLevel3 4 2 2 9 3" xfId="27946"/>
    <cellStyle name="SAPBEXHLevel3 4 2 2_planning-WP" xfId="27947"/>
    <cellStyle name="SAPBEXHLevel3 4 2 3" xfId="27948"/>
    <cellStyle name="SAPBEXHLevel3 4 2 3 2" xfId="27949"/>
    <cellStyle name="SAPBEXHLevel3 4 2 3 2 2" xfId="27950"/>
    <cellStyle name="SAPBEXHLevel3 4 2 3 3" xfId="27951"/>
    <cellStyle name="SAPBEXHLevel3 4 2 4" xfId="27952"/>
    <cellStyle name="SAPBEXHLevel3 4 2 4 2" xfId="27953"/>
    <cellStyle name="SAPBEXHLevel3 4 2 4 2 2" xfId="27954"/>
    <cellStyle name="SAPBEXHLevel3 4 2 4 3" xfId="27955"/>
    <cellStyle name="SAPBEXHLevel3 4 2 5" xfId="27956"/>
    <cellStyle name="SAPBEXHLevel3 4 2 5 2" xfId="27957"/>
    <cellStyle name="SAPBEXHLevel3 4 2 5 2 2" xfId="27958"/>
    <cellStyle name="SAPBEXHLevel3 4 2 5 3" xfId="27959"/>
    <cellStyle name="SAPBEXHLevel3 4 2 6" xfId="27960"/>
    <cellStyle name="SAPBEXHLevel3 4 2 6 2" xfId="27961"/>
    <cellStyle name="SAPBEXHLevel3 4 2 6 2 2" xfId="27962"/>
    <cellStyle name="SAPBEXHLevel3 4 2 6 3" xfId="27963"/>
    <cellStyle name="SAPBEXHLevel3 4 2 7" xfId="27964"/>
    <cellStyle name="SAPBEXHLevel3 4 2 7 2" xfId="27965"/>
    <cellStyle name="SAPBEXHLevel3 4 2 7 2 2" xfId="27966"/>
    <cellStyle name="SAPBEXHLevel3 4 2 7 3" xfId="27967"/>
    <cellStyle name="SAPBEXHLevel3 4 2 8" xfId="27968"/>
    <cellStyle name="SAPBEXHLevel3 4 2 8 2" xfId="27969"/>
    <cellStyle name="SAPBEXHLevel3 4 2 8 2 2" xfId="27970"/>
    <cellStyle name="SAPBEXHLevel3 4 2 8 3" xfId="27971"/>
    <cellStyle name="SAPBEXHLevel3 4 2 9" xfId="27972"/>
    <cellStyle name="SAPBEXHLevel3 4 2 9 2" xfId="27973"/>
    <cellStyle name="SAPBEXHLevel3 4 2 9 2 2" xfId="27974"/>
    <cellStyle name="SAPBEXHLevel3 4 2 9 3" xfId="27975"/>
    <cellStyle name="SAPBEXHLevel3 4 2_planning-WP" xfId="27976"/>
    <cellStyle name="SAPBEXHLevel3 4 3" xfId="27977"/>
    <cellStyle name="SAPBEXHLevel3 4 3 10" xfId="27978"/>
    <cellStyle name="SAPBEXHLevel3 4 3 10 2" xfId="27979"/>
    <cellStyle name="SAPBEXHLevel3 4 3 2" xfId="27980"/>
    <cellStyle name="SAPBEXHLevel3 4 3 2 2" xfId="27981"/>
    <cellStyle name="SAPBEXHLevel3 4 3 2 2 2" xfId="27982"/>
    <cellStyle name="SAPBEXHLevel3 4 3 2 3" xfId="27983"/>
    <cellStyle name="SAPBEXHLevel3 4 3 3" xfId="27984"/>
    <cellStyle name="SAPBEXHLevel3 4 3 3 2" xfId="27985"/>
    <cellStyle name="SAPBEXHLevel3 4 3 3 2 2" xfId="27986"/>
    <cellStyle name="SAPBEXHLevel3 4 3 3 3" xfId="27987"/>
    <cellStyle name="SAPBEXHLevel3 4 3 4" xfId="27988"/>
    <cellStyle name="SAPBEXHLevel3 4 3 4 2" xfId="27989"/>
    <cellStyle name="SAPBEXHLevel3 4 3 4 2 2" xfId="27990"/>
    <cellStyle name="SAPBEXHLevel3 4 3 4 3" xfId="27991"/>
    <cellStyle name="SAPBEXHLevel3 4 3 5" xfId="27992"/>
    <cellStyle name="SAPBEXHLevel3 4 3 5 2" xfId="27993"/>
    <cellStyle name="SAPBEXHLevel3 4 3 5 2 2" xfId="27994"/>
    <cellStyle name="SAPBEXHLevel3 4 3 5 3" xfId="27995"/>
    <cellStyle name="SAPBEXHLevel3 4 3 6" xfId="27996"/>
    <cellStyle name="SAPBEXHLevel3 4 3 6 2" xfId="27997"/>
    <cellStyle name="SAPBEXHLevel3 4 3 6 2 2" xfId="27998"/>
    <cellStyle name="SAPBEXHLevel3 4 3 6 3" xfId="27999"/>
    <cellStyle name="SAPBEXHLevel3 4 3 7" xfId="28000"/>
    <cellStyle name="SAPBEXHLevel3 4 3 7 2" xfId="28001"/>
    <cellStyle name="SAPBEXHLevel3 4 3 7 2 2" xfId="28002"/>
    <cellStyle name="SAPBEXHLevel3 4 3 7 3" xfId="28003"/>
    <cellStyle name="SAPBEXHLevel3 4 3 8" xfId="28004"/>
    <cellStyle name="SAPBEXHLevel3 4 3 8 2" xfId="28005"/>
    <cellStyle name="SAPBEXHLevel3 4 3 8 2 2" xfId="28006"/>
    <cellStyle name="SAPBEXHLevel3 4 3 8 3" xfId="28007"/>
    <cellStyle name="SAPBEXHLevel3 4 3 9" xfId="28008"/>
    <cellStyle name="SAPBEXHLevel3 4 3 9 2" xfId="28009"/>
    <cellStyle name="SAPBEXHLevel3 4 3 9 2 2" xfId="28010"/>
    <cellStyle name="SAPBEXHLevel3 4 3 9 3" xfId="28011"/>
    <cellStyle name="SAPBEXHLevel3 4 3_planning-WP" xfId="28012"/>
    <cellStyle name="SAPBEXHLevel3 4 4" xfId="28013"/>
    <cellStyle name="SAPBEXHLevel3 4 4 2" xfId="28014"/>
    <cellStyle name="SAPBEXHLevel3 4 4 2 2" xfId="28015"/>
    <cellStyle name="SAPBEXHLevel3 4 4 2 2 2" xfId="28016"/>
    <cellStyle name="SAPBEXHLevel3 4 4 2 3" xfId="28017"/>
    <cellStyle name="SAPBEXHLevel3 4 4 3" xfId="28018"/>
    <cellStyle name="SAPBEXHLevel3 4 4 3 2" xfId="28019"/>
    <cellStyle name="SAPBEXHLevel3 4 4 3 2 2" xfId="28020"/>
    <cellStyle name="SAPBEXHLevel3 4 4 3 3" xfId="28021"/>
    <cellStyle name="SAPBEXHLevel3 4 4 4" xfId="28022"/>
    <cellStyle name="SAPBEXHLevel3 4 4 4 2" xfId="28023"/>
    <cellStyle name="SAPBEXHLevel3 4 4 4 2 2" xfId="28024"/>
    <cellStyle name="SAPBEXHLevel3 4 4 4 3" xfId="28025"/>
    <cellStyle name="SAPBEXHLevel3 4 4 5" xfId="28026"/>
    <cellStyle name="SAPBEXHLevel3 4 4 5 2" xfId="28027"/>
    <cellStyle name="SAPBEXHLevel3 4 4 5 2 2" xfId="28028"/>
    <cellStyle name="SAPBEXHLevel3 4 4 5 3" xfId="28029"/>
    <cellStyle name="SAPBEXHLevel3 4 4 6" xfId="28030"/>
    <cellStyle name="SAPBEXHLevel3 4 4 6 2" xfId="28031"/>
    <cellStyle name="SAPBEXHLevel3 4 4 6 2 2" xfId="28032"/>
    <cellStyle name="SAPBEXHLevel3 4 4 6 3" xfId="28033"/>
    <cellStyle name="SAPBEXHLevel3 4 4 7" xfId="28034"/>
    <cellStyle name="SAPBEXHLevel3 4 4 7 2" xfId="28035"/>
    <cellStyle name="SAPBEXHLevel3 4 4 7 2 2" xfId="28036"/>
    <cellStyle name="SAPBEXHLevel3 4 4 7 3" xfId="28037"/>
    <cellStyle name="SAPBEXHLevel3 4 4 8" xfId="28038"/>
    <cellStyle name="SAPBEXHLevel3 4 4 8 2" xfId="28039"/>
    <cellStyle name="SAPBEXHLevel3 4 4 8 2 2" xfId="28040"/>
    <cellStyle name="SAPBEXHLevel3 4 4 8 3" xfId="28041"/>
    <cellStyle name="SAPBEXHLevel3 4 4 9" xfId="28042"/>
    <cellStyle name="SAPBEXHLevel3 4 4 9 2" xfId="28043"/>
    <cellStyle name="SAPBEXHLevel3 4 4_planning-WP" xfId="28044"/>
    <cellStyle name="SAPBEXHLevel3 4 5" xfId="28045"/>
    <cellStyle name="SAPBEXHLevel3 4 5 2" xfId="28046"/>
    <cellStyle name="SAPBEXHLevel3 4 5 2 2" xfId="28047"/>
    <cellStyle name="SAPBEXHLevel3 4 6" xfId="28048"/>
    <cellStyle name="SAPBEXHLevel3 4 6 2" xfId="28049"/>
    <cellStyle name="SAPBEXHLevel3 4 6 2 2" xfId="28050"/>
    <cellStyle name="SAPBEXHLevel3 4 6 3" xfId="28051"/>
    <cellStyle name="SAPBEXHLevel3 4 7" xfId="28052"/>
    <cellStyle name="SAPBEXHLevel3 4 7 2" xfId="28053"/>
    <cellStyle name="SAPBEXHLevel3 4 7 2 2" xfId="28054"/>
    <cellStyle name="SAPBEXHLevel3 4 7 3" xfId="28055"/>
    <cellStyle name="SAPBEXHLevel3 4 8" xfId="28056"/>
    <cellStyle name="SAPBEXHLevel3 4 8 2" xfId="28057"/>
    <cellStyle name="SAPBEXHLevel3 4 8 2 2" xfId="28058"/>
    <cellStyle name="SAPBEXHLevel3 4 8 3" xfId="28059"/>
    <cellStyle name="SAPBEXHLevel3 4 9" xfId="28060"/>
    <cellStyle name="SAPBEXHLevel3 4 9 2" xfId="28061"/>
    <cellStyle name="SAPBEXHLevel3 4 9 2 2" xfId="28062"/>
    <cellStyle name="SAPBEXHLevel3 4 9 3" xfId="28063"/>
    <cellStyle name="SAPBEXHLevel3 4_planning-WP" xfId="28064"/>
    <cellStyle name="SAPBEXHLevel3 5" xfId="28065"/>
    <cellStyle name="SAPBEXHLevel3 5 10" xfId="28066"/>
    <cellStyle name="SAPBEXHLevel3 5 10 2" xfId="28067"/>
    <cellStyle name="SAPBEXHLevel3 5 10 2 2" xfId="28068"/>
    <cellStyle name="SAPBEXHLevel3 5 10 3" xfId="28069"/>
    <cellStyle name="SAPBEXHLevel3 5 11" xfId="28070"/>
    <cellStyle name="SAPBEXHLevel3 5 11 2" xfId="28071"/>
    <cellStyle name="SAPBEXHLevel3 5 11 2 2" xfId="28072"/>
    <cellStyle name="SAPBEXHLevel3 5 11 3" xfId="28073"/>
    <cellStyle name="SAPBEXHLevel3 5 12" xfId="28074"/>
    <cellStyle name="SAPBEXHLevel3 5 12 2" xfId="28075"/>
    <cellStyle name="SAPBEXHLevel3 5 12 2 2" xfId="28076"/>
    <cellStyle name="SAPBEXHLevel3 5 12 3" xfId="28077"/>
    <cellStyle name="SAPBEXHLevel3 5 13" xfId="28078"/>
    <cellStyle name="SAPBEXHLevel3 5 14" xfId="39081"/>
    <cellStyle name="SAPBEXHLevel3 5 15" xfId="39466"/>
    <cellStyle name="SAPBEXHLevel3 5 2" xfId="28079"/>
    <cellStyle name="SAPBEXHLevel3 5 2 10" xfId="28080"/>
    <cellStyle name="SAPBEXHLevel3 5 2 10 2" xfId="28081"/>
    <cellStyle name="SAPBEXHLevel3 5 2 10 2 2" xfId="28082"/>
    <cellStyle name="SAPBEXHLevel3 5 2 10 3" xfId="28083"/>
    <cellStyle name="SAPBEXHLevel3 5 2 11" xfId="28084"/>
    <cellStyle name="SAPBEXHLevel3 5 2 11 2" xfId="28085"/>
    <cellStyle name="SAPBEXHLevel3 5 2 2" xfId="28086"/>
    <cellStyle name="SAPBEXHLevel3 5 2 2 10" xfId="28087"/>
    <cellStyle name="SAPBEXHLevel3 5 2 2 10 2" xfId="28088"/>
    <cellStyle name="SAPBEXHLevel3 5 2 2 2" xfId="28089"/>
    <cellStyle name="SAPBEXHLevel3 5 2 2 2 2" xfId="28090"/>
    <cellStyle name="SAPBEXHLevel3 5 2 2 2 2 2" xfId="28091"/>
    <cellStyle name="SAPBEXHLevel3 5 2 2 2 3" xfId="28092"/>
    <cellStyle name="SAPBEXHLevel3 5 2 2 3" xfId="28093"/>
    <cellStyle name="SAPBEXHLevel3 5 2 2 3 2" xfId="28094"/>
    <cellStyle name="SAPBEXHLevel3 5 2 2 3 2 2" xfId="28095"/>
    <cellStyle name="SAPBEXHLevel3 5 2 2 3 3" xfId="28096"/>
    <cellStyle name="SAPBEXHLevel3 5 2 2 4" xfId="28097"/>
    <cellStyle name="SAPBEXHLevel3 5 2 2 4 2" xfId="28098"/>
    <cellStyle name="SAPBEXHLevel3 5 2 2 4 2 2" xfId="28099"/>
    <cellStyle name="SAPBEXHLevel3 5 2 2 4 3" xfId="28100"/>
    <cellStyle name="SAPBEXHLevel3 5 2 2 5" xfId="28101"/>
    <cellStyle name="SAPBEXHLevel3 5 2 2 5 2" xfId="28102"/>
    <cellStyle name="SAPBEXHLevel3 5 2 2 5 2 2" xfId="28103"/>
    <cellStyle name="SAPBEXHLevel3 5 2 2 5 3" xfId="28104"/>
    <cellStyle name="SAPBEXHLevel3 5 2 2 6" xfId="28105"/>
    <cellStyle name="SAPBEXHLevel3 5 2 2 6 2" xfId="28106"/>
    <cellStyle name="SAPBEXHLevel3 5 2 2 6 2 2" xfId="28107"/>
    <cellStyle name="SAPBEXHLevel3 5 2 2 6 3" xfId="28108"/>
    <cellStyle name="SAPBEXHLevel3 5 2 2 7" xfId="28109"/>
    <cellStyle name="SAPBEXHLevel3 5 2 2 7 2" xfId="28110"/>
    <cellStyle name="SAPBEXHLevel3 5 2 2 7 2 2" xfId="28111"/>
    <cellStyle name="SAPBEXHLevel3 5 2 2 7 3" xfId="28112"/>
    <cellStyle name="SAPBEXHLevel3 5 2 2 8" xfId="28113"/>
    <cellStyle name="SAPBEXHLevel3 5 2 2 8 2" xfId="28114"/>
    <cellStyle name="SAPBEXHLevel3 5 2 2 8 2 2" xfId="28115"/>
    <cellStyle name="SAPBEXHLevel3 5 2 2 8 3" xfId="28116"/>
    <cellStyle name="SAPBEXHLevel3 5 2 2 9" xfId="28117"/>
    <cellStyle name="SAPBEXHLevel3 5 2 2 9 2" xfId="28118"/>
    <cellStyle name="SAPBEXHLevel3 5 2 2 9 2 2" xfId="28119"/>
    <cellStyle name="SAPBEXHLevel3 5 2 2 9 3" xfId="28120"/>
    <cellStyle name="SAPBEXHLevel3 5 2 2_planning-WP" xfId="28121"/>
    <cellStyle name="SAPBEXHLevel3 5 2 3" xfId="28122"/>
    <cellStyle name="SAPBEXHLevel3 5 2 3 2" xfId="28123"/>
    <cellStyle name="SAPBEXHLevel3 5 2 3 2 2" xfId="28124"/>
    <cellStyle name="SAPBEXHLevel3 5 2 3 3" xfId="28125"/>
    <cellStyle name="SAPBEXHLevel3 5 2 4" xfId="28126"/>
    <cellStyle name="SAPBEXHLevel3 5 2 4 2" xfId="28127"/>
    <cellStyle name="SAPBEXHLevel3 5 2 4 2 2" xfId="28128"/>
    <cellStyle name="SAPBEXHLevel3 5 2 4 3" xfId="28129"/>
    <cellStyle name="SAPBEXHLevel3 5 2 5" xfId="28130"/>
    <cellStyle name="SAPBEXHLevel3 5 2 5 2" xfId="28131"/>
    <cellStyle name="SAPBEXHLevel3 5 2 5 2 2" xfId="28132"/>
    <cellStyle name="SAPBEXHLevel3 5 2 5 3" xfId="28133"/>
    <cellStyle name="SAPBEXHLevel3 5 2 6" xfId="28134"/>
    <cellStyle name="SAPBEXHLevel3 5 2 6 2" xfId="28135"/>
    <cellStyle name="SAPBEXHLevel3 5 2 6 2 2" xfId="28136"/>
    <cellStyle name="SAPBEXHLevel3 5 2 6 3" xfId="28137"/>
    <cellStyle name="SAPBEXHLevel3 5 2 7" xfId="28138"/>
    <cellStyle name="SAPBEXHLevel3 5 2 7 2" xfId="28139"/>
    <cellStyle name="SAPBEXHLevel3 5 2 7 2 2" xfId="28140"/>
    <cellStyle name="SAPBEXHLevel3 5 2 7 3" xfId="28141"/>
    <cellStyle name="SAPBEXHLevel3 5 2 8" xfId="28142"/>
    <cellStyle name="SAPBEXHLevel3 5 2 8 2" xfId="28143"/>
    <cellStyle name="SAPBEXHLevel3 5 2 8 2 2" xfId="28144"/>
    <cellStyle name="SAPBEXHLevel3 5 2 8 3" xfId="28145"/>
    <cellStyle name="SAPBEXHLevel3 5 2 9" xfId="28146"/>
    <cellStyle name="SAPBEXHLevel3 5 2 9 2" xfId="28147"/>
    <cellStyle name="SAPBEXHLevel3 5 2 9 2 2" xfId="28148"/>
    <cellStyle name="SAPBEXHLevel3 5 2 9 3" xfId="28149"/>
    <cellStyle name="SAPBEXHLevel3 5 2_planning-WP" xfId="28150"/>
    <cellStyle name="SAPBEXHLevel3 5 3" xfId="28151"/>
    <cellStyle name="SAPBEXHLevel3 5 3 10" xfId="28152"/>
    <cellStyle name="SAPBEXHLevel3 5 3 10 2" xfId="28153"/>
    <cellStyle name="SAPBEXHLevel3 5 3 2" xfId="28154"/>
    <cellStyle name="SAPBEXHLevel3 5 3 2 2" xfId="28155"/>
    <cellStyle name="SAPBEXHLevel3 5 3 2 2 2" xfId="28156"/>
    <cellStyle name="SAPBEXHLevel3 5 3 2 3" xfId="28157"/>
    <cellStyle name="SAPBEXHLevel3 5 3 3" xfId="28158"/>
    <cellStyle name="SAPBEXHLevel3 5 3 3 2" xfId="28159"/>
    <cellStyle name="SAPBEXHLevel3 5 3 3 2 2" xfId="28160"/>
    <cellStyle name="SAPBEXHLevel3 5 3 3 3" xfId="28161"/>
    <cellStyle name="SAPBEXHLevel3 5 3 4" xfId="28162"/>
    <cellStyle name="SAPBEXHLevel3 5 3 4 2" xfId="28163"/>
    <cellStyle name="SAPBEXHLevel3 5 3 4 2 2" xfId="28164"/>
    <cellStyle name="SAPBEXHLevel3 5 3 4 3" xfId="28165"/>
    <cellStyle name="SAPBEXHLevel3 5 3 5" xfId="28166"/>
    <cellStyle name="SAPBEXHLevel3 5 3 5 2" xfId="28167"/>
    <cellStyle name="SAPBEXHLevel3 5 3 5 2 2" xfId="28168"/>
    <cellStyle name="SAPBEXHLevel3 5 3 5 3" xfId="28169"/>
    <cellStyle name="SAPBEXHLevel3 5 3 6" xfId="28170"/>
    <cellStyle name="SAPBEXHLevel3 5 3 6 2" xfId="28171"/>
    <cellStyle name="SAPBEXHLevel3 5 3 6 2 2" xfId="28172"/>
    <cellStyle name="SAPBEXHLevel3 5 3 6 3" xfId="28173"/>
    <cellStyle name="SAPBEXHLevel3 5 3 7" xfId="28174"/>
    <cellStyle name="SAPBEXHLevel3 5 3 7 2" xfId="28175"/>
    <cellStyle name="SAPBEXHLevel3 5 3 7 2 2" xfId="28176"/>
    <cellStyle name="SAPBEXHLevel3 5 3 7 3" xfId="28177"/>
    <cellStyle name="SAPBEXHLevel3 5 3 8" xfId="28178"/>
    <cellStyle name="SAPBEXHLevel3 5 3 8 2" xfId="28179"/>
    <cellStyle name="SAPBEXHLevel3 5 3 8 2 2" xfId="28180"/>
    <cellStyle name="SAPBEXHLevel3 5 3 8 3" xfId="28181"/>
    <cellStyle name="SAPBEXHLevel3 5 3 9" xfId="28182"/>
    <cellStyle name="SAPBEXHLevel3 5 3 9 2" xfId="28183"/>
    <cellStyle name="SAPBEXHLevel3 5 3 9 2 2" xfId="28184"/>
    <cellStyle name="SAPBEXHLevel3 5 3 9 3" xfId="28185"/>
    <cellStyle name="SAPBEXHLevel3 5 3_planning-WP" xfId="28186"/>
    <cellStyle name="SAPBEXHLevel3 5 4" xfId="28187"/>
    <cellStyle name="SAPBEXHLevel3 5 4 2" xfId="28188"/>
    <cellStyle name="SAPBEXHLevel3 5 4 2 2" xfId="28189"/>
    <cellStyle name="SAPBEXHLevel3 5 4 2 2 2" xfId="28190"/>
    <cellStyle name="SAPBEXHLevel3 5 4 2 3" xfId="28191"/>
    <cellStyle name="SAPBEXHLevel3 5 4 3" xfId="28192"/>
    <cellStyle name="SAPBEXHLevel3 5 4 3 2" xfId="28193"/>
    <cellStyle name="SAPBEXHLevel3 5 4 3 2 2" xfId="28194"/>
    <cellStyle name="SAPBEXHLevel3 5 4 3 3" xfId="28195"/>
    <cellStyle name="SAPBEXHLevel3 5 4 4" xfId="28196"/>
    <cellStyle name="SAPBEXHLevel3 5 4 4 2" xfId="28197"/>
    <cellStyle name="SAPBEXHLevel3 5 4 4 2 2" xfId="28198"/>
    <cellStyle name="SAPBEXHLevel3 5 4 4 3" xfId="28199"/>
    <cellStyle name="SAPBEXHLevel3 5 4 5" xfId="28200"/>
    <cellStyle name="SAPBEXHLevel3 5 4 5 2" xfId="28201"/>
    <cellStyle name="SAPBEXHLevel3 5 4 5 2 2" xfId="28202"/>
    <cellStyle name="SAPBEXHLevel3 5 4 5 3" xfId="28203"/>
    <cellStyle name="SAPBEXHLevel3 5 4 6" xfId="28204"/>
    <cellStyle name="SAPBEXHLevel3 5 4 6 2" xfId="28205"/>
    <cellStyle name="SAPBEXHLevel3 5 4 6 2 2" xfId="28206"/>
    <cellStyle name="SAPBEXHLevel3 5 4 6 3" xfId="28207"/>
    <cellStyle name="SAPBEXHLevel3 5 4 7" xfId="28208"/>
    <cellStyle name="SAPBEXHLevel3 5 4 7 2" xfId="28209"/>
    <cellStyle name="SAPBEXHLevel3 5 4 7 2 2" xfId="28210"/>
    <cellStyle name="SAPBEXHLevel3 5 4 7 3" xfId="28211"/>
    <cellStyle name="SAPBEXHLevel3 5 4 8" xfId="28212"/>
    <cellStyle name="SAPBEXHLevel3 5 4 8 2" xfId="28213"/>
    <cellStyle name="SAPBEXHLevel3 5 4 8 2 2" xfId="28214"/>
    <cellStyle name="SAPBEXHLevel3 5 4 8 3" xfId="28215"/>
    <cellStyle name="SAPBEXHLevel3 5 4 9" xfId="28216"/>
    <cellStyle name="SAPBEXHLevel3 5 4 9 2" xfId="28217"/>
    <cellStyle name="SAPBEXHLevel3 5 4_planning-WP" xfId="28218"/>
    <cellStyle name="SAPBEXHLevel3 5 5" xfId="28219"/>
    <cellStyle name="SAPBEXHLevel3 5 5 2" xfId="28220"/>
    <cellStyle name="SAPBEXHLevel3 5 5 2 2" xfId="28221"/>
    <cellStyle name="SAPBEXHLevel3 5 6" xfId="28222"/>
    <cellStyle name="SAPBEXHLevel3 5 6 2" xfId="28223"/>
    <cellStyle name="SAPBEXHLevel3 5 6 2 2" xfId="28224"/>
    <cellStyle name="SAPBEXHLevel3 5 6 3" xfId="28225"/>
    <cellStyle name="SAPBEXHLevel3 5 7" xfId="28226"/>
    <cellStyle name="SAPBEXHLevel3 5 7 2" xfId="28227"/>
    <cellStyle name="SAPBEXHLevel3 5 7 2 2" xfId="28228"/>
    <cellStyle name="SAPBEXHLevel3 5 7 3" xfId="28229"/>
    <cellStyle name="SAPBEXHLevel3 5 8" xfId="28230"/>
    <cellStyle name="SAPBEXHLevel3 5 8 2" xfId="28231"/>
    <cellStyle name="SAPBEXHLevel3 5 8 2 2" xfId="28232"/>
    <cellStyle name="SAPBEXHLevel3 5 8 3" xfId="28233"/>
    <cellStyle name="SAPBEXHLevel3 5 9" xfId="28234"/>
    <cellStyle name="SAPBEXHLevel3 5 9 2" xfId="28235"/>
    <cellStyle name="SAPBEXHLevel3 5 9 2 2" xfId="28236"/>
    <cellStyle name="SAPBEXHLevel3 5 9 3" xfId="28237"/>
    <cellStyle name="SAPBEXHLevel3 5_planning-WP" xfId="28238"/>
    <cellStyle name="SAPBEXHLevel3 6" xfId="28239"/>
    <cellStyle name="SAPBEXHLevel3 6 10" xfId="28240"/>
    <cellStyle name="SAPBEXHLevel3 6 10 2" xfId="28241"/>
    <cellStyle name="SAPBEXHLevel3 6 10 2 2" xfId="28242"/>
    <cellStyle name="SAPBEXHLevel3 6 10 3" xfId="28243"/>
    <cellStyle name="SAPBEXHLevel3 6 11" xfId="28244"/>
    <cellStyle name="SAPBEXHLevel3 6 11 2" xfId="28245"/>
    <cellStyle name="SAPBEXHLevel3 6 11 2 2" xfId="28246"/>
    <cellStyle name="SAPBEXHLevel3 6 11 3" xfId="28247"/>
    <cellStyle name="SAPBEXHLevel3 6 12" xfId="28248"/>
    <cellStyle name="SAPBEXHLevel3 6 13" xfId="39082"/>
    <cellStyle name="SAPBEXHLevel3 6 14" xfId="39467"/>
    <cellStyle name="SAPBEXHLevel3 6 2" xfId="28249"/>
    <cellStyle name="SAPBEXHLevel3 6 2 10" xfId="28250"/>
    <cellStyle name="SAPBEXHLevel3 6 2 10 2" xfId="28251"/>
    <cellStyle name="SAPBEXHLevel3 6 2 2" xfId="28252"/>
    <cellStyle name="SAPBEXHLevel3 6 2 2 2" xfId="28253"/>
    <cellStyle name="SAPBEXHLevel3 6 2 2 2 2" xfId="28254"/>
    <cellStyle name="SAPBEXHLevel3 6 2 2 3" xfId="28255"/>
    <cellStyle name="SAPBEXHLevel3 6 2 3" xfId="28256"/>
    <cellStyle name="SAPBEXHLevel3 6 2 3 2" xfId="28257"/>
    <cellStyle name="SAPBEXHLevel3 6 2 3 2 2" xfId="28258"/>
    <cellStyle name="SAPBEXHLevel3 6 2 3 3" xfId="28259"/>
    <cellStyle name="SAPBEXHLevel3 6 2 4" xfId="28260"/>
    <cellStyle name="SAPBEXHLevel3 6 2 4 2" xfId="28261"/>
    <cellStyle name="SAPBEXHLevel3 6 2 4 2 2" xfId="28262"/>
    <cellStyle name="SAPBEXHLevel3 6 2 4 3" xfId="28263"/>
    <cellStyle name="SAPBEXHLevel3 6 2 5" xfId="28264"/>
    <cellStyle name="SAPBEXHLevel3 6 2 5 2" xfId="28265"/>
    <cellStyle name="SAPBEXHLevel3 6 2 5 2 2" xfId="28266"/>
    <cellStyle name="SAPBEXHLevel3 6 2 5 3" xfId="28267"/>
    <cellStyle name="SAPBEXHLevel3 6 2 6" xfId="28268"/>
    <cellStyle name="SAPBEXHLevel3 6 2 6 2" xfId="28269"/>
    <cellStyle name="SAPBEXHLevel3 6 2 6 2 2" xfId="28270"/>
    <cellStyle name="SAPBEXHLevel3 6 2 6 3" xfId="28271"/>
    <cellStyle name="SAPBEXHLevel3 6 2 7" xfId="28272"/>
    <cellStyle name="SAPBEXHLevel3 6 2 7 2" xfId="28273"/>
    <cellStyle name="SAPBEXHLevel3 6 2 7 2 2" xfId="28274"/>
    <cellStyle name="SAPBEXHLevel3 6 2 7 3" xfId="28275"/>
    <cellStyle name="SAPBEXHLevel3 6 2 8" xfId="28276"/>
    <cellStyle name="SAPBEXHLevel3 6 2 8 2" xfId="28277"/>
    <cellStyle name="SAPBEXHLevel3 6 2 8 2 2" xfId="28278"/>
    <cellStyle name="SAPBEXHLevel3 6 2 8 3" xfId="28279"/>
    <cellStyle name="SAPBEXHLevel3 6 2 9" xfId="28280"/>
    <cellStyle name="SAPBEXHLevel3 6 2 9 2" xfId="28281"/>
    <cellStyle name="SAPBEXHLevel3 6 2 9 2 2" xfId="28282"/>
    <cellStyle name="SAPBEXHLevel3 6 2 9 3" xfId="28283"/>
    <cellStyle name="SAPBEXHLevel3 6 2_planning-WP" xfId="28284"/>
    <cellStyle name="SAPBEXHLevel3 6 3" xfId="28285"/>
    <cellStyle name="SAPBEXHLevel3 6 3 2" xfId="28286"/>
    <cellStyle name="SAPBEXHLevel3 6 3 2 2" xfId="28287"/>
    <cellStyle name="SAPBEXHLevel3 6 3 2 2 2" xfId="28288"/>
    <cellStyle name="SAPBEXHLevel3 6 3 2 3" xfId="28289"/>
    <cellStyle name="SAPBEXHLevel3 6 3 3" xfId="28290"/>
    <cellStyle name="SAPBEXHLevel3 6 3 3 2" xfId="28291"/>
    <cellStyle name="SAPBEXHLevel3 6 3 3 2 2" xfId="28292"/>
    <cellStyle name="SAPBEXHLevel3 6 3 3 3" xfId="28293"/>
    <cellStyle name="SAPBEXHLevel3 6 3 4" xfId="28294"/>
    <cellStyle name="SAPBEXHLevel3 6 3 4 2" xfId="28295"/>
    <cellStyle name="SAPBEXHLevel3 6 3 4 2 2" xfId="28296"/>
    <cellStyle name="SAPBEXHLevel3 6 3 4 3" xfId="28297"/>
    <cellStyle name="SAPBEXHLevel3 6 3 5" xfId="28298"/>
    <cellStyle name="SAPBEXHLevel3 6 3 5 2" xfId="28299"/>
    <cellStyle name="SAPBEXHLevel3 6 3 5 2 2" xfId="28300"/>
    <cellStyle name="SAPBEXHLevel3 6 3 5 3" xfId="28301"/>
    <cellStyle name="SAPBEXHLevel3 6 3 6" xfId="28302"/>
    <cellStyle name="SAPBEXHLevel3 6 3 6 2" xfId="28303"/>
    <cellStyle name="SAPBEXHLevel3 6 3 6 2 2" xfId="28304"/>
    <cellStyle name="SAPBEXHLevel3 6 3 6 3" xfId="28305"/>
    <cellStyle name="SAPBEXHLevel3 6 3 7" xfId="28306"/>
    <cellStyle name="SAPBEXHLevel3 6 3 7 2" xfId="28307"/>
    <cellStyle name="SAPBEXHLevel3 6 3 7 2 2" xfId="28308"/>
    <cellStyle name="SAPBEXHLevel3 6 3 7 3" xfId="28309"/>
    <cellStyle name="SAPBEXHLevel3 6 3 8" xfId="28310"/>
    <cellStyle name="SAPBEXHLevel3 6 3 8 2" xfId="28311"/>
    <cellStyle name="SAPBEXHLevel3 6 3 8 2 2" xfId="28312"/>
    <cellStyle name="SAPBEXHLevel3 6 3 8 3" xfId="28313"/>
    <cellStyle name="SAPBEXHLevel3 6 3 9" xfId="28314"/>
    <cellStyle name="SAPBEXHLevel3 6 3 9 2" xfId="28315"/>
    <cellStyle name="SAPBEXHLevel3 6 3_planning-WP" xfId="28316"/>
    <cellStyle name="SAPBEXHLevel3 6 4" xfId="28317"/>
    <cellStyle name="SAPBEXHLevel3 6 4 2" xfId="28318"/>
    <cellStyle name="SAPBEXHLevel3 6 4 2 2" xfId="28319"/>
    <cellStyle name="SAPBEXHLevel3 6 5" xfId="28320"/>
    <cellStyle name="SAPBEXHLevel3 6 5 2" xfId="28321"/>
    <cellStyle name="SAPBEXHLevel3 6 5 2 2" xfId="28322"/>
    <cellStyle name="SAPBEXHLevel3 6 5 3" xfId="28323"/>
    <cellStyle name="SAPBEXHLevel3 6 6" xfId="28324"/>
    <cellStyle name="SAPBEXHLevel3 6 6 2" xfId="28325"/>
    <cellStyle name="SAPBEXHLevel3 6 6 2 2" xfId="28326"/>
    <cellStyle name="SAPBEXHLevel3 6 6 3" xfId="28327"/>
    <cellStyle name="SAPBEXHLevel3 6 7" xfId="28328"/>
    <cellStyle name="SAPBEXHLevel3 6 7 2" xfId="28329"/>
    <cellStyle name="SAPBEXHLevel3 6 7 2 2" xfId="28330"/>
    <cellStyle name="SAPBEXHLevel3 6 7 3" xfId="28331"/>
    <cellStyle name="SAPBEXHLevel3 6 8" xfId="28332"/>
    <cellStyle name="SAPBEXHLevel3 6 8 2" xfId="28333"/>
    <cellStyle name="SAPBEXHLevel3 6 8 2 2" xfId="28334"/>
    <cellStyle name="SAPBEXHLevel3 6 8 3" xfId="28335"/>
    <cellStyle name="SAPBEXHLevel3 6 9" xfId="28336"/>
    <cellStyle name="SAPBEXHLevel3 6 9 2" xfId="28337"/>
    <cellStyle name="SAPBEXHLevel3 6 9 2 2" xfId="28338"/>
    <cellStyle name="SAPBEXHLevel3 6 9 3" xfId="28339"/>
    <cellStyle name="SAPBEXHLevel3 6_planning-WP" xfId="28340"/>
    <cellStyle name="SAPBEXHLevel3 7" xfId="28341"/>
    <cellStyle name="SAPBEXHLevel3 7 10" xfId="28342"/>
    <cellStyle name="SAPBEXHLevel3 7 10 2" xfId="28343"/>
    <cellStyle name="SAPBEXHLevel3 7 10 2 2" xfId="28344"/>
    <cellStyle name="SAPBEXHLevel3 7 10 3" xfId="28345"/>
    <cellStyle name="SAPBEXHLevel3 7 11" xfId="28346"/>
    <cellStyle name="SAPBEXHLevel3 7 11 2" xfId="28347"/>
    <cellStyle name="SAPBEXHLevel3 7 12" xfId="39083"/>
    <cellStyle name="SAPBEXHLevel3 7 13" xfId="39468"/>
    <cellStyle name="SAPBEXHLevel3 7 2" xfId="28348"/>
    <cellStyle name="SAPBEXHLevel3 7 2 10" xfId="28349"/>
    <cellStyle name="SAPBEXHLevel3 7 2 10 2" xfId="28350"/>
    <cellStyle name="SAPBEXHLevel3 7 2 2" xfId="28351"/>
    <cellStyle name="SAPBEXHLevel3 7 2 2 2" xfId="28352"/>
    <cellStyle name="SAPBEXHLevel3 7 2 2 2 2" xfId="28353"/>
    <cellStyle name="SAPBEXHLevel3 7 2 2 3" xfId="28354"/>
    <cellStyle name="SAPBEXHLevel3 7 2 3" xfId="28355"/>
    <cellStyle name="SAPBEXHLevel3 7 2 3 2" xfId="28356"/>
    <cellStyle name="SAPBEXHLevel3 7 2 3 2 2" xfId="28357"/>
    <cellStyle name="SAPBEXHLevel3 7 2 3 3" xfId="28358"/>
    <cellStyle name="SAPBEXHLevel3 7 2 4" xfId="28359"/>
    <cellStyle name="SAPBEXHLevel3 7 2 4 2" xfId="28360"/>
    <cellStyle name="SAPBEXHLevel3 7 2 4 2 2" xfId="28361"/>
    <cellStyle name="SAPBEXHLevel3 7 2 4 3" xfId="28362"/>
    <cellStyle name="SAPBEXHLevel3 7 2 5" xfId="28363"/>
    <cellStyle name="SAPBEXHLevel3 7 2 5 2" xfId="28364"/>
    <cellStyle name="SAPBEXHLevel3 7 2 5 2 2" xfId="28365"/>
    <cellStyle name="SAPBEXHLevel3 7 2 5 3" xfId="28366"/>
    <cellStyle name="SAPBEXHLevel3 7 2 6" xfId="28367"/>
    <cellStyle name="SAPBEXHLevel3 7 2 6 2" xfId="28368"/>
    <cellStyle name="SAPBEXHLevel3 7 2 6 2 2" xfId="28369"/>
    <cellStyle name="SAPBEXHLevel3 7 2 6 3" xfId="28370"/>
    <cellStyle name="SAPBEXHLevel3 7 2 7" xfId="28371"/>
    <cellStyle name="SAPBEXHLevel3 7 2 7 2" xfId="28372"/>
    <cellStyle name="SAPBEXHLevel3 7 2 7 2 2" xfId="28373"/>
    <cellStyle name="SAPBEXHLevel3 7 2 7 3" xfId="28374"/>
    <cellStyle name="SAPBEXHLevel3 7 2 8" xfId="28375"/>
    <cellStyle name="SAPBEXHLevel3 7 2 8 2" xfId="28376"/>
    <cellStyle name="SAPBEXHLevel3 7 2 8 2 2" xfId="28377"/>
    <cellStyle name="SAPBEXHLevel3 7 2 8 3" xfId="28378"/>
    <cellStyle name="SAPBEXHLevel3 7 2 9" xfId="28379"/>
    <cellStyle name="SAPBEXHLevel3 7 2 9 2" xfId="28380"/>
    <cellStyle name="SAPBEXHLevel3 7 2 9 2 2" xfId="28381"/>
    <cellStyle name="SAPBEXHLevel3 7 2 9 3" xfId="28382"/>
    <cellStyle name="SAPBEXHLevel3 7 2_planning-WP" xfId="28383"/>
    <cellStyle name="SAPBEXHLevel3 7 3" xfId="28384"/>
    <cellStyle name="SAPBEXHLevel3 7 3 2" xfId="28385"/>
    <cellStyle name="SAPBEXHLevel3 7 3 2 2" xfId="28386"/>
    <cellStyle name="SAPBEXHLevel3 7 3 3" xfId="28387"/>
    <cellStyle name="SAPBEXHLevel3 7 4" xfId="28388"/>
    <cellStyle name="SAPBEXHLevel3 7 4 2" xfId="28389"/>
    <cellStyle name="SAPBEXHLevel3 7 4 2 2" xfId="28390"/>
    <cellStyle name="SAPBEXHLevel3 7 4 3" xfId="28391"/>
    <cellStyle name="SAPBEXHLevel3 7 5" xfId="28392"/>
    <cellStyle name="SAPBEXHLevel3 7 5 2" xfId="28393"/>
    <cellStyle name="SAPBEXHLevel3 7 5 2 2" xfId="28394"/>
    <cellStyle name="SAPBEXHLevel3 7 5 3" xfId="28395"/>
    <cellStyle name="SAPBEXHLevel3 7 6" xfId="28396"/>
    <cellStyle name="SAPBEXHLevel3 7 6 2" xfId="28397"/>
    <cellStyle name="SAPBEXHLevel3 7 6 2 2" xfId="28398"/>
    <cellStyle name="SAPBEXHLevel3 7 6 3" xfId="28399"/>
    <cellStyle name="SAPBEXHLevel3 7 7" xfId="28400"/>
    <cellStyle name="SAPBEXHLevel3 7 7 2" xfId="28401"/>
    <cellStyle name="SAPBEXHLevel3 7 7 2 2" xfId="28402"/>
    <cellStyle name="SAPBEXHLevel3 7 7 3" xfId="28403"/>
    <cellStyle name="SAPBEXHLevel3 7 8" xfId="28404"/>
    <cellStyle name="SAPBEXHLevel3 7 8 2" xfId="28405"/>
    <cellStyle name="SAPBEXHLevel3 7 8 2 2" xfId="28406"/>
    <cellStyle name="SAPBEXHLevel3 7 8 3" xfId="28407"/>
    <cellStyle name="SAPBEXHLevel3 7 9" xfId="28408"/>
    <cellStyle name="SAPBEXHLevel3 7 9 2" xfId="28409"/>
    <cellStyle name="SAPBEXHLevel3 7 9 2 2" xfId="28410"/>
    <cellStyle name="SAPBEXHLevel3 7 9 3" xfId="28411"/>
    <cellStyle name="SAPBEXHLevel3 7_planning-WP" xfId="28412"/>
    <cellStyle name="SAPBEXHLevel3 8" xfId="28413"/>
    <cellStyle name="SAPBEXHLevel3 8 10" xfId="28414"/>
    <cellStyle name="SAPBEXHLevel3 8 10 2" xfId="28415"/>
    <cellStyle name="SAPBEXHLevel3 8 11" xfId="39084"/>
    <cellStyle name="SAPBEXHLevel3 8 12" xfId="39469"/>
    <cellStyle name="SAPBEXHLevel3 8 2" xfId="28416"/>
    <cellStyle name="SAPBEXHLevel3 8 2 2" xfId="28417"/>
    <cellStyle name="SAPBEXHLevel3 8 2 2 2" xfId="28418"/>
    <cellStyle name="SAPBEXHLevel3 8 2 3" xfId="28419"/>
    <cellStyle name="SAPBEXHLevel3 8 3" xfId="28420"/>
    <cellStyle name="SAPBEXHLevel3 8 3 2" xfId="28421"/>
    <cellStyle name="SAPBEXHLevel3 8 3 2 2" xfId="28422"/>
    <cellStyle name="SAPBEXHLevel3 8 3 3" xfId="28423"/>
    <cellStyle name="SAPBEXHLevel3 8 4" xfId="28424"/>
    <cellStyle name="SAPBEXHLevel3 8 4 2" xfId="28425"/>
    <cellStyle name="SAPBEXHLevel3 8 4 2 2" xfId="28426"/>
    <cellStyle name="SAPBEXHLevel3 8 4 3" xfId="28427"/>
    <cellStyle name="SAPBEXHLevel3 8 5" xfId="28428"/>
    <cellStyle name="SAPBEXHLevel3 8 5 2" xfId="28429"/>
    <cellStyle name="SAPBEXHLevel3 8 5 2 2" xfId="28430"/>
    <cellStyle name="SAPBEXHLevel3 8 5 3" xfId="28431"/>
    <cellStyle name="SAPBEXHLevel3 8 6" xfId="28432"/>
    <cellStyle name="SAPBEXHLevel3 8 6 2" xfId="28433"/>
    <cellStyle name="SAPBEXHLevel3 8 6 2 2" xfId="28434"/>
    <cellStyle name="SAPBEXHLevel3 8 6 3" xfId="28435"/>
    <cellStyle name="SAPBEXHLevel3 8 7" xfId="28436"/>
    <cellStyle name="SAPBEXHLevel3 8 7 2" xfId="28437"/>
    <cellStyle name="SAPBEXHLevel3 8 7 2 2" xfId="28438"/>
    <cellStyle name="SAPBEXHLevel3 8 7 3" xfId="28439"/>
    <cellStyle name="SAPBEXHLevel3 8 8" xfId="28440"/>
    <cellStyle name="SAPBEXHLevel3 8 8 2" xfId="28441"/>
    <cellStyle name="SAPBEXHLevel3 8 8 2 2" xfId="28442"/>
    <cellStyle name="SAPBEXHLevel3 8 8 3" xfId="28443"/>
    <cellStyle name="SAPBEXHLevel3 8 9" xfId="28444"/>
    <cellStyle name="SAPBEXHLevel3 8 9 2" xfId="28445"/>
    <cellStyle name="SAPBEXHLevel3 8 9 2 2" xfId="28446"/>
    <cellStyle name="SAPBEXHLevel3 8 9 3" xfId="28447"/>
    <cellStyle name="SAPBEXHLevel3 8_planning-WP" xfId="28448"/>
    <cellStyle name="SAPBEXHLevel3 9" xfId="28449"/>
    <cellStyle name="SAPBEXHLevel3 9 2" xfId="28450"/>
    <cellStyle name="SAPBEXHLevel3 9 2 2" xfId="28451"/>
    <cellStyle name="SAPBEXHLevel3 9 2 2 2" xfId="28452"/>
    <cellStyle name="SAPBEXHLevel3 9 2 3" xfId="28453"/>
    <cellStyle name="SAPBEXHLevel3 9 3" xfId="28454"/>
    <cellStyle name="SAPBEXHLevel3 9 3 2" xfId="28455"/>
    <cellStyle name="SAPBEXHLevel3 9 3 2 2" xfId="28456"/>
    <cellStyle name="SAPBEXHLevel3 9 3 3" xfId="28457"/>
    <cellStyle name="SAPBEXHLevel3 9 4" xfId="28458"/>
    <cellStyle name="SAPBEXHLevel3 9 4 2" xfId="28459"/>
    <cellStyle name="SAPBEXHLevel3 9 4 2 2" xfId="28460"/>
    <cellStyle name="SAPBEXHLevel3 9 4 3" xfId="28461"/>
    <cellStyle name="SAPBEXHLevel3 9 5" xfId="28462"/>
    <cellStyle name="SAPBEXHLevel3 9 5 2" xfId="28463"/>
    <cellStyle name="SAPBEXHLevel3 9 5 2 2" xfId="28464"/>
    <cellStyle name="SAPBEXHLevel3 9 5 3" xfId="28465"/>
    <cellStyle name="SAPBEXHLevel3 9 6" xfId="28466"/>
    <cellStyle name="SAPBEXHLevel3 9 6 2" xfId="28467"/>
    <cellStyle name="SAPBEXHLevel3 9 6 2 2" xfId="28468"/>
    <cellStyle name="SAPBEXHLevel3 9 6 3" xfId="28469"/>
    <cellStyle name="SAPBEXHLevel3 9 7" xfId="28470"/>
    <cellStyle name="SAPBEXHLevel3 9 7 2" xfId="28471"/>
    <cellStyle name="SAPBEXHLevel3 9 7 2 2" xfId="28472"/>
    <cellStyle name="SAPBEXHLevel3 9 7 3" xfId="28473"/>
    <cellStyle name="SAPBEXHLevel3 9 8" xfId="28474"/>
    <cellStyle name="SAPBEXHLevel3 9 8 2" xfId="28475"/>
    <cellStyle name="SAPBEXHLevel3 9 8 2 2" xfId="28476"/>
    <cellStyle name="SAPBEXHLevel3 9 8 3" xfId="28477"/>
    <cellStyle name="SAPBEXHLevel3 9 9" xfId="28478"/>
    <cellStyle name="SAPBEXHLevel3 9 9 2" xfId="28479"/>
    <cellStyle name="SAPBEXHLevel3 9_planning-WP" xfId="28480"/>
    <cellStyle name="SAPBEXHLevel3_20.RessDest CUC CS SEU 0909" xfId="39085"/>
    <cellStyle name="SAPBEXHLevel3X" xfId="28481"/>
    <cellStyle name="SAPBEXHLevel3X 10" xfId="28482"/>
    <cellStyle name="SAPBEXHLevel3X 10 2" xfId="28483"/>
    <cellStyle name="SAPBEXHLevel3X 10 2 2" xfId="28484"/>
    <cellStyle name="SAPBEXHLevel3X 11" xfId="28485"/>
    <cellStyle name="SAPBEXHLevel3X 11 2" xfId="28486"/>
    <cellStyle name="SAPBEXHLevel3X 11 2 2" xfId="28487"/>
    <cellStyle name="SAPBEXHLevel3X 11 3" xfId="28488"/>
    <cellStyle name="SAPBEXHLevel3X 12" xfId="28489"/>
    <cellStyle name="SAPBEXHLevel3X 12 2" xfId="28490"/>
    <cellStyle name="SAPBEXHLevel3X 12 2 2" xfId="28491"/>
    <cellStyle name="SAPBEXHLevel3X 12 3" xfId="28492"/>
    <cellStyle name="SAPBEXHLevel3X 13" xfId="28493"/>
    <cellStyle name="SAPBEXHLevel3X 13 2" xfId="28494"/>
    <cellStyle name="SAPBEXHLevel3X 13 2 2" xfId="28495"/>
    <cellStyle name="SAPBEXHLevel3X 13 3" xfId="28496"/>
    <cellStyle name="SAPBEXHLevel3X 14" xfId="28497"/>
    <cellStyle name="SAPBEXHLevel3X 14 2" xfId="28498"/>
    <cellStyle name="SAPBEXHLevel3X 14 2 2" xfId="28499"/>
    <cellStyle name="SAPBEXHLevel3X 14 3" xfId="28500"/>
    <cellStyle name="SAPBEXHLevel3X 15" xfId="28501"/>
    <cellStyle name="SAPBEXHLevel3X 15 2" xfId="28502"/>
    <cellStyle name="SAPBEXHLevel3X 15 2 2" xfId="28503"/>
    <cellStyle name="SAPBEXHLevel3X 15 3" xfId="28504"/>
    <cellStyle name="SAPBEXHLevel3X 16" xfId="28505"/>
    <cellStyle name="SAPBEXHLevel3X 16 2" xfId="28506"/>
    <cellStyle name="SAPBEXHLevel3X 16 2 2" xfId="28507"/>
    <cellStyle name="SAPBEXHLevel3X 16 3" xfId="28508"/>
    <cellStyle name="SAPBEXHLevel3X 17" xfId="28509"/>
    <cellStyle name="SAPBEXHLevel3X 17 2" xfId="28510"/>
    <cellStyle name="SAPBEXHLevel3X 17 2 2" xfId="28511"/>
    <cellStyle name="SAPBEXHLevel3X 17 3" xfId="28512"/>
    <cellStyle name="SAPBEXHLevel3X 18" xfId="28513"/>
    <cellStyle name="SAPBEXHLevel3X 19" xfId="39086"/>
    <cellStyle name="SAPBEXHLevel3X 2" xfId="28514"/>
    <cellStyle name="SAPBEXHLevel3X 2 10" xfId="28515"/>
    <cellStyle name="SAPBEXHLevel3X 2 10 2" xfId="28516"/>
    <cellStyle name="SAPBEXHLevel3X 2 10 2 2" xfId="28517"/>
    <cellStyle name="SAPBEXHLevel3X 2 10 3" xfId="28518"/>
    <cellStyle name="SAPBEXHLevel3X 2 11" xfId="28519"/>
    <cellStyle name="SAPBEXHLevel3X 2 11 2" xfId="28520"/>
    <cellStyle name="SAPBEXHLevel3X 2 11 2 2" xfId="28521"/>
    <cellStyle name="SAPBEXHLevel3X 2 11 3" xfId="28522"/>
    <cellStyle name="SAPBEXHLevel3X 2 12" xfId="28523"/>
    <cellStyle name="SAPBEXHLevel3X 2 12 2" xfId="28524"/>
    <cellStyle name="SAPBEXHLevel3X 2 12 2 2" xfId="28525"/>
    <cellStyle name="SAPBEXHLevel3X 2 12 3" xfId="28526"/>
    <cellStyle name="SAPBEXHLevel3X 2 13" xfId="28527"/>
    <cellStyle name="SAPBEXHLevel3X 2 14" xfId="39087"/>
    <cellStyle name="SAPBEXHLevel3X 2 15" xfId="39471"/>
    <cellStyle name="SAPBEXHLevel3X 2 2" xfId="28528"/>
    <cellStyle name="SAPBEXHLevel3X 2 2 10" xfId="28529"/>
    <cellStyle name="SAPBEXHLevel3X 2 2 10 2" xfId="28530"/>
    <cellStyle name="SAPBEXHLevel3X 2 2 10 2 2" xfId="28531"/>
    <cellStyle name="SAPBEXHLevel3X 2 2 10 3" xfId="28532"/>
    <cellStyle name="SAPBEXHLevel3X 2 2 11" xfId="28533"/>
    <cellStyle name="SAPBEXHLevel3X 2 2 11 2" xfId="28534"/>
    <cellStyle name="SAPBEXHLevel3X 2 2 12" xfId="39088"/>
    <cellStyle name="SAPBEXHLevel3X 2 2 13" xfId="39472"/>
    <cellStyle name="SAPBEXHLevel3X 2 2 2" xfId="28535"/>
    <cellStyle name="SAPBEXHLevel3X 2 2 2 10" xfId="28536"/>
    <cellStyle name="SAPBEXHLevel3X 2 2 2 10 2" xfId="28537"/>
    <cellStyle name="SAPBEXHLevel3X 2 2 2 2" xfId="28538"/>
    <cellStyle name="SAPBEXHLevel3X 2 2 2 2 2" xfId="28539"/>
    <cellStyle name="SAPBEXHLevel3X 2 2 2 2 2 2" xfId="28540"/>
    <cellStyle name="SAPBEXHLevel3X 2 2 2 2 3" xfId="28541"/>
    <cellStyle name="SAPBEXHLevel3X 2 2 2 3" xfId="28542"/>
    <cellStyle name="SAPBEXHLevel3X 2 2 2 3 2" xfId="28543"/>
    <cellStyle name="SAPBEXHLevel3X 2 2 2 3 2 2" xfId="28544"/>
    <cellStyle name="SAPBEXHLevel3X 2 2 2 3 3" xfId="28545"/>
    <cellStyle name="SAPBEXHLevel3X 2 2 2 4" xfId="28546"/>
    <cellStyle name="SAPBEXHLevel3X 2 2 2 4 2" xfId="28547"/>
    <cellStyle name="SAPBEXHLevel3X 2 2 2 4 2 2" xfId="28548"/>
    <cellStyle name="SAPBEXHLevel3X 2 2 2 4 3" xfId="28549"/>
    <cellStyle name="SAPBEXHLevel3X 2 2 2 5" xfId="28550"/>
    <cellStyle name="SAPBEXHLevel3X 2 2 2 5 2" xfId="28551"/>
    <cellStyle name="SAPBEXHLevel3X 2 2 2 5 2 2" xfId="28552"/>
    <cellStyle name="SAPBEXHLevel3X 2 2 2 5 3" xfId="28553"/>
    <cellStyle name="SAPBEXHLevel3X 2 2 2 6" xfId="28554"/>
    <cellStyle name="SAPBEXHLevel3X 2 2 2 6 2" xfId="28555"/>
    <cellStyle name="SAPBEXHLevel3X 2 2 2 6 2 2" xfId="28556"/>
    <cellStyle name="SAPBEXHLevel3X 2 2 2 6 3" xfId="28557"/>
    <cellStyle name="SAPBEXHLevel3X 2 2 2 7" xfId="28558"/>
    <cellStyle name="SAPBEXHLevel3X 2 2 2 7 2" xfId="28559"/>
    <cellStyle name="SAPBEXHLevel3X 2 2 2 7 2 2" xfId="28560"/>
    <cellStyle name="SAPBEXHLevel3X 2 2 2 7 3" xfId="28561"/>
    <cellStyle name="SAPBEXHLevel3X 2 2 2 8" xfId="28562"/>
    <cellStyle name="SAPBEXHLevel3X 2 2 2 8 2" xfId="28563"/>
    <cellStyle name="SAPBEXHLevel3X 2 2 2 8 2 2" xfId="28564"/>
    <cellStyle name="SAPBEXHLevel3X 2 2 2 8 3" xfId="28565"/>
    <cellStyle name="SAPBEXHLevel3X 2 2 2 9" xfId="28566"/>
    <cellStyle name="SAPBEXHLevel3X 2 2 2 9 2" xfId="28567"/>
    <cellStyle name="SAPBEXHLevel3X 2 2 2 9 2 2" xfId="28568"/>
    <cellStyle name="SAPBEXHLevel3X 2 2 2 9 3" xfId="28569"/>
    <cellStyle name="SAPBEXHLevel3X 2 2 2_planning-WP" xfId="28570"/>
    <cellStyle name="SAPBEXHLevel3X 2 2 3" xfId="28571"/>
    <cellStyle name="SAPBEXHLevel3X 2 2 3 2" xfId="28572"/>
    <cellStyle name="SAPBEXHLevel3X 2 2 3 2 2" xfId="28573"/>
    <cellStyle name="SAPBEXHLevel3X 2 2 3 3" xfId="28574"/>
    <cellStyle name="SAPBEXHLevel3X 2 2 4" xfId="28575"/>
    <cellStyle name="SAPBEXHLevel3X 2 2 4 2" xfId="28576"/>
    <cellStyle name="SAPBEXHLevel3X 2 2 4 2 2" xfId="28577"/>
    <cellStyle name="SAPBEXHLevel3X 2 2 4 3" xfId="28578"/>
    <cellStyle name="SAPBEXHLevel3X 2 2 5" xfId="28579"/>
    <cellStyle name="SAPBEXHLevel3X 2 2 5 2" xfId="28580"/>
    <cellStyle name="SAPBEXHLevel3X 2 2 5 2 2" xfId="28581"/>
    <cellStyle name="SAPBEXHLevel3X 2 2 5 3" xfId="28582"/>
    <cellStyle name="SAPBEXHLevel3X 2 2 6" xfId="28583"/>
    <cellStyle name="SAPBEXHLevel3X 2 2 6 2" xfId="28584"/>
    <cellStyle name="SAPBEXHLevel3X 2 2 6 2 2" xfId="28585"/>
    <cellStyle name="SAPBEXHLevel3X 2 2 6 3" xfId="28586"/>
    <cellStyle name="SAPBEXHLevel3X 2 2 7" xfId="28587"/>
    <cellStyle name="SAPBEXHLevel3X 2 2 7 2" xfId="28588"/>
    <cellStyle name="SAPBEXHLevel3X 2 2 7 2 2" xfId="28589"/>
    <cellStyle name="SAPBEXHLevel3X 2 2 7 3" xfId="28590"/>
    <cellStyle name="SAPBEXHLevel3X 2 2 8" xfId="28591"/>
    <cellStyle name="SAPBEXHLevel3X 2 2 8 2" xfId="28592"/>
    <cellStyle name="SAPBEXHLevel3X 2 2 8 2 2" xfId="28593"/>
    <cellStyle name="SAPBEXHLevel3X 2 2 8 3" xfId="28594"/>
    <cellStyle name="SAPBEXHLevel3X 2 2 9" xfId="28595"/>
    <cellStyle name="SAPBEXHLevel3X 2 2 9 2" xfId="28596"/>
    <cellStyle name="SAPBEXHLevel3X 2 2 9 2 2" xfId="28597"/>
    <cellStyle name="SAPBEXHLevel3X 2 2 9 3" xfId="28598"/>
    <cellStyle name="SAPBEXHLevel3X 2 2_planning-WP" xfId="28599"/>
    <cellStyle name="SAPBEXHLevel3X 2 3" xfId="28600"/>
    <cellStyle name="SAPBEXHLevel3X 2 3 10" xfId="28601"/>
    <cellStyle name="SAPBEXHLevel3X 2 3 10 2" xfId="28602"/>
    <cellStyle name="SAPBEXHLevel3X 2 3 2" xfId="28603"/>
    <cellStyle name="SAPBEXHLevel3X 2 3 2 2" xfId="28604"/>
    <cellStyle name="SAPBEXHLevel3X 2 3 2 2 2" xfId="28605"/>
    <cellStyle name="SAPBEXHLevel3X 2 3 2 3" xfId="28606"/>
    <cellStyle name="SAPBEXHLevel3X 2 3 3" xfId="28607"/>
    <cellStyle name="SAPBEXHLevel3X 2 3 3 2" xfId="28608"/>
    <cellStyle name="SAPBEXHLevel3X 2 3 3 2 2" xfId="28609"/>
    <cellStyle name="SAPBEXHLevel3X 2 3 3 3" xfId="28610"/>
    <cellStyle name="SAPBEXHLevel3X 2 3 4" xfId="28611"/>
    <cellStyle name="SAPBEXHLevel3X 2 3 4 2" xfId="28612"/>
    <cellStyle name="SAPBEXHLevel3X 2 3 4 2 2" xfId="28613"/>
    <cellStyle name="SAPBEXHLevel3X 2 3 4 3" xfId="28614"/>
    <cellStyle name="SAPBEXHLevel3X 2 3 5" xfId="28615"/>
    <cellStyle name="SAPBEXHLevel3X 2 3 5 2" xfId="28616"/>
    <cellStyle name="SAPBEXHLevel3X 2 3 5 2 2" xfId="28617"/>
    <cellStyle name="SAPBEXHLevel3X 2 3 5 3" xfId="28618"/>
    <cellStyle name="SAPBEXHLevel3X 2 3 6" xfId="28619"/>
    <cellStyle name="SAPBEXHLevel3X 2 3 6 2" xfId="28620"/>
    <cellStyle name="SAPBEXHLevel3X 2 3 6 2 2" xfId="28621"/>
    <cellStyle name="SAPBEXHLevel3X 2 3 6 3" xfId="28622"/>
    <cellStyle name="SAPBEXHLevel3X 2 3 7" xfId="28623"/>
    <cellStyle name="SAPBEXHLevel3X 2 3 7 2" xfId="28624"/>
    <cellStyle name="SAPBEXHLevel3X 2 3 7 2 2" xfId="28625"/>
    <cellStyle name="SAPBEXHLevel3X 2 3 7 3" xfId="28626"/>
    <cellStyle name="SAPBEXHLevel3X 2 3 8" xfId="28627"/>
    <cellStyle name="SAPBEXHLevel3X 2 3 8 2" xfId="28628"/>
    <cellStyle name="SAPBEXHLevel3X 2 3 8 2 2" xfId="28629"/>
    <cellStyle name="SAPBEXHLevel3X 2 3 8 3" xfId="28630"/>
    <cellStyle name="SAPBEXHLevel3X 2 3 9" xfId="28631"/>
    <cellStyle name="SAPBEXHLevel3X 2 3 9 2" xfId="28632"/>
    <cellStyle name="SAPBEXHLevel3X 2 3 9 2 2" xfId="28633"/>
    <cellStyle name="SAPBEXHLevel3X 2 3 9 3" xfId="28634"/>
    <cellStyle name="SAPBEXHLevel3X 2 3_planning-WP" xfId="28635"/>
    <cellStyle name="SAPBEXHLevel3X 2 4" xfId="28636"/>
    <cellStyle name="SAPBEXHLevel3X 2 4 2" xfId="28637"/>
    <cellStyle name="SAPBEXHLevel3X 2 4 2 2" xfId="28638"/>
    <cellStyle name="SAPBEXHLevel3X 2 4 2 2 2" xfId="28639"/>
    <cellStyle name="SAPBEXHLevel3X 2 4 2 3" xfId="28640"/>
    <cellStyle name="SAPBEXHLevel3X 2 4 3" xfId="28641"/>
    <cellStyle name="SAPBEXHLevel3X 2 4 3 2" xfId="28642"/>
    <cellStyle name="SAPBEXHLevel3X 2 4 3 2 2" xfId="28643"/>
    <cellStyle name="SAPBEXHLevel3X 2 4 3 3" xfId="28644"/>
    <cellStyle name="SAPBEXHLevel3X 2 4 4" xfId="28645"/>
    <cellStyle name="SAPBEXHLevel3X 2 4 4 2" xfId="28646"/>
    <cellStyle name="SAPBEXHLevel3X 2 4 4 2 2" xfId="28647"/>
    <cellStyle name="SAPBEXHLevel3X 2 4 4 3" xfId="28648"/>
    <cellStyle name="SAPBEXHLevel3X 2 4 5" xfId="28649"/>
    <cellStyle name="SAPBEXHLevel3X 2 4 5 2" xfId="28650"/>
    <cellStyle name="SAPBEXHLevel3X 2 4 5 2 2" xfId="28651"/>
    <cellStyle name="SAPBEXHLevel3X 2 4 5 3" xfId="28652"/>
    <cellStyle name="SAPBEXHLevel3X 2 4 6" xfId="28653"/>
    <cellStyle name="SAPBEXHLevel3X 2 4 6 2" xfId="28654"/>
    <cellStyle name="SAPBEXHLevel3X 2 4 6 2 2" xfId="28655"/>
    <cellStyle name="SAPBEXHLevel3X 2 4 6 3" xfId="28656"/>
    <cellStyle name="SAPBEXHLevel3X 2 4 7" xfId="28657"/>
    <cellStyle name="SAPBEXHLevel3X 2 4 7 2" xfId="28658"/>
    <cellStyle name="SAPBEXHLevel3X 2 4 7 2 2" xfId="28659"/>
    <cellStyle name="SAPBEXHLevel3X 2 4 7 3" xfId="28660"/>
    <cellStyle name="SAPBEXHLevel3X 2 4 8" xfId="28661"/>
    <cellStyle name="SAPBEXHLevel3X 2 4 8 2" xfId="28662"/>
    <cellStyle name="SAPBEXHLevel3X 2 4 8 2 2" xfId="28663"/>
    <cellStyle name="SAPBEXHLevel3X 2 4 8 3" xfId="28664"/>
    <cellStyle name="SAPBEXHLevel3X 2 4 9" xfId="28665"/>
    <cellStyle name="SAPBEXHLevel3X 2 4 9 2" xfId="28666"/>
    <cellStyle name="SAPBEXHLevel3X 2 4_planning-WP" xfId="28667"/>
    <cellStyle name="SAPBEXHLevel3X 2 5" xfId="28668"/>
    <cellStyle name="SAPBEXHLevel3X 2 5 2" xfId="28669"/>
    <cellStyle name="SAPBEXHLevel3X 2 5 2 2" xfId="28670"/>
    <cellStyle name="SAPBEXHLevel3X 2 6" xfId="28671"/>
    <cellStyle name="SAPBEXHLevel3X 2 6 2" xfId="28672"/>
    <cellStyle name="SAPBEXHLevel3X 2 6 2 2" xfId="28673"/>
    <cellStyle name="SAPBEXHLevel3X 2 6 3" xfId="28674"/>
    <cellStyle name="SAPBEXHLevel3X 2 7" xfId="28675"/>
    <cellStyle name="SAPBEXHLevel3X 2 7 2" xfId="28676"/>
    <cellStyle name="SAPBEXHLevel3X 2 7 2 2" xfId="28677"/>
    <cellStyle name="SAPBEXHLevel3X 2 7 3" xfId="28678"/>
    <cellStyle name="SAPBEXHLevel3X 2 8" xfId="28679"/>
    <cellStyle name="SAPBEXHLevel3X 2 8 2" xfId="28680"/>
    <cellStyle name="SAPBEXHLevel3X 2 8 2 2" xfId="28681"/>
    <cellStyle name="SAPBEXHLevel3X 2 8 3" xfId="28682"/>
    <cellStyle name="SAPBEXHLevel3X 2 9" xfId="28683"/>
    <cellStyle name="SAPBEXHLevel3X 2 9 2" xfId="28684"/>
    <cellStyle name="SAPBEXHLevel3X 2 9 2 2" xfId="28685"/>
    <cellStyle name="SAPBEXHLevel3X 2 9 3" xfId="28686"/>
    <cellStyle name="SAPBEXHLevel3X 2_planning-WP" xfId="28687"/>
    <cellStyle name="SAPBEXHLevel3X 20" xfId="39470"/>
    <cellStyle name="SAPBEXHLevel3X 3" xfId="28688"/>
    <cellStyle name="SAPBEXHLevel3X 3 10" xfId="28689"/>
    <cellStyle name="SAPBEXHLevel3X 3 10 2" xfId="28690"/>
    <cellStyle name="SAPBEXHLevel3X 3 10 2 2" xfId="28691"/>
    <cellStyle name="SAPBEXHLevel3X 3 10 3" xfId="28692"/>
    <cellStyle name="SAPBEXHLevel3X 3 11" xfId="28693"/>
    <cellStyle name="SAPBEXHLevel3X 3 11 2" xfId="28694"/>
    <cellStyle name="SAPBEXHLevel3X 3 11 2 2" xfId="28695"/>
    <cellStyle name="SAPBEXHLevel3X 3 11 3" xfId="28696"/>
    <cellStyle name="SAPBEXHLevel3X 3 12" xfId="28697"/>
    <cellStyle name="SAPBEXHLevel3X 3 12 2" xfId="28698"/>
    <cellStyle name="SAPBEXHLevel3X 3 12 2 2" xfId="28699"/>
    <cellStyle name="SAPBEXHLevel3X 3 12 3" xfId="28700"/>
    <cellStyle name="SAPBEXHLevel3X 3 13" xfId="28701"/>
    <cellStyle name="SAPBEXHLevel3X 3 14" xfId="39089"/>
    <cellStyle name="SAPBEXHLevel3X 3 15" xfId="39473"/>
    <cellStyle name="SAPBEXHLevel3X 3 2" xfId="28702"/>
    <cellStyle name="SAPBEXHLevel3X 3 2 10" xfId="28703"/>
    <cellStyle name="SAPBEXHLevel3X 3 2 10 2" xfId="28704"/>
    <cellStyle name="SAPBEXHLevel3X 3 2 10 2 2" xfId="28705"/>
    <cellStyle name="SAPBEXHLevel3X 3 2 10 3" xfId="28706"/>
    <cellStyle name="SAPBEXHLevel3X 3 2 11" xfId="28707"/>
    <cellStyle name="SAPBEXHLevel3X 3 2 11 2" xfId="28708"/>
    <cellStyle name="SAPBEXHLevel3X 3 2 12" xfId="39090"/>
    <cellStyle name="SAPBEXHLevel3X 3 2 13" xfId="39474"/>
    <cellStyle name="SAPBEXHLevel3X 3 2 2" xfId="28709"/>
    <cellStyle name="SAPBEXHLevel3X 3 2 2 10" xfId="28710"/>
    <cellStyle name="SAPBEXHLevel3X 3 2 2 10 2" xfId="28711"/>
    <cellStyle name="SAPBEXHLevel3X 3 2 2 2" xfId="28712"/>
    <cellStyle name="SAPBEXHLevel3X 3 2 2 2 2" xfId="28713"/>
    <cellStyle name="SAPBEXHLevel3X 3 2 2 2 2 2" xfId="28714"/>
    <cellStyle name="SAPBEXHLevel3X 3 2 2 2 3" xfId="28715"/>
    <cellStyle name="SAPBEXHLevel3X 3 2 2 3" xfId="28716"/>
    <cellStyle name="SAPBEXHLevel3X 3 2 2 3 2" xfId="28717"/>
    <cellStyle name="SAPBEXHLevel3X 3 2 2 3 2 2" xfId="28718"/>
    <cellStyle name="SAPBEXHLevel3X 3 2 2 3 3" xfId="28719"/>
    <cellStyle name="SAPBEXHLevel3X 3 2 2 4" xfId="28720"/>
    <cellStyle name="SAPBEXHLevel3X 3 2 2 4 2" xfId="28721"/>
    <cellStyle name="SAPBEXHLevel3X 3 2 2 4 2 2" xfId="28722"/>
    <cellStyle name="SAPBEXHLevel3X 3 2 2 4 3" xfId="28723"/>
    <cellStyle name="SAPBEXHLevel3X 3 2 2 5" xfId="28724"/>
    <cellStyle name="SAPBEXHLevel3X 3 2 2 5 2" xfId="28725"/>
    <cellStyle name="SAPBEXHLevel3X 3 2 2 5 2 2" xfId="28726"/>
    <cellStyle name="SAPBEXHLevel3X 3 2 2 5 3" xfId="28727"/>
    <cellStyle name="SAPBEXHLevel3X 3 2 2 6" xfId="28728"/>
    <cellStyle name="SAPBEXHLevel3X 3 2 2 6 2" xfId="28729"/>
    <cellStyle name="SAPBEXHLevel3X 3 2 2 6 2 2" xfId="28730"/>
    <cellStyle name="SAPBEXHLevel3X 3 2 2 6 3" xfId="28731"/>
    <cellStyle name="SAPBEXHLevel3X 3 2 2 7" xfId="28732"/>
    <cellStyle name="SAPBEXHLevel3X 3 2 2 7 2" xfId="28733"/>
    <cellStyle name="SAPBEXHLevel3X 3 2 2 7 2 2" xfId="28734"/>
    <cellStyle name="SAPBEXHLevel3X 3 2 2 7 3" xfId="28735"/>
    <cellStyle name="SAPBEXHLevel3X 3 2 2 8" xfId="28736"/>
    <cellStyle name="SAPBEXHLevel3X 3 2 2 8 2" xfId="28737"/>
    <cellStyle name="SAPBEXHLevel3X 3 2 2 8 2 2" xfId="28738"/>
    <cellStyle name="SAPBEXHLevel3X 3 2 2 8 3" xfId="28739"/>
    <cellStyle name="SAPBEXHLevel3X 3 2 2 9" xfId="28740"/>
    <cellStyle name="SAPBEXHLevel3X 3 2 2 9 2" xfId="28741"/>
    <cellStyle name="SAPBEXHLevel3X 3 2 2 9 2 2" xfId="28742"/>
    <cellStyle name="SAPBEXHLevel3X 3 2 2 9 3" xfId="28743"/>
    <cellStyle name="SAPBEXHLevel3X 3 2 2_planning-WP" xfId="28744"/>
    <cellStyle name="SAPBEXHLevel3X 3 2 3" xfId="28745"/>
    <cellStyle name="SAPBEXHLevel3X 3 2 3 2" xfId="28746"/>
    <cellStyle name="SAPBEXHLevel3X 3 2 3 2 2" xfId="28747"/>
    <cellStyle name="SAPBEXHLevel3X 3 2 3 3" xfId="28748"/>
    <cellStyle name="SAPBEXHLevel3X 3 2 4" xfId="28749"/>
    <cellStyle name="SAPBEXHLevel3X 3 2 4 2" xfId="28750"/>
    <cellStyle name="SAPBEXHLevel3X 3 2 4 2 2" xfId="28751"/>
    <cellStyle name="SAPBEXHLevel3X 3 2 4 3" xfId="28752"/>
    <cellStyle name="SAPBEXHLevel3X 3 2 5" xfId="28753"/>
    <cellStyle name="SAPBEXHLevel3X 3 2 5 2" xfId="28754"/>
    <cellStyle name="SAPBEXHLevel3X 3 2 5 2 2" xfId="28755"/>
    <cellStyle name="SAPBEXHLevel3X 3 2 5 3" xfId="28756"/>
    <cellStyle name="SAPBEXHLevel3X 3 2 6" xfId="28757"/>
    <cellStyle name="SAPBEXHLevel3X 3 2 6 2" xfId="28758"/>
    <cellStyle name="SAPBEXHLevel3X 3 2 6 2 2" xfId="28759"/>
    <cellStyle name="SAPBEXHLevel3X 3 2 6 3" xfId="28760"/>
    <cellStyle name="SAPBEXHLevel3X 3 2 7" xfId="28761"/>
    <cellStyle name="SAPBEXHLevel3X 3 2 7 2" xfId="28762"/>
    <cellStyle name="SAPBEXHLevel3X 3 2 7 2 2" xfId="28763"/>
    <cellStyle name="SAPBEXHLevel3X 3 2 7 3" xfId="28764"/>
    <cellStyle name="SAPBEXHLevel3X 3 2 8" xfId="28765"/>
    <cellStyle name="SAPBEXHLevel3X 3 2 8 2" xfId="28766"/>
    <cellStyle name="SAPBEXHLevel3X 3 2 8 2 2" xfId="28767"/>
    <cellStyle name="SAPBEXHLevel3X 3 2 8 3" xfId="28768"/>
    <cellStyle name="SAPBEXHLevel3X 3 2 9" xfId="28769"/>
    <cellStyle name="SAPBEXHLevel3X 3 2 9 2" xfId="28770"/>
    <cellStyle name="SAPBEXHLevel3X 3 2 9 2 2" xfId="28771"/>
    <cellStyle name="SAPBEXHLevel3X 3 2 9 3" xfId="28772"/>
    <cellStyle name="SAPBEXHLevel3X 3 2_planning-WP" xfId="28773"/>
    <cellStyle name="SAPBEXHLevel3X 3 3" xfId="28774"/>
    <cellStyle name="SAPBEXHLevel3X 3 3 10" xfId="28775"/>
    <cellStyle name="SAPBEXHLevel3X 3 3 10 2" xfId="28776"/>
    <cellStyle name="SAPBEXHLevel3X 3 3 2" xfId="28777"/>
    <cellStyle name="SAPBEXHLevel3X 3 3 2 2" xfId="28778"/>
    <cellStyle name="SAPBEXHLevel3X 3 3 2 2 2" xfId="28779"/>
    <cellStyle name="SAPBEXHLevel3X 3 3 2 3" xfId="28780"/>
    <cellStyle name="SAPBEXHLevel3X 3 3 3" xfId="28781"/>
    <cellStyle name="SAPBEXHLevel3X 3 3 3 2" xfId="28782"/>
    <cellStyle name="SAPBEXHLevel3X 3 3 3 2 2" xfId="28783"/>
    <cellStyle name="SAPBEXHLevel3X 3 3 3 3" xfId="28784"/>
    <cellStyle name="SAPBEXHLevel3X 3 3 4" xfId="28785"/>
    <cellStyle name="SAPBEXHLevel3X 3 3 4 2" xfId="28786"/>
    <cellStyle name="SAPBEXHLevel3X 3 3 4 2 2" xfId="28787"/>
    <cellStyle name="SAPBEXHLevel3X 3 3 4 3" xfId="28788"/>
    <cellStyle name="SAPBEXHLevel3X 3 3 5" xfId="28789"/>
    <cellStyle name="SAPBEXHLevel3X 3 3 5 2" xfId="28790"/>
    <cellStyle name="SAPBEXHLevel3X 3 3 5 2 2" xfId="28791"/>
    <cellStyle name="SAPBEXHLevel3X 3 3 5 3" xfId="28792"/>
    <cellStyle name="SAPBEXHLevel3X 3 3 6" xfId="28793"/>
    <cellStyle name="SAPBEXHLevel3X 3 3 6 2" xfId="28794"/>
    <cellStyle name="SAPBEXHLevel3X 3 3 6 2 2" xfId="28795"/>
    <cellStyle name="SAPBEXHLevel3X 3 3 6 3" xfId="28796"/>
    <cellStyle name="SAPBEXHLevel3X 3 3 7" xfId="28797"/>
    <cellStyle name="SAPBEXHLevel3X 3 3 7 2" xfId="28798"/>
    <cellStyle name="SAPBEXHLevel3X 3 3 7 2 2" xfId="28799"/>
    <cellStyle name="SAPBEXHLevel3X 3 3 7 3" xfId="28800"/>
    <cellStyle name="SAPBEXHLevel3X 3 3 8" xfId="28801"/>
    <cellStyle name="SAPBEXHLevel3X 3 3 8 2" xfId="28802"/>
    <cellStyle name="SAPBEXHLevel3X 3 3 8 2 2" xfId="28803"/>
    <cellStyle name="SAPBEXHLevel3X 3 3 8 3" xfId="28804"/>
    <cellStyle name="SAPBEXHLevel3X 3 3 9" xfId="28805"/>
    <cellStyle name="SAPBEXHLevel3X 3 3 9 2" xfId="28806"/>
    <cellStyle name="SAPBEXHLevel3X 3 3 9 2 2" xfId="28807"/>
    <cellStyle name="SAPBEXHLevel3X 3 3 9 3" xfId="28808"/>
    <cellStyle name="SAPBEXHLevel3X 3 3_planning-WP" xfId="28809"/>
    <cellStyle name="SAPBEXHLevel3X 3 4" xfId="28810"/>
    <cellStyle name="SAPBEXHLevel3X 3 4 2" xfId="28811"/>
    <cellStyle name="SAPBEXHLevel3X 3 4 2 2" xfId="28812"/>
    <cellStyle name="SAPBEXHLevel3X 3 4 2 2 2" xfId="28813"/>
    <cellStyle name="SAPBEXHLevel3X 3 4 2 3" xfId="28814"/>
    <cellStyle name="SAPBEXHLevel3X 3 4 3" xfId="28815"/>
    <cellStyle name="SAPBEXHLevel3X 3 4 3 2" xfId="28816"/>
    <cellStyle name="SAPBEXHLevel3X 3 4 3 2 2" xfId="28817"/>
    <cellStyle name="SAPBEXHLevel3X 3 4 3 3" xfId="28818"/>
    <cellStyle name="SAPBEXHLevel3X 3 4 4" xfId="28819"/>
    <cellStyle name="SAPBEXHLevel3X 3 4 4 2" xfId="28820"/>
    <cellStyle name="SAPBEXHLevel3X 3 4 4 2 2" xfId="28821"/>
    <cellStyle name="SAPBEXHLevel3X 3 4 4 3" xfId="28822"/>
    <cellStyle name="SAPBEXHLevel3X 3 4 5" xfId="28823"/>
    <cellStyle name="SAPBEXHLevel3X 3 4 5 2" xfId="28824"/>
    <cellStyle name="SAPBEXHLevel3X 3 4 5 2 2" xfId="28825"/>
    <cellStyle name="SAPBEXHLevel3X 3 4 5 3" xfId="28826"/>
    <cellStyle name="SAPBEXHLevel3X 3 4 6" xfId="28827"/>
    <cellStyle name="SAPBEXHLevel3X 3 4 6 2" xfId="28828"/>
    <cellStyle name="SAPBEXHLevel3X 3 4 6 2 2" xfId="28829"/>
    <cellStyle name="SAPBEXHLevel3X 3 4 6 3" xfId="28830"/>
    <cellStyle name="SAPBEXHLevel3X 3 4 7" xfId="28831"/>
    <cellStyle name="SAPBEXHLevel3X 3 4 7 2" xfId="28832"/>
    <cellStyle name="SAPBEXHLevel3X 3 4 7 2 2" xfId="28833"/>
    <cellStyle name="SAPBEXHLevel3X 3 4 7 3" xfId="28834"/>
    <cellStyle name="SAPBEXHLevel3X 3 4 8" xfId="28835"/>
    <cellStyle name="SAPBEXHLevel3X 3 4 8 2" xfId="28836"/>
    <cellStyle name="SAPBEXHLevel3X 3 4 8 2 2" xfId="28837"/>
    <cellStyle name="SAPBEXHLevel3X 3 4 8 3" xfId="28838"/>
    <cellStyle name="SAPBEXHLevel3X 3 4 9" xfId="28839"/>
    <cellStyle name="SAPBEXHLevel3X 3 4 9 2" xfId="28840"/>
    <cellStyle name="SAPBEXHLevel3X 3 4_planning-WP" xfId="28841"/>
    <cellStyle name="SAPBEXHLevel3X 3 5" xfId="28842"/>
    <cellStyle name="SAPBEXHLevel3X 3 5 2" xfId="28843"/>
    <cellStyle name="SAPBEXHLevel3X 3 5 2 2" xfId="28844"/>
    <cellStyle name="SAPBEXHLevel3X 3 6" xfId="28845"/>
    <cellStyle name="SAPBEXHLevel3X 3 6 2" xfId="28846"/>
    <cellStyle name="SAPBEXHLevel3X 3 6 2 2" xfId="28847"/>
    <cellStyle name="SAPBEXHLevel3X 3 6 3" xfId="28848"/>
    <cellStyle name="SAPBEXHLevel3X 3 7" xfId="28849"/>
    <cellStyle name="SAPBEXHLevel3X 3 7 2" xfId="28850"/>
    <cellStyle name="SAPBEXHLevel3X 3 7 2 2" xfId="28851"/>
    <cellStyle name="SAPBEXHLevel3X 3 7 3" xfId="28852"/>
    <cellStyle name="SAPBEXHLevel3X 3 8" xfId="28853"/>
    <cellStyle name="SAPBEXHLevel3X 3 8 2" xfId="28854"/>
    <cellStyle name="SAPBEXHLevel3X 3 8 2 2" xfId="28855"/>
    <cellStyle name="SAPBEXHLevel3X 3 8 3" xfId="28856"/>
    <cellStyle name="SAPBEXHLevel3X 3 9" xfId="28857"/>
    <cellStyle name="SAPBEXHLevel3X 3 9 2" xfId="28858"/>
    <cellStyle name="SAPBEXHLevel3X 3 9 2 2" xfId="28859"/>
    <cellStyle name="SAPBEXHLevel3X 3 9 3" xfId="28860"/>
    <cellStyle name="SAPBEXHLevel3X 3_planning-WP" xfId="28861"/>
    <cellStyle name="SAPBEXHLevel3X 4" xfId="28862"/>
    <cellStyle name="SAPBEXHLevel3X 4 10" xfId="28863"/>
    <cellStyle name="SAPBEXHLevel3X 4 10 2" xfId="28864"/>
    <cellStyle name="SAPBEXHLevel3X 4 10 2 2" xfId="28865"/>
    <cellStyle name="SAPBEXHLevel3X 4 10 3" xfId="28866"/>
    <cellStyle name="SAPBEXHLevel3X 4 11" xfId="28867"/>
    <cellStyle name="SAPBEXHLevel3X 4 11 2" xfId="28868"/>
    <cellStyle name="SAPBEXHLevel3X 4 11 2 2" xfId="28869"/>
    <cellStyle name="SAPBEXHLevel3X 4 11 3" xfId="28870"/>
    <cellStyle name="SAPBEXHLevel3X 4 12" xfId="28871"/>
    <cellStyle name="SAPBEXHLevel3X 4 12 2" xfId="28872"/>
    <cellStyle name="SAPBEXHLevel3X 4 12 2 2" xfId="28873"/>
    <cellStyle name="SAPBEXHLevel3X 4 12 3" xfId="28874"/>
    <cellStyle name="SAPBEXHLevel3X 4 13" xfId="28875"/>
    <cellStyle name="SAPBEXHLevel3X 4 14" xfId="39091"/>
    <cellStyle name="SAPBEXHLevel3X 4 15" xfId="39475"/>
    <cellStyle name="SAPBEXHLevel3X 4 2" xfId="28876"/>
    <cellStyle name="SAPBEXHLevel3X 4 2 10" xfId="28877"/>
    <cellStyle name="SAPBEXHLevel3X 4 2 10 2" xfId="28878"/>
    <cellStyle name="SAPBEXHLevel3X 4 2 10 2 2" xfId="28879"/>
    <cellStyle name="SAPBEXHLevel3X 4 2 10 3" xfId="28880"/>
    <cellStyle name="SAPBEXHLevel3X 4 2 11" xfId="28881"/>
    <cellStyle name="SAPBEXHLevel3X 4 2 11 2" xfId="28882"/>
    <cellStyle name="SAPBEXHLevel3X 4 2 12" xfId="39092"/>
    <cellStyle name="SAPBEXHLevel3X 4 2 13" xfId="39476"/>
    <cellStyle name="SAPBEXHLevel3X 4 2 2" xfId="28883"/>
    <cellStyle name="SAPBEXHLevel3X 4 2 2 10" xfId="28884"/>
    <cellStyle name="SAPBEXHLevel3X 4 2 2 10 2" xfId="28885"/>
    <cellStyle name="SAPBEXHLevel3X 4 2 2 2" xfId="28886"/>
    <cellStyle name="SAPBEXHLevel3X 4 2 2 2 2" xfId="28887"/>
    <cellStyle name="SAPBEXHLevel3X 4 2 2 2 2 2" xfId="28888"/>
    <cellStyle name="SAPBEXHLevel3X 4 2 2 2 3" xfId="28889"/>
    <cellStyle name="SAPBEXHLevel3X 4 2 2 3" xfId="28890"/>
    <cellStyle name="SAPBEXHLevel3X 4 2 2 3 2" xfId="28891"/>
    <cellStyle name="SAPBEXHLevel3X 4 2 2 3 2 2" xfId="28892"/>
    <cellStyle name="SAPBEXHLevel3X 4 2 2 3 3" xfId="28893"/>
    <cellStyle name="SAPBEXHLevel3X 4 2 2 4" xfId="28894"/>
    <cellStyle name="SAPBEXHLevel3X 4 2 2 4 2" xfId="28895"/>
    <cellStyle name="SAPBEXHLevel3X 4 2 2 4 2 2" xfId="28896"/>
    <cellStyle name="SAPBEXHLevel3X 4 2 2 4 3" xfId="28897"/>
    <cellStyle name="SAPBEXHLevel3X 4 2 2 5" xfId="28898"/>
    <cellStyle name="SAPBEXHLevel3X 4 2 2 5 2" xfId="28899"/>
    <cellStyle name="SAPBEXHLevel3X 4 2 2 5 2 2" xfId="28900"/>
    <cellStyle name="SAPBEXHLevel3X 4 2 2 5 3" xfId="28901"/>
    <cellStyle name="SAPBEXHLevel3X 4 2 2 6" xfId="28902"/>
    <cellStyle name="SAPBEXHLevel3X 4 2 2 6 2" xfId="28903"/>
    <cellStyle name="SAPBEXHLevel3X 4 2 2 6 2 2" xfId="28904"/>
    <cellStyle name="SAPBEXHLevel3X 4 2 2 6 3" xfId="28905"/>
    <cellStyle name="SAPBEXHLevel3X 4 2 2 7" xfId="28906"/>
    <cellStyle name="SAPBEXHLevel3X 4 2 2 7 2" xfId="28907"/>
    <cellStyle name="SAPBEXHLevel3X 4 2 2 7 2 2" xfId="28908"/>
    <cellStyle name="SAPBEXHLevel3X 4 2 2 7 3" xfId="28909"/>
    <cellStyle name="SAPBEXHLevel3X 4 2 2 8" xfId="28910"/>
    <cellStyle name="SAPBEXHLevel3X 4 2 2 8 2" xfId="28911"/>
    <cellStyle name="SAPBEXHLevel3X 4 2 2 8 2 2" xfId="28912"/>
    <cellStyle name="SAPBEXHLevel3X 4 2 2 8 3" xfId="28913"/>
    <cellStyle name="SAPBEXHLevel3X 4 2 2 9" xfId="28914"/>
    <cellStyle name="SAPBEXHLevel3X 4 2 2 9 2" xfId="28915"/>
    <cellStyle name="SAPBEXHLevel3X 4 2 2 9 2 2" xfId="28916"/>
    <cellStyle name="SAPBEXHLevel3X 4 2 2 9 3" xfId="28917"/>
    <cellStyle name="SAPBEXHLevel3X 4 2 2_planning-WP" xfId="28918"/>
    <cellStyle name="SAPBEXHLevel3X 4 2 3" xfId="28919"/>
    <cellStyle name="SAPBEXHLevel3X 4 2 3 2" xfId="28920"/>
    <cellStyle name="SAPBEXHLevel3X 4 2 3 2 2" xfId="28921"/>
    <cellStyle name="SAPBEXHLevel3X 4 2 3 3" xfId="28922"/>
    <cellStyle name="SAPBEXHLevel3X 4 2 4" xfId="28923"/>
    <cellStyle name="SAPBEXHLevel3X 4 2 4 2" xfId="28924"/>
    <cellStyle name="SAPBEXHLevel3X 4 2 4 2 2" xfId="28925"/>
    <cellStyle name="SAPBEXHLevel3X 4 2 4 3" xfId="28926"/>
    <cellStyle name="SAPBEXHLevel3X 4 2 5" xfId="28927"/>
    <cellStyle name="SAPBEXHLevel3X 4 2 5 2" xfId="28928"/>
    <cellStyle name="SAPBEXHLevel3X 4 2 5 2 2" xfId="28929"/>
    <cellStyle name="SAPBEXHLevel3X 4 2 5 3" xfId="28930"/>
    <cellStyle name="SAPBEXHLevel3X 4 2 6" xfId="28931"/>
    <cellStyle name="SAPBEXHLevel3X 4 2 6 2" xfId="28932"/>
    <cellStyle name="SAPBEXHLevel3X 4 2 6 2 2" xfId="28933"/>
    <cellStyle name="SAPBEXHLevel3X 4 2 6 3" xfId="28934"/>
    <cellStyle name="SAPBEXHLevel3X 4 2 7" xfId="28935"/>
    <cellStyle name="SAPBEXHLevel3X 4 2 7 2" xfId="28936"/>
    <cellStyle name="SAPBEXHLevel3X 4 2 7 2 2" xfId="28937"/>
    <cellStyle name="SAPBEXHLevel3X 4 2 7 3" xfId="28938"/>
    <cellStyle name="SAPBEXHLevel3X 4 2 8" xfId="28939"/>
    <cellStyle name="SAPBEXHLevel3X 4 2 8 2" xfId="28940"/>
    <cellStyle name="SAPBEXHLevel3X 4 2 8 2 2" xfId="28941"/>
    <cellStyle name="SAPBEXHLevel3X 4 2 8 3" xfId="28942"/>
    <cellStyle name="SAPBEXHLevel3X 4 2 9" xfId="28943"/>
    <cellStyle name="SAPBEXHLevel3X 4 2 9 2" xfId="28944"/>
    <cellStyle name="SAPBEXHLevel3X 4 2 9 2 2" xfId="28945"/>
    <cellStyle name="SAPBEXHLevel3X 4 2 9 3" xfId="28946"/>
    <cellStyle name="SAPBEXHLevel3X 4 2_planning-WP" xfId="28947"/>
    <cellStyle name="SAPBEXHLevel3X 4 3" xfId="28948"/>
    <cellStyle name="SAPBEXHLevel3X 4 3 10" xfId="28949"/>
    <cellStyle name="SAPBEXHLevel3X 4 3 10 2" xfId="28950"/>
    <cellStyle name="SAPBEXHLevel3X 4 3 2" xfId="28951"/>
    <cellStyle name="SAPBEXHLevel3X 4 3 2 2" xfId="28952"/>
    <cellStyle name="SAPBEXHLevel3X 4 3 2 2 2" xfId="28953"/>
    <cellStyle name="SAPBEXHLevel3X 4 3 2 3" xfId="28954"/>
    <cellStyle name="SAPBEXHLevel3X 4 3 3" xfId="28955"/>
    <cellStyle name="SAPBEXHLevel3X 4 3 3 2" xfId="28956"/>
    <cellStyle name="SAPBEXHLevel3X 4 3 3 2 2" xfId="28957"/>
    <cellStyle name="SAPBEXHLevel3X 4 3 3 3" xfId="28958"/>
    <cellStyle name="SAPBEXHLevel3X 4 3 4" xfId="28959"/>
    <cellStyle name="SAPBEXHLevel3X 4 3 4 2" xfId="28960"/>
    <cellStyle name="SAPBEXHLevel3X 4 3 4 2 2" xfId="28961"/>
    <cellStyle name="SAPBEXHLevel3X 4 3 4 3" xfId="28962"/>
    <cellStyle name="SAPBEXHLevel3X 4 3 5" xfId="28963"/>
    <cellStyle name="SAPBEXHLevel3X 4 3 5 2" xfId="28964"/>
    <cellStyle name="SAPBEXHLevel3X 4 3 5 2 2" xfId="28965"/>
    <cellStyle name="SAPBEXHLevel3X 4 3 5 3" xfId="28966"/>
    <cellStyle name="SAPBEXHLevel3X 4 3 6" xfId="28967"/>
    <cellStyle name="SAPBEXHLevel3X 4 3 6 2" xfId="28968"/>
    <cellStyle name="SAPBEXHLevel3X 4 3 6 2 2" xfId="28969"/>
    <cellStyle name="SAPBEXHLevel3X 4 3 6 3" xfId="28970"/>
    <cellStyle name="SAPBEXHLevel3X 4 3 7" xfId="28971"/>
    <cellStyle name="SAPBEXHLevel3X 4 3 7 2" xfId="28972"/>
    <cellStyle name="SAPBEXHLevel3X 4 3 7 2 2" xfId="28973"/>
    <cellStyle name="SAPBEXHLevel3X 4 3 7 3" xfId="28974"/>
    <cellStyle name="SAPBEXHLevel3X 4 3 8" xfId="28975"/>
    <cellStyle name="SAPBEXHLevel3X 4 3 8 2" xfId="28976"/>
    <cellStyle name="SAPBEXHLevel3X 4 3 8 2 2" xfId="28977"/>
    <cellStyle name="SAPBEXHLevel3X 4 3 8 3" xfId="28978"/>
    <cellStyle name="SAPBEXHLevel3X 4 3 9" xfId="28979"/>
    <cellStyle name="SAPBEXHLevel3X 4 3 9 2" xfId="28980"/>
    <cellStyle name="SAPBEXHLevel3X 4 3 9 2 2" xfId="28981"/>
    <cellStyle name="SAPBEXHLevel3X 4 3 9 3" xfId="28982"/>
    <cellStyle name="SAPBEXHLevel3X 4 3_planning-WP" xfId="28983"/>
    <cellStyle name="SAPBEXHLevel3X 4 4" xfId="28984"/>
    <cellStyle name="SAPBEXHLevel3X 4 4 2" xfId="28985"/>
    <cellStyle name="SAPBEXHLevel3X 4 4 2 2" xfId="28986"/>
    <cellStyle name="SAPBEXHLevel3X 4 4 2 2 2" xfId="28987"/>
    <cellStyle name="SAPBEXHLevel3X 4 4 2 3" xfId="28988"/>
    <cellStyle name="SAPBEXHLevel3X 4 4 3" xfId="28989"/>
    <cellStyle name="SAPBEXHLevel3X 4 4 3 2" xfId="28990"/>
    <cellStyle name="SAPBEXHLevel3X 4 4 3 2 2" xfId="28991"/>
    <cellStyle name="SAPBEXHLevel3X 4 4 3 3" xfId="28992"/>
    <cellStyle name="SAPBEXHLevel3X 4 4 4" xfId="28993"/>
    <cellStyle name="SAPBEXHLevel3X 4 4 4 2" xfId="28994"/>
    <cellStyle name="SAPBEXHLevel3X 4 4 4 2 2" xfId="28995"/>
    <cellStyle name="SAPBEXHLevel3X 4 4 4 3" xfId="28996"/>
    <cellStyle name="SAPBEXHLevel3X 4 4 5" xfId="28997"/>
    <cellStyle name="SAPBEXHLevel3X 4 4 5 2" xfId="28998"/>
    <cellStyle name="SAPBEXHLevel3X 4 4 5 2 2" xfId="28999"/>
    <cellStyle name="SAPBEXHLevel3X 4 4 5 3" xfId="29000"/>
    <cellStyle name="SAPBEXHLevel3X 4 4 6" xfId="29001"/>
    <cellStyle name="SAPBEXHLevel3X 4 4 6 2" xfId="29002"/>
    <cellStyle name="SAPBEXHLevel3X 4 4 6 2 2" xfId="29003"/>
    <cellStyle name="SAPBEXHLevel3X 4 4 6 3" xfId="29004"/>
    <cellStyle name="SAPBEXHLevel3X 4 4 7" xfId="29005"/>
    <cellStyle name="SAPBEXHLevel3X 4 4 7 2" xfId="29006"/>
    <cellStyle name="SAPBEXHLevel3X 4 4 7 2 2" xfId="29007"/>
    <cellStyle name="SAPBEXHLevel3X 4 4 7 3" xfId="29008"/>
    <cellStyle name="SAPBEXHLevel3X 4 4 8" xfId="29009"/>
    <cellStyle name="SAPBEXHLevel3X 4 4 8 2" xfId="29010"/>
    <cellStyle name="SAPBEXHLevel3X 4 4 8 2 2" xfId="29011"/>
    <cellStyle name="SAPBEXHLevel3X 4 4 8 3" xfId="29012"/>
    <cellStyle name="SAPBEXHLevel3X 4 4 9" xfId="29013"/>
    <cellStyle name="SAPBEXHLevel3X 4 4 9 2" xfId="29014"/>
    <cellStyle name="SAPBEXHLevel3X 4 4_planning-WP" xfId="29015"/>
    <cellStyle name="SAPBEXHLevel3X 4 5" xfId="29016"/>
    <cellStyle name="SAPBEXHLevel3X 4 5 2" xfId="29017"/>
    <cellStyle name="SAPBEXHLevel3X 4 5 2 2" xfId="29018"/>
    <cellStyle name="SAPBEXHLevel3X 4 6" xfId="29019"/>
    <cellStyle name="SAPBEXHLevel3X 4 6 2" xfId="29020"/>
    <cellStyle name="SAPBEXHLevel3X 4 6 2 2" xfId="29021"/>
    <cellStyle name="SAPBEXHLevel3X 4 6 3" xfId="29022"/>
    <cellStyle name="SAPBEXHLevel3X 4 7" xfId="29023"/>
    <cellStyle name="SAPBEXHLevel3X 4 7 2" xfId="29024"/>
    <cellStyle name="SAPBEXHLevel3X 4 7 2 2" xfId="29025"/>
    <cellStyle name="SAPBEXHLevel3X 4 7 3" xfId="29026"/>
    <cellStyle name="SAPBEXHLevel3X 4 8" xfId="29027"/>
    <cellStyle name="SAPBEXHLevel3X 4 8 2" xfId="29028"/>
    <cellStyle name="SAPBEXHLevel3X 4 8 2 2" xfId="29029"/>
    <cellStyle name="SAPBEXHLevel3X 4 8 3" xfId="29030"/>
    <cellStyle name="SAPBEXHLevel3X 4 9" xfId="29031"/>
    <cellStyle name="SAPBEXHLevel3X 4 9 2" xfId="29032"/>
    <cellStyle name="SAPBEXHLevel3X 4 9 2 2" xfId="29033"/>
    <cellStyle name="SAPBEXHLevel3X 4 9 3" xfId="29034"/>
    <cellStyle name="SAPBEXHLevel3X 4_planning-WP" xfId="29035"/>
    <cellStyle name="SAPBEXHLevel3X 5" xfId="29036"/>
    <cellStyle name="SAPBEXHLevel3X 5 10" xfId="29037"/>
    <cellStyle name="SAPBEXHLevel3X 5 10 2" xfId="29038"/>
    <cellStyle name="SAPBEXHLevel3X 5 10 2 2" xfId="29039"/>
    <cellStyle name="SAPBEXHLevel3X 5 10 3" xfId="29040"/>
    <cellStyle name="SAPBEXHLevel3X 5 11" xfId="29041"/>
    <cellStyle name="SAPBEXHLevel3X 5 11 2" xfId="29042"/>
    <cellStyle name="SAPBEXHLevel3X 5 11 2 2" xfId="29043"/>
    <cellStyle name="SAPBEXHLevel3X 5 11 3" xfId="29044"/>
    <cellStyle name="SAPBEXHLevel3X 5 12" xfId="29045"/>
    <cellStyle name="SAPBEXHLevel3X 5 12 2" xfId="29046"/>
    <cellStyle name="SAPBEXHLevel3X 5 12 2 2" xfId="29047"/>
    <cellStyle name="SAPBEXHLevel3X 5 12 3" xfId="29048"/>
    <cellStyle name="SAPBEXHLevel3X 5 13" xfId="29049"/>
    <cellStyle name="SAPBEXHLevel3X 5 14" xfId="39093"/>
    <cellStyle name="SAPBEXHLevel3X 5 15" xfId="39477"/>
    <cellStyle name="SAPBEXHLevel3X 5 2" xfId="29050"/>
    <cellStyle name="SAPBEXHLevel3X 5 2 10" xfId="29051"/>
    <cellStyle name="SAPBEXHLevel3X 5 2 10 2" xfId="29052"/>
    <cellStyle name="SAPBEXHLevel3X 5 2 10 2 2" xfId="29053"/>
    <cellStyle name="SAPBEXHLevel3X 5 2 10 3" xfId="29054"/>
    <cellStyle name="SAPBEXHLevel3X 5 2 11" xfId="29055"/>
    <cellStyle name="SAPBEXHLevel3X 5 2 11 2" xfId="29056"/>
    <cellStyle name="SAPBEXHLevel3X 5 2 2" xfId="29057"/>
    <cellStyle name="SAPBEXHLevel3X 5 2 2 10" xfId="29058"/>
    <cellStyle name="SAPBEXHLevel3X 5 2 2 10 2" xfId="29059"/>
    <cellStyle name="SAPBEXHLevel3X 5 2 2 2" xfId="29060"/>
    <cellStyle name="SAPBEXHLevel3X 5 2 2 2 2" xfId="29061"/>
    <cellStyle name="SAPBEXHLevel3X 5 2 2 2 2 2" xfId="29062"/>
    <cellStyle name="SAPBEXHLevel3X 5 2 2 2 3" xfId="29063"/>
    <cellStyle name="SAPBEXHLevel3X 5 2 2 3" xfId="29064"/>
    <cellStyle name="SAPBEXHLevel3X 5 2 2 3 2" xfId="29065"/>
    <cellStyle name="SAPBEXHLevel3X 5 2 2 3 2 2" xfId="29066"/>
    <cellStyle name="SAPBEXHLevel3X 5 2 2 3 3" xfId="29067"/>
    <cellStyle name="SAPBEXHLevel3X 5 2 2 4" xfId="29068"/>
    <cellStyle name="SAPBEXHLevel3X 5 2 2 4 2" xfId="29069"/>
    <cellStyle name="SAPBEXHLevel3X 5 2 2 4 2 2" xfId="29070"/>
    <cellStyle name="SAPBEXHLevel3X 5 2 2 4 3" xfId="29071"/>
    <cellStyle name="SAPBEXHLevel3X 5 2 2 5" xfId="29072"/>
    <cellStyle name="SAPBEXHLevel3X 5 2 2 5 2" xfId="29073"/>
    <cellStyle name="SAPBEXHLevel3X 5 2 2 5 2 2" xfId="29074"/>
    <cellStyle name="SAPBEXHLevel3X 5 2 2 5 3" xfId="29075"/>
    <cellStyle name="SAPBEXHLevel3X 5 2 2 6" xfId="29076"/>
    <cellStyle name="SAPBEXHLevel3X 5 2 2 6 2" xfId="29077"/>
    <cellStyle name="SAPBEXHLevel3X 5 2 2 6 2 2" xfId="29078"/>
    <cellStyle name="SAPBEXHLevel3X 5 2 2 6 3" xfId="29079"/>
    <cellStyle name="SAPBEXHLevel3X 5 2 2 7" xfId="29080"/>
    <cellStyle name="SAPBEXHLevel3X 5 2 2 7 2" xfId="29081"/>
    <cellStyle name="SAPBEXHLevel3X 5 2 2 7 2 2" xfId="29082"/>
    <cellStyle name="SAPBEXHLevel3X 5 2 2 7 3" xfId="29083"/>
    <cellStyle name="SAPBEXHLevel3X 5 2 2 8" xfId="29084"/>
    <cellStyle name="SAPBEXHLevel3X 5 2 2 8 2" xfId="29085"/>
    <cellStyle name="SAPBEXHLevel3X 5 2 2 8 2 2" xfId="29086"/>
    <cellStyle name="SAPBEXHLevel3X 5 2 2 8 3" xfId="29087"/>
    <cellStyle name="SAPBEXHLevel3X 5 2 2 9" xfId="29088"/>
    <cellStyle name="SAPBEXHLevel3X 5 2 2 9 2" xfId="29089"/>
    <cellStyle name="SAPBEXHLevel3X 5 2 2 9 2 2" xfId="29090"/>
    <cellStyle name="SAPBEXHLevel3X 5 2 2 9 3" xfId="29091"/>
    <cellStyle name="SAPBEXHLevel3X 5 2 2_planning-WP" xfId="29092"/>
    <cellStyle name="SAPBEXHLevel3X 5 2 3" xfId="29093"/>
    <cellStyle name="SAPBEXHLevel3X 5 2 3 2" xfId="29094"/>
    <cellStyle name="SAPBEXHLevel3X 5 2 3 2 2" xfId="29095"/>
    <cellStyle name="SAPBEXHLevel3X 5 2 3 3" xfId="29096"/>
    <cellStyle name="SAPBEXHLevel3X 5 2 4" xfId="29097"/>
    <cellStyle name="SAPBEXHLevel3X 5 2 4 2" xfId="29098"/>
    <cellStyle name="SAPBEXHLevel3X 5 2 4 2 2" xfId="29099"/>
    <cellStyle name="SAPBEXHLevel3X 5 2 4 3" xfId="29100"/>
    <cellStyle name="SAPBEXHLevel3X 5 2 5" xfId="29101"/>
    <cellStyle name="SAPBEXHLevel3X 5 2 5 2" xfId="29102"/>
    <cellStyle name="SAPBEXHLevel3X 5 2 5 2 2" xfId="29103"/>
    <cellStyle name="SAPBEXHLevel3X 5 2 5 3" xfId="29104"/>
    <cellStyle name="SAPBEXHLevel3X 5 2 6" xfId="29105"/>
    <cellStyle name="SAPBEXHLevel3X 5 2 6 2" xfId="29106"/>
    <cellStyle name="SAPBEXHLevel3X 5 2 6 2 2" xfId="29107"/>
    <cellStyle name="SAPBEXHLevel3X 5 2 6 3" xfId="29108"/>
    <cellStyle name="SAPBEXHLevel3X 5 2 7" xfId="29109"/>
    <cellStyle name="SAPBEXHLevel3X 5 2 7 2" xfId="29110"/>
    <cellStyle name="SAPBEXHLevel3X 5 2 7 2 2" xfId="29111"/>
    <cellStyle name="SAPBEXHLevel3X 5 2 7 3" xfId="29112"/>
    <cellStyle name="SAPBEXHLevel3X 5 2 8" xfId="29113"/>
    <cellStyle name="SAPBEXHLevel3X 5 2 8 2" xfId="29114"/>
    <cellStyle name="SAPBEXHLevel3X 5 2 8 2 2" xfId="29115"/>
    <cellStyle name="SAPBEXHLevel3X 5 2 8 3" xfId="29116"/>
    <cellStyle name="SAPBEXHLevel3X 5 2 9" xfId="29117"/>
    <cellStyle name="SAPBEXHLevel3X 5 2 9 2" xfId="29118"/>
    <cellStyle name="SAPBEXHLevel3X 5 2 9 2 2" xfId="29119"/>
    <cellStyle name="SAPBEXHLevel3X 5 2 9 3" xfId="29120"/>
    <cellStyle name="SAPBEXHLevel3X 5 2_planning-WP" xfId="29121"/>
    <cellStyle name="SAPBEXHLevel3X 5 3" xfId="29122"/>
    <cellStyle name="SAPBEXHLevel3X 5 3 10" xfId="29123"/>
    <cellStyle name="SAPBEXHLevel3X 5 3 10 2" xfId="29124"/>
    <cellStyle name="SAPBEXHLevel3X 5 3 2" xfId="29125"/>
    <cellStyle name="SAPBEXHLevel3X 5 3 2 2" xfId="29126"/>
    <cellStyle name="SAPBEXHLevel3X 5 3 2 2 2" xfId="29127"/>
    <cellStyle name="SAPBEXHLevel3X 5 3 2 3" xfId="29128"/>
    <cellStyle name="SAPBEXHLevel3X 5 3 3" xfId="29129"/>
    <cellStyle name="SAPBEXHLevel3X 5 3 3 2" xfId="29130"/>
    <cellStyle name="SAPBEXHLevel3X 5 3 3 2 2" xfId="29131"/>
    <cellStyle name="SAPBEXHLevel3X 5 3 3 3" xfId="29132"/>
    <cellStyle name="SAPBEXHLevel3X 5 3 4" xfId="29133"/>
    <cellStyle name="SAPBEXHLevel3X 5 3 4 2" xfId="29134"/>
    <cellStyle name="SAPBEXHLevel3X 5 3 4 2 2" xfId="29135"/>
    <cellStyle name="SAPBEXHLevel3X 5 3 4 3" xfId="29136"/>
    <cellStyle name="SAPBEXHLevel3X 5 3 5" xfId="29137"/>
    <cellStyle name="SAPBEXHLevel3X 5 3 5 2" xfId="29138"/>
    <cellStyle name="SAPBEXHLevel3X 5 3 5 2 2" xfId="29139"/>
    <cellStyle name="SAPBEXHLevel3X 5 3 5 3" xfId="29140"/>
    <cellStyle name="SAPBEXHLevel3X 5 3 6" xfId="29141"/>
    <cellStyle name="SAPBEXHLevel3X 5 3 6 2" xfId="29142"/>
    <cellStyle name="SAPBEXHLevel3X 5 3 6 2 2" xfId="29143"/>
    <cellStyle name="SAPBEXHLevel3X 5 3 6 3" xfId="29144"/>
    <cellStyle name="SAPBEXHLevel3X 5 3 7" xfId="29145"/>
    <cellStyle name="SAPBEXHLevel3X 5 3 7 2" xfId="29146"/>
    <cellStyle name="SAPBEXHLevel3X 5 3 7 2 2" xfId="29147"/>
    <cellStyle name="SAPBEXHLevel3X 5 3 7 3" xfId="29148"/>
    <cellStyle name="SAPBEXHLevel3X 5 3 8" xfId="29149"/>
    <cellStyle name="SAPBEXHLevel3X 5 3 8 2" xfId="29150"/>
    <cellStyle name="SAPBEXHLevel3X 5 3 8 2 2" xfId="29151"/>
    <cellStyle name="SAPBEXHLevel3X 5 3 8 3" xfId="29152"/>
    <cellStyle name="SAPBEXHLevel3X 5 3 9" xfId="29153"/>
    <cellStyle name="SAPBEXHLevel3X 5 3 9 2" xfId="29154"/>
    <cellStyle name="SAPBEXHLevel3X 5 3 9 2 2" xfId="29155"/>
    <cellStyle name="SAPBEXHLevel3X 5 3 9 3" xfId="29156"/>
    <cellStyle name="SAPBEXHLevel3X 5 3_planning-WP" xfId="29157"/>
    <cellStyle name="SAPBEXHLevel3X 5 4" xfId="29158"/>
    <cellStyle name="SAPBEXHLevel3X 5 4 2" xfId="29159"/>
    <cellStyle name="SAPBEXHLevel3X 5 4 2 2" xfId="29160"/>
    <cellStyle name="SAPBEXHLevel3X 5 4 2 2 2" xfId="29161"/>
    <cellStyle name="SAPBEXHLevel3X 5 4 2 3" xfId="29162"/>
    <cellStyle name="SAPBEXHLevel3X 5 4 3" xfId="29163"/>
    <cellStyle name="SAPBEXHLevel3X 5 4 3 2" xfId="29164"/>
    <cellStyle name="SAPBEXHLevel3X 5 4 3 2 2" xfId="29165"/>
    <cellStyle name="SAPBEXHLevel3X 5 4 3 3" xfId="29166"/>
    <cellStyle name="SAPBEXHLevel3X 5 4 4" xfId="29167"/>
    <cellStyle name="SAPBEXHLevel3X 5 4 4 2" xfId="29168"/>
    <cellStyle name="SAPBEXHLevel3X 5 4 4 2 2" xfId="29169"/>
    <cellStyle name="SAPBEXHLevel3X 5 4 4 3" xfId="29170"/>
    <cellStyle name="SAPBEXHLevel3X 5 4 5" xfId="29171"/>
    <cellStyle name="SAPBEXHLevel3X 5 4 5 2" xfId="29172"/>
    <cellStyle name="SAPBEXHLevel3X 5 4 5 2 2" xfId="29173"/>
    <cellStyle name="SAPBEXHLevel3X 5 4 5 3" xfId="29174"/>
    <cellStyle name="SAPBEXHLevel3X 5 4 6" xfId="29175"/>
    <cellStyle name="SAPBEXHLevel3X 5 4 6 2" xfId="29176"/>
    <cellStyle name="SAPBEXHLevel3X 5 4 6 2 2" xfId="29177"/>
    <cellStyle name="SAPBEXHLevel3X 5 4 6 3" xfId="29178"/>
    <cellStyle name="SAPBEXHLevel3X 5 4 7" xfId="29179"/>
    <cellStyle name="SAPBEXHLevel3X 5 4 7 2" xfId="29180"/>
    <cellStyle name="SAPBEXHLevel3X 5 4 7 2 2" xfId="29181"/>
    <cellStyle name="SAPBEXHLevel3X 5 4 7 3" xfId="29182"/>
    <cellStyle name="SAPBEXHLevel3X 5 4 8" xfId="29183"/>
    <cellStyle name="SAPBEXHLevel3X 5 4 8 2" xfId="29184"/>
    <cellStyle name="SAPBEXHLevel3X 5 4 8 2 2" xfId="29185"/>
    <cellStyle name="SAPBEXHLevel3X 5 4 8 3" xfId="29186"/>
    <cellStyle name="SAPBEXHLevel3X 5 4 9" xfId="29187"/>
    <cellStyle name="SAPBEXHLevel3X 5 4 9 2" xfId="29188"/>
    <cellStyle name="SAPBEXHLevel3X 5 4_planning-WP" xfId="29189"/>
    <cellStyle name="SAPBEXHLevel3X 5 5" xfId="29190"/>
    <cellStyle name="SAPBEXHLevel3X 5 5 2" xfId="29191"/>
    <cellStyle name="SAPBEXHLevel3X 5 5 2 2" xfId="29192"/>
    <cellStyle name="SAPBEXHLevel3X 5 6" xfId="29193"/>
    <cellStyle name="SAPBEXHLevel3X 5 6 2" xfId="29194"/>
    <cellStyle name="SAPBEXHLevel3X 5 6 2 2" xfId="29195"/>
    <cellStyle name="SAPBEXHLevel3X 5 6 3" xfId="29196"/>
    <cellStyle name="SAPBEXHLevel3X 5 7" xfId="29197"/>
    <cellStyle name="SAPBEXHLevel3X 5 7 2" xfId="29198"/>
    <cellStyle name="SAPBEXHLevel3X 5 7 2 2" xfId="29199"/>
    <cellStyle name="SAPBEXHLevel3X 5 7 3" xfId="29200"/>
    <cellStyle name="SAPBEXHLevel3X 5 8" xfId="29201"/>
    <cellStyle name="SAPBEXHLevel3X 5 8 2" xfId="29202"/>
    <cellStyle name="SAPBEXHLevel3X 5 8 2 2" xfId="29203"/>
    <cellStyle name="SAPBEXHLevel3X 5 8 3" xfId="29204"/>
    <cellStyle name="SAPBEXHLevel3X 5 9" xfId="29205"/>
    <cellStyle name="SAPBEXHLevel3X 5 9 2" xfId="29206"/>
    <cellStyle name="SAPBEXHLevel3X 5 9 2 2" xfId="29207"/>
    <cellStyle name="SAPBEXHLevel3X 5 9 3" xfId="29208"/>
    <cellStyle name="SAPBEXHLevel3X 5_planning-WP" xfId="29209"/>
    <cellStyle name="SAPBEXHLevel3X 6" xfId="29210"/>
    <cellStyle name="SAPBEXHLevel3X 6 10" xfId="29211"/>
    <cellStyle name="SAPBEXHLevel3X 6 10 2" xfId="29212"/>
    <cellStyle name="SAPBEXHLevel3X 6 10 2 2" xfId="29213"/>
    <cellStyle name="SAPBEXHLevel3X 6 10 3" xfId="29214"/>
    <cellStyle name="SAPBEXHLevel3X 6 11" xfId="29215"/>
    <cellStyle name="SAPBEXHLevel3X 6 11 2" xfId="29216"/>
    <cellStyle name="SAPBEXHLevel3X 6 11 2 2" xfId="29217"/>
    <cellStyle name="SAPBEXHLevel3X 6 11 3" xfId="29218"/>
    <cellStyle name="SAPBEXHLevel3X 6 12" xfId="29219"/>
    <cellStyle name="SAPBEXHLevel3X 6 13" xfId="39094"/>
    <cellStyle name="SAPBEXHLevel3X 6 14" xfId="39478"/>
    <cellStyle name="SAPBEXHLevel3X 6 2" xfId="29220"/>
    <cellStyle name="SAPBEXHLevel3X 6 2 10" xfId="29221"/>
    <cellStyle name="SAPBEXHLevel3X 6 2 10 2" xfId="29222"/>
    <cellStyle name="SAPBEXHLevel3X 6 2 2" xfId="29223"/>
    <cellStyle name="SAPBEXHLevel3X 6 2 2 2" xfId="29224"/>
    <cellStyle name="SAPBEXHLevel3X 6 2 2 2 2" xfId="29225"/>
    <cellStyle name="SAPBEXHLevel3X 6 2 2 3" xfId="29226"/>
    <cellStyle name="SAPBEXHLevel3X 6 2 3" xfId="29227"/>
    <cellStyle name="SAPBEXHLevel3X 6 2 3 2" xfId="29228"/>
    <cellStyle name="SAPBEXHLevel3X 6 2 3 2 2" xfId="29229"/>
    <cellStyle name="SAPBEXHLevel3X 6 2 3 3" xfId="29230"/>
    <cellStyle name="SAPBEXHLevel3X 6 2 4" xfId="29231"/>
    <cellStyle name="SAPBEXHLevel3X 6 2 4 2" xfId="29232"/>
    <cellStyle name="SAPBEXHLevel3X 6 2 4 2 2" xfId="29233"/>
    <cellStyle name="SAPBEXHLevel3X 6 2 4 3" xfId="29234"/>
    <cellStyle name="SAPBEXHLevel3X 6 2 5" xfId="29235"/>
    <cellStyle name="SAPBEXHLevel3X 6 2 5 2" xfId="29236"/>
    <cellStyle name="SAPBEXHLevel3X 6 2 5 2 2" xfId="29237"/>
    <cellStyle name="SAPBEXHLevel3X 6 2 5 3" xfId="29238"/>
    <cellStyle name="SAPBEXHLevel3X 6 2 6" xfId="29239"/>
    <cellStyle name="SAPBEXHLevel3X 6 2 6 2" xfId="29240"/>
    <cellStyle name="SAPBEXHLevel3X 6 2 6 2 2" xfId="29241"/>
    <cellStyle name="SAPBEXHLevel3X 6 2 6 3" xfId="29242"/>
    <cellStyle name="SAPBEXHLevel3X 6 2 7" xfId="29243"/>
    <cellStyle name="SAPBEXHLevel3X 6 2 7 2" xfId="29244"/>
    <cellStyle name="SAPBEXHLevel3X 6 2 7 2 2" xfId="29245"/>
    <cellStyle name="SAPBEXHLevel3X 6 2 7 3" xfId="29246"/>
    <cellStyle name="SAPBEXHLevel3X 6 2 8" xfId="29247"/>
    <cellStyle name="SAPBEXHLevel3X 6 2 8 2" xfId="29248"/>
    <cellStyle name="SAPBEXHLevel3X 6 2 8 2 2" xfId="29249"/>
    <cellStyle name="SAPBEXHLevel3X 6 2 8 3" xfId="29250"/>
    <cellStyle name="SAPBEXHLevel3X 6 2 9" xfId="29251"/>
    <cellStyle name="SAPBEXHLevel3X 6 2 9 2" xfId="29252"/>
    <cellStyle name="SAPBEXHLevel3X 6 2 9 2 2" xfId="29253"/>
    <cellStyle name="SAPBEXHLevel3X 6 2 9 3" xfId="29254"/>
    <cellStyle name="SAPBEXHLevel3X 6 2_planning-WP" xfId="29255"/>
    <cellStyle name="SAPBEXHLevel3X 6 3" xfId="29256"/>
    <cellStyle name="SAPBEXHLevel3X 6 3 2" xfId="29257"/>
    <cellStyle name="SAPBEXHLevel3X 6 3 2 2" xfId="29258"/>
    <cellStyle name="SAPBEXHLevel3X 6 3 2 2 2" xfId="29259"/>
    <cellStyle name="SAPBEXHLevel3X 6 3 2 3" xfId="29260"/>
    <cellStyle name="SAPBEXHLevel3X 6 3 3" xfId="29261"/>
    <cellStyle name="SAPBEXHLevel3X 6 3 3 2" xfId="29262"/>
    <cellStyle name="SAPBEXHLevel3X 6 3 3 2 2" xfId="29263"/>
    <cellStyle name="SAPBEXHLevel3X 6 3 3 3" xfId="29264"/>
    <cellStyle name="SAPBEXHLevel3X 6 3 4" xfId="29265"/>
    <cellStyle name="SAPBEXHLevel3X 6 3 4 2" xfId="29266"/>
    <cellStyle name="SAPBEXHLevel3X 6 3 4 2 2" xfId="29267"/>
    <cellStyle name="SAPBEXHLevel3X 6 3 4 3" xfId="29268"/>
    <cellStyle name="SAPBEXHLevel3X 6 3 5" xfId="29269"/>
    <cellStyle name="SAPBEXHLevel3X 6 3 5 2" xfId="29270"/>
    <cellStyle name="SAPBEXHLevel3X 6 3 5 2 2" xfId="29271"/>
    <cellStyle name="SAPBEXHLevel3X 6 3 5 3" xfId="29272"/>
    <cellStyle name="SAPBEXHLevel3X 6 3 6" xfId="29273"/>
    <cellStyle name="SAPBEXHLevel3X 6 3 6 2" xfId="29274"/>
    <cellStyle name="SAPBEXHLevel3X 6 3 6 2 2" xfId="29275"/>
    <cellStyle name="SAPBEXHLevel3X 6 3 6 3" xfId="29276"/>
    <cellStyle name="SAPBEXHLevel3X 6 3 7" xfId="29277"/>
    <cellStyle name="SAPBEXHLevel3X 6 3 7 2" xfId="29278"/>
    <cellStyle name="SAPBEXHLevel3X 6 3 7 2 2" xfId="29279"/>
    <cellStyle name="SAPBEXHLevel3X 6 3 7 3" xfId="29280"/>
    <cellStyle name="SAPBEXHLevel3X 6 3 8" xfId="29281"/>
    <cellStyle name="SAPBEXHLevel3X 6 3 8 2" xfId="29282"/>
    <cellStyle name="SAPBEXHLevel3X 6 3 8 2 2" xfId="29283"/>
    <cellStyle name="SAPBEXHLevel3X 6 3 8 3" xfId="29284"/>
    <cellStyle name="SAPBEXHLevel3X 6 3 9" xfId="29285"/>
    <cellStyle name="SAPBEXHLevel3X 6 3 9 2" xfId="29286"/>
    <cellStyle name="SAPBEXHLevel3X 6 3_planning-WP" xfId="29287"/>
    <cellStyle name="SAPBEXHLevel3X 6 4" xfId="29288"/>
    <cellStyle name="SAPBEXHLevel3X 6 4 2" xfId="29289"/>
    <cellStyle name="SAPBEXHLevel3X 6 4 2 2" xfId="29290"/>
    <cellStyle name="SAPBEXHLevel3X 6 5" xfId="29291"/>
    <cellStyle name="SAPBEXHLevel3X 6 5 2" xfId="29292"/>
    <cellStyle name="SAPBEXHLevel3X 6 5 2 2" xfId="29293"/>
    <cellStyle name="SAPBEXHLevel3X 6 5 3" xfId="29294"/>
    <cellStyle name="SAPBEXHLevel3X 6 6" xfId="29295"/>
    <cellStyle name="SAPBEXHLevel3X 6 6 2" xfId="29296"/>
    <cellStyle name="SAPBEXHLevel3X 6 6 2 2" xfId="29297"/>
    <cellStyle name="SAPBEXHLevel3X 6 6 3" xfId="29298"/>
    <cellStyle name="SAPBEXHLevel3X 6 7" xfId="29299"/>
    <cellStyle name="SAPBEXHLevel3X 6 7 2" xfId="29300"/>
    <cellStyle name="SAPBEXHLevel3X 6 7 2 2" xfId="29301"/>
    <cellStyle name="SAPBEXHLevel3X 6 7 3" xfId="29302"/>
    <cellStyle name="SAPBEXHLevel3X 6 8" xfId="29303"/>
    <cellStyle name="SAPBEXHLevel3X 6 8 2" xfId="29304"/>
    <cellStyle name="SAPBEXHLevel3X 6 8 2 2" xfId="29305"/>
    <cellStyle name="SAPBEXHLevel3X 6 8 3" xfId="29306"/>
    <cellStyle name="SAPBEXHLevel3X 6 9" xfId="29307"/>
    <cellStyle name="SAPBEXHLevel3X 6 9 2" xfId="29308"/>
    <cellStyle name="SAPBEXHLevel3X 6 9 2 2" xfId="29309"/>
    <cellStyle name="SAPBEXHLevel3X 6 9 3" xfId="29310"/>
    <cellStyle name="SAPBEXHLevel3X 6_planning-WP" xfId="29311"/>
    <cellStyle name="SAPBEXHLevel3X 7" xfId="29312"/>
    <cellStyle name="SAPBEXHLevel3X 7 10" xfId="29313"/>
    <cellStyle name="SAPBEXHLevel3X 7 10 2" xfId="29314"/>
    <cellStyle name="SAPBEXHLevel3X 7 10 2 2" xfId="29315"/>
    <cellStyle name="SAPBEXHLevel3X 7 10 3" xfId="29316"/>
    <cellStyle name="SAPBEXHLevel3X 7 11" xfId="29317"/>
    <cellStyle name="SAPBEXHLevel3X 7 11 2" xfId="29318"/>
    <cellStyle name="SAPBEXHLevel3X 7 12" xfId="39095"/>
    <cellStyle name="SAPBEXHLevel3X 7 13" xfId="39479"/>
    <cellStyle name="SAPBEXHLevel3X 7 2" xfId="29319"/>
    <cellStyle name="SAPBEXHLevel3X 7 2 10" xfId="29320"/>
    <cellStyle name="SAPBEXHLevel3X 7 2 10 2" xfId="29321"/>
    <cellStyle name="SAPBEXHLevel3X 7 2 2" xfId="29322"/>
    <cellStyle name="SAPBEXHLevel3X 7 2 2 2" xfId="29323"/>
    <cellStyle name="SAPBEXHLevel3X 7 2 2 2 2" xfId="29324"/>
    <cellStyle name="SAPBEXHLevel3X 7 2 2 3" xfId="29325"/>
    <cellStyle name="SAPBEXHLevel3X 7 2 3" xfId="29326"/>
    <cellStyle name="SAPBEXHLevel3X 7 2 3 2" xfId="29327"/>
    <cellStyle name="SAPBEXHLevel3X 7 2 3 2 2" xfId="29328"/>
    <cellStyle name="SAPBEXHLevel3X 7 2 3 3" xfId="29329"/>
    <cellStyle name="SAPBEXHLevel3X 7 2 4" xfId="29330"/>
    <cellStyle name="SAPBEXHLevel3X 7 2 4 2" xfId="29331"/>
    <cellStyle name="SAPBEXHLevel3X 7 2 4 2 2" xfId="29332"/>
    <cellStyle name="SAPBEXHLevel3X 7 2 4 3" xfId="29333"/>
    <cellStyle name="SAPBEXHLevel3X 7 2 5" xfId="29334"/>
    <cellStyle name="SAPBEXHLevel3X 7 2 5 2" xfId="29335"/>
    <cellStyle name="SAPBEXHLevel3X 7 2 5 2 2" xfId="29336"/>
    <cellStyle name="SAPBEXHLevel3X 7 2 5 3" xfId="29337"/>
    <cellStyle name="SAPBEXHLevel3X 7 2 6" xfId="29338"/>
    <cellStyle name="SAPBEXHLevel3X 7 2 6 2" xfId="29339"/>
    <cellStyle name="SAPBEXHLevel3X 7 2 6 2 2" xfId="29340"/>
    <cellStyle name="SAPBEXHLevel3X 7 2 6 3" xfId="29341"/>
    <cellStyle name="SAPBEXHLevel3X 7 2 7" xfId="29342"/>
    <cellStyle name="SAPBEXHLevel3X 7 2 7 2" xfId="29343"/>
    <cellStyle name="SAPBEXHLevel3X 7 2 7 2 2" xfId="29344"/>
    <cellStyle name="SAPBEXHLevel3X 7 2 7 3" xfId="29345"/>
    <cellStyle name="SAPBEXHLevel3X 7 2 8" xfId="29346"/>
    <cellStyle name="SAPBEXHLevel3X 7 2 8 2" xfId="29347"/>
    <cellStyle name="SAPBEXHLevel3X 7 2 8 2 2" xfId="29348"/>
    <cellStyle name="SAPBEXHLevel3X 7 2 8 3" xfId="29349"/>
    <cellStyle name="SAPBEXHLevel3X 7 2 9" xfId="29350"/>
    <cellStyle name="SAPBEXHLevel3X 7 2 9 2" xfId="29351"/>
    <cellStyle name="SAPBEXHLevel3X 7 2 9 2 2" xfId="29352"/>
    <cellStyle name="SAPBEXHLevel3X 7 2 9 3" xfId="29353"/>
    <cellStyle name="SAPBEXHLevel3X 7 2_planning-WP" xfId="29354"/>
    <cellStyle name="SAPBEXHLevel3X 7 3" xfId="29355"/>
    <cellStyle name="SAPBEXHLevel3X 7 3 2" xfId="29356"/>
    <cellStyle name="SAPBEXHLevel3X 7 3 2 2" xfId="29357"/>
    <cellStyle name="SAPBEXHLevel3X 7 3 3" xfId="29358"/>
    <cellStyle name="SAPBEXHLevel3X 7 4" xfId="29359"/>
    <cellStyle name="SAPBEXHLevel3X 7 4 2" xfId="29360"/>
    <cellStyle name="SAPBEXHLevel3X 7 4 2 2" xfId="29361"/>
    <cellStyle name="SAPBEXHLevel3X 7 4 3" xfId="29362"/>
    <cellStyle name="SAPBEXHLevel3X 7 5" xfId="29363"/>
    <cellStyle name="SAPBEXHLevel3X 7 5 2" xfId="29364"/>
    <cellStyle name="SAPBEXHLevel3X 7 5 2 2" xfId="29365"/>
    <cellStyle name="SAPBEXHLevel3X 7 5 3" xfId="29366"/>
    <cellStyle name="SAPBEXHLevel3X 7 6" xfId="29367"/>
    <cellStyle name="SAPBEXHLevel3X 7 6 2" xfId="29368"/>
    <cellStyle name="SAPBEXHLevel3X 7 6 2 2" xfId="29369"/>
    <cellStyle name="SAPBEXHLevel3X 7 6 3" xfId="29370"/>
    <cellStyle name="SAPBEXHLevel3X 7 7" xfId="29371"/>
    <cellStyle name="SAPBEXHLevel3X 7 7 2" xfId="29372"/>
    <cellStyle name="SAPBEXHLevel3X 7 7 2 2" xfId="29373"/>
    <cellStyle name="SAPBEXHLevel3X 7 7 3" xfId="29374"/>
    <cellStyle name="SAPBEXHLevel3X 7 8" xfId="29375"/>
    <cellStyle name="SAPBEXHLevel3X 7 8 2" xfId="29376"/>
    <cellStyle name="SAPBEXHLevel3X 7 8 2 2" xfId="29377"/>
    <cellStyle name="SAPBEXHLevel3X 7 8 3" xfId="29378"/>
    <cellStyle name="SAPBEXHLevel3X 7 9" xfId="29379"/>
    <cellStyle name="SAPBEXHLevel3X 7 9 2" xfId="29380"/>
    <cellStyle name="SAPBEXHLevel3X 7 9 2 2" xfId="29381"/>
    <cellStyle name="SAPBEXHLevel3X 7 9 3" xfId="29382"/>
    <cellStyle name="SAPBEXHLevel3X 7_planning-WP" xfId="29383"/>
    <cellStyle name="SAPBEXHLevel3X 8" xfId="29384"/>
    <cellStyle name="SAPBEXHLevel3X 8 10" xfId="29385"/>
    <cellStyle name="SAPBEXHLevel3X 8 10 2" xfId="29386"/>
    <cellStyle name="SAPBEXHLevel3X 8 11" xfId="39096"/>
    <cellStyle name="SAPBEXHLevel3X 8 12" xfId="39480"/>
    <cellStyle name="SAPBEXHLevel3X 8 2" xfId="29387"/>
    <cellStyle name="SAPBEXHLevel3X 8 2 2" xfId="29388"/>
    <cellStyle name="SAPBEXHLevel3X 8 2 2 2" xfId="29389"/>
    <cellStyle name="SAPBEXHLevel3X 8 2 3" xfId="29390"/>
    <cellStyle name="SAPBEXHLevel3X 8 3" xfId="29391"/>
    <cellStyle name="SAPBEXHLevel3X 8 3 2" xfId="29392"/>
    <cellStyle name="SAPBEXHLevel3X 8 3 2 2" xfId="29393"/>
    <cellStyle name="SAPBEXHLevel3X 8 3 3" xfId="29394"/>
    <cellStyle name="SAPBEXHLevel3X 8 4" xfId="29395"/>
    <cellStyle name="SAPBEXHLevel3X 8 4 2" xfId="29396"/>
    <cellStyle name="SAPBEXHLevel3X 8 4 2 2" xfId="29397"/>
    <cellStyle name="SAPBEXHLevel3X 8 4 3" xfId="29398"/>
    <cellStyle name="SAPBEXHLevel3X 8 5" xfId="29399"/>
    <cellStyle name="SAPBEXHLevel3X 8 5 2" xfId="29400"/>
    <cellStyle name="SAPBEXHLevel3X 8 5 2 2" xfId="29401"/>
    <cellStyle name="SAPBEXHLevel3X 8 5 3" xfId="29402"/>
    <cellStyle name="SAPBEXHLevel3X 8 6" xfId="29403"/>
    <cellStyle name="SAPBEXHLevel3X 8 6 2" xfId="29404"/>
    <cellStyle name="SAPBEXHLevel3X 8 6 2 2" xfId="29405"/>
    <cellStyle name="SAPBEXHLevel3X 8 6 3" xfId="29406"/>
    <cellStyle name="SAPBEXHLevel3X 8 7" xfId="29407"/>
    <cellStyle name="SAPBEXHLevel3X 8 7 2" xfId="29408"/>
    <cellStyle name="SAPBEXHLevel3X 8 7 2 2" xfId="29409"/>
    <cellStyle name="SAPBEXHLevel3X 8 7 3" xfId="29410"/>
    <cellStyle name="SAPBEXHLevel3X 8 8" xfId="29411"/>
    <cellStyle name="SAPBEXHLevel3X 8 8 2" xfId="29412"/>
    <cellStyle name="SAPBEXHLevel3X 8 8 2 2" xfId="29413"/>
    <cellStyle name="SAPBEXHLevel3X 8 8 3" xfId="29414"/>
    <cellStyle name="SAPBEXHLevel3X 8 9" xfId="29415"/>
    <cellStyle name="SAPBEXHLevel3X 8 9 2" xfId="29416"/>
    <cellStyle name="SAPBEXHLevel3X 8 9 2 2" xfId="29417"/>
    <cellStyle name="SAPBEXHLevel3X 8 9 3" xfId="29418"/>
    <cellStyle name="SAPBEXHLevel3X 8_planning-WP" xfId="29419"/>
    <cellStyle name="SAPBEXHLevel3X 9" xfId="29420"/>
    <cellStyle name="SAPBEXHLevel3X 9 2" xfId="29421"/>
    <cellStyle name="SAPBEXHLevel3X 9 2 2" xfId="29422"/>
    <cellStyle name="SAPBEXHLevel3X 9 2 2 2" xfId="29423"/>
    <cellStyle name="SAPBEXHLevel3X 9 2 3" xfId="29424"/>
    <cellStyle name="SAPBEXHLevel3X 9 3" xfId="29425"/>
    <cellStyle name="SAPBEXHLevel3X 9 3 2" xfId="29426"/>
    <cellStyle name="SAPBEXHLevel3X 9 3 2 2" xfId="29427"/>
    <cellStyle name="SAPBEXHLevel3X 9 3 3" xfId="29428"/>
    <cellStyle name="SAPBEXHLevel3X 9 4" xfId="29429"/>
    <cellStyle name="SAPBEXHLevel3X 9 4 2" xfId="29430"/>
    <cellStyle name="SAPBEXHLevel3X 9 4 2 2" xfId="29431"/>
    <cellStyle name="SAPBEXHLevel3X 9 4 3" xfId="29432"/>
    <cellStyle name="SAPBEXHLevel3X 9 5" xfId="29433"/>
    <cellStyle name="SAPBEXHLevel3X 9 5 2" xfId="29434"/>
    <cellStyle name="SAPBEXHLevel3X 9 5 2 2" xfId="29435"/>
    <cellStyle name="SAPBEXHLevel3X 9 5 3" xfId="29436"/>
    <cellStyle name="SAPBEXHLevel3X 9 6" xfId="29437"/>
    <cellStyle name="SAPBEXHLevel3X 9 6 2" xfId="29438"/>
    <cellStyle name="SAPBEXHLevel3X 9 6 2 2" xfId="29439"/>
    <cellStyle name="SAPBEXHLevel3X 9 6 3" xfId="29440"/>
    <cellStyle name="SAPBEXHLevel3X 9 7" xfId="29441"/>
    <cellStyle name="SAPBEXHLevel3X 9 7 2" xfId="29442"/>
    <cellStyle name="SAPBEXHLevel3X 9 7 2 2" xfId="29443"/>
    <cellStyle name="SAPBEXHLevel3X 9 7 3" xfId="29444"/>
    <cellStyle name="SAPBEXHLevel3X 9 8" xfId="29445"/>
    <cellStyle name="SAPBEXHLevel3X 9 8 2" xfId="29446"/>
    <cellStyle name="SAPBEXHLevel3X 9 8 2 2" xfId="29447"/>
    <cellStyle name="SAPBEXHLevel3X 9 8 3" xfId="29448"/>
    <cellStyle name="SAPBEXHLevel3X 9 9" xfId="29449"/>
    <cellStyle name="SAPBEXHLevel3X 9 9 2" xfId="29450"/>
    <cellStyle name="SAPBEXHLevel3X 9_planning-WP" xfId="29451"/>
    <cellStyle name="SAPBEXHLevel3X_planning-WP" xfId="29452"/>
    <cellStyle name="SAPBEXinputData" xfId="39097"/>
    <cellStyle name="SAPBEXresData" xfId="288"/>
    <cellStyle name="SAPBEXresData 10" xfId="29454"/>
    <cellStyle name="SAPBEXresData 10 2" xfId="29455"/>
    <cellStyle name="SAPBEXresData 10 2 2" xfId="29456"/>
    <cellStyle name="SAPBEXresData 11" xfId="29457"/>
    <cellStyle name="SAPBEXresData 11 2" xfId="29458"/>
    <cellStyle name="SAPBEXresData 11 2 2" xfId="29459"/>
    <cellStyle name="SAPBEXresData 11 3" xfId="29460"/>
    <cellStyle name="SAPBEXresData 12" xfId="29461"/>
    <cellStyle name="SAPBEXresData 12 2" xfId="29462"/>
    <cellStyle name="SAPBEXresData 12 2 2" xfId="29463"/>
    <cellStyle name="SAPBEXresData 12 3" xfId="29464"/>
    <cellStyle name="SAPBEXresData 13" xfId="29465"/>
    <cellStyle name="SAPBEXresData 13 2" xfId="29466"/>
    <cellStyle name="SAPBEXresData 13 2 2" xfId="29467"/>
    <cellStyle name="SAPBEXresData 13 3" xfId="29468"/>
    <cellStyle name="SAPBEXresData 14" xfId="29469"/>
    <cellStyle name="SAPBEXresData 14 2" xfId="29470"/>
    <cellStyle name="SAPBEXresData 14 2 2" xfId="29471"/>
    <cellStyle name="SAPBEXresData 14 3" xfId="29472"/>
    <cellStyle name="SAPBEXresData 15" xfId="29473"/>
    <cellStyle name="SAPBEXresData 15 2" xfId="29474"/>
    <cellStyle name="SAPBEXresData 15 2 2" xfId="29475"/>
    <cellStyle name="SAPBEXresData 15 3" xfId="29476"/>
    <cellStyle name="SAPBEXresData 16" xfId="29477"/>
    <cellStyle name="SAPBEXresData 16 2" xfId="29478"/>
    <cellStyle name="SAPBEXresData 16 2 2" xfId="29479"/>
    <cellStyle name="SAPBEXresData 16 3" xfId="29480"/>
    <cellStyle name="SAPBEXresData 17" xfId="29481"/>
    <cellStyle name="SAPBEXresData 17 2" xfId="29482"/>
    <cellStyle name="SAPBEXresData 17 2 2" xfId="29483"/>
    <cellStyle name="SAPBEXresData 17 3" xfId="29484"/>
    <cellStyle name="SAPBEXresData 18" xfId="29485"/>
    <cellStyle name="SAPBEXresData 19" xfId="29486"/>
    <cellStyle name="SAPBEXresData 2" xfId="900"/>
    <cellStyle name="SAPBEXresData 2 10" xfId="29488"/>
    <cellStyle name="SAPBEXresData 2 10 2" xfId="29489"/>
    <cellStyle name="SAPBEXresData 2 10 2 2" xfId="29490"/>
    <cellStyle name="SAPBEXresData 2 10 3" xfId="29491"/>
    <cellStyle name="SAPBEXresData 2 11" xfId="29492"/>
    <cellStyle name="SAPBEXresData 2 11 2" xfId="29493"/>
    <cellStyle name="SAPBEXresData 2 11 2 2" xfId="29494"/>
    <cellStyle name="SAPBEXresData 2 11 3" xfId="29495"/>
    <cellStyle name="SAPBEXresData 2 12" xfId="29496"/>
    <cellStyle name="SAPBEXresData 2 12 2" xfId="29497"/>
    <cellStyle name="SAPBEXresData 2 12 2 2" xfId="29498"/>
    <cellStyle name="SAPBEXresData 2 12 3" xfId="29499"/>
    <cellStyle name="SAPBEXresData 2 13" xfId="29500"/>
    <cellStyle name="SAPBEXresData 2 14" xfId="29501"/>
    <cellStyle name="SAPBEXresData 2 15" xfId="29487"/>
    <cellStyle name="SAPBEXresData 2 16" xfId="9584"/>
    <cellStyle name="SAPBEXresData 2 17" xfId="39099"/>
    <cellStyle name="SAPBEXresData 2 18" xfId="39482"/>
    <cellStyle name="SAPBEXresData 2 2" xfId="1968"/>
    <cellStyle name="SAPBEXresData 2 2 10" xfId="29503"/>
    <cellStyle name="SAPBEXresData 2 2 10 2" xfId="29504"/>
    <cellStyle name="SAPBEXresData 2 2 10 2 2" xfId="29505"/>
    <cellStyle name="SAPBEXresData 2 2 10 3" xfId="29506"/>
    <cellStyle name="SAPBEXresData 2 2 11" xfId="29507"/>
    <cellStyle name="SAPBEXresData 2 2 11 2" xfId="29508"/>
    <cellStyle name="SAPBEXresData 2 2 12" xfId="29502"/>
    <cellStyle name="SAPBEXresData 2 2 13" xfId="10146"/>
    <cellStyle name="SAPBEXresData 2 2 14" xfId="39100"/>
    <cellStyle name="SAPBEXresData 2 2 15" xfId="39483"/>
    <cellStyle name="SAPBEXresData 2 2 2" xfId="4886"/>
    <cellStyle name="SAPBEXresData 2 2 2 10" xfId="29510"/>
    <cellStyle name="SAPBEXresData 2 2 2 10 2" xfId="29511"/>
    <cellStyle name="SAPBEXresData 2 2 2 11" xfId="29509"/>
    <cellStyle name="SAPBEXresData 2 2 2 2" xfId="29512"/>
    <cellStyle name="SAPBEXresData 2 2 2 2 2" xfId="29513"/>
    <cellStyle name="SAPBEXresData 2 2 2 2 2 2" xfId="29514"/>
    <cellStyle name="SAPBEXresData 2 2 2 2 3" xfId="29515"/>
    <cellStyle name="SAPBEXresData 2 2 2 3" xfId="29516"/>
    <cellStyle name="SAPBEXresData 2 2 2 3 2" xfId="29517"/>
    <cellStyle name="SAPBEXresData 2 2 2 3 2 2" xfId="29518"/>
    <cellStyle name="SAPBEXresData 2 2 2 3 3" xfId="29519"/>
    <cellStyle name="SAPBEXresData 2 2 2 4" xfId="29520"/>
    <cellStyle name="SAPBEXresData 2 2 2 4 2" xfId="29521"/>
    <cellStyle name="SAPBEXresData 2 2 2 4 2 2" xfId="29522"/>
    <cellStyle name="SAPBEXresData 2 2 2 4 3" xfId="29523"/>
    <cellStyle name="SAPBEXresData 2 2 2 5" xfId="29524"/>
    <cellStyle name="SAPBEXresData 2 2 2 5 2" xfId="29525"/>
    <cellStyle name="SAPBEXresData 2 2 2 5 2 2" xfId="29526"/>
    <cellStyle name="SAPBEXresData 2 2 2 5 3" xfId="29527"/>
    <cellStyle name="SAPBEXresData 2 2 2 6" xfId="29528"/>
    <cellStyle name="SAPBEXresData 2 2 2 6 2" xfId="29529"/>
    <cellStyle name="SAPBEXresData 2 2 2 6 2 2" xfId="29530"/>
    <cellStyle name="SAPBEXresData 2 2 2 6 3" xfId="29531"/>
    <cellStyle name="SAPBEXresData 2 2 2 7" xfId="29532"/>
    <cellStyle name="SAPBEXresData 2 2 2 7 2" xfId="29533"/>
    <cellStyle name="SAPBEXresData 2 2 2 7 2 2" xfId="29534"/>
    <cellStyle name="SAPBEXresData 2 2 2 7 3" xfId="29535"/>
    <cellStyle name="SAPBEXresData 2 2 2 8" xfId="29536"/>
    <cellStyle name="SAPBEXresData 2 2 2 8 2" xfId="29537"/>
    <cellStyle name="SAPBEXresData 2 2 2 8 2 2" xfId="29538"/>
    <cellStyle name="SAPBEXresData 2 2 2 8 3" xfId="29539"/>
    <cellStyle name="SAPBEXresData 2 2 2 9" xfId="29540"/>
    <cellStyle name="SAPBEXresData 2 2 2 9 2" xfId="29541"/>
    <cellStyle name="SAPBEXresData 2 2 2 9 2 2" xfId="29542"/>
    <cellStyle name="SAPBEXresData 2 2 2 9 3" xfId="29543"/>
    <cellStyle name="SAPBEXresData 2 2 2_planning-WP" xfId="29544"/>
    <cellStyle name="SAPBEXresData 2 2 3" xfId="5865"/>
    <cellStyle name="SAPBEXresData 2 2 3 2" xfId="29546"/>
    <cellStyle name="SAPBEXresData 2 2 3 2 2" xfId="29547"/>
    <cellStyle name="SAPBEXresData 2 2 3 3" xfId="29548"/>
    <cellStyle name="SAPBEXresData 2 2 3 4" xfId="29545"/>
    <cellStyle name="SAPBEXresData 2 2 4" xfId="6373"/>
    <cellStyle name="SAPBEXresData 2 2 4 2" xfId="29550"/>
    <cellStyle name="SAPBEXresData 2 2 4 2 2" xfId="29551"/>
    <cellStyle name="SAPBEXresData 2 2 4 3" xfId="29552"/>
    <cellStyle name="SAPBEXresData 2 2 4 4" xfId="29549"/>
    <cellStyle name="SAPBEXresData 2 2 5" xfId="6860"/>
    <cellStyle name="SAPBEXresData 2 2 5 2" xfId="29554"/>
    <cellStyle name="SAPBEXresData 2 2 5 2 2" xfId="29555"/>
    <cellStyle name="SAPBEXresData 2 2 5 3" xfId="29556"/>
    <cellStyle name="SAPBEXresData 2 2 5 4" xfId="29553"/>
    <cellStyle name="SAPBEXresData 2 2 6" xfId="7343"/>
    <cellStyle name="SAPBEXresData 2 2 6 2" xfId="29558"/>
    <cellStyle name="SAPBEXresData 2 2 6 2 2" xfId="29559"/>
    <cellStyle name="SAPBEXresData 2 2 6 3" xfId="29560"/>
    <cellStyle name="SAPBEXresData 2 2 6 4" xfId="29557"/>
    <cellStyle name="SAPBEXresData 2 2 7" xfId="8412"/>
    <cellStyle name="SAPBEXresData 2 2 7 2" xfId="29562"/>
    <cellStyle name="SAPBEXresData 2 2 7 2 2" xfId="29563"/>
    <cellStyle name="SAPBEXresData 2 2 7 3" xfId="29564"/>
    <cellStyle name="SAPBEXresData 2 2 7 4" xfId="29561"/>
    <cellStyle name="SAPBEXresData 2 2 8" xfId="8913"/>
    <cellStyle name="SAPBEXresData 2 2 8 2" xfId="29566"/>
    <cellStyle name="SAPBEXresData 2 2 8 2 2" xfId="29567"/>
    <cellStyle name="SAPBEXresData 2 2 8 3" xfId="29568"/>
    <cellStyle name="SAPBEXresData 2 2 8 4" xfId="29565"/>
    <cellStyle name="SAPBEXresData 2 2 9" xfId="9407"/>
    <cellStyle name="SAPBEXresData 2 2 9 2" xfId="29570"/>
    <cellStyle name="SAPBEXresData 2 2 9 2 2" xfId="29571"/>
    <cellStyle name="SAPBEXresData 2 2 9 3" xfId="29572"/>
    <cellStyle name="SAPBEXresData 2 2 9 4" xfId="29569"/>
    <cellStyle name="SAPBEXresData 2 2_planning-WP" xfId="29573"/>
    <cellStyle name="SAPBEXresData 2 3" xfId="1631"/>
    <cellStyle name="SAPBEXresData 2 3 10" xfId="29575"/>
    <cellStyle name="SAPBEXresData 2 3 10 2" xfId="29576"/>
    <cellStyle name="SAPBEXresData 2 3 11" xfId="29574"/>
    <cellStyle name="SAPBEXresData 2 3 12" xfId="9828"/>
    <cellStyle name="SAPBEXresData 2 3 2" xfId="4554"/>
    <cellStyle name="SAPBEXresData 2 3 2 2" xfId="29578"/>
    <cellStyle name="SAPBEXresData 2 3 2 2 2" xfId="29579"/>
    <cellStyle name="SAPBEXresData 2 3 2 3" xfId="29580"/>
    <cellStyle name="SAPBEXresData 2 3 2 4" xfId="29577"/>
    <cellStyle name="SAPBEXresData 2 3 3" xfId="5546"/>
    <cellStyle name="SAPBEXresData 2 3 3 2" xfId="29582"/>
    <cellStyle name="SAPBEXresData 2 3 3 2 2" xfId="29583"/>
    <cellStyle name="SAPBEXresData 2 3 3 3" xfId="29584"/>
    <cellStyle name="SAPBEXresData 2 3 3 4" xfId="29581"/>
    <cellStyle name="SAPBEXresData 2 3 4" xfId="6055"/>
    <cellStyle name="SAPBEXresData 2 3 4 2" xfId="29586"/>
    <cellStyle name="SAPBEXresData 2 3 4 2 2" xfId="29587"/>
    <cellStyle name="SAPBEXresData 2 3 4 3" xfId="29588"/>
    <cellStyle name="SAPBEXresData 2 3 4 4" xfId="29585"/>
    <cellStyle name="SAPBEXresData 2 3 5" xfId="6542"/>
    <cellStyle name="SAPBEXresData 2 3 5 2" xfId="29590"/>
    <cellStyle name="SAPBEXresData 2 3 5 2 2" xfId="29591"/>
    <cellStyle name="SAPBEXresData 2 3 5 3" xfId="29592"/>
    <cellStyle name="SAPBEXresData 2 3 5 4" xfId="29589"/>
    <cellStyle name="SAPBEXresData 2 3 6" xfId="7025"/>
    <cellStyle name="SAPBEXresData 2 3 6 2" xfId="29594"/>
    <cellStyle name="SAPBEXresData 2 3 6 2 2" xfId="29595"/>
    <cellStyle name="SAPBEXresData 2 3 6 3" xfId="29596"/>
    <cellStyle name="SAPBEXresData 2 3 6 4" xfId="29593"/>
    <cellStyle name="SAPBEXresData 2 3 7" xfId="8094"/>
    <cellStyle name="SAPBEXresData 2 3 7 2" xfId="29598"/>
    <cellStyle name="SAPBEXresData 2 3 7 2 2" xfId="29599"/>
    <cellStyle name="SAPBEXresData 2 3 7 3" xfId="29600"/>
    <cellStyle name="SAPBEXresData 2 3 7 4" xfId="29597"/>
    <cellStyle name="SAPBEXresData 2 3 8" xfId="8595"/>
    <cellStyle name="SAPBEXresData 2 3 8 2" xfId="29602"/>
    <cellStyle name="SAPBEXresData 2 3 8 2 2" xfId="29603"/>
    <cellStyle name="SAPBEXresData 2 3 8 3" xfId="29604"/>
    <cellStyle name="SAPBEXresData 2 3 8 4" xfId="29601"/>
    <cellStyle name="SAPBEXresData 2 3 9" xfId="9089"/>
    <cellStyle name="SAPBEXresData 2 3 9 2" xfId="29606"/>
    <cellStyle name="SAPBEXresData 2 3 9 2 2" xfId="29607"/>
    <cellStyle name="SAPBEXresData 2 3 9 3" xfId="29608"/>
    <cellStyle name="SAPBEXresData 2 3 9 4" xfId="29605"/>
    <cellStyle name="SAPBEXresData 2 3_planning-WP" xfId="29609"/>
    <cellStyle name="SAPBEXresData 2 4" xfId="29610"/>
    <cellStyle name="SAPBEXresData 2 4 2" xfId="29611"/>
    <cellStyle name="SAPBEXresData 2 4 2 2" xfId="29612"/>
    <cellStyle name="SAPBEXresData 2 4 2 2 2" xfId="29613"/>
    <cellStyle name="SAPBEXresData 2 4 2 3" xfId="29614"/>
    <cellStyle name="SAPBEXresData 2 4 3" xfId="29615"/>
    <cellStyle name="SAPBEXresData 2 4 3 2" xfId="29616"/>
    <cellStyle name="SAPBEXresData 2 4 3 2 2" xfId="29617"/>
    <cellStyle name="SAPBEXresData 2 4 3 3" xfId="29618"/>
    <cellStyle name="SAPBEXresData 2 4 4" xfId="29619"/>
    <cellStyle name="SAPBEXresData 2 4 4 2" xfId="29620"/>
    <cellStyle name="SAPBEXresData 2 4 4 2 2" xfId="29621"/>
    <cellStyle name="SAPBEXresData 2 4 4 3" xfId="29622"/>
    <cellStyle name="SAPBEXresData 2 4 5" xfId="29623"/>
    <cellStyle name="SAPBEXresData 2 4 5 2" xfId="29624"/>
    <cellStyle name="SAPBEXresData 2 4 5 2 2" xfId="29625"/>
    <cellStyle name="SAPBEXresData 2 4 5 3" xfId="29626"/>
    <cellStyle name="SAPBEXresData 2 4 6" xfId="29627"/>
    <cellStyle name="SAPBEXresData 2 4 6 2" xfId="29628"/>
    <cellStyle name="SAPBEXresData 2 4 6 2 2" xfId="29629"/>
    <cellStyle name="SAPBEXresData 2 4 6 3" xfId="29630"/>
    <cellStyle name="SAPBEXresData 2 4 7" xfId="29631"/>
    <cellStyle name="SAPBEXresData 2 4 7 2" xfId="29632"/>
    <cellStyle name="SAPBEXresData 2 4 7 2 2" xfId="29633"/>
    <cellStyle name="SAPBEXresData 2 4 7 3" xfId="29634"/>
    <cellStyle name="SAPBEXresData 2 4 8" xfId="29635"/>
    <cellStyle name="SAPBEXresData 2 4 8 2" xfId="29636"/>
    <cellStyle name="SAPBEXresData 2 4 8 2 2" xfId="29637"/>
    <cellStyle name="SAPBEXresData 2 4 8 3" xfId="29638"/>
    <cellStyle name="SAPBEXresData 2 4 9" xfId="29639"/>
    <cellStyle name="SAPBEXresData 2 4 9 2" xfId="29640"/>
    <cellStyle name="SAPBEXresData 2 4_planning-WP" xfId="29641"/>
    <cellStyle name="SAPBEXresData 2 5" xfId="29642"/>
    <cellStyle name="SAPBEXresData 2 5 2" xfId="29643"/>
    <cellStyle name="SAPBEXresData 2 5 2 2" xfId="29644"/>
    <cellStyle name="SAPBEXresData 2 6" xfId="29645"/>
    <cellStyle name="SAPBEXresData 2 6 2" xfId="29646"/>
    <cellStyle name="SAPBEXresData 2 6 2 2" xfId="29647"/>
    <cellStyle name="SAPBEXresData 2 6 3" xfId="29648"/>
    <cellStyle name="SAPBEXresData 2 7" xfId="29649"/>
    <cellStyle name="SAPBEXresData 2 7 2" xfId="29650"/>
    <cellStyle name="SAPBEXresData 2 7 2 2" xfId="29651"/>
    <cellStyle name="SAPBEXresData 2 7 3" xfId="29652"/>
    <cellStyle name="SAPBEXresData 2 8" xfId="29653"/>
    <cellStyle name="SAPBEXresData 2 8 2" xfId="29654"/>
    <cellStyle name="SAPBEXresData 2 8 2 2" xfId="29655"/>
    <cellStyle name="SAPBEXresData 2 8 3" xfId="29656"/>
    <cellStyle name="SAPBEXresData 2 9" xfId="29657"/>
    <cellStyle name="SAPBEXresData 2 9 2" xfId="29658"/>
    <cellStyle name="SAPBEXresData 2 9 2 2" xfId="29659"/>
    <cellStyle name="SAPBEXresData 2 9 3" xfId="29660"/>
    <cellStyle name="SAPBEXresData 2_planning-WP" xfId="29661"/>
    <cellStyle name="SAPBEXresData 20" xfId="29453"/>
    <cellStyle name="SAPBEXresData 21" xfId="39098"/>
    <cellStyle name="SAPBEXresData 22" xfId="39481"/>
    <cellStyle name="SAPBEXresData 3" xfId="1600"/>
    <cellStyle name="SAPBEXresData 3 10" xfId="9058"/>
    <cellStyle name="SAPBEXresData 3 10 2" xfId="29664"/>
    <cellStyle name="SAPBEXresData 3 10 2 2" xfId="29665"/>
    <cellStyle name="SAPBEXresData 3 10 3" xfId="29666"/>
    <cellStyle name="SAPBEXresData 3 10 4" xfId="29663"/>
    <cellStyle name="SAPBEXresData 3 11" xfId="29667"/>
    <cellStyle name="SAPBEXresData 3 11 2" xfId="29668"/>
    <cellStyle name="SAPBEXresData 3 11 2 2" xfId="29669"/>
    <cellStyle name="SAPBEXresData 3 11 3" xfId="29670"/>
    <cellStyle name="SAPBEXresData 3 12" xfId="29671"/>
    <cellStyle name="SAPBEXresData 3 12 2" xfId="29672"/>
    <cellStyle name="SAPBEXresData 3 12 2 2" xfId="29673"/>
    <cellStyle name="SAPBEXresData 3 12 3" xfId="29674"/>
    <cellStyle name="SAPBEXresData 3 13" xfId="29675"/>
    <cellStyle name="SAPBEXresData 3 14" xfId="29676"/>
    <cellStyle name="SAPBEXresData 3 15" xfId="29662"/>
    <cellStyle name="SAPBEXresData 3 16" xfId="9797"/>
    <cellStyle name="SAPBEXresData 3 17" xfId="39101"/>
    <cellStyle name="SAPBEXresData 3 18" xfId="39484"/>
    <cellStyle name="SAPBEXresData 3 2" xfId="1941"/>
    <cellStyle name="SAPBEXresData 3 2 10" xfId="29678"/>
    <cellStyle name="SAPBEXresData 3 2 10 2" xfId="29679"/>
    <cellStyle name="SAPBEXresData 3 2 10 2 2" xfId="29680"/>
    <cellStyle name="SAPBEXresData 3 2 10 3" xfId="29681"/>
    <cellStyle name="SAPBEXresData 3 2 11" xfId="29682"/>
    <cellStyle name="SAPBEXresData 3 2 11 2" xfId="29683"/>
    <cellStyle name="SAPBEXresData 3 2 12" xfId="29677"/>
    <cellStyle name="SAPBEXresData 3 2 13" xfId="10119"/>
    <cellStyle name="SAPBEXresData 3 2 14" xfId="39102"/>
    <cellStyle name="SAPBEXresData 3 2 15" xfId="39485"/>
    <cellStyle name="SAPBEXresData 3 2 2" xfId="4859"/>
    <cellStyle name="SAPBEXresData 3 2 2 10" xfId="29685"/>
    <cellStyle name="SAPBEXresData 3 2 2 10 2" xfId="29686"/>
    <cellStyle name="SAPBEXresData 3 2 2 11" xfId="29684"/>
    <cellStyle name="SAPBEXresData 3 2 2 2" xfId="29687"/>
    <cellStyle name="SAPBEXresData 3 2 2 2 2" xfId="29688"/>
    <cellStyle name="SAPBEXresData 3 2 2 2 2 2" xfId="29689"/>
    <cellStyle name="SAPBEXresData 3 2 2 2 3" xfId="29690"/>
    <cellStyle name="SAPBEXresData 3 2 2 3" xfId="29691"/>
    <cellStyle name="SAPBEXresData 3 2 2 3 2" xfId="29692"/>
    <cellStyle name="SAPBEXresData 3 2 2 3 2 2" xfId="29693"/>
    <cellStyle name="SAPBEXresData 3 2 2 3 3" xfId="29694"/>
    <cellStyle name="SAPBEXresData 3 2 2 4" xfId="29695"/>
    <cellStyle name="SAPBEXresData 3 2 2 4 2" xfId="29696"/>
    <cellStyle name="SAPBEXresData 3 2 2 4 2 2" xfId="29697"/>
    <cellStyle name="SAPBEXresData 3 2 2 4 3" xfId="29698"/>
    <cellStyle name="SAPBEXresData 3 2 2 5" xfId="29699"/>
    <cellStyle name="SAPBEXresData 3 2 2 5 2" xfId="29700"/>
    <cellStyle name="SAPBEXresData 3 2 2 5 2 2" xfId="29701"/>
    <cellStyle name="SAPBEXresData 3 2 2 5 3" xfId="29702"/>
    <cellStyle name="SAPBEXresData 3 2 2 6" xfId="29703"/>
    <cellStyle name="SAPBEXresData 3 2 2 6 2" xfId="29704"/>
    <cellStyle name="SAPBEXresData 3 2 2 6 2 2" xfId="29705"/>
    <cellStyle name="SAPBEXresData 3 2 2 6 3" xfId="29706"/>
    <cellStyle name="SAPBEXresData 3 2 2 7" xfId="29707"/>
    <cellStyle name="SAPBEXresData 3 2 2 7 2" xfId="29708"/>
    <cellStyle name="SAPBEXresData 3 2 2 7 2 2" xfId="29709"/>
    <cellStyle name="SAPBEXresData 3 2 2 7 3" xfId="29710"/>
    <cellStyle name="SAPBEXresData 3 2 2 8" xfId="29711"/>
    <cellStyle name="SAPBEXresData 3 2 2 8 2" xfId="29712"/>
    <cellStyle name="SAPBEXresData 3 2 2 8 2 2" xfId="29713"/>
    <cellStyle name="SAPBEXresData 3 2 2 8 3" xfId="29714"/>
    <cellStyle name="SAPBEXresData 3 2 2 9" xfId="29715"/>
    <cellStyle name="SAPBEXresData 3 2 2 9 2" xfId="29716"/>
    <cellStyle name="SAPBEXresData 3 2 2 9 2 2" xfId="29717"/>
    <cellStyle name="SAPBEXresData 3 2 2 9 3" xfId="29718"/>
    <cellStyle name="SAPBEXresData 3 2 2_planning-WP" xfId="29719"/>
    <cellStyle name="SAPBEXresData 3 2 3" xfId="5838"/>
    <cellStyle name="SAPBEXresData 3 2 3 2" xfId="29721"/>
    <cellStyle name="SAPBEXresData 3 2 3 2 2" xfId="29722"/>
    <cellStyle name="SAPBEXresData 3 2 3 3" xfId="29723"/>
    <cellStyle name="SAPBEXresData 3 2 3 4" xfId="29720"/>
    <cellStyle name="SAPBEXresData 3 2 4" xfId="6346"/>
    <cellStyle name="SAPBEXresData 3 2 4 2" xfId="29725"/>
    <cellStyle name="SAPBEXresData 3 2 4 2 2" xfId="29726"/>
    <cellStyle name="SAPBEXresData 3 2 4 3" xfId="29727"/>
    <cellStyle name="SAPBEXresData 3 2 4 4" xfId="29724"/>
    <cellStyle name="SAPBEXresData 3 2 5" xfId="6833"/>
    <cellStyle name="SAPBEXresData 3 2 5 2" xfId="29729"/>
    <cellStyle name="SAPBEXresData 3 2 5 2 2" xfId="29730"/>
    <cellStyle name="SAPBEXresData 3 2 5 3" xfId="29731"/>
    <cellStyle name="SAPBEXresData 3 2 5 4" xfId="29728"/>
    <cellStyle name="SAPBEXresData 3 2 6" xfId="7316"/>
    <cellStyle name="SAPBEXresData 3 2 6 2" xfId="29733"/>
    <cellStyle name="SAPBEXresData 3 2 6 2 2" xfId="29734"/>
    <cellStyle name="SAPBEXresData 3 2 6 3" xfId="29735"/>
    <cellStyle name="SAPBEXresData 3 2 6 4" xfId="29732"/>
    <cellStyle name="SAPBEXresData 3 2 7" xfId="8385"/>
    <cellStyle name="SAPBEXresData 3 2 7 2" xfId="29737"/>
    <cellStyle name="SAPBEXresData 3 2 7 2 2" xfId="29738"/>
    <cellStyle name="SAPBEXresData 3 2 7 3" xfId="29739"/>
    <cellStyle name="SAPBEXresData 3 2 7 4" xfId="29736"/>
    <cellStyle name="SAPBEXresData 3 2 8" xfId="8886"/>
    <cellStyle name="SAPBEXresData 3 2 8 2" xfId="29741"/>
    <cellStyle name="SAPBEXresData 3 2 8 2 2" xfId="29742"/>
    <cellStyle name="SAPBEXresData 3 2 8 3" xfId="29743"/>
    <cellStyle name="SAPBEXresData 3 2 8 4" xfId="29740"/>
    <cellStyle name="SAPBEXresData 3 2 9" xfId="9380"/>
    <cellStyle name="SAPBEXresData 3 2 9 2" xfId="29745"/>
    <cellStyle name="SAPBEXresData 3 2 9 2 2" xfId="29746"/>
    <cellStyle name="SAPBEXresData 3 2 9 3" xfId="29747"/>
    <cellStyle name="SAPBEXresData 3 2 9 4" xfId="29744"/>
    <cellStyle name="SAPBEXresData 3 2_planning-WP" xfId="29748"/>
    <cellStyle name="SAPBEXresData 3 3" xfId="4523"/>
    <cellStyle name="SAPBEXresData 3 3 10" xfId="29750"/>
    <cellStyle name="SAPBEXresData 3 3 10 2" xfId="29751"/>
    <cellStyle name="SAPBEXresData 3 3 11" xfId="29749"/>
    <cellStyle name="SAPBEXresData 3 3 2" xfId="29752"/>
    <cellStyle name="SAPBEXresData 3 3 2 2" xfId="29753"/>
    <cellStyle name="SAPBEXresData 3 3 2 2 2" xfId="29754"/>
    <cellStyle name="SAPBEXresData 3 3 2 3" xfId="29755"/>
    <cellStyle name="SAPBEXresData 3 3 3" xfId="29756"/>
    <cellStyle name="SAPBEXresData 3 3 3 2" xfId="29757"/>
    <cellStyle name="SAPBEXresData 3 3 3 2 2" xfId="29758"/>
    <cellStyle name="SAPBEXresData 3 3 3 3" xfId="29759"/>
    <cellStyle name="SAPBEXresData 3 3 4" xfId="29760"/>
    <cellStyle name="SAPBEXresData 3 3 4 2" xfId="29761"/>
    <cellStyle name="SAPBEXresData 3 3 4 2 2" xfId="29762"/>
    <cellStyle name="SAPBEXresData 3 3 4 3" xfId="29763"/>
    <cellStyle name="SAPBEXresData 3 3 5" xfId="29764"/>
    <cellStyle name="SAPBEXresData 3 3 5 2" xfId="29765"/>
    <cellStyle name="SAPBEXresData 3 3 5 2 2" xfId="29766"/>
    <cellStyle name="SAPBEXresData 3 3 5 3" xfId="29767"/>
    <cellStyle name="SAPBEXresData 3 3 6" xfId="29768"/>
    <cellStyle name="SAPBEXresData 3 3 6 2" xfId="29769"/>
    <cellStyle name="SAPBEXresData 3 3 6 2 2" xfId="29770"/>
    <cellStyle name="SAPBEXresData 3 3 6 3" xfId="29771"/>
    <cellStyle name="SAPBEXresData 3 3 7" xfId="29772"/>
    <cellStyle name="SAPBEXresData 3 3 7 2" xfId="29773"/>
    <cellStyle name="SAPBEXresData 3 3 7 2 2" xfId="29774"/>
    <cellStyle name="SAPBEXresData 3 3 7 3" xfId="29775"/>
    <cellStyle name="SAPBEXresData 3 3 8" xfId="29776"/>
    <cellStyle name="SAPBEXresData 3 3 8 2" xfId="29777"/>
    <cellStyle name="SAPBEXresData 3 3 8 2 2" xfId="29778"/>
    <cellStyle name="SAPBEXresData 3 3 8 3" xfId="29779"/>
    <cellStyle name="SAPBEXresData 3 3 9" xfId="29780"/>
    <cellStyle name="SAPBEXresData 3 3 9 2" xfId="29781"/>
    <cellStyle name="SAPBEXresData 3 3 9 2 2" xfId="29782"/>
    <cellStyle name="SAPBEXresData 3 3 9 3" xfId="29783"/>
    <cellStyle name="SAPBEXresData 3 3_planning-WP" xfId="29784"/>
    <cellStyle name="SAPBEXresData 3 4" xfId="5515"/>
    <cellStyle name="SAPBEXresData 3 4 10" xfId="29785"/>
    <cellStyle name="SAPBEXresData 3 4 2" xfId="29786"/>
    <cellStyle name="SAPBEXresData 3 4 2 2" xfId="29787"/>
    <cellStyle name="SAPBEXresData 3 4 2 2 2" xfId="29788"/>
    <cellStyle name="SAPBEXresData 3 4 2 3" xfId="29789"/>
    <cellStyle name="SAPBEXresData 3 4 3" xfId="29790"/>
    <cellStyle name="SAPBEXresData 3 4 3 2" xfId="29791"/>
    <cellStyle name="SAPBEXresData 3 4 3 2 2" xfId="29792"/>
    <cellStyle name="SAPBEXresData 3 4 3 3" xfId="29793"/>
    <cellStyle name="SAPBEXresData 3 4 4" xfId="29794"/>
    <cellStyle name="SAPBEXresData 3 4 4 2" xfId="29795"/>
    <cellStyle name="SAPBEXresData 3 4 4 2 2" xfId="29796"/>
    <cellStyle name="SAPBEXresData 3 4 4 3" xfId="29797"/>
    <cellStyle name="SAPBEXresData 3 4 5" xfId="29798"/>
    <cellStyle name="SAPBEXresData 3 4 5 2" xfId="29799"/>
    <cellStyle name="SAPBEXresData 3 4 5 2 2" xfId="29800"/>
    <cellStyle name="SAPBEXresData 3 4 5 3" xfId="29801"/>
    <cellStyle name="SAPBEXresData 3 4 6" xfId="29802"/>
    <cellStyle name="SAPBEXresData 3 4 6 2" xfId="29803"/>
    <cellStyle name="SAPBEXresData 3 4 6 2 2" xfId="29804"/>
    <cellStyle name="SAPBEXresData 3 4 6 3" xfId="29805"/>
    <cellStyle name="SAPBEXresData 3 4 7" xfId="29806"/>
    <cellStyle name="SAPBEXresData 3 4 7 2" xfId="29807"/>
    <cellStyle name="SAPBEXresData 3 4 7 2 2" xfId="29808"/>
    <cellStyle name="SAPBEXresData 3 4 7 3" xfId="29809"/>
    <cellStyle name="SAPBEXresData 3 4 8" xfId="29810"/>
    <cellStyle name="SAPBEXresData 3 4 8 2" xfId="29811"/>
    <cellStyle name="SAPBEXresData 3 4 8 2 2" xfId="29812"/>
    <cellStyle name="SAPBEXresData 3 4 8 3" xfId="29813"/>
    <cellStyle name="SAPBEXresData 3 4 9" xfId="29814"/>
    <cellStyle name="SAPBEXresData 3 4 9 2" xfId="29815"/>
    <cellStyle name="SAPBEXresData 3 4_planning-WP" xfId="29816"/>
    <cellStyle name="SAPBEXresData 3 5" xfId="3339"/>
    <cellStyle name="SAPBEXresData 3 5 2" xfId="29818"/>
    <cellStyle name="SAPBEXresData 3 5 2 2" xfId="29819"/>
    <cellStyle name="SAPBEXresData 3 5 3" xfId="29817"/>
    <cellStyle name="SAPBEXresData 3 6" xfId="3177"/>
    <cellStyle name="SAPBEXresData 3 6 2" xfId="29821"/>
    <cellStyle name="SAPBEXresData 3 6 2 2" xfId="29822"/>
    <cellStyle name="SAPBEXresData 3 6 3" xfId="29823"/>
    <cellStyle name="SAPBEXresData 3 6 4" xfId="29820"/>
    <cellStyle name="SAPBEXresData 3 7" xfId="5226"/>
    <cellStyle name="SAPBEXresData 3 7 2" xfId="29825"/>
    <cellStyle name="SAPBEXresData 3 7 2 2" xfId="29826"/>
    <cellStyle name="SAPBEXresData 3 7 3" xfId="29827"/>
    <cellStyle name="SAPBEXresData 3 7 4" xfId="29824"/>
    <cellStyle name="SAPBEXresData 3 8" xfId="8063"/>
    <cellStyle name="SAPBEXresData 3 8 2" xfId="29829"/>
    <cellStyle name="SAPBEXresData 3 8 2 2" xfId="29830"/>
    <cellStyle name="SAPBEXresData 3 8 3" xfId="29831"/>
    <cellStyle name="SAPBEXresData 3 8 4" xfId="29828"/>
    <cellStyle name="SAPBEXresData 3 9" xfId="8564"/>
    <cellStyle name="SAPBEXresData 3 9 2" xfId="29833"/>
    <cellStyle name="SAPBEXresData 3 9 2 2" xfId="29834"/>
    <cellStyle name="SAPBEXresData 3 9 3" xfId="29835"/>
    <cellStyle name="SAPBEXresData 3 9 4" xfId="29832"/>
    <cellStyle name="SAPBEXresData 3_planning-WP" xfId="29836"/>
    <cellStyle name="SAPBEXresData 4" xfId="1714"/>
    <cellStyle name="SAPBEXresData 4 10" xfId="9171"/>
    <cellStyle name="SAPBEXresData 4 10 2" xfId="29839"/>
    <cellStyle name="SAPBEXresData 4 10 2 2" xfId="29840"/>
    <cellStyle name="SAPBEXresData 4 10 3" xfId="29841"/>
    <cellStyle name="SAPBEXresData 4 10 4" xfId="29838"/>
    <cellStyle name="SAPBEXresData 4 11" xfId="29842"/>
    <cellStyle name="SAPBEXresData 4 11 2" xfId="29843"/>
    <cellStyle name="SAPBEXresData 4 11 2 2" xfId="29844"/>
    <cellStyle name="SAPBEXresData 4 11 3" xfId="29845"/>
    <cellStyle name="SAPBEXresData 4 12" xfId="29846"/>
    <cellStyle name="SAPBEXresData 4 12 2" xfId="29847"/>
    <cellStyle name="SAPBEXresData 4 12 2 2" xfId="29848"/>
    <cellStyle name="SAPBEXresData 4 12 3" xfId="29849"/>
    <cellStyle name="SAPBEXresData 4 13" xfId="29850"/>
    <cellStyle name="SAPBEXresData 4 14" xfId="29837"/>
    <cellStyle name="SAPBEXresData 4 15" xfId="9910"/>
    <cellStyle name="SAPBEXresData 4 16" xfId="39103"/>
    <cellStyle name="SAPBEXresData 4 17" xfId="39486"/>
    <cellStyle name="SAPBEXresData 4 2" xfId="2045"/>
    <cellStyle name="SAPBEXresData 4 2 10" xfId="29852"/>
    <cellStyle name="SAPBEXresData 4 2 10 2" xfId="29853"/>
    <cellStyle name="SAPBEXresData 4 2 10 2 2" xfId="29854"/>
    <cellStyle name="SAPBEXresData 4 2 10 3" xfId="29855"/>
    <cellStyle name="SAPBEXresData 4 2 11" xfId="29856"/>
    <cellStyle name="SAPBEXresData 4 2 11 2" xfId="29857"/>
    <cellStyle name="SAPBEXresData 4 2 12" xfId="29851"/>
    <cellStyle name="SAPBEXresData 4 2 13" xfId="10222"/>
    <cellStyle name="SAPBEXresData 4 2 14" xfId="39104"/>
    <cellStyle name="SAPBEXresData 4 2 15" xfId="39487"/>
    <cellStyle name="SAPBEXresData 4 2 2" xfId="4962"/>
    <cellStyle name="SAPBEXresData 4 2 2 10" xfId="29859"/>
    <cellStyle name="SAPBEXresData 4 2 2 10 2" xfId="29860"/>
    <cellStyle name="SAPBEXresData 4 2 2 11" xfId="29858"/>
    <cellStyle name="SAPBEXresData 4 2 2 2" xfId="29861"/>
    <cellStyle name="SAPBEXresData 4 2 2 2 2" xfId="29862"/>
    <cellStyle name="SAPBEXresData 4 2 2 2 2 2" xfId="29863"/>
    <cellStyle name="SAPBEXresData 4 2 2 2 3" xfId="29864"/>
    <cellStyle name="SAPBEXresData 4 2 2 3" xfId="29865"/>
    <cellStyle name="SAPBEXresData 4 2 2 3 2" xfId="29866"/>
    <cellStyle name="SAPBEXresData 4 2 2 3 2 2" xfId="29867"/>
    <cellStyle name="SAPBEXresData 4 2 2 3 3" xfId="29868"/>
    <cellStyle name="SAPBEXresData 4 2 2 4" xfId="29869"/>
    <cellStyle name="SAPBEXresData 4 2 2 4 2" xfId="29870"/>
    <cellStyle name="SAPBEXresData 4 2 2 4 2 2" xfId="29871"/>
    <cellStyle name="SAPBEXresData 4 2 2 4 3" xfId="29872"/>
    <cellStyle name="SAPBEXresData 4 2 2 5" xfId="29873"/>
    <cellStyle name="SAPBEXresData 4 2 2 5 2" xfId="29874"/>
    <cellStyle name="SAPBEXresData 4 2 2 5 2 2" xfId="29875"/>
    <cellStyle name="SAPBEXresData 4 2 2 5 3" xfId="29876"/>
    <cellStyle name="SAPBEXresData 4 2 2 6" xfId="29877"/>
    <cellStyle name="SAPBEXresData 4 2 2 6 2" xfId="29878"/>
    <cellStyle name="SAPBEXresData 4 2 2 6 2 2" xfId="29879"/>
    <cellStyle name="SAPBEXresData 4 2 2 6 3" xfId="29880"/>
    <cellStyle name="SAPBEXresData 4 2 2 7" xfId="29881"/>
    <cellStyle name="SAPBEXresData 4 2 2 7 2" xfId="29882"/>
    <cellStyle name="SAPBEXresData 4 2 2 7 2 2" xfId="29883"/>
    <cellStyle name="SAPBEXresData 4 2 2 7 3" xfId="29884"/>
    <cellStyle name="SAPBEXresData 4 2 2 8" xfId="29885"/>
    <cellStyle name="SAPBEXresData 4 2 2 8 2" xfId="29886"/>
    <cellStyle name="SAPBEXresData 4 2 2 8 2 2" xfId="29887"/>
    <cellStyle name="SAPBEXresData 4 2 2 8 3" xfId="29888"/>
    <cellStyle name="SAPBEXresData 4 2 2 9" xfId="29889"/>
    <cellStyle name="SAPBEXresData 4 2 2 9 2" xfId="29890"/>
    <cellStyle name="SAPBEXresData 4 2 2 9 2 2" xfId="29891"/>
    <cellStyle name="SAPBEXresData 4 2 2 9 3" xfId="29892"/>
    <cellStyle name="SAPBEXresData 4 2 2_planning-WP" xfId="29893"/>
    <cellStyle name="SAPBEXresData 4 2 3" xfId="5941"/>
    <cellStyle name="SAPBEXresData 4 2 3 2" xfId="29895"/>
    <cellStyle name="SAPBEXresData 4 2 3 2 2" xfId="29896"/>
    <cellStyle name="SAPBEXresData 4 2 3 3" xfId="29897"/>
    <cellStyle name="SAPBEXresData 4 2 3 4" xfId="29894"/>
    <cellStyle name="SAPBEXresData 4 2 4" xfId="6449"/>
    <cellStyle name="SAPBEXresData 4 2 4 2" xfId="29899"/>
    <cellStyle name="SAPBEXresData 4 2 4 2 2" xfId="29900"/>
    <cellStyle name="SAPBEXresData 4 2 4 3" xfId="29901"/>
    <cellStyle name="SAPBEXresData 4 2 4 4" xfId="29898"/>
    <cellStyle name="SAPBEXresData 4 2 5" xfId="6936"/>
    <cellStyle name="SAPBEXresData 4 2 5 2" xfId="29903"/>
    <cellStyle name="SAPBEXresData 4 2 5 2 2" xfId="29904"/>
    <cellStyle name="SAPBEXresData 4 2 5 3" xfId="29905"/>
    <cellStyle name="SAPBEXresData 4 2 5 4" xfId="29902"/>
    <cellStyle name="SAPBEXresData 4 2 6" xfId="7419"/>
    <cellStyle name="SAPBEXresData 4 2 6 2" xfId="29907"/>
    <cellStyle name="SAPBEXresData 4 2 6 2 2" xfId="29908"/>
    <cellStyle name="SAPBEXresData 4 2 6 3" xfId="29909"/>
    <cellStyle name="SAPBEXresData 4 2 6 4" xfId="29906"/>
    <cellStyle name="SAPBEXresData 4 2 7" xfId="8488"/>
    <cellStyle name="SAPBEXresData 4 2 7 2" xfId="29911"/>
    <cellStyle name="SAPBEXresData 4 2 7 2 2" xfId="29912"/>
    <cellStyle name="SAPBEXresData 4 2 7 3" xfId="29913"/>
    <cellStyle name="SAPBEXresData 4 2 7 4" xfId="29910"/>
    <cellStyle name="SAPBEXresData 4 2 8" xfId="8989"/>
    <cellStyle name="SAPBEXresData 4 2 8 2" xfId="29915"/>
    <cellStyle name="SAPBEXresData 4 2 8 2 2" xfId="29916"/>
    <cellStyle name="SAPBEXresData 4 2 8 3" xfId="29917"/>
    <cellStyle name="SAPBEXresData 4 2 8 4" xfId="29914"/>
    <cellStyle name="SAPBEXresData 4 2 9" xfId="9483"/>
    <cellStyle name="SAPBEXresData 4 2 9 2" xfId="29919"/>
    <cellStyle name="SAPBEXresData 4 2 9 2 2" xfId="29920"/>
    <cellStyle name="SAPBEXresData 4 2 9 3" xfId="29921"/>
    <cellStyle name="SAPBEXresData 4 2 9 4" xfId="29918"/>
    <cellStyle name="SAPBEXresData 4 2_planning-WP" xfId="29922"/>
    <cellStyle name="SAPBEXresData 4 3" xfId="4636"/>
    <cellStyle name="SAPBEXresData 4 3 10" xfId="29924"/>
    <cellStyle name="SAPBEXresData 4 3 10 2" xfId="29925"/>
    <cellStyle name="SAPBEXresData 4 3 11" xfId="29923"/>
    <cellStyle name="SAPBEXresData 4 3 2" xfId="29926"/>
    <cellStyle name="SAPBEXresData 4 3 2 2" xfId="29927"/>
    <cellStyle name="SAPBEXresData 4 3 2 2 2" xfId="29928"/>
    <cellStyle name="SAPBEXresData 4 3 2 3" xfId="29929"/>
    <cellStyle name="SAPBEXresData 4 3 3" xfId="29930"/>
    <cellStyle name="SAPBEXresData 4 3 3 2" xfId="29931"/>
    <cellStyle name="SAPBEXresData 4 3 3 2 2" xfId="29932"/>
    <cellStyle name="SAPBEXresData 4 3 3 3" xfId="29933"/>
    <cellStyle name="SAPBEXresData 4 3 4" xfId="29934"/>
    <cellStyle name="SAPBEXresData 4 3 4 2" xfId="29935"/>
    <cellStyle name="SAPBEXresData 4 3 4 2 2" xfId="29936"/>
    <cellStyle name="SAPBEXresData 4 3 4 3" xfId="29937"/>
    <cellStyle name="SAPBEXresData 4 3 5" xfId="29938"/>
    <cellStyle name="SAPBEXresData 4 3 5 2" xfId="29939"/>
    <cellStyle name="SAPBEXresData 4 3 5 2 2" xfId="29940"/>
    <cellStyle name="SAPBEXresData 4 3 5 3" xfId="29941"/>
    <cellStyle name="SAPBEXresData 4 3 6" xfId="29942"/>
    <cellStyle name="SAPBEXresData 4 3 6 2" xfId="29943"/>
    <cellStyle name="SAPBEXresData 4 3 6 2 2" xfId="29944"/>
    <cellStyle name="SAPBEXresData 4 3 6 3" xfId="29945"/>
    <cellStyle name="SAPBEXresData 4 3 7" xfId="29946"/>
    <cellStyle name="SAPBEXresData 4 3 7 2" xfId="29947"/>
    <cellStyle name="SAPBEXresData 4 3 7 2 2" xfId="29948"/>
    <cellStyle name="SAPBEXresData 4 3 7 3" xfId="29949"/>
    <cellStyle name="SAPBEXresData 4 3 8" xfId="29950"/>
    <cellStyle name="SAPBEXresData 4 3 8 2" xfId="29951"/>
    <cellStyle name="SAPBEXresData 4 3 8 2 2" xfId="29952"/>
    <cellStyle name="SAPBEXresData 4 3 8 3" xfId="29953"/>
    <cellStyle name="SAPBEXresData 4 3 9" xfId="29954"/>
    <cellStyle name="SAPBEXresData 4 3 9 2" xfId="29955"/>
    <cellStyle name="SAPBEXresData 4 3 9 2 2" xfId="29956"/>
    <cellStyle name="SAPBEXresData 4 3 9 3" xfId="29957"/>
    <cellStyle name="SAPBEXresData 4 3_planning-WP" xfId="29958"/>
    <cellStyle name="SAPBEXresData 4 4" xfId="5628"/>
    <cellStyle name="SAPBEXresData 4 4 10" xfId="29959"/>
    <cellStyle name="SAPBEXresData 4 4 2" xfId="29960"/>
    <cellStyle name="SAPBEXresData 4 4 2 2" xfId="29961"/>
    <cellStyle name="SAPBEXresData 4 4 2 2 2" xfId="29962"/>
    <cellStyle name="SAPBEXresData 4 4 2 3" xfId="29963"/>
    <cellStyle name="SAPBEXresData 4 4 3" xfId="29964"/>
    <cellStyle name="SAPBEXresData 4 4 3 2" xfId="29965"/>
    <cellStyle name="SAPBEXresData 4 4 3 2 2" xfId="29966"/>
    <cellStyle name="SAPBEXresData 4 4 3 3" xfId="29967"/>
    <cellStyle name="SAPBEXresData 4 4 4" xfId="29968"/>
    <cellStyle name="SAPBEXresData 4 4 4 2" xfId="29969"/>
    <cellStyle name="SAPBEXresData 4 4 4 2 2" xfId="29970"/>
    <cellStyle name="SAPBEXresData 4 4 4 3" xfId="29971"/>
    <cellStyle name="SAPBEXresData 4 4 5" xfId="29972"/>
    <cellStyle name="SAPBEXresData 4 4 5 2" xfId="29973"/>
    <cellStyle name="SAPBEXresData 4 4 5 2 2" xfId="29974"/>
    <cellStyle name="SAPBEXresData 4 4 5 3" xfId="29975"/>
    <cellStyle name="SAPBEXresData 4 4 6" xfId="29976"/>
    <cellStyle name="SAPBEXresData 4 4 6 2" xfId="29977"/>
    <cellStyle name="SAPBEXresData 4 4 6 2 2" xfId="29978"/>
    <cellStyle name="SAPBEXresData 4 4 6 3" xfId="29979"/>
    <cellStyle name="SAPBEXresData 4 4 7" xfId="29980"/>
    <cellStyle name="SAPBEXresData 4 4 7 2" xfId="29981"/>
    <cellStyle name="SAPBEXresData 4 4 7 2 2" xfId="29982"/>
    <cellStyle name="SAPBEXresData 4 4 7 3" xfId="29983"/>
    <cellStyle name="SAPBEXresData 4 4 8" xfId="29984"/>
    <cellStyle name="SAPBEXresData 4 4 8 2" xfId="29985"/>
    <cellStyle name="SAPBEXresData 4 4 8 2 2" xfId="29986"/>
    <cellStyle name="SAPBEXresData 4 4 8 3" xfId="29987"/>
    <cellStyle name="SAPBEXresData 4 4 9" xfId="29988"/>
    <cellStyle name="SAPBEXresData 4 4 9 2" xfId="29989"/>
    <cellStyle name="SAPBEXresData 4 4_planning-WP" xfId="29990"/>
    <cellStyle name="SAPBEXresData 4 5" xfId="6137"/>
    <cellStyle name="SAPBEXresData 4 5 2" xfId="29992"/>
    <cellStyle name="SAPBEXresData 4 5 2 2" xfId="29993"/>
    <cellStyle name="SAPBEXresData 4 5 3" xfId="29991"/>
    <cellStyle name="SAPBEXresData 4 6" xfId="6624"/>
    <cellStyle name="SAPBEXresData 4 6 2" xfId="29995"/>
    <cellStyle name="SAPBEXresData 4 6 2 2" xfId="29996"/>
    <cellStyle name="SAPBEXresData 4 6 3" xfId="29997"/>
    <cellStyle name="SAPBEXresData 4 6 4" xfId="29994"/>
    <cellStyle name="SAPBEXresData 4 7" xfId="7107"/>
    <cellStyle name="SAPBEXresData 4 7 2" xfId="29999"/>
    <cellStyle name="SAPBEXresData 4 7 2 2" xfId="30000"/>
    <cellStyle name="SAPBEXresData 4 7 3" xfId="30001"/>
    <cellStyle name="SAPBEXresData 4 7 4" xfId="29998"/>
    <cellStyle name="SAPBEXresData 4 8" xfId="8176"/>
    <cellStyle name="SAPBEXresData 4 8 2" xfId="30003"/>
    <cellStyle name="SAPBEXresData 4 8 2 2" xfId="30004"/>
    <cellStyle name="SAPBEXresData 4 8 3" xfId="30005"/>
    <cellStyle name="SAPBEXresData 4 8 4" xfId="30002"/>
    <cellStyle name="SAPBEXresData 4 9" xfId="8677"/>
    <cellStyle name="SAPBEXresData 4 9 2" xfId="30007"/>
    <cellStyle name="SAPBEXresData 4 9 2 2" xfId="30008"/>
    <cellStyle name="SAPBEXresData 4 9 3" xfId="30009"/>
    <cellStyle name="SAPBEXresData 4 9 4" xfId="30006"/>
    <cellStyle name="SAPBEXresData 4_planning-WP" xfId="30010"/>
    <cellStyle name="SAPBEXresData 5" xfId="1658"/>
    <cellStyle name="SAPBEXresData 5 10" xfId="9116"/>
    <cellStyle name="SAPBEXresData 5 10 2" xfId="30013"/>
    <cellStyle name="SAPBEXresData 5 10 2 2" xfId="30014"/>
    <cellStyle name="SAPBEXresData 5 10 3" xfId="30015"/>
    <cellStyle name="SAPBEXresData 5 10 4" xfId="30012"/>
    <cellStyle name="SAPBEXresData 5 11" xfId="30016"/>
    <cellStyle name="SAPBEXresData 5 11 2" xfId="30017"/>
    <cellStyle name="SAPBEXresData 5 11 2 2" xfId="30018"/>
    <cellStyle name="SAPBEXresData 5 11 3" xfId="30019"/>
    <cellStyle name="SAPBEXresData 5 12" xfId="30020"/>
    <cellStyle name="SAPBEXresData 5 12 2" xfId="30021"/>
    <cellStyle name="SAPBEXresData 5 12 2 2" xfId="30022"/>
    <cellStyle name="SAPBEXresData 5 12 3" xfId="30023"/>
    <cellStyle name="SAPBEXresData 5 13" xfId="30024"/>
    <cellStyle name="SAPBEXresData 5 14" xfId="30011"/>
    <cellStyle name="SAPBEXresData 5 15" xfId="9855"/>
    <cellStyle name="SAPBEXresData 5 16" xfId="39105"/>
    <cellStyle name="SAPBEXresData 5 17" xfId="39488"/>
    <cellStyle name="SAPBEXresData 5 2" xfId="1992"/>
    <cellStyle name="SAPBEXresData 5 2 10" xfId="30026"/>
    <cellStyle name="SAPBEXresData 5 2 10 2" xfId="30027"/>
    <cellStyle name="SAPBEXresData 5 2 10 2 2" xfId="30028"/>
    <cellStyle name="SAPBEXresData 5 2 10 3" xfId="30029"/>
    <cellStyle name="SAPBEXresData 5 2 11" xfId="30030"/>
    <cellStyle name="SAPBEXresData 5 2 11 2" xfId="30031"/>
    <cellStyle name="SAPBEXresData 5 2 12" xfId="30025"/>
    <cellStyle name="SAPBEXresData 5 2 13" xfId="10170"/>
    <cellStyle name="SAPBEXresData 5 2 2" xfId="4910"/>
    <cellStyle name="SAPBEXresData 5 2 2 10" xfId="30033"/>
    <cellStyle name="SAPBEXresData 5 2 2 10 2" xfId="30034"/>
    <cellStyle name="SAPBEXresData 5 2 2 11" xfId="30032"/>
    <cellStyle name="SAPBEXresData 5 2 2 2" xfId="30035"/>
    <cellStyle name="SAPBEXresData 5 2 2 2 2" xfId="30036"/>
    <cellStyle name="SAPBEXresData 5 2 2 2 2 2" xfId="30037"/>
    <cellStyle name="SAPBEXresData 5 2 2 2 3" xfId="30038"/>
    <cellStyle name="SAPBEXresData 5 2 2 3" xfId="30039"/>
    <cellStyle name="SAPBEXresData 5 2 2 3 2" xfId="30040"/>
    <cellStyle name="SAPBEXresData 5 2 2 3 2 2" xfId="30041"/>
    <cellStyle name="SAPBEXresData 5 2 2 3 3" xfId="30042"/>
    <cellStyle name="SAPBEXresData 5 2 2 4" xfId="30043"/>
    <cellStyle name="SAPBEXresData 5 2 2 4 2" xfId="30044"/>
    <cellStyle name="SAPBEXresData 5 2 2 4 2 2" xfId="30045"/>
    <cellStyle name="SAPBEXresData 5 2 2 4 3" xfId="30046"/>
    <cellStyle name="SAPBEXresData 5 2 2 5" xfId="30047"/>
    <cellStyle name="SAPBEXresData 5 2 2 5 2" xfId="30048"/>
    <cellStyle name="SAPBEXresData 5 2 2 5 2 2" xfId="30049"/>
    <cellStyle name="SAPBEXresData 5 2 2 5 3" xfId="30050"/>
    <cellStyle name="SAPBEXresData 5 2 2 6" xfId="30051"/>
    <cellStyle name="SAPBEXresData 5 2 2 6 2" xfId="30052"/>
    <cellStyle name="SAPBEXresData 5 2 2 6 2 2" xfId="30053"/>
    <cellStyle name="SAPBEXresData 5 2 2 6 3" xfId="30054"/>
    <cellStyle name="SAPBEXresData 5 2 2 7" xfId="30055"/>
    <cellStyle name="SAPBEXresData 5 2 2 7 2" xfId="30056"/>
    <cellStyle name="SAPBEXresData 5 2 2 7 2 2" xfId="30057"/>
    <cellStyle name="SAPBEXresData 5 2 2 7 3" xfId="30058"/>
    <cellStyle name="SAPBEXresData 5 2 2 8" xfId="30059"/>
    <cellStyle name="SAPBEXresData 5 2 2 8 2" xfId="30060"/>
    <cellStyle name="SAPBEXresData 5 2 2 8 2 2" xfId="30061"/>
    <cellStyle name="SAPBEXresData 5 2 2 8 3" xfId="30062"/>
    <cellStyle name="SAPBEXresData 5 2 2 9" xfId="30063"/>
    <cellStyle name="SAPBEXresData 5 2 2 9 2" xfId="30064"/>
    <cellStyle name="SAPBEXresData 5 2 2 9 2 2" xfId="30065"/>
    <cellStyle name="SAPBEXresData 5 2 2 9 3" xfId="30066"/>
    <cellStyle name="SAPBEXresData 5 2 2_planning-WP" xfId="30067"/>
    <cellStyle name="SAPBEXresData 5 2 3" xfId="5889"/>
    <cellStyle name="SAPBEXresData 5 2 3 2" xfId="30069"/>
    <cellStyle name="SAPBEXresData 5 2 3 2 2" xfId="30070"/>
    <cellStyle name="SAPBEXresData 5 2 3 3" xfId="30071"/>
    <cellStyle name="SAPBEXresData 5 2 3 4" xfId="30068"/>
    <cellStyle name="SAPBEXresData 5 2 4" xfId="6397"/>
    <cellStyle name="SAPBEXresData 5 2 4 2" xfId="30073"/>
    <cellStyle name="SAPBEXresData 5 2 4 2 2" xfId="30074"/>
    <cellStyle name="SAPBEXresData 5 2 4 3" xfId="30075"/>
    <cellStyle name="SAPBEXresData 5 2 4 4" xfId="30072"/>
    <cellStyle name="SAPBEXresData 5 2 5" xfId="6884"/>
    <cellStyle name="SAPBEXresData 5 2 5 2" xfId="30077"/>
    <cellStyle name="SAPBEXresData 5 2 5 2 2" xfId="30078"/>
    <cellStyle name="SAPBEXresData 5 2 5 3" xfId="30079"/>
    <cellStyle name="SAPBEXresData 5 2 5 4" xfId="30076"/>
    <cellStyle name="SAPBEXresData 5 2 6" xfId="7367"/>
    <cellStyle name="SAPBEXresData 5 2 6 2" xfId="30081"/>
    <cellStyle name="SAPBEXresData 5 2 6 2 2" xfId="30082"/>
    <cellStyle name="SAPBEXresData 5 2 6 3" xfId="30083"/>
    <cellStyle name="SAPBEXresData 5 2 6 4" xfId="30080"/>
    <cellStyle name="SAPBEXresData 5 2 7" xfId="8436"/>
    <cellStyle name="SAPBEXresData 5 2 7 2" xfId="30085"/>
    <cellStyle name="SAPBEXresData 5 2 7 2 2" xfId="30086"/>
    <cellStyle name="SAPBEXresData 5 2 7 3" xfId="30087"/>
    <cellStyle name="SAPBEXresData 5 2 7 4" xfId="30084"/>
    <cellStyle name="SAPBEXresData 5 2 8" xfId="8937"/>
    <cellStyle name="SAPBEXresData 5 2 8 2" xfId="30089"/>
    <cellStyle name="SAPBEXresData 5 2 8 2 2" xfId="30090"/>
    <cellStyle name="SAPBEXresData 5 2 8 3" xfId="30091"/>
    <cellStyle name="SAPBEXresData 5 2 8 4" xfId="30088"/>
    <cellStyle name="SAPBEXresData 5 2 9" xfId="9431"/>
    <cellStyle name="SAPBEXresData 5 2 9 2" xfId="30093"/>
    <cellStyle name="SAPBEXresData 5 2 9 2 2" xfId="30094"/>
    <cellStyle name="SAPBEXresData 5 2 9 3" xfId="30095"/>
    <cellStyle name="SAPBEXresData 5 2 9 4" xfId="30092"/>
    <cellStyle name="SAPBEXresData 5 2_planning-WP" xfId="30096"/>
    <cellStyle name="SAPBEXresData 5 3" xfId="4581"/>
    <cellStyle name="SAPBEXresData 5 3 10" xfId="30098"/>
    <cellStyle name="SAPBEXresData 5 3 10 2" xfId="30099"/>
    <cellStyle name="SAPBEXresData 5 3 11" xfId="30097"/>
    <cellStyle name="SAPBEXresData 5 3 2" xfId="30100"/>
    <cellStyle name="SAPBEXresData 5 3 2 2" xfId="30101"/>
    <cellStyle name="SAPBEXresData 5 3 2 2 2" xfId="30102"/>
    <cellStyle name="SAPBEXresData 5 3 2 3" xfId="30103"/>
    <cellStyle name="SAPBEXresData 5 3 3" xfId="30104"/>
    <cellStyle name="SAPBEXresData 5 3 3 2" xfId="30105"/>
    <cellStyle name="SAPBEXresData 5 3 3 2 2" xfId="30106"/>
    <cellStyle name="SAPBEXresData 5 3 3 3" xfId="30107"/>
    <cellStyle name="SAPBEXresData 5 3 4" xfId="30108"/>
    <cellStyle name="SAPBEXresData 5 3 4 2" xfId="30109"/>
    <cellStyle name="SAPBEXresData 5 3 4 2 2" xfId="30110"/>
    <cellStyle name="SAPBEXresData 5 3 4 3" xfId="30111"/>
    <cellStyle name="SAPBEXresData 5 3 5" xfId="30112"/>
    <cellStyle name="SAPBEXresData 5 3 5 2" xfId="30113"/>
    <cellStyle name="SAPBEXresData 5 3 5 2 2" xfId="30114"/>
    <cellStyle name="SAPBEXresData 5 3 5 3" xfId="30115"/>
    <cellStyle name="SAPBEXresData 5 3 6" xfId="30116"/>
    <cellStyle name="SAPBEXresData 5 3 6 2" xfId="30117"/>
    <cellStyle name="SAPBEXresData 5 3 6 2 2" xfId="30118"/>
    <cellStyle name="SAPBEXresData 5 3 6 3" xfId="30119"/>
    <cellStyle name="SAPBEXresData 5 3 7" xfId="30120"/>
    <cellStyle name="SAPBEXresData 5 3 7 2" xfId="30121"/>
    <cellStyle name="SAPBEXresData 5 3 7 2 2" xfId="30122"/>
    <cellStyle name="SAPBEXresData 5 3 7 3" xfId="30123"/>
    <cellStyle name="SAPBEXresData 5 3 8" xfId="30124"/>
    <cellStyle name="SAPBEXresData 5 3 8 2" xfId="30125"/>
    <cellStyle name="SAPBEXresData 5 3 8 2 2" xfId="30126"/>
    <cellStyle name="SAPBEXresData 5 3 8 3" xfId="30127"/>
    <cellStyle name="SAPBEXresData 5 3 9" xfId="30128"/>
    <cellStyle name="SAPBEXresData 5 3 9 2" xfId="30129"/>
    <cellStyle name="SAPBEXresData 5 3 9 2 2" xfId="30130"/>
    <cellStyle name="SAPBEXresData 5 3 9 3" xfId="30131"/>
    <cellStyle name="SAPBEXresData 5 3_planning-WP" xfId="30132"/>
    <cellStyle name="SAPBEXresData 5 4" xfId="5573"/>
    <cellStyle name="SAPBEXresData 5 4 10" xfId="30133"/>
    <cellStyle name="SAPBEXresData 5 4 2" xfId="30134"/>
    <cellStyle name="SAPBEXresData 5 4 2 2" xfId="30135"/>
    <cellStyle name="SAPBEXresData 5 4 2 2 2" xfId="30136"/>
    <cellStyle name="SAPBEXresData 5 4 2 3" xfId="30137"/>
    <cellStyle name="SAPBEXresData 5 4 3" xfId="30138"/>
    <cellStyle name="SAPBEXresData 5 4 3 2" xfId="30139"/>
    <cellStyle name="SAPBEXresData 5 4 3 2 2" xfId="30140"/>
    <cellStyle name="SAPBEXresData 5 4 3 3" xfId="30141"/>
    <cellStyle name="SAPBEXresData 5 4 4" xfId="30142"/>
    <cellStyle name="SAPBEXresData 5 4 4 2" xfId="30143"/>
    <cellStyle name="SAPBEXresData 5 4 4 2 2" xfId="30144"/>
    <cellStyle name="SAPBEXresData 5 4 4 3" xfId="30145"/>
    <cellStyle name="SAPBEXresData 5 4 5" xfId="30146"/>
    <cellStyle name="SAPBEXresData 5 4 5 2" xfId="30147"/>
    <cellStyle name="SAPBEXresData 5 4 5 2 2" xfId="30148"/>
    <cellStyle name="SAPBEXresData 5 4 5 3" xfId="30149"/>
    <cellStyle name="SAPBEXresData 5 4 6" xfId="30150"/>
    <cellStyle name="SAPBEXresData 5 4 6 2" xfId="30151"/>
    <cellStyle name="SAPBEXresData 5 4 6 2 2" xfId="30152"/>
    <cellStyle name="SAPBEXresData 5 4 6 3" xfId="30153"/>
    <cellStyle name="SAPBEXresData 5 4 7" xfId="30154"/>
    <cellStyle name="SAPBEXresData 5 4 7 2" xfId="30155"/>
    <cellStyle name="SAPBEXresData 5 4 7 2 2" xfId="30156"/>
    <cellStyle name="SAPBEXresData 5 4 7 3" xfId="30157"/>
    <cellStyle name="SAPBEXresData 5 4 8" xfId="30158"/>
    <cellStyle name="SAPBEXresData 5 4 8 2" xfId="30159"/>
    <cellStyle name="SAPBEXresData 5 4 8 2 2" xfId="30160"/>
    <cellStyle name="SAPBEXresData 5 4 8 3" xfId="30161"/>
    <cellStyle name="SAPBEXresData 5 4 9" xfId="30162"/>
    <cellStyle name="SAPBEXresData 5 4 9 2" xfId="30163"/>
    <cellStyle name="SAPBEXresData 5 4_planning-WP" xfId="30164"/>
    <cellStyle name="SAPBEXresData 5 5" xfId="6082"/>
    <cellStyle name="SAPBEXresData 5 5 2" xfId="30166"/>
    <cellStyle name="SAPBEXresData 5 5 2 2" xfId="30167"/>
    <cellStyle name="SAPBEXresData 5 5 3" xfId="30165"/>
    <cellStyle name="SAPBEXresData 5 6" xfId="6569"/>
    <cellStyle name="SAPBEXresData 5 6 2" xfId="30169"/>
    <cellStyle name="SAPBEXresData 5 6 2 2" xfId="30170"/>
    <cellStyle name="SAPBEXresData 5 6 3" xfId="30171"/>
    <cellStyle name="SAPBEXresData 5 6 4" xfId="30168"/>
    <cellStyle name="SAPBEXresData 5 7" xfId="7052"/>
    <cellStyle name="SAPBEXresData 5 7 2" xfId="30173"/>
    <cellStyle name="SAPBEXresData 5 7 2 2" xfId="30174"/>
    <cellStyle name="SAPBEXresData 5 7 3" xfId="30175"/>
    <cellStyle name="SAPBEXresData 5 7 4" xfId="30172"/>
    <cellStyle name="SAPBEXresData 5 8" xfId="8121"/>
    <cellStyle name="SAPBEXresData 5 8 2" xfId="30177"/>
    <cellStyle name="SAPBEXresData 5 8 2 2" xfId="30178"/>
    <cellStyle name="SAPBEXresData 5 8 3" xfId="30179"/>
    <cellStyle name="SAPBEXresData 5 8 4" xfId="30176"/>
    <cellStyle name="SAPBEXresData 5 9" xfId="8622"/>
    <cellStyle name="SAPBEXresData 5 9 2" xfId="30181"/>
    <cellStyle name="SAPBEXresData 5 9 2 2" xfId="30182"/>
    <cellStyle name="SAPBEXresData 5 9 3" xfId="30183"/>
    <cellStyle name="SAPBEXresData 5 9 4" xfId="30180"/>
    <cellStyle name="SAPBEXresData 5_planning-WP" xfId="30184"/>
    <cellStyle name="SAPBEXresData 6" xfId="1743"/>
    <cellStyle name="SAPBEXresData 6 10" xfId="9198"/>
    <cellStyle name="SAPBEXresData 6 10 2" xfId="30187"/>
    <cellStyle name="SAPBEXresData 6 10 2 2" xfId="30188"/>
    <cellStyle name="SAPBEXresData 6 10 3" xfId="30189"/>
    <cellStyle name="SAPBEXresData 6 10 4" xfId="30186"/>
    <cellStyle name="SAPBEXresData 6 11" xfId="30190"/>
    <cellStyle name="SAPBEXresData 6 11 2" xfId="30191"/>
    <cellStyle name="SAPBEXresData 6 11 2 2" xfId="30192"/>
    <cellStyle name="SAPBEXresData 6 11 3" xfId="30193"/>
    <cellStyle name="SAPBEXresData 6 12" xfId="30194"/>
    <cellStyle name="SAPBEXresData 6 13" xfId="30185"/>
    <cellStyle name="SAPBEXresData 6 14" xfId="9937"/>
    <cellStyle name="SAPBEXresData 6 15" xfId="39106"/>
    <cellStyle name="SAPBEXresData 6 16" xfId="39489"/>
    <cellStyle name="SAPBEXresData 6 2" xfId="2073"/>
    <cellStyle name="SAPBEXresData 6 2 10" xfId="30196"/>
    <cellStyle name="SAPBEXresData 6 2 10 2" xfId="30197"/>
    <cellStyle name="SAPBEXresData 6 2 11" xfId="30195"/>
    <cellStyle name="SAPBEXresData 6 2 12" xfId="10248"/>
    <cellStyle name="SAPBEXresData 6 2 2" xfId="4988"/>
    <cellStyle name="SAPBEXresData 6 2 2 2" xfId="30199"/>
    <cellStyle name="SAPBEXresData 6 2 2 2 2" xfId="30200"/>
    <cellStyle name="SAPBEXresData 6 2 2 3" xfId="30201"/>
    <cellStyle name="SAPBEXresData 6 2 2 4" xfId="30198"/>
    <cellStyle name="SAPBEXresData 6 2 3" xfId="5967"/>
    <cellStyle name="SAPBEXresData 6 2 3 2" xfId="30203"/>
    <cellStyle name="SAPBEXresData 6 2 3 2 2" xfId="30204"/>
    <cellStyle name="SAPBEXresData 6 2 3 3" xfId="30205"/>
    <cellStyle name="SAPBEXresData 6 2 3 4" xfId="30202"/>
    <cellStyle name="SAPBEXresData 6 2 4" xfId="6475"/>
    <cellStyle name="SAPBEXresData 6 2 4 2" xfId="30207"/>
    <cellStyle name="SAPBEXresData 6 2 4 2 2" xfId="30208"/>
    <cellStyle name="SAPBEXresData 6 2 4 3" xfId="30209"/>
    <cellStyle name="SAPBEXresData 6 2 4 4" xfId="30206"/>
    <cellStyle name="SAPBEXresData 6 2 5" xfId="6962"/>
    <cellStyle name="SAPBEXresData 6 2 5 2" xfId="30211"/>
    <cellStyle name="SAPBEXresData 6 2 5 2 2" xfId="30212"/>
    <cellStyle name="SAPBEXresData 6 2 5 3" xfId="30213"/>
    <cellStyle name="SAPBEXresData 6 2 5 4" xfId="30210"/>
    <cellStyle name="SAPBEXresData 6 2 6" xfId="7445"/>
    <cellStyle name="SAPBEXresData 6 2 6 2" xfId="30215"/>
    <cellStyle name="SAPBEXresData 6 2 6 2 2" xfId="30216"/>
    <cellStyle name="SAPBEXresData 6 2 6 3" xfId="30217"/>
    <cellStyle name="SAPBEXresData 6 2 6 4" xfId="30214"/>
    <cellStyle name="SAPBEXresData 6 2 7" xfId="8514"/>
    <cellStyle name="SAPBEXresData 6 2 7 2" xfId="30219"/>
    <cellStyle name="SAPBEXresData 6 2 7 2 2" xfId="30220"/>
    <cellStyle name="SAPBEXresData 6 2 7 3" xfId="30221"/>
    <cellStyle name="SAPBEXresData 6 2 7 4" xfId="30218"/>
    <cellStyle name="SAPBEXresData 6 2 8" xfId="9015"/>
    <cellStyle name="SAPBEXresData 6 2 8 2" xfId="30223"/>
    <cellStyle name="SAPBEXresData 6 2 8 2 2" xfId="30224"/>
    <cellStyle name="SAPBEXresData 6 2 8 3" xfId="30225"/>
    <cellStyle name="SAPBEXresData 6 2 8 4" xfId="30222"/>
    <cellStyle name="SAPBEXresData 6 2 9" xfId="9509"/>
    <cellStyle name="SAPBEXresData 6 2 9 2" xfId="30227"/>
    <cellStyle name="SAPBEXresData 6 2 9 2 2" xfId="30228"/>
    <cellStyle name="SAPBEXresData 6 2 9 3" xfId="30229"/>
    <cellStyle name="SAPBEXresData 6 2 9 4" xfId="30226"/>
    <cellStyle name="SAPBEXresData 6 2_planning-WP" xfId="30230"/>
    <cellStyle name="SAPBEXresData 6 3" xfId="4664"/>
    <cellStyle name="SAPBEXresData 6 3 10" xfId="30231"/>
    <cellStyle name="SAPBEXresData 6 3 2" xfId="30232"/>
    <cellStyle name="SAPBEXresData 6 3 2 2" xfId="30233"/>
    <cellStyle name="SAPBEXresData 6 3 2 2 2" xfId="30234"/>
    <cellStyle name="SAPBEXresData 6 3 2 3" xfId="30235"/>
    <cellStyle name="SAPBEXresData 6 3 3" xfId="30236"/>
    <cellStyle name="SAPBEXresData 6 3 3 2" xfId="30237"/>
    <cellStyle name="SAPBEXresData 6 3 3 2 2" xfId="30238"/>
    <cellStyle name="SAPBEXresData 6 3 3 3" xfId="30239"/>
    <cellStyle name="SAPBEXresData 6 3 4" xfId="30240"/>
    <cellStyle name="SAPBEXresData 6 3 4 2" xfId="30241"/>
    <cellStyle name="SAPBEXresData 6 3 4 2 2" xfId="30242"/>
    <cellStyle name="SAPBEXresData 6 3 4 3" xfId="30243"/>
    <cellStyle name="SAPBEXresData 6 3 5" xfId="30244"/>
    <cellStyle name="SAPBEXresData 6 3 5 2" xfId="30245"/>
    <cellStyle name="SAPBEXresData 6 3 5 2 2" xfId="30246"/>
    <cellStyle name="SAPBEXresData 6 3 5 3" xfId="30247"/>
    <cellStyle name="SAPBEXresData 6 3 6" xfId="30248"/>
    <cellStyle name="SAPBEXresData 6 3 6 2" xfId="30249"/>
    <cellStyle name="SAPBEXresData 6 3 6 2 2" xfId="30250"/>
    <cellStyle name="SAPBEXresData 6 3 6 3" xfId="30251"/>
    <cellStyle name="SAPBEXresData 6 3 7" xfId="30252"/>
    <cellStyle name="SAPBEXresData 6 3 7 2" xfId="30253"/>
    <cellStyle name="SAPBEXresData 6 3 7 2 2" xfId="30254"/>
    <cellStyle name="SAPBEXresData 6 3 7 3" xfId="30255"/>
    <cellStyle name="SAPBEXresData 6 3 8" xfId="30256"/>
    <cellStyle name="SAPBEXresData 6 3 8 2" xfId="30257"/>
    <cellStyle name="SAPBEXresData 6 3 8 2 2" xfId="30258"/>
    <cellStyle name="SAPBEXresData 6 3 8 3" xfId="30259"/>
    <cellStyle name="SAPBEXresData 6 3 9" xfId="30260"/>
    <cellStyle name="SAPBEXresData 6 3 9 2" xfId="30261"/>
    <cellStyle name="SAPBEXresData 6 3_planning-WP" xfId="30262"/>
    <cellStyle name="SAPBEXresData 6 4" xfId="5655"/>
    <cellStyle name="SAPBEXresData 6 4 2" xfId="30264"/>
    <cellStyle name="SAPBEXresData 6 4 2 2" xfId="30265"/>
    <cellStyle name="SAPBEXresData 6 4 3" xfId="30263"/>
    <cellStyle name="SAPBEXresData 6 5" xfId="6164"/>
    <cellStyle name="SAPBEXresData 6 5 2" xfId="30267"/>
    <cellStyle name="SAPBEXresData 6 5 2 2" xfId="30268"/>
    <cellStyle name="SAPBEXresData 6 5 3" xfId="30269"/>
    <cellStyle name="SAPBEXresData 6 5 4" xfId="30266"/>
    <cellStyle name="SAPBEXresData 6 6" xfId="6651"/>
    <cellStyle name="SAPBEXresData 6 6 2" xfId="30271"/>
    <cellStyle name="SAPBEXresData 6 6 2 2" xfId="30272"/>
    <cellStyle name="SAPBEXresData 6 6 3" xfId="30273"/>
    <cellStyle name="SAPBEXresData 6 6 4" xfId="30270"/>
    <cellStyle name="SAPBEXresData 6 7" xfId="7134"/>
    <cellStyle name="SAPBEXresData 6 7 2" xfId="30275"/>
    <cellStyle name="SAPBEXresData 6 7 2 2" xfId="30276"/>
    <cellStyle name="SAPBEXresData 6 7 3" xfId="30277"/>
    <cellStyle name="SAPBEXresData 6 7 4" xfId="30274"/>
    <cellStyle name="SAPBEXresData 6 8" xfId="8203"/>
    <cellStyle name="SAPBEXresData 6 8 2" xfId="30279"/>
    <cellStyle name="SAPBEXresData 6 8 2 2" xfId="30280"/>
    <cellStyle name="SAPBEXresData 6 8 3" xfId="30281"/>
    <cellStyle name="SAPBEXresData 6 8 4" xfId="30278"/>
    <cellStyle name="SAPBEXresData 6 9" xfId="8704"/>
    <cellStyle name="SAPBEXresData 6 9 2" xfId="30283"/>
    <cellStyle name="SAPBEXresData 6 9 2 2" xfId="30284"/>
    <cellStyle name="SAPBEXresData 6 9 3" xfId="30285"/>
    <cellStyle name="SAPBEXresData 6 9 4" xfId="30282"/>
    <cellStyle name="SAPBEXresData 6_planning-WP" xfId="30286"/>
    <cellStyle name="SAPBEXresData 7" xfId="1770"/>
    <cellStyle name="SAPBEXresData 7 10" xfId="9224"/>
    <cellStyle name="SAPBEXresData 7 10 2" xfId="30289"/>
    <cellStyle name="SAPBEXresData 7 10 2 2" xfId="30290"/>
    <cellStyle name="SAPBEXresData 7 10 3" xfId="30291"/>
    <cellStyle name="SAPBEXresData 7 10 4" xfId="30288"/>
    <cellStyle name="SAPBEXresData 7 11" xfId="30292"/>
    <cellStyle name="SAPBEXresData 7 11 2" xfId="30293"/>
    <cellStyle name="SAPBEXresData 7 12" xfId="30287"/>
    <cellStyle name="SAPBEXresData 7 13" xfId="9963"/>
    <cellStyle name="SAPBEXresData 7 14" xfId="39107"/>
    <cellStyle name="SAPBEXresData 7 15" xfId="39490"/>
    <cellStyle name="SAPBEXresData 7 2" xfId="2093"/>
    <cellStyle name="SAPBEXresData 7 2 10" xfId="30295"/>
    <cellStyle name="SAPBEXresData 7 2 10 2" xfId="30296"/>
    <cellStyle name="SAPBEXresData 7 2 11" xfId="30294"/>
    <cellStyle name="SAPBEXresData 7 2 12" xfId="10267"/>
    <cellStyle name="SAPBEXresData 7 2 2" xfId="5007"/>
    <cellStyle name="SAPBEXresData 7 2 2 2" xfId="30298"/>
    <cellStyle name="SAPBEXresData 7 2 2 2 2" xfId="30299"/>
    <cellStyle name="SAPBEXresData 7 2 2 3" xfId="30300"/>
    <cellStyle name="SAPBEXresData 7 2 2 4" xfId="30297"/>
    <cellStyle name="SAPBEXresData 7 2 3" xfId="5986"/>
    <cellStyle name="SAPBEXresData 7 2 3 2" xfId="30302"/>
    <cellStyle name="SAPBEXresData 7 2 3 2 2" xfId="30303"/>
    <cellStyle name="SAPBEXresData 7 2 3 3" xfId="30304"/>
    <cellStyle name="SAPBEXresData 7 2 3 4" xfId="30301"/>
    <cellStyle name="SAPBEXresData 7 2 4" xfId="6494"/>
    <cellStyle name="SAPBEXresData 7 2 4 2" xfId="30306"/>
    <cellStyle name="SAPBEXresData 7 2 4 2 2" xfId="30307"/>
    <cellStyle name="SAPBEXresData 7 2 4 3" xfId="30308"/>
    <cellStyle name="SAPBEXresData 7 2 4 4" xfId="30305"/>
    <cellStyle name="SAPBEXresData 7 2 5" xfId="6981"/>
    <cellStyle name="SAPBEXresData 7 2 5 2" xfId="30310"/>
    <cellStyle name="SAPBEXresData 7 2 5 2 2" xfId="30311"/>
    <cellStyle name="SAPBEXresData 7 2 5 3" xfId="30312"/>
    <cellStyle name="SAPBEXresData 7 2 5 4" xfId="30309"/>
    <cellStyle name="SAPBEXresData 7 2 6" xfId="7464"/>
    <cellStyle name="SAPBEXresData 7 2 6 2" xfId="30314"/>
    <cellStyle name="SAPBEXresData 7 2 6 2 2" xfId="30315"/>
    <cellStyle name="SAPBEXresData 7 2 6 3" xfId="30316"/>
    <cellStyle name="SAPBEXresData 7 2 6 4" xfId="30313"/>
    <cellStyle name="SAPBEXresData 7 2 7" xfId="8533"/>
    <cellStyle name="SAPBEXresData 7 2 7 2" xfId="30318"/>
    <cellStyle name="SAPBEXresData 7 2 7 2 2" xfId="30319"/>
    <cellStyle name="SAPBEXresData 7 2 7 3" xfId="30320"/>
    <cellStyle name="SAPBEXresData 7 2 7 4" xfId="30317"/>
    <cellStyle name="SAPBEXresData 7 2 8" xfId="9034"/>
    <cellStyle name="SAPBEXresData 7 2 8 2" xfId="30322"/>
    <cellStyle name="SAPBEXresData 7 2 8 2 2" xfId="30323"/>
    <cellStyle name="SAPBEXresData 7 2 8 3" xfId="30324"/>
    <cellStyle name="SAPBEXresData 7 2 8 4" xfId="30321"/>
    <cellStyle name="SAPBEXresData 7 2 9" xfId="9528"/>
    <cellStyle name="SAPBEXresData 7 2 9 2" xfId="30326"/>
    <cellStyle name="SAPBEXresData 7 2 9 2 2" xfId="30327"/>
    <cellStyle name="SAPBEXresData 7 2 9 3" xfId="30328"/>
    <cellStyle name="SAPBEXresData 7 2 9 4" xfId="30325"/>
    <cellStyle name="SAPBEXresData 7 2_planning-WP" xfId="30329"/>
    <cellStyle name="SAPBEXresData 7 3" xfId="4691"/>
    <cellStyle name="SAPBEXresData 7 3 2" xfId="30331"/>
    <cellStyle name="SAPBEXresData 7 3 2 2" xfId="30332"/>
    <cellStyle name="SAPBEXresData 7 3 3" xfId="30333"/>
    <cellStyle name="SAPBEXresData 7 3 4" xfId="30330"/>
    <cellStyle name="SAPBEXresData 7 4" xfId="5681"/>
    <cellStyle name="SAPBEXresData 7 4 2" xfId="30335"/>
    <cellStyle name="SAPBEXresData 7 4 2 2" xfId="30336"/>
    <cellStyle name="SAPBEXresData 7 4 3" xfId="30337"/>
    <cellStyle name="SAPBEXresData 7 4 4" xfId="30334"/>
    <cellStyle name="SAPBEXresData 7 5" xfId="6190"/>
    <cellStyle name="SAPBEXresData 7 5 2" xfId="30339"/>
    <cellStyle name="SAPBEXresData 7 5 2 2" xfId="30340"/>
    <cellStyle name="SAPBEXresData 7 5 3" xfId="30341"/>
    <cellStyle name="SAPBEXresData 7 5 4" xfId="30338"/>
    <cellStyle name="SAPBEXresData 7 6" xfId="6677"/>
    <cellStyle name="SAPBEXresData 7 6 2" xfId="30343"/>
    <cellStyle name="SAPBEXresData 7 6 2 2" xfId="30344"/>
    <cellStyle name="SAPBEXresData 7 6 3" xfId="30345"/>
    <cellStyle name="SAPBEXresData 7 6 4" xfId="30342"/>
    <cellStyle name="SAPBEXresData 7 7" xfId="7160"/>
    <cellStyle name="SAPBEXresData 7 7 2" xfId="30347"/>
    <cellStyle name="SAPBEXresData 7 7 2 2" xfId="30348"/>
    <cellStyle name="SAPBEXresData 7 7 3" xfId="30349"/>
    <cellStyle name="SAPBEXresData 7 7 4" xfId="30346"/>
    <cellStyle name="SAPBEXresData 7 8" xfId="8229"/>
    <cellStyle name="SAPBEXresData 7 8 2" xfId="30351"/>
    <cellStyle name="SAPBEXresData 7 8 2 2" xfId="30352"/>
    <cellStyle name="SAPBEXresData 7 8 3" xfId="30353"/>
    <cellStyle name="SAPBEXresData 7 8 4" xfId="30350"/>
    <cellStyle name="SAPBEXresData 7 9" xfId="8730"/>
    <cellStyle name="SAPBEXresData 7 9 2" xfId="30355"/>
    <cellStyle name="SAPBEXresData 7 9 2 2" xfId="30356"/>
    <cellStyle name="SAPBEXresData 7 9 3" xfId="30357"/>
    <cellStyle name="SAPBEXresData 7 9 4" xfId="30354"/>
    <cellStyle name="SAPBEXresData 7_planning-WP" xfId="30358"/>
    <cellStyle name="SAPBEXresData 8" xfId="1608"/>
    <cellStyle name="SAPBEXresData 8 10" xfId="30360"/>
    <cellStyle name="SAPBEXresData 8 10 2" xfId="30361"/>
    <cellStyle name="SAPBEXresData 8 11" xfId="30359"/>
    <cellStyle name="SAPBEXresData 8 12" xfId="9805"/>
    <cellStyle name="SAPBEXresData 8 2" xfId="4531"/>
    <cellStyle name="SAPBEXresData 8 2 2" xfId="30363"/>
    <cellStyle name="SAPBEXresData 8 2 2 2" xfId="30364"/>
    <cellStyle name="SAPBEXresData 8 2 3" xfId="30365"/>
    <cellStyle name="SAPBEXresData 8 2 4" xfId="30362"/>
    <cellStyle name="SAPBEXresData 8 3" xfId="5523"/>
    <cellStyle name="SAPBEXresData 8 3 2" xfId="30367"/>
    <cellStyle name="SAPBEXresData 8 3 2 2" xfId="30368"/>
    <cellStyle name="SAPBEXresData 8 3 3" xfId="30369"/>
    <cellStyle name="SAPBEXresData 8 3 4" xfId="30366"/>
    <cellStyle name="SAPBEXresData 8 4" xfId="3850"/>
    <cellStyle name="SAPBEXresData 8 4 2" xfId="30371"/>
    <cellStyle name="SAPBEXresData 8 4 2 2" xfId="30372"/>
    <cellStyle name="SAPBEXresData 8 4 3" xfId="30373"/>
    <cellStyle name="SAPBEXresData 8 4 4" xfId="30370"/>
    <cellStyle name="SAPBEXresData 8 5" xfId="5054"/>
    <cellStyle name="SAPBEXresData 8 5 2" xfId="30375"/>
    <cellStyle name="SAPBEXresData 8 5 2 2" xfId="30376"/>
    <cellStyle name="SAPBEXresData 8 5 3" xfId="30377"/>
    <cellStyle name="SAPBEXresData 8 5 4" xfId="30374"/>
    <cellStyle name="SAPBEXresData 8 6" xfId="3821"/>
    <cellStyle name="SAPBEXresData 8 6 2" xfId="30379"/>
    <cellStyle name="SAPBEXresData 8 6 2 2" xfId="30380"/>
    <cellStyle name="SAPBEXresData 8 6 3" xfId="30381"/>
    <cellStyle name="SAPBEXresData 8 6 4" xfId="30378"/>
    <cellStyle name="SAPBEXresData 8 7" xfId="8071"/>
    <cellStyle name="SAPBEXresData 8 7 2" xfId="30383"/>
    <cellStyle name="SAPBEXresData 8 7 2 2" xfId="30384"/>
    <cellStyle name="SAPBEXresData 8 7 3" xfId="30385"/>
    <cellStyle name="SAPBEXresData 8 7 4" xfId="30382"/>
    <cellStyle name="SAPBEXresData 8 8" xfId="8572"/>
    <cellStyle name="SAPBEXresData 8 8 2" xfId="30387"/>
    <cellStyle name="SAPBEXresData 8 8 2 2" xfId="30388"/>
    <cellStyle name="SAPBEXresData 8 8 3" xfId="30389"/>
    <cellStyle name="SAPBEXresData 8 8 4" xfId="30386"/>
    <cellStyle name="SAPBEXresData 8 9" xfId="9066"/>
    <cellStyle name="SAPBEXresData 8 9 2" xfId="30391"/>
    <cellStyle name="SAPBEXresData 8 9 2 2" xfId="30392"/>
    <cellStyle name="SAPBEXresData 8 9 3" xfId="30393"/>
    <cellStyle name="SAPBEXresData 8 9 4" xfId="30390"/>
    <cellStyle name="SAPBEXresData 8_planning-WP" xfId="30394"/>
    <cellStyle name="SAPBEXresData 9" xfId="1437"/>
    <cellStyle name="SAPBEXresData 9 10" xfId="30395"/>
    <cellStyle name="SAPBEXresData 9 11" xfId="9635"/>
    <cellStyle name="SAPBEXresData 9 2" xfId="4360"/>
    <cellStyle name="SAPBEXresData 9 2 2" xfId="30397"/>
    <cellStyle name="SAPBEXresData 9 2 2 2" xfId="30398"/>
    <cellStyle name="SAPBEXresData 9 2 3" xfId="30399"/>
    <cellStyle name="SAPBEXresData 9 2 4" xfId="30396"/>
    <cellStyle name="SAPBEXresData 9 3" xfId="5353"/>
    <cellStyle name="SAPBEXresData 9 3 2" xfId="30401"/>
    <cellStyle name="SAPBEXresData 9 3 2 2" xfId="30402"/>
    <cellStyle name="SAPBEXresData 9 3 3" xfId="30403"/>
    <cellStyle name="SAPBEXresData 9 3 4" xfId="30400"/>
    <cellStyle name="SAPBEXresData 9 4" xfId="3176"/>
    <cellStyle name="SAPBEXresData 9 4 2" xfId="30405"/>
    <cellStyle name="SAPBEXresData 9 4 2 2" xfId="30406"/>
    <cellStyle name="SAPBEXresData 9 4 3" xfId="30407"/>
    <cellStyle name="SAPBEXresData 9 4 4" xfId="30404"/>
    <cellStyle name="SAPBEXresData 9 5" xfId="3200"/>
    <cellStyle name="SAPBEXresData 9 5 2" xfId="30409"/>
    <cellStyle name="SAPBEXresData 9 5 2 2" xfId="30410"/>
    <cellStyle name="SAPBEXresData 9 5 3" xfId="30411"/>
    <cellStyle name="SAPBEXresData 9 5 4" xfId="30408"/>
    <cellStyle name="SAPBEXresData 9 6" xfId="5265"/>
    <cellStyle name="SAPBEXresData 9 6 2" xfId="30413"/>
    <cellStyle name="SAPBEXresData 9 6 2 2" xfId="30414"/>
    <cellStyle name="SAPBEXresData 9 6 3" xfId="30415"/>
    <cellStyle name="SAPBEXresData 9 6 4" xfId="30412"/>
    <cellStyle name="SAPBEXresData 9 7" xfId="7901"/>
    <cellStyle name="SAPBEXresData 9 7 2" xfId="30417"/>
    <cellStyle name="SAPBEXresData 9 7 2 2" xfId="30418"/>
    <cellStyle name="SAPBEXresData 9 7 3" xfId="30419"/>
    <cellStyle name="SAPBEXresData 9 7 4" xfId="30416"/>
    <cellStyle name="SAPBEXresData 9 8" xfId="7645"/>
    <cellStyle name="SAPBEXresData 9 8 2" xfId="30421"/>
    <cellStyle name="SAPBEXresData 9 8 2 2" xfId="30422"/>
    <cellStyle name="SAPBEXresData 9 8 3" xfId="30423"/>
    <cellStyle name="SAPBEXresData 9 8 4" xfId="30420"/>
    <cellStyle name="SAPBEXresData 9 9" xfId="7776"/>
    <cellStyle name="SAPBEXresData 9 9 2" xfId="30425"/>
    <cellStyle name="SAPBEXresData 9 9 3" xfId="30424"/>
    <cellStyle name="SAPBEXresData 9_planning-WP" xfId="30426"/>
    <cellStyle name="SAPBEXresData_19.RessDest CUC CS SEE+SEM 1009" xfId="39108"/>
    <cellStyle name="SAPBEXresDataEmph" xfId="289"/>
    <cellStyle name="SAPBEXresDataEmph 10" xfId="30428"/>
    <cellStyle name="SAPBEXresDataEmph 10 2" xfId="30429"/>
    <cellStyle name="SAPBEXresDataEmph 10 2 2" xfId="30430"/>
    <cellStyle name="SAPBEXresDataEmph 11" xfId="30431"/>
    <cellStyle name="SAPBEXresDataEmph 11 2" xfId="30432"/>
    <cellStyle name="SAPBEXresDataEmph 11 2 2" xfId="30433"/>
    <cellStyle name="SAPBEXresDataEmph 11 3" xfId="30434"/>
    <cellStyle name="SAPBEXresDataEmph 12" xfId="30435"/>
    <cellStyle name="SAPBEXresDataEmph 12 2" xfId="30436"/>
    <cellStyle name="SAPBEXresDataEmph 12 2 2" xfId="30437"/>
    <cellStyle name="SAPBEXresDataEmph 12 3" xfId="30438"/>
    <cellStyle name="SAPBEXresDataEmph 13" xfId="30439"/>
    <cellStyle name="SAPBEXresDataEmph 13 2" xfId="30440"/>
    <cellStyle name="SAPBEXresDataEmph 13 2 2" xfId="30441"/>
    <cellStyle name="SAPBEXresDataEmph 13 3" xfId="30442"/>
    <cellStyle name="SAPBEXresDataEmph 14" xfId="30443"/>
    <cellStyle name="SAPBEXresDataEmph 14 2" xfId="30444"/>
    <cellStyle name="SAPBEXresDataEmph 14 2 2" xfId="30445"/>
    <cellStyle name="SAPBEXresDataEmph 14 3" xfId="30446"/>
    <cellStyle name="SAPBEXresDataEmph 15" xfId="30447"/>
    <cellStyle name="SAPBEXresDataEmph 15 2" xfId="30448"/>
    <cellStyle name="SAPBEXresDataEmph 15 2 2" xfId="30449"/>
    <cellStyle name="SAPBEXresDataEmph 15 3" xfId="30450"/>
    <cellStyle name="SAPBEXresDataEmph 16" xfId="30451"/>
    <cellStyle name="SAPBEXresDataEmph 16 2" xfId="30452"/>
    <cellStyle name="SAPBEXresDataEmph 16 2 2" xfId="30453"/>
    <cellStyle name="SAPBEXresDataEmph 16 3" xfId="30454"/>
    <cellStyle name="SAPBEXresDataEmph 17" xfId="30455"/>
    <cellStyle name="SAPBEXresDataEmph 17 2" xfId="30456"/>
    <cellStyle name="SAPBEXresDataEmph 17 2 2" xfId="30457"/>
    <cellStyle name="SAPBEXresDataEmph 17 3" xfId="30458"/>
    <cellStyle name="SAPBEXresDataEmph 18" xfId="30459"/>
    <cellStyle name="SAPBEXresDataEmph 19" xfId="30460"/>
    <cellStyle name="SAPBEXresDataEmph 2" xfId="901"/>
    <cellStyle name="SAPBEXresDataEmph 2 10" xfId="30462"/>
    <cellStyle name="SAPBEXresDataEmph 2 10 2" xfId="30463"/>
    <cellStyle name="SAPBEXresDataEmph 2 10 2 2" xfId="30464"/>
    <cellStyle name="SAPBEXresDataEmph 2 10 3" xfId="30465"/>
    <cellStyle name="SAPBEXresDataEmph 2 11" xfId="30466"/>
    <cellStyle name="SAPBEXresDataEmph 2 11 2" xfId="30467"/>
    <cellStyle name="SAPBEXresDataEmph 2 11 2 2" xfId="30468"/>
    <cellStyle name="SAPBEXresDataEmph 2 11 3" xfId="30469"/>
    <cellStyle name="SAPBEXresDataEmph 2 12" xfId="30470"/>
    <cellStyle name="SAPBEXresDataEmph 2 12 2" xfId="30471"/>
    <cellStyle name="SAPBEXresDataEmph 2 12 2 2" xfId="30472"/>
    <cellStyle name="SAPBEXresDataEmph 2 12 3" xfId="30473"/>
    <cellStyle name="SAPBEXresDataEmph 2 13" xfId="30474"/>
    <cellStyle name="SAPBEXresDataEmph 2 14" xfId="30461"/>
    <cellStyle name="SAPBEXresDataEmph 2 15" xfId="9585"/>
    <cellStyle name="SAPBEXresDataEmph 2 16" xfId="39110"/>
    <cellStyle name="SAPBEXresDataEmph 2 17" xfId="39492"/>
    <cellStyle name="SAPBEXresDataEmph 2 2" xfId="1969"/>
    <cellStyle name="SAPBEXresDataEmph 2 2 10" xfId="30476"/>
    <cellStyle name="SAPBEXresDataEmph 2 2 10 2" xfId="30477"/>
    <cellStyle name="SAPBEXresDataEmph 2 2 10 2 2" xfId="30478"/>
    <cellStyle name="SAPBEXresDataEmph 2 2 10 3" xfId="30479"/>
    <cellStyle name="SAPBEXresDataEmph 2 2 11" xfId="30480"/>
    <cellStyle name="SAPBEXresDataEmph 2 2 11 2" xfId="30481"/>
    <cellStyle name="SAPBEXresDataEmph 2 2 12" xfId="30475"/>
    <cellStyle name="SAPBEXresDataEmph 2 2 13" xfId="10147"/>
    <cellStyle name="SAPBEXresDataEmph 2 2 14" xfId="39111"/>
    <cellStyle name="SAPBEXresDataEmph 2 2 15" xfId="39493"/>
    <cellStyle name="SAPBEXresDataEmph 2 2 2" xfId="4887"/>
    <cellStyle name="SAPBEXresDataEmph 2 2 2 10" xfId="30483"/>
    <cellStyle name="SAPBEXresDataEmph 2 2 2 10 2" xfId="30484"/>
    <cellStyle name="SAPBEXresDataEmph 2 2 2 11" xfId="30482"/>
    <cellStyle name="SAPBEXresDataEmph 2 2 2 2" xfId="30485"/>
    <cellStyle name="SAPBEXresDataEmph 2 2 2 2 2" xfId="30486"/>
    <cellStyle name="SAPBEXresDataEmph 2 2 2 2 2 2" xfId="30487"/>
    <cellStyle name="SAPBEXresDataEmph 2 2 2 2 3" xfId="30488"/>
    <cellStyle name="SAPBEXresDataEmph 2 2 2 3" xfId="30489"/>
    <cellStyle name="SAPBEXresDataEmph 2 2 2 3 2" xfId="30490"/>
    <cellStyle name="SAPBEXresDataEmph 2 2 2 3 2 2" xfId="30491"/>
    <cellStyle name="SAPBEXresDataEmph 2 2 2 3 3" xfId="30492"/>
    <cellStyle name="SAPBEXresDataEmph 2 2 2 4" xfId="30493"/>
    <cellStyle name="SAPBEXresDataEmph 2 2 2 4 2" xfId="30494"/>
    <cellStyle name="SAPBEXresDataEmph 2 2 2 4 2 2" xfId="30495"/>
    <cellStyle name="SAPBEXresDataEmph 2 2 2 4 3" xfId="30496"/>
    <cellStyle name="SAPBEXresDataEmph 2 2 2 5" xfId="30497"/>
    <cellStyle name="SAPBEXresDataEmph 2 2 2 5 2" xfId="30498"/>
    <cellStyle name="SAPBEXresDataEmph 2 2 2 5 2 2" xfId="30499"/>
    <cellStyle name="SAPBEXresDataEmph 2 2 2 5 3" xfId="30500"/>
    <cellStyle name="SAPBEXresDataEmph 2 2 2 6" xfId="30501"/>
    <cellStyle name="SAPBEXresDataEmph 2 2 2 6 2" xfId="30502"/>
    <cellStyle name="SAPBEXresDataEmph 2 2 2 6 2 2" xfId="30503"/>
    <cellStyle name="SAPBEXresDataEmph 2 2 2 6 3" xfId="30504"/>
    <cellStyle name="SAPBEXresDataEmph 2 2 2 7" xfId="30505"/>
    <cellStyle name="SAPBEXresDataEmph 2 2 2 7 2" xfId="30506"/>
    <cellStyle name="SAPBEXresDataEmph 2 2 2 7 2 2" xfId="30507"/>
    <cellStyle name="SAPBEXresDataEmph 2 2 2 7 3" xfId="30508"/>
    <cellStyle name="SAPBEXresDataEmph 2 2 2 8" xfId="30509"/>
    <cellStyle name="SAPBEXresDataEmph 2 2 2 8 2" xfId="30510"/>
    <cellStyle name="SAPBEXresDataEmph 2 2 2 8 2 2" xfId="30511"/>
    <cellStyle name="SAPBEXresDataEmph 2 2 2 8 3" xfId="30512"/>
    <cellStyle name="SAPBEXresDataEmph 2 2 2 9" xfId="30513"/>
    <cellStyle name="SAPBEXresDataEmph 2 2 2 9 2" xfId="30514"/>
    <cellStyle name="SAPBEXresDataEmph 2 2 2 9 2 2" xfId="30515"/>
    <cellStyle name="SAPBEXresDataEmph 2 2 2 9 3" xfId="30516"/>
    <cellStyle name="SAPBEXresDataEmph 2 2 2_planning-WP" xfId="30517"/>
    <cellStyle name="SAPBEXresDataEmph 2 2 3" xfId="5866"/>
    <cellStyle name="SAPBEXresDataEmph 2 2 3 2" xfId="30519"/>
    <cellStyle name="SAPBEXresDataEmph 2 2 3 2 2" xfId="30520"/>
    <cellStyle name="SAPBEXresDataEmph 2 2 3 3" xfId="30521"/>
    <cellStyle name="SAPBEXresDataEmph 2 2 3 4" xfId="30518"/>
    <cellStyle name="SAPBEXresDataEmph 2 2 4" xfId="6374"/>
    <cellStyle name="SAPBEXresDataEmph 2 2 4 2" xfId="30523"/>
    <cellStyle name="SAPBEXresDataEmph 2 2 4 2 2" xfId="30524"/>
    <cellStyle name="SAPBEXresDataEmph 2 2 4 3" xfId="30525"/>
    <cellStyle name="SAPBEXresDataEmph 2 2 4 4" xfId="30522"/>
    <cellStyle name="SAPBEXresDataEmph 2 2 5" xfId="6861"/>
    <cellStyle name="SAPBEXresDataEmph 2 2 5 2" xfId="30527"/>
    <cellStyle name="SAPBEXresDataEmph 2 2 5 2 2" xfId="30528"/>
    <cellStyle name="SAPBEXresDataEmph 2 2 5 3" xfId="30529"/>
    <cellStyle name="SAPBEXresDataEmph 2 2 5 4" xfId="30526"/>
    <cellStyle name="SAPBEXresDataEmph 2 2 6" xfId="7344"/>
    <cellStyle name="SAPBEXresDataEmph 2 2 6 2" xfId="30531"/>
    <cellStyle name="SAPBEXresDataEmph 2 2 6 2 2" xfId="30532"/>
    <cellStyle name="SAPBEXresDataEmph 2 2 6 3" xfId="30533"/>
    <cellStyle name="SAPBEXresDataEmph 2 2 6 4" xfId="30530"/>
    <cellStyle name="SAPBEXresDataEmph 2 2 7" xfId="8413"/>
    <cellStyle name="SAPBEXresDataEmph 2 2 7 2" xfId="30535"/>
    <cellStyle name="SAPBEXresDataEmph 2 2 7 2 2" xfId="30536"/>
    <cellStyle name="SAPBEXresDataEmph 2 2 7 3" xfId="30537"/>
    <cellStyle name="SAPBEXresDataEmph 2 2 7 4" xfId="30534"/>
    <cellStyle name="SAPBEXresDataEmph 2 2 8" xfId="8914"/>
    <cellStyle name="SAPBEXresDataEmph 2 2 8 2" xfId="30539"/>
    <cellStyle name="SAPBEXresDataEmph 2 2 8 2 2" xfId="30540"/>
    <cellStyle name="SAPBEXresDataEmph 2 2 8 3" xfId="30541"/>
    <cellStyle name="SAPBEXresDataEmph 2 2 8 4" xfId="30538"/>
    <cellStyle name="SAPBEXresDataEmph 2 2 9" xfId="9408"/>
    <cellStyle name="SAPBEXresDataEmph 2 2 9 2" xfId="30543"/>
    <cellStyle name="SAPBEXresDataEmph 2 2 9 2 2" xfId="30544"/>
    <cellStyle name="SAPBEXresDataEmph 2 2 9 3" xfId="30545"/>
    <cellStyle name="SAPBEXresDataEmph 2 2 9 4" xfId="30542"/>
    <cellStyle name="SAPBEXresDataEmph 2 2_planning-WP" xfId="30546"/>
    <cellStyle name="SAPBEXresDataEmph 2 3" xfId="1632"/>
    <cellStyle name="SAPBEXresDataEmph 2 3 10" xfId="30548"/>
    <cellStyle name="SAPBEXresDataEmph 2 3 10 2" xfId="30549"/>
    <cellStyle name="SAPBEXresDataEmph 2 3 11" xfId="30547"/>
    <cellStyle name="SAPBEXresDataEmph 2 3 12" xfId="9829"/>
    <cellStyle name="SAPBEXresDataEmph 2 3 2" xfId="4555"/>
    <cellStyle name="SAPBEXresDataEmph 2 3 2 2" xfId="30551"/>
    <cellStyle name="SAPBEXresDataEmph 2 3 2 2 2" xfId="30552"/>
    <cellStyle name="SAPBEXresDataEmph 2 3 2 3" xfId="30553"/>
    <cellStyle name="SAPBEXresDataEmph 2 3 2 4" xfId="30550"/>
    <cellStyle name="SAPBEXresDataEmph 2 3 3" xfId="5547"/>
    <cellStyle name="SAPBEXresDataEmph 2 3 3 2" xfId="30555"/>
    <cellStyle name="SAPBEXresDataEmph 2 3 3 2 2" xfId="30556"/>
    <cellStyle name="SAPBEXresDataEmph 2 3 3 3" xfId="30557"/>
    <cellStyle name="SAPBEXresDataEmph 2 3 3 4" xfId="30554"/>
    <cellStyle name="SAPBEXresDataEmph 2 3 4" xfId="6056"/>
    <cellStyle name="SAPBEXresDataEmph 2 3 4 2" xfId="30559"/>
    <cellStyle name="SAPBEXresDataEmph 2 3 4 2 2" xfId="30560"/>
    <cellStyle name="SAPBEXresDataEmph 2 3 4 3" xfId="30561"/>
    <cellStyle name="SAPBEXresDataEmph 2 3 4 4" xfId="30558"/>
    <cellStyle name="SAPBEXresDataEmph 2 3 5" xfId="6543"/>
    <cellStyle name="SAPBEXresDataEmph 2 3 5 2" xfId="30563"/>
    <cellStyle name="SAPBEXresDataEmph 2 3 5 2 2" xfId="30564"/>
    <cellStyle name="SAPBEXresDataEmph 2 3 5 3" xfId="30565"/>
    <cellStyle name="SAPBEXresDataEmph 2 3 5 4" xfId="30562"/>
    <cellStyle name="SAPBEXresDataEmph 2 3 6" xfId="7026"/>
    <cellStyle name="SAPBEXresDataEmph 2 3 6 2" xfId="30567"/>
    <cellStyle name="SAPBEXresDataEmph 2 3 6 2 2" xfId="30568"/>
    <cellStyle name="SAPBEXresDataEmph 2 3 6 3" xfId="30569"/>
    <cellStyle name="SAPBEXresDataEmph 2 3 6 4" xfId="30566"/>
    <cellStyle name="SAPBEXresDataEmph 2 3 7" xfId="8095"/>
    <cellStyle name="SAPBEXresDataEmph 2 3 7 2" xfId="30571"/>
    <cellStyle name="SAPBEXresDataEmph 2 3 7 2 2" xfId="30572"/>
    <cellStyle name="SAPBEXresDataEmph 2 3 7 3" xfId="30573"/>
    <cellStyle name="SAPBEXresDataEmph 2 3 7 4" xfId="30570"/>
    <cellStyle name="SAPBEXresDataEmph 2 3 8" xfId="8596"/>
    <cellStyle name="SAPBEXresDataEmph 2 3 8 2" xfId="30575"/>
    <cellStyle name="SAPBEXresDataEmph 2 3 8 2 2" xfId="30576"/>
    <cellStyle name="SAPBEXresDataEmph 2 3 8 3" xfId="30577"/>
    <cellStyle name="SAPBEXresDataEmph 2 3 8 4" xfId="30574"/>
    <cellStyle name="SAPBEXresDataEmph 2 3 9" xfId="9090"/>
    <cellStyle name="SAPBEXresDataEmph 2 3 9 2" xfId="30579"/>
    <cellStyle name="SAPBEXresDataEmph 2 3 9 2 2" xfId="30580"/>
    <cellStyle name="SAPBEXresDataEmph 2 3 9 3" xfId="30581"/>
    <cellStyle name="SAPBEXresDataEmph 2 3 9 4" xfId="30578"/>
    <cellStyle name="SAPBEXresDataEmph 2 3_planning-WP" xfId="30582"/>
    <cellStyle name="SAPBEXresDataEmph 2 4" xfId="30583"/>
    <cellStyle name="SAPBEXresDataEmph 2 4 2" xfId="30584"/>
    <cellStyle name="SAPBEXresDataEmph 2 4 2 2" xfId="30585"/>
    <cellStyle name="SAPBEXresDataEmph 2 4 2 2 2" xfId="30586"/>
    <cellStyle name="SAPBEXresDataEmph 2 4 2 3" xfId="30587"/>
    <cellStyle name="SAPBEXresDataEmph 2 4 3" xfId="30588"/>
    <cellStyle name="SAPBEXresDataEmph 2 4 3 2" xfId="30589"/>
    <cellStyle name="SAPBEXresDataEmph 2 4 3 2 2" xfId="30590"/>
    <cellStyle name="SAPBEXresDataEmph 2 4 3 3" xfId="30591"/>
    <cellStyle name="SAPBEXresDataEmph 2 4 4" xfId="30592"/>
    <cellStyle name="SAPBEXresDataEmph 2 4 4 2" xfId="30593"/>
    <cellStyle name="SAPBEXresDataEmph 2 4 4 2 2" xfId="30594"/>
    <cellStyle name="SAPBEXresDataEmph 2 4 4 3" xfId="30595"/>
    <cellStyle name="SAPBEXresDataEmph 2 4 5" xfId="30596"/>
    <cellStyle name="SAPBEXresDataEmph 2 4 5 2" xfId="30597"/>
    <cellStyle name="SAPBEXresDataEmph 2 4 5 2 2" xfId="30598"/>
    <cellStyle name="SAPBEXresDataEmph 2 4 5 3" xfId="30599"/>
    <cellStyle name="SAPBEXresDataEmph 2 4 6" xfId="30600"/>
    <cellStyle name="SAPBEXresDataEmph 2 4 6 2" xfId="30601"/>
    <cellStyle name="SAPBEXresDataEmph 2 4 6 2 2" xfId="30602"/>
    <cellStyle name="SAPBEXresDataEmph 2 4 6 3" xfId="30603"/>
    <cellStyle name="SAPBEXresDataEmph 2 4 7" xfId="30604"/>
    <cellStyle name="SAPBEXresDataEmph 2 4 7 2" xfId="30605"/>
    <cellStyle name="SAPBEXresDataEmph 2 4 7 2 2" xfId="30606"/>
    <cellStyle name="SAPBEXresDataEmph 2 4 7 3" xfId="30607"/>
    <cellStyle name="SAPBEXresDataEmph 2 4 8" xfId="30608"/>
    <cellStyle name="SAPBEXresDataEmph 2 4 8 2" xfId="30609"/>
    <cellStyle name="SAPBEXresDataEmph 2 4 8 2 2" xfId="30610"/>
    <cellStyle name="SAPBEXresDataEmph 2 4 8 3" xfId="30611"/>
    <cellStyle name="SAPBEXresDataEmph 2 4 9" xfId="30612"/>
    <cellStyle name="SAPBEXresDataEmph 2 4 9 2" xfId="30613"/>
    <cellStyle name="SAPBEXresDataEmph 2 4_planning-WP" xfId="30614"/>
    <cellStyle name="SAPBEXresDataEmph 2 5" xfId="30615"/>
    <cellStyle name="SAPBEXresDataEmph 2 5 2" xfId="30616"/>
    <cellStyle name="SAPBEXresDataEmph 2 5 2 2" xfId="30617"/>
    <cellStyle name="SAPBEXresDataEmph 2 6" xfId="30618"/>
    <cellStyle name="SAPBEXresDataEmph 2 6 2" xfId="30619"/>
    <cellStyle name="SAPBEXresDataEmph 2 6 2 2" xfId="30620"/>
    <cellStyle name="SAPBEXresDataEmph 2 6 3" xfId="30621"/>
    <cellStyle name="SAPBEXresDataEmph 2 7" xfId="30622"/>
    <cellStyle name="SAPBEXresDataEmph 2 7 2" xfId="30623"/>
    <cellStyle name="SAPBEXresDataEmph 2 7 2 2" xfId="30624"/>
    <cellStyle name="SAPBEXresDataEmph 2 7 3" xfId="30625"/>
    <cellStyle name="SAPBEXresDataEmph 2 8" xfId="30626"/>
    <cellStyle name="SAPBEXresDataEmph 2 8 2" xfId="30627"/>
    <cellStyle name="SAPBEXresDataEmph 2 8 2 2" xfId="30628"/>
    <cellStyle name="SAPBEXresDataEmph 2 8 3" xfId="30629"/>
    <cellStyle name="SAPBEXresDataEmph 2 9" xfId="30630"/>
    <cellStyle name="SAPBEXresDataEmph 2 9 2" xfId="30631"/>
    <cellStyle name="SAPBEXresDataEmph 2 9 2 2" xfId="30632"/>
    <cellStyle name="SAPBEXresDataEmph 2 9 3" xfId="30633"/>
    <cellStyle name="SAPBEXresDataEmph 2_planning-WP" xfId="30634"/>
    <cellStyle name="SAPBEXresDataEmph 20" xfId="30427"/>
    <cellStyle name="SAPBEXresDataEmph 21" xfId="39109"/>
    <cellStyle name="SAPBEXresDataEmph 22" xfId="39491"/>
    <cellStyle name="SAPBEXresDataEmph 3" xfId="1601"/>
    <cellStyle name="SAPBEXresDataEmph 3 10" xfId="9059"/>
    <cellStyle name="SAPBEXresDataEmph 3 10 2" xfId="30637"/>
    <cellStyle name="SAPBEXresDataEmph 3 10 2 2" xfId="30638"/>
    <cellStyle name="SAPBEXresDataEmph 3 10 3" xfId="30639"/>
    <cellStyle name="SAPBEXresDataEmph 3 10 4" xfId="30636"/>
    <cellStyle name="SAPBEXresDataEmph 3 11" xfId="30640"/>
    <cellStyle name="SAPBEXresDataEmph 3 11 2" xfId="30641"/>
    <cellStyle name="SAPBEXresDataEmph 3 11 2 2" xfId="30642"/>
    <cellStyle name="SAPBEXresDataEmph 3 11 3" xfId="30643"/>
    <cellStyle name="SAPBEXresDataEmph 3 12" xfId="30644"/>
    <cellStyle name="SAPBEXresDataEmph 3 12 2" xfId="30645"/>
    <cellStyle name="SAPBEXresDataEmph 3 12 2 2" xfId="30646"/>
    <cellStyle name="SAPBEXresDataEmph 3 12 3" xfId="30647"/>
    <cellStyle name="SAPBEXresDataEmph 3 13" xfId="30648"/>
    <cellStyle name="SAPBEXresDataEmph 3 14" xfId="30635"/>
    <cellStyle name="SAPBEXresDataEmph 3 15" xfId="9798"/>
    <cellStyle name="SAPBEXresDataEmph 3 16" xfId="39112"/>
    <cellStyle name="SAPBEXresDataEmph 3 17" xfId="39494"/>
    <cellStyle name="SAPBEXresDataEmph 3 2" xfId="1942"/>
    <cellStyle name="SAPBEXresDataEmph 3 2 10" xfId="30650"/>
    <cellStyle name="SAPBEXresDataEmph 3 2 10 2" xfId="30651"/>
    <cellStyle name="SAPBEXresDataEmph 3 2 10 2 2" xfId="30652"/>
    <cellStyle name="SAPBEXresDataEmph 3 2 10 3" xfId="30653"/>
    <cellStyle name="SAPBEXresDataEmph 3 2 11" xfId="30654"/>
    <cellStyle name="SAPBEXresDataEmph 3 2 11 2" xfId="30655"/>
    <cellStyle name="SAPBEXresDataEmph 3 2 12" xfId="30649"/>
    <cellStyle name="SAPBEXresDataEmph 3 2 13" xfId="10120"/>
    <cellStyle name="SAPBEXresDataEmph 3 2 14" xfId="39113"/>
    <cellStyle name="SAPBEXresDataEmph 3 2 15" xfId="39495"/>
    <cellStyle name="SAPBEXresDataEmph 3 2 2" xfId="4860"/>
    <cellStyle name="SAPBEXresDataEmph 3 2 2 10" xfId="30657"/>
    <cellStyle name="SAPBEXresDataEmph 3 2 2 10 2" xfId="30658"/>
    <cellStyle name="SAPBEXresDataEmph 3 2 2 11" xfId="30656"/>
    <cellStyle name="SAPBEXresDataEmph 3 2 2 2" xfId="30659"/>
    <cellStyle name="SAPBEXresDataEmph 3 2 2 2 2" xfId="30660"/>
    <cellStyle name="SAPBEXresDataEmph 3 2 2 2 2 2" xfId="30661"/>
    <cellStyle name="SAPBEXresDataEmph 3 2 2 2 3" xfId="30662"/>
    <cellStyle name="SAPBEXresDataEmph 3 2 2 3" xfId="30663"/>
    <cellStyle name="SAPBEXresDataEmph 3 2 2 3 2" xfId="30664"/>
    <cellStyle name="SAPBEXresDataEmph 3 2 2 3 2 2" xfId="30665"/>
    <cellStyle name="SAPBEXresDataEmph 3 2 2 3 3" xfId="30666"/>
    <cellStyle name="SAPBEXresDataEmph 3 2 2 4" xfId="30667"/>
    <cellStyle name="SAPBEXresDataEmph 3 2 2 4 2" xfId="30668"/>
    <cellStyle name="SAPBEXresDataEmph 3 2 2 4 2 2" xfId="30669"/>
    <cellStyle name="SAPBEXresDataEmph 3 2 2 4 3" xfId="30670"/>
    <cellStyle name="SAPBEXresDataEmph 3 2 2 5" xfId="30671"/>
    <cellStyle name="SAPBEXresDataEmph 3 2 2 5 2" xfId="30672"/>
    <cellStyle name="SAPBEXresDataEmph 3 2 2 5 2 2" xfId="30673"/>
    <cellStyle name="SAPBEXresDataEmph 3 2 2 5 3" xfId="30674"/>
    <cellStyle name="SAPBEXresDataEmph 3 2 2 6" xfId="30675"/>
    <cellStyle name="SAPBEXresDataEmph 3 2 2 6 2" xfId="30676"/>
    <cellStyle name="SAPBEXresDataEmph 3 2 2 6 2 2" xfId="30677"/>
    <cellStyle name="SAPBEXresDataEmph 3 2 2 6 3" xfId="30678"/>
    <cellStyle name="SAPBEXresDataEmph 3 2 2 7" xfId="30679"/>
    <cellStyle name="SAPBEXresDataEmph 3 2 2 7 2" xfId="30680"/>
    <cellStyle name="SAPBEXresDataEmph 3 2 2 7 2 2" xfId="30681"/>
    <cellStyle name="SAPBEXresDataEmph 3 2 2 7 3" xfId="30682"/>
    <cellStyle name="SAPBEXresDataEmph 3 2 2 8" xfId="30683"/>
    <cellStyle name="SAPBEXresDataEmph 3 2 2 8 2" xfId="30684"/>
    <cellStyle name="SAPBEXresDataEmph 3 2 2 8 2 2" xfId="30685"/>
    <cellStyle name="SAPBEXresDataEmph 3 2 2 8 3" xfId="30686"/>
    <cellStyle name="SAPBEXresDataEmph 3 2 2 9" xfId="30687"/>
    <cellStyle name="SAPBEXresDataEmph 3 2 2 9 2" xfId="30688"/>
    <cellStyle name="SAPBEXresDataEmph 3 2 2 9 2 2" xfId="30689"/>
    <cellStyle name="SAPBEXresDataEmph 3 2 2 9 3" xfId="30690"/>
    <cellStyle name="SAPBEXresDataEmph 3 2 2_planning-WP" xfId="30691"/>
    <cellStyle name="SAPBEXresDataEmph 3 2 3" xfId="5839"/>
    <cellStyle name="SAPBEXresDataEmph 3 2 3 2" xfId="30693"/>
    <cellStyle name="SAPBEXresDataEmph 3 2 3 2 2" xfId="30694"/>
    <cellStyle name="SAPBEXresDataEmph 3 2 3 3" xfId="30695"/>
    <cellStyle name="SAPBEXresDataEmph 3 2 3 4" xfId="30692"/>
    <cellStyle name="SAPBEXresDataEmph 3 2 4" xfId="6347"/>
    <cellStyle name="SAPBEXresDataEmph 3 2 4 2" xfId="30697"/>
    <cellStyle name="SAPBEXresDataEmph 3 2 4 2 2" xfId="30698"/>
    <cellStyle name="SAPBEXresDataEmph 3 2 4 3" xfId="30699"/>
    <cellStyle name="SAPBEXresDataEmph 3 2 4 4" xfId="30696"/>
    <cellStyle name="SAPBEXresDataEmph 3 2 5" xfId="6834"/>
    <cellStyle name="SAPBEXresDataEmph 3 2 5 2" xfId="30701"/>
    <cellStyle name="SAPBEXresDataEmph 3 2 5 2 2" xfId="30702"/>
    <cellStyle name="SAPBEXresDataEmph 3 2 5 3" xfId="30703"/>
    <cellStyle name="SAPBEXresDataEmph 3 2 5 4" xfId="30700"/>
    <cellStyle name="SAPBEXresDataEmph 3 2 6" xfId="7317"/>
    <cellStyle name="SAPBEXresDataEmph 3 2 6 2" xfId="30705"/>
    <cellStyle name="SAPBEXresDataEmph 3 2 6 2 2" xfId="30706"/>
    <cellStyle name="SAPBEXresDataEmph 3 2 6 3" xfId="30707"/>
    <cellStyle name="SAPBEXresDataEmph 3 2 6 4" xfId="30704"/>
    <cellStyle name="SAPBEXresDataEmph 3 2 7" xfId="8386"/>
    <cellStyle name="SAPBEXresDataEmph 3 2 7 2" xfId="30709"/>
    <cellStyle name="SAPBEXresDataEmph 3 2 7 2 2" xfId="30710"/>
    <cellStyle name="SAPBEXresDataEmph 3 2 7 3" xfId="30711"/>
    <cellStyle name="SAPBEXresDataEmph 3 2 7 4" xfId="30708"/>
    <cellStyle name="SAPBEXresDataEmph 3 2 8" xfId="8887"/>
    <cellStyle name="SAPBEXresDataEmph 3 2 8 2" xfId="30713"/>
    <cellStyle name="SAPBEXresDataEmph 3 2 8 2 2" xfId="30714"/>
    <cellStyle name="SAPBEXresDataEmph 3 2 8 3" xfId="30715"/>
    <cellStyle name="SAPBEXresDataEmph 3 2 8 4" xfId="30712"/>
    <cellStyle name="SAPBEXresDataEmph 3 2 9" xfId="9381"/>
    <cellStyle name="SAPBEXresDataEmph 3 2 9 2" xfId="30717"/>
    <cellStyle name="SAPBEXresDataEmph 3 2 9 2 2" xfId="30718"/>
    <cellStyle name="SAPBEXresDataEmph 3 2 9 3" xfId="30719"/>
    <cellStyle name="SAPBEXresDataEmph 3 2 9 4" xfId="30716"/>
    <cellStyle name="SAPBEXresDataEmph 3 2_planning-WP" xfId="30720"/>
    <cellStyle name="SAPBEXresDataEmph 3 3" xfId="4524"/>
    <cellStyle name="SAPBEXresDataEmph 3 3 10" xfId="30722"/>
    <cellStyle name="SAPBEXresDataEmph 3 3 10 2" xfId="30723"/>
    <cellStyle name="SAPBEXresDataEmph 3 3 11" xfId="30721"/>
    <cellStyle name="SAPBEXresDataEmph 3 3 2" xfId="30724"/>
    <cellStyle name="SAPBEXresDataEmph 3 3 2 2" xfId="30725"/>
    <cellStyle name="SAPBEXresDataEmph 3 3 2 2 2" xfId="30726"/>
    <cellStyle name="SAPBEXresDataEmph 3 3 2 3" xfId="30727"/>
    <cellStyle name="SAPBEXresDataEmph 3 3 3" xfId="30728"/>
    <cellStyle name="SAPBEXresDataEmph 3 3 3 2" xfId="30729"/>
    <cellStyle name="SAPBEXresDataEmph 3 3 3 2 2" xfId="30730"/>
    <cellStyle name="SAPBEXresDataEmph 3 3 3 3" xfId="30731"/>
    <cellStyle name="SAPBEXresDataEmph 3 3 4" xfId="30732"/>
    <cellStyle name="SAPBEXresDataEmph 3 3 4 2" xfId="30733"/>
    <cellStyle name="SAPBEXresDataEmph 3 3 4 2 2" xfId="30734"/>
    <cellStyle name="SAPBEXresDataEmph 3 3 4 3" xfId="30735"/>
    <cellStyle name="SAPBEXresDataEmph 3 3 5" xfId="30736"/>
    <cellStyle name="SAPBEXresDataEmph 3 3 5 2" xfId="30737"/>
    <cellStyle name="SAPBEXresDataEmph 3 3 5 2 2" xfId="30738"/>
    <cellStyle name="SAPBEXresDataEmph 3 3 5 3" xfId="30739"/>
    <cellStyle name="SAPBEXresDataEmph 3 3 6" xfId="30740"/>
    <cellStyle name="SAPBEXresDataEmph 3 3 6 2" xfId="30741"/>
    <cellStyle name="SAPBEXresDataEmph 3 3 6 2 2" xfId="30742"/>
    <cellStyle name="SAPBEXresDataEmph 3 3 6 3" xfId="30743"/>
    <cellStyle name="SAPBEXresDataEmph 3 3 7" xfId="30744"/>
    <cellStyle name="SAPBEXresDataEmph 3 3 7 2" xfId="30745"/>
    <cellStyle name="SAPBEXresDataEmph 3 3 7 2 2" xfId="30746"/>
    <cellStyle name="SAPBEXresDataEmph 3 3 7 3" xfId="30747"/>
    <cellStyle name="SAPBEXresDataEmph 3 3 8" xfId="30748"/>
    <cellStyle name="SAPBEXresDataEmph 3 3 8 2" xfId="30749"/>
    <cellStyle name="SAPBEXresDataEmph 3 3 8 2 2" xfId="30750"/>
    <cellStyle name="SAPBEXresDataEmph 3 3 8 3" xfId="30751"/>
    <cellStyle name="SAPBEXresDataEmph 3 3 9" xfId="30752"/>
    <cellStyle name="SAPBEXresDataEmph 3 3 9 2" xfId="30753"/>
    <cellStyle name="SAPBEXresDataEmph 3 3 9 2 2" xfId="30754"/>
    <cellStyle name="SAPBEXresDataEmph 3 3 9 3" xfId="30755"/>
    <cellStyle name="SAPBEXresDataEmph 3 3_planning-WP" xfId="30756"/>
    <cellStyle name="SAPBEXresDataEmph 3 4" xfId="5516"/>
    <cellStyle name="SAPBEXresDataEmph 3 4 10" xfId="30757"/>
    <cellStyle name="SAPBEXresDataEmph 3 4 2" xfId="30758"/>
    <cellStyle name="SAPBEXresDataEmph 3 4 2 2" xfId="30759"/>
    <cellStyle name="SAPBEXresDataEmph 3 4 2 2 2" xfId="30760"/>
    <cellStyle name="SAPBEXresDataEmph 3 4 2 3" xfId="30761"/>
    <cellStyle name="SAPBEXresDataEmph 3 4 3" xfId="30762"/>
    <cellStyle name="SAPBEXresDataEmph 3 4 3 2" xfId="30763"/>
    <cellStyle name="SAPBEXresDataEmph 3 4 3 2 2" xfId="30764"/>
    <cellStyle name="SAPBEXresDataEmph 3 4 3 3" xfId="30765"/>
    <cellStyle name="SAPBEXresDataEmph 3 4 4" xfId="30766"/>
    <cellStyle name="SAPBEXresDataEmph 3 4 4 2" xfId="30767"/>
    <cellStyle name="SAPBEXresDataEmph 3 4 4 2 2" xfId="30768"/>
    <cellStyle name="SAPBEXresDataEmph 3 4 4 3" xfId="30769"/>
    <cellStyle name="SAPBEXresDataEmph 3 4 5" xfId="30770"/>
    <cellStyle name="SAPBEXresDataEmph 3 4 5 2" xfId="30771"/>
    <cellStyle name="SAPBEXresDataEmph 3 4 5 2 2" xfId="30772"/>
    <cellStyle name="SAPBEXresDataEmph 3 4 5 3" xfId="30773"/>
    <cellStyle name="SAPBEXresDataEmph 3 4 6" xfId="30774"/>
    <cellStyle name="SAPBEXresDataEmph 3 4 6 2" xfId="30775"/>
    <cellStyle name="SAPBEXresDataEmph 3 4 6 2 2" xfId="30776"/>
    <cellStyle name="SAPBEXresDataEmph 3 4 6 3" xfId="30777"/>
    <cellStyle name="SAPBEXresDataEmph 3 4 7" xfId="30778"/>
    <cellStyle name="SAPBEXresDataEmph 3 4 7 2" xfId="30779"/>
    <cellStyle name="SAPBEXresDataEmph 3 4 7 2 2" xfId="30780"/>
    <cellStyle name="SAPBEXresDataEmph 3 4 7 3" xfId="30781"/>
    <cellStyle name="SAPBEXresDataEmph 3 4 8" xfId="30782"/>
    <cellStyle name="SAPBEXresDataEmph 3 4 8 2" xfId="30783"/>
    <cellStyle name="SAPBEXresDataEmph 3 4 8 2 2" xfId="30784"/>
    <cellStyle name="SAPBEXresDataEmph 3 4 8 3" xfId="30785"/>
    <cellStyle name="SAPBEXresDataEmph 3 4 9" xfId="30786"/>
    <cellStyle name="SAPBEXresDataEmph 3 4 9 2" xfId="30787"/>
    <cellStyle name="SAPBEXresDataEmph 3 4_planning-WP" xfId="30788"/>
    <cellStyle name="SAPBEXresDataEmph 3 5" xfId="3340"/>
    <cellStyle name="SAPBEXresDataEmph 3 5 2" xfId="30790"/>
    <cellStyle name="SAPBEXresDataEmph 3 5 2 2" xfId="30791"/>
    <cellStyle name="SAPBEXresDataEmph 3 5 3" xfId="30789"/>
    <cellStyle name="SAPBEXresDataEmph 3 6" xfId="3175"/>
    <cellStyle name="SAPBEXresDataEmph 3 6 2" xfId="30793"/>
    <cellStyle name="SAPBEXresDataEmph 3 6 2 2" xfId="30794"/>
    <cellStyle name="SAPBEXresDataEmph 3 6 3" xfId="30795"/>
    <cellStyle name="SAPBEXresDataEmph 3 6 4" xfId="30792"/>
    <cellStyle name="SAPBEXresDataEmph 3 7" xfId="3820"/>
    <cellStyle name="SAPBEXresDataEmph 3 7 2" xfId="30797"/>
    <cellStyle name="SAPBEXresDataEmph 3 7 2 2" xfId="30798"/>
    <cellStyle name="SAPBEXresDataEmph 3 7 3" xfId="30799"/>
    <cellStyle name="SAPBEXresDataEmph 3 7 4" xfId="30796"/>
    <cellStyle name="SAPBEXresDataEmph 3 8" xfId="8064"/>
    <cellStyle name="SAPBEXresDataEmph 3 8 2" xfId="30801"/>
    <cellStyle name="SAPBEXresDataEmph 3 8 2 2" xfId="30802"/>
    <cellStyle name="SAPBEXresDataEmph 3 8 3" xfId="30803"/>
    <cellStyle name="SAPBEXresDataEmph 3 8 4" xfId="30800"/>
    <cellStyle name="SAPBEXresDataEmph 3 9" xfId="8565"/>
    <cellStyle name="SAPBEXresDataEmph 3 9 2" xfId="30805"/>
    <cellStyle name="SAPBEXresDataEmph 3 9 2 2" xfId="30806"/>
    <cellStyle name="SAPBEXresDataEmph 3 9 3" xfId="30807"/>
    <cellStyle name="SAPBEXresDataEmph 3 9 4" xfId="30804"/>
    <cellStyle name="SAPBEXresDataEmph 3_planning-WP" xfId="30808"/>
    <cellStyle name="SAPBEXresDataEmph 4" xfId="1715"/>
    <cellStyle name="SAPBEXresDataEmph 4 10" xfId="9172"/>
    <cellStyle name="SAPBEXresDataEmph 4 10 2" xfId="30811"/>
    <cellStyle name="SAPBEXresDataEmph 4 10 2 2" xfId="30812"/>
    <cellStyle name="SAPBEXresDataEmph 4 10 3" xfId="30813"/>
    <cellStyle name="SAPBEXresDataEmph 4 10 4" xfId="30810"/>
    <cellStyle name="SAPBEXresDataEmph 4 11" xfId="30814"/>
    <cellStyle name="SAPBEXresDataEmph 4 11 2" xfId="30815"/>
    <cellStyle name="SAPBEXresDataEmph 4 11 2 2" xfId="30816"/>
    <cellStyle name="SAPBEXresDataEmph 4 11 3" xfId="30817"/>
    <cellStyle name="SAPBEXresDataEmph 4 12" xfId="30818"/>
    <cellStyle name="SAPBEXresDataEmph 4 12 2" xfId="30819"/>
    <cellStyle name="SAPBEXresDataEmph 4 12 2 2" xfId="30820"/>
    <cellStyle name="SAPBEXresDataEmph 4 12 3" xfId="30821"/>
    <cellStyle name="SAPBEXresDataEmph 4 13" xfId="30822"/>
    <cellStyle name="SAPBEXresDataEmph 4 14" xfId="30809"/>
    <cellStyle name="SAPBEXresDataEmph 4 15" xfId="9911"/>
    <cellStyle name="SAPBEXresDataEmph 4 16" xfId="39114"/>
    <cellStyle name="SAPBEXresDataEmph 4 17" xfId="39496"/>
    <cellStyle name="SAPBEXresDataEmph 4 2" xfId="2046"/>
    <cellStyle name="SAPBEXresDataEmph 4 2 10" xfId="30824"/>
    <cellStyle name="SAPBEXresDataEmph 4 2 10 2" xfId="30825"/>
    <cellStyle name="SAPBEXresDataEmph 4 2 10 2 2" xfId="30826"/>
    <cellStyle name="SAPBEXresDataEmph 4 2 10 3" xfId="30827"/>
    <cellStyle name="SAPBEXresDataEmph 4 2 11" xfId="30828"/>
    <cellStyle name="SAPBEXresDataEmph 4 2 11 2" xfId="30829"/>
    <cellStyle name="SAPBEXresDataEmph 4 2 12" xfId="30823"/>
    <cellStyle name="SAPBEXresDataEmph 4 2 13" xfId="10223"/>
    <cellStyle name="SAPBEXresDataEmph 4 2 14" xfId="39115"/>
    <cellStyle name="SAPBEXresDataEmph 4 2 15" xfId="39497"/>
    <cellStyle name="SAPBEXresDataEmph 4 2 2" xfId="4963"/>
    <cellStyle name="SAPBEXresDataEmph 4 2 2 10" xfId="30831"/>
    <cellStyle name="SAPBEXresDataEmph 4 2 2 10 2" xfId="30832"/>
    <cellStyle name="SAPBEXresDataEmph 4 2 2 11" xfId="30830"/>
    <cellStyle name="SAPBEXresDataEmph 4 2 2 2" xfId="30833"/>
    <cellStyle name="SAPBEXresDataEmph 4 2 2 2 2" xfId="30834"/>
    <cellStyle name="SAPBEXresDataEmph 4 2 2 2 2 2" xfId="30835"/>
    <cellStyle name="SAPBEXresDataEmph 4 2 2 2 3" xfId="30836"/>
    <cellStyle name="SAPBEXresDataEmph 4 2 2 3" xfId="30837"/>
    <cellStyle name="SAPBEXresDataEmph 4 2 2 3 2" xfId="30838"/>
    <cellStyle name="SAPBEXresDataEmph 4 2 2 3 2 2" xfId="30839"/>
    <cellStyle name="SAPBEXresDataEmph 4 2 2 3 3" xfId="30840"/>
    <cellStyle name="SAPBEXresDataEmph 4 2 2 4" xfId="30841"/>
    <cellStyle name="SAPBEXresDataEmph 4 2 2 4 2" xfId="30842"/>
    <cellStyle name="SAPBEXresDataEmph 4 2 2 4 2 2" xfId="30843"/>
    <cellStyle name="SAPBEXresDataEmph 4 2 2 4 3" xfId="30844"/>
    <cellStyle name="SAPBEXresDataEmph 4 2 2 5" xfId="30845"/>
    <cellStyle name="SAPBEXresDataEmph 4 2 2 5 2" xfId="30846"/>
    <cellStyle name="SAPBEXresDataEmph 4 2 2 5 2 2" xfId="30847"/>
    <cellStyle name="SAPBEXresDataEmph 4 2 2 5 3" xfId="30848"/>
    <cellStyle name="SAPBEXresDataEmph 4 2 2 6" xfId="30849"/>
    <cellStyle name="SAPBEXresDataEmph 4 2 2 6 2" xfId="30850"/>
    <cellStyle name="SAPBEXresDataEmph 4 2 2 6 2 2" xfId="30851"/>
    <cellStyle name="SAPBEXresDataEmph 4 2 2 6 3" xfId="30852"/>
    <cellStyle name="SAPBEXresDataEmph 4 2 2 7" xfId="30853"/>
    <cellStyle name="SAPBEXresDataEmph 4 2 2 7 2" xfId="30854"/>
    <cellStyle name="SAPBEXresDataEmph 4 2 2 7 2 2" xfId="30855"/>
    <cellStyle name="SAPBEXresDataEmph 4 2 2 7 3" xfId="30856"/>
    <cellStyle name="SAPBEXresDataEmph 4 2 2 8" xfId="30857"/>
    <cellStyle name="SAPBEXresDataEmph 4 2 2 8 2" xfId="30858"/>
    <cellStyle name="SAPBEXresDataEmph 4 2 2 8 2 2" xfId="30859"/>
    <cellStyle name="SAPBEXresDataEmph 4 2 2 8 3" xfId="30860"/>
    <cellStyle name="SAPBEXresDataEmph 4 2 2 9" xfId="30861"/>
    <cellStyle name="SAPBEXresDataEmph 4 2 2 9 2" xfId="30862"/>
    <cellStyle name="SAPBEXresDataEmph 4 2 2 9 2 2" xfId="30863"/>
    <cellStyle name="SAPBEXresDataEmph 4 2 2 9 3" xfId="30864"/>
    <cellStyle name="SAPBEXresDataEmph 4 2 2_planning-WP" xfId="30865"/>
    <cellStyle name="SAPBEXresDataEmph 4 2 3" xfId="5942"/>
    <cellStyle name="SAPBEXresDataEmph 4 2 3 2" xfId="30867"/>
    <cellStyle name="SAPBEXresDataEmph 4 2 3 2 2" xfId="30868"/>
    <cellStyle name="SAPBEXresDataEmph 4 2 3 3" xfId="30869"/>
    <cellStyle name="SAPBEXresDataEmph 4 2 3 4" xfId="30866"/>
    <cellStyle name="SAPBEXresDataEmph 4 2 4" xfId="6450"/>
    <cellStyle name="SAPBEXresDataEmph 4 2 4 2" xfId="30871"/>
    <cellStyle name="SAPBEXresDataEmph 4 2 4 2 2" xfId="30872"/>
    <cellStyle name="SAPBEXresDataEmph 4 2 4 3" xfId="30873"/>
    <cellStyle name="SAPBEXresDataEmph 4 2 4 4" xfId="30870"/>
    <cellStyle name="SAPBEXresDataEmph 4 2 5" xfId="6937"/>
    <cellStyle name="SAPBEXresDataEmph 4 2 5 2" xfId="30875"/>
    <cellStyle name="SAPBEXresDataEmph 4 2 5 2 2" xfId="30876"/>
    <cellStyle name="SAPBEXresDataEmph 4 2 5 3" xfId="30877"/>
    <cellStyle name="SAPBEXresDataEmph 4 2 5 4" xfId="30874"/>
    <cellStyle name="SAPBEXresDataEmph 4 2 6" xfId="7420"/>
    <cellStyle name="SAPBEXresDataEmph 4 2 6 2" xfId="30879"/>
    <cellStyle name="SAPBEXresDataEmph 4 2 6 2 2" xfId="30880"/>
    <cellStyle name="SAPBEXresDataEmph 4 2 6 3" xfId="30881"/>
    <cellStyle name="SAPBEXresDataEmph 4 2 6 4" xfId="30878"/>
    <cellStyle name="SAPBEXresDataEmph 4 2 7" xfId="8489"/>
    <cellStyle name="SAPBEXresDataEmph 4 2 7 2" xfId="30883"/>
    <cellStyle name="SAPBEXresDataEmph 4 2 7 2 2" xfId="30884"/>
    <cellStyle name="SAPBEXresDataEmph 4 2 7 3" xfId="30885"/>
    <cellStyle name="SAPBEXresDataEmph 4 2 7 4" xfId="30882"/>
    <cellStyle name="SAPBEXresDataEmph 4 2 8" xfId="8990"/>
    <cellStyle name="SAPBEXresDataEmph 4 2 8 2" xfId="30887"/>
    <cellStyle name="SAPBEXresDataEmph 4 2 8 2 2" xfId="30888"/>
    <cellStyle name="SAPBEXresDataEmph 4 2 8 3" xfId="30889"/>
    <cellStyle name="SAPBEXresDataEmph 4 2 8 4" xfId="30886"/>
    <cellStyle name="SAPBEXresDataEmph 4 2 9" xfId="9484"/>
    <cellStyle name="SAPBEXresDataEmph 4 2 9 2" xfId="30891"/>
    <cellStyle name="SAPBEXresDataEmph 4 2 9 2 2" xfId="30892"/>
    <cellStyle name="SAPBEXresDataEmph 4 2 9 3" xfId="30893"/>
    <cellStyle name="SAPBEXresDataEmph 4 2 9 4" xfId="30890"/>
    <cellStyle name="SAPBEXresDataEmph 4 2_planning-WP" xfId="30894"/>
    <cellStyle name="SAPBEXresDataEmph 4 3" xfId="4637"/>
    <cellStyle name="SAPBEXresDataEmph 4 3 10" xfId="30896"/>
    <cellStyle name="SAPBEXresDataEmph 4 3 10 2" xfId="30897"/>
    <cellStyle name="SAPBEXresDataEmph 4 3 11" xfId="30895"/>
    <cellStyle name="SAPBEXresDataEmph 4 3 2" xfId="30898"/>
    <cellStyle name="SAPBEXresDataEmph 4 3 2 2" xfId="30899"/>
    <cellStyle name="SAPBEXresDataEmph 4 3 2 2 2" xfId="30900"/>
    <cellStyle name="SAPBEXresDataEmph 4 3 2 3" xfId="30901"/>
    <cellStyle name="SAPBEXresDataEmph 4 3 3" xfId="30902"/>
    <cellStyle name="SAPBEXresDataEmph 4 3 3 2" xfId="30903"/>
    <cellStyle name="SAPBEXresDataEmph 4 3 3 2 2" xfId="30904"/>
    <cellStyle name="SAPBEXresDataEmph 4 3 3 3" xfId="30905"/>
    <cellStyle name="SAPBEXresDataEmph 4 3 4" xfId="30906"/>
    <cellStyle name="SAPBEXresDataEmph 4 3 4 2" xfId="30907"/>
    <cellStyle name="SAPBEXresDataEmph 4 3 4 2 2" xfId="30908"/>
    <cellStyle name="SAPBEXresDataEmph 4 3 4 3" xfId="30909"/>
    <cellStyle name="SAPBEXresDataEmph 4 3 5" xfId="30910"/>
    <cellStyle name="SAPBEXresDataEmph 4 3 5 2" xfId="30911"/>
    <cellStyle name="SAPBEXresDataEmph 4 3 5 2 2" xfId="30912"/>
    <cellStyle name="SAPBEXresDataEmph 4 3 5 3" xfId="30913"/>
    <cellStyle name="SAPBEXresDataEmph 4 3 6" xfId="30914"/>
    <cellStyle name="SAPBEXresDataEmph 4 3 6 2" xfId="30915"/>
    <cellStyle name="SAPBEXresDataEmph 4 3 6 2 2" xfId="30916"/>
    <cellStyle name="SAPBEXresDataEmph 4 3 6 3" xfId="30917"/>
    <cellStyle name="SAPBEXresDataEmph 4 3 7" xfId="30918"/>
    <cellStyle name="SAPBEXresDataEmph 4 3 7 2" xfId="30919"/>
    <cellStyle name="SAPBEXresDataEmph 4 3 7 2 2" xfId="30920"/>
    <cellStyle name="SAPBEXresDataEmph 4 3 7 3" xfId="30921"/>
    <cellStyle name="SAPBEXresDataEmph 4 3 8" xfId="30922"/>
    <cellStyle name="SAPBEXresDataEmph 4 3 8 2" xfId="30923"/>
    <cellStyle name="SAPBEXresDataEmph 4 3 8 2 2" xfId="30924"/>
    <cellStyle name="SAPBEXresDataEmph 4 3 8 3" xfId="30925"/>
    <cellStyle name="SAPBEXresDataEmph 4 3 9" xfId="30926"/>
    <cellStyle name="SAPBEXresDataEmph 4 3 9 2" xfId="30927"/>
    <cellStyle name="SAPBEXresDataEmph 4 3 9 2 2" xfId="30928"/>
    <cellStyle name="SAPBEXresDataEmph 4 3 9 3" xfId="30929"/>
    <cellStyle name="SAPBEXresDataEmph 4 3_planning-WP" xfId="30930"/>
    <cellStyle name="SAPBEXresDataEmph 4 4" xfId="5629"/>
    <cellStyle name="SAPBEXresDataEmph 4 4 10" xfId="30931"/>
    <cellStyle name="SAPBEXresDataEmph 4 4 2" xfId="30932"/>
    <cellStyle name="SAPBEXresDataEmph 4 4 2 2" xfId="30933"/>
    <cellStyle name="SAPBEXresDataEmph 4 4 2 2 2" xfId="30934"/>
    <cellStyle name="SAPBEXresDataEmph 4 4 2 3" xfId="30935"/>
    <cellStyle name="SAPBEXresDataEmph 4 4 3" xfId="30936"/>
    <cellStyle name="SAPBEXresDataEmph 4 4 3 2" xfId="30937"/>
    <cellStyle name="SAPBEXresDataEmph 4 4 3 2 2" xfId="30938"/>
    <cellStyle name="SAPBEXresDataEmph 4 4 3 3" xfId="30939"/>
    <cellStyle name="SAPBEXresDataEmph 4 4 4" xfId="30940"/>
    <cellStyle name="SAPBEXresDataEmph 4 4 4 2" xfId="30941"/>
    <cellStyle name="SAPBEXresDataEmph 4 4 4 2 2" xfId="30942"/>
    <cellStyle name="SAPBEXresDataEmph 4 4 4 3" xfId="30943"/>
    <cellStyle name="SAPBEXresDataEmph 4 4 5" xfId="30944"/>
    <cellStyle name="SAPBEXresDataEmph 4 4 5 2" xfId="30945"/>
    <cellStyle name="SAPBEXresDataEmph 4 4 5 2 2" xfId="30946"/>
    <cellStyle name="SAPBEXresDataEmph 4 4 5 3" xfId="30947"/>
    <cellStyle name="SAPBEXresDataEmph 4 4 6" xfId="30948"/>
    <cellStyle name="SAPBEXresDataEmph 4 4 6 2" xfId="30949"/>
    <cellStyle name="SAPBEXresDataEmph 4 4 6 2 2" xfId="30950"/>
    <cellStyle name="SAPBEXresDataEmph 4 4 6 3" xfId="30951"/>
    <cellStyle name="SAPBEXresDataEmph 4 4 7" xfId="30952"/>
    <cellStyle name="SAPBEXresDataEmph 4 4 7 2" xfId="30953"/>
    <cellStyle name="SAPBEXresDataEmph 4 4 7 2 2" xfId="30954"/>
    <cellStyle name="SAPBEXresDataEmph 4 4 7 3" xfId="30955"/>
    <cellStyle name="SAPBEXresDataEmph 4 4 8" xfId="30956"/>
    <cellStyle name="SAPBEXresDataEmph 4 4 8 2" xfId="30957"/>
    <cellStyle name="SAPBEXresDataEmph 4 4 8 2 2" xfId="30958"/>
    <cellStyle name="SAPBEXresDataEmph 4 4 8 3" xfId="30959"/>
    <cellStyle name="SAPBEXresDataEmph 4 4 9" xfId="30960"/>
    <cellStyle name="SAPBEXresDataEmph 4 4 9 2" xfId="30961"/>
    <cellStyle name="SAPBEXresDataEmph 4 4_planning-WP" xfId="30962"/>
    <cellStyle name="SAPBEXresDataEmph 4 5" xfId="6138"/>
    <cellStyle name="SAPBEXresDataEmph 4 5 2" xfId="30964"/>
    <cellStyle name="SAPBEXresDataEmph 4 5 2 2" xfId="30965"/>
    <cellStyle name="SAPBEXresDataEmph 4 5 3" xfId="30963"/>
    <cellStyle name="SAPBEXresDataEmph 4 6" xfId="6625"/>
    <cellStyle name="SAPBEXresDataEmph 4 6 2" xfId="30967"/>
    <cellStyle name="SAPBEXresDataEmph 4 6 2 2" xfId="30968"/>
    <cellStyle name="SAPBEXresDataEmph 4 6 3" xfId="30969"/>
    <cellStyle name="SAPBEXresDataEmph 4 6 4" xfId="30966"/>
    <cellStyle name="SAPBEXresDataEmph 4 7" xfId="7108"/>
    <cellStyle name="SAPBEXresDataEmph 4 7 2" xfId="30971"/>
    <cellStyle name="SAPBEXresDataEmph 4 7 2 2" xfId="30972"/>
    <cellStyle name="SAPBEXresDataEmph 4 7 3" xfId="30973"/>
    <cellStyle name="SAPBEXresDataEmph 4 7 4" xfId="30970"/>
    <cellStyle name="SAPBEXresDataEmph 4 8" xfId="8177"/>
    <cellStyle name="SAPBEXresDataEmph 4 8 2" xfId="30975"/>
    <cellStyle name="SAPBEXresDataEmph 4 8 2 2" xfId="30976"/>
    <cellStyle name="SAPBEXresDataEmph 4 8 3" xfId="30977"/>
    <cellStyle name="SAPBEXresDataEmph 4 8 4" xfId="30974"/>
    <cellStyle name="SAPBEXresDataEmph 4 9" xfId="8678"/>
    <cellStyle name="SAPBEXresDataEmph 4 9 2" xfId="30979"/>
    <cellStyle name="SAPBEXresDataEmph 4 9 2 2" xfId="30980"/>
    <cellStyle name="SAPBEXresDataEmph 4 9 3" xfId="30981"/>
    <cellStyle name="SAPBEXresDataEmph 4 9 4" xfId="30978"/>
    <cellStyle name="SAPBEXresDataEmph 4_planning-WP" xfId="30982"/>
    <cellStyle name="SAPBEXresDataEmph 5" xfId="1659"/>
    <cellStyle name="SAPBEXresDataEmph 5 10" xfId="9117"/>
    <cellStyle name="SAPBEXresDataEmph 5 10 2" xfId="30985"/>
    <cellStyle name="SAPBEXresDataEmph 5 10 2 2" xfId="30986"/>
    <cellStyle name="SAPBEXresDataEmph 5 10 3" xfId="30987"/>
    <cellStyle name="SAPBEXresDataEmph 5 10 4" xfId="30984"/>
    <cellStyle name="SAPBEXresDataEmph 5 11" xfId="30988"/>
    <cellStyle name="SAPBEXresDataEmph 5 11 2" xfId="30989"/>
    <cellStyle name="SAPBEXresDataEmph 5 11 2 2" xfId="30990"/>
    <cellStyle name="SAPBEXresDataEmph 5 11 3" xfId="30991"/>
    <cellStyle name="SAPBEXresDataEmph 5 12" xfId="30992"/>
    <cellStyle name="SAPBEXresDataEmph 5 12 2" xfId="30993"/>
    <cellStyle name="SAPBEXresDataEmph 5 12 2 2" xfId="30994"/>
    <cellStyle name="SAPBEXresDataEmph 5 12 3" xfId="30995"/>
    <cellStyle name="SAPBEXresDataEmph 5 13" xfId="30996"/>
    <cellStyle name="SAPBEXresDataEmph 5 14" xfId="30983"/>
    <cellStyle name="SAPBEXresDataEmph 5 15" xfId="9856"/>
    <cellStyle name="SAPBEXresDataEmph 5 16" xfId="39116"/>
    <cellStyle name="SAPBEXresDataEmph 5 17" xfId="39498"/>
    <cellStyle name="SAPBEXresDataEmph 5 2" xfId="1993"/>
    <cellStyle name="SAPBEXresDataEmph 5 2 10" xfId="30998"/>
    <cellStyle name="SAPBEXresDataEmph 5 2 10 2" xfId="30999"/>
    <cellStyle name="SAPBEXresDataEmph 5 2 10 2 2" xfId="31000"/>
    <cellStyle name="SAPBEXresDataEmph 5 2 10 3" xfId="31001"/>
    <cellStyle name="SAPBEXresDataEmph 5 2 11" xfId="31002"/>
    <cellStyle name="SAPBEXresDataEmph 5 2 11 2" xfId="31003"/>
    <cellStyle name="SAPBEXresDataEmph 5 2 12" xfId="30997"/>
    <cellStyle name="SAPBEXresDataEmph 5 2 13" xfId="10171"/>
    <cellStyle name="SAPBEXresDataEmph 5 2 2" xfId="4911"/>
    <cellStyle name="SAPBEXresDataEmph 5 2 2 10" xfId="31005"/>
    <cellStyle name="SAPBEXresDataEmph 5 2 2 10 2" xfId="31006"/>
    <cellStyle name="SAPBEXresDataEmph 5 2 2 11" xfId="31004"/>
    <cellStyle name="SAPBEXresDataEmph 5 2 2 2" xfId="31007"/>
    <cellStyle name="SAPBEXresDataEmph 5 2 2 2 2" xfId="31008"/>
    <cellStyle name="SAPBEXresDataEmph 5 2 2 2 2 2" xfId="31009"/>
    <cellStyle name="SAPBEXresDataEmph 5 2 2 2 3" xfId="31010"/>
    <cellStyle name="SAPBEXresDataEmph 5 2 2 3" xfId="31011"/>
    <cellStyle name="SAPBEXresDataEmph 5 2 2 3 2" xfId="31012"/>
    <cellStyle name="SAPBEXresDataEmph 5 2 2 3 2 2" xfId="31013"/>
    <cellStyle name="SAPBEXresDataEmph 5 2 2 3 3" xfId="31014"/>
    <cellStyle name="SAPBEXresDataEmph 5 2 2 4" xfId="31015"/>
    <cellStyle name="SAPBEXresDataEmph 5 2 2 4 2" xfId="31016"/>
    <cellStyle name="SAPBEXresDataEmph 5 2 2 4 2 2" xfId="31017"/>
    <cellStyle name="SAPBEXresDataEmph 5 2 2 4 3" xfId="31018"/>
    <cellStyle name="SAPBEXresDataEmph 5 2 2 5" xfId="31019"/>
    <cellStyle name="SAPBEXresDataEmph 5 2 2 5 2" xfId="31020"/>
    <cellStyle name="SAPBEXresDataEmph 5 2 2 5 2 2" xfId="31021"/>
    <cellStyle name="SAPBEXresDataEmph 5 2 2 5 3" xfId="31022"/>
    <cellStyle name="SAPBEXresDataEmph 5 2 2 6" xfId="31023"/>
    <cellStyle name="SAPBEXresDataEmph 5 2 2 6 2" xfId="31024"/>
    <cellStyle name="SAPBEXresDataEmph 5 2 2 6 2 2" xfId="31025"/>
    <cellStyle name="SAPBEXresDataEmph 5 2 2 6 3" xfId="31026"/>
    <cellStyle name="SAPBEXresDataEmph 5 2 2 7" xfId="31027"/>
    <cellStyle name="SAPBEXresDataEmph 5 2 2 7 2" xfId="31028"/>
    <cellStyle name="SAPBEXresDataEmph 5 2 2 7 2 2" xfId="31029"/>
    <cellStyle name="SAPBEXresDataEmph 5 2 2 7 3" xfId="31030"/>
    <cellStyle name="SAPBEXresDataEmph 5 2 2 8" xfId="31031"/>
    <cellStyle name="SAPBEXresDataEmph 5 2 2 8 2" xfId="31032"/>
    <cellStyle name="SAPBEXresDataEmph 5 2 2 8 2 2" xfId="31033"/>
    <cellStyle name="SAPBEXresDataEmph 5 2 2 8 3" xfId="31034"/>
    <cellStyle name="SAPBEXresDataEmph 5 2 2 9" xfId="31035"/>
    <cellStyle name="SAPBEXresDataEmph 5 2 2 9 2" xfId="31036"/>
    <cellStyle name="SAPBEXresDataEmph 5 2 2 9 2 2" xfId="31037"/>
    <cellStyle name="SAPBEXresDataEmph 5 2 2 9 3" xfId="31038"/>
    <cellStyle name="SAPBEXresDataEmph 5 2 2_planning-WP" xfId="31039"/>
    <cellStyle name="SAPBEXresDataEmph 5 2 3" xfId="5890"/>
    <cellStyle name="SAPBEXresDataEmph 5 2 3 2" xfId="31041"/>
    <cellStyle name="SAPBEXresDataEmph 5 2 3 2 2" xfId="31042"/>
    <cellStyle name="SAPBEXresDataEmph 5 2 3 3" xfId="31043"/>
    <cellStyle name="SAPBEXresDataEmph 5 2 3 4" xfId="31040"/>
    <cellStyle name="SAPBEXresDataEmph 5 2 4" xfId="6398"/>
    <cellStyle name="SAPBEXresDataEmph 5 2 4 2" xfId="31045"/>
    <cellStyle name="SAPBEXresDataEmph 5 2 4 2 2" xfId="31046"/>
    <cellStyle name="SAPBEXresDataEmph 5 2 4 3" xfId="31047"/>
    <cellStyle name="SAPBEXresDataEmph 5 2 4 4" xfId="31044"/>
    <cellStyle name="SAPBEXresDataEmph 5 2 5" xfId="6885"/>
    <cellStyle name="SAPBEXresDataEmph 5 2 5 2" xfId="31049"/>
    <cellStyle name="SAPBEXresDataEmph 5 2 5 2 2" xfId="31050"/>
    <cellStyle name="SAPBEXresDataEmph 5 2 5 3" xfId="31051"/>
    <cellStyle name="SAPBEXresDataEmph 5 2 5 4" xfId="31048"/>
    <cellStyle name="SAPBEXresDataEmph 5 2 6" xfId="7368"/>
    <cellStyle name="SAPBEXresDataEmph 5 2 6 2" xfId="31053"/>
    <cellStyle name="SAPBEXresDataEmph 5 2 6 2 2" xfId="31054"/>
    <cellStyle name="SAPBEXresDataEmph 5 2 6 3" xfId="31055"/>
    <cellStyle name="SAPBEXresDataEmph 5 2 6 4" xfId="31052"/>
    <cellStyle name="SAPBEXresDataEmph 5 2 7" xfId="8437"/>
    <cellStyle name="SAPBEXresDataEmph 5 2 7 2" xfId="31057"/>
    <cellStyle name="SAPBEXresDataEmph 5 2 7 2 2" xfId="31058"/>
    <cellStyle name="SAPBEXresDataEmph 5 2 7 3" xfId="31059"/>
    <cellStyle name="SAPBEXresDataEmph 5 2 7 4" xfId="31056"/>
    <cellStyle name="SAPBEXresDataEmph 5 2 8" xfId="8938"/>
    <cellStyle name="SAPBEXresDataEmph 5 2 8 2" xfId="31061"/>
    <cellStyle name="SAPBEXresDataEmph 5 2 8 2 2" xfId="31062"/>
    <cellStyle name="SAPBEXresDataEmph 5 2 8 3" xfId="31063"/>
    <cellStyle name="SAPBEXresDataEmph 5 2 8 4" xfId="31060"/>
    <cellStyle name="SAPBEXresDataEmph 5 2 9" xfId="9432"/>
    <cellStyle name="SAPBEXresDataEmph 5 2 9 2" xfId="31065"/>
    <cellStyle name="SAPBEXresDataEmph 5 2 9 2 2" xfId="31066"/>
    <cellStyle name="SAPBEXresDataEmph 5 2 9 3" xfId="31067"/>
    <cellStyle name="SAPBEXresDataEmph 5 2 9 4" xfId="31064"/>
    <cellStyle name="SAPBEXresDataEmph 5 2_planning-WP" xfId="31068"/>
    <cellStyle name="SAPBEXresDataEmph 5 3" xfId="4582"/>
    <cellStyle name="SAPBEXresDataEmph 5 3 10" xfId="31070"/>
    <cellStyle name="SAPBEXresDataEmph 5 3 10 2" xfId="31071"/>
    <cellStyle name="SAPBEXresDataEmph 5 3 11" xfId="31069"/>
    <cellStyle name="SAPBEXresDataEmph 5 3 2" xfId="31072"/>
    <cellStyle name="SAPBEXresDataEmph 5 3 2 2" xfId="31073"/>
    <cellStyle name="SAPBEXresDataEmph 5 3 2 2 2" xfId="31074"/>
    <cellStyle name="SAPBEXresDataEmph 5 3 2 3" xfId="31075"/>
    <cellStyle name="SAPBEXresDataEmph 5 3 3" xfId="31076"/>
    <cellStyle name="SAPBEXresDataEmph 5 3 3 2" xfId="31077"/>
    <cellStyle name="SAPBEXresDataEmph 5 3 3 2 2" xfId="31078"/>
    <cellStyle name="SAPBEXresDataEmph 5 3 3 3" xfId="31079"/>
    <cellStyle name="SAPBEXresDataEmph 5 3 4" xfId="31080"/>
    <cellStyle name="SAPBEXresDataEmph 5 3 4 2" xfId="31081"/>
    <cellStyle name="SAPBEXresDataEmph 5 3 4 2 2" xfId="31082"/>
    <cellStyle name="SAPBEXresDataEmph 5 3 4 3" xfId="31083"/>
    <cellStyle name="SAPBEXresDataEmph 5 3 5" xfId="31084"/>
    <cellStyle name="SAPBEXresDataEmph 5 3 5 2" xfId="31085"/>
    <cellStyle name="SAPBEXresDataEmph 5 3 5 2 2" xfId="31086"/>
    <cellStyle name="SAPBEXresDataEmph 5 3 5 3" xfId="31087"/>
    <cellStyle name="SAPBEXresDataEmph 5 3 6" xfId="31088"/>
    <cellStyle name="SAPBEXresDataEmph 5 3 6 2" xfId="31089"/>
    <cellStyle name="SAPBEXresDataEmph 5 3 6 2 2" xfId="31090"/>
    <cellStyle name="SAPBEXresDataEmph 5 3 6 3" xfId="31091"/>
    <cellStyle name="SAPBEXresDataEmph 5 3 7" xfId="31092"/>
    <cellStyle name="SAPBEXresDataEmph 5 3 7 2" xfId="31093"/>
    <cellStyle name="SAPBEXresDataEmph 5 3 7 2 2" xfId="31094"/>
    <cellStyle name="SAPBEXresDataEmph 5 3 7 3" xfId="31095"/>
    <cellStyle name="SAPBEXresDataEmph 5 3 8" xfId="31096"/>
    <cellStyle name="SAPBEXresDataEmph 5 3 8 2" xfId="31097"/>
    <cellStyle name="SAPBEXresDataEmph 5 3 8 2 2" xfId="31098"/>
    <cellStyle name="SAPBEXresDataEmph 5 3 8 3" xfId="31099"/>
    <cellStyle name="SAPBEXresDataEmph 5 3 9" xfId="31100"/>
    <cellStyle name="SAPBEXresDataEmph 5 3 9 2" xfId="31101"/>
    <cellStyle name="SAPBEXresDataEmph 5 3 9 2 2" xfId="31102"/>
    <cellStyle name="SAPBEXresDataEmph 5 3 9 3" xfId="31103"/>
    <cellStyle name="SAPBEXresDataEmph 5 3_planning-WP" xfId="31104"/>
    <cellStyle name="SAPBEXresDataEmph 5 4" xfId="5574"/>
    <cellStyle name="SAPBEXresDataEmph 5 4 10" xfId="31105"/>
    <cellStyle name="SAPBEXresDataEmph 5 4 2" xfId="31106"/>
    <cellStyle name="SAPBEXresDataEmph 5 4 2 2" xfId="31107"/>
    <cellStyle name="SAPBEXresDataEmph 5 4 2 2 2" xfId="31108"/>
    <cellStyle name="SAPBEXresDataEmph 5 4 2 3" xfId="31109"/>
    <cellStyle name="SAPBEXresDataEmph 5 4 3" xfId="31110"/>
    <cellStyle name="SAPBEXresDataEmph 5 4 3 2" xfId="31111"/>
    <cellStyle name="SAPBEXresDataEmph 5 4 3 2 2" xfId="31112"/>
    <cellStyle name="SAPBEXresDataEmph 5 4 3 3" xfId="31113"/>
    <cellStyle name="SAPBEXresDataEmph 5 4 4" xfId="31114"/>
    <cellStyle name="SAPBEXresDataEmph 5 4 4 2" xfId="31115"/>
    <cellStyle name="SAPBEXresDataEmph 5 4 4 2 2" xfId="31116"/>
    <cellStyle name="SAPBEXresDataEmph 5 4 4 3" xfId="31117"/>
    <cellStyle name="SAPBEXresDataEmph 5 4 5" xfId="31118"/>
    <cellStyle name="SAPBEXresDataEmph 5 4 5 2" xfId="31119"/>
    <cellStyle name="SAPBEXresDataEmph 5 4 5 2 2" xfId="31120"/>
    <cellStyle name="SAPBEXresDataEmph 5 4 5 3" xfId="31121"/>
    <cellStyle name="SAPBEXresDataEmph 5 4 6" xfId="31122"/>
    <cellStyle name="SAPBEXresDataEmph 5 4 6 2" xfId="31123"/>
    <cellStyle name="SAPBEXresDataEmph 5 4 6 2 2" xfId="31124"/>
    <cellStyle name="SAPBEXresDataEmph 5 4 6 3" xfId="31125"/>
    <cellStyle name="SAPBEXresDataEmph 5 4 7" xfId="31126"/>
    <cellStyle name="SAPBEXresDataEmph 5 4 7 2" xfId="31127"/>
    <cellStyle name="SAPBEXresDataEmph 5 4 7 2 2" xfId="31128"/>
    <cellStyle name="SAPBEXresDataEmph 5 4 7 3" xfId="31129"/>
    <cellStyle name="SAPBEXresDataEmph 5 4 8" xfId="31130"/>
    <cellStyle name="SAPBEXresDataEmph 5 4 8 2" xfId="31131"/>
    <cellStyle name="SAPBEXresDataEmph 5 4 8 2 2" xfId="31132"/>
    <cellStyle name="SAPBEXresDataEmph 5 4 8 3" xfId="31133"/>
    <cellStyle name="SAPBEXresDataEmph 5 4 9" xfId="31134"/>
    <cellStyle name="SAPBEXresDataEmph 5 4 9 2" xfId="31135"/>
    <cellStyle name="SAPBEXresDataEmph 5 4_planning-WP" xfId="31136"/>
    <cellStyle name="SAPBEXresDataEmph 5 5" xfId="6083"/>
    <cellStyle name="SAPBEXresDataEmph 5 5 2" xfId="31138"/>
    <cellStyle name="SAPBEXresDataEmph 5 5 2 2" xfId="31139"/>
    <cellStyle name="SAPBEXresDataEmph 5 5 3" xfId="31137"/>
    <cellStyle name="SAPBEXresDataEmph 5 6" xfId="6570"/>
    <cellStyle name="SAPBEXresDataEmph 5 6 2" xfId="31141"/>
    <cellStyle name="SAPBEXresDataEmph 5 6 2 2" xfId="31142"/>
    <cellStyle name="SAPBEXresDataEmph 5 6 3" xfId="31143"/>
    <cellStyle name="SAPBEXresDataEmph 5 6 4" xfId="31140"/>
    <cellStyle name="SAPBEXresDataEmph 5 7" xfId="7053"/>
    <cellStyle name="SAPBEXresDataEmph 5 7 2" xfId="31145"/>
    <cellStyle name="SAPBEXresDataEmph 5 7 2 2" xfId="31146"/>
    <cellStyle name="SAPBEXresDataEmph 5 7 3" xfId="31147"/>
    <cellStyle name="SAPBEXresDataEmph 5 7 4" xfId="31144"/>
    <cellStyle name="SAPBEXresDataEmph 5 8" xfId="8122"/>
    <cellStyle name="SAPBEXresDataEmph 5 8 2" xfId="31149"/>
    <cellStyle name="SAPBEXresDataEmph 5 8 2 2" xfId="31150"/>
    <cellStyle name="SAPBEXresDataEmph 5 8 3" xfId="31151"/>
    <cellStyle name="SAPBEXresDataEmph 5 8 4" xfId="31148"/>
    <cellStyle name="SAPBEXresDataEmph 5 9" xfId="8623"/>
    <cellStyle name="SAPBEXresDataEmph 5 9 2" xfId="31153"/>
    <cellStyle name="SAPBEXresDataEmph 5 9 2 2" xfId="31154"/>
    <cellStyle name="SAPBEXresDataEmph 5 9 3" xfId="31155"/>
    <cellStyle name="SAPBEXresDataEmph 5 9 4" xfId="31152"/>
    <cellStyle name="SAPBEXresDataEmph 5_planning-WP" xfId="31156"/>
    <cellStyle name="SAPBEXresDataEmph 6" xfId="1744"/>
    <cellStyle name="SAPBEXresDataEmph 6 10" xfId="9199"/>
    <cellStyle name="SAPBEXresDataEmph 6 10 2" xfId="31159"/>
    <cellStyle name="SAPBEXresDataEmph 6 10 2 2" xfId="31160"/>
    <cellStyle name="SAPBEXresDataEmph 6 10 3" xfId="31161"/>
    <cellStyle name="SAPBEXresDataEmph 6 10 4" xfId="31158"/>
    <cellStyle name="SAPBEXresDataEmph 6 11" xfId="31162"/>
    <cellStyle name="SAPBEXresDataEmph 6 11 2" xfId="31163"/>
    <cellStyle name="SAPBEXresDataEmph 6 11 2 2" xfId="31164"/>
    <cellStyle name="SAPBEXresDataEmph 6 11 3" xfId="31165"/>
    <cellStyle name="SAPBEXresDataEmph 6 12" xfId="31166"/>
    <cellStyle name="SAPBEXresDataEmph 6 13" xfId="31157"/>
    <cellStyle name="SAPBEXresDataEmph 6 14" xfId="9938"/>
    <cellStyle name="SAPBEXresDataEmph 6 15" xfId="39117"/>
    <cellStyle name="SAPBEXresDataEmph 6 16" xfId="39499"/>
    <cellStyle name="SAPBEXresDataEmph 6 2" xfId="2074"/>
    <cellStyle name="SAPBEXresDataEmph 6 2 10" xfId="31168"/>
    <cellStyle name="SAPBEXresDataEmph 6 2 10 2" xfId="31169"/>
    <cellStyle name="SAPBEXresDataEmph 6 2 11" xfId="31167"/>
    <cellStyle name="SAPBEXresDataEmph 6 2 12" xfId="10249"/>
    <cellStyle name="SAPBEXresDataEmph 6 2 2" xfId="4989"/>
    <cellStyle name="SAPBEXresDataEmph 6 2 2 2" xfId="31171"/>
    <cellStyle name="SAPBEXresDataEmph 6 2 2 2 2" xfId="31172"/>
    <cellStyle name="SAPBEXresDataEmph 6 2 2 3" xfId="31173"/>
    <cellStyle name="SAPBEXresDataEmph 6 2 2 4" xfId="31170"/>
    <cellStyle name="SAPBEXresDataEmph 6 2 3" xfId="5968"/>
    <cellStyle name="SAPBEXresDataEmph 6 2 3 2" xfId="31175"/>
    <cellStyle name="SAPBEXresDataEmph 6 2 3 2 2" xfId="31176"/>
    <cellStyle name="SAPBEXresDataEmph 6 2 3 3" xfId="31177"/>
    <cellStyle name="SAPBEXresDataEmph 6 2 3 4" xfId="31174"/>
    <cellStyle name="SAPBEXresDataEmph 6 2 4" xfId="6476"/>
    <cellStyle name="SAPBEXresDataEmph 6 2 4 2" xfId="31179"/>
    <cellStyle name="SAPBEXresDataEmph 6 2 4 2 2" xfId="31180"/>
    <cellStyle name="SAPBEXresDataEmph 6 2 4 3" xfId="31181"/>
    <cellStyle name="SAPBEXresDataEmph 6 2 4 4" xfId="31178"/>
    <cellStyle name="SAPBEXresDataEmph 6 2 5" xfId="6963"/>
    <cellStyle name="SAPBEXresDataEmph 6 2 5 2" xfId="31183"/>
    <cellStyle name="SAPBEXresDataEmph 6 2 5 2 2" xfId="31184"/>
    <cellStyle name="SAPBEXresDataEmph 6 2 5 3" xfId="31185"/>
    <cellStyle name="SAPBEXresDataEmph 6 2 5 4" xfId="31182"/>
    <cellStyle name="SAPBEXresDataEmph 6 2 6" xfId="7446"/>
    <cellStyle name="SAPBEXresDataEmph 6 2 6 2" xfId="31187"/>
    <cellStyle name="SAPBEXresDataEmph 6 2 6 2 2" xfId="31188"/>
    <cellStyle name="SAPBEXresDataEmph 6 2 6 3" xfId="31189"/>
    <cellStyle name="SAPBEXresDataEmph 6 2 6 4" xfId="31186"/>
    <cellStyle name="SAPBEXresDataEmph 6 2 7" xfId="8515"/>
    <cellStyle name="SAPBEXresDataEmph 6 2 7 2" xfId="31191"/>
    <cellStyle name="SAPBEXresDataEmph 6 2 7 2 2" xfId="31192"/>
    <cellStyle name="SAPBEXresDataEmph 6 2 7 3" xfId="31193"/>
    <cellStyle name="SAPBEXresDataEmph 6 2 7 4" xfId="31190"/>
    <cellStyle name="SAPBEXresDataEmph 6 2 8" xfId="9016"/>
    <cellStyle name="SAPBEXresDataEmph 6 2 8 2" xfId="31195"/>
    <cellStyle name="SAPBEXresDataEmph 6 2 8 2 2" xfId="31196"/>
    <cellStyle name="SAPBEXresDataEmph 6 2 8 3" xfId="31197"/>
    <cellStyle name="SAPBEXresDataEmph 6 2 8 4" xfId="31194"/>
    <cellStyle name="SAPBEXresDataEmph 6 2 9" xfId="9510"/>
    <cellStyle name="SAPBEXresDataEmph 6 2 9 2" xfId="31199"/>
    <cellStyle name="SAPBEXresDataEmph 6 2 9 2 2" xfId="31200"/>
    <cellStyle name="SAPBEXresDataEmph 6 2 9 3" xfId="31201"/>
    <cellStyle name="SAPBEXresDataEmph 6 2 9 4" xfId="31198"/>
    <cellStyle name="SAPBEXresDataEmph 6 2_planning-WP" xfId="31202"/>
    <cellStyle name="SAPBEXresDataEmph 6 3" xfId="4665"/>
    <cellStyle name="SAPBEXresDataEmph 6 3 10" xfId="31203"/>
    <cellStyle name="SAPBEXresDataEmph 6 3 2" xfId="31204"/>
    <cellStyle name="SAPBEXresDataEmph 6 3 2 2" xfId="31205"/>
    <cellStyle name="SAPBEXresDataEmph 6 3 2 2 2" xfId="31206"/>
    <cellStyle name="SAPBEXresDataEmph 6 3 2 3" xfId="31207"/>
    <cellStyle name="SAPBEXresDataEmph 6 3 3" xfId="31208"/>
    <cellStyle name="SAPBEXresDataEmph 6 3 3 2" xfId="31209"/>
    <cellStyle name="SAPBEXresDataEmph 6 3 3 2 2" xfId="31210"/>
    <cellStyle name="SAPBEXresDataEmph 6 3 3 3" xfId="31211"/>
    <cellStyle name="SAPBEXresDataEmph 6 3 4" xfId="31212"/>
    <cellStyle name="SAPBEXresDataEmph 6 3 4 2" xfId="31213"/>
    <cellStyle name="SAPBEXresDataEmph 6 3 4 2 2" xfId="31214"/>
    <cellStyle name="SAPBEXresDataEmph 6 3 4 3" xfId="31215"/>
    <cellStyle name="SAPBEXresDataEmph 6 3 5" xfId="31216"/>
    <cellStyle name="SAPBEXresDataEmph 6 3 5 2" xfId="31217"/>
    <cellStyle name="SAPBEXresDataEmph 6 3 5 2 2" xfId="31218"/>
    <cellStyle name="SAPBEXresDataEmph 6 3 5 3" xfId="31219"/>
    <cellStyle name="SAPBEXresDataEmph 6 3 6" xfId="31220"/>
    <cellStyle name="SAPBEXresDataEmph 6 3 6 2" xfId="31221"/>
    <cellStyle name="SAPBEXresDataEmph 6 3 6 2 2" xfId="31222"/>
    <cellStyle name="SAPBEXresDataEmph 6 3 6 3" xfId="31223"/>
    <cellStyle name="SAPBEXresDataEmph 6 3 7" xfId="31224"/>
    <cellStyle name="SAPBEXresDataEmph 6 3 7 2" xfId="31225"/>
    <cellStyle name="SAPBEXresDataEmph 6 3 7 2 2" xfId="31226"/>
    <cellStyle name="SAPBEXresDataEmph 6 3 7 3" xfId="31227"/>
    <cellStyle name="SAPBEXresDataEmph 6 3 8" xfId="31228"/>
    <cellStyle name="SAPBEXresDataEmph 6 3 8 2" xfId="31229"/>
    <cellStyle name="SAPBEXresDataEmph 6 3 8 2 2" xfId="31230"/>
    <cellStyle name="SAPBEXresDataEmph 6 3 8 3" xfId="31231"/>
    <cellStyle name="SAPBEXresDataEmph 6 3 9" xfId="31232"/>
    <cellStyle name="SAPBEXresDataEmph 6 3 9 2" xfId="31233"/>
    <cellStyle name="SAPBEXresDataEmph 6 3_planning-WP" xfId="31234"/>
    <cellStyle name="SAPBEXresDataEmph 6 4" xfId="5656"/>
    <cellStyle name="SAPBEXresDataEmph 6 4 2" xfId="31236"/>
    <cellStyle name="SAPBEXresDataEmph 6 4 2 2" xfId="31237"/>
    <cellStyle name="SAPBEXresDataEmph 6 4 3" xfId="31235"/>
    <cellStyle name="SAPBEXresDataEmph 6 5" xfId="6165"/>
    <cellStyle name="SAPBEXresDataEmph 6 5 2" xfId="31239"/>
    <cellStyle name="SAPBEXresDataEmph 6 5 2 2" xfId="31240"/>
    <cellStyle name="SAPBEXresDataEmph 6 5 3" xfId="31241"/>
    <cellStyle name="SAPBEXresDataEmph 6 5 4" xfId="31238"/>
    <cellStyle name="SAPBEXresDataEmph 6 6" xfId="6652"/>
    <cellStyle name="SAPBEXresDataEmph 6 6 2" xfId="31243"/>
    <cellStyle name="SAPBEXresDataEmph 6 6 2 2" xfId="31244"/>
    <cellStyle name="SAPBEXresDataEmph 6 6 3" xfId="31245"/>
    <cellStyle name="SAPBEXresDataEmph 6 6 4" xfId="31242"/>
    <cellStyle name="SAPBEXresDataEmph 6 7" xfId="7135"/>
    <cellStyle name="SAPBEXresDataEmph 6 7 2" xfId="31247"/>
    <cellStyle name="SAPBEXresDataEmph 6 7 2 2" xfId="31248"/>
    <cellStyle name="SAPBEXresDataEmph 6 7 3" xfId="31249"/>
    <cellStyle name="SAPBEXresDataEmph 6 7 4" xfId="31246"/>
    <cellStyle name="SAPBEXresDataEmph 6 8" xfId="8204"/>
    <cellStyle name="SAPBEXresDataEmph 6 8 2" xfId="31251"/>
    <cellStyle name="SAPBEXresDataEmph 6 8 2 2" xfId="31252"/>
    <cellStyle name="SAPBEXresDataEmph 6 8 3" xfId="31253"/>
    <cellStyle name="SAPBEXresDataEmph 6 8 4" xfId="31250"/>
    <cellStyle name="SAPBEXresDataEmph 6 9" xfId="8705"/>
    <cellStyle name="SAPBEXresDataEmph 6 9 2" xfId="31255"/>
    <cellStyle name="SAPBEXresDataEmph 6 9 2 2" xfId="31256"/>
    <cellStyle name="SAPBEXresDataEmph 6 9 3" xfId="31257"/>
    <cellStyle name="SAPBEXresDataEmph 6 9 4" xfId="31254"/>
    <cellStyle name="SAPBEXresDataEmph 6_planning-WP" xfId="31258"/>
    <cellStyle name="SAPBEXresDataEmph 7" xfId="1771"/>
    <cellStyle name="SAPBEXresDataEmph 7 10" xfId="9225"/>
    <cellStyle name="SAPBEXresDataEmph 7 10 2" xfId="31261"/>
    <cellStyle name="SAPBEXresDataEmph 7 10 2 2" xfId="31262"/>
    <cellStyle name="SAPBEXresDataEmph 7 10 3" xfId="31263"/>
    <cellStyle name="SAPBEXresDataEmph 7 10 4" xfId="31260"/>
    <cellStyle name="SAPBEXresDataEmph 7 11" xfId="31264"/>
    <cellStyle name="SAPBEXresDataEmph 7 11 2" xfId="31265"/>
    <cellStyle name="SAPBEXresDataEmph 7 12" xfId="31259"/>
    <cellStyle name="SAPBEXresDataEmph 7 13" xfId="9964"/>
    <cellStyle name="SAPBEXresDataEmph 7 14" xfId="39118"/>
    <cellStyle name="SAPBEXresDataEmph 7 15" xfId="39500"/>
    <cellStyle name="SAPBEXresDataEmph 7 2" xfId="2094"/>
    <cellStyle name="SAPBEXresDataEmph 7 2 10" xfId="31267"/>
    <cellStyle name="SAPBEXresDataEmph 7 2 10 2" xfId="31268"/>
    <cellStyle name="SAPBEXresDataEmph 7 2 11" xfId="31266"/>
    <cellStyle name="SAPBEXresDataEmph 7 2 12" xfId="10268"/>
    <cellStyle name="SAPBEXresDataEmph 7 2 2" xfId="5008"/>
    <cellStyle name="SAPBEXresDataEmph 7 2 2 2" xfId="31270"/>
    <cellStyle name="SAPBEXresDataEmph 7 2 2 2 2" xfId="31271"/>
    <cellStyle name="SAPBEXresDataEmph 7 2 2 3" xfId="31272"/>
    <cellStyle name="SAPBEXresDataEmph 7 2 2 4" xfId="31269"/>
    <cellStyle name="SAPBEXresDataEmph 7 2 3" xfId="5987"/>
    <cellStyle name="SAPBEXresDataEmph 7 2 3 2" xfId="31274"/>
    <cellStyle name="SAPBEXresDataEmph 7 2 3 2 2" xfId="31275"/>
    <cellStyle name="SAPBEXresDataEmph 7 2 3 3" xfId="31276"/>
    <cellStyle name="SAPBEXresDataEmph 7 2 3 4" xfId="31273"/>
    <cellStyle name="SAPBEXresDataEmph 7 2 4" xfId="6495"/>
    <cellStyle name="SAPBEXresDataEmph 7 2 4 2" xfId="31278"/>
    <cellStyle name="SAPBEXresDataEmph 7 2 4 2 2" xfId="31279"/>
    <cellStyle name="SAPBEXresDataEmph 7 2 4 3" xfId="31280"/>
    <cellStyle name="SAPBEXresDataEmph 7 2 4 4" xfId="31277"/>
    <cellStyle name="SAPBEXresDataEmph 7 2 5" xfId="6982"/>
    <cellStyle name="SAPBEXresDataEmph 7 2 5 2" xfId="31282"/>
    <cellStyle name="SAPBEXresDataEmph 7 2 5 2 2" xfId="31283"/>
    <cellStyle name="SAPBEXresDataEmph 7 2 5 3" xfId="31284"/>
    <cellStyle name="SAPBEXresDataEmph 7 2 5 4" xfId="31281"/>
    <cellStyle name="SAPBEXresDataEmph 7 2 6" xfId="7465"/>
    <cellStyle name="SAPBEXresDataEmph 7 2 6 2" xfId="31286"/>
    <cellStyle name="SAPBEXresDataEmph 7 2 6 2 2" xfId="31287"/>
    <cellStyle name="SAPBEXresDataEmph 7 2 6 3" xfId="31288"/>
    <cellStyle name="SAPBEXresDataEmph 7 2 6 4" xfId="31285"/>
    <cellStyle name="SAPBEXresDataEmph 7 2 7" xfId="8534"/>
    <cellStyle name="SAPBEXresDataEmph 7 2 7 2" xfId="31290"/>
    <cellStyle name="SAPBEXresDataEmph 7 2 7 2 2" xfId="31291"/>
    <cellStyle name="SAPBEXresDataEmph 7 2 7 3" xfId="31292"/>
    <cellStyle name="SAPBEXresDataEmph 7 2 7 4" xfId="31289"/>
    <cellStyle name="SAPBEXresDataEmph 7 2 8" xfId="9035"/>
    <cellStyle name="SAPBEXresDataEmph 7 2 8 2" xfId="31294"/>
    <cellStyle name="SAPBEXresDataEmph 7 2 8 2 2" xfId="31295"/>
    <cellStyle name="SAPBEXresDataEmph 7 2 8 3" xfId="31296"/>
    <cellStyle name="SAPBEXresDataEmph 7 2 8 4" xfId="31293"/>
    <cellStyle name="SAPBEXresDataEmph 7 2 9" xfId="9529"/>
    <cellStyle name="SAPBEXresDataEmph 7 2 9 2" xfId="31298"/>
    <cellStyle name="SAPBEXresDataEmph 7 2 9 2 2" xfId="31299"/>
    <cellStyle name="SAPBEXresDataEmph 7 2 9 3" xfId="31300"/>
    <cellStyle name="SAPBEXresDataEmph 7 2 9 4" xfId="31297"/>
    <cellStyle name="SAPBEXresDataEmph 7 2_planning-WP" xfId="31301"/>
    <cellStyle name="SAPBEXresDataEmph 7 3" xfId="4692"/>
    <cellStyle name="SAPBEXresDataEmph 7 3 2" xfId="31303"/>
    <cellStyle name="SAPBEXresDataEmph 7 3 2 2" xfId="31304"/>
    <cellStyle name="SAPBEXresDataEmph 7 3 3" xfId="31305"/>
    <cellStyle name="SAPBEXresDataEmph 7 3 4" xfId="31302"/>
    <cellStyle name="SAPBEXresDataEmph 7 4" xfId="5682"/>
    <cellStyle name="SAPBEXresDataEmph 7 4 2" xfId="31307"/>
    <cellStyle name="SAPBEXresDataEmph 7 4 2 2" xfId="31308"/>
    <cellStyle name="SAPBEXresDataEmph 7 4 3" xfId="31309"/>
    <cellStyle name="SAPBEXresDataEmph 7 4 4" xfId="31306"/>
    <cellStyle name="SAPBEXresDataEmph 7 5" xfId="6191"/>
    <cellStyle name="SAPBEXresDataEmph 7 5 2" xfId="31311"/>
    <cellStyle name="SAPBEXresDataEmph 7 5 2 2" xfId="31312"/>
    <cellStyle name="SAPBEXresDataEmph 7 5 3" xfId="31313"/>
    <cellStyle name="SAPBEXresDataEmph 7 5 4" xfId="31310"/>
    <cellStyle name="SAPBEXresDataEmph 7 6" xfId="6678"/>
    <cellStyle name="SAPBEXresDataEmph 7 6 2" xfId="31315"/>
    <cellStyle name="SAPBEXresDataEmph 7 6 2 2" xfId="31316"/>
    <cellStyle name="SAPBEXresDataEmph 7 6 3" xfId="31317"/>
    <cellStyle name="SAPBEXresDataEmph 7 6 4" xfId="31314"/>
    <cellStyle name="SAPBEXresDataEmph 7 7" xfId="7161"/>
    <cellStyle name="SAPBEXresDataEmph 7 7 2" xfId="31319"/>
    <cellStyle name="SAPBEXresDataEmph 7 7 2 2" xfId="31320"/>
    <cellStyle name="SAPBEXresDataEmph 7 7 3" xfId="31321"/>
    <cellStyle name="SAPBEXresDataEmph 7 7 4" xfId="31318"/>
    <cellStyle name="SAPBEXresDataEmph 7 8" xfId="8230"/>
    <cellStyle name="SAPBEXresDataEmph 7 8 2" xfId="31323"/>
    <cellStyle name="SAPBEXresDataEmph 7 8 2 2" xfId="31324"/>
    <cellStyle name="SAPBEXresDataEmph 7 8 3" xfId="31325"/>
    <cellStyle name="SAPBEXresDataEmph 7 8 4" xfId="31322"/>
    <cellStyle name="SAPBEXresDataEmph 7 9" xfId="8731"/>
    <cellStyle name="SAPBEXresDataEmph 7 9 2" xfId="31327"/>
    <cellStyle name="SAPBEXresDataEmph 7 9 2 2" xfId="31328"/>
    <cellStyle name="SAPBEXresDataEmph 7 9 3" xfId="31329"/>
    <cellStyle name="SAPBEXresDataEmph 7 9 4" xfId="31326"/>
    <cellStyle name="SAPBEXresDataEmph 7_planning-WP" xfId="31330"/>
    <cellStyle name="SAPBEXresDataEmph 8" xfId="1609"/>
    <cellStyle name="SAPBEXresDataEmph 8 10" xfId="31332"/>
    <cellStyle name="SAPBEXresDataEmph 8 10 2" xfId="31333"/>
    <cellStyle name="SAPBEXresDataEmph 8 11" xfId="31331"/>
    <cellStyle name="SAPBEXresDataEmph 8 12" xfId="9806"/>
    <cellStyle name="SAPBEXresDataEmph 8 2" xfId="4532"/>
    <cellStyle name="SAPBEXresDataEmph 8 2 2" xfId="31335"/>
    <cellStyle name="SAPBEXresDataEmph 8 2 2 2" xfId="31336"/>
    <cellStyle name="SAPBEXresDataEmph 8 2 3" xfId="31337"/>
    <cellStyle name="SAPBEXresDataEmph 8 2 4" xfId="31334"/>
    <cellStyle name="SAPBEXresDataEmph 8 3" xfId="5524"/>
    <cellStyle name="SAPBEXresDataEmph 8 3 2" xfId="31339"/>
    <cellStyle name="SAPBEXresDataEmph 8 3 2 2" xfId="31340"/>
    <cellStyle name="SAPBEXresDataEmph 8 3 3" xfId="31341"/>
    <cellStyle name="SAPBEXresDataEmph 8 3 4" xfId="31338"/>
    <cellStyle name="SAPBEXresDataEmph 8 4" xfId="6033"/>
    <cellStyle name="SAPBEXresDataEmph 8 4 2" xfId="31343"/>
    <cellStyle name="SAPBEXresDataEmph 8 4 2 2" xfId="31344"/>
    <cellStyle name="SAPBEXresDataEmph 8 4 3" xfId="31345"/>
    <cellStyle name="SAPBEXresDataEmph 8 4 4" xfId="31342"/>
    <cellStyle name="SAPBEXresDataEmph 8 5" xfId="5198"/>
    <cellStyle name="SAPBEXresDataEmph 8 5 2" xfId="31347"/>
    <cellStyle name="SAPBEXresDataEmph 8 5 2 2" xfId="31348"/>
    <cellStyle name="SAPBEXresDataEmph 8 5 3" xfId="31349"/>
    <cellStyle name="SAPBEXresDataEmph 8 5 4" xfId="31346"/>
    <cellStyle name="SAPBEXresDataEmph 8 6" xfId="5288"/>
    <cellStyle name="SAPBEXresDataEmph 8 6 2" xfId="31351"/>
    <cellStyle name="SAPBEXresDataEmph 8 6 2 2" xfId="31352"/>
    <cellStyle name="SAPBEXresDataEmph 8 6 3" xfId="31353"/>
    <cellStyle name="SAPBEXresDataEmph 8 6 4" xfId="31350"/>
    <cellStyle name="SAPBEXresDataEmph 8 7" xfId="8072"/>
    <cellStyle name="SAPBEXresDataEmph 8 7 2" xfId="31355"/>
    <cellStyle name="SAPBEXresDataEmph 8 7 2 2" xfId="31356"/>
    <cellStyle name="SAPBEXresDataEmph 8 7 3" xfId="31357"/>
    <cellStyle name="SAPBEXresDataEmph 8 7 4" xfId="31354"/>
    <cellStyle name="SAPBEXresDataEmph 8 8" xfId="8573"/>
    <cellStyle name="SAPBEXresDataEmph 8 8 2" xfId="31359"/>
    <cellStyle name="SAPBEXresDataEmph 8 8 2 2" xfId="31360"/>
    <cellStyle name="SAPBEXresDataEmph 8 8 3" xfId="31361"/>
    <cellStyle name="SAPBEXresDataEmph 8 8 4" xfId="31358"/>
    <cellStyle name="SAPBEXresDataEmph 8 9" xfId="9067"/>
    <cellStyle name="SAPBEXresDataEmph 8 9 2" xfId="31363"/>
    <cellStyle name="SAPBEXresDataEmph 8 9 2 2" xfId="31364"/>
    <cellStyle name="SAPBEXresDataEmph 8 9 3" xfId="31365"/>
    <cellStyle name="SAPBEXresDataEmph 8 9 4" xfId="31362"/>
    <cellStyle name="SAPBEXresDataEmph 8_planning-WP" xfId="31366"/>
    <cellStyle name="SAPBEXresDataEmph 9" xfId="1438"/>
    <cellStyle name="SAPBEXresDataEmph 9 10" xfId="31367"/>
    <cellStyle name="SAPBEXresDataEmph 9 11" xfId="9636"/>
    <cellStyle name="SAPBEXresDataEmph 9 2" xfId="4361"/>
    <cellStyle name="SAPBEXresDataEmph 9 2 2" xfId="31369"/>
    <cellStyle name="SAPBEXresDataEmph 9 2 2 2" xfId="31370"/>
    <cellStyle name="SAPBEXresDataEmph 9 2 3" xfId="31371"/>
    <cellStyle name="SAPBEXresDataEmph 9 2 4" xfId="31368"/>
    <cellStyle name="SAPBEXresDataEmph 9 3" xfId="5354"/>
    <cellStyle name="SAPBEXresDataEmph 9 3 2" xfId="31373"/>
    <cellStyle name="SAPBEXresDataEmph 9 3 2 2" xfId="31374"/>
    <cellStyle name="SAPBEXresDataEmph 9 3 3" xfId="31375"/>
    <cellStyle name="SAPBEXresDataEmph 9 3 4" xfId="31372"/>
    <cellStyle name="SAPBEXresDataEmph 9 4" xfId="5160"/>
    <cellStyle name="SAPBEXresDataEmph 9 4 2" xfId="31377"/>
    <cellStyle name="SAPBEXresDataEmph 9 4 2 2" xfId="31378"/>
    <cellStyle name="SAPBEXresDataEmph 9 4 3" xfId="31379"/>
    <cellStyle name="SAPBEXresDataEmph 9 4 4" xfId="31376"/>
    <cellStyle name="SAPBEXresDataEmph 9 5" xfId="5271"/>
    <cellStyle name="SAPBEXresDataEmph 9 5 2" xfId="31381"/>
    <cellStyle name="SAPBEXresDataEmph 9 5 2 2" xfId="31382"/>
    <cellStyle name="SAPBEXresDataEmph 9 5 3" xfId="31383"/>
    <cellStyle name="SAPBEXresDataEmph 9 5 4" xfId="31380"/>
    <cellStyle name="SAPBEXresDataEmph 9 6" xfId="5153"/>
    <cellStyle name="SAPBEXresDataEmph 9 6 2" xfId="31385"/>
    <cellStyle name="SAPBEXresDataEmph 9 6 2 2" xfId="31386"/>
    <cellStyle name="SAPBEXresDataEmph 9 6 3" xfId="31387"/>
    <cellStyle name="SAPBEXresDataEmph 9 6 4" xfId="31384"/>
    <cellStyle name="SAPBEXresDataEmph 9 7" xfId="7902"/>
    <cellStyle name="SAPBEXresDataEmph 9 7 2" xfId="31389"/>
    <cellStyle name="SAPBEXresDataEmph 9 7 2 2" xfId="31390"/>
    <cellStyle name="SAPBEXresDataEmph 9 7 3" xfId="31391"/>
    <cellStyle name="SAPBEXresDataEmph 9 7 4" xfId="31388"/>
    <cellStyle name="SAPBEXresDataEmph 9 8" xfId="7644"/>
    <cellStyle name="SAPBEXresDataEmph 9 8 2" xfId="31393"/>
    <cellStyle name="SAPBEXresDataEmph 9 8 2 2" xfId="31394"/>
    <cellStyle name="SAPBEXresDataEmph 9 8 3" xfId="31395"/>
    <cellStyle name="SAPBEXresDataEmph 9 8 4" xfId="31392"/>
    <cellStyle name="SAPBEXresDataEmph 9 9" xfId="7835"/>
    <cellStyle name="SAPBEXresDataEmph 9 9 2" xfId="31397"/>
    <cellStyle name="SAPBEXresDataEmph 9 9 3" xfId="31396"/>
    <cellStyle name="SAPBEXresDataEmph 9_planning-WP" xfId="31398"/>
    <cellStyle name="SAPBEXresDataEmph_19.RessDest CUC CS SEE+SEM 1009" xfId="39119"/>
    <cellStyle name="SAPBEXresItem" xfId="290"/>
    <cellStyle name="SAPBEXresItem 10" xfId="31400"/>
    <cellStyle name="SAPBEXresItem 10 2" xfId="31401"/>
    <cellStyle name="SAPBEXresItem 10 2 2" xfId="31402"/>
    <cellStyle name="SAPBEXresItem 11" xfId="31403"/>
    <cellStyle name="SAPBEXresItem 11 2" xfId="31404"/>
    <cellStyle name="SAPBEXresItem 11 2 2" xfId="31405"/>
    <cellStyle name="SAPBEXresItem 11 3" xfId="31406"/>
    <cellStyle name="SAPBEXresItem 12" xfId="31407"/>
    <cellStyle name="SAPBEXresItem 12 2" xfId="31408"/>
    <cellStyle name="SAPBEXresItem 12 2 2" xfId="31409"/>
    <cellStyle name="SAPBEXresItem 12 3" xfId="31410"/>
    <cellStyle name="SAPBEXresItem 13" xfId="31411"/>
    <cellStyle name="SAPBEXresItem 13 2" xfId="31412"/>
    <cellStyle name="SAPBEXresItem 13 2 2" xfId="31413"/>
    <cellStyle name="SAPBEXresItem 13 3" xfId="31414"/>
    <cellStyle name="SAPBEXresItem 14" xfId="31415"/>
    <cellStyle name="SAPBEXresItem 14 2" xfId="31416"/>
    <cellStyle name="SAPBEXresItem 14 2 2" xfId="31417"/>
    <cellStyle name="SAPBEXresItem 14 3" xfId="31418"/>
    <cellStyle name="SAPBEXresItem 15" xfId="31419"/>
    <cellStyle name="SAPBEXresItem 15 2" xfId="31420"/>
    <cellStyle name="SAPBEXresItem 15 2 2" xfId="31421"/>
    <cellStyle name="SAPBEXresItem 15 3" xfId="31422"/>
    <cellStyle name="SAPBEXresItem 16" xfId="31423"/>
    <cellStyle name="SAPBEXresItem 16 2" xfId="31424"/>
    <cellStyle name="SAPBEXresItem 16 2 2" xfId="31425"/>
    <cellStyle name="SAPBEXresItem 16 3" xfId="31426"/>
    <cellStyle name="SAPBEXresItem 17" xfId="31427"/>
    <cellStyle name="SAPBEXresItem 17 2" xfId="31428"/>
    <cellStyle name="SAPBEXresItem 17 2 2" xfId="31429"/>
    <cellStyle name="SAPBEXresItem 17 3" xfId="31430"/>
    <cellStyle name="SAPBEXresItem 18" xfId="31431"/>
    <cellStyle name="SAPBEXresItem 19" xfId="31432"/>
    <cellStyle name="SAPBEXresItem 2" xfId="902"/>
    <cellStyle name="SAPBEXresItem 2 10" xfId="31434"/>
    <cellStyle name="SAPBEXresItem 2 10 2" xfId="31435"/>
    <cellStyle name="SAPBEXresItem 2 10 2 2" xfId="31436"/>
    <cellStyle name="SAPBEXresItem 2 10 3" xfId="31437"/>
    <cellStyle name="SAPBEXresItem 2 11" xfId="31438"/>
    <cellStyle name="SAPBEXresItem 2 11 2" xfId="31439"/>
    <cellStyle name="SAPBEXresItem 2 11 2 2" xfId="31440"/>
    <cellStyle name="SAPBEXresItem 2 11 3" xfId="31441"/>
    <cellStyle name="SAPBEXresItem 2 12" xfId="31442"/>
    <cellStyle name="SAPBEXresItem 2 12 2" xfId="31443"/>
    <cellStyle name="SAPBEXresItem 2 12 2 2" xfId="31444"/>
    <cellStyle name="SAPBEXresItem 2 12 3" xfId="31445"/>
    <cellStyle name="SAPBEXresItem 2 13" xfId="31446"/>
    <cellStyle name="SAPBEXresItem 2 14" xfId="31433"/>
    <cellStyle name="SAPBEXresItem 2 15" xfId="9586"/>
    <cellStyle name="SAPBEXresItem 2 16" xfId="39121"/>
    <cellStyle name="SAPBEXresItem 2 17" xfId="39502"/>
    <cellStyle name="SAPBEXresItem 2 2" xfId="1970"/>
    <cellStyle name="SAPBEXresItem 2 2 10" xfId="31448"/>
    <cellStyle name="SAPBEXresItem 2 2 10 2" xfId="31449"/>
    <cellStyle name="SAPBEXresItem 2 2 10 2 2" xfId="31450"/>
    <cellStyle name="SAPBEXresItem 2 2 10 3" xfId="31451"/>
    <cellStyle name="SAPBEXresItem 2 2 11" xfId="31452"/>
    <cellStyle name="SAPBEXresItem 2 2 11 2" xfId="31453"/>
    <cellStyle name="SAPBEXresItem 2 2 12" xfId="31447"/>
    <cellStyle name="SAPBEXresItem 2 2 13" xfId="10148"/>
    <cellStyle name="SAPBEXresItem 2 2 14" xfId="39122"/>
    <cellStyle name="SAPBEXresItem 2 2 15" xfId="39503"/>
    <cellStyle name="SAPBEXresItem 2 2 2" xfId="4888"/>
    <cellStyle name="SAPBEXresItem 2 2 2 10" xfId="31455"/>
    <cellStyle name="SAPBEXresItem 2 2 2 10 2" xfId="31456"/>
    <cellStyle name="SAPBEXresItem 2 2 2 11" xfId="31454"/>
    <cellStyle name="SAPBEXresItem 2 2 2 2" xfId="31457"/>
    <cellStyle name="SAPBEXresItem 2 2 2 2 2" xfId="31458"/>
    <cellStyle name="SAPBEXresItem 2 2 2 2 2 2" xfId="31459"/>
    <cellStyle name="SAPBEXresItem 2 2 2 2 3" xfId="31460"/>
    <cellStyle name="SAPBEXresItem 2 2 2 3" xfId="31461"/>
    <cellStyle name="SAPBEXresItem 2 2 2 3 2" xfId="31462"/>
    <cellStyle name="SAPBEXresItem 2 2 2 3 2 2" xfId="31463"/>
    <cellStyle name="SAPBEXresItem 2 2 2 3 3" xfId="31464"/>
    <cellStyle name="SAPBEXresItem 2 2 2 4" xfId="31465"/>
    <cellStyle name="SAPBEXresItem 2 2 2 4 2" xfId="31466"/>
    <cellStyle name="SAPBEXresItem 2 2 2 4 2 2" xfId="31467"/>
    <cellStyle name="SAPBEXresItem 2 2 2 4 3" xfId="31468"/>
    <cellStyle name="SAPBEXresItem 2 2 2 5" xfId="31469"/>
    <cellStyle name="SAPBEXresItem 2 2 2 5 2" xfId="31470"/>
    <cellStyle name="SAPBEXresItem 2 2 2 5 2 2" xfId="31471"/>
    <cellStyle name="SAPBEXresItem 2 2 2 5 3" xfId="31472"/>
    <cellStyle name="SAPBEXresItem 2 2 2 6" xfId="31473"/>
    <cellStyle name="SAPBEXresItem 2 2 2 6 2" xfId="31474"/>
    <cellStyle name="SAPBEXresItem 2 2 2 6 2 2" xfId="31475"/>
    <cellStyle name="SAPBEXresItem 2 2 2 6 3" xfId="31476"/>
    <cellStyle name="SAPBEXresItem 2 2 2 7" xfId="31477"/>
    <cellStyle name="SAPBEXresItem 2 2 2 7 2" xfId="31478"/>
    <cellStyle name="SAPBEXresItem 2 2 2 7 2 2" xfId="31479"/>
    <cellStyle name="SAPBEXresItem 2 2 2 7 3" xfId="31480"/>
    <cellStyle name="SAPBEXresItem 2 2 2 8" xfId="31481"/>
    <cellStyle name="SAPBEXresItem 2 2 2 8 2" xfId="31482"/>
    <cellStyle name="SAPBEXresItem 2 2 2 8 2 2" xfId="31483"/>
    <cellStyle name="SAPBEXresItem 2 2 2 8 3" xfId="31484"/>
    <cellStyle name="SAPBEXresItem 2 2 2 9" xfId="31485"/>
    <cellStyle name="SAPBEXresItem 2 2 2 9 2" xfId="31486"/>
    <cellStyle name="SAPBEXresItem 2 2 2 9 2 2" xfId="31487"/>
    <cellStyle name="SAPBEXresItem 2 2 2 9 3" xfId="31488"/>
    <cellStyle name="SAPBEXresItem 2 2 2_planning-WP" xfId="31489"/>
    <cellStyle name="SAPBEXresItem 2 2 3" xfId="5867"/>
    <cellStyle name="SAPBEXresItem 2 2 3 2" xfId="31491"/>
    <cellStyle name="SAPBEXresItem 2 2 3 2 2" xfId="31492"/>
    <cellStyle name="SAPBEXresItem 2 2 3 3" xfId="31493"/>
    <cellStyle name="SAPBEXresItem 2 2 3 4" xfId="31490"/>
    <cellStyle name="SAPBEXresItem 2 2 4" xfId="6375"/>
    <cellStyle name="SAPBEXresItem 2 2 4 2" xfId="31495"/>
    <cellStyle name="SAPBEXresItem 2 2 4 2 2" xfId="31496"/>
    <cellStyle name="SAPBEXresItem 2 2 4 3" xfId="31497"/>
    <cellStyle name="SAPBEXresItem 2 2 4 4" xfId="31494"/>
    <cellStyle name="SAPBEXresItem 2 2 5" xfId="6862"/>
    <cellStyle name="SAPBEXresItem 2 2 5 2" xfId="31499"/>
    <cellStyle name="SAPBEXresItem 2 2 5 2 2" xfId="31500"/>
    <cellStyle name="SAPBEXresItem 2 2 5 3" xfId="31501"/>
    <cellStyle name="SAPBEXresItem 2 2 5 4" xfId="31498"/>
    <cellStyle name="SAPBEXresItem 2 2 6" xfId="7345"/>
    <cellStyle name="SAPBEXresItem 2 2 6 2" xfId="31503"/>
    <cellStyle name="SAPBEXresItem 2 2 6 2 2" xfId="31504"/>
    <cellStyle name="SAPBEXresItem 2 2 6 3" xfId="31505"/>
    <cellStyle name="SAPBEXresItem 2 2 6 4" xfId="31502"/>
    <cellStyle name="SAPBEXresItem 2 2 7" xfId="8414"/>
    <cellStyle name="SAPBEXresItem 2 2 7 2" xfId="31507"/>
    <cellStyle name="SAPBEXresItem 2 2 7 2 2" xfId="31508"/>
    <cellStyle name="SAPBEXresItem 2 2 7 3" xfId="31509"/>
    <cellStyle name="SAPBEXresItem 2 2 7 4" xfId="31506"/>
    <cellStyle name="SAPBEXresItem 2 2 8" xfId="8915"/>
    <cellStyle name="SAPBEXresItem 2 2 8 2" xfId="31511"/>
    <cellStyle name="SAPBEXresItem 2 2 8 2 2" xfId="31512"/>
    <cellStyle name="SAPBEXresItem 2 2 8 3" xfId="31513"/>
    <cellStyle name="SAPBEXresItem 2 2 8 4" xfId="31510"/>
    <cellStyle name="SAPBEXresItem 2 2 9" xfId="9409"/>
    <cellStyle name="SAPBEXresItem 2 2 9 2" xfId="31515"/>
    <cellStyle name="SAPBEXresItem 2 2 9 2 2" xfId="31516"/>
    <cellStyle name="SAPBEXresItem 2 2 9 3" xfId="31517"/>
    <cellStyle name="SAPBEXresItem 2 2 9 4" xfId="31514"/>
    <cellStyle name="SAPBEXresItem 2 2_planning-WP" xfId="31518"/>
    <cellStyle name="SAPBEXresItem 2 3" xfId="1633"/>
    <cellStyle name="SAPBEXresItem 2 3 10" xfId="31520"/>
    <cellStyle name="SAPBEXresItem 2 3 10 2" xfId="31521"/>
    <cellStyle name="SAPBEXresItem 2 3 11" xfId="31519"/>
    <cellStyle name="SAPBEXresItem 2 3 12" xfId="9830"/>
    <cellStyle name="SAPBEXresItem 2 3 2" xfId="4556"/>
    <cellStyle name="SAPBEXresItem 2 3 2 2" xfId="31523"/>
    <cellStyle name="SAPBEXresItem 2 3 2 2 2" xfId="31524"/>
    <cellStyle name="SAPBEXresItem 2 3 2 3" xfId="31525"/>
    <cellStyle name="SAPBEXresItem 2 3 2 4" xfId="31522"/>
    <cellStyle name="SAPBEXresItem 2 3 3" xfId="5548"/>
    <cellStyle name="SAPBEXresItem 2 3 3 2" xfId="31527"/>
    <cellStyle name="SAPBEXresItem 2 3 3 2 2" xfId="31528"/>
    <cellStyle name="SAPBEXresItem 2 3 3 3" xfId="31529"/>
    <cellStyle name="SAPBEXresItem 2 3 3 4" xfId="31526"/>
    <cellStyle name="SAPBEXresItem 2 3 4" xfId="6057"/>
    <cellStyle name="SAPBEXresItem 2 3 4 2" xfId="31531"/>
    <cellStyle name="SAPBEXresItem 2 3 4 2 2" xfId="31532"/>
    <cellStyle name="SAPBEXresItem 2 3 4 3" xfId="31533"/>
    <cellStyle name="SAPBEXresItem 2 3 4 4" xfId="31530"/>
    <cellStyle name="SAPBEXresItem 2 3 5" xfId="6544"/>
    <cellStyle name="SAPBEXresItem 2 3 5 2" xfId="31535"/>
    <cellStyle name="SAPBEXresItem 2 3 5 2 2" xfId="31536"/>
    <cellStyle name="SAPBEXresItem 2 3 5 3" xfId="31537"/>
    <cellStyle name="SAPBEXresItem 2 3 5 4" xfId="31534"/>
    <cellStyle name="SAPBEXresItem 2 3 6" xfId="7027"/>
    <cellStyle name="SAPBEXresItem 2 3 6 2" xfId="31539"/>
    <cellStyle name="SAPBEXresItem 2 3 6 2 2" xfId="31540"/>
    <cellStyle name="SAPBEXresItem 2 3 6 3" xfId="31541"/>
    <cellStyle name="SAPBEXresItem 2 3 6 4" xfId="31538"/>
    <cellStyle name="SAPBEXresItem 2 3 7" xfId="8096"/>
    <cellStyle name="SAPBEXresItem 2 3 7 2" xfId="31543"/>
    <cellStyle name="SAPBEXresItem 2 3 7 2 2" xfId="31544"/>
    <cellStyle name="SAPBEXresItem 2 3 7 3" xfId="31545"/>
    <cellStyle name="SAPBEXresItem 2 3 7 4" xfId="31542"/>
    <cellStyle name="SAPBEXresItem 2 3 8" xfId="8597"/>
    <cellStyle name="SAPBEXresItem 2 3 8 2" xfId="31547"/>
    <cellStyle name="SAPBEXresItem 2 3 8 2 2" xfId="31548"/>
    <cellStyle name="SAPBEXresItem 2 3 8 3" xfId="31549"/>
    <cellStyle name="SAPBEXresItem 2 3 8 4" xfId="31546"/>
    <cellStyle name="SAPBEXresItem 2 3 9" xfId="9091"/>
    <cellStyle name="SAPBEXresItem 2 3 9 2" xfId="31551"/>
    <cellStyle name="SAPBEXresItem 2 3 9 2 2" xfId="31552"/>
    <cellStyle name="SAPBEXresItem 2 3 9 3" xfId="31553"/>
    <cellStyle name="SAPBEXresItem 2 3 9 4" xfId="31550"/>
    <cellStyle name="SAPBEXresItem 2 3_planning-WP" xfId="31554"/>
    <cellStyle name="SAPBEXresItem 2 4" xfId="31555"/>
    <cellStyle name="SAPBEXresItem 2 4 2" xfId="31556"/>
    <cellStyle name="SAPBEXresItem 2 4 2 2" xfId="31557"/>
    <cellStyle name="SAPBEXresItem 2 4 2 2 2" xfId="31558"/>
    <cellStyle name="SAPBEXresItem 2 4 2 3" xfId="31559"/>
    <cellStyle name="SAPBEXresItem 2 4 3" xfId="31560"/>
    <cellStyle name="SAPBEXresItem 2 4 3 2" xfId="31561"/>
    <cellStyle name="SAPBEXresItem 2 4 3 2 2" xfId="31562"/>
    <cellStyle name="SAPBEXresItem 2 4 3 3" xfId="31563"/>
    <cellStyle name="SAPBEXresItem 2 4 4" xfId="31564"/>
    <cellStyle name="SAPBEXresItem 2 4 4 2" xfId="31565"/>
    <cellStyle name="SAPBEXresItem 2 4 4 2 2" xfId="31566"/>
    <cellStyle name="SAPBEXresItem 2 4 4 3" xfId="31567"/>
    <cellStyle name="SAPBEXresItem 2 4 5" xfId="31568"/>
    <cellStyle name="SAPBEXresItem 2 4 5 2" xfId="31569"/>
    <cellStyle name="SAPBEXresItem 2 4 5 2 2" xfId="31570"/>
    <cellStyle name="SAPBEXresItem 2 4 5 3" xfId="31571"/>
    <cellStyle name="SAPBEXresItem 2 4 6" xfId="31572"/>
    <cellStyle name="SAPBEXresItem 2 4 6 2" xfId="31573"/>
    <cellStyle name="SAPBEXresItem 2 4 6 2 2" xfId="31574"/>
    <cellStyle name="SAPBEXresItem 2 4 6 3" xfId="31575"/>
    <cellStyle name="SAPBEXresItem 2 4 7" xfId="31576"/>
    <cellStyle name="SAPBEXresItem 2 4 7 2" xfId="31577"/>
    <cellStyle name="SAPBEXresItem 2 4 7 2 2" xfId="31578"/>
    <cellStyle name="SAPBEXresItem 2 4 7 3" xfId="31579"/>
    <cellStyle name="SAPBEXresItem 2 4 8" xfId="31580"/>
    <cellStyle name="SAPBEXresItem 2 4 8 2" xfId="31581"/>
    <cellStyle name="SAPBEXresItem 2 4 8 2 2" xfId="31582"/>
    <cellStyle name="SAPBEXresItem 2 4 8 3" xfId="31583"/>
    <cellStyle name="SAPBEXresItem 2 4 9" xfId="31584"/>
    <cellStyle name="SAPBEXresItem 2 4 9 2" xfId="31585"/>
    <cellStyle name="SAPBEXresItem 2 4_planning-WP" xfId="31586"/>
    <cellStyle name="SAPBEXresItem 2 5" xfId="31587"/>
    <cellStyle name="SAPBEXresItem 2 5 2" xfId="31588"/>
    <cellStyle name="SAPBEXresItem 2 5 2 2" xfId="31589"/>
    <cellStyle name="SAPBEXresItem 2 6" xfId="31590"/>
    <cellStyle name="SAPBEXresItem 2 6 2" xfId="31591"/>
    <cellStyle name="SAPBEXresItem 2 6 2 2" xfId="31592"/>
    <cellStyle name="SAPBEXresItem 2 6 3" xfId="31593"/>
    <cellStyle name="SAPBEXresItem 2 7" xfId="31594"/>
    <cellStyle name="SAPBEXresItem 2 7 2" xfId="31595"/>
    <cellStyle name="SAPBEXresItem 2 7 2 2" xfId="31596"/>
    <cellStyle name="SAPBEXresItem 2 7 3" xfId="31597"/>
    <cellStyle name="SAPBEXresItem 2 8" xfId="31598"/>
    <cellStyle name="SAPBEXresItem 2 8 2" xfId="31599"/>
    <cellStyle name="SAPBEXresItem 2 8 2 2" xfId="31600"/>
    <cellStyle name="SAPBEXresItem 2 8 3" xfId="31601"/>
    <cellStyle name="SAPBEXresItem 2 9" xfId="31602"/>
    <cellStyle name="SAPBEXresItem 2 9 2" xfId="31603"/>
    <cellStyle name="SAPBEXresItem 2 9 2 2" xfId="31604"/>
    <cellStyle name="SAPBEXresItem 2 9 3" xfId="31605"/>
    <cellStyle name="SAPBEXresItem 2_planning-WP" xfId="31606"/>
    <cellStyle name="SAPBEXresItem 20" xfId="31399"/>
    <cellStyle name="SAPBEXresItem 21" xfId="39120"/>
    <cellStyle name="SAPBEXresItem 22" xfId="39501"/>
    <cellStyle name="SAPBEXresItem 3" xfId="1602"/>
    <cellStyle name="SAPBEXresItem 3 10" xfId="9060"/>
    <cellStyle name="SAPBEXresItem 3 10 2" xfId="31609"/>
    <cellStyle name="SAPBEXresItem 3 10 2 2" xfId="31610"/>
    <cellStyle name="SAPBEXresItem 3 10 3" xfId="31611"/>
    <cellStyle name="SAPBEXresItem 3 10 4" xfId="31608"/>
    <cellStyle name="SAPBEXresItem 3 11" xfId="31612"/>
    <cellStyle name="SAPBEXresItem 3 11 2" xfId="31613"/>
    <cellStyle name="SAPBEXresItem 3 11 2 2" xfId="31614"/>
    <cellStyle name="SAPBEXresItem 3 11 3" xfId="31615"/>
    <cellStyle name="SAPBEXresItem 3 12" xfId="31616"/>
    <cellStyle name="SAPBEXresItem 3 12 2" xfId="31617"/>
    <cellStyle name="SAPBEXresItem 3 12 2 2" xfId="31618"/>
    <cellStyle name="SAPBEXresItem 3 12 3" xfId="31619"/>
    <cellStyle name="SAPBEXresItem 3 13" xfId="31620"/>
    <cellStyle name="SAPBEXresItem 3 14" xfId="31607"/>
    <cellStyle name="SAPBEXresItem 3 15" xfId="9799"/>
    <cellStyle name="SAPBEXresItem 3 16" xfId="39123"/>
    <cellStyle name="SAPBEXresItem 3 17" xfId="39504"/>
    <cellStyle name="SAPBEXresItem 3 2" xfId="1943"/>
    <cellStyle name="SAPBEXresItem 3 2 10" xfId="31622"/>
    <cellStyle name="SAPBEXresItem 3 2 10 2" xfId="31623"/>
    <cellStyle name="SAPBEXresItem 3 2 10 2 2" xfId="31624"/>
    <cellStyle name="SAPBEXresItem 3 2 10 3" xfId="31625"/>
    <cellStyle name="SAPBEXresItem 3 2 11" xfId="31626"/>
    <cellStyle name="SAPBEXresItem 3 2 11 2" xfId="31627"/>
    <cellStyle name="SAPBEXresItem 3 2 12" xfId="31621"/>
    <cellStyle name="SAPBEXresItem 3 2 13" xfId="10121"/>
    <cellStyle name="SAPBEXresItem 3 2 14" xfId="39124"/>
    <cellStyle name="SAPBEXresItem 3 2 15" xfId="39505"/>
    <cellStyle name="SAPBEXresItem 3 2 2" xfId="4861"/>
    <cellStyle name="SAPBEXresItem 3 2 2 10" xfId="31629"/>
    <cellStyle name="SAPBEXresItem 3 2 2 10 2" xfId="31630"/>
    <cellStyle name="SAPBEXresItem 3 2 2 11" xfId="31628"/>
    <cellStyle name="SAPBEXresItem 3 2 2 2" xfId="31631"/>
    <cellStyle name="SAPBEXresItem 3 2 2 2 2" xfId="31632"/>
    <cellStyle name="SAPBEXresItem 3 2 2 2 2 2" xfId="31633"/>
    <cellStyle name="SAPBEXresItem 3 2 2 2 3" xfId="31634"/>
    <cellStyle name="SAPBEXresItem 3 2 2 3" xfId="31635"/>
    <cellStyle name="SAPBEXresItem 3 2 2 3 2" xfId="31636"/>
    <cellStyle name="SAPBEXresItem 3 2 2 3 2 2" xfId="31637"/>
    <cellStyle name="SAPBEXresItem 3 2 2 3 3" xfId="31638"/>
    <cellStyle name="SAPBEXresItem 3 2 2 4" xfId="31639"/>
    <cellStyle name="SAPBEXresItem 3 2 2 4 2" xfId="31640"/>
    <cellStyle name="SAPBEXresItem 3 2 2 4 2 2" xfId="31641"/>
    <cellStyle name="SAPBEXresItem 3 2 2 4 3" xfId="31642"/>
    <cellStyle name="SAPBEXresItem 3 2 2 5" xfId="31643"/>
    <cellStyle name="SAPBEXresItem 3 2 2 5 2" xfId="31644"/>
    <cellStyle name="SAPBEXresItem 3 2 2 5 2 2" xfId="31645"/>
    <cellStyle name="SAPBEXresItem 3 2 2 5 3" xfId="31646"/>
    <cellStyle name="SAPBEXresItem 3 2 2 6" xfId="31647"/>
    <cellStyle name="SAPBEXresItem 3 2 2 6 2" xfId="31648"/>
    <cellStyle name="SAPBEXresItem 3 2 2 6 2 2" xfId="31649"/>
    <cellStyle name="SAPBEXresItem 3 2 2 6 3" xfId="31650"/>
    <cellStyle name="SAPBEXresItem 3 2 2 7" xfId="31651"/>
    <cellStyle name="SAPBEXresItem 3 2 2 7 2" xfId="31652"/>
    <cellStyle name="SAPBEXresItem 3 2 2 7 2 2" xfId="31653"/>
    <cellStyle name="SAPBEXresItem 3 2 2 7 3" xfId="31654"/>
    <cellStyle name="SAPBEXresItem 3 2 2 8" xfId="31655"/>
    <cellStyle name="SAPBEXresItem 3 2 2 8 2" xfId="31656"/>
    <cellStyle name="SAPBEXresItem 3 2 2 8 2 2" xfId="31657"/>
    <cellStyle name="SAPBEXresItem 3 2 2 8 3" xfId="31658"/>
    <cellStyle name="SAPBEXresItem 3 2 2 9" xfId="31659"/>
    <cellStyle name="SAPBEXresItem 3 2 2 9 2" xfId="31660"/>
    <cellStyle name="SAPBEXresItem 3 2 2 9 2 2" xfId="31661"/>
    <cellStyle name="SAPBEXresItem 3 2 2 9 3" xfId="31662"/>
    <cellStyle name="SAPBEXresItem 3 2 2_planning-WP" xfId="31663"/>
    <cellStyle name="SAPBEXresItem 3 2 3" xfId="5840"/>
    <cellStyle name="SAPBEXresItem 3 2 3 2" xfId="31665"/>
    <cellStyle name="SAPBEXresItem 3 2 3 2 2" xfId="31666"/>
    <cellStyle name="SAPBEXresItem 3 2 3 3" xfId="31667"/>
    <cellStyle name="SAPBEXresItem 3 2 3 4" xfId="31664"/>
    <cellStyle name="SAPBEXresItem 3 2 4" xfId="6348"/>
    <cellStyle name="SAPBEXresItem 3 2 4 2" xfId="31669"/>
    <cellStyle name="SAPBEXresItem 3 2 4 2 2" xfId="31670"/>
    <cellStyle name="SAPBEXresItem 3 2 4 3" xfId="31671"/>
    <cellStyle name="SAPBEXresItem 3 2 4 4" xfId="31668"/>
    <cellStyle name="SAPBEXresItem 3 2 5" xfId="6835"/>
    <cellStyle name="SAPBEXresItem 3 2 5 2" xfId="31673"/>
    <cellStyle name="SAPBEXresItem 3 2 5 2 2" xfId="31674"/>
    <cellStyle name="SAPBEXresItem 3 2 5 3" xfId="31675"/>
    <cellStyle name="SAPBEXresItem 3 2 5 4" xfId="31672"/>
    <cellStyle name="SAPBEXresItem 3 2 6" xfId="7318"/>
    <cellStyle name="SAPBEXresItem 3 2 6 2" xfId="31677"/>
    <cellStyle name="SAPBEXresItem 3 2 6 2 2" xfId="31678"/>
    <cellStyle name="SAPBEXresItem 3 2 6 3" xfId="31679"/>
    <cellStyle name="SAPBEXresItem 3 2 6 4" xfId="31676"/>
    <cellStyle name="SAPBEXresItem 3 2 7" xfId="8387"/>
    <cellStyle name="SAPBEXresItem 3 2 7 2" xfId="31681"/>
    <cellStyle name="SAPBEXresItem 3 2 7 2 2" xfId="31682"/>
    <cellStyle name="SAPBEXresItem 3 2 7 3" xfId="31683"/>
    <cellStyle name="SAPBEXresItem 3 2 7 4" xfId="31680"/>
    <cellStyle name="SAPBEXresItem 3 2 8" xfId="8888"/>
    <cellStyle name="SAPBEXresItem 3 2 8 2" xfId="31685"/>
    <cellStyle name="SAPBEXresItem 3 2 8 2 2" xfId="31686"/>
    <cellStyle name="SAPBEXresItem 3 2 8 3" xfId="31687"/>
    <cellStyle name="SAPBEXresItem 3 2 8 4" xfId="31684"/>
    <cellStyle name="SAPBEXresItem 3 2 9" xfId="9382"/>
    <cellStyle name="SAPBEXresItem 3 2 9 2" xfId="31689"/>
    <cellStyle name="SAPBEXresItem 3 2 9 2 2" xfId="31690"/>
    <cellStyle name="SAPBEXresItem 3 2 9 3" xfId="31691"/>
    <cellStyle name="SAPBEXresItem 3 2 9 4" xfId="31688"/>
    <cellStyle name="SAPBEXresItem 3 2_planning-WP" xfId="31692"/>
    <cellStyle name="SAPBEXresItem 3 3" xfId="4525"/>
    <cellStyle name="SAPBEXresItem 3 3 10" xfId="31694"/>
    <cellStyle name="SAPBEXresItem 3 3 10 2" xfId="31695"/>
    <cellStyle name="SAPBEXresItem 3 3 11" xfId="31693"/>
    <cellStyle name="SAPBEXresItem 3 3 2" xfId="31696"/>
    <cellStyle name="SAPBEXresItem 3 3 2 2" xfId="31697"/>
    <cellStyle name="SAPBEXresItem 3 3 2 2 2" xfId="31698"/>
    <cellStyle name="SAPBEXresItem 3 3 2 3" xfId="31699"/>
    <cellStyle name="SAPBEXresItem 3 3 3" xfId="31700"/>
    <cellStyle name="SAPBEXresItem 3 3 3 2" xfId="31701"/>
    <cellStyle name="SAPBEXresItem 3 3 3 2 2" xfId="31702"/>
    <cellStyle name="SAPBEXresItem 3 3 3 3" xfId="31703"/>
    <cellStyle name="SAPBEXresItem 3 3 4" xfId="31704"/>
    <cellStyle name="SAPBEXresItem 3 3 4 2" xfId="31705"/>
    <cellStyle name="SAPBEXresItem 3 3 4 2 2" xfId="31706"/>
    <cellStyle name="SAPBEXresItem 3 3 4 3" xfId="31707"/>
    <cellStyle name="SAPBEXresItem 3 3 5" xfId="31708"/>
    <cellStyle name="SAPBEXresItem 3 3 5 2" xfId="31709"/>
    <cellStyle name="SAPBEXresItem 3 3 5 2 2" xfId="31710"/>
    <cellStyle name="SAPBEXresItem 3 3 5 3" xfId="31711"/>
    <cellStyle name="SAPBEXresItem 3 3 6" xfId="31712"/>
    <cellStyle name="SAPBEXresItem 3 3 6 2" xfId="31713"/>
    <cellStyle name="SAPBEXresItem 3 3 6 2 2" xfId="31714"/>
    <cellStyle name="SAPBEXresItem 3 3 6 3" xfId="31715"/>
    <cellStyle name="SAPBEXresItem 3 3 7" xfId="31716"/>
    <cellStyle name="SAPBEXresItem 3 3 7 2" xfId="31717"/>
    <cellStyle name="SAPBEXresItem 3 3 7 2 2" xfId="31718"/>
    <cellStyle name="SAPBEXresItem 3 3 7 3" xfId="31719"/>
    <cellStyle name="SAPBEXresItem 3 3 8" xfId="31720"/>
    <cellStyle name="SAPBEXresItem 3 3 8 2" xfId="31721"/>
    <cellStyle name="SAPBEXresItem 3 3 8 2 2" xfId="31722"/>
    <cellStyle name="SAPBEXresItem 3 3 8 3" xfId="31723"/>
    <cellStyle name="SAPBEXresItem 3 3 9" xfId="31724"/>
    <cellStyle name="SAPBEXresItem 3 3 9 2" xfId="31725"/>
    <cellStyle name="SAPBEXresItem 3 3 9 2 2" xfId="31726"/>
    <cellStyle name="SAPBEXresItem 3 3 9 3" xfId="31727"/>
    <cellStyle name="SAPBEXresItem 3 3_planning-WP" xfId="31728"/>
    <cellStyle name="SAPBEXresItem 3 4" xfId="5517"/>
    <cellStyle name="SAPBEXresItem 3 4 10" xfId="31729"/>
    <cellStyle name="SAPBEXresItem 3 4 2" xfId="31730"/>
    <cellStyle name="SAPBEXresItem 3 4 2 2" xfId="31731"/>
    <cellStyle name="SAPBEXresItem 3 4 2 2 2" xfId="31732"/>
    <cellStyle name="SAPBEXresItem 3 4 2 3" xfId="31733"/>
    <cellStyle name="SAPBEXresItem 3 4 3" xfId="31734"/>
    <cellStyle name="SAPBEXresItem 3 4 3 2" xfId="31735"/>
    <cellStyle name="SAPBEXresItem 3 4 3 2 2" xfId="31736"/>
    <cellStyle name="SAPBEXresItem 3 4 3 3" xfId="31737"/>
    <cellStyle name="SAPBEXresItem 3 4 4" xfId="31738"/>
    <cellStyle name="SAPBEXresItem 3 4 4 2" xfId="31739"/>
    <cellStyle name="SAPBEXresItem 3 4 4 2 2" xfId="31740"/>
    <cellStyle name="SAPBEXresItem 3 4 4 3" xfId="31741"/>
    <cellStyle name="SAPBEXresItem 3 4 5" xfId="31742"/>
    <cellStyle name="SAPBEXresItem 3 4 5 2" xfId="31743"/>
    <cellStyle name="SAPBEXresItem 3 4 5 2 2" xfId="31744"/>
    <cellStyle name="SAPBEXresItem 3 4 5 3" xfId="31745"/>
    <cellStyle name="SAPBEXresItem 3 4 6" xfId="31746"/>
    <cellStyle name="SAPBEXresItem 3 4 6 2" xfId="31747"/>
    <cellStyle name="SAPBEXresItem 3 4 6 2 2" xfId="31748"/>
    <cellStyle name="SAPBEXresItem 3 4 6 3" xfId="31749"/>
    <cellStyle name="SAPBEXresItem 3 4 7" xfId="31750"/>
    <cellStyle name="SAPBEXresItem 3 4 7 2" xfId="31751"/>
    <cellStyle name="SAPBEXresItem 3 4 7 2 2" xfId="31752"/>
    <cellStyle name="SAPBEXresItem 3 4 7 3" xfId="31753"/>
    <cellStyle name="SAPBEXresItem 3 4 8" xfId="31754"/>
    <cellStyle name="SAPBEXresItem 3 4 8 2" xfId="31755"/>
    <cellStyle name="SAPBEXresItem 3 4 8 2 2" xfId="31756"/>
    <cellStyle name="SAPBEXresItem 3 4 8 3" xfId="31757"/>
    <cellStyle name="SAPBEXresItem 3 4 9" xfId="31758"/>
    <cellStyle name="SAPBEXresItem 3 4 9 2" xfId="31759"/>
    <cellStyle name="SAPBEXresItem 3 4_planning-WP" xfId="31760"/>
    <cellStyle name="SAPBEXresItem 3 5" xfId="3341"/>
    <cellStyle name="SAPBEXresItem 3 5 2" xfId="31762"/>
    <cellStyle name="SAPBEXresItem 3 5 2 2" xfId="31763"/>
    <cellStyle name="SAPBEXresItem 3 5 3" xfId="31761"/>
    <cellStyle name="SAPBEXresItem 3 6" xfId="4731"/>
    <cellStyle name="SAPBEXresItem 3 6 2" xfId="31765"/>
    <cellStyle name="SAPBEXresItem 3 6 2 2" xfId="31766"/>
    <cellStyle name="SAPBEXresItem 3 6 3" xfId="31767"/>
    <cellStyle name="SAPBEXresItem 3 6 4" xfId="31764"/>
    <cellStyle name="SAPBEXresItem 3 7" xfId="5225"/>
    <cellStyle name="SAPBEXresItem 3 7 2" xfId="31769"/>
    <cellStyle name="SAPBEXresItem 3 7 2 2" xfId="31770"/>
    <cellStyle name="SAPBEXresItem 3 7 3" xfId="31771"/>
    <cellStyle name="SAPBEXresItem 3 7 4" xfId="31768"/>
    <cellStyle name="SAPBEXresItem 3 8" xfId="8065"/>
    <cellStyle name="SAPBEXresItem 3 8 2" xfId="31773"/>
    <cellStyle name="SAPBEXresItem 3 8 2 2" xfId="31774"/>
    <cellStyle name="SAPBEXresItem 3 8 3" xfId="31775"/>
    <cellStyle name="SAPBEXresItem 3 8 4" xfId="31772"/>
    <cellStyle name="SAPBEXresItem 3 9" xfId="8566"/>
    <cellStyle name="SAPBEXresItem 3 9 2" xfId="31777"/>
    <cellStyle name="SAPBEXresItem 3 9 2 2" xfId="31778"/>
    <cellStyle name="SAPBEXresItem 3 9 3" xfId="31779"/>
    <cellStyle name="SAPBEXresItem 3 9 4" xfId="31776"/>
    <cellStyle name="SAPBEXresItem 3_planning-WP" xfId="31780"/>
    <cellStyle name="SAPBEXresItem 4" xfId="1716"/>
    <cellStyle name="SAPBEXresItem 4 10" xfId="9173"/>
    <cellStyle name="SAPBEXresItem 4 10 2" xfId="31783"/>
    <cellStyle name="SAPBEXresItem 4 10 2 2" xfId="31784"/>
    <cellStyle name="SAPBEXresItem 4 10 3" xfId="31785"/>
    <cellStyle name="SAPBEXresItem 4 10 4" xfId="31782"/>
    <cellStyle name="SAPBEXresItem 4 11" xfId="31786"/>
    <cellStyle name="SAPBEXresItem 4 11 2" xfId="31787"/>
    <cellStyle name="SAPBEXresItem 4 11 2 2" xfId="31788"/>
    <cellStyle name="SAPBEXresItem 4 11 3" xfId="31789"/>
    <cellStyle name="SAPBEXresItem 4 12" xfId="31790"/>
    <cellStyle name="SAPBEXresItem 4 12 2" xfId="31791"/>
    <cellStyle name="SAPBEXresItem 4 12 2 2" xfId="31792"/>
    <cellStyle name="SAPBEXresItem 4 12 3" xfId="31793"/>
    <cellStyle name="SAPBEXresItem 4 13" xfId="31794"/>
    <cellStyle name="SAPBEXresItem 4 14" xfId="31781"/>
    <cellStyle name="SAPBEXresItem 4 15" xfId="9912"/>
    <cellStyle name="SAPBEXresItem 4 16" xfId="39125"/>
    <cellStyle name="SAPBEXresItem 4 17" xfId="39506"/>
    <cellStyle name="SAPBEXresItem 4 2" xfId="2047"/>
    <cellStyle name="SAPBEXresItem 4 2 10" xfId="31796"/>
    <cellStyle name="SAPBEXresItem 4 2 10 2" xfId="31797"/>
    <cellStyle name="SAPBEXresItem 4 2 10 2 2" xfId="31798"/>
    <cellStyle name="SAPBEXresItem 4 2 10 3" xfId="31799"/>
    <cellStyle name="SAPBEXresItem 4 2 11" xfId="31800"/>
    <cellStyle name="SAPBEXresItem 4 2 11 2" xfId="31801"/>
    <cellStyle name="SAPBEXresItem 4 2 12" xfId="31795"/>
    <cellStyle name="SAPBEXresItem 4 2 13" xfId="10224"/>
    <cellStyle name="SAPBEXresItem 4 2 14" xfId="39126"/>
    <cellStyle name="SAPBEXresItem 4 2 15" xfId="39507"/>
    <cellStyle name="SAPBEXresItem 4 2 2" xfId="4964"/>
    <cellStyle name="SAPBEXresItem 4 2 2 10" xfId="31803"/>
    <cellStyle name="SAPBEXresItem 4 2 2 10 2" xfId="31804"/>
    <cellStyle name="SAPBEXresItem 4 2 2 11" xfId="31802"/>
    <cellStyle name="SAPBEXresItem 4 2 2 2" xfId="31805"/>
    <cellStyle name="SAPBEXresItem 4 2 2 2 2" xfId="31806"/>
    <cellStyle name="SAPBEXresItem 4 2 2 2 2 2" xfId="31807"/>
    <cellStyle name="SAPBEXresItem 4 2 2 2 3" xfId="31808"/>
    <cellStyle name="SAPBEXresItem 4 2 2 3" xfId="31809"/>
    <cellStyle name="SAPBEXresItem 4 2 2 3 2" xfId="31810"/>
    <cellStyle name="SAPBEXresItem 4 2 2 3 2 2" xfId="31811"/>
    <cellStyle name="SAPBEXresItem 4 2 2 3 3" xfId="31812"/>
    <cellStyle name="SAPBEXresItem 4 2 2 4" xfId="31813"/>
    <cellStyle name="SAPBEXresItem 4 2 2 4 2" xfId="31814"/>
    <cellStyle name="SAPBEXresItem 4 2 2 4 2 2" xfId="31815"/>
    <cellStyle name="SAPBEXresItem 4 2 2 4 3" xfId="31816"/>
    <cellStyle name="SAPBEXresItem 4 2 2 5" xfId="31817"/>
    <cellStyle name="SAPBEXresItem 4 2 2 5 2" xfId="31818"/>
    <cellStyle name="SAPBEXresItem 4 2 2 5 2 2" xfId="31819"/>
    <cellStyle name="SAPBEXresItem 4 2 2 5 3" xfId="31820"/>
    <cellStyle name="SAPBEXresItem 4 2 2 6" xfId="31821"/>
    <cellStyle name="SAPBEXresItem 4 2 2 6 2" xfId="31822"/>
    <cellStyle name="SAPBEXresItem 4 2 2 6 2 2" xfId="31823"/>
    <cellStyle name="SAPBEXresItem 4 2 2 6 3" xfId="31824"/>
    <cellStyle name="SAPBEXresItem 4 2 2 7" xfId="31825"/>
    <cellStyle name="SAPBEXresItem 4 2 2 7 2" xfId="31826"/>
    <cellStyle name="SAPBEXresItem 4 2 2 7 2 2" xfId="31827"/>
    <cellStyle name="SAPBEXresItem 4 2 2 7 3" xfId="31828"/>
    <cellStyle name="SAPBEXresItem 4 2 2 8" xfId="31829"/>
    <cellStyle name="SAPBEXresItem 4 2 2 8 2" xfId="31830"/>
    <cellStyle name="SAPBEXresItem 4 2 2 8 2 2" xfId="31831"/>
    <cellStyle name="SAPBEXresItem 4 2 2 8 3" xfId="31832"/>
    <cellStyle name="SAPBEXresItem 4 2 2 9" xfId="31833"/>
    <cellStyle name="SAPBEXresItem 4 2 2 9 2" xfId="31834"/>
    <cellStyle name="SAPBEXresItem 4 2 2 9 2 2" xfId="31835"/>
    <cellStyle name="SAPBEXresItem 4 2 2 9 3" xfId="31836"/>
    <cellStyle name="SAPBEXresItem 4 2 2_planning-WP" xfId="31837"/>
    <cellStyle name="SAPBEXresItem 4 2 3" xfId="5943"/>
    <cellStyle name="SAPBEXresItem 4 2 3 2" xfId="31839"/>
    <cellStyle name="SAPBEXresItem 4 2 3 2 2" xfId="31840"/>
    <cellStyle name="SAPBEXresItem 4 2 3 3" xfId="31841"/>
    <cellStyle name="SAPBEXresItem 4 2 3 4" xfId="31838"/>
    <cellStyle name="SAPBEXresItem 4 2 4" xfId="6451"/>
    <cellStyle name="SAPBEXresItem 4 2 4 2" xfId="31843"/>
    <cellStyle name="SAPBEXresItem 4 2 4 2 2" xfId="31844"/>
    <cellStyle name="SAPBEXresItem 4 2 4 3" xfId="31845"/>
    <cellStyle name="SAPBEXresItem 4 2 4 4" xfId="31842"/>
    <cellStyle name="SAPBEXresItem 4 2 5" xfId="6938"/>
    <cellStyle name="SAPBEXresItem 4 2 5 2" xfId="31847"/>
    <cellStyle name="SAPBEXresItem 4 2 5 2 2" xfId="31848"/>
    <cellStyle name="SAPBEXresItem 4 2 5 3" xfId="31849"/>
    <cellStyle name="SAPBEXresItem 4 2 5 4" xfId="31846"/>
    <cellStyle name="SAPBEXresItem 4 2 6" xfId="7421"/>
    <cellStyle name="SAPBEXresItem 4 2 6 2" xfId="31851"/>
    <cellStyle name="SAPBEXresItem 4 2 6 2 2" xfId="31852"/>
    <cellStyle name="SAPBEXresItem 4 2 6 3" xfId="31853"/>
    <cellStyle name="SAPBEXresItem 4 2 6 4" xfId="31850"/>
    <cellStyle name="SAPBEXresItem 4 2 7" xfId="8490"/>
    <cellStyle name="SAPBEXresItem 4 2 7 2" xfId="31855"/>
    <cellStyle name="SAPBEXresItem 4 2 7 2 2" xfId="31856"/>
    <cellStyle name="SAPBEXresItem 4 2 7 3" xfId="31857"/>
    <cellStyle name="SAPBEXresItem 4 2 7 4" xfId="31854"/>
    <cellStyle name="SAPBEXresItem 4 2 8" xfId="8991"/>
    <cellStyle name="SAPBEXresItem 4 2 8 2" xfId="31859"/>
    <cellStyle name="SAPBEXresItem 4 2 8 2 2" xfId="31860"/>
    <cellStyle name="SAPBEXresItem 4 2 8 3" xfId="31861"/>
    <cellStyle name="SAPBEXresItem 4 2 8 4" xfId="31858"/>
    <cellStyle name="SAPBEXresItem 4 2 9" xfId="9485"/>
    <cellStyle name="SAPBEXresItem 4 2 9 2" xfId="31863"/>
    <cellStyle name="SAPBEXresItem 4 2 9 2 2" xfId="31864"/>
    <cellStyle name="SAPBEXresItem 4 2 9 3" xfId="31865"/>
    <cellStyle name="SAPBEXresItem 4 2 9 4" xfId="31862"/>
    <cellStyle name="SAPBEXresItem 4 2_planning-WP" xfId="31866"/>
    <cellStyle name="SAPBEXresItem 4 3" xfId="4638"/>
    <cellStyle name="SAPBEXresItem 4 3 10" xfId="31868"/>
    <cellStyle name="SAPBEXresItem 4 3 10 2" xfId="31869"/>
    <cellStyle name="SAPBEXresItem 4 3 11" xfId="31867"/>
    <cellStyle name="SAPBEXresItem 4 3 2" xfId="31870"/>
    <cellStyle name="SAPBEXresItem 4 3 2 2" xfId="31871"/>
    <cellStyle name="SAPBEXresItem 4 3 2 2 2" xfId="31872"/>
    <cellStyle name="SAPBEXresItem 4 3 2 3" xfId="31873"/>
    <cellStyle name="SAPBEXresItem 4 3 3" xfId="31874"/>
    <cellStyle name="SAPBEXresItem 4 3 3 2" xfId="31875"/>
    <cellStyle name="SAPBEXresItem 4 3 3 2 2" xfId="31876"/>
    <cellStyle name="SAPBEXresItem 4 3 3 3" xfId="31877"/>
    <cellStyle name="SAPBEXresItem 4 3 4" xfId="31878"/>
    <cellStyle name="SAPBEXresItem 4 3 4 2" xfId="31879"/>
    <cellStyle name="SAPBEXresItem 4 3 4 2 2" xfId="31880"/>
    <cellStyle name="SAPBEXresItem 4 3 4 3" xfId="31881"/>
    <cellStyle name="SAPBEXresItem 4 3 5" xfId="31882"/>
    <cellStyle name="SAPBEXresItem 4 3 5 2" xfId="31883"/>
    <cellStyle name="SAPBEXresItem 4 3 5 2 2" xfId="31884"/>
    <cellStyle name="SAPBEXresItem 4 3 5 3" xfId="31885"/>
    <cellStyle name="SAPBEXresItem 4 3 6" xfId="31886"/>
    <cellStyle name="SAPBEXresItem 4 3 6 2" xfId="31887"/>
    <cellStyle name="SAPBEXresItem 4 3 6 2 2" xfId="31888"/>
    <cellStyle name="SAPBEXresItem 4 3 6 3" xfId="31889"/>
    <cellStyle name="SAPBEXresItem 4 3 7" xfId="31890"/>
    <cellStyle name="SAPBEXresItem 4 3 7 2" xfId="31891"/>
    <cellStyle name="SAPBEXresItem 4 3 7 2 2" xfId="31892"/>
    <cellStyle name="SAPBEXresItem 4 3 7 3" xfId="31893"/>
    <cellStyle name="SAPBEXresItem 4 3 8" xfId="31894"/>
    <cellStyle name="SAPBEXresItem 4 3 8 2" xfId="31895"/>
    <cellStyle name="SAPBEXresItem 4 3 8 2 2" xfId="31896"/>
    <cellStyle name="SAPBEXresItem 4 3 8 3" xfId="31897"/>
    <cellStyle name="SAPBEXresItem 4 3 9" xfId="31898"/>
    <cellStyle name="SAPBEXresItem 4 3 9 2" xfId="31899"/>
    <cellStyle name="SAPBEXresItem 4 3 9 2 2" xfId="31900"/>
    <cellStyle name="SAPBEXresItem 4 3 9 3" xfId="31901"/>
    <cellStyle name="SAPBEXresItem 4 3_planning-WP" xfId="31902"/>
    <cellStyle name="SAPBEXresItem 4 4" xfId="5630"/>
    <cellStyle name="SAPBEXresItem 4 4 10" xfId="31903"/>
    <cellStyle name="SAPBEXresItem 4 4 2" xfId="31904"/>
    <cellStyle name="SAPBEXresItem 4 4 2 2" xfId="31905"/>
    <cellStyle name="SAPBEXresItem 4 4 2 2 2" xfId="31906"/>
    <cellStyle name="SAPBEXresItem 4 4 2 3" xfId="31907"/>
    <cellStyle name="SAPBEXresItem 4 4 3" xfId="31908"/>
    <cellStyle name="SAPBEXresItem 4 4 3 2" xfId="31909"/>
    <cellStyle name="SAPBEXresItem 4 4 3 2 2" xfId="31910"/>
    <cellStyle name="SAPBEXresItem 4 4 3 3" xfId="31911"/>
    <cellStyle name="SAPBEXresItem 4 4 4" xfId="31912"/>
    <cellStyle name="SAPBEXresItem 4 4 4 2" xfId="31913"/>
    <cellStyle name="SAPBEXresItem 4 4 4 2 2" xfId="31914"/>
    <cellStyle name="SAPBEXresItem 4 4 4 3" xfId="31915"/>
    <cellStyle name="SAPBEXresItem 4 4 5" xfId="31916"/>
    <cellStyle name="SAPBEXresItem 4 4 5 2" xfId="31917"/>
    <cellStyle name="SAPBEXresItem 4 4 5 2 2" xfId="31918"/>
    <cellStyle name="SAPBEXresItem 4 4 5 3" xfId="31919"/>
    <cellStyle name="SAPBEXresItem 4 4 6" xfId="31920"/>
    <cellStyle name="SAPBEXresItem 4 4 6 2" xfId="31921"/>
    <cellStyle name="SAPBEXresItem 4 4 6 2 2" xfId="31922"/>
    <cellStyle name="SAPBEXresItem 4 4 6 3" xfId="31923"/>
    <cellStyle name="SAPBEXresItem 4 4 7" xfId="31924"/>
    <cellStyle name="SAPBEXresItem 4 4 7 2" xfId="31925"/>
    <cellStyle name="SAPBEXresItem 4 4 7 2 2" xfId="31926"/>
    <cellStyle name="SAPBEXresItem 4 4 7 3" xfId="31927"/>
    <cellStyle name="SAPBEXresItem 4 4 8" xfId="31928"/>
    <cellStyle name="SAPBEXresItem 4 4 8 2" xfId="31929"/>
    <cellStyle name="SAPBEXresItem 4 4 8 2 2" xfId="31930"/>
    <cellStyle name="SAPBEXresItem 4 4 8 3" xfId="31931"/>
    <cellStyle name="SAPBEXresItem 4 4 9" xfId="31932"/>
    <cellStyle name="SAPBEXresItem 4 4 9 2" xfId="31933"/>
    <cellStyle name="SAPBEXresItem 4 4_planning-WP" xfId="31934"/>
    <cellStyle name="SAPBEXresItem 4 5" xfId="6139"/>
    <cellStyle name="SAPBEXresItem 4 5 2" xfId="31936"/>
    <cellStyle name="SAPBEXresItem 4 5 2 2" xfId="31937"/>
    <cellStyle name="SAPBEXresItem 4 5 3" xfId="31935"/>
    <cellStyle name="SAPBEXresItem 4 6" xfId="6626"/>
    <cellStyle name="SAPBEXresItem 4 6 2" xfId="31939"/>
    <cellStyle name="SAPBEXresItem 4 6 2 2" xfId="31940"/>
    <cellStyle name="SAPBEXresItem 4 6 3" xfId="31941"/>
    <cellStyle name="SAPBEXresItem 4 6 4" xfId="31938"/>
    <cellStyle name="SAPBEXresItem 4 7" xfId="7109"/>
    <cellStyle name="SAPBEXresItem 4 7 2" xfId="31943"/>
    <cellStyle name="SAPBEXresItem 4 7 2 2" xfId="31944"/>
    <cellStyle name="SAPBEXresItem 4 7 3" xfId="31945"/>
    <cellStyle name="SAPBEXresItem 4 7 4" xfId="31942"/>
    <cellStyle name="SAPBEXresItem 4 8" xfId="8178"/>
    <cellStyle name="SAPBEXresItem 4 8 2" xfId="31947"/>
    <cellStyle name="SAPBEXresItem 4 8 2 2" xfId="31948"/>
    <cellStyle name="SAPBEXresItem 4 8 3" xfId="31949"/>
    <cellStyle name="SAPBEXresItem 4 8 4" xfId="31946"/>
    <cellStyle name="SAPBEXresItem 4 9" xfId="8679"/>
    <cellStyle name="SAPBEXresItem 4 9 2" xfId="31951"/>
    <cellStyle name="SAPBEXresItem 4 9 2 2" xfId="31952"/>
    <cellStyle name="SAPBEXresItem 4 9 3" xfId="31953"/>
    <cellStyle name="SAPBEXresItem 4 9 4" xfId="31950"/>
    <cellStyle name="SAPBEXresItem 4_planning-WP" xfId="31954"/>
    <cellStyle name="SAPBEXresItem 5" xfId="1660"/>
    <cellStyle name="SAPBEXresItem 5 10" xfId="9118"/>
    <cellStyle name="SAPBEXresItem 5 10 2" xfId="31957"/>
    <cellStyle name="SAPBEXresItem 5 10 2 2" xfId="31958"/>
    <cellStyle name="SAPBEXresItem 5 10 3" xfId="31959"/>
    <cellStyle name="SAPBEXresItem 5 10 4" xfId="31956"/>
    <cellStyle name="SAPBEXresItem 5 11" xfId="31960"/>
    <cellStyle name="SAPBEXresItem 5 11 2" xfId="31961"/>
    <cellStyle name="SAPBEXresItem 5 11 2 2" xfId="31962"/>
    <cellStyle name="SAPBEXresItem 5 11 3" xfId="31963"/>
    <cellStyle name="SAPBEXresItem 5 12" xfId="31964"/>
    <cellStyle name="SAPBEXresItem 5 12 2" xfId="31965"/>
    <cellStyle name="SAPBEXresItem 5 12 2 2" xfId="31966"/>
    <cellStyle name="SAPBEXresItem 5 12 3" xfId="31967"/>
    <cellStyle name="SAPBEXresItem 5 13" xfId="31968"/>
    <cellStyle name="SAPBEXresItem 5 14" xfId="31955"/>
    <cellStyle name="SAPBEXresItem 5 15" xfId="9857"/>
    <cellStyle name="SAPBEXresItem 5 16" xfId="39127"/>
    <cellStyle name="SAPBEXresItem 5 17" xfId="39508"/>
    <cellStyle name="SAPBEXresItem 5 2" xfId="1994"/>
    <cellStyle name="SAPBEXresItem 5 2 10" xfId="31970"/>
    <cellStyle name="SAPBEXresItem 5 2 10 2" xfId="31971"/>
    <cellStyle name="SAPBEXresItem 5 2 10 2 2" xfId="31972"/>
    <cellStyle name="SAPBEXresItem 5 2 10 3" xfId="31973"/>
    <cellStyle name="SAPBEXresItem 5 2 11" xfId="31974"/>
    <cellStyle name="SAPBEXresItem 5 2 11 2" xfId="31975"/>
    <cellStyle name="SAPBEXresItem 5 2 12" xfId="31969"/>
    <cellStyle name="SAPBEXresItem 5 2 13" xfId="10172"/>
    <cellStyle name="SAPBEXresItem 5 2 14" xfId="39128"/>
    <cellStyle name="SAPBEXresItem 5 2 15" xfId="39509"/>
    <cellStyle name="SAPBEXresItem 5 2 2" xfId="4912"/>
    <cellStyle name="SAPBEXresItem 5 2 2 10" xfId="31977"/>
    <cellStyle name="SAPBEXresItem 5 2 2 10 2" xfId="31978"/>
    <cellStyle name="SAPBEXresItem 5 2 2 11" xfId="31976"/>
    <cellStyle name="SAPBEXresItem 5 2 2 2" xfId="31979"/>
    <cellStyle name="SAPBEXresItem 5 2 2 2 2" xfId="31980"/>
    <cellStyle name="SAPBEXresItem 5 2 2 2 2 2" xfId="31981"/>
    <cellStyle name="SAPBEXresItem 5 2 2 2 3" xfId="31982"/>
    <cellStyle name="SAPBEXresItem 5 2 2 3" xfId="31983"/>
    <cellStyle name="SAPBEXresItem 5 2 2 3 2" xfId="31984"/>
    <cellStyle name="SAPBEXresItem 5 2 2 3 2 2" xfId="31985"/>
    <cellStyle name="SAPBEXresItem 5 2 2 3 3" xfId="31986"/>
    <cellStyle name="SAPBEXresItem 5 2 2 4" xfId="31987"/>
    <cellStyle name="SAPBEXresItem 5 2 2 4 2" xfId="31988"/>
    <cellStyle name="SAPBEXresItem 5 2 2 4 2 2" xfId="31989"/>
    <cellStyle name="SAPBEXresItem 5 2 2 4 3" xfId="31990"/>
    <cellStyle name="SAPBEXresItem 5 2 2 5" xfId="31991"/>
    <cellStyle name="SAPBEXresItem 5 2 2 5 2" xfId="31992"/>
    <cellStyle name="SAPBEXresItem 5 2 2 5 2 2" xfId="31993"/>
    <cellStyle name="SAPBEXresItem 5 2 2 5 3" xfId="31994"/>
    <cellStyle name="SAPBEXresItem 5 2 2 6" xfId="31995"/>
    <cellStyle name="SAPBEXresItem 5 2 2 6 2" xfId="31996"/>
    <cellStyle name="SAPBEXresItem 5 2 2 6 2 2" xfId="31997"/>
    <cellStyle name="SAPBEXresItem 5 2 2 6 3" xfId="31998"/>
    <cellStyle name="SAPBEXresItem 5 2 2 7" xfId="31999"/>
    <cellStyle name="SAPBEXresItem 5 2 2 7 2" xfId="32000"/>
    <cellStyle name="SAPBEXresItem 5 2 2 7 2 2" xfId="32001"/>
    <cellStyle name="SAPBEXresItem 5 2 2 7 3" xfId="32002"/>
    <cellStyle name="SAPBEXresItem 5 2 2 8" xfId="32003"/>
    <cellStyle name="SAPBEXresItem 5 2 2 8 2" xfId="32004"/>
    <cellStyle name="SAPBEXresItem 5 2 2 8 2 2" xfId="32005"/>
    <cellStyle name="SAPBEXresItem 5 2 2 8 3" xfId="32006"/>
    <cellStyle name="SAPBEXresItem 5 2 2 9" xfId="32007"/>
    <cellStyle name="SAPBEXresItem 5 2 2 9 2" xfId="32008"/>
    <cellStyle name="SAPBEXresItem 5 2 2 9 2 2" xfId="32009"/>
    <cellStyle name="SAPBEXresItem 5 2 2 9 3" xfId="32010"/>
    <cellStyle name="SAPBEXresItem 5 2 2_planning-WP" xfId="32011"/>
    <cellStyle name="SAPBEXresItem 5 2 3" xfId="5891"/>
    <cellStyle name="SAPBEXresItem 5 2 3 2" xfId="32013"/>
    <cellStyle name="SAPBEXresItem 5 2 3 2 2" xfId="32014"/>
    <cellStyle name="SAPBEXresItem 5 2 3 3" xfId="32015"/>
    <cellStyle name="SAPBEXresItem 5 2 3 4" xfId="32012"/>
    <cellStyle name="SAPBEXresItem 5 2 4" xfId="6399"/>
    <cellStyle name="SAPBEXresItem 5 2 4 2" xfId="32017"/>
    <cellStyle name="SAPBEXresItem 5 2 4 2 2" xfId="32018"/>
    <cellStyle name="SAPBEXresItem 5 2 4 3" xfId="32019"/>
    <cellStyle name="SAPBEXresItem 5 2 4 4" xfId="32016"/>
    <cellStyle name="SAPBEXresItem 5 2 5" xfId="6886"/>
    <cellStyle name="SAPBEXresItem 5 2 5 2" xfId="32021"/>
    <cellStyle name="SAPBEXresItem 5 2 5 2 2" xfId="32022"/>
    <cellStyle name="SAPBEXresItem 5 2 5 3" xfId="32023"/>
    <cellStyle name="SAPBEXresItem 5 2 5 4" xfId="32020"/>
    <cellStyle name="SAPBEXresItem 5 2 6" xfId="7369"/>
    <cellStyle name="SAPBEXresItem 5 2 6 2" xfId="32025"/>
    <cellStyle name="SAPBEXresItem 5 2 6 2 2" xfId="32026"/>
    <cellStyle name="SAPBEXresItem 5 2 6 3" xfId="32027"/>
    <cellStyle name="SAPBEXresItem 5 2 6 4" xfId="32024"/>
    <cellStyle name="SAPBEXresItem 5 2 7" xfId="8438"/>
    <cellStyle name="SAPBEXresItem 5 2 7 2" xfId="32029"/>
    <cellStyle name="SAPBEXresItem 5 2 7 2 2" xfId="32030"/>
    <cellStyle name="SAPBEXresItem 5 2 7 3" xfId="32031"/>
    <cellStyle name="SAPBEXresItem 5 2 7 4" xfId="32028"/>
    <cellStyle name="SAPBEXresItem 5 2 8" xfId="8939"/>
    <cellStyle name="SAPBEXresItem 5 2 8 2" xfId="32033"/>
    <cellStyle name="SAPBEXresItem 5 2 8 2 2" xfId="32034"/>
    <cellStyle name="SAPBEXresItem 5 2 8 3" xfId="32035"/>
    <cellStyle name="SAPBEXresItem 5 2 8 4" xfId="32032"/>
    <cellStyle name="SAPBEXresItem 5 2 9" xfId="9433"/>
    <cellStyle name="SAPBEXresItem 5 2 9 2" xfId="32037"/>
    <cellStyle name="SAPBEXresItem 5 2 9 2 2" xfId="32038"/>
    <cellStyle name="SAPBEXresItem 5 2 9 3" xfId="32039"/>
    <cellStyle name="SAPBEXresItem 5 2 9 4" xfId="32036"/>
    <cellStyle name="SAPBEXresItem 5 2_planning-WP" xfId="32040"/>
    <cellStyle name="SAPBEXresItem 5 3" xfId="4583"/>
    <cellStyle name="SAPBEXresItem 5 3 10" xfId="32042"/>
    <cellStyle name="SAPBEXresItem 5 3 10 2" xfId="32043"/>
    <cellStyle name="SAPBEXresItem 5 3 11" xfId="32041"/>
    <cellStyle name="SAPBEXresItem 5 3 2" xfId="32044"/>
    <cellStyle name="SAPBEXresItem 5 3 2 2" xfId="32045"/>
    <cellStyle name="SAPBEXresItem 5 3 2 2 2" xfId="32046"/>
    <cellStyle name="SAPBEXresItem 5 3 2 3" xfId="32047"/>
    <cellStyle name="SAPBEXresItem 5 3 3" xfId="32048"/>
    <cellStyle name="SAPBEXresItem 5 3 3 2" xfId="32049"/>
    <cellStyle name="SAPBEXresItem 5 3 3 2 2" xfId="32050"/>
    <cellStyle name="SAPBEXresItem 5 3 3 3" xfId="32051"/>
    <cellStyle name="SAPBEXresItem 5 3 4" xfId="32052"/>
    <cellStyle name="SAPBEXresItem 5 3 4 2" xfId="32053"/>
    <cellStyle name="SAPBEXresItem 5 3 4 2 2" xfId="32054"/>
    <cellStyle name="SAPBEXresItem 5 3 4 3" xfId="32055"/>
    <cellStyle name="SAPBEXresItem 5 3 5" xfId="32056"/>
    <cellStyle name="SAPBEXresItem 5 3 5 2" xfId="32057"/>
    <cellStyle name="SAPBEXresItem 5 3 5 2 2" xfId="32058"/>
    <cellStyle name="SAPBEXresItem 5 3 5 3" xfId="32059"/>
    <cellStyle name="SAPBEXresItem 5 3 6" xfId="32060"/>
    <cellStyle name="SAPBEXresItem 5 3 6 2" xfId="32061"/>
    <cellStyle name="SAPBEXresItem 5 3 6 2 2" xfId="32062"/>
    <cellStyle name="SAPBEXresItem 5 3 6 3" xfId="32063"/>
    <cellStyle name="SAPBEXresItem 5 3 7" xfId="32064"/>
    <cellStyle name="SAPBEXresItem 5 3 7 2" xfId="32065"/>
    <cellStyle name="SAPBEXresItem 5 3 7 2 2" xfId="32066"/>
    <cellStyle name="SAPBEXresItem 5 3 7 3" xfId="32067"/>
    <cellStyle name="SAPBEXresItem 5 3 8" xfId="32068"/>
    <cellStyle name="SAPBEXresItem 5 3 8 2" xfId="32069"/>
    <cellStyle name="SAPBEXresItem 5 3 8 2 2" xfId="32070"/>
    <cellStyle name="SAPBEXresItem 5 3 8 3" xfId="32071"/>
    <cellStyle name="SAPBEXresItem 5 3 9" xfId="32072"/>
    <cellStyle name="SAPBEXresItem 5 3 9 2" xfId="32073"/>
    <cellStyle name="SAPBEXresItem 5 3 9 2 2" xfId="32074"/>
    <cellStyle name="SAPBEXresItem 5 3 9 3" xfId="32075"/>
    <cellStyle name="SAPBEXresItem 5 3_planning-WP" xfId="32076"/>
    <cellStyle name="SAPBEXresItem 5 4" xfId="5575"/>
    <cellStyle name="SAPBEXresItem 5 4 10" xfId="32077"/>
    <cellStyle name="SAPBEXresItem 5 4 2" xfId="32078"/>
    <cellStyle name="SAPBEXresItem 5 4 2 2" xfId="32079"/>
    <cellStyle name="SAPBEXresItem 5 4 2 2 2" xfId="32080"/>
    <cellStyle name="SAPBEXresItem 5 4 2 3" xfId="32081"/>
    <cellStyle name="SAPBEXresItem 5 4 3" xfId="32082"/>
    <cellStyle name="SAPBEXresItem 5 4 3 2" xfId="32083"/>
    <cellStyle name="SAPBEXresItem 5 4 3 2 2" xfId="32084"/>
    <cellStyle name="SAPBEXresItem 5 4 3 3" xfId="32085"/>
    <cellStyle name="SAPBEXresItem 5 4 4" xfId="32086"/>
    <cellStyle name="SAPBEXresItem 5 4 4 2" xfId="32087"/>
    <cellStyle name="SAPBEXresItem 5 4 4 2 2" xfId="32088"/>
    <cellStyle name="SAPBEXresItem 5 4 4 3" xfId="32089"/>
    <cellStyle name="SAPBEXresItem 5 4 5" xfId="32090"/>
    <cellStyle name="SAPBEXresItem 5 4 5 2" xfId="32091"/>
    <cellStyle name="SAPBEXresItem 5 4 5 2 2" xfId="32092"/>
    <cellStyle name="SAPBEXresItem 5 4 5 3" xfId="32093"/>
    <cellStyle name="SAPBEXresItem 5 4 6" xfId="32094"/>
    <cellStyle name="SAPBEXresItem 5 4 6 2" xfId="32095"/>
    <cellStyle name="SAPBEXresItem 5 4 6 2 2" xfId="32096"/>
    <cellStyle name="SAPBEXresItem 5 4 6 3" xfId="32097"/>
    <cellStyle name="SAPBEXresItem 5 4 7" xfId="32098"/>
    <cellStyle name="SAPBEXresItem 5 4 7 2" xfId="32099"/>
    <cellStyle name="SAPBEXresItem 5 4 7 2 2" xfId="32100"/>
    <cellStyle name="SAPBEXresItem 5 4 7 3" xfId="32101"/>
    <cellStyle name="SAPBEXresItem 5 4 8" xfId="32102"/>
    <cellStyle name="SAPBEXresItem 5 4 8 2" xfId="32103"/>
    <cellStyle name="SAPBEXresItem 5 4 8 2 2" xfId="32104"/>
    <cellStyle name="SAPBEXresItem 5 4 8 3" xfId="32105"/>
    <cellStyle name="SAPBEXresItem 5 4 9" xfId="32106"/>
    <cellStyle name="SAPBEXresItem 5 4 9 2" xfId="32107"/>
    <cellStyle name="SAPBEXresItem 5 4_planning-WP" xfId="32108"/>
    <cellStyle name="SAPBEXresItem 5 5" xfId="6084"/>
    <cellStyle name="SAPBEXresItem 5 5 2" xfId="32110"/>
    <cellStyle name="SAPBEXresItem 5 5 2 2" xfId="32111"/>
    <cellStyle name="SAPBEXresItem 5 5 3" xfId="32109"/>
    <cellStyle name="SAPBEXresItem 5 6" xfId="6571"/>
    <cellStyle name="SAPBEXresItem 5 6 2" xfId="32113"/>
    <cellStyle name="SAPBEXresItem 5 6 2 2" xfId="32114"/>
    <cellStyle name="SAPBEXresItem 5 6 3" xfId="32115"/>
    <cellStyle name="SAPBEXresItem 5 6 4" xfId="32112"/>
    <cellStyle name="SAPBEXresItem 5 7" xfId="7054"/>
    <cellStyle name="SAPBEXresItem 5 7 2" xfId="32117"/>
    <cellStyle name="SAPBEXresItem 5 7 2 2" xfId="32118"/>
    <cellStyle name="SAPBEXresItem 5 7 3" xfId="32119"/>
    <cellStyle name="SAPBEXresItem 5 7 4" xfId="32116"/>
    <cellStyle name="SAPBEXresItem 5 8" xfId="8123"/>
    <cellStyle name="SAPBEXresItem 5 8 2" xfId="32121"/>
    <cellStyle name="SAPBEXresItem 5 8 2 2" xfId="32122"/>
    <cellStyle name="SAPBEXresItem 5 8 3" xfId="32123"/>
    <cellStyle name="SAPBEXresItem 5 8 4" xfId="32120"/>
    <cellStyle name="SAPBEXresItem 5 9" xfId="8624"/>
    <cellStyle name="SAPBEXresItem 5 9 2" xfId="32125"/>
    <cellStyle name="SAPBEXresItem 5 9 2 2" xfId="32126"/>
    <cellStyle name="SAPBEXresItem 5 9 3" xfId="32127"/>
    <cellStyle name="SAPBEXresItem 5 9 4" xfId="32124"/>
    <cellStyle name="SAPBEXresItem 5_planning-WP" xfId="32128"/>
    <cellStyle name="SAPBEXresItem 6" xfId="1745"/>
    <cellStyle name="SAPBEXresItem 6 10" xfId="9200"/>
    <cellStyle name="SAPBEXresItem 6 10 2" xfId="32131"/>
    <cellStyle name="SAPBEXresItem 6 10 2 2" xfId="32132"/>
    <cellStyle name="SAPBEXresItem 6 10 3" xfId="32133"/>
    <cellStyle name="SAPBEXresItem 6 10 4" xfId="32130"/>
    <cellStyle name="SAPBEXresItem 6 11" xfId="32134"/>
    <cellStyle name="SAPBEXresItem 6 11 2" xfId="32135"/>
    <cellStyle name="SAPBEXresItem 6 11 2 2" xfId="32136"/>
    <cellStyle name="SAPBEXresItem 6 11 3" xfId="32137"/>
    <cellStyle name="SAPBEXresItem 6 12" xfId="32138"/>
    <cellStyle name="SAPBEXresItem 6 13" xfId="32129"/>
    <cellStyle name="SAPBEXresItem 6 14" xfId="9939"/>
    <cellStyle name="SAPBEXresItem 6 15" xfId="39129"/>
    <cellStyle name="SAPBEXresItem 6 16" xfId="39510"/>
    <cellStyle name="SAPBEXresItem 6 2" xfId="2075"/>
    <cellStyle name="SAPBEXresItem 6 2 10" xfId="32140"/>
    <cellStyle name="SAPBEXresItem 6 2 10 2" xfId="32141"/>
    <cellStyle name="SAPBEXresItem 6 2 11" xfId="32139"/>
    <cellStyle name="SAPBEXresItem 6 2 12" xfId="10250"/>
    <cellStyle name="SAPBEXresItem 6 2 2" xfId="4990"/>
    <cellStyle name="SAPBEXresItem 6 2 2 2" xfId="32143"/>
    <cellStyle name="SAPBEXresItem 6 2 2 2 2" xfId="32144"/>
    <cellStyle name="SAPBEXresItem 6 2 2 3" xfId="32145"/>
    <cellStyle name="SAPBEXresItem 6 2 2 4" xfId="32142"/>
    <cellStyle name="SAPBEXresItem 6 2 3" xfId="5969"/>
    <cellStyle name="SAPBEXresItem 6 2 3 2" xfId="32147"/>
    <cellStyle name="SAPBEXresItem 6 2 3 2 2" xfId="32148"/>
    <cellStyle name="SAPBEXresItem 6 2 3 3" xfId="32149"/>
    <cellStyle name="SAPBEXresItem 6 2 3 4" xfId="32146"/>
    <cellStyle name="SAPBEXresItem 6 2 4" xfId="6477"/>
    <cellStyle name="SAPBEXresItem 6 2 4 2" xfId="32151"/>
    <cellStyle name="SAPBEXresItem 6 2 4 2 2" xfId="32152"/>
    <cellStyle name="SAPBEXresItem 6 2 4 3" xfId="32153"/>
    <cellStyle name="SAPBEXresItem 6 2 4 4" xfId="32150"/>
    <cellStyle name="SAPBEXresItem 6 2 5" xfId="6964"/>
    <cellStyle name="SAPBEXresItem 6 2 5 2" xfId="32155"/>
    <cellStyle name="SAPBEXresItem 6 2 5 2 2" xfId="32156"/>
    <cellStyle name="SAPBEXresItem 6 2 5 3" xfId="32157"/>
    <cellStyle name="SAPBEXresItem 6 2 5 4" xfId="32154"/>
    <cellStyle name="SAPBEXresItem 6 2 6" xfId="7447"/>
    <cellStyle name="SAPBEXresItem 6 2 6 2" xfId="32159"/>
    <cellStyle name="SAPBEXresItem 6 2 6 2 2" xfId="32160"/>
    <cellStyle name="SAPBEXresItem 6 2 6 3" xfId="32161"/>
    <cellStyle name="SAPBEXresItem 6 2 6 4" xfId="32158"/>
    <cellStyle name="SAPBEXresItem 6 2 7" xfId="8516"/>
    <cellStyle name="SAPBEXresItem 6 2 7 2" xfId="32163"/>
    <cellStyle name="SAPBEXresItem 6 2 7 2 2" xfId="32164"/>
    <cellStyle name="SAPBEXresItem 6 2 7 3" xfId="32165"/>
    <cellStyle name="SAPBEXresItem 6 2 7 4" xfId="32162"/>
    <cellStyle name="SAPBEXresItem 6 2 8" xfId="9017"/>
    <cellStyle name="SAPBEXresItem 6 2 8 2" xfId="32167"/>
    <cellStyle name="SAPBEXresItem 6 2 8 2 2" xfId="32168"/>
    <cellStyle name="SAPBEXresItem 6 2 8 3" xfId="32169"/>
    <cellStyle name="SAPBEXresItem 6 2 8 4" xfId="32166"/>
    <cellStyle name="SAPBEXresItem 6 2 9" xfId="9511"/>
    <cellStyle name="SAPBEXresItem 6 2 9 2" xfId="32171"/>
    <cellStyle name="SAPBEXresItem 6 2 9 2 2" xfId="32172"/>
    <cellStyle name="SAPBEXresItem 6 2 9 3" xfId="32173"/>
    <cellStyle name="SAPBEXresItem 6 2 9 4" xfId="32170"/>
    <cellStyle name="SAPBEXresItem 6 2_planning-WP" xfId="32174"/>
    <cellStyle name="SAPBEXresItem 6 3" xfId="4666"/>
    <cellStyle name="SAPBEXresItem 6 3 10" xfId="32175"/>
    <cellStyle name="SAPBEXresItem 6 3 2" xfId="32176"/>
    <cellStyle name="SAPBEXresItem 6 3 2 2" xfId="32177"/>
    <cellStyle name="SAPBEXresItem 6 3 2 2 2" xfId="32178"/>
    <cellStyle name="SAPBEXresItem 6 3 2 3" xfId="32179"/>
    <cellStyle name="SAPBEXresItem 6 3 3" xfId="32180"/>
    <cellStyle name="SAPBEXresItem 6 3 3 2" xfId="32181"/>
    <cellStyle name="SAPBEXresItem 6 3 3 2 2" xfId="32182"/>
    <cellStyle name="SAPBEXresItem 6 3 3 3" xfId="32183"/>
    <cellStyle name="SAPBEXresItem 6 3 4" xfId="32184"/>
    <cellStyle name="SAPBEXresItem 6 3 4 2" xfId="32185"/>
    <cellStyle name="SAPBEXresItem 6 3 4 2 2" xfId="32186"/>
    <cellStyle name="SAPBEXresItem 6 3 4 3" xfId="32187"/>
    <cellStyle name="SAPBEXresItem 6 3 5" xfId="32188"/>
    <cellStyle name="SAPBEXresItem 6 3 5 2" xfId="32189"/>
    <cellStyle name="SAPBEXresItem 6 3 5 2 2" xfId="32190"/>
    <cellStyle name="SAPBEXresItem 6 3 5 3" xfId="32191"/>
    <cellStyle name="SAPBEXresItem 6 3 6" xfId="32192"/>
    <cellStyle name="SAPBEXresItem 6 3 6 2" xfId="32193"/>
    <cellStyle name="SAPBEXresItem 6 3 6 2 2" xfId="32194"/>
    <cellStyle name="SAPBEXresItem 6 3 6 3" xfId="32195"/>
    <cellStyle name="SAPBEXresItem 6 3 7" xfId="32196"/>
    <cellStyle name="SAPBEXresItem 6 3 7 2" xfId="32197"/>
    <cellStyle name="SAPBEXresItem 6 3 7 2 2" xfId="32198"/>
    <cellStyle name="SAPBEXresItem 6 3 7 3" xfId="32199"/>
    <cellStyle name="SAPBEXresItem 6 3 8" xfId="32200"/>
    <cellStyle name="SAPBEXresItem 6 3 8 2" xfId="32201"/>
    <cellStyle name="SAPBEXresItem 6 3 8 2 2" xfId="32202"/>
    <cellStyle name="SAPBEXresItem 6 3 8 3" xfId="32203"/>
    <cellStyle name="SAPBEXresItem 6 3 9" xfId="32204"/>
    <cellStyle name="SAPBEXresItem 6 3 9 2" xfId="32205"/>
    <cellStyle name="SAPBEXresItem 6 3_planning-WP" xfId="32206"/>
    <cellStyle name="SAPBEXresItem 6 4" xfId="5657"/>
    <cellStyle name="SAPBEXresItem 6 4 2" xfId="32208"/>
    <cellStyle name="SAPBEXresItem 6 4 2 2" xfId="32209"/>
    <cellStyle name="SAPBEXresItem 6 4 3" xfId="32207"/>
    <cellStyle name="SAPBEXresItem 6 5" xfId="6166"/>
    <cellStyle name="SAPBEXresItem 6 5 2" xfId="32211"/>
    <cellStyle name="SAPBEXresItem 6 5 2 2" xfId="32212"/>
    <cellStyle name="SAPBEXresItem 6 5 3" xfId="32213"/>
    <cellStyle name="SAPBEXresItem 6 5 4" xfId="32210"/>
    <cellStyle name="SAPBEXresItem 6 6" xfId="6653"/>
    <cellStyle name="SAPBEXresItem 6 6 2" xfId="32215"/>
    <cellStyle name="SAPBEXresItem 6 6 2 2" xfId="32216"/>
    <cellStyle name="SAPBEXresItem 6 6 3" xfId="32217"/>
    <cellStyle name="SAPBEXresItem 6 6 4" xfId="32214"/>
    <cellStyle name="SAPBEXresItem 6 7" xfId="7136"/>
    <cellStyle name="SAPBEXresItem 6 7 2" xfId="32219"/>
    <cellStyle name="SAPBEXresItem 6 7 2 2" xfId="32220"/>
    <cellStyle name="SAPBEXresItem 6 7 3" xfId="32221"/>
    <cellStyle name="SAPBEXresItem 6 7 4" xfId="32218"/>
    <cellStyle name="SAPBEXresItem 6 8" xfId="8205"/>
    <cellStyle name="SAPBEXresItem 6 8 2" xfId="32223"/>
    <cellStyle name="SAPBEXresItem 6 8 2 2" xfId="32224"/>
    <cellStyle name="SAPBEXresItem 6 8 3" xfId="32225"/>
    <cellStyle name="SAPBEXresItem 6 8 4" xfId="32222"/>
    <cellStyle name="SAPBEXresItem 6 9" xfId="8706"/>
    <cellStyle name="SAPBEXresItem 6 9 2" xfId="32227"/>
    <cellStyle name="SAPBEXresItem 6 9 2 2" xfId="32228"/>
    <cellStyle name="SAPBEXresItem 6 9 3" xfId="32229"/>
    <cellStyle name="SAPBEXresItem 6 9 4" xfId="32226"/>
    <cellStyle name="SAPBEXresItem 6_planning-WP" xfId="32230"/>
    <cellStyle name="SAPBEXresItem 7" xfId="1772"/>
    <cellStyle name="SAPBEXresItem 7 10" xfId="9226"/>
    <cellStyle name="SAPBEXresItem 7 10 2" xfId="32233"/>
    <cellStyle name="SAPBEXresItem 7 10 2 2" xfId="32234"/>
    <cellStyle name="SAPBEXresItem 7 10 3" xfId="32235"/>
    <cellStyle name="SAPBEXresItem 7 10 4" xfId="32232"/>
    <cellStyle name="SAPBEXresItem 7 11" xfId="32236"/>
    <cellStyle name="SAPBEXresItem 7 11 2" xfId="32237"/>
    <cellStyle name="SAPBEXresItem 7 12" xfId="32231"/>
    <cellStyle name="SAPBEXresItem 7 13" xfId="9965"/>
    <cellStyle name="SAPBEXresItem 7 14" xfId="39130"/>
    <cellStyle name="SAPBEXresItem 7 15" xfId="39511"/>
    <cellStyle name="SAPBEXresItem 7 2" xfId="2095"/>
    <cellStyle name="SAPBEXresItem 7 2 10" xfId="32239"/>
    <cellStyle name="SAPBEXresItem 7 2 10 2" xfId="32240"/>
    <cellStyle name="SAPBEXresItem 7 2 11" xfId="32238"/>
    <cellStyle name="SAPBEXresItem 7 2 12" xfId="10269"/>
    <cellStyle name="SAPBEXresItem 7 2 2" xfId="5009"/>
    <cellStyle name="SAPBEXresItem 7 2 2 2" xfId="32242"/>
    <cellStyle name="SAPBEXresItem 7 2 2 2 2" xfId="32243"/>
    <cellStyle name="SAPBEXresItem 7 2 2 3" xfId="32244"/>
    <cellStyle name="SAPBEXresItem 7 2 2 4" xfId="32241"/>
    <cellStyle name="SAPBEXresItem 7 2 3" xfId="5988"/>
    <cellStyle name="SAPBEXresItem 7 2 3 2" xfId="32246"/>
    <cellStyle name="SAPBEXresItem 7 2 3 2 2" xfId="32247"/>
    <cellStyle name="SAPBEXresItem 7 2 3 3" xfId="32248"/>
    <cellStyle name="SAPBEXresItem 7 2 3 4" xfId="32245"/>
    <cellStyle name="SAPBEXresItem 7 2 4" xfId="6496"/>
    <cellStyle name="SAPBEXresItem 7 2 4 2" xfId="32250"/>
    <cellStyle name="SAPBEXresItem 7 2 4 2 2" xfId="32251"/>
    <cellStyle name="SAPBEXresItem 7 2 4 3" xfId="32252"/>
    <cellStyle name="SAPBEXresItem 7 2 4 4" xfId="32249"/>
    <cellStyle name="SAPBEXresItem 7 2 5" xfId="6983"/>
    <cellStyle name="SAPBEXresItem 7 2 5 2" xfId="32254"/>
    <cellStyle name="SAPBEXresItem 7 2 5 2 2" xfId="32255"/>
    <cellStyle name="SAPBEXresItem 7 2 5 3" xfId="32256"/>
    <cellStyle name="SAPBEXresItem 7 2 5 4" xfId="32253"/>
    <cellStyle name="SAPBEXresItem 7 2 6" xfId="7466"/>
    <cellStyle name="SAPBEXresItem 7 2 6 2" xfId="32258"/>
    <cellStyle name="SAPBEXresItem 7 2 6 2 2" xfId="32259"/>
    <cellStyle name="SAPBEXresItem 7 2 6 3" xfId="32260"/>
    <cellStyle name="SAPBEXresItem 7 2 6 4" xfId="32257"/>
    <cellStyle name="SAPBEXresItem 7 2 7" xfId="8535"/>
    <cellStyle name="SAPBEXresItem 7 2 7 2" xfId="32262"/>
    <cellStyle name="SAPBEXresItem 7 2 7 2 2" xfId="32263"/>
    <cellStyle name="SAPBEXresItem 7 2 7 3" xfId="32264"/>
    <cellStyle name="SAPBEXresItem 7 2 7 4" xfId="32261"/>
    <cellStyle name="SAPBEXresItem 7 2 8" xfId="9036"/>
    <cellStyle name="SAPBEXresItem 7 2 8 2" xfId="32266"/>
    <cellStyle name="SAPBEXresItem 7 2 8 2 2" xfId="32267"/>
    <cellStyle name="SAPBEXresItem 7 2 8 3" xfId="32268"/>
    <cellStyle name="SAPBEXresItem 7 2 8 4" xfId="32265"/>
    <cellStyle name="SAPBEXresItem 7 2 9" xfId="9530"/>
    <cellStyle name="SAPBEXresItem 7 2 9 2" xfId="32270"/>
    <cellStyle name="SAPBEXresItem 7 2 9 2 2" xfId="32271"/>
    <cellStyle name="SAPBEXresItem 7 2 9 3" xfId="32272"/>
    <cellStyle name="SAPBEXresItem 7 2 9 4" xfId="32269"/>
    <cellStyle name="SAPBEXresItem 7 2_planning-WP" xfId="32273"/>
    <cellStyle name="SAPBEXresItem 7 3" xfId="4693"/>
    <cellStyle name="SAPBEXresItem 7 3 2" xfId="32275"/>
    <cellStyle name="SAPBEXresItem 7 3 2 2" xfId="32276"/>
    <cellStyle name="SAPBEXresItem 7 3 3" xfId="32277"/>
    <cellStyle name="SAPBEXresItem 7 3 4" xfId="32274"/>
    <cellStyle name="SAPBEXresItem 7 4" xfId="5683"/>
    <cellStyle name="SAPBEXresItem 7 4 2" xfId="32279"/>
    <cellStyle name="SAPBEXresItem 7 4 2 2" xfId="32280"/>
    <cellStyle name="SAPBEXresItem 7 4 3" xfId="32281"/>
    <cellStyle name="SAPBEXresItem 7 4 4" xfId="32278"/>
    <cellStyle name="SAPBEXresItem 7 5" xfId="6192"/>
    <cellStyle name="SAPBEXresItem 7 5 2" xfId="32283"/>
    <cellStyle name="SAPBEXresItem 7 5 2 2" xfId="32284"/>
    <cellStyle name="SAPBEXresItem 7 5 3" xfId="32285"/>
    <cellStyle name="SAPBEXresItem 7 5 4" xfId="32282"/>
    <cellStyle name="SAPBEXresItem 7 6" xfId="6679"/>
    <cellStyle name="SAPBEXresItem 7 6 2" xfId="32287"/>
    <cellStyle name="SAPBEXresItem 7 6 2 2" xfId="32288"/>
    <cellStyle name="SAPBEXresItem 7 6 3" xfId="32289"/>
    <cellStyle name="SAPBEXresItem 7 6 4" xfId="32286"/>
    <cellStyle name="SAPBEXresItem 7 7" xfId="7162"/>
    <cellStyle name="SAPBEXresItem 7 7 2" xfId="32291"/>
    <cellStyle name="SAPBEXresItem 7 7 2 2" xfId="32292"/>
    <cellStyle name="SAPBEXresItem 7 7 3" xfId="32293"/>
    <cellStyle name="SAPBEXresItem 7 7 4" xfId="32290"/>
    <cellStyle name="SAPBEXresItem 7 8" xfId="8231"/>
    <cellStyle name="SAPBEXresItem 7 8 2" xfId="32295"/>
    <cellStyle name="SAPBEXresItem 7 8 2 2" xfId="32296"/>
    <cellStyle name="SAPBEXresItem 7 8 3" xfId="32297"/>
    <cellStyle name="SAPBEXresItem 7 8 4" xfId="32294"/>
    <cellStyle name="SAPBEXresItem 7 9" xfId="8732"/>
    <cellStyle name="SAPBEXresItem 7 9 2" xfId="32299"/>
    <cellStyle name="SAPBEXresItem 7 9 2 2" xfId="32300"/>
    <cellStyle name="SAPBEXresItem 7 9 3" xfId="32301"/>
    <cellStyle name="SAPBEXresItem 7 9 4" xfId="32298"/>
    <cellStyle name="SAPBEXresItem 7_planning-WP" xfId="32302"/>
    <cellStyle name="SAPBEXresItem 8" xfId="1754"/>
    <cellStyle name="SAPBEXresItem 8 10" xfId="32304"/>
    <cellStyle name="SAPBEXresItem 8 10 2" xfId="32305"/>
    <cellStyle name="SAPBEXresItem 8 11" xfId="32303"/>
    <cellStyle name="SAPBEXresItem 8 12" xfId="9948"/>
    <cellStyle name="SAPBEXresItem 8 13" xfId="39131"/>
    <cellStyle name="SAPBEXresItem 8 14" xfId="39512"/>
    <cellStyle name="SAPBEXresItem 8 2" xfId="4675"/>
    <cellStyle name="SAPBEXresItem 8 2 2" xfId="32307"/>
    <cellStyle name="SAPBEXresItem 8 2 2 2" xfId="32308"/>
    <cellStyle name="SAPBEXresItem 8 2 3" xfId="32309"/>
    <cellStyle name="SAPBEXresItem 8 2 4" xfId="32306"/>
    <cellStyle name="SAPBEXresItem 8 3" xfId="5666"/>
    <cellStyle name="SAPBEXresItem 8 3 2" xfId="32311"/>
    <cellStyle name="SAPBEXresItem 8 3 2 2" xfId="32312"/>
    <cellStyle name="SAPBEXresItem 8 3 3" xfId="32313"/>
    <cellStyle name="SAPBEXresItem 8 3 4" xfId="32310"/>
    <cellStyle name="SAPBEXresItem 8 4" xfId="6175"/>
    <cellStyle name="SAPBEXresItem 8 4 2" xfId="32315"/>
    <cellStyle name="SAPBEXresItem 8 4 2 2" xfId="32316"/>
    <cellStyle name="SAPBEXresItem 8 4 3" xfId="32317"/>
    <cellStyle name="SAPBEXresItem 8 4 4" xfId="32314"/>
    <cellStyle name="SAPBEXresItem 8 5" xfId="6662"/>
    <cellStyle name="SAPBEXresItem 8 5 2" xfId="32319"/>
    <cellStyle name="SAPBEXresItem 8 5 2 2" xfId="32320"/>
    <cellStyle name="SAPBEXresItem 8 5 3" xfId="32321"/>
    <cellStyle name="SAPBEXresItem 8 5 4" xfId="32318"/>
    <cellStyle name="SAPBEXresItem 8 6" xfId="7145"/>
    <cellStyle name="SAPBEXresItem 8 6 2" xfId="32323"/>
    <cellStyle name="SAPBEXresItem 8 6 2 2" xfId="32324"/>
    <cellStyle name="SAPBEXresItem 8 6 3" xfId="32325"/>
    <cellStyle name="SAPBEXresItem 8 6 4" xfId="32322"/>
    <cellStyle name="SAPBEXresItem 8 7" xfId="8214"/>
    <cellStyle name="SAPBEXresItem 8 7 2" xfId="32327"/>
    <cellStyle name="SAPBEXresItem 8 7 2 2" xfId="32328"/>
    <cellStyle name="SAPBEXresItem 8 7 3" xfId="32329"/>
    <cellStyle name="SAPBEXresItem 8 7 4" xfId="32326"/>
    <cellStyle name="SAPBEXresItem 8 8" xfId="8715"/>
    <cellStyle name="SAPBEXresItem 8 8 2" xfId="32331"/>
    <cellStyle name="SAPBEXresItem 8 8 2 2" xfId="32332"/>
    <cellStyle name="SAPBEXresItem 8 8 3" xfId="32333"/>
    <cellStyle name="SAPBEXresItem 8 8 4" xfId="32330"/>
    <cellStyle name="SAPBEXresItem 8 9" xfId="9209"/>
    <cellStyle name="SAPBEXresItem 8 9 2" xfId="32335"/>
    <cellStyle name="SAPBEXresItem 8 9 2 2" xfId="32336"/>
    <cellStyle name="SAPBEXresItem 8 9 3" xfId="32337"/>
    <cellStyle name="SAPBEXresItem 8 9 4" xfId="32334"/>
    <cellStyle name="SAPBEXresItem 8_planning-WP" xfId="32338"/>
    <cellStyle name="SAPBEXresItem 9" xfId="1439"/>
    <cellStyle name="SAPBEXresItem 9 10" xfId="32339"/>
    <cellStyle name="SAPBEXresItem 9 11" xfId="9637"/>
    <cellStyle name="SAPBEXresItem 9 2" xfId="4362"/>
    <cellStyle name="SAPBEXresItem 9 2 2" xfId="32341"/>
    <cellStyle name="SAPBEXresItem 9 2 2 2" xfId="32342"/>
    <cellStyle name="SAPBEXresItem 9 2 3" xfId="32343"/>
    <cellStyle name="SAPBEXresItem 9 2 4" xfId="32340"/>
    <cellStyle name="SAPBEXresItem 9 3" xfId="5355"/>
    <cellStyle name="SAPBEXresItem 9 3 2" xfId="32345"/>
    <cellStyle name="SAPBEXresItem 9 3 2 2" xfId="32346"/>
    <cellStyle name="SAPBEXresItem 9 3 3" xfId="32347"/>
    <cellStyle name="SAPBEXresItem 9 3 4" xfId="32344"/>
    <cellStyle name="SAPBEXresItem 9 4" xfId="5040"/>
    <cellStyle name="SAPBEXresItem 9 4 2" xfId="32349"/>
    <cellStyle name="SAPBEXresItem 9 4 2 2" xfId="32350"/>
    <cellStyle name="SAPBEXresItem 9 4 3" xfId="32351"/>
    <cellStyle name="SAPBEXresItem 9 4 4" xfId="32348"/>
    <cellStyle name="SAPBEXresItem 9 5" xfId="5039"/>
    <cellStyle name="SAPBEXresItem 9 5 2" xfId="32353"/>
    <cellStyle name="SAPBEXresItem 9 5 2 2" xfId="32354"/>
    <cellStyle name="SAPBEXresItem 9 5 3" xfId="32355"/>
    <cellStyle name="SAPBEXresItem 9 5 4" xfId="32352"/>
    <cellStyle name="SAPBEXresItem 9 6" xfId="3355"/>
    <cellStyle name="SAPBEXresItem 9 6 2" xfId="32357"/>
    <cellStyle name="SAPBEXresItem 9 6 2 2" xfId="32358"/>
    <cellStyle name="SAPBEXresItem 9 6 3" xfId="32359"/>
    <cellStyle name="SAPBEXresItem 9 6 4" xfId="32356"/>
    <cellStyle name="SAPBEXresItem 9 7" xfId="7903"/>
    <cellStyle name="SAPBEXresItem 9 7 2" xfId="32361"/>
    <cellStyle name="SAPBEXresItem 9 7 2 2" xfId="32362"/>
    <cellStyle name="SAPBEXresItem 9 7 3" xfId="32363"/>
    <cellStyle name="SAPBEXresItem 9 7 4" xfId="32360"/>
    <cellStyle name="SAPBEXresItem 9 8" xfId="7643"/>
    <cellStyle name="SAPBEXresItem 9 8 2" xfId="32365"/>
    <cellStyle name="SAPBEXresItem 9 8 2 2" xfId="32366"/>
    <cellStyle name="SAPBEXresItem 9 8 3" xfId="32367"/>
    <cellStyle name="SAPBEXresItem 9 8 4" xfId="32364"/>
    <cellStyle name="SAPBEXresItem 9 9" xfId="7854"/>
    <cellStyle name="SAPBEXresItem 9 9 2" xfId="32369"/>
    <cellStyle name="SAPBEXresItem 9 9 3" xfId="32368"/>
    <cellStyle name="SAPBEXresItem 9_planning-WP" xfId="32370"/>
    <cellStyle name="SAPBEXresItem_19.BCS P&amp;L 0909" xfId="39132"/>
    <cellStyle name="SAPBEXresItemX" xfId="32371"/>
    <cellStyle name="SAPBEXresItemX 10" xfId="32372"/>
    <cellStyle name="SAPBEXresItemX 10 2" xfId="32373"/>
    <cellStyle name="SAPBEXresItemX 10 2 2" xfId="32374"/>
    <cellStyle name="SAPBEXresItemX 11" xfId="32375"/>
    <cellStyle name="SAPBEXresItemX 11 2" xfId="32376"/>
    <cellStyle name="SAPBEXresItemX 11 2 2" xfId="32377"/>
    <cellStyle name="SAPBEXresItemX 11 3" xfId="32378"/>
    <cellStyle name="SAPBEXresItemX 12" xfId="32379"/>
    <cellStyle name="SAPBEXresItemX 12 2" xfId="32380"/>
    <cellStyle name="SAPBEXresItemX 12 2 2" xfId="32381"/>
    <cellStyle name="SAPBEXresItemX 12 3" xfId="32382"/>
    <cellStyle name="SAPBEXresItemX 13" xfId="32383"/>
    <cellStyle name="SAPBEXresItemX 13 2" xfId="32384"/>
    <cellStyle name="SAPBEXresItemX 13 2 2" xfId="32385"/>
    <cellStyle name="SAPBEXresItemX 13 3" xfId="32386"/>
    <cellStyle name="SAPBEXresItemX 14" xfId="32387"/>
    <cellStyle name="SAPBEXresItemX 14 2" xfId="32388"/>
    <cellStyle name="SAPBEXresItemX 14 2 2" xfId="32389"/>
    <cellStyle name="SAPBEXresItemX 14 3" xfId="32390"/>
    <cellStyle name="SAPBEXresItemX 15" xfId="32391"/>
    <cellStyle name="SAPBEXresItemX 15 2" xfId="32392"/>
    <cellStyle name="SAPBEXresItemX 15 2 2" xfId="32393"/>
    <cellStyle name="SAPBEXresItemX 15 3" xfId="32394"/>
    <cellStyle name="SAPBEXresItemX 16" xfId="32395"/>
    <cellStyle name="SAPBEXresItemX 16 2" xfId="32396"/>
    <cellStyle name="SAPBEXresItemX 16 2 2" xfId="32397"/>
    <cellStyle name="SAPBEXresItemX 16 3" xfId="32398"/>
    <cellStyle name="SAPBEXresItemX 17" xfId="32399"/>
    <cellStyle name="SAPBEXresItemX 17 2" xfId="32400"/>
    <cellStyle name="SAPBEXresItemX 17 2 2" xfId="32401"/>
    <cellStyle name="SAPBEXresItemX 17 3" xfId="32402"/>
    <cellStyle name="SAPBEXresItemX 18" xfId="32403"/>
    <cellStyle name="SAPBEXresItemX 19" xfId="39133"/>
    <cellStyle name="SAPBEXresItemX 2" xfId="32404"/>
    <cellStyle name="SAPBEXresItemX 2 10" xfId="32405"/>
    <cellStyle name="SAPBEXresItemX 2 10 2" xfId="32406"/>
    <cellStyle name="SAPBEXresItemX 2 10 2 2" xfId="32407"/>
    <cellStyle name="SAPBEXresItemX 2 10 3" xfId="32408"/>
    <cellStyle name="SAPBEXresItemX 2 11" xfId="32409"/>
    <cellStyle name="SAPBEXresItemX 2 11 2" xfId="32410"/>
    <cellStyle name="SAPBEXresItemX 2 11 2 2" xfId="32411"/>
    <cellStyle name="SAPBEXresItemX 2 11 3" xfId="32412"/>
    <cellStyle name="SAPBEXresItemX 2 12" xfId="32413"/>
    <cellStyle name="SAPBEXresItemX 2 12 2" xfId="32414"/>
    <cellStyle name="SAPBEXresItemX 2 12 2 2" xfId="32415"/>
    <cellStyle name="SAPBEXresItemX 2 12 3" xfId="32416"/>
    <cellStyle name="SAPBEXresItemX 2 13" xfId="32417"/>
    <cellStyle name="SAPBEXresItemX 2 14" xfId="39134"/>
    <cellStyle name="SAPBEXresItemX 2 15" xfId="39514"/>
    <cellStyle name="SAPBEXresItemX 2 2" xfId="32418"/>
    <cellStyle name="SAPBEXresItemX 2 2 10" xfId="32419"/>
    <cellStyle name="SAPBEXresItemX 2 2 10 2" xfId="32420"/>
    <cellStyle name="SAPBEXresItemX 2 2 10 2 2" xfId="32421"/>
    <cellStyle name="SAPBEXresItemX 2 2 10 3" xfId="32422"/>
    <cellStyle name="SAPBEXresItemX 2 2 11" xfId="32423"/>
    <cellStyle name="SAPBEXresItemX 2 2 11 2" xfId="32424"/>
    <cellStyle name="SAPBEXresItemX 2 2 12" xfId="39135"/>
    <cellStyle name="SAPBEXresItemX 2 2 13" xfId="39515"/>
    <cellStyle name="SAPBEXresItemX 2 2 2" xfId="32425"/>
    <cellStyle name="SAPBEXresItemX 2 2 2 10" xfId="32426"/>
    <cellStyle name="SAPBEXresItemX 2 2 2 10 2" xfId="32427"/>
    <cellStyle name="SAPBEXresItemX 2 2 2 2" xfId="32428"/>
    <cellStyle name="SAPBEXresItemX 2 2 2 2 2" xfId="32429"/>
    <cellStyle name="SAPBEXresItemX 2 2 2 2 2 2" xfId="32430"/>
    <cellStyle name="SAPBEXresItemX 2 2 2 2 3" xfId="32431"/>
    <cellStyle name="SAPBEXresItemX 2 2 2 3" xfId="32432"/>
    <cellStyle name="SAPBEXresItemX 2 2 2 3 2" xfId="32433"/>
    <cellStyle name="SAPBEXresItemX 2 2 2 3 2 2" xfId="32434"/>
    <cellStyle name="SAPBEXresItemX 2 2 2 3 3" xfId="32435"/>
    <cellStyle name="SAPBEXresItemX 2 2 2 4" xfId="32436"/>
    <cellStyle name="SAPBEXresItemX 2 2 2 4 2" xfId="32437"/>
    <cellStyle name="SAPBEXresItemX 2 2 2 4 2 2" xfId="32438"/>
    <cellStyle name="SAPBEXresItemX 2 2 2 4 3" xfId="32439"/>
    <cellStyle name="SAPBEXresItemX 2 2 2 5" xfId="32440"/>
    <cellStyle name="SAPBEXresItemX 2 2 2 5 2" xfId="32441"/>
    <cellStyle name="SAPBEXresItemX 2 2 2 5 2 2" xfId="32442"/>
    <cellStyle name="SAPBEXresItemX 2 2 2 5 3" xfId="32443"/>
    <cellStyle name="SAPBEXresItemX 2 2 2 6" xfId="32444"/>
    <cellStyle name="SAPBEXresItemX 2 2 2 6 2" xfId="32445"/>
    <cellStyle name="SAPBEXresItemX 2 2 2 6 2 2" xfId="32446"/>
    <cellStyle name="SAPBEXresItemX 2 2 2 6 3" xfId="32447"/>
    <cellStyle name="SAPBEXresItemX 2 2 2 7" xfId="32448"/>
    <cellStyle name="SAPBEXresItemX 2 2 2 7 2" xfId="32449"/>
    <cellStyle name="SAPBEXresItemX 2 2 2 7 2 2" xfId="32450"/>
    <cellStyle name="SAPBEXresItemX 2 2 2 7 3" xfId="32451"/>
    <cellStyle name="SAPBEXresItemX 2 2 2 8" xfId="32452"/>
    <cellStyle name="SAPBEXresItemX 2 2 2 8 2" xfId="32453"/>
    <cellStyle name="SAPBEXresItemX 2 2 2 8 2 2" xfId="32454"/>
    <cellStyle name="SAPBEXresItemX 2 2 2 8 3" xfId="32455"/>
    <cellStyle name="SAPBEXresItemX 2 2 2 9" xfId="32456"/>
    <cellStyle name="SAPBEXresItemX 2 2 2 9 2" xfId="32457"/>
    <cellStyle name="SAPBEXresItemX 2 2 2 9 2 2" xfId="32458"/>
    <cellStyle name="SAPBEXresItemX 2 2 2 9 3" xfId="32459"/>
    <cellStyle name="SAPBEXresItemX 2 2 2_planning-WP" xfId="32460"/>
    <cellStyle name="SAPBEXresItemX 2 2 3" xfId="32461"/>
    <cellStyle name="SAPBEXresItemX 2 2 3 2" xfId="32462"/>
    <cellStyle name="SAPBEXresItemX 2 2 3 2 2" xfId="32463"/>
    <cellStyle name="SAPBEXresItemX 2 2 3 3" xfId="32464"/>
    <cellStyle name="SAPBEXresItemX 2 2 4" xfId="32465"/>
    <cellStyle name="SAPBEXresItemX 2 2 4 2" xfId="32466"/>
    <cellStyle name="SAPBEXresItemX 2 2 4 2 2" xfId="32467"/>
    <cellStyle name="SAPBEXresItemX 2 2 4 3" xfId="32468"/>
    <cellStyle name="SAPBEXresItemX 2 2 5" xfId="32469"/>
    <cellStyle name="SAPBEXresItemX 2 2 5 2" xfId="32470"/>
    <cellStyle name="SAPBEXresItemX 2 2 5 2 2" xfId="32471"/>
    <cellStyle name="SAPBEXresItemX 2 2 5 3" xfId="32472"/>
    <cellStyle name="SAPBEXresItemX 2 2 6" xfId="32473"/>
    <cellStyle name="SAPBEXresItemX 2 2 6 2" xfId="32474"/>
    <cellStyle name="SAPBEXresItemX 2 2 6 2 2" xfId="32475"/>
    <cellStyle name="SAPBEXresItemX 2 2 6 3" xfId="32476"/>
    <cellStyle name="SAPBEXresItemX 2 2 7" xfId="32477"/>
    <cellStyle name="SAPBEXresItemX 2 2 7 2" xfId="32478"/>
    <cellStyle name="SAPBEXresItemX 2 2 7 2 2" xfId="32479"/>
    <cellStyle name="SAPBEXresItemX 2 2 7 3" xfId="32480"/>
    <cellStyle name="SAPBEXresItemX 2 2 8" xfId="32481"/>
    <cellStyle name="SAPBEXresItemX 2 2 8 2" xfId="32482"/>
    <cellStyle name="SAPBEXresItemX 2 2 8 2 2" xfId="32483"/>
    <cellStyle name="SAPBEXresItemX 2 2 8 3" xfId="32484"/>
    <cellStyle name="SAPBEXresItemX 2 2 9" xfId="32485"/>
    <cellStyle name="SAPBEXresItemX 2 2 9 2" xfId="32486"/>
    <cellStyle name="SAPBEXresItemX 2 2 9 2 2" xfId="32487"/>
    <cellStyle name="SAPBEXresItemX 2 2 9 3" xfId="32488"/>
    <cellStyle name="SAPBEXresItemX 2 2_planning-WP" xfId="32489"/>
    <cellStyle name="SAPBEXresItemX 2 3" xfId="32490"/>
    <cellStyle name="SAPBEXresItemX 2 3 10" xfId="32491"/>
    <cellStyle name="SAPBEXresItemX 2 3 10 2" xfId="32492"/>
    <cellStyle name="SAPBEXresItemX 2 3 2" xfId="32493"/>
    <cellStyle name="SAPBEXresItemX 2 3 2 2" xfId="32494"/>
    <cellStyle name="SAPBEXresItemX 2 3 2 2 2" xfId="32495"/>
    <cellStyle name="SAPBEXresItemX 2 3 2 3" xfId="32496"/>
    <cellStyle name="SAPBEXresItemX 2 3 3" xfId="32497"/>
    <cellStyle name="SAPBEXresItemX 2 3 3 2" xfId="32498"/>
    <cellStyle name="SAPBEXresItemX 2 3 3 2 2" xfId="32499"/>
    <cellStyle name="SAPBEXresItemX 2 3 3 3" xfId="32500"/>
    <cellStyle name="SAPBEXresItemX 2 3 4" xfId="32501"/>
    <cellStyle name="SAPBEXresItemX 2 3 4 2" xfId="32502"/>
    <cellStyle name="SAPBEXresItemX 2 3 4 2 2" xfId="32503"/>
    <cellStyle name="SAPBEXresItemX 2 3 4 3" xfId="32504"/>
    <cellStyle name="SAPBEXresItemX 2 3 5" xfId="32505"/>
    <cellStyle name="SAPBEXresItemX 2 3 5 2" xfId="32506"/>
    <cellStyle name="SAPBEXresItemX 2 3 5 2 2" xfId="32507"/>
    <cellStyle name="SAPBEXresItemX 2 3 5 3" xfId="32508"/>
    <cellStyle name="SAPBEXresItemX 2 3 6" xfId="32509"/>
    <cellStyle name="SAPBEXresItemX 2 3 6 2" xfId="32510"/>
    <cellStyle name="SAPBEXresItemX 2 3 6 2 2" xfId="32511"/>
    <cellStyle name="SAPBEXresItemX 2 3 6 3" xfId="32512"/>
    <cellStyle name="SAPBEXresItemX 2 3 7" xfId="32513"/>
    <cellStyle name="SAPBEXresItemX 2 3 7 2" xfId="32514"/>
    <cellStyle name="SAPBEXresItemX 2 3 7 2 2" xfId="32515"/>
    <cellStyle name="SAPBEXresItemX 2 3 7 3" xfId="32516"/>
    <cellStyle name="SAPBEXresItemX 2 3 8" xfId="32517"/>
    <cellStyle name="SAPBEXresItemX 2 3 8 2" xfId="32518"/>
    <cellStyle name="SAPBEXresItemX 2 3 8 2 2" xfId="32519"/>
    <cellStyle name="SAPBEXresItemX 2 3 8 3" xfId="32520"/>
    <cellStyle name="SAPBEXresItemX 2 3 9" xfId="32521"/>
    <cellStyle name="SAPBEXresItemX 2 3 9 2" xfId="32522"/>
    <cellStyle name="SAPBEXresItemX 2 3 9 2 2" xfId="32523"/>
    <cellStyle name="SAPBEXresItemX 2 3 9 3" xfId="32524"/>
    <cellStyle name="SAPBEXresItemX 2 3_planning-WP" xfId="32525"/>
    <cellStyle name="SAPBEXresItemX 2 4" xfId="32526"/>
    <cellStyle name="SAPBEXresItemX 2 4 2" xfId="32527"/>
    <cellStyle name="SAPBEXresItemX 2 4 2 2" xfId="32528"/>
    <cellStyle name="SAPBEXresItemX 2 4 2 2 2" xfId="32529"/>
    <cellStyle name="SAPBEXresItemX 2 4 2 3" xfId="32530"/>
    <cellStyle name="SAPBEXresItemX 2 4 3" xfId="32531"/>
    <cellStyle name="SAPBEXresItemX 2 4 3 2" xfId="32532"/>
    <cellStyle name="SAPBEXresItemX 2 4 3 2 2" xfId="32533"/>
    <cellStyle name="SAPBEXresItemX 2 4 3 3" xfId="32534"/>
    <cellStyle name="SAPBEXresItemX 2 4 4" xfId="32535"/>
    <cellStyle name="SAPBEXresItemX 2 4 4 2" xfId="32536"/>
    <cellStyle name="SAPBEXresItemX 2 4 4 2 2" xfId="32537"/>
    <cellStyle name="SAPBEXresItemX 2 4 4 3" xfId="32538"/>
    <cellStyle name="SAPBEXresItemX 2 4 5" xfId="32539"/>
    <cellStyle name="SAPBEXresItemX 2 4 5 2" xfId="32540"/>
    <cellStyle name="SAPBEXresItemX 2 4 5 2 2" xfId="32541"/>
    <cellStyle name="SAPBEXresItemX 2 4 5 3" xfId="32542"/>
    <cellStyle name="SAPBEXresItemX 2 4 6" xfId="32543"/>
    <cellStyle name="SAPBEXresItemX 2 4 6 2" xfId="32544"/>
    <cellStyle name="SAPBEXresItemX 2 4 6 2 2" xfId="32545"/>
    <cellStyle name="SAPBEXresItemX 2 4 6 3" xfId="32546"/>
    <cellStyle name="SAPBEXresItemX 2 4 7" xfId="32547"/>
    <cellStyle name="SAPBEXresItemX 2 4 7 2" xfId="32548"/>
    <cellStyle name="SAPBEXresItemX 2 4 7 2 2" xfId="32549"/>
    <cellStyle name="SAPBEXresItemX 2 4 7 3" xfId="32550"/>
    <cellStyle name="SAPBEXresItemX 2 4 8" xfId="32551"/>
    <cellStyle name="SAPBEXresItemX 2 4 8 2" xfId="32552"/>
    <cellStyle name="SAPBEXresItemX 2 4 8 2 2" xfId="32553"/>
    <cellStyle name="SAPBEXresItemX 2 4 8 3" xfId="32554"/>
    <cellStyle name="SAPBEXresItemX 2 4 9" xfId="32555"/>
    <cellStyle name="SAPBEXresItemX 2 4 9 2" xfId="32556"/>
    <cellStyle name="SAPBEXresItemX 2 4_planning-WP" xfId="32557"/>
    <cellStyle name="SAPBEXresItemX 2 5" xfId="32558"/>
    <cellStyle name="SAPBEXresItemX 2 5 2" xfId="32559"/>
    <cellStyle name="SAPBEXresItemX 2 5 2 2" xfId="32560"/>
    <cellStyle name="SAPBEXresItemX 2 6" xfId="32561"/>
    <cellStyle name="SAPBEXresItemX 2 6 2" xfId="32562"/>
    <cellStyle name="SAPBEXresItemX 2 6 2 2" xfId="32563"/>
    <cellStyle name="SAPBEXresItemX 2 6 3" xfId="32564"/>
    <cellStyle name="SAPBEXresItemX 2 7" xfId="32565"/>
    <cellStyle name="SAPBEXresItemX 2 7 2" xfId="32566"/>
    <cellStyle name="SAPBEXresItemX 2 7 2 2" xfId="32567"/>
    <cellStyle name="SAPBEXresItemX 2 7 3" xfId="32568"/>
    <cellStyle name="SAPBEXresItemX 2 8" xfId="32569"/>
    <cellStyle name="SAPBEXresItemX 2 8 2" xfId="32570"/>
    <cellStyle name="SAPBEXresItemX 2 8 2 2" xfId="32571"/>
    <cellStyle name="SAPBEXresItemX 2 8 3" xfId="32572"/>
    <cellStyle name="SAPBEXresItemX 2 9" xfId="32573"/>
    <cellStyle name="SAPBEXresItemX 2 9 2" xfId="32574"/>
    <cellStyle name="SAPBEXresItemX 2 9 2 2" xfId="32575"/>
    <cellStyle name="SAPBEXresItemX 2 9 3" xfId="32576"/>
    <cellStyle name="SAPBEXresItemX 2_planning-WP" xfId="32577"/>
    <cellStyle name="SAPBEXresItemX 20" xfId="39513"/>
    <cellStyle name="SAPBEXresItemX 3" xfId="32578"/>
    <cellStyle name="SAPBEXresItemX 3 10" xfId="32579"/>
    <cellStyle name="SAPBEXresItemX 3 10 2" xfId="32580"/>
    <cellStyle name="SAPBEXresItemX 3 10 2 2" xfId="32581"/>
    <cellStyle name="SAPBEXresItemX 3 10 3" xfId="32582"/>
    <cellStyle name="SAPBEXresItemX 3 11" xfId="32583"/>
    <cellStyle name="SAPBEXresItemX 3 11 2" xfId="32584"/>
    <cellStyle name="SAPBEXresItemX 3 11 2 2" xfId="32585"/>
    <cellStyle name="SAPBEXresItemX 3 11 3" xfId="32586"/>
    <cellStyle name="SAPBEXresItemX 3 12" xfId="32587"/>
    <cellStyle name="SAPBEXresItemX 3 12 2" xfId="32588"/>
    <cellStyle name="SAPBEXresItemX 3 12 2 2" xfId="32589"/>
    <cellStyle name="SAPBEXresItemX 3 12 3" xfId="32590"/>
    <cellStyle name="SAPBEXresItemX 3 13" xfId="32591"/>
    <cellStyle name="SAPBEXresItemX 3 14" xfId="39136"/>
    <cellStyle name="SAPBEXresItemX 3 15" xfId="39516"/>
    <cellStyle name="SAPBEXresItemX 3 2" xfId="32592"/>
    <cellStyle name="SAPBEXresItemX 3 2 10" xfId="32593"/>
    <cellStyle name="SAPBEXresItemX 3 2 10 2" xfId="32594"/>
    <cellStyle name="SAPBEXresItemX 3 2 10 2 2" xfId="32595"/>
    <cellStyle name="SAPBEXresItemX 3 2 10 3" xfId="32596"/>
    <cellStyle name="SAPBEXresItemX 3 2 11" xfId="32597"/>
    <cellStyle name="SAPBEXresItemX 3 2 11 2" xfId="32598"/>
    <cellStyle name="SAPBEXresItemX 3 2 12" xfId="39137"/>
    <cellStyle name="SAPBEXresItemX 3 2 13" xfId="39517"/>
    <cellStyle name="SAPBEXresItemX 3 2 2" xfId="32599"/>
    <cellStyle name="SAPBEXresItemX 3 2 2 10" xfId="32600"/>
    <cellStyle name="SAPBEXresItemX 3 2 2 10 2" xfId="32601"/>
    <cellStyle name="SAPBEXresItemX 3 2 2 2" xfId="32602"/>
    <cellStyle name="SAPBEXresItemX 3 2 2 2 2" xfId="32603"/>
    <cellStyle name="SAPBEXresItemX 3 2 2 2 2 2" xfId="32604"/>
    <cellStyle name="SAPBEXresItemX 3 2 2 2 3" xfId="32605"/>
    <cellStyle name="SAPBEXresItemX 3 2 2 3" xfId="32606"/>
    <cellStyle name="SAPBEXresItemX 3 2 2 3 2" xfId="32607"/>
    <cellStyle name="SAPBEXresItemX 3 2 2 3 2 2" xfId="32608"/>
    <cellStyle name="SAPBEXresItemX 3 2 2 3 3" xfId="32609"/>
    <cellStyle name="SAPBEXresItemX 3 2 2 4" xfId="32610"/>
    <cellStyle name="SAPBEXresItemX 3 2 2 4 2" xfId="32611"/>
    <cellStyle name="SAPBEXresItemX 3 2 2 4 2 2" xfId="32612"/>
    <cellStyle name="SAPBEXresItemX 3 2 2 4 3" xfId="32613"/>
    <cellStyle name="SAPBEXresItemX 3 2 2 5" xfId="32614"/>
    <cellStyle name="SAPBEXresItemX 3 2 2 5 2" xfId="32615"/>
    <cellStyle name="SAPBEXresItemX 3 2 2 5 2 2" xfId="32616"/>
    <cellStyle name="SAPBEXresItemX 3 2 2 5 3" xfId="32617"/>
    <cellStyle name="SAPBEXresItemX 3 2 2 6" xfId="32618"/>
    <cellStyle name="SAPBEXresItemX 3 2 2 6 2" xfId="32619"/>
    <cellStyle name="SAPBEXresItemX 3 2 2 6 2 2" xfId="32620"/>
    <cellStyle name="SAPBEXresItemX 3 2 2 6 3" xfId="32621"/>
    <cellStyle name="SAPBEXresItemX 3 2 2 7" xfId="32622"/>
    <cellStyle name="SAPBEXresItemX 3 2 2 7 2" xfId="32623"/>
    <cellStyle name="SAPBEXresItemX 3 2 2 7 2 2" xfId="32624"/>
    <cellStyle name="SAPBEXresItemX 3 2 2 7 3" xfId="32625"/>
    <cellStyle name="SAPBEXresItemX 3 2 2 8" xfId="32626"/>
    <cellStyle name="SAPBEXresItemX 3 2 2 8 2" xfId="32627"/>
    <cellStyle name="SAPBEXresItemX 3 2 2 8 2 2" xfId="32628"/>
    <cellStyle name="SAPBEXresItemX 3 2 2 8 3" xfId="32629"/>
    <cellStyle name="SAPBEXresItemX 3 2 2 9" xfId="32630"/>
    <cellStyle name="SAPBEXresItemX 3 2 2 9 2" xfId="32631"/>
    <cellStyle name="SAPBEXresItemX 3 2 2 9 2 2" xfId="32632"/>
    <cellStyle name="SAPBEXresItemX 3 2 2 9 3" xfId="32633"/>
    <cellStyle name="SAPBEXresItemX 3 2 2_planning-WP" xfId="32634"/>
    <cellStyle name="SAPBEXresItemX 3 2 3" xfId="32635"/>
    <cellStyle name="SAPBEXresItemX 3 2 3 2" xfId="32636"/>
    <cellStyle name="SAPBEXresItemX 3 2 3 2 2" xfId="32637"/>
    <cellStyle name="SAPBEXresItemX 3 2 3 3" xfId="32638"/>
    <cellStyle name="SAPBEXresItemX 3 2 4" xfId="32639"/>
    <cellStyle name="SAPBEXresItemX 3 2 4 2" xfId="32640"/>
    <cellStyle name="SAPBEXresItemX 3 2 4 2 2" xfId="32641"/>
    <cellStyle name="SAPBEXresItemX 3 2 4 3" xfId="32642"/>
    <cellStyle name="SAPBEXresItemX 3 2 5" xfId="32643"/>
    <cellStyle name="SAPBEXresItemX 3 2 5 2" xfId="32644"/>
    <cellStyle name="SAPBEXresItemX 3 2 5 2 2" xfId="32645"/>
    <cellStyle name="SAPBEXresItemX 3 2 5 3" xfId="32646"/>
    <cellStyle name="SAPBEXresItemX 3 2 6" xfId="32647"/>
    <cellStyle name="SAPBEXresItemX 3 2 6 2" xfId="32648"/>
    <cellStyle name="SAPBEXresItemX 3 2 6 2 2" xfId="32649"/>
    <cellStyle name="SAPBEXresItemX 3 2 6 3" xfId="32650"/>
    <cellStyle name="SAPBEXresItemX 3 2 7" xfId="32651"/>
    <cellStyle name="SAPBEXresItemX 3 2 7 2" xfId="32652"/>
    <cellStyle name="SAPBEXresItemX 3 2 7 2 2" xfId="32653"/>
    <cellStyle name="SAPBEXresItemX 3 2 7 3" xfId="32654"/>
    <cellStyle name="SAPBEXresItemX 3 2 8" xfId="32655"/>
    <cellStyle name="SAPBEXresItemX 3 2 8 2" xfId="32656"/>
    <cellStyle name="SAPBEXresItemX 3 2 8 2 2" xfId="32657"/>
    <cellStyle name="SAPBEXresItemX 3 2 8 3" xfId="32658"/>
    <cellStyle name="SAPBEXresItemX 3 2 9" xfId="32659"/>
    <cellStyle name="SAPBEXresItemX 3 2 9 2" xfId="32660"/>
    <cellStyle name="SAPBEXresItemX 3 2 9 2 2" xfId="32661"/>
    <cellStyle name="SAPBEXresItemX 3 2 9 3" xfId="32662"/>
    <cellStyle name="SAPBEXresItemX 3 2_planning-WP" xfId="32663"/>
    <cellStyle name="SAPBEXresItemX 3 3" xfId="32664"/>
    <cellStyle name="SAPBEXresItemX 3 3 10" xfId="32665"/>
    <cellStyle name="SAPBEXresItemX 3 3 10 2" xfId="32666"/>
    <cellStyle name="SAPBEXresItemX 3 3 2" xfId="32667"/>
    <cellStyle name="SAPBEXresItemX 3 3 2 2" xfId="32668"/>
    <cellStyle name="SAPBEXresItemX 3 3 2 2 2" xfId="32669"/>
    <cellStyle name="SAPBEXresItemX 3 3 2 3" xfId="32670"/>
    <cellStyle name="SAPBEXresItemX 3 3 3" xfId="32671"/>
    <cellStyle name="SAPBEXresItemX 3 3 3 2" xfId="32672"/>
    <cellStyle name="SAPBEXresItemX 3 3 3 2 2" xfId="32673"/>
    <cellStyle name="SAPBEXresItemX 3 3 3 3" xfId="32674"/>
    <cellStyle name="SAPBEXresItemX 3 3 4" xfId="32675"/>
    <cellStyle name="SAPBEXresItemX 3 3 4 2" xfId="32676"/>
    <cellStyle name="SAPBEXresItemX 3 3 4 2 2" xfId="32677"/>
    <cellStyle name="SAPBEXresItemX 3 3 4 3" xfId="32678"/>
    <cellStyle name="SAPBEXresItemX 3 3 5" xfId="32679"/>
    <cellStyle name="SAPBEXresItemX 3 3 5 2" xfId="32680"/>
    <cellStyle name="SAPBEXresItemX 3 3 5 2 2" xfId="32681"/>
    <cellStyle name="SAPBEXresItemX 3 3 5 3" xfId="32682"/>
    <cellStyle name="SAPBEXresItemX 3 3 6" xfId="32683"/>
    <cellStyle name="SAPBEXresItemX 3 3 6 2" xfId="32684"/>
    <cellStyle name="SAPBEXresItemX 3 3 6 2 2" xfId="32685"/>
    <cellStyle name="SAPBEXresItemX 3 3 6 3" xfId="32686"/>
    <cellStyle name="SAPBEXresItemX 3 3 7" xfId="32687"/>
    <cellStyle name="SAPBEXresItemX 3 3 7 2" xfId="32688"/>
    <cellStyle name="SAPBEXresItemX 3 3 7 2 2" xfId="32689"/>
    <cellStyle name="SAPBEXresItemX 3 3 7 3" xfId="32690"/>
    <cellStyle name="SAPBEXresItemX 3 3 8" xfId="32691"/>
    <cellStyle name="SAPBEXresItemX 3 3 8 2" xfId="32692"/>
    <cellStyle name="SAPBEXresItemX 3 3 8 2 2" xfId="32693"/>
    <cellStyle name="SAPBEXresItemX 3 3 8 3" xfId="32694"/>
    <cellStyle name="SAPBEXresItemX 3 3 9" xfId="32695"/>
    <cellStyle name="SAPBEXresItemX 3 3 9 2" xfId="32696"/>
    <cellStyle name="SAPBEXresItemX 3 3 9 2 2" xfId="32697"/>
    <cellStyle name="SAPBEXresItemX 3 3 9 3" xfId="32698"/>
    <cellStyle name="SAPBEXresItemX 3 3_planning-WP" xfId="32699"/>
    <cellStyle name="SAPBEXresItemX 3 4" xfId="32700"/>
    <cellStyle name="SAPBEXresItemX 3 4 2" xfId="32701"/>
    <cellStyle name="SAPBEXresItemX 3 4 2 2" xfId="32702"/>
    <cellStyle name="SAPBEXresItemX 3 4 2 2 2" xfId="32703"/>
    <cellStyle name="SAPBEXresItemX 3 4 2 3" xfId="32704"/>
    <cellStyle name="SAPBEXresItemX 3 4 3" xfId="32705"/>
    <cellStyle name="SAPBEXresItemX 3 4 3 2" xfId="32706"/>
    <cellStyle name="SAPBEXresItemX 3 4 3 2 2" xfId="32707"/>
    <cellStyle name="SAPBEXresItemX 3 4 3 3" xfId="32708"/>
    <cellStyle name="SAPBEXresItemX 3 4 4" xfId="32709"/>
    <cellStyle name="SAPBEXresItemX 3 4 4 2" xfId="32710"/>
    <cellStyle name="SAPBEXresItemX 3 4 4 2 2" xfId="32711"/>
    <cellStyle name="SAPBEXresItemX 3 4 4 3" xfId="32712"/>
    <cellStyle name="SAPBEXresItemX 3 4 5" xfId="32713"/>
    <cellStyle name="SAPBEXresItemX 3 4 5 2" xfId="32714"/>
    <cellStyle name="SAPBEXresItemX 3 4 5 2 2" xfId="32715"/>
    <cellStyle name="SAPBEXresItemX 3 4 5 3" xfId="32716"/>
    <cellStyle name="SAPBEXresItemX 3 4 6" xfId="32717"/>
    <cellStyle name="SAPBEXresItemX 3 4 6 2" xfId="32718"/>
    <cellStyle name="SAPBEXresItemX 3 4 6 2 2" xfId="32719"/>
    <cellStyle name="SAPBEXresItemX 3 4 6 3" xfId="32720"/>
    <cellStyle name="SAPBEXresItemX 3 4 7" xfId="32721"/>
    <cellStyle name="SAPBEXresItemX 3 4 7 2" xfId="32722"/>
    <cellStyle name="SAPBEXresItemX 3 4 7 2 2" xfId="32723"/>
    <cellStyle name="SAPBEXresItemX 3 4 7 3" xfId="32724"/>
    <cellStyle name="SAPBEXresItemX 3 4 8" xfId="32725"/>
    <cellStyle name="SAPBEXresItemX 3 4 8 2" xfId="32726"/>
    <cellStyle name="SAPBEXresItemX 3 4 8 2 2" xfId="32727"/>
    <cellStyle name="SAPBEXresItemX 3 4 8 3" xfId="32728"/>
    <cellStyle name="SAPBEXresItemX 3 4 9" xfId="32729"/>
    <cellStyle name="SAPBEXresItemX 3 4 9 2" xfId="32730"/>
    <cellStyle name="SAPBEXresItemX 3 4_planning-WP" xfId="32731"/>
    <cellStyle name="SAPBEXresItemX 3 5" xfId="32732"/>
    <cellStyle name="SAPBEXresItemX 3 5 2" xfId="32733"/>
    <cellStyle name="SAPBEXresItemX 3 5 2 2" xfId="32734"/>
    <cellStyle name="SAPBEXresItemX 3 6" xfId="32735"/>
    <cellStyle name="SAPBEXresItemX 3 6 2" xfId="32736"/>
    <cellStyle name="SAPBEXresItemX 3 6 2 2" xfId="32737"/>
    <cellStyle name="SAPBEXresItemX 3 6 3" xfId="32738"/>
    <cellStyle name="SAPBEXresItemX 3 7" xfId="32739"/>
    <cellStyle name="SAPBEXresItemX 3 7 2" xfId="32740"/>
    <cellStyle name="SAPBEXresItemX 3 7 2 2" xfId="32741"/>
    <cellStyle name="SAPBEXresItemX 3 7 3" xfId="32742"/>
    <cellStyle name="SAPBEXresItemX 3 8" xfId="32743"/>
    <cellStyle name="SAPBEXresItemX 3 8 2" xfId="32744"/>
    <cellStyle name="SAPBEXresItemX 3 8 2 2" xfId="32745"/>
    <cellStyle name="SAPBEXresItemX 3 8 3" xfId="32746"/>
    <cellStyle name="SAPBEXresItemX 3 9" xfId="32747"/>
    <cellStyle name="SAPBEXresItemX 3 9 2" xfId="32748"/>
    <cellStyle name="SAPBEXresItemX 3 9 2 2" xfId="32749"/>
    <cellStyle name="SAPBEXresItemX 3 9 3" xfId="32750"/>
    <cellStyle name="SAPBEXresItemX 3_planning-WP" xfId="32751"/>
    <cellStyle name="SAPBEXresItemX 4" xfId="32752"/>
    <cellStyle name="SAPBEXresItemX 4 10" xfId="32753"/>
    <cellStyle name="SAPBEXresItemX 4 10 2" xfId="32754"/>
    <cellStyle name="SAPBEXresItemX 4 10 2 2" xfId="32755"/>
    <cellStyle name="SAPBEXresItemX 4 10 3" xfId="32756"/>
    <cellStyle name="SAPBEXresItemX 4 11" xfId="32757"/>
    <cellStyle name="SAPBEXresItemX 4 11 2" xfId="32758"/>
    <cellStyle name="SAPBEXresItemX 4 11 2 2" xfId="32759"/>
    <cellStyle name="SAPBEXresItemX 4 11 3" xfId="32760"/>
    <cellStyle name="SAPBEXresItemX 4 12" xfId="32761"/>
    <cellStyle name="SAPBEXresItemX 4 12 2" xfId="32762"/>
    <cellStyle name="SAPBEXresItemX 4 12 2 2" xfId="32763"/>
    <cellStyle name="SAPBEXresItemX 4 12 3" xfId="32764"/>
    <cellStyle name="SAPBEXresItemX 4 13" xfId="32765"/>
    <cellStyle name="SAPBEXresItemX 4 14" xfId="39138"/>
    <cellStyle name="SAPBEXresItemX 4 15" xfId="39518"/>
    <cellStyle name="SAPBEXresItemX 4 2" xfId="32766"/>
    <cellStyle name="SAPBEXresItemX 4 2 10" xfId="32767"/>
    <cellStyle name="SAPBEXresItemX 4 2 10 2" xfId="32768"/>
    <cellStyle name="SAPBEXresItemX 4 2 10 2 2" xfId="32769"/>
    <cellStyle name="SAPBEXresItemX 4 2 10 3" xfId="32770"/>
    <cellStyle name="SAPBEXresItemX 4 2 11" xfId="32771"/>
    <cellStyle name="SAPBEXresItemX 4 2 11 2" xfId="32772"/>
    <cellStyle name="SAPBEXresItemX 4 2 12" xfId="39139"/>
    <cellStyle name="SAPBEXresItemX 4 2 13" xfId="39519"/>
    <cellStyle name="SAPBEXresItemX 4 2 2" xfId="32773"/>
    <cellStyle name="SAPBEXresItemX 4 2 2 10" xfId="32774"/>
    <cellStyle name="SAPBEXresItemX 4 2 2 10 2" xfId="32775"/>
    <cellStyle name="SAPBEXresItemX 4 2 2 2" xfId="32776"/>
    <cellStyle name="SAPBEXresItemX 4 2 2 2 2" xfId="32777"/>
    <cellStyle name="SAPBEXresItemX 4 2 2 2 2 2" xfId="32778"/>
    <cellStyle name="SAPBEXresItemX 4 2 2 2 3" xfId="32779"/>
    <cellStyle name="SAPBEXresItemX 4 2 2 3" xfId="32780"/>
    <cellStyle name="SAPBEXresItemX 4 2 2 3 2" xfId="32781"/>
    <cellStyle name="SAPBEXresItemX 4 2 2 3 2 2" xfId="32782"/>
    <cellStyle name="SAPBEXresItemX 4 2 2 3 3" xfId="32783"/>
    <cellStyle name="SAPBEXresItemX 4 2 2 4" xfId="32784"/>
    <cellStyle name="SAPBEXresItemX 4 2 2 4 2" xfId="32785"/>
    <cellStyle name="SAPBEXresItemX 4 2 2 4 2 2" xfId="32786"/>
    <cellStyle name="SAPBEXresItemX 4 2 2 4 3" xfId="32787"/>
    <cellStyle name="SAPBEXresItemX 4 2 2 5" xfId="32788"/>
    <cellStyle name="SAPBEXresItemX 4 2 2 5 2" xfId="32789"/>
    <cellStyle name="SAPBEXresItemX 4 2 2 5 2 2" xfId="32790"/>
    <cellStyle name="SAPBEXresItemX 4 2 2 5 3" xfId="32791"/>
    <cellStyle name="SAPBEXresItemX 4 2 2 6" xfId="32792"/>
    <cellStyle name="SAPBEXresItemX 4 2 2 6 2" xfId="32793"/>
    <cellStyle name="SAPBEXresItemX 4 2 2 6 2 2" xfId="32794"/>
    <cellStyle name="SAPBEXresItemX 4 2 2 6 3" xfId="32795"/>
    <cellStyle name="SAPBEXresItemX 4 2 2 7" xfId="32796"/>
    <cellStyle name="SAPBEXresItemX 4 2 2 7 2" xfId="32797"/>
    <cellStyle name="SAPBEXresItemX 4 2 2 7 2 2" xfId="32798"/>
    <cellStyle name="SAPBEXresItemX 4 2 2 7 3" xfId="32799"/>
    <cellStyle name="SAPBEXresItemX 4 2 2 8" xfId="32800"/>
    <cellStyle name="SAPBEXresItemX 4 2 2 8 2" xfId="32801"/>
    <cellStyle name="SAPBEXresItemX 4 2 2 8 2 2" xfId="32802"/>
    <cellStyle name="SAPBEXresItemX 4 2 2 8 3" xfId="32803"/>
    <cellStyle name="SAPBEXresItemX 4 2 2 9" xfId="32804"/>
    <cellStyle name="SAPBEXresItemX 4 2 2 9 2" xfId="32805"/>
    <cellStyle name="SAPBEXresItemX 4 2 2 9 2 2" xfId="32806"/>
    <cellStyle name="SAPBEXresItemX 4 2 2 9 3" xfId="32807"/>
    <cellStyle name="SAPBEXresItemX 4 2 2_planning-WP" xfId="32808"/>
    <cellStyle name="SAPBEXresItemX 4 2 3" xfId="32809"/>
    <cellStyle name="SAPBEXresItemX 4 2 3 2" xfId="32810"/>
    <cellStyle name="SAPBEXresItemX 4 2 3 2 2" xfId="32811"/>
    <cellStyle name="SAPBEXresItemX 4 2 3 3" xfId="32812"/>
    <cellStyle name="SAPBEXresItemX 4 2 4" xfId="32813"/>
    <cellStyle name="SAPBEXresItemX 4 2 4 2" xfId="32814"/>
    <cellStyle name="SAPBEXresItemX 4 2 4 2 2" xfId="32815"/>
    <cellStyle name="SAPBEXresItemX 4 2 4 3" xfId="32816"/>
    <cellStyle name="SAPBEXresItemX 4 2 5" xfId="32817"/>
    <cellStyle name="SAPBEXresItemX 4 2 5 2" xfId="32818"/>
    <cellStyle name="SAPBEXresItemX 4 2 5 2 2" xfId="32819"/>
    <cellStyle name="SAPBEXresItemX 4 2 5 3" xfId="32820"/>
    <cellStyle name="SAPBEXresItemX 4 2 6" xfId="32821"/>
    <cellStyle name="SAPBEXresItemX 4 2 6 2" xfId="32822"/>
    <cellStyle name="SAPBEXresItemX 4 2 6 2 2" xfId="32823"/>
    <cellStyle name="SAPBEXresItemX 4 2 6 3" xfId="32824"/>
    <cellStyle name="SAPBEXresItemX 4 2 7" xfId="32825"/>
    <cellStyle name="SAPBEXresItemX 4 2 7 2" xfId="32826"/>
    <cellStyle name="SAPBEXresItemX 4 2 7 2 2" xfId="32827"/>
    <cellStyle name="SAPBEXresItemX 4 2 7 3" xfId="32828"/>
    <cellStyle name="SAPBEXresItemX 4 2 8" xfId="32829"/>
    <cellStyle name="SAPBEXresItemX 4 2 8 2" xfId="32830"/>
    <cellStyle name="SAPBEXresItemX 4 2 8 2 2" xfId="32831"/>
    <cellStyle name="SAPBEXresItemX 4 2 8 3" xfId="32832"/>
    <cellStyle name="SAPBEXresItemX 4 2 9" xfId="32833"/>
    <cellStyle name="SAPBEXresItemX 4 2 9 2" xfId="32834"/>
    <cellStyle name="SAPBEXresItemX 4 2 9 2 2" xfId="32835"/>
    <cellStyle name="SAPBEXresItemX 4 2 9 3" xfId="32836"/>
    <cellStyle name="SAPBEXresItemX 4 2_planning-WP" xfId="32837"/>
    <cellStyle name="SAPBEXresItemX 4 3" xfId="32838"/>
    <cellStyle name="SAPBEXresItemX 4 3 10" xfId="32839"/>
    <cellStyle name="SAPBEXresItemX 4 3 10 2" xfId="32840"/>
    <cellStyle name="SAPBEXresItemX 4 3 2" xfId="32841"/>
    <cellStyle name="SAPBEXresItemX 4 3 2 2" xfId="32842"/>
    <cellStyle name="SAPBEXresItemX 4 3 2 2 2" xfId="32843"/>
    <cellStyle name="SAPBEXresItemX 4 3 2 3" xfId="32844"/>
    <cellStyle name="SAPBEXresItemX 4 3 3" xfId="32845"/>
    <cellStyle name="SAPBEXresItemX 4 3 3 2" xfId="32846"/>
    <cellStyle name="SAPBEXresItemX 4 3 3 2 2" xfId="32847"/>
    <cellStyle name="SAPBEXresItemX 4 3 3 3" xfId="32848"/>
    <cellStyle name="SAPBEXresItemX 4 3 4" xfId="32849"/>
    <cellStyle name="SAPBEXresItemX 4 3 4 2" xfId="32850"/>
    <cellStyle name="SAPBEXresItemX 4 3 4 2 2" xfId="32851"/>
    <cellStyle name="SAPBEXresItemX 4 3 4 3" xfId="32852"/>
    <cellStyle name="SAPBEXresItemX 4 3 5" xfId="32853"/>
    <cellStyle name="SAPBEXresItemX 4 3 5 2" xfId="32854"/>
    <cellStyle name="SAPBEXresItemX 4 3 5 2 2" xfId="32855"/>
    <cellStyle name="SAPBEXresItemX 4 3 5 3" xfId="32856"/>
    <cellStyle name="SAPBEXresItemX 4 3 6" xfId="32857"/>
    <cellStyle name="SAPBEXresItemX 4 3 6 2" xfId="32858"/>
    <cellStyle name="SAPBEXresItemX 4 3 6 2 2" xfId="32859"/>
    <cellStyle name="SAPBEXresItemX 4 3 6 3" xfId="32860"/>
    <cellStyle name="SAPBEXresItemX 4 3 7" xfId="32861"/>
    <cellStyle name="SAPBEXresItemX 4 3 7 2" xfId="32862"/>
    <cellStyle name="SAPBEXresItemX 4 3 7 2 2" xfId="32863"/>
    <cellStyle name="SAPBEXresItemX 4 3 7 3" xfId="32864"/>
    <cellStyle name="SAPBEXresItemX 4 3 8" xfId="32865"/>
    <cellStyle name="SAPBEXresItemX 4 3 8 2" xfId="32866"/>
    <cellStyle name="SAPBEXresItemX 4 3 8 2 2" xfId="32867"/>
    <cellStyle name="SAPBEXresItemX 4 3 8 3" xfId="32868"/>
    <cellStyle name="SAPBEXresItemX 4 3 9" xfId="32869"/>
    <cellStyle name="SAPBEXresItemX 4 3 9 2" xfId="32870"/>
    <cellStyle name="SAPBEXresItemX 4 3 9 2 2" xfId="32871"/>
    <cellStyle name="SAPBEXresItemX 4 3 9 3" xfId="32872"/>
    <cellStyle name="SAPBEXresItemX 4 3_planning-WP" xfId="32873"/>
    <cellStyle name="SAPBEXresItemX 4 4" xfId="32874"/>
    <cellStyle name="SAPBEXresItemX 4 4 2" xfId="32875"/>
    <cellStyle name="SAPBEXresItemX 4 4 2 2" xfId="32876"/>
    <cellStyle name="SAPBEXresItemX 4 4 2 2 2" xfId="32877"/>
    <cellStyle name="SAPBEXresItemX 4 4 2 3" xfId="32878"/>
    <cellStyle name="SAPBEXresItemX 4 4 3" xfId="32879"/>
    <cellStyle name="SAPBEXresItemX 4 4 3 2" xfId="32880"/>
    <cellStyle name="SAPBEXresItemX 4 4 3 2 2" xfId="32881"/>
    <cellStyle name="SAPBEXresItemX 4 4 3 3" xfId="32882"/>
    <cellStyle name="SAPBEXresItemX 4 4 4" xfId="32883"/>
    <cellStyle name="SAPBEXresItemX 4 4 4 2" xfId="32884"/>
    <cellStyle name="SAPBEXresItemX 4 4 4 2 2" xfId="32885"/>
    <cellStyle name="SAPBEXresItemX 4 4 4 3" xfId="32886"/>
    <cellStyle name="SAPBEXresItemX 4 4 5" xfId="32887"/>
    <cellStyle name="SAPBEXresItemX 4 4 5 2" xfId="32888"/>
    <cellStyle name="SAPBEXresItemX 4 4 5 2 2" xfId="32889"/>
    <cellStyle name="SAPBEXresItemX 4 4 5 3" xfId="32890"/>
    <cellStyle name="SAPBEXresItemX 4 4 6" xfId="32891"/>
    <cellStyle name="SAPBEXresItemX 4 4 6 2" xfId="32892"/>
    <cellStyle name="SAPBEXresItemX 4 4 6 2 2" xfId="32893"/>
    <cellStyle name="SAPBEXresItemX 4 4 6 3" xfId="32894"/>
    <cellStyle name="SAPBEXresItemX 4 4 7" xfId="32895"/>
    <cellStyle name="SAPBEXresItemX 4 4 7 2" xfId="32896"/>
    <cellStyle name="SAPBEXresItemX 4 4 7 2 2" xfId="32897"/>
    <cellStyle name="SAPBEXresItemX 4 4 7 3" xfId="32898"/>
    <cellStyle name="SAPBEXresItemX 4 4 8" xfId="32899"/>
    <cellStyle name="SAPBEXresItemX 4 4 8 2" xfId="32900"/>
    <cellStyle name="SAPBEXresItemX 4 4 8 2 2" xfId="32901"/>
    <cellStyle name="SAPBEXresItemX 4 4 8 3" xfId="32902"/>
    <cellStyle name="SAPBEXresItemX 4 4 9" xfId="32903"/>
    <cellStyle name="SAPBEXresItemX 4 4 9 2" xfId="32904"/>
    <cellStyle name="SAPBEXresItemX 4 4_planning-WP" xfId="32905"/>
    <cellStyle name="SAPBEXresItemX 4 5" xfId="32906"/>
    <cellStyle name="SAPBEXresItemX 4 5 2" xfId="32907"/>
    <cellStyle name="SAPBEXresItemX 4 5 2 2" xfId="32908"/>
    <cellStyle name="SAPBEXresItemX 4 6" xfId="32909"/>
    <cellStyle name="SAPBEXresItemX 4 6 2" xfId="32910"/>
    <cellStyle name="SAPBEXresItemX 4 6 2 2" xfId="32911"/>
    <cellStyle name="SAPBEXresItemX 4 6 3" xfId="32912"/>
    <cellStyle name="SAPBEXresItemX 4 7" xfId="32913"/>
    <cellStyle name="SAPBEXresItemX 4 7 2" xfId="32914"/>
    <cellStyle name="SAPBEXresItemX 4 7 2 2" xfId="32915"/>
    <cellStyle name="SAPBEXresItemX 4 7 3" xfId="32916"/>
    <cellStyle name="SAPBEXresItemX 4 8" xfId="32917"/>
    <cellStyle name="SAPBEXresItemX 4 8 2" xfId="32918"/>
    <cellStyle name="SAPBEXresItemX 4 8 2 2" xfId="32919"/>
    <cellStyle name="SAPBEXresItemX 4 8 3" xfId="32920"/>
    <cellStyle name="SAPBEXresItemX 4 9" xfId="32921"/>
    <cellStyle name="SAPBEXresItemX 4 9 2" xfId="32922"/>
    <cellStyle name="SAPBEXresItemX 4 9 2 2" xfId="32923"/>
    <cellStyle name="SAPBEXresItemX 4 9 3" xfId="32924"/>
    <cellStyle name="SAPBEXresItemX 4_planning-WP" xfId="32925"/>
    <cellStyle name="SAPBEXresItemX 5" xfId="32926"/>
    <cellStyle name="SAPBEXresItemX 5 10" xfId="32927"/>
    <cellStyle name="SAPBEXresItemX 5 10 2" xfId="32928"/>
    <cellStyle name="SAPBEXresItemX 5 10 2 2" xfId="32929"/>
    <cellStyle name="SAPBEXresItemX 5 10 3" xfId="32930"/>
    <cellStyle name="SAPBEXresItemX 5 11" xfId="32931"/>
    <cellStyle name="SAPBEXresItemX 5 11 2" xfId="32932"/>
    <cellStyle name="SAPBEXresItemX 5 11 2 2" xfId="32933"/>
    <cellStyle name="SAPBEXresItemX 5 11 3" xfId="32934"/>
    <cellStyle name="SAPBEXresItemX 5 12" xfId="32935"/>
    <cellStyle name="SAPBEXresItemX 5 12 2" xfId="32936"/>
    <cellStyle name="SAPBEXresItemX 5 12 2 2" xfId="32937"/>
    <cellStyle name="SAPBEXresItemX 5 12 3" xfId="32938"/>
    <cellStyle name="SAPBEXresItemX 5 13" xfId="32939"/>
    <cellStyle name="SAPBEXresItemX 5 14" xfId="39140"/>
    <cellStyle name="SAPBEXresItemX 5 15" xfId="39520"/>
    <cellStyle name="SAPBEXresItemX 5 2" xfId="32940"/>
    <cellStyle name="SAPBEXresItemX 5 2 10" xfId="32941"/>
    <cellStyle name="SAPBEXresItemX 5 2 10 2" xfId="32942"/>
    <cellStyle name="SAPBEXresItemX 5 2 10 2 2" xfId="32943"/>
    <cellStyle name="SAPBEXresItemX 5 2 10 3" xfId="32944"/>
    <cellStyle name="SAPBEXresItemX 5 2 11" xfId="32945"/>
    <cellStyle name="SAPBEXresItemX 5 2 11 2" xfId="32946"/>
    <cellStyle name="SAPBEXresItemX 5 2 2" xfId="32947"/>
    <cellStyle name="SAPBEXresItemX 5 2 2 10" xfId="32948"/>
    <cellStyle name="SAPBEXresItemX 5 2 2 10 2" xfId="32949"/>
    <cellStyle name="SAPBEXresItemX 5 2 2 2" xfId="32950"/>
    <cellStyle name="SAPBEXresItemX 5 2 2 2 2" xfId="32951"/>
    <cellStyle name="SAPBEXresItemX 5 2 2 2 2 2" xfId="32952"/>
    <cellStyle name="SAPBEXresItemX 5 2 2 2 3" xfId="32953"/>
    <cellStyle name="SAPBEXresItemX 5 2 2 3" xfId="32954"/>
    <cellStyle name="SAPBEXresItemX 5 2 2 3 2" xfId="32955"/>
    <cellStyle name="SAPBEXresItemX 5 2 2 3 2 2" xfId="32956"/>
    <cellStyle name="SAPBEXresItemX 5 2 2 3 3" xfId="32957"/>
    <cellStyle name="SAPBEXresItemX 5 2 2 4" xfId="32958"/>
    <cellStyle name="SAPBEXresItemX 5 2 2 4 2" xfId="32959"/>
    <cellStyle name="SAPBEXresItemX 5 2 2 4 2 2" xfId="32960"/>
    <cellStyle name="SAPBEXresItemX 5 2 2 4 3" xfId="32961"/>
    <cellStyle name="SAPBEXresItemX 5 2 2 5" xfId="32962"/>
    <cellStyle name="SAPBEXresItemX 5 2 2 5 2" xfId="32963"/>
    <cellStyle name="SAPBEXresItemX 5 2 2 5 2 2" xfId="32964"/>
    <cellStyle name="SAPBEXresItemX 5 2 2 5 3" xfId="32965"/>
    <cellStyle name="SAPBEXresItemX 5 2 2 6" xfId="32966"/>
    <cellStyle name="SAPBEXresItemX 5 2 2 6 2" xfId="32967"/>
    <cellStyle name="SAPBEXresItemX 5 2 2 6 2 2" xfId="32968"/>
    <cellStyle name="SAPBEXresItemX 5 2 2 6 3" xfId="32969"/>
    <cellStyle name="SAPBEXresItemX 5 2 2 7" xfId="32970"/>
    <cellStyle name="SAPBEXresItemX 5 2 2 7 2" xfId="32971"/>
    <cellStyle name="SAPBEXresItemX 5 2 2 7 2 2" xfId="32972"/>
    <cellStyle name="SAPBEXresItemX 5 2 2 7 3" xfId="32973"/>
    <cellStyle name="SAPBEXresItemX 5 2 2 8" xfId="32974"/>
    <cellStyle name="SAPBEXresItemX 5 2 2 8 2" xfId="32975"/>
    <cellStyle name="SAPBEXresItemX 5 2 2 8 2 2" xfId="32976"/>
    <cellStyle name="SAPBEXresItemX 5 2 2 8 3" xfId="32977"/>
    <cellStyle name="SAPBEXresItemX 5 2 2 9" xfId="32978"/>
    <cellStyle name="SAPBEXresItemX 5 2 2 9 2" xfId="32979"/>
    <cellStyle name="SAPBEXresItemX 5 2 2 9 2 2" xfId="32980"/>
    <cellStyle name="SAPBEXresItemX 5 2 2 9 3" xfId="32981"/>
    <cellStyle name="SAPBEXresItemX 5 2 2_planning-WP" xfId="32982"/>
    <cellStyle name="SAPBEXresItemX 5 2 3" xfId="32983"/>
    <cellStyle name="SAPBEXresItemX 5 2 3 2" xfId="32984"/>
    <cellStyle name="SAPBEXresItemX 5 2 3 2 2" xfId="32985"/>
    <cellStyle name="SAPBEXresItemX 5 2 3 3" xfId="32986"/>
    <cellStyle name="SAPBEXresItemX 5 2 4" xfId="32987"/>
    <cellStyle name="SAPBEXresItemX 5 2 4 2" xfId="32988"/>
    <cellStyle name="SAPBEXresItemX 5 2 4 2 2" xfId="32989"/>
    <cellStyle name="SAPBEXresItemX 5 2 4 3" xfId="32990"/>
    <cellStyle name="SAPBEXresItemX 5 2 5" xfId="32991"/>
    <cellStyle name="SAPBEXresItemX 5 2 5 2" xfId="32992"/>
    <cellStyle name="SAPBEXresItemX 5 2 5 2 2" xfId="32993"/>
    <cellStyle name="SAPBEXresItemX 5 2 5 3" xfId="32994"/>
    <cellStyle name="SAPBEXresItemX 5 2 6" xfId="32995"/>
    <cellStyle name="SAPBEXresItemX 5 2 6 2" xfId="32996"/>
    <cellStyle name="SAPBEXresItemX 5 2 6 2 2" xfId="32997"/>
    <cellStyle name="SAPBEXresItemX 5 2 6 3" xfId="32998"/>
    <cellStyle name="SAPBEXresItemX 5 2 7" xfId="32999"/>
    <cellStyle name="SAPBEXresItemX 5 2 7 2" xfId="33000"/>
    <cellStyle name="SAPBEXresItemX 5 2 7 2 2" xfId="33001"/>
    <cellStyle name="SAPBEXresItemX 5 2 7 3" xfId="33002"/>
    <cellStyle name="SAPBEXresItemX 5 2 8" xfId="33003"/>
    <cellStyle name="SAPBEXresItemX 5 2 8 2" xfId="33004"/>
    <cellStyle name="SAPBEXresItemX 5 2 8 2 2" xfId="33005"/>
    <cellStyle name="SAPBEXresItemX 5 2 8 3" xfId="33006"/>
    <cellStyle name="SAPBEXresItemX 5 2 9" xfId="33007"/>
    <cellStyle name="SAPBEXresItemX 5 2 9 2" xfId="33008"/>
    <cellStyle name="SAPBEXresItemX 5 2 9 2 2" xfId="33009"/>
    <cellStyle name="SAPBEXresItemX 5 2 9 3" xfId="33010"/>
    <cellStyle name="SAPBEXresItemX 5 2_planning-WP" xfId="33011"/>
    <cellStyle name="SAPBEXresItemX 5 3" xfId="33012"/>
    <cellStyle name="SAPBEXresItemX 5 3 10" xfId="33013"/>
    <cellStyle name="SAPBEXresItemX 5 3 10 2" xfId="33014"/>
    <cellStyle name="SAPBEXresItemX 5 3 2" xfId="33015"/>
    <cellStyle name="SAPBEXresItemX 5 3 2 2" xfId="33016"/>
    <cellStyle name="SAPBEXresItemX 5 3 2 2 2" xfId="33017"/>
    <cellStyle name="SAPBEXresItemX 5 3 2 3" xfId="33018"/>
    <cellStyle name="SAPBEXresItemX 5 3 3" xfId="33019"/>
    <cellStyle name="SAPBEXresItemX 5 3 3 2" xfId="33020"/>
    <cellStyle name="SAPBEXresItemX 5 3 3 2 2" xfId="33021"/>
    <cellStyle name="SAPBEXresItemX 5 3 3 3" xfId="33022"/>
    <cellStyle name="SAPBEXresItemX 5 3 4" xfId="33023"/>
    <cellStyle name="SAPBEXresItemX 5 3 4 2" xfId="33024"/>
    <cellStyle name="SAPBEXresItemX 5 3 4 2 2" xfId="33025"/>
    <cellStyle name="SAPBEXresItemX 5 3 4 3" xfId="33026"/>
    <cellStyle name="SAPBEXresItemX 5 3 5" xfId="33027"/>
    <cellStyle name="SAPBEXresItemX 5 3 5 2" xfId="33028"/>
    <cellStyle name="SAPBEXresItemX 5 3 5 2 2" xfId="33029"/>
    <cellStyle name="SAPBEXresItemX 5 3 5 3" xfId="33030"/>
    <cellStyle name="SAPBEXresItemX 5 3 6" xfId="33031"/>
    <cellStyle name="SAPBEXresItemX 5 3 6 2" xfId="33032"/>
    <cellStyle name="SAPBEXresItemX 5 3 6 2 2" xfId="33033"/>
    <cellStyle name="SAPBEXresItemX 5 3 6 3" xfId="33034"/>
    <cellStyle name="SAPBEXresItemX 5 3 7" xfId="33035"/>
    <cellStyle name="SAPBEXresItemX 5 3 7 2" xfId="33036"/>
    <cellStyle name="SAPBEXresItemX 5 3 7 2 2" xfId="33037"/>
    <cellStyle name="SAPBEXresItemX 5 3 7 3" xfId="33038"/>
    <cellStyle name="SAPBEXresItemX 5 3 8" xfId="33039"/>
    <cellStyle name="SAPBEXresItemX 5 3 8 2" xfId="33040"/>
    <cellStyle name="SAPBEXresItemX 5 3 8 2 2" xfId="33041"/>
    <cellStyle name="SAPBEXresItemX 5 3 8 3" xfId="33042"/>
    <cellStyle name="SAPBEXresItemX 5 3 9" xfId="33043"/>
    <cellStyle name="SAPBEXresItemX 5 3 9 2" xfId="33044"/>
    <cellStyle name="SAPBEXresItemX 5 3 9 2 2" xfId="33045"/>
    <cellStyle name="SAPBEXresItemX 5 3 9 3" xfId="33046"/>
    <cellStyle name="SAPBEXresItemX 5 3_planning-WP" xfId="33047"/>
    <cellStyle name="SAPBEXresItemX 5 4" xfId="33048"/>
    <cellStyle name="SAPBEXresItemX 5 4 2" xfId="33049"/>
    <cellStyle name="SAPBEXresItemX 5 4 2 2" xfId="33050"/>
    <cellStyle name="SAPBEXresItemX 5 4 2 2 2" xfId="33051"/>
    <cellStyle name="SAPBEXresItemX 5 4 2 3" xfId="33052"/>
    <cellStyle name="SAPBEXresItemX 5 4 3" xfId="33053"/>
    <cellStyle name="SAPBEXresItemX 5 4 3 2" xfId="33054"/>
    <cellStyle name="SAPBEXresItemX 5 4 3 2 2" xfId="33055"/>
    <cellStyle name="SAPBEXresItemX 5 4 3 3" xfId="33056"/>
    <cellStyle name="SAPBEXresItemX 5 4 4" xfId="33057"/>
    <cellStyle name="SAPBEXresItemX 5 4 4 2" xfId="33058"/>
    <cellStyle name="SAPBEXresItemX 5 4 4 2 2" xfId="33059"/>
    <cellStyle name="SAPBEXresItemX 5 4 4 3" xfId="33060"/>
    <cellStyle name="SAPBEXresItemX 5 4 5" xfId="33061"/>
    <cellStyle name="SAPBEXresItemX 5 4 5 2" xfId="33062"/>
    <cellStyle name="SAPBEXresItemX 5 4 5 2 2" xfId="33063"/>
    <cellStyle name="SAPBEXresItemX 5 4 5 3" xfId="33064"/>
    <cellStyle name="SAPBEXresItemX 5 4 6" xfId="33065"/>
    <cellStyle name="SAPBEXresItemX 5 4 6 2" xfId="33066"/>
    <cellStyle name="SAPBEXresItemX 5 4 6 2 2" xfId="33067"/>
    <cellStyle name="SAPBEXresItemX 5 4 6 3" xfId="33068"/>
    <cellStyle name="SAPBEXresItemX 5 4 7" xfId="33069"/>
    <cellStyle name="SAPBEXresItemX 5 4 7 2" xfId="33070"/>
    <cellStyle name="SAPBEXresItemX 5 4 7 2 2" xfId="33071"/>
    <cellStyle name="SAPBEXresItemX 5 4 7 3" xfId="33072"/>
    <cellStyle name="SAPBEXresItemX 5 4 8" xfId="33073"/>
    <cellStyle name="SAPBEXresItemX 5 4 8 2" xfId="33074"/>
    <cellStyle name="SAPBEXresItemX 5 4 8 2 2" xfId="33075"/>
    <cellStyle name="SAPBEXresItemX 5 4 8 3" xfId="33076"/>
    <cellStyle name="SAPBEXresItemX 5 4 9" xfId="33077"/>
    <cellStyle name="SAPBEXresItemX 5 4 9 2" xfId="33078"/>
    <cellStyle name="SAPBEXresItemX 5 4_planning-WP" xfId="33079"/>
    <cellStyle name="SAPBEXresItemX 5 5" xfId="33080"/>
    <cellStyle name="SAPBEXresItemX 5 5 2" xfId="33081"/>
    <cellStyle name="SAPBEXresItemX 5 5 2 2" xfId="33082"/>
    <cellStyle name="SAPBEXresItemX 5 6" xfId="33083"/>
    <cellStyle name="SAPBEXresItemX 5 6 2" xfId="33084"/>
    <cellStyle name="SAPBEXresItemX 5 6 2 2" xfId="33085"/>
    <cellStyle name="SAPBEXresItemX 5 6 3" xfId="33086"/>
    <cellStyle name="SAPBEXresItemX 5 7" xfId="33087"/>
    <cellStyle name="SAPBEXresItemX 5 7 2" xfId="33088"/>
    <cellStyle name="SAPBEXresItemX 5 7 2 2" xfId="33089"/>
    <cellStyle name="SAPBEXresItemX 5 7 3" xfId="33090"/>
    <cellStyle name="SAPBEXresItemX 5 8" xfId="33091"/>
    <cellStyle name="SAPBEXresItemX 5 8 2" xfId="33092"/>
    <cellStyle name="SAPBEXresItemX 5 8 2 2" xfId="33093"/>
    <cellStyle name="SAPBEXresItemX 5 8 3" xfId="33094"/>
    <cellStyle name="SAPBEXresItemX 5 9" xfId="33095"/>
    <cellStyle name="SAPBEXresItemX 5 9 2" xfId="33096"/>
    <cellStyle name="SAPBEXresItemX 5 9 2 2" xfId="33097"/>
    <cellStyle name="SAPBEXresItemX 5 9 3" xfId="33098"/>
    <cellStyle name="SAPBEXresItemX 5_planning-WP" xfId="33099"/>
    <cellStyle name="SAPBEXresItemX 6" xfId="33100"/>
    <cellStyle name="SAPBEXresItemX 6 10" xfId="33101"/>
    <cellStyle name="SAPBEXresItemX 6 10 2" xfId="33102"/>
    <cellStyle name="SAPBEXresItemX 6 10 2 2" xfId="33103"/>
    <cellStyle name="SAPBEXresItemX 6 10 3" xfId="33104"/>
    <cellStyle name="SAPBEXresItemX 6 11" xfId="33105"/>
    <cellStyle name="SAPBEXresItemX 6 11 2" xfId="33106"/>
    <cellStyle name="SAPBEXresItemX 6 11 2 2" xfId="33107"/>
    <cellStyle name="SAPBEXresItemX 6 11 3" xfId="33108"/>
    <cellStyle name="SAPBEXresItemX 6 12" xfId="33109"/>
    <cellStyle name="SAPBEXresItemX 6 13" xfId="39141"/>
    <cellStyle name="SAPBEXresItemX 6 14" xfId="39521"/>
    <cellStyle name="SAPBEXresItemX 6 2" xfId="33110"/>
    <cellStyle name="SAPBEXresItemX 6 2 10" xfId="33111"/>
    <cellStyle name="SAPBEXresItemX 6 2 10 2" xfId="33112"/>
    <cellStyle name="SAPBEXresItemX 6 2 2" xfId="33113"/>
    <cellStyle name="SAPBEXresItemX 6 2 2 2" xfId="33114"/>
    <cellStyle name="SAPBEXresItemX 6 2 2 2 2" xfId="33115"/>
    <cellStyle name="SAPBEXresItemX 6 2 2 3" xfId="33116"/>
    <cellStyle name="SAPBEXresItemX 6 2 3" xfId="33117"/>
    <cellStyle name="SAPBEXresItemX 6 2 3 2" xfId="33118"/>
    <cellStyle name="SAPBEXresItemX 6 2 3 2 2" xfId="33119"/>
    <cellStyle name="SAPBEXresItemX 6 2 3 3" xfId="33120"/>
    <cellStyle name="SAPBEXresItemX 6 2 4" xfId="33121"/>
    <cellStyle name="SAPBEXresItemX 6 2 4 2" xfId="33122"/>
    <cellStyle name="SAPBEXresItemX 6 2 4 2 2" xfId="33123"/>
    <cellStyle name="SAPBEXresItemX 6 2 4 3" xfId="33124"/>
    <cellStyle name="SAPBEXresItemX 6 2 5" xfId="33125"/>
    <cellStyle name="SAPBEXresItemX 6 2 5 2" xfId="33126"/>
    <cellStyle name="SAPBEXresItemX 6 2 5 2 2" xfId="33127"/>
    <cellStyle name="SAPBEXresItemX 6 2 5 3" xfId="33128"/>
    <cellStyle name="SAPBEXresItemX 6 2 6" xfId="33129"/>
    <cellStyle name="SAPBEXresItemX 6 2 6 2" xfId="33130"/>
    <cellStyle name="SAPBEXresItemX 6 2 6 2 2" xfId="33131"/>
    <cellStyle name="SAPBEXresItemX 6 2 6 3" xfId="33132"/>
    <cellStyle name="SAPBEXresItemX 6 2 7" xfId="33133"/>
    <cellStyle name="SAPBEXresItemX 6 2 7 2" xfId="33134"/>
    <cellStyle name="SAPBEXresItemX 6 2 7 2 2" xfId="33135"/>
    <cellStyle name="SAPBEXresItemX 6 2 7 3" xfId="33136"/>
    <cellStyle name="SAPBEXresItemX 6 2 8" xfId="33137"/>
    <cellStyle name="SAPBEXresItemX 6 2 8 2" xfId="33138"/>
    <cellStyle name="SAPBEXresItemX 6 2 8 2 2" xfId="33139"/>
    <cellStyle name="SAPBEXresItemX 6 2 8 3" xfId="33140"/>
    <cellStyle name="SAPBEXresItemX 6 2 9" xfId="33141"/>
    <cellStyle name="SAPBEXresItemX 6 2 9 2" xfId="33142"/>
    <cellStyle name="SAPBEXresItemX 6 2 9 2 2" xfId="33143"/>
    <cellStyle name="SAPBEXresItemX 6 2 9 3" xfId="33144"/>
    <cellStyle name="SAPBEXresItemX 6 2_planning-WP" xfId="33145"/>
    <cellStyle name="SAPBEXresItemX 6 3" xfId="33146"/>
    <cellStyle name="SAPBEXresItemX 6 3 2" xfId="33147"/>
    <cellStyle name="SAPBEXresItemX 6 3 2 2" xfId="33148"/>
    <cellStyle name="SAPBEXresItemX 6 3 2 2 2" xfId="33149"/>
    <cellStyle name="SAPBEXresItemX 6 3 2 3" xfId="33150"/>
    <cellStyle name="SAPBEXresItemX 6 3 3" xfId="33151"/>
    <cellStyle name="SAPBEXresItemX 6 3 3 2" xfId="33152"/>
    <cellStyle name="SAPBEXresItemX 6 3 3 2 2" xfId="33153"/>
    <cellStyle name="SAPBEXresItemX 6 3 3 3" xfId="33154"/>
    <cellStyle name="SAPBEXresItemX 6 3 4" xfId="33155"/>
    <cellStyle name="SAPBEXresItemX 6 3 4 2" xfId="33156"/>
    <cellStyle name="SAPBEXresItemX 6 3 4 2 2" xfId="33157"/>
    <cellStyle name="SAPBEXresItemX 6 3 4 3" xfId="33158"/>
    <cellStyle name="SAPBEXresItemX 6 3 5" xfId="33159"/>
    <cellStyle name="SAPBEXresItemX 6 3 5 2" xfId="33160"/>
    <cellStyle name="SAPBEXresItemX 6 3 5 2 2" xfId="33161"/>
    <cellStyle name="SAPBEXresItemX 6 3 5 3" xfId="33162"/>
    <cellStyle name="SAPBEXresItemX 6 3 6" xfId="33163"/>
    <cellStyle name="SAPBEXresItemX 6 3 6 2" xfId="33164"/>
    <cellStyle name="SAPBEXresItemX 6 3 6 2 2" xfId="33165"/>
    <cellStyle name="SAPBEXresItemX 6 3 6 3" xfId="33166"/>
    <cellStyle name="SAPBEXresItemX 6 3 7" xfId="33167"/>
    <cellStyle name="SAPBEXresItemX 6 3 7 2" xfId="33168"/>
    <cellStyle name="SAPBEXresItemX 6 3 7 2 2" xfId="33169"/>
    <cellStyle name="SAPBEXresItemX 6 3 7 3" xfId="33170"/>
    <cellStyle name="SAPBEXresItemX 6 3 8" xfId="33171"/>
    <cellStyle name="SAPBEXresItemX 6 3 8 2" xfId="33172"/>
    <cellStyle name="SAPBEXresItemX 6 3 8 2 2" xfId="33173"/>
    <cellStyle name="SAPBEXresItemX 6 3 8 3" xfId="33174"/>
    <cellStyle name="SAPBEXresItemX 6 3 9" xfId="33175"/>
    <cellStyle name="SAPBEXresItemX 6 3 9 2" xfId="33176"/>
    <cellStyle name="SAPBEXresItemX 6 3_planning-WP" xfId="33177"/>
    <cellStyle name="SAPBEXresItemX 6 4" xfId="33178"/>
    <cellStyle name="SAPBEXresItemX 6 4 2" xfId="33179"/>
    <cellStyle name="SAPBEXresItemX 6 4 2 2" xfId="33180"/>
    <cellStyle name="SAPBEXresItemX 6 5" xfId="33181"/>
    <cellStyle name="SAPBEXresItemX 6 5 2" xfId="33182"/>
    <cellStyle name="SAPBEXresItemX 6 5 2 2" xfId="33183"/>
    <cellStyle name="SAPBEXresItemX 6 5 3" xfId="33184"/>
    <cellStyle name="SAPBEXresItemX 6 6" xfId="33185"/>
    <cellStyle name="SAPBEXresItemX 6 6 2" xfId="33186"/>
    <cellStyle name="SAPBEXresItemX 6 6 2 2" xfId="33187"/>
    <cellStyle name="SAPBEXresItemX 6 6 3" xfId="33188"/>
    <cellStyle name="SAPBEXresItemX 6 7" xfId="33189"/>
    <cellStyle name="SAPBEXresItemX 6 7 2" xfId="33190"/>
    <cellStyle name="SAPBEXresItemX 6 7 2 2" xfId="33191"/>
    <cellStyle name="SAPBEXresItemX 6 7 3" xfId="33192"/>
    <cellStyle name="SAPBEXresItemX 6 8" xfId="33193"/>
    <cellStyle name="SAPBEXresItemX 6 8 2" xfId="33194"/>
    <cellStyle name="SAPBEXresItemX 6 8 2 2" xfId="33195"/>
    <cellStyle name="SAPBEXresItemX 6 8 3" xfId="33196"/>
    <cellStyle name="SAPBEXresItemX 6 9" xfId="33197"/>
    <cellStyle name="SAPBEXresItemX 6 9 2" xfId="33198"/>
    <cellStyle name="SAPBEXresItemX 6 9 2 2" xfId="33199"/>
    <cellStyle name="SAPBEXresItemX 6 9 3" xfId="33200"/>
    <cellStyle name="SAPBEXresItemX 6_planning-WP" xfId="33201"/>
    <cellStyle name="SAPBEXresItemX 7" xfId="33202"/>
    <cellStyle name="SAPBEXresItemX 7 10" xfId="33203"/>
    <cellStyle name="SAPBEXresItemX 7 10 2" xfId="33204"/>
    <cellStyle name="SAPBEXresItemX 7 10 2 2" xfId="33205"/>
    <cellStyle name="SAPBEXresItemX 7 10 3" xfId="33206"/>
    <cellStyle name="SAPBEXresItemX 7 11" xfId="33207"/>
    <cellStyle name="SAPBEXresItemX 7 11 2" xfId="33208"/>
    <cellStyle name="SAPBEXresItemX 7 2" xfId="33209"/>
    <cellStyle name="SAPBEXresItemX 7 2 10" xfId="33210"/>
    <cellStyle name="SAPBEXresItemX 7 2 10 2" xfId="33211"/>
    <cellStyle name="SAPBEXresItemX 7 2 2" xfId="33212"/>
    <cellStyle name="SAPBEXresItemX 7 2 2 2" xfId="33213"/>
    <cellStyle name="SAPBEXresItemX 7 2 2 2 2" xfId="33214"/>
    <cellStyle name="SAPBEXresItemX 7 2 2 3" xfId="33215"/>
    <cellStyle name="SAPBEXresItemX 7 2 3" xfId="33216"/>
    <cellStyle name="SAPBEXresItemX 7 2 3 2" xfId="33217"/>
    <cellStyle name="SAPBEXresItemX 7 2 3 2 2" xfId="33218"/>
    <cellStyle name="SAPBEXresItemX 7 2 3 3" xfId="33219"/>
    <cellStyle name="SAPBEXresItemX 7 2 4" xfId="33220"/>
    <cellStyle name="SAPBEXresItemX 7 2 4 2" xfId="33221"/>
    <cellStyle name="SAPBEXresItemX 7 2 4 2 2" xfId="33222"/>
    <cellStyle name="SAPBEXresItemX 7 2 4 3" xfId="33223"/>
    <cellStyle name="SAPBEXresItemX 7 2 5" xfId="33224"/>
    <cellStyle name="SAPBEXresItemX 7 2 5 2" xfId="33225"/>
    <cellStyle name="SAPBEXresItemX 7 2 5 2 2" xfId="33226"/>
    <cellStyle name="SAPBEXresItemX 7 2 5 3" xfId="33227"/>
    <cellStyle name="SAPBEXresItemX 7 2 6" xfId="33228"/>
    <cellStyle name="SAPBEXresItemX 7 2 6 2" xfId="33229"/>
    <cellStyle name="SAPBEXresItemX 7 2 6 2 2" xfId="33230"/>
    <cellStyle name="SAPBEXresItemX 7 2 6 3" xfId="33231"/>
    <cellStyle name="SAPBEXresItemX 7 2 7" xfId="33232"/>
    <cellStyle name="SAPBEXresItemX 7 2 7 2" xfId="33233"/>
    <cellStyle name="SAPBEXresItemX 7 2 7 2 2" xfId="33234"/>
    <cellStyle name="SAPBEXresItemX 7 2 7 3" xfId="33235"/>
    <cellStyle name="SAPBEXresItemX 7 2 8" xfId="33236"/>
    <cellStyle name="SAPBEXresItemX 7 2 8 2" xfId="33237"/>
    <cellStyle name="SAPBEXresItemX 7 2 8 2 2" xfId="33238"/>
    <cellStyle name="SAPBEXresItemX 7 2 8 3" xfId="33239"/>
    <cellStyle name="SAPBEXresItemX 7 2 9" xfId="33240"/>
    <cellStyle name="SAPBEXresItemX 7 2 9 2" xfId="33241"/>
    <cellStyle name="SAPBEXresItemX 7 2 9 2 2" xfId="33242"/>
    <cellStyle name="SAPBEXresItemX 7 2 9 3" xfId="33243"/>
    <cellStyle name="SAPBEXresItemX 7 2_planning-WP" xfId="33244"/>
    <cellStyle name="SAPBEXresItemX 7 3" xfId="33245"/>
    <cellStyle name="SAPBEXresItemX 7 3 2" xfId="33246"/>
    <cellStyle name="SAPBEXresItemX 7 3 2 2" xfId="33247"/>
    <cellStyle name="SAPBEXresItemX 7 3 3" xfId="33248"/>
    <cellStyle name="SAPBEXresItemX 7 4" xfId="33249"/>
    <cellStyle name="SAPBEXresItemX 7 4 2" xfId="33250"/>
    <cellStyle name="SAPBEXresItemX 7 4 2 2" xfId="33251"/>
    <cellStyle name="SAPBEXresItemX 7 4 3" xfId="33252"/>
    <cellStyle name="SAPBEXresItemX 7 5" xfId="33253"/>
    <cellStyle name="SAPBEXresItemX 7 5 2" xfId="33254"/>
    <cellStyle name="SAPBEXresItemX 7 5 2 2" xfId="33255"/>
    <cellStyle name="SAPBEXresItemX 7 5 3" xfId="33256"/>
    <cellStyle name="SAPBEXresItemX 7 6" xfId="33257"/>
    <cellStyle name="SAPBEXresItemX 7 6 2" xfId="33258"/>
    <cellStyle name="SAPBEXresItemX 7 6 2 2" xfId="33259"/>
    <cellStyle name="SAPBEXresItemX 7 6 3" xfId="33260"/>
    <cellStyle name="SAPBEXresItemX 7 7" xfId="33261"/>
    <cellStyle name="SAPBEXresItemX 7 7 2" xfId="33262"/>
    <cellStyle name="SAPBEXresItemX 7 7 2 2" xfId="33263"/>
    <cellStyle name="SAPBEXresItemX 7 7 3" xfId="33264"/>
    <cellStyle name="SAPBEXresItemX 7 8" xfId="33265"/>
    <cellStyle name="SAPBEXresItemX 7 8 2" xfId="33266"/>
    <cellStyle name="SAPBEXresItemX 7 8 2 2" xfId="33267"/>
    <cellStyle name="SAPBEXresItemX 7 8 3" xfId="33268"/>
    <cellStyle name="SAPBEXresItemX 7 9" xfId="33269"/>
    <cellStyle name="SAPBEXresItemX 7 9 2" xfId="33270"/>
    <cellStyle name="SAPBEXresItemX 7 9 2 2" xfId="33271"/>
    <cellStyle name="SAPBEXresItemX 7 9 3" xfId="33272"/>
    <cellStyle name="SAPBEXresItemX 7_planning-WP" xfId="33273"/>
    <cellStyle name="SAPBEXresItemX 8" xfId="33274"/>
    <cellStyle name="SAPBEXresItemX 8 10" xfId="33275"/>
    <cellStyle name="SAPBEXresItemX 8 10 2" xfId="33276"/>
    <cellStyle name="SAPBEXresItemX 8 2" xfId="33277"/>
    <cellStyle name="SAPBEXresItemX 8 2 2" xfId="33278"/>
    <cellStyle name="SAPBEXresItemX 8 2 2 2" xfId="33279"/>
    <cellStyle name="SAPBEXresItemX 8 2 3" xfId="33280"/>
    <cellStyle name="SAPBEXresItemX 8 3" xfId="33281"/>
    <cellStyle name="SAPBEXresItemX 8 3 2" xfId="33282"/>
    <cellStyle name="SAPBEXresItemX 8 3 2 2" xfId="33283"/>
    <cellStyle name="SAPBEXresItemX 8 3 3" xfId="33284"/>
    <cellStyle name="SAPBEXresItemX 8 4" xfId="33285"/>
    <cellStyle name="SAPBEXresItemX 8 4 2" xfId="33286"/>
    <cellStyle name="SAPBEXresItemX 8 4 2 2" xfId="33287"/>
    <cellStyle name="SAPBEXresItemX 8 4 3" xfId="33288"/>
    <cellStyle name="SAPBEXresItemX 8 5" xfId="33289"/>
    <cellStyle name="SAPBEXresItemX 8 5 2" xfId="33290"/>
    <cellStyle name="SAPBEXresItemX 8 5 2 2" xfId="33291"/>
    <cellStyle name="SAPBEXresItemX 8 5 3" xfId="33292"/>
    <cellStyle name="SAPBEXresItemX 8 6" xfId="33293"/>
    <cellStyle name="SAPBEXresItemX 8 6 2" xfId="33294"/>
    <cellStyle name="SAPBEXresItemX 8 6 2 2" xfId="33295"/>
    <cellStyle name="SAPBEXresItemX 8 6 3" xfId="33296"/>
    <cellStyle name="SAPBEXresItemX 8 7" xfId="33297"/>
    <cellStyle name="SAPBEXresItemX 8 7 2" xfId="33298"/>
    <cellStyle name="SAPBEXresItemX 8 7 2 2" xfId="33299"/>
    <cellStyle name="SAPBEXresItemX 8 7 3" xfId="33300"/>
    <cellStyle name="SAPBEXresItemX 8 8" xfId="33301"/>
    <cellStyle name="SAPBEXresItemX 8 8 2" xfId="33302"/>
    <cellStyle name="SAPBEXresItemX 8 8 2 2" xfId="33303"/>
    <cellStyle name="SAPBEXresItemX 8 8 3" xfId="33304"/>
    <cellStyle name="SAPBEXresItemX 8 9" xfId="33305"/>
    <cellStyle name="SAPBEXresItemX 8 9 2" xfId="33306"/>
    <cellStyle name="SAPBEXresItemX 8 9 2 2" xfId="33307"/>
    <cellStyle name="SAPBEXresItemX 8 9 3" xfId="33308"/>
    <cellStyle name="SAPBEXresItemX 8_planning-WP" xfId="33309"/>
    <cellStyle name="SAPBEXresItemX 9" xfId="33310"/>
    <cellStyle name="SAPBEXresItemX 9 2" xfId="33311"/>
    <cellStyle name="SAPBEXresItemX 9 2 2" xfId="33312"/>
    <cellStyle name="SAPBEXresItemX 9 2 2 2" xfId="33313"/>
    <cellStyle name="SAPBEXresItemX 9 2 3" xfId="33314"/>
    <cellStyle name="SAPBEXresItemX 9 3" xfId="33315"/>
    <cellStyle name="SAPBEXresItemX 9 3 2" xfId="33316"/>
    <cellStyle name="SAPBEXresItemX 9 3 2 2" xfId="33317"/>
    <cellStyle name="SAPBEXresItemX 9 3 3" xfId="33318"/>
    <cellStyle name="SAPBEXresItemX 9 4" xfId="33319"/>
    <cellStyle name="SAPBEXresItemX 9 4 2" xfId="33320"/>
    <cellStyle name="SAPBEXresItemX 9 4 2 2" xfId="33321"/>
    <cellStyle name="SAPBEXresItemX 9 4 3" xfId="33322"/>
    <cellStyle name="SAPBEXresItemX 9 5" xfId="33323"/>
    <cellStyle name="SAPBEXresItemX 9 5 2" xfId="33324"/>
    <cellStyle name="SAPBEXresItemX 9 5 2 2" xfId="33325"/>
    <cellStyle name="SAPBEXresItemX 9 5 3" xfId="33326"/>
    <cellStyle name="SAPBEXresItemX 9 6" xfId="33327"/>
    <cellStyle name="SAPBEXresItemX 9 6 2" xfId="33328"/>
    <cellStyle name="SAPBEXresItemX 9 6 2 2" xfId="33329"/>
    <cellStyle name="SAPBEXresItemX 9 6 3" xfId="33330"/>
    <cellStyle name="SAPBEXresItemX 9 7" xfId="33331"/>
    <cellStyle name="SAPBEXresItemX 9 7 2" xfId="33332"/>
    <cellStyle name="SAPBEXresItemX 9 7 2 2" xfId="33333"/>
    <cellStyle name="SAPBEXresItemX 9 7 3" xfId="33334"/>
    <cellStyle name="SAPBEXresItemX 9 8" xfId="33335"/>
    <cellStyle name="SAPBEXresItemX 9 8 2" xfId="33336"/>
    <cellStyle name="SAPBEXresItemX 9 8 2 2" xfId="33337"/>
    <cellStyle name="SAPBEXresItemX 9 8 3" xfId="33338"/>
    <cellStyle name="SAPBEXresItemX 9 9" xfId="33339"/>
    <cellStyle name="SAPBEXresItemX 9 9 2" xfId="33340"/>
    <cellStyle name="SAPBEXresItemX 9_planning-WP" xfId="33341"/>
    <cellStyle name="SAPBEXresItemX_planning-WP" xfId="33342"/>
    <cellStyle name="SAPBEXstdData" xfId="291"/>
    <cellStyle name="SAPBEXstdData 10" xfId="33344"/>
    <cellStyle name="SAPBEXstdData 10 2" xfId="33345"/>
    <cellStyle name="SAPBEXstdData 10 2 2" xfId="33346"/>
    <cellStyle name="SAPBEXstdData 11" xfId="33347"/>
    <cellStyle name="SAPBEXstdData 11 2" xfId="33348"/>
    <cellStyle name="SAPBEXstdData 11 2 2" xfId="33349"/>
    <cellStyle name="SAPBEXstdData 11 3" xfId="33350"/>
    <cellStyle name="SAPBEXstdData 12" xfId="33351"/>
    <cellStyle name="SAPBEXstdData 12 2" xfId="33352"/>
    <cellStyle name="SAPBEXstdData 12 2 2" xfId="33353"/>
    <cellStyle name="SAPBEXstdData 12 3" xfId="33354"/>
    <cellStyle name="SAPBEXstdData 13" xfId="33355"/>
    <cellStyle name="SAPBEXstdData 13 2" xfId="33356"/>
    <cellStyle name="SAPBEXstdData 13 2 2" xfId="33357"/>
    <cellStyle name="SAPBEXstdData 13 3" xfId="33358"/>
    <cellStyle name="SAPBEXstdData 14" xfId="33359"/>
    <cellStyle name="SAPBEXstdData 14 2" xfId="33360"/>
    <cellStyle name="SAPBEXstdData 14 2 2" xfId="33361"/>
    <cellStyle name="SAPBEXstdData 14 3" xfId="33362"/>
    <cellStyle name="SAPBEXstdData 15" xfId="33363"/>
    <cellStyle name="SAPBEXstdData 15 2" xfId="33364"/>
    <cellStyle name="SAPBEXstdData 15 2 2" xfId="33365"/>
    <cellStyle name="SAPBEXstdData 15 3" xfId="33366"/>
    <cellStyle name="SAPBEXstdData 16" xfId="33367"/>
    <cellStyle name="SAPBEXstdData 16 2" xfId="33368"/>
    <cellStyle name="SAPBEXstdData 16 2 2" xfId="33369"/>
    <cellStyle name="SAPBEXstdData 16 3" xfId="33370"/>
    <cellStyle name="SAPBEXstdData 17" xfId="33371"/>
    <cellStyle name="SAPBEXstdData 17 2" xfId="33372"/>
    <cellStyle name="SAPBEXstdData 17 2 2" xfId="33373"/>
    <cellStyle name="SAPBEXstdData 17 3" xfId="33374"/>
    <cellStyle name="SAPBEXstdData 18" xfId="33375"/>
    <cellStyle name="SAPBEXstdData 19" xfId="33376"/>
    <cellStyle name="SAPBEXstdData 2" xfId="33377"/>
    <cellStyle name="SAPBEXstdData 2 10" xfId="33378"/>
    <cellStyle name="SAPBEXstdData 2 10 2" xfId="33379"/>
    <cellStyle name="SAPBEXstdData 2 10 2 2" xfId="33380"/>
    <cellStyle name="SAPBEXstdData 2 10 3" xfId="33381"/>
    <cellStyle name="SAPBEXstdData 2 11" xfId="33382"/>
    <cellStyle name="SAPBEXstdData 2 11 2" xfId="33383"/>
    <cellStyle name="SAPBEXstdData 2 11 2 2" xfId="33384"/>
    <cellStyle name="SAPBEXstdData 2 11 3" xfId="33385"/>
    <cellStyle name="SAPBEXstdData 2 12" xfId="33386"/>
    <cellStyle name="SAPBEXstdData 2 12 2" xfId="33387"/>
    <cellStyle name="SAPBEXstdData 2 12 2 2" xfId="33388"/>
    <cellStyle name="SAPBEXstdData 2 12 3" xfId="33389"/>
    <cellStyle name="SAPBEXstdData 2 13" xfId="33390"/>
    <cellStyle name="SAPBEXstdData 2 14" xfId="33391"/>
    <cellStyle name="SAPBEXstdData 2 15" xfId="39143"/>
    <cellStyle name="SAPBEXstdData 2 16" xfId="39523"/>
    <cellStyle name="SAPBEXstdData 2 2" xfId="33392"/>
    <cellStyle name="SAPBEXstdData 2 2 10" xfId="33393"/>
    <cellStyle name="SAPBEXstdData 2 2 10 2" xfId="33394"/>
    <cellStyle name="SAPBEXstdData 2 2 10 2 2" xfId="33395"/>
    <cellStyle name="SAPBEXstdData 2 2 10 3" xfId="33396"/>
    <cellStyle name="SAPBEXstdData 2 2 11" xfId="33397"/>
    <cellStyle name="SAPBEXstdData 2 2 11 2" xfId="33398"/>
    <cellStyle name="SAPBEXstdData 2 2 2" xfId="33399"/>
    <cellStyle name="SAPBEXstdData 2 2 2 10" xfId="33400"/>
    <cellStyle name="SAPBEXstdData 2 2 2 10 2" xfId="33401"/>
    <cellStyle name="SAPBEXstdData 2 2 2 2" xfId="33402"/>
    <cellStyle name="SAPBEXstdData 2 2 2 2 2" xfId="33403"/>
    <cellStyle name="SAPBEXstdData 2 2 2 2 2 2" xfId="33404"/>
    <cellStyle name="SAPBEXstdData 2 2 2 2 3" xfId="33405"/>
    <cellStyle name="SAPBEXstdData 2 2 2 3" xfId="33406"/>
    <cellStyle name="SAPBEXstdData 2 2 2 3 2" xfId="33407"/>
    <cellStyle name="SAPBEXstdData 2 2 2 3 2 2" xfId="33408"/>
    <cellStyle name="SAPBEXstdData 2 2 2 3 3" xfId="33409"/>
    <cellStyle name="SAPBEXstdData 2 2 2 4" xfId="33410"/>
    <cellStyle name="SAPBEXstdData 2 2 2 4 2" xfId="33411"/>
    <cellStyle name="SAPBEXstdData 2 2 2 4 2 2" xfId="33412"/>
    <cellStyle name="SAPBEXstdData 2 2 2 4 3" xfId="33413"/>
    <cellStyle name="SAPBEXstdData 2 2 2 5" xfId="33414"/>
    <cellStyle name="SAPBEXstdData 2 2 2 5 2" xfId="33415"/>
    <cellStyle name="SAPBEXstdData 2 2 2 5 2 2" xfId="33416"/>
    <cellStyle name="SAPBEXstdData 2 2 2 5 3" xfId="33417"/>
    <cellStyle name="SAPBEXstdData 2 2 2 6" xfId="33418"/>
    <cellStyle name="SAPBEXstdData 2 2 2 6 2" xfId="33419"/>
    <cellStyle name="SAPBEXstdData 2 2 2 6 2 2" xfId="33420"/>
    <cellStyle name="SAPBEXstdData 2 2 2 6 3" xfId="33421"/>
    <cellStyle name="SAPBEXstdData 2 2 2 7" xfId="33422"/>
    <cellStyle name="SAPBEXstdData 2 2 2 7 2" xfId="33423"/>
    <cellStyle name="SAPBEXstdData 2 2 2 7 2 2" xfId="33424"/>
    <cellStyle name="SAPBEXstdData 2 2 2 7 3" xfId="33425"/>
    <cellStyle name="SAPBEXstdData 2 2 2 8" xfId="33426"/>
    <cellStyle name="SAPBEXstdData 2 2 2 8 2" xfId="33427"/>
    <cellStyle name="SAPBEXstdData 2 2 2 8 2 2" xfId="33428"/>
    <cellStyle name="SAPBEXstdData 2 2 2 8 3" xfId="33429"/>
    <cellStyle name="SAPBEXstdData 2 2 2 9" xfId="33430"/>
    <cellStyle name="SAPBEXstdData 2 2 2 9 2" xfId="33431"/>
    <cellStyle name="SAPBEXstdData 2 2 2 9 2 2" xfId="33432"/>
    <cellStyle name="SAPBEXstdData 2 2 2 9 3" xfId="33433"/>
    <cellStyle name="SAPBEXstdData 2 2 2_planning-WP" xfId="33434"/>
    <cellStyle name="SAPBEXstdData 2 2 3" xfId="33435"/>
    <cellStyle name="SAPBEXstdData 2 2 3 2" xfId="33436"/>
    <cellStyle name="SAPBEXstdData 2 2 3 2 2" xfId="33437"/>
    <cellStyle name="SAPBEXstdData 2 2 3 3" xfId="33438"/>
    <cellStyle name="SAPBEXstdData 2 2 4" xfId="33439"/>
    <cellStyle name="SAPBEXstdData 2 2 4 2" xfId="33440"/>
    <cellStyle name="SAPBEXstdData 2 2 4 2 2" xfId="33441"/>
    <cellStyle name="SAPBEXstdData 2 2 4 3" xfId="33442"/>
    <cellStyle name="SAPBEXstdData 2 2 5" xfId="33443"/>
    <cellStyle name="SAPBEXstdData 2 2 5 2" xfId="33444"/>
    <cellStyle name="SAPBEXstdData 2 2 5 2 2" xfId="33445"/>
    <cellStyle name="SAPBEXstdData 2 2 5 3" xfId="33446"/>
    <cellStyle name="SAPBEXstdData 2 2 6" xfId="33447"/>
    <cellStyle name="SAPBEXstdData 2 2 6 2" xfId="33448"/>
    <cellStyle name="SAPBEXstdData 2 2 6 2 2" xfId="33449"/>
    <cellStyle name="SAPBEXstdData 2 2 6 3" xfId="33450"/>
    <cellStyle name="SAPBEXstdData 2 2 7" xfId="33451"/>
    <cellStyle name="SAPBEXstdData 2 2 7 2" xfId="33452"/>
    <cellStyle name="SAPBEXstdData 2 2 7 2 2" xfId="33453"/>
    <cellStyle name="SAPBEXstdData 2 2 7 3" xfId="33454"/>
    <cellStyle name="SAPBEXstdData 2 2 8" xfId="33455"/>
    <cellStyle name="SAPBEXstdData 2 2 8 2" xfId="33456"/>
    <cellStyle name="SAPBEXstdData 2 2 8 2 2" xfId="33457"/>
    <cellStyle name="SAPBEXstdData 2 2 8 3" xfId="33458"/>
    <cellStyle name="SAPBEXstdData 2 2 9" xfId="33459"/>
    <cellStyle name="SAPBEXstdData 2 2 9 2" xfId="33460"/>
    <cellStyle name="SAPBEXstdData 2 2 9 2 2" xfId="33461"/>
    <cellStyle name="SAPBEXstdData 2 2 9 3" xfId="33462"/>
    <cellStyle name="SAPBEXstdData 2 2_planning-WP" xfId="33463"/>
    <cellStyle name="SAPBEXstdData 2 3" xfId="33464"/>
    <cellStyle name="SAPBEXstdData 2 3 10" xfId="33465"/>
    <cellStyle name="SAPBEXstdData 2 3 10 2" xfId="33466"/>
    <cellStyle name="SAPBEXstdData 2 3 2" xfId="33467"/>
    <cellStyle name="SAPBEXstdData 2 3 2 2" xfId="33468"/>
    <cellStyle name="SAPBEXstdData 2 3 2 2 2" xfId="33469"/>
    <cellStyle name="SAPBEXstdData 2 3 2 3" xfId="33470"/>
    <cellStyle name="SAPBEXstdData 2 3 3" xfId="33471"/>
    <cellStyle name="SAPBEXstdData 2 3 3 2" xfId="33472"/>
    <cellStyle name="SAPBEXstdData 2 3 3 2 2" xfId="33473"/>
    <cellStyle name="SAPBEXstdData 2 3 3 3" xfId="33474"/>
    <cellStyle name="SAPBEXstdData 2 3 4" xfId="33475"/>
    <cellStyle name="SAPBEXstdData 2 3 4 2" xfId="33476"/>
    <cellStyle name="SAPBEXstdData 2 3 4 2 2" xfId="33477"/>
    <cellStyle name="SAPBEXstdData 2 3 4 3" xfId="33478"/>
    <cellStyle name="SAPBEXstdData 2 3 5" xfId="33479"/>
    <cellStyle name="SAPBEXstdData 2 3 5 2" xfId="33480"/>
    <cellStyle name="SAPBEXstdData 2 3 5 2 2" xfId="33481"/>
    <cellStyle name="SAPBEXstdData 2 3 5 3" xfId="33482"/>
    <cellStyle name="SAPBEXstdData 2 3 6" xfId="33483"/>
    <cellStyle name="SAPBEXstdData 2 3 6 2" xfId="33484"/>
    <cellStyle name="SAPBEXstdData 2 3 6 2 2" xfId="33485"/>
    <cellStyle name="SAPBEXstdData 2 3 6 3" xfId="33486"/>
    <cellStyle name="SAPBEXstdData 2 3 7" xfId="33487"/>
    <cellStyle name="SAPBEXstdData 2 3 7 2" xfId="33488"/>
    <cellStyle name="SAPBEXstdData 2 3 7 2 2" xfId="33489"/>
    <cellStyle name="SAPBEXstdData 2 3 7 3" xfId="33490"/>
    <cellStyle name="SAPBEXstdData 2 3 8" xfId="33491"/>
    <cellStyle name="SAPBEXstdData 2 3 8 2" xfId="33492"/>
    <cellStyle name="SAPBEXstdData 2 3 8 2 2" xfId="33493"/>
    <cellStyle name="SAPBEXstdData 2 3 8 3" xfId="33494"/>
    <cellStyle name="SAPBEXstdData 2 3 9" xfId="33495"/>
    <cellStyle name="SAPBEXstdData 2 3 9 2" xfId="33496"/>
    <cellStyle name="SAPBEXstdData 2 3 9 2 2" xfId="33497"/>
    <cellStyle name="SAPBEXstdData 2 3 9 3" xfId="33498"/>
    <cellStyle name="SAPBEXstdData 2 3_planning-WP" xfId="33499"/>
    <cellStyle name="SAPBEXstdData 2 4" xfId="33500"/>
    <cellStyle name="SAPBEXstdData 2 4 2" xfId="33501"/>
    <cellStyle name="SAPBEXstdData 2 4 2 2" xfId="33502"/>
    <cellStyle name="SAPBEXstdData 2 4 2 2 2" xfId="33503"/>
    <cellStyle name="SAPBEXstdData 2 4 2 3" xfId="33504"/>
    <cellStyle name="SAPBEXstdData 2 4 3" xfId="33505"/>
    <cellStyle name="SAPBEXstdData 2 4 3 2" xfId="33506"/>
    <cellStyle name="SAPBEXstdData 2 4 3 2 2" xfId="33507"/>
    <cellStyle name="SAPBEXstdData 2 4 3 3" xfId="33508"/>
    <cellStyle name="SAPBEXstdData 2 4 4" xfId="33509"/>
    <cellStyle name="SAPBEXstdData 2 4 4 2" xfId="33510"/>
    <cellStyle name="SAPBEXstdData 2 4 4 2 2" xfId="33511"/>
    <cellStyle name="SAPBEXstdData 2 4 4 3" xfId="33512"/>
    <cellStyle name="SAPBEXstdData 2 4 5" xfId="33513"/>
    <cellStyle name="SAPBEXstdData 2 4 5 2" xfId="33514"/>
    <cellStyle name="SAPBEXstdData 2 4 5 2 2" xfId="33515"/>
    <cellStyle name="SAPBEXstdData 2 4 5 3" xfId="33516"/>
    <cellStyle name="SAPBEXstdData 2 4 6" xfId="33517"/>
    <cellStyle name="SAPBEXstdData 2 4 6 2" xfId="33518"/>
    <cellStyle name="SAPBEXstdData 2 4 6 2 2" xfId="33519"/>
    <cellStyle name="SAPBEXstdData 2 4 6 3" xfId="33520"/>
    <cellStyle name="SAPBEXstdData 2 4 7" xfId="33521"/>
    <cellStyle name="SAPBEXstdData 2 4 7 2" xfId="33522"/>
    <cellStyle name="SAPBEXstdData 2 4 7 2 2" xfId="33523"/>
    <cellStyle name="SAPBEXstdData 2 4 7 3" xfId="33524"/>
    <cellStyle name="SAPBEXstdData 2 4 8" xfId="33525"/>
    <cellStyle name="SAPBEXstdData 2 4 8 2" xfId="33526"/>
    <cellStyle name="SAPBEXstdData 2 4 8 2 2" xfId="33527"/>
    <cellStyle name="SAPBEXstdData 2 4 8 3" xfId="33528"/>
    <cellStyle name="SAPBEXstdData 2 4 9" xfId="33529"/>
    <cellStyle name="SAPBEXstdData 2 4 9 2" xfId="33530"/>
    <cellStyle name="SAPBEXstdData 2 4_planning-WP" xfId="33531"/>
    <cellStyle name="SAPBEXstdData 2 5" xfId="33532"/>
    <cellStyle name="SAPBEXstdData 2 5 2" xfId="33533"/>
    <cellStyle name="SAPBEXstdData 2 5 2 2" xfId="33534"/>
    <cellStyle name="SAPBEXstdData 2 6" xfId="33535"/>
    <cellStyle name="SAPBEXstdData 2 6 2" xfId="33536"/>
    <cellStyle name="SAPBEXstdData 2 6 2 2" xfId="33537"/>
    <cellStyle name="SAPBEXstdData 2 6 3" xfId="33538"/>
    <cellStyle name="SAPBEXstdData 2 7" xfId="33539"/>
    <cellStyle name="SAPBEXstdData 2 7 2" xfId="33540"/>
    <cellStyle name="SAPBEXstdData 2 7 2 2" xfId="33541"/>
    <cellStyle name="SAPBEXstdData 2 7 3" xfId="33542"/>
    <cellStyle name="SAPBEXstdData 2 8" xfId="33543"/>
    <cellStyle name="SAPBEXstdData 2 8 2" xfId="33544"/>
    <cellStyle name="SAPBEXstdData 2 8 2 2" xfId="33545"/>
    <cellStyle name="SAPBEXstdData 2 8 3" xfId="33546"/>
    <cellStyle name="SAPBEXstdData 2 9" xfId="33547"/>
    <cellStyle name="SAPBEXstdData 2 9 2" xfId="33548"/>
    <cellStyle name="SAPBEXstdData 2 9 2 2" xfId="33549"/>
    <cellStyle name="SAPBEXstdData 2 9 3" xfId="33550"/>
    <cellStyle name="SAPBEXstdData 2_planning-WP" xfId="33551"/>
    <cellStyle name="SAPBEXstdData 20" xfId="33343"/>
    <cellStyle name="SAPBEXstdData 21" xfId="39142"/>
    <cellStyle name="SAPBEXstdData 22" xfId="39522"/>
    <cellStyle name="SAPBEXstdData 3" xfId="33552"/>
    <cellStyle name="SAPBEXstdData 3 10" xfId="33553"/>
    <cellStyle name="SAPBEXstdData 3 10 2" xfId="33554"/>
    <cellStyle name="SAPBEXstdData 3 10 2 2" xfId="33555"/>
    <cellStyle name="SAPBEXstdData 3 10 3" xfId="33556"/>
    <cellStyle name="SAPBEXstdData 3 11" xfId="33557"/>
    <cellStyle name="SAPBEXstdData 3 11 2" xfId="33558"/>
    <cellStyle name="SAPBEXstdData 3 11 2 2" xfId="33559"/>
    <cellStyle name="SAPBEXstdData 3 11 3" xfId="33560"/>
    <cellStyle name="SAPBEXstdData 3 12" xfId="33561"/>
    <cellStyle name="SAPBEXstdData 3 12 2" xfId="33562"/>
    <cellStyle name="SAPBEXstdData 3 12 2 2" xfId="33563"/>
    <cellStyle name="SAPBEXstdData 3 12 3" xfId="33564"/>
    <cellStyle name="SAPBEXstdData 3 13" xfId="33565"/>
    <cellStyle name="SAPBEXstdData 3 14" xfId="33566"/>
    <cellStyle name="SAPBEXstdData 3 15" xfId="39144"/>
    <cellStyle name="SAPBEXstdData 3 16" xfId="39524"/>
    <cellStyle name="SAPBEXstdData 3 2" xfId="33567"/>
    <cellStyle name="SAPBEXstdData 3 2 10" xfId="33568"/>
    <cellStyle name="SAPBEXstdData 3 2 10 2" xfId="33569"/>
    <cellStyle name="SAPBEXstdData 3 2 10 2 2" xfId="33570"/>
    <cellStyle name="SAPBEXstdData 3 2 10 3" xfId="33571"/>
    <cellStyle name="SAPBEXstdData 3 2 11" xfId="33572"/>
    <cellStyle name="SAPBEXstdData 3 2 11 2" xfId="33573"/>
    <cellStyle name="SAPBEXstdData 3 2 2" xfId="33574"/>
    <cellStyle name="SAPBEXstdData 3 2 2 10" xfId="33575"/>
    <cellStyle name="SAPBEXstdData 3 2 2 10 2" xfId="33576"/>
    <cellStyle name="SAPBEXstdData 3 2 2 2" xfId="33577"/>
    <cellStyle name="SAPBEXstdData 3 2 2 2 2" xfId="33578"/>
    <cellStyle name="SAPBEXstdData 3 2 2 2 2 2" xfId="33579"/>
    <cellStyle name="SAPBEXstdData 3 2 2 2 3" xfId="33580"/>
    <cellStyle name="SAPBEXstdData 3 2 2 3" xfId="33581"/>
    <cellStyle name="SAPBEXstdData 3 2 2 3 2" xfId="33582"/>
    <cellStyle name="SAPBEXstdData 3 2 2 3 2 2" xfId="33583"/>
    <cellStyle name="SAPBEXstdData 3 2 2 3 3" xfId="33584"/>
    <cellStyle name="SAPBEXstdData 3 2 2 4" xfId="33585"/>
    <cellStyle name="SAPBEXstdData 3 2 2 4 2" xfId="33586"/>
    <cellStyle name="SAPBEXstdData 3 2 2 4 2 2" xfId="33587"/>
    <cellStyle name="SAPBEXstdData 3 2 2 4 3" xfId="33588"/>
    <cellStyle name="SAPBEXstdData 3 2 2 5" xfId="33589"/>
    <cellStyle name="SAPBEXstdData 3 2 2 5 2" xfId="33590"/>
    <cellStyle name="SAPBEXstdData 3 2 2 5 2 2" xfId="33591"/>
    <cellStyle name="SAPBEXstdData 3 2 2 5 3" xfId="33592"/>
    <cellStyle name="SAPBEXstdData 3 2 2 6" xfId="33593"/>
    <cellStyle name="SAPBEXstdData 3 2 2 6 2" xfId="33594"/>
    <cellStyle name="SAPBEXstdData 3 2 2 6 2 2" xfId="33595"/>
    <cellStyle name="SAPBEXstdData 3 2 2 6 3" xfId="33596"/>
    <cellStyle name="SAPBEXstdData 3 2 2 7" xfId="33597"/>
    <cellStyle name="SAPBEXstdData 3 2 2 7 2" xfId="33598"/>
    <cellStyle name="SAPBEXstdData 3 2 2 7 2 2" xfId="33599"/>
    <cellStyle name="SAPBEXstdData 3 2 2 7 3" xfId="33600"/>
    <cellStyle name="SAPBEXstdData 3 2 2 8" xfId="33601"/>
    <cellStyle name="SAPBEXstdData 3 2 2 8 2" xfId="33602"/>
    <cellStyle name="SAPBEXstdData 3 2 2 8 2 2" xfId="33603"/>
    <cellStyle name="SAPBEXstdData 3 2 2 8 3" xfId="33604"/>
    <cellStyle name="SAPBEXstdData 3 2 2 9" xfId="33605"/>
    <cellStyle name="SAPBEXstdData 3 2 2 9 2" xfId="33606"/>
    <cellStyle name="SAPBEXstdData 3 2 2 9 2 2" xfId="33607"/>
    <cellStyle name="SAPBEXstdData 3 2 2 9 3" xfId="33608"/>
    <cellStyle name="SAPBEXstdData 3 2 2_planning-WP" xfId="33609"/>
    <cellStyle name="SAPBEXstdData 3 2 3" xfId="33610"/>
    <cellStyle name="SAPBEXstdData 3 2 3 2" xfId="33611"/>
    <cellStyle name="SAPBEXstdData 3 2 3 2 2" xfId="33612"/>
    <cellStyle name="SAPBEXstdData 3 2 3 3" xfId="33613"/>
    <cellStyle name="SAPBEXstdData 3 2 4" xfId="33614"/>
    <cellStyle name="SAPBEXstdData 3 2 4 2" xfId="33615"/>
    <cellStyle name="SAPBEXstdData 3 2 4 2 2" xfId="33616"/>
    <cellStyle name="SAPBEXstdData 3 2 4 3" xfId="33617"/>
    <cellStyle name="SAPBEXstdData 3 2 5" xfId="33618"/>
    <cellStyle name="SAPBEXstdData 3 2 5 2" xfId="33619"/>
    <cellStyle name="SAPBEXstdData 3 2 5 2 2" xfId="33620"/>
    <cellStyle name="SAPBEXstdData 3 2 5 3" xfId="33621"/>
    <cellStyle name="SAPBEXstdData 3 2 6" xfId="33622"/>
    <cellStyle name="SAPBEXstdData 3 2 6 2" xfId="33623"/>
    <cellStyle name="SAPBEXstdData 3 2 6 2 2" xfId="33624"/>
    <cellStyle name="SAPBEXstdData 3 2 6 3" xfId="33625"/>
    <cellStyle name="SAPBEXstdData 3 2 7" xfId="33626"/>
    <cellStyle name="SAPBEXstdData 3 2 7 2" xfId="33627"/>
    <cellStyle name="SAPBEXstdData 3 2 7 2 2" xfId="33628"/>
    <cellStyle name="SAPBEXstdData 3 2 7 3" xfId="33629"/>
    <cellStyle name="SAPBEXstdData 3 2 8" xfId="33630"/>
    <cellStyle name="SAPBEXstdData 3 2 8 2" xfId="33631"/>
    <cellStyle name="SAPBEXstdData 3 2 8 2 2" xfId="33632"/>
    <cellStyle name="SAPBEXstdData 3 2 8 3" xfId="33633"/>
    <cellStyle name="SAPBEXstdData 3 2 9" xfId="33634"/>
    <cellStyle name="SAPBEXstdData 3 2 9 2" xfId="33635"/>
    <cellStyle name="SAPBEXstdData 3 2 9 2 2" xfId="33636"/>
    <cellStyle name="SAPBEXstdData 3 2 9 3" xfId="33637"/>
    <cellStyle name="SAPBEXstdData 3 2_planning-WP" xfId="33638"/>
    <cellStyle name="SAPBEXstdData 3 3" xfId="33639"/>
    <cellStyle name="SAPBEXstdData 3 3 10" xfId="33640"/>
    <cellStyle name="SAPBEXstdData 3 3 10 2" xfId="33641"/>
    <cellStyle name="SAPBEXstdData 3 3 2" xfId="33642"/>
    <cellStyle name="SAPBEXstdData 3 3 2 2" xfId="33643"/>
    <cellStyle name="SAPBEXstdData 3 3 2 2 2" xfId="33644"/>
    <cellStyle name="SAPBEXstdData 3 3 2 3" xfId="33645"/>
    <cellStyle name="SAPBEXstdData 3 3 3" xfId="33646"/>
    <cellStyle name="SAPBEXstdData 3 3 3 2" xfId="33647"/>
    <cellStyle name="SAPBEXstdData 3 3 3 2 2" xfId="33648"/>
    <cellStyle name="SAPBEXstdData 3 3 3 3" xfId="33649"/>
    <cellStyle name="SAPBEXstdData 3 3 4" xfId="33650"/>
    <cellStyle name="SAPBEXstdData 3 3 4 2" xfId="33651"/>
    <cellStyle name="SAPBEXstdData 3 3 4 2 2" xfId="33652"/>
    <cellStyle name="SAPBEXstdData 3 3 4 3" xfId="33653"/>
    <cellStyle name="SAPBEXstdData 3 3 5" xfId="33654"/>
    <cellStyle name="SAPBEXstdData 3 3 5 2" xfId="33655"/>
    <cellStyle name="SAPBEXstdData 3 3 5 2 2" xfId="33656"/>
    <cellStyle name="SAPBEXstdData 3 3 5 3" xfId="33657"/>
    <cellStyle name="SAPBEXstdData 3 3 6" xfId="33658"/>
    <cellStyle name="SAPBEXstdData 3 3 6 2" xfId="33659"/>
    <cellStyle name="SAPBEXstdData 3 3 6 2 2" xfId="33660"/>
    <cellStyle name="SAPBEXstdData 3 3 6 3" xfId="33661"/>
    <cellStyle name="SAPBEXstdData 3 3 7" xfId="33662"/>
    <cellStyle name="SAPBEXstdData 3 3 7 2" xfId="33663"/>
    <cellStyle name="SAPBEXstdData 3 3 7 2 2" xfId="33664"/>
    <cellStyle name="SAPBEXstdData 3 3 7 3" xfId="33665"/>
    <cellStyle name="SAPBEXstdData 3 3 8" xfId="33666"/>
    <cellStyle name="SAPBEXstdData 3 3 8 2" xfId="33667"/>
    <cellStyle name="SAPBEXstdData 3 3 8 2 2" xfId="33668"/>
    <cellStyle name="SAPBEXstdData 3 3 8 3" xfId="33669"/>
    <cellStyle name="SAPBEXstdData 3 3 9" xfId="33670"/>
    <cellStyle name="SAPBEXstdData 3 3 9 2" xfId="33671"/>
    <cellStyle name="SAPBEXstdData 3 3 9 2 2" xfId="33672"/>
    <cellStyle name="SAPBEXstdData 3 3 9 3" xfId="33673"/>
    <cellStyle name="SAPBEXstdData 3 3_planning-WP" xfId="33674"/>
    <cellStyle name="SAPBEXstdData 3 4" xfId="33675"/>
    <cellStyle name="SAPBEXstdData 3 4 2" xfId="33676"/>
    <cellStyle name="SAPBEXstdData 3 4 2 2" xfId="33677"/>
    <cellStyle name="SAPBEXstdData 3 4 2 2 2" xfId="33678"/>
    <cellStyle name="SAPBEXstdData 3 4 2 3" xfId="33679"/>
    <cellStyle name="SAPBEXstdData 3 4 3" xfId="33680"/>
    <cellStyle name="SAPBEXstdData 3 4 3 2" xfId="33681"/>
    <cellStyle name="SAPBEXstdData 3 4 3 2 2" xfId="33682"/>
    <cellStyle name="SAPBEXstdData 3 4 3 3" xfId="33683"/>
    <cellStyle name="SAPBEXstdData 3 4 4" xfId="33684"/>
    <cellStyle name="SAPBEXstdData 3 4 4 2" xfId="33685"/>
    <cellStyle name="SAPBEXstdData 3 4 4 2 2" xfId="33686"/>
    <cellStyle name="SAPBEXstdData 3 4 4 3" xfId="33687"/>
    <cellStyle name="SAPBEXstdData 3 4 5" xfId="33688"/>
    <cellStyle name="SAPBEXstdData 3 4 5 2" xfId="33689"/>
    <cellStyle name="SAPBEXstdData 3 4 5 2 2" xfId="33690"/>
    <cellStyle name="SAPBEXstdData 3 4 5 3" xfId="33691"/>
    <cellStyle name="SAPBEXstdData 3 4 6" xfId="33692"/>
    <cellStyle name="SAPBEXstdData 3 4 6 2" xfId="33693"/>
    <cellStyle name="SAPBEXstdData 3 4 6 2 2" xfId="33694"/>
    <cellStyle name="SAPBEXstdData 3 4 6 3" xfId="33695"/>
    <cellStyle name="SAPBEXstdData 3 4 7" xfId="33696"/>
    <cellStyle name="SAPBEXstdData 3 4 7 2" xfId="33697"/>
    <cellStyle name="SAPBEXstdData 3 4 7 2 2" xfId="33698"/>
    <cellStyle name="SAPBEXstdData 3 4 7 3" xfId="33699"/>
    <cellStyle name="SAPBEXstdData 3 4 8" xfId="33700"/>
    <cellStyle name="SAPBEXstdData 3 4 8 2" xfId="33701"/>
    <cellStyle name="SAPBEXstdData 3 4 8 2 2" xfId="33702"/>
    <cellStyle name="SAPBEXstdData 3 4 8 3" xfId="33703"/>
    <cellStyle name="SAPBEXstdData 3 4 9" xfId="33704"/>
    <cellStyle name="SAPBEXstdData 3 4 9 2" xfId="33705"/>
    <cellStyle name="SAPBEXstdData 3 4_planning-WP" xfId="33706"/>
    <cellStyle name="SAPBEXstdData 3 5" xfId="33707"/>
    <cellStyle name="SAPBEXstdData 3 5 2" xfId="33708"/>
    <cellStyle name="SAPBEXstdData 3 5 2 2" xfId="33709"/>
    <cellStyle name="SAPBEXstdData 3 6" xfId="33710"/>
    <cellStyle name="SAPBEXstdData 3 6 2" xfId="33711"/>
    <cellStyle name="SAPBEXstdData 3 6 2 2" xfId="33712"/>
    <cellStyle name="SAPBEXstdData 3 6 3" xfId="33713"/>
    <cellStyle name="SAPBEXstdData 3 7" xfId="33714"/>
    <cellStyle name="SAPBEXstdData 3 7 2" xfId="33715"/>
    <cellStyle name="SAPBEXstdData 3 7 2 2" xfId="33716"/>
    <cellStyle name="SAPBEXstdData 3 7 3" xfId="33717"/>
    <cellStyle name="SAPBEXstdData 3 8" xfId="33718"/>
    <cellStyle name="SAPBEXstdData 3 8 2" xfId="33719"/>
    <cellStyle name="SAPBEXstdData 3 8 2 2" xfId="33720"/>
    <cellStyle name="SAPBEXstdData 3 8 3" xfId="33721"/>
    <cellStyle name="SAPBEXstdData 3 9" xfId="33722"/>
    <cellStyle name="SAPBEXstdData 3 9 2" xfId="33723"/>
    <cellStyle name="SAPBEXstdData 3 9 2 2" xfId="33724"/>
    <cellStyle name="SAPBEXstdData 3 9 3" xfId="33725"/>
    <cellStyle name="SAPBEXstdData 3_planning-WP" xfId="33726"/>
    <cellStyle name="SAPBEXstdData 4" xfId="33727"/>
    <cellStyle name="SAPBEXstdData 4 10" xfId="33728"/>
    <cellStyle name="SAPBEXstdData 4 10 2" xfId="33729"/>
    <cellStyle name="SAPBEXstdData 4 10 2 2" xfId="33730"/>
    <cellStyle name="SAPBEXstdData 4 10 3" xfId="33731"/>
    <cellStyle name="SAPBEXstdData 4 11" xfId="33732"/>
    <cellStyle name="SAPBEXstdData 4 11 2" xfId="33733"/>
    <cellStyle name="SAPBEXstdData 4 11 2 2" xfId="33734"/>
    <cellStyle name="SAPBEXstdData 4 11 3" xfId="33735"/>
    <cellStyle name="SAPBEXstdData 4 12" xfId="33736"/>
    <cellStyle name="SAPBEXstdData 4 12 2" xfId="33737"/>
    <cellStyle name="SAPBEXstdData 4 12 2 2" xfId="33738"/>
    <cellStyle name="SAPBEXstdData 4 12 3" xfId="33739"/>
    <cellStyle name="SAPBEXstdData 4 13" xfId="33740"/>
    <cellStyle name="SAPBEXstdData 4 14" xfId="33741"/>
    <cellStyle name="SAPBEXstdData 4 15" xfId="39145"/>
    <cellStyle name="SAPBEXstdData 4 16" xfId="39525"/>
    <cellStyle name="SAPBEXstdData 4 2" xfId="33742"/>
    <cellStyle name="SAPBEXstdData 4 2 10" xfId="33743"/>
    <cellStyle name="SAPBEXstdData 4 2 10 2" xfId="33744"/>
    <cellStyle name="SAPBEXstdData 4 2 10 2 2" xfId="33745"/>
    <cellStyle name="SAPBEXstdData 4 2 10 3" xfId="33746"/>
    <cellStyle name="SAPBEXstdData 4 2 11" xfId="33747"/>
    <cellStyle name="SAPBEXstdData 4 2 11 2" xfId="33748"/>
    <cellStyle name="SAPBEXstdData 4 2 2" xfId="33749"/>
    <cellStyle name="SAPBEXstdData 4 2 2 10" xfId="33750"/>
    <cellStyle name="SAPBEXstdData 4 2 2 10 2" xfId="33751"/>
    <cellStyle name="SAPBEXstdData 4 2 2 2" xfId="33752"/>
    <cellStyle name="SAPBEXstdData 4 2 2 2 2" xfId="33753"/>
    <cellStyle name="SAPBEXstdData 4 2 2 2 2 2" xfId="33754"/>
    <cellStyle name="SAPBEXstdData 4 2 2 2 3" xfId="33755"/>
    <cellStyle name="SAPBEXstdData 4 2 2 3" xfId="33756"/>
    <cellStyle name="SAPBEXstdData 4 2 2 3 2" xfId="33757"/>
    <cellStyle name="SAPBEXstdData 4 2 2 3 2 2" xfId="33758"/>
    <cellStyle name="SAPBEXstdData 4 2 2 3 3" xfId="33759"/>
    <cellStyle name="SAPBEXstdData 4 2 2 4" xfId="33760"/>
    <cellStyle name="SAPBEXstdData 4 2 2 4 2" xfId="33761"/>
    <cellStyle name="SAPBEXstdData 4 2 2 4 2 2" xfId="33762"/>
    <cellStyle name="SAPBEXstdData 4 2 2 4 3" xfId="33763"/>
    <cellStyle name="SAPBEXstdData 4 2 2 5" xfId="33764"/>
    <cellStyle name="SAPBEXstdData 4 2 2 5 2" xfId="33765"/>
    <cellStyle name="SAPBEXstdData 4 2 2 5 2 2" xfId="33766"/>
    <cellStyle name="SAPBEXstdData 4 2 2 5 3" xfId="33767"/>
    <cellStyle name="SAPBEXstdData 4 2 2 6" xfId="33768"/>
    <cellStyle name="SAPBEXstdData 4 2 2 6 2" xfId="33769"/>
    <cellStyle name="SAPBEXstdData 4 2 2 6 2 2" xfId="33770"/>
    <cellStyle name="SAPBEXstdData 4 2 2 6 3" xfId="33771"/>
    <cellStyle name="SAPBEXstdData 4 2 2 7" xfId="33772"/>
    <cellStyle name="SAPBEXstdData 4 2 2 7 2" xfId="33773"/>
    <cellStyle name="SAPBEXstdData 4 2 2 7 2 2" xfId="33774"/>
    <cellStyle name="SAPBEXstdData 4 2 2 7 3" xfId="33775"/>
    <cellStyle name="SAPBEXstdData 4 2 2 8" xfId="33776"/>
    <cellStyle name="SAPBEXstdData 4 2 2 8 2" xfId="33777"/>
    <cellStyle name="SAPBEXstdData 4 2 2 8 2 2" xfId="33778"/>
    <cellStyle name="SAPBEXstdData 4 2 2 8 3" xfId="33779"/>
    <cellStyle name="SAPBEXstdData 4 2 2 9" xfId="33780"/>
    <cellStyle name="SAPBEXstdData 4 2 2 9 2" xfId="33781"/>
    <cellStyle name="SAPBEXstdData 4 2 2 9 2 2" xfId="33782"/>
    <cellStyle name="SAPBEXstdData 4 2 2 9 3" xfId="33783"/>
    <cellStyle name="SAPBEXstdData 4 2 2_planning-WP" xfId="33784"/>
    <cellStyle name="SAPBEXstdData 4 2 3" xfId="33785"/>
    <cellStyle name="SAPBEXstdData 4 2 3 2" xfId="33786"/>
    <cellStyle name="SAPBEXstdData 4 2 3 2 2" xfId="33787"/>
    <cellStyle name="SAPBEXstdData 4 2 3 3" xfId="33788"/>
    <cellStyle name="SAPBEXstdData 4 2 4" xfId="33789"/>
    <cellStyle name="SAPBEXstdData 4 2 4 2" xfId="33790"/>
    <cellStyle name="SAPBEXstdData 4 2 4 2 2" xfId="33791"/>
    <cellStyle name="SAPBEXstdData 4 2 4 3" xfId="33792"/>
    <cellStyle name="SAPBEXstdData 4 2 5" xfId="33793"/>
    <cellStyle name="SAPBEXstdData 4 2 5 2" xfId="33794"/>
    <cellStyle name="SAPBEXstdData 4 2 5 2 2" xfId="33795"/>
    <cellStyle name="SAPBEXstdData 4 2 5 3" xfId="33796"/>
    <cellStyle name="SAPBEXstdData 4 2 6" xfId="33797"/>
    <cellStyle name="SAPBEXstdData 4 2 6 2" xfId="33798"/>
    <cellStyle name="SAPBEXstdData 4 2 6 2 2" xfId="33799"/>
    <cellStyle name="SAPBEXstdData 4 2 6 3" xfId="33800"/>
    <cellStyle name="SAPBEXstdData 4 2 7" xfId="33801"/>
    <cellStyle name="SAPBEXstdData 4 2 7 2" xfId="33802"/>
    <cellStyle name="SAPBEXstdData 4 2 7 2 2" xfId="33803"/>
    <cellStyle name="SAPBEXstdData 4 2 7 3" xfId="33804"/>
    <cellStyle name="SAPBEXstdData 4 2 8" xfId="33805"/>
    <cellStyle name="SAPBEXstdData 4 2 8 2" xfId="33806"/>
    <cellStyle name="SAPBEXstdData 4 2 8 2 2" xfId="33807"/>
    <cellStyle name="SAPBEXstdData 4 2 8 3" xfId="33808"/>
    <cellStyle name="SAPBEXstdData 4 2 9" xfId="33809"/>
    <cellStyle name="SAPBEXstdData 4 2 9 2" xfId="33810"/>
    <cellStyle name="SAPBEXstdData 4 2 9 2 2" xfId="33811"/>
    <cellStyle name="SAPBEXstdData 4 2 9 3" xfId="33812"/>
    <cellStyle name="SAPBEXstdData 4 2_planning-WP" xfId="33813"/>
    <cellStyle name="SAPBEXstdData 4 3" xfId="33814"/>
    <cellStyle name="SAPBEXstdData 4 3 10" xfId="33815"/>
    <cellStyle name="SAPBEXstdData 4 3 10 2" xfId="33816"/>
    <cellStyle name="SAPBEXstdData 4 3 2" xfId="33817"/>
    <cellStyle name="SAPBEXstdData 4 3 2 2" xfId="33818"/>
    <cellStyle name="SAPBEXstdData 4 3 2 2 2" xfId="33819"/>
    <cellStyle name="SAPBEXstdData 4 3 2 3" xfId="33820"/>
    <cellStyle name="SAPBEXstdData 4 3 3" xfId="33821"/>
    <cellStyle name="SAPBEXstdData 4 3 3 2" xfId="33822"/>
    <cellStyle name="SAPBEXstdData 4 3 3 2 2" xfId="33823"/>
    <cellStyle name="SAPBEXstdData 4 3 3 3" xfId="33824"/>
    <cellStyle name="SAPBEXstdData 4 3 4" xfId="33825"/>
    <cellStyle name="SAPBEXstdData 4 3 4 2" xfId="33826"/>
    <cellStyle name="SAPBEXstdData 4 3 4 2 2" xfId="33827"/>
    <cellStyle name="SAPBEXstdData 4 3 4 3" xfId="33828"/>
    <cellStyle name="SAPBEXstdData 4 3 5" xfId="33829"/>
    <cellStyle name="SAPBEXstdData 4 3 5 2" xfId="33830"/>
    <cellStyle name="SAPBEXstdData 4 3 5 2 2" xfId="33831"/>
    <cellStyle name="SAPBEXstdData 4 3 5 3" xfId="33832"/>
    <cellStyle name="SAPBEXstdData 4 3 6" xfId="33833"/>
    <cellStyle name="SAPBEXstdData 4 3 6 2" xfId="33834"/>
    <cellStyle name="SAPBEXstdData 4 3 6 2 2" xfId="33835"/>
    <cellStyle name="SAPBEXstdData 4 3 6 3" xfId="33836"/>
    <cellStyle name="SAPBEXstdData 4 3 7" xfId="33837"/>
    <cellStyle name="SAPBEXstdData 4 3 7 2" xfId="33838"/>
    <cellStyle name="SAPBEXstdData 4 3 7 2 2" xfId="33839"/>
    <cellStyle name="SAPBEXstdData 4 3 7 3" xfId="33840"/>
    <cellStyle name="SAPBEXstdData 4 3 8" xfId="33841"/>
    <cellStyle name="SAPBEXstdData 4 3 8 2" xfId="33842"/>
    <cellStyle name="SAPBEXstdData 4 3 8 2 2" xfId="33843"/>
    <cellStyle name="SAPBEXstdData 4 3 8 3" xfId="33844"/>
    <cellStyle name="SAPBEXstdData 4 3 9" xfId="33845"/>
    <cellStyle name="SAPBEXstdData 4 3 9 2" xfId="33846"/>
    <cellStyle name="SAPBEXstdData 4 3 9 2 2" xfId="33847"/>
    <cellStyle name="SAPBEXstdData 4 3 9 3" xfId="33848"/>
    <cellStyle name="SAPBEXstdData 4 3_planning-WP" xfId="33849"/>
    <cellStyle name="SAPBEXstdData 4 4" xfId="33850"/>
    <cellStyle name="SAPBEXstdData 4 4 2" xfId="33851"/>
    <cellStyle name="SAPBEXstdData 4 4 2 2" xfId="33852"/>
    <cellStyle name="SAPBEXstdData 4 4 2 2 2" xfId="33853"/>
    <cellStyle name="SAPBEXstdData 4 4 2 3" xfId="33854"/>
    <cellStyle name="SAPBEXstdData 4 4 3" xfId="33855"/>
    <cellStyle name="SAPBEXstdData 4 4 3 2" xfId="33856"/>
    <cellStyle name="SAPBEXstdData 4 4 3 2 2" xfId="33857"/>
    <cellStyle name="SAPBEXstdData 4 4 3 3" xfId="33858"/>
    <cellStyle name="SAPBEXstdData 4 4 4" xfId="33859"/>
    <cellStyle name="SAPBEXstdData 4 4 4 2" xfId="33860"/>
    <cellStyle name="SAPBEXstdData 4 4 4 2 2" xfId="33861"/>
    <cellStyle name="SAPBEXstdData 4 4 4 3" xfId="33862"/>
    <cellStyle name="SAPBEXstdData 4 4 5" xfId="33863"/>
    <cellStyle name="SAPBEXstdData 4 4 5 2" xfId="33864"/>
    <cellStyle name="SAPBEXstdData 4 4 5 2 2" xfId="33865"/>
    <cellStyle name="SAPBEXstdData 4 4 5 3" xfId="33866"/>
    <cellStyle name="SAPBEXstdData 4 4 6" xfId="33867"/>
    <cellStyle name="SAPBEXstdData 4 4 6 2" xfId="33868"/>
    <cellStyle name="SAPBEXstdData 4 4 6 2 2" xfId="33869"/>
    <cellStyle name="SAPBEXstdData 4 4 6 3" xfId="33870"/>
    <cellStyle name="SAPBEXstdData 4 4 7" xfId="33871"/>
    <cellStyle name="SAPBEXstdData 4 4 7 2" xfId="33872"/>
    <cellStyle name="SAPBEXstdData 4 4 7 2 2" xfId="33873"/>
    <cellStyle name="SAPBEXstdData 4 4 7 3" xfId="33874"/>
    <cellStyle name="SAPBEXstdData 4 4 8" xfId="33875"/>
    <cellStyle name="SAPBEXstdData 4 4 8 2" xfId="33876"/>
    <cellStyle name="SAPBEXstdData 4 4 8 2 2" xfId="33877"/>
    <cellStyle name="SAPBEXstdData 4 4 8 3" xfId="33878"/>
    <cellStyle name="SAPBEXstdData 4 4 9" xfId="33879"/>
    <cellStyle name="SAPBEXstdData 4 4 9 2" xfId="33880"/>
    <cellStyle name="SAPBEXstdData 4 4_planning-WP" xfId="33881"/>
    <cellStyle name="SAPBEXstdData 4 5" xfId="33882"/>
    <cellStyle name="SAPBEXstdData 4 5 2" xfId="33883"/>
    <cellStyle name="SAPBEXstdData 4 5 2 2" xfId="33884"/>
    <cellStyle name="SAPBEXstdData 4 6" xfId="33885"/>
    <cellStyle name="SAPBEXstdData 4 6 2" xfId="33886"/>
    <cellStyle name="SAPBEXstdData 4 6 2 2" xfId="33887"/>
    <cellStyle name="SAPBEXstdData 4 6 3" xfId="33888"/>
    <cellStyle name="SAPBEXstdData 4 7" xfId="33889"/>
    <cellStyle name="SAPBEXstdData 4 7 2" xfId="33890"/>
    <cellStyle name="SAPBEXstdData 4 7 2 2" xfId="33891"/>
    <cellStyle name="SAPBEXstdData 4 7 3" xfId="33892"/>
    <cellStyle name="SAPBEXstdData 4 8" xfId="33893"/>
    <cellStyle name="SAPBEXstdData 4 8 2" xfId="33894"/>
    <cellStyle name="SAPBEXstdData 4 8 2 2" xfId="33895"/>
    <cellStyle name="SAPBEXstdData 4 8 3" xfId="33896"/>
    <cellStyle name="SAPBEXstdData 4 9" xfId="33897"/>
    <cellStyle name="SAPBEXstdData 4 9 2" xfId="33898"/>
    <cellStyle name="SAPBEXstdData 4 9 2 2" xfId="33899"/>
    <cellStyle name="SAPBEXstdData 4 9 3" xfId="33900"/>
    <cellStyle name="SAPBEXstdData 4_planning-WP" xfId="33901"/>
    <cellStyle name="SAPBEXstdData 5" xfId="33902"/>
    <cellStyle name="SAPBEXstdData 5 10" xfId="33903"/>
    <cellStyle name="SAPBEXstdData 5 10 2" xfId="33904"/>
    <cellStyle name="SAPBEXstdData 5 10 2 2" xfId="33905"/>
    <cellStyle name="SAPBEXstdData 5 10 3" xfId="33906"/>
    <cellStyle name="SAPBEXstdData 5 11" xfId="33907"/>
    <cellStyle name="SAPBEXstdData 5 11 2" xfId="33908"/>
    <cellStyle name="SAPBEXstdData 5 11 2 2" xfId="33909"/>
    <cellStyle name="SAPBEXstdData 5 11 3" xfId="33910"/>
    <cellStyle name="SAPBEXstdData 5 12" xfId="33911"/>
    <cellStyle name="SAPBEXstdData 5 12 2" xfId="33912"/>
    <cellStyle name="SAPBEXstdData 5 12 2 2" xfId="33913"/>
    <cellStyle name="SAPBEXstdData 5 12 3" xfId="33914"/>
    <cellStyle name="SAPBEXstdData 5 13" xfId="33915"/>
    <cellStyle name="SAPBEXstdData 5 14" xfId="33916"/>
    <cellStyle name="SAPBEXstdData 5 15" xfId="39146"/>
    <cellStyle name="SAPBEXstdData 5 16" xfId="39526"/>
    <cellStyle name="SAPBEXstdData 5 2" xfId="33917"/>
    <cellStyle name="SAPBEXstdData 5 2 10" xfId="33918"/>
    <cellStyle name="SAPBEXstdData 5 2 10 2" xfId="33919"/>
    <cellStyle name="SAPBEXstdData 5 2 10 2 2" xfId="33920"/>
    <cellStyle name="SAPBEXstdData 5 2 10 3" xfId="33921"/>
    <cellStyle name="SAPBEXstdData 5 2 11" xfId="33922"/>
    <cellStyle name="SAPBEXstdData 5 2 11 2" xfId="33923"/>
    <cellStyle name="SAPBEXstdData 5 2 2" xfId="33924"/>
    <cellStyle name="SAPBEXstdData 5 2 2 10" xfId="33925"/>
    <cellStyle name="SAPBEXstdData 5 2 2 10 2" xfId="33926"/>
    <cellStyle name="SAPBEXstdData 5 2 2 2" xfId="33927"/>
    <cellStyle name="SAPBEXstdData 5 2 2 2 2" xfId="33928"/>
    <cellStyle name="SAPBEXstdData 5 2 2 2 2 2" xfId="33929"/>
    <cellStyle name="SAPBEXstdData 5 2 2 2 3" xfId="33930"/>
    <cellStyle name="SAPBEXstdData 5 2 2 3" xfId="33931"/>
    <cellStyle name="SAPBEXstdData 5 2 2 3 2" xfId="33932"/>
    <cellStyle name="SAPBEXstdData 5 2 2 3 2 2" xfId="33933"/>
    <cellStyle name="SAPBEXstdData 5 2 2 3 3" xfId="33934"/>
    <cellStyle name="SAPBEXstdData 5 2 2 4" xfId="33935"/>
    <cellStyle name="SAPBEXstdData 5 2 2 4 2" xfId="33936"/>
    <cellStyle name="SAPBEXstdData 5 2 2 4 2 2" xfId="33937"/>
    <cellStyle name="SAPBEXstdData 5 2 2 4 3" xfId="33938"/>
    <cellStyle name="SAPBEXstdData 5 2 2 5" xfId="33939"/>
    <cellStyle name="SAPBEXstdData 5 2 2 5 2" xfId="33940"/>
    <cellStyle name="SAPBEXstdData 5 2 2 5 2 2" xfId="33941"/>
    <cellStyle name="SAPBEXstdData 5 2 2 5 3" xfId="33942"/>
    <cellStyle name="SAPBEXstdData 5 2 2 6" xfId="33943"/>
    <cellStyle name="SAPBEXstdData 5 2 2 6 2" xfId="33944"/>
    <cellStyle name="SAPBEXstdData 5 2 2 6 2 2" xfId="33945"/>
    <cellStyle name="SAPBEXstdData 5 2 2 6 3" xfId="33946"/>
    <cellStyle name="SAPBEXstdData 5 2 2 7" xfId="33947"/>
    <cellStyle name="SAPBEXstdData 5 2 2 7 2" xfId="33948"/>
    <cellStyle name="SAPBEXstdData 5 2 2 7 2 2" xfId="33949"/>
    <cellStyle name="SAPBEXstdData 5 2 2 7 3" xfId="33950"/>
    <cellStyle name="SAPBEXstdData 5 2 2 8" xfId="33951"/>
    <cellStyle name="SAPBEXstdData 5 2 2 8 2" xfId="33952"/>
    <cellStyle name="SAPBEXstdData 5 2 2 8 2 2" xfId="33953"/>
    <cellStyle name="SAPBEXstdData 5 2 2 8 3" xfId="33954"/>
    <cellStyle name="SAPBEXstdData 5 2 2 9" xfId="33955"/>
    <cellStyle name="SAPBEXstdData 5 2 2 9 2" xfId="33956"/>
    <cellStyle name="SAPBEXstdData 5 2 2 9 2 2" xfId="33957"/>
    <cellStyle name="SAPBEXstdData 5 2 2 9 3" xfId="33958"/>
    <cellStyle name="SAPBEXstdData 5 2 2_planning-WP" xfId="33959"/>
    <cellStyle name="SAPBEXstdData 5 2 3" xfId="33960"/>
    <cellStyle name="SAPBEXstdData 5 2 3 2" xfId="33961"/>
    <cellStyle name="SAPBEXstdData 5 2 3 2 2" xfId="33962"/>
    <cellStyle name="SAPBEXstdData 5 2 3 3" xfId="33963"/>
    <cellStyle name="SAPBEXstdData 5 2 4" xfId="33964"/>
    <cellStyle name="SAPBEXstdData 5 2 4 2" xfId="33965"/>
    <cellStyle name="SAPBEXstdData 5 2 4 2 2" xfId="33966"/>
    <cellStyle name="SAPBEXstdData 5 2 4 3" xfId="33967"/>
    <cellStyle name="SAPBEXstdData 5 2 5" xfId="33968"/>
    <cellStyle name="SAPBEXstdData 5 2 5 2" xfId="33969"/>
    <cellStyle name="SAPBEXstdData 5 2 5 2 2" xfId="33970"/>
    <cellStyle name="SAPBEXstdData 5 2 5 3" xfId="33971"/>
    <cellStyle name="SAPBEXstdData 5 2 6" xfId="33972"/>
    <cellStyle name="SAPBEXstdData 5 2 6 2" xfId="33973"/>
    <cellStyle name="SAPBEXstdData 5 2 6 2 2" xfId="33974"/>
    <cellStyle name="SAPBEXstdData 5 2 6 3" xfId="33975"/>
    <cellStyle name="SAPBEXstdData 5 2 7" xfId="33976"/>
    <cellStyle name="SAPBEXstdData 5 2 7 2" xfId="33977"/>
    <cellStyle name="SAPBEXstdData 5 2 7 2 2" xfId="33978"/>
    <cellStyle name="SAPBEXstdData 5 2 7 3" xfId="33979"/>
    <cellStyle name="SAPBEXstdData 5 2 8" xfId="33980"/>
    <cellStyle name="SAPBEXstdData 5 2 8 2" xfId="33981"/>
    <cellStyle name="SAPBEXstdData 5 2 8 2 2" xfId="33982"/>
    <cellStyle name="SAPBEXstdData 5 2 8 3" xfId="33983"/>
    <cellStyle name="SAPBEXstdData 5 2 9" xfId="33984"/>
    <cellStyle name="SAPBEXstdData 5 2 9 2" xfId="33985"/>
    <cellStyle name="SAPBEXstdData 5 2 9 2 2" xfId="33986"/>
    <cellStyle name="SAPBEXstdData 5 2 9 3" xfId="33987"/>
    <cellStyle name="SAPBEXstdData 5 2_planning-WP" xfId="33988"/>
    <cellStyle name="SAPBEXstdData 5 3" xfId="33989"/>
    <cellStyle name="SAPBEXstdData 5 3 10" xfId="33990"/>
    <cellStyle name="SAPBEXstdData 5 3 10 2" xfId="33991"/>
    <cellStyle name="SAPBEXstdData 5 3 2" xfId="33992"/>
    <cellStyle name="SAPBEXstdData 5 3 2 2" xfId="33993"/>
    <cellStyle name="SAPBEXstdData 5 3 2 2 2" xfId="33994"/>
    <cellStyle name="SAPBEXstdData 5 3 2 3" xfId="33995"/>
    <cellStyle name="SAPBEXstdData 5 3 3" xfId="33996"/>
    <cellStyle name="SAPBEXstdData 5 3 3 2" xfId="33997"/>
    <cellStyle name="SAPBEXstdData 5 3 3 2 2" xfId="33998"/>
    <cellStyle name="SAPBEXstdData 5 3 3 3" xfId="33999"/>
    <cellStyle name="SAPBEXstdData 5 3 4" xfId="34000"/>
    <cellStyle name="SAPBEXstdData 5 3 4 2" xfId="34001"/>
    <cellStyle name="SAPBEXstdData 5 3 4 2 2" xfId="34002"/>
    <cellStyle name="SAPBEXstdData 5 3 4 3" xfId="34003"/>
    <cellStyle name="SAPBEXstdData 5 3 5" xfId="34004"/>
    <cellStyle name="SAPBEXstdData 5 3 5 2" xfId="34005"/>
    <cellStyle name="SAPBEXstdData 5 3 5 2 2" xfId="34006"/>
    <cellStyle name="SAPBEXstdData 5 3 5 3" xfId="34007"/>
    <cellStyle name="SAPBEXstdData 5 3 6" xfId="34008"/>
    <cellStyle name="SAPBEXstdData 5 3 6 2" xfId="34009"/>
    <cellStyle name="SAPBEXstdData 5 3 6 2 2" xfId="34010"/>
    <cellStyle name="SAPBEXstdData 5 3 6 3" xfId="34011"/>
    <cellStyle name="SAPBEXstdData 5 3 7" xfId="34012"/>
    <cellStyle name="SAPBEXstdData 5 3 7 2" xfId="34013"/>
    <cellStyle name="SAPBEXstdData 5 3 7 2 2" xfId="34014"/>
    <cellStyle name="SAPBEXstdData 5 3 7 3" xfId="34015"/>
    <cellStyle name="SAPBEXstdData 5 3 8" xfId="34016"/>
    <cellStyle name="SAPBEXstdData 5 3 8 2" xfId="34017"/>
    <cellStyle name="SAPBEXstdData 5 3 8 2 2" xfId="34018"/>
    <cellStyle name="SAPBEXstdData 5 3 8 3" xfId="34019"/>
    <cellStyle name="SAPBEXstdData 5 3 9" xfId="34020"/>
    <cellStyle name="SAPBEXstdData 5 3 9 2" xfId="34021"/>
    <cellStyle name="SAPBEXstdData 5 3 9 2 2" xfId="34022"/>
    <cellStyle name="SAPBEXstdData 5 3 9 3" xfId="34023"/>
    <cellStyle name="SAPBEXstdData 5 3_planning-WP" xfId="34024"/>
    <cellStyle name="SAPBEXstdData 5 4" xfId="34025"/>
    <cellStyle name="SAPBEXstdData 5 4 2" xfId="34026"/>
    <cellStyle name="SAPBEXstdData 5 4 2 2" xfId="34027"/>
    <cellStyle name="SAPBEXstdData 5 4 2 2 2" xfId="34028"/>
    <cellStyle name="SAPBEXstdData 5 4 2 3" xfId="34029"/>
    <cellStyle name="SAPBEXstdData 5 4 3" xfId="34030"/>
    <cellStyle name="SAPBEXstdData 5 4 3 2" xfId="34031"/>
    <cellStyle name="SAPBEXstdData 5 4 3 2 2" xfId="34032"/>
    <cellStyle name="SAPBEXstdData 5 4 3 3" xfId="34033"/>
    <cellStyle name="SAPBEXstdData 5 4 4" xfId="34034"/>
    <cellStyle name="SAPBEXstdData 5 4 4 2" xfId="34035"/>
    <cellStyle name="SAPBEXstdData 5 4 4 2 2" xfId="34036"/>
    <cellStyle name="SAPBEXstdData 5 4 4 3" xfId="34037"/>
    <cellStyle name="SAPBEXstdData 5 4 5" xfId="34038"/>
    <cellStyle name="SAPBEXstdData 5 4 5 2" xfId="34039"/>
    <cellStyle name="SAPBEXstdData 5 4 5 2 2" xfId="34040"/>
    <cellStyle name="SAPBEXstdData 5 4 5 3" xfId="34041"/>
    <cellStyle name="SAPBEXstdData 5 4 6" xfId="34042"/>
    <cellStyle name="SAPBEXstdData 5 4 6 2" xfId="34043"/>
    <cellStyle name="SAPBEXstdData 5 4 6 2 2" xfId="34044"/>
    <cellStyle name="SAPBEXstdData 5 4 6 3" xfId="34045"/>
    <cellStyle name="SAPBEXstdData 5 4 7" xfId="34046"/>
    <cellStyle name="SAPBEXstdData 5 4 7 2" xfId="34047"/>
    <cellStyle name="SAPBEXstdData 5 4 7 2 2" xfId="34048"/>
    <cellStyle name="SAPBEXstdData 5 4 7 3" xfId="34049"/>
    <cellStyle name="SAPBEXstdData 5 4 8" xfId="34050"/>
    <cellStyle name="SAPBEXstdData 5 4 8 2" xfId="34051"/>
    <cellStyle name="SAPBEXstdData 5 4 8 2 2" xfId="34052"/>
    <cellStyle name="SAPBEXstdData 5 4 8 3" xfId="34053"/>
    <cellStyle name="SAPBEXstdData 5 4 9" xfId="34054"/>
    <cellStyle name="SAPBEXstdData 5 4 9 2" xfId="34055"/>
    <cellStyle name="SAPBEXstdData 5 4_planning-WP" xfId="34056"/>
    <cellStyle name="SAPBEXstdData 5 5" xfId="34057"/>
    <cellStyle name="SAPBEXstdData 5 5 2" xfId="34058"/>
    <cellStyle name="SAPBEXstdData 5 5 2 2" xfId="34059"/>
    <cellStyle name="SAPBEXstdData 5 6" xfId="34060"/>
    <cellStyle name="SAPBEXstdData 5 6 2" xfId="34061"/>
    <cellStyle name="SAPBEXstdData 5 6 2 2" xfId="34062"/>
    <cellStyle name="SAPBEXstdData 5 6 3" xfId="34063"/>
    <cellStyle name="SAPBEXstdData 5 7" xfId="34064"/>
    <cellStyle name="SAPBEXstdData 5 7 2" xfId="34065"/>
    <cellStyle name="SAPBEXstdData 5 7 2 2" xfId="34066"/>
    <cellStyle name="SAPBEXstdData 5 7 3" xfId="34067"/>
    <cellStyle name="SAPBEXstdData 5 8" xfId="34068"/>
    <cellStyle name="SAPBEXstdData 5 8 2" xfId="34069"/>
    <cellStyle name="SAPBEXstdData 5 8 2 2" xfId="34070"/>
    <cellStyle name="SAPBEXstdData 5 8 3" xfId="34071"/>
    <cellStyle name="SAPBEXstdData 5 9" xfId="34072"/>
    <cellStyle name="SAPBEXstdData 5 9 2" xfId="34073"/>
    <cellStyle name="SAPBEXstdData 5 9 2 2" xfId="34074"/>
    <cellStyle name="SAPBEXstdData 5 9 3" xfId="34075"/>
    <cellStyle name="SAPBEXstdData 5_planning-WP" xfId="34076"/>
    <cellStyle name="SAPBEXstdData 6" xfId="34077"/>
    <cellStyle name="SAPBEXstdData 6 10" xfId="34078"/>
    <cellStyle name="SAPBEXstdData 6 10 2" xfId="34079"/>
    <cellStyle name="SAPBEXstdData 6 10 2 2" xfId="34080"/>
    <cellStyle name="SAPBEXstdData 6 10 3" xfId="34081"/>
    <cellStyle name="SAPBEXstdData 6 11" xfId="34082"/>
    <cellStyle name="SAPBEXstdData 6 11 2" xfId="34083"/>
    <cellStyle name="SAPBEXstdData 6 11 2 2" xfId="34084"/>
    <cellStyle name="SAPBEXstdData 6 11 3" xfId="34085"/>
    <cellStyle name="SAPBEXstdData 6 12" xfId="34086"/>
    <cellStyle name="SAPBEXstdData 6 13" xfId="34087"/>
    <cellStyle name="SAPBEXstdData 6 14" xfId="39147"/>
    <cellStyle name="SAPBEXstdData 6 15" xfId="39527"/>
    <cellStyle name="SAPBEXstdData 6 2" xfId="34088"/>
    <cellStyle name="SAPBEXstdData 6 2 10" xfId="34089"/>
    <cellStyle name="SAPBEXstdData 6 2 10 2" xfId="34090"/>
    <cellStyle name="SAPBEXstdData 6 2 2" xfId="34091"/>
    <cellStyle name="SAPBEXstdData 6 2 2 2" xfId="34092"/>
    <cellStyle name="SAPBEXstdData 6 2 2 2 2" xfId="34093"/>
    <cellStyle name="SAPBEXstdData 6 2 2 3" xfId="34094"/>
    <cellStyle name="SAPBEXstdData 6 2 3" xfId="34095"/>
    <cellStyle name="SAPBEXstdData 6 2 3 2" xfId="34096"/>
    <cellStyle name="SAPBEXstdData 6 2 3 2 2" xfId="34097"/>
    <cellStyle name="SAPBEXstdData 6 2 3 3" xfId="34098"/>
    <cellStyle name="SAPBEXstdData 6 2 4" xfId="34099"/>
    <cellStyle name="SAPBEXstdData 6 2 4 2" xfId="34100"/>
    <cellStyle name="SAPBEXstdData 6 2 4 2 2" xfId="34101"/>
    <cellStyle name="SAPBEXstdData 6 2 4 3" xfId="34102"/>
    <cellStyle name="SAPBEXstdData 6 2 5" xfId="34103"/>
    <cellStyle name="SAPBEXstdData 6 2 5 2" xfId="34104"/>
    <cellStyle name="SAPBEXstdData 6 2 5 2 2" xfId="34105"/>
    <cellStyle name="SAPBEXstdData 6 2 5 3" xfId="34106"/>
    <cellStyle name="SAPBEXstdData 6 2 6" xfId="34107"/>
    <cellStyle name="SAPBEXstdData 6 2 6 2" xfId="34108"/>
    <cellStyle name="SAPBEXstdData 6 2 6 2 2" xfId="34109"/>
    <cellStyle name="SAPBEXstdData 6 2 6 3" xfId="34110"/>
    <cellStyle name="SAPBEXstdData 6 2 7" xfId="34111"/>
    <cellStyle name="SAPBEXstdData 6 2 7 2" xfId="34112"/>
    <cellStyle name="SAPBEXstdData 6 2 7 2 2" xfId="34113"/>
    <cellStyle name="SAPBEXstdData 6 2 7 3" xfId="34114"/>
    <cellStyle name="SAPBEXstdData 6 2 8" xfId="34115"/>
    <cellStyle name="SAPBEXstdData 6 2 8 2" xfId="34116"/>
    <cellStyle name="SAPBEXstdData 6 2 8 2 2" xfId="34117"/>
    <cellStyle name="SAPBEXstdData 6 2 8 3" xfId="34118"/>
    <cellStyle name="SAPBEXstdData 6 2 9" xfId="34119"/>
    <cellStyle name="SAPBEXstdData 6 2 9 2" xfId="34120"/>
    <cellStyle name="SAPBEXstdData 6 2 9 2 2" xfId="34121"/>
    <cellStyle name="SAPBEXstdData 6 2 9 3" xfId="34122"/>
    <cellStyle name="SAPBEXstdData 6 2_planning-WP" xfId="34123"/>
    <cellStyle name="SAPBEXstdData 6 3" xfId="34124"/>
    <cellStyle name="SAPBEXstdData 6 3 2" xfId="34125"/>
    <cellStyle name="SAPBEXstdData 6 3 2 2" xfId="34126"/>
    <cellStyle name="SAPBEXstdData 6 3 2 2 2" xfId="34127"/>
    <cellStyle name="SAPBEXstdData 6 3 2 3" xfId="34128"/>
    <cellStyle name="SAPBEXstdData 6 3 3" xfId="34129"/>
    <cellStyle name="SAPBEXstdData 6 3 3 2" xfId="34130"/>
    <cellStyle name="SAPBEXstdData 6 3 3 2 2" xfId="34131"/>
    <cellStyle name="SAPBEXstdData 6 3 3 3" xfId="34132"/>
    <cellStyle name="SAPBEXstdData 6 3 4" xfId="34133"/>
    <cellStyle name="SAPBEXstdData 6 3 4 2" xfId="34134"/>
    <cellStyle name="SAPBEXstdData 6 3 4 2 2" xfId="34135"/>
    <cellStyle name="SAPBEXstdData 6 3 4 3" xfId="34136"/>
    <cellStyle name="SAPBEXstdData 6 3 5" xfId="34137"/>
    <cellStyle name="SAPBEXstdData 6 3 5 2" xfId="34138"/>
    <cellStyle name="SAPBEXstdData 6 3 5 2 2" xfId="34139"/>
    <cellStyle name="SAPBEXstdData 6 3 5 3" xfId="34140"/>
    <cellStyle name="SAPBEXstdData 6 3 6" xfId="34141"/>
    <cellStyle name="SAPBEXstdData 6 3 6 2" xfId="34142"/>
    <cellStyle name="SAPBEXstdData 6 3 6 2 2" xfId="34143"/>
    <cellStyle name="SAPBEXstdData 6 3 6 3" xfId="34144"/>
    <cellStyle name="SAPBEXstdData 6 3 7" xfId="34145"/>
    <cellStyle name="SAPBEXstdData 6 3 7 2" xfId="34146"/>
    <cellStyle name="SAPBEXstdData 6 3 7 2 2" xfId="34147"/>
    <cellStyle name="SAPBEXstdData 6 3 7 3" xfId="34148"/>
    <cellStyle name="SAPBEXstdData 6 3 8" xfId="34149"/>
    <cellStyle name="SAPBEXstdData 6 3 8 2" xfId="34150"/>
    <cellStyle name="SAPBEXstdData 6 3 8 2 2" xfId="34151"/>
    <cellStyle name="SAPBEXstdData 6 3 8 3" xfId="34152"/>
    <cellStyle name="SAPBEXstdData 6 3 9" xfId="34153"/>
    <cellStyle name="SAPBEXstdData 6 3 9 2" xfId="34154"/>
    <cellStyle name="SAPBEXstdData 6 3_planning-WP" xfId="34155"/>
    <cellStyle name="SAPBEXstdData 6 4" xfId="34156"/>
    <cellStyle name="SAPBEXstdData 6 4 2" xfId="34157"/>
    <cellStyle name="SAPBEXstdData 6 4 2 2" xfId="34158"/>
    <cellStyle name="SAPBEXstdData 6 5" xfId="34159"/>
    <cellStyle name="SAPBEXstdData 6 5 2" xfId="34160"/>
    <cellStyle name="SAPBEXstdData 6 5 2 2" xfId="34161"/>
    <cellStyle name="SAPBEXstdData 6 5 3" xfId="34162"/>
    <cellStyle name="SAPBEXstdData 6 6" xfId="34163"/>
    <cellStyle name="SAPBEXstdData 6 6 2" xfId="34164"/>
    <cellStyle name="SAPBEXstdData 6 6 2 2" xfId="34165"/>
    <cellStyle name="SAPBEXstdData 6 6 3" xfId="34166"/>
    <cellStyle name="SAPBEXstdData 6 7" xfId="34167"/>
    <cellStyle name="SAPBEXstdData 6 7 2" xfId="34168"/>
    <cellStyle name="SAPBEXstdData 6 7 2 2" xfId="34169"/>
    <cellStyle name="SAPBEXstdData 6 7 3" xfId="34170"/>
    <cellStyle name="SAPBEXstdData 6 8" xfId="34171"/>
    <cellStyle name="SAPBEXstdData 6 8 2" xfId="34172"/>
    <cellStyle name="SAPBEXstdData 6 8 2 2" xfId="34173"/>
    <cellStyle name="SAPBEXstdData 6 8 3" xfId="34174"/>
    <cellStyle name="SAPBEXstdData 6 9" xfId="34175"/>
    <cellStyle name="SAPBEXstdData 6 9 2" xfId="34176"/>
    <cellStyle name="SAPBEXstdData 6 9 2 2" xfId="34177"/>
    <cellStyle name="SAPBEXstdData 6 9 3" xfId="34178"/>
    <cellStyle name="SAPBEXstdData 6_planning-WP" xfId="34179"/>
    <cellStyle name="SAPBEXstdData 7" xfId="34180"/>
    <cellStyle name="SAPBEXstdData 7 10" xfId="34181"/>
    <cellStyle name="SAPBEXstdData 7 10 2" xfId="34182"/>
    <cellStyle name="SAPBEXstdData 7 10 2 2" xfId="34183"/>
    <cellStyle name="SAPBEXstdData 7 10 3" xfId="34184"/>
    <cellStyle name="SAPBEXstdData 7 11" xfId="34185"/>
    <cellStyle name="SAPBEXstdData 7 11 2" xfId="34186"/>
    <cellStyle name="SAPBEXstdData 7 12" xfId="39148"/>
    <cellStyle name="SAPBEXstdData 7 13" xfId="39528"/>
    <cellStyle name="SAPBEXstdData 7 2" xfId="34187"/>
    <cellStyle name="SAPBEXstdData 7 2 10" xfId="34188"/>
    <cellStyle name="SAPBEXstdData 7 2 10 2" xfId="34189"/>
    <cellStyle name="SAPBEXstdData 7 2 2" xfId="34190"/>
    <cellStyle name="SAPBEXstdData 7 2 2 2" xfId="34191"/>
    <cellStyle name="SAPBEXstdData 7 2 2 2 2" xfId="34192"/>
    <cellStyle name="SAPBEXstdData 7 2 2 3" xfId="34193"/>
    <cellStyle name="SAPBEXstdData 7 2 3" xfId="34194"/>
    <cellStyle name="SAPBEXstdData 7 2 3 2" xfId="34195"/>
    <cellStyle name="SAPBEXstdData 7 2 3 2 2" xfId="34196"/>
    <cellStyle name="SAPBEXstdData 7 2 3 3" xfId="34197"/>
    <cellStyle name="SAPBEXstdData 7 2 4" xfId="34198"/>
    <cellStyle name="SAPBEXstdData 7 2 4 2" xfId="34199"/>
    <cellStyle name="SAPBEXstdData 7 2 4 2 2" xfId="34200"/>
    <cellStyle name="SAPBEXstdData 7 2 4 3" xfId="34201"/>
    <cellStyle name="SAPBEXstdData 7 2 5" xfId="34202"/>
    <cellStyle name="SAPBEXstdData 7 2 5 2" xfId="34203"/>
    <cellStyle name="SAPBEXstdData 7 2 5 2 2" xfId="34204"/>
    <cellStyle name="SAPBEXstdData 7 2 5 3" xfId="34205"/>
    <cellStyle name="SAPBEXstdData 7 2 6" xfId="34206"/>
    <cellStyle name="SAPBEXstdData 7 2 6 2" xfId="34207"/>
    <cellStyle name="SAPBEXstdData 7 2 6 2 2" xfId="34208"/>
    <cellStyle name="SAPBEXstdData 7 2 6 3" xfId="34209"/>
    <cellStyle name="SAPBEXstdData 7 2 7" xfId="34210"/>
    <cellStyle name="SAPBEXstdData 7 2 7 2" xfId="34211"/>
    <cellStyle name="SAPBEXstdData 7 2 7 2 2" xfId="34212"/>
    <cellStyle name="SAPBEXstdData 7 2 7 3" xfId="34213"/>
    <cellStyle name="SAPBEXstdData 7 2 8" xfId="34214"/>
    <cellStyle name="SAPBEXstdData 7 2 8 2" xfId="34215"/>
    <cellStyle name="SAPBEXstdData 7 2 8 2 2" xfId="34216"/>
    <cellStyle name="SAPBEXstdData 7 2 8 3" xfId="34217"/>
    <cellStyle name="SAPBEXstdData 7 2 9" xfId="34218"/>
    <cellStyle name="SAPBEXstdData 7 2 9 2" xfId="34219"/>
    <cellStyle name="SAPBEXstdData 7 2 9 2 2" xfId="34220"/>
    <cellStyle name="SAPBEXstdData 7 2 9 3" xfId="34221"/>
    <cellStyle name="SAPBEXstdData 7 2_planning-WP" xfId="34222"/>
    <cellStyle name="SAPBEXstdData 7 3" xfId="34223"/>
    <cellStyle name="SAPBEXstdData 7 3 2" xfId="34224"/>
    <cellStyle name="SAPBEXstdData 7 3 2 2" xfId="34225"/>
    <cellStyle name="SAPBEXstdData 7 3 3" xfId="34226"/>
    <cellStyle name="SAPBEXstdData 7 4" xfId="34227"/>
    <cellStyle name="SAPBEXstdData 7 4 2" xfId="34228"/>
    <cellStyle name="SAPBEXstdData 7 4 2 2" xfId="34229"/>
    <cellStyle name="SAPBEXstdData 7 4 3" xfId="34230"/>
    <cellStyle name="SAPBEXstdData 7 5" xfId="34231"/>
    <cellStyle name="SAPBEXstdData 7 5 2" xfId="34232"/>
    <cellStyle name="SAPBEXstdData 7 5 2 2" xfId="34233"/>
    <cellStyle name="SAPBEXstdData 7 5 3" xfId="34234"/>
    <cellStyle name="SAPBEXstdData 7 6" xfId="34235"/>
    <cellStyle name="SAPBEXstdData 7 6 2" xfId="34236"/>
    <cellStyle name="SAPBEXstdData 7 6 2 2" xfId="34237"/>
    <cellStyle name="SAPBEXstdData 7 6 3" xfId="34238"/>
    <cellStyle name="SAPBEXstdData 7 7" xfId="34239"/>
    <cellStyle name="SAPBEXstdData 7 7 2" xfId="34240"/>
    <cellStyle name="SAPBEXstdData 7 7 2 2" xfId="34241"/>
    <cellStyle name="SAPBEXstdData 7 7 3" xfId="34242"/>
    <cellStyle name="SAPBEXstdData 7 8" xfId="34243"/>
    <cellStyle name="SAPBEXstdData 7 8 2" xfId="34244"/>
    <cellStyle name="SAPBEXstdData 7 8 2 2" xfId="34245"/>
    <cellStyle name="SAPBEXstdData 7 8 3" xfId="34246"/>
    <cellStyle name="SAPBEXstdData 7 9" xfId="34247"/>
    <cellStyle name="SAPBEXstdData 7 9 2" xfId="34248"/>
    <cellStyle name="SAPBEXstdData 7 9 2 2" xfId="34249"/>
    <cellStyle name="SAPBEXstdData 7 9 3" xfId="34250"/>
    <cellStyle name="SAPBEXstdData 7_planning-WP" xfId="34251"/>
    <cellStyle name="SAPBEXstdData 8" xfId="34252"/>
    <cellStyle name="SAPBEXstdData 8 10" xfId="34253"/>
    <cellStyle name="SAPBEXstdData 8 10 2" xfId="34254"/>
    <cellStyle name="SAPBEXstdData 8 11" xfId="39149"/>
    <cellStyle name="SAPBEXstdData 8 12" xfId="39529"/>
    <cellStyle name="SAPBEXstdData 8 2" xfId="34255"/>
    <cellStyle name="SAPBEXstdData 8 2 2" xfId="34256"/>
    <cellStyle name="SAPBEXstdData 8 2 2 2" xfId="34257"/>
    <cellStyle name="SAPBEXstdData 8 2 3" xfId="34258"/>
    <cellStyle name="SAPBEXstdData 8 3" xfId="34259"/>
    <cellStyle name="SAPBEXstdData 8 3 2" xfId="34260"/>
    <cellStyle name="SAPBEXstdData 8 3 2 2" xfId="34261"/>
    <cellStyle name="SAPBEXstdData 8 3 3" xfId="34262"/>
    <cellStyle name="SAPBEXstdData 8 4" xfId="34263"/>
    <cellStyle name="SAPBEXstdData 8 4 2" xfId="34264"/>
    <cellStyle name="SAPBEXstdData 8 4 2 2" xfId="34265"/>
    <cellStyle name="SAPBEXstdData 8 4 3" xfId="34266"/>
    <cellStyle name="SAPBEXstdData 8 5" xfId="34267"/>
    <cellStyle name="SAPBEXstdData 8 5 2" xfId="34268"/>
    <cellStyle name="SAPBEXstdData 8 5 2 2" xfId="34269"/>
    <cellStyle name="SAPBEXstdData 8 5 3" xfId="34270"/>
    <cellStyle name="SAPBEXstdData 8 6" xfId="34271"/>
    <cellStyle name="SAPBEXstdData 8 6 2" xfId="34272"/>
    <cellStyle name="SAPBEXstdData 8 6 2 2" xfId="34273"/>
    <cellStyle name="SAPBEXstdData 8 6 3" xfId="34274"/>
    <cellStyle name="SAPBEXstdData 8 7" xfId="34275"/>
    <cellStyle name="SAPBEXstdData 8 7 2" xfId="34276"/>
    <cellStyle name="SAPBEXstdData 8 7 2 2" xfId="34277"/>
    <cellStyle name="SAPBEXstdData 8 7 3" xfId="34278"/>
    <cellStyle name="SAPBEXstdData 8 8" xfId="34279"/>
    <cellStyle name="SAPBEXstdData 8 8 2" xfId="34280"/>
    <cellStyle name="SAPBEXstdData 8 8 2 2" xfId="34281"/>
    <cellStyle name="SAPBEXstdData 8 8 3" xfId="34282"/>
    <cellStyle name="SAPBEXstdData 8 9" xfId="34283"/>
    <cellStyle name="SAPBEXstdData 8 9 2" xfId="34284"/>
    <cellStyle name="SAPBEXstdData 8 9 2 2" xfId="34285"/>
    <cellStyle name="SAPBEXstdData 8 9 3" xfId="34286"/>
    <cellStyle name="SAPBEXstdData 8_planning-WP" xfId="34287"/>
    <cellStyle name="SAPBEXstdData 9" xfId="34288"/>
    <cellStyle name="SAPBEXstdData 9 10" xfId="39150"/>
    <cellStyle name="SAPBEXstdData 9 11" xfId="39530"/>
    <cellStyle name="SAPBEXstdData 9 2" xfId="34289"/>
    <cellStyle name="SAPBEXstdData 9 2 2" xfId="34290"/>
    <cellStyle name="SAPBEXstdData 9 2 2 2" xfId="34291"/>
    <cellStyle name="SAPBEXstdData 9 2 3" xfId="34292"/>
    <cellStyle name="SAPBEXstdData 9 3" xfId="34293"/>
    <cellStyle name="SAPBEXstdData 9 3 2" xfId="34294"/>
    <cellStyle name="SAPBEXstdData 9 3 2 2" xfId="34295"/>
    <cellStyle name="SAPBEXstdData 9 3 3" xfId="34296"/>
    <cellStyle name="SAPBEXstdData 9 4" xfId="34297"/>
    <cellStyle name="SAPBEXstdData 9 4 2" xfId="34298"/>
    <cellStyle name="SAPBEXstdData 9 4 2 2" xfId="34299"/>
    <cellStyle name="SAPBEXstdData 9 4 3" xfId="34300"/>
    <cellStyle name="SAPBEXstdData 9 5" xfId="34301"/>
    <cellStyle name="SAPBEXstdData 9 5 2" xfId="34302"/>
    <cellStyle name="SAPBEXstdData 9 5 2 2" xfId="34303"/>
    <cellStyle name="SAPBEXstdData 9 5 3" xfId="34304"/>
    <cellStyle name="SAPBEXstdData 9 6" xfId="34305"/>
    <cellStyle name="SAPBEXstdData 9 6 2" xfId="34306"/>
    <cellStyle name="SAPBEXstdData 9 6 2 2" xfId="34307"/>
    <cellStyle name="SAPBEXstdData 9 6 3" xfId="34308"/>
    <cellStyle name="SAPBEXstdData 9 7" xfId="34309"/>
    <cellStyle name="SAPBEXstdData 9 7 2" xfId="34310"/>
    <cellStyle name="SAPBEXstdData 9 7 2 2" xfId="34311"/>
    <cellStyle name="SAPBEXstdData 9 7 3" xfId="34312"/>
    <cellStyle name="SAPBEXstdData 9 8" xfId="34313"/>
    <cellStyle name="SAPBEXstdData 9 8 2" xfId="34314"/>
    <cellStyle name="SAPBEXstdData 9 8 2 2" xfId="34315"/>
    <cellStyle name="SAPBEXstdData 9 8 3" xfId="34316"/>
    <cellStyle name="SAPBEXstdData 9 9" xfId="34317"/>
    <cellStyle name="SAPBEXstdData 9 9 2" xfId="34318"/>
    <cellStyle name="SAPBEXstdData 9_planning-WP" xfId="34319"/>
    <cellStyle name="SAPBEXstdData_19.RessDest CUC CS SEE+SEM 1009" xfId="39151"/>
    <cellStyle name="SAPBEXstdDataEmph" xfId="292"/>
    <cellStyle name="SAPBEXstdDataEmph 10" xfId="34321"/>
    <cellStyle name="SAPBEXstdDataEmph 10 2" xfId="34322"/>
    <cellStyle name="SAPBEXstdDataEmph 10 2 2" xfId="34323"/>
    <cellStyle name="SAPBEXstdDataEmph 11" xfId="34324"/>
    <cellStyle name="SAPBEXstdDataEmph 11 2" xfId="34325"/>
    <cellStyle name="SAPBEXstdDataEmph 11 2 2" xfId="34326"/>
    <cellStyle name="SAPBEXstdDataEmph 11 3" xfId="34327"/>
    <cellStyle name="SAPBEXstdDataEmph 12" xfId="34328"/>
    <cellStyle name="SAPBEXstdDataEmph 12 2" xfId="34329"/>
    <cellStyle name="SAPBEXstdDataEmph 12 2 2" xfId="34330"/>
    <cellStyle name="SAPBEXstdDataEmph 12 3" xfId="34331"/>
    <cellStyle name="SAPBEXstdDataEmph 13" xfId="34332"/>
    <cellStyle name="SAPBEXstdDataEmph 13 2" xfId="34333"/>
    <cellStyle name="SAPBEXstdDataEmph 13 2 2" xfId="34334"/>
    <cellStyle name="SAPBEXstdDataEmph 13 3" xfId="34335"/>
    <cellStyle name="SAPBEXstdDataEmph 14" xfId="34336"/>
    <cellStyle name="SAPBEXstdDataEmph 14 2" xfId="34337"/>
    <cellStyle name="SAPBEXstdDataEmph 14 2 2" xfId="34338"/>
    <cellStyle name="SAPBEXstdDataEmph 14 3" xfId="34339"/>
    <cellStyle name="SAPBEXstdDataEmph 15" xfId="34340"/>
    <cellStyle name="SAPBEXstdDataEmph 15 2" xfId="34341"/>
    <cellStyle name="SAPBEXstdDataEmph 15 2 2" xfId="34342"/>
    <cellStyle name="SAPBEXstdDataEmph 15 3" xfId="34343"/>
    <cellStyle name="SAPBEXstdDataEmph 16" xfId="34344"/>
    <cellStyle name="SAPBEXstdDataEmph 16 2" xfId="34345"/>
    <cellStyle name="SAPBEXstdDataEmph 16 2 2" xfId="34346"/>
    <cellStyle name="SAPBEXstdDataEmph 16 3" xfId="34347"/>
    <cellStyle name="SAPBEXstdDataEmph 17" xfId="34348"/>
    <cellStyle name="SAPBEXstdDataEmph 17 2" xfId="34349"/>
    <cellStyle name="SAPBEXstdDataEmph 17 2 2" xfId="34350"/>
    <cellStyle name="SAPBEXstdDataEmph 17 3" xfId="34351"/>
    <cellStyle name="SAPBEXstdDataEmph 18" xfId="34352"/>
    <cellStyle name="SAPBEXstdDataEmph 19" xfId="34353"/>
    <cellStyle name="SAPBEXstdDataEmph 2" xfId="903"/>
    <cellStyle name="SAPBEXstdDataEmph 2 10" xfId="34355"/>
    <cellStyle name="SAPBEXstdDataEmph 2 10 2" xfId="34356"/>
    <cellStyle name="SAPBEXstdDataEmph 2 10 2 2" xfId="34357"/>
    <cellStyle name="SAPBEXstdDataEmph 2 10 3" xfId="34358"/>
    <cellStyle name="SAPBEXstdDataEmph 2 11" xfId="34359"/>
    <cellStyle name="SAPBEXstdDataEmph 2 11 2" xfId="34360"/>
    <cellStyle name="SAPBEXstdDataEmph 2 11 2 2" xfId="34361"/>
    <cellStyle name="SAPBEXstdDataEmph 2 11 3" xfId="34362"/>
    <cellStyle name="SAPBEXstdDataEmph 2 12" xfId="34363"/>
    <cellStyle name="SAPBEXstdDataEmph 2 12 2" xfId="34364"/>
    <cellStyle name="SAPBEXstdDataEmph 2 12 2 2" xfId="34365"/>
    <cellStyle name="SAPBEXstdDataEmph 2 12 3" xfId="34366"/>
    <cellStyle name="SAPBEXstdDataEmph 2 13" xfId="34367"/>
    <cellStyle name="SAPBEXstdDataEmph 2 14" xfId="34354"/>
    <cellStyle name="SAPBEXstdDataEmph 2 15" xfId="9587"/>
    <cellStyle name="SAPBEXstdDataEmph 2 16" xfId="39153"/>
    <cellStyle name="SAPBEXstdDataEmph 2 17" xfId="39532"/>
    <cellStyle name="SAPBEXstdDataEmph 2 2" xfId="1972"/>
    <cellStyle name="SAPBEXstdDataEmph 2 2 10" xfId="34369"/>
    <cellStyle name="SAPBEXstdDataEmph 2 2 10 2" xfId="34370"/>
    <cellStyle name="SAPBEXstdDataEmph 2 2 10 2 2" xfId="34371"/>
    <cellStyle name="SAPBEXstdDataEmph 2 2 10 3" xfId="34372"/>
    <cellStyle name="SAPBEXstdDataEmph 2 2 11" xfId="34373"/>
    <cellStyle name="SAPBEXstdDataEmph 2 2 11 2" xfId="34374"/>
    <cellStyle name="SAPBEXstdDataEmph 2 2 12" xfId="34368"/>
    <cellStyle name="SAPBEXstdDataEmph 2 2 13" xfId="10150"/>
    <cellStyle name="SAPBEXstdDataEmph 2 2 14" xfId="39154"/>
    <cellStyle name="SAPBEXstdDataEmph 2 2 15" xfId="39533"/>
    <cellStyle name="SAPBEXstdDataEmph 2 2 2" xfId="4890"/>
    <cellStyle name="SAPBEXstdDataEmph 2 2 2 10" xfId="34376"/>
    <cellStyle name="SAPBEXstdDataEmph 2 2 2 10 2" xfId="34377"/>
    <cellStyle name="SAPBEXstdDataEmph 2 2 2 11" xfId="34375"/>
    <cellStyle name="SAPBEXstdDataEmph 2 2 2 2" xfId="34378"/>
    <cellStyle name="SAPBEXstdDataEmph 2 2 2 2 2" xfId="34379"/>
    <cellStyle name="SAPBEXstdDataEmph 2 2 2 2 2 2" xfId="34380"/>
    <cellStyle name="SAPBEXstdDataEmph 2 2 2 2 3" xfId="34381"/>
    <cellStyle name="SAPBEXstdDataEmph 2 2 2 3" xfId="34382"/>
    <cellStyle name="SAPBEXstdDataEmph 2 2 2 3 2" xfId="34383"/>
    <cellStyle name="SAPBEXstdDataEmph 2 2 2 3 2 2" xfId="34384"/>
    <cellStyle name="SAPBEXstdDataEmph 2 2 2 3 3" xfId="34385"/>
    <cellStyle name="SAPBEXstdDataEmph 2 2 2 4" xfId="34386"/>
    <cellStyle name="SAPBEXstdDataEmph 2 2 2 4 2" xfId="34387"/>
    <cellStyle name="SAPBEXstdDataEmph 2 2 2 4 2 2" xfId="34388"/>
    <cellStyle name="SAPBEXstdDataEmph 2 2 2 4 3" xfId="34389"/>
    <cellStyle name="SAPBEXstdDataEmph 2 2 2 5" xfId="34390"/>
    <cellStyle name="SAPBEXstdDataEmph 2 2 2 5 2" xfId="34391"/>
    <cellStyle name="SAPBEXstdDataEmph 2 2 2 5 2 2" xfId="34392"/>
    <cellStyle name="SAPBEXstdDataEmph 2 2 2 5 3" xfId="34393"/>
    <cellStyle name="SAPBEXstdDataEmph 2 2 2 6" xfId="34394"/>
    <cellStyle name="SAPBEXstdDataEmph 2 2 2 6 2" xfId="34395"/>
    <cellStyle name="SAPBEXstdDataEmph 2 2 2 6 2 2" xfId="34396"/>
    <cellStyle name="SAPBEXstdDataEmph 2 2 2 6 3" xfId="34397"/>
    <cellStyle name="SAPBEXstdDataEmph 2 2 2 7" xfId="34398"/>
    <cellStyle name="SAPBEXstdDataEmph 2 2 2 7 2" xfId="34399"/>
    <cellStyle name="SAPBEXstdDataEmph 2 2 2 7 2 2" xfId="34400"/>
    <cellStyle name="SAPBEXstdDataEmph 2 2 2 7 3" xfId="34401"/>
    <cellStyle name="SAPBEXstdDataEmph 2 2 2 8" xfId="34402"/>
    <cellStyle name="SAPBEXstdDataEmph 2 2 2 8 2" xfId="34403"/>
    <cellStyle name="SAPBEXstdDataEmph 2 2 2 8 2 2" xfId="34404"/>
    <cellStyle name="SAPBEXstdDataEmph 2 2 2 8 3" xfId="34405"/>
    <cellStyle name="SAPBEXstdDataEmph 2 2 2 9" xfId="34406"/>
    <cellStyle name="SAPBEXstdDataEmph 2 2 2 9 2" xfId="34407"/>
    <cellStyle name="SAPBEXstdDataEmph 2 2 2 9 2 2" xfId="34408"/>
    <cellStyle name="SAPBEXstdDataEmph 2 2 2 9 3" xfId="34409"/>
    <cellStyle name="SAPBEXstdDataEmph 2 2 2_planning-WP" xfId="34410"/>
    <cellStyle name="SAPBEXstdDataEmph 2 2 3" xfId="5869"/>
    <cellStyle name="SAPBEXstdDataEmph 2 2 3 2" xfId="34412"/>
    <cellStyle name="SAPBEXstdDataEmph 2 2 3 2 2" xfId="34413"/>
    <cellStyle name="SAPBEXstdDataEmph 2 2 3 3" xfId="34414"/>
    <cellStyle name="SAPBEXstdDataEmph 2 2 3 4" xfId="34411"/>
    <cellStyle name="SAPBEXstdDataEmph 2 2 4" xfId="6377"/>
    <cellStyle name="SAPBEXstdDataEmph 2 2 4 2" xfId="34416"/>
    <cellStyle name="SAPBEXstdDataEmph 2 2 4 2 2" xfId="34417"/>
    <cellStyle name="SAPBEXstdDataEmph 2 2 4 3" xfId="34418"/>
    <cellStyle name="SAPBEXstdDataEmph 2 2 4 4" xfId="34415"/>
    <cellStyle name="SAPBEXstdDataEmph 2 2 5" xfId="6864"/>
    <cellStyle name="SAPBEXstdDataEmph 2 2 5 2" xfId="34420"/>
    <cellStyle name="SAPBEXstdDataEmph 2 2 5 2 2" xfId="34421"/>
    <cellStyle name="SAPBEXstdDataEmph 2 2 5 3" xfId="34422"/>
    <cellStyle name="SAPBEXstdDataEmph 2 2 5 4" xfId="34419"/>
    <cellStyle name="SAPBEXstdDataEmph 2 2 6" xfId="7347"/>
    <cellStyle name="SAPBEXstdDataEmph 2 2 6 2" xfId="34424"/>
    <cellStyle name="SAPBEXstdDataEmph 2 2 6 2 2" xfId="34425"/>
    <cellStyle name="SAPBEXstdDataEmph 2 2 6 3" xfId="34426"/>
    <cellStyle name="SAPBEXstdDataEmph 2 2 6 4" xfId="34423"/>
    <cellStyle name="SAPBEXstdDataEmph 2 2 7" xfId="8416"/>
    <cellStyle name="SAPBEXstdDataEmph 2 2 7 2" xfId="34428"/>
    <cellStyle name="SAPBEXstdDataEmph 2 2 7 2 2" xfId="34429"/>
    <cellStyle name="SAPBEXstdDataEmph 2 2 7 3" xfId="34430"/>
    <cellStyle name="SAPBEXstdDataEmph 2 2 7 4" xfId="34427"/>
    <cellStyle name="SAPBEXstdDataEmph 2 2 8" xfId="8917"/>
    <cellStyle name="SAPBEXstdDataEmph 2 2 8 2" xfId="34432"/>
    <cellStyle name="SAPBEXstdDataEmph 2 2 8 2 2" xfId="34433"/>
    <cellStyle name="SAPBEXstdDataEmph 2 2 8 3" xfId="34434"/>
    <cellStyle name="SAPBEXstdDataEmph 2 2 8 4" xfId="34431"/>
    <cellStyle name="SAPBEXstdDataEmph 2 2 9" xfId="9411"/>
    <cellStyle name="SAPBEXstdDataEmph 2 2 9 2" xfId="34436"/>
    <cellStyle name="SAPBEXstdDataEmph 2 2 9 2 2" xfId="34437"/>
    <cellStyle name="SAPBEXstdDataEmph 2 2 9 3" xfId="34438"/>
    <cellStyle name="SAPBEXstdDataEmph 2 2 9 4" xfId="34435"/>
    <cellStyle name="SAPBEXstdDataEmph 2 2_planning-WP" xfId="34439"/>
    <cellStyle name="SAPBEXstdDataEmph 2 3" xfId="1635"/>
    <cellStyle name="SAPBEXstdDataEmph 2 3 10" xfId="34441"/>
    <cellStyle name="SAPBEXstdDataEmph 2 3 10 2" xfId="34442"/>
    <cellStyle name="SAPBEXstdDataEmph 2 3 11" xfId="34440"/>
    <cellStyle name="SAPBEXstdDataEmph 2 3 12" xfId="9832"/>
    <cellStyle name="SAPBEXstdDataEmph 2 3 2" xfId="4558"/>
    <cellStyle name="SAPBEXstdDataEmph 2 3 2 2" xfId="34444"/>
    <cellStyle name="SAPBEXstdDataEmph 2 3 2 2 2" xfId="34445"/>
    <cellStyle name="SAPBEXstdDataEmph 2 3 2 3" xfId="34446"/>
    <cellStyle name="SAPBEXstdDataEmph 2 3 2 4" xfId="34443"/>
    <cellStyle name="SAPBEXstdDataEmph 2 3 3" xfId="5550"/>
    <cellStyle name="SAPBEXstdDataEmph 2 3 3 2" xfId="34448"/>
    <cellStyle name="SAPBEXstdDataEmph 2 3 3 2 2" xfId="34449"/>
    <cellStyle name="SAPBEXstdDataEmph 2 3 3 3" xfId="34450"/>
    <cellStyle name="SAPBEXstdDataEmph 2 3 3 4" xfId="34447"/>
    <cellStyle name="SAPBEXstdDataEmph 2 3 4" xfId="6059"/>
    <cellStyle name="SAPBEXstdDataEmph 2 3 4 2" xfId="34452"/>
    <cellStyle name="SAPBEXstdDataEmph 2 3 4 2 2" xfId="34453"/>
    <cellStyle name="SAPBEXstdDataEmph 2 3 4 3" xfId="34454"/>
    <cellStyle name="SAPBEXstdDataEmph 2 3 4 4" xfId="34451"/>
    <cellStyle name="SAPBEXstdDataEmph 2 3 5" xfId="6546"/>
    <cellStyle name="SAPBEXstdDataEmph 2 3 5 2" xfId="34456"/>
    <cellStyle name="SAPBEXstdDataEmph 2 3 5 2 2" xfId="34457"/>
    <cellStyle name="SAPBEXstdDataEmph 2 3 5 3" xfId="34458"/>
    <cellStyle name="SAPBEXstdDataEmph 2 3 5 4" xfId="34455"/>
    <cellStyle name="SAPBEXstdDataEmph 2 3 6" xfId="7029"/>
    <cellStyle name="SAPBEXstdDataEmph 2 3 6 2" xfId="34460"/>
    <cellStyle name="SAPBEXstdDataEmph 2 3 6 2 2" xfId="34461"/>
    <cellStyle name="SAPBEXstdDataEmph 2 3 6 3" xfId="34462"/>
    <cellStyle name="SAPBEXstdDataEmph 2 3 6 4" xfId="34459"/>
    <cellStyle name="SAPBEXstdDataEmph 2 3 7" xfId="8098"/>
    <cellStyle name="SAPBEXstdDataEmph 2 3 7 2" xfId="34464"/>
    <cellStyle name="SAPBEXstdDataEmph 2 3 7 2 2" xfId="34465"/>
    <cellStyle name="SAPBEXstdDataEmph 2 3 7 3" xfId="34466"/>
    <cellStyle name="SAPBEXstdDataEmph 2 3 7 4" xfId="34463"/>
    <cellStyle name="SAPBEXstdDataEmph 2 3 8" xfId="8599"/>
    <cellStyle name="SAPBEXstdDataEmph 2 3 8 2" xfId="34468"/>
    <cellStyle name="SAPBEXstdDataEmph 2 3 8 2 2" xfId="34469"/>
    <cellStyle name="SAPBEXstdDataEmph 2 3 8 3" xfId="34470"/>
    <cellStyle name="SAPBEXstdDataEmph 2 3 8 4" xfId="34467"/>
    <cellStyle name="SAPBEXstdDataEmph 2 3 9" xfId="9093"/>
    <cellStyle name="SAPBEXstdDataEmph 2 3 9 2" xfId="34472"/>
    <cellStyle name="SAPBEXstdDataEmph 2 3 9 2 2" xfId="34473"/>
    <cellStyle name="SAPBEXstdDataEmph 2 3 9 3" xfId="34474"/>
    <cellStyle name="SAPBEXstdDataEmph 2 3 9 4" xfId="34471"/>
    <cellStyle name="SAPBEXstdDataEmph 2 3_planning-WP" xfId="34475"/>
    <cellStyle name="SAPBEXstdDataEmph 2 4" xfId="34476"/>
    <cellStyle name="SAPBEXstdDataEmph 2 4 2" xfId="34477"/>
    <cellStyle name="SAPBEXstdDataEmph 2 4 2 2" xfId="34478"/>
    <cellStyle name="SAPBEXstdDataEmph 2 4 2 2 2" xfId="34479"/>
    <cellStyle name="SAPBEXstdDataEmph 2 4 2 3" xfId="34480"/>
    <cellStyle name="SAPBEXstdDataEmph 2 4 3" xfId="34481"/>
    <cellStyle name="SAPBEXstdDataEmph 2 4 3 2" xfId="34482"/>
    <cellStyle name="SAPBEXstdDataEmph 2 4 3 2 2" xfId="34483"/>
    <cellStyle name="SAPBEXstdDataEmph 2 4 3 3" xfId="34484"/>
    <cellStyle name="SAPBEXstdDataEmph 2 4 4" xfId="34485"/>
    <cellStyle name="SAPBEXstdDataEmph 2 4 4 2" xfId="34486"/>
    <cellStyle name="SAPBEXstdDataEmph 2 4 4 2 2" xfId="34487"/>
    <cellStyle name="SAPBEXstdDataEmph 2 4 4 3" xfId="34488"/>
    <cellStyle name="SAPBEXstdDataEmph 2 4 5" xfId="34489"/>
    <cellStyle name="SAPBEXstdDataEmph 2 4 5 2" xfId="34490"/>
    <cellStyle name="SAPBEXstdDataEmph 2 4 5 2 2" xfId="34491"/>
    <cellStyle name="SAPBEXstdDataEmph 2 4 5 3" xfId="34492"/>
    <cellStyle name="SAPBEXstdDataEmph 2 4 6" xfId="34493"/>
    <cellStyle name="SAPBEXstdDataEmph 2 4 6 2" xfId="34494"/>
    <cellStyle name="SAPBEXstdDataEmph 2 4 6 2 2" xfId="34495"/>
    <cellStyle name="SAPBEXstdDataEmph 2 4 6 3" xfId="34496"/>
    <cellStyle name="SAPBEXstdDataEmph 2 4 7" xfId="34497"/>
    <cellStyle name="SAPBEXstdDataEmph 2 4 7 2" xfId="34498"/>
    <cellStyle name="SAPBEXstdDataEmph 2 4 7 2 2" xfId="34499"/>
    <cellStyle name="SAPBEXstdDataEmph 2 4 7 3" xfId="34500"/>
    <cellStyle name="SAPBEXstdDataEmph 2 4 8" xfId="34501"/>
    <cellStyle name="SAPBEXstdDataEmph 2 4 8 2" xfId="34502"/>
    <cellStyle name="SAPBEXstdDataEmph 2 4 8 2 2" xfId="34503"/>
    <cellStyle name="SAPBEXstdDataEmph 2 4 8 3" xfId="34504"/>
    <cellStyle name="SAPBEXstdDataEmph 2 4 9" xfId="34505"/>
    <cellStyle name="SAPBEXstdDataEmph 2 4 9 2" xfId="34506"/>
    <cellStyle name="SAPBEXstdDataEmph 2 4_planning-WP" xfId="34507"/>
    <cellStyle name="SAPBEXstdDataEmph 2 5" xfId="34508"/>
    <cellStyle name="SAPBEXstdDataEmph 2 5 2" xfId="34509"/>
    <cellStyle name="SAPBEXstdDataEmph 2 5 2 2" xfId="34510"/>
    <cellStyle name="SAPBEXstdDataEmph 2 6" xfId="34511"/>
    <cellStyle name="SAPBEXstdDataEmph 2 6 2" xfId="34512"/>
    <cellStyle name="SAPBEXstdDataEmph 2 6 2 2" xfId="34513"/>
    <cellStyle name="SAPBEXstdDataEmph 2 6 3" xfId="34514"/>
    <cellStyle name="SAPBEXstdDataEmph 2 7" xfId="34515"/>
    <cellStyle name="SAPBEXstdDataEmph 2 7 2" xfId="34516"/>
    <cellStyle name="SAPBEXstdDataEmph 2 7 2 2" xfId="34517"/>
    <cellStyle name="SAPBEXstdDataEmph 2 7 3" xfId="34518"/>
    <cellStyle name="SAPBEXstdDataEmph 2 8" xfId="34519"/>
    <cellStyle name="SAPBEXstdDataEmph 2 8 2" xfId="34520"/>
    <cellStyle name="SAPBEXstdDataEmph 2 8 2 2" xfId="34521"/>
    <cellStyle name="SAPBEXstdDataEmph 2 8 3" xfId="34522"/>
    <cellStyle name="SAPBEXstdDataEmph 2 9" xfId="34523"/>
    <cellStyle name="SAPBEXstdDataEmph 2 9 2" xfId="34524"/>
    <cellStyle name="SAPBEXstdDataEmph 2 9 2 2" xfId="34525"/>
    <cellStyle name="SAPBEXstdDataEmph 2 9 3" xfId="34526"/>
    <cellStyle name="SAPBEXstdDataEmph 2_planning-WP" xfId="34527"/>
    <cellStyle name="SAPBEXstdDataEmph 20" xfId="34320"/>
    <cellStyle name="SAPBEXstdDataEmph 21" xfId="39152"/>
    <cellStyle name="SAPBEXstdDataEmph 22" xfId="39531"/>
    <cellStyle name="SAPBEXstdDataEmph 3" xfId="1603"/>
    <cellStyle name="SAPBEXstdDataEmph 3 10" xfId="9061"/>
    <cellStyle name="SAPBEXstdDataEmph 3 10 2" xfId="34530"/>
    <cellStyle name="SAPBEXstdDataEmph 3 10 2 2" xfId="34531"/>
    <cellStyle name="SAPBEXstdDataEmph 3 10 3" xfId="34532"/>
    <cellStyle name="SAPBEXstdDataEmph 3 10 4" xfId="34529"/>
    <cellStyle name="SAPBEXstdDataEmph 3 11" xfId="34533"/>
    <cellStyle name="SAPBEXstdDataEmph 3 11 2" xfId="34534"/>
    <cellStyle name="SAPBEXstdDataEmph 3 11 2 2" xfId="34535"/>
    <cellStyle name="SAPBEXstdDataEmph 3 11 3" xfId="34536"/>
    <cellStyle name="SAPBEXstdDataEmph 3 12" xfId="34537"/>
    <cellStyle name="SAPBEXstdDataEmph 3 12 2" xfId="34538"/>
    <cellStyle name="SAPBEXstdDataEmph 3 12 2 2" xfId="34539"/>
    <cellStyle name="SAPBEXstdDataEmph 3 12 3" xfId="34540"/>
    <cellStyle name="SAPBEXstdDataEmph 3 13" xfId="34541"/>
    <cellStyle name="SAPBEXstdDataEmph 3 14" xfId="34528"/>
    <cellStyle name="SAPBEXstdDataEmph 3 15" xfId="9800"/>
    <cellStyle name="SAPBEXstdDataEmph 3 16" xfId="39155"/>
    <cellStyle name="SAPBEXstdDataEmph 3 17" xfId="39534"/>
    <cellStyle name="SAPBEXstdDataEmph 3 2" xfId="1944"/>
    <cellStyle name="SAPBEXstdDataEmph 3 2 10" xfId="34543"/>
    <cellStyle name="SAPBEXstdDataEmph 3 2 10 2" xfId="34544"/>
    <cellStyle name="SAPBEXstdDataEmph 3 2 10 2 2" xfId="34545"/>
    <cellStyle name="SAPBEXstdDataEmph 3 2 10 3" xfId="34546"/>
    <cellStyle name="SAPBEXstdDataEmph 3 2 11" xfId="34547"/>
    <cellStyle name="SAPBEXstdDataEmph 3 2 11 2" xfId="34548"/>
    <cellStyle name="SAPBEXstdDataEmph 3 2 12" xfId="34542"/>
    <cellStyle name="SAPBEXstdDataEmph 3 2 13" xfId="10122"/>
    <cellStyle name="SAPBEXstdDataEmph 3 2 14" xfId="39156"/>
    <cellStyle name="SAPBEXstdDataEmph 3 2 15" xfId="39535"/>
    <cellStyle name="SAPBEXstdDataEmph 3 2 2" xfId="4862"/>
    <cellStyle name="SAPBEXstdDataEmph 3 2 2 10" xfId="34550"/>
    <cellStyle name="SAPBEXstdDataEmph 3 2 2 10 2" xfId="34551"/>
    <cellStyle name="SAPBEXstdDataEmph 3 2 2 11" xfId="34549"/>
    <cellStyle name="SAPBEXstdDataEmph 3 2 2 2" xfId="34552"/>
    <cellStyle name="SAPBEXstdDataEmph 3 2 2 2 2" xfId="34553"/>
    <cellStyle name="SAPBEXstdDataEmph 3 2 2 2 2 2" xfId="34554"/>
    <cellStyle name="SAPBEXstdDataEmph 3 2 2 2 3" xfId="34555"/>
    <cellStyle name="SAPBEXstdDataEmph 3 2 2 3" xfId="34556"/>
    <cellStyle name="SAPBEXstdDataEmph 3 2 2 3 2" xfId="34557"/>
    <cellStyle name="SAPBEXstdDataEmph 3 2 2 3 2 2" xfId="34558"/>
    <cellStyle name="SAPBEXstdDataEmph 3 2 2 3 3" xfId="34559"/>
    <cellStyle name="SAPBEXstdDataEmph 3 2 2 4" xfId="34560"/>
    <cellStyle name="SAPBEXstdDataEmph 3 2 2 4 2" xfId="34561"/>
    <cellStyle name="SAPBEXstdDataEmph 3 2 2 4 2 2" xfId="34562"/>
    <cellStyle name="SAPBEXstdDataEmph 3 2 2 4 3" xfId="34563"/>
    <cellStyle name="SAPBEXstdDataEmph 3 2 2 5" xfId="34564"/>
    <cellStyle name="SAPBEXstdDataEmph 3 2 2 5 2" xfId="34565"/>
    <cellStyle name="SAPBEXstdDataEmph 3 2 2 5 2 2" xfId="34566"/>
    <cellStyle name="SAPBEXstdDataEmph 3 2 2 5 3" xfId="34567"/>
    <cellStyle name="SAPBEXstdDataEmph 3 2 2 6" xfId="34568"/>
    <cellStyle name="SAPBEXstdDataEmph 3 2 2 6 2" xfId="34569"/>
    <cellStyle name="SAPBEXstdDataEmph 3 2 2 6 2 2" xfId="34570"/>
    <cellStyle name="SAPBEXstdDataEmph 3 2 2 6 3" xfId="34571"/>
    <cellStyle name="SAPBEXstdDataEmph 3 2 2 7" xfId="34572"/>
    <cellStyle name="SAPBEXstdDataEmph 3 2 2 7 2" xfId="34573"/>
    <cellStyle name="SAPBEXstdDataEmph 3 2 2 7 2 2" xfId="34574"/>
    <cellStyle name="SAPBEXstdDataEmph 3 2 2 7 3" xfId="34575"/>
    <cellStyle name="SAPBEXstdDataEmph 3 2 2 8" xfId="34576"/>
    <cellStyle name="SAPBEXstdDataEmph 3 2 2 8 2" xfId="34577"/>
    <cellStyle name="SAPBEXstdDataEmph 3 2 2 8 2 2" xfId="34578"/>
    <cellStyle name="SAPBEXstdDataEmph 3 2 2 8 3" xfId="34579"/>
    <cellStyle name="SAPBEXstdDataEmph 3 2 2 9" xfId="34580"/>
    <cellStyle name="SAPBEXstdDataEmph 3 2 2 9 2" xfId="34581"/>
    <cellStyle name="SAPBEXstdDataEmph 3 2 2 9 2 2" xfId="34582"/>
    <cellStyle name="SAPBEXstdDataEmph 3 2 2 9 3" xfId="34583"/>
    <cellStyle name="SAPBEXstdDataEmph 3 2 2_planning-WP" xfId="34584"/>
    <cellStyle name="SAPBEXstdDataEmph 3 2 3" xfId="5841"/>
    <cellStyle name="SAPBEXstdDataEmph 3 2 3 2" xfId="34586"/>
    <cellStyle name="SAPBEXstdDataEmph 3 2 3 2 2" xfId="34587"/>
    <cellStyle name="SAPBEXstdDataEmph 3 2 3 3" xfId="34588"/>
    <cellStyle name="SAPBEXstdDataEmph 3 2 3 4" xfId="34585"/>
    <cellStyle name="SAPBEXstdDataEmph 3 2 4" xfId="6349"/>
    <cellStyle name="SAPBEXstdDataEmph 3 2 4 2" xfId="34590"/>
    <cellStyle name="SAPBEXstdDataEmph 3 2 4 2 2" xfId="34591"/>
    <cellStyle name="SAPBEXstdDataEmph 3 2 4 3" xfId="34592"/>
    <cellStyle name="SAPBEXstdDataEmph 3 2 4 4" xfId="34589"/>
    <cellStyle name="SAPBEXstdDataEmph 3 2 5" xfId="6836"/>
    <cellStyle name="SAPBEXstdDataEmph 3 2 5 2" xfId="34594"/>
    <cellStyle name="SAPBEXstdDataEmph 3 2 5 2 2" xfId="34595"/>
    <cellStyle name="SAPBEXstdDataEmph 3 2 5 3" xfId="34596"/>
    <cellStyle name="SAPBEXstdDataEmph 3 2 5 4" xfId="34593"/>
    <cellStyle name="SAPBEXstdDataEmph 3 2 6" xfId="7319"/>
    <cellStyle name="SAPBEXstdDataEmph 3 2 6 2" xfId="34598"/>
    <cellStyle name="SAPBEXstdDataEmph 3 2 6 2 2" xfId="34599"/>
    <cellStyle name="SAPBEXstdDataEmph 3 2 6 3" xfId="34600"/>
    <cellStyle name="SAPBEXstdDataEmph 3 2 6 4" xfId="34597"/>
    <cellStyle name="SAPBEXstdDataEmph 3 2 7" xfId="8388"/>
    <cellStyle name="SAPBEXstdDataEmph 3 2 7 2" xfId="34602"/>
    <cellStyle name="SAPBEXstdDataEmph 3 2 7 2 2" xfId="34603"/>
    <cellStyle name="SAPBEXstdDataEmph 3 2 7 3" xfId="34604"/>
    <cellStyle name="SAPBEXstdDataEmph 3 2 7 4" xfId="34601"/>
    <cellStyle name="SAPBEXstdDataEmph 3 2 8" xfId="8889"/>
    <cellStyle name="SAPBEXstdDataEmph 3 2 8 2" xfId="34606"/>
    <cellStyle name="SAPBEXstdDataEmph 3 2 8 2 2" xfId="34607"/>
    <cellStyle name="SAPBEXstdDataEmph 3 2 8 3" xfId="34608"/>
    <cellStyle name="SAPBEXstdDataEmph 3 2 8 4" xfId="34605"/>
    <cellStyle name="SAPBEXstdDataEmph 3 2 9" xfId="9383"/>
    <cellStyle name="SAPBEXstdDataEmph 3 2 9 2" xfId="34610"/>
    <cellStyle name="SAPBEXstdDataEmph 3 2 9 2 2" xfId="34611"/>
    <cellStyle name="SAPBEXstdDataEmph 3 2 9 3" xfId="34612"/>
    <cellStyle name="SAPBEXstdDataEmph 3 2 9 4" xfId="34609"/>
    <cellStyle name="SAPBEXstdDataEmph 3 2_planning-WP" xfId="34613"/>
    <cellStyle name="SAPBEXstdDataEmph 3 3" xfId="4526"/>
    <cellStyle name="SAPBEXstdDataEmph 3 3 10" xfId="34615"/>
    <cellStyle name="SAPBEXstdDataEmph 3 3 10 2" xfId="34616"/>
    <cellStyle name="SAPBEXstdDataEmph 3 3 11" xfId="34614"/>
    <cellStyle name="SAPBEXstdDataEmph 3 3 2" xfId="34617"/>
    <cellStyle name="SAPBEXstdDataEmph 3 3 2 2" xfId="34618"/>
    <cellStyle name="SAPBEXstdDataEmph 3 3 2 2 2" xfId="34619"/>
    <cellStyle name="SAPBEXstdDataEmph 3 3 2 3" xfId="34620"/>
    <cellStyle name="SAPBEXstdDataEmph 3 3 3" xfId="34621"/>
    <cellStyle name="SAPBEXstdDataEmph 3 3 3 2" xfId="34622"/>
    <cellStyle name="SAPBEXstdDataEmph 3 3 3 2 2" xfId="34623"/>
    <cellStyle name="SAPBEXstdDataEmph 3 3 3 3" xfId="34624"/>
    <cellStyle name="SAPBEXstdDataEmph 3 3 4" xfId="34625"/>
    <cellStyle name="SAPBEXstdDataEmph 3 3 4 2" xfId="34626"/>
    <cellStyle name="SAPBEXstdDataEmph 3 3 4 2 2" xfId="34627"/>
    <cellStyle name="SAPBEXstdDataEmph 3 3 4 3" xfId="34628"/>
    <cellStyle name="SAPBEXstdDataEmph 3 3 5" xfId="34629"/>
    <cellStyle name="SAPBEXstdDataEmph 3 3 5 2" xfId="34630"/>
    <cellStyle name="SAPBEXstdDataEmph 3 3 5 2 2" xfId="34631"/>
    <cellStyle name="SAPBEXstdDataEmph 3 3 5 3" xfId="34632"/>
    <cellStyle name="SAPBEXstdDataEmph 3 3 6" xfId="34633"/>
    <cellStyle name="SAPBEXstdDataEmph 3 3 6 2" xfId="34634"/>
    <cellStyle name="SAPBEXstdDataEmph 3 3 6 2 2" xfId="34635"/>
    <cellStyle name="SAPBEXstdDataEmph 3 3 6 3" xfId="34636"/>
    <cellStyle name="SAPBEXstdDataEmph 3 3 7" xfId="34637"/>
    <cellStyle name="SAPBEXstdDataEmph 3 3 7 2" xfId="34638"/>
    <cellStyle name="SAPBEXstdDataEmph 3 3 7 2 2" xfId="34639"/>
    <cellStyle name="SAPBEXstdDataEmph 3 3 7 3" xfId="34640"/>
    <cellStyle name="SAPBEXstdDataEmph 3 3 8" xfId="34641"/>
    <cellStyle name="SAPBEXstdDataEmph 3 3 8 2" xfId="34642"/>
    <cellStyle name="SAPBEXstdDataEmph 3 3 8 2 2" xfId="34643"/>
    <cellStyle name="SAPBEXstdDataEmph 3 3 8 3" xfId="34644"/>
    <cellStyle name="SAPBEXstdDataEmph 3 3 9" xfId="34645"/>
    <cellStyle name="SAPBEXstdDataEmph 3 3 9 2" xfId="34646"/>
    <cellStyle name="SAPBEXstdDataEmph 3 3 9 2 2" xfId="34647"/>
    <cellStyle name="SAPBEXstdDataEmph 3 3 9 3" xfId="34648"/>
    <cellStyle name="SAPBEXstdDataEmph 3 3_planning-WP" xfId="34649"/>
    <cellStyle name="SAPBEXstdDataEmph 3 4" xfId="5518"/>
    <cellStyle name="SAPBEXstdDataEmph 3 4 10" xfId="34650"/>
    <cellStyle name="SAPBEXstdDataEmph 3 4 2" xfId="34651"/>
    <cellStyle name="SAPBEXstdDataEmph 3 4 2 2" xfId="34652"/>
    <cellStyle name="SAPBEXstdDataEmph 3 4 2 2 2" xfId="34653"/>
    <cellStyle name="SAPBEXstdDataEmph 3 4 2 3" xfId="34654"/>
    <cellStyle name="SAPBEXstdDataEmph 3 4 3" xfId="34655"/>
    <cellStyle name="SAPBEXstdDataEmph 3 4 3 2" xfId="34656"/>
    <cellStyle name="SAPBEXstdDataEmph 3 4 3 2 2" xfId="34657"/>
    <cellStyle name="SAPBEXstdDataEmph 3 4 3 3" xfId="34658"/>
    <cellStyle name="SAPBEXstdDataEmph 3 4 4" xfId="34659"/>
    <cellStyle name="SAPBEXstdDataEmph 3 4 4 2" xfId="34660"/>
    <cellStyle name="SAPBEXstdDataEmph 3 4 4 2 2" xfId="34661"/>
    <cellStyle name="SAPBEXstdDataEmph 3 4 4 3" xfId="34662"/>
    <cellStyle name="SAPBEXstdDataEmph 3 4 5" xfId="34663"/>
    <cellStyle name="SAPBEXstdDataEmph 3 4 5 2" xfId="34664"/>
    <cellStyle name="SAPBEXstdDataEmph 3 4 5 2 2" xfId="34665"/>
    <cellStyle name="SAPBEXstdDataEmph 3 4 5 3" xfId="34666"/>
    <cellStyle name="SAPBEXstdDataEmph 3 4 6" xfId="34667"/>
    <cellStyle name="SAPBEXstdDataEmph 3 4 6 2" xfId="34668"/>
    <cellStyle name="SAPBEXstdDataEmph 3 4 6 2 2" xfId="34669"/>
    <cellStyle name="SAPBEXstdDataEmph 3 4 6 3" xfId="34670"/>
    <cellStyle name="SAPBEXstdDataEmph 3 4 7" xfId="34671"/>
    <cellStyle name="SAPBEXstdDataEmph 3 4 7 2" xfId="34672"/>
    <cellStyle name="SAPBEXstdDataEmph 3 4 7 2 2" xfId="34673"/>
    <cellStyle name="SAPBEXstdDataEmph 3 4 7 3" xfId="34674"/>
    <cellStyle name="SAPBEXstdDataEmph 3 4 8" xfId="34675"/>
    <cellStyle name="SAPBEXstdDataEmph 3 4 8 2" xfId="34676"/>
    <cellStyle name="SAPBEXstdDataEmph 3 4 8 2 2" xfId="34677"/>
    <cellStyle name="SAPBEXstdDataEmph 3 4 8 3" xfId="34678"/>
    <cellStyle name="SAPBEXstdDataEmph 3 4 9" xfId="34679"/>
    <cellStyle name="SAPBEXstdDataEmph 3 4 9 2" xfId="34680"/>
    <cellStyle name="SAPBEXstdDataEmph 3 4_planning-WP" xfId="34681"/>
    <cellStyle name="SAPBEXstdDataEmph 3 5" xfId="3342"/>
    <cellStyle name="SAPBEXstdDataEmph 3 5 2" xfId="34683"/>
    <cellStyle name="SAPBEXstdDataEmph 3 5 2 2" xfId="34684"/>
    <cellStyle name="SAPBEXstdDataEmph 3 5 3" xfId="34682"/>
    <cellStyle name="SAPBEXstdDataEmph 3 6" xfId="5195"/>
    <cellStyle name="SAPBEXstdDataEmph 3 6 2" xfId="34686"/>
    <cellStyle name="SAPBEXstdDataEmph 3 6 2 2" xfId="34687"/>
    <cellStyle name="SAPBEXstdDataEmph 3 6 3" xfId="34688"/>
    <cellStyle name="SAPBEXstdDataEmph 3 6 4" xfId="34685"/>
    <cellStyle name="SAPBEXstdDataEmph 3 7" xfId="3368"/>
    <cellStyle name="SAPBEXstdDataEmph 3 7 2" xfId="34690"/>
    <cellStyle name="SAPBEXstdDataEmph 3 7 2 2" xfId="34691"/>
    <cellStyle name="SAPBEXstdDataEmph 3 7 3" xfId="34692"/>
    <cellStyle name="SAPBEXstdDataEmph 3 7 4" xfId="34689"/>
    <cellStyle name="SAPBEXstdDataEmph 3 8" xfId="8066"/>
    <cellStyle name="SAPBEXstdDataEmph 3 8 2" xfId="34694"/>
    <cellStyle name="SAPBEXstdDataEmph 3 8 2 2" xfId="34695"/>
    <cellStyle name="SAPBEXstdDataEmph 3 8 3" xfId="34696"/>
    <cellStyle name="SAPBEXstdDataEmph 3 8 4" xfId="34693"/>
    <cellStyle name="SAPBEXstdDataEmph 3 9" xfId="8567"/>
    <cellStyle name="SAPBEXstdDataEmph 3 9 2" xfId="34698"/>
    <cellStyle name="SAPBEXstdDataEmph 3 9 2 2" xfId="34699"/>
    <cellStyle name="SAPBEXstdDataEmph 3 9 3" xfId="34700"/>
    <cellStyle name="SAPBEXstdDataEmph 3 9 4" xfId="34697"/>
    <cellStyle name="SAPBEXstdDataEmph 3_planning-WP" xfId="34701"/>
    <cellStyle name="SAPBEXstdDataEmph 4" xfId="1717"/>
    <cellStyle name="SAPBEXstdDataEmph 4 10" xfId="9174"/>
    <cellStyle name="SAPBEXstdDataEmph 4 10 2" xfId="34704"/>
    <cellStyle name="SAPBEXstdDataEmph 4 10 2 2" xfId="34705"/>
    <cellStyle name="SAPBEXstdDataEmph 4 10 3" xfId="34706"/>
    <cellStyle name="SAPBEXstdDataEmph 4 10 4" xfId="34703"/>
    <cellStyle name="SAPBEXstdDataEmph 4 11" xfId="34707"/>
    <cellStyle name="SAPBEXstdDataEmph 4 11 2" xfId="34708"/>
    <cellStyle name="SAPBEXstdDataEmph 4 11 2 2" xfId="34709"/>
    <cellStyle name="SAPBEXstdDataEmph 4 11 3" xfId="34710"/>
    <cellStyle name="SAPBEXstdDataEmph 4 12" xfId="34711"/>
    <cellStyle name="SAPBEXstdDataEmph 4 12 2" xfId="34712"/>
    <cellStyle name="SAPBEXstdDataEmph 4 12 2 2" xfId="34713"/>
    <cellStyle name="SAPBEXstdDataEmph 4 12 3" xfId="34714"/>
    <cellStyle name="SAPBEXstdDataEmph 4 13" xfId="34715"/>
    <cellStyle name="SAPBEXstdDataEmph 4 14" xfId="34702"/>
    <cellStyle name="SAPBEXstdDataEmph 4 15" xfId="9913"/>
    <cellStyle name="SAPBEXstdDataEmph 4 16" xfId="39157"/>
    <cellStyle name="SAPBEXstdDataEmph 4 17" xfId="39536"/>
    <cellStyle name="SAPBEXstdDataEmph 4 2" xfId="2048"/>
    <cellStyle name="SAPBEXstdDataEmph 4 2 10" xfId="34717"/>
    <cellStyle name="SAPBEXstdDataEmph 4 2 10 2" xfId="34718"/>
    <cellStyle name="SAPBEXstdDataEmph 4 2 10 2 2" xfId="34719"/>
    <cellStyle name="SAPBEXstdDataEmph 4 2 10 3" xfId="34720"/>
    <cellStyle name="SAPBEXstdDataEmph 4 2 11" xfId="34721"/>
    <cellStyle name="SAPBEXstdDataEmph 4 2 11 2" xfId="34722"/>
    <cellStyle name="SAPBEXstdDataEmph 4 2 12" xfId="34716"/>
    <cellStyle name="SAPBEXstdDataEmph 4 2 13" xfId="10225"/>
    <cellStyle name="SAPBEXstdDataEmph 4 2 14" xfId="39158"/>
    <cellStyle name="SAPBEXstdDataEmph 4 2 15" xfId="39537"/>
    <cellStyle name="SAPBEXstdDataEmph 4 2 2" xfId="4965"/>
    <cellStyle name="SAPBEXstdDataEmph 4 2 2 10" xfId="34724"/>
    <cellStyle name="SAPBEXstdDataEmph 4 2 2 10 2" xfId="34725"/>
    <cellStyle name="SAPBEXstdDataEmph 4 2 2 11" xfId="34723"/>
    <cellStyle name="SAPBEXstdDataEmph 4 2 2 2" xfId="34726"/>
    <cellStyle name="SAPBEXstdDataEmph 4 2 2 2 2" xfId="34727"/>
    <cellStyle name="SAPBEXstdDataEmph 4 2 2 2 2 2" xfId="34728"/>
    <cellStyle name="SAPBEXstdDataEmph 4 2 2 2 3" xfId="34729"/>
    <cellStyle name="SAPBEXstdDataEmph 4 2 2 3" xfId="34730"/>
    <cellStyle name="SAPBEXstdDataEmph 4 2 2 3 2" xfId="34731"/>
    <cellStyle name="SAPBEXstdDataEmph 4 2 2 3 2 2" xfId="34732"/>
    <cellStyle name="SAPBEXstdDataEmph 4 2 2 3 3" xfId="34733"/>
    <cellStyle name="SAPBEXstdDataEmph 4 2 2 4" xfId="34734"/>
    <cellStyle name="SAPBEXstdDataEmph 4 2 2 4 2" xfId="34735"/>
    <cellStyle name="SAPBEXstdDataEmph 4 2 2 4 2 2" xfId="34736"/>
    <cellStyle name="SAPBEXstdDataEmph 4 2 2 4 3" xfId="34737"/>
    <cellStyle name="SAPBEXstdDataEmph 4 2 2 5" xfId="34738"/>
    <cellStyle name="SAPBEXstdDataEmph 4 2 2 5 2" xfId="34739"/>
    <cellStyle name="SAPBEXstdDataEmph 4 2 2 5 2 2" xfId="34740"/>
    <cellStyle name="SAPBEXstdDataEmph 4 2 2 5 3" xfId="34741"/>
    <cellStyle name="SAPBEXstdDataEmph 4 2 2 6" xfId="34742"/>
    <cellStyle name="SAPBEXstdDataEmph 4 2 2 6 2" xfId="34743"/>
    <cellStyle name="SAPBEXstdDataEmph 4 2 2 6 2 2" xfId="34744"/>
    <cellStyle name="SAPBEXstdDataEmph 4 2 2 6 3" xfId="34745"/>
    <cellStyle name="SAPBEXstdDataEmph 4 2 2 7" xfId="34746"/>
    <cellStyle name="SAPBEXstdDataEmph 4 2 2 7 2" xfId="34747"/>
    <cellStyle name="SAPBEXstdDataEmph 4 2 2 7 2 2" xfId="34748"/>
    <cellStyle name="SAPBEXstdDataEmph 4 2 2 7 3" xfId="34749"/>
    <cellStyle name="SAPBEXstdDataEmph 4 2 2 8" xfId="34750"/>
    <cellStyle name="SAPBEXstdDataEmph 4 2 2 8 2" xfId="34751"/>
    <cellStyle name="SAPBEXstdDataEmph 4 2 2 8 2 2" xfId="34752"/>
    <cellStyle name="SAPBEXstdDataEmph 4 2 2 8 3" xfId="34753"/>
    <cellStyle name="SAPBEXstdDataEmph 4 2 2 9" xfId="34754"/>
    <cellStyle name="SAPBEXstdDataEmph 4 2 2 9 2" xfId="34755"/>
    <cellStyle name="SAPBEXstdDataEmph 4 2 2 9 2 2" xfId="34756"/>
    <cellStyle name="SAPBEXstdDataEmph 4 2 2 9 3" xfId="34757"/>
    <cellStyle name="SAPBEXstdDataEmph 4 2 2_planning-WP" xfId="34758"/>
    <cellStyle name="SAPBEXstdDataEmph 4 2 3" xfId="5944"/>
    <cellStyle name="SAPBEXstdDataEmph 4 2 3 2" xfId="34760"/>
    <cellStyle name="SAPBEXstdDataEmph 4 2 3 2 2" xfId="34761"/>
    <cellStyle name="SAPBEXstdDataEmph 4 2 3 3" xfId="34762"/>
    <cellStyle name="SAPBEXstdDataEmph 4 2 3 4" xfId="34759"/>
    <cellStyle name="SAPBEXstdDataEmph 4 2 4" xfId="6452"/>
    <cellStyle name="SAPBEXstdDataEmph 4 2 4 2" xfId="34764"/>
    <cellStyle name="SAPBEXstdDataEmph 4 2 4 2 2" xfId="34765"/>
    <cellStyle name="SAPBEXstdDataEmph 4 2 4 3" xfId="34766"/>
    <cellStyle name="SAPBEXstdDataEmph 4 2 4 4" xfId="34763"/>
    <cellStyle name="SAPBEXstdDataEmph 4 2 5" xfId="6939"/>
    <cellStyle name="SAPBEXstdDataEmph 4 2 5 2" xfId="34768"/>
    <cellStyle name="SAPBEXstdDataEmph 4 2 5 2 2" xfId="34769"/>
    <cellStyle name="SAPBEXstdDataEmph 4 2 5 3" xfId="34770"/>
    <cellStyle name="SAPBEXstdDataEmph 4 2 5 4" xfId="34767"/>
    <cellStyle name="SAPBEXstdDataEmph 4 2 6" xfId="7422"/>
    <cellStyle name="SAPBEXstdDataEmph 4 2 6 2" xfId="34772"/>
    <cellStyle name="SAPBEXstdDataEmph 4 2 6 2 2" xfId="34773"/>
    <cellStyle name="SAPBEXstdDataEmph 4 2 6 3" xfId="34774"/>
    <cellStyle name="SAPBEXstdDataEmph 4 2 6 4" xfId="34771"/>
    <cellStyle name="SAPBEXstdDataEmph 4 2 7" xfId="8491"/>
    <cellStyle name="SAPBEXstdDataEmph 4 2 7 2" xfId="34776"/>
    <cellStyle name="SAPBEXstdDataEmph 4 2 7 2 2" xfId="34777"/>
    <cellStyle name="SAPBEXstdDataEmph 4 2 7 3" xfId="34778"/>
    <cellStyle name="SAPBEXstdDataEmph 4 2 7 4" xfId="34775"/>
    <cellStyle name="SAPBEXstdDataEmph 4 2 8" xfId="8992"/>
    <cellStyle name="SAPBEXstdDataEmph 4 2 8 2" xfId="34780"/>
    <cellStyle name="SAPBEXstdDataEmph 4 2 8 2 2" xfId="34781"/>
    <cellStyle name="SAPBEXstdDataEmph 4 2 8 3" xfId="34782"/>
    <cellStyle name="SAPBEXstdDataEmph 4 2 8 4" xfId="34779"/>
    <cellStyle name="SAPBEXstdDataEmph 4 2 9" xfId="9486"/>
    <cellStyle name="SAPBEXstdDataEmph 4 2 9 2" xfId="34784"/>
    <cellStyle name="SAPBEXstdDataEmph 4 2 9 2 2" xfId="34785"/>
    <cellStyle name="SAPBEXstdDataEmph 4 2 9 3" xfId="34786"/>
    <cellStyle name="SAPBEXstdDataEmph 4 2 9 4" xfId="34783"/>
    <cellStyle name="SAPBEXstdDataEmph 4 2_planning-WP" xfId="34787"/>
    <cellStyle name="SAPBEXstdDataEmph 4 3" xfId="4639"/>
    <cellStyle name="SAPBEXstdDataEmph 4 3 10" xfId="34789"/>
    <cellStyle name="SAPBEXstdDataEmph 4 3 10 2" xfId="34790"/>
    <cellStyle name="SAPBEXstdDataEmph 4 3 11" xfId="34788"/>
    <cellStyle name="SAPBEXstdDataEmph 4 3 2" xfId="34791"/>
    <cellStyle name="SAPBEXstdDataEmph 4 3 2 2" xfId="34792"/>
    <cellStyle name="SAPBEXstdDataEmph 4 3 2 2 2" xfId="34793"/>
    <cellStyle name="SAPBEXstdDataEmph 4 3 2 3" xfId="34794"/>
    <cellStyle name="SAPBEXstdDataEmph 4 3 3" xfId="34795"/>
    <cellStyle name="SAPBEXstdDataEmph 4 3 3 2" xfId="34796"/>
    <cellStyle name="SAPBEXstdDataEmph 4 3 3 2 2" xfId="34797"/>
    <cellStyle name="SAPBEXstdDataEmph 4 3 3 3" xfId="34798"/>
    <cellStyle name="SAPBEXstdDataEmph 4 3 4" xfId="34799"/>
    <cellStyle name="SAPBEXstdDataEmph 4 3 4 2" xfId="34800"/>
    <cellStyle name="SAPBEXstdDataEmph 4 3 4 2 2" xfId="34801"/>
    <cellStyle name="SAPBEXstdDataEmph 4 3 4 3" xfId="34802"/>
    <cellStyle name="SAPBEXstdDataEmph 4 3 5" xfId="34803"/>
    <cellStyle name="SAPBEXstdDataEmph 4 3 5 2" xfId="34804"/>
    <cellStyle name="SAPBEXstdDataEmph 4 3 5 2 2" xfId="34805"/>
    <cellStyle name="SAPBEXstdDataEmph 4 3 5 3" xfId="34806"/>
    <cellStyle name="SAPBEXstdDataEmph 4 3 6" xfId="34807"/>
    <cellStyle name="SAPBEXstdDataEmph 4 3 6 2" xfId="34808"/>
    <cellStyle name="SAPBEXstdDataEmph 4 3 6 2 2" xfId="34809"/>
    <cellStyle name="SAPBEXstdDataEmph 4 3 6 3" xfId="34810"/>
    <cellStyle name="SAPBEXstdDataEmph 4 3 7" xfId="34811"/>
    <cellStyle name="SAPBEXstdDataEmph 4 3 7 2" xfId="34812"/>
    <cellStyle name="SAPBEXstdDataEmph 4 3 7 2 2" xfId="34813"/>
    <cellStyle name="SAPBEXstdDataEmph 4 3 7 3" xfId="34814"/>
    <cellStyle name="SAPBEXstdDataEmph 4 3 8" xfId="34815"/>
    <cellStyle name="SAPBEXstdDataEmph 4 3 8 2" xfId="34816"/>
    <cellStyle name="SAPBEXstdDataEmph 4 3 8 2 2" xfId="34817"/>
    <cellStyle name="SAPBEXstdDataEmph 4 3 8 3" xfId="34818"/>
    <cellStyle name="SAPBEXstdDataEmph 4 3 9" xfId="34819"/>
    <cellStyle name="SAPBEXstdDataEmph 4 3 9 2" xfId="34820"/>
    <cellStyle name="SAPBEXstdDataEmph 4 3 9 2 2" xfId="34821"/>
    <cellStyle name="SAPBEXstdDataEmph 4 3 9 3" xfId="34822"/>
    <cellStyle name="SAPBEXstdDataEmph 4 3_planning-WP" xfId="34823"/>
    <cellStyle name="SAPBEXstdDataEmph 4 4" xfId="5631"/>
    <cellStyle name="SAPBEXstdDataEmph 4 4 10" xfId="34824"/>
    <cellStyle name="SAPBEXstdDataEmph 4 4 2" xfId="34825"/>
    <cellStyle name="SAPBEXstdDataEmph 4 4 2 2" xfId="34826"/>
    <cellStyle name="SAPBEXstdDataEmph 4 4 2 2 2" xfId="34827"/>
    <cellStyle name="SAPBEXstdDataEmph 4 4 2 3" xfId="34828"/>
    <cellStyle name="SAPBEXstdDataEmph 4 4 3" xfId="34829"/>
    <cellStyle name="SAPBEXstdDataEmph 4 4 3 2" xfId="34830"/>
    <cellStyle name="SAPBEXstdDataEmph 4 4 3 2 2" xfId="34831"/>
    <cellStyle name="SAPBEXstdDataEmph 4 4 3 3" xfId="34832"/>
    <cellStyle name="SAPBEXstdDataEmph 4 4 4" xfId="34833"/>
    <cellStyle name="SAPBEXstdDataEmph 4 4 4 2" xfId="34834"/>
    <cellStyle name="SAPBEXstdDataEmph 4 4 4 2 2" xfId="34835"/>
    <cellStyle name="SAPBEXstdDataEmph 4 4 4 3" xfId="34836"/>
    <cellStyle name="SAPBEXstdDataEmph 4 4 5" xfId="34837"/>
    <cellStyle name="SAPBEXstdDataEmph 4 4 5 2" xfId="34838"/>
    <cellStyle name="SAPBEXstdDataEmph 4 4 5 2 2" xfId="34839"/>
    <cellStyle name="SAPBEXstdDataEmph 4 4 5 3" xfId="34840"/>
    <cellStyle name="SAPBEXstdDataEmph 4 4 6" xfId="34841"/>
    <cellStyle name="SAPBEXstdDataEmph 4 4 6 2" xfId="34842"/>
    <cellStyle name="SAPBEXstdDataEmph 4 4 6 2 2" xfId="34843"/>
    <cellStyle name="SAPBEXstdDataEmph 4 4 6 3" xfId="34844"/>
    <cellStyle name="SAPBEXstdDataEmph 4 4 7" xfId="34845"/>
    <cellStyle name="SAPBEXstdDataEmph 4 4 7 2" xfId="34846"/>
    <cellStyle name="SAPBEXstdDataEmph 4 4 7 2 2" xfId="34847"/>
    <cellStyle name="SAPBEXstdDataEmph 4 4 7 3" xfId="34848"/>
    <cellStyle name="SAPBEXstdDataEmph 4 4 8" xfId="34849"/>
    <cellStyle name="SAPBEXstdDataEmph 4 4 8 2" xfId="34850"/>
    <cellStyle name="SAPBEXstdDataEmph 4 4 8 2 2" xfId="34851"/>
    <cellStyle name="SAPBEXstdDataEmph 4 4 8 3" xfId="34852"/>
    <cellStyle name="SAPBEXstdDataEmph 4 4 9" xfId="34853"/>
    <cellStyle name="SAPBEXstdDataEmph 4 4 9 2" xfId="34854"/>
    <cellStyle name="SAPBEXstdDataEmph 4 4_planning-WP" xfId="34855"/>
    <cellStyle name="SAPBEXstdDataEmph 4 5" xfId="6140"/>
    <cellStyle name="SAPBEXstdDataEmph 4 5 2" xfId="34857"/>
    <cellStyle name="SAPBEXstdDataEmph 4 5 2 2" xfId="34858"/>
    <cellStyle name="SAPBEXstdDataEmph 4 5 3" xfId="34856"/>
    <cellStyle name="SAPBEXstdDataEmph 4 6" xfId="6627"/>
    <cellStyle name="SAPBEXstdDataEmph 4 6 2" xfId="34860"/>
    <cellStyle name="SAPBEXstdDataEmph 4 6 2 2" xfId="34861"/>
    <cellStyle name="SAPBEXstdDataEmph 4 6 3" xfId="34862"/>
    <cellStyle name="SAPBEXstdDataEmph 4 6 4" xfId="34859"/>
    <cellStyle name="SAPBEXstdDataEmph 4 7" xfId="7110"/>
    <cellStyle name="SAPBEXstdDataEmph 4 7 2" xfId="34864"/>
    <cellStyle name="SAPBEXstdDataEmph 4 7 2 2" xfId="34865"/>
    <cellStyle name="SAPBEXstdDataEmph 4 7 3" xfId="34866"/>
    <cellStyle name="SAPBEXstdDataEmph 4 7 4" xfId="34863"/>
    <cellStyle name="SAPBEXstdDataEmph 4 8" xfId="8179"/>
    <cellStyle name="SAPBEXstdDataEmph 4 8 2" xfId="34868"/>
    <cellStyle name="SAPBEXstdDataEmph 4 8 2 2" xfId="34869"/>
    <cellStyle name="SAPBEXstdDataEmph 4 8 3" xfId="34870"/>
    <cellStyle name="SAPBEXstdDataEmph 4 8 4" xfId="34867"/>
    <cellStyle name="SAPBEXstdDataEmph 4 9" xfId="8680"/>
    <cellStyle name="SAPBEXstdDataEmph 4 9 2" xfId="34872"/>
    <cellStyle name="SAPBEXstdDataEmph 4 9 2 2" xfId="34873"/>
    <cellStyle name="SAPBEXstdDataEmph 4 9 3" xfId="34874"/>
    <cellStyle name="SAPBEXstdDataEmph 4 9 4" xfId="34871"/>
    <cellStyle name="SAPBEXstdDataEmph 4_planning-WP" xfId="34875"/>
    <cellStyle name="SAPBEXstdDataEmph 5" xfId="1662"/>
    <cellStyle name="SAPBEXstdDataEmph 5 10" xfId="9120"/>
    <cellStyle name="SAPBEXstdDataEmph 5 10 2" xfId="34878"/>
    <cellStyle name="SAPBEXstdDataEmph 5 10 2 2" xfId="34879"/>
    <cellStyle name="SAPBEXstdDataEmph 5 10 3" xfId="34880"/>
    <cellStyle name="SAPBEXstdDataEmph 5 10 4" xfId="34877"/>
    <cellStyle name="SAPBEXstdDataEmph 5 11" xfId="34881"/>
    <cellStyle name="SAPBEXstdDataEmph 5 11 2" xfId="34882"/>
    <cellStyle name="SAPBEXstdDataEmph 5 11 2 2" xfId="34883"/>
    <cellStyle name="SAPBEXstdDataEmph 5 11 3" xfId="34884"/>
    <cellStyle name="SAPBEXstdDataEmph 5 12" xfId="34885"/>
    <cellStyle name="SAPBEXstdDataEmph 5 12 2" xfId="34886"/>
    <cellStyle name="SAPBEXstdDataEmph 5 12 2 2" xfId="34887"/>
    <cellStyle name="SAPBEXstdDataEmph 5 12 3" xfId="34888"/>
    <cellStyle name="SAPBEXstdDataEmph 5 13" xfId="34889"/>
    <cellStyle name="SAPBEXstdDataEmph 5 14" xfId="34876"/>
    <cellStyle name="SAPBEXstdDataEmph 5 15" xfId="9859"/>
    <cellStyle name="SAPBEXstdDataEmph 5 16" xfId="39159"/>
    <cellStyle name="SAPBEXstdDataEmph 5 17" xfId="39538"/>
    <cellStyle name="SAPBEXstdDataEmph 5 2" xfId="1996"/>
    <cellStyle name="SAPBEXstdDataEmph 5 2 10" xfId="34891"/>
    <cellStyle name="SAPBEXstdDataEmph 5 2 10 2" xfId="34892"/>
    <cellStyle name="SAPBEXstdDataEmph 5 2 10 2 2" xfId="34893"/>
    <cellStyle name="SAPBEXstdDataEmph 5 2 10 3" xfId="34894"/>
    <cellStyle name="SAPBEXstdDataEmph 5 2 11" xfId="34895"/>
    <cellStyle name="SAPBEXstdDataEmph 5 2 11 2" xfId="34896"/>
    <cellStyle name="SAPBEXstdDataEmph 5 2 12" xfId="34890"/>
    <cellStyle name="SAPBEXstdDataEmph 5 2 13" xfId="10174"/>
    <cellStyle name="SAPBEXstdDataEmph 5 2 2" xfId="4914"/>
    <cellStyle name="SAPBEXstdDataEmph 5 2 2 10" xfId="34898"/>
    <cellStyle name="SAPBEXstdDataEmph 5 2 2 10 2" xfId="34899"/>
    <cellStyle name="SAPBEXstdDataEmph 5 2 2 11" xfId="34897"/>
    <cellStyle name="SAPBEXstdDataEmph 5 2 2 2" xfId="34900"/>
    <cellStyle name="SAPBEXstdDataEmph 5 2 2 2 2" xfId="34901"/>
    <cellStyle name="SAPBEXstdDataEmph 5 2 2 2 2 2" xfId="34902"/>
    <cellStyle name="SAPBEXstdDataEmph 5 2 2 2 3" xfId="34903"/>
    <cellStyle name="SAPBEXstdDataEmph 5 2 2 3" xfId="34904"/>
    <cellStyle name="SAPBEXstdDataEmph 5 2 2 3 2" xfId="34905"/>
    <cellStyle name="SAPBEXstdDataEmph 5 2 2 3 2 2" xfId="34906"/>
    <cellStyle name="SAPBEXstdDataEmph 5 2 2 3 3" xfId="34907"/>
    <cellStyle name="SAPBEXstdDataEmph 5 2 2 4" xfId="34908"/>
    <cellStyle name="SAPBEXstdDataEmph 5 2 2 4 2" xfId="34909"/>
    <cellStyle name="SAPBEXstdDataEmph 5 2 2 4 2 2" xfId="34910"/>
    <cellStyle name="SAPBEXstdDataEmph 5 2 2 4 3" xfId="34911"/>
    <cellStyle name="SAPBEXstdDataEmph 5 2 2 5" xfId="34912"/>
    <cellStyle name="SAPBEXstdDataEmph 5 2 2 5 2" xfId="34913"/>
    <cellStyle name="SAPBEXstdDataEmph 5 2 2 5 2 2" xfId="34914"/>
    <cellStyle name="SAPBEXstdDataEmph 5 2 2 5 3" xfId="34915"/>
    <cellStyle name="SAPBEXstdDataEmph 5 2 2 6" xfId="34916"/>
    <cellStyle name="SAPBEXstdDataEmph 5 2 2 6 2" xfId="34917"/>
    <cellStyle name="SAPBEXstdDataEmph 5 2 2 6 2 2" xfId="34918"/>
    <cellStyle name="SAPBEXstdDataEmph 5 2 2 6 3" xfId="34919"/>
    <cellStyle name="SAPBEXstdDataEmph 5 2 2 7" xfId="34920"/>
    <cellStyle name="SAPBEXstdDataEmph 5 2 2 7 2" xfId="34921"/>
    <cellStyle name="SAPBEXstdDataEmph 5 2 2 7 2 2" xfId="34922"/>
    <cellStyle name="SAPBEXstdDataEmph 5 2 2 7 3" xfId="34923"/>
    <cellStyle name="SAPBEXstdDataEmph 5 2 2 8" xfId="34924"/>
    <cellStyle name="SAPBEXstdDataEmph 5 2 2 8 2" xfId="34925"/>
    <cellStyle name="SAPBEXstdDataEmph 5 2 2 8 2 2" xfId="34926"/>
    <cellStyle name="SAPBEXstdDataEmph 5 2 2 8 3" xfId="34927"/>
    <cellStyle name="SAPBEXstdDataEmph 5 2 2 9" xfId="34928"/>
    <cellStyle name="SAPBEXstdDataEmph 5 2 2 9 2" xfId="34929"/>
    <cellStyle name="SAPBEXstdDataEmph 5 2 2 9 2 2" xfId="34930"/>
    <cellStyle name="SAPBEXstdDataEmph 5 2 2 9 3" xfId="34931"/>
    <cellStyle name="SAPBEXstdDataEmph 5 2 2_planning-WP" xfId="34932"/>
    <cellStyle name="SAPBEXstdDataEmph 5 2 3" xfId="5893"/>
    <cellStyle name="SAPBEXstdDataEmph 5 2 3 2" xfId="34934"/>
    <cellStyle name="SAPBEXstdDataEmph 5 2 3 2 2" xfId="34935"/>
    <cellStyle name="SAPBEXstdDataEmph 5 2 3 3" xfId="34936"/>
    <cellStyle name="SAPBEXstdDataEmph 5 2 3 4" xfId="34933"/>
    <cellStyle name="SAPBEXstdDataEmph 5 2 4" xfId="6401"/>
    <cellStyle name="SAPBEXstdDataEmph 5 2 4 2" xfId="34938"/>
    <cellStyle name="SAPBEXstdDataEmph 5 2 4 2 2" xfId="34939"/>
    <cellStyle name="SAPBEXstdDataEmph 5 2 4 3" xfId="34940"/>
    <cellStyle name="SAPBEXstdDataEmph 5 2 4 4" xfId="34937"/>
    <cellStyle name="SAPBEXstdDataEmph 5 2 5" xfId="6888"/>
    <cellStyle name="SAPBEXstdDataEmph 5 2 5 2" xfId="34942"/>
    <cellStyle name="SAPBEXstdDataEmph 5 2 5 2 2" xfId="34943"/>
    <cellStyle name="SAPBEXstdDataEmph 5 2 5 3" xfId="34944"/>
    <cellStyle name="SAPBEXstdDataEmph 5 2 5 4" xfId="34941"/>
    <cellStyle name="SAPBEXstdDataEmph 5 2 6" xfId="7371"/>
    <cellStyle name="SAPBEXstdDataEmph 5 2 6 2" xfId="34946"/>
    <cellStyle name="SAPBEXstdDataEmph 5 2 6 2 2" xfId="34947"/>
    <cellStyle name="SAPBEXstdDataEmph 5 2 6 3" xfId="34948"/>
    <cellStyle name="SAPBEXstdDataEmph 5 2 6 4" xfId="34945"/>
    <cellStyle name="SAPBEXstdDataEmph 5 2 7" xfId="8440"/>
    <cellStyle name="SAPBEXstdDataEmph 5 2 7 2" xfId="34950"/>
    <cellStyle name="SAPBEXstdDataEmph 5 2 7 2 2" xfId="34951"/>
    <cellStyle name="SAPBEXstdDataEmph 5 2 7 3" xfId="34952"/>
    <cellStyle name="SAPBEXstdDataEmph 5 2 7 4" xfId="34949"/>
    <cellStyle name="SAPBEXstdDataEmph 5 2 8" xfId="8941"/>
    <cellStyle name="SAPBEXstdDataEmph 5 2 8 2" xfId="34954"/>
    <cellStyle name="SAPBEXstdDataEmph 5 2 8 2 2" xfId="34955"/>
    <cellStyle name="SAPBEXstdDataEmph 5 2 8 3" xfId="34956"/>
    <cellStyle name="SAPBEXstdDataEmph 5 2 8 4" xfId="34953"/>
    <cellStyle name="SAPBEXstdDataEmph 5 2 9" xfId="9435"/>
    <cellStyle name="SAPBEXstdDataEmph 5 2 9 2" xfId="34958"/>
    <cellStyle name="SAPBEXstdDataEmph 5 2 9 2 2" xfId="34959"/>
    <cellStyle name="SAPBEXstdDataEmph 5 2 9 3" xfId="34960"/>
    <cellStyle name="SAPBEXstdDataEmph 5 2 9 4" xfId="34957"/>
    <cellStyle name="SAPBEXstdDataEmph 5 2_planning-WP" xfId="34961"/>
    <cellStyle name="SAPBEXstdDataEmph 5 3" xfId="4585"/>
    <cellStyle name="SAPBEXstdDataEmph 5 3 10" xfId="34963"/>
    <cellStyle name="SAPBEXstdDataEmph 5 3 10 2" xfId="34964"/>
    <cellStyle name="SAPBEXstdDataEmph 5 3 11" xfId="34962"/>
    <cellStyle name="SAPBEXstdDataEmph 5 3 2" xfId="34965"/>
    <cellStyle name="SAPBEXstdDataEmph 5 3 2 2" xfId="34966"/>
    <cellStyle name="SAPBEXstdDataEmph 5 3 2 2 2" xfId="34967"/>
    <cellStyle name="SAPBEXstdDataEmph 5 3 2 3" xfId="34968"/>
    <cellStyle name="SAPBEXstdDataEmph 5 3 3" xfId="34969"/>
    <cellStyle name="SAPBEXstdDataEmph 5 3 3 2" xfId="34970"/>
    <cellStyle name="SAPBEXstdDataEmph 5 3 3 2 2" xfId="34971"/>
    <cellStyle name="SAPBEXstdDataEmph 5 3 3 3" xfId="34972"/>
    <cellStyle name="SAPBEXstdDataEmph 5 3 4" xfId="34973"/>
    <cellStyle name="SAPBEXstdDataEmph 5 3 4 2" xfId="34974"/>
    <cellStyle name="SAPBEXstdDataEmph 5 3 4 2 2" xfId="34975"/>
    <cellStyle name="SAPBEXstdDataEmph 5 3 4 3" xfId="34976"/>
    <cellStyle name="SAPBEXstdDataEmph 5 3 5" xfId="34977"/>
    <cellStyle name="SAPBEXstdDataEmph 5 3 5 2" xfId="34978"/>
    <cellStyle name="SAPBEXstdDataEmph 5 3 5 2 2" xfId="34979"/>
    <cellStyle name="SAPBEXstdDataEmph 5 3 5 3" xfId="34980"/>
    <cellStyle name="SAPBEXstdDataEmph 5 3 6" xfId="34981"/>
    <cellStyle name="SAPBEXstdDataEmph 5 3 6 2" xfId="34982"/>
    <cellStyle name="SAPBEXstdDataEmph 5 3 6 2 2" xfId="34983"/>
    <cellStyle name="SAPBEXstdDataEmph 5 3 6 3" xfId="34984"/>
    <cellStyle name="SAPBEXstdDataEmph 5 3 7" xfId="34985"/>
    <cellStyle name="SAPBEXstdDataEmph 5 3 7 2" xfId="34986"/>
    <cellStyle name="SAPBEXstdDataEmph 5 3 7 2 2" xfId="34987"/>
    <cellStyle name="SAPBEXstdDataEmph 5 3 7 3" xfId="34988"/>
    <cellStyle name="SAPBEXstdDataEmph 5 3 8" xfId="34989"/>
    <cellStyle name="SAPBEXstdDataEmph 5 3 8 2" xfId="34990"/>
    <cellStyle name="SAPBEXstdDataEmph 5 3 8 2 2" xfId="34991"/>
    <cellStyle name="SAPBEXstdDataEmph 5 3 8 3" xfId="34992"/>
    <cellStyle name="SAPBEXstdDataEmph 5 3 9" xfId="34993"/>
    <cellStyle name="SAPBEXstdDataEmph 5 3 9 2" xfId="34994"/>
    <cellStyle name="SAPBEXstdDataEmph 5 3 9 2 2" xfId="34995"/>
    <cellStyle name="SAPBEXstdDataEmph 5 3 9 3" xfId="34996"/>
    <cellStyle name="SAPBEXstdDataEmph 5 3_planning-WP" xfId="34997"/>
    <cellStyle name="SAPBEXstdDataEmph 5 4" xfId="5577"/>
    <cellStyle name="SAPBEXstdDataEmph 5 4 10" xfId="34998"/>
    <cellStyle name="SAPBEXstdDataEmph 5 4 2" xfId="34999"/>
    <cellStyle name="SAPBEXstdDataEmph 5 4 2 2" xfId="35000"/>
    <cellStyle name="SAPBEXstdDataEmph 5 4 2 2 2" xfId="35001"/>
    <cellStyle name="SAPBEXstdDataEmph 5 4 2 3" xfId="35002"/>
    <cellStyle name="SAPBEXstdDataEmph 5 4 3" xfId="35003"/>
    <cellStyle name="SAPBEXstdDataEmph 5 4 3 2" xfId="35004"/>
    <cellStyle name="SAPBEXstdDataEmph 5 4 3 2 2" xfId="35005"/>
    <cellStyle name="SAPBEXstdDataEmph 5 4 3 3" xfId="35006"/>
    <cellStyle name="SAPBEXstdDataEmph 5 4 4" xfId="35007"/>
    <cellStyle name="SAPBEXstdDataEmph 5 4 4 2" xfId="35008"/>
    <cellStyle name="SAPBEXstdDataEmph 5 4 4 2 2" xfId="35009"/>
    <cellStyle name="SAPBEXstdDataEmph 5 4 4 3" xfId="35010"/>
    <cellStyle name="SAPBEXstdDataEmph 5 4 5" xfId="35011"/>
    <cellStyle name="SAPBEXstdDataEmph 5 4 5 2" xfId="35012"/>
    <cellStyle name="SAPBEXstdDataEmph 5 4 5 2 2" xfId="35013"/>
    <cellStyle name="SAPBEXstdDataEmph 5 4 5 3" xfId="35014"/>
    <cellStyle name="SAPBEXstdDataEmph 5 4 6" xfId="35015"/>
    <cellStyle name="SAPBEXstdDataEmph 5 4 6 2" xfId="35016"/>
    <cellStyle name="SAPBEXstdDataEmph 5 4 6 2 2" xfId="35017"/>
    <cellStyle name="SAPBEXstdDataEmph 5 4 6 3" xfId="35018"/>
    <cellStyle name="SAPBEXstdDataEmph 5 4 7" xfId="35019"/>
    <cellStyle name="SAPBEXstdDataEmph 5 4 7 2" xfId="35020"/>
    <cellStyle name="SAPBEXstdDataEmph 5 4 7 2 2" xfId="35021"/>
    <cellStyle name="SAPBEXstdDataEmph 5 4 7 3" xfId="35022"/>
    <cellStyle name="SAPBEXstdDataEmph 5 4 8" xfId="35023"/>
    <cellStyle name="SAPBEXstdDataEmph 5 4 8 2" xfId="35024"/>
    <cellStyle name="SAPBEXstdDataEmph 5 4 8 2 2" xfId="35025"/>
    <cellStyle name="SAPBEXstdDataEmph 5 4 8 3" xfId="35026"/>
    <cellStyle name="SAPBEXstdDataEmph 5 4 9" xfId="35027"/>
    <cellStyle name="SAPBEXstdDataEmph 5 4 9 2" xfId="35028"/>
    <cellStyle name="SAPBEXstdDataEmph 5 4_planning-WP" xfId="35029"/>
    <cellStyle name="SAPBEXstdDataEmph 5 5" xfId="6086"/>
    <cellStyle name="SAPBEXstdDataEmph 5 5 2" xfId="35031"/>
    <cellStyle name="SAPBEXstdDataEmph 5 5 2 2" xfId="35032"/>
    <cellStyle name="SAPBEXstdDataEmph 5 5 3" xfId="35030"/>
    <cellStyle name="SAPBEXstdDataEmph 5 6" xfId="6573"/>
    <cellStyle name="SAPBEXstdDataEmph 5 6 2" xfId="35034"/>
    <cellStyle name="SAPBEXstdDataEmph 5 6 2 2" xfId="35035"/>
    <cellStyle name="SAPBEXstdDataEmph 5 6 3" xfId="35036"/>
    <cellStyle name="SAPBEXstdDataEmph 5 6 4" xfId="35033"/>
    <cellStyle name="SAPBEXstdDataEmph 5 7" xfId="7056"/>
    <cellStyle name="SAPBEXstdDataEmph 5 7 2" xfId="35038"/>
    <cellStyle name="SAPBEXstdDataEmph 5 7 2 2" xfId="35039"/>
    <cellStyle name="SAPBEXstdDataEmph 5 7 3" xfId="35040"/>
    <cellStyle name="SAPBEXstdDataEmph 5 7 4" xfId="35037"/>
    <cellStyle name="SAPBEXstdDataEmph 5 8" xfId="8125"/>
    <cellStyle name="SAPBEXstdDataEmph 5 8 2" xfId="35042"/>
    <cellStyle name="SAPBEXstdDataEmph 5 8 2 2" xfId="35043"/>
    <cellStyle name="SAPBEXstdDataEmph 5 8 3" xfId="35044"/>
    <cellStyle name="SAPBEXstdDataEmph 5 8 4" xfId="35041"/>
    <cellStyle name="SAPBEXstdDataEmph 5 9" xfId="8626"/>
    <cellStyle name="SAPBEXstdDataEmph 5 9 2" xfId="35046"/>
    <cellStyle name="SAPBEXstdDataEmph 5 9 2 2" xfId="35047"/>
    <cellStyle name="SAPBEXstdDataEmph 5 9 3" xfId="35048"/>
    <cellStyle name="SAPBEXstdDataEmph 5 9 4" xfId="35045"/>
    <cellStyle name="SAPBEXstdDataEmph 5_planning-WP" xfId="35049"/>
    <cellStyle name="SAPBEXstdDataEmph 6" xfId="1746"/>
    <cellStyle name="SAPBEXstdDataEmph 6 10" xfId="9201"/>
    <cellStyle name="SAPBEXstdDataEmph 6 10 2" xfId="35052"/>
    <cellStyle name="SAPBEXstdDataEmph 6 10 2 2" xfId="35053"/>
    <cellStyle name="SAPBEXstdDataEmph 6 10 3" xfId="35054"/>
    <cellStyle name="SAPBEXstdDataEmph 6 10 4" xfId="35051"/>
    <cellStyle name="SAPBEXstdDataEmph 6 11" xfId="35055"/>
    <cellStyle name="SAPBEXstdDataEmph 6 11 2" xfId="35056"/>
    <cellStyle name="SAPBEXstdDataEmph 6 11 2 2" xfId="35057"/>
    <cellStyle name="SAPBEXstdDataEmph 6 11 3" xfId="35058"/>
    <cellStyle name="SAPBEXstdDataEmph 6 12" xfId="35059"/>
    <cellStyle name="SAPBEXstdDataEmph 6 13" xfId="35050"/>
    <cellStyle name="SAPBEXstdDataEmph 6 14" xfId="9940"/>
    <cellStyle name="SAPBEXstdDataEmph 6 15" xfId="39160"/>
    <cellStyle name="SAPBEXstdDataEmph 6 16" xfId="39539"/>
    <cellStyle name="SAPBEXstdDataEmph 6 2" xfId="2076"/>
    <cellStyle name="SAPBEXstdDataEmph 6 2 10" xfId="35061"/>
    <cellStyle name="SAPBEXstdDataEmph 6 2 10 2" xfId="35062"/>
    <cellStyle name="SAPBEXstdDataEmph 6 2 11" xfId="35060"/>
    <cellStyle name="SAPBEXstdDataEmph 6 2 12" xfId="10251"/>
    <cellStyle name="SAPBEXstdDataEmph 6 2 2" xfId="4991"/>
    <cellStyle name="SAPBEXstdDataEmph 6 2 2 2" xfId="35064"/>
    <cellStyle name="SAPBEXstdDataEmph 6 2 2 2 2" xfId="35065"/>
    <cellStyle name="SAPBEXstdDataEmph 6 2 2 3" xfId="35066"/>
    <cellStyle name="SAPBEXstdDataEmph 6 2 2 4" xfId="35063"/>
    <cellStyle name="SAPBEXstdDataEmph 6 2 3" xfId="5970"/>
    <cellStyle name="SAPBEXstdDataEmph 6 2 3 2" xfId="35068"/>
    <cellStyle name="SAPBEXstdDataEmph 6 2 3 2 2" xfId="35069"/>
    <cellStyle name="SAPBEXstdDataEmph 6 2 3 3" xfId="35070"/>
    <cellStyle name="SAPBEXstdDataEmph 6 2 3 4" xfId="35067"/>
    <cellStyle name="SAPBEXstdDataEmph 6 2 4" xfId="6478"/>
    <cellStyle name="SAPBEXstdDataEmph 6 2 4 2" xfId="35072"/>
    <cellStyle name="SAPBEXstdDataEmph 6 2 4 2 2" xfId="35073"/>
    <cellStyle name="SAPBEXstdDataEmph 6 2 4 3" xfId="35074"/>
    <cellStyle name="SAPBEXstdDataEmph 6 2 4 4" xfId="35071"/>
    <cellStyle name="SAPBEXstdDataEmph 6 2 5" xfId="6965"/>
    <cellStyle name="SAPBEXstdDataEmph 6 2 5 2" xfId="35076"/>
    <cellStyle name="SAPBEXstdDataEmph 6 2 5 2 2" xfId="35077"/>
    <cellStyle name="SAPBEXstdDataEmph 6 2 5 3" xfId="35078"/>
    <cellStyle name="SAPBEXstdDataEmph 6 2 5 4" xfId="35075"/>
    <cellStyle name="SAPBEXstdDataEmph 6 2 6" xfId="7448"/>
    <cellStyle name="SAPBEXstdDataEmph 6 2 6 2" xfId="35080"/>
    <cellStyle name="SAPBEXstdDataEmph 6 2 6 2 2" xfId="35081"/>
    <cellStyle name="SAPBEXstdDataEmph 6 2 6 3" xfId="35082"/>
    <cellStyle name="SAPBEXstdDataEmph 6 2 6 4" xfId="35079"/>
    <cellStyle name="SAPBEXstdDataEmph 6 2 7" xfId="8517"/>
    <cellStyle name="SAPBEXstdDataEmph 6 2 7 2" xfId="35084"/>
    <cellStyle name="SAPBEXstdDataEmph 6 2 7 2 2" xfId="35085"/>
    <cellStyle name="SAPBEXstdDataEmph 6 2 7 3" xfId="35086"/>
    <cellStyle name="SAPBEXstdDataEmph 6 2 7 4" xfId="35083"/>
    <cellStyle name="SAPBEXstdDataEmph 6 2 8" xfId="9018"/>
    <cellStyle name="SAPBEXstdDataEmph 6 2 8 2" xfId="35088"/>
    <cellStyle name="SAPBEXstdDataEmph 6 2 8 2 2" xfId="35089"/>
    <cellStyle name="SAPBEXstdDataEmph 6 2 8 3" xfId="35090"/>
    <cellStyle name="SAPBEXstdDataEmph 6 2 8 4" xfId="35087"/>
    <cellStyle name="SAPBEXstdDataEmph 6 2 9" xfId="9512"/>
    <cellStyle name="SAPBEXstdDataEmph 6 2 9 2" xfId="35092"/>
    <cellStyle name="SAPBEXstdDataEmph 6 2 9 2 2" xfId="35093"/>
    <cellStyle name="SAPBEXstdDataEmph 6 2 9 3" xfId="35094"/>
    <cellStyle name="SAPBEXstdDataEmph 6 2 9 4" xfId="35091"/>
    <cellStyle name="SAPBEXstdDataEmph 6 2_planning-WP" xfId="35095"/>
    <cellStyle name="SAPBEXstdDataEmph 6 3" xfId="4667"/>
    <cellStyle name="SAPBEXstdDataEmph 6 3 10" xfId="35096"/>
    <cellStyle name="SAPBEXstdDataEmph 6 3 2" xfId="35097"/>
    <cellStyle name="SAPBEXstdDataEmph 6 3 2 2" xfId="35098"/>
    <cellStyle name="SAPBEXstdDataEmph 6 3 2 2 2" xfId="35099"/>
    <cellStyle name="SAPBEXstdDataEmph 6 3 2 3" xfId="35100"/>
    <cellStyle name="SAPBEXstdDataEmph 6 3 3" xfId="35101"/>
    <cellStyle name="SAPBEXstdDataEmph 6 3 3 2" xfId="35102"/>
    <cellStyle name="SAPBEXstdDataEmph 6 3 3 2 2" xfId="35103"/>
    <cellStyle name="SAPBEXstdDataEmph 6 3 3 3" xfId="35104"/>
    <cellStyle name="SAPBEXstdDataEmph 6 3 4" xfId="35105"/>
    <cellStyle name="SAPBEXstdDataEmph 6 3 4 2" xfId="35106"/>
    <cellStyle name="SAPBEXstdDataEmph 6 3 4 2 2" xfId="35107"/>
    <cellStyle name="SAPBEXstdDataEmph 6 3 4 3" xfId="35108"/>
    <cellStyle name="SAPBEXstdDataEmph 6 3 5" xfId="35109"/>
    <cellStyle name="SAPBEXstdDataEmph 6 3 5 2" xfId="35110"/>
    <cellStyle name="SAPBEXstdDataEmph 6 3 5 2 2" xfId="35111"/>
    <cellStyle name="SAPBEXstdDataEmph 6 3 5 3" xfId="35112"/>
    <cellStyle name="SAPBEXstdDataEmph 6 3 6" xfId="35113"/>
    <cellStyle name="SAPBEXstdDataEmph 6 3 6 2" xfId="35114"/>
    <cellStyle name="SAPBEXstdDataEmph 6 3 6 2 2" xfId="35115"/>
    <cellStyle name="SAPBEXstdDataEmph 6 3 6 3" xfId="35116"/>
    <cellStyle name="SAPBEXstdDataEmph 6 3 7" xfId="35117"/>
    <cellStyle name="SAPBEXstdDataEmph 6 3 7 2" xfId="35118"/>
    <cellStyle name="SAPBEXstdDataEmph 6 3 7 2 2" xfId="35119"/>
    <cellStyle name="SAPBEXstdDataEmph 6 3 7 3" xfId="35120"/>
    <cellStyle name="SAPBEXstdDataEmph 6 3 8" xfId="35121"/>
    <cellStyle name="SAPBEXstdDataEmph 6 3 8 2" xfId="35122"/>
    <cellStyle name="SAPBEXstdDataEmph 6 3 8 2 2" xfId="35123"/>
    <cellStyle name="SAPBEXstdDataEmph 6 3 8 3" xfId="35124"/>
    <cellStyle name="SAPBEXstdDataEmph 6 3 9" xfId="35125"/>
    <cellStyle name="SAPBEXstdDataEmph 6 3 9 2" xfId="35126"/>
    <cellStyle name="SAPBEXstdDataEmph 6 3_planning-WP" xfId="35127"/>
    <cellStyle name="SAPBEXstdDataEmph 6 4" xfId="5658"/>
    <cellStyle name="SAPBEXstdDataEmph 6 4 2" xfId="35129"/>
    <cellStyle name="SAPBEXstdDataEmph 6 4 2 2" xfId="35130"/>
    <cellStyle name="SAPBEXstdDataEmph 6 4 3" xfId="35128"/>
    <cellStyle name="SAPBEXstdDataEmph 6 5" xfId="6167"/>
    <cellStyle name="SAPBEXstdDataEmph 6 5 2" xfId="35132"/>
    <cellStyle name="SAPBEXstdDataEmph 6 5 2 2" xfId="35133"/>
    <cellStyle name="SAPBEXstdDataEmph 6 5 3" xfId="35134"/>
    <cellStyle name="SAPBEXstdDataEmph 6 5 4" xfId="35131"/>
    <cellStyle name="SAPBEXstdDataEmph 6 6" xfId="6654"/>
    <cellStyle name="SAPBEXstdDataEmph 6 6 2" xfId="35136"/>
    <cellStyle name="SAPBEXstdDataEmph 6 6 2 2" xfId="35137"/>
    <cellStyle name="SAPBEXstdDataEmph 6 6 3" xfId="35138"/>
    <cellStyle name="SAPBEXstdDataEmph 6 6 4" xfId="35135"/>
    <cellStyle name="SAPBEXstdDataEmph 6 7" xfId="7137"/>
    <cellStyle name="SAPBEXstdDataEmph 6 7 2" xfId="35140"/>
    <cellStyle name="SAPBEXstdDataEmph 6 7 2 2" xfId="35141"/>
    <cellStyle name="SAPBEXstdDataEmph 6 7 3" xfId="35142"/>
    <cellStyle name="SAPBEXstdDataEmph 6 7 4" xfId="35139"/>
    <cellStyle name="SAPBEXstdDataEmph 6 8" xfId="8206"/>
    <cellStyle name="SAPBEXstdDataEmph 6 8 2" xfId="35144"/>
    <cellStyle name="SAPBEXstdDataEmph 6 8 2 2" xfId="35145"/>
    <cellStyle name="SAPBEXstdDataEmph 6 8 3" xfId="35146"/>
    <cellStyle name="SAPBEXstdDataEmph 6 8 4" xfId="35143"/>
    <cellStyle name="SAPBEXstdDataEmph 6 9" xfId="8707"/>
    <cellStyle name="SAPBEXstdDataEmph 6 9 2" xfId="35148"/>
    <cellStyle name="SAPBEXstdDataEmph 6 9 2 2" xfId="35149"/>
    <cellStyle name="SAPBEXstdDataEmph 6 9 3" xfId="35150"/>
    <cellStyle name="SAPBEXstdDataEmph 6 9 4" xfId="35147"/>
    <cellStyle name="SAPBEXstdDataEmph 6_planning-WP" xfId="35151"/>
    <cellStyle name="SAPBEXstdDataEmph 7" xfId="1774"/>
    <cellStyle name="SAPBEXstdDataEmph 7 10" xfId="9228"/>
    <cellStyle name="SAPBEXstdDataEmph 7 10 2" xfId="35154"/>
    <cellStyle name="SAPBEXstdDataEmph 7 10 2 2" xfId="35155"/>
    <cellStyle name="SAPBEXstdDataEmph 7 10 3" xfId="35156"/>
    <cellStyle name="SAPBEXstdDataEmph 7 10 4" xfId="35153"/>
    <cellStyle name="SAPBEXstdDataEmph 7 11" xfId="35157"/>
    <cellStyle name="SAPBEXstdDataEmph 7 11 2" xfId="35158"/>
    <cellStyle name="SAPBEXstdDataEmph 7 12" xfId="35152"/>
    <cellStyle name="SAPBEXstdDataEmph 7 13" xfId="9967"/>
    <cellStyle name="SAPBEXstdDataEmph 7 14" xfId="39161"/>
    <cellStyle name="SAPBEXstdDataEmph 7 15" xfId="39540"/>
    <cellStyle name="SAPBEXstdDataEmph 7 2" xfId="2096"/>
    <cellStyle name="SAPBEXstdDataEmph 7 2 10" xfId="35160"/>
    <cellStyle name="SAPBEXstdDataEmph 7 2 10 2" xfId="35161"/>
    <cellStyle name="SAPBEXstdDataEmph 7 2 11" xfId="35159"/>
    <cellStyle name="SAPBEXstdDataEmph 7 2 12" xfId="10270"/>
    <cellStyle name="SAPBEXstdDataEmph 7 2 2" xfId="5010"/>
    <cellStyle name="SAPBEXstdDataEmph 7 2 2 2" xfId="35163"/>
    <cellStyle name="SAPBEXstdDataEmph 7 2 2 2 2" xfId="35164"/>
    <cellStyle name="SAPBEXstdDataEmph 7 2 2 3" xfId="35165"/>
    <cellStyle name="SAPBEXstdDataEmph 7 2 2 4" xfId="35162"/>
    <cellStyle name="SAPBEXstdDataEmph 7 2 3" xfId="5989"/>
    <cellStyle name="SAPBEXstdDataEmph 7 2 3 2" xfId="35167"/>
    <cellStyle name="SAPBEXstdDataEmph 7 2 3 2 2" xfId="35168"/>
    <cellStyle name="SAPBEXstdDataEmph 7 2 3 3" xfId="35169"/>
    <cellStyle name="SAPBEXstdDataEmph 7 2 3 4" xfId="35166"/>
    <cellStyle name="SAPBEXstdDataEmph 7 2 4" xfId="6497"/>
    <cellStyle name="SAPBEXstdDataEmph 7 2 4 2" xfId="35171"/>
    <cellStyle name="SAPBEXstdDataEmph 7 2 4 2 2" xfId="35172"/>
    <cellStyle name="SAPBEXstdDataEmph 7 2 4 3" xfId="35173"/>
    <cellStyle name="SAPBEXstdDataEmph 7 2 4 4" xfId="35170"/>
    <cellStyle name="SAPBEXstdDataEmph 7 2 5" xfId="6984"/>
    <cellStyle name="SAPBEXstdDataEmph 7 2 5 2" xfId="35175"/>
    <cellStyle name="SAPBEXstdDataEmph 7 2 5 2 2" xfId="35176"/>
    <cellStyle name="SAPBEXstdDataEmph 7 2 5 3" xfId="35177"/>
    <cellStyle name="SAPBEXstdDataEmph 7 2 5 4" xfId="35174"/>
    <cellStyle name="SAPBEXstdDataEmph 7 2 6" xfId="7467"/>
    <cellStyle name="SAPBEXstdDataEmph 7 2 6 2" xfId="35179"/>
    <cellStyle name="SAPBEXstdDataEmph 7 2 6 2 2" xfId="35180"/>
    <cellStyle name="SAPBEXstdDataEmph 7 2 6 3" xfId="35181"/>
    <cellStyle name="SAPBEXstdDataEmph 7 2 6 4" xfId="35178"/>
    <cellStyle name="SAPBEXstdDataEmph 7 2 7" xfId="8536"/>
    <cellStyle name="SAPBEXstdDataEmph 7 2 7 2" xfId="35183"/>
    <cellStyle name="SAPBEXstdDataEmph 7 2 7 2 2" xfId="35184"/>
    <cellStyle name="SAPBEXstdDataEmph 7 2 7 3" xfId="35185"/>
    <cellStyle name="SAPBEXstdDataEmph 7 2 7 4" xfId="35182"/>
    <cellStyle name="SAPBEXstdDataEmph 7 2 8" xfId="9037"/>
    <cellStyle name="SAPBEXstdDataEmph 7 2 8 2" xfId="35187"/>
    <cellStyle name="SAPBEXstdDataEmph 7 2 8 2 2" xfId="35188"/>
    <cellStyle name="SAPBEXstdDataEmph 7 2 8 3" xfId="35189"/>
    <cellStyle name="SAPBEXstdDataEmph 7 2 8 4" xfId="35186"/>
    <cellStyle name="SAPBEXstdDataEmph 7 2 9" xfId="9531"/>
    <cellStyle name="SAPBEXstdDataEmph 7 2 9 2" xfId="35191"/>
    <cellStyle name="SAPBEXstdDataEmph 7 2 9 2 2" xfId="35192"/>
    <cellStyle name="SAPBEXstdDataEmph 7 2 9 3" xfId="35193"/>
    <cellStyle name="SAPBEXstdDataEmph 7 2 9 4" xfId="35190"/>
    <cellStyle name="SAPBEXstdDataEmph 7 2_planning-WP" xfId="35194"/>
    <cellStyle name="SAPBEXstdDataEmph 7 3" xfId="4695"/>
    <cellStyle name="SAPBEXstdDataEmph 7 3 2" xfId="35196"/>
    <cellStyle name="SAPBEXstdDataEmph 7 3 2 2" xfId="35197"/>
    <cellStyle name="SAPBEXstdDataEmph 7 3 3" xfId="35198"/>
    <cellStyle name="SAPBEXstdDataEmph 7 3 4" xfId="35195"/>
    <cellStyle name="SAPBEXstdDataEmph 7 4" xfId="5685"/>
    <cellStyle name="SAPBEXstdDataEmph 7 4 2" xfId="35200"/>
    <cellStyle name="SAPBEXstdDataEmph 7 4 2 2" xfId="35201"/>
    <cellStyle name="SAPBEXstdDataEmph 7 4 3" xfId="35202"/>
    <cellStyle name="SAPBEXstdDataEmph 7 4 4" xfId="35199"/>
    <cellStyle name="SAPBEXstdDataEmph 7 5" xfId="6194"/>
    <cellStyle name="SAPBEXstdDataEmph 7 5 2" xfId="35204"/>
    <cellStyle name="SAPBEXstdDataEmph 7 5 2 2" xfId="35205"/>
    <cellStyle name="SAPBEXstdDataEmph 7 5 3" xfId="35206"/>
    <cellStyle name="SAPBEXstdDataEmph 7 5 4" xfId="35203"/>
    <cellStyle name="SAPBEXstdDataEmph 7 6" xfId="6681"/>
    <cellStyle name="SAPBEXstdDataEmph 7 6 2" xfId="35208"/>
    <cellStyle name="SAPBEXstdDataEmph 7 6 2 2" xfId="35209"/>
    <cellStyle name="SAPBEXstdDataEmph 7 6 3" xfId="35210"/>
    <cellStyle name="SAPBEXstdDataEmph 7 6 4" xfId="35207"/>
    <cellStyle name="SAPBEXstdDataEmph 7 7" xfId="7164"/>
    <cellStyle name="SAPBEXstdDataEmph 7 7 2" xfId="35212"/>
    <cellStyle name="SAPBEXstdDataEmph 7 7 2 2" xfId="35213"/>
    <cellStyle name="SAPBEXstdDataEmph 7 7 3" xfId="35214"/>
    <cellStyle name="SAPBEXstdDataEmph 7 7 4" xfId="35211"/>
    <cellStyle name="SAPBEXstdDataEmph 7 8" xfId="8233"/>
    <cellStyle name="SAPBEXstdDataEmph 7 8 2" xfId="35216"/>
    <cellStyle name="SAPBEXstdDataEmph 7 8 2 2" xfId="35217"/>
    <cellStyle name="SAPBEXstdDataEmph 7 8 3" xfId="35218"/>
    <cellStyle name="SAPBEXstdDataEmph 7 8 4" xfId="35215"/>
    <cellStyle name="SAPBEXstdDataEmph 7 9" xfId="8734"/>
    <cellStyle name="SAPBEXstdDataEmph 7 9 2" xfId="35220"/>
    <cellStyle name="SAPBEXstdDataEmph 7 9 2 2" xfId="35221"/>
    <cellStyle name="SAPBEXstdDataEmph 7 9 3" xfId="35222"/>
    <cellStyle name="SAPBEXstdDataEmph 7 9 4" xfId="35219"/>
    <cellStyle name="SAPBEXstdDataEmph 7_planning-WP" xfId="35223"/>
    <cellStyle name="SAPBEXstdDataEmph 8" xfId="1629"/>
    <cellStyle name="SAPBEXstdDataEmph 8 10" xfId="35225"/>
    <cellStyle name="SAPBEXstdDataEmph 8 10 2" xfId="35226"/>
    <cellStyle name="SAPBEXstdDataEmph 8 11" xfId="35224"/>
    <cellStyle name="SAPBEXstdDataEmph 8 12" xfId="9826"/>
    <cellStyle name="SAPBEXstdDataEmph 8 2" xfId="4552"/>
    <cellStyle name="SAPBEXstdDataEmph 8 2 2" xfId="35228"/>
    <cellStyle name="SAPBEXstdDataEmph 8 2 2 2" xfId="35229"/>
    <cellStyle name="SAPBEXstdDataEmph 8 2 3" xfId="35230"/>
    <cellStyle name="SAPBEXstdDataEmph 8 2 4" xfId="35227"/>
    <cellStyle name="SAPBEXstdDataEmph 8 3" xfId="5544"/>
    <cellStyle name="SAPBEXstdDataEmph 8 3 2" xfId="35232"/>
    <cellStyle name="SAPBEXstdDataEmph 8 3 2 2" xfId="35233"/>
    <cellStyle name="SAPBEXstdDataEmph 8 3 3" xfId="35234"/>
    <cellStyle name="SAPBEXstdDataEmph 8 3 4" xfId="35231"/>
    <cellStyle name="SAPBEXstdDataEmph 8 4" xfId="6053"/>
    <cellStyle name="SAPBEXstdDataEmph 8 4 2" xfId="35236"/>
    <cellStyle name="SAPBEXstdDataEmph 8 4 2 2" xfId="35237"/>
    <cellStyle name="SAPBEXstdDataEmph 8 4 3" xfId="35238"/>
    <cellStyle name="SAPBEXstdDataEmph 8 4 4" xfId="35235"/>
    <cellStyle name="SAPBEXstdDataEmph 8 5" xfId="6540"/>
    <cellStyle name="SAPBEXstdDataEmph 8 5 2" xfId="35240"/>
    <cellStyle name="SAPBEXstdDataEmph 8 5 2 2" xfId="35241"/>
    <cellStyle name="SAPBEXstdDataEmph 8 5 3" xfId="35242"/>
    <cellStyle name="SAPBEXstdDataEmph 8 5 4" xfId="35239"/>
    <cellStyle name="SAPBEXstdDataEmph 8 6" xfId="7023"/>
    <cellStyle name="SAPBEXstdDataEmph 8 6 2" xfId="35244"/>
    <cellStyle name="SAPBEXstdDataEmph 8 6 2 2" xfId="35245"/>
    <cellStyle name="SAPBEXstdDataEmph 8 6 3" xfId="35246"/>
    <cellStyle name="SAPBEXstdDataEmph 8 6 4" xfId="35243"/>
    <cellStyle name="SAPBEXstdDataEmph 8 7" xfId="8092"/>
    <cellStyle name="SAPBEXstdDataEmph 8 7 2" xfId="35248"/>
    <cellStyle name="SAPBEXstdDataEmph 8 7 2 2" xfId="35249"/>
    <cellStyle name="SAPBEXstdDataEmph 8 7 3" xfId="35250"/>
    <cellStyle name="SAPBEXstdDataEmph 8 7 4" xfId="35247"/>
    <cellStyle name="SAPBEXstdDataEmph 8 8" xfId="8593"/>
    <cellStyle name="SAPBEXstdDataEmph 8 8 2" xfId="35252"/>
    <cellStyle name="SAPBEXstdDataEmph 8 8 2 2" xfId="35253"/>
    <cellStyle name="SAPBEXstdDataEmph 8 8 3" xfId="35254"/>
    <cellStyle name="SAPBEXstdDataEmph 8 8 4" xfId="35251"/>
    <cellStyle name="SAPBEXstdDataEmph 8 9" xfId="9087"/>
    <cellStyle name="SAPBEXstdDataEmph 8 9 2" xfId="35256"/>
    <cellStyle name="SAPBEXstdDataEmph 8 9 2 2" xfId="35257"/>
    <cellStyle name="SAPBEXstdDataEmph 8 9 3" xfId="35258"/>
    <cellStyle name="SAPBEXstdDataEmph 8 9 4" xfId="35255"/>
    <cellStyle name="SAPBEXstdDataEmph 8_planning-WP" xfId="35259"/>
    <cellStyle name="SAPBEXstdDataEmph 9" xfId="1440"/>
    <cellStyle name="SAPBEXstdDataEmph 9 10" xfId="35260"/>
    <cellStyle name="SAPBEXstdDataEmph 9 11" xfId="9638"/>
    <cellStyle name="SAPBEXstdDataEmph 9 2" xfId="4363"/>
    <cellStyle name="SAPBEXstdDataEmph 9 2 2" xfId="35262"/>
    <cellStyle name="SAPBEXstdDataEmph 9 2 2 2" xfId="35263"/>
    <cellStyle name="SAPBEXstdDataEmph 9 2 3" xfId="35264"/>
    <cellStyle name="SAPBEXstdDataEmph 9 2 4" xfId="35261"/>
    <cellStyle name="SAPBEXstdDataEmph 9 3" xfId="5356"/>
    <cellStyle name="SAPBEXstdDataEmph 9 3 2" xfId="35266"/>
    <cellStyle name="SAPBEXstdDataEmph 9 3 2 2" xfId="35267"/>
    <cellStyle name="SAPBEXstdDataEmph 9 3 3" xfId="35268"/>
    <cellStyle name="SAPBEXstdDataEmph 9 3 4" xfId="35265"/>
    <cellStyle name="SAPBEXstdDataEmph 9 4" xfId="5159"/>
    <cellStyle name="SAPBEXstdDataEmph 9 4 2" xfId="35270"/>
    <cellStyle name="SAPBEXstdDataEmph 9 4 2 2" xfId="35271"/>
    <cellStyle name="SAPBEXstdDataEmph 9 4 3" xfId="35272"/>
    <cellStyle name="SAPBEXstdDataEmph 9 4 4" xfId="35269"/>
    <cellStyle name="SAPBEXstdDataEmph 9 5" xfId="5130"/>
    <cellStyle name="SAPBEXstdDataEmph 9 5 2" xfId="35274"/>
    <cellStyle name="SAPBEXstdDataEmph 9 5 2 2" xfId="35275"/>
    <cellStyle name="SAPBEXstdDataEmph 9 5 3" xfId="35276"/>
    <cellStyle name="SAPBEXstdDataEmph 9 5 4" xfId="35273"/>
    <cellStyle name="SAPBEXstdDataEmph 9 6" xfId="3203"/>
    <cellStyle name="SAPBEXstdDataEmph 9 6 2" xfId="35278"/>
    <cellStyle name="SAPBEXstdDataEmph 9 6 2 2" xfId="35279"/>
    <cellStyle name="SAPBEXstdDataEmph 9 6 3" xfId="35280"/>
    <cellStyle name="SAPBEXstdDataEmph 9 6 4" xfId="35277"/>
    <cellStyle name="SAPBEXstdDataEmph 9 7" xfId="7904"/>
    <cellStyle name="SAPBEXstdDataEmph 9 7 2" xfId="35282"/>
    <cellStyle name="SAPBEXstdDataEmph 9 7 2 2" xfId="35283"/>
    <cellStyle name="SAPBEXstdDataEmph 9 7 3" xfId="35284"/>
    <cellStyle name="SAPBEXstdDataEmph 9 7 4" xfId="35281"/>
    <cellStyle name="SAPBEXstdDataEmph 9 8" xfId="7642"/>
    <cellStyle name="SAPBEXstdDataEmph 9 8 2" xfId="35286"/>
    <cellStyle name="SAPBEXstdDataEmph 9 8 2 2" xfId="35287"/>
    <cellStyle name="SAPBEXstdDataEmph 9 8 3" xfId="35288"/>
    <cellStyle name="SAPBEXstdDataEmph 9 8 4" xfId="35285"/>
    <cellStyle name="SAPBEXstdDataEmph 9 9" xfId="7764"/>
    <cellStyle name="SAPBEXstdDataEmph 9 9 2" xfId="35290"/>
    <cellStyle name="SAPBEXstdDataEmph 9 9 3" xfId="35289"/>
    <cellStyle name="SAPBEXstdDataEmph 9_planning-WP" xfId="35291"/>
    <cellStyle name="SAPBEXstdDataEmph_19.RessDest CUC CS SEE+SEM 1009" xfId="39162"/>
    <cellStyle name="SAPBEXstdItem" xfId="293"/>
    <cellStyle name="SAPBEXstdItem 10" xfId="35293"/>
    <cellStyle name="SAPBEXstdItem 10 2" xfId="35294"/>
    <cellStyle name="SAPBEXstdItem 10 2 2" xfId="35295"/>
    <cellStyle name="SAPBEXstdItem 11" xfId="35296"/>
    <cellStyle name="SAPBEXstdItem 11 2" xfId="35297"/>
    <cellStyle name="SAPBEXstdItem 11 2 2" xfId="35298"/>
    <cellStyle name="SAPBEXstdItem 11 3" xfId="35299"/>
    <cellStyle name="SAPBEXstdItem 12" xfId="35300"/>
    <cellStyle name="SAPBEXstdItem 12 2" xfId="35301"/>
    <cellStyle name="SAPBEXstdItem 12 2 2" xfId="35302"/>
    <cellStyle name="SAPBEXstdItem 12 3" xfId="35303"/>
    <cellStyle name="SAPBEXstdItem 13" xfId="35304"/>
    <cellStyle name="SAPBEXstdItem 13 2" xfId="35305"/>
    <cellStyle name="SAPBEXstdItem 13 2 2" xfId="35306"/>
    <cellStyle name="SAPBEXstdItem 13 3" xfId="35307"/>
    <cellStyle name="SAPBEXstdItem 14" xfId="35308"/>
    <cellStyle name="SAPBEXstdItem 14 2" xfId="35309"/>
    <cellStyle name="SAPBEXstdItem 14 2 2" xfId="35310"/>
    <cellStyle name="SAPBEXstdItem 14 3" xfId="35311"/>
    <cellStyle name="SAPBEXstdItem 15" xfId="35312"/>
    <cellStyle name="SAPBEXstdItem 15 2" xfId="35313"/>
    <cellStyle name="SAPBEXstdItem 15 2 2" xfId="35314"/>
    <cellStyle name="SAPBEXstdItem 15 3" xfId="35315"/>
    <cellStyle name="SAPBEXstdItem 16" xfId="35316"/>
    <cellStyle name="SAPBEXstdItem 16 2" xfId="35317"/>
    <cellStyle name="SAPBEXstdItem 16 2 2" xfId="35318"/>
    <cellStyle name="SAPBEXstdItem 16 3" xfId="35319"/>
    <cellStyle name="SAPBEXstdItem 17" xfId="35320"/>
    <cellStyle name="SAPBEXstdItem 17 2" xfId="35321"/>
    <cellStyle name="SAPBEXstdItem 17 2 2" xfId="35322"/>
    <cellStyle name="SAPBEXstdItem 17 3" xfId="35323"/>
    <cellStyle name="SAPBEXstdItem 18" xfId="35324"/>
    <cellStyle name="SAPBEXstdItem 19" xfId="35325"/>
    <cellStyle name="SAPBEXstdItem 2" xfId="904"/>
    <cellStyle name="SAPBEXstdItem 2 10" xfId="35327"/>
    <cellStyle name="SAPBEXstdItem 2 10 2" xfId="35328"/>
    <cellStyle name="SAPBEXstdItem 2 10 2 2" xfId="35329"/>
    <cellStyle name="SAPBEXstdItem 2 10 3" xfId="35330"/>
    <cellStyle name="SAPBEXstdItem 2 11" xfId="35331"/>
    <cellStyle name="SAPBEXstdItem 2 11 2" xfId="35332"/>
    <cellStyle name="SAPBEXstdItem 2 11 2 2" xfId="35333"/>
    <cellStyle name="SAPBEXstdItem 2 11 3" xfId="35334"/>
    <cellStyle name="SAPBEXstdItem 2 12" xfId="35335"/>
    <cellStyle name="SAPBEXstdItem 2 12 2" xfId="35336"/>
    <cellStyle name="SAPBEXstdItem 2 12 2 2" xfId="35337"/>
    <cellStyle name="SAPBEXstdItem 2 12 3" xfId="35338"/>
    <cellStyle name="SAPBEXstdItem 2 13" xfId="35339"/>
    <cellStyle name="SAPBEXstdItem 2 14" xfId="35340"/>
    <cellStyle name="SAPBEXstdItem 2 15" xfId="35326"/>
    <cellStyle name="SAPBEXstdItem 2 16" xfId="9588"/>
    <cellStyle name="SAPBEXstdItem 2 17" xfId="39164"/>
    <cellStyle name="SAPBEXstdItem 2 18" xfId="39542"/>
    <cellStyle name="SAPBEXstdItem 2 2" xfId="1973"/>
    <cellStyle name="SAPBEXstdItem 2 2 10" xfId="35342"/>
    <cellStyle name="SAPBEXstdItem 2 2 10 2" xfId="35343"/>
    <cellStyle name="SAPBEXstdItem 2 2 10 2 2" xfId="35344"/>
    <cellStyle name="SAPBEXstdItem 2 2 10 3" xfId="35345"/>
    <cellStyle name="SAPBEXstdItem 2 2 11" xfId="35346"/>
    <cellStyle name="SAPBEXstdItem 2 2 11 2" xfId="35347"/>
    <cellStyle name="SAPBEXstdItem 2 2 12" xfId="35341"/>
    <cellStyle name="SAPBEXstdItem 2 2 13" xfId="10151"/>
    <cellStyle name="SAPBEXstdItem 2 2 2" xfId="4891"/>
    <cellStyle name="SAPBEXstdItem 2 2 2 10" xfId="35349"/>
    <cellStyle name="SAPBEXstdItem 2 2 2 10 2" xfId="35350"/>
    <cellStyle name="SAPBEXstdItem 2 2 2 11" xfId="35348"/>
    <cellStyle name="SAPBEXstdItem 2 2 2 2" xfId="35351"/>
    <cellStyle name="SAPBEXstdItem 2 2 2 2 2" xfId="35352"/>
    <cellStyle name="SAPBEXstdItem 2 2 2 2 2 2" xfId="35353"/>
    <cellStyle name="SAPBEXstdItem 2 2 2 2 3" xfId="35354"/>
    <cellStyle name="SAPBEXstdItem 2 2 2 3" xfId="35355"/>
    <cellStyle name="SAPBEXstdItem 2 2 2 3 2" xfId="35356"/>
    <cellStyle name="SAPBEXstdItem 2 2 2 3 2 2" xfId="35357"/>
    <cellStyle name="SAPBEXstdItem 2 2 2 3 3" xfId="35358"/>
    <cellStyle name="SAPBEXstdItem 2 2 2 4" xfId="35359"/>
    <cellStyle name="SAPBEXstdItem 2 2 2 4 2" xfId="35360"/>
    <cellStyle name="SAPBEXstdItem 2 2 2 4 2 2" xfId="35361"/>
    <cellStyle name="SAPBEXstdItem 2 2 2 4 3" xfId="35362"/>
    <cellStyle name="SAPBEXstdItem 2 2 2 5" xfId="35363"/>
    <cellStyle name="SAPBEXstdItem 2 2 2 5 2" xfId="35364"/>
    <cellStyle name="SAPBEXstdItem 2 2 2 5 2 2" xfId="35365"/>
    <cellStyle name="SAPBEXstdItem 2 2 2 5 3" xfId="35366"/>
    <cellStyle name="SAPBEXstdItem 2 2 2 6" xfId="35367"/>
    <cellStyle name="SAPBEXstdItem 2 2 2 6 2" xfId="35368"/>
    <cellStyle name="SAPBEXstdItem 2 2 2 6 2 2" xfId="35369"/>
    <cellStyle name="SAPBEXstdItem 2 2 2 6 3" xfId="35370"/>
    <cellStyle name="SAPBEXstdItem 2 2 2 7" xfId="35371"/>
    <cellStyle name="SAPBEXstdItem 2 2 2 7 2" xfId="35372"/>
    <cellStyle name="SAPBEXstdItem 2 2 2 7 2 2" xfId="35373"/>
    <cellStyle name="SAPBEXstdItem 2 2 2 7 3" xfId="35374"/>
    <cellStyle name="SAPBEXstdItem 2 2 2 8" xfId="35375"/>
    <cellStyle name="SAPBEXstdItem 2 2 2 8 2" xfId="35376"/>
    <cellStyle name="SAPBEXstdItem 2 2 2 8 2 2" xfId="35377"/>
    <cellStyle name="SAPBEXstdItem 2 2 2 8 3" xfId="35378"/>
    <cellStyle name="SAPBEXstdItem 2 2 2 9" xfId="35379"/>
    <cellStyle name="SAPBEXstdItem 2 2 2 9 2" xfId="35380"/>
    <cellStyle name="SAPBEXstdItem 2 2 2 9 2 2" xfId="35381"/>
    <cellStyle name="SAPBEXstdItem 2 2 2 9 3" xfId="35382"/>
    <cellStyle name="SAPBEXstdItem 2 2 2_planning-WP" xfId="35383"/>
    <cellStyle name="SAPBEXstdItem 2 2 3" xfId="5870"/>
    <cellStyle name="SAPBEXstdItem 2 2 3 2" xfId="35385"/>
    <cellStyle name="SAPBEXstdItem 2 2 3 2 2" xfId="35386"/>
    <cellStyle name="SAPBEXstdItem 2 2 3 3" xfId="35387"/>
    <cellStyle name="SAPBEXstdItem 2 2 3 4" xfId="35384"/>
    <cellStyle name="SAPBEXstdItem 2 2 4" xfId="6378"/>
    <cellStyle name="SAPBEXstdItem 2 2 4 2" xfId="35389"/>
    <cellStyle name="SAPBEXstdItem 2 2 4 2 2" xfId="35390"/>
    <cellStyle name="SAPBEXstdItem 2 2 4 3" xfId="35391"/>
    <cellStyle name="SAPBEXstdItem 2 2 4 4" xfId="35388"/>
    <cellStyle name="SAPBEXstdItem 2 2 5" xfId="6865"/>
    <cellStyle name="SAPBEXstdItem 2 2 5 2" xfId="35393"/>
    <cellStyle name="SAPBEXstdItem 2 2 5 2 2" xfId="35394"/>
    <cellStyle name="SAPBEXstdItem 2 2 5 3" xfId="35395"/>
    <cellStyle name="SAPBEXstdItem 2 2 5 4" xfId="35392"/>
    <cellStyle name="SAPBEXstdItem 2 2 6" xfId="7348"/>
    <cellStyle name="SAPBEXstdItem 2 2 6 2" xfId="35397"/>
    <cellStyle name="SAPBEXstdItem 2 2 6 2 2" xfId="35398"/>
    <cellStyle name="SAPBEXstdItem 2 2 6 3" xfId="35399"/>
    <cellStyle name="SAPBEXstdItem 2 2 6 4" xfId="35396"/>
    <cellStyle name="SAPBEXstdItem 2 2 7" xfId="8417"/>
    <cellStyle name="SAPBEXstdItem 2 2 7 2" xfId="35401"/>
    <cellStyle name="SAPBEXstdItem 2 2 7 2 2" xfId="35402"/>
    <cellStyle name="SAPBEXstdItem 2 2 7 3" xfId="35403"/>
    <cellStyle name="SAPBEXstdItem 2 2 7 4" xfId="35400"/>
    <cellStyle name="SAPBEXstdItem 2 2 8" xfId="8918"/>
    <cellStyle name="SAPBEXstdItem 2 2 8 2" xfId="35405"/>
    <cellStyle name="SAPBEXstdItem 2 2 8 2 2" xfId="35406"/>
    <cellStyle name="SAPBEXstdItem 2 2 8 3" xfId="35407"/>
    <cellStyle name="SAPBEXstdItem 2 2 8 4" xfId="35404"/>
    <cellStyle name="SAPBEXstdItem 2 2 9" xfId="9412"/>
    <cellStyle name="SAPBEXstdItem 2 2 9 2" xfId="35409"/>
    <cellStyle name="SAPBEXstdItem 2 2 9 2 2" xfId="35410"/>
    <cellStyle name="SAPBEXstdItem 2 2 9 3" xfId="35411"/>
    <cellStyle name="SAPBEXstdItem 2 2 9 4" xfId="35408"/>
    <cellStyle name="SAPBEXstdItem 2 2_planning-WP" xfId="35412"/>
    <cellStyle name="SAPBEXstdItem 2 3" xfId="1636"/>
    <cellStyle name="SAPBEXstdItem 2 3 10" xfId="35414"/>
    <cellStyle name="SAPBEXstdItem 2 3 10 2" xfId="35415"/>
    <cellStyle name="SAPBEXstdItem 2 3 11" xfId="35413"/>
    <cellStyle name="SAPBEXstdItem 2 3 12" xfId="9833"/>
    <cellStyle name="SAPBEXstdItem 2 3 2" xfId="4559"/>
    <cellStyle name="SAPBEXstdItem 2 3 2 2" xfId="35417"/>
    <cellStyle name="SAPBEXstdItem 2 3 2 2 2" xfId="35418"/>
    <cellStyle name="SAPBEXstdItem 2 3 2 3" xfId="35419"/>
    <cellStyle name="SAPBEXstdItem 2 3 2 4" xfId="35416"/>
    <cellStyle name="SAPBEXstdItem 2 3 3" xfId="5551"/>
    <cellStyle name="SAPBEXstdItem 2 3 3 2" xfId="35421"/>
    <cellStyle name="SAPBEXstdItem 2 3 3 2 2" xfId="35422"/>
    <cellStyle name="SAPBEXstdItem 2 3 3 3" xfId="35423"/>
    <cellStyle name="SAPBEXstdItem 2 3 3 4" xfId="35420"/>
    <cellStyle name="SAPBEXstdItem 2 3 4" xfId="6060"/>
    <cellStyle name="SAPBEXstdItem 2 3 4 2" xfId="35425"/>
    <cellStyle name="SAPBEXstdItem 2 3 4 2 2" xfId="35426"/>
    <cellStyle name="SAPBEXstdItem 2 3 4 3" xfId="35427"/>
    <cellStyle name="SAPBEXstdItem 2 3 4 4" xfId="35424"/>
    <cellStyle name="SAPBEXstdItem 2 3 5" xfId="6547"/>
    <cellStyle name="SAPBEXstdItem 2 3 5 2" xfId="35429"/>
    <cellStyle name="SAPBEXstdItem 2 3 5 2 2" xfId="35430"/>
    <cellStyle name="SAPBEXstdItem 2 3 5 3" xfId="35431"/>
    <cellStyle name="SAPBEXstdItem 2 3 5 4" xfId="35428"/>
    <cellStyle name="SAPBEXstdItem 2 3 6" xfId="7030"/>
    <cellStyle name="SAPBEXstdItem 2 3 6 2" xfId="35433"/>
    <cellStyle name="SAPBEXstdItem 2 3 6 2 2" xfId="35434"/>
    <cellStyle name="SAPBEXstdItem 2 3 6 3" xfId="35435"/>
    <cellStyle name="SAPBEXstdItem 2 3 6 4" xfId="35432"/>
    <cellStyle name="SAPBEXstdItem 2 3 7" xfId="8099"/>
    <cellStyle name="SAPBEXstdItem 2 3 7 2" xfId="35437"/>
    <cellStyle name="SAPBEXstdItem 2 3 7 2 2" xfId="35438"/>
    <cellStyle name="SAPBEXstdItem 2 3 7 3" xfId="35439"/>
    <cellStyle name="SAPBEXstdItem 2 3 7 4" xfId="35436"/>
    <cellStyle name="SAPBEXstdItem 2 3 8" xfId="8600"/>
    <cellStyle name="SAPBEXstdItem 2 3 8 2" xfId="35441"/>
    <cellStyle name="SAPBEXstdItem 2 3 8 2 2" xfId="35442"/>
    <cellStyle name="SAPBEXstdItem 2 3 8 3" xfId="35443"/>
    <cellStyle name="SAPBEXstdItem 2 3 8 4" xfId="35440"/>
    <cellStyle name="SAPBEXstdItem 2 3 9" xfId="9094"/>
    <cellStyle name="SAPBEXstdItem 2 3 9 2" xfId="35445"/>
    <cellStyle name="SAPBEXstdItem 2 3 9 2 2" xfId="35446"/>
    <cellStyle name="SAPBEXstdItem 2 3 9 3" xfId="35447"/>
    <cellStyle name="SAPBEXstdItem 2 3 9 4" xfId="35444"/>
    <cellStyle name="SAPBEXstdItem 2 3_planning-WP" xfId="35448"/>
    <cellStyle name="SAPBEXstdItem 2 4" xfId="35449"/>
    <cellStyle name="SAPBEXstdItem 2 4 2" xfId="35450"/>
    <cellStyle name="SAPBEXstdItem 2 4 2 2" xfId="35451"/>
    <cellStyle name="SAPBEXstdItem 2 4 2 2 2" xfId="35452"/>
    <cellStyle name="SAPBEXstdItem 2 4 2 3" xfId="35453"/>
    <cellStyle name="SAPBEXstdItem 2 4 3" xfId="35454"/>
    <cellStyle name="SAPBEXstdItem 2 4 3 2" xfId="35455"/>
    <cellStyle name="SAPBEXstdItem 2 4 3 2 2" xfId="35456"/>
    <cellStyle name="SAPBEXstdItem 2 4 3 3" xfId="35457"/>
    <cellStyle name="SAPBEXstdItem 2 4 4" xfId="35458"/>
    <cellStyle name="SAPBEXstdItem 2 4 4 2" xfId="35459"/>
    <cellStyle name="SAPBEXstdItem 2 4 4 2 2" xfId="35460"/>
    <cellStyle name="SAPBEXstdItem 2 4 4 3" xfId="35461"/>
    <cellStyle name="SAPBEXstdItem 2 4 5" xfId="35462"/>
    <cellStyle name="SAPBEXstdItem 2 4 5 2" xfId="35463"/>
    <cellStyle name="SAPBEXstdItem 2 4 5 2 2" xfId="35464"/>
    <cellStyle name="SAPBEXstdItem 2 4 5 3" xfId="35465"/>
    <cellStyle name="SAPBEXstdItem 2 4 6" xfId="35466"/>
    <cellStyle name="SAPBEXstdItem 2 4 6 2" xfId="35467"/>
    <cellStyle name="SAPBEXstdItem 2 4 6 2 2" xfId="35468"/>
    <cellStyle name="SAPBEXstdItem 2 4 6 3" xfId="35469"/>
    <cellStyle name="SAPBEXstdItem 2 4 7" xfId="35470"/>
    <cellStyle name="SAPBEXstdItem 2 4 7 2" xfId="35471"/>
    <cellStyle name="SAPBEXstdItem 2 4 7 2 2" xfId="35472"/>
    <cellStyle name="SAPBEXstdItem 2 4 7 3" xfId="35473"/>
    <cellStyle name="SAPBEXstdItem 2 4 8" xfId="35474"/>
    <cellStyle name="SAPBEXstdItem 2 4 8 2" xfId="35475"/>
    <cellStyle name="SAPBEXstdItem 2 4 8 2 2" xfId="35476"/>
    <cellStyle name="SAPBEXstdItem 2 4 8 3" xfId="35477"/>
    <cellStyle name="SAPBEXstdItem 2 4 9" xfId="35478"/>
    <cellStyle name="SAPBEXstdItem 2 4 9 2" xfId="35479"/>
    <cellStyle name="SAPBEXstdItem 2 4_planning-WP" xfId="35480"/>
    <cellStyle name="SAPBEXstdItem 2 5" xfId="35481"/>
    <cellStyle name="SAPBEXstdItem 2 5 2" xfId="35482"/>
    <cellStyle name="SAPBEXstdItem 2 5 2 2" xfId="35483"/>
    <cellStyle name="SAPBEXstdItem 2 6" xfId="35484"/>
    <cellStyle name="SAPBEXstdItem 2 6 2" xfId="35485"/>
    <cellStyle name="SAPBEXstdItem 2 6 2 2" xfId="35486"/>
    <cellStyle name="SAPBEXstdItem 2 6 3" xfId="35487"/>
    <cellStyle name="SAPBEXstdItem 2 7" xfId="35488"/>
    <cellStyle name="SAPBEXstdItem 2 7 2" xfId="35489"/>
    <cellStyle name="SAPBEXstdItem 2 7 2 2" xfId="35490"/>
    <cellStyle name="SAPBEXstdItem 2 7 3" xfId="35491"/>
    <cellStyle name="SAPBEXstdItem 2 8" xfId="35492"/>
    <cellStyle name="SAPBEXstdItem 2 8 2" xfId="35493"/>
    <cellStyle name="SAPBEXstdItem 2 8 2 2" xfId="35494"/>
    <cellStyle name="SAPBEXstdItem 2 8 3" xfId="35495"/>
    <cellStyle name="SAPBEXstdItem 2 9" xfId="35496"/>
    <cellStyle name="SAPBEXstdItem 2 9 2" xfId="35497"/>
    <cellStyle name="SAPBEXstdItem 2 9 2 2" xfId="35498"/>
    <cellStyle name="SAPBEXstdItem 2 9 3" xfId="35499"/>
    <cellStyle name="SAPBEXstdItem 2_planning-WP" xfId="35500"/>
    <cellStyle name="SAPBEXstdItem 20" xfId="35292"/>
    <cellStyle name="SAPBEXstdItem 21" xfId="39163"/>
    <cellStyle name="SAPBEXstdItem 22" xfId="39541"/>
    <cellStyle name="SAPBEXstdItem 3" xfId="1604"/>
    <cellStyle name="SAPBEXstdItem 3 10" xfId="9062"/>
    <cellStyle name="SAPBEXstdItem 3 10 2" xfId="35503"/>
    <cellStyle name="SAPBEXstdItem 3 10 2 2" xfId="35504"/>
    <cellStyle name="SAPBEXstdItem 3 10 3" xfId="35505"/>
    <cellStyle name="SAPBEXstdItem 3 10 4" xfId="35502"/>
    <cellStyle name="SAPBEXstdItem 3 11" xfId="35506"/>
    <cellStyle name="SAPBEXstdItem 3 11 2" xfId="35507"/>
    <cellStyle name="SAPBEXstdItem 3 11 2 2" xfId="35508"/>
    <cellStyle name="SAPBEXstdItem 3 11 3" xfId="35509"/>
    <cellStyle name="SAPBEXstdItem 3 12" xfId="35510"/>
    <cellStyle name="SAPBEXstdItem 3 12 2" xfId="35511"/>
    <cellStyle name="SAPBEXstdItem 3 12 2 2" xfId="35512"/>
    <cellStyle name="SAPBEXstdItem 3 12 3" xfId="35513"/>
    <cellStyle name="SAPBEXstdItem 3 13" xfId="35514"/>
    <cellStyle name="SAPBEXstdItem 3 14" xfId="35515"/>
    <cellStyle name="SAPBEXstdItem 3 15" xfId="35501"/>
    <cellStyle name="SAPBEXstdItem 3 16" xfId="9801"/>
    <cellStyle name="SAPBEXstdItem 3 17" xfId="39165"/>
    <cellStyle name="SAPBEXstdItem 3 18" xfId="39543"/>
    <cellStyle name="SAPBEXstdItem 3 2" xfId="1945"/>
    <cellStyle name="SAPBEXstdItem 3 2 10" xfId="35517"/>
    <cellStyle name="SAPBEXstdItem 3 2 10 2" xfId="35518"/>
    <cellStyle name="SAPBEXstdItem 3 2 10 2 2" xfId="35519"/>
    <cellStyle name="SAPBEXstdItem 3 2 10 3" xfId="35520"/>
    <cellStyle name="SAPBEXstdItem 3 2 11" xfId="35521"/>
    <cellStyle name="SAPBEXstdItem 3 2 11 2" xfId="35522"/>
    <cellStyle name="SAPBEXstdItem 3 2 12" xfId="35516"/>
    <cellStyle name="SAPBEXstdItem 3 2 13" xfId="10123"/>
    <cellStyle name="SAPBEXstdItem 3 2 2" xfId="4863"/>
    <cellStyle name="SAPBEXstdItem 3 2 2 10" xfId="35524"/>
    <cellStyle name="SAPBEXstdItem 3 2 2 10 2" xfId="35525"/>
    <cellStyle name="SAPBEXstdItem 3 2 2 11" xfId="35523"/>
    <cellStyle name="SAPBEXstdItem 3 2 2 2" xfId="35526"/>
    <cellStyle name="SAPBEXstdItem 3 2 2 2 2" xfId="35527"/>
    <cellStyle name="SAPBEXstdItem 3 2 2 2 2 2" xfId="35528"/>
    <cellStyle name="SAPBEXstdItem 3 2 2 2 3" xfId="35529"/>
    <cellStyle name="SAPBEXstdItem 3 2 2 3" xfId="35530"/>
    <cellStyle name="SAPBEXstdItem 3 2 2 3 2" xfId="35531"/>
    <cellStyle name="SAPBEXstdItem 3 2 2 3 2 2" xfId="35532"/>
    <cellStyle name="SAPBEXstdItem 3 2 2 3 3" xfId="35533"/>
    <cellStyle name="SAPBEXstdItem 3 2 2 4" xfId="35534"/>
    <cellStyle name="SAPBEXstdItem 3 2 2 4 2" xfId="35535"/>
    <cellStyle name="SAPBEXstdItem 3 2 2 4 2 2" xfId="35536"/>
    <cellStyle name="SAPBEXstdItem 3 2 2 4 3" xfId="35537"/>
    <cellStyle name="SAPBEXstdItem 3 2 2 5" xfId="35538"/>
    <cellStyle name="SAPBEXstdItem 3 2 2 5 2" xfId="35539"/>
    <cellStyle name="SAPBEXstdItem 3 2 2 5 2 2" xfId="35540"/>
    <cellStyle name="SAPBEXstdItem 3 2 2 5 3" xfId="35541"/>
    <cellStyle name="SAPBEXstdItem 3 2 2 6" xfId="35542"/>
    <cellStyle name="SAPBEXstdItem 3 2 2 6 2" xfId="35543"/>
    <cellStyle name="SAPBEXstdItem 3 2 2 6 2 2" xfId="35544"/>
    <cellStyle name="SAPBEXstdItem 3 2 2 6 3" xfId="35545"/>
    <cellStyle name="SAPBEXstdItem 3 2 2 7" xfId="35546"/>
    <cellStyle name="SAPBEXstdItem 3 2 2 7 2" xfId="35547"/>
    <cellStyle name="SAPBEXstdItem 3 2 2 7 2 2" xfId="35548"/>
    <cellStyle name="SAPBEXstdItem 3 2 2 7 3" xfId="35549"/>
    <cellStyle name="SAPBEXstdItem 3 2 2 8" xfId="35550"/>
    <cellStyle name="SAPBEXstdItem 3 2 2 8 2" xfId="35551"/>
    <cellStyle name="SAPBEXstdItem 3 2 2 8 2 2" xfId="35552"/>
    <cellStyle name="SAPBEXstdItem 3 2 2 8 3" xfId="35553"/>
    <cellStyle name="SAPBEXstdItem 3 2 2 9" xfId="35554"/>
    <cellStyle name="SAPBEXstdItem 3 2 2 9 2" xfId="35555"/>
    <cellStyle name="SAPBEXstdItem 3 2 2 9 2 2" xfId="35556"/>
    <cellStyle name="SAPBEXstdItem 3 2 2 9 3" xfId="35557"/>
    <cellStyle name="SAPBEXstdItem 3 2 2_planning-WP" xfId="35558"/>
    <cellStyle name="SAPBEXstdItem 3 2 3" xfId="5842"/>
    <cellStyle name="SAPBEXstdItem 3 2 3 2" xfId="35560"/>
    <cellStyle name="SAPBEXstdItem 3 2 3 2 2" xfId="35561"/>
    <cellStyle name="SAPBEXstdItem 3 2 3 3" xfId="35562"/>
    <cellStyle name="SAPBEXstdItem 3 2 3 4" xfId="35559"/>
    <cellStyle name="SAPBEXstdItem 3 2 4" xfId="6350"/>
    <cellStyle name="SAPBEXstdItem 3 2 4 2" xfId="35564"/>
    <cellStyle name="SAPBEXstdItem 3 2 4 2 2" xfId="35565"/>
    <cellStyle name="SAPBEXstdItem 3 2 4 3" xfId="35566"/>
    <cellStyle name="SAPBEXstdItem 3 2 4 4" xfId="35563"/>
    <cellStyle name="SAPBEXstdItem 3 2 5" xfId="6837"/>
    <cellStyle name="SAPBEXstdItem 3 2 5 2" xfId="35568"/>
    <cellStyle name="SAPBEXstdItem 3 2 5 2 2" xfId="35569"/>
    <cellStyle name="SAPBEXstdItem 3 2 5 3" xfId="35570"/>
    <cellStyle name="SAPBEXstdItem 3 2 5 4" xfId="35567"/>
    <cellStyle name="SAPBEXstdItem 3 2 6" xfId="7320"/>
    <cellStyle name="SAPBEXstdItem 3 2 6 2" xfId="35572"/>
    <cellStyle name="SAPBEXstdItem 3 2 6 2 2" xfId="35573"/>
    <cellStyle name="SAPBEXstdItem 3 2 6 3" xfId="35574"/>
    <cellStyle name="SAPBEXstdItem 3 2 6 4" xfId="35571"/>
    <cellStyle name="SAPBEXstdItem 3 2 7" xfId="8389"/>
    <cellStyle name="SAPBEXstdItem 3 2 7 2" xfId="35576"/>
    <cellStyle name="SAPBEXstdItem 3 2 7 2 2" xfId="35577"/>
    <cellStyle name="SAPBEXstdItem 3 2 7 3" xfId="35578"/>
    <cellStyle name="SAPBEXstdItem 3 2 7 4" xfId="35575"/>
    <cellStyle name="SAPBEXstdItem 3 2 8" xfId="8890"/>
    <cellStyle name="SAPBEXstdItem 3 2 8 2" xfId="35580"/>
    <cellStyle name="SAPBEXstdItem 3 2 8 2 2" xfId="35581"/>
    <cellStyle name="SAPBEXstdItem 3 2 8 3" xfId="35582"/>
    <cellStyle name="SAPBEXstdItem 3 2 8 4" xfId="35579"/>
    <cellStyle name="SAPBEXstdItem 3 2 9" xfId="9384"/>
    <cellStyle name="SAPBEXstdItem 3 2 9 2" xfId="35584"/>
    <cellStyle name="SAPBEXstdItem 3 2 9 2 2" xfId="35585"/>
    <cellStyle name="SAPBEXstdItem 3 2 9 3" xfId="35586"/>
    <cellStyle name="SAPBEXstdItem 3 2 9 4" xfId="35583"/>
    <cellStyle name="SAPBEXstdItem 3 2_planning-WP" xfId="35587"/>
    <cellStyle name="SAPBEXstdItem 3 3" xfId="4527"/>
    <cellStyle name="SAPBEXstdItem 3 3 10" xfId="35589"/>
    <cellStyle name="SAPBEXstdItem 3 3 10 2" xfId="35590"/>
    <cellStyle name="SAPBEXstdItem 3 3 11" xfId="35588"/>
    <cellStyle name="SAPBEXstdItem 3 3 2" xfId="35591"/>
    <cellStyle name="SAPBEXstdItem 3 3 2 2" xfId="35592"/>
    <cellStyle name="SAPBEXstdItem 3 3 2 2 2" xfId="35593"/>
    <cellStyle name="SAPBEXstdItem 3 3 2 3" xfId="35594"/>
    <cellStyle name="SAPBEXstdItem 3 3 3" xfId="35595"/>
    <cellStyle name="SAPBEXstdItem 3 3 3 2" xfId="35596"/>
    <cellStyle name="SAPBEXstdItem 3 3 3 2 2" xfId="35597"/>
    <cellStyle name="SAPBEXstdItem 3 3 3 3" xfId="35598"/>
    <cellStyle name="SAPBEXstdItem 3 3 4" xfId="35599"/>
    <cellStyle name="SAPBEXstdItem 3 3 4 2" xfId="35600"/>
    <cellStyle name="SAPBEXstdItem 3 3 4 2 2" xfId="35601"/>
    <cellStyle name="SAPBEXstdItem 3 3 4 3" xfId="35602"/>
    <cellStyle name="SAPBEXstdItem 3 3 5" xfId="35603"/>
    <cellStyle name="SAPBEXstdItem 3 3 5 2" xfId="35604"/>
    <cellStyle name="SAPBEXstdItem 3 3 5 2 2" xfId="35605"/>
    <cellStyle name="SAPBEXstdItem 3 3 5 3" xfId="35606"/>
    <cellStyle name="SAPBEXstdItem 3 3 6" xfId="35607"/>
    <cellStyle name="SAPBEXstdItem 3 3 6 2" xfId="35608"/>
    <cellStyle name="SAPBEXstdItem 3 3 6 2 2" xfId="35609"/>
    <cellStyle name="SAPBEXstdItem 3 3 6 3" xfId="35610"/>
    <cellStyle name="SAPBEXstdItem 3 3 7" xfId="35611"/>
    <cellStyle name="SAPBEXstdItem 3 3 7 2" xfId="35612"/>
    <cellStyle name="SAPBEXstdItem 3 3 7 2 2" xfId="35613"/>
    <cellStyle name="SAPBEXstdItem 3 3 7 3" xfId="35614"/>
    <cellStyle name="SAPBEXstdItem 3 3 8" xfId="35615"/>
    <cellStyle name="SAPBEXstdItem 3 3 8 2" xfId="35616"/>
    <cellStyle name="SAPBEXstdItem 3 3 8 2 2" xfId="35617"/>
    <cellStyle name="SAPBEXstdItem 3 3 8 3" xfId="35618"/>
    <cellStyle name="SAPBEXstdItem 3 3 9" xfId="35619"/>
    <cellStyle name="SAPBEXstdItem 3 3 9 2" xfId="35620"/>
    <cellStyle name="SAPBEXstdItem 3 3 9 2 2" xfId="35621"/>
    <cellStyle name="SAPBEXstdItem 3 3 9 3" xfId="35622"/>
    <cellStyle name="SAPBEXstdItem 3 3_planning-WP" xfId="35623"/>
    <cellStyle name="SAPBEXstdItem 3 4" xfId="5519"/>
    <cellStyle name="SAPBEXstdItem 3 4 10" xfId="35624"/>
    <cellStyle name="SAPBEXstdItem 3 4 2" xfId="35625"/>
    <cellStyle name="SAPBEXstdItem 3 4 2 2" xfId="35626"/>
    <cellStyle name="SAPBEXstdItem 3 4 2 2 2" xfId="35627"/>
    <cellStyle name="SAPBEXstdItem 3 4 2 3" xfId="35628"/>
    <cellStyle name="SAPBEXstdItem 3 4 3" xfId="35629"/>
    <cellStyle name="SAPBEXstdItem 3 4 3 2" xfId="35630"/>
    <cellStyle name="SAPBEXstdItem 3 4 3 2 2" xfId="35631"/>
    <cellStyle name="SAPBEXstdItem 3 4 3 3" xfId="35632"/>
    <cellStyle name="SAPBEXstdItem 3 4 4" xfId="35633"/>
    <cellStyle name="SAPBEXstdItem 3 4 4 2" xfId="35634"/>
    <cellStyle name="SAPBEXstdItem 3 4 4 2 2" xfId="35635"/>
    <cellStyle name="SAPBEXstdItem 3 4 4 3" xfId="35636"/>
    <cellStyle name="SAPBEXstdItem 3 4 5" xfId="35637"/>
    <cellStyle name="SAPBEXstdItem 3 4 5 2" xfId="35638"/>
    <cellStyle name="SAPBEXstdItem 3 4 5 2 2" xfId="35639"/>
    <cellStyle name="SAPBEXstdItem 3 4 5 3" xfId="35640"/>
    <cellStyle name="SAPBEXstdItem 3 4 6" xfId="35641"/>
    <cellStyle name="SAPBEXstdItem 3 4 6 2" xfId="35642"/>
    <cellStyle name="SAPBEXstdItem 3 4 6 2 2" xfId="35643"/>
    <cellStyle name="SAPBEXstdItem 3 4 6 3" xfId="35644"/>
    <cellStyle name="SAPBEXstdItem 3 4 7" xfId="35645"/>
    <cellStyle name="SAPBEXstdItem 3 4 7 2" xfId="35646"/>
    <cellStyle name="SAPBEXstdItem 3 4 7 2 2" xfId="35647"/>
    <cellStyle name="SAPBEXstdItem 3 4 7 3" xfId="35648"/>
    <cellStyle name="SAPBEXstdItem 3 4 8" xfId="35649"/>
    <cellStyle name="SAPBEXstdItem 3 4 8 2" xfId="35650"/>
    <cellStyle name="SAPBEXstdItem 3 4 8 2 2" xfId="35651"/>
    <cellStyle name="SAPBEXstdItem 3 4 8 3" xfId="35652"/>
    <cellStyle name="SAPBEXstdItem 3 4 9" xfId="35653"/>
    <cellStyle name="SAPBEXstdItem 3 4 9 2" xfId="35654"/>
    <cellStyle name="SAPBEXstdItem 3 4_planning-WP" xfId="35655"/>
    <cellStyle name="SAPBEXstdItem 3 5" xfId="3848"/>
    <cellStyle name="SAPBEXstdItem 3 5 2" xfId="35657"/>
    <cellStyle name="SAPBEXstdItem 3 5 2 2" xfId="35658"/>
    <cellStyle name="SAPBEXstdItem 3 5 3" xfId="35656"/>
    <cellStyle name="SAPBEXstdItem 3 6" xfId="5080"/>
    <cellStyle name="SAPBEXstdItem 3 6 2" xfId="35660"/>
    <cellStyle name="SAPBEXstdItem 3 6 2 2" xfId="35661"/>
    <cellStyle name="SAPBEXstdItem 3 6 3" xfId="35662"/>
    <cellStyle name="SAPBEXstdItem 3 6 4" xfId="35659"/>
    <cellStyle name="SAPBEXstdItem 3 7" xfId="3236"/>
    <cellStyle name="SAPBEXstdItem 3 7 2" xfId="35664"/>
    <cellStyle name="SAPBEXstdItem 3 7 2 2" xfId="35665"/>
    <cellStyle name="SAPBEXstdItem 3 7 3" xfId="35666"/>
    <cellStyle name="SAPBEXstdItem 3 7 4" xfId="35663"/>
    <cellStyle name="SAPBEXstdItem 3 8" xfId="8067"/>
    <cellStyle name="SAPBEXstdItem 3 8 2" xfId="35668"/>
    <cellStyle name="SAPBEXstdItem 3 8 2 2" xfId="35669"/>
    <cellStyle name="SAPBEXstdItem 3 8 3" xfId="35670"/>
    <cellStyle name="SAPBEXstdItem 3 8 4" xfId="35667"/>
    <cellStyle name="SAPBEXstdItem 3 9" xfId="8568"/>
    <cellStyle name="SAPBEXstdItem 3 9 2" xfId="35672"/>
    <cellStyle name="SAPBEXstdItem 3 9 2 2" xfId="35673"/>
    <cellStyle name="SAPBEXstdItem 3 9 3" xfId="35674"/>
    <cellStyle name="SAPBEXstdItem 3 9 4" xfId="35671"/>
    <cellStyle name="SAPBEXstdItem 3_planning-WP" xfId="35675"/>
    <cellStyle name="SAPBEXstdItem 4" xfId="1718"/>
    <cellStyle name="SAPBEXstdItem 4 10" xfId="9175"/>
    <cellStyle name="SAPBEXstdItem 4 10 2" xfId="35678"/>
    <cellStyle name="SAPBEXstdItem 4 10 2 2" xfId="35679"/>
    <cellStyle name="SAPBEXstdItem 4 10 3" xfId="35680"/>
    <cellStyle name="SAPBEXstdItem 4 10 4" xfId="35677"/>
    <cellStyle name="SAPBEXstdItem 4 11" xfId="35681"/>
    <cellStyle name="SAPBEXstdItem 4 11 2" xfId="35682"/>
    <cellStyle name="SAPBEXstdItem 4 11 2 2" xfId="35683"/>
    <cellStyle name="SAPBEXstdItem 4 11 3" xfId="35684"/>
    <cellStyle name="SAPBEXstdItem 4 12" xfId="35685"/>
    <cellStyle name="SAPBEXstdItem 4 12 2" xfId="35686"/>
    <cellStyle name="SAPBEXstdItem 4 12 2 2" xfId="35687"/>
    <cellStyle name="SAPBEXstdItem 4 12 3" xfId="35688"/>
    <cellStyle name="SAPBEXstdItem 4 13" xfId="35689"/>
    <cellStyle name="SAPBEXstdItem 4 14" xfId="35690"/>
    <cellStyle name="SAPBEXstdItem 4 15" xfId="35676"/>
    <cellStyle name="SAPBEXstdItem 4 16" xfId="9914"/>
    <cellStyle name="SAPBEXstdItem 4 17" xfId="39166"/>
    <cellStyle name="SAPBEXstdItem 4 18" xfId="39544"/>
    <cellStyle name="SAPBEXstdItem 4 2" xfId="2049"/>
    <cellStyle name="SAPBEXstdItem 4 2 10" xfId="35692"/>
    <cellStyle name="SAPBEXstdItem 4 2 10 2" xfId="35693"/>
    <cellStyle name="SAPBEXstdItem 4 2 10 2 2" xfId="35694"/>
    <cellStyle name="SAPBEXstdItem 4 2 10 3" xfId="35695"/>
    <cellStyle name="SAPBEXstdItem 4 2 11" xfId="35696"/>
    <cellStyle name="SAPBEXstdItem 4 2 11 2" xfId="35697"/>
    <cellStyle name="SAPBEXstdItem 4 2 12" xfId="35691"/>
    <cellStyle name="SAPBEXstdItem 4 2 13" xfId="10226"/>
    <cellStyle name="SAPBEXstdItem 4 2 2" xfId="4966"/>
    <cellStyle name="SAPBEXstdItem 4 2 2 10" xfId="35699"/>
    <cellStyle name="SAPBEXstdItem 4 2 2 10 2" xfId="35700"/>
    <cellStyle name="SAPBEXstdItem 4 2 2 11" xfId="35698"/>
    <cellStyle name="SAPBEXstdItem 4 2 2 2" xfId="35701"/>
    <cellStyle name="SAPBEXstdItem 4 2 2 2 2" xfId="35702"/>
    <cellStyle name="SAPBEXstdItem 4 2 2 2 2 2" xfId="35703"/>
    <cellStyle name="SAPBEXstdItem 4 2 2 2 3" xfId="35704"/>
    <cellStyle name="SAPBEXstdItem 4 2 2 3" xfId="35705"/>
    <cellStyle name="SAPBEXstdItem 4 2 2 3 2" xfId="35706"/>
    <cellStyle name="SAPBEXstdItem 4 2 2 3 2 2" xfId="35707"/>
    <cellStyle name="SAPBEXstdItem 4 2 2 3 3" xfId="35708"/>
    <cellStyle name="SAPBEXstdItem 4 2 2 4" xfId="35709"/>
    <cellStyle name="SAPBEXstdItem 4 2 2 4 2" xfId="35710"/>
    <cellStyle name="SAPBEXstdItem 4 2 2 4 2 2" xfId="35711"/>
    <cellStyle name="SAPBEXstdItem 4 2 2 4 3" xfId="35712"/>
    <cellStyle name="SAPBEXstdItem 4 2 2 5" xfId="35713"/>
    <cellStyle name="SAPBEXstdItem 4 2 2 5 2" xfId="35714"/>
    <cellStyle name="SAPBEXstdItem 4 2 2 5 2 2" xfId="35715"/>
    <cellStyle name="SAPBEXstdItem 4 2 2 5 3" xfId="35716"/>
    <cellStyle name="SAPBEXstdItem 4 2 2 6" xfId="35717"/>
    <cellStyle name="SAPBEXstdItem 4 2 2 6 2" xfId="35718"/>
    <cellStyle name="SAPBEXstdItem 4 2 2 6 2 2" xfId="35719"/>
    <cellStyle name="SAPBEXstdItem 4 2 2 6 3" xfId="35720"/>
    <cellStyle name="SAPBEXstdItem 4 2 2 7" xfId="35721"/>
    <cellStyle name="SAPBEXstdItem 4 2 2 7 2" xfId="35722"/>
    <cellStyle name="SAPBEXstdItem 4 2 2 7 2 2" xfId="35723"/>
    <cellStyle name="SAPBEXstdItem 4 2 2 7 3" xfId="35724"/>
    <cellStyle name="SAPBEXstdItem 4 2 2 8" xfId="35725"/>
    <cellStyle name="SAPBEXstdItem 4 2 2 8 2" xfId="35726"/>
    <cellStyle name="SAPBEXstdItem 4 2 2 8 2 2" xfId="35727"/>
    <cellStyle name="SAPBEXstdItem 4 2 2 8 3" xfId="35728"/>
    <cellStyle name="SAPBEXstdItem 4 2 2 9" xfId="35729"/>
    <cellStyle name="SAPBEXstdItem 4 2 2 9 2" xfId="35730"/>
    <cellStyle name="SAPBEXstdItem 4 2 2 9 2 2" xfId="35731"/>
    <cellStyle name="SAPBEXstdItem 4 2 2 9 3" xfId="35732"/>
    <cellStyle name="SAPBEXstdItem 4 2 2_planning-WP" xfId="35733"/>
    <cellStyle name="SAPBEXstdItem 4 2 3" xfId="5945"/>
    <cellStyle name="SAPBEXstdItem 4 2 3 2" xfId="35735"/>
    <cellStyle name="SAPBEXstdItem 4 2 3 2 2" xfId="35736"/>
    <cellStyle name="SAPBEXstdItem 4 2 3 3" xfId="35737"/>
    <cellStyle name="SAPBEXstdItem 4 2 3 4" xfId="35734"/>
    <cellStyle name="SAPBEXstdItem 4 2 4" xfId="6453"/>
    <cellStyle name="SAPBEXstdItem 4 2 4 2" xfId="35739"/>
    <cellStyle name="SAPBEXstdItem 4 2 4 2 2" xfId="35740"/>
    <cellStyle name="SAPBEXstdItem 4 2 4 3" xfId="35741"/>
    <cellStyle name="SAPBEXstdItem 4 2 4 4" xfId="35738"/>
    <cellStyle name="SAPBEXstdItem 4 2 5" xfId="6940"/>
    <cellStyle name="SAPBEXstdItem 4 2 5 2" xfId="35743"/>
    <cellStyle name="SAPBEXstdItem 4 2 5 2 2" xfId="35744"/>
    <cellStyle name="SAPBEXstdItem 4 2 5 3" xfId="35745"/>
    <cellStyle name="SAPBEXstdItem 4 2 5 4" xfId="35742"/>
    <cellStyle name="SAPBEXstdItem 4 2 6" xfId="7423"/>
    <cellStyle name="SAPBEXstdItem 4 2 6 2" xfId="35747"/>
    <cellStyle name="SAPBEXstdItem 4 2 6 2 2" xfId="35748"/>
    <cellStyle name="SAPBEXstdItem 4 2 6 3" xfId="35749"/>
    <cellStyle name="SAPBEXstdItem 4 2 6 4" xfId="35746"/>
    <cellStyle name="SAPBEXstdItem 4 2 7" xfId="8492"/>
    <cellStyle name="SAPBEXstdItem 4 2 7 2" xfId="35751"/>
    <cellStyle name="SAPBEXstdItem 4 2 7 2 2" xfId="35752"/>
    <cellStyle name="SAPBEXstdItem 4 2 7 3" xfId="35753"/>
    <cellStyle name="SAPBEXstdItem 4 2 7 4" xfId="35750"/>
    <cellStyle name="SAPBEXstdItem 4 2 8" xfId="8993"/>
    <cellStyle name="SAPBEXstdItem 4 2 8 2" xfId="35755"/>
    <cellStyle name="SAPBEXstdItem 4 2 8 2 2" xfId="35756"/>
    <cellStyle name="SAPBEXstdItem 4 2 8 3" xfId="35757"/>
    <cellStyle name="SAPBEXstdItem 4 2 8 4" xfId="35754"/>
    <cellStyle name="SAPBEXstdItem 4 2 9" xfId="9487"/>
    <cellStyle name="SAPBEXstdItem 4 2 9 2" xfId="35759"/>
    <cellStyle name="SAPBEXstdItem 4 2 9 2 2" xfId="35760"/>
    <cellStyle name="SAPBEXstdItem 4 2 9 3" xfId="35761"/>
    <cellStyle name="SAPBEXstdItem 4 2 9 4" xfId="35758"/>
    <cellStyle name="SAPBEXstdItem 4 2_planning-WP" xfId="35762"/>
    <cellStyle name="SAPBEXstdItem 4 3" xfId="4640"/>
    <cellStyle name="SAPBEXstdItem 4 3 10" xfId="35764"/>
    <cellStyle name="SAPBEXstdItem 4 3 10 2" xfId="35765"/>
    <cellStyle name="SAPBEXstdItem 4 3 11" xfId="35763"/>
    <cellStyle name="SAPBEXstdItem 4 3 2" xfId="35766"/>
    <cellStyle name="SAPBEXstdItem 4 3 2 2" xfId="35767"/>
    <cellStyle name="SAPBEXstdItem 4 3 2 2 2" xfId="35768"/>
    <cellStyle name="SAPBEXstdItem 4 3 2 3" xfId="35769"/>
    <cellStyle name="SAPBEXstdItem 4 3 3" xfId="35770"/>
    <cellStyle name="SAPBEXstdItem 4 3 3 2" xfId="35771"/>
    <cellStyle name="SAPBEXstdItem 4 3 3 2 2" xfId="35772"/>
    <cellStyle name="SAPBEXstdItem 4 3 3 3" xfId="35773"/>
    <cellStyle name="SAPBEXstdItem 4 3 4" xfId="35774"/>
    <cellStyle name="SAPBEXstdItem 4 3 4 2" xfId="35775"/>
    <cellStyle name="SAPBEXstdItem 4 3 4 2 2" xfId="35776"/>
    <cellStyle name="SAPBEXstdItem 4 3 4 3" xfId="35777"/>
    <cellStyle name="SAPBEXstdItem 4 3 5" xfId="35778"/>
    <cellStyle name="SAPBEXstdItem 4 3 5 2" xfId="35779"/>
    <cellStyle name="SAPBEXstdItem 4 3 5 2 2" xfId="35780"/>
    <cellStyle name="SAPBEXstdItem 4 3 5 3" xfId="35781"/>
    <cellStyle name="SAPBEXstdItem 4 3 6" xfId="35782"/>
    <cellStyle name="SAPBEXstdItem 4 3 6 2" xfId="35783"/>
    <cellStyle name="SAPBEXstdItem 4 3 6 2 2" xfId="35784"/>
    <cellStyle name="SAPBEXstdItem 4 3 6 3" xfId="35785"/>
    <cellStyle name="SAPBEXstdItem 4 3 7" xfId="35786"/>
    <cellStyle name="SAPBEXstdItem 4 3 7 2" xfId="35787"/>
    <cellStyle name="SAPBEXstdItem 4 3 7 2 2" xfId="35788"/>
    <cellStyle name="SAPBEXstdItem 4 3 7 3" xfId="35789"/>
    <cellStyle name="SAPBEXstdItem 4 3 8" xfId="35790"/>
    <cellStyle name="SAPBEXstdItem 4 3 8 2" xfId="35791"/>
    <cellStyle name="SAPBEXstdItem 4 3 8 2 2" xfId="35792"/>
    <cellStyle name="SAPBEXstdItem 4 3 8 3" xfId="35793"/>
    <cellStyle name="SAPBEXstdItem 4 3 9" xfId="35794"/>
    <cellStyle name="SAPBEXstdItem 4 3 9 2" xfId="35795"/>
    <cellStyle name="SAPBEXstdItem 4 3 9 2 2" xfId="35796"/>
    <cellStyle name="SAPBEXstdItem 4 3 9 3" xfId="35797"/>
    <cellStyle name="SAPBEXstdItem 4 3_planning-WP" xfId="35798"/>
    <cellStyle name="SAPBEXstdItem 4 4" xfId="5632"/>
    <cellStyle name="SAPBEXstdItem 4 4 10" xfId="35799"/>
    <cellStyle name="SAPBEXstdItem 4 4 2" xfId="35800"/>
    <cellStyle name="SAPBEXstdItem 4 4 2 2" xfId="35801"/>
    <cellStyle name="SAPBEXstdItem 4 4 2 2 2" xfId="35802"/>
    <cellStyle name="SAPBEXstdItem 4 4 2 3" xfId="35803"/>
    <cellStyle name="SAPBEXstdItem 4 4 3" xfId="35804"/>
    <cellStyle name="SAPBEXstdItem 4 4 3 2" xfId="35805"/>
    <cellStyle name="SAPBEXstdItem 4 4 3 2 2" xfId="35806"/>
    <cellStyle name="SAPBEXstdItem 4 4 3 3" xfId="35807"/>
    <cellStyle name="SAPBEXstdItem 4 4 4" xfId="35808"/>
    <cellStyle name="SAPBEXstdItem 4 4 4 2" xfId="35809"/>
    <cellStyle name="SAPBEXstdItem 4 4 4 2 2" xfId="35810"/>
    <cellStyle name="SAPBEXstdItem 4 4 4 3" xfId="35811"/>
    <cellStyle name="SAPBEXstdItem 4 4 5" xfId="35812"/>
    <cellStyle name="SAPBEXstdItem 4 4 5 2" xfId="35813"/>
    <cellStyle name="SAPBEXstdItem 4 4 5 2 2" xfId="35814"/>
    <cellStyle name="SAPBEXstdItem 4 4 5 3" xfId="35815"/>
    <cellStyle name="SAPBEXstdItem 4 4 6" xfId="35816"/>
    <cellStyle name="SAPBEXstdItem 4 4 6 2" xfId="35817"/>
    <cellStyle name="SAPBEXstdItem 4 4 6 2 2" xfId="35818"/>
    <cellStyle name="SAPBEXstdItem 4 4 6 3" xfId="35819"/>
    <cellStyle name="SAPBEXstdItem 4 4 7" xfId="35820"/>
    <cellStyle name="SAPBEXstdItem 4 4 7 2" xfId="35821"/>
    <cellStyle name="SAPBEXstdItem 4 4 7 2 2" xfId="35822"/>
    <cellStyle name="SAPBEXstdItem 4 4 7 3" xfId="35823"/>
    <cellStyle name="SAPBEXstdItem 4 4 8" xfId="35824"/>
    <cellStyle name="SAPBEXstdItem 4 4 8 2" xfId="35825"/>
    <cellStyle name="SAPBEXstdItem 4 4 8 2 2" xfId="35826"/>
    <cellStyle name="SAPBEXstdItem 4 4 8 3" xfId="35827"/>
    <cellStyle name="SAPBEXstdItem 4 4 9" xfId="35828"/>
    <cellStyle name="SAPBEXstdItem 4 4 9 2" xfId="35829"/>
    <cellStyle name="SAPBEXstdItem 4 4_planning-WP" xfId="35830"/>
    <cellStyle name="SAPBEXstdItem 4 5" xfId="6141"/>
    <cellStyle name="SAPBEXstdItem 4 5 2" xfId="35832"/>
    <cellStyle name="SAPBEXstdItem 4 5 2 2" xfId="35833"/>
    <cellStyle name="SAPBEXstdItem 4 5 3" xfId="35831"/>
    <cellStyle name="SAPBEXstdItem 4 6" xfId="6628"/>
    <cellStyle name="SAPBEXstdItem 4 6 2" xfId="35835"/>
    <cellStyle name="SAPBEXstdItem 4 6 2 2" xfId="35836"/>
    <cellStyle name="SAPBEXstdItem 4 6 3" xfId="35837"/>
    <cellStyle name="SAPBEXstdItem 4 6 4" xfId="35834"/>
    <cellStyle name="SAPBEXstdItem 4 7" xfId="7111"/>
    <cellStyle name="SAPBEXstdItem 4 7 2" xfId="35839"/>
    <cellStyle name="SAPBEXstdItem 4 7 2 2" xfId="35840"/>
    <cellStyle name="SAPBEXstdItem 4 7 3" xfId="35841"/>
    <cellStyle name="SAPBEXstdItem 4 7 4" xfId="35838"/>
    <cellStyle name="SAPBEXstdItem 4 8" xfId="8180"/>
    <cellStyle name="SAPBEXstdItem 4 8 2" xfId="35843"/>
    <cellStyle name="SAPBEXstdItem 4 8 2 2" xfId="35844"/>
    <cellStyle name="SAPBEXstdItem 4 8 3" xfId="35845"/>
    <cellStyle name="SAPBEXstdItem 4 8 4" xfId="35842"/>
    <cellStyle name="SAPBEXstdItem 4 9" xfId="8681"/>
    <cellStyle name="SAPBEXstdItem 4 9 2" xfId="35847"/>
    <cellStyle name="SAPBEXstdItem 4 9 2 2" xfId="35848"/>
    <cellStyle name="SAPBEXstdItem 4 9 3" xfId="35849"/>
    <cellStyle name="SAPBEXstdItem 4 9 4" xfId="35846"/>
    <cellStyle name="SAPBEXstdItem 4_planning-WP" xfId="35850"/>
    <cellStyle name="SAPBEXstdItem 5" xfId="1663"/>
    <cellStyle name="SAPBEXstdItem 5 10" xfId="9121"/>
    <cellStyle name="SAPBEXstdItem 5 10 2" xfId="35853"/>
    <cellStyle name="SAPBEXstdItem 5 10 2 2" xfId="35854"/>
    <cellStyle name="SAPBEXstdItem 5 10 3" xfId="35855"/>
    <cellStyle name="SAPBEXstdItem 5 10 4" xfId="35852"/>
    <cellStyle name="SAPBEXstdItem 5 11" xfId="35856"/>
    <cellStyle name="SAPBEXstdItem 5 11 2" xfId="35857"/>
    <cellStyle name="SAPBEXstdItem 5 11 2 2" xfId="35858"/>
    <cellStyle name="SAPBEXstdItem 5 11 3" xfId="35859"/>
    <cellStyle name="SAPBEXstdItem 5 12" xfId="35860"/>
    <cellStyle name="SAPBEXstdItem 5 12 2" xfId="35861"/>
    <cellStyle name="SAPBEXstdItem 5 12 2 2" xfId="35862"/>
    <cellStyle name="SAPBEXstdItem 5 12 3" xfId="35863"/>
    <cellStyle name="SAPBEXstdItem 5 13" xfId="35864"/>
    <cellStyle name="SAPBEXstdItem 5 14" xfId="35865"/>
    <cellStyle name="SAPBEXstdItem 5 15" xfId="35851"/>
    <cellStyle name="SAPBEXstdItem 5 16" xfId="9860"/>
    <cellStyle name="SAPBEXstdItem 5 17" xfId="39167"/>
    <cellStyle name="SAPBEXstdItem 5 18" xfId="39545"/>
    <cellStyle name="SAPBEXstdItem 5 2" xfId="1997"/>
    <cellStyle name="SAPBEXstdItem 5 2 10" xfId="35867"/>
    <cellStyle name="SAPBEXstdItem 5 2 10 2" xfId="35868"/>
    <cellStyle name="SAPBEXstdItem 5 2 10 2 2" xfId="35869"/>
    <cellStyle name="SAPBEXstdItem 5 2 10 3" xfId="35870"/>
    <cellStyle name="SAPBEXstdItem 5 2 11" xfId="35871"/>
    <cellStyle name="SAPBEXstdItem 5 2 11 2" xfId="35872"/>
    <cellStyle name="SAPBEXstdItem 5 2 12" xfId="35866"/>
    <cellStyle name="SAPBEXstdItem 5 2 13" xfId="10175"/>
    <cellStyle name="SAPBEXstdItem 5 2 2" xfId="4915"/>
    <cellStyle name="SAPBEXstdItem 5 2 2 10" xfId="35874"/>
    <cellStyle name="SAPBEXstdItem 5 2 2 10 2" xfId="35875"/>
    <cellStyle name="SAPBEXstdItem 5 2 2 11" xfId="35873"/>
    <cellStyle name="SAPBEXstdItem 5 2 2 2" xfId="35876"/>
    <cellStyle name="SAPBEXstdItem 5 2 2 2 2" xfId="35877"/>
    <cellStyle name="SAPBEXstdItem 5 2 2 2 2 2" xfId="35878"/>
    <cellStyle name="SAPBEXstdItem 5 2 2 2 3" xfId="35879"/>
    <cellStyle name="SAPBEXstdItem 5 2 2 3" xfId="35880"/>
    <cellStyle name="SAPBEXstdItem 5 2 2 3 2" xfId="35881"/>
    <cellStyle name="SAPBEXstdItem 5 2 2 3 2 2" xfId="35882"/>
    <cellStyle name="SAPBEXstdItem 5 2 2 3 3" xfId="35883"/>
    <cellStyle name="SAPBEXstdItem 5 2 2 4" xfId="35884"/>
    <cellStyle name="SAPBEXstdItem 5 2 2 4 2" xfId="35885"/>
    <cellStyle name="SAPBEXstdItem 5 2 2 4 2 2" xfId="35886"/>
    <cellStyle name="SAPBEXstdItem 5 2 2 4 3" xfId="35887"/>
    <cellStyle name="SAPBEXstdItem 5 2 2 5" xfId="35888"/>
    <cellStyle name="SAPBEXstdItem 5 2 2 5 2" xfId="35889"/>
    <cellStyle name="SAPBEXstdItem 5 2 2 5 2 2" xfId="35890"/>
    <cellStyle name="SAPBEXstdItem 5 2 2 5 3" xfId="35891"/>
    <cellStyle name="SAPBEXstdItem 5 2 2 6" xfId="35892"/>
    <cellStyle name="SAPBEXstdItem 5 2 2 6 2" xfId="35893"/>
    <cellStyle name="SAPBEXstdItem 5 2 2 6 2 2" xfId="35894"/>
    <cellStyle name="SAPBEXstdItem 5 2 2 6 3" xfId="35895"/>
    <cellStyle name="SAPBEXstdItem 5 2 2 7" xfId="35896"/>
    <cellStyle name="SAPBEXstdItem 5 2 2 7 2" xfId="35897"/>
    <cellStyle name="SAPBEXstdItem 5 2 2 7 2 2" xfId="35898"/>
    <cellStyle name="SAPBEXstdItem 5 2 2 7 3" xfId="35899"/>
    <cellStyle name="SAPBEXstdItem 5 2 2 8" xfId="35900"/>
    <cellStyle name="SAPBEXstdItem 5 2 2 8 2" xfId="35901"/>
    <cellStyle name="SAPBEXstdItem 5 2 2 8 2 2" xfId="35902"/>
    <cellStyle name="SAPBEXstdItem 5 2 2 8 3" xfId="35903"/>
    <cellStyle name="SAPBEXstdItem 5 2 2 9" xfId="35904"/>
    <cellStyle name="SAPBEXstdItem 5 2 2 9 2" xfId="35905"/>
    <cellStyle name="SAPBEXstdItem 5 2 2 9 2 2" xfId="35906"/>
    <cellStyle name="SAPBEXstdItem 5 2 2 9 3" xfId="35907"/>
    <cellStyle name="SAPBEXstdItem 5 2 2_planning-WP" xfId="35908"/>
    <cellStyle name="SAPBEXstdItem 5 2 3" xfId="5894"/>
    <cellStyle name="SAPBEXstdItem 5 2 3 2" xfId="35910"/>
    <cellStyle name="SAPBEXstdItem 5 2 3 2 2" xfId="35911"/>
    <cellStyle name="SAPBEXstdItem 5 2 3 3" xfId="35912"/>
    <cellStyle name="SAPBEXstdItem 5 2 3 4" xfId="35909"/>
    <cellStyle name="SAPBEXstdItem 5 2 4" xfId="6402"/>
    <cellStyle name="SAPBEXstdItem 5 2 4 2" xfId="35914"/>
    <cellStyle name="SAPBEXstdItem 5 2 4 2 2" xfId="35915"/>
    <cellStyle name="SAPBEXstdItem 5 2 4 3" xfId="35916"/>
    <cellStyle name="SAPBEXstdItem 5 2 4 4" xfId="35913"/>
    <cellStyle name="SAPBEXstdItem 5 2 5" xfId="6889"/>
    <cellStyle name="SAPBEXstdItem 5 2 5 2" xfId="35918"/>
    <cellStyle name="SAPBEXstdItem 5 2 5 2 2" xfId="35919"/>
    <cellStyle name="SAPBEXstdItem 5 2 5 3" xfId="35920"/>
    <cellStyle name="SAPBEXstdItem 5 2 5 4" xfId="35917"/>
    <cellStyle name="SAPBEXstdItem 5 2 6" xfId="7372"/>
    <cellStyle name="SAPBEXstdItem 5 2 6 2" xfId="35922"/>
    <cellStyle name="SAPBEXstdItem 5 2 6 2 2" xfId="35923"/>
    <cellStyle name="SAPBEXstdItem 5 2 6 3" xfId="35924"/>
    <cellStyle name="SAPBEXstdItem 5 2 6 4" xfId="35921"/>
    <cellStyle name="SAPBEXstdItem 5 2 7" xfId="8441"/>
    <cellStyle name="SAPBEXstdItem 5 2 7 2" xfId="35926"/>
    <cellStyle name="SAPBEXstdItem 5 2 7 2 2" xfId="35927"/>
    <cellStyle name="SAPBEXstdItem 5 2 7 3" xfId="35928"/>
    <cellStyle name="SAPBEXstdItem 5 2 7 4" xfId="35925"/>
    <cellStyle name="SAPBEXstdItem 5 2 8" xfId="8942"/>
    <cellStyle name="SAPBEXstdItem 5 2 8 2" xfId="35930"/>
    <cellStyle name="SAPBEXstdItem 5 2 8 2 2" xfId="35931"/>
    <cellStyle name="SAPBEXstdItem 5 2 8 3" xfId="35932"/>
    <cellStyle name="SAPBEXstdItem 5 2 8 4" xfId="35929"/>
    <cellStyle name="SAPBEXstdItem 5 2 9" xfId="9436"/>
    <cellStyle name="SAPBEXstdItem 5 2 9 2" xfId="35934"/>
    <cellStyle name="SAPBEXstdItem 5 2 9 2 2" xfId="35935"/>
    <cellStyle name="SAPBEXstdItem 5 2 9 3" xfId="35936"/>
    <cellStyle name="SAPBEXstdItem 5 2 9 4" xfId="35933"/>
    <cellStyle name="SAPBEXstdItem 5 2_planning-WP" xfId="35937"/>
    <cellStyle name="SAPBEXstdItem 5 3" xfId="4586"/>
    <cellStyle name="SAPBEXstdItem 5 3 10" xfId="35939"/>
    <cellStyle name="SAPBEXstdItem 5 3 10 2" xfId="35940"/>
    <cellStyle name="SAPBEXstdItem 5 3 11" xfId="35938"/>
    <cellStyle name="SAPBEXstdItem 5 3 2" xfId="35941"/>
    <cellStyle name="SAPBEXstdItem 5 3 2 2" xfId="35942"/>
    <cellStyle name="SAPBEXstdItem 5 3 2 2 2" xfId="35943"/>
    <cellStyle name="SAPBEXstdItem 5 3 2 3" xfId="35944"/>
    <cellStyle name="SAPBEXstdItem 5 3 3" xfId="35945"/>
    <cellStyle name="SAPBEXstdItem 5 3 3 2" xfId="35946"/>
    <cellStyle name="SAPBEXstdItem 5 3 3 2 2" xfId="35947"/>
    <cellStyle name="SAPBEXstdItem 5 3 3 3" xfId="35948"/>
    <cellStyle name="SAPBEXstdItem 5 3 4" xfId="35949"/>
    <cellStyle name="SAPBEXstdItem 5 3 4 2" xfId="35950"/>
    <cellStyle name="SAPBEXstdItem 5 3 4 2 2" xfId="35951"/>
    <cellStyle name="SAPBEXstdItem 5 3 4 3" xfId="35952"/>
    <cellStyle name="SAPBEXstdItem 5 3 5" xfId="35953"/>
    <cellStyle name="SAPBEXstdItem 5 3 5 2" xfId="35954"/>
    <cellStyle name="SAPBEXstdItem 5 3 5 2 2" xfId="35955"/>
    <cellStyle name="SAPBEXstdItem 5 3 5 3" xfId="35956"/>
    <cellStyle name="SAPBEXstdItem 5 3 6" xfId="35957"/>
    <cellStyle name="SAPBEXstdItem 5 3 6 2" xfId="35958"/>
    <cellStyle name="SAPBEXstdItem 5 3 6 2 2" xfId="35959"/>
    <cellStyle name="SAPBEXstdItem 5 3 6 3" xfId="35960"/>
    <cellStyle name="SAPBEXstdItem 5 3 7" xfId="35961"/>
    <cellStyle name="SAPBEXstdItem 5 3 7 2" xfId="35962"/>
    <cellStyle name="SAPBEXstdItem 5 3 7 2 2" xfId="35963"/>
    <cellStyle name="SAPBEXstdItem 5 3 7 3" xfId="35964"/>
    <cellStyle name="SAPBEXstdItem 5 3 8" xfId="35965"/>
    <cellStyle name="SAPBEXstdItem 5 3 8 2" xfId="35966"/>
    <cellStyle name="SAPBEXstdItem 5 3 8 2 2" xfId="35967"/>
    <cellStyle name="SAPBEXstdItem 5 3 8 3" xfId="35968"/>
    <cellStyle name="SAPBEXstdItem 5 3 9" xfId="35969"/>
    <cellStyle name="SAPBEXstdItem 5 3 9 2" xfId="35970"/>
    <cellStyle name="SAPBEXstdItem 5 3 9 2 2" xfId="35971"/>
    <cellStyle name="SAPBEXstdItem 5 3 9 3" xfId="35972"/>
    <cellStyle name="SAPBEXstdItem 5 3_planning-WP" xfId="35973"/>
    <cellStyle name="SAPBEXstdItem 5 4" xfId="5578"/>
    <cellStyle name="SAPBEXstdItem 5 4 10" xfId="35974"/>
    <cellStyle name="SAPBEXstdItem 5 4 2" xfId="35975"/>
    <cellStyle name="SAPBEXstdItem 5 4 2 2" xfId="35976"/>
    <cellStyle name="SAPBEXstdItem 5 4 2 2 2" xfId="35977"/>
    <cellStyle name="SAPBEXstdItem 5 4 2 3" xfId="35978"/>
    <cellStyle name="SAPBEXstdItem 5 4 3" xfId="35979"/>
    <cellStyle name="SAPBEXstdItem 5 4 3 2" xfId="35980"/>
    <cellStyle name="SAPBEXstdItem 5 4 3 2 2" xfId="35981"/>
    <cellStyle name="SAPBEXstdItem 5 4 3 3" xfId="35982"/>
    <cellStyle name="SAPBEXstdItem 5 4 4" xfId="35983"/>
    <cellStyle name="SAPBEXstdItem 5 4 4 2" xfId="35984"/>
    <cellStyle name="SAPBEXstdItem 5 4 4 2 2" xfId="35985"/>
    <cellStyle name="SAPBEXstdItem 5 4 4 3" xfId="35986"/>
    <cellStyle name="SAPBEXstdItem 5 4 5" xfId="35987"/>
    <cellStyle name="SAPBEXstdItem 5 4 5 2" xfId="35988"/>
    <cellStyle name="SAPBEXstdItem 5 4 5 2 2" xfId="35989"/>
    <cellStyle name="SAPBEXstdItem 5 4 5 3" xfId="35990"/>
    <cellStyle name="SAPBEXstdItem 5 4 6" xfId="35991"/>
    <cellStyle name="SAPBEXstdItem 5 4 6 2" xfId="35992"/>
    <cellStyle name="SAPBEXstdItem 5 4 6 2 2" xfId="35993"/>
    <cellStyle name="SAPBEXstdItem 5 4 6 3" xfId="35994"/>
    <cellStyle name="SAPBEXstdItem 5 4 7" xfId="35995"/>
    <cellStyle name="SAPBEXstdItem 5 4 7 2" xfId="35996"/>
    <cellStyle name="SAPBEXstdItem 5 4 7 2 2" xfId="35997"/>
    <cellStyle name="SAPBEXstdItem 5 4 7 3" xfId="35998"/>
    <cellStyle name="SAPBEXstdItem 5 4 8" xfId="35999"/>
    <cellStyle name="SAPBEXstdItem 5 4 8 2" xfId="36000"/>
    <cellStyle name="SAPBEXstdItem 5 4 8 2 2" xfId="36001"/>
    <cellStyle name="SAPBEXstdItem 5 4 8 3" xfId="36002"/>
    <cellStyle name="SAPBEXstdItem 5 4 9" xfId="36003"/>
    <cellStyle name="SAPBEXstdItem 5 4 9 2" xfId="36004"/>
    <cellStyle name="SAPBEXstdItem 5 4_planning-WP" xfId="36005"/>
    <cellStyle name="SAPBEXstdItem 5 5" xfId="6087"/>
    <cellStyle name="SAPBEXstdItem 5 5 2" xfId="36007"/>
    <cellStyle name="SAPBEXstdItem 5 5 2 2" xfId="36008"/>
    <cellStyle name="SAPBEXstdItem 5 5 3" xfId="36006"/>
    <cellStyle name="SAPBEXstdItem 5 6" xfId="6574"/>
    <cellStyle name="SAPBEXstdItem 5 6 2" xfId="36010"/>
    <cellStyle name="SAPBEXstdItem 5 6 2 2" xfId="36011"/>
    <cellStyle name="SAPBEXstdItem 5 6 3" xfId="36012"/>
    <cellStyle name="SAPBEXstdItem 5 6 4" xfId="36009"/>
    <cellStyle name="SAPBEXstdItem 5 7" xfId="7057"/>
    <cellStyle name="SAPBEXstdItem 5 7 2" xfId="36014"/>
    <cellStyle name="SAPBEXstdItem 5 7 2 2" xfId="36015"/>
    <cellStyle name="SAPBEXstdItem 5 7 3" xfId="36016"/>
    <cellStyle name="SAPBEXstdItem 5 7 4" xfId="36013"/>
    <cellStyle name="SAPBEXstdItem 5 8" xfId="8126"/>
    <cellStyle name="SAPBEXstdItem 5 8 2" xfId="36018"/>
    <cellStyle name="SAPBEXstdItem 5 8 2 2" xfId="36019"/>
    <cellStyle name="SAPBEXstdItem 5 8 3" xfId="36020"/>
    <cellStyle name="SAPBEXstdItem 5 8 4" xfId="36017"/>
    <cellStyle name="SAPBEXstdItem 5 9" xfId="8627"/>
    <cellStyle name="SAPBEXstdItem 5 9 2" xfId="36022"/>
    <cellStyle name="SAPBEXstdItem 5 9 2 2" xfId="36023"/>
    <cellStyle name="SAPBEXstdItem 5 9 3" xfId="36024"/>
    <cellStyle name="SAPBEXstdItem 5 9 4" xfId="36021"/>
    <cellStyle name="SAPBEXstdItem 5_planning-WP" xfId="36025"/>
    <cellStyle name="SAPBEXstdItem 6" xfId="1747"/>
    <cellStyle name="SAPBEXstdItem 6 10" xfId="9202"/>
    <cellStyle name="SAPBEXstdItem 6 10 2" xfId="36028"/>
    <cellStyle name="SAPBEXstdItem 6 10 2 2" xfId="36029"/>
    <cellStyle name="SAPBEXstdItem 6 10 3" xfId="36030"/>
    <cellStyle name="SAPBEXstdItem 6 10 4" xfId="36027"/>
    <cellStyle name="SAPBEXstdItem 6 11" xfId="36031"/>
    <cellStyle name="SAPBEXstdItem 6 11 2" xfId="36032"/>
    <cellStyle name="SAPBEXstdItem 6 11 2 2" xfId="36033"/>
    <cellStyle name="SAPBEXstdItem 6 11 3" xfId="36034"/>
    <cellStyle name="SAPBEXstdItem 6 12" xfId="36035"/>
    <cellStyle name="SAPBEXstdItem 6 13" xfId="36026"/>
    <cellStyle name="SAPBEXstdItem 6 14" xfId="9941"/>
    <cellStyle name="SAPBEXstdItem 6 15" xfId="39168"/>
    <cellStyle name="SAPBEXstdItem 6 16" xfId="39546"/>
    <cellStyle name="SAPBEXstdItem 6 2" xfId="2077"/>
    <cellStyle name="SAPBEXstdItem 6 2 10" xfId="36037"/>
    <cellStyle name="SAPBEXstdItem 6 2 10 2" xfId="36038"/>
    <cellStyle name="SAPBEXstdItem 6 2 11" xfId="36036"/>
    <cellStyle name="SAPBEXstdItem 6 2 12" xfId="10252"/>
    <cellStyle name="SAPBEXstdItem 6 2 2" xfId="4992"/>
    <cellStyle name="SAPBEXstdItem 6 2 2 2" xfId="36040"/>
    <cellStyle name="SAPBEXstdItem 6 2 2 2 2" xfId="36041"/>
    <cellStyle name="SAPBEXstdItem 6 2 2 3" xfId="36042"/>
    <cellStyle name="SAPBEXstdItem 6 2 2 4" xfId="36039"/>
    <cellStyle name="SAPBEXstdItem 6 2 3" xfId="5971"/>
    <cellStyle name="SAPBEXstdItem 6 2 3 2" xfId="36044"/>
    <cellStyle name="SAPBEXstdItem 6 2 3 2 2" xfId="36045"/>
    <cellStyle name="SAPBEXstdItem 6 2 3 3" xfId="36046"/>
    <cellStyle name="SAPBEXstdItem 6 2 3 4" xfId="36043"/>
    <cellStyle name="SAPBEXstdItem 6 2 4" xfId="6479"/>
    <cellStyle name="SAPBEXstdItem 6 2 4 2" xfId="36048"/>
    <cellStyle name="SAPBEXstdItem 6 2 4 2 2" xfId="36049"/>
    <cellStyle name="SAPBEXstdItem 6 2 4 3" xfId="36050"/>
    <cellStyle name="SAPBEXstdItem 6 2 4 4" xfId="36047"/>
    <cellStyle name="SAPBEXstdItem 6 2 5" xfId="6966"/>
    <cellStyle name="SAPBEXstdItem 6 2 5 2" xfId="36052"/>
    <cellStyle name="SAPBEXstdItem 6 2 5 2 2" xfId="36053"/>
    <cellStyle name="SAPBEXstdItem 6 2 5 3" xfId="36054"/>
    <cellStyle name="SAPBEXstdItem 6 2 5 4" xfId="36051"/>
    <cellStyle name="SAPBEXstdItem 6 2 6" xfId="7449"/>
    <cellStyle name="SAPBEXstdItem 6 2 6 2" xfId="36056"/>
    <cellStyle name="SAPBEXstdItem 6 2 6 2 2" xfId="36057"/>
    <cellStyle name="SAPBEXstdItem 6 2 6 3" xfId="36058"/>
    <cellStyle name="SAPBEXstdItem 6 2 6 4" xfId="36055"/>
    <cellStyle name="SAPBEXstdItem 6 2 7" xfId="8518"/>
    <cellStyle name="SAPBEXstdItem 6 2 7 2" xfId="36060"/>
    <cellStyle name="SAPBEXstdItem 6 2 7 2 2" xfId="36061"/>
    <cellStyle name="SAPBEXstdItem 6 2 7 3" xfId="36062"/>
    <cellStyle name="SAPBEXstdItem 6 2 7 4" xfId="36059"/>
    <cellStyle name="SAPBEXstdItem 6 2 8" xfId="9019"/>
    <cellStyle name="SAPBEXstdItem 6 2 8 2" xfId="36064"/>
    <cellStyle name="SAPBEXstdItem 6 2 8 2 2" xfId="36065"/>
    <cellStyle name="SAPBEXstdItem 6 2 8 3" xfId="36066"/>
    <cellStyle name="SAPBEXstdItem 6 2 8 4" xfId="36063"/>
    <cellStyle name="SAPBEXstdItem 6 2 9" xfId="9513"/>
    <cellStyle name="SAPBEXstdItem 6 2 9 2" xfId="36068"/>
    <cellStyle name="SAPBEXstdItem 6 2 9 2 2" xfId="36069"/>
    <cellStyle name="SAPBEXstdItem 6 2 9 3" xfId="36070"/>
    <cellStyle name="SAPBEXstdItem 6 2 9 4" xfId="36067"/>
    <cellStyle name="SAPBEXstdItem 6 2_planning-WP" xfId="36071"/>
    <cellStyle name="SAPBEXstdItem 6 3" xfId="4668"/>
    <cellStyle name="SAPBEXstdItem 6 3 10" xfId="36072"/>
    <cellStyle name="SAPBEXstdItem 6 3 2" xfId="36073"/>
    <cellStyle name="SAPBEXstdItem 6 3 2 2" xfId="36074"/>
    <cellStyle name="SAPBEXstdItem 6 3 2 2 2" xfId="36075"/>
    <cellStyle name="SAPBEXstdItem 6 3 2 3" xfId="36076"/>
    <cellStyle name="SAPBEXstdItem 6 3 3" xfId="36077"/>
    <cellStyle name="SAPBEXstdItem 6 3 3 2" xfId="36078"/>
    <cellStyle name="SAPBEXstdItem 6 3 3 2 2" xfId="36079"/>
    <cellStyle name="SAPBEXstdItem 6 3 3 3" xfId="36080"/>
    <cellStyle name="SAPBEXstdItem 6 3 4" xfId="36081"/>
    <cellStyle name="SAPBEXstdItem 6 3 4 2" xfId="36082"/>
    <cellStyle name="SAPBEXstdItem 6 3 4 2 2" xfId="36083"/>
    <cellStyle name="SAPBEXstdItem 6 3 4 3" xfId="36084"/>
    <cellStyle name="SAPBEXstdItem 6 3 5" xfId="36085"/>
    <cellStyle name="SAPBEXstdItem 6 3 5 2" xfId="36086"/>
    <cellStyle name="SAPBEXstdItem 6 3 5 2 2" xfId="36087"/>
    <cellStyle name="SAPBEXstdItem 6 3 5 3" xfId="36088"/>
    <cellStyle name="SAPBEXstdItem 6 3 6" xfId="36089"/>
    <cellStyle name="SAPBEXstdItem 6 3 6 2" xfId="36090"/>
    <cellStyle name="SAPBEXstdItem 6 3 6 2 2" xfId="36091"/>
    <cellStyle name="SAPBEXstdItem 6 3 6 3" xfId="36092"/>
    <cellStyle name="SAPBEXstdItem 6 3 7" xfId="36093"/>
    <cellStyle name="SAPBEXstdItem 6 3 7 2" xfId="36094"/>
    <cellStyle name="SAPBEXstdItem 6 3 7 2 2" xfId="36095"/>
    <cellStyle name="SAPBEXstdItem 6 3 7 3" xfId="36096"/>
    <cellStyle name="SAPBEXstdItem 6 3 8" xfId="36097"/>
    <cellStyle name="SAPBEXstdItem 6 3 8 2" xfId="36098"/>
    <cellStyle name="SAPBEXstdItem 6 3 8 2 2" xfId="36099"/>
    <cellStyle name="SAPBEXstdItem 6 3 8 3" xfId="36100"/>
    <cellStyle name="SAPBEXstdItem 6 3 9" xfId="36101"/>
    <cellStyle name="SAPBEXstdItem 6 3 9 2" xfId="36102"/>
    <cellStyle name="SAPBEXstdItem 6 3_planning-WP" xfId="36103"/>
    <cellStyle name="SAPBEXstdItem 6 4" xfId="5659"/>
    <cellStyle name="SAPBEXstdItem 6 4 2" xfId="36105"/>
    <cellStyle name="SAPBEXstdItem 6 4 2 2" xfId="36106"/>
    <cellStyle name="SAPBEXstdItem 6 4 3" xfId="36104"/>
    <cellStyle name="SAPBEXstdItem 6 5" xfId="6168"/>
    <cellStyle name="SAPBEXstdItem 6 5 2" xfId="36108"/>
    <cellStyle name="SAPBEXstdItem 6 5 2 2" xfId="36109"/>
    <cellStyle name="SAPBEXstdItem 6 5 3" xfId="36110"/>
    <cellStyle name="SAPBEXstdItem 6 5 4" xfId="36107"/>
    <cellStyle name="SAPBEXstdItem 6 6" xfId="6655"/>
    <cellStyle name="SAPBEXstdItem 6 6 2" xfId="36112"/>
    <cellStyle name="SAPBEXstdItem 6 6 2 2" xfId="36113"/>
    <cellStyle name="SAPBEXstdItem 6 6 3" xfId="36114"/>
    <cellStyle name="SAPBEXstdItem 6 6 4" xfId="36111"/>
    <cellStyle name="SAPBEXstdItem 6 7" xfId="7138"/>
    <cellStyle name="SAPBEXstdItem 6 7 2" xfId="36116"/>
    <cellStyle name="SAPBEXstdItem 6 7 2 2" xfId="36117"/>
    <cellStyle name="SAPBEXstdItem 6 7 3" xfId="36118"/>
    <cellStyle name="SAPBEXstdItem 6 7 4" xfId="36115"/>
    <cellStyle name="SAPBEXstdItem 6 8" xfId="8207"/>
    <cellStyle name="SAPBEXstdItem 6 8 2" xfId="36120"/>
    <cellStyle name="SAPBEXstdItem 6 8 2 2" xfId="36121"/>
    <cellStyle name="SAPBEXstdItem 6 8 3" xfId="36122"/>
    <cellStyle name="SAPBEXstdItem 6 8 4" xfId="36119"/>
    <cellStyle name="SAPBEXstdItem 6 9" xfId="8708"/>
    <cellStyle name="SAPBEXstdItem 6 9 2" xfId="36124"/>
    <cellStyle name="SAPBEXstdItem 6 9 2 2" xfId="36125"/>
    <cellStyle name="SAPBEXstdItem 6 9 3" xfId="36126"/>
    <cellStyle name="SAPBEXstdItem 6 9 4" xfId="36123"/>
    <cellStyle name="SAPBEXstdItem 6_planning-WP" xfId="36127"/>
    <cellStyle name="SAPBEXstdItem 7" xfId="1775"/>
    <cellStyle name="SAPBEXstdItem 7 10" xfId="9229"/>
    <cellStyle name="SAPBEXstdItem 7 10 2" xfId="36130"/>
    <cellStyle name="SAPBEXstdItem 7 10 2 2" xfId="36131"/>
    <cellStyle name="SAPBEXstdItem 7 10 3" xfId="36132"/>
    <cellStyle name="SAPBEXstdItem 7 10 4" xfId="36129"/>
    <cellStyle name="SAPBEXstdItem 7 11" xfId="36133"/>
    <cellStyle name="SAPBEXstdItem 7 11 2" xfId="36134"/>
    <cellStyle name="SAPBEXstdItem 7 12" xfId="36128"/>
    <cellStyle name="SAPBEXstdItem 7 13" xfId="9968"/>
    <cellStyle name="SAPBEXstdItem 7 14" xfId="39169"/>
    <cellStyle name="SAPBEXstdItem 7 15" xfId="39547"/>
    <cellStyle name="SAPBEXstdItem 7 2" xfId="2097"/>
    <cellStyle name="SAPBEXstdItem 7 2 10" xfId="36136"/>
    <cellStyle name="SAPBEXstdItem 7 2 10 2" xfId="36137"/>
    <cellStyle name="SAPBEXstdItem 7 2 11" xfId="36135"/>
    <cellStyle name="SAPBEXstdItem 7 2 12" xfId="10271"/>
    <cellStyle name="SAPBEXstdItem 7 2 2" xfId="5011"/>
    <cellStyle name="SAPBEXstdItem 7 2 2 2" xfId="36139"/>
    <cellStyle name="SAPBEXstdItem 7 2 2 2 2" xfId="36140"/>
    <cellStyle name="SAPBEXstdItem 7 2 2 3" xfId="36141"/>
    <cellStyle name="SAPBEXstdItem 7 2 2 4" xfId="36138"/>
    <cellStyle name="SAPBEXstdItem 7 2 3" xfId="5990"/>
    <cellStyle name="SAPBEXstdItem 7 2 3 2" xfId="36143"/>
    <cellStyle name="SAPBEXstdItem 7 2 3 2 2" xfId="36144"/>
    <cellStyle name="SAPBEXstdItem 7 2 3 3" xfId="36145"/>
    <cellStyle name="SAPBEXstdItem 7 2 3 4" xfId="36142"/>
    <cellStyle name="SAPBEXstdItem 7 2 4" xfId="6498"/>
    <cellStyle name="SAPBEXstdItem 7 2 4 2" xfId="36147"/>
    <cellStyle name="SAPBEXstdItem 7 2 4 2 2" xfId="36148"/>
    <cellStyle name="SAPBEXstdItem 7 2 4 3" xfId="36149"/>
    <cellStyle name="SAPBEXstdItem 7 2 4 4" xfId="36146"/>
    <cellStyle name="SAPBEXstdItem 7 2 5" xfId="6985"/>
    <cellStyle name="SAPBEXstdItem 7 2 5 2" xfId="36151"/>
    <cellStyle name="SAPBEXstdItem 7 2 5 2 2" xfId="36152"/>
    <cellStyle name="SAPBEXstdItem 7 2 5 3" xfId="36153"/>
    <cellStyle name="SAPBEXstdItem 7 2 5 4" xfId="36150"/>
    <cellStyle name="SAPBEXstdItem 7 2 6" xfId="7468"/>
    <cellStyle name="SAPBEXstdItem 7 2 6 2" xfId="36155"/>
    <cellStyle name="SAPBEXstdItem 7 2 6 2 2" xfId="36156"/>
    <cellStyle name="SAPBEXstdItem 7 2 6 3" xfId="36157"/>
    <cellStyle name="SAPBEXstdItem 7 2 6 4" xfId="36154"/>
    <cellStyle name="SAPBEXstdItem 7 2 7" xfId="8537"/>
    <cellStyle name="SAPBEXstdItem 7 2 7 2" xfId="36159"/>
    <cellStyle name="SAPBEXstdItem 7 2 7 2 2" xfId="36160"/>
    <cellStyle name="SAPBEXstdItem 7 2 7 3" xfId="36161"/>
    <cellStyle name="SAPBEXstdItem 7 2 7 4" xfId="36158"/>
    <cellStyle name="SAPBEXstdItem 7 2 8" xfId="9038"/>
    <cellStyle name="SAPBEXstdItem 7 2 8 2" xfId="36163"/>
    <cellStyle name="SAPBEXstdItem 7 2 8 2 2" xfId="36164"/>
    <cellStyle name="SAPBEXstdItem 7 2 8 3" xfId="36165"/>
    <cellStyle name="SAPBEXstdItem 7 2 8 4" xfId="36162"/>
    <cellStyle name="SAPBEXstdItem 7 2 9" xfId="9532"/>
    <cellStyle name="SAPBEXstdItem 7 2 9 2" xfId="36167"/>
    <cellStyle name="SAPBEXstdItem 7 2 9 2 2" xfId="36168"/>
    <cellStyle name="SAPBEXstdItem 7 2 9 3" xfId="36169"/>
    <cellStyle name="SAPBEXstdItem 7 2 9 4" xfId="36166"/>
    <cellStyle name="SAPBEXstdItem 7 2_planning-WP" xfId="36170"/>
    <cellStyle name="SAPBEXstdItem 7 3" xfId="4696"/>
    <cellStyle name="SAPBEXstdItem 7 3 2" xfId="36172"/>
    <cellStyle name="SAPBEXstdItem 7 3 2 2" xfId="36173"/>
    <cellStyle name="SAPBEXstdItem 7 3 3" xfId="36174"/>
    <cellStyle name="SAPBEXstdItem 7 3 4" xfId="36171"/>
    <cellStyle name="SAPBEXstdItem 7 4" xfId="5686"/>
    <cellStyle name="SAPBEXstdItem 7 4 2" xfId="36176"/>
    <cellStyle name="SAPBEXstdItem 7 4 2 2" xfId="36177"/>
    <cellStyle name="SAPBEXstdItem 7 4 3" xfId="36178"/>
    <cellStyle name="SAPBEXstdItem 7 4 4" xfId="36175"/>
    <cellStyle name="SAPBEXstdItem 7 5" xfId="6195"/>
    <cellStyle name="SAPBEXstdItem 7 5 2" xfId="36180"/>
    <cellStyle name="SAPBEXstdItem 7 5 2 2" xfId="36181"/>
    <cellStyle name="SAPBEXstdItem 7 5 3" xfId="36182"/>
    <cellStyle name="SAPBEXstdItem 7 5 4" xfId="36179"/>
    <cellStyle name="SAPBEXstdItem 7 6" xfId="6682"/>
    <cellStyle name="SAPBEXstdItem 7 6 2" xfId="36184"/>
    <cellStyle name="SAPBEXstdItem 7 6 2 2" xfId="36185"/>
    <cellStyle name="SAPBEXstdItem 7 6 3" xfId="36186"/>
    <cellStyle name="SAPBEXstdItem 7 6 4" xfId="36183"/>
    <cellStyle name="SAPBEXstdItem 7 7" xfId="7165"/>
    <cellStyle name="SAPBEXstdItem 7 7 2" xfId="36188"/>
    <cellStyle name="SAPBEXstdItem 7 7 2 2" xfId="36189"/>
    <cellStyle name="SAPBEXstdItem 7 7 3" xfId="36190"/>
    <cellStyle name="SAPBEXstdItem 7 7 4" xfId="36187"/>
    <cellStyle name="SAPBEXstdItem 7 8" xfId="8234"/>
    <cellStyle name="SAPBEXstdItem 7 8 2" xfId="36192"/>
    <cellStyle name="SAPBEXstdItem 7 8 2 2" xfId="36193"/>
    <cellStyle name="SAPBEXstdItem 7 8 3" xfId="36194"/>
    <cellStyle name="SAPBEXstdItem 7 8 4" xfId="36191"/>
    <cellStyle name="SAPBEXstdItem 7 9" xfId="8735"/>
    <cellStyle name="SAPBEXstdItem 7 9 2" xfId="36196"/>
    <cellStyle name="SAPBEXstdItem 7 9 2 2" xfId="36197"/>
    <cellStyle name="SAPBEXstdItem 7 9 3" xfId="36198"/>
    <cellStyle name="SAPBEXstdItem 7 9 4" xfId="36195"/>
    <cellStyle name="SAPBEXstdItem 7_planning-WP" xfId="36199"/>
    <cellStyle name="SAPBEXstdItem 8" xfId="1639"/>
    <cellStyle name="SAPBEXstdItem 8 10" xfId="36201"/>
    <cellStyle name="SAPBEXstdItem 8 10 2" xfId="36202"/>
    <cellStyle name="SAPBEXstdItem 8 11" xfId="36200"/>
    <cellStyle name="SAPBEXstdItem 8 12" xfId="9836"/>
    <cellStyle name="SAPBEXstdItem 8 2" xfId="4562"/>
    <cellStyle name="SAPBEXstdItem 8 2 2" xfId="36204"/>
    <cellStyle name="SAPBEXstdItem 8 2 2 2" xfId="36205"/>
    <cellStyle name="SAPBEXstdItem 8 2 3" xfId="36206"/>
    <cellStyle name="SAPBEXstdItem 8 2 4" xfId="36203"/>
    <cellStyle name="SAPBEXstdItem 8 3" xfId="5554"/>
    <cellStyle name="SAPBEXstdItem 8 3 2" xfId="36208"/>
    <cellStyle name="SAPBEXstdItem 8 3 2 2" xfId="36209"/>
    <cellStyle name="SAPBEXstdItem 8 3 3" xfId="36210"/>
    <cellStyle name="SAPBEXstdItem 8 3 4" xfId="36207"/>
    <cellStyle name="SAPBEXstdItem 8 4" xfId="6063"/>
    <cellStyle name="SAPBEXstdItem 8 4 2" xfId="36212"/>
    <cellStyle name="SAPBEXstdItem 8 4 2 2" xfId="36213"/>
    <cellStyle name="SAPBEXstdItem 8 4 3" xfId="36214"/>
    <cellStyle name="SAPBEXstdItem 8 4 4" xfId="36211"/>
    <cellStyle name="SAPBEXstdItem 8 5" xfId="6550"/>
    <cellStyle name="SAPBEXstdItem 8 5 2" xfId="36216"/>
    <cellStyle name="SAPBEXstdItem 8 5 2 2" xfId="36217"/>
    <cellStyle name="SAPBEXstdItem 8 5 3" xfId="36218"/>
    <cellStyle name="SAPBEXstdItem 8 5 4" xfId="36215"/>
    <cellStyle name="SAPBEXstdItem 8 6" xfId="7033"/>
    <cellStyle name="SAPBEXstdItem 8 6 2" xfId="36220"/>
    <cellStyle name="SAPBEXstdItem 8 6 2 2" xfId="36221"/>
    <cellStyle name="SAPBEXstdItem 8 6 3" xfId="36222"/>
    <cellStyle name="SAPBEXstdItem 8 6 4" xfId="36219"/>
    <cellStyle name="SAPBEXstdItem 8 7" xfId="8102"/>
    <cellStyle name="SAPBEXstdItem 8 7 2" xfId="36224"/>
    <cellStyle name="SAPBEXstdItem 8 7 2 2" xfId="36225"/>
    <cellStyle name="SAPBEXstdItem 8 7 3" xfId="36226"/>
    <cellStyle name="SAPBEXstdItem 8 7 4" xfId="36223"/>
    <cellStyle name="SAPBEXstdItem 8 8" xfId="8603"/>
    <cellStyle name="SAPBEXstdItem 8 8 2" xfId="36228"/>
    <cellStyle name="SAPBEXstdItem 8 8 2 2" xfId="36229"/>
    <cellStyle name="SAPBEXstdItem 8 8 3" xfId="36230"/>
    <cellStyle name="SAPBEXstdItem 8 8 4" xfId="36227"/>
    <cellStyle name="SAPBEXstdItem 8 9" xfId="9097"/>
    <cellStyle name="SAPBEXstdItem 8 9 2" xfId="36232"/>
    <cellStyle name="SAPBEXstdItem 8 9 2 2" xfId="36233"/>
    <cellStyle name="SAPBEXstdItem 8 9 3" xfId="36234"/>
    <cellStyle name="SAPBEXstdItem 8 9 4" xfId="36231"/>
    <cellStyle name="SAPBEXstdItem 8_planning-WP" xfId="36235"/>
    <cellStyle name="SAPBEXstdItem 9" xfId="1441"/>
    <cellStyle name="SAPBEXstdItem 9 10" xfId="36236"/>
    <cellStyle name="SAPBEXstdItem 9 11" xfId="9639"/>
    <cellStyle name="SAPBEXstdItem 9 2" xfId="4364"/>
    <cellStyle name="SAPBEXstdItem 9 2 2" xfId="36238"/>
    <cellStyle name="SAPBEXstdItem 9 2 2 2" xfId="36239"/>
    <cellStyle name="SAPBEXstdItem 9 2 3" xfId="36240"/>
    <cellStyle name="SAPBEXstdItem 9 2 4" xfId="36237"/>
    <cellStyle name="SAPBEXstdItem 9 3" xfId="5357"/>
    <cellStyle name="SAPBEXstdItem 9 3 2" xfId="36242"/>
    <cellStyle name="SAPBEXstdItem 9 3 2 2" xfId="36243"/>
    <cellStyle name="SAPBEXstdItem 9 3 3" xfId="36244"/>
    <cellStyle name="SAPBEXstdItem 9 3 4" xfId="36241"/>
    <cellStyle name="SAPBEXstdItem 9 4" xfId="4325"/>
    <cellStyle name="SAPBEXstdItem 9 4 2" xfId="36246"/>
    <cellStyle name="SAPBEXstdItem 9 4 2 2" xfId="36247"/>
    <cellStyle name="SAPBEXstdItem 9 4 3" xfId="36248"/>
    <cellStyle name="SAPBEXstdItem 9 4 4" xfId="36245"/>
    <cellStyle name="SAPBEXstdItem 9 5" xfId="3238"/>
    <cellStyle name="SAPBEXstdItem 9 5 2" xfId="36250"/>
    <cellStyle name="SAPBEXstdItem 9 5 2 2" xfId="36251"/>
    <cellStyle name="SAPBEXstdItem 9 5 3" xfId="36252"/>
    <cellStyle name="SAPBEXstdItem 9 5 4" xfId="36249"/>
    <cellStyle name="SAPBEXstdItem 9 6" xfId="5261"/>
    <cellStyle name="SAPBEXstdItem 9 6 2" xfId="36254"/>
    <cellStyle name="SAPBEXstdItem 9 6 2 2" xfId="36255"/>
    <cellStyle name="SAPBEXstdItem 9 6 3" xfId="36256"/>
    <cellStyle name="SAPBEXstdItem 9 6 4" xfId="36253"/>
    <cellStyle name="SAPBEXstdItem 9 7" xfId="7905"/>
    <cellStyle name="SAPBEXstdItem 9 7 2" xfId="36258"/>
    <cellStyle name="SAPBEXstdItem 9 7 2 2" xfId="36259"/>
    <cellStyle name="SAPBEXstdItem 9 7 3" xfId="36260"/>
    <cellStyle name="SAPBEXstdItem 9 7 4" xfId="36257"/>
    <cellStyle name="SAPBEXstdItem 9 8" xfId="7641"/>
    <cellStyle name="SAPBEXstdItem 9 8 2" xfId="36262"/>
    <cellStyle name="SAPBEXstdItem 9 8 2 2" xfId="36263"/>
    <cellStyle name="SAPBEXstdItem 9 8 3" xfId="36264"/>
    <cellStyle name="SAPBEXstdItem 9 8 4" xfId="36261"/>
    <cellStyle name="SAPBEXstdItem 9 9" xfId="7839"/>
    <cellStyle name="SAPBEXstdItem 9 9 2" xfId="36266"/>
    <cellStyle name="SAPBEXstdItem 9 9 3" xfId="36265"/>
    <cellStyle name="SAPBEXstdItem 9_planning-WP" xfId="36267"/>
    <cellStyle name="SAPBEXstdItem_Documentation" xfId="39170"/>
    <cellStyle name="SAPBEXstdItemX" xfId="36268"/>
    <cellStyle name="SAPBEXstdItemX 10" xfId="36269"/>
    <cellStyle name="SAPBEXstdItemX 10 2" xfId="36270"/>
    <cellStyle name="SAPBEXstdItemX 10 2 2" xfId="36271"/>
    <cellStyle name="SAPBEXstdItemX 11" xfId="36272"/>
    <cellStyle name="SAPBEXstdItemX 11 2" xfId="36273"/>
    <cellStyle name="SAPBEXstdItemX 11 2 2" xfId="36274"/>
    <cellStyle name="SAPBEXstdItemX 11 3" xfId="36275"/>
    <cellStyle name="SAPBEXstdItemX 12" xfId="36276"/>
    <cellStyle name="SAPBEXstdItemX 12 2" xfId="36277"/>
    <cellStyle name="SAPBEXstdItemX 12 2 2" xfId="36278"/>
    <cellStyle name="SAPBEXstdItemX 12 3" xfId="36279"/>
    <cellStyle name="SAPBEXstdItemX 13" xfId="36280"/>
    <cellStyle name="SAPBEXstdItemX 13 2" xfId="36281"/>
    <cellStyle name="SAPBEXstdItemX 13 2 2" xfId="36282"/>
    <cellStyle name="SAPBEXstdItemX 13 3" xfId="36283"/>
    <cellStyle name="SAPBEXstdItemX 14" xfId="36284"/>
    <cellStyle name="SAPBEXstdItemX 14 2" xfId="36285"/>
    <cellStyle name="SAPBEXstdItemX 14 2 2" xfId="36286"/>
    <cellStyle name="SAPBEXstdItemX 14 3" xfId="36287"/>
    <cellStyle name="SAPBEXstdItemX 15" xfId="36288"/>
    <cellStyle name="SAPBEXstdItemX 15 2" xfId="36289"/>
    <cellStyle name="SAPBEXstdItemX 15 2 2" xfId="36290"/>
    <cellStyle name="SAPBEXstdItemX 15 3" xfId="36291"/>
    <cellStyle name="SAPBEXstdItemX 16" xfId="36292"/>
    <cellStyle name="SAPBEXstdItemX 16 2" xfId="36293"/>
    <cellStyle name="SAPBEXstdItemX 16 2 2" xfId="36294"/>
    <cellStyle name="SAPBEXstdItemX 16 3" xfId="36295"/>
    <cellStyle name="SAPBEXstdItemX 17" xfId="36296"/>
    <cellStyle name="SAPBEXstdItemX 17 2" xfId="36297"/>
    <cellStyle name="SAPBEXstdItemX 17 2 2" xfId="36298"/>
    <cellStyle name="SAPBEXstdItemX 17 3" xfId="36299"/>
    <cellStyle name="SAPBEXstdItemX 18" xfId="36300"/>
    <cellStyle name="SAPBEXstdItemX 19" xfId="39171"/>
    <cellStyle name="SAPBEXstdItemX 2" xfId="36301"/>
    <cellStyle name="SAPBEXstdItemX 2 10" xfId="36302"/>
    <cellStyle name="SAPBEXstdItemX 2 10 2" xfId="36303"/>
    <cellStyle name="SAPBEXstdItemX 2 10 2 2" xfId="36304"/>
    <cellStyle name="SAPBEXstdItemX 2 10 3" xfId="36305"/>
    <cellStyle name="SAPBEXstdItemX 2 11" xfId="36306"/>
    <cellStyle name="SAPBEXstdItemX 2 11 2" xfId="36307"/>
    <cellStyle name="SAPBEXstdItemX 2 11 2 2" xfId="36308"/>
    <cellStyle name="SAPBEXstdItemX 2 11 3" xfId="36309"/>
    <cellStyle name="SAPBEXstdItemX 2 12" xfId="36310"/>
    <cellStyle name="SAPBEXstdItemX 2 12 2" xfId="36311"/>
    <cellStyle name="SAPBEXstdItemX 2 12 2 2" xfId="36312"/>
    <cellStyle name="SAPBEXstdItemX 2 12 3" xfId="36313"/>
    <cellStyle name="SAPBEXstdItemX 2 13" xfId="36314"/>
    <cellStyle name="SAPBEXstdItemX 2 14" xfId="39172"/>
    <cellStyle name="SAPBEXstdItemX 2 15" xfId="39549"/>
    <cellStyle name="SAPBEXstdItemX 2 2" xfId="36315"/>
    <cellStyle name="SAPBEXstdItemX 2 2 10" xfId="36316"/>
    <cellStyle name="SAPBEXstdItemX 2 2 10 2" xfId="36317"/>
    <cellStyle name="SAPBEXstdItemX 2 2 10 2 2" xfId="36318"/>
    <cellStyle name="SAPBEXstdItemX 2 2 10 3" xfId="36319"/>
    <cellStyle name="SAPBEXstdItemX 2 2 11" xfId="36320"/>
    <cellStyle name="SAPBEXstdItemX 2 2 11 2" xfId="36321"/>
    <cellStyle name="SAPBEXstdItemX 2 2 12" xfId="39173"/>
    <cellStyle name="SAPBEXstdItemX 2 2 13" xfId="39550"/>
    <cellStyle name="SAPBEXstdItemX 2 2 2" xfId="36322"/>
    <cellStyle name="SAPBEXstdItemX 2 2 2 10" xfId="36323"/>
    <cellStyle name="SAPBEXstdItemX 2 2 2 10 2" xfId="36324"/>
    <cellStyle name="SAPBEXstdItemX 2 2 2 2" xfId="36325"/>
    <cellStyle name="SAPBEXstdItemX 2 2 2 2 2" xfId="36326"/>
    <cellStyle name="SAPBEXstdItemX 2 2 2 2 2 2" xfId="36327"/>
    <cellStyle name="SAPBEXstdItemX 2 2 2 2 3" xfId="36328"/>
    <cellStyle name="SAPBEXstdItemX 2 2 2 3" xfId="36329"/>
    <cellStyle name="SAPBEXstdItemX 2 2 2 3 2" xfId="36330"/>
    <cellStyle name="SAPBEXstdItemX 2 2 2 3 2 2" xfId="36331"/>
    <cellStyle name="SAPBEXstdItemX 2 2 2 3 3" xfId="36332"/>
    <cellStyle name="SAPBEXstdItemX 2 2 2 4" xfId="36333"/>
    <cellStyle name="SAPBEXstdItemX 2 2 2 4 2" xfId="36334"/>
    <cellStyle name="SAPBEXstdItemX 2 2 2 4 2 2" xfId="36335"/>
    <cellStyle name="SAPBEXstdItemX 2 2 2 4 3" xfId="36336"/>
    <cellStyle name="SAPBEXstdItemX 2 2 2 5" xfId="36337"/>
    <cellStyle name="SAPBEXstdItemX 2 2 2 5 2" xfId="36338"/>
    <cellStyle name="SAPBEXstdItemX 2 2 2 5 2 2" xfId="36339"/>
    <cellStyle name="SAPBEXstdItemX 2 2 2 5 3" xfId="36340"/>
    <cellStyle name="SAPBEXstdItemX 2 2 2 6" xfId="36341"/>
    <cellStyle name="SAPBEXstdItemX 2 2 2 6 2" xfId="36342"/>
    <cellStyle name="SAPBEXstdItemX 2 2 2 6 2 2" xfId="36343"/>
    <cellStyle name="SAPBEXstdItemX 2 2 2 6 3" xfId="36344"/>
    <cellStyle name="SAPBEXstdItemX 2 2 2 7" xfId="36345"/>
    <cellStyle name="SAPBEXstdItemX 2 2 2 7 2" xfId="36346"/>
    <cellStyle name="SAPBEXstdItemX 2 2 2 7 2 2" xfId="36347"/>
    <cellStyle name="SAPBEXstdItemX 2 2 2 7 3" xfId="36348"/>
    <cellStyle name="SAPBEXstdItemX 2 2 2 8" xfId="36349"/>
    <cellStyle name="SAPBEXstdItemX 2 2 2 8 2" xfId="36350"/>
    <cellStyle name="SAPBEXstdItemX 2 2 2 8 2 2" xfId="36351"/>
    <cellStyle name="SAPBEXstdItemX 2 2 2 8 3" xfId="36352"/>
    <cellStyle name="SAPBEXstdItemX 2 2 2 9" xfId="36353"/>
    <cellStyle name="SAPBEXstdItemX 2 2 2 9 2" xfId="36354"/>
    <cellStyle name="SAPBEXstdItemX 2 2 2 9 2 2" xfId="36355"/>
    <cellStyle name="SAPBEXstdItemX 2 2 2 9 3" xfId="36356"/>
    <cellStyle name="SAPBEXstdItemX 2 2 2_planning-WP" xfId="36357"/>
    <cellStyle name="SAPBEXstdItemX 2 2 3" xfId="36358"/>
    <cellStyle name="SAPBEXstdItemX 2 2 3 2" xfId="36359"/>
    <cellStyle name="SAPBEXstdItemX 2 2 3 2 2" xfId="36360"/>
    <cellStyle name="SAPBEXstdItemX 2 2 3 3" xfId="36361"/>
    <cellStyle name="SAPBEXstdItemX 2 2 4" xfId="36362"/>
    <cellStyle name="SAPBEXstdItemX 2 2 4 2" xfId="36363"/>
    <cellStyle name="SAPBEXstdItemX 2 2 4 2 2" xfId="36364"/>
    <cellStyle name="SAPBEXstdItemX 2 2 4 3" xfId="36365"/>
    <cellStyle name="SAPBEXstdItemX 2 2 5" xfId="36366"/>
    <cellStyle name="SAPBEXstdItemX 2 2 5 2" xfId="36367"/>
    <cellStyle name="SAPBEXstdItemX 2 2 5 2 2" xfId="36368"/>
    <cellStyle name="SAPBEXstdItemX 2 2 5 3" xfId="36369"/>
    <cellStyle name="SAPBEXstdItemX 2 2 6" xfId="36370"/>
    <cellStyle name="SAPBEXstdItemX 2 2 6 2" xfId="36371"/>
    <cellStyle name="SAPBEXstdItemX 2 2 6 2 2" xfId="36372"/>
    <cellStyle name="SAPBEXstdItemX 2 2 6 3" xfId="36373"/>
    <cellStyle name="SAPBEXstdItemX 2 2 7" xfId="36374"/>
    <cellStyle name="SAPBEXstdItemX 2 2 7 2" xfId="36375"/>
    <cellStyle name="SAPBEXstdItemX 2 2 7 2 2" xfId="36376"/>
    <cellStyle name="SAPBEXstdItemX 2 2 7 3" xfId="36377"/>
    <cellStyle name="SAPBEXstdItemX 2 2 8" xfId="36378"/>
    <cellStyle name="SAPBEXstdItemX 2 2 8 2" xfId="36379"/>
    <cellStyle name="SAPBEXstdItemX 2 2 8 2 2" xfId="36380"/>
    <cellStyle name="SAPBEXstdItemX 2 2 8 3" xfId="36381"/>
    <cellStyle name="SAPBEXstdItemX 2 2 9" xfId="36382"/>
    <cellStyle name="SAPBEXstdItemX 2 2 9 2" xfId="36383"/>
    <cellStyle name="SAPBEXstdItemX 2 2 9 2 2" xfId="36384"/>
    <cellStyle name="SAPBEXstdItemX 2 2 9 3" xfId="36385"/>
    <cellStyle name="SAPBEXstdItemX 2 2_planning-WP" xfId="36386"/>
    <cellStyle name="SAPBEXstdItemX 2 3" xfId="36387"/>
    <cellStyle name="SAPBEXstdItemX 2 3 10" xfId="36388"/>
    <cellStyle name="SAPBEXstdItemX 2 3 10 2" xfId="36389"/>
    <cellStyle name="SAPBEXstdItemX 2 3 2" xfId="36390"/>
    <cellStyle name="SAPBEXstdItemX 2 3 2 2" xfId="36391"/>
    <cellStyle name="SAPBEXstdItemX 2 3 2 2 2" xfId="36392"/>
    <cellStyle name="SAPBEXstdItemX 2 3 2 3" xfId="36393"/>
    <cellStyle name="SAPBEXstdItemX 2 3 3" xfId="36394"/>
    <cellStyle name="SAPBEXstdItemX 2 3 3 2" xfId="36395"/>
    <cellStyle name="SAPBEXstdItemX 2 3 3 2 2" xfId="36396"/>
    <cellStyle name="SAPBEXstdItemX 2 3 3 3" xfId="36397"/>
    <cellStyle name="SAPBEXstdItemX 2 3 4" xfId="36398"/>
    <cellStyle name="SAPBEXstdItemX 2 3 4 2" xfId="36399"/>
    <cellStyle name="SAPBEXstdItemX 2 3 4 2 2" xfId="36400"/>
    <cellStyle name="SAPBEXstdItemX 2 3 4 3" xfId="36401"/>
    <cellStyle name="SAPBEXstdItemX 2 3 5" xfId="36402"/>
    <cellStyle name="SAPBEXstdItemX 2 3 5 2" xfId="36403"/>
    <cellStyle name="SAPBEXstdItemX 2 3 5 2 2" xfId="36404"/>
    <cellStyle name="SAPBEXstdItemX 2 3 5 3" xfId="36405"/>
    <cellStyle name="SAPBEXstdItemX 2 3 6" xfId="36406"/>
    <cellStyle name="SAPBEXstdItemX 2 3 6 2" xfId="36407"/>
    <cellStyle name="SAPBEXstdItemX 2 3 6 2 2" xfId="36408"/>
    <cellStyle name="SAPBEXstdItemX 2 3 6 3" xfId="36409"/>
    <cellStyle name="SAPBEXstdItemX 2 3 7" xfId="36410"/>
    <cellStyle name="SAPBEXstdItemX 2 3 7 2" xfId="36411"/>
    <cellStyle name="SAPBEXstdItemX 2 3 7 2 2" xfId="36412"/>
    <cellStyle name="SAPBEXstdItemX 2 3 7 3" xfId="36413"/>
    <cellStyle name="SAPBEXstdItemX 2 3 8" xfId="36414"/>
    <cellStyle name="SAPBEXstdItemX 2 3 8 2" xfId="36415"/>
    <cellStyle name="SAPBEXstdItemX 2 3 8 2 2" xfId="36416"/>
    <cellStyle name="SAPBEXstdItemX 2 3 8 3" xfId="36417"/>
    <cellStyle name="SAPBEXstdItemX 2 3 9" xfId="36418"/>
    <cellStyle name="SAPBEXstdItemX 2 3 9 2" xfId="36419"/>
    <cellStyle name="SAPBEXstdItemX 2 3 9 2 2" xfId="36420"/>
    <cellStyle name="SAPBEXstdItemX 2 3 9 3" xfId="36421"/>
    <cellStyle name="SAPBEXstdItemX 2 3_planning-WP" xfId="36422"/>
    <cellStyle name="SAPBEXstdItemX 2 4" xfId="36423"/>
    <cellStyle name="SAPBEXstdItemX 2 4 2" xfId="36424"/>
    <cellStyle name="SAPBEXstdItemX 2 4 2 2" xfId="36425"/>
    <cellStyle name="SAPBEXstdItemX 2 4 2 2 2" xfId="36426"/>
    <cellStyle name="SAPBEXstdItemX 2 4 2 3" xfId="36427"/>
    <cellStyle name="SAPBEXstdItemX 2 4 3" xfId="36428"/>
    <cellStyle name="SAPBEXstdItemX 2 4 3 2" xfId="36429"/>
    <cellStyle name="SAPBEXstdItemX 2 4 3 2 2" xfId="36430"/>
    <cellStyle name="SAPBEXstdItemX 2 4 3 3" xfId="36431"/>
    <cellStyle name="SAPBEXstdItemX 2 4 4" xfId="36432"/>
    <cellStyle name="SAPBEXstdItemX 2 4 4 2" xfId="36433"/>
    <cellStyle name="SAPBEXstdItemX 2 4 4 2 2" xfId="36434"/>
    <cellStyle name="SAPBEXstdItemX 2 4 4 3" xfId="36435"/>
    <cellStyle name="SAPBEXstdItemX 2 4 5" xfId="36436"/>
    <cellStyle name="SAPBEXstdItemX 2 4 5 2" xfId="36437"/>
    <cellStyle name="SAPBEXstdItemX 2 4 5 2 2" xfId="36438"/>
    <cellStyle name="SAPBEXstdItemX 2 4 5 3" xfId="36439"/>
    <cellStyle name="SAPBEXstdItemX 2 4 6" xfId="36440"/>
    <cellStyle name="SAPBEXstdItemX 2 4 6 2" xfId="36441"/>
    <cellStyle name="SAPBEXstdItemX 2 4 6 2 2" xfId="36442"/>
    <cellStyle name="SAPBEXstdItemX 2 4 6 3" xfId="36443"/>
    <cellStyle name="SAPBEXstdItemX 2 4 7" xfId="36444"/>
    <cellStyle name="SAPBEXstdItemX 2 4 7 2" xfId="36445"/>
    <cellStyle name="SAPBEXstdItemX 2 4 7 2 2" xfId="36446"/>
    <cellStyle name="SAPBEXstdItemX 2 4 7 3" xfId="36447"/>
    <cellStyle name="SAPBEXstdItemX 2 4 8" xfId="36448"/>
    <cellStyle name="SAPBEXstdItemX 2 4 8 2" xfId="36449"/>
    <cellStyle name="SAPBEXstdItemX 2 4 8 2 2" xfId="36450"/>
    <cellStyle name="SAPBEXstdItemX 2 4 8 3" xfId="36451"/>
    <cellStyle name="SAPBEXstdItemX 2 4 9" xfId="36452"/>
    <cellStyle name="SAPBEXstdItemX 2 4 9 2" xfId="36453"/>
    <cellStyle name="SAPBEXstdItemX 2 4_planning-WP" xfId="36454"/>
    <cellStyle name="SAPBEXstdItemX 2 5" xfId="36455"/>
    <cellStyle name="SAPBEXstdItemX 2 5 2" xfId="36456"/>
    <cellStyle name="SAPBEXstdItemX 2 5 2 2" xfId="36457"/>
    <cellStyle name="SAPBEXstdItemX 2 6" xfId="36458"/>
    <cellStyle name="SAPBEXstdItemX 2 6 2" xfId="36459"/>
    <cellStyle name="SAPBEXstdItemX 2 6 2 2" xfId="36460"/>
    <cellStyle name="SAPBEXstdItemX 2 6 3" xfId="36461"/>
    <cellStyle name="SAPBEXstdItemX 2 7" xfId="36462"/>
    <cellStyle name="SAPBEXstdItemX 2 7 2" xfId="36463"/>
    <cellStyle name="SAPBEXstdItemX 2 7 2 2" xfId="36464"/>
    <cellStyle name="SAPBEXstdItemX 2 7 3" xfId="36465"/>
    <cellStyle name="SAPBEXstdItemX 2 8" xfId="36466"/>
    <cellStyle name="SAPBEXstdItemX 2 8 2" xfId="36467"/>
    <cellStyle name="SAPBEXstdItemX 2 8 2 2" xfId="36468"/>
    <cellStyle name="SAPBEXstdItemX 2 8 3" xfId="36469"/>
    <cellStyle name="SAPBEXstdItemX 2 9" xfId="36470"/>
    <cellStyle name="SAPBEXstdItemX 2 9 2" xfId="36471"/>
    <cellStyle name="SAPBEXstdItemX 2 9 2 2" xfId="36472"/>
    <cellStyle name="SAPBEXstdItemX 2 9 3" xfId="36473"/>
    <cellStyle name="SAPBEXstdItemX 2_planning-WP" xfId="36474"/>
    <cellStyle name="SAPBEXstdItemX 20" xfId="39548"/>
    <cellStyle name="SAPBEXstdItemX 3" xfId="36475"/>
    <cellStyle name="SAPBEXstdItemX 3 10" xfId="36476"/>
    <cellStyle name="SAPBEXstdItemX 3 10 2" xfId="36477"/>
    <cellStyle name="SAPBEXstdItemX 3 10 2 2" xfId="36478"/>
    <cellStyle name="SAPBEXstdItemX 3 10 3" xfId="36479"/>
    <cellStyle name="SAPBEXstdItemX 3 11" xfId="36480"/>
    <cellStyle name="SAPBEXstdItemX 3 11 2" xfId="36481"/>
    <cellStyle name="SAPBEXstdItemX 3 11 2 2" xfId="36482"/>
    <cellStyle name="SAPBEXstdItemX 3 11 3" xfId="36483"/>
    <cellStyle name="SAPBEXstdItemX 3 12" xfId="36484"/>
    <cellStyle name="SAPBEXstdItemX 3 12 2" xfId="36485"/>
    <cellStyle name="SAPBEXstdItemX 3 12 2 2" xfId="36486"/>
    <cellStyle name="SAPBEXstdItemX 3 12 3" xfId="36487"/>
    <cellStyle name="SAPBEXstdItemX 3 13" xfId="36488"/>
    <cellStyle name="SAPBEXstdItemX 3 14" xfId="39174"/>
    <cellStyle name="SAPBEXstdItemX 3 15" xfId="39551"/>
    <cellStyle name="SAPBEXstdItemX 3 2" xfId="36489"/>
    <cellStyle name="SAPBEXstdItemX 3 2 10" xfId="36490"/>
    <cellStyle name="SAPBEXstdItemX 3 2 10 2" xfId="36491"/>
    <cellStyle name="SAPBEXstdItemX 3 2 10 2 2" xfId="36492"/>
    <cellStyle name="SAPBEXstdItemX 3 2 10 3" xfId="36493"/>
    <cellStyle name="SAPBEXstdItemX 3 2 11" xfId="36494"/>
    <cellStyle name="SAPBEXstdItemX 3 2 11 2" xfId="36495"/>
    <cellStyle name="SAPBEXstdItemX 3 2 12" xfId="39175"/>
    <cellStyle name="SAPBEXstdItemX 3 2 13" xfId="39552"/>
    <cellStyle name="SAPBEXstdItemX 3 2 2" xfId="36496"/>
    <cellStyle name="SAPBEXstdItemX 3 2 2 10" xfId="36497"/>
    <cellStyle name="SAPBEXstdItemX 3 2 2 10 2" xfId="36498"/>
    <cellStyle name="SAPBEXstdItemX 3 2 2 2" xfId="36499"/>
    <cellStyle name="SAPBEXstdItemX 3 2 2 2 2" xfId="36500"/>
    <cellStyle name="SAPBEXstdItemX 3 2 2 2 2 2" xfId="36501"/>
    <cellStyle name="SAPBEXstdItemX 3 2 2 2 3" xfId="36502"/>
    <cellStyle name="SAPBEXstdItemX 3 2 2 3" xfId="36503"/>
    <cellStyle name="SAPBEXstdItemX 3 2 2 3 2" xfId="36504"/>
    <cellStyle name="SAPBEXstdItemX 3 2 2 3 2 2" xfId="36505"/>
    <cellStyle name="SAPBEXstdItemX 3 2 2 3 3" xfId="36506"/>
    <cellStyle name="SAPBEXstdItemX 3 2 2 4" xfId="36507"/>
    <cellStyle name="SAPBEXstdItemX 3 2 2 4 2" xfId="36508"/>
    <cellStyle name="SAPBEXstdItemX 3 2 2 4 2 2" xfId="36509"/>
    <cellStyle name="SAPBEXstdItemX 3 2 2 4 3" xfId="36510"/>
    <cellStyle name="SAPBEXstdItemX 3 2 2 5" xfId="36511"/>
    <cellStyle name="SAPBEXstdItemX 3 2 2 5 2" xfId="36512"/>
    <cellStyle name="SAPBEXstdItemX 3 2 2 5 2 2" xfId="36513"/>
    <cellStyle name="SAPBEXstdItemX 3 2 2 5 3" xfId="36514"/>
    <cellStyle name="SAPBEXstdItemX 3 2 2 6" xfId="36515"/>
    <cellStyle name="SAPBEXstdItemX 3 2 2 6 2" xfId="36516"/>
    <cellStyle name="SAPBEXstdItemX 3 2 2 6 2 2" xfId="36517"/>
    <cellStyle name="SAPBEXstdItemX 3 2 2 6 3" xfId="36518"/>
    <cellStyle name="SAPBEXstdItemX 3 2 2 7" xfId="36519"/>
    <cellStyle name="SAPBEXstdItemX 3 2 2 7 2" xfId="36520"/>
    <cellStyle name="SAPBEXstdItemX 3 2 2 7 2 2" xfId="36521"/>
    <cellStyle name="SAPBEXstdItemX 3 2 2 7 3" xfId="36522"/>
    <cellStyle name="SAPBEXstdItemX 3 2 2 8" xfId="36523"/>
    <cellStyle name="SAPBEXstdItemX 3 2 2 8 2" xfId="36524"/>
    <cellStyle name="SAPBEXstdItemX 3 2 2 8 2 2" xfId="36525"/>
    <cellStyle name="SAPBEXstdItemX 3 2 2 8 3" xfId="36526"/>
    <cellStyle name="SAPBEXstdItemX 3 2 2 9" xfId="36527"/>
    <cellStyle name="SAPBEXstdItemX 3 2 2 9 2" xfId="36528"/>
    <cellStyle name="SAPBEXstdItemX 3 2 2 9 2 2" xfId="36529"/>
    <cellStyle name="SAPBEXstdItemX 3 2 2 9 3" xfId="36530"/>
    <cellStyle name="SAPBEXstdItemX 3 2 2_planning-WP" xfId="36531"/>
    <cellStyle name="SAPBEXstdItemX 3 2 3" xfId="36532"/>
    <cellStyle name="SAPBEXstdItemX 3 2 3 2" xfId="36533"/>
    <cellStyle name="SAPBEXstdItemX 3 2 3 2 2" xfId="36534"/>
    <cellStyle name="SAPBEXstdItemX 3 2 3 3" xfId="36535"/>
    <cellStyle name="SAPBEXstdItemX 3 2 4" xfId="36536"/>
    <cellStyle name="SAPBEXstdItemX 3 2 4 2" xfId="36537"/>
    <cellStyle name="SAPBEXstdItemX 3 2 4 2 2" xfId="36538"/>
    <cellStyle name="SAPBEXstdItemX 3 2 4 3" xfId="36539"/>
    <cellStyle name="SAPBEXstdItemX 3 2 5" xfId="36540"/>
    <cellStyle name="SAPBEXstdItemX 3 2 5 2" xfId="36541"/>
    <cellStyle name="SAPBEXstdItemX 3 2 5 2 2" xfId="36542"/>
    <cellStyle name="SAPBEXstdItemX 3 2 5 3" xfId="36543"/>
    <cellStyle name="SAPBEXstdItemX 3 2 6" xfId="36544"/>
    <cellStyle name="SAPBEXstdItemX 3 2 6 2" xfId="36545"/>
    <cellStyle name="SAPBEXstdItemX 3 2 6 2 2" xfId="36546"/>
    <cellStyle name="SAPBEXstdItemX 3 2 6 3" xfId="36547"/>
    <cellStyle name="SAPBEXstdItemX 3 2 7" xfId="36548"/>
    <cellStyle name="SAPBEXstdItemX 3 2 7 2" xfId="36549"/>
    <cellStyle name="SAPBEXstdItemX 3 2 7 2 2" xfId="36550"/>
    <cellStyle name="SAPBEXstdItemX 3 2 7 3" xfId="36551"/>
    <cellStyle name="SAPBEXstdItemX 3 2 8" xfId="36552"/>
    <cellStyle name="SAPBEXstdItemX 3 2 8 2" xfId="36553"/>
    <cellStyle name="SAPBEXstdItemX 3 2 8 2 2" xfId="36554"/>
    <cellStyle name="SAPBEXstdItemX 3 2 8 3" xfId="36555"/>
    <cellStyle name="SAPBEXstdItemX 3 2 9" xfId="36556"/>
    <cellStyle name="SAPBEXstdItemX 3 2 9 2" xfId="36557"/>
    <cellStyle name="SAPBEXstdItemX 3 2 9 2 2" xfId="36558"/>
    <cellStyle name="SAPBEXstdItemX 3 2 9 3" xfId="36559"/>
    <cellStyle name="SAPBEXstdItemX 3 2_planning-WP" xfId="36560"/>
    <cellStyle name="SAPBEXstdItemX 3 3" xfId="36561"/>
    <cellStyle name="SAPBEXstdItemX 3 3 10" xfId="36562"/>
    <cellStyle name="SAPBEXstdItemX 3 3 10 2" xfId="36563"/>
    <cellStyle name="SAPBEXstdItemX 3 3 2" xfId="36564"/>
    <cellStyle name="SAPBEXstdItemX 3 3 2 2" xfId="36565"/>
    <cellStyle name="SAPBEXstdItemX 3 3 2 2 2" xfId="36566"/>
    <cellStyle name="SAPBEXstdItemX 3 3 2 3" xfId="36567"/>
    <cellStyle name="SAPBEXstdItemX 3 3 3" xfId="36568"/>
    <cellStyle name="SAPBEXstdItemX 3 3 3 2" xfId="36569"/>
    <cellStyle name="SAPBEXstdItemX 3 3 3 2 2" xfId="36570"/>
    <cellStyle name="SAPBEXstdItemX 3 3 3 3" xfId="36571"/>
    <cellStyle name="SAPBEXstdItemX 3 3 4" xfId="36572"/>
    <cellStyle name="SAPBEXstdItemX 3 3 4 2" xfId="36573"/>
    <cellStyle name="SAPBEXstdItemX 3 3 4 2 2" xfId="36574"/>
    <cellStyle name="SAPBEXstdItemX 3 3 4 3" xfId="36575"/>
    <cellStyle name="SAPBEXstdItemX 3 3 5" xfId="36576"/>
    <cellStyle name="SAPBEXstdItemX 3 3 5 2" xfId="36577"/>
    <cellStyle name="SAPBEXstdItemX 3 3 5 2 2" xfId="36578"/>
    <cellStyle name="SAPBEXstdItemX 3 3 5 3" xfId="36579"/>
    <cellStyle name="SAPBEXstdItemX 3 3 6" xfId="36580"/>
    <cellStyle name="SAPBEXstdItemX 3 3 6 2" xfId="36581"/>
    <cellStyle name="SAPBEXstdItemX 3 3 6 2 2" xfId="36582"/>
    <cellStyle name="SAPBEXstdItemX 3 3 6 3" xfId="36583"/>
    <cellStyle name="SAPBEXstdItemX 3 3 7" xfId="36584"/>
    <cellStyle name="SAPBEXstdItemX 3 3 7 2" xfId="36585"/>
    <cellStyle name="SAPBEXstdItemX 3 3 7 2 2" xfId="36586"/>
    <cellStyle name="SAPBEXstdItemX 3 3 7 3" xfId="36587"/>
    <cellStyle name="SAPBEXstdItemX 3 3 8" xfId="36588"/>
    <cellStyle name="SAPBEXstdItemX 3 3 8 2" xfId="36589"/>
    <cellStyle name="SAPBEXstdItemX 3 3 8 2 2" xfId="36590"/>
    <cellStyle name="SAPBEXstdItemX 3 3 8 3" xfId="36591"/>
    <cellStyle name="SAPBEXstdItemX 3 3 9" xfId="36592"/>
    <cellStyle name="SAPBEXstdItemX 3 3 9 2" xfId="36593"/>
    <cellStyle name="SAPBEXstdItemX 3 3 9 2 2" xfId="36594"/>
    <cellStyle name="SAPBEXstdItemX 3 3 9 3" xfId="36595"/>
    <cellStyle name="SAPBEXstdItemX 3 3_planning-WP" xfId="36596"/>
    <cellStyle name="SAPBEXstdItemX 3 4" xfId="36597"/>
    <cellStyle name="SAPBEXstdItemX 3 4 2" xfId="36598"/>
    <cellStyle name="SAPBEXstdItemX 3 4 2 2" xfId="36599"/>
    <cellStyle name="SAPBEXstdItemX 3 4 2 2 2" xfId="36600"/>
    <cellStyle name="SAPBEXstdItemX 3 4 2 3" xfId="36601"/>
    <cellStyle name="SAPBEXstdItemX 3 4 3" xfId="36602"/>
    <cellStyle name="SAPBEXstdItemX 3 4 3 2" xfId="36603"/>
    <cellStyle name="SAPBEXstdItemX 3 4 3 2 2" xfId="36604"/>
    <cellStyle name="SAPBEXstdItemX 3 4 3 3" xfId="36605"/>
    <cellStyle name="SAPBEXstdItemX 3 4 4" xfId="36606"/>
    <cellStyle name="SAPBEXstdItemX 3 4 4 2" xfId="36607"/>
    <cellStyle name="SAPBEXstdItemX 3 4 4 2 2" xfId="36608"/>
    <cellStyle name="SAPBEXstdItemX 3 4 4 3" xfId="36609"/>
    <cellStyle name="SAPBEXstdItemX 3 4 5" xfId="36610"/>
    <cellStyle name="SAPBEXstdItemX 3 4 5 2" xfId="36611"/>
    <cellStyle name="SAPBEXstdItemX 3 4 5 2 2" xfId="36612"/>
    <cellStyle name="SAPBEXstdItemX 3 4 5 3" xfId="36613"/>
    <cellStyle name="SAPBEXstdItemX 3 4 6" xfId="36614"/>
    <cellStyle name="SAPBEXstdItemX 3 4 6 2" xfId="36615"/>
    <cellStyle name="SAPBEXstdItemX 3 4 6 2 2" xfId="36616"/>
    <cellStyle name="SAPBEXstdItemX 3 4 6 3" xfId="36617"/>
    <cellStyle name="SAPBEXstdItemX 3 4 7" xfId="36618"/>
    <cellStyle name="SAPBEXstdItemX 3 4 7 2" xfId="36619"/>
    <cellStyle name="SAPBEXstdItemX 3 4 7 2 2" xfId="36620"/>
    <cellStyle name="SAPBEXstdItemX 3 4 7 3" xfId="36621"/>
    <cellStyle name="SAPBEXstdItemX 3 4 8" xfId="36622"/>
    <cellStyle name="SAPBEXstdItemX 3 4 8 2" xfId="36623"/>
    <cellStyle name="SAPBEXstdItemX 3 4 8 2 2" xfId="36624"/>
    <cellStyle name="SAPBEXstdItemX 3 4 8 3" xfId="36625"/>
    <cellStyle name="SAPBEXstdItemX 3 4 9" xfId="36626"/>
    <cellStyle name="SAPBEXstdItemX 3 4 9 2" xfId="36627"/>
    <cellStyle name="SAPBEXstdItemX 3 4_planning-WP" xfId="36628"/>
    <cellStyle name="SAPBEXstdItemX 3 5" xfId="36629"/>
    <cellStyle name="SAPBEXstdItemX 3 5 2" xfId="36630"/>
    <cellStyle name="SAPBEXstdItemX 3 5 2 2" xfId="36631"/>
    <cellStyle name="SAPBEXstdItemX 3 6" xfId="36632"/>
    <cellStyle name="SAPBEXstdItemX 3 6 2" xfId="36633"/>
    <cellStyle name="SAPBEXstdItemX 3 6 2 2" xfId="36634"/>
    <cellStyle name="SAPBEXstdItemX 3 6 3" xfId="36635"/>
    <cellStyle name="SAPBEXstdItemX 3 7" xfId="36636"/>
    <cellStyle name="SAPBEXstdItemX 3 7 2" xfId="36637"/>
    <cellStyle name="SAPBEXstdItemX 3 7 2 2" xfId="36638"/>
    <cellStyle name="SAPBEXstdItemX 3 7 3" xfId="36639"/>
    <cellStyle name="SAPBEXstdItemX 3 8" xfId="36640"/>
    <cellStyle name="SAPBEXstdItemX 3 8 2" xfId="36641"/>
    <cellStyle name="SAPBEXstdItemX 3 8 2 2" xfId="36642"/>
    <cellStyle name="SAPBEXstdItemX 3 8 3" xfId="36643"/>
    <cellStyle name="SAPBEXstdItemX 3 9" xfId="36644"/>
    <cellStyle name="SAPBEXstdItemX 3 9 2" xfId="36645"/>
    <cellStyle name="SAPBEXstdItemX 3 9 2 2" xfId="36646"/>
    <cellStyle name="SAPBEXstdItemX 3 9 3" xfId="36647"/>
    <cellStyle name="SAPBEXstdItemX 3_planning-WP" xfId="36648"/>
    <cellStyle name="SAPBEXstdItemX 4" xfId="36649"/>
    <cellStyle name="SAPBEXstdItemX 4 10" xfId="36650"/>
    <cellStyle name="SAPBEXstdItemX 4 10 2" xfId="36651"/>
    <cellStyle name="SAPBEXstdItemX 4 10 2 2" xfId="36652"/>
    <cellStyle name="SAPBEXstdItemX 4 10 3" xfId="36653"/>
    <cellStyle name="SAPBEXstdItemX 4 11" xfId="36654"/>
    <cellStyle name="SAPBEXstdItemX 4 11 2" xfId="36655"/>
    <cellStyle name="SAPBEXstdItemX 4 11 2 2" xfId="36656"/>
    <cellStyle name="SAPBEXstdItemX 4 11 3" xfId="36657"/>
    <cellStyle name="SAPBEXstdItemX 4 12" xfId="36658"/>
    <cellStyle name="SAPBEXstdItemX 4 12 2" xfId="36659"/>
    <cellStyle name="SAPBEXstdItemX 4 12 2 2" xfId="36660"/>
    <cellStyle name="SAPBEXstdItemX 4 12 3" xfId="36661"/>
    <cellStyle name="SAPBEXstdItemX 4 13" xfId="36662"/>
    <cellStyle name="SAPBEXstdItemX 4 14" xfId="39176"/>
    <cellStyle name="SAPBEXstdItemX 4 15" xfId="39553"/>
    <cellStyle name="SAPBEXstdItemX 4 2" xfId="36663"/>
    <cellStyle name="SAPBEXstdItemX 4 2 10" xfId="36664"/>
    <cellStyle name="SAPBEXstdItemX 4 2 10 2" xfId="36665"/>
    <cellStyle name="SAPBEXstdItemX 4 2 10 2 2" xfId="36666"/>
    <cellStyle name="SAPBEXstdItemX 4 2 10 3" xfId="36667"/>
    <cellStyle name="SAPBEXstdItemX 4 2 11" xfId="36668"/>
    <cellStyle name="SAPBEXstdItemX 4 2 11 2" xfId="36669"/>
    <cellStyle name="SAPBEXstdItemX 4 2 12" xfId="39177"/>
    <cellStyle name="SAPBEXstdItemX 4 2 13" xfId="39554"/>
    <cellStyle name="SAPBEXstdItemX 4 2 2" xfId="36670"/>
    <cellStyle name="SAPBEXstdItemX 4 2 2 10" xfId="36671"/>
    <cellStyle name="SAPBEXstdItemX 4 2 2 10 2" xfId="36672"/>
    <cellStyle name="SAPBEXstdItemX 4 2 2 2" xfId="36673"/>
    <cellStyle name="SAPBEXstdItemX 4 2 2 2 2" xfId="36674"/>
    <cellStyle name="SAPBEXstdItemX 4 2 2 2 2 2" xfId="36675"/>
    <cellStyle name="SAPBEXstdItemX 4 2 2 2 3" xfId="36676"/>
    <cellStyle name="SAPBEXstdItemX 4 2 2 3" xfId="36677"/>
    <cellStyle name="SAPBEXstdItemX 4 2 2 3 2" xfId="36678"/>
    <cellStyle name="SAPBEXstdItemX 4 2 2 3 2 2" xfId="36679"/>
    <cellStyle name="SAPBEXstdItemX 4 2 2 3 3" xfId="36680"/>
    <cellStyle name="SAPBEXstdItemX 4 2 2 4" xfId="36681"/>
    <cellStyle name="SAPBEXstdItemX 4 2 2 4 2" xfId="36682"/>
    <cellStyle name="SAPBEXstdItemX 4 2 2 4 2 2" xfId="36683"/>
    <cellStyle name="SAPBEXstdItemX 4 2 2 4 3" xfId="36684"/>
    <cellStyle name="SAPBEXstdItemX 4 2 2 5" xfId="36685"/>
    <cellStyle name="SAPBEXstdItemX 4 2 2 5 2" xfId="36686"/>
    <cellStyle name="SAPBEXstdItemX 4 2 2 5 2 2" xfId="36687"/>
    <cellStyle name="SAPBEXstdItemX 4 2 2 5 3" xfId="36688"/>
    <cellStyle name="SAPBEXstdItemX 4 2 2 6" xfId="36689"/>
    <cellStyle name="SAPBEXstdItemX 4 2 2 6 2" xfId="36690"/>
    <cellStyle name="SAPBEXstdItemX 4 2 2 6 2 2" xfId="36691"/>
    <cellStyle name="SAPBEXstdItemX 4 2 2 6 3" xfId="36692"/>
    <cellStyle name="SAPBEXstdItemX 4 2 2 7" xfId="36693"/>
    <cellStyle name="SAPBEXstdItemX 4 2 2 7 2" xfId="36694"/>
    <cellStyle name="SAPBEXstdItemX 4 2 2 7 2 2" xfId="36695"/>
    <cellStyle name="SAPBEXstdItemX 4 2 2 7 3" xfId="36696"/>
    <cellStyle name="SAPBEXstdItemX 4 2 2 8" xfId="36697"/>
    <cellStyle name="SAPBEXstdItemX 4 2 2 8 2" xfId="36698"/>
    <cellStyle name="SAPBEXstdItemX 4 2 2 8 2 2" xfId="36699"/>
    <cellStyle name="SAPBEXstdItemX 4 2 2 8 3" xfId="36700"/>
    <cellStyle name="SAPBEXstdItemX 4 2 2 9" xfId="36701"/>
    <cellStyle name="SAPBEXstdItemX 4 2 2 9 2" xfId="36702"/>
    <cellStyle name="SAPBEXstdItemX 4 2 2 9 2 2" xfId="36703"/>
    <cellStyle name="SAPBEXstdItemX 4 2 2 9 3" xfId="36704"/>
    <cellStyle name="SAPBEXstdItemX 4 2 2_planning-WP" xfId="36705"/>
    <cellStyle name="SAPBEXstdItemX 4 2 3" xfId="36706"/>
    <cellStyle name="SAPBEXstdItemX 4 2 3 2" xfId="36707"/>
    <cellStyle name="SAPBEXstdItemX 4 2 3 2 2" xfId="36708"/>
    <cellStyle name="SAPBEXstdItemX 4 2 3 3" xfId="36709"/>
    <cellStyle name="SAPBEXstdItemX 4 2 4" xfId="36710"/>
    <cellStyle name="SAPBEXstdItemX 4 2 4 2" xfId="36711"/>
    <cellStyle name="SAPBEXstdItemX 4 2 4 2 2" xfId="36712"/>
    <cellStyle name="SAPBEXstdItemX 4 2 4 3" xfId="36713"/>
    <cellStyle name="SAPBEXstdItemX 4 2 5" xfId="36714"/>
    <cellStyle name="SAPBEXstdItemX 4 2 5 2" xfId="36715"/>
    <cellStyle name="SAPBEXstdItemX 4 2 5 2 2" xfId="36716"/>
    <cellStyle name="SAPBEXstdItemX 4 2 5 3" xfId="36717"/>
    <cellStyle name="SAPBEXstdItemX 4 2 6" xfId="36718"/>
    <cellStyle name="SAPBEXstdItemX 4 2 6 2" xfId="36719"/>
    <cellStyle name="SAPBEXstdItemX 4 2 6 2 2" xfId="36720"/>
    <cellStyle name="SAPBEXstdItemX 4 2 6 3" xfId="36721"/>
    <cellStyle name="SAPBEXstdItemX 4 2 7" xfId="36722"/>
    <cellStyle name="SAPBEXstdItemX 4 2 7 2" xfId="36723"/>
    <cellStyle name="SAPBEXstdItemX 4 2 7 2 2" xfId="36724"/>
    <cellStyle name="SAPBEXstdItemX 4 2 7 3" xfId="36725"/>
    <cellStyle name="SAPBEXstdItemX 4 2 8" xfId="36726"/>
    <cellStyle name="SAPBEXstdItemX 4 2 8 2" xfId="36727"/>
    <cellStyle name="SAPBEXstdItemX 4 2 8 2 2" xfId="36728"/>
    <cellStyle name="SAPBEXstdItemX 4 2 8 3" xfId="36729"/>
    <cellStyle name="SAPBEXstdItemX 4 2 9" xfId="36730"/>
    <cellStyle name="SAPBEXstdItemX 4 2 9 2" xfId="36731"/>
    <cellStyle name="SAPBEXstdItemX 4 2 9 2 2" xfId="36732"/>
    <cellStyle name="SAPBEXstdItemX 4 2 9 3" xfId="36733"/>
    <cellStyle name="SAPBEXstdItemX 4 2_planning-WP" xfId="36734"/>
    <cellStyle name="SAPBEXstdItemX 4 3" xfId="36735"/>
    <cellStyle name="SAPBEXstdItemX 4 3 10" xfId="36736"/>
    <cellStyle name="SAPBEXstdItemX 4 3 10 2" xfId="36737"/>
    <cellStyle name="SAPBEXstdItemX 4 3 2" xfId="36738"/>
    <cellStyle name="SAPBEXstdItemX 4 3 2 2" xfId="36739"/>
    <cellStyle name="SAPBEXstdItemX 4 3 2 2 2" xfId="36740"/>
    <cellStyle name="SAPBEXstdItemX 4 3 2 3" xfId="36741"/>
    <cellStyle name="SAPBEXstdItemX 4 3 3" xfId="36742"/>
    <cellStyle name="SAPBEXstdItemX 4 3 3 2" xfId="36743"/>
    <cellStyle name="SAPBEXstdItemX 4 3 3 2 2" xfId="36744"/>
    <cellStyle name="SAPBEXstdItemX 4 3 3 3" xfId="36745"/>
    <cellStyle name="SAPBEXstdItemX 4 3 4" xfId="36746"/>
    <cellStyle name="SAPBEXstdItemX 4 3 4 2" xfId="36747"/>
    <cellStyle name="SAPBEXstdItemX 4 3 4 2 2" xfId="36748"/>
    <cellStyle name="SAPBEXstdItemX 4 3 4 3" xfId="36749"/>
    <cellStyle name="SAPBEXstdItemX 4 3 5" xfId="36750"/>
    <cellStyle name="SAPBEXstdItemX 4 3 5 2" xfId="36751"/>
    <cellStyle name="SAPBEXstdItemX 4 3 5 2 2" xfId="36752"/>
    <cellStyle name="SAPBEXstdItemX 4 3 5 3" xfId="36753"/>
    <cellStyle name="SAPBEXstdItemX 4 3 6" xfId="36754"/>
    <cellStyle name="SAPBEXstdItemX 4 3 6 2" xfId="36755"/>
    <cellStyle name="SAPBEXstdItemX 4 3 6 2 2" xfId="36756"/>
    <cellStyle name="SAPBEXstdItemX 4 3 6 3" xfId="36757"/>
    <cellStyle name="SAPBEXstdItemX 4 3 7" xfId="36758"/>
    <cellStyle name="SAPBEXstdItemX 4 3 7 2" xfId="36759"/>
    <cellStyle name="SAPBEXstdItemX 4 3 7 2 2" xfId="36760"/>
    <cellStyle name="SAPBEXstdItemX 4 3 7 3" xfId="36761"/>
    <cellStyle name="SAPBEXstdItemX 4 3 8" xfId="36762"/>
    <cellStyle name="SAPBEXstdItemX 4 3 8 2" xfId="36763"/>
    <cellStyle name="SAPBEXstdItemX 4 3 8 2 2" xfId="36764"/>
    <cellStyle name="SAPBEXstdItemX 4 3 8 3" xfId="36765"/>
    <cellStyle name="SAPBEXstdItemX 4 3 9" xfId="36766"/>
    <cellStyle name="SAPBEXstdItemX 4 3 9 2" xfId="36767"/>
    <cellStyle name="SAPBEXstdItemX 4 3 9 2 2" xfId="36768"/>
    <cellStyle name="SAPBEXstdItemX 4 3 9 3" xfId="36769"/>
    <cellStyle name="SAPBEXstdItemX 4 3_planning-WP" xfId="36770"/>
    <cellStyle name="SAPBEXstdItemX 4 4" xfId="36771"/>
    <cellStyle name="SAPBEXstdItemX 4 4 2" xfId="36772"/>
    <cellStyle name="SAPBEXstdItemX 4 4 2 2" xfId="36773"/>
    <cellStyle name="SAPBEXstdItemX 4 4 2 2 2" xfId="36774"/>
    <cellStyle name="SAPBEXstdItemX 4 4 2 3" xfId="36775"/>
    <cellStyle name="SAPBEXstdItemX 4 4 3" xfId="36776"/>
    <cellStyle name="SAPBEXstdItemX 4 4 3 2" xfId="36777"/>
    <cellStyle name="SAPBEXstdItemX 4 4 3 2 2" xfId="36778"/>
    <cellStyle name="SAPBEXstdItemX 4 4 3 3" xfId="36779"/>
    <cellStyle name="SAPBEXstdItemX 4 4 4" xfId="36780"/>
    <cellStyle name="SAPBEXstdItemX 4 4 4 2" xfId="36781"/>
    <cellStyle name="SAPBEXstdItemX 4 4 4 2 2" xfId="36782"/>
    <cellStyle name="SAPBEXstdItemX 4 4 4 3" xfId="36783"/>
    <cellStyle name="SAPBEXstdItemX 4 4 5" xfId="36784"/>
    <cellStyle name="SAPBEXstdItemX 4 4 5 2" xfId="36785"/>
    <cellStyle name="SAPBEXstdItemX 4 4 5 2 2" xfId="36786"/>
    <cellStyle name="SAPBEXstdItemX 4 4 5 3" xfId="36787"/>
    <cellStyle name="SAPBEXstdItemX 4 4 6" xfId="36788"/>
    <cellStyle name="SAPBEXstdItemX 4 4 6 2" xfId="36789"/>
    <cellStyle name="SAPBEXstdItemX 4 4 6 2 2" xfId="36790"/>
    <cellStyle name="SAPBEXstdItemX 4 4 6 3" xfId="36791"/>
    <cellStyle name="SAPBEXstdItemX 4 4 7" xfId="36792"/>
    <cellStyle name="SAPBEXstdItemX 4 4 7 2" xfId="36793"/>
    <cellStyle name="SAPBEXstdItemX 4 4 7 2 2" xfId="36794"/>
    <cellStyle name="SAPBEXstdItemX 4 4 7 3" xfId="36795"/>
    <cellStyle name="SAPBEXstdItemX 4 4 8" xfId="36796"/>
    <cellStyle name="SAPBEXstdItemX 4 4 8 2" xfId="36797"/>
    <cellStyle name="SAPBEXstdItemX 4 4 8 2 2" xfId="36798"/>
    <cellStyle name="SAPBEXstdItemX 4 4 8 3" xfId="36799"/>
    <cellStyle name="SAPBEXstdItemX 4 4 9" xfId="36800"/>
    <cellStyle name="SAPBEXstdItemX 4 4 9 2" xfId="36801"/>
    <cellStyle name="SAPBEXstdItemX 4 4_planning-WP" xfId="36802"/>
    <cellStyle name="SAPBEXstdItemX 4 5" xfId="36803"/>
    <cellStyle name="SAPBEXstdItemX 4 5 2" xfId="36804"/>
    <cellStyle name="SAPBEXstdItemX 4 5 2 2" xfId="36805"/>
    <cellStyle name="SAPBEXstdItemX 4 6" xfId="36806"/>
    <cellStyle name="SAPBEXstdItemX 4 6 2" xfId="36807"/>
    <cellStyle name="SAPBEXstdItemX 4 6 2 2" xfId="36808"/>
    <cellStyle name="SAPBEXstdItemX 4 6 3" xfId="36809"/>
    <cellStyle name="SAPBEXstdItemX 4 7" xfId="36810"/>
    <cellStyle name="SAPBEXstdItemX 4 7 2" xfId="36811"/>
    <cellStyle name="SAPBEXstdItemX 4 7 2 2" xfId="36812"/>
    <cellStyle name="SAPBEXstdItemX 4 7 3" xfId="36813"/>
    <cellStyle name="SAPBEXstdItemX 4 8" xfId="36814"/>
    <cellStyle name="SAPBEXstdItemX 4 8 2" xfId="36815"/>
    <cellStyle name="SAPBEXstdItemX 4 8 2 2" xfId="36816"/>
    <cellStyle name="SAPBEXstdItemX 4 8 3" xfId="36817"/>
    <cellStyle name="SAPBEXstdItemX 4 9" xfId="36818"/>
    <cellStyle name="SAPBEXstdItemX 4 9 2" xfId="36819"/>
    <cellStyle name="SAPBEXstdItemX 4 9 2 2" xfId="36820"/>
    <cellStyle name="SAPBEXstdItemX 4 9 3" xfId="36821"/>
    <cellStyle name="SAPBEXstdItemX 4_planning-WP" xfId="36822"/>
    <cellStyle name="SAPBEXstdItemX 5" xfId="36823"/>
    <cellStyle name="SAPBEXstdItemX 5 10" xfId="36824"/>
    <cellStyle name="SAPBEXstdItemX 5 10 2" xfId="36825"/>
    <cellStyle name="SAPBEXstdItemX 5 10 2 2" xfId="36826"/>
    <cellStyle name="SAPBEXstdItemX 5 10 3" xfId="36827"/>
    <cellStyle name="SAPBEXstdItemX 5 11" xfId="36828"/>
    <cellStyle name="SAPBEXstdItemX 5 11 2" xfId="36829"/>
    <cellStyle name="SAPBEXstdItemX 5 11 2 2" xfId="36830"/>
    <cellStyle name="SAPBEXstdItemX 5 11 3" xfId="36831"/>
    <cellStyle name="SAPBEXstdItemX 5 12" xfId="36832"/>
    <cellStyle name="SAPBEXstdItemX 5 12 2" xfId="36833"/>
    <cellStyle name="SAPBEXstdItemX 5 12 2 2" xfId="36834"/>
    <cellStyle name="SAPBEXstdItemX 5 12 3" xfId="36835"/>
    <cellStyle name="SAPBEXstdItemX 5 13" xfId="36836"/>
    <cellStyle name="SAPBEXstdItemX 5 14" xfId="39178"/>
    <cellStyle name="SAPBEXstdItemX 5 15" xfId="39555"/>
    <cellStyle name="SAPBEXstdItemX 5 2" xfId="36837"/>
    <cellStyle name="SAPBEXstdItemX 5 2 10" xfId="36838"/>
    <cellStyle name="SAPBEXstdItemX 5 2 10 2" xfId="36839"/>
    <cellStyle name="SAPBEXstdItemX 5 2 10 2 2" xfId="36840"/>
    <cellStyle name="SAPBEXstdItemX 5 2 10 3" xfId="36841"/>
    <cellStyle name="SAPBEXstdItemX 5 2 11" xfId="36842"/>
    <cellStyle name="SAPBEXstdItemX 5 2 11 2" xfId="36843"/>
    <cellStyle name="SAPBEXstdItemX 5 2 2" xfId="36844"/>
    <cellStyle name="SAPBEXstdItemX 5 2 2 10" xfId="36845"/>
    <cellStyle name="SAPBEXstdItemX 5 2 2 10 2" xfId="36846"/>
    <cellStyle name="SAPBEXstdItemX 5 2 2 2" xfId="36847"/>
    <cellStyle name="SAPBEXstdItemX 5 2 2 2 2" xfId="36848"/>
    <cellStyle name="SAPBEXstdItemX 5 2 2 2 2 2" xfId="36849"/>
    <cellStyle name="SAPBEXstdItemX 5 2 2 2 3" xfId="36850"/>
    <cellStyle name="SAPBEXstdItemX 5 2 2 3" xfId="36851"/>
    <cellStyle name="SAPBEXstdItemX 5 2 2 3 2" xfId="36852"/>
    <cellStyle name="SAPBEXstdItemX 5 2 2 3 2 2" xfId="36853"/>
    <cellStyle name="SAPBEXstdItemX 5 2 2 3 3" xfId="36854"/>
    <cellStyle name="SAPBEXstdItemX 5 2 2 4" xfId="36855"/>
    <cellStyle name="SAPBEXstdItemX 5 2 2 4 2" xfId="36856"/>
    <cellStyle name="SAPBEXstdItemX 5 2 2 4 2 2" xfId="36857"/>
    <cellStyle name="SAPBEXstdItemX 5 2 2 4 3" xfId="36858"/>
    <cellStyle name="SAPBEXstdItemX 5 2 2 5" xfId="36859"/>
    <cellStyle name="SAPBEXstdItemX 5 2 2 5 2" xfId="36860"/>
    <cellStyle name="SAPBEXstdItemX 5 2 2 5 2 2" xfId="36861"/>
    <cellStyle name="SAPBEXstdItemX 5 2 2 5 3" xfId="36862"/>
    <cellStyle name="SAPBEXstdItemX 5 2 2 6" xfId="36863"/>
    <cellStyle name="SAPBEXstdItemX 5 2 2 6 2" xfId="36864"/>
    <cellStyle name="SAPBEXstdItemX 5 2 2 6 2 2" xfId="36865"/>
    <cellStyle name="SAPBEXstdItemX 5 2 2 6 3" xfId="36866"/>
    <cellStyle name="SAPBEXstdItemX 5 2 2 7" xfId="36867"/>
    <cellStyle name="SAPBEXstdItemX 5 2 2 7 2" xfId="36868"/>
    <cellStyle name="SAPBEXstdItemX 5 2 2 7 2 2" xfId="36869"/>
    <cellStyle name="SAPBEXstdItemX 5 2 2 7 3" xfId="36870"/>
    <cellStyle name="SAPBEXstdItemX 5 2 2 8" xfId="36871"/>
    <cellStyle name="SAPBEXstdItemX 5 2 2 8 2" xfId="36872"/>
    <cellStyle name="SAPBEXstdItemX 5 2 2 8 2 2" xfId="36873"/>
    <cellStyle name="SAPBEXstdItemX 5 2 2 8 3" xfId="36874"/>
    <cellStyle name="SAPBEXstdItemX 5 2 2 9" xfId="36875"/>
    <cellStyle name="SAPBEXstdItemX 5 2 2 9 2" xfId="36876"/>
    <cellStyle name="SAPBEXstdItemX 5 2 2 9 2 2" xfId="36877"/>
    <cellStyle name="SAPBEXstdItemX 5 2 2 9 3" xfId="36878"/>
    <cellStyle name="SAPBEXstdItemX 5 2 2_planning-WP" xfId="36879"/>
    <cellStyle name="SAPBEXstdItemX 5 2 3" xfId="36880"/>
    <cellStyle name="SAPBEXstdItemX 5 2 3 2" xfId="36881"/>
    <cellStyle name="SAPBEXstdItemX 5 2 3 2 2" xfId="36882"/>
    <cellStyle name="SAPBEXstdItemX 5 2 3 3" xfId="36883"/>
    <cellStyle name="SAPBEXstdItemX 5 2 4" xfId="36884"/>
    <cellStyle name="SAPBEXstdItemX 5 2 4 2" xfId="36885"/>
    <cellStyle name="SAPBEXstdItemX 5 2 4 2 2" xfId="36886"/>
    <cellStyle name="SAPBEXstdItemX 5 2 4 3" xfId="36887"/>
    <cellStyle name="SAPBEXstdItemX 5 2 5" xfId="36888"/>
    <cellStyle name="SAPBEXstdItemX 5 2 5 2" xfId="36889"/>
    <cellStyle name="SAPBEXstdItemX 5 2 5 2 2" xfId="36890"/>
    <cellStyle name="SAPBEXstdItemX 5 2 5 3" xfId="36891"/>
    <cellStyle name="SAPBEXstdItemX 5 2 6" xfId="36892"/>
    <cellStyle name="SAPBEXstdItemX 5 2 6 2" xfId="36893"/>
    <cellStyle name="SAPBEXstdItemX 5 2 6 2 2" xfId="36894"/>
    <cellStyle name="SAPBEXstdItemX 5 2 6 3" xfId="36895"/>
    <cellStyle name="SAPBEXstdItemX 5 2 7" xfId="36896"/>
    <cellStyle name="SAPBEXstdItemX 5 2 7 2" xfId="36897"/>
    <cellStyle name="SAPBEXstdItemX 5 2 7 2 2" xfId="36898"/>
    <cellStyle name="SAPBEXstdItemX 5 2 7 3" xfId="36899"/>
    <cellStyle name="SAPBEXstdItemX 5 2 8" xfId="36900"/>
    <cellStyle name="SAPBEXstdItemX 5 2 8 2" xfId="36901"/>
    <cellStyle name="SAPBEXstdItemX 5 2 8 2 2" xfId="36902"/>
    <cellStyle name="SAPBEXstdItemX 5 2 8 3" xfId="36903"/>
    <cellStyle name="SAPBEXstdItemX 5 2 9" xfId="36904"/>
    <cellStyle name="SAPBEXstdItemX 5 2 9 2" xfId="36905"/>
    <cellStyle name="SAPBEXstdItemX 5 2 9 2 2" xfId="36906"/>
    <cellStyle name="SAPBEXstdItemX 5 2 9 3" xfId="36907"/>
    <cellStyle name="SAPBEXstdItemX 5 2_planning-WP" xfId="36908"/>
    <cellStyle name="SAPBEXstdItemX 5 3" xfId="36909"/>
    <cellStyle name="SAPBEXstdItemX 5 3 10" xfId="36910"/>
    <cellStyle name="SAPBEXstdItemX 5 3 10 2" xfId="36911"/>
    <cellStyle name="SAPBEXstdItemX 5 3 2" xfId="36912"/>
    <cellStyle name="SAPBEXstdItemX 5 3 2 2" xfId="36913"/>
    <cellStyle name="SAPBEXstdItemX 5 3 2 2 2" xfId="36914"/>
    <cellStyle name="SAPBEXstdItemX 5 3 2 3" xfId="36915"/>
    <cellStyle name="SAPBEXstdItemX 5 3 3" xfId="36916"/>
    <cellStyle name="SAPBEXstdItemX 5 3 3 2" xfId="36917"/>
    <cellStyle name="SAPBEXstdItemX 5 3 3 2 2" xfId="36918"/>
    <cellStyle name="SAPBEXstdItemX 5 3 3 3" xfId="36919"/>
    <cellStyle name="SAPBEXstdItemX 5 3 4" xfId="36920"/>
    <cellStyle name="SAPBEXstdItemX 5 3 4 2" xfId="36921"/>
    <cellStyle name="SAPBEXstdItemX 5 3 4 2 2" xfId="36922"/>
    <cellStyle name="SAPBEXstdItemX 5 3 4 3" xfId="36923"/>
    <cellStyle name="SAPBEXstdItemX 5 3 5" xfId="36924"/>
    <cellStyle name="SAPBEXstdItemX 5 3 5 2" xfId="36925"/>
    <cellStyle name="SAPBEXstdItemX 5 3 5 2 2" xfId="36926"/>
    <cellStyle name="SAPBEXstdItemX 5 3 5 3" xfId="36927"/>
    <cellStyle name="SAPBEXstdItemX 5 3 6" xfId="36928"/>
    <cellStyle name="SAPBEXstdItemX 5 3 6 2" xfId="36929"/>
    <cellStyle name="SAPBEXstdItemX 5 3 6 2 2" xfId="36930"/>
    <cellStyle name="SAPBEXstdItemX 5 3 6 3" xfId="36931"/>
    <cellStyle name="SAPBEXstdItemX 5 3 7" xfId="36932"/>
    <cellStyle name="SAPBEXstdItemX 5 3 7 2" xfId="36933"/>
    <cellStyle name="SAPBEXstdItemX 5 3 7 2 2" xfId="36934"/>
    <cellStyle name="SAPBEXstdItemX 5 3 7 3" xfId="36935"/>
    <cellStyle name="SAPBEXstdItemX 5 3 8" xfId="36936"/>
    <cellStyle name="SAPBEXstdItemX 5 3 8 2" xfId="36937"/>
    <cellStyle name="SAPBEXstdItemX 5 3 8 2 2" xfId="36938"/>
    <cellStyle name="SAPBEXstdItemX 5 3 8 3" xfId="36939"/>
    <cellStyle name="SAPBEXstdItemX 5 3 9" xfId="36940"/>
    <cellStyle name="SAPBEXstdItemX 5 3 9 2" xfId="36941"/>
    <cellStyle name="SAPBEXstdItemX 5 3 9 2 2" xfId="36942"/>
    <cellStyle name="SAPBEXstdItemX 5 3 9 3" xfId="36943"/>
    <cellStyle name="SAPBEXstdItemX 5 3_planning-WP" xfId="36944"/>
    <cellStyle name="SAPBEXstdItemX 5 4" xfId="36945"/>
    <cellStyle name="SAPBEXstdItemX 5 4 2" xfId="36946"/>
    <cellStyle name="SAPBEXstdItemX 5 4 2 2" xfId="36947"/>
    <cellStyle name="SAPBEXstdItemX 5 4 2 2 2" xfId="36948"/>
    <cellStyle name="SAPBEXstdItemX 5 4 2 3" xfId="36949"/>
    <cellStyle name="SAPBEXstdItemX 5 4 3" xfId="36950"/>
    <cellStyle name="SAPBEXstdItemX 5 4 3 2" xfId="36951"/>
    <cellStyle name="SAPBEXstdItemX 5 4 3 2 2" xfId="36952"/>
    <cellStyle name="SAPBEXstdItemX 5 4 3 3" xfId="36953"/>
    <cellStyle name="SAPBEXstdItemX 5 4 4" xfId="36954"/>
    <cellStyle name="SAPBEXstdItemX 5 4 4 2" xfId="36955"/>
    <cellStyle name="SAPBEXstdItemX 5 4 4 2 2" xfId="36956"/>
    <cellStyle name="SAPBEXstdItemX 5 4 4 3" xfId="36957"/>
    <cellStyle name="SAPBEXstdItemX 5 4 5" xfId="36958"/>
    <cellStyle name="SAPBEXstdItemX 5 4 5 2" xfId="36959"/>
    <cellStyle name="SAPBEXstdItemX 5 4 5 2 2" xfId="36960"/>
    <cellStyle name="SAPBEXstdItemX 5 4 5 3" xfId="36961"/>
    <cellStyle name="SAPBEXstdItemX 5 4 6" xfId="36962"/>
    <cellStyle name="SAPBEXstdItemX 5 4 6 2" xfId="36963"/>
    <cellStyle name="SAPBEXstdItemX 5 4 6 2 2" xfId="36964"/>
    <cellStyle name="SAPBEXstdItemX 5 4 6 3" xfId="36965"/>
    <cellStyle name="SAPBEXstdItemX 5 4 7" xfId="36966"/>
    <cellStyle name="SAPBEXstdItemX 5 4 7 2" xfId="36967"/>
    <cellStyle name="SAPBEXstdItemX 5 4 7 2 2" xfId="36968"/>
    <cellStyle name="SAPBEXstdItemX 5 4 7 3" xfId="36969"/>
    <cellStyle name="SAPBEXstdItemX 5 4 8" xfId="36970"/>
    <cellStyle name="SAPBEXstdItemX 5 4 8 2" xfId="36971"/>
    <cellStyle name="SAPBEXstdItemX 5 4 8 2 2" xfId="36972"/>
    <cellStyle name="SAPBEXstdItemX 5 4 8 3" xfId="36973"/>
    <cellStyle name="SAPBEXstdItemX 5 4 9" xfId="36974"/>
    <cellStyle name="SAPBEXstdItemX 5 4 9 2" xfId="36975"/>
    <cellStyle name="SAPBEXstdItemX 5 4_planning-WP" xfId="36976"/>
    <cellStyle name="SAPBEXstdItemX 5 5" xfId="36977"/>
    <cellStyle name="SAPBEXstdItemX 5 5 2" xfId="36978"/>
    <cellStyle name="SAPBEXstdItemX 5 5 2 2" xfId="36979"/>
    <cellStyle name="SAPBEXstdItemX 5 6" xfId="36980"/>
    <cellStyle name="SAPBEXstdItemX 5 6 2" xfId="36981"/>
    <cellStyle name="SAPBEXstdItemX 5 6 2 2" xfId="36982"/>
    <cellStyle name="SAPBEXstdItemX 5 6 3" xfId="36983"/>
    <cellStyle name="SAPBEXstdItemX 5 7" xfId="36984"/>
    <cellStyle name="SAPBEXstdItemX 5 7 2" xfId="36985"/>
    <cellStyle name="SAPBEXstdItemX 5 7 2 2" xfId="36986"/>
    <cellStyle name="SAPBEXstdItemX 5 7 3" xfId="36987"/>
    <cellStyle name="SAPBEXstdItemX 5 8" xfId="36988"/>
    <cellStyle name="SAPBEXstdItemX 5 8 2" xfId="36989"/>
    <cellStyle name="SAPBEXstdItemX 5 8 2 2" xfId="36990"/>
    <cellStyle name="SAPBEXstdItemX 5 8 3" xfId="36991"/>
    <cellStyle name="SAPBEXstdItemX 5 9" xfId="36992"/>
    <cellStyle name="SAPBEXstdItemX 5 9 2" xfId="36993"/>
    <cellStyle name="SAPBEXstdItemX 5 9 2 2" xfId="36994"/>
    <cellStyle name="SAPBEXstdItemX 5 9 3" xfId="36995"/>
    <cellStyle name="SAPBEXstdItemX 5_planning-WP" xfId="36996"/>
    <cellStyle name="SAPBEXstdItemX 6" xfId="36997"/>
    <cellStyle name="SAPBEXstdItemX 6 10" xfId="36998"/>
    <cellStyle name="SAPBEXstdItemX 6 10 2" xfId="36999"/>
    <cellStyle name="SAPBEXstdItemX 6 10 2 2" xfId="37000"/>
    <cellStyle name="SAPBEXstdItemX 6 10 3" xfId="37001"/>
    <cellStyle name="SAPBEXstdItemX 6 11" xfId="37002"/>
    <cellStyle name="SAPBEXstdItemX 6 11 2" xfId="37003"/>
    <cellStyle name="SAPBEXstdItemX 6 11 2 2" xfId="37004"/>
    <cellStyle name="SAPBEXstdItemX 6 11 3" xfId="37005"/>
    <cellStyle name="SAPBEXstdItemX 6 12" xfId="37006"/>
    <cellStyle name="SAPBEXstdItemX 6 13" xfId="39179"/>
    <cellStyle name="SAPBEXstdItemX 6 14" xfId="39556"/>
    <cellStyle name="SAPBEXstdItemX 6 2" xfId="37007"/>
    <cellStyle name="SAPBEXstdItemX 6 2 10" xfId="37008"/>
    <cellStyle name="SAPBEXstdItemX 6 2 10 2" xfId="37009"/>
    <cellStyle name="SAPBEXstdItemX 6 2 2" xfId="37010"/>
    <cellStyle name="SAPBEXstdItemX 6 2 2 2" xfId="37011"/>
    <cellStyle name="SAPBEXstdItemX 6 2 2 2 2" xfId="37012"/>
    <cellStyle name="SAPBEXstdItemX 6 2 2 3" xfId="37013"/>
    <cellStyle name="SAPBEXstdItemX 6 2 3" xfId="37014"/>
    <cellStyle name="SAPBEXstdItemX 6 2 3 2" xfId="37015"/>
    <cellStyle name="SAPBEXstdItemX 6 2 3 2 2" xfId="37016"/>
    <cellStyle name="SAPBEXstdItemX 6 2 3 3" xfId="37017"/>
    <cellStyle name="SAPBEXstdItemX 6 2 4" xfId="37018"/>
    <cellStyle name="SAPBEXstdItemX 6 2 4 2" xfId="37019"/>
    <cellStyle name="SAPBEXstdItemX 6 2 4 2 2" xfId="37020"/>
    <cellStyle name="SAPBEXstdItemX 6 2 4 3" xfId="37021"/>
    <cellStyle name="SAPBEXstdItemX 6 2 5" xfId="37022"/>
    <cellStyle name="SAPBEXstdItemX 6 2 5 2" xfId="37023"/>
    <cellStyle name="SAPBEXstdItemX 6 2 5 2 2" xfId="37024"/>
    <cellStyle name="SAPBEXstdItemX 6 2 5 3" xfId="37025"/>
    <cellStyle name="SAPBEXstdItemX 6 2 6" xfId="37026"/>
    <cellStyle name="SAPBEXstdItemX 6 2 6 2" xfId="37027"/>
    <cellStyle name="SAPBEXstdItemX 6 2 6 2 2" xfId="37028"/>
    <cellStyle name="SAPBEXstdItemX 6 2 6 3" xfId="37029"/>
    <cellStyle name="SAPBEXstdItemX 6 2 7" xfId="37030"/>
    <cellStyle name="SAPBEXstdItemX 6 2 7 2" xfId="37031"/>
    <cellStyle name="SAPBEXstdItemX 6 2 7 2 2" xfId="37032"/>
    <cellStyle name="SAPBEXstdItemX 6 2 7 3" xfId="37033"/>
    <cellStyle name="SAPBEXstdItemX 6 2 8" xfId="37034"/>
    <cellStyle name="SAPBEXstdItemX 6 2 8 2" xfId="37035"/>
    <cellStyle name="SAPBEXstdItemX 6 2 8 2 2" xfId="37036"/>
    <cellStyle name="SAPBEXstdItemX 6 2 8 3" xfId="37037"/>
    <cellStyle name="SAPBEXstdItemX 6 2 9" xfId="37038"/>
    <cellStyle name="SAPBEXstdItemX 6 2 9 2" xfId="37039"/>
    <cellStyle name="SAPBEXstdItemX 6 2 9 2 2" xfId="37040"/>
    <cellStyle name="SAPBEXstdItemX 6 2 9 3" xfId="37041"/>
    <cellStyle name="SAPBEXstdItemX 6 2_planning-WP" xfId="37042"/>
    <cellStyle name="SAPBEXstdItemX 6 3" xfId="37043"/>
    <cellStyle name="SAPBEXstdItemX 6 3 2" xfId="37044"/>
    <cellStyle name="SAPBEXstdItemX 6 3 2 2" xfId="37045"/>
    <cellStyle name="SAPBEXstdItemX 6 3 2 2 2" xfId="37046"/>
    <cellStyle name="SAPBEXstdItemX 6 3 2 3" xfId="37047"/>
    <cellStyle name="SAPBEXstdItemX 6 3 3" xfId="37048"/>
    <cellStyle name="SAPBEXstdItemX 6 3 3 2" xfId="37049"/>
    <cellStyle name="SAPBEXstdItemX 6 3 3 2 2" xfId="37050"/>
    <cellStyle name="SAPBEXstdItemX 6 3 3 3" xfId="37051"/>
    <cellStyle name="SAPBEXstdItemX 6 3 4" xfId="37052"/>
    <cellStyle name="SAPBEXstdItemX 6 3 4 2" xfId="37053"/>
    <cellStyle name="SAPBEXstdItemX 6 3 4 2 2" xfId="37054"/>
    <cellStyle name="SAPBEXstdItemX 6 3 4 3" xfId="37055"/>
    <cellStyle name="SAPBEXstdItemX 6 3 5" xfId="37056"/>
    <cellStyle name="SAPBEXstdItemX 6 3 5 2" xfId="37057"/>
    <cellStyle name="SAPBEXstdItemX 6 3 5 2 2" xfId="37058"/>
    <cellStyle name="SAPBEXstdItemX 6 3 5 3" xfId="37059"/>
    <cellStyle name="SAPBEXstdItemX 6 3 6" xfId="37060"/>
    <cellStyle name="SAPBEXstdItemX 6 3 6 2" xfId="37061"/>
    <cellStyle name="SAPBEXstdItemX 6 3 6 2 2" xfId="37062"/>
    <cellStyle name="SAPBEXstdItemX 6 3 6 3" xfId="37063"/>
    <cellStyle name="SAPBEXstdItemX 6 3 7" xfId="37064"/>
    <cellStyle name="SAPBEXstdItemX 6 3 7 2" xfId="37065"/>
    <cellStyle name="SAPBEXstdItemX 6 3 7 2 2" xfId="37066"/>
    <cellStyle name="SAPBEXstdItemX 6 3 7 3" xfId="37067"/>
    <cellStyle name="SAPBEXstdItemX 6 3 8" xfId="37068"/>
    <cellStyle name="SAPBEXstdItemX 6 3 8 2" xfId="37069"/>
    <cellStyle name="SAPBEXstdItemX 6 3 8 2 2" xfId="37070"/>
    <cellStyle name="SAPBEXstdItemX 6 3 8 3" xfId="37071"/>
    <cellStyle name="SAPBEXstdItemX 6 3 9" xfId="37072"/>
    <cellStyle name="SAPBEXstdItemX 6 3 9 2" xfId="37073"/>
    <cellStyle name="SAPBEXstdItemX 6 3_planning-WP" xfId="37074"/>
    <cellStyle name="SAPBEXstdItemX 6 4" xfId="37075"/>
    <cellStyle name="SAPBEXstdItemX 6 4 2" xfId="37076"/>
    <cellStyle name="SAPBEXstdItemX 6 4 2 2" xfId="37077"/>
    <cellStyle name="SAPBEXstdItemX 6 5" xfId="37078"/>
    <cellStyle name="SAPBEXstdItemX 6 5 2" xfId="37079"/>
    <cellStyle name="SAPBEXstdItemX 6 5 2 2" xfId="37080"/>
    <cellStyle name="SAPBEXstdItemX 6 5 3" xfId="37081"/>
    <cellStyle name="SAPBEXstdItemX 6 6" xfId="37082"/>
    <cellStyle name="SAPBEXstdItemX 6 6 2" xfId="37083"/>
    <cellStyle name="SAPBEXstdItemX 6 6 2 2" xfId="37084"/>
    <cellStyle name="SAPBEXstdItemX 6 6 3" xfId="37085"/>
    <cellStyle name="SAPBEXstdItemX 6 7" xfId="37086"/>
    <cellStyle name="SAPBEXstdItemX 6 7 2" xfId="37087"/>
    <cellStyle name="SAPBEXstdItemX 6 7 2 2" xfId="37088"/>
    <cellStyle name="SAPBEXstdItemX 6 7 3" xfId="37089"/>
    <cellStyle name="SAPBEXstdItemX 6 8" xfId="37090"/>
    <cellStyle name="SAPBEXstdItemX 6 8 2" xfId="37091"/>
    <cellStyle name="SAPBEXstdItemX 6 8 2 2" xfId="37092"/>
    <cellStyle name="SAPBEXstdItemX 6 8 3" xfId="37093"/>
    <cellStyle name="SAPBEXstdItemX 6 9" xfId="37094"/>
    <cellStyle name="SAPBEXstdItemX 6 9 2" xfId="37095"/>
    <cellStyle name="SAPBEXstdItemX 6 9 2 2" xfId="37096"/>
    <cellStyle name="SAPBEXstdItemX 6 9 3" xfId="37097"/>
    <cellStyle name="SAPBEXstdItemX 6_planning-WP" xfId="37098"/>
    <cellStyle name="SAPBEXstdItemX 7" xfId="37099"/>
    <cellStyle name="SAPBEXstdItemX 7 10" xfId="37100"/>
    <cellStyle name="SAPBEXstdItemX 7 10 2" xfId="37101"/>
    <cellStyle name="SAPBEXstdItemX 7 10 2 2" xfId="37102"/>
    <cellStyle name="SAPBEXstdItemX 7 10 3" xfId="37103"/>
    <cellStyle name="SAPBEXstdItemX 7 11" xfId="37104"/>
    <cellStyle name="SAPBEXstdItemX 7 11 2" xfId="37105"/>
    <cellStyle name="SAPBEXstdItemX 7 2" xfId="37106"/>
    <cellStyle name="SAPBEXstdItemX 7 2 10" xfId="37107"/>
    <cellStyle name="SAPBEXstdItemX 7 2 10 2" xfId="37108"/>
    <cellStyle name="SAPBEXstdItemX 7 2 2" xfId="37109"/>
    <cellStyle name="SAPBEXstdItemX 7 2 2 2" xfId="37110"/>
    <cellStyle name="SAPBEXstdItemX 7 2 2 2 2" xfId="37111"/>
    <cellStyle name="SAPBEXstdItemX 7 2 2 3" xfId="37112"/>
    <cellStyle name="SAPBEXstdItemX 7 2 3" xfId="37113"/>
    <cellStyle name="SAPBEXstdItemX 7 2 3 2" xfId="37114"/>
    <cellStyle name="SAPBEXstdItemX 7 2 3 2 2" xfId="37115"/>
    <cellStyle name="SAPBEXstdItemX 7 2 3 3" xfId="37116"/>
    <cellStyle name="SAPBEXstdItemX 7 2 4" xfId="37117"/>
    <cellStyle name="SAPBEXstdItemX 7 2 4 2" xfId="37118"/>
    <cellStyle name="SAPBEXstdItemX 7 2 4 2 2" xfId="37119"/>
    <cellStyle name="SAPBEXstdItemX 7 2 4 3" xfId="37120"/>
    <cellStyle name="SAPBEXstdItemX 7 2 5" xfId="37121"/>
    <cellStyle name="SAPBEXstdItemX 7 2 5 2" xfId="37122"/>
    <cellStyle name="SAPBEXstdItemX 7 2 5 2 2" xfId="37123"/>
    <cellStyle name="SAPBEXstdItemX 7 2 5 3" xfId="37124"/>
    <cellStyle name="SAPBEXstdItemX 7 2 6" xfId="37125"/>
    <cellStyle name="SAPBEXstdItemX 7 2 6 2" xfId="37126"/>
    <cellStyle name="SAPBEXstdItemX 7 2 6 2 2" xfId="37127"/>
    <cellStyle name="SAPBEXstdItemX 7 2 6 3" xfId="37128"/>
    <cellStyle name="SAPBEXstdItemX 7 2 7" xfId="37129"/>
    <cellStyle name="SAPBEXstdItemX 7 2 7 2" xfId="37130"/>
    <cellStyle name="SAPBEXstdItemX 7 2 7 2 2" xfId="37131"/>
    <cellStyle name="SAPBEXstdItemX 7 2 7 3" xfId="37132"/>
    <cellStyle name="SAPBEXstdItemX 7 2 8" xfId="37133"/>
    <cellStyle name="SAPBEXstdItemX 7 2 8 2" xfId="37134"/>
    <cellStyle name="SAPBEXstdItemX 7 2 8 2 2" xfId="37135"/>
    <cellStyle name="SAPBEXstdItemX 7 2 8 3" xfId="37136"/>
    <cellStyle name="SAPBEXstdItemX 7 2 9" xfId="37137"/>
    <cellStyle name="SAPBEXstdItemX 7 2 9 2" xfId="37138"/>
    <cellStyle name="SAPBEXstdItemX 7 2 9 2 2" xfId="37139"/>
    <cellStyle name="SAPBEXstdItemX 7 2 9 3" xfId="37140"/>
    <cellStyle name="SAPBEXstdItemX 7 2_planning-WP" xfId="37141"/>
    <cellStyle name="SAPBEXstdItemX 7 3" xfId="37142"/>
    <cellStyle name="SAPBEXstdItemX 7 3 2" xfId="37143"/>
    <cellStyle name="SAPBEXstdItemX 7 3 2 2" xfId="37144"/>
    <cellStyle name="SAPBEXstdItemX 7 3 3" xfId="37145"/>
    <cellStyle name="SAPBEXstdItemX 7 4" xfId="37146"/>
    <cellStyle name="SAPBEXstdItemX 7 4 2" xfId="37147"/>
    <cellStyle name="SAPBEXstdItemX 7 4 2 2" xfId="37148"/>
    <cellStyle name="SAPBEXstdItemX 7 4 3" xfId="37149"/>
    <cellStyle name="SAPBEXstdItemX 7 5" xfId="37150"/>
    <cellStyle name="SAPBEXstdItemX 7 5 2" xfId="37151"/>
    <cellStyle name="SAPBEXstdItemX 7 5 2 2" xfId="37152"/>
    <cellStyle name="SAPBEXstdItemX 7 5 3" xfId="37153"/>
    <cellStyle name="SAPBEXstdItemX 7 6" xfId="37154"/>
    <cellStyle name="SAPBEXstdItemX 7 6 2" xfId="37155"/>
    <cellStyle name="SAPBEXstdItemX 7 6 2 2" xfId="37156"/>
    <cellStyle name="SAPBEXstdItemX 7 6 3" xfId="37157"/>
    <cellStyle name="SAPBEXstdItemX 7 7" xfId="37158"/>
    <cellStyle name="SAPBEXstdItemX 7 7 2" xfId="37159"/>
    <cellStyle name="SAPBEXstdItemX 7 7 2 2" xfId="37160"/>
    <cellStyle name="SAPBEXstdItemX 7 7 3" xfId="37161"/>
    <cellStyle name="SAPBEXstdItemX 7 8" xfId="37162"/>
    <cellStyle name="SAPBEXstdItemX 7 8 2" xfId="37163"/>
    <cellStyle name="SAPBEXstdItemX 7 8 2 2" xfId="37164"/>
    <cellStyle name="SAPBEXstdItemX 7 8 3" xfId="37165"/>
    <cellStyle name="SAPBEXstdItemX 7 9" xfId="37166"/>
    <cellStyle name="SAPBEXstdItemX 7 9 2" xfId="37167"/>
    <cellStyle name="SAPBEXstdItemX 7 9 2 2" xfId="37168"/>
    <cellStyle name="SAPBEXstdItemX 7 9 3" xfId="37169"/>
    <cellStyle name="SAPBEXstdItemX 7_planning-WP" xfId="37170"/>
    <cellStyle name="SAPBEXstdItemX 8" xfId="37171"/>
    <cellStyle name="SAPBEXstdItemX 8 10" xfId="37172"/>
    <cellStyle name="SAPBEXstdItemX 8 10 2" xfId="37173"/>
    <cellStyle name="SAPBEXstdItemX 8 2" xfId="37174"/>
    <cellStyle name="SAPBEXstdItemX 8 2 2" xfId="37175"/>
    <cellStyle name="SAPBEXstdItemX 8 2 2 2" xfId="37176"/>
    <cellStyle name="SAPBEXstdItemX 8 2 3" xfId="37177"/>
    <cellStyle name="SAPBEXstdItemX 8 3" xfId="37178"/>
    <cellStyle name="SAPBEXstdItemX 8 3 2" xfId="37179"/>
    <cellStyle name="SAPBEXstdItemX 8 3 2 2" xfId="37180"/>
    <cellStyle name="SAPBEXstdItemX 8 3 3" xfId="37181"/>
    <cellStyle name="SAPBEXstdItemX 8 4" xfId="37182"/>
    <cellStyle name="SAPBEXstdItemX 8 4 2" xfId="37183"/>
    <cellStyle name="SAPBEXstdItemX 8 4 2 2" xfId="37184"/>
    <cellStyle name="SAPBEXstdItemX 8 4 3" xfId="37185"/>
    <cellStyle name="SAPBEXstdItemX 8 5" xfId="37186"/>
    <cellStyle name="SAPBEXstdItemX 8 5 2" xfId="37187"/>
    <cellStyle name="SAPBEXstdItemX 8 5 2 2" xfId="37188"/>
    <cellStyle name="SAPBEXstdItemX 8 5 3" xfId="37189"/>
    <cellStyle name="SAPBEXstdItemX 8 6" xfId="37190"/>
    <cellStyle name="SAPBEXstdItemX 8 6 2" xfId="37191"/>
    <cellStyle name="SAPBEXstdItemX 8 6 2 2" xfId="37192"/>
    <cellStyle name="SAPBEXstdItemX 8 6 3" xfId="37193"/>
    <cellStyle name="SAPBEXstdItemX 8 7" xfId="37194"/>
    <cellStyle name="SAPBEXstdItemX 8 7 2" xfId="37195"/>
    <cellStyle name="SAPBEXstdItemX 8 7 2 2" xfId="37196"/>
    <cellStyle name="SAPBEXstdItemX 8 7 3" xfId="37197"/>
    <cellStyle name="SAPBEXstdItemX 8 8" xfId="37198"/>
    <cellStyle name="SAPBEXstdItemX 8 8 2" xfId="37199"/>
    <cellStyle name="SAPBEXstdItemX 8 8 2 2" xfId="37200"/>
    <cellStyle name="SAPBEXstdItemX 8 8 3" xfId="37201"/>
    <cellStyle name="SAPBEXstdItemX 8 9" xfId="37202"/>
    <cellStyle name="SAPBEXstdItemX 8 9 2" xfId="37203"/>
    <cellStyle name="SAPBEXstdItemX 8 9 2 2" xfId="37204"/>
    <cellStyle name="SAPBEXstdItemX 8 9 3" xfId="37205"/>
    <cellStyle name="SAPBEXstdItemX 8_planning-WP" xfId="37206"/>
    <cellStyle name="SAPBEXstdItemX 9" xfId="37207"/>
    <cellStyle name="SAPBEXstdItemX 9 2" xfId="37208"/>
    <cellStyle name="SAPBEXstdItemX 9 2 2" xfId="37209"/>
    <cellStyle name="SAPBEXstdItemX 9 2 2 2" xfId="37210"/>
    <cellStyle name="SAPBEXstdItemX 9 2 3" xfId="37211"/>
    <cellStyle name="SAPBEXstdItemX 9 3" xfId="37212"/>
    <cellStyle name="SAPBEXstdItemX 9 3 2" xfId="37213"/>
    <cellStyle name="SAPBEXstdItemX 9 3 2 2" xfId="37214"/>
    <cellStyle name="SAPBEXstdItemX 9 3 3" xfId="37215"/>
    <cellStyle name="SAPBEXstdItemX 9 4" xfId="37216"/>
    <cellStyle name="SAPBEXstdItemX 9 4 2" xfId="37217"/>
    <cellStyle name="SAPBEXstdItemX 9 4 2 2" xfId="37218"/>
    <cellStyle name="SAPBEXstdItemX 9 4 3" xfId="37219"/>
    <cellStyle name="SAPBEXstdItemX 9 5" xfId="37220"/>
    <cellStyle name="SAPBEXstdItemX 9 5 2" xfId="37221"/>
    <cellStyle name="SAPBEXstdItemX 9 5 2 2" xfId="37222"/>
    <cellStyle name="SAPBEXstdItemX 9 5 3" xfId="37223"/>
    <cellStyle name="SAPBEXstdItemX 9 6" xfId="37224"/>
    <cellStyle name="SAPBEXstdItemX 9 6 2" xfId="37225"/>
    <cellStyle name="SAPBEXstdItemX 9 6 2 2" xfId="37226"/>
    <cellStyle name="SAPBEXstdItemX 9 6 3" xfId="37227"/>
    <cellStyle name="SAPBEXstdItemX 9 7" xfId="37228"/>
    <cellStyle name="SAPBEXstdItemX 9 7 2" xfId="37229"/>
    <cellStyle name="SAPBEXstdItemX 9 7 2 2" xfId="37230"/>
    <cellStyle name="SAPBEXstdItemX 9 7 3" xfId="37231"/>
    <cellStyle name="SAPBEXstdItemX 9 8" xfId="37232"/>
    <cellStyle name="SAPBEXstdItemX 9 8 2" xfId="37233"/>
    <cellStyle name="SAPBEXstdItemX 9 8 2 2" xfId="37234"/>
    <cellStyle name="SAPBEXstdItemX 9 8 3" xfId="37235"/>
    <cellStyle name="SAPBEXstdItemX 9 9" xfId="37236"/>
    <cellStyle name="SAPBEXstdItemX 9 9 2" xfId="37237"/>
    <cellStyle name="SAPBEXstdItemX 9_planning-WP" xfId="37238"/>
    <cellStyle name="SAPBEXstdItemX_20.RessDest CUC CS SEU 0909" xfId="39180"/>
    <cellStyle name="SAPBEXtitle" xfId="294"/>
    <cellStyle name="SAPBEXtitle 10" xfId="39181"/>
    <cellStyle name="SAPBEXtitle 11" xfId="39557"/>
    <cellStyle name="SAPBEXtitle 2" xfId="905"/>
    <cellStyle name="SAPBEXtitle 2 2" xfId="1974"/>
    <cellStyle name="SAPBEXtitle 2 2 10" xfId="10152"/>
    <cellStyle name="SAPBEXtitle 2 2 2" xfId="4892"/>
    <cellStyle name="SAPBEXtitle 2 2 2 2" xfId="37240"/>
    <cellStyle name="SAPBEXtitle 2 2 3" xfId="5871"/>
    <cellStyle name="SAPBEXtitle 2 2 4" xfId="6379"/>
    <cellStyle name="SAPBEXtitle 2 2 5" xfId="6866"/>
    <cellStyle name="SAPBEXtitle 2 2 6" xfId="7349"/>
    <cellStyle name="SAPBEXtitle 2 2 7" xfId="8418"/>
    <cellStyle name="SAPBEXtitle 2 2 8" xfId="8919"/>
    <cellStyle name="SAPBEXtitle 2 2 9" xfId="9413"/>
    <cellStyle name="SAPBEXtitle 2 3" xfId="1637"/>
    <cellStyle name="SAPBEXtitle 2 3 10" xfId="9834"/>
    <cellStyle name="SAPBEXtitle 2 3 2" xfId="4560"/>
    <cellStyle name="SAPBEXtitle 2 3 2 2" xfId="37241"/>
    <cellStyle name="SAPBEXtitle 2 3 3" xfId="5552"/>
    <cellStyle name="SAPBEXtitle 2 3 4" xfId="6061"/>
    <cellStyle name="SAPBEXtitle 2 3 5" xfId="6548"/>
    <cellStyle name="SAPBEXtitle 2 3 6" xfId="7031"/>
    <cellStyle name="SAPBEXtitle 2 3 7" xfId="8100"/>
    <cellStyle name="SAPBEXtitle 2 3 8" xfId="8601"/>
    <cellStyle name="SAPBEXtitle 2 3 9" xfId="9095"/>
    <cellStyle name="SAPBEXtitle 2 4" xfId="9589"/>
    <cellStyle name="SAPBEXtitle 2 5" xfId="39182"/>
    <cellStyle name="SAPBEXtitle 2 6" xfId="39558"/>
    <cellStyle name="SAPBEXtitle 3" xfId="1605"/>
    <cellStyle name="SAPBEXtitle 3 10" xfId="9063"/>
    <cellStyle name="SAPBEXtitle 3 11" xfId="9802"/>
    <cellStyle name="SAPBEXtitle 3 12" xfId="39183"/>
    <cellStyle name="SAPBEXtitle 3 2" xfId="1946"/>
    <cellStyle name="SAPBEXtitle 3 2 10" xfId="10124"/>
    <cellStyle name="SAPBEXtitle 3 2 2" xfId="4864"/>
    <cellStyle name="SAPBEXtitle 3 2 3" xfId="5843"/>
    <cellStyle name="SAPBEXtitle 3 2 4" xfId="6351"/>
    <cellStyle name="SAPBEXtitle 3 2 5" xfId="6838"/>
    <cellStyle name="SAPBEXtitle 3 2 6" xfId="7321"/>
    <cellStyle name="SAPBEXtitle 3 2 7" xfId="8390"/>
    <cellStyle name="SAPBEXtitle 3 2 8" xfId="8891"/>
    <cellStyle name="SAPBEXtitle 3 2 9" xfId="9385"/>
    <cellStyle name="SAPBEXtitle 3 3" xfId="4528"/>
    <cellStyle name="SAPBEXtitle 3 3 2" xfId="37242"/>
    <cellStyle name="SAPBEXtitle 3 4" xfId="5520"/>
    <cellStyle name="SAPBEXtitle 3 5" xfId="3343"/>
    <cellStyle name="SAPBEXtitle 3 6" xfId="5196"/>
    <cellStyle name="SAPBEXtitle 3 7" xfId="6021"/>
    <cellStyle name="SAPBEXtitle 3 8" xfId="8068"/>
    <cellStyle name="SAPBEXtitle 3 9" xfId="8569"/>
    <cellStyle name="SAPBEXtitle 4" xfId="1719"/>
    <cellStyle name="SAPBEXtitle 4 10" xfId="9176"/>
    <cellStyle name="SAPBEXtitle 4 11" xfId="9915"/>
    <cellStyle name="SAPBEXtitle 4 2" xfId="2050"/>
    <cellStyle name="SAPBEXtitle 4 2 10" xfId="10227"/>
    <cellStyle name="SAPBEXtitle 4 2 2" xfId="4967"/>
    <cellStyle name="SAPBEXtitle 4 2 3" xfId="5946"/>
    <cellStyle name="SAPBEXtitle 4 2 4" xfId="6454"/>
    <cellStyle name="SAPBEXtitle 4 2 5" xfId="6941"/>
    <cellStyle name="SAPBEXtitle 4 2 6" xfId="7424"/>
    <cellStyle name="SAPBEXtitle 4 2 7" xfId="8493"/>
    <cellStyle name="SAPBEXtitle 4 2 8" xfId="8994"/>
    <cellStyle name="SAPBEXtitle 4 2 9" xfId="9488"/>
    <cellStyle name="SAPBEXtitle 4 3" xfId="4641"/>
    <cellStyle name="SAPBEXtitle 4 3 2" xfId="37243"/>
    <cellStyle name="SAPBEXtitle 4 4" xfId="5633"/>
    <cellStyle name="SAPBEXtitle 4 5" xfId="6142"/>
    <cellStyle name="SAPBEXtitle 4 6" xfId="6629"/>
    <cellStyle name="SAPBEXtitle 4 7" xfId="7112"/>
    <cellStyle name="SAPBEXtitle 4 8" xfId="8181"/>
    <cellStyle name="SAPBEXtitle 4 9" xfId="8682"/>
    <cellStyle name="SAPBEXtitle 5" xfId="1664"/>
    <cellStyle name="SAPBEXtitle 5 10" xfId="9122"/>
    <cellStyle name="SAPBEXtitle 5 11" xfId="9861"/>
    <cellStyle name="SAPBEXtitle 5 12" xfId="39184"/>
    <cellStyle name="SAPBEXtitle 5 2" xfId="1998"/>
    <cellStyle name="SAPBEXtitle 5 2 10" xfId="10176"/>
    <cellStyle name="SAPBEXtitle 5 2 2" xfId="4916"/>
    <cellStyle name="SAPBEXtitle 5 2 3" xfId="5895"/>
    <cellStyle name="SAPBEXtitle 5 2 4" xfId="6403"/>
    <cellStyle name="SAPBEXtitle 5 2 5" xfId="6890"/>
    <cellStyle name="SAPBEXtitle 5 2 6" xfId="7373"/>
    <cellStyle name="SAPBEXtitle 5 2 7" xfId="8442"/>
    <cellStyle name="SAPBEXtitle 5 2 8" xfId="8943"/>
    <cellStyle name="SAPBEXtitle 5 2 9" xfId="9437"/>
    <cellStyle name="SAPBEXtitle 5 3" xfId="4587"/>
    <cellStyle name="SAPBEXtitle 5 3 2" xfId="37244"/>
    <cellStyle name="SAPBEXtitle 5 4" xfId="5579"/>
    <cellStyle name="SAPBEXtitle 5 5" xfId="6088"/>
    <cellStyle name="SAPBEXtitle 5 6" xfId="6575"/>
    <cellStyle name="SAPBEXtitle 5 7" xfId="7058"/>
    <cellStyle name="SAPBEXtitle 5 8" xfId="8127"/>
    <cellStyle name="SAPBEXtitle 5 9" xfId="8628"/>
    <cellStyle name="SAPBEXtitle 6" xfId="1748"/>
    <cellStyle name="SAPBEXtitle 6 10" xfId="9203"/>
    <cellStyle name="SAPBEXtitle 6 11" xfId="9942"/>
    <cellStyle name="SAPBEXtitle 6 12" xfId="39185"/>
    <cellStyle name="SAPBEXtitle 6 2" xfId="2078"/>
    <cellStyle name="SAPBEXtitle 6 2 10" xfId="10253"/>
    <cellStyle name="SAPBEXtitle 6 2 2" xfId="4993"/>
    <cellStyle name="SAPBEXtitle 6 2 3" xfId="5972"/>
    <cellStyle name="SAPBEXtitle 6 2 4" xfId="6480"/>
    <cellStyle name="SAPBEXtitle 6 2 5" xfId="6967"/>
    <cellStyle name="SAPBEXtitle 6 2 6" xfId="7450"/>
    <cellStyle name="SAPBEXtitle 6 2 7" xfId="8519"/>
    <cellStyle name="SAPBEXtitle 6 2 8" xfId="9020"/>
    <cellStyle name="SAPBEXtitle 6 2 9" xfId="9514"/>
    <cellStyle name="SAPBEXtitle 6 3" xfId="4669"/>
    <cellStyle name="SAPBEXtitle 6 3 2" xfId="37239"/>
    <cellStyle name="SAPBEXtitle 6 4" xfId="5660"/>
    <cellStyle name="SAPBEXtitle 6 5" xfId="6169"/>
    <cellStyle name="SAPBEXtitle 6 6" xfId="6656"/>
    <cellStyle name="SAPBEXtitle 6 7" xfId="7139"/>
    <cellStyle name="SAPBEXtitle 6 8" xfId="8208"/>
    <cellStyle name="SAPBEXtitle 6 9" xfId="8709"/>
    <cellStyle name="SAPBEXtitle 7" xfId="1776"/>
    <cellStyle name="SAPBEXtitle 7 10" xfId="9230"/>
    <cellStyle name="SAPBEXtitle 7 11" xfId="9969"/>
    <cellStyle name="SAPBEXtitle 7 2" xfId="2098"/>
    <cellStyle name="SAPBEXtitle 7 2 10" xfId="10272"/>
    <cellStyle name="SAPBEXtitle 7 2 2" xfId="5012"/>
    <cellStyle name="SAPBEXtitle 7 2 3" xfId="5991"/>
    <cellStyle name="SAPBEXtitle 7 2 4" xfId="6499"/>
    <cellStyle name="SAPBEXtitle 7 2 5" xfId="6986"/>
    <cellStyle name="SAPBEXtitle 7 2 6" xfId="7469"/>
    <cellStyle name="SAPBEXtitle 7 2 7" xfId="8538"/>
    <cellStyle name="SAPBEXtitle 7 2 8" xfId="9039"/>
    <cellStyle name="SAPBEXtitle 7 2 9" xfId="9533"/>
    <cellStyle name="SAPBEXtitle 7 3" xfId="4697"/>
    <cellStyle name="SAPBEXtitle 7 4" xfId="5687"/>
    <cellStyle name="SAPBEXtitle 7 5" xfId="6196"/>
    <cellStyle name="SAPBEXtitle 7 6" xfId="6683"/>
    <cellStyle name="SAPBEXtitle 7 7" xfId="7166"/>
    <cellStyle name="SAPBEXtitle 7 8" xfId="8235"/>
    <cellStyle name="SAPBEXtitle 7 9" xfId="8736"/>
    <cellStyle name="SAPBEXtitle 8" xfId="1655"/>
    <cellStyle name="SAPBEXtitle 8 10" xfId="9852"/>
    <cellStyle name="SAPBEXtitle 8 2" xfId="4578"/>
    <cellStyle name="SAPBEXtitle 8 3" xfId="5570"/>
    <cellStyle name="SAPBEXtitle 8 4" xfId="6079"/>
    <cellStyle name="SAPBEXtitle 8 5" xfId="6566"/>
    <cellStyle name="SAPBEXtitle 8 6" xfId="7049"/>
    <cellStyle name="SAPBEXtitle 8 7" xfId="8118"/>
    <cellStyle name="SAPBEXtitle 8 8" xfId="8619"/>
    <cellStyle name="SAPBEXtitle 8 9" xfId="9113"/>
    <cellStyle name="SAPBEXtitle 9" xfId="1442"/>
    <cellStyle name="SAPBEXtitle 9 10" xfId="9640"/>
    <cellStyle name="SAPBEXtitle 9 2" xfId="4365"/>
    <cellStyle name="SAPBEXtitle 9 3" xfId="5358"/>
    <cellStyle name="SAPBEXtitle 9 4" xfId="5158"/>
    <cellStyle name="SAPBEXtitle 9 5" xfId="5291"/>
    <cellStyle name="SAPBEXtitle 9 6" xfId="3188"/>
    <cellStyle name="SAPBEXtitle 9 7" xfId="7906"/>
    <cellStyle name="SAPBEXtitle 9 8" xfId="7640"/>
    <cellStyle name="SAPBEXtitle 9 9" xfId="7771"/>
    <cellStyle name="SAPBEXtitle_planning-WP" xfId="37245"/>
    <cellStyle name="SAPBEXundefined" xfId="295"/>
    <cellStyle name="SAPBEXundefined 10" xfId="37247"/>
    <cellStyle name="SAPBEXundefined 10 2" xfId="37248"/>
    <cellStyle name="SAPBEXundefined 10 2 2" xfId="37249"/>
    <cellStyle name="SAPBEXundefined 11" xfId="37250"/>
    <cellStyle name="SAPBEXundefined 11 2" xfId="37251"/>
    <cellStyle name="SAPBEXundefined 11 2 2" xfId="37252"/>
    <cellStyle name="SAPBEXundefined 11 3" xfId="37253"/>
    <cellStyle name="SAPBEXundefined 12" xfId="37254"/>
    <cellStyle name="SAPBEXundefined 12 2" xfId="37255"/>
    <cellStyle name="SAPBEXundefined 12 2 2" xfId="37256"/>
    <cellStyle name="SAPBEXundefined 12 3" xfId="37257"/>
    <cellStyle name="SAPBEXundefined 13" xfId="37258"/>
    <cellStyle name="SAPBEXundefined 13 2" xfId="37259"/>
    <cellStyle name="SAPBEXundefined 13 2 2" xfId="37260"/>
    <cellStyle name="SAPBEXundefined 13 3" xfId="37261"/>
    <cellStyle name="SAPBEXundefined 14" xfId="37262"/>
    <cellStyle name="SAPBEXundefined 14 2" xfId="37263"/>
    <cellStyle name="SAPBEXundefined 14 2 2" xfId="37264"/>
    <cellStyle name="SAPBEXundefined 14 3" xfId="37265"/>
    <cellStyle name="SAPBEXundefined 15" xfId="37266"/>
    <cellStyle name="SAPBEXundefined 15 2" xfId="37267"/>
    <cellStyle name="SAPBEXundefined 15 2 2" xfId="37268"/>
    <cellStyle name="SAPBEXundefined 15 3" xfId="37269"/>
    <cellStyle name="SAPBEXundefined 16" xfId="37270"/>
    <cellStyle name="SAPBEXundefined 16 2" xfId="37271"/>
    <cellStyle name="SAPBEXundefined 16 2 2" xfId="37272"/>
    <cellStyle name="SAPBEXundefined 16 3" xfId="37273"/>
    <cellStyle name="SAPBEXundefined 17" xfId="37274"/>
    <cellStyle name="SAPBEXundefined 17 2" xfId="37275"/>
    <cellStyle name="SAPBEXundefined 17 2 2" xfId="37276"/>
    <cellStyle name="SAPBEXundefined 17 3" xfId="37277"/>
    <cellStyle name="SAPBEXundefined 18" xfId="37278"/>
    <cellStyle name="SAPBEXundefined 19" xfId="37279"/>
    <cellStyle name="SAPBEXundefined 2" xfId="906"/>
    <cellStyle name="SAPBEXundefined 2 10" xfId="37281"/>
    <cellStyle name="SAPBEXundefined 2 10 2" xfId="37282"/>
    <cellStyle name="SAPBEXundefined 2 10 2 2" xfId="37283"/>
    <cellStyle name="SAPBEXundefined 2 10 3" xfId="37284"/>
    <cellStyle name="SAPBEXundefined 2 11" xfId="37285"/>
    <cellStyle name="SAPBEXundefined 2 11 2" xfId="37286"/>
    <cellStyle name="SAPBEXundefined 2 11 2 2" xfId="37287"/>
    <cellStyle name="SAPBEXundefined 2 11 3" xfId="37288"/>
    <cellStyle name="SAPBEXundefined 2 12" xfId="37289"/>
    <cellStyle name="SAPBEXundefined 2 12 2" xfId="37290"/>
    <cellStyle name="SAPBEXundefined 2 12 2 2" xfId="37291"/>
    <cellStyle name="SAPBEXundefined 2 12 3" xfId="37292"/>
    <cellStyle name="SAPBEXundefined 2 13" xfId="37293"/>
    <cellStyle name="SAPBEXundefined 2 14" xfId="37280"/>
    <cellStyle name="SAPBEXundefined 2 15" xfId="9590"/>
    <cellStyle name="SAPBEXundefined 2 16" xfId="39187"/>
    <cellStyle name="SAPBEXundefined 2 17" xfId="39560"/>
    <cellStyle name="SAPBEXundefined 2 2" xfId="1975"/>
    <cellStyle name="SAPBEXundefined 2 2 10" xfId="37295"/>
    <cellStyle name="SAPBEXundefined 2 2 10 2" xfId="37296"/>
    <cellStyle name="SAPBEXundefined 2 2 10 2 2" xfId="37297"/>
    <cellStyle name="SAPBEXundefined 2 2 10 3" xfId="37298"/>
    <cellStyle name="SAPBEXundefined 2 2 11" xfId="37299"/>
    <cellStyle name="SAPBEXundefined 2 2 11 2" xfId="37300"/>
    <cellStyle name="SAPBEXundefined 2 2 12" xfId="37294"/>
    <cellStyle name="SAPBEXundefined 2 2 13" xfId="10153"/>
    <cellStyle name="SAPBEXundefined 2 2 14" xfId="39188"/>
    <cellStyle name="SAPBEXundefined 2 2 15" xfId="39561"/>
    <cellStyle name="SAPBEXundefined 2 2 2" xfId="4893"/>
    <cellStyle name="SAPBEXundefined 2 2 2 10" xfId="37302"/>
    <cellStyle name="SAPBEXundefined 2 2 2 10 2" xfId="37303"/>
    <cellStyle name="SAPBEXundefined 2 2 2 11" xfId="37301"/>
    <cellStyle name="SAPBEXundefined 2 2 2 2" xfId="37304"/>
    <cellStyle name="SAPBEXundefined 2 2 2 2 2" xfId="37305"/>
    <cellStyle name="SAPBEXundefined 2 2 2 2 2 2" xfId="37306"/>
    <cellStyle name="SAPBEXundefined 2 2 2 2 3" xfId="37307"/>
    <cellStyle name="SAPBEXundefined 2 2 2 3" xfId="37308"/>
    <cellStyle name="SAPBEXundefined 2 2 2 3 2" xfId="37309"/>
    <cellStyle name="SAPBEXundefined 2 2 2 3 2 2" xfId="37310"/>
    <cellStyle name="SAPBEXundefined 2 2 2 3 3" xfId="37311"/>
    <cellStyle name="SAPBEXundefined 2 2 2 4" xfId="37312"/>
    <cellStyle name="SAPBEXundefined 2 2 2 4 2" xfId="37313"/>
    <cellStyle name="SAPBEXundefined 2 2 2 4 2 2" xfId="37314"/>
    <cellStyle name="SAPBEXundefined 2 2 2 4 3" xfId="37315"/>
    <cellStyle name="SAPBEXundefined 2 2 2 5" xfId="37316"/>
    <cellStyle name="SAPBEXundefined 2 2 2 5 2" xfId="37317"/>
    <cellStyle name="SAPBEXundefined 2 2 2 5 2 2" xfId="37318"/>
    <cellStyle name="SAPBEXundefined 2 2 2 5 3" xfId="37319"/>
    <cellStyle name="SAPBEXundefined 2 2 2 6" xfId="37320"/>
    <cellStyle name="SAPBEXundefined 2 2 2 6 2" xfId="37321"/>
    <cellStyle name="SAPBEXundefined 2 2 2 6 2 2" xfId="37322"/>
    <cellStyle name="SAPBEXundefined 2 2 2 6 3" xfId="37323"/>
    <cellStyle name="SAPBEXundefined 2 2 2 7" xfId="37324"/>
    <cellStyle name="SAPBEXundefined 2 2 2 7 2" xfId="37325"/>
    <cellStyle name="SAPBEXundefined 2 2 2 7 2 2" xfId="37326"/>
    <cellStyle name="SAPBEXundefined 2 2 2 7 3" xfId="37327"/>
    <cellStyle name="SAPBEXundefined 2 2 2 8" xfId="37328"/>
    <cellStyle name="SAPBEXundefined 2 2 2 8 2" xfId="37329"/>
    <cellStyle name="SAPBEXundefined 2 2 2 8 2 2" xfId="37330"/>
    <cellStyle name="SAPBEXundefined 2 2 2 8 3" xfId="37331"/>
    <cellStyle name="SAPBEXundefined 2 2 2 9" xfId="37332"/>
    <cellStyle name="SAPBEXundefined 2 2 2 9 2" xfId="37333"/>
    <cellStyle name="SAPBEXundefined 2 2 2 9 2 2" xfId="37334"/>
    <cellStyle name="SAPBEXundefined 2 2 2 9 3" xfId="37335"/>
    <cellStyle name="SAPBEXundefined 2 2 2_planning-WP" xfId="37336"/>
    <cellStyle name="SAPBEXundefined 2 2 3" xfId="5872"/>
    <cellStyle name="SAPBEXundefined 2 2 3 2" xfId="37338"/>
    <cellStyle name="SAPBEXundefined 2 2 3 2 2" xfId="37339"/>
    <cellStyle name="SAPBEXundefined 2 2 3 3" xfId="37340"/>
    <cellStyle name="SAPBEXundefined 2 2 3 4" xfId="37337"/>
    <cellStyle name="SAPBEXundefined 2 2 4" xfId="6380"/>
    <cellStyle name="SAPBEXundefined 2 2 4 2" xfId="37342"/>
    <cellStyle name="SAPBEXundefined 2 2 4 2 2" xfId="37343"/>
    <cellStyle name="SAPBEXundefined 2 2 4 3" xfId="37344"/>
    <cellStyle name="SAPBEXundefined 2 2 4 4" xfId="37341"/>
    <cellStyle name="SAPBEXundefined 2 2 5" xfId="6867"/>
    <cellStyle name="SAPBEXundefined 2 2 5 2" xfId="37346"/>
    <cellStyle name="SAPBEXundefined 2 2 5 2 2" xfId="37347"/>
    <cellStyle name="SAPBEXundefined 2 2 5 3" xfId="37348"/>
    <cellStyle name="SAPBEXundefined 2 2 5 4" xfId="37345"/>
    <cellStyle name="SAPBEXundefined 2 2 6" xfId="7350"/>
    <cellStyle name="SAPBEXundefined 2 2 6 2" xfId="37350"/>
    <cellStyle name="SAPBEXundefined 2 2 6 2 2" xfId="37351"/>
    <cellStyle name="SAPBEXundefined 2 2 6 3" xfId="37352"/>
    <cellStyle name="SAPBEXundefined 2 2 6 4" xfId="37349"/>
    <cellStyle name="SAPBEXundefined 2 2 7" xfId="8419"/>
    <cellStyle name="SAPBEXundefined 2 2 7 2" xfId="37354"/>
    <cellStyle name="SAPBEXundefined 2 2 7 2 2" xfId="37355"/>
    <cellStyle name="SAPBEXundefined 2 2 7 3" xfId="37356"/>
    <cellStyle name="SAPBEXundefined 2 2 7 4" xfId="37353"/>
    <cellStyle name="SAPBEXundefined 2 2 8" xfId="8920"/>
    <cellStyle name="SAPBEXundefined 2 2 8 2" xfId="37358"/>
    <cellStyle name="SAPBEXundefined 2 2 8 2 2" xfId="37359"/>
    <cellStyle name="SAPBEXundefined 2 2 8 3" xfId="37360"/>
    <cellStyle name="SAPBEXundefined 2 2 8 4" xfId="37357"/>
    <cellStyle name="SAPBEXundefined 2 2 9" xfId="9414"/>
    <cellStyle name="SAPBEXundefined 2 2 9 2" xfId="37362"/>
    <cellStyle name="SAPBEXundefined 2 2 9 2 2" xfId="37363"/>
    <cellStyle name="SAPBEXundefined 2 2 9 3" xfId="37364"/>
    <cellStyle name="SAPBEXundefined 2 2 9 4" xfId="37361"/>
    <cellStyle name="SAPBEXundefined 2 2_planning-WP" xfId="37365"/>
    <cellStyle name="SAPBEXundefined 2 3" xfId="1638"/>
    <cellStyle name="SAPBEXundefined 2 3 10" xfId="37367"/>
    <cellStyle name="SAPBEXundefined 2 3 10 2" xfId="37368"/>
    <cellStyle name="SAPBEXundefined 2 3 11" xfId="37366"/>
    <cellStyle name="SAPBEXundefined 2 3 12" xfId="9835"/>
    <cellStyle name="SAPBEXundefined 2 3 2" xfId="4561"/>
    <cellStyle name="SAPBEXundefined 2 3 2 2" xfId="37370"/>
    <cellStyle name="SAPBEXundefined 2 3 2 2 2" xfId="37371"/>
    <cellStyle name="SAPBEXundefined 2 3 2 3" xfId="37372"/>
    <cellStyle name="SAPBEXundefined 2 3 2 4" xfId="37369"/>
    <cellStyle name="SAPBEXundefined 2 3 3" xfId="5553"/>
    <cellStyle name="SAPBEXundefined 2 3 3 2" xfId="37374"/>
    <cellStyle name="SAPBEXundefined 2 3 3 2 2" xfId="37375"/>
    <cellStyle name="SAPBEXundefined 2 3 3 3" xfId="37376"/>
    <cellStyle name="SAPBEXundefined 2 3 3 4" xfId="37373"/>
    <cellStyle name="SAPBEXundefined 2 3 4" xfId="6062"/>
    <cellStyle name="SAPBEXundefined 2 3 4 2" xfId="37378"/>
    <cellStyle name="SAPBEXundefined 2 3 4 2 2" xfId="37379"/>
    <cellStyle name="SAPBEXundefined 2 3 4 3" xfId="37380"/>
    <cellStyle name="SAPBEXundefined 2 3 4 4" xfId="37377"/>
    <cellStyle name="SAPBEXundefined 2 3 5" xfId="6549"/>
    <cellStyle name="SAPBEXundefined 2 3 5 2" xfId="37382"/>
    <cellStyle name="SAPBEXundefined 2 3 5 2 2" xfId="37383"/>
    <cellStyle name="SAPBEXundefined 2 3 5 3" xfId="37384"/>
    <cellStyle name="SAPBEXundefined 2 3 5 4" xfId="37381"/>
    <cellStyle name="SAPBEXundefined 2 3 6" xfId="7032"/>
    <cellStyle name="SAPBEXundefined 2 3 6 2" xfId="37386"/>
    <cellStyle name="SAPBEXundefined 2 3 6 2 2" xfId="37387"/>
    <cellStyle name="SAPBEXundefined 2 3 6 3" xfId="37388"/>
    <cellStyle name="SAPBEXundefined 2 3 6 4" xfId="37385"/>
    <cellStyle name="SAPBEXundefined 2 3 7" xfId="8101"/>
    <cellStyle name="SAPBEXundefined 2 3 7 2" xfId="37390"/>
    <cellStyle name="SAPBEXundefined 2 3 7 2 2" xfId="37391"/>
    <cellStyle name="SAPBEXundefined 2 3 7 3" xfId="37392"/>
    <cellStyle name="SAPBEXundefined 2 3 7 4" xfId="37389"/>
    <cellStyle name="SAPBEXundefined 2 3 8" xfId="8602"/>
    <cellStyle name="SAPBEXundefined 2 3 8 2" xfId="37394"/>
    <cellStyle name="SAPBEXundefined 2 3 8 2 2" xfId="37395"/>
    <cellStyle name="SAPBEXundefined 2 3 8 3" xfId="37396"/>
    <cellStyle name="SAPBEXundefined 2 3 8 4" xfId="37393"/>
    <cellStyle name="SAPBEXundefined 2 3 9" xfId="9096"/>
    <cellStyle name="SAPBEXundefined 2 3 9 2" xfId="37398"/>
    <cellStyle name="SAPBEXundefined 2 3 9 2 2" xfId="37399"/>
    <cellStyle name="SAPBEXundefined 2 3 9 3" xfId="37400"/>
    <cellStyle name="SAPBEXundefined 2 3 9 4" xfId="37397"/>
    <cellStyle name="SAPBEXundefined 2 3_planning-WP" xfId="37401"/>
    <cellStyle name="SAPBEXundefined 2 4" xfId="37402"/>
    <cellStyle name="SAPBEXundefined 2 4 2" xfId="37403"/>
    <cellStyle name="SAPBEXundefined 2 4 2 2" xfId="37404"/>
    <cellStyle name="SAPBEXundefined 2 4 2 2 2" xfId="37405"/>
    <cellStyle name="SAPBEXundefined 2 4 2 3" xfId="37406"/>
    <cellStyle name="SAPBEXundefined 2 4 3" xfId="37407"/>
    <cellStyle name="SAPBEXundefined 2 4 3 2" xfId="37408"/>
    <cellStyle name="SAPBEXundefined 2 4 3 2 2" xfId="37409"/>
    <cellStyle name="SAPBEXundefined 2 4 3 3" xfId="37410"/>
    <cellStyle name="SAPBEXundefined 2 4 4" xfId="37411"/>
    <cellStyle name="SAPBEXundefined 2 4 4 2" xfId="37412"/>
    <cellStyle name="SAPBEXundefined 2 4 4 2 2" xfId="37413"/>
    <cellStyle name="SAPBEXundefined 2 4 4 3" xfId="37414"/>
    <cellStyle name="SAPBEXundefined 2 4 5" xfId="37415"/>
    <cellStyle name="SAPBEXundefined 2 4 5 2" xfId="37416"/>
    <cellStyle name="SAPBEXundefined 2 4 5 2 2" xfId="37417"/>
    <cellStyle name="SAPBEXundefined 2 4 5 3" xfId="37418"/>
    <cellStyle name="SAPBEXundefined 2 4 6" xfId="37419"/>
    <cellStyle name="SAPBEXundefined 2 4 6 2" xfId="37420"/>
    <cellStyle name="SAPBEXundefined 2 4 6 2 2" xfId="37421"/>
    <cellStyle name="SAPBEXundefined 2 4 6 3" xfId="37422"/>
    <cellStyle name="SAPBEXundefined 2 4 7" xfId="37423"/>
    <cellStyle name="SAPBEXundefined 2 4 7 2" xfId="37424"/>
    <cellStyle name="SAPBEXundefined 2 4 7 2 2" xfId="37425"/>
    <cellStyle name="SAPBEXundefined 2 4 7 3" xfId="37426"/>
    <cellStyle name="SAPBEXundefined 2 4 8" xfId="37427"/>
    <cellStyle name="SAPBEXundefined 2 4 8 2" xfId="37428"/>
    <cellStyle name="SAPBEXundefined 2 4 8 2 2" xfId="37429"/>
    <cellStyle name="SAPBEXundefined 2 4 8 3" xfId="37430"/>
    <cellStyle name="SAPBEXundefined 2 4 9" xfId="37431"/>
    <cellStyle name="SAPBEXundefined 2 4 9 2" xfId="37432"/>
    <cellStyle name="SAPBEXundefined 2 4_planning-WP" xfId="37433"/>
    <cellStyle name="SAPBEXundefined 2 5" xfId="37434"/>
    <cellStyle name="SAPBEXundefined 2 5 2" xfId="37435"/>
    <cellStyle name="SAPBEXundefined 2 5 2 2" xfId="37436"/>
    <cellStyle name="SAPBEXundefined 2 6" xfId="37437"/>
    <cellStyle name="SAPBEXundefined 2 6 2" xfId="37438"/>
    <cellStyle name="SAPBEXundefined 2 6 2 2" xfId="37439"/>
    <cellStyle name="SAPBEXundefined 2 6 3" xfId="37440"/>
    <cellStyle name="SAPBEXundefined 2 7" xfId="37441"/>
    <cellStyle name="SAPBEXundefined 2 7 2" xfId="37442"/>
    <cellStyle name="SAPBEXundefined 2 7 2 2" xfId="37443"/>
    <cellStyle name="SAPBEXundefined 2 7 3" xfId="37444"/>
    <cellStyle name="SAPBEXundefined 2 8" xfId="37445"/>
    <cellStyle name="SAPBEXundefined 2 8 2" xfId="37446"/>
    <cellStyle name="SAPBEXundefined 2 8 2 2" xfId="37447"/>
    <cellStyle name="SAPBEXundefined 2 8 3" xfId="37448"/>
    <cellStyle name="SAPBEXundefined 2 9" xfId="37449"/>
    <cellStyle name="SAPBEXundefined 2 9 2" xfId="37450"/>
    <cellStyle name="SAPBEXundefined 2 9 2 2" xfId="37451"/>
    <cellStyle name="SAPBEXundefined 2 9 3" xfId="37452"/>
    <cellStyle name="SAPBEXundefined 2_planning-WP" xfId="37453"/>
    <cellStyle name="SAPBEXundefined 20" xfId="37246"/>
    <cellStyle name="SAPBEXundefined 21" xfId="39186"/>
    <cellStyle name="SAPBEXundefined 22" xfId="39559"/>
    <cellStyle name="SAPBEXundefined 3" xfId="1606"/>
    <cellStyle name="SAPBEXundefined 3 10" xfId="9064"/>
    <cellStyle name="SAPBEXundefined 3 10 2" xfId="37456"/>
    <cellStyle name="SAPBEXundefined 3 10 2 2" xfId="37457"/>
    <cellStyle name="SAPBEXundefined 3 10 3" xfId="37458"/>
    <cellStyle name="SAPBEXundefined 3 10 4" xfId="37455"/>
    <cellStyle name="SAPBEXundefined 3 11" xfId="37459"/>
    <cellStyle name="SAPBEXundefined 3 11 2" xfId="37460"/>
    <cellStyle name="SAPBEXundefined 3 11 2 2" xfId="37461"/>
    <cellStyle name="SAPBEXundefined 3 11 3" xfId="37462"/>
    <cellStyle name="SAPBEXundefined 3 12" xfId="37463"/>
    <cellStyle name="SAPBEXundefined 3 12 2" xfId="37464"/>
    <cellStyle name="SAPBEXundefined 3 12 2 2" xfId="37465"/>
    <cellStyle name="SAPBEXundefined 3 12 3" xfId="37466"/>
    <cellStyle name="SAPBEXundefined 3 13" xfId="37467"/>
    <cellStyle name="SAPBEXundefined 3 14" xfId="37454"/>
    <cellStyle name="SAPBEXundefined 3 15" xfId="9803"/>
    <cellStyle name="SAPBEXundefined 3 16" xfId="39189"/>
    <cellStyle name="SAPBEXundefined 3 17" xfId="39562"/>
    <cellStyle name="SAPBEXundefined 3 2" xfId="1947"/>
    <cellStyle name="SAPBEXundefined 3 2 10" xfId="37469"/>
    <cellStyle name="SAPBEXundefined 3 2 10 2" xfId="37470"/>
    <cellStyle name="SAPBEXundefined 3 2 10 2 2" xfId="37471"/>
    <cellStyle name="SAPBEXundefined 3 2 10 3" xfId="37472"/>
    <cellStyle name="SAPBEXundefined 3 2 11" xfId="37473"/>
    <cellStyle name="SAPBEXundefined 3 2 11 2" xfId="37474"/>
    <cellStyle name="SAPBEXundefined 3 2 12" xfId="37468"/>
    <cellStyle name="SAPBEXundefined 3 2 13" xfId="10125"/>
    <cellStyle name="SAPBEXundefined 3 2 14" xfId="39190"/>
    <cellStyle name="SAPBEXundefined 3 2 15" xfId="39563"/>
    <cellStyle name="SAPBEXundefined 3 2 2" xfId="4865"/>
    <cellStyle name="SAPBEXundefined 3 2 2 10" xfId="37476"/>
    <cellStyle name="SAPBEXundefined 3 2 2 10 2" xfId="37477"/>
    <cellStyle name="SAPBEXundefined 3 2 2 11" xfId="37475"/>
    <cellStyle name="SAPBEXundefined 3 2 2 2" xfId="37478"/>
    <cellStyle name="SAPBEXundefined 3 2 2 2 2" xfId="37479"/>
    <cellStyle name="SAPBEXundefined 3 2 2 2 2 2" xfId="37480"/>
    <cellStyle name="SAPBEXundefined 3 2 2 2 3" xfId="37481"/>
    <cellStyle name="SAPBEXundefined 3 2 2 3" xfId="37482"/>
    <cellStyle name="SAPBEXundefined 3 2 2 3 2" xfId="37483"/>
    <cellStyle name="SAPBEXundefined 3 2 2 3 2 2" xfId="37484"/>
    <cellStyle name="SAPBEXundefined 3 2 2 3 3" xfId="37485"/>
    <cellStyle name="SAPBEXundefined 3 2 2 4" xfId="37486"/>
    <cellStyle name="SAPBEXundefined 3 2 2 4 2" xfId="37487"/>
    <cellStyle name="SAPBEXundefined 3 2 2 4 2 2" xfId="37488"/>
    <cellStyle name="SAPBEXundefined 3 2 2 4 3" xfId="37489"/>
    <cellStyle name="SAPBEXundefined 3 2 2 5" xfId="37490"/>
    <cellStyle name="SAPBEXundefined 3 2 2 5 2" xfId="37491"/>
    <cellStyle name="SAPBEXundefined 3 2 2 5 2 2" xfId="37492"/>
    <cellStyle name="SAPBEXundefined 3 2 2 5 3" xfId="37493"/>
    <cellStyle name="SAPBEXundefined 3 2 2 6" xfId="37494"/>
    <cellStyle name="SAPBEXundefined 3 2 2 6 2" xfId="37495"/>
    <cellStyle name="SAPBEXundefined 3 2 2 6 2 2" xfId="37496"/>
    <cellStyle name="SAPBEXundefined 3 2 2 6 3" xfId="37497"/>
    <cellStyle name="SAPBEXundefined 3 2 2 7" xfId="37498"/>
    <cellStyle name="SAPBEXundefined 3 2 2 7 2" xfId="37499"/>
    <cellStyle name="SAPBEXundefined 3 2 2 7 2 2" xfId="37500"/>
    <cellStyle name="SAPBEXundefined 3 2 2 7 3" xfId="37501"/>
    <cellStyle name="SAPBEXundefined 3 2 2 8" xfId="37502"/>
    <cellStyle name="SAPBEXundefined 3 2 2 8 2" xfId="37503"/>
    <cellStyle name="SAPBEXundefined 3 2 2 8 2 2" xfId="37504"/>
    <cellStyle name="SAPBEXundefined 3 2 2 8 3" xfId="37505"/>
    <cellStyle name="SAPBEXundefined 3 2 2 9" xfId="37506"/>
    <cellStyle name="SAPBEXundefined 3 2 2 9 2" xfId="37507"/>
    <cellStyle name="SAPBEXundefined 3 2 2 9 2 2" xfId="37508"/>
    <cellStyle name="SAPBEXundefined 3 2 2 9 3" xfId="37509"/>
    <cellStyle name="SAPBEXundefined 3 2 2_planning-WP" xfId="37510"/>
    <cellStyle name="SAPBEXundefined 3 2 3" xfId="5844"/>
    <cellStyle name="SAPBEXundefined 3 2 3 2" xfId="37512"/>
    <cellStyle name="SAPBEXundefined 3 2 3 2 2" xfId="37513"/>
    <cellStyle name="SAPBEXundefined 3 2 3 3" xfId="37514"/>
    <cellStyle name="SAPBEXundefined 3 2 3 4" xfId="37511"/>
    <cellStyle name="SAPBEXundefined 3 2 4" xfId="6352"/>
    <cellStyle name="SAPBEXundefined 3 2 4 2" xfId="37516"/>
    <cellStyle name="SAPBEXundefined 3 2 4 2 2" xfId="37517"/>
    <cellStyle name="SAPBEXundefined 3 2 4 3" xfId="37518"/>
    <cellStyle name="SAPBEXundefined 3 2 4 4" xfId="37515"/>
    <cellStyle name="SAPBEXundefined 3 2 5" xfId="6839"/>
    <cellStyle name="SAPBEXundefined 3 2 5 2" xfId="37520"/>
    <cellStyle name="SAPBEXundefined 3 2 5 2 2" xfId="37521"/>
    <cellStyle name="SAPBEXundefined 3 2 5 3" xfId="37522"/>
    <cellStyle name="SAPBEXundefined 3 2 5 4" xfId="37519"/>
    <cellStyle name="SAPBEXundefined 3 2 6" xfId="7322"/>
    <cellStyle name="SAPBEXundefined 3 2 6 2" xfId="37524"/>
    <cellStyle name="SAPBEXundefined 3 2 6 2 2" xfId="37525"/>
    <cellStyle name="SAPBEXundefined 3 2 6 3" xfId="37526"/>
    <cellStyle name="SAPBEXundefined 3 2 6 4" xfId="37523"/>
    <cellStyle name="SAPBEXundefined 3 2 7" xfId="8391"/>
    <cellStyle name="SAPBEXundefined 3 2 7 2" xfId="37528"/>
    <cellStyle name="SAPBEXundefined 3 2 7 2 2" xfId="37529"/>
    <cellStyle name="SAPBEXundefined 3 2 7 3" xfId="37530"/>
    <cellStyle name="SAPBEXundefined 3 2 7 4" xfId="37527"/>
    <cellStyle name="SAPBEXundefined 3 2 8" xfId="8892"/>
    <cellStyle name="SAPBEXundefined 3 2 8 2" xfId="37532"/>
    <cellStyle name="SAPBEXundefined 3 2 8 2 2" xfId="37533"/>
    <cellStyle name="SAPBEXundefined 3 2 8 3" xfId="37534"/>
    <cellStyle name="SAPBEXundefined 3 2 8 4" xfId="37531"/>
    <cellStyle name="SAPBEXundefined 3 2 9" xfId="9386"/>
    <cellStyle name="SAPBEXundefined 3 2 9 2" xfId="37536"/>
    <cellStyle name="SAPBEXundefined 3 2 9 2 2" xfId="37537"/>
    <cellStyle name="SAPBEXundefined 3 2 9 3" xfId="37538"/>
    <cellStyle name="SAPBEXundefined 3 2 9 4" xfId="37535"/>
    <cellStyle name="SAPBEXundefined 3 2_planning-WP" xfId="37539"/>
    <cellStyle name="SAPBEXundefined 3 3" xfId="4529"/>
    <cellStyle name="SAPBEXundefined 3 3 10" xfId="37541"/>
    <cellStyle name="SAPBEXundefined 3 3 10 2" xfId="37542"/>
    <cellStyle name="SAPBEXundefined 3 3 11" xfId="37540"/>
    <cellStyle name="SAPBEXundefined 3 3 2" xfId="37543"/>
    <cellStyle name="SAPBEXundefined 3 3 2 2" xfId="37544"/>
    <cellStyle name="SAPBEXundefined 3 3 2 2 2" xfId="37545"/>
    <cellStyle name="SAPBEXundefined 3 3 2 3" xfId="37546"/>
    <cellStyle name="SAPBEXundefined 3 3 3" xfId="37547"/>
    <cellStyle name="SAPBEXundefined 3 3 3 2" xfId="37548"/>
    <cellStyle name="SAPBEXundefined 3 3 3 2 2" xfId="37549"/>
    <cellStyle name="SAPBEXundefined 3 3 3 3" xfId="37550"/>
    <cellStyle name="SAPBEXundefined 3 3 4" xfId="37551"/>
    <cellStyle name="SAPBEXundefined 3 3 4 2" xfId="37552"/>
    <cellStyle name="SAPBEXundefined 3 3 4 2 2" xfId="37553"/>
    <cellStyle name="SAPBEXundefined 3 3 4 3" xfId="37554"/>
    <cellStyle name="SAPBEXundefined 3 3 5" xfId="37555"/>
    <cellStyle name="SAPBEXundefined 3 3 5 2" xfId="37556"/>
    <cellStyle name="SAPBEXundefined 3 3 5 2 2" xfId="37557"/>
    <cellStyle name="SAPBEXundefined 3 3 5 3" xfId="37558"/>
    <cellStyle name="SAPBEXundefined 3 3 6" xfId="37559"/>
    <cellStyle name="SAPBEXundefined 3 3 6 2" xfId="37560"/>
    <cellStyle name="SAPBEXundefined 3 3 6 2 2" xfId="37561"/>
    <cellStyle name="SAPBEXundefined 3 3 6 3" xfId="37562"/>
    <cellStyle name="SAPBEXundefined 3 3 7" xfId="37563"/>
    <cellStyle name="SAPBEXundefined 3 3 7 2" xfId="37564"/>
    <cellStyle name="SAPBEXundefined 3 3 7 2 2" xfId="37565"/>
    <cellStyle name="SAPBEXundefined 3 3 7 3" xfId="37566"/>
    <cellStyle name="SAPBEXundefined 3 3 8" xfId="37567"/>
    <cellStyle name="SAPBEXundefined 3 3 8 2" xfId="37568"/>
    <cellStyle name="SAPBEXundefined 3 3 8 2 2" xfId="37569"/>
    <cellStyle name="SAPBEXundefined 3 3 8 3" xfId="37570"/>
    <cellStyle name="SAPBEXundefined 3 3 9" xfId="37571"/>
    <cellStyle name="SAPBEXundefined 3 3 9 2" xfId="37572"/>
    <cellStyle name="SAPBEXundefined 3 3 9 2 2" xfId="37573"/>
    <cellStyle name="SAPBEXundefined 3 3 9 3" xfId="37574"/>
    <cellStyle name="SAPBEXundefined 3 3_planning-WP" xfId="37575"/>
    <cellStyle name="SAPBEXundefined 3 4" xfId="5521"/>
    <cellStyle name="SAPBEXundefined 3 4 10" xfId="37576"/>
    <cellStyle name="SAPBEXundefined 3 4 2" xfId="37577"/>
    <cellStyle name="SAPBEXundefined 3 4 2 2" xfId="37578"/>
    <cellStyle name="SAPBEXundefined 3 4 2 2 2" xfId="37579"/>
    <cellStyle name="SAPBEXundefined 3 4 2 3" xfId="37580"/>
    <cellStyle name="SAPBEXundefined 3 4 3" xfId="37581"/>
    <cellStyle name="SAPBEXundefined 3 4 3 2" xfId="37582"/>
    <cellStyle name="SAPBEXundefined 3 4 3 2 2" xfId="37583"/>
    <cellStyle name="SAPBEXundefined 3 4 3 3" xfId="37584"/>
    <cellStyle name="SAPBEXundefined 3 4 4" xfId="37585"/>
    <cellStyle name="SAPBEXundefined 3 4 4 2" xfId="37586"/>
    <cellStyle name="SAPBEXundefined 3 4 4 2 2" xfId="37587"/>
    <cellStyle name="SAPBEXundefined 3 4 4 3" xfId="37588"/>
    <cellStyle name="SAPBEXundefined 3 4 5" xfId="37589"/>
    <cellStyle name="SAPBEXundefined 3 4 5 2" xfId="37590"/>
    <cellStyle name="SAPBEXundefined 3 4 5 2 2" xfId="37591"/>
    <cellStyle name="SAPBEXundefined 3 4 5 3" xfId="37592"/>
    <cellStyle name="SAPBEXundefined 3 4 6" xfId="37593"/>
    <cellStyle name="SAPBEXundefined 3 4 6 2" xfId="37594"/>
    <cellStyle name="SAPBEXundefined 3 4 6 2 2" xfId="37595"/>
    <cellStyle name="SAPBEXundefined 3 4 6 3" xfId="37596"/>
    <cellStyle name="SAPBEXundefined 3 4 7" xfId="37597"/>
    <cellStyle name="SAPBEXundefined 3 4 7 2" xfId="37598"/>
    <cellStyle name="SAPBEXundefined 3 4 7 2 2" xfId="37599"/>
    <cellStyle name="SAPBEXundefined 3 4 7 3" xfId="37600"/>
    <cellStyle name="SAPBEXundefined 3 4 8" xfId="37601"/>
    <cellStyle name="SAPBEXundefined 3 4 8 2" xfId="37602"/>
    <cellStyle name="SAPBEXundefined 3 4 8 2 2" xfId="37603"/>
    <cellStyle name="SAPBEXundefined 3 4 8 3" xfId="37604"/>
    <cellStyle name="SAPBEXundefined 3 4 9" xfId="37605"/>
    <cellStyle name="SAPBEXundefined 3 4 9 2" xfId="37606"/>
    <cellStyle name="SAPBEXundefined 3 4_planning-WP" xfId="37607"/>
    <cellStyle name="SAPBEXundefined 3 5" xfId="3849"/>
    <cellStyle name="SAPBEXundefined 3 5 2" xfId="37609"/>
    <cellStyle name="SAPBEXundefined 3 5 2 2" xfId="37610"/>
    <cellStyle name="SAPBEXundefined 3 5 3" xfId="37608"/>
    <cellStyle name="SAPBEXundefined 3 6" xfId="5105"/>
    <cellStyle name="SAPBEXundefined 3 6 2" xfId="37612"/>
    <cellStyle name="SAPBEXundefined 3 6 2 2" xfId="37613"/>
    <cellStyle name="SAPBEXundefined 3 6 3" xfId="37614"/>
    <cellStyle name="SAPBEXundefined 3 6 4" xfId="37611"/>
    <cellStyle name="SAPBEXundefined 3 7" xfId="5224"/>
    <cellStyle name="SAPBEXundefined 3 7 2" xfId="37616"/>
    <cellStyle name="SAPBEXundefined 3 7 2 2" xfId="37617"/>
    <cellStyle name="SAPBEXundefined 3 7 3" xfId="37618"/>
    <cellStyle name="SAPBEXundefined 3 7 4" xfId="37615"/>
    <cellStyle name="SAPBEXundefined 3 8" xfId="8069"/>
    <cellStyle name="SAPBEXundefined 3 8 2" xfId="37620"/>
    <cellStyle name="SAPBEXundefined 3 8 2 2" xfId="37621"/>
    <cellStyle name="SAPBEXundefined 3 8 3" xfId="37622"/>
    <cellStyle name="SAPBEXundefined 3 8 4" xfId="37619"/>
    <cellStyle name="SAPBEXundefined 3 9" xfId="8570"/>
    <cellStyle name="SAPBEXundefined 3 9 2" xfId="37624"/>
    <cellStyle name="SAPBEXundefined 3 9 2 2" xfId="37625"/>
    <cellStyle name="SAPBEXundefined 3 9 3" xfId="37626"/>
    <cellStyle name="SAPBEXundefined 3 9 4" xfId="37623"/>
    <cellStyle name="SAPBEXundefined 3_planning-WP" xfId="37627"/>
    <cellStyle name="SAPBEXundefined 4" xfId="1720"/>
    <cellStyle name="SAPBEXundefined 4 10" xfId="9177"/>
    <cellStyle name="SAPBEXundefined 4 10 2" xfId="37630"/>
    <cellStyle name="SAPBEXundefined 4 10 2 2" xfId="37631"/>
    <cellStyle name="SAPBEXundefined 4 10 3" xfId="37632"/>
    <cellStyle name="SAPBEXundefined 4 10 4" xfId="37629"/>
    <cellStyle name="SAPBEXundefined 4 11" xfId="37633"/>
    <cellStyle name="SAPBEXundefined 4 11 2" xfId="37634"/>
    <cellStyle name="SAPBEXundefined 4 11 2 2" xfId="37635"/>
    <cellStyle name="SAPBEXundefined 4 11 3" xfId="37636"/>
    <cellStyle name="SAPBEXundefined 4 12" xfId="37637"/>
    <cellStyle name="SAPBEXundefined 4 12 2" xfId="37638"/>
    <cellStyle name="SAPBEXundefined 4 12 2 2" xfId="37639"/>
    <cellStyle name="SAPBEXundefined 4 12 3" xfId="37640"/>
    <cellStyle name="SAPBEXundefined 4 13" xfId="37641"/>
    <cellStyle name="SAPBEXundefined 4 14" xfId="37628"/>
    <cellStyle name="SAPBEXundefined 4 15" xfId="9916"/>
    <cellStyle name="SAPBEXundefined 4 16" xfId="39191"/>
    <cellStyle name="SAPBEXundefined 4 17" xfId="39564"/>
    <cellStyle name="SAPBEXundefined 4 2" xfId="2051"/>
    <cellStyle name="SAPBEXundefined 4 2 10" xfId="37643"/>
    <cellStyle name="SAPBEXundefined 4 2 10 2" xfId="37644"/>
    <cellStyle name="SAPBEXundefined 4 2 10 2 2" xfId="37645"/>
    <cellStyle name="SAPBEXundefined 4 2 10 3" xfId="37646"/>
    <cellStyle name="SAPBEXundefined 4 2 11" xfId="37647"/>
    <cellStyle name="SAPBEXundefined 4 2 11 2" xfId="37648"/>
    <cellStyle name="SAPBEXundefined 4 2 12" xfId="37642"/>
    <cellStyle name="SAPBEXundefined 4 2 13" xfId="10228"/>
    <cellStyle name="SAPBEXundefined 4 2 14" xfId="39192"/>
    <cellStyle name="SAPBEXundefined 4 2 15" xfId="39565"/>
    <cellStyle name="SAPBEXundefined 4 2 2" xfId="4968"/>
    <cellStyle name="SAPBEXundefined 4 2 2 10" xfId="37650"/>
    <cellStyle name="SAPBEXundefined 4 2 2 10 2" xfId="37651"/>
    <cellStyle name="SAPBEXundefined 4 2 2 11" xfId="37649"/>
    <cellStyle name="SAPBEXundefined 4 2 2 2" xfId="37652"/>
    <cellStyle name="SAPBEXundefined 4 2 2 2 2" xfId="37653"/>
    <cellStyle name="SAPBEXundefined 4 2 2 2 2 2" xfId="37654"/>
    <cellStyle name="SAPBEXundefined 4 2 2 2 3" xfId="37655"/>
    <cellStyle name="SAPBEXundefined 4 2 2 3" xfId="37656"/>
    <cellStyle name="SAPBEXundefined 4 2 2 3 2" xfId="37657"/>
    <cellStyle name="SAPBEXundefined 4 2 2 3 2 2" xfId="37658"/>
    <cellStyle name="SAPBEXundefined 4 2 2 3 3" xfId="37659"/>
    <cellStyle name="SAPBEXundefined 4 2 2 4" xfId="37660"/>
    <cellStyle name="SAPBEXundefined 4 2 2 4 2" xfId="37661"/>
    <cellStyle name="SAPBEXundefined 4 2 2 4 2 2" xfId="37662"/>
    <cellStyle name="SAPBEXundefined 4 2 2 4 3" xfId="37663"/>
    <cellStyle name="SAPBEXundefined 4 2 2 5" xfId="37664"/>
    <cellStyle name="SAPBEXundefined 4 2 2 5 2" xfId="37665"/>
    <cellStyle name="SAPBEXundefined 4 2 2 5 2 2" xfId="37666"/>
    <cellStyle name="SAPBEXundefined 4 2 2 5 3" xfId="37667"/>
    <cellStyle name="SAPBEXundefined 4 2 2 6" xfId="37668"/>
    <cellStyle name="SAPBEXundefined 4 2 2 6 2" xfId="37669"/>
    <cellStyle name="SAPBEXundefined 4 2 2 6 2 2" xfId="37670"/>
    <cellStyle name="SAPBEXundefined 4 2 2 6 3" xfId="37671"/>
    <cellStyle name="SAPBEXundefined 4 2 2 7" xfId="37672"/>
    <cellStyle name="SAPBEXundefined 4 2 2 7 2" xfId="37673"/>
    <cellStyle name="SAPBEXundefined 4 2 2 7 2 2" xfId="37674"/>
    <cellStyle name="SAPBEXundefined 4 2 2 7 3" xfId="37675"/>
    <cellStyle name="SAPBEXundefined 4 2 2 8" xfId="37676"/>
    <cellStyle name="SAPBEXundefined 4 2 2 8 2" xfId="37677"/>
    <cellStyle name="SAPBEXundefined 4 2 2 8 2 2" xfId="37678"/>
    <cellStyle name="SAPBEXundefined 4 2 2 8 3" xfId="37679"/>
    <cellStyle name="SAPBEXundefined 4 2 2 9" xfId="37680"/>
    <cellStyle name="SAPBEXundefined 4 2 2 9 2" xfId="37681"/>
    <cellStyle name="SAPBEXundefined 4 2 2 9 2 2" xfId="37682"/>
    <cellStyle name="SAPBEXundefined 4 2 2 9 3" xfId="37683"/>
    <cellStyle name="SAPBEXundefined 4 2 2_planning-WP" xfId="37684"/>
    <cellStyle name="SAPBEXundefined 4 2 3" xfId="5947"/>
    <cellStyle name="SAPBEXundefined 4 2 3 2" xfId="37686"/>
    <cellStyle name="SAPBEXundefined 4 2 3 2 2" xfId="37687"/>
    <cellStyle name="SAPBEXundefined 4 2 3 3" xfId="37688"/>
    <cellStyle name="SAPBEXundefined 4 2 3 4" xfId="37685"/>
    <cellStyle name="SAPBEXundefined 4 2 4" xfId="6455"/>
    <cellStyle name="SAPBEXundefined 4 2 4 2" xfId="37690"/>
    <cellStyle name="SAPBEXundefined 4 2 4 2 2" xfId="37691"/>
    <cellStyle name="SAPBEXundefined 4 2 4 3" xfId="37692"/>
    <cellStyle name="SAPBEXundefined 4 2 4 4" xfId="37689"/>
    <cellStyle name="SAPBEXundefined 4 2 5" xfId="6942"/>
    <cellStyle name="SAPBEXundefined 4 2 5 2" xfId="37694"/>
    <cellStyle name="SAPBEXundefined 4 2 5 2 2" xfId="37695"/>
    <cellStyle name="SAPBEXundefined 4 2 5 3" xfId="37696"/>
    <cellStyle name="SAPBEXundefined 4 2 5 4" xfId="37693"/>
    <cellStyle name="SAPBEXundefined 4 2 6" xfId="7425"/>
    <cellStyle name="SAPBEXundefined 4 2 6 2" xfId="37698"/>
    <cellStyle name="SAPBEXundefined 4 2 6 2 2" xfId="37699"/>
    <cellStyle name="SAPBEXundefined 4 2 6 3" xfId="37700"/>
    <cellStyle name="SAPBEXundefined 4 2 6 4" xfId="37697"/>
    <cellStyle name="SAPBEXundefined 4 2 7" xfId="8494"/>
    <cellStyle name="SAPBEXundefined 4 2 7 2" xfId="37702"/>
    <cellStyle name="SAPBEXundefined 4 2 7 2 2" xfId="37703"/>
    <cellStyle name="SAPBEXundefined 4 2 7 3" xfId="37704"/>
    <cellStyle name="SAPBEXundefined 4 2 7 4" xfId="37701"/>
    <cellStyle name="SAPBEXundefined 4 2 8" xfId="8995"/>
    <cellStyle name="SAPBEXundefined 4 2 8 2" xfId="37706"/>
    <cellStyle name="SAPBEXundefined 4 2 8 2 2" xfId="37707"/>
    <cellStyle name="SAPBEXundefined 4 2 8 3" xfId="37708"/>
    <cellStyle name="SAPBEXundefined 4 2 8 4" xfId="37705"/>
    <cellStyle name="SAPBEXundefined 4 2 9" xfId="9489"/>
    <cellStyle name="SAPBEXundefined 4 2 9 2" xfId="37710"/>
    <cellStyle name="SAPBEXundefined 4 2 9 2 2" xfId="37711"/>
    <cellStyle name="SAPBEXundefined 4 2 9 3" xfId="37712"/>
    <cellStyle name="SAPBEXundefined 4 2 9 4" xfId="37709"/>
    <cellStyle name="SAPBEXundefined 4 2_planning-WP" xfId="37713"/>
    <cellStyle name="SAPBEXundefined 4 3" xfId="4642"/>
    <cellStyle name="SAPBEXundefined 4 3 10" xfId="37715"/>
    <cellStyle name="SAPBEXundefined 4 3 10 2" xfId="37716"/>
    <cellStyle name="SAPBEXundefined 4 3 11" xfId="37714"/>
    <cellStyle name="SAPBEXundefined 4 3 2" xfId="37717"/>
    <cellStyle name="SAPBEXundefined 4 3 2 2" xfId="37718"/>
    <cellStyle name="SAPBEXundefined 4 3 2 2 2" xfId="37719"/>
    <cellStyle name="SAPBEXundefined 4 3 2 3" xfId="37720"/>
    <cellStyle name="SAPBEXundefined 4 3 3" xfId="37721"/>
    <cellStyle name="SAPBEXundefined 4 3 3 2" xfId="37722"/>
    <cellStyle name="SAPBEXundefined 4 3 3 2 2" xfId="37723"/>
    <cellStyle name="SAPBEXundefined 4 3 3 3" xfId="37724"/>
    <cellStyle name="SAPBEXundefined 4 3 4" xfId="37725"/>
    <cellStyle name="SAPBEXundefined 4 3 4 2" xfId="37726"/>
    <cellStyle name="SAPBEXundefined 4 3 4 2 2" xfId="37727"/>
    <cellStyle name="SAPBEXundefined 4 3 4 3" xfId="37728"/>
    <cellStyle name="SAPBEXundefined 4 3 5" xfId="37729"/>
    <cellStyle name="SAPBEXundefined 4 3 5 2" xfId="37730"/>
    <cellStyle name="SAPBEXundefined 4 3 5 2 2" xfId="37731"/>
    <cellStyle name="SAPBEXundefined 4 3 5 3" xfId="37732"/>
    <cellStyle name="SAPBEXundefined 4 3 6" xfId="37733"/>
    <cellStyle name="SAPBEXundefined 4 3 6 2" xfId="37734"/>
    <cellStyle name="SAPBEXundefined 4 3 6 2 2" xfId="37735"/>
    <cellStyle name="SAPBEXundefined 4 3 6 3" xfId="37736"/>
    <cellStyle name="SAPBEXundefined 4 3 7" xfId="37737"/>
    <cellStyle name="SAPBEXundefined 4 3 7 2" xfId="37738"/>
    <cellStyle name="SAPBEXundefined 4 3 7 2 2" xfId="37739"/>
    <cellStyle name="SAPBEXundefined 4 3 7 3" xfId="37740"/>
    <cellStyle name="SAPBEXundefined 4 3 8" xfId="37741"/>
    <cellStyle name="SAPBEXundefined 4 3 8 2" xfId="37742"/>
    <cellStyle name="SAPBEXundefined 4 3 8 2 2" xfId="37743"/>
    <cellStyle name="SAPBEXundefined 4 3 8 3" xfId="37744"/>
    <cellStyle name="SAPBEXundefined 4 3 9" xfId="37745"/>
    <cellStyle name="SAPBEXundefined 4 3 9 2" xfId="37746"/>
    <cellStyle name="SAPBEXundefined 4 3 9 2 2" xfId="37747"/>
    <cellStyle name="SAPBEXundefined 4 3 9 3" xfId="37748"/>
    <cellStyle name="SAPBEXundefined 4 3_planning-WP" xfId="37749"/>
    <cellStyle name="SAPBEXundefined 4 4" xfId="5634"/>
    <cellStyle name="SAPBEXundefined 4 4 10" xfId="37750"/>
    <cellStyle name="SAPBEXundefined 4 4 2" xfId="37751"/>
    <cellStyle name="SAPBEXundefined 4 4 2 2" xfId="37752"/>
    <cellStyle name="SAPBEXundefined 4 4 2 2 2" xfId="37753"/>
    <cellStyle name="SAPBEXundefined 4 4 2 3" xfId="37754"/>
    <cellStyle name="SAPBEXundefined 4 4 3" xfId="37755"/>
    <cellStyle name="SAPBEXundefined 4 4 3 2" xfId="37756"/>
    <cellStyle name="SAPBEXundefined 4 4 3 2 2" xfId="37757"/>
    <cellStyle name="SAPBEXundefined 4 4 3 3" xfId="37758"/>
    <cellStyle name="SAPBEXundefined 4 4 4" xfId="37759"/>
    <cellStyle name="SAPBEXundefined 4 4 4 2" xfId="37760"/>
    <cellStyle name="SAPBEXundefined 4 4 4 2 2" xfId="37761"/>
    <cellStyle name="SAPBEXundefined 4 4 4 3" xfId="37762"/>
    <cellStyle name="SAPBEXundefined 4 4 5" xfId="37763"/>
    <cellStyle name="SAPBEXundefined 4 4 5 2" xfId="37764"/>
    <cellStyle name="SAPBEXundefined 4 4 5 2 2" xfId="37765"/>
    <cellStyle name="SAPBEXundefined 4 4 5 3" xfId="37766"/>
    <cellStyle name="SAPBEXundefined 4 4 6" xfId="37767"/>
    <cellStyle name="SAPBEXundefined 4 4 6 2" xfId="37768"/>
    <cellStyle name="SAPBEXundefined 4 4 6 2 2" xfId="37769"/>
    <cellStyle name="SAPBEXundefined 4 4 6 3" xfId="37770"/>
    <cellStyle name="SAPBEXundefined 4 4 7" xfId="37771"/>
    <cellStyle name="SAPBEXundefined 4 4 7 2" xfId="37772"/>
    <cellStyle name="SAPBEXundefined 4 4 7 2 2" xfId="37773"/>
    <cellStyle name="SAPBEXundefined 4 4 7 3" xfId="37774"/>
    <cellStyle name="SAPBEXundefined 4 4 8" xfId="37775"/>
    <cellStyle name="SAPBEXundefined 4 4 8 2" xfId="37776"/>
    <cellStyle name="SAPBEXundefined 4 4 8 2 2" xfId="37777"/>
    <cellStyle name="SAPBEXundefined 4 4 8 3" xfId="37778"/>
    <cellStyle name="SAPBEXundefined 4 4 9" xfId="37779"/>
    <cellStyle name="SAPBEXundefined 4 4 9 2" xfId="37780"/>
    <cellStyle name="SAPBEXundefined 4 4_planning-WP" xfId="37781"/>
    <cellStyle name="SAPBEXundefined 4 5" xfId="6143"/>
    <cellStyle name="SAPBEXundefined 4 5 2" xfId="37783"/>
    <cellStyle name="SAPBEXundefined 4 5 2 2" xfId="37784"/>
    <cellStyle name="SAPBEXundefined 4 5 3" xfId="37782"/>
    <cellStyle name="SAPBEXundefined 4 6" xfId="6630"/>
    <cellStyle name="SAPBEXundefined 4 6 2" xfId="37786"/>
    <cellStyle name="SAPBEXundefined 4 6 2 2" xfId="37787"/>
    <cellStyle name="SAPBEXundefined 4 6 3" xfId="37788"/>
    <cellStyle name="SAPBEXundefined 4 6 4" xfId="37785"/>
    <cellStyle name="SAPBEXundefined 4 7" xfId="7113"/>
    <cellStyle name="SAPBEXundefined 4 7 2" xfId="37790"/>
    <cellStyle name="SAPBEXundefined 4 7 2 2" xfId="37791"/>
    <cellStyle name="SAPBEXundefined 4 7 3" xfId="37792"/>
    <cellStyle name="SAPBEXundefined 4 7 4" xfId="37789"/>
    <cellStyle name="SAPBEXundefined 4 8" xfId="8182"/>
    <cellStyle name="SAPBEXundefined 4 8 2" xfId="37794"/>
    <cellStyle name="SAPBEXundefined 4 8 2 2" xfId="37795"/>
    <cellStyle name="SAPBEXundefined 4 8 3" xfId="37796"/>
    <cellStyle name="SAPBEXundefined 4 8 4" xfId="37793"/>
    <cellStyle name="SAPBEXundefined 4 9" xfId="8683"/>
    <cellStyle name="SAPBEXundefined 4 9 2" xfId="37798"/>
    <cellStyle name="SAPBEXundefined 4 9 2 2" xfId="37799"/>
    <cellStyle name="SAPBEXundefined 4 9 3" xfId="37800"/>
    <cellStyle name="SAPBEXundefined 4 9 4" xfId="37797"/>
    <cellStyle name="SAPBEXundefined 4_planning-WP" xfId="37801"/>
    <cellStyle name="SAPBEXundefined 5" xfId="1665"/>
    <cellStyle name="SAPBEXundefined 5 10" xfId="9123"/>
    <cellStyle name="SAPBEXundefined 5 10 2" xfId="37804"/>
    <cellStyle name="SAPBEXundefined 5 10 2 2" xfId="37805"/>
    <cellStyle name="SAPBEXundefined 5 10 3" xfId="37806"/>
    <cellStyle name="SAPBEXundefined 5 10 4" xfId="37803"/>
    <cellStyle name="SAPBEXundefined 5 11" xfId="37807"/>
    <cellStyle name="SAPBEXundefined 5 11 2" xfId="37808"/>
    <cellStyle name="SAPBEXundefined 5 11 2 2" xfId="37809"/>
    <cellStyle name="SAPBEXundefined 5 11 3" xfId="37810"/>
    <cellStyle name="SAPBEXundefined 5 12" xfId="37811"/>
    <cellStyle name="SAPBEXundefined 5 12 2" xfId="37812"/>
    <cellStyle name="SAPBEXundefined 5 12 2 2" xfId="37813"/>
    <cellStyle name="SAPBEXundefined 5 12 3" xfId="37814"/>
    <cellStyle name="SAPBEXundefined 5 13" xfId="37815"/>
    <cellStyle name="SAPBEXundefined 5 14" xfId="37802"/>
    <cellStyle name="SAPBEXundefined 5 15" xfId="9862"/>
    <cellStyle name="SAPBEXundefined 5 16" xfId="39193"/>
    <cellStyle name="SAPBEXundefined 5 17" xfId="39566"/>
    <cellStyle name="SAPBEXundefined 5 2" xfId="1999"/>
    <cellStyle name="SAPBEXundefined 5 2 10" xfId="37817"/>
    <cellStyle name="SAPBEXundefined 5 2 10 2" xfId="37818"/>
    <cellStyle name="SAPBEXundefined 5 2 10 2 2" xfId="37819"/>
    <cellStyle name="SAPBEXundefined 5 2 10 3" xfId="37820"/>
    <cellStyle name="SAPBEXundefined 5 2 11" xfId="37821"/>
    <cellStyle name="SAPBEXundefined 5 2 11 2" xfId="37822"/>
    <cellStyle name="SAPBEXundefined 5 2 12" xfId="37816"/>
    <cellStyle name="SAPBEXundefined 5 2 13" xfId="10177"/>
    <cellStyle name="SAPBEXundefined 5 2 2" xfId="4917"/>
    <cellStyle name="SAPBEXundefined 5 2 2 10" xfId="37824"/>
    <cellStyle name="SAPBEXundefined 5 2 2 10 2" xfId="37825"/>
    <cellStyle name="SAPBEXundefined 5 2 2 11" xfId="37823"/>
    <cellStyle name="SAPBEXundefined 5 2 2 2" xfId="37826"/>
    <cellStyle name="SAPBEXundefined 5 2 2 2 2" xfId="37827"/>
    <cellStyle name="SAPBEXundefined 5 2 2 2 2 2" xfId="37828"/>
    <cellStyle name="SAPBEXundefined 5 2 2 2 3" xfId="37829"/>
    <cellStyle name="SAPBEXundefined 5 2 2 3" xfId="37830"/>
    <cellStyle name="SAPBEXundefined 5 2 2 3 2" xfId="37831"/>
    <cellStyle name="SAPBEXundefined 5 2 2 3 2 2" xfId="37832"/>
    <cellStyle name="SAPBEXundefined 5 2 2 3 3" xfId="37833"/>
    <cellStyle name="SAPBEXundefined 5 2 2 4" xfId="37834"/>
    <cellStyle name="SAPBEXundefined 5 2 2 4 2" xfId="37835"/>
    <cellStyle name="SAPBEXundefined 5 2 2 4 2 2" xfId="37836"/>
    <cellStyle name="SAPBEXundefined 5 2 2 4 3" xfId="37837"/>
    <cellStyle name="SAPBEXundefined 5 2 2 5" xfId="37838"/>
    <cellStyle name="SAPBEXundefined 5 2 2 5 2" xfId="37839"/>
    <cellStyle name="SAPBEXundefined 5 2 2 5 2 2" xfId="37840"/>
    <cellStyle name="SAPBEXundefined 5 2 2 5 3" xfId="37841"/>
    <cellStyle name="SAPBEXundefined 5 2 2 6" xfId="37842"/>
    <cellStyle name="SAPBEXundefined 5 2 2 6 2" xfId="37843"/>
    <cellStyle name="SAPBEXundefined 5 2 2 6 2 2" xfId="37844"/>
    <cellStyle name="SAPBEXundefined 5 2 2 6 3" xfId="37845"/>
    <cellStyle name="SAPBEXundefined 5 2 2 7" xfId="37846"/>
    <cellStyle name="SAPBEXundefined 5 2 2 7 2" xfId="37847"/>
    <cellStyle name="SAPBEXundefined 5 2 2 7 2 2" xfId="37848"/>
    <cellStyle name="SAPBEXundefined 5 2 2 7 3" xfId="37849"/>
    <cellStyle name="SAPBEXundefined 5 2 2 8" xfId="37850"/>
    <cellStyle name="SAPBEXundefined 5 2 2 8 2" xfId="37851"/>
    <cellStyle name="SAPBEXundefined 5 2 2 8 2 2" xfId="37852"/>
    <cellStyle name="SAPBEXundefined 5 2 2 8 3" xfId="37853"/>
    <cellStyle name="SAPBEXundefined 5 2 2 9" xfId="37854"/>
    <cellStyle name="SAPBEXundefined 5 2 2 9 2" xfId="37855"/>
    <cellStyle name="SAPBEXundefined 5 2 2 9 2 2" xfId="37856"/>
    <cellStyle name="SAPBEXundefined 5 2 2 9 3" xfId="37857"/>
    <cellStyle name="SAPBEXundefined 5 2 2_planning-WP" xfId="37858"/>
    <cellStyle name="SAPBEXundefined 5 2 3" xfId="5896"/>
    <cellStyle name="SAPBEXundefined 5 2 3 2" xfId="37860"/>
    <cellStyle name="SAPBEXundefined 5 2 3 2 2" xfId="37861"/>
    <cellStyle name="SAPBEXundefined 5 2 3 3" xfId="37862"/>
    <cellStyle name="SAPBEXundefined 5 2 3 4" xfId="37859"/>
    <cellStyle name="SAPBEXundefined 5 2 4" xfId="6404"/>
    <cellStyle name="SAPBEXundefined 5 2 4 2" xfId="37864"/>
    <cellStyle name="SAPBEXundefined 5 2 4 2 2" xfId="37865"/>
    <cellStyle name="SAPBEXundefined 5 2 4 3" xfId="37866"/>
    <cellStyle name="SAPBEXundefined 5 2 4 4" xfId="37863"/>
    <cellStyle name="SAPBEXundefined 5 2 5" xfId="6891"/>
    <cellStyle name="SAPBEXundefined 5 2 5 2" xfId="37868"/>
    <cellStyle name="SAPBEXundefined 5 2 5 2 2" xfId="37869"/>
    <cellStyle name="SAPBEXundefined 5 2 5 3" xfId="37870"/>
    <cellStyle name="SAPBEXundefined 5 2 5 4" xfId="37867"/>
    <cellStyle name="SAPBEXundefined 5 2 6" xfId="7374"/>
    <cellStyle name="SAPBEXundefined 5 2 6 2" xfId="37872"/>
    <cellStyle name="SAPBEXundefined 5 2 6 2 2" xfId="37873"/>
    <cellStyle name="SAPBEXundefined 5 2 6 3" xfId="37874"/>
    <cellStyle name="SAPBEXundefined 5 2 6 4" xfId="37871"/>
    <cellStyle name="SAPBEXundefined 5 2 7" xfId="8443"/>
    <cellStyle name="SAPBEXundefined 5 2 7 2" xfId="37876"/>
    <cellStyle name="SAPBEXundefined 5 2 7 2 2" xfId="37877"/>
    <cellStyle name="SAPBEXundefined 5 2 7 3" xfId="37878"/>
    <cellStyle name="SAPBEXundefined 5 2 7 4" xfId="37875"/>
    <cellStyle name="SAPBEXundefined 5 2 8" xfId="8944"/>
    <cellStyle name="SAPBEXundefined 5 2 8 2" xfId="37880"/>
    <cellStyle name="SAPBEXundefined 5 2 8 2 2" xfId="37881"/>
    <cellStyle name="SAPBEXundefined 5 2 8 3" xfId="37882"/>
    <cellStyle name="SAPBEXundefined 5 2 8 4" xfId="37879"/>
    <cellStyle name="SAPBEXundefined 5 2 9" xfId="9438"/>
    <cellStyle name="SAPBEXundefined 5 2 9 2" xfId="37884"/>
    <cellStyle name="SAPBEXundefined 5 2 9 2 2" xfId="37885"/>
    <cellStyle name="SAPBEXundefined 5 2 9 3" xfId="37886"/>
    <cellStyle name="SAPBEXundefined 5 2 9 4" xfId="37883"/>
    <cellStyle name="SAPBEXundefined 5 2_planning-WP" xfId="37887"/>
    <cellStyle name="SAPBEXundefined 5 3" xfId="4588"/>
    <cellStyle name="SAPBEXundefined 5 3 10" xfId="37889"/>
    <cellStyle name="SAPBEXundefined 5 3 10 2" xfId="37890"/>
    <cellStyle name="SAPBEXundefined 5 3 11" xfId="37888"/>
    <cellStyle name="SAPBEXundefined 5 3 2" xfId="37891"/>
    <cellStyle name="SAPBEXundefined 5 3 2 2" xfId="37892"/>
    <cellStyle name="SAPBEXundefined 5 3 2 2 2" xfId="37893"/>
    <cellStyle name="SAPBEXundefined 5 3 2 3" xfId="37894"/>
    <cellStyle name="SAPBEXundefined 5 3 3" xfId="37895"/>
    <cellStyle name="SAPBEXundefined 5 3 3 2" xfId="37896"/>
    <cellStyle name="SAPBEXundefined 5 3 3 2 2" xfId="37897"/>
    <cellStyle name="SAPBEXundefined 5 3 3 3" xfId="37898"/>
    <cellStyle name="SAPBEXundefined 5 3 4" xfId="37899"/>
    <cellStyle name="SAPBEXundefined 5 3 4 2" xfId="37900"/>
    <cellStyle name="SAPBEXundefined 5 3 4 2 2" xfId="37901"/>
    <cellStyle name="SAPBEXundefined 5 3 4 3" xfId="37902"/>
    <cellStyle name="SAPBEXundefined 5 3 5" xfId="37903"/>
    <cellStyle name="SAPBEXundefined 5 3 5 2" xfId="37904"/>
    <cellStyle name="SAPBEXundefined 5 3 5 2 2" xfId="37905"/>
    <cellStyle name="SAPBEXundefined 5 3 5 3" xfId="37906"/>
    <cellStyle name="SAPBEXundefined 5 3 6" xfId="37907"/>
    <cellStyle name="SAPBEXundefined 5 3 6 2" xfId="37908"/>
    <cellStyle name="SAPBEXundefined 5 3 6 2 2" xfId="37909"/>
    <cellStyle name="SAPBEXundefined 5 3 6 3" xfId="37910"/>
    <cellStyle name="SAPBEXundefined 5 3 7" xfId="37911"/>
    <cellStyle name="SAPBEXundefined 5 3 7 2" xfId="37912"/>
    <cellStyle name="SAPBEXundefined 5 3 7 2 2" xfId="37913"/>
    <cellStyle name="SAPBEXundefined 5 3 7 3" xfId="37914"/>
    <cellStyle name="SAPBEXundefined 5 3 8" xfId="37915"/>
    <cellStyle name="SAPBEXundefined 5 3 8 2" xfId="37916"/>
    <cellStyle name="SAPBEXundefined 5 3 8 2 2" xfId="37917"/>
    <cellStyle name="SAPBEXundefined 5 3 8 3" xfId="37918"/>
    <cellStyle name="SAPBEXundefined 5 3 9" xfId="37919"/>
    <cellStyle name="SAPBEXundefined 5 3 9 2" xfId="37920"/>
    <cellStyle name="SAPBEXundefined 5 3 9 2 2" xfId="37921"/>
    <cellStyle name="SAPBEXundefined 5 3 9 3" xfId="37922"/>
    <cellStyle name="SAPBEXundefined 5 3_planning-WP" xfId="37923"/>
    <cellStyle name="SAPBEXundefined 5 4" xfId="5580"/>
    <cellStyle name="SAPBEXundefined 5 4 10" xfId="37924"/>
    <cellStyle name="SAPBEXundefined 5 4 2" xfId="37925"/>
    <cellStyle name="SAPBEXundefined 5 4 2 2" xfId="37926"/>
    <cellStyle name="SAPBEXundefined 5 4 2 2 2" xfId="37927"/>
    <cellStyle name="SAPBEXundefined 5 4 2 3" xfId="37928"/>
    <cellStyle name="SAPBEXundefined 5 4 3" xfId="37929"/>
    <cellStyle name="SAPBEXundefined 5 4 3 2" xfId="37930"/>
    <cellStyle name="SAPBEXundefined 5 4 3 2 2" xfId="37931"/>
    <cellStyle name="SAPBEXundefined 5 4 3 3" xfId="37932"/>
    <cellStyle name="SAPBEXundefined 5 4 4" xfId="37933"/>
    <cellStyle name="SAPBEXundefined 5 4 4 2" xfId="37934"/>
    <cellStyle name="SAPBEXundefined 5 4 4 2 2" xfId="37935"/>
    <cellStyle name="SAPBEXundefined 5 4 4 3" xfId="37936"/>
    <cellStyle name="SAPBEXundefined 5 4 5" xfId="37937"/>
    <cellStyle name="SAPBEXundefined 5 4 5 2" xfId="37938"/>
    <cellStyle name="SAPBEXundefined 5 4 5 2 2" xfId="37939"/>
    <cellStyle name="SAPBEXundefined 5 4 5 3" xfId="37940"/>
    <cellStyle name="SAPBEXundefined 5 4 6" xfId="37941"/>
    <cellStyle name="SAPBEXundefined 5 4 6 2" xfId="37942"/>
    <cellStyle name="SAPBEXundefined 5 4 6 2 2" xfId="37943"/>
    <cellStyle name="SAPBEXundefined 5 4 6 3" xfId="37944"/>
    <cellStyle name="SAPBEXundefined 5 4 7" xfId="37945"/>
    <cellStyle name="SAPBEXundefined 5 4 7 2" xfId="37946"/>
    <cellStyle name="SAPBEXundefined 5 4 7 2 2" xfId="37947"/>
    <cellStyle name="SAPBEXundefined 5 4 7 3" xfId="37948"/>
    <cellStyle name="SAPBEXundefined 5 4 8" xfId="37949"/>
    <cellStyle name="SAPBEXundefined 5 4 8 2" xfId="37950"/>
    <cellStyle name="SAPBEXundefined 5 4 8 2 2" xfId="37951"/>
    <cellStyle name="SAPBEXundefined 5 4 8 3" xfId="37952"/>
    <cellStyle name="SAPBEXundefined 5 4 9" xfId="37953"/>
    <cellStyle name="SAPBEXundefined 5 4 9 2" xfId="37954"/>
    <cellStyle name="SAPBEXundefined 5 4_planning-WP" xfId="37955"/>
    <cellStyle name="SAPBEXundefined 5 5" xfId="6089"/>
    <cellStyle name="SAPBEXundefined 5 5 2" xfId="37957"/>
    <cellStyle name="SAPBEXundefined 5 5 2 2" xfId="37958"/>
    <cellStyle name="SAPBEXundefined 5 5 3" xfId="37956"/>
    <cellStyle name="SAPBEXundefined 5 6" xfId="6576"/>
    <cellStyle name="SAPBEXundefined 5 6 2" xfId="37960"/>
    <cellStyle name="SAPBEXundefined 5 6 2 2" xfId="37961"/>
    <cellStyle name="SAPBEXundefined 5 6 3" xfId="37962"/>
    <cellStyle name="SAPBEXundefined 5 6 4" xfId="37959"/>
    <cellStyle name="SAPBEXundefined 5 7" xfId="7059"/>
    <cellStyle name="SAPBEXundefined 5 7 2" xfId="37964"/>
    <cellStyle name="SAPBEXundefined 5 7 2 2" xfId="37965"/>
    <cellStyle name="SAPBEXundefined 5 7 3" xfId="37966"/>
    <cellStyle name="SAPBEXundefined 5 7 4" xfId="37963"/>
    <cellStyle name="SAPBEXundefined 5 8" xfId="8128"/>
    <cellStyle name="SAPBEXundefined 5 8 2" xfId="37968"/>
    <cellStyle name="SAPBEXundefined 5 8 2 2" xfId="37969"/>
    <cellStyle name="SAPBEXundefined 5 8 3" xfId="37970"/>
    <cellStyle name="SAPBEXundefined 5 8 4" xfId="37967"/>
    <cellStyle name="SAPBEXundefined 5 9" xfId="8629"/>
    <cellStyle name="SAPBEXundefined 5 9 2" xfId="37972"/>
    <cellStyle name="SAPBEXundefined 5 9 2 2" xfId="37973"/>
    <cellStyle name="SAPBEXundefined 5 9 3" xfId="37974"/>
    <cellStyle name="SAPBEXundefined 5 9 4" xfId="37971"/>
    <cellStyle name="SAPBEXundefined 5_planning-WP" xfId="37975"/>
    <cellStyle name="SAPBEXundefined 6" xfId="1749"/>
    <cellStyle name="SAPBEXundefined 6 10" xfId="9204"/>
    <cellStyle name="SAPBEXundefined 6 10 2" xfId="37978"/>
    <cellStyle name="SAPBEXundefined 6 10 2 2" xfId="37979"/>
    <cellStyle name="SAPBEXundefined 6 10 3" xfId="37980"/>
    <cellStyle name="SAPBEXundefined 6 10 4" xfId="37977"/>
    <cellStyle name="SAPBEXundefined 6 11" xfId="37981"/>
    <cellStyle name="SAPBEXundefined 6 11 2" xfId="37982"/>
    <cellStyle name="SAPBEXundefined 6 11 2 2" xfId="37983"/>
    <cellStyle name="SAPBEXundefined 6 11 3" xfId="37984"/>
    <cellStyle name="SAPBEXundefined 6 12" xfId="37985"/>
    <cellStyle name="SAPBEXundefined 6 13" xfId="37976"/>
    <cellStyle name="SAPBEXundefined 6 14" xfId="9943"/>
    <cellStyle name="SAPBEXundefined 6 15" xfId="39194"/>
    <cellStyle name="SAPBEXundefined 6 16" xfId="39567"/>
    <cellStyle name="SAPBEXundefined 6 2" xfId="2079"/>
    <cellStyle name="SAPBEXundefined 6 2 10" xfId="37987"/>
    <cellStyle name="SAPBEXundefined 6 2 10 2" xfId="37988"/>
    <cellStyle name="SAPBEXundefined 6 2 11" xfId="37986"/>
    <cellStyle name="SAPBEXundefined 6 2 12" xfId="10254"/>
    <cellStyle name="SAPBEXundefined 6 2 2" xfId="4994"/>
    <cellStyle name="SAPBEXundefined 6 2 2 2" xfId="37990"/>
    <cellStyle name="SAPBEXundefined 6 2 2 2 2" xfId="37991"/>
    <cellStyle name="SAPBEXundefined 6 2 2 3" xfId="37992"/>
    <cellStyle name="SAPBEXundefined 6 2 2 4" xfId="37989"/>
    <cellStyle name="SAPBEXundefined 6 2 3" xfId="5973"/>
    <cellStyle name="SAPBEXundefined 6 2 3 2" xfId="37994"/>
    <cellStyle name="SAPBEXundefined 6 2 3 2 2" xfId="37995"/>
    <cellStyle name="SAPBEXundefined 6 2 3 3" xfId="37996"/>
    <cellStyle name="SAPBEXundefined 6 2 3 4" xfId="37993"/>
    <cellStyle name="SAPBEXundefined 6 2 4" xfId="6481"/>
    <cellStyle name="SAPBEXundefined 6 2 4 2" xfId="37998"/>
    <cellStyle name="SAPBEXundefined 6 2 4 2 2" xfId="37999"/>
    <cellStyle name="SAPBEXundefined 6 2 4 3" xfId="38000"/>
    <cellStyle name="SAPBEXundefined 6 2 4 4" xfId="37997"/>
    <cellStyle name="SAPBEXundefined 6 2 5" xfId="6968"/>
    <cellStyle name="SAPBEXundefined 6 2 5 2" xfId="38002"/>
    <cellStyle name="SAPBEXundefined 6 2 5 2 2" xfId="38003"/>
    <cellStyle name="SAPBEXundefined 6 2 5 3" xfId="38004"/>
    <cellStyle name="SAPBEXundefined 6 2 5 4" xfId="38001"/>
    <cellStyle name="SAPBEXundefined 6 2 6" xfId="7451"/>
    <cellStyle name="SAPBEXundefined 6 2 6 2" xfId="38006"/>
    <cellStyle name="SAPBEXundefined 6 2 6 2 2" xfId="38007"/>
    <cellStyle name="SAPBEXundefined 6 2 6 3" xfId="38008"/>
    <cellStyle name="SAPBEXundefined 6 2 6 4" xfId="38005"/>
    <cellStyle name="SAPBEXundefined 6 2 7" xfId="8520"/>
    <cellStyle name="SAPBEXundefined 6 2 7 2" xfId="38010"/>
    <cellStyle name="SAPBEXundefined 6 2 7 2 2" xfId="38011"/>
    <cellStyle name="SAPBEXundefined 6 2 7 3" xfId="38012"/>
    <cellStyle name="SAPBEXundefined 6 2 7 4" xfId="38009"/>
    <cellStyle name="SAPBEXundefined 6 2 8" xfId="9021"/>
    <cellStyle name="SAPBEXundefined 6 2 8 2" xfId="38014"/>
    <cellStyle name="SAPBEXundefined 6 2 8 2 2" xfId="38015"/>
    <cellStyle name="SAPBEXundefined 6 2 8 3" xfId="38016"/>
    <cellStyle name="SAPBEXundefined 6 2 8 4" xfId="38013"/>
    <cellStyle name="SAPBEXundefined 6 2 9" xfId="9515"/>
    <cellStyle name="SAPBEXundefined 6 2 9 2" xfId="38018"/>
    <cellStyle name="SAPBEXundefined 6 2 9 2 2" xfId="38019"/>
    <cellStyle name="SAPBEXundefined 6 2 9 3" xfId="38020"/>
    <cellStyle name="SAPBEXundefined 6 2 9 4" xfId="38017"/>
    <cellStyle name="SAPBEXundefined 6 2_planning-WP" xfId="38021"/>
    <cellStyle name="SAPBEXundefined 6 3" xfId="4670"/>
    <cellStyle name="SAPBEXundefined 6 3 10" xfId="38022"/>
    <cellStyle name="SAPBEXundefined 6 3 2" xfId="38023"/>
    <cellStyle name="SAPBEXundefined 6 3 2 2" xfId="38024"/>
    <cellStyle name="SAPBEXundefined 6 3 2 2 2" xfId="38025"/>
    <cellStyle name="SAPBEXundefined 6 3 2 3" xfId="38026"/>
    <cellStyle name="SAPBEXundefined 6 3 3" xfId="38027"/>
    <cellStyle name="SAPBEXundefined 6 3 3 2" xfId="38028"/>
    <cellStyle name="SAPBEXundefined 6 3 3 2 2" xfId="38029"/>
    <cellStyle name="SAPBEXundefined 6 3 3 3" xfId="38030"/>
    <cellStyle name="SAPBEXundefined 6 3 4" xfId="38031"/>
    <cellStyle name="SAPBEXundefined 6 3 4 2" xfId="38032"/>
    <cellStyle name="SAPBEXundefined 6 3 4 2 2" xfId="38033"/>
    <cellStyle name="SAPBEXundefined 6 3 4 3" xfId="38034"/>
    <cellStyle name="SAPBEXundefined 6 3 5" xfId="38035"/>
    <cellStyle name="SAPBEXundefined 6 3 5 2" xfId="38036"/>
    <cellStyle name="SAPBEXundefined 6 3 5 2 2" xfId="38037"/>
    <cellStyle name="SAPBEXundefined 6 3 5 3" xfId="38038"/>
    <cellStyle name="SAPBEXundefined 6 3 6" xfId="38039"/>
    <cellStyle name="SAPBEXundefined 6 3 6 2" xfId="38040"/>
    <cellStyle name="SAPBEXundefined 6 3 6 2 2" xfId="38041"/>
    <cellStyle name="SAPBEXundefined 6 3 6 3" xfId="38042"/>
    <cellStyle name="SAPBEXundefined 6 3 7" xfId="38043"/>
    <cellStyle name="SAPBEXundefined 6 3 7 2" xfId="38044"/>
    <cellStyle name="SAPBEXundefined 6 3 7 2 2" xfId="38045"/>
    <cellStyle name="SAPBEXundefined 6 3 7 3" xfId="38046"/>
    <cellStyle name="SAPBEXundefined 6 3 8" xfId="38047"/>
    <cellStyle name="SAPBEXundefined 6 3 8 2" xfId="38048"/>
    <cellStyle name="SAPBEXundefined 6 3 8 2 2" xfId="38049"/>
    <cellStyle name="SAPBEXundefined 6 3 8 3" xfId="38050"/>
    <cellStyle name="SAPBEXundefined 6 3 9" xfId="38051"/>
    <cellStyle name="SAPBEXundefined 6 3 9 2" xfId="38052"/>
    <cellStyle name="SAPBEXundefined 6 3_planning-WP" xfId="38053"/>
    <cellStyle name="SAPBEXundefined 6 4" xfId="5661"/>
    <cellStyle name="SAPBEXundefined 6 4 2" xfId="38055"/>
    <cellStyle name="SAPBEXundefined 6 4 2 2" xfId="38056"/>
    <cellStyle name="SAPBEXundefined 6 4 3" xfId="38054"/>
    <cellStyle name="SAPBEXundefined 6 5" xfId="6170"/>
    <cellStyle name="SAPBEXundefined 6 5 2" xfId="38058"/>
    <cellStyle name="SAPBEXundefined 6 5 2 2" xfId="38059"/>
    <cellStyle name="SAPBEXundefined 6 5 3" xfId="38060"/>
    <cellStyle name="SAPBEXundefined 6 5 4" xfId="38057"/>
    <cellStyle name="SAPBEXundefined 6 6" xfId="6657"/>
    <cellStyle name="SAPBEXundefined 6 6 2" xfId="38062"/>
    <cellStyle name="SAPBEXundefined 6 6 2 2" xfId="38063"/>
    <cellStyle name="SAPBEXundefined 6 6 3" xfId="38064"/>
    <cellStyle name="SAPBEXundefined 6 6 4" xfId="38061"/>
    <cellStyle name="SAPBEXundefined 6 7" xfId="7140"/>
    <cellStyle name="SAPBEXundefined 6 7 2" xfId="38066"/>
    <cellStyle name="SAPBEXundefined 6 7 2 2" xfId="38067"/>
    <cellStyle name="SAPBEXundefined 6 7 3" xfId="38068"/>
    <cellStyle name="SAPBEXundefined 6 7 4" xfId="38065"/>
    <cellStyle name="SAPBEXundefined 6 8" xfId="8209"/>
    <cellStyle name="SAPBEXundefined 6 8 2" xfId="38070"/>
    <cellStyle name="SAPBEXundefined 6 8 2 2" xfId="38071"/>
    <cellStyle name="SAPBEXundefined 6 8 3" xfId="38072"/>
    <cellStyle name="SAPBEXundefined 6 8 4" xfId="38069"/>
    <cellStyle name="SAPBEXundefined 6 9" xfId="8710"/>
    <cellStyle name="SAPBEXundefined 6 9 2" xfId="38074"/>
    <cellStyle name="SAPBEXundefined 6 9 2 2" xfId="38075"/>
    <cellStyle name="SAPBEXundefined 6 9 3" xfId="38076"/>
    <cellStyle name="SAPBEXundefined 6 9 4" xfId="38073"/>
    <cellStyle name="SAPBEXundefined 6_planning-WP" xfId="38077"/>
    <cellStyle name="SAPBEXundefined 7" xfId="1777"/>
    <cellStyle name="SAPBEXundefined 7 10" xfId="9231"/>
    <cellStyle name="SAPBEXundefined 7 10 2" xfId="38080"/>
    <cellStyle name="SAPBEXundefined 7 10 2 2" xfId="38081"/>
    <cellStyle name="SAPBEXundefined 7 10 3" xfId="38082"/>
    <cellStyle name="SAPBEXundefined 7 10 4" xfId="38079"/>
    <cellStyle name="SAPBEXundefined 7 11" xfId="38083"/>
    <cellStyle name="SAPBEXundefined 7 11 2" xfId="38084"/>
    <cellStyle name="SAPBEXundefined 7 12" xfId="38078"/>
    <cellStyle name="SAPBEXundefined 7 13" xfId="9970"/>
    <cellStyle name="SAPBEXundefined 7 14" xfId="39195"/>
    <cellStyle name="SAPBEXundefined 7 15" xfId="39568"/>
    <cellStyle name="SAPBEXundefined 7 2" xfId="2099"/>
    <cellStyle name="SAPBEXundefined 7 2 10" xfId="38086"/>
    <cellStyle name="SAPBEXundefined 7 2 10 2" xfId="38087"/>
    <cellStyle name="SAPBEXundefined 7 2 11" xfId="38085"/>
    <cellStyle name="SAPBEXundefined 7 2 12" xfId="10273"/>
    <cellStyle name="SAPBEXundefined 7 2 2" xfId="5013"/>
    <cellStyle name="SAPBEXundefined 7 2 2 2" xfId="38089"/>
    <cellStyle name="SAPBEXundefined 7 2 2 2 2" xfId="38090"/>
    <cellStyle name="SAPBEXundefined 7 2 2 3" xfId="38091"/>
    <cellStyle name="SAPBEXundefined 7 2 2 4" xfId="38088"/>
    <cellStyle name="SAPBEXundefined 7 2 3" xfId="5992"/>
    <cellStyle name="SAPBEXundefined 7 2 3 2" xfId="38093"/>
    <cellStyle name="SAPBEXundefined 7 2 3 2 2" xfId="38094"/>
    <cellStyle name="SAPBEXundefined 7 2 3 3" xfId="38095"/>
    <cellStyle name="SAPBEXundefined 7 2 3 4" xfId="38092"/>
    <cellStyle name="SAPBEXundefined 7 2 4" xfId="6500"/>
    <cellStyle name="SAPBEXundefined 7 2 4 2" xfId="38097"/>
    <cellStyle name="SAPBEXundefined 7 2 4 2 2" xfId="38098"/>
    <cellStyle name="SAPBEXundefined 7 2 4 3" xfId="38099"/>
    <cellStyle name="SAPBEXundefined 7 2 4 4" xfId="38096"/>
    <cellStyle name="SAPBEXundefined 7 2 5" xfId="6987"/>
    <cellStyle name="SAPBEXundefined 7 2 5 2" xfId="38101"/>
    <cellStyle name="SAPBEXundefined 7 2 5 2 2" xfId="38102"/>
    <cellStyle name="SAPBEXundefined 7 2 5 3" xfId="38103"/>
    <cellStyle name="SAPBEXundefined 7 2 5 4" xfId="38100"/>
    <cellStyle name="SAPBEXundefined 7 2 6" xfId="7470"/>
    <cellStyle name="SAPBEXundefined 7 2 6 2" xfId="38105"/>
    <cellStyle name="SAPBEXundefined 7 2 6 2 2" xfId="38106"/>
    <cellStyle name="SAPBEXundefined 7 2 6 3" xfId="38107"/>
    <cellStyle name="SAPBEXundefined 7 2 6 4" xfId="38104"/>
    <cellStyle name="SAPBEXundefined 7 2 7" xfId="8539"/>
    <cellStyle name="SAPBEXundefined 7 2 7 2" xfId="38109"/>
    <cellStyle name="SAPBEXundefined 7 2 7 2 2" xfId="38110"/>
    <cellStyle name="SAPBEXundefined 7 2 7 3" xfId="38111"/>
    <cellStyle name="SAPBEXundefined 7 2 7 4" xfId="38108"/>
    <cellStyle name="SAPBEXundefined 7 2 8" xfId="9040"/>
    <cellStyle name="SAPBEXundefined 7 2 8 2" xfId="38113"/>
    <cellStyle name="SAPBEXundefined 7 2 8 2 2" xfId="38114"/>
    <cellStyle name="SAPBEXundefined 7 2 8 3" xfId="38115"/>
    <cellStyle name="SAPBEXundefined 7 2 8 4" xfId="38112"/>
    <cellStyle name="SAPBEXundefined 7 2 9" xfId="9534"/>
    <cellStyle name="SAPBEXundefined 7 2 9 2" xfId="38117"/>
    <cellStyle name="SAPBEXundefined 7 2 9 2 2" xfId="38118"/>
    <cellStyle name="SAPBEXundefined 7 2 9 3" xfId="38119"/>
    <cellStyle name="SAPBEXundefined 7 2 9 4" xfId="38116"/>
    <cellStyle name="SAPBEXundefined 7 2_planning-WP" xfId="38120"/>
    <cellStyle name="SAPBEXundefined 7 3" xfId="4698"/>
    <cellStyle name="SAPBEXundefined 7 3 2" xfId="38122"/>
    <cellStyle name="SAPBEXundefined 7 3 2 2" xfId="38123"/>
    <cellStyle name="SAPBEXundefined 7 3 3" xfId="38124"/>
    <cellStyle name="SAPBEXundefined 7 3 4" xfId="38121"/>
    <cellStyle name="SAPBEXundefined 7 4" xfId="5688"/>
    <cellStyle name="SAPBEXundefined 7 4 2" xfId="38126"/>
    <cellStyle name="SAPBEXundefined 7 4 2 2" xfId="38127"/>
    <cellStyle name="SAPBEXundefined 7 4 3" xfId="38128"/>
    <cellStyle name="SAPBEXundefined 7 4 4" xfId="38125"/>
    <cellStyle name="SAPBEXundefined 7 5" xfId="6197"/>
    <cellStyle name="SAPBEXundefined 7 5 2" xfId="38130"/>
    <cellStyle name="SAPBEXundefined 7 5 2 2" xfId="38131"/>
    <cellStyle name="SAPBEXundefined 7 5 3" xfId="38132"/>
    <cellStyle name="SAPBEXundefined 7 5 4" xfId="38129"/>
    <cellStyle name="SAPBEXundefined 7 6" xfId="6684"/>
    <cellStyle name="SAPBEXundefined 7 6 2" xfId="38134"/>
    <cellStyle name="SAPBEXundefined 7 6 2 2" xfId="38135"/>
    <cellStyle name="SAPBEXundefined 7 6 3" xfId="38136"/>
    <cellStyle name="SAPBEXundefined 7 6 4" xfId="38133"/>
    <cellStyle name="SAPBEXundefined 7 7" xfId="7167"/>
    <cellStyle name="SAPBEXundefined 7 7 2" xfId="38138"/>
    <cellStyle name="SAPBEXundefined 7 7 2 2" xfId="38139"/>
    <cellStyle name="SAPBEXundefined 7 7 3" xfId="38140"/>
    <cellStyle name="SAPBEXundefined 7 7 4" xfId="38137"/>
    <cellStyle name="SAPBEXundefined 7 8" xfId="8236"/>
    <cellStyle name="SAPBEXundefined 7 8 2" xfId="38142"/>
    <cellStyle name="SAPBEXundefined 7 8 2 2" xfId="38143"/>
    <cellStyle name="SAPBEXundefined 7 8 3" xfId="38144"/>
    <cellStyle name="SAPBEXundefined 7 8 4" xfId="38141"/>
    <cellStyle name="SAPBEXundefined 7 9" xfId="8737"/>
    <cellStyle name="SAPBEXundefined 7 9 2" xfId="38146"/>
    <cellStyle name="SAPBEXundefined 7 9 2 2" xfId="38147"/>
    <cellStyle name="SAPBEXundefined 7 9 3" xfId="38148"/>
    <cellStyle name="SAPBEXundefined 7 9 4" xfId="38145"/>
    <cellStyle name="SAPBEXundefined 7_planning-WP" xfId="38149"/>
    <cellStyle name="SAPBEXundefined 8" xfId="1656"/>
    <cellStyle name="SAPBEXundefined 8 10" xfId="38151"/>
    <cellStyle name="SAPBEXundefined 8 10 2" xfId="38152"/>
    <cellStyle name="SAPBEXundefined 8 11" xfId="38150"/>
    <cellStyle name="SAPBEXundefined 8 12" xfId="9853"/>
    <cellStyle name="SAPBEXundefined 8 2" xfId="4579"/>
    <cellStyle name="SAPBEXundefined 8 2 2" xfId="38154"/>
    <cellStyle name="SAPBEXundefined 8 2 2 2" xfId="38155"/>
    <cellStyle name="SAPBEXundefined 8 2 3" xfId="38156"/>
    <cellStyle name="SAPBEXundefined 8 2 4" xfId="38153"/>
    <cellStyle name="SAPBEXundefined 8 3" xfId="5571"/>
    <cellStyle name="SAPBEXundefined 8 3 2" xfId="38158"/>
    <cellStyle name="SAPBEXundefined 8 3 2 2" xfId="38159"/>
    <cellStyle name="SAPBEXundefined 8 3 3" xfId="38160"/>
    <cellStyle name="SAPBEXundefined 8 3 4" xfId="38157"/>
    <cellStyle name="SAPBEXundefined 8 4" xfId="6080"/>
    <cellStyle name="SAPBEXundefined 8 4 2" xfId="38162"/>
    <cellStyle name="SAPBEXundefined 8 4 2 2" xfId="38163"/>
    <cellStyle name="SAPBEXundefined 8 4 3" xfId="38164"/>
    <cellStyle name="SAPBEXundefined 8 4 4" xfId="38161"/>
    <cellStyle name="SAPBEXundefined 8 5" xfId="6567"/>
    <cellStyle name="SAPBEXundefined 8 5 2" xfId="38166"/>
    <cellStyle name="SAPBEXundefined 8 5 2 2" xfId="38167"/>
    <cellStyle name="SAPBEXundefined 8 5 3" xfId="38168"/>
    <cellStyle name="SAPBEXundefined 8 5 4" xfId="38165"/>
    <cellStyle name="SAPBEXundefined 8 6" xfId="7050"/>
    <cellStyle name="SAPBEXundefined 8 6 2" xfId="38170"/>
    <cellStyle name="SAPBEXundefined 8 6 2 2" xfId="38171"/>
    <cellStyle name="SAPBEXundefined 8 6 3" xfId="38172"/>
    <cellStyle name="SAPBEXundefined 8 6 4" xfId="38169"/>
    <cellStyle name="SAPBEXundefined 8 7" xfId="8119"/>
    <cellStyle name="SAPBEXundefined 8 7 2" xfId="38174"/>
    <cellStyle name="SAPBEXundefined 8 7 2 2" xfId="38175"/>
    <cellStyle name="SAPBEXundefined 8 7 3" xfId="38176"/>
    <cellStyle name="SAPBEXundefined 8 7 4" xfId="38173"/>
    <cellStyle name="SAPBEXundefined 8 8" xfId="8620"/>
    <cellStyle name="SAPBEXundefined 8 8 2" xfId="38178"/>
    <cellStyle name="SAPBEXundefined 8 8 2 2" xfId="38179"/>
    <cellStyle name="SAPBEXundefined 8 8 3" xfId="38180"/>
    <cellStyle name="SAPBEXundefined 8 8 4" xfId="38177"/>
    <cellStyle name="SAPBEXundefined 8 9" xfId="9114"/>
    <cellStyle name="SAPBEXundefined 8 9 2" xfId="38182"/>
    <cellStyle name="SAPBEXundefined 8 9 2 2" xfId="38183"/>
    <cellStyle name="SAPBEXundefined 8 9 3" xfId="38184"/>
    <cellStyle name="SAPBEXundefined 8 9 4" xfId="38181"/>
    <cellStyle name="SAPBEXundefined 8_planning-WP" xfId="38185"/>
    <cellStyle name="SAPBEXundefined 9" xfId="1443"/>
    <cellStyle name="SAPBEXundefined 9 10" xfId="38186"/>
    <cellStyle name="SAPBEXundefined 9 11" xfId="9641"/>
    <cellStyle name="SAPBEXundefined 9 2" xfId="4366"/>
    <cellStyle name="SAPBEXundefined 9 2 2" xfId="38188"/>
    <cellStyle name="SAPBEXundefined 9 2 2 2" xfId="38189"/>
    <cellStyle name="SAPBEXundefined 9 2 3" xfId="38190"/>
    <cellStyle name="SAPBEXundefined 9 2 4" xfId="38187"/>
    <cellStyle name="SAPBEXundefined 9 3" xfId="5359"/>
    <cellStyle name="SAPBEXundefined 9 3 2" xfId="38192"/>
    <cellStyle name="SAPBEXundefined 9 3 2 2" xfId="38193"/>
    <cellStyle name="SAPBEXundefined 9 3 3" xfId="38194"/>
    <cellStyle name="SAPBEXundefined 9 3 4" xfId="38191"/>
    <cellStyle name="SAPBEXundefined 9 4" xfId="3249"/>
    <cellStyle name="SAPBEXundefined 9 4 2" xfId="38196"/>
    <cellStyle name="SAPBEXundefined 9 4 2 2" xfId="38197"/>
    <cellStyle name="SAPBEXundefined 9 4 3" xfId="38198"/>
    <cellStyle name="SAPBEXundefined 9 4 4" xfId="38195"/>
    <cellStyle name="SAPBEXundefined 9 5" xfId="3197"/>
    <cellStyle name="SAPBEXundefined 9 5 2" xfId="38200"/>
    <cellStyle name="SAPBEXundefined 9 5 2 2" xfId="38201"/>
    <cellStyle name="SAPBEXundefined 9 5 3" xfId="38202"/>
    <cellStyle name="SAPBEXundefined 9 5 4" xfId="38199"/>
    <cellStyle name="SAPBEXundefined 9 6" xfId="6013"/>
    <cellStyle name="SAPBEXundefined 9 6 2" xfId="38204"/>
    <cellStyle name="SAPBEXundefined 9 6 2 2" xfId="38205"/>
    <cellStyle name="SAPBEXundefined 9 6 3" xfId="38206"/>
    <cellStyle name="SAPBEXundefined 9 6 4" xfId="38203"/>
    <cellStyle name="SAPBEXundefined 9 7" xfId="7907"/>
    <cellStyle name="SAPBEXundefined 9 7 2" xfId="38208"/>
    <cellStyle name="SAPBEXundefined 9 7 2 2" xfId="38209"/>
    <cellStyle name="SAPBEXundefined 9 7 3" xfId="38210"/>
    <cellStyle name="SAPBEXundefined 9 7 4" xfId="38207"/>
    <cellStyle name="SAPBEXundefined 9 8" xfId="7639"/>
    <cellStyle name="SAPBEXundefined 9 8 2" xfId="38212"/>
    <cellStyle name="SAPBEXundefined 9 8 2 2" xfId="38213"/>
    <cellStyle name="SAPBEXundefined 9 8 3" xfId="38214"/>
    <cellStyle name="SAPBEXundefined 9 8 4" xfId="38211"/>
    <cellStyle name="SAPBEXundefined 9 9" xfId="7849"/>
    <cellStyle name="SAPBEXundefined 9 9 2" xfId="38216"/>
    <cellStyle name="SAPBEXundefined 9 9 3" xfId="38215"/>
    <cellStyle name="SAPBEXundefined 9_planning-WP" xfId="38217"/>
    <cellStyle name="SAPBEXundefined_19.RessDest CUC CS SEE+SEM 1009" xfId="39196"/>
    <cellStyle name="SAPMemberCell" xfId="2133"/>
    <cellStyle name="Satisfaisant 2" xfId="296"/>
    <cellStyle name="Satisfaisant 3" xfId="297"/>
    <cellStyle name="Satisfaisant 4" xfId="298"/>
    <cellStyle name="Satisfaisant 5" xfId="299"/>
    <cellStyle name="Satisfaisant 6" xfId="300"/>
    <cellStyle name="Satisfaisant 7" xfId="301"/>
    <cellStyle name="Schlecht" xfId="39197"/>
    <cellStyle name="SEM-BPS-data" xfId="39198"/>
    <cellStyle name="SEM-BPS-head" xfId="39199"/>
    <cellStyle name="SEM-BPS-headdata" xfId="39200"/>
    <cellStyle name="SEM-BPS-headdata 2" xfId="39201"/>
    <cellStyle name="SEM-BPS-headkey" xfId="39202"/>
    <cellStyle name="SEM-BPS-input-on" xfId="39203"/>
    <cellStyle name="SEM-BPS-input-on 2" xfId="39204"/>
    <cellStyle name="SEM-BPS-key" xfId="39205"/>
    <cellStyle name="SEM-BPS-sub1" xfId="39206"/>
    <cellStyle name="SEM-BPS-sub2" xfId="39207"/>
    <cellStyle name="SEM-BPS-total" xfId="39208"/>
    <cellStyle name="Sortie 2" xfId="302"/>
    <cellStyle name="Sortie 2 2" xfId="907"/>
    <cellStyle name="Sortie 2 2 2" xfId="1981"/>
    <cellStyle name="Sortie 2 2 2 10" xfId="10159"/>
    <cellStyle name="Sortie 2 2 2 2" xfId="4899"/>
    <cellStyle name="Sortie 2 2 2 3" xfId="5878"/>
    <cellStyle name="Sortie 2 2 2 4" xfId="6386"/>
    <cellStyle name="Sortie 2 2 2 5" xfId="6873"/>
    <cellStyle name="Sortie 2 2 2 6" xfId="7356"/>
    <cellStyle name="Sortie 2 2 2 7" xfId="8425"/>
    <cellStyle name="Sortie 2 2 2 8" xfId="8926"/>
    <cellStyle name="Sortie 2 2 2 9" xfId="9420"/>
    <cellStyle name="Sortie 2 2 3" xfId="1645"/>
    <cellStyle name="Sortie 2 2 3 10" xfId="9842"/>
    <cellStyle name="Sortie 2 2 3 2" xfId="4568"/>
    <cellStyle name="Sortie 2 2 3 3" xfId="5560"/>
    <cellStyle name="Sortie 2 2 3 4" xfId="6069"/>
    <cellStyle name="Sortie 2 2 3 5" xfId="6556"/>
    <cellStyle name="Sortie 2 2 3 6" xfId="7039"/>
    <cellStyle name="Sortie 2 2 3 7" xfId="8108"/>
    <cellStyle name="Sortie 2 2 3 8" xfId="8609"/>
    <cellStyle name="Sortie 2 2 3 9" xfId="9103"/>
    <cellStyle name="Sortie 2 2 4" xfId="9591"/>
    <cellStyle name="Sortie 2 3" xfId="1610"/>
    <cellStyle name="Sortie 2 3 10" xfId="9068"/>
    <cellStyle name="Sortie 2 3 11" xfId="9807"/>
    <cellStyle name="Sortie 2 3 2" xfId="1948"/>
    <cellStyle name="Sortie 2 3 2 10" xfId="10126"/>
    <cellStyle name="Sortie 2 3 2 2" xfId="4866"/>
    <cellStyle name="Sortie 2 3 2 3" xfId="5845"/>
    <cellStyle name="Sortie 2 3 2 4" xfId="6353"/>
    <cellStyle name="Sortie 2 3 2 5" xfId="6840"/>
    <cellStyle name="Sortie 2 3 2 6" xfId="7323"/>
    <cellStyle name="Sortie 2 3 2 7" xfId="8392"/>
    <cellStyle name="Sortie 2 3 2 8" xfId="8893"/>
    <cellStyle name="Sortie 2 3 2 9" xfId="9387"/>
    <cellStyle name="Sortie 2 3 3" xfId="4533"/>
    <cellStyle name="Sortie 2 3 4" xfId="5525"/>
    <cellStyle name="Sortie 2 3 5" xfId="6034"/>
    <cellStyle name="Sortie 2 3 6" xfId="6521"/>
    <cellStyle name="Sortie 2 3 7" xfId="5223"/>
    <cellStyle name="Sortie 2 3 8" xfId="8073"/>
    <cellStyle name="Sortie 2 3 9" xfId="8574"/>
    <cellStyle name="Sortie 2 4" xfId="1721"/>
    <cellStyle name="Sortie 2 4 10" xfId="9178"/>
    <cellStyle name="Sortie 2 4 11" xfId="9917"/>
    <cellStyle name="Sortie 2 4 2" xfId="2052"/>
    <cellStyle name="Sortie 2 4 2 10" xfId="10229"/>
    <cellStyle name="Sortie 2 4 2 2" xfId="4969"/>
    <cellStyle name="Sortie 2 4 2 3" xfId="5948"/>
    <cellStyle name="Sortie 2 4 2 4" xfId="6456"/>
    <cellStyle name="Sortie 2 4 2 5" xfId="6943"/>
    <cellStyle name="Sortie 2 4 2 6" xfId="7426"/>
    <cellStyle name="Sortie 2 4 2 7" xfId="8495"/>
    <cellStyle name="Sortie 2 4 2 8" xfId="8996"/>
    <cellStyle name="Sortie 2 4 2 9" xfId="9490"/>
    <cellStyle name="Sortie 2 4 3" xfId="4643"/>
    <cellStyle name="Sortie 2 4 4" xfId="5635"/>
    <cellStyle name="Sortie 2 4 5" xfId="6144"/>
    <cellStyle name="Sortie 2 4 6" xfId="6631"/>
    <cellStyle name="Sortie 2 4 7" xfId="7114"/>
    <cellStyle name="Sortie 2 4 8" xfId="8183"/>
    <cellStyle name="Sortie 2 4 9" xfId="8684"/>
    <cellStyle name="Sortie 2 5" xfId="1671"/>
    <cellStyle name="Sortie 2 5 10" xfId="9129"/>
    <cellStyle name="Sortie 2 5 11" xfId="9868"/>
    <cellStyle name="Sortie 2 5 2" xfId="2005"/>
    <cellStyle name="Sortie 2 5 2 10" xfId="10183"/>
    <cellStyle name="Sortie 2 5 2 2" xfId="4923"/>
    <cellStyle name="Sortie 2 5 2 3" xfId="5902"/>
    <cellStyle name="Sortie 2 5 2 4" xfId="6410"/>
    <cellStyle name="Sortie 2 5 2 5" xfId="6897"/>
    <cellStyle name="Sortie 2 5 2 6" xfId="7380"/>
    <cellStyle name="Sortie 2 5 2 7" xfId="8449"/>
    <cellStyle name="Sortie 2 5 2 8" xfId="8950"/>
    <cellStyle name="Sortie 2 5 2 9" xfId="9444"/>
    <cellStyle name="Sortie 2 5 3" xfId="4594"/>
    <cellStyle name="Sortie 2 5 4" xfId="5586"/>
    <cellStyle name="Sortie 2 5 5" xfId="6095"/>
    <cellStyle name="Sortie 2 5 6" xfId="6582"/>
    <cellStyle name="Sortie 2 5 7" xfId="7065"/>
    <cellStyle name="Sortie 2 5 8" xfId="8134"/>
    <cellStyle name="Sortie 2 5 9" xfId="8635"/>
    <cellStyle name="Sortie 2 6" xfId="1750"/>
    <cellStyle name="Sortie 2 6 10" xfId="9205"/>
    <cellStyle name="Sortie 2 6 11" xfId="9944"/>
    <cellStyle name="Sortie 2 6 2" xfId="2080"/>
    <cellStyle name="Sortie 2 6 2 10" xfId="10255"/>
    <cellStyle name="Sortie 2 6 2 2" xfId="4995"/>
    <cellStyle name="Sortie 2 6 2 3" xfId="5974"/>
    <cellStyle name="Sortie 2 6 2 4" xfId="6482"/>
    <cellStyle name="Sortie 2 6 2 5" xfId="6969"/>
    <cellStyle name="Sortie 2 6 2 6" xfId="7452"/>
    <cellStyle name="Sortie 2 6 2 7" xfId="8521"/>
    <cellStyle name="Sortie 2 6 2 8" xfId="9022"/>
    <cellStyle name="Sortie 2 6 2 9" xfId="9516"/>
    <cellStyle name="Sortie 2 6 3" xfId="4671"/>
    <cellStyle name="Sortie 2 6 4" xfId="5662"/>
    <cellStyle name="Sortie 2 6 5" xfId="6171"/>
    <cellStyle name="Sortie 2 6 6" xfId="6658"/>
    <cellStyle name="Sortie 2 6 7" xfId="7141"/>
    <cellStyle name="Sortie 2 6 8" xfId="8210"/>
    <cellStyle name="Sortie 2 6 9" xfId="8711"/>
    <cellStyle name="Sortie 2 7" xfId="1765"/>
    <cellStyle name="Sortie 2 7 10" xfId="9958"/>
    <cellStyle name="Sortie 2 7 2" xfId="4686"/>
    <cellStyle name="Sortie 2 7 3" xfId="5676"/>
    <cellStyle name="Sortie 2 7 4" xfId="6185"/>
    <cellStyle name="Sortie 2 7 5" xfId="6672"/>
    <cellStyle name="Sortie 2 7 6" xfId="7155"/>
    <cellStyle name="Sortie 2 7 7" xfId="8224"/>
    <cellStyle name="Sortie 2 7 8" xfId="8725"/>
    <cellStyle name="Sortie 2 7 9" xfId="9219"/>
    <cellStyle name="Sortie 2 8" xfId="1444"/>
    <cellStyle name="Sortie 2 8 10" xfId="9642"/>
    <cellStyle name="Sortie 2 8 2" xfId="4367"/>
    <cellStyle name="Sortie 2 8 3" xfId="5360"/>
    <cellStyle name="Sortie 2 8 4" xfId="5157"/>
    <cellStyle name="Sortie 2 8 5" xfId="5213"/>
    <cellStyle name="Sortie 2 8 6" xfId="5151"/>
    <cellStyle name="Sortie 2 8 7" xfId="7908"/>
    <cellStyle name="Sortie 2 8 8" xfId="7638"/>
    <cellStyle name="Sortie 2 8 9" xfId="7829"/>
    <cellStyle name="Sortie 3" xfId="303"/>
    <cellStyle name="Sortie 3 2" xfId="908"/>
    <cellStyle name="Sortie 3 2 2" xfId="1982"/>
    <cellStyle name="Sortie 3 2 2 10" xfId="10160"/>
    <cellStyle name="Sortie 3 2 2 2" xfId="4900"/>
    <cellStyle name="Sortie 3 2 2 3" xfId="5879"/>
    <cellStyle name="Sortie 3 2 2 4" xfId="6387"/>
    <cellStyle name="Sortie 3 2 2 5" xfId="6874"/>
    <cellStyle name="Sortie 3 2 2 6" xfId="7357"/>
    <cellStyle name="Sortie 3 2 2 7" xfId="8426"/>
    <cellStyle name="Sortie 3 2 2 8" xfId="8927"/>
    <cellStyle name="Sortie 3 2 2 9" xfId="9421"/>
    <cellStyle name="Sortie 3 2 3" xfId="1646"/>
    <cellStyle name="Sortie 3 2 3 10" xfId="9843"/>
    <cellStyle name="Sortie 3 2 3 2" xfId="4569"/>
    <cellStyle name="Sortie 3 2 3 3" xfId="5561"/>
    <cellStyle name="Sortie 3 2 3 4" xfId="6070"/>
    <cellStyle name="Sortie 3 2 3 5" xfId="6557"/>
    <cellStyle name="Sortie 3 2 3 6" xfId="7040"/>
    <cellStyle name="Sortie 3 2 3 7" xfId="8109"/>
    <cellStyle name="Sortie 3 2 3 8" xfId="8610"/>
    <cellStyle name="Sortie 3 2 3 9" xfId="9104"/>
    <cellStyle name="Sortie 3 2 4" xfId="9592"/>
    <cellStyle name="Sortie 3 3" xfId="1611"/>
    <cellStyle name="Sortie 3 3 10" xfId="9069"/>
    <cellStyle name="Sortie 3 3 11" xfId="9808"/>
    <cellStyle name="Sortie 3 3 2" xfId="1949"/>
    <cellStyle name="Sortie 3 3 2 10" xfId="10127"/>
    <cellStyle name="Sortie 3 3 2 2" xfId="4867"/>
    <cellStyle name="Sortie 3 3 2 3" xfId="5846"/>
    <cellStyle name="Sortie 3 3 2 4" xfId="6354"/>
    <cellStyle name="Sortie 3 3 2 5" xfId="6841"/>
    <cellStyle name="Sortie 3 3 2 6" xfId="7324"/>
    <cellStyle name="Sortie 3 3 2 7" xfId="8393"/>
    <cellStyle name="Sortie 3 3 2 8" xfId="8894"/>
    <cellStyle name="Sortie 3 3 2 9" xfId="9388"/>
    <cellStyle name="Sortie 3 3 3" xfId="4534"/>
    <cellStyle name="Sortie 3 3 4" xfId="5526"/>
    <cellStyle name="Sortie 3 3 5" xfId="6035"/>
    <cellStyle name="Sortie 3 3 6" xfId="6522"/>
    <cellStyle name="Sortie 3 3 7" xfId="7005"/>
    <cellStyle name="Sortie 3 3 8" xfId="8074"/>
    <cellStyle name="Sortie 3 3 9" xfId="8575"/>
    <cellStyle name="Sortie 3 4" xfId="1722"/>
    <cellStyle name="Sortie 3 4 10" xfId="9179"/>
    <cellStyle name="Sortie 3 4 11" xfId="9918"/>
    <cellStyle name="Sortie 3 4 2" xfId="2053"/>
    <cellStyle name="Sortie 3 4 2 10" xfId="10230"/>
    <cellStyle name="Sortie 3 4 2 2" xfId="4970"/>
    <cellStyle name="Sortie 3 4 2 3" xfId="5949"/>
    <cellStyle name="Sortie 3 4 2 4" xfId="6457"/>
    <cellStyle name="Sortie 3 4 2 5" xfId="6944"/>
    <cellStyle name="Sortie 3 4 2 6" xfId="7427"/>
    <cellStyle name="Sortie 3 4 2 7" xfId="8496"/>
    <cellStyle name="Sortie 3 4 2 8" xfId="8997"/>
    <cellStyle name="Sortie 3 4 2 9" xfId="9491"/>
    <cellStyle name="Sortie 3 4 3" xfId="4644"/>
    <cellStyle name="Sortie 3 4 4" xfId="5636"/>
    <cellStyle name="Sortie 3 4 5" xfId="6145"/>
    <cellStyle name="Sortie 3 4 6" xfId="6632"/>
    <cellStyle name="Sortie 3 4 7" xfId="7115"/>
    <cellStyle name="Sortie 3 4 8" xfId="8184"/>
    <cellStyle name="Sortie 3 4 9" xfId="8685"/>
    <cellStyle name="Sortie 3 5" xfId="1672"/>
    <cellStyle name="Sortie 3 5 10" xfId="9130"/>
    <cellStyle name="Sortie 3 5 11" xfId="9869"/>
    <cellStyle name="Sortie 3 5 2" xfId="2006"/>
    <cellStyle name="Sortie 3 5 2 10" xfId="10184"/>
    <cellStyle name="Sortie 3 5 2 2" xfId="4924"/>
    <cellStyle name="Sortie 3 5 2 3" xfId="5903"/>
    <cellStyle name="Sortie 3 5 2 4" xfId="6411"/>
    <cellStyle name="Sortie 3 5 2 5" xfId="6898"/>
    <cellStyle name="Sortie 3 5 2 6" xfId="7381"/>
    <cellStyle name="Sortie 3 5 2 7" xfId="8450"/>
    <cellStyle name="Sortie 3 5 2 8" xfId="8951"/>
    <cellStyle name="Sortie 3 5 2 9" xfId="9445"/>
    <cellStyle name="Sortie 3 5 3" xfId="4595"/>
    <cellStyle name="Sortie 3 5 4" xfId="5587"/>
    <cellStyle name="Sortie 3 5 5" xfId="6096"/>
    <cellStyle name="Sortie 3 5 6" xfId="6583"/>
    <cellStyle name="Sortie 3 5 7" xfId="7066"/>
    <cellStyle name="Sortie 3 5 8" xfId="8135"/>
    <cellStyle name="Sortie 3 5 9" xfId="8636"/>
    <cellStyle name="Sortie 3 6" xfId="1751"/>
    <cellStyle name="Sortie 3 6 10" xfId="9206"/>
    <cellStyle name="Sortie 3 6 11" xfId="9945"/>
    <cellStyle name="Sortie 3 6 2" xfId="2081"/>
    <cellStyle name="Sortie 3 6 2 10" xfId="10256"/>
    <cellStyle name="Sortie 3 6 2 2" xfId="4996"/>
    <cellStyle name="Sortie 3 6 2 3" xfId="5975"/>
    <cellStyle name="Sortie 3 6 2 4" xfId="6483"/>
    <cellStyle name="Sortie 3 6 2 5" xfId="6970"/>
    <cellStyle name="Sortie 3 6 2 6" xfId="7453"/>
    <cellStyle name="Sortie 3 6 2 7" xfId="8522"/>
    <cellStyle name="Sortie 3 6 2 8" xfId="9023"/>
    <cellStyle name="Sortie 3 6 2 9" xfId="9517"/>
    <cellStyle name="Sortie 3 6 3" xfId="4672"/>
    <cellStyle name="Sortie 3 6 4" xfId="5663"/>
    <cellStyle name="Sortie 3 6 5" xfId="6172"/>
    <cellStyle name="Sortie 3 6 6" xfId="6659"/>
    <cellStyle name="Sortie 3 6 7" xfId="7142"/>
    <cellStyle name="Sortie 3 6 8" xfId="8211"/>
    <cellStyle name="Sortie 3 6 9" xfId="8712"/>
    <cellStyle name="Sortie 3 7" xfId="1766"/>
    <cellStyle name="Sortie 3 7 10" xfId="9959"/>
    <cellStyle name="Sortie 3 7 2" xfId="4687"/>
    <cellStyle name="Sortie 3 7 3" xfId="5677"/>
    <cellStyle name="Sortie 3 7 4" xfId="6186"/>
    <cellStyle name="Sortie 3 7 5" xfId="6673"/>
    <cellStyle name="Sortie 3 7 6" xfId="7156"/>
    <cellStyle name="Sortie 3 7 7" xfId="8225"/>
    <cellStyle name="Sortie 3 7 8" xfId="8726"/>
    <cellStyle name="Sortie 3 7 9" xfId="9220"/>
    <cellStyle name="Sortie 3 8" xfId="1445"/>
    <cellStyle name="Sortie 3 8 10" xfId="9643"/>
    <cellStyle name="Sortie 3 8 2" xfId="4368"/>
    <cellStyle name="Sortie 3 8 3" xfId="5361"/>
    <cellStyle name="Sortie 3 8 4" xfId="4323"/>
    <cellStyle name="Sortie 3 8 5" xfId="5277"/>
    <cellStyle name="Sortie 3 8 6" xfId="3240"/>
    <cellStyle name="Sortie 3 8 7" xfId="7909"/>
    <cellStyle name="Sortie 3 8 8" xfId="7637"/>
    <cellStyle name="Sortie 3 8 9" xfId="7758"/>
    <cellStyle name="Sortie 4" xfId="304"/>
    <cellStyle name="Sortie 4 2" xfId="909"/>
    <cellStyle name="Sortie 4 2 2" xfId="1983"/>
    <cellStyle name="Sortie 4 2 2 10" xfId="10161"/>
    <cellStyle name="Sortie 4 2 2 2" xfId="4901"/>
    <cellStyle name="Sortie 4 2 2 3" xfId="5880"/>
    <cellStyle name="Sortie 4 2 2 4" xfId="6388"/>
    <cellStyle name="Sortie 4 2 2 5" xfId="6875"/>
    <cellStyle name="Sortie 4 2 2 6" xfId="7358"/>
    <cellStyle name="Sortie 4 2 2 7" xfId="8427"/>
    <cellStyle name="Sortie 4 2 2 8" xfId="8928"/>
    <cellStyle name="Sortie 4 2 2 9" xfId="9422"/>
    <cellStyle name="Sortie 4 2 3" xfId="1647"/>
    <cellStyle name="Sortie 4 2 3 10" xfId="9844"/>
    <cellStyle name="Sortie 4 2 3 2" xfId="4570"/>
    <cellStyle name="Sortie 4 2 3 3" xfId="5562"/>
    <cellStyle name="Sortie 4 2 3 4" xfId="6071"/>
    <cellStyle name="Sortie 4 2 3 5" xfId="6558"/>
    <cellStyle name="Sortie 4 2 3 6" xfId="7041"/>
    <cellStyle name="Sortie 4 2 3 7" xfId="8110"/>
    <cellStyle name="Sortie 4 2 3 8" xfId="8611"/>
    <cellStyle name="Sortie 4 2 3 9" xfId="9105"/>
    <cellStyle name="Sortie 4 2 4" xfId="9593"/>
    <cellStyle name="Sortie 4 3" xfId="1615"/>
    <cellStyle name="Sortie 4 3 10" xfId="9073"/>
    <cellStyle name="Sortie 4 3 11" xfId="9812"/>
    <cellStyle name="Sortie 4 3 2" xfId="1953"/>
    <cellStyle name="Sortie 4 3 2 10" xfId="10131"/>
    <cellStyle name="Sortie 4 3 2 2" xfId="4871"/>
    <cellStyle name="Sortie 4 3 2 3" xfId="5850"/>
    <cellStyle name="Sortie 4 3 2 4" xfId="6358"/>
    <cellStyle name="Sortie 4 3 2 5" xfId="6845"/>
    <cellStyle name="Sortie 4 3 2 6" xfId="7328"/>
    <cellStyle name="Sortie 4 3 2 7" xfId="8397"/>
    <cellStyle name="Sortie 4 3 2 8" xfId="8898"/>
    <cellStyle name="Sortie 4 3 2 9" xfId="9392"/>
    <cellStyle name="Sortie 4 3 3" xfId="4538"/>
    <cellStyle name="Sortie 4 3 4" xfId="5530"/>
    <cellStyle name="Sortie 4 3 5" xfId="6039"/>
    <cellStyle name="Sortie 4 3 6" xfId="6526"/>
    <cellStyle name="Sortie 4 3 7" xfId="7009"/>
    <cellStyle name="Sortie 4 3 8" xfId="8078"/>
    <cellStyle name="Sortie 4 3 9" xfId="8579"/>
    <cellStyle name="Sortie 4 4" xfId="1723"/>
    <cellStyle name="Sortie 4 4 10" xfId="9180"/>
    <cellStyle name="Sortie 4 4 11" xfId="9919"/>
    <cellStyle name="Sortie 4 4 2" xfId="2054"/>
    <cellStyle name="Sortie 4 4 2 10" xfId="10231"/>
    <cellStyle name="Sortie 4 4 2 2" xfId="4971"/>
    <cellStyle name="Sortie 4 4 2 3" xfId="5950"/>
    <cellStyle name="Sortie 4 4 2 4" xfId="6458"/>
    <cellStyle name="Sortie 4 4 2 5" xfId="6945"/>
    <cellStyle name="Sortie 4 4 2 6" xfId="7428"/>
    <cellStyle name="Sortie 4 4 2 7" xfId="8497"/>
    <cellStyle name="Sortie 4 4 2 8" xfId="8998"/>
    <cellStyle name="Sortie 4 4 2 9" xfId="9492"/>
    <cellStyle name="Sortie 4 4 3" xfId="4645"/>
    <cellStyle name="Sortie 4 4 4" xfId="5637"/>
    <cellStyle name="Sortie 4 4 5" xfId="6146"/>
    <cellStyle name="Sortie 4 4 6" xfId="6633"/>
    <cellStyle name="Sortie 4 4 7" xfId="7116"/>
    <cellStyle name="Sortie 4 4 8" xfId="8185"/>
    <cellStyle name="Sortie 4 4 9" xfId="8686"/>
    <cellStyle name="Sortie 4 5" xfId="1673"/>
    <cellStyle name="Sortie 4 5 10" xfId="9131"/>
    <cellStyle name="Sortie 4 5 11" xfId="9870"/>
    <cellStyle name="Sortie 4 5 2" xfId="2007"/>
    <cellStyle name="Sortie 4 5 2 10" xfId="10185"/>
    <cellStyle name="Sortie 4 5 2 2" xfId="4925"/>
    <cellStyle name="Sortie 4 5 2 3" xfId="5904"/>
    <cellStyle name="Sortie 4 5 2 4" xfId="6412"/>
    <cellStyle name="Sortie 4 5 2 5" xfId="6899"/>
    <cellStyle name="Sortie 4 5 2 6" xfId="7382"/>
    <cellStyle name="Sortie 4 5 2 7" xfId="8451"/>
    <cellStyle name="Sortie 4 5 2 8" xfId="8952"/>
    <cellStyle name="Sortie 4 5 2 9" xfId="9446"/>
    <cellStyle name="Sortie 4 5 3" xfId="4596"/>
    <cellStyle name="Sortie 4 5 4" xfId="5588"/>
    <cellStyle name="Sortie 4 5 5" xfId="6097"/>
    <cellStyle name="Sortie 4 5 6" xfId="6584"/>
    <cellStyle name="Sortie 4 5 7" xfId="7067"/>
    <cellStyle name="Sortie 4 5 8" xfId="8136"/>
    <cellStyle name="Sortie 4 5 9" xfId="8637"/>
    <cellStyle name="Sortie 4 6" xfId="1752"/>
    <cellStyle name="Sortie 4 6 10" xfId="9207"/>
    <cellStyle name="Sortie 4 6 11" xfId="9946"/>
    <cellStyle name="Sortie 4 6 2" xfId="2082"/>
    <cellStyle name="Sortie 4 6 2 10" xfId="10257"/>
    <cellStyle name="Sortie 4 6 2 2" xfId="4997"/>
    <cellStyle name="Sortie 4 6 2 3" xfId="5976"/>
    <cellStyle name="Sortie 4 6 2 4" xfId="6484"/>
    <cellStyle name="Sortie 4 6 2 5" xfId="6971"/>
    <cellStyle name="Sortie 4 6 2 6" xfId="7454"/>
    <cellStyle name="Sortie 4 6 2 7" xfId="8523"/>
    <cellStyle name="Sortie 4 6 2 8" xfId="9024"/>
    <cellStyle name="Sortie 4 6 2 9" xfId="9518"/>
    <cellStyle name="Sortie 4 6 3" xfId="4673"/>
    <cellStyle name="Sortie 4 6 4" xfId="5664"/>
    <cellStyle name="Sortie 4 6 5" xfId="6173"/>
    <cellStyle name="Sortie 4 6 6" xfId="6660"/>
    <cellStyle name="Sortie 4 6 7" xfId="7143"/>
    <cellStyle name="Sortie 4 6 8" xfId="8212"/>
    <cellStyle name="Sortie 4 6 9" xfId="8713"/>
    <cellStyle name="Sortie 4 7" xfId="1768"/>
    <cellStyle name="Sortie 4 7 10" xfId="9961"/>
    <cellStyle name="Sortie 4 7 2" xfId="4689"/>
    <cellStyle name="Sortie 4 7 3" xfId="5679"/>
    <cellStyle name="Sortie 4 7 4" xfId="6188"/>
    <cellStyle name="Sortie 4 7 5" xfId="6675"/>
    <cellStyle name="Sortie 4 7 6" xfId="7158"/>
    <cellStyle name="Sortie 4 7 7" xfId="8227"/>
    <cellStyle name="Sortie 4 7 8" xfId="8728"/>
    <cellStyle name="Sortie 4 7 9" xfId="9222"/>
    <cellStyle name="Sortie 4 8" xfId="1446"/>
    <cellStyle name="Sortie 4 8 10" xfId="9644"/>
    <cellStyle name="Sortie 4 8 2" xfId="4369"/>
    <cellStyle name="Sortie 4 8 3" xfId="5362"/>
    <cellStyle name="Sortie 4 8 4" xfId="5156"/>
    <cellStyle name="Sortie 4 8 5" xfId="3209"/>
    <cellStyle name="Sortie 4 8 6" xfId="3181"/>
    <cellStyle name="Sortie 4 8 7" xfId="7910"/>
    <cellStyle name="Sortie 4 8 8" xfId="7636"/>
    <cellStyle name="Sortie 4 8 9" xfId="7766"/>
    <cellStyle name="Sortie 5" xfId="305"/>
    <cellStyle name="Sortie 5 2" xfId="910"/>
    <cellStyle name="Sortie 5 2 2" xfId="1984"/>
    <cellStyle name="Sortie 5 2 2 10" xfId="10162"/>
    <cellStyle name="Sortie 5 2 2 2" xfId="4902"/>
    <cellStyle name="Sortie 5 2 2 3" xfId="5881"/>
    <cellStyle name="Sortie 5 2 2 4" xfId="6389"/>
    <cellStyle name="Sortie 5 2 2 5" xfId="6876"/>
    <cellStyle name="Sortie 5 2 2 6" xfId="7359"/>
    <cellStyle name="Sortie 5 2 2 7" xfId="8428"/>
    <cellStyle name="Sortie 5 2 2 8" xfId="8929"/>
    <cellStyle name="Sortie 5 2 2 9" xfId="9423"/>
    <cellStyle name="Sortie 5 2 3" xfId="1648"/>
    <cellStyle name="Sortie 5 2 3 10" xfId="9845"/>
    <cellStyle name="Sortie 5 2 3 2" xfId="4571"/>
    <cellStyle name="Sortie 5 2 3 3" xfId="5563"/>
    <cellStyle name="Sortie 5 2 3 4" xfId="6072"/>
    <cellStyle name="Sortie 5 2 3 5" xfId="6559"/>
    <cellStyle name="Sortie 5 2 3 6" xfId="7042"/>
    <cellStyle name="Sortie 5 2 3 7" xfId="8111"/>
    <cellStyle name="Sortie 5 2 3 8" xfId="8612"/>
    <cellStyle name="Sortie 5 2 3 9" xfId="9106"/>
    <cellStyle name="Sortie 5 2 4" xfId="9594"/>
    <cellStyle name="Sortie 5 3" xfId="1625"/>
    <cellStyle name="Sortie 5 3 10" xfId="9083"/>
    <cellStyle name="Sortie 5 3 11" xfId="9822"/>
    <cellStyle name="Sortie 5 3 2" xfId="1963"/>
    <cellStyle name="Sortie 5 3 2 10" xfId="10141"/>
    <cellStyle name="Sortie 5 3 2 2" xfId="4881"/>
    <cellStyle name="Sortie 5 3 2 3" xfId="5860"/>
    <cellStyle name="Sortie 5 3 2 4" xfId="6368"/>
    <cellStyle name="Sortie 5 3 2 5" xfId="6855"/>
    <cellStyle name="Sortie 5 3 2 6" xfId="7338"/>
    <cellStyle name="Sortie 5 3 2 7" xfId="8407"/>
    <cellStyle name="Sortie 5 3 2 8" xfId="8908"/>
    <cellStyle name="Sortie 5 3 2 9" xfId="9402"/>
    <cellStyle name="Sortie 5 3 3" xfId="4548"/>
    <cellStyle name="Sortie 5 3 4" xfId="5540"/>
    <cellStyle name="Sortie 5 3 5" xfId="6049"/>
    <cellStyle name="Sortie 5 3 6" xfId="6536"/>
    <cellStyle name="Sortie 5 3 7" xfId="7019"/>
    <cellStyle name="Sortie 5 3 8" xfId="8088"/>
    <cellStyle name="Sortie 5 3 9" xfId="8589"/>
    <cellStyle name="Sortie 5 4" xfId="1724"/>
    <cellStyle name="Sortie 5 4 10" xfId="9181"/>
    <cellStyle name="Sortie 5 4 11" xfId="9920"/>
    <cellStyle name="Sortie 5 4 2" xfId="2055"/>
    <cellStyle name="Sortie 5 4 2 10" xfId="10232"/>
    <cellStyle name="Sortie 5 4 2 2" xfId="4972"/>
    <cellStyle name="Sortie 5 4 2 3" xfId="5951"/>
    <cellStyle name="Sortie 5 4 2 4" xfId="6459"/>
    <cellStyle name="Sortie 5 4 2 5" xfId="6946"/>
    <cellStyle name="Sortie 5 4 2 6" xfId="7429"/>
    <cellStyle name="Sortie 5 4 2 7" xfId="8498"/>
    <cellStyle name="Sortie 5 4 2 8" xfId="8999"/>
    <cellStyle name="Sortie 5 4 2 9" xfId="9493"/>
    <cellStyle name="Sortie 5 4 3" xfId="4646"/>
    <cellStyle name="Sortie 5 4 4" xfId="5638"/>
    <cellStyle name="Sortie 5 4 5" xfId="6147"/>
    <cellStyle name="Sortie 5 4 6" xfId="6634"/>
    <cellStyle name="Sortie 5 4 7" xfId="7117"/>
    <cellStyle name="Sortie 5 4 8" xfId="8186"/>
    <cellStyle name="Sortie 5 4 9" xfId="8687"/>
    <cellStyle name="Sortie 5 5" xfId="1674"/>
    <cellStyle name="Sortie 5 5 10" xfId="9132"/>
    <cellStyle name="Sortie 5 5 11" xfId="9871"/>
    <cellStyle name="Sortie 5 5 2" xfId="2008"/>
    <cellStyle name="Sortie 5 5 2 10" xfId="10186"/>
    <cellStyle name="Sortie 5 5 2 2" xfId="4926"/>
    <cellStyle name="Sortie 5 5 2 3" xfId="5905"/>
    <cellStyle name="Sortie 5 5 2 4" xfId="6413"/>
    <cellStyle name="Sortie 5 5 2 5" xfId="6900"/>
    <cellStyle name="Sortie 5 5 2 6" xfId="7383"/>
    <cellStyle name="Sortie 5 5 2 7" xfId="8452"/>
    <cellStyle name="Sortie 5 5 2 8" xfId="8953"/>
    <cellStyle name="Sortie 5 5 2 9" xfId="9447"/>
    <cellStyle name="Sortie 5 5 3" xfId="4597"/>
    <cellStyle name="Sortie 5 5 4" xfId="5589"/>
    <cellStyle name="Sortie 5 5 5" xfId="6098"/>
    <cellStyle name="Sortie 5 5 6" xfId="6585"/>
    <cellStyle name="Sortie 5 5 7" xfId="7068"/>
    <cellStyle name="Sortie 5 5 8" xfId="8137"/>
    <cellStyle name="Sortie 5 5 9" xfId="8638"/>
    <cellStyle name="Sortie 5 6" xfId="1753"/>
    <cellStyle name="Sortie 5 6 10" xfId="9208"/>
    <cellStyle name="Sortie 5 6 11" xfId="9947"/>
    <cellStyle name="Sortie 5 6 2" xfId="2083"/>
    <cellStyle name="Sortie 5 6 2 10" xfId="10258"/>
    <cellStyle name="Sortie 5 6 2 2" xfId="4998"/>
    <cellStyle name="Sortie 5 6 2 3" xfId="5977"/>
    <cellStyle name="Sortie 5 6 2 4" xfId="6485"/>
    <cellStyle name="Sortie 5 6 2 5" xfId="6972"/>
    <cellStyle name="Sortie 5 6 2 6" xfId="7455"/>
    <cellStyle name="Sortie 5 6 2 7" xfId="8524"/>
    <cellStyle name="Sortie 5 6 2 8" xfId="9025"/>
    <cellStyle name="Sortie 5 6 2 9" xfId="9519"/>
    <cellStyle name="Sortie 5 6 3" xfId="4674"/>
    <cellStyle name="Sortie 5 6 4" xfId="5665"/>
    <cellStyle name="Sortie 5 6 5" xfId="6174"/>
    <cellStyle name="Sortie 5 6 6" xfId="6661"/>
    <cellStyle name="Sortie 5 6 7" xfId="7144"/>
    <cellStyle name="Sortie 5 6 8" xfId="8213"/>
    <cellStyle name="Sortie 5 6 9" xfId="8714"/>
    <cellStyle name="Sortie 5 7" xfId="1769"/>
    <cellStyle name="Sortie 5 7 10" xfId="9962"/>
    <cellStyle name="Sortie 5 7 2" xfId="4690"/>
    <cellStyle name="Sortie 5 7 3" xfId="5680"/>
    <cellStyle name="Sortie 5 7 4" xfId="6189"/>
    <cellStyle name="Sortie 5 7 5" xfId="6676"/>
    <cellStyle name="Sortie 5 7 6" xfId="7159"/>
    <cellStyle name="Sortie 5 7 7" xfId="8228"/>
    <cellStyle name="Sortie 5 7 8" xfId="8729"/>
    <cellStyle name="Sortie 5 7 9" xfId="9223"/>
    <cellStyle name="Sortie 5 8" xfId="1447"/>
    <cellStyle name="Sortie 5 8 10" xfId="9645"/>
    <cellStyle name="Sortie 5 8 2" xfId="4370"/>
    <cellStyle name="Sortie 5 8 3" xfId="5363"/>
    <cellStyle name="Sortie 5 8 4" xfId="3250"/>
    <cellStyle name="Sortie 5 8 5" xfId="5135"/>
    <cellStyle name="Sortie 5 8 6" xfId="6026"/>
    <cellStyle name="Sortie 5 8 7" xfId="7911"/>
    <cellStyle name="Sortie 5 8 8" xfId="7635"/>
    <cellStyle name="Sortie 5 8 9" xfId="7842"/>
    <cellStyle name="Sortie 6" xfId="306"/>
    <cellStyle name="Sortie 6 2" xfId="911"/>
    <cellStyle name="Sortie 6 2 2" xfId="1985"/>
    <cellStyle name="Sortie 6 2 2 10" xfId="10163"/>
    <cellStyle name="Sortie 6 2 2 2" xfId="4903"/>
    <cellStyle name="Sortie 6 2 2 3" xfId="5882"/>
    <cellStyle name="Sortie 6 2 2 4" xfId="6390"/>
    <cellStyle name="Sortie 6 2 2 5" xfId="6877"/>
    <cellStyle name="Sortie 6 2 2 6" xfId="7360"/>
    <cellStyle name="Sortie 6 2 2 7" xfId="8429"/>
    <cellStyle name="Sortie 6 2 2 8" xfId="8930"/>
    <cellStyle name="Sortie 6 2 2 9" xfId="9424"/>
    <cellStyle name="Sortie 6 2 3" xfId="1649"/>
    <cellStyle name="Sortie 6 2 3 10" xfId="9846"/>
    <cellStyle name="Sortie 6 2 3 2" xfId="4572"/>
    <cellStyle name="Sortie 6 2 3 3" xfId="5564"/>
    <cellStyle name="Sortie 6 2 3 4" xfId="6073"/>
    <cellStyle name="Sortie 6 2 3 5" xfId="6560"/>
    <cellStyle name="Sortie 6 2 3 6" xfId="7043"/>
    <cellStyle name="Sortie 6 2 3 7" xfId="8112"/>
    <cellStyle name="Sortie 6 2 3 8" xfId="8613"/>
    <cellStyle name="Sortie 6 2 3 9" xfId="9107"/>
    <cellStyle name="Sortie 6 2 4" xfId="9595"/>
    <cellStyle name="Sortie 6 3" xfId="1626"/>
    <cellStyle name="Sortie 6 3 10" xfId="9084"/>
    <cellStyle name="Sortie 6 3 11" xfId="9823"/>
    <cellStyle name="Sortie 6 3 2" xfId="1964"/>
    <cellStyle name="Sortie 6 3 2 10" xfId="10142"/>
    <cellStyle name="Sortie 6 3 2 2" xfId="4882"/>
    <cellStyle name="Sortie 6 3 2 3" xfId="5861"/>
    <cellStyle name="Sortie 6 3 2 4" xfId="6369"/>
    <cellStyle name="Sortie 6 3 2 5" xfId="6856"/>
    <cellStyle name="Sortie 6 3 2 6" xfId="7339"/>
    <cellStyle name="Sortie 6 3 2 7" xfId="8408"/>
    <cellStyle name="Sortie 6 3 2 8" xfId="8909"/>
    <cellStyle name="Sortie 6 3 2 9" xfId="9403"/>
    <cellStyle name="Sortie 6 3 3" xfId="4549"/>
    <cellStyle name="Sortie 6 3 4" xfId="5541"/>
    <cellStyle name="Sortie 6 3 5" xfId="6050"/>
    <cellStyle name="Sortie 6 3 6" xfId="6537"/>
    <cellStyle name="Sortie 6 3 7" xfId="7020"/>
    <cellStyle name="Sortie 6 3 8" xfId="8089"/>
    <cellStyle name="Sortie 6 3 9" xfId="8590"/>
    <cellStyle name="Sortie 6 4" xfId="1725"/>
    <cellStyle name="Sortie 6 4 10" xfId="9182"/>
    <cellStyle name="Sortie 6 4 11" xfId="9921"/>
    <cellStyle name="Sortie 6 4 2" xfId="2056"/>
    <cellStyle name="Sortie 6 4 2 10" xfId="10233"/>
    <cellStyle name="Sortie 6 4 2 2" xfId="4973"/>
    <cellStyle name="Sortie 6 4 2 3" xfId="5952"/>
    <cellStyle name="Sortie 6 4 2 4" xfId="6460"/>
    <cellStyle name="Sortie 6 4 2 5" xfId="6947"/>
    <cellStyle name="Sortie 6 4 2 6" xfId="7430"/>
    <cellStyle name="Sortie 6 4 2 7" xfId="8499"/>
    <cellStyle name="Sortie 6 4 2 8" xfId="9000"/>
    <cellStyle name="Sortie 6 4 2 9" xfId="9494"/>
    <cellStyle name="Sortie 6 4 3" xfId="4647"/>
    <cellStyle name="Sortie 6 4 4" xfId="5639"/>
    <cellStyle name="Sortie 6 4 5" xfId="6148"/>
    <cellStyle name="Sortie 6 4 6" xfId="6635"/>
    <cellStyle name="Sortie 6 4 7" xfId="7118"/>
    <cellStyle name="Sortie 6 4 8" xfId="8187"/>
    <cellStyle name="Sortie 6 4 9" xfId="8688"/>
    <cellStyle name="Sortie 6 5" xfId="1675"/>
    <cellStyle name="Sortie 6 5 10" xfId="9133"/>
    <cellStyle name="Sortie 6 5 11" xfId="9872"/>
    <cellStyle name="Sortie 6 5 2" xfId="2009"/>
    <cellStyle name="Sortie 6 5 2 10" xfId="10187"/>
    <cellStyle name="Sortie 6 5 2 2" xfId="4927"/>
    <cellStyle name="Sortie 6 5 2 3" xfId="5906"/>
    <cellStyle name="Sortie 6 5 2 4" xfId="6414"/>
    <cellStyle name="Sortie 6 5 2 5" xfId="6901"/>
    <cellStyle name="Sortie 6 5 2 6" xfId="7384"/>
    <cellStyle name="Sortie 6 5 2 7" xfId="8453"/>
    <cellStyle name="Sortie 6 5 2 8" xfId="8954"/>
    <cellStyle name="Sortie 6 5 2 9" xfId="9448"/>
    <cellStyle name="Sortie 6 5 3" xfId="4598"/>
    <cellStyle name="Sortie 6 5 4" xfId="5590"/>
    <cellStyle name="Sortie 6 5 5" xfId="6099"/>
    <cellStyle name="Sortie 6 5 6" xfId="6586"/>
    <cellStyle name="Sortie 6 5 7" xfId="7069"/>
    <cellStyle name="Sortie 6 5 8" xfId="8138"/>
    <cellStyle name="Sortie 6 5 9" xfId="8639"/>
    <cellStyle name="Sortie 6 6" xfId="1792"/>
    <cellStyle name="Sortie 6 6 10" xfId="9243"/>
    <cellStyle name="Sortie 6 6 11" xfId="9982"/>
    <cellStyle name="Sortie 6 6 2" xfId="2112"/>
    <cellStyle name="Sortie 6 6 2 10" xfId="10283"/>
    <cellStyle name="Sortie 6 6 2 2" xfId="5024"/>
    <cellStyle name="Sortie 6 6 2 3" xfId="6003"/>
    <cellStyle name="Sortie 6 6 2 4" xfId="6510"/>
    <cellStyle name="Sortie 6 6 2 5" xfId="6997"/>
    <cellStyle name="Sortie 6 6 2 6" xfId="7480"/>
    <cellStyle name="Sortie 6 6 2 7" xfId="8549"/>
    <cellStyle name="Sortie 6 6 2 8" xfId="9050"/>
    <cellStyle name="Sortie 6 6 2 9" xfId="9544"/>
    <cellStyle name="Sortie 6 6 3" xfId="4711"/>
    <cellStyle name="Sortie 6 6 4" xfId="5700"/>
    <cellStyle name="Sortie 6 6 5" xfId="6209"/>
    <cellStyle name="Sortie 6 6 6" xfId="6696"/>
    <cellStyle name="Sortie 6 6 7" xfId="7179"/>
    <cellStyle name="Sortie 6 6 8" xfId="8248"/>
    <cellStyle name="Sortie 6 6 9" xfId="8749"/>
    <cellStyle name="Sortie 6 7" xfId="1773"/>
    <cellStyle name="Sortie 6 7 10" xfId="9966"/>
    <cellStyle name="Sortie 6 7 2" xfId="4694"/>
    <cellStyle name="Sortie 6 7 3" xfId="5684"/>
    <cellStyle name="Sortie 6 7 4" xfId="6193"/>
    <cellStyle name="Sortie 6 7 5" xfId="6680"/>
    <cellStyle name="Sortie 6 7 6" xfId="7163"/>
    <cellStyle name="Sortie 6 7 7" xfId="8232"/>
    <cellStyle name="Sortie 6 7 8" xfId="8733"/>
    <cellStyle name="Sortie 6 7 9" xfId="9227"/>
    <cellStyle name="Sortie 6 8" xfId="1448"/>
    <cellStyle name="Sortie 6 8 10" xfId="9646"/>
    <cellStyle name="Sortie 6 8 2" xfId="4371"/>
    <cellStyle name="Sortie 6 8 3" xfId="5364"/>
    <cellStyle name="Sortie 6 8 4" xfId="5155"/>
    <cellStyle name="Sortie 6 8 5" xfId="5262"/>
    <cellStyle name="Sortie 6 8 6" xfId="5289"/>
    <cellStyle name="Sortie 6 8 7" xfId="7912"/>
    <cellStyle name="Sortie 6 8 8" xfId="7634"/>
    <cellStyle name="Sortie 6 8 9" xfId="7774"/>
    <cellStyle name="Sortie 7" xfId="307"/>
    <cellStyle name="Sortie 7 2" xfId="912"/>
    <cellStyle name="Sortie 7 2 2" xfId="1986"/>
    <cellStyle name="Sortie 7 2 2 10" xfId="10164"/>
    <cellStyle name="Sortie 7 2 2 2" xfId="4904"/>
    <cellStyle name="Sortie 7 2 2 3" xfId="5883"/>
    <cellStyle name="Sortie 7 2 2 4" xfId="6391"/>
    <cellStyle name="Sortie 7 2 2 5" xfId="6878"/>
    <cellStyle name="Sortie 7 2 2 6" xfId="7361"/>
    <cellStyle name="Sortie 7 2 2 7" xfId="8430"/>
    <cellStyle name="Sortie 7 2 2 8" xfId="8931"/>
    <cellStyle name="Sortie 7 2 2 9" xfId="9425"/>
    <cellStyle name="Sortie 7 2 3" xfId="1650"/>
    <cellStyle name="Sortie 7 2 3 10" xfId="9847"/>
    <cellStyle name="Sortie 7 2 3 2" xfId="4573"/>
    <cellStyle name="Sortie 7 2 3 3" xfId="5565"/>
    <cellStyle name="Sortie 7 2 3 4" xfId="6074"/>
    <cellStyle name="Sortie 7 2 3 5" xfId="6561"/>
    <cellStyle name="Sortie 7 2 3 6" xfId="7044"/>
    <cellStyle name="Sortie 7 2 3 7" xfId="8113"/>
    <cellStyle name="Sortie 7 2 3 8" xfId="8614"/>
    <cellStyle name="Sortie 7 2 3 9" xfId="9108"/>
    <cellStyle name="Sortie 7 2 4" xfId="9596"/>
    <cellStyle name="Sortie 7 3" xfId="1627"/>
    <cellStyle name="Sortie 7 3 10" xfId="9085"/>
    <cellStyle name="Sortie 7 3 11" xfId="9824"/>
    <cellStyle name="Sortie 7 3 2" xfId="1965"/>
    <cellStyle name="Sortie 7 3 2 10" xfId="10143"/>
    <cellStyle name="Sortie 7 3 2 2" xfId="4883"/>
    <cellStyle name="Sortie 7 3 2 3" xfId="5862"/>
    <cellStyle name="Sortie 7 3 2 4" xfId="6370"/>
    <cellStyle name="Sortie 7 3 2 5" xfId="6857"/>
    <cellStyle name="Sortie 7 3 2 6" xfId="7340"/>
    <cellStyle name="Sortie 7 3 2 7" xfId="8409"/>
    <cellStyle name="Sortie 7 3 2 8" xfId="8910"/>
    <cellStyle name="Sortie 7 3 2 9" xfId="9404"/>
    <cellStyle name="Sortie 7 3 3" xfId="4550"/>
    <cellStyle name="Sortie 7 3 4" xfId="5542"/>
    <cellStyle name="Sortie 7 3 5" xfId="6051"/>
    <cellStyle name="Sortie 7 3 6" xfId="6538"/>
    <cellStyle name="Sortie 7 3 7" xfId="7021"/>
    <cellStyle name="Sortie 7 3 8" xfId="8090"/>
    <cellStyle name="Sortie 7 3 9" xfId="8591"/>
    <cellStyle name="Sortie 7 4" xfId="1726"/>
    <cellStyle name="Sortie 7 4 10" xfId="9183"/>
    <cellStyle name="Sortie 7 4 11" xfId="9922"/>
    <cellStyle name="Sortie 7 4 2" xfId="2057"/>
    <cellStyle name="Sortie 7 4 2 10" xfId="10234"/>
    <cellStyle name="Sortie 7 4 2 2" xfId="4974"/>
    <cellStyle name="Sortie 7 4 2 3" xfId="5953"/>
    <cellStyle name="Sortie 7 4 2 4" xfId="6461"/>
    <cellStyle name="Sortie 7 4 2 5" xfId="6948"/>
    <cellStyle name="Sortie 7 4 2 6" xfId="7431"/>
    <cellStyle name="Sortie 7 4 2 7" xfId="8500"/>
    <cellStyle name="Sortie 7 4 2 8" xfId="9001"/>
    <cellStyle name="Sortie 7 4 2 9" xfId="9495"/>
    <cellStyle name="Sortie 7 4 3" xfId="4648"/>
    <cellStyle name="Sortie 7 4 4" xfId="5640"/>
    <cellStyle name="Sortie 7 4 5" xfId="6149"/>
    <cellStyle name="Sortie 7 4 6" xfId="6636"/>
    <cellStyle name="Sortie 7 4 7" xfId="7119"/>
    <cellStyle name="Sortie 7 4 8" xfId="8188"/>
    <cellStyle name="Sortie 7 4 9" xfId="8689"/>
    <cellStyle name="Sortie 7 5" xfId="1676"/>
    <cellStyle name="Sortie 7 5 10" xfId="9134"/>
    <cellStyle name="Sortie 7 5 11" xfId="9873"/>
    <cellStyle name="Sortie 7 5 2" xfId="2010"/>
    <cellStyle name="Sortie 7 5 2 10" xfId="10188"/>
    <cellStyle name="Sortie 7 5 2 2" xfId="4928"/>
    <cellStyle name="Sortie 7 5 2 3" xfId="5907"/>
    <cellStyle name="Sortie 7 5 2 4" xfId="6415"/>
    <cellStyle name="Sortie 7 5 2 5" xfId="6902"/>
    <cellStyle name="Sortie 7 5 2 6" xfId="7385"/>
    <cellStyle name="Sortie 7 5 2 7" xfId="8454"/>
    <cellStyle name="Sortie 7 5 2 8" xfId="8955"/>
    <cellStyle name="Sortie 7 5 2 9" xfId="9449"/>
    <cellStyle name="Sortie 7 5 3" xfId="4599"/>
    <cellStyle name="Sortie 7 5 4" xfId="5591"/>
    <cellStyle name="Sortie 7 5 5" xfId="6100"/>
    <cellStyle name="Sortie 7 5 6" xfId="6587"/>
    <cellStyle name="Sortie 7 5 7" xfId="7070"/>
    <cellStyle name="Sortie 7 5 8" xfId="8139"/>
    <cellStyle name="Sortie 7 5 9" xfId="8640"/>
    <cellStyle name="Sortie 7 6" xfId="1793"/>
    <cellStyle name="Sortie 7 6 10" xfId="9244"/>
    <cellStyle name="Sortie 7 6 11" xfId="9983"/>
    <cellStyle name="Sortie 7 6 2" xfId="2113"/>
    <cellStyle name="Sortie 7 6 2 10" xfId="10284"/>
    <cellStyle name="Sortie 7 6 2 2" xfId="5025"/>
    <cellStyle name="Sortie 7 6 2 3" xfId="6004"/>
    <cellStyle name="Sortie 7 6 2 4" xfId="6511"/>
    <cellStyle name="Sortie 7 6 2 5" xfId="6998"/>
    <cellStyle name="Sortie 7 6 2 6" xfId="7481"/>
    <cellStyle name="Sortie 7 6 2 7" xfId="8550"/>
    <cellStyle name="Sortie 7 6 2 8" xfId="9051"/>
    <cellStyle name="Sortie 7 6 2 9" xfId="9545"/>
    <cellStyle name="Sortie 7 6 3" xfId="4712"/>
    <cellStyle name="Sortie 7 6 4" xfId="5701"/>
    <cellStyle name="Sortie 7 6 5" xfId="6210"/>
    <cellStyle name="Sortie 7 6 6" xfId="6697"/>
    <cellStyle name="Sortie 7 6 7" xfId="7180"/>
    <cellStyle name="Sortie 7 6 8" xfId="8249"/>
    <cellStyle name="Sortie 7 6 9" xfId="8750"/>
    <cellStyle name="Sortie 7 7" xfId="1778"/>
    <cellStyle name="Sortie 7 7 10" xfId="9971"/>
    <cellStyle name="Sortie 7 7 2" xfId="4699"/>
    <cellStyle name="Sortie 7 7 3" xfId="5689"/>
    <cellStyle name="Sortie 7 7 4" xfId="6198"/>
    <cellStyle name="Sortie 7 7 5" xfId="6685"/>
    <cellStyle name="Sortie 7 7 6" xfId="7168"/>
    <cellStyle name="Sortie 7 7 7" xfId="8237"/>
    <cellStyle name="Sortie 7 7 8" xfId="8738"/>
    <cellStyle name="Sortie 7 7 9" xfId="9232"/>
    <cellStyle name="Sortie 7 8" xfId="1449"/>
    <cellStyle name="Sortie 7 8 10" xfId="9647"/>
    <cellStyle name="Sortie 7 8 2" xfId="4372"/>
    <cellStyle name="Sortie 7 8 3" xfId="5365"/>
    <cellStyle name="Sortie 7 8 4" xfId="3351"/>
    <cellStyle name="Sortie 7 8 5" xfId="5299"/>
    <cellStyle name="Sortie 7 8 6" xfId="3191"/>
    <cellStyle name="Sortie 7 8 7" xfId="7913"/>
    <cellStyle name="Sortie 7 8 8" xfId="7633"/>
    <cellStyle name="Sortie 7 8 9" xfId="7852"/>
    <cellStyle name="Standard 2" xfId="38218"/>
    <cellStyle name="Standard 2 2" xfId="38219"/>
    <cellStyle name="Standard 3" xfId="39209"/>
    <cellStyle name="Standard 56" xfId="38220"/>
    <cellStyle name="Standard 59" xfId="38221"/>
    <cellStyle name="Standard 8" xfId="39210"/>
    <cellStyle name="Standard_A350 NRC FCIII vs FCII matrix_v3" xfId="39211"/>
    <cellStyle name="Style 1" xfId="308"/>
    <cellStyle name="Style 1 2" xfId="309"/>
    <cellStyle name="Style 1 3" xfId="38239"/>
    <cellStyle name="StyleJour" xfId="310"/>
    <cellStyle name="styleTitreHorizontal" xfId="311"/>
    <cellStyle name="styleTitreVertical" xfId="312"/>
    <cellStyle name="SubTotal" xfId="39212"/>
    <cellStyle name="Texte explicatif 2" xfId="313"/>
    <cellStyle name="Texte explicatif 3" xfId="314"/>
    <cellStyle name="Texte explicatif 4" xfId="315"/>
    <cellStyle name="Texte explicatif 5" xfId="316"/>
    <cellStyle name="Texte explicatif 6" xfId="317"/>
    <cellStyle name="Texte explicatif 7" xfId="318"/>
    <cellStyle name="Title 2" xfId="39213"/>
    <cellStyle name="Titre 1" xfId="398"/>
    <cellStyle name="Titre 10p non encadre" xfId="319"/>
    <cellStyle name="Titre 2" xfId="320"/>
    <cellStyle name="Titre 2 2" xfId="321"/>
    <cellStyle name="Titre 3" xfId="322"/>
    <cellStyle name="Titre 4" xfId="323"/>
    <cellStyle name="Titre 5" xfId="324"/>
    <cellStyle name="Titre 6" xfId="325"/>
    <cellStyle name="Titre 7" xfId="326"/>
    <cellStyle name="Titre 1 2" xfId="327"/>
    <cellStyle name="Titre 1 3" xfId="328"/>
    <cellStyle name="Titre 1 4" xfId="329"/>
    <cellStyle name="Titre 1 5" xfId="330"/>
    <cellStyle name="Titre 1 6" xfId="331"/>
    <cellStyle name="Titre 1 7" xfId="332"/>
    <cellStyle name="Titre 2 2" xfId="333"/>
    <cellStyle name="Titre 2 3" xfId="334"/>
    <cellStyle name="Titre 2 4" xfId="335"/>
    <cellStyle name="Titre 2 5" xfId="336"/>
    <cellStyle name="Titre 2 6" xfId="337"/>
    <cellStyle name="Titre 2 7" xfId="338"/>
    <cellStyle name="Titre 3 2" xfId="339"/>
    <cellStyle name="Titre 3 3" xfId="340"/>
    <cellStyle name="Titre 3 4" xfId="341"/>
    <cellStyle name="Titre 3 5" xfId="342"/>
    <cellStyle name="Titre 3 6" xfId="343"/>
    <cellStyle name="Titre 3 7" xfId="344"/>
    <cellStyle name="Titre 4 2" xfId="345"/>
    <cellStyle name="Titre 4 3" xfId="346"/>
    <cellStyle name="Titre 4 4" xfId="347"/>
    <cellStyle name="Titre 4 5" xfId="348"/>
    <cellStyle name="Titre 4 6" xfId="349"/>
    <cellStyle name="Titre 4 7" xfId="350"/>
    <cellStyle name="TitreSérie" xfId="351"/>
    <cellStyle name="Total 2" xfId="352"/>
    <cellStyle name="Total 2 2" xfId="913"/>
    <cellStyle name="Total 2 2 2" xfId="2023"/>
    <cellStyle name="Total 2 2 2 10" xfId="10201"/>
    <cellStyle name="Total 2 2 2 2" xfId="4941"/>
    <cellStyle name="Total 2 2 2 3" xfId="5920"/>
    <cellStyle name="Total 2 2 2 4" xfId="6428"/>
    <cellStyle name="Total 2 2 2 5" xfId="6915"/>
    <cellStyle name="Total 2 2 2 6" xfId="7398"/>
    <cellStyle name="Total 2 2 2 7" xfId="8467"/>
    <cellStyle name="Total 2 2 2 8" xfId="8968"/>
    <cellStyle name="Total 2 2 2 9" xfId="9462"/>
    <cellStyle name="Total 2 2 3" xfId="1690"/>
    <cellStyle name="Total 2 2 3 10" xfId="9887"/>
    <cellStyle name="Total 2 2 3 2" xfId="4613"/>
    <cellStyle name="Total 2 2 3 3" xfId="5605"/>
    <cellStyle name="Total 2 2 3 4" xfId="6114"/>
    <cellStyle name="Total 2 2 3 5" xfId="6601"/>
    <cellStyle name="Total 2 2 3 6" xfId="7084"/>
    <cellStyle name="Total 2 2 3 7" xfId="8153"/>
    <cellStyle name="Total 2 2 3 8" xfId="8654"/>
    <cellStyle name="Total 2 2 3 9" xfId="9148"/>
    <cellStyle name="Total 2 2 4" xfId="9597"/>
    <cellStyle name="Total 2 3" xfId="1682"/>
    <cellStyle name="Total 2 3 10" xfId="9140"/>
    <cellStyle name="Total 2 3 11" xfId="9879"/>
    <cellStyle name="Total 2 3 2" xfId="2016"/>
    <cellStyle name="Total 2 3 2 10" xfId="10194"/>
    <cellStyle name="Total 2 3 2 2" xfId="4934"/>
    <cellStyle name="Total 2 3 2 3" xfId="5913"/>
    <cellStyle name="Total 2 3 2 4" xfId="6421"/>
    <cellStyle name="Total 2 3 2 5" xfId="6908"/>
    <cellStyle name="Total 2 3 2 6" xfId="7391"/>
    <cellStyle name="Total 2 3 2 7" xfId="8460"/>
    <cellStyle name="Total 2 3 2 8" xfId="8961"/>
    <cellStyle name="Total 2 3 2 9" xfId="9455"/>
    <cellStyle name="Total 2 3 3" xfId="4605"/>
    <cellStyle name="Total 2 3 4" xfId="5597"/>
    <cellStyle name="Total 2 3 5" xfId="6106"/>
    <cellStyle name="Total 2 3 6" xfId="6593"/>
    <cellStyle name="Total 2 3 7" xfId="7076"/>
    <cellStyle name="Total 2 3 8" xfId="8145"/>
    <cellStyle name="Total 2 3 9" xfId="8646"/>
    <cellStyle name="Total 2 4" xfId="1755"/>
    <cellStyle name="Total 2 4 10" xfId="9210"/>
    <cellStyle name="Total 2 4 11" xfId="9949"/>
    <cellStyle name="Total 2 4 2" xfId="2084"/>
    <cellStyle name="Total 2 4 2 10" xfId="10259"/>
    <cellStyle name="Total 2 4 2 2" xfId="4999"/>
    <cellStyle name="Total 2 4 2 3" xfId="5978"/>
    <cellStyle name="Total 2 4 2 4" xfId="6486"/>
    <cellStyle name="Total 2 4 2 5" xfId="6973"/>
    <cellStyle name="Total 2 4 2 6" xfId="7456"/>
    <cellStyle name="Total 2 4 2 7" xfId="8525"/>
    <cellStyle name="Total 2 4 2 8" xfId="9026"/>
    <cellStyle name="Total 2 4 2 9" xfId="9520"/>
    <cellStyle name="Total 2 4 3" xfId="4676"/>
    <cellStyle name="Total 2 4 4" xfId="5667"/>
    <cellStyle name="Total 2 4 5" xfId="6176"/>
    <cellStyle name="Total 2 4 6" xfId="6663"/>
    <cellStyle name="Total 2 4 7" xfId="7146"/>
    <cellStyle name="Total 2 4 8" xfId="8215"/>
    <cellStyle name="Total 2 4 9" xfId="8716"/>
    <cellStyle name="Total 2 5" xfId="1780"/>
    <cellStyle name="Total 2 5 10" xfId="9233"/>
    <cellStyle name="Total 2 5 11" xfId="9972"/>
    <cellStyle name="Total 2 5 2" xfId="2101"/>
    <cellStyle name="Total 2 5 2 10" xfId="10274"/>
    <cellStyle name="Total 2 5 2 2" xfId="5014"/>
    <cellStyle name="Total 2 5 2 3" xfId="5993"/>
    <cellStyle name="Total 2 5 2 4" xfId="6501"/>
    <cellStyle name="Total 2 5 2 5" xfId="6988"/>
    <cellStyle name="Total 2 5 2 6" xfId="7471"/>
    <cellStyle name="Total 2 5 2 7" xfId="8540"/>
    <cellStyle name="Total 2 5 2 8" xfId="9041"/>
    <cellStyle name="Total 2 5 2 9" xfId="9535"/>
    <cellStyle name="Total 2 5 3" xfId="4700"/>
    <cellStyle name="Total 2 5 4" xfId="5690"/>
    <cellStyle name="Total 2 5 5" xfId="6199"/>
    <cellStyle name="Total 2 5 6" xfId="6686"/>
    <cellStyle name="Total 2 5 7" xfId="7169"/>
    <cellStyle name="Total 2 5 8" xfId="8238"/>
    <cellStyle name="Total 2 5 9" xfId="8739"/>
    <cellStyle name="Total 2 6" xfId="1794"/>
    <cellStyle name="Total 2 6 10" xfId="9245"/>
    <cellStyle name="Total 2 6 11" xfId="9984"/>
    <cellStyle name="Total 2 6 2" xfId="2114"/>
    <cellStyle name="Total 2 6 2 10" xfId="10285"/>
    <cellStyle name="Total 2 6 2 2" xfId="5026"/>
    <cellStyle name="Total 2 6 2 3" xfId="6005"/>
    <cellStyle name="Total 2 6 2 4" xfId="6512"/>
    <cellStyle name="Total 2 6 2 5" xfId="6999"/>
    <cellStyle name="Total 2 6 2 6" xfId="7482"/>
    <cellStyle name="Total 2 6 2 7" xfId="8551"/>
    <cellStyle name="Total 2 6 2 8" xfId="9052"/>
    <cellStyle name="Total 2 6 2 9" xfId="9546"/>
    <cellStyle name="Total 2 6 3" xfId="4713"/>
    <cellStyle name="Total 2 6 4" xfId="5702"/>
    <cellStyle name="Total 2 6 5" xfId="6211"/>
    <cellStyle name="Total 2 6 6" xfId="6698"/>
    <cellStyle name="Total 2 6 7" xfId="7181"/>
    <cellStyle name="Total 2 6 8" xfId="8250"/>
    <cellStyle name="Total 2 6 9" xfId="8751"/>
    <cellStyle name="Total 2 7" xfId="1805"/>
    <cellStyle name="Total 2 7 10" xfId="9991"/>
    <cellStyle name="Total 2 7 2" xfId="4724"/>
    <cellStyle name="Total 2 7 3" xfId="5709"/>
    <cellStyle name="Total 2 7 4" xfId="6218"/>
    <cellStyle name="Total 2 7 5" xfId="6705"/>
    <cellStyle name="Total 2 7 6" xfId="7188"/>
    <cellStyle name="Total 2 7 7" xfId="8257"/>
    <cellStyle name="Total 2 7 8" xfId="8758"/>
    <cellStyle name="Total 2 7 9" xfId="9252"/>
    <cellStyle name="Total 2 8" xfId="1450"/>
    <cellStyle name="Total 2 8 10" xfId="9648"/>
    <cellStyle name="Total 2 8 2" xfId="4373"/>
    <cellStyle name="Total 2 8 3" xfId="5366"/>
    <cellStyle name="Total 2 8 4" xfId="3360"/>
    <cellStyle name="Total 2 8 5" xfId="3192"/>
    <cellStyle name="Total 2 8 6" xfId="6019"/>
    <cellStyle name="Total 2 8 7" xfId="7914"/>
    <cellStyle name="Total 2 8 8" xfId="7632"/>
    <cellStyle name="Total 2 8 9" xfId="7832"/>
    <cellStyle name="Total 2 9" xfId="39214"/>
    <cellStyle name="Total 3" xfId="353"/>
    <cellStyle name="Total 3 2" xfId="914"/>
    <cellStyle name="Total 3 2 2" xfId="2024"/>
    <cellStyle name="Total 3 2 2 10" xfId="10202"/>
    <cellStyle name="Total 3 2 2 2" xfId="4942"/>
    <cellStyle name="Total 3 2 2 3" xfId="5921"/>
    <cellStyle name="Total 3 2 2 4" xfId="6429"/>
    <cellStyle name="Total 3 2 2 5" xfId="6916"/>
    <cellStyle name="Total 3 2 2 6" xfId="7399"/>
    <cellStyle name="Total 3 2 2 7" xfId="8468"/>
    <cellStyle name="Total 3 2 2 8" xfId="8969"/>
    <cellStyle name="Total 3 2 2 9" xfId="9463"/>
    <cellStyle name="Total 3 2 3" xfId="1691"/>
    <cellStyle name="Total 3 2 3 10" xfId="9888"/>
    <cellStyle name="Total 3 2 3 2" xfId="4614"/>
    <cellStyle name="Total 3 2 3 3" xfId="5606"/>
    <cellStyle name="Total 3 2 3 4" xfId="6115"/>
    <cellStyle name="Total 3 2 3 5" xfId="6602"/>
    <cellStyle name="Total 3 2 3 6" xfId="7085"/>
    <cellStyle name="Total 3 2 3 7" xfId="8154"/>
    <cellStyle name="Total 3 2 3 8" xfId="8655"/>
    <cellStyle name="Total 3 2 3 9" xfId="9149"/>
    <cellStyle name="Total 3 2 4" xfId="9598"/>
    <cellStyle name="Total 3 3" xfId="1683"/>
    <cellStyle name="Total 3 3 10" xfId="9141"/>
    <cellStyle name="Total 3 3 11" xfId="9880"/>
    <cellStyle name="Total 3 3 2" xfId="2017"/>
    <cellStyle name="Total 3 3 2 10" xfId="10195"/>
    <cellStyle name="Total 3 3 2 2" xfId="4935"/>
    <cellStyle name="Total 3 3 2 3" xfId="5914"/>
    <cellStyle name="Total 3 3 2 4" xfId="6422"/>
    <cellStyle name="Total 3 3 2 5" xfId="6909"/>
    <cellStyle name="Total 3 3 2 6" xfId="7392"/>
    <cellStyle name="Total 3 3 2 7" xfId="8461"/>
    <cellStyle name="Total 3 3 2 8" xfId="8962"/>
    <cellStyle name="Total 3 3 2 9" xfId="9456"/>
    <cellStyle name="Total 3 3 3" xfId="4606"/>
    <cellStyle name="Total 3 3 4" xfId="5598"/>
    <cellStyle name="Total 3 3 5" xfId="6107"/>
    <cellStyle name="Total 3 3 6" xfId="6594"/>
    <cellStyle name="Total 3 3 7" xfId="7077"/>
    <cellStyle name="Total 3 3 8" xfId="8146"/>
    <cellStyle name="Total 3 3 9" xfId="8647"/>
    <cellStyle name="Total 3 4" xfId="1756"/>
    <cellStyle name="Total 3 4 10" xfId="9211"/>
    <cellStyle name="Total 3 4 11" xfId="9950"/>
    <cellStyle name="Total 3 4 2" xfId="2085"/>
    <cellStyle name="Total 3 4 2 10" xfId="10260"/>
    <cellStyle name="Total 3 4 2 2" xfId="5000"/>
    <cellStyle name="Total 3 4 2 3" xfId="5979"/>
    <cellStyle name="Total 3 4 2 4" xfId="6487"/>
    <cellStyle name="Total 3 4 2 5" xfId="6974"/>
    <cellStyle name="Total 3 4 2 6" xfId="7457"/>
    <cellStyle name="Total 3 4 2 7" xfId="8526"/>
    <cellStyle name="Total 3 4 2 8" xfId="9027"/>
    <cellStyle name="Total 3 4 2 9" xfId="9521"/>
    <cellStyle name="Total 3 4 3" xfId="4677"/>
    <cellStyle name="Total 3 4 4" xfId="5668"/>
    <cellStyle name="Total 3 4 5" xfId="6177"/>
    <cellStyle name="Total 3 4 6" xfId="6664"/>
    <cellStyle name="Total 3 4 7" xfId="7147"/>
    <cellStyle name="Total 3 4 8" xfId="8216"/>
    <cellStyle name="Total 3 4 9" xfId="8717"/>
    <cellStyle name="Total 3 5" xfId="1781"/>
    <cellStyle name="Total 3 5 10" xfId="9234"/>
    <cellStyle name="Total 3 5 11" xfId="9973"/>
    <cellStyle name="Total 3 5 2" xfId="2102"/>
    <cellStyle name="Total 3 5 2 10" xfId="10275"/>
    <cellStyle name="Total 3 5 2 2" xfId="5015"/>
    <cellStyle name="Total 3 5 2 3" xfId="5994"/>
    <cellStyle name="Total 3 5 2 4" xfId="6502"/>
    <cellStyle name="Total 3 5 2 5" xfId="6989"/>
    <cellStyle name="Total 3 5 2 6" xfId="7472"/>
    <cellStyle name="Total 3 5 2 7" xfId="8541"/>
    <cellStyle name="Total 3 5 2 8" xfId="9042"/>
    <cellStyle name="Total 3 5 2 9" xfId="9536"/>
    <cellStyle name="Total 3 5 3" xfId="4701"/>
    <cellStyle name="Total 3 5 4" xfId="5691"/>
    <cellStyle name="Total 3 5 5" xfId="6200"/>
    <cellStyle name="Total 3 5 6" xfId="6687"/>
    <cellStyle name="Total 3 5 7" xfId="7170"/>
    <cellStyle name="Total 3 5 8" xfId="8239"/>
    <cellStyle name="Total 3 5 9" xfId="8740"/>
    <cellStyle name="Total 3 6" xfId="1795"/>
    <cellStyle name="Total 3 6 10" xfId="9246"/>
    <cellStyle name="Total 3 6 11" xfId="9985"/>
    <cellStyle name="Total 3 6 2" xfId="2115"/>
    <cellStyle name="Total 3 6 2 10" xfId="10286"/>
    <cellStyle name="Total 3 6 2 2" xfId="5027"/>
    <cellStyle name="Total 3 6 2 3" xfId="6006"/>
    <cellStyle name="Total 3 6 2 4" xfId="6513"/>
    <cellStyle name="Total 3 6 2 5" xfId="7000"/>
    <cellStyle name="Total 3 6 2 6" xfId="7483"/>
    <cellStyle name="Total 3 6 2 7" xfId="8552"/>
    <cellStyle name="Total 3 6 2 8" xfId="9053"/>
    <cellStyle name="Total 3 6 2 9" xfId="9547"/>
    <cellStyle name="Total 3 6 3" xfId="4714"/>
    <cellStyle name="Total 3 6 4" xfId="5703"/>
    <cellStyle name="Total 3 6 5" xfId="6212"/>
    <cellStyle name="Total 3 6 6" xfId="6699"/>
    <cellStyle name="Total 3 6 7" xfId="7182"/>
    <cellStyle name="Total 3 6 8" xfId="8251"/>
    <cellStyle name="Total 3 6 9" xfId="8752"/>
    <cellStyle name="Total 3 7" xfId="1806"/>
    <cellStyle name="Total 3 7 10" xfId="9992"/>
    <cellStyle name="Total 3 7 2" xfId="4725"/>
    <cellStyle name="Total 3 7 3" xfId="5710"/>
    <cellStyle name="Total 3 7 4" xfId="6219"/>
    <cellStyle name="Total 3 7 5" xfId="6706"/>
    <cellStyle name="Total 3 7 6" xfId="7189"/>
    <cellStyle name="Total 3 7 7" xfId="8258"/>
    <cellStyle name="Total 3 7 8" xfId="8759"/>
    <cellStyle name="Total 3 7 9" xfId="9253"/>
    <cellStyle name="Total 3 8" xfId="1451"/>
    <cellStyle name="Total 3 8 10" xfId="9649"/>
    <cellStyle name="Total 3 8 2" xfId="4374"/>
    <cellStyle name="Total 3 8 3" xfId="5367"/>
    <cellStyle name="Total 3 8 4" xfId="5059"/>
    <cellStyle name="Total 3 8 5" xfId="5281"/>
    <cellStyle name="Total 3 8 6" xfId="5150"/>
    <cellStyle name="Total 3 8 7" xfId="7915"/>
    <cellStyle name="Total 3 8 8" xfId="7631"/>
    <cellStyle name="Total 3 8 9" xfId="7762"/>
    <cellStyle name="Total 4" xfId="354"/>
    <cellStyle name="Total 4 2" xfId="915"/>
    <cellStyle name="Total 4 2 2" xfId="2025"/>
    <cellStyle name="Total 4 2 2 10" xfId="10203"/>
    <cellStyle name="Total 4 2 2 2" xfId="4943"/>
    <cellStyle name="Total 4 2 2 3" xfId="5922"/>
    <cellStyle name="Total 4 2 2 4" xfId="6430"/>
    <cellStyle name="Total 4 2 2 5" xfId="6917"/>
    <cellStyle name="Total 4 2 2 6" xfId="7400"/>
    <cellStyle name="Total 4 2 2 7" xfId="8469"/>
    <cellStyle name="Total 4 2 2 8" xfId="8970"/>
    <cellStyle name="Total 4 2 2 9" xfId="9464"/>
    <cellStyle name="Total 4 2 3" xfId="1692"/>
    <cellStyle name="Total 4 2 3 10" xfId="9889"/>
    <cellStyle name="Total 4 2 3 2" xfId="4615"/>
    <cellStyle name="Total 4 2 3 3" xfId="5607"/>
    <cellStyle name="Total 4 2 3 4" xfId="6116"/>
    <cellStyle name="Total 4 2 3 5" xfId="6603"/>
    <cellStyle name="Total 4 2 3 6" xfId="7086"/>
    <cellStyle name="Total 4 2 3 7" xfId="8155"/>
    <cellStyle name="Total 4 2 3 8" xfId="8656"/>
    <cellStyle name="Total 4 2 3 9" xfId="9150"/>
    <cellStyle name="Total 4 2 4" xfId="9599"/>
    <cellStyle name="Total 4 3" xfId="1684"/>
    <cellStyle name="Total 4 3 10" xfId="9142"/>
    <cellStyle name="Total 4 3 11" xfId="9881"/>
    <cellStyle name="Total 4 3 2" xfId="2018"/>
    <cellStyle name="Total 4 3 2 10" xfId="10196"/>
    <cellStyle name="Total 4 3 2 2" xfId="4936"/>
    <cellStyle name="Total 4 3 2 3" xfId="5915"/>
    <cellStyle name="Total 4 3 2 4" xfId="6423"/>
    <cellStyle name="Total 4 3 2 5" xfId="6910"/>
    <cellStyle name="Total 4 3 2 6" xfId="7393"/>
    <cellStyle name="Total 4 3 2 7" xfId="8462"/>
    <cellStyle name="Total 4 3 2 8" xfId="8963"/>
    <cellStyle name="Total 4 3 2 9" xfId="9457"/>
    <cellStyle name="Total 4 3 3" xfId="4607"/>
    <cellStyle name="Total 4 3 4" xfId="5599"/>
    <cellStyle name="Total 4 3 5" xfId="6108"/>
    <cellStyle name="Total 4 3 6" xfId="6595"/>
    <cellStyle name="Total 4 3 7" xfId="7078"/>
    <cellStyle name="Total 4 3 8" xfId="8147"/>
    <cellStyle name="Total 4 3 9" xfId="8648"/>
    <cellStyle name="Total 4 4" xfId="1757"/>
    <cellStyle name="Total 4 4 10" xfId="9212"/>
    <cellStyle name="Total 4 4 11" xfId="9951"/>
    <cellStyle name="Total 4 4 2" xfId="2086"/>
    <cellStyle name="Total 4 4 2 10" xfId="10261"/>
    <cellStyle name="Total 4 4 2 2" xfId="5001"/>
    <cellStyle name="Total 4 4 2 3" xfId="5980"/>
    <cellStyle name="Total 4 4 2 4" xfId="6488"/>
    <cellStyle name="Total 4 4 2 5" xfId="6975"/>
    <cellStyle name="Total 4 4 2 6" xfId="7458"/>
    <cellStyle name="Total 4 4 2 7" xfId="8527"/>
    <cellStyle name="Total 4 4 2 8" xfId="9028"/>
    <cellStyle name="Total 4 4 2 9" xfId="9522"/>
    <cellStyle name="Total 4 4 3" xfId="4678"/>
    <cellStyle name="Total 4 4 4" xfId="5669"/>
    <cellStyle name="Total 4 4 5" xfId="6178"/>
    <cellStyle name="Total 4 4 6" xfId="6665"/>
    <cellStyle name="Total 4 4 7" xfId="7148"/>
    <cellStyle name="Total 4 4 8" xfId="8217"/>
    <cellStyle name="Total 4 4 9" xfId="8718"/>
    <cellStyle name="Total 4 5" xfId="1782"/>
    <cellStyle name="Total 4 5 10" xfId="9235"/>
    <cellStyle name="Total 4 5 11" xfId="9974"/>
    <cellStyle name="Total 4 5 2" xfId="2103"/>
    <cellStyle name="Total 4 5 2 10" xfId="10276"/>
    <cellStyle name="Total 4 5 2 2" xfId="5016"/>
    <cellStyle name="Total 4 5 2 3" xfId="5995"/>
    <cellStyle name="Total 4 5 2 4" xfId="6503"/>
    <cellStyle name="Total 4 5 2 5" xfId="6990"/>
    <cellStyle name="Total 4 5 2 6" xfId="7473"/>
    <cellStyle name="Total 4 5 2 7" xfId="8542"/>
    <cellStyle name="Total 4 5 2 8" xfId="9043"/>
    <cellStyle name="Total 4 5 2 9" xfId="9537"/>
    <cellStyle name="Total 4 5 3" xfId="4702"/>
    <cellStyle name="Total 4 5 4" xfId="5692"/>
    <cellStyle name="Total 4 5 5" xfId="6201"/>
    <cellStyle name="Total 4 5 6" xfId="6688"/>
    <cellStyle name="Total 4 5 7" xfId="7171"/>
    <cellStyle name="Total 4 5 8" xfId="8240"/>
    <cellStyle name="Total 4 5 9" xfId="8741"/>
    <cellStyle name="Total 4 6" xfId="1796"/>
    <cellStyle name="Total 4 6 10" xfId="9247"/>
    <cellStyle name="Total 4 6 11" xfId="9986"/>
    <cellStyle name="Total 4 6 2" xfId="2116"/>
    <cellStyle name="Total 4 6 2 10" xfId="10287"/>
    <cellStyle name="Total 4 6 2 2" xfId="5028"/>
    <cellStyle name="Total 4 6 2 3" xfId="6007"/>
    <cellStyle name="Total 4 6 2 4" xfId="6514"/>
    <cellStyle name="Total 4 6 2 5" xfId="7001"/>
    <cellStyle name="Total 4 6 2 6" xfId="7484"/>
    <cellStyle name="Total 4 6 2 7" xfId="8553"/>
    <cellStyle name="Total 4 6 2 8" xfId="9054"/>
    <cellStyle name="Total 4 6 2 9" xfId="9548"/>
    <cellStyle name="Total 4 6 3" xfId="4715"/>
    <cellStyle name="Total 4 6 4" xfId="5704"/>
    <cellStyle name="Total 4 6 5" xfId="6213"/>
    <cellStyle name="Total 4 6 6" xfId="6700"/>
    <cellStyle name="Total 4 6 7" xfId="7183"/>
    <cellStyle name="Total 4 6 8" xfId="8252"/>
    <cellStyle name="Total 4 6 9" xfId="8753"/>
    <cellStyle name="Total 4 7" xfId="1807"/>
    <cellStyle name="Total 4 7 10" xfId="9993"/>
    <cellStyle name="Total 4 7 2" xfId="4726"/>
    <cellStyle name="Total 4 7 3" xfId="5711"/>
    <cellStyle name="Total 4 7 4" xfId="6220"/>
    <cellStyle name="Total 4 7 5" xfId="6707"/>
    <cellStyle name="Total 4 7 6" xfId="7190"/>
    <cellStyle name="Total 4 7 7" xfId="8259"/>
    <cellStyle name="Total 4 7 8" xfId="8760"/>
    <cellStyle name="Total 4 7 9" xfId="9254"/>
    <cellStyle name="Total 4 8" xfId="1452"/>
    <cellStyle name="Total 4 8 10" xfId="9650"/>
    <cellStyle name="Total 4 8 2" xfId="4375"/>
    <cellStyle name="Total 4 8 3" xfId="5368"/>
    <cellStyle name="Total 4 8 4" xfId="5110"/>
    <cellStyle name="Total 4 8 5" xfId="5200"/>
    <cellStyle name="Total 4 8 6" xfId="5219"/>
    <cellStyle name="Total 4 8 7" xfId="7916"/>
    <cellStyle name="Total 4 8 8" xfId="7630"/>
    <cellStyle name="Total 4 8 9" xfId="7837"/>
    <cellStyle name="Total 5" xfId="355"/>
    <cellStyle name="Total 5 2" xfId="916"/>
    <cellStyle name="Total 5 2 2" xfId="2026"/>
    <cellStyle name="Total 5 2 2 10" xfId="10204"/>
    <cellStyle name="Total 5 2 2 2" xfId="4944"/>
    <cellStyle name="Total 5 2 2 3" xfId="5923"/>
    <cellStyle name="Total 5 2 2 4" xfId="6431"/>
    <cellStyle name="Total 5 2 2 5" xfId="6918"/>
    <cellStyle name="Total 5 2 2 6" xfId="7401"/>
    <cellStyle name="Total 5 2 2 7" xfId="8470"/>
    <cellStyle name="Total 5 2 2 8" xfId="8971"/>
    <cellStyle name="Total 5 2 2 9" xfId="9465"/>
    <cellStyle name="Total 5 2 3" xfId="1693"/>
    <cellStyle name="Total 5 2 3 10" xfId="9890"/>
    <cellStyle name="Total 5 2 3 2" xfId="4616"/>
    <cellStyle name="Total 5 2 3 3" xfId="5608"/>
    <cellStyle name="Total 5 2 3 4" xfId="6117"/>
    <cellStyle name="Total 5 2 3 5" xfId="6604"/>
    <cellStyle name="Total 5 2 3 6" xfId="7087"/>
    <cellStyle name="Total 5 2 3 7" xfId="8156"/>
    <cellStyle name="Total 5 2 3 8" xfId="8657"/>
    <cellStyle name="Total 5 2 3 9" xfId="9151"/>
    <cellStyle name="Total 5 2 4" xfId="9600"/>
    <cellStyle name="Total 5 3" xfId="1685"/>
    <cellStyle name="Total 5 3 10" xfId="9143"/>
    <cellStyle name="Total 5 3 11" xfId="9882"/>
    <cellStyle name="Total 5 3 2" xfId="2019"/>
    <cellStyle name="Total 5 3 2 10" xfId="10197"/>
    <cellStyle name="Total 5 3 2 2" xfId="4937"/>
    <cellStyle name="Total 5 3 2 3" xfId="5916"/>
    <cellStyle name="Total 5 3 2 4" xfId="6424"/>
    <cellStyle name="Total 5 3 2 5" xfId="6911"/>
    <cellStyle name="Total 5 3 2 6" xfId="7394"/>
    <cellStyle name="Total 5 3 2 7" xfId="8463"/>
    <cellStyle name="Total 5 3 2 8" xfId="8964"/>
    <cellStyle name="Total 5 3 2 9" xfId="9458"/>
    <cellStyle name="Total 5 3 3" xfId="4608"/>
    <cellStyle name="Total 5 3 4" xfId="5600"/>
    <cellStyle name="Total 5 3 5" xfId="6109"/>
    <cellStyle name="Total 5 3 6" xfId="6596"/>
    <cellStyle name="Total 5 3 7" xfId="7079"/>
    <cellStyle name="Total 5 3 8" xfId="8148"/>
    <cellStyle name="Total 5 3 9" xfId="8649"/>
    <cellStyle name="Total 5 4" xfId="1758"/>
    <cellStyle name="Total 5 4 10" xfId="9213"/>
    <cellStyle name="Total 5 4 11" xfId="9952"/>
    <cellStyle name="Total 5 4 2" xfId="2087"/>
    <cellStyle name="Total 5 4 2 10" xfId="10262"/>
    <cellStyle name="Total 5 4 2 2" xfId="5002"/>
    <cellStyle name="Total 5 4 2 3" xfId="5981"/>
    <cellStyle name="Total 5 4 2 4" xfId="6489"/>
    <cellStyle name="Total 5 4 2 5" xfId="6976"/>
    <cellStyle name="Total 5 4 2 6" xfId="7459"/>
    <cellStyle name="Total 5 4 2 7" xfId="8528"/>
    <cellStyle name="Total 5 4 2 8" xfId="9029"/>
    <cellStyle name="Total 5 4 2 9" xfId="9523"/>
    <cellStyle name="Total 5 4 3" xfId="4679"/>
    <cellStyle name="Total 5 4 4" xfId="5670"/>
    <cellStyle name="Total 5 4 5" xfId="6179"/>
    <cellStyle name="Total 5 4 6" xfId="6666"/>
    <cellStyle name="Total 5 4 7" xfId="7149"/>
    <cellStyle name="Total 5 4 8" xfId="8218"/>
    <cellStyle name="Total 5 4 9" xfId="8719"/>
    <cellStyle name="Total 5 5" xfId="1783"/>
    <cellStyle name="Total 5 5 10" xfId="9236"/>
    <cellStyle name="Total 5 5 11" xfId="9975"/>
    <cellStyle name="Total 5 5 2" xfId="2104"/>
    <cellStyle name="Total 5 5 2 10" xfId="10277"/>
    <cellStyle name="Total 5 5 2 2" xfId="5017"/>
    <cellStyle name="Total 5 5 2 3" xfId="5996"/>
    <cellStyle name="Total 5 5 2 4" xfId="6504"/>
    <cellStyle name="Total 5 5 2 5" xfId="6991"/>
    <cellStyle name="Total 5 5 2 6" xfId="7474"/>
    <cellStyle name="Total 5 5 2 7" xfId="8543"/>
    <cellStyle name="Total 5 5 2 8" xfId="9044"/>
    <cellStyle name="Total 5 5 2 9" xfId="9538"/>
    <cellStyle name="Total 5 5 3" xfId="4703"/>
    <cellStyle name="Total 5 5 4" xfId="5693"/>
    <cellStyle name="Total 5 5 5" xfId="6202"/>
    <cellStyle name="Total 5 5 6" xfId="6689"/>
    <cellStyle name="Total 5 5 7" xfId="7172"/>
    <cellStyle name="Total 5 5 8" xfId="8241"/>
    <cellStyle name="Total 5 5 9" xfId="8742"/>
    <cellStyle name="Total 5 6" xfId="1797"/>
    <cellStyle name="Total 5 6 10" xfId="9248"/>
    <cellStyle name="Total 5 6 11" xfId="9987"/>
    <cellStyle name="Total 5 6 2" xfId="2117"/>
    <cellStyle name="Total 5 6 2 10" xfId="10288"/>
    <cellStyle name="Total 5 6 2 2" xfId="5029"/>
    <cellStyle name="Total 5 6 2 3" xfId="6008"/>
    <cellStyle name="Total 5 6 2 4" xfId="6515"/>
    <cellStyle name="Total 5 6 2 5" xfId="7002"/>
    <cellStyle name="Total 5 6 2 6" xfId="7485"/>
    <cellStyle name="Total 5 6 2 7" xfId="8554"/>
    <cellStyle name="Total 5 6 2 8" xfId="9055"/>
    <cellStyle name="Total 5 6 2 9" xfId="9549"/>
    <cellStyle name="Total 5 6 3" xfId="4716"/>
    <cellStyle name="Total 5 6 4" xfId="5705"/>
    <cellStyle name="Total 5 6 5" xfId="6214"/>
    <cellStyle name="Total 5 6 6" xfId="6701"/>
    <cellStyle name="Total 5 6 7" xfId="7184"/>
    <cellStyle name="Total 5 6 8" xfId="8253"/>
    <cellStyle name="Total 5 6 9" xfId="8754"/>
    <cellStyle name="Total 5 7" xfId="1808"/>
    <cellStyle name="Total 5 7 10" xfId="9994"/>
    <cellStyle name="Total 5 7 2" xfId="4727"/>
    <cellStyle name="Total 5 7 3" xfId="5712"/>
    <cellStyle name="Total 5 7 4" xfId="6221"/>
    <cellStyle name="Total 5 7 5" xfId="6708"/>
    <cellStyle name="Total 5 7 6" xfId="7191"/>
    <cellStyle name="Total 5 7 7" xfId="8260"/>
    <cellStyle name="Total 5 7 8" xfId="8761"/>
    <cellStyle name="Total 5 7 9" xfId="9255"/>
    <cellStyle name="Total 5 8" xfId="1453"/>
    <cellStyle name="Total 5 8 10" xfId="9651"/>
    <cellStyle name="Total 5 8 2" xfId="4376"/>
    <cellStyle name="Total 5 8 3" xfId="5369"/>
    <cellStyle name="Total 5 8 4" xfId="5085"/>
    <cellStyle name="Total 5 8 5" xfId="5140"/>
    <cellStyle name="Total 5 8 6" xfId="5138"/>
    <cellStyle name="Total 5 8 7" xfId="7917"/>
    <cellStyle name="Total 5 8 8" xfId="7629"/>
    <cellStyle name="Total 5 8 9" xfId="7770"/>
    <cellStyle name="Total 6" xfId="356"/>
    <cellStyle name="Total 6 2" xfId="917"/>
    <cellStyle name="Total 6 2 2" xfId="2027"/>
    <cellStyle name="Total 6 2 2 10" xfId="10205"/>
    <cellStyle name="Total 6 2 2 2" xfId="4945"/>
    <cellStyle name="Total 6 2 2 3" xfId="5924"/>
    <cellStyle name="Total 6 2 2 4" xfId="6432"/>
    <cellStyle name="Total 6 2 2 5" xfId="6919"/>
    <cellStyle name="Total 6 2 2 6" xfId="7402"/>
    <cellStyle name="Total 6 2 2 7" xfId="8471"/>
    <cellStyle name="Total 6 2 2 8" xfId="8972"/>
    <cellStyle name="Total 6 2 2 9" xfId="9466"/>
    <cellStyle name="Total 6 2 3" xfId="1694"/>
    <cellStyle name="Total 6 2 3 10" xfId="9891"/>
    <cellStyle name="Total 6 2 3 2" xfId="4617"/>
    <cellStyle name="Total 6 2 3 3" xfId="5609"/>
    <cellStyle name="Total 6 2 3 4" xfId="6118"/>
    <cellStyle name="Total 6 2 3 5" xfId="6605"/>
    <cellStyle name="Total 6 2 3 6" xfId="7088"/>
    <cellStyle name="Total 6 2 3 7" xfId="8157"/>
    <cellStyle name="Total 6 2 3 8" xfId="8658"/>
    <cellStyle name="Total 6 2 3 9" xfId="9152"/>
    <cellStyle name="Total 6 2 4" xfId="9601"/>
    <cellStyle name="Total 6 3" xfId="1686"/>
    <cellStyle name="Total 6 3 10" xfId="9144"/>
    <cellStyle name="Total 6 3 11" xfId="9883"/>
    <cellStyle name="Total 6 3 2" xfId="2020"/>
    <cellStyle name="Total 6 3 2 10" xfId="10198"/>
    <cellStyle name="Total 6 3 2 2" xfId="4938"/>
    <cellStyle name="Total 6 3 2 3" xfId="5917"/>
    <cellStyle name="Total 6 3 2 4" xfId="6425"/>
    <cellStyle name="Total 6 3 2 5" xfId="6912"/>
    <cellStyle name="Total 6 3 2 6" xfId="7395"/>
    <cellStyle name="Total 6 3 2 7" xfId="8464"/>
    <cellStyle name="Total 6 3 2 8" xfId="8965"/>
    <cellStyle name="Total 6 3 2 9" xfId="9459"/>
    <cellStyle name="Total 6 3 3" xfId="4609"/>
    <cellStyle name="Total 6 3 4" xfId="5601"/>
    <cellStyle name="Total 6 3 5" xfId="6110"/>
    <cellStyle name="Total 6 3 6" xfId="6597"/>
    <cellStyle name="Total 6 3 7" xfId="7080"/>
    <cellStyle name="Total 6 3 8" xfId="8149"/>
    <cellStyle name="Total 6 3 9" xfId="8650"/>
    <cellStyle name="Total 6 4" xfId="1759"/>
    <cellStyle name="Total 6 4 10" xfId="9214"/>
    <cellStyle name="Total 6 4 11" xfId="9953"/>
    <cellStyle name="Total 6 4 2" xfId="2088"/>
    <cellStyle name="Total 6 4 2 10" xfId="10263"/>
    <cellStyle name="Total 6 4 2 2" xfId="5003"/>
    <cellStyle name="Total 6 4 2 3" xfId="5982"/>
    <cellStyle name="Total 6 4 2 4" xfId="6490"/>
    <cellStyle name="Total 6 4 2 5" xfId="6977"/>
    <cellStyle name="Total 6 4 2 6" xfId="7460"/>
    <cellStyle name="Total 6 4 2 7" xfId="8529"/>
    <cellStyle name="Total 6 4 2 8" xfId="9030"/>
    <cellStyle name="Total 6 4 2 9" xfId="9524"/>
    <cellStyle name="Total 6 4 3" xfId="4680"/>
    <cellStyle name="Total 6 4 4" xfId="5671"/>
    <cellStyle name="Total 6 4 5" xfId="6180"/>
    <cellStyle name="Total 6 4 6" xfId="6667"/>
    <cellStyle name="Total 6 4 7" xfId="7150"/>
    <cellStyle name="Total 6 4 8" xfId="8219"/>
    <cellStyle name="Total 6 4 9" xfId="8720"/>
    <cellStyle name="Total 6 5" xfId="1784"/>
    <cellStyle name="Total 6 5 10" xfId="9237"/>
    <cellStyle name="Total 6 5 11" xfId="9976"/>
    <cellStyle name="Total 6 5 2" xfId="2105"/>
    <cellStyle name="Total 6 5 2 10" xfId="10278"/>
    <cellStyle name="Total 6 5 2 2" xfId="5018"/>
    <cellStyle name="Total 6 5 2 3" xfId="5997"/>
    <cellStyle name="Total 6 5 2 4" xfId="6505"/>
    <cellStyle name="Total 6 5 2 5" xfId="6992"/>
    <cellStyle name="Total 6 5 2 6" xfId="7475"/>
    <cellStyle name="Total 6 5 2 7" xfId="8544"/>
    <cellStyle name="Total 6 5 2 8" xfId="9045"/>
    <cellStyle name="Total 6 5 2 9" xfId="9539"/>
    <cellStyle name="Total 6 5 3" xfId="4704"/>
    <cellStyle name="Total 6 5 4" xfId="5694"/>
    <cellStyle name="Total 6 5 5" xfId="6203"/>
    <cellStyle name="Total 6 5 6" xfId="6690"/>
    <cellStyle name="Total 6 5 7" xfId="7173"/>
    <cellStyle name="Total 6 5 8" xfId="8242"/>
    <cellStyle name="Total 6 5 9" xfId="8743"/>
    <cellStyle name="Total 6 6" xfId="1798"/>
    <cellStyle name="Total 6 6 10" xfId="9249"/>
    <cellStyle name="Total 6 6 11" xfId="9988"/>
    <cellStyle name="Total 6 6 2" xfId="2118"/>
    <cellStyle name="Total 6 6 2 10" xfId="10289"/>
    <cellStyle name="Total 6 6 2 2" xfId="5030"/>
    <cellStyle name="Total 6 6 2 3" xfId="6009"/>
    <cellStyle name="Total 6 6 2 4" xfId="6516"/>
    <cellStyle name="Total 6 6 2 5" xfId="7003"/>
    <cellStyle name="Total 6 6 2 6" xfId="7486"/>
    <cellStyle name="Total 6 6 2 7" xfId="8555"/>
    <cellStyle name="Total 6 6 2 8" xfId="9056"/>
    <cellStyle name="Total 6 6 2 9" xfId="9550"/>
    <cellStyle name="Total 6 6 3" xfId="4717"/>
    <cellStyle name="Total 6 6 4" xfId="5706"/>
    <cellStyle name="Total 6 6 5" xfId="6215"/>
    <cellStyle name="Total 6 6 6" xfId="6702"/>
    <cellStyle name="Total 6 6 7" xfId="7185"/>
    <cellStyle name="Total 6 6 8" xfId="8254"/>
    <cellStyle name="Total 6 6 9" xfId="8755"/>
    <cellStyle name="Total 6 7" xfId="1809"/>
    <cellStyle name="Total 6 7 10" xfId="9995"/>
    <cellStyle name="Total 6 7 2" xfId="4728"/>
    <cellStyle name="Total 6 7 3" xfId="5713"/>
    <cellStyle name="Total 6 7 4" xfId="6222"/>
    <cellStyle name="Total 6 7 5" xfId="6709"/>
    <cellStyle name="Total 6 7 6" xfId="7192"/>
    <cellStyle name="Total 6 7 7" xfId="8261"/>
    <cellStyle name="Total 6 7 8" xfId="8762"/>
    <cellStyle name="Total 6 7 9" xfId="9256"/>
    <cellStyle name="Total 6 8" xfId="1454"/>
    <cellStyle name="Total 6 8 10" xfId="9652"/>
    <cellStyle name="Total 6 8 2" xfId="4377"/>
    <cellStyle name="Total 6 8 3" xfId="5370"/>
    <cellStyle name="Total 6 8 4" xfId="4736"/>
    <cellStyle name="Total 6 8 5" xfId="5302"/>
    <cellStyle name="Total 6 8 6" xfId="5300"/>
    <cellStyle name="Total 6 8 7" xfId="7918"/>
    <cellStyle name="Total 6 8 8" xfId="7628"/>
    <cellStyle name="Total 6 8 9" xfId="7846"/>
    <cellStyle name="Total 7" xfId="357"/>
    <cellStyle name="Total 7 2" xfId="918"/>
    <cellStyle name="Total 7 2 2" xfId="2028"/>
    <cellStyle name="Total 7 2 2 10" xfId="10206"/>
    <cellStyle name="Total 7 2 2 2" xfId="4946"/>
    <cellStyle name="Total 7 2 2 3" xfId="5925"/>
    <cellStyle name="Total 7 2 2 4" xfId="6433"/>
    <cellStyle name="Total 7 2 2 5" xfId="6920"/>
    <cellStyle name="Total 7 2 2 6" xfId="7403"/>
    <cellStyle name="Total 7 2 2 7" xfId="8472"/>
    <cellStyle name="Total 7 2 2 8" xfId="8973"/>
    <cellStyle name="Total 7 2 2 9" xfId="9467"/>
    <cellStyle name="Total 7 2 3" xfId="1695"/>
    <cellStyle name="Total 7 2 3 10" xfId="9892"/>
    <cellStyle name="Total 7 2 3 2" xfId="4618"/>
    <cellStyle name="Total 7 2 3 3" xfId="5610"/>
    <cellStyle name="Total 7 2 3 4" xfId="6119"/>
    <cellStyle name="Total 7 2 3 5" xfId="6606"/>
    <cellStyle name="Total 7 2 3 6" xfId="7089"/>
    <cellStyle name="Total 7 2 3 7" xfId="8158"/>
    <cellStyle name="Total 7 2 3 8" xfId="8659"/>
    <cellStyle name="Total 7 2 3 9" xfId="9153"/>
    <cellStyle name="Total 7 2 4" xfId="9602"/>
    <cellStyle name="Total 7 3" xfId="1687"/>
    <cellStyle name="Total 7 3 10" xfId="9145"/>
    <cellStyle name="Total 7 3 11" xfId="9884"/>
    <cellStyle name="Total 7 3 2" xfId="2021"/>
    <cellStyle name="Total 7 3 2 10" xfId="10199"/>
    <cellStyle name="Total 7 3 2 2" xfId="4939"/>
    <cellStyle name="Total 7 3 2 3" xfId="5918"/>
    <cellStyle name="Total 7 3 2 4" xfId="6426"/>
    <cellStyle name="Total 7 3 2 5" xfId="6913"/>
    <cellStyle name="Total 7 3 2 6" xfId="7396"/>
    <cellStyle name="Total 7 3 2 7" xfId="8465"/>
    <cellStyle name="Total 7 3 2 8" xfId="8966"/>
    <cellStyle name="Total 7 3 2 9" xfId="9460"/>
    <cellStyle name="Total 7 3 3" xfId="4610"/>
    <cellStyle name="Total 7 3 4" xfId="5602"/>
    <cellStyle name="Total 7 3 5" xfId="6111"/>
    <cellStyle name="Total 7 3 6" xfId="6598"/>
    <cellStyle name="Total 7 3 7" xfId="7081"/>
    <cellStyle name="Total 7 3 8" xfId="8150"/>
    <cellStyle name="Total 7 3 9" xfId="8651"/>
    <cellStyle name="Total 7 4" xfId="1760"/>
    <cellStyle name="Total 7 4 10" xfId="9215"/>
    <cellStyle name="Total 7 4 11" xfId="9954"/>
    <cellStyle name="Total 7 4 2" xfId="2089"/>
    <cellStyle name="Total 7 4 2 10" xfId="10264"/>
    <cellStyle name="Total 7 4 2 2" xfId="5004"/>
    <cellStyle name="Total 7 4 2 3" xfId="5983"/>
    <cellStyle name="Total 7 4 2 4" xfId="6491"/>
    <cellStyle name="Total 7 4 2 5" xfId="6978"/>
    <cellStyle name="Total 7 4 2 6" xfId="7461"/>
    <cellStyle name="Total 7 4 2 7" xfId="8530"/>
    <cellStyle name="Total 7 4 2 8" xfId="9031"/>
    <cellStyle name="Total 7 4 2 9" xfId="9525"/>
    <cellStyle name="Total 7 4 3" xfId="4681"/>
    <cellStyle name="Total 7 4 4" xfId="5672"/>
    <cellStyle name="Total 7 4 5" xfId="6181"/>
    <cellStyle name="Total 7 4 6" xfId="6668"/>
    <cellStyle name="Total 7 4 7" xfId="7151"/>
    <cellStyle name="Total 7 4 8" xfId="8220"/>
    <cellStyle name="Total 7 4 9" xfId="8721"/>
    <cellStyle name="Total 7 5" xfId="1785"/>
    <cellStyle name="Total 7 5 10" xfId="9238"/>
    <cellStyle name="Total 7 5 11" xfId="9977"/>
    <cellStyle name="Total 7 5 2" xfId="2106"/>
    <cellStyle name="Total 7 5 2 10" xfId="10279"/>
    <cellStyle name="Total 7 5 2 2" xfId="5019"/>
    <cellStyle name="Total 7 5 2 3" xfId="5998"/>
    <cellStyle name="Total 7 5 2 4" xfId="6506"/>
    <cellStyle name="Total 7 5 2 5" xfId="6993"/>
    <cellStyle name="Total 7 5 2 6" xfId="7476"/>
    <cellStyle name="Total 7 5 2 7" xfId="8545"/>
    <cellStyle name="Total 7 5 2 8" xfId="9046"/>
    <cellStyle name="Total 7 5 2 9" xfId="9540"/>
    <cellStyle name="Total 7 5 3" xfId="4705"/>
    <cellStyle name="Total 7 5 4" xfId="5695"/>
    <cellStyle name="Total 7 5 5" xfId="6204"/>
    <cellStyle name="Total 7 5 6" xfId="6691"/>
    <cellStyle name="Total 7 5 7" xfId="7174"/>
    <cellStyle name="Total 7 5 8" xfId="8243"/>
    <cellStyle name="Total 7 5 9" xfId="8744"/>
    <cellStyle name="Total 7 6" xfId="1799"/>
    <cellStyle name="Total 7 6 10" xfId="9250"/>
    <cellStyle name="Total 7 6 11" xfId="9989"/>
    <cellStyle name="Total 7 6 2" xfId="2119"/>
    <cellStyle name="Total 7 6 2 10" xfId="10290"/>
    <cellStyle name="Total 7 6 2 2" xfId="5031"/>
    <cellStyle name="Total 7 6 2 3" xfId="6010"/>
    <cellStyle name="Total 7 6 2 4" xfId="6517"/>
    <cellStyle name="Total 7 6 2 5" xfId="7004"/>
    <cellStyle name="Total 7 6 2 6" xfId="7487"/>
    <cellStyle name="Total 7 6 2 7" xfId="8556"/>
    <cellStyle name="Total 7 6 2 8" xfId="9057"/>
    <cellStyle name="Total 7 6 2 9" xfId="9551"/>
    <cellStyle name="Total 7 6 3" xfId="4718"/>
    <cellStyle name="Total 7 6 4" xfId="5707"/>
    <cellStyle name="Total 7 6 5" xfId="6216"/>
    <cellStyle name="Total 7 6 6" xfId="6703"/>
    <cellStyle name="Total 7 6 7" xfId="7186"/>
    <cellStyle name="Total 7 6 8" xfId="8255"/>
    <cellStyle name="Total 7 6 9" xfId="8756"/>
    <cellStyle name="Total 7 7" xfId="1810"/>
    <cellStyle name="Total 7 7 10" xfId="9996"/>
    <cellStyle name="Total 7 7 2" xfId="4729"/>
    <cellStyle name="Total 7 7 3" xfId="5714"/>
    <cellStyle name="Total 7 7 4" xfId="6223"/>
    <cellStyle name="Total 7 7 5" xfId="6710"/>
    <cellStyle name="Total 7 7 6" xfId="7193"/>
    <cellStyle name="Total 7 7 7" xfId="8262"/>
    <cellStyle name="Total 7 7 8" xfId="8763"/>
    <cellStyle name="Total 7 7 9" xfId="9257"/>
    <cellStyle name="Total 7 8" xfId="1455"/>
    <cellStyle name="Total 7 8 10" xfId="9653"/>
    <cellStyle name="Total 7 8 2" xfId="4378"/>
    <cellStyle name="Total 7 8 3" xfId="5371"/>
    <cellStyle name="Total 7 8 4" xfId="5047"/>
    <cellStyle name="Total 7 8 5" xfId="5141"/>
    <cellStyle name="Total 7 8 6" xfId="5280"/>
    <cellStyle name="Total 7 8 7" xfId="7919"/>
    <cellStyle name="Total 7 8 8" xfId="7627"/>
    <cellStyle name="Total 7 8 9" xfId="7827"/>
    <cellStyle name="Total 8" xfId="38240"/>
    <cellStyle name="TypeDonnée" xfId="358"/>
    <cellStyle name="Überschrift" xfId="39215"/>
    <cellStyle name="Überschrift 1" xfId="39216"/>
    <cellStyle name="Überschrift 2" xfId="39217"/>
    <cellStyle name="Überschrift 3" xfId="39218"/>
    <cellStyle name="Überschrift 3 2" xfId="39219"/>
    <cellStyle name="Überschrift 4" xfId="39220"/>
    <cellStyle name="Variation" xfId="359"/>
    <cellStyle name="Vérification 2" xfId="360"/>
    <cellStyle name="Vérification 3" xfId="361"/>
    <cellStyle name="Vérification 4" xfId="362"/>
    <cellStyle name="Vérification 5" xfId="363"/>
    <cellStyle name="Vérification 6" xfId="364"/>
    <cellStyle name="Vérification 7" xfId="365"/>
    <cellStyle name="Verknüpfte Zelle" xfId="39221"/>
    <cellStyle name="Warnender Text" xfId="39222"/>
    <cellStyle name="Warning Text 2" xfId="39223"/>
    <cellStyle name="WriteOnce" xfId="38222"/>
    <cellStyle name="WriteOnce K" xfId="38223"/>
    <cellStyle name="WriteOnce_AIF Other AOP 05-07" xfId="39224"/>
    <cellStyle name="Zelle überprüfen" xfId="39225"/>
  </cellStyles>
  <dxfs count="40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rgb="FFFF1515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Up">
          <bgColor theme="7" tint="0.39994506668294322"/>
        </patternFill>
      </fill>
    </dxf>
    <dxf>
      <fill>
        <patternFill patternType="solid">
          <bgColor theme="0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  <border diagonalUp="0" diagonalDown="0">
        <left/>
        <right style="thin">
          <color theme="7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  <border diagonalUp="0" diagonalDown="0">
        <left/>
        <right style="thin">
          <color theme="7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theme="7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5" formatCode="#,##0.00\ [$€-40C]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border outline="0">
        <right style="thin">
          <color theme="7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  <border outline="0">
        <right style="thin">
          <color theme="7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  <border diagonalUp="0" diagonalDown="0">
        <left style="double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01" formatCode="_-[$$-409]* #,##0.00_ ;_-[$$-409]* \-#,##0.00\ ;_-[$$-409]* &quot;-&quot;??_ ;_-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uble">
          <color theme="7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&quot; j&quot;"/>
      <fill>
        <patternFill patternType="solid">
          <fgColor indexed="64"/>
          <bgColor theme="0"/>
        </patternFill>
      </fill>
      <border diagonalUp="0" diagonalDown="0">
        <left style="double">
          <color theme="7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4" formatCode="[$$-409]#,##0.00"/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EAEAE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E4A5EB"/>
      <color rgb="FFFF6600"/>
      <color rgb="FFEAEAEA"/>
      <color rgb="FFFF1515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pivotSource>
    <c:name>[Macro-pilotage  2020 TRAVAIL IVYP v3.xlsm]Graphiques CRM!Tableau croisé dynamique1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'Graphiques CRM'!$B$6:$B$7</c:f>
              <c:strCache>
                <c:ptCount val="1"/>
                <c:pt idx="0">
                  <c:v>At Risk</c:v>
                </c:pt>
              </c:strCache>
            </c:strRef>
          </c:tx>
          <c:cat>
            <c:strRef>
              <c:f>'Graphiques CRM'!$A$8:$A$13</c:f>
              <c:strCache>
                <c:ptCount val="5"/>
                <c:pt idx="0">
                  <c:v>31/03/2019</c:v>
                </c:pt>
                <c:pt idx="1">
                  <c:v>30/06/2019</c:v>
                </c:pt>
                <c:pt idx="2">
                  <c:v>30/09/2019</c:v>
                </c:pt>
                <c:pt idx="3">
                  <c:v>31/12/2019</c:v>
                </c:pt>
                <c:pt idx="4">
                  <c:v>(vide)</c:v>
                </c:pt>
              </c:strCache>
            </c:strRef>
          </c:cat>
          <c:val>
            <c:numRef>
              <c:f>'Graphiques CRM'!$B$8:$B$13</c:f>
              <c:numCache>
                <c:formatCode>General</c:formatCode>
                <c:ptCount val="5"/>
                <c:pt idx="0">
                  <c:v>30360</c:v>
                </c:pt>
                <c:pt idx="1">
                  <c:v>588081.6</c:v>
                </c:pt>
                <c:pt idx="2">
                  <c:v>603197.19999999995</c:v>
                </c:pt>
                <c:pt idx="3">
                  <c:v>603197.19999999995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F-4183-94A4-8DBDE60E48F7}"/>
            </c:ext>
          </c:extLst>
        </c:ser>
        <c:ser>
          <c:idx val="1"/>
          <c:order val="1"/>
          <c:tx>
            <c:strRef>
              <c:f>'Graphiques CRM'!$C$6:$C$7</c:f>
              <c:strCache>
                <c:ptCount val="1"/>
                <c:pt idx="0">
                  <c:v>Opportunity</c:v>
                </c:pt>
              </c:strCache>
            </c:strRef>
          </c:tx>
          <c:cat>
            <c:strRef>
              <c:f>'Graphiques CRM'!$A$8:$A$13</c:f>
              <c:strCache>
                <c:ptCount val="5"/>
                <c:pt idx="0">
                  <c:v>31/03/2019</c:v>
                </c:pt>
                <c:pt idx="1">
                  <c:v>30/06/2019</c:v>
                </c:pt>
                <c:pt idx="2">
                  <c:v>30/09/2019</c:v>
                </c:pt>
                <c:pt idx="3">
                  <c:v>31/12/2019</c:v>
                </c:pt>
                <c:pt idx="4">
                  <c:v>(vide)</c:v>
                </c:pt>
              </c:strCache>
            </c:strRef>
          </c:cat>
          <c:val>
            <c:numRef>
              <c:f>'Graphiques CRM'!$C$8:$C$13</c:f>
              <c:numCache>
                <c:formatCode>General</c:formatCode>
                <c:ptCount val="5"/>
                <c:pt idx="0">
                  <c:v>13480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F-4183-94A4-8DBDE60E48F7}"/>
            </c:ext>
          </c:extLst>
        </c:ser>
        <c:ser>
          <c:idx val="2"/>
          <c:order val="2"/>
          <c:tx>
            <c:strRef>
              <c:f>'Graphiques CRM'!$D$6:$D$7</c:f>
              <c:strCache>
                <c:ptCount val="1"/>
                <c:pt idx="0">
                  <c:v>Sure</c:v>
                </c:pt>
              </c:strCache>
            </c:strRef>
          </c:tx>
          <c:cat>
            <c:strRef>
              <c:f>'Graphiques CRM'!$A$8:$A$13</c:f>
              <c:strCache>
                <c:ptCount val="5"/>
                <c:pt idx="0">
                  <c:v>31/03/2019</c:v>
                </c:pt>
                <c:pt idx="1">
                  <c:v>30/06/2019</c:v>
                </c:pt>
                <c:pt idx="2">
                  <c:v>30/09/2019</c:v>
                </c:pt>
                <c:pt idx="3">
                  <c:v>31/12/2019</c:v>
                </c:pt>
                <c:pt idx="4">
                  <c:v>(vide)</c:v>
                </c:pt>
              </c:strCache>
            </c:strRef>
          </c:cat>
          <c:val>
            <c:numRef>
              <c:f>'Graphiques CRM'!$D$8:$D$13</c:f>
              <c:numCache>
                <c:formatCode>General</c:formatCode>
                <c:ptCount val="5"/>
                <c:pt idx="0">
                  <c:v>501040</c:v>
                </c:pt>
                <c:pt idx="1">
                  <c:v>15180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F-4183-94A4-8DBDE60E48F7}"/>
            </c:ext>
          </c:extLst>
        </c:ser>
        <c:ser>
          <c:idx val="3"/>
          <c:order val="3"/>
          <c:tx>
            <c:strRef>
              <c:f>'Graphiques CRM'!$E$6:$E$7</c:f>
              <c:strCache>
                <c:ptCount val="1"/>
                <c:pt idx="0">
                  <c:v>(vide)</c:v>
                </c:pt>
              </c:strCache>
            </c:strRef>
          </c:tx>
          <c:cat>
            <c:strRef>
              <c:f>'Graphiques CRM'!$A$8:$A$13</c:f>
              <c:strCache>
                <c:ptCount val="5"/>
                <c:pt idx="0">
                  <c:v>31/03/2019</c:v>
                </c:pt>
                <c:pt idx="1">
                  <c:v>30/06/2019</c:v>
                </c:pt>
                <c:pt idx="2">
                  <c:v>30/09/2019</c:v>
                </c:pt>
                <c:pt idx="3">
                  <c:v>31/12/2019</c:v>
                </c:pt>
                <c:pt idx="4">
                  <c:v>(vide)</c:v>
                </c:pt>
              </c:strCache>
            </c:strRef>
          </c:cat>
          <c:val>
            <c:numRef>
              <c:f>'Graphiques CRM'!$E$8:$E$13</c:f>
              <c:numCache>
                <c:formatCode>General</c:formatCode>
                <c:ptCount val="5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F-4183-94A4-8DBDE60E4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03968"/>
        <c:axId val="180054848"/>
      </c:areaChart>
      <c:catAx>
        <c:axId val="181203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0054848"/>
        <c:crosses val="autoZero"/>
        <c:auto val="1"/>
        <c:lblAlgn val="ctr"/>
        <c:lblOffset val="100"/>
        <c:noMultiLvlLbl val="0"/>
      </c:catAx>
      <c:valAx>
        <c:axId val="18005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039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[Macro-pilotage  2020 TRAVAIL IVYP v3.xlsm]Graphiques CRM!Tableau croisé dynamique2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'Graphiques CRM'!$B$48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cat>
            <c:strRef>
              <c:f>'Graphiques CRM'!$A$49:$A$53</c:f>
              <c:strCache>
                <c:ptCount val="4"/>
                <c:pt idx="0">
                  <c:v>(vide)</c:v>
                </c:pt>
                <c:pt idx="1">
                  <c:v>ATA7X</c:v>
                </c:pt>
                <c:pt idx="2">
                  <c:v>ATA24</c:v>
                </c:pt>
                <c:pt idx="3">
                  <c:v>ATA28/32</c:v>
                </c:pt>
              </c:strCache>
            </c:strRef>
          </c:cat>
          <c:val>
            <c:numRef>
              <c:f>'Graphiques CRM'!$B$49:$B$53</c:f>
              <c:numCache>
                <c:formatCode>General</c:formatCode>
                <c:ptCount val="4"/>
                <c:pt idx="0">
                  <c:v>0</c:v>
                </c:pt>
                <c:pt idx="1">
                  <c:v>481676</c:v>
                </c:pt>
                <c:pt idx="2">
                  <c:v>1500120</c:v>
                </c:pt>
                <c:pt idx="3">
                  <c:v>372740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A-40CE-9503-5D84E20DFF2A}"/>
            </c:ext>
          </c:extLst>
        </c:ser>
        <c:ser>
          <c:idx val="1"/>
          <c:order val="1"/>
          <c:tx>
            <c:strRef>
              <c:f>'Graphiques CRM'!$C$48</c:f>
              <c:strCache>
                <c:ptCount val="1"/>
                <c:pt idx="0">
                  <c:v>Committed</c:v>
                </c:pt>
              </c:strCache>
            </c:strRef>
          </c:tx>
          <c:invertIfNegative val="0"/>
          <c:cat>
            <c:strRef>
              <c:f>'Graphiques CRM'!$A$49:$A$53</c:f>
              <c:strCache>
                <c:ptCount val="4"/>
                <c:pt idx="0">
                  <c:v>(vide)</c:v>
                </c:pt>
                <c:pt idx="1">
                  <c:v>ATA7X</c:v>
                </c:pt>
                <c:pt idx="2">
                  <c:v>ATA24</c:v>
                </c:pt>
                <c:pt idx="3">
                  <c:v>ATA28/32</c:v>
                </c:pt>
              </c:strCache>
            </c:strRef>
          </c:cat>
          <c:val>
            <c:numRef>
              <c:f>'Graphiques CRM'!$C$49:$C$53</c:f>
              <c:numCache>
                <c:formatCode>General</c:formatCode>
                <c:ptCount val="4"/>
                <c:pt idx="0">
                  <c:v>0</c:v>
                </c:pt>
                <c:pt idx="1">
                  <c:v>165340</c:v>
                </c:pt>
                <c:pt idx="2">
                  <c:v>189720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A-40CE-9503-5D84E20DFF2A}"/>
            </c:ext>
          </c:extLst>
        </c:ser>
        <c:ser>
          <c:idx val="2"/>
          <c:order val="2"/>
          <c:tx>
            <c:strRef>
              <c:f>'Graphiques CRM'!$D$48</c:f>
              <c:strCache>
                <c:ptCount val="1"/>
                <c:pt idx="0">
                  <c:v>Receipt</c:v>
                </c:pt>
              </c:strCache>
            </c:strRef>
          </c:tx>
          <c:invertIfNegative val="0"/>
          <c:cat>
            <c:strRef>
              <c:f>'Graphiques CRM'!$A$49:$A$53</c:f>
              <c:strCache>
                <c:ptCount val="4"/>
                <c:pt idx="0">
                  <c:v>(vide)</c:v>
                </c:pt>
                <c:pt idx="1">
                  <c:v>ATA7X</c:v>
                </c:pt>
                <c:pt idx="2">
                  <c:v>ATA24</c:v>
                </c:pt>
                <c:pt idx="3">
                  <c:v>ATA28/32</c:v>
                </c:pt>
              </c:strCache>
            </c:strRef>
          </c:cat>
          <c:val>
            <c:numRef>
              <c:f>'Graphiques CRM'!$D$49:$D$53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A-40CE-9503-5D84E20DF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04480"/>
        <c:axId val="180056576"/>
      </c:barChart>
      <c:catAx>
        <c:axId val="181204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0056576"/>
        <c:crosses val="autoZero"/>
        <c:auto val="1"/>
        <c:lblAlgn val="ctr"/>
        <c:lblOffset val="100"/>
        <c:noMultiLvlLbl val="0"/>
      </c:catAx>
      <c:valAx>
        <c:axId val="1800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0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200025</xdr:colOff>
          <xdr:row>0</xdr:row>
          <xdr:rowOff>371475</xdr:rowOff>
        </xdr:from>
        <xdr:to>
          <xdr:col>27</xdr:col>
          <xdr:colOff>0</xdr:colOff>
          <xdr:row>1</xdr:row>
          <xdr:rowOff>28575</xdr:rowOff>
        </xdr:to>
        <xdr:sp macro="" textlink="">
          <xdr:nvSpPr>
            <xdr:cNvPr id="56414" name="Button 14430" hidden="1">
              <a:extLst>
                <a:ext uri="{63B3BB69-23CF-44E3-9099-C40C66FF867C}">
                  <a14:compatExt spid="_x0000_s56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814387</xdr:colOff>
      <xdr:row>1</xdr:row>
      <xdr:rowOff>4762</xdr:rowOff>
    </xdr:from>
    <xdr:to>
      <xdr:col>24</xdr:col>
      <xdr:colOff>781050</xdr:colOff>
      <xdr:row>36</xdr:row>
      <xdr:rowOff>47624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</xdr:colOff>
      <xdr:row>44</xdr:row>
      <xdr:rowOff>80963</xdr:rowOff>
    </xdr:from>
    <xdr:to>
      <xdr:col>22</xdr:col>
      <xdr:colOff>790574</xdr:colOff>
      <xdr:row>73</xdr:row>
      <xdr:rowOff>19050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2</xdr:row>
      <xdr:rowOff>19051</xdr:rowOff>
    </xdr:from>
    <xdr:to>
      <xdr:col>1</xdr:col>
      <xdr:colOff>762000</xdr:colOff>
      <xdr:row>5</xdr:row>
      <xdr:rowOff>76201</xdr:rowOff>
    </xdr:to>
    <xdr:pic>
      <xdr:nvPicPr>
        <xdr:cNvPr id="3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384811"/>
          <a:ext cx="657225" cy="6057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vigne/AppData/Local/Microsoft/Windows/INetCache/Content.Outlook/LICCBII9/Macro-pilotage%20%20EVYP%202019_v3.1.1_DEUX%20DEVISES%20v0.2_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DO\DELIVERY\2018-2019\AIRBUS\3173%20-%20EVYP%20-%20Adrien%20Lunes\Suivi_Operation\00-travail\Macro-pilotage%20%20EVYP%202019_v3.1.1_DEUX%20DEVISES%20v0.2_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DO\DELIVERY\2018-2019\AIRBUS\3173%20-%20EVYP%20-%20Adrien%20Lunes\Suivi_Operation\00-travail\Macro-pilotage%20%20EVYP%202018_v3.1.1_DEUX%20DEVISES%20v0.2_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alogue"/>
      <sheetName val="Révisions"/>
      <sheetName val="paramètres"/>
      <sheetName val="UO_Contract"/>
      <sheetName val="UO_Operations"/>
      <sheetName val="Graphiques CRM"/>
      <sheetName val="Capacitaire "/>
      <sheetName val="Prépa Revue Mensuelle"/>
      <sheetName val="NB.JOURS.OUVRES"/>
      <sheetName val="Feuil1"/>
    </sheetNames>
    <sheetDataSet>
      <sheetData sheetId="0"/>
      <sheetData sheetId="1"/>
      <sheetData sheetId="2" refreshError="1">
        <row r="6">
          <cell r="B6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mon ALMERAS" refreshedDate="43440.528704976852" createdVersion="4" refreshedVersion="4" minRefreshableVersion="3" recordCount="2837">
  <cacheSource type="worksheet">
    <worksheetSource name="Tableau_Lancer_la_requête_à_partir_de_Projectorria_SII"/>
  </cacheSource>
  <cacheFields count="8">
    <cacheField name="id" numFmtId="0">
      <sharedItems containsSemiMixedTypes="0" containsString="0" containsNumber="1" containsInteger="1" minValue="146830" maxValue="190148"/>
    </cacheField>
    <cacheField name="idProject" numFmtId="0">
      <sharedItems containsSemiMixedTypes="0" containsString="0" containsNumber="1" containsInteger="1" minValue="10010" maxValue="11953"/>
    </cacheField>
    <cacheField name="idResource" numFmtId="0">
      <sharedItems containsSemiMixedTypes="0" containsString="0" containsNumber="1" containsInteger="1" minValue="60" maxValue="2573" count="126">
        <n v="306"/>
        <n v="828"/>
        <n v="264"/>
        <n v="290"/>
        <n v="180"/>
        <n v="229"/>
        <n v="431"/>
        <n v="291"/>
        <n v="983"/>
        <n v="235"/>
        <n v="416"/>
        <n v="393"/>
        <n v="965"/>
        <n v="588"/>
        <n v="1039"/>
        <n v="1036"/>
        <n v="402"/>
        <n v="1164"/>
        <n v="1506"/>
        <n v="257"/>
        <n v="1667"/>
        <n v="1735"/>
        <n v="1969"/>
        <n v="2001"/>
        <n v="2017"/>
        <n v="2071"/>
        <n v="966"/>
        <n v="958"/>
        <n v="215"/>
        <n v="1097"/>
        <n v="1112"/>
        <n v="1165"/>
        <n v="1689"/>
        <n v="195"/>
        <n v="2124"/>
        <n v="881"/>
        <n v="433"/>
        <n v="1505"/>
        <n v="2122"/>
        <n v="2120"/>
        <n v="1738"/>
        <n v="938"/>
        <n v="1014"/>
        <n v="1821"/>
        <n v="2030"/>
        <n v="1251"/>
        <n v="362"/>
        <n v="527"/>
        <n v="2033"/>
        <n v="2062"/>
        <n v="197"/>
        <n v="222"/>
        <n v="2075"/>
        <n v="1999"/>
        <n v="2123"/>
        <n v="1795"/>
        <n v="1084"/>
        <n v="947"/>
        <n v="666"/>
        <n v="60"/>
        <n v="2142"/>
        <n v="300"/>
        <n v="1111"/>
        <n v="2127"/>
        <n v="1229"/>
        <n v="2135"/>
        <n v="2156"/>
        <n v="2028"/>
        <n v="2184"/>
        <n v="2188"/>
        <n v="1890"/>
        <n v="2324"/>
        <n v="2177"/>
        <n v="2181"/>
        <n v="2220"/>
        <n v="2200"/>
        <n v="2221"/>
        <n v="2226"/>
        <n v="2203"/>
        <n v="2178"/>
        <n v="2383"/>
        <n v="2266"/>
        <n v="2264"/>
        <n v="1003"/>
        <n v="2204"/>
        <n v="2202"/>
        <n v="396"/>
        <n v="2290"/>
        <n v="2291"/>
        <n v="2295"/>
        <n v="2296"/>
        <n v="2294"/>
        <n v="2297"/>
        <n v="2174"/>
        <n v="2362"/>
        <n v="2301"/>
        <n v="2175"/>
        <n v="2302"/>
        <n v="214"/>
        <n v="2176"/>
        <n v="2305"/>
        <n v="2289"/>
        <n v="1064"/>
        <n v="1551"/>
        <n v="1120"/>
        <n v="2339"/>
        <n v="2340"/>
        <n v="2315"/>
        <n v="2359"/>
        <n v="2366"/>
        <n v="217"/>
        <n v="2201"/>
        <n v="2405"/>
        <n v="2408"/>
        <n v="2416"/>
        <n v="942"/>
        <n v="2430"/>
        <n v="2443"/>
        <n v="2160"/>
        <n v="2485"/>
        <n v="2471"/>
        <n v="2481"/>
        <n v="2573"/>
        <n v="2533"/>
        <n v="2542"/>
        <n v="2540"/>
      </sharedItems>
    </cacheField>
    <cacheField name="assignedWork" numFmtId="0">
      <sharedItems containsString="0" containsBlank="1" containsNumber="1" minValue="0" maxValue="151.19999999999999"/>
    </cacheField>
    <cacheField name="realWork" numFmtId="0">
      <sharedItems containsString="0" containsBlank="1" containsNumber="1" minValue="0" maxValue="211.5"/>
    </cacheField>
    <cacheField name="leftWork" numFmtId="0">
      <sharedItems containsString="0" containsBlank="1" containsNumber="1" minValue="0" maxValue="54.95"/>
    </cacheField>
    <cacheField name="plannedWork" numFmtId="0">
      <sharedItems containsString="0" containsBlank="1" containsNumber="1" minValue="0" maxValue="228"/>
    </cacheField>
    <cacheField name="projectCode" numFmtId="0">
      <sharedItems count="4">
        <s v="3180-02"/>
        <s v="2768-04"/>
        <s v="2793-06"/>
        <s v="3181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imon ALMERAS" refreshedDate="43440.553935300923" createdVersion="4" refreshedVersion="4" minRefreshableVersion="3" recordCount="946">
  <cacheSource type="worksheet">
    <worksheetSource name="Tableau_Lancer_la_requête_à_partir_de_Projectorria_SII4"/>
  </cacheSource>
  <cacheFields count="8">
    <cacheField name="Participant" numFmtId="0">
      <sharedItems containsBlank="1" count="105">
        <m/>
        <s v="abarsse"/>
        <s v="abouillard"/>
        <s v="achampion"/>
        <s v="agleize"/>
        <s v="amyndiaye"/>
        <s v="aponcet"/>
        <s v="areverte"/>
        <s v="aschmitt"/>
        <s v="atall"/>
        <s v="atugnoli"/>
        <s v="avacher"/>
        <s v="bdulmet"/>
        <s v="bdurand"/>
        <s v="bgaubant"/>
        <s v="bspiewak"/>
        <s v="carbona"/>
        <s v="carnoux"/>
        <s v="ccabras"/>
        <s v="cchatras"/>
        <s v="cebrault"/>
        <s v="cgromat"/>
        <s v="cmahe"/>
        <s v="csaezlopez"/>
        <s v="cseitler"/>
        <s v="dhadbi"/>
        <s v="dperes"/>
        <s v="EYYS_SST_ALTRAN_FMGEC"/>
        <s v="EYYS_SST_BLIN"/>
        <s v="EYYS_SST_DELSRIOLS"/>
        <s v="EYYS_SST_DOUCET"/>
        <s v="EYYS_SST_DUTREUIL"/>
        <s v="EYYS_SST_VOYER"/>
        <s v="fbosc"/>
        <s v="fcasallas"/>
        <s v="fenglersahnoun"/>
        <s v="ffour"/>
        <s v="flaparrat"/>
        <s v="flenagard"/>
        <s v="fmertz"/>
        <s v="galary"/>
        <s v="gbourgeois"/>
        <s v="gcarrie"/>
        <s v="gmasson"/>
        <s v="gsimon"/>
        <s v="gvasselin"/>
        <s v="gzamora"/>
        <s v="hboudarqa"/>
        <s v="jcamachocasero"/>
        <s v="jcvoyer"/>
        <s v="jdasilva"/>
        <s v="jfcadule"/>
        <s v="jkezerian"/>
        <s v="jmguigon"/>
        <s v="jmouial"/>
        <s v="jpmaillot"/>
        <s v="jpotin"/>
        <s v="jsavarit"/>
        <s v="kgirou"/>
        <s v="larsac"/>
        <s v="lbauguil"/>
        <s v="lbousquet"/>
        <s v="leymard"/>
        <s v="lmoreaunassah"/>
        <s v="mavignon"/>
        <s v="mbriere"/>
        <s v="mdaude"/>
        <s v="mdutreuil"/>
        <s v="mfroment"/>
        <s v="mguichou"/>
        <s v="mpuyo"/>
        <s v="mviitala"/>
        <s v="nahkiane"/>
        <s v="ngoube"/>
        <s v="nmellouki"/>
        <s v="nmonin"/>
        <s v="nshah"/>
        <s v="plefort"/>
        <s v="pmarti"/>
        <s v="pvalmont"/>
        <s v="rcaffiers"/>
        <s v="rcancel"/>
        <s v="rtalaalout"/>
        <s v="scahoreau"/>
        <s v="scassat"/>
        <s v="scrozes"/>
        <s v="sduvoid"/>
        <s v="slassau"/>
        <s v="sravelomanana"/>
        <s v="ssousa"/>
        <s v="stavares"/>
        <s v="stourby"/>
        <s v="tberthedepommery"/>
        <s v="tcandiard"/>
        <s v="tederle"/>
        <s v="tmartial"/>
        <s v="tmartin"/>
        <s v="tponsen"/>
        <s v="tsayavong"/>
        <s v="vlealdarocha"/>
        <s v="vperez"/>
        <s v="vponcet"/>
        <s v="xroy"/>
        <s v="yamado"/>
        <s v="yparry"/>
      </sharedItems>
    </cacheField>
    <cacheField name="projectCode" numFmtId="0">
      <sharedItems count="4">
        <s v="3180-02"/>
        <s v="2768-04"/>
        <s v="2793-06"/>
        <s v="3181-02"/>
      </sharedItems>
    </cacheField>
    <cacheField name="workDate" numFmtId="14">
      <sharedItems containsSemiMixedTypes="0" containsNonDate="0" containsDate="1" containsString="0" minDate="2017-10-23T00:00:00" maxDate="2018-12-13T00:00:00"/>
    </cacheField>
    <cacheField name="day" numFmtId="0">
      <sharedItems/>
    </cacheField>
    <cacheField name="week" numFmtId="0">
      <sharedItems/>
    </cacheField>
    <cacheField name="month" numFmtId="0">
      <sharedItems count="15">
        <s v="201802"/>
        <s v="201803"/>
        <s v="201804"/>
        <s v="201805"/>
        <s v="201806"/>
        <s v="201807"/>
        <s v="201808"/>
        <s v="201809"/>
        <s v="201810"/>
        <s v="201811"/>
        <s v="201812"/>
        <s v="201801"/>
        <s v="201710"/>
        <s v="201711"/>
        <s v="201712"/>
      </sharedItems>
    </cacheField>
    <cacheField name="year" numFmtId="0">
      <sharedItems/>
    </cacheField>
    <cacheField name="sum(work.work)" numFmtId="0">
      <sharedItems containsSemiMixedTypes="0" containsString="0" containsNumber="1" minValue="0.1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en LUNES" refreshedDate="43489.495577083333" createdVersion="4" refreshedVersion="4" minRefreshableVersion="3" recordCount="209">
  <cacheSource type="worksheet">
    <worksheetSource name="UO_List"/>
  </cacheSource>
  <cacheFields count="98">
    <cacheField name="PO Number (Header)" numFmtId="0">
      <sharedItems/>
    </cacheField>
    <cacheField name="Work Specification ref." numFmtId="0">
      <sharedItems containsMixedTypes="1" containsNumber="1" containsInteger="1" minValue="0" maxValue="0"/>
    </cacheField>
    <cacheField name="Commercial contract ref." numFmtId="0">
      <sharedItems containsMixedTypes="1" containsNumber="1" containsInteger="1" minValue="0" maxValue="0"/>
    </cacheField>
    <cacheField name="Catalogue ID" numFmtId="0">
      <sharedItems/>
    </cacheField>
    <cacheField name="Line" numFmtId="0">
      <sharedItems/>
    </cacheField>
    <cacheField name="Item" numFmtId="0">
      <sharedItems containsMixedTypes="1" containsNumber="1" containsInteger="1" minValue="0" maxValue="0"/>
    </cacheField>
    <cacheField name="Total Item Quantity" numFmtId="0">
      <sharedItems containsMixedTypes="1" containsNumber="1" containsInteger="1" minValue="0" maxValue="4"/>
    </cacheField>
    <cacheField name="Line Total" numFmtId="2">
      <sharedItems containsMixedTypes="1" containsNumber="1" containsInteger="1" minValue="0" maxValue="50550"/>
    </cacheField>
    <cacheField name="Order Status (Header)" numFmtId="0">
      <sharedItems containsMixedTypes="1" containsNumber="1" containsInteger="1" minValue="0" maxValue="0"/>
    </cacheField>
    <cacheField name="Shipped Quantity" numFmtId="0">
      <sharedItems containsDate="1" containsMixedTypes="1" minDate="1899-12-30T00:00:00" maxDate="1899-12-31T00:00:00"/>
    </cacheField>
    <cacheField name="Shipment Date" numFmtId="0">
      <sharedItems/>
    </cacheField>
    <cacheField name="Ship Note" numFmtId="0">
      <sharedItems/>
    </cacheField>
    <cacheField name="Confirmed Quantity" numFmtId="0">
      <sharedItems containsMixedTypes="1" containsNumber="1" containsInteger="1" minValue="0" maxValue="0"/>
    </cacheField>
    <cacheField name="Ship Method" numFmtId="0">
      <sharedItems containsMixedTypes="1" containsNumber="1" containsInteger="1" minValue="0" maxValue="0"/>
    </cacheField>
    <cacheField name="Tracking Number" numFmtId="0">
      <sharedItems containsMixedTypes="1" containsNumber="1" containsInteger="1" minValue="0" maxValue="0"/>
    </cacheField>
    <cacheField name="Received" numFmtId="0">
      <sharedItems containsMixedTypes="1" containsNumber="1" containsInteger="1" minValue="0" maxValue="0"/>
    </cacheField>
    <cacheField name="Invoiced" numFmtId="0">
      <sharedItems containsMixedTypes="1" containsNumber="1" containsInteger="1" minValue="0" maxValue="0"/>
    </cacheField>
    <cacheField name="Delivery Date" numFmtId="0">
      <sharedItems/>
    </cacheField>
    <cacheField name="Delivery Date2" numFmtId="0">
      <sharedItems containsMixedTypes="1" containsNumber="1" containsInteger="1" minValue="0" maxValue="0"/>
    </cacheField>
    <cacheField name="Carrier" numFmtId="0">
      <sharedItems/>
    </cacheField>
    <cacheField name="Building / Room" numFmtId="0">
      <sharedItems containsMixedTypes="1" containsNumber="1" containsInteger="1" minValue="0" maxValue="0"/>
    </cacheField>
    <cacheField name="Additional Info" numFmtId="0">
      <sharedItems containsMixedTypes="1" containsNumber="1" containsInteger="1" minValue="0" maxValue="0"/>
    </cacheField>
    <cacheField name="Unit Price (calcul)" numFmtId="0">
      <sharedItems containsMixedTypes="1" containsNumber="1" containsInteger="1" minValue="25" maxValue="25"/>
    </cacheField>
    <cacheField name="Unique_AIB_ID" numFmtId="0">
      <sharedItems containsBlank="1" count="34">
        <s v="C000187436-1"/>
        <s v="C000187436-2"/>
        <s v="C000187436-3"/>
        <s v="C000187436-4"/>
        <s v="C000187436-6"/>
        <s v="C000187436-7"/>
        <s v="C000187436-8"/>
        <s v="C000187436-9"/>
        <m/>
        <s v="C000187069-1"/>
        <s v="C000187069-2"/>
        <s v="C000187069-3"/>
        <s v="C000187069-4"/>
        <s v="C000187069-5"/>
        <s v="C000187069-6"/>
        <s v="C000187069-7"/>
        <s v="C000187069-8"/>
        <s v="C000187069-9"/>
        <s v="C000187069-10"/>
        <s v="C000187069-11"/>
        <s v="C000187069-12"/>
        <s v="C000187069-13"/>
        <s v="C000187069-14"/>
        <s v="C000187069-15"/>
        <s v="C000187069-16"/>
        <s v="C000214730-1"/>
        <s v="C000214730-2"/>
        <s v="C000214730-3"/>
        <s v="C000214730-4"/>
        <s v="C000214730-5"/>
        <s v="C000214730-6"/>
        <s v="C000214730-7"/>
        <s v="C000043779-8" u="1"/>
        <s v="C000015087-11" u="1"/>
      </sharedItems>
    </cacheField>
    <cacheField name="Currency" numFmtId="0">
      <sharedItems containsMixedTypes="1" containsNumber="1" containsInteger="1" minValue="0" maxValue="0"/>
    </cacheField>
    <cacheField name="OLGA F6" numFmtId="0">
      <sharedItems containsBlank="1" count="5">
        <s v="3173-05"/>
        <s v="3173-04"/>
        <m/>
        <s v="1234-02" u="1"/>
        <s v="1234-01" u="1"/>
      </sharedItems>
    </cacheField>
    <cacheField name="Company" numFmtId="0">
      <sharedItems containsNonDate="0" containsString="0" containsBlank="1"/>
    </cacheField>
    <cacheField name="Id iPMP" numFmtId="0">
      <sharedItems containsNonDate="0" containsString="0" containsBlank="1"/>
    </cacheField>
    <cacheField name="Id_UO" numFmtId="0">
      <sharedItems containsBlank="1" count="22">
        <s v="WU_PROP_STD"/>
        <s v="WU_PROP_S"/>
        <s v="WU_ELEC_2"/>
        <s v="WU_ELEC_1"/>
        <s v="WU_F&amp;LG_TLS_T_2"/>
        <s v="WU_F&amp;LG_TLS_T_1"/>
        <m/>
        <s v="WU_05_Simulation_Standard_global_low_OLD" u="1"/>
        <s v="WU_03_test_mean_Support_&amp;_Operation_global_medium OLD" u="1"/>
        <s v="WU_06_Working_Party_low" u="1"/>
        <s v="WU_01_Test_mean_session_high" u="1"/>
        <s v="WU_01_Test_mean_session_medium" u="1"/>
        <s v="WU_01_Test_mean_session_low" u="1"/>
        <s v="WU_03_test_mean_Support_&amp;_Operation_global_medium" u="1"/>
        <s v="WU_02_Test_mean_Support_and_operation_high" u="1"/>
        <s v="WU_01_Test_mean_session_extra_low" u="1"/>
        <s v="WU_05_Simulation_Standard_global_low" u="1"/>
        <s v="WU_01_Test_mean_session_high_OLD" u="1"/>
        <s v="WU_02_Test_mean_Support_and_operation_medium_OLD" u="1"/>
        <s v="WU_03_test_mean_Support_&amp;_Operation_global_low" u="1"/>
        <s v="WU_02_Test_mean_Support_and_operation_medium" u="1"/>
        <s v="WU_01_Test_mean_session_medium_OLD" u="1"/>
      </sharedItems>
    </cacheField>
    <cacheField name="WP" numFmtId="0">
      <sharedItems containsBlank="1" count="8">
        <s v="ATA7X"/>
        <s v="ATA24"/>
        <s v="ATA28/32"/>
        <m/>
        <s v="TBD1" u="1"/>
        <s v="3172-02" u="1"/>
        <s v="Session" u="1"/>
        <s v="TBD" u="1"/>
      </sharedItems>
    </cacheField>
    <cacheField name="Business" numFmtId="0">
      <sharedItems containsBlank="1"/>
    </cacheField>
    <cacheField name="Program" numFmtId="0">
      <sharedItems containsBlank="1"/>
    </cacheField>
    <cacheField name="Team" numFmtId="0">
      <sharedItems containsNonDate="0" containsString="0" containsBlank="1"/>
    </cacheField>
    <cacheField name="Description" numFmtId="0">
      <sharedItems containsBlank="1" count="110">
        <s v="Q1 / DD: Current flow - A380"/>
        <s v="Q1 / DD: Major Mod T900 EP3+"/>
        <s v="Q1 / LR: Current flow - Long Range"/>
        <s v="Q1 / LR: New AOA design - Long Range"/>
        <s v="Q1 / SA: Current flow - Single Aisle"/>
        <s v="Budget minimal annuel 302000€ mini soit 437 900$ soit pa Q: 437900/4=109475"/>
        <s v="Q1/ EFIB MCO"/>
        <s v="Q1/ SA MCO"/>
        <s v="Q1/ LR A330 MCO"/>
        <s v="Q1/ A380 J&amp;T"/>
        <s v="Q1/ SA CEO (Incluant flow NEO)"/>
        <s v="Q1/ SA Tech Sup"/>
        <s v="Q1/ CS Engineering service SA"/>
        <s v="Q1/ CS Engineering service LR"/>
        <s v="Q1/ Metrologie A350 "/>
        <s v="Q1/ Testing support &amp; investigation"/>
        <s v="Q1/ Testing SGCU S5"/>
        <s v="Q1/ Flight analysis -1000 RAT perfo REX"/>
        <s v="Q1/ A380 Flow"/>
        <s v="Q1/ A350 Cont tech supp"/>
        <s v="Q1/ eTAXI tests"/>
        <s v="Q1/ A300-600 UPS tests"/>
        <s v="Q1 / CS / Engineering Services / A350"/>
        <s v="Q1/ A350 / Cont Dev / Major Mods - System Standards"/>
        <s v="Q1/ A350_Flow_Std_Mods part 1"/>
        <s v="Q1/ A350_Flow_Std_Mods part 2"/>
        <s v="Q1/ A350 / New Dev / New Dev Lab"/>
        <s v="Q1/ A350 / New Dev / FT"/>
        <s v="Ajout Q1 pour arriver à 300k"/>
        <s v="Prévision couverture 400k Q2"/>
        <s v="Prévision couverture 400k Q3"/>
        <s v="Prévision couverture 400k Q4"/>
        <s v="Prévision couverture 3 ETP"/>
        <m/>
        <s v="Sup &amp; Op on FIB (AMO support + SFC) Q2  (activité)" u="1"/>
        <s v="Sup &amp; Op on FIB (AMO support + SFC) Q3  (activité)" u="1"/>
        <s v="Sup &amp; Op on FIB (AMO support + SFC) Q4  (activité)" u="1"/>
        <s v="Simulator standard  18.1 on WB" u="1"/>
        <s v="Support &amp; Operation: S01 Simu leader Apr" u="1"/>
        <s v="Simulator session on S01 Q2 " u="1"/>
        <s v="Support &amp; Operation: S01 Simu leader Jan-Feb" u="1"/>
        <s v="Simulator standard  18,2 on WB" u="1"/>
        <s v="Support &amp; Operation: S01 Simu leader Mar" u="1"/>
        <s v="Session simu SX1 - S62: Flex2-3-4 Q2-3-4 2018 (estimation avec total final = 330" u="1"/>
        <s v="Architecture eMMR: def + valid" u="1"/>
        <s v="Session simu SX1 - S62: Flex0-1 Q3" u="1"/>
        <s v="Session and follow up on ENG FIB LR Q3" u="1"/>
        <s v="Sup &amp; Op on FIB (AMO support + SFC) Q2 (commande)" u="1"/>
        <s v="Sup &amp; Op on FIB (AMO support + SFC) Q3 (commande)" u="1"/>
        <s v="Sup &amp; Op on FIB (AMO support + SFC) Q4 (commande)" u="1"/>
        <s v="Session and follow up on ENG FIB LR Q3-4 (estimation, total = 1000) (dt recep HTW=230)" u="1"/>
        <s v="Session and follow up on FIB A350" u="1"/>
        <s v="Session simu SX1 - S62: Flex2-3-4 Q2 2018" u="1"/>
        <s v="Session on A350 benches (CGIB, EFIB, avncs)" u="1"/>
        <s v="Support &amp; Operation: S01 Simu leader Q3" u="1"/>
        <s v="Support &amp; Operation on A350 Simulators Q1" u="1"/>
        <s v="Session on A350 benches (CGIB, EFIB, avncs) Q3" u="1"/>
        <s v="Session and follow up on ENG FIB LR Q1" u="1"/>
        <s v="Session on avionics benches LR Q3-4 (estimation : total = 1100) (dt recep HTW = 250)" u="1"/>
        <s v="Flex 2 sessions on LR CGIB Q1" u="1"/>
        <s v="Session on avionics benches LR Q1" u="1"/>
        <s v="Working Party : ICD activities + vlid step 2" u="1"/>
        <s v="Session and follow up on FIB A350 (estimation, total = 1600) (-Total HTW 2018 = 1055) (dt recep HTW = 279)" u="1"/>
        <s v="Bench Manager FIB ENG LR Q3" u="1"/>
        <s v="Sup &amp; Op + bench Management on CSB &amp; TAIL LR + A350 Q1" u="1"/>
        <s v="Sup &amp; Op + bench Management on CSB &amp; TAIL LR + A350 Q3 (commande)" u="1"/>
        <s v="Sup &amp; Op + bench Management on CSB &amp; TAIL LR + A350 Q4 (commande)" u="1"/>
        <s v="Session simu SX1 - S62: Flex0-1 Q2-3-4 2018 (estimation avec total final = 2300)" u="1"/>
        <s v="Sup &amp; Op on FIB (AMO support + SFC) Q4 (activité)" u="1"/>
        <s v="Flex 2 sessions on LR CGIB Q4(estimation : total = 250) (attention report 20 flex en 31 x-low + 22 low)" u="1"/>
        <s v="Flex 2 sessions on LR CGIB Q2" u="1"/>
        <s v="Session on FWS WB bench Q1-Q2" u="1"/>
        <s v="A350 simulators night sessions" u="1"/>
        <s v="Sup &amp; Op + bench Management on CSB &amp; TAIL LR + A350 Q2-Q3 (commande)" u="1"/>
        <s v="Session simu SX1 - S62: Flex0-1 Q1 2018" u="1"/>
        <s v="Session simu SX1 - S62: Flex2-3-4 Q1 2018" u="1"/>
        <s v="Session on A350 benches (CGIB, EFIB, avncs) Q2" u="1"/>
        <s v="Session and follow up on FIB A350 Q3" u="1"/>
        <s v="Night session for night flight : 2 high" u="1"/>
        <s v="Session &amp; follow up on FWS EIS LR Q1" u="1"/>
        <s v="Support &amp; Operation on A350 Simulators Q2-3-4" u="1"/>
        <s v="Simulator session on S01 Q2" u="1"/>
        <s v="Flex 2 sessions on LR CGIB Q3" u="1"/>
        <s v="Session on avionics benches LR Q2" u="1"/>
        <s v=" Bench Manager FIB ENG LR Q4" u="1"/>
        <s v="Session simu SX1 - S62: Flex2-3-4 Q3" u="1"/>
        <s v="A350 simulators sessions Q1" u="1"/>
        <s v="Additional Flex 2 Q2 pour FLEX S62" u="1"/>
        <s v="Session Flex 3 sur FWS A350" u="1"/>
        <s v="Session and follow up on FIB A350 Q2 " u="1"/>
        <s v="Simulator session on S01 S2" u="1"/>
        <s v="Night session for night flight : 1 med" u="1"/>
        <s v="Support &amp; Operation: S01 Simu leader Q4" u="1"/>
        <s v="Session simu SX1 - S62: Flex2 Q1-Q2" u="1"/>
        <s v="Session simu SX1 - S62: Flex0-1 Q2 2018" u="1"/>
        <s v="Session on avionics benches LR Q3" u="1"/>
        <s v="Session and follow up on ENG FIB LR Q2" u="1"/>
        <s v="A350 simulators sessions Q2-Q3-Q4" u="1"/>
        <s v="Simulator session on S01 S2 (estimation : total final = 750)" u="1"/>
        <s v="Sup &amp; Op + bench Management on CSB &amp; TAIL LR + A350 Q2 (activité)" u="1"/>
        <s v="Sup &amp; Op + bench Management on CSB &amp; TAIL LR + A350 Q3 (activité)" u="1"/>
        <s v="Sup &amp; Op + bench Management on CSB &amp; TAIL LR + A350 Q4 (activité)" u="1"/>
        <s v="Working Party RALS on S5X" u="1"/>
        <s v="Support &amp; Operation: S01 Simu leader Q2" u="1"/>
        <s v="Session on A350 benches (CGIB, EFIB, avncs) (estimation, total = 1900) (-Total HTW 2018 =1084) (dt recep HTW = 271)" u="1"/>
        <s v="Simulator session on S01 S1" u="1"/>
        <s v="Architecture SSCVR: def + valid" u="1"/>
        <s v="Bench Manager IB" u="1"/>
        <s v="Sup &amp; Op on FIB (AMO support + SFC) Q1" u="1"/>
        <s v="A350 simulators sessions Q4 (estimation: total  = 1850)" u="1"/>
      </sharedItems>
    </cacheField>
    <cacheField name="Commentaires" numFmtId="0">
      <sharedItems containsBlank="1"/>
    </cacheField>
    <cacheField name="SPARE" numFmtId="0">
      <sharedItems containsNonDate="0" containsString="0" containsBlank="1"/>
    </cacheField>
    <cacheField name="Début" numFmtId="14">
      <sharedItems containsNonDate="0" containsDate="1" containsString="0" containsBlank="1" minDate="2019-01-01T00:00:00" maxDate="2019-11-02T00:00:00" count="7">
        <d v="2019-01-01T00:00:00"/>
        <d v="2019-04-01T00:00:00"/>
        <d v="2019-07-01T00:00:00"/>
        <d v="2019-10-01T00:00:00"/>
        <m/>
        <d v="2019-03-01T00:00:00" u="1"/>
        <d v="2019-11-01T00:00:00" u="1"/>
      </sharedItems>
    </cacheField>
    <cacheField name="Fin" numFmtId="14">
      <sharedItems containsNonDate="0" containsDate="1" containsString="0" containsBlank="1" minDate="2019-03-31T00:00:00" maxDate="2020-01-01T00:00:00" count="9">
        <d v="2019-03-31T00:00:00"/>
        <d v="2019-06-30T00:00:00"/>
        <d v="2019-09-30T00:00:00"/>
        <d v="2019-12-31T00:00:00"/>
        <m/>
        <d v="2019-08-01T00:00:00" u="1"/>
        <d v="2019-12-01T00:00:00" u="1"/>
        <d v="2019-10-01T00:00:00" u="1"/>
        <d v="2019-09-01T00:00:00" u="1"/>
      </sharedItems>
    </cacheField>
    <cacheField name="Facteur" numFmtId="0">
      <sharedItems containsString="0" containsBlank="1" containsNumber="1" minValue="0.5" maxValue="1050" count="67">
        <n v="3"/>
        <n v="1"/>
        <n v="1.5"/>
        <n v="4"/>
        <n v="2"/>
        <n v="28.06"/>
        <n v="10.81"/>
        <n v="20"/>
        <n v="6"/>
        <n v="30"/>
        <n v="10"/>
        <n v="25"/>
        <n v="198"/>
        <n v="714"/>
        <n v="162"/>
        <m/>
        <n v="34" u="1"/>
        <n v="164" u="1"/>
        <n v="100" u="1"/>
        <n v="1000" u="1"/>
        <n v="61" u="1"/>
        <n v="14" u="1"/>
        <n v="63" u="1"/>
        <n v="40" u="1"/>
        <n v="175" u="1"/>
        <n v="15" u="1"/>
        <n v="133" u="1"/>
        <n v="120" u="1"/>
        <n v="5.6" u="1"/>
        <n v="46" u="1"/>
        <n v="16" u="1"/>
        <n v="220" u="1"/>
        <n v="17" u="1"/>
        <n v="1050" u="1"/>
        <n v="50" u="1"/>
        <n v="300" u="1"/>
        <n v="18" u="1"/>
        <n v="500" u="1"/>
        <n v="19" u="1"/>
        <n v="2.5" u="1"/>
        <n v="54" u="1"/>
        <n v="7" u="1"/>
        <n v="160" u="1"/>
        <n v="58" u="1"/>
        <n v="700" u="1"/>
        <n v="60" u="1"/>
        <n v="37" u="1"/>
        <n v="106" u="1"/>
        <n v="8" u="1"/>
        <n v="370" u="1"/>
        <n v="150" u="1"/>
        <n v="9" u="1"/>
        <n v="200" u="1"/>
        <n v="250" u="1"/>
        <n v="1.25" u="1"/>
        <n v="27" u="1"/>
        <n v="166" u="1"/>
        <n v="47" u="1"/>
        <n v="101" u="1"/>
        <n v="460" u="1"/>
        <n v="80" u="1"/>
        <n v="11" u="1"/>
        <n v="350" u="1"/>
        <n v="543" u="1"/>
        <n v="450" u="1"/>
        <n v="1.4" u="1"/>
        <n v="0.5" u="1"/>
      </sharedItems>
    </cacheField>
    <cacheField name="Nb WU non affecté" numFmtId="2">
      <sharedItems containsMixedTypes="1" containsNumber="1" minValue="-25" maxValue="2.5"/>
    </cacheField>
    <cacheField name="Prix unitaire" numFmtId="2">
      <sharedItems containsMixedTypes="1" containsNumber="1" containsInteger="1" minValue="560" maxValue="10120"/>
    </cacheField>
    <cacheField name="Montant TOTAL" numFmtId="165">
      <sharedItems containsMixedTypes="1" containsNumber="1" minValue="580" maxValue="399840"/>
    </cacheField>
    <cacheField name="Jours GP" numFmtId="166">
      <sharedItems containsSemiMixedTypes="0" containsString="0" containsNumber="1" minValue="0" maxValue="107.10000000000002"/>
    </cacheField>
    <cacheField name="ETP GP" numFmtId="2">
      <sharedItems containsSemiMixedTypes="0" containsString="0" containsNumber="1" minValue="0" maxValue="0.49583333333333346"/>
    </cacheField>
    <cacheField name="Jours Tech" numFmtId="166">
      <sharedItems containsSemiMixedTypes="0" containsString="0" containsNumber="1" minValue="0" maxValue="606.9"/>
    </cacheField>
    <cacheField name="ETP Tech" numFmtId="2">
      <sharedItems containsSemiMixedTypes="0" containsString="0" containsNumber="1" minValue="0" maxValue="2.8097222222222222"/>
    </cacheField>
    <cacheField name="Total jour" numFmtId="166">
      <sharedItems containsSemiMixedTypes="0" containsString="0" containsNumber="1" minValue="0" maxValue="714"/>
    </cacheField>
    <cacheField name="ETP Tot" numFmtId="2">
      <sharedItems containsSemiMixedTypes="0" containsString="0" containsNumber="1" minValue="0" maxValue="3.3055555555555558"/>
    </cacheField>
    <cacheField name="Risque" numFmtId="166">
      <sharedItems containsBlank="1" count="4">
        <s v="At Risk"/>
        <s v="Sure"/>
        <s v="Opportunity"/>
        <m/>
      </sharedItems>
    </cacheField>
    <cacheField name="Budget Revue" numFmtId="166">
      <sharedItems containsBlank="1" count="2">
        <s v="x"/>
        <m/>
      </sharedItems>
    </cacheField>
    <cacheField name="Montant Revue" numFmtId="166">
      <sharedItems containsSemiMixedTypes="0" containsString="0" containsNumber="1" minValue="0" maxValue="399840"/>
    </cacheField>
    <cacheField name="jrs technique revue" numFmtId="166">
      <sharedItems containsSemiMixedTypes="0" containsString="0" containsNumber="1" minValue="0" maxValue="606.9"/>
    </cacheField>
    <cacheField name="jrs GP revue" numFmtId="166">
      <sharedItems containsSemiMixedTypes="0" containsString="0" containsNumber="1" minValue="0" maxValue="107.10000000000002"/>
    </cacheField>
    <cacheField name="JANVIER" numFmtId="166">
      <sharedItems containsMixedTypes="1" containsNumber="1" minValue="0.28333333333333333" maxValue="56.099999999999994"/>
    </cacheField>
    <cacheField name="FEVRIER" numFmtId="166">
      <sharedItems containsMixedTypes="1" containsNumber="1" minValue="0.28333333333333333" maxValue="56.099999999999994"/>
    </cacheField>
    <cacheField name="MARS" numFmtId="166">
      <sharedItems containsMixedTypes="1" containsNumber="1" minValue="0.28333333333333333" maxValue="56.099999999999994"/>
    </cacheField>
    <cacheField name="AVRIL" numFmtId="166">
      <sharedItems containsMixedTypes="1" containsNumber="1" minValue="7.8199999999999994" maxValue="202.29999999999998"/>
    </cacheField>
    <cacheField name="MAI" numFmtId="166">
      <sharedItems containsMixedTypes="1" containsNumber="1" minValue="7.8199999999999994" maxValue="202.29999999999998"/>
    </cacheField>
    <cacheField name="JUIN" numFmtId="166">
      <sharedItems containsMixedTypes="1" containsNumber="1" minValue="7.8199999999999994" maxValue="202.29999999999998"/>
    </cacheField>
    <cacheField name="JUILLET" numFmtId="166">
      <sharedItems containsMixedTypes="1" containsNumber="1" minValue="56.356133333333332" maxValue="202.29999999999998"/>
    </cacheField>
    <cacheField name="AOUT" numFmtId="166">
      <sharedItems containsMixedTypes="1" containsNumber="1" minValue="56.356133333333332" maxValue="202.29999999999998"/>
    </cacheField>
    <cacheField name="SEPTEMBRE" numFmtId="166">
      <sharedItems containsMixedTypes="1" containsNumber="1" minValue="56.356133333333332" maxValue="202.29999999999998"/>
    </cacheField>
    <cacheField name="OCTOBRE" numFmtId="166">
      <sharedItems containsMixedTypes="1" containsNumber="1" minValue="56.356133333333332" maxValue="202.29999999999998"/>
    </cacheField>
    <cacheField name="NOVEMBRE" numFmtId="166">
      <sharedItems containsMixedTypes="1" containsNumber="1" minValue="56.356133333333332" maxValue="202.29999999999998"/>
    </cacheField>
    <cacheField name="DECEMBRE" numFmtId="166">
      <sharedItems containsMixedTypes="1" containsNumber="1" minValue="56.356133333333332" maxValue="202.29999999999998"/>
    </cacheField>
    <cacheField name="verif" numFmtId="166">
      <sharedItems containsMixedTypes="1" containsNumber="1" containsInteger="1" minValue="0" maxValue="0"/>
    </cacheField>
    <cacheField name="JANVIER2" numFmtId="193">
      <sharedItems containsMixedTypes="1" containsNumber="1" minValue="193.33333333333334" maxValue="36960"/>
    </cacheField>
    <cacheField name="FEVRIER2" numFmtId="193">
      <sharedItems containsMixedTypes="1" containsNumber="1" minValue="193.33333333333334" maxValue="36960"/>
    </cacheField>
    <cacheField name="MARS2" numFmtId="193">
      <sharedItems containsMixedTypes="1" containsNumber="1" minValue="193.33333333333334" maxValue="36960"/>
    </cacheField>
    <cacheField name="AVRIL2" numFmtId="193">
      <sharedItems containsMixedTypes="1" containsNumber="1" minValue="5060" maxValue="133280"/>
    </cacheField>
    <cacheField name="MAI2" numFmtId="193">
      <sharedItems containsMixedTypes="1" containsNumber="1" minValue="5060" maxValue="133280"/>
    </cacheField>
    <cacheField name="JUIN2" numFmtId="193">
      <sharedItems containsMixedTypes="1" containsNumber="1" minValue="5060" maxValue="133280"/>
    </cacheField>
    <cacheField name="JUILLET2" numFmtId="193">
      <sharedItems containsMixedTypes="1" containsNumber="1" minValue="36465.733333333337" maxValue="133280"/>
    </cacheField>
    <cacheField name="AOUT2" numFmtId="193">
      <sharedItems containsMixedTypes="1" containsNumber="1" minValue="36465.733333333337" maxValue="133280"/>
    </cacheField>
    <cacheField name="SEPTEMBRE2" numFmtId="193">
      <sharedItems containsMixedTypes="1" containsNumber="1" minValue="36465.733333333337" maxValue="133280"/>
    </cacheField>
    <cacheField name="OCTOBRE2" numFmtId="193">
      <sharedItems containsMixedTypes="1" containsNumber="1" minValue="36465.733333333337" maxValue="133280"/>
    </cacheField>
    <cacheField name="NOVEMBRE2" numFmtId="193">
      <sharedItems containsMixedTypes="1" containsNumber="1" minValue="36465.733333333337" maxValue="133280"/>
    </cacheField>
    <cacheField name="DECEMBRE2" numFmtId="193">
      <sharedItems containsMixedTypes="1" containsNumber="1" minValue="36465.733333333337" maxValue="133280"/>
    </cacheField>
    <cacheField name="veril2" numFmtId="165">
      <sharedItems containsMixedTypes="1" containsNumber="1" containsInteger="1" minValue="0" maxValue="0"/>
    </cacheField>
    <cacheField name="Qté Réception 01/2019" numFmtId="0">
      <sharedItems containsNonDate="0" containsString="0" containsBlank="1"/>
    </cacheField>
    <cacheField name="Qté Réception 02/2019" numFmtId="0">
      <sharedItems containsNonDate="0" containsString="0" containsBlank="1"/>
    </cacheField>
    <cacheField name="Qté Réception 03/2019" numFmtId="0">
      <sharedItems containsNonDate="0" containsString="0" containsBlank="1"/>
    </cacheField>
    <cacheField name="Qté Réception 04/2019" numFmtId="0">
      <sharedItems containsNonDate="0" containsString="0" containsBlank="1"/>
    </cacheField>
    <cacheField name="Qté Réception 05/2019" numFmtId="0">
      <sharedItems containsNonDate="0" containsString="0" containsBlank="1"/>
    </cacheField>
    <cacheField name="Qté Réception 06/2019" numFmtId="0">
      <sharedItems containsNonDate="0" containsString="0" containsBlank="1"/>
    </cacheField>
    <cacheField name="Qté Réception 07/2019" numFmtId="0">
      <sharedItems containsNonDate="0" containsString="0" containsBlank="1"/>
    </cacheField>
    <cacheField name="Qté Réception 08/2019" numFmtId="0">
      <sharedItems containsNonDate="0" containsString="0" containsBlank="1"/>
    </cacheField>
    <cacheField name="Qté Réception 09/2019" numFmtId="0">
      <sharedItems containsNonDate="0" containsString="0" containsBlank="1"/>
    </cacheField>
    <cacheField name="Qté Réception 10/2019" numFmtId="0">
      <sharedItems containsNonDate="0" containsString="0" containsBlank="1"/>
    </cacheField>
    <cacheField name="Qté Réception 11/2019" numFmtId="0">
      <sharedItems containsNonDate="0" containsString="0" containsBlank="1"/>
    </cacheField>
    <cacheField name="Qté Réception 12/2019" numFmtId="0">
      <sharedItems containsNonDate="0" containsString="0" containsBlank="1"/>
    </cacheField>
    <cacheField name="Total item réceptionné" numFmtId="0">
      <sharedItems containsSemiMixedTypes="0" containsString="0" containsNumber="1" containsInteger="1" minValue="0" maxValue="0"/>
    </cacheField>
    <cacheField name="Montant restant à réceptionner" numFmtId="0">
      <sharedItems containsBlank="1" containsMixedTypes="1" containsNumber="1" containsInteger="1" minValue="0" maxValue="50550"/>
    </cacheField>
    <cacheField name="Montant total réceptionné" numFmtId="0">
      <sharedItems containsSemiMixedTypes="0" containsString="0" containsNumber="1" containsInteger="1" minValue="0" maxValue="0"/>
    </cacheField>
    <cacheField name="Total items restant à receptionner" numFmtId="0">
      <sharedItems containsSemiMixedTypes="0" containsString="0" containsNumber="1" minValue="0" maxValue="714"/>
    </cacheField>
    <cacheField name="Poste Clos" numFmtId="0">
      <sharedItems containsNonDate="0" containsString="0" containsBlank="1"/>
    </cacheField>
    <cacheField name="BL" numFmtId="0">
      <sharedItems containsNonDate="0" containsString="0" containsBlank="1"/>
    </cacheField>
    <cacheField name="JCD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onel VIGNE" refreshedDate="43816.66635" createdVersion="4" refreshedVersion="6" minRefreshableVersion="3" recordCount="36">
  <cacheSource type="worksheet">
    <worksheetSource ref="B17:W56" sheet="Capacitaire "/>
  </cacheSource>
  <cacheFields count="22">
    <cacheField name="Ressource" numFmtId="0">
      <sharedItems containsBlank="1" count="34">
        <s v="Adrien LUNES"/>
        <s v="Augustin REVERTE"/>
        <s v="Bamadi DEMBELE"/>
        <s v="Cédric JOZWAK"/>
        <s v="Charles HERTZ"/>
        <s v="Chloé VERMALE"/>
        <s v="Dominique BERTHEBAUD"/>
        <s v="Jake MATTHEWS"/>
        <s v="Jérémy FERRY"/>
        <s v="Jerome COUMELONGUE"/>
        <s v="Julien THULLIER"/>
        <s v="Julien MARSAT"/>
        <s v="Katia ROULLET"/>
        <s v="Ludovic Lam  Shang Leen"/>
        <s v="Marc BORDENAVE"/>
        <s v="Matthieu GUERRIER"/>
        <s v="Mourad ABAZA"/>
        <s v="Muriel RIPERT"/>
        <s v="Nicholas ANTOINE"/>
        <s v="Pascale LEFORT"/>
        <s v="Pascal VAISSIERE"/>
        <s v="Philippe PRADERE"/>
        <s v="Pierre GISCLONG"/>
        <s v="Pierre-Marie BRIAND"/>
        <s v="Robin ROUANET"/>
        <s v="Salwa ALAMI"/>
        <s v="Sandy VASLON"/>
        <s v="Sara MAMANIY"/>
        <s v="Thomas CANDIARD"/>
        <s v="Thomas MAZOYER"/>
        <s v="Vincent PELLEFIGUE"/>
        <s v="Viviana MARTINEZ"/>
        <s v="Yannick LEGOUIX"/>
        <m u="1"/>
      </sharedItems>
    </cacheField>
    <cacheField name="Company" numFmtId="0">
      <sharedItems containsBlank="1"/>
    </cacheField>
    <cacheField name="WP" numFmtId="0">
      <sharedItems/>
    </cacheField>
    <cacheField name="Business" numFmtId="0">
      <sharedItems/>
    </cacheField>
    <cacheField name="Program" numFmtId="0">
      <sharedItems containsNonDate="0" containsString="0" containsBlank="1"/>
    </cacheField>
    <cacheField name="Team" numFmtId="0">
      <sharedItems containsBlank="1"/>
    </cacheField>
    <cacheField name="OLGA" numFmtId="2">
      <sharedItems containsBlank="1" count="5">
        <s v="3173-10"/>
        <s v="3173-12"/>
        <s v="3173-11"/>
        <m u="1"/>
        <s v="2768-04" u="1"/>
      </sharedItems>
    </cacheField>
    <cacheField name="Arrival" numFmtId="14">
      <sharedItems containsNonDate="0" containsDate="1" containsString="0" containsBlank="1" minDate="2019-01-01T00:00:00" maxDate="2019-01-02T00:00:00"/>
    </cacheField>
    <cacheField name="Departure" numFmtId="14">
      <sharedItems containsNonDate="0" containsDate="1" containsString="0" containsBlank="1" minDate="2019-12-31T00:00:00" maxDate="2020-01-01T00:00:00"/>
    </cacheField>
    <cacheField name="Planned Days" numFmtId="1">
      <sharedItems containsString="0" containsBlank="1" containsNumber="1" containsInteger="1" minValue="0" maxValue="0"/>
    </cacheField>
    <cacheField name="janv.-20" numFmtId="2">
      <sharedItems containsNonDate="0" containsString="0" containsBlank="1"/>
    </cacheField>
    <cacheField name="févr.-20" numFmtId="2">
      <sharedItems containsNonDate="0" containsString="0" containsBlank="1"/>
    </cacheField>
    <cacheField name="mars-20" numFmtId="2">
      <sharedItems containsNonDate="0" containsString="0" containsBlank="1"/>
    </cacheField>
    <cacheField name="avr.-20" numFmtId="2">
      <sharedItems containsNonDate="0" containsString="0" containsBlank="1"/>
    </cacheField>
    <cacheField name="mai-20" numFmtId="2">
      <sharedItems containsNonDate="0" containsString="0" containsBlank="1"/>
    </cacheField>
    <cacheField name="juin-20" numFmtId="2">
      <sharedItems containsNonDate="0" containsString="0" containsBlank="1"/>
    </cacheField>
    <cacheField name="juil.-20" numFmtId="2">
      <sharedItems containsNonDate="0" containsString="0" containsBlank="1"/>
    </cacheField>
    <cacheField name="août-20" numFmtId="2">
      <sharedItems containsNonDate="0" containsString="0" containsBlank="1"/>
    </cacheField>
    <cacheField name="sept.-20" numFmtId="2">
      <sharedItems containsNonDate="0" containsString="0" containsBlank="1"/>
    </cacheField>
    <cacheField name="oct.-20" numFmtId="2">
      <sharedItems containsNonDate="0" containsString="0" containsBlank="1"/>
    </cacheField>
    <cacheField name="nov.-20" numFmtId="2">
      <sharedItems containsNonDate="0" containsString="0" containsBlank="1"/>
    </cacheField>
    <cacheField name="déc.-20" numFmtId="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37">
  <r>
    <n v="146830"/>
    <n v="10783"/>
    <x v="0"/>
    <n v="8"/>
    <n v="8"/>
    <n v="0"/>
    <n v="8"/>
    <x v="0"/>
  </r>
  <r>
    <n v="146831"/>
    <n v="10783"/>
    <x v="0"/>
    <n v="8"/>
    <n v="7.5"/>
    <n v="1"/>
    <n v="8.5"/>
    <x v="0"/>
  </r>
  <r>
    <n v="146832"/>
    <n v="10783"/>
    <x v="1"/>
    <n v="16"/>
    <n v="18.75"/>
    <n v="2.25"/>
    <n v="21"/>
    <x v="0"/>
  </r>
  <r>
    <n v="146841"/>
    <n v="10783"/>
    <x v="0"/>
    <n v="3"/>
    <n v="0.5"/>
    <n v="0"/>
    <n v="0.5"/>
    <x v="0"/>
  </r>
  <r>
    <n v="146843"/>
    <n v="10783"/>
    <x v="2"/>
    <n v="0"/>
    <n v="1.75"/>
    <n v="0"/>
    <n v="1.75"/>
    <x v="0"/>
  </r>
  <r>
    <n v="149925"/>
    <n v="10011"/>
    <x v="3"/>
    <m/>
    <n v="0"/>
    <n v="0"/>
    <n v="0"/>
    <x v="1"/>
  </r>
  <r>
    <n v="149926"/>
    <n v="10011"/>
    <x v="4"/>
    <m/>
    <n v="21.64"/>
    <n v="0"/>
    <n v="21.64"/>
    <x v="1"/>
  </r>
  <r>
    <n v="149927"/>
    <n v="10011"/>
    <x v="5"/>
    <m/>
    <n v="12.3"/>
    <n v="0"/>
    <n v="12.3"/>
    <x v="1"/>
  </r>
  <r>
    <n v="149928"/>
    <n v="10011"/>
    <x v="6"/>
    <m/>
    <n v="0"/>
    <n v="0"/>
    <n v="0"/>
    <x v="1"/>
  </r>
  <r>
    <n v="149929"/>
    <n v="10011"/>
    <x v="7"/>
    <m/>
    <n v="0.6"/>
    <n v="0"/>
    <n v="0.6"/>
    <x v="1"/>
  </r>
  <r>
    <n v="149932"/>
    <n v="10011"/>
    <x v="8"/>
    <m/>
    <n v="0"/>
    <n v="0"/>
    <n v="0"/>
    <x v="1"/>
  </r>
  <r>
    <n v="149933"/>
    <n v="10011"/>
    <x v="9"/>
    <m/>
    <n v="1.6"/>
    <n v="0"/>
    <n v="1.6"/>
    <x v="1"/>
  </r>
  <r>
    <n v="149934"/>
    <n v="10011"/>
    <x v="10"/>
    <m/>
    <n v="0.2"/>
    <n v="0"/>
    <n v="0.2"/>
    <x v="1"/>
  </r>
  <r>
    <n v="149935"/>
    <n v="10011"/>
    <x v="11"/>
    <m/>
    <n v="1.7"/>
    <n v="0"/>
    <n v="1.7"/>
    <x v="1"/>
  </r>
  <r>
    <n v="149939"/>
    <n v="10011"/>
    <x v="6"/>
    <m/>
    <n v="0"/>
    <n v="0"/>
    <n v="0"/>
    <x v="1"/>
  </r>
  <r>
    <n v="149940"/>
    <n v="10011"/>
    <x v="12"/>
    <m/>
    <n v="0"/>
    <n v="0"/>
    <n v="0"/>
    <x v="1"/>
  </r>
  <r>
    <n v="149941"/>
    <n v="10011"/>
    <x v="13"/>
    <m/>
    <n v="0.9"/>
    <n v="0"/>
    <n v="0.9"/>
    <x v="1"/>
  </r>
  <r>
    <n v="149942"/>
    <n v="10011"/>
    <x v="14"/>
    <m/>
    <n v="1.2"/>
    <n v="0"/>
    <n v="1.2"/>
    <x v="1"/>
  </r>
  <r>
    <n v="149943"/>
    <n v="10011"/>
    <x v="15"/>
    <m/>
    <n v="0.3"/>
    <n v="0"/>
    <n v="0.3"/>
    <x v="1"/>
  </r>
  <r>
    <n v="149944"/>
    <n v="10011"/>
    <x v="16"/>
    <m/>
    <n v="1"/>
    <n v="0"/>
    <n v="1"/>
    <x v="1"/>
  </r>
  <r>
    <n v="149945"/>
    <n v="10011"/>
    <x v="17"/>
    <m/>
    <n v="1.04"/>
    <n v="0"/>
    <n v="1.04"/>
    <x v="1"/>
  </r>
  <r>
    <n v="149946"/>
    <n v="10011"/>
    <x v="18"/>
    <m/>
    <n v="0.6"/>
    <n v="0"/>
    <n v="0.6"/>
    <x v="1"/>
  </r>
  <r>
    <n v="149947"/>
    <n v="10011"/>
    <x v="19"/>
    <m/>
    <n v="0.5"/>
    <n v="0"/>
    <n v="0.5"/>
    <x v="1"/>
  </r>
  <r>
    <n v="149948"/>
    <n v="10011"/>
    <x v="20"/>
    <m/>
    <n v="5.2"/>
    <n v="0"/>
    <n v="5.2"/>
    <x v="1"/>
  </r>
  <r>
    <n v="149950"/>
    <n v="10011"/>
    <x v="21"/>
    <m/>
    <n v="1.25"/>
    <n v="0"/>
    <n v="1.25"/>
    <x v="1"/>
  </r>
  <r>
    <n v="149955"/>
    <n v="10011"/>
    <x v="22"/>
    <m/>
    <n v="0.75"/>
    <n v="0"/>
    <n v="0.75"/>
    <x v="1"/>
  </r>
  <r>
    <n v="149956"/>
    <n v="10011"/>
    <x v="23"/>
    <m/>
    <n v="0.4"/>
    <n v="0"/>
    <n v="0.4"/>
    <x v="1"/>
  </r>
  <r>
    <n v="149957"/>
    <n v="10011"/>
    <x v="11"/>
    <m/>
    <n v="0.25"/>
    <n v="0"/>
    <n v="0.25"/>
    <x v="1"/>
  </r>
  <r>
    <n v="149958"/>
    <n v="10011"/>
    <x v="24"/>
    <m/>
    <n v="1.3"/>
    <n v="0"/>
    <n v="1.3"/>
    <x v="1"/>
  </r>
  <r>
    <n v="149959"/>
    <n v="10011"/>
    <x v="25"/>
    <m/>
    <n v="0"/>
    <n v="0"/>
    <n v="0"/>
    <x v="1"/>
  </r>
  <r>
    <n v="149966"/>
    <n v="10010"/>
    <x v="3"/>
    <m/>
    <n v="3.45"/>
    <n v="0"/>
    <n v="3.45"/>
    <x v="1"/>
  </r>
  <r>
    <n v="149967"/>
    <n v="10010"/>
    <x v="4"/>
    <m/>
    <n v="2.57"/>
    <n v="0"/>
    <n v="2.57"/>
    <x v="1"/>
  </r>
  <r>
    <n v="149968"/>
    <n v="10010"/>
    <x v="5"/>
    <m/>
    <n v="3.6"/>
    <n v="0"/>
    <n v="3.6"/>
    <x v="1"/>
  </r>
  <r>
    <n v="149969"/>
    <n v="10010"/>
    <x v="6"/>
    <m/>
    <n v="0.5"/>
    <n v="0"/>
    <n v="0.5"/>
    <x v="1"/>
  </r>
  <r>
    <n v="149970"/>
    <n v="10010"/>
    <x v="7"/>
    <m/>
    <n v="7.44"/>
    <n v="0"/>
    <n v="7.44"/>
    <x v="1"/>
  </r>
  <r>
    <n v="149971"/>
    <n v="10010"/>
    <x v="8"/>
    <m/>
    <n v="3.7"/>
    <n v="0"/>
    <n v="3.7"/>
    <x v="1"/>
  </r>
  <r>
    <n v="149972"/>
    <n v="10010"/>
    <x v="9"/>
    <m/>
    <n v="0.8"/>
    <n v="0"/>
    <n v="0.8"/>
    <x v="1"/>
  </r>
  <r>
    <n v="149973"/>
    <n v="10010"/>
    <x v="10"/>
    <m/>
    <n v="2.75"/>
    <n v="0"/>
    <n v="2.75"/>
    <x v="1"/>
  </r>
  <r>
    <n v="149974"/>
    <n v="10010"/>
    <x v="11"/>
    <m/>
    <n v="2.2000000000000002"/>
    <n v="0"/>
    <n v="2.2000000000000002"/>
    <x v="1"/>
  </r>
  <r>
    <n v="149975"/>
    <n v="10010"/>
    <x v="6"/>
    <m/>
    <n v="0"/>
    <n v="0"/>
    <n v="0"/>
    <x v="1"/>
  </r>
  <r>
    <n v="149976"/>
    <n v="10010"/>
    <x v="12"/>
    <m/>
    <n v="2.5499999999999998"/>
    <n v="0"/>
    <n v="2.5499999999999998"/>
    <x v="1"/>
  </r>
  <r>
    <n v="149977"/>
    <n v="10010"/>
    <x v="13"/>
    <m/>
    <n v="4.8499999999999996"/>
    <n v="0"/>
    <n v="4.8499999999999996"/>
    <x v="1"/>
  </r>
  <r>
    <n v="149978"/>
    <n v="10010"/>
    <x v="14"/>
    <m/>
    <n v="5.6"/>
    <n v="0"/>
    <n v="5.6"/>
    <x v="1"/>
  </r>
  <r>
    <n v="149979"/>
    <n v="10010"/>
    <x v="15"/>
    <m/>
    <n v="3.4"/>
    <n v="0"/>
    <n v="3.4"/>
    <x v="1"/>
  </r>
  <r>
    <n v="149980"/>
    <n v="10010"/>
    <x v="16"/>
    <m/>
    <n v="5.5"/>
    <n v="0"/>
    <n v="5.5"/>
    <x v="1"/>
  </r>
  <r>
    <n v="149981"/>
    <n v="10010"/>
    <x v="17"/>
    <m/>
    <n v="1.2"/>
    <n v="0"/>
    <n v="1.2"/>
    <x v="1"/>
  </r>
  <r>
    <n v="149982"/>
    <n v="10010"/>
    <x v="18"/>
    <m/>
    <n v="3.66"/>
    <n v="0"/>
    <n v="3.66"/>
    <x v="1"/>
  </r>
  <r>
    <n v="149983"/>
    <n v="10010"/>
    <x v="19"/>
    <m/>
    <n v="3.6"/>
    <n v="0"/>
    <n v="3.6"/>
    <x v="1"/>
  </r>
  <r>
    <n v="149984"/>
    <n v="10010"/>
    <x v="20"/>
    <m/>
    <n v="6.1"/>
    <n v="0"/>
    <n v="6.1"/>
    <x v="1"/>
  </r>
  <r>
    <n v="149985"/>
    <n v="10010"/>
    <x v="21"/>
    <m/>
    <n v="4.3499999999999996"/>
    <n v="0"/>
    <n v="4.3499999999999996"/>
    <x v="1"/>
  </r>
  <r>
    <n v="149986"/>
    <n v="10010"/>
    <x v="22"/>
    <m/>
    <n v="4.4000000000000004"/>
    <n v="0"/>
    <n v="4.4000000000000004"/>
    <x v="1"/>
  </r>
  <r>
    <n v="149987"/>
    <n v="10010"/>
    <x v="23"/>
    <m/>
    <n v="4.3899999999999997"/>
    <n v="0"/>
    <n v="4.3899999999999997"/>
    <x v="1"/>
  </r>
  <r>
    <n v="149988"/>
    <n v="10010"/>
    <x v="11"/>
    <m/>
    <n v="3.52"/>
    <n v="0"/>
    <n v="3.52"/>
    <x v="1"/>
  </r>
  <r>
    <n v="149989"/>
    <n v="10010"/>
    <x v="24"/>
    <m/>
    <n v="5.45"/>
    <n v="0"/>
    <n v="5.45"/>
    <x v="1"/>
  </r>
  <r>
    <n v="149990"/>
    <n v="10010"/>
    <x v="25"/>
    <m/>
    <n v="0"/>
    <n v="0"/>
    <n v="0"/>
    <x v="1"/>
  </r>
  <r>
    <n v="149992"/>
    <n v="10010"/>
    <x v="3"/>
    <m/>
    <n v="1.9"/>
    <n v="0"/>
    <n v="1.9"/>
    <x v="1"/>
  </r>
  <r>
    <n v="149993"/>
    <n v="10010"/>
    <x v="4"/>
    <m/>
    <n v="4.28"/>
    <n v="0"/>
    <n v="4.28"/>
    <x v="1"/>
  </r>
  <r>
    <n v="149999"/>
    <n v="10010"/>
    <x v="10"/>
    <m/>
    <n v="3.5"/>
    <n v="0"/>
    <n v="3.5"/>
    <x v="1"/>
  </r>
  <r>
    <n v="150003"/>
    <n v="10010"/>
    <x v="13"/>
    <m/>
    <n v="8.4"/>
    <n v="0"/>
    <n v="8.4"/>
    <x v="1"/>
  </r>
  <r>
    <n v="150004"/>
    <n v="10010"/>
    <x v="14"/>
    <m/>
    <n v="6.5"/>
    <n v="0"/>
    <n v="6.5"/>
    <x v="1"/>
  </r>
  <r>
    <n v="150007"/>
    <n v="10010"/>
    <x v="17"/>
    <m/>
    <n v="2.6"/>
    <n v="0"/>
    <n v="2.6"/>
    <x v="1"/>
  </r>
  <r>
    <n v="150010"/>
    <n v="10010"/>
    <x v="20"/>
    <m/>
    <n v="5.8"/>
    <n v="0"/>
    <n v="5.8"/>
    <x v="1"/>
  </r>
  <r>
    <n v="150018"/>
    <n v="10010"/>
    <x v="3"/>
    <m/>
    <n v="80.650000000000006"/>
    <n v="0"/>
    <n v="80.650000000000006"/>
    <x v="1"/>
  </r>
  <r>
    <n v="150019"/>
    <n v="10010"/>
    <x v="4"/>
    <m/>
    <n v="7.79"/>
    <n v="0"/>
    <n v="7.79"/>
    <x v="1"/>
  </r>
  <r>
    <n v="150020"/>
    <n v="10010"/>
    <x v="10"/>
    <m/>
    <n v="2.8"/>
    <n v="0"/>
    <n v="2.8"/>
    <x v="1"/>
  </r>
  <r>
    <n v="150021"/>
    <n v="10010"/>
    <x v="13"/>
    <m/>
    <n v="0.45"/>
    <n v="0"/>
    <n v="0.45"/>
    <x v="1"/>
  </r>
  <r>
    <n v="150022"/>
    <n v="10010"/>
    <x v="14"/>
    <m/>
    <n v="71.2"/>
    <n v="0"/>
    <n v="71.2"/>
    <x v="1"/>
  </r>
  <r>
    <n v="150023"/>
    <n v="10010"/>
    <x v="17"/>
    <m/>
    <n v="0.2"/>
    <n v="0"/>
    <n v="0.2"/>
    <x v="1"/>
  </r>
  <r>
    <n v="150024"/>
    <n v="10010"/>
    <x v="20"/>
    <m/>
    <n v="11.9"/>
    <n v="0"/>
    <n v="11.9"/>
    <x v="1"/>
  </r>
  <r>
    <n v="150026"/>
    <n v="10010"/>
    <x v="3"/>
    <m/>
    <n v="0"/>
    <n v="0"/>
    <n v="0"/>
    <x v="1"/>
  </r>
  <r>
    <n v="150029"/>
    <n v="10010"/>
    <x v="13"/>
    <m/>
    <n v="42"/>
    <n v="0"/>
    <n v="42"/>
    <x v="1"/>
  </r>
  <r>
    <n v="150030"/>
    <n v="10010"/>
    <x v="14"/>
    <m/>
    <n v="40.1"/>
    <n v="0"/>
    <n v="40.1"/>
    <x v="1"/>
  </r>
  <r>
    <n v="150032"/>
    <n v="10010"/>
    <x v="20"/>
    <m/>
    <n v="12.65"/>
    <n v="0"/>
    <n v="12.65"/>
    <x v="1"/>
  </r>
  <r>
    <n v="150033"/>
    <n v="10019"/>
    <x v="15"/>
    <n v="151.19999999999999"/>
    <n v="96.25"/>
    <n v="54.95"/>
    <n v="151.19999999999999"/>
    <x v="1"/>
  </r>
  <r>
    <n v="150034"/>
    <n v="10019"/>
    <x v="21"/>
    <n v="151.19999999999999"/>
    <n v="112.2"/>
    <n v="39"/>
    <n v="151.19999999999999"/>
    <x v="1"/>
  </r>
  <r>
    <n v="150035"/>
    <n v="10019"/>
    <x v="25"/>
    <n v="75.599999999999994"/>
    <n v="90"/>
    <n v="0"/>
    <n v="90"/>
    <x v="1"/>
  </r>
  <r>
    <n v="150039"/>
    <n v="10019"/>
    <x v="25"/>
    <n v="109"/>
    <n v="88.5"/>
    <n v="0"/>
    <n v="88.5"/>
    <x v="1"/>
  </r>
  <r>
    <n v="150041"/>
    <n v="10012"/>
    <x v="3"/>
    <m/>
    <n v="0"/>
    <n v="0"/>
    <n v="0"/>
    <x v="1"/>
  </r>
  <r>
    <n v="150042"/>
    <n v="10012"/>
    <x v="4"/>
    <m/>
    <n v="7.07"/>
    <n v="0"/>
    <n v="7.07"/>
    <x v="1"/>
  </r>
  <r>
    <n v="150043"/>
    <n v="10012"/>
    <x v="5"/>
    <m/>
    <n v="1.5"/>
    <n v="0"/>
    <n v="1.5"/>
    <x v="1"/>
  </r>
  <r>
    <n v="150044"/>
    <n v="10012"/>
    <x v="6"/>
    <m/>
    <n v="5.6"/>
    <n v="0"/>
    <n v="5.6"/>
    <x v="1"/>
  </r>
  <r>
    <n v="150045"/>
    <n v="10012"/>
    <x v="7"/>
    <m/>
    <n v="34.840000000000003"/>
    <n v="0"/>
    <n v="34.840000000000003"/>
    <x v="1"/>
  </r>
  <r>
    <n v="150046"/>
    <n v="10012"/>
    <x v="8"/>
    <m/>
    <n v="16.399999999999999"/>
    <n v="0"/>
    <n v="16.399999999999999"/>
    <x v="1"/>
  </r>
  <r>
    <n v="150047"/>
    <n v="10012"/>
    <x v="9"/>
    <m/>
    <n v="23.6"/>
    <n v="0"/>
    <n v="23.6"/>
    <x v="1"/>
  </r>
  <r>
    <n v="150048"/>
    <n v="10012"/>
    <x v="10"/>
    <m/>
    <n v="14.5"/>
    <n v="0"/>
    <n v="14.5"/>
    <x v="1"/>
  </r>
  <r>
    <n v="150049"/>
    <n v="10012"/>
    <x v="11"/>
    <m/>
    <n v="32.450000000000003"/>
    <n v="0"/>
    <n v="32.450000000000003"/>
    <x v="1"/>
  </r>
  <r>
    <n v="150050"/>
    <n v="10012"/>
    <x v="6"/>
    <m/>
    <n v="0"/>
    <n v="0"/>
    <n v="0"/>
    <x v="1"/>
  </r>
  <r>
    <n v="150051"/>
    <n v="10012"/>
    <x v="12"/>
    <m/>
    <n v="12"/>
    <n v="0"/>
    <n v="12"/>
    <x v="1"/>
  </r>
  <r>
    <n v="150052"/>
    <n v="10012"/>
    <x v="13"/>
    <m/>
    <n v="23.9"/>
    <n v="0"/>
    <n v="23.9"/>
    <x v="1"/>
  </r>
  <r>
    <n v="150053"/>
    <n v="10012"/>
    <x v="14"/>
    <m/>
    <n v="11.3"/>
    <n v="0"/>
    <n v="11.3"/>
    <x v="1"/>
  </r>
  <r>
    <n v="150054"/>
    <n v="10012"/>
    <x v="15"/>
    <m/>
    <n v="3"/>
    <n v="0"/>
    <n v="3"/>
    <x v="1"/>
  </r>
  <r>
    <n v="150055"/>
    <n v="10012"/>
    <x v="16"/>
    <m/>
    <n v="8.9"/>
    <n v="0"/>
    <n v="8.9"/>
    <x v="1"/>
  </r>
  <r>
    <n v="150056"/>
    <n v="10012"/>
    <x v="17"/>
    <m/>
    <n v="24.68"/>
    <n v="0"/>
    <n v="24.68"/>
    <x v="1"/>
  </r>
  <r>
    <n v="150057"/>
    <n v="10012"/>
    <x v="18"/>
    <m/>
    <n v="47.68"/>
    <n v="0"/>
    <n v="47.68"/>
    <x v="1"/>
  </r>
  <r>
    <n v="150058"/>
    <n v="10012"/>
    <x v="19"/>
    <m/>
    <n v="30.9"/>
    <n v="0"/>
    <n v="30.9"/>
    <x v="1"/>
  </r>
  <r>
    <n v="150059"/>
    <n v="10012"/>
    <x v="20"/>
    <m/>
    <n v="0"/>
    <n v="0"/>
    <n v="0"/>
    <x v="1"/>
  </r>
  <r>
    <n v="150060"/>
    <n v="10012"/>
    <x v="21"/>
    <m/>
    <n v="17.8"/>
    <n v="0"/>
    <n v="17.8"/>
    <x v="1"/>
  </r>
  <r>
    <n v="150061"/>
    <n v="10012"/>
    <x v="22"/>
    <m/>
    <n v="33.35"/>
    <n v="0"/>
    <n v="33.35"/>
    <x v="1"/>
  </r>
  <r>
    <n v="150062"/>
    <n v="10012"/>
    <x v="23"/>
    <m/>
    <n v="30.85"/>
    <n v="0"/>
    <n v="30.85"/>
    <x v="1"/>
  </r>
  <r>
    <n v="150063"/>
    <n v="10012"/>
    <x v="11"/>
    <m/>
    <n v="3"/>
    <n v="0"/>
    <n v="3"/>
    <x v="1"/>
  </r>
  <r>
    <n v="150064"/>
    <n v="10012"/>
    <x v="24"/>
    <m/>
    <n v="26.6"/>
    <n v="0"/>
    <n v="26.6"/>
    <x v="1"/>
  </r>
  <r>
    <n v="150065"/>
    <n v="10012"/>
    <x v="25"/>
    <m/>
    <n v="0"/>
    <n v="0"/>
    <n v="0"/>
    <x v="1"/>
  </r>
  <r>
    <n v="150067"/>
    <n v="10014"/>
    <x v="3"/>
    <m/>
    <n v="0"/>
    <n v="0"/>
    <n v="0"/>
    <x v="1"/>
  </r>
  <r>
    <n v="150068"/>
    <n v="10014"/>
    <x v="4"/>
    <m/>
    <n v="2.4900000000000002"/>
    <n v="0"/>
    <n v="2.4900000000000002"/>
    <x v="1"/>
  </r>
  <r>
    <n v="150069"/>
    <n v="10014"/>
    <x v="5"/>
    <m/>
    <n v="1.4"/>
    <n v="0"/>
    <n v="1.4"/>
    <x v="1"/>
  </r>
  <r>
    <n v="150070"/>
    <n v="10014"/>
    <x v="6"/>
    <m/>
    <n v="4"/>
    <n v="0"/>
    <n v="4"/>
    <x v="1"/>
  </r>
  <r>
    <n v="150071"/>
    <n v="10014"/>
    <x v="7"/>
    <m/>
    <n v="49.07"/>
    <n v="0"/>
    <n v="49.07"/>
    <x v="1"/>
  </r>
  <r>
    <n v="150072"/>
    <n v="10014"/>
    <x v="8"/>
    <m/>
    <n v="22"/>
    <n v="0"/>
    <n v="22"/>
    <x v="1"/>
  </r>
  <r>
    <n v="150073"/>
    <n v="10014"/>
    <x v="9"/>
    <m/>
    <n v="34.1"/>
    <n v="0"/>
    <n v="34.1"/>
    <x v="1"/>
  </r>
  <r>
    <n v="150074"/>
    <n v="10014"/>
    <x v="10"/>
    <m/>
    <n v="15.25"/>
    <n v="0"/>
    <n v="15.25"/>
    <x v="1"/>
  </r>
  <r>
    <n v="150075"/>
    <n v="10014"/>
    <x v="11"/>
    <m/>
    <n v="9.1999999999999993"/>
    <n v="0"/>
    <n v="9.1999999999999993"/>
    <x v="1"/>
  </r>
  <r>
    <n v="150076"/>
    <n v="10014"/>
    <x v="6"/>
    <m/>
    <n v="0"/>
    <n v="0"/>
    <n v="0"/>
    <x v="1"/>
  </r>
  <r>
    <n v="150077"/>
    <n v="10014"/>
    <x v="12"/>
    <m/>
    <n v="37.549999999999997"/>
    <n v="0"/>
    <n v="37.549999999999997"/>
    <x v="1"/>
  </r>
  <r>
    <n v="150078"/>
    <n v="10014"/>
    <x v="13"/>
    <m/>
    <n v="37.65"/>
    <n v="0"/>
    <n v="37.65"/>
    <x v="1"/>
  </r>
  <r>
    <n v="150079"/>
    <n v="10014"/>
    <x v="14"/>
    <m/>
    <n v="18"/>
    <n v="0"/>
    <n v="18"/>
    <x v="1"/>
  </r>
  <r>
    <n v="150080"/>
    <n v="10014"/>
    <x v="15"/>
    <m/>
    <n v="2.4"/>
    <n v="0"/>
    <n v="2.4"/>
    <x v="1"/>
  </r>
  <r>
    <n v="150081"/>
    <n v="10014"/>
    <x v="16"/>
    <m/>
    <n v="14.4"/>
    <n v="0"/>
    <n v="14.4"/>
    <x v="1"/>
  </r>
  <r>
    <n v="150082"/>
    <n v="10014"/>
    <x v="17"/>
    <m/>
    <n v="40.229999999999997"/>
    <n v="0"/>
    <n v="40.229999999999997"/>
    <x v="1"/>
  </r>
  <r>
    <n v="150083"/>
    <n v="10014"/>
    <x v="18"/>
    <m/>
    <n v="41.79"/>
    <n v="0"/>
    <n v="41.79"/>
    <x v="1"/>
  </r>
  <r>
    <n v="150084"/>
    <n v="10014"/>
    <x v="19"/>
    <m/>
    <n v="53.1"/>
    <n v="0"/>
    <n v="53.1"/>
    <x v="1"/>
  </r>
  <r>
    <n v="150085"/>
    <n v="10014"/>
    <x v="20"/>
    <m/>
    <n v="0.75"/>
    <n v="0"/>
    <n v="0.75"/>
    <x v="1"/>
  </r>
  <r>
    <n v="150086"/>
    <n v="10014"/>
    <x v="21"/>
    <m/>
    <n v="16.899999999999999"/>
    <n v="0"/>
    <n v="16.899999999999999"/>
    <x v="1"/>
  </r>
  <r>
    <n v="150087"/>
    <n v="10014"/>
    <x v="22"/>
    <m/>
    <n v="45.5"/>
    <n v="0"/>
    <n v="45.5"/>
    <x v="1"/>
  </r>
  <r>
    <n v="150088"/>
    <n v="10014"/>
    <x v="23"/>
    <m/>
    <n v="41.13"/>
    <n v="0"/>
    <n v="41.13"/>
    <x v="1"/>
  </r>
  <r>
    <n v="150089"/>
    <n v="10014"/>
    <x v="11"/>
    <m/>
    <n v="26.2"/>
    <n v="0"/>
    <n v="26.2"/>
    <x v="1"/>
  </r>
  <r>
    <n v="150090"/>
    <n v="10014"/>
    <x v="24"/>
    <m/>
    <n v="62.1"/>
    <n v="0"/>
    <n v="62.1"/>
    <x v="1"/>
  </r>
  <r>
    <n v="150091"/>
    <n v="10014"/>
    <x v="25"/>
    <m/>
    <n v="0"/>
    <n v="0"/>
    <n v="0"/>
    <x v="1"/>
  </r>
  <r>
    <n v="150093"/>
    <n v="10014"/>
    <x v="3"/>
    <m/>
    <n v="0"/>
    <n v="0"/>
    <n v="0"/>
    <x v="1"/>
  </r>
  <r>
    <n v="150094"/>
    <n v="10014"/>
    <x v="4"/>
    <m/>
    <n v="5.74"/>
    <n v="0"/>
    <n v="5.74"/>
    <x v="1"/>
  </r>
  <r>
    <n v="150095"/>
    <n v="10014"/>
    <x v="5"/>
    <m/>
    <n v="5.5"/>
    <n v="0"/>
    <n v="5.5"/>
    <x v="1"/>
  </r>
  <r>
    <n v="150096"/>
    <n v="10014"/>
    <x v="6"/>
    <m/>
    <n v="0.4"/>
    <n v="0"/>
    <n v="0.4"/>
    <x v="1"/>
  </r>
  <r>
    <n v="150097"/>
    <n v="10014"/>
    <x v="7"/>
    <m/>
    <n v="15.8"/>
    <n v="0"/>
    <n v="15.8"/>
    <x v="1"/>
  </r>
  <r>
    <n v="150098"/>
    <n v="10014"/>
    <x v="8"/>
    <m/>
    <n v="3"/>
    <n v="0"/>
    <n v="3"/>
    <x v="1"/>
  </r>
  <r>
    <n v="150099"/>
    <n v="10014"/>
    <x v="9"/>
    <m/>
    <n v="8.9"/>
    <n v="0"/>
    <n v="8.9"/>
    <x v="1"/>
  </r>
  <r>
    <n v="150100"/>
    <n v="10014"/>
    <x v="10"/>
    <m/>
    <n v="7.5"/>
    <n v="0"/>
    <n v="7.5"/>
    <x v="1"/>
  </r>
  <r>
    <n v="150101"/>
    <n v="10014"/>
    <x v="11"/>
    <m/>
    <n v="4.09"/>
    <n v="0"/>
    <n v="4.09"/>
    <x v="1"/>
  </r>
  <r>
    <n v="150102"/>
    <n v="10014"/>
    <x v="6"/>
    <m/>
    <n v="0"/>
    <n v="0"/>
    <n v="0"/>
    <x v="1"/>
  </r>
  <r>
    <n v="150103"/>
    <n v="10014"/>
    <x v="12"/>
    <m/>
    <n v="0.7"/>
    <n v="0"/>
    <n v="0.7"/>
    <x v="1"/>
  </r>
  <r>
    <n v="150104"/>
    <n v="10014"/>
    <x v="13"/>
    <m/>
    <n v="0.75"/>
    <n v="0"/>
    <n v="0.75"/>
    <x v="1"/>
  </r>
  <r>
    <n v="150105"/>
    <n v="10014"/>
    <x v="14"/>
    <m/>
    <n v="6.5"/>
    <n v="0"/>
    <n v="6.5"/>
    <x v="1"/>
  </r>
  <r>
    <n v="150106"/>
    <n v="10014"/>
    <x v="15"/>
    <m/>
    <n v="0.2"/>
    <n v="0"/>
    <n v="0.2"/>
    <x v="1"/>
  </r>
  <r>
    <n v="150107"/>
    <n v="10014"/>
    <x v="16"/>
    <m/>
    <n v="7.1"/>
    <n v="0"/>
    <n v="7.1"/>
    <x v="1"/>
  </r>
  <r>
    <n v="150108"/>
    <n v="10014"/>
    <x v="17"/>
    <m/>
    <n v="5.63"/>
    <n v="0"/>
    <n v="5.63"/>
    <x v="1"/>
  </r>
  <r>
    <n v="150109"/>
    <n v="10014"/>
    <x v="18"/>
    <m/>
    <n v="1.99"/>
    <n v="0"/>
    <n v="1.99"/>
    <x v="1"/>
  </r>
  <r>
    <n v="150110"/>
    <n v="10014"/>
    <x v="19"/>
    <m/>
    <n v="4.5"/>
    <n v="0"/>
    <n v="4.5"/>
    <x v="1"/>
  </r>
  <r>
    <n v="150111"/>
    <n v="10014"/>
    <x v="20"/>
    <m/>
    <n v="5.52"/>
    <n v="0"/>
    <n v="5.52"/>
    <x v="1"/>
  </r>
  <r>
    <n v="150112"/>
    <n v="10014"/>
    <x v="21"/>
    <m/>
    <n v="1.7"/>
    <n v="0"/>
    <n v="1.7"/>
    <x v="1"/>
  </r>
  <r>
    <n v="150113"/>
    <n v="10014"/>
    <x v="22"/>
    <m/>
    <n v="2.5"/>
    <n v="0"/>
    <n v="2.5"/>
    <x v="1"/>
  </r>
  <r>
    <n v="150114"/>
    <n v="10014"/>
    <x v="23"/>
    <m/>
    <n v="3.25"/>
    <n v="0"/>
    <n v="3.25"/>
    <x v="1"/>
  </r>
  <r>
    <n v="150115"/>
    <n v="10014"/>
    <x v="11"/>
    <m/>
    <n v="0.65"/>
    <n v="0"/>
    <n v="0.65"/>
    <x v="1"/>
  </r>
  <r>
    <n v="150116"/>
    <n v="10014"/>
    <x v="24"/>
    <m/>
    <n v="7.35"/>
    <n v="0"/>
    <n v="7.35"/>
    <x v="1"/>
  </r>
  <r>
    <n v="150117"/>
    <n v="10014"/>
    <x v="25"/>
    <m/>
    <n v="0"/>
    <n v="0"/>
    <n v="0"/>
    <x v="1"/>
  </r>
  <r>
    <n v="150119"/>
    <n v="10013"/>
    <x v="3"/>
    <m/>
    <n v="0"/>
    <n v="0"/>
    <n v="0"/>
    <x v="1"/>
  </r>
  <r>
    <n v="150120"/>
    <n v="10013"/>
    <x v="4"/>
    <m/>
    <n v="0.83"/>
    <n v="0"/>
    <n v="0.83"/>
    <x v="1"/>
  </r>
  <r>
    <n v="150121"/>
    <n v="10013"/>
    <x v="5"/>
    <m/>
    <n v="0"/>
    <n v="0"/>
    <n v="0"/>
    <x v="1"/>
  </r>
  <r>
    <n v="150122"/>
    <n v="10013"/>
    <x v="6"/>
    <m/>
    <n v="0"/>
    <n v="0"/>
    <n v="0"/>
    <x v="1"/>
  </r>
  <r>
    <n v="150123"/>
    <n v="10013"/>
    <x v="7"/>
    <m/>
    <n v="12.3"/>
    <n v="0"/>
    <n v="12.3"/>
    <x v="1"/>
  </r>
  <r>
    <n v="150124"/>
    <n v="10013"/>
    <x v="8"/>
    <m/>
    <n v="2.8"/>
    <n v="0"/>
    <n v="2.8"/>
    <x v="1"/>
  </r>
  <r>
    <n v="150125"/>
    <n v="10013"/>
    <x v="9"/>
    <m/>
    <n v="2.2000000000000002"/>
    <n v="0"/>
    <n v="2.2000000000000002"/>
    <x v="1"/>
  </r>
  <r>
    <n v="150126"/>
    <n v="10013"/>
    <x v="10"/>
    <m/>
    <n v="3.35"/>
    <n v="0"/>
    <n v="3.35"/>
    <x v="1"/>
  </r>
  <r>
    <n v="150127"/>
    <n v="10013"/>
    <x v="11"/>
    <m/>
    <n v="4.75"/>
    <n v="0"/>
    <n v="4.75"/>
    <x v="1"/>
  </r>
  <r>
    <n v="150128"/>
    <n v="10013"/>
    <x v="6"/>
    <m/>
    <n v="0"/>
    <n v="0"/>
    <n v="0"/>
    <x v="1"/>
  </r>
  <r>
    <n v="150129"/>
    <n v="10013"/>
    <x v="12"/>
    <m/>
    <n v="7.35"/>
    <n v="0"/>
    <n v="7.35"/>
    <x v="1"/>
  </r>
  <r>
    <n v="150130"/>
    <n v="10013"/>
    <x v="13"/>
    <m/>
    <n v="1.1499999999999999"/>
    <n v="0"/>
    <n v="1.1499999999999999"/>
    <x v="1"/>
  </r>
  <r>
    <n v="150131"/>
    <n v="10013"/>
    <x v="14"/>
    <m/>
    <n v="1.9"/>
    <n v="0"/>
    <n v="1.9"/>
    <x v="1"/>
  </r>
  <r>
    <n v="150132"/>
    <n v="10013"/>
    <x v="15"/>
    <m/>
    <n v="0"/>
    <n v="0"/>
    <n v="0"/>
    <x v="1"/>
  </r>
  <r>
    <n v="150133"/>
    <n v="10013"/>
    <x v="16"/>
    <m/>
    <n v="1.9"/>
    <n v="0"/>
    <n v="1.9"/>
    <x v="1"/>
  </r>
  <r>
    <n v="150134"/>
    <n v="10013"/>
    <x v="17"/>
    <m/>
    <n v="3.95"/>
    <n v="0"/>
    <n v="3.95"/>
    <x v="1"/>
  </r>
  <r>
    <n v="150135"/>
    <n v="10013"/>
    <x v="18"/>
    <m/>
    <n v="7.67"/>
    <n v="0"/>
    <n v="7.67"/>
    <x v="1"/>
  </r>
  <r>
    <n v="150136"/>
    <n v="10013"/>
    <x v="19"/>
    <m/>
    <n v="5.8"/>
    <n v="0"/>
    <n v="5.8"/>
    <x v="1"/>
  </r>
  <r>
    <n v="150137"/>
    <n v="10013"/>
    <x v="20"/>
    <m/>
    <n v="0.5"/>
    <n v="0"/>
    <n v="0.5"/>
    <x v="1"/>
  </r>
  <r>
    <n v="150138"/>
    <n v="10013"/>
    <x v="21"/>
    <m/>
    <n v="2.95"/>
    <n v="0"/>
    <n v="2.95"/>
    <x v="1"/>
  </r>
  <r>
    <n v="150139"/>
    <n v="10013"/>
    <x v="22"/>
    <m/>
    <n v="8.1999999999999993"/>
    <n v="0"/>
    <n v="8.1999999999999993"/>
    <x v="1"/>
  </r>
  <r>
    <n v="150140"/>
    <n v="10013"/>
    <x v="23"/>
    <m/>
    <n v="3.8"/>
    <n v="0"/>
    <n v="3.8"/>
    <x v="1"/>
  </r>
  <r>
    <n v="150141"/>
    <n v="10013"/>
    <x v="11"/>
    <m/>
    <n v="0"/>
    <n v="0"/>
    <n v="0"/>
    <x v="1"/>
  </r>
  <r>
    <n v="150142"/>
    <n v="10013"/>
    <x v="24"/>
    <m/>
    <n v="3.7"/>
    <n v="0"/>
    <n v="3.7"/>
    <x v="1"/>
  </r>
  <r>
    <n v="150143"/>
    <n v="10013"/>
    <x v="25"/>
    <m/>
    <n v="0"/>
    <n v="0"/>
    <n v="0"/>
    <x v="1"/>
  </r>
  <r>
    <n v="150145"/>
    <n v="10015"/>
    <x v="3"/>
    <m/>
    <n v="0"/>
    <n v="0"/>
    <n v="0"/>
    <x v="1"/>
  </r>
  <r>
    <n v="150146"/>
    <n v="10015"/>
    <x v="4"/>
    <m/>
    <n v="5.81"/>
    <n v="0"/>
    <n v="5.81"/>
    <x v="1"/>
  </r>
  <r>
    <n v="150147"/>
    <n v="10015"/>
    <x v="5"/>
    <m/>
    <n v="0.2"/>
    <n v="0"/>
    <n v="0.2"/>
    <x v="1"/>
  </r>
  <r>
    <n v="150148"/>
    <n v="10015"/>
    <x v="6"/>
    <m/>
    <n v="4.8"/>
    <n v="0"/>
    <n v="4.8"/>
    <x v="1"/>
  </r>
  <r>
    <n v="150149"/>
    <n v="10015"/>
    <x v="7"/>
    <m/>
    <n v="25.65"/>
    <n v="0"/>
    <n v="25.65"/>
    <x v="1"/>
  </r>
  <r>
    <n v="150150"/>
    <n v="10015"/>
    <x v="8"/>
    <m/>
    <n v="10.199999999999999"/>
    <n v="0"/>
    <n v="10.199999999999999"/>
    <x v="1"/>
  </r>
  <r>
    <n v="150151"/>
    <n v="10015"/>
    <x v="9"/>
    <m/>
    <n v="32.6"/>
    <n v="0"/>
    <n v="32.6"/>
    <x v="1"/>
  </r>
  <r>
    <n v="150152"/>
    <n v="10015"/>
    <x v="10"/>
    <m/>
    <n v="8"/>
    <n v="0"/>
    <n v="8"/>
    <x v="1"/>
  </r>
  <r>
    <n v="150153"/>
    <n v="10015"/>
    <x v="11"/>
    <m/>
    <n v="15.2"/>
    <n v="0"/>
    <n v="15.2"/>
    <x v="1"/>
  </r>
  <r>
    <n v="150154"/>
    <n v="10015"/>
    <x v="6"/>
    <m/>
    <n v="0"/>
    <n v="0"/>
    <n v="0"/>
    <x v="1"/>
  </r>
  <r>
    <n v="150155"/>
    <n v="10015"/>
    <x v="12"/>
    <m/>
    <n v="16.8"/>
    <n v="0"/>
    <n v="16.8"/>
    <x v="1"/>
  </r>
  <r>
    <n v="150156"/>
    <n v="10015"/>
    <x v="13"/>
    <m/>
    <n v="19.350000000000001"/>
    <n v="0"/>
    <n v="19.350000000000001"/>
    <x v="1"/>
  </r>
  <r>
    <n v="150157"/>
    <n v="10015"/>
    <x v="14"/>
    <m/>
    <n v="5.6"/>
    <n v="0"/>
    <n v="5.6"/>
    <x v="1"/>
  </r>
  <r>
    <n v="150158"/>
    <n v="10015"/>
    <x v="15"/>
    <m/>
    <n v="0"/>
    <n v="0"/>
    <n v="0"/>
    <x v="1"/>
  </r>
  <r>
    <n v="150159"/>
    <n v="10015"/>
    <x v="16"/>
    <m/>
    <n v="14.2"/>
    <n v="0"/>
    <n v="14.2"/>
    <x v="1"/>
  </r>
  <r>
    <n v="150160"/>
    <n v="10015"/>
    <x v="17"/>
    <m/>
    <n v="13.23"/>
    <n v="0"/>
    <n v="13.23"/>
    <x v="1"/>
  </r>
  <r>
    <n v="150161"/>
    <n v="10015"/>
    <x v="18"/>
    <m/>
    <n v="34.96"/>
    <n v="0"/>
    <n v="34.96"/>
    <x v="1"/>
  </r>
  <r>
    <n v="150162"/>
    <n v="10015"/>
    <x v="19"/>
    <m/>
    <n v="39.5"/>
    <n v="0"/>
    <n v="39.5"/>
    <x v="1"/>
  </r>
  <r>
    <n v="150163"/>
    <n v="10015"/>
    <x v="20"/>
    <m/>
    <n v="0"/>
    <n v="0"/>
    <n v="0"/>
    <x v="1"/>
  </r>
  <r>
    <n v="150164"/>
    <n v="10015"/>
    <x v="21"/>
    <m/>
    <n v="7.7"/>
    <n v="0"/>
    <n v="7.7"/>
    <x v="1"/>
  </r>
  <r>
    <n v="150165"/>
    <n v="10015"/>
    <x v="22"/>
    <m/>
    <n v="15.2"/>
    <n v="0"/>
    <n v="15.2"/>
    <x v="1"/>
  </r>
  <r>
    <n v="150166"/>
    <n v="10015"/>
    <x v="23"/>
    <m/>
    <n v="23.05"/>
    <n v="0"/>
    <n v="23.05"/>
    <x v="1"/>
  </r>
  <r>
    <n v="150167"/>
    <n v="10015"/>
    <x v="11"/>
    <m/>
    <n v="10.85"/>
    <n v="0"/>
    <n v="10.85"/>
    <x v="1"/>
  </r>
  <r>
    <n v="150168"/>
    <n v="10015"/>
    <x v="24"/>
    <m/>
    <n v="7.75"/>
    <n v="0"/>
    <n v="7.75"/>
    <x v="1"/>
  </r>
  <r>
    <n v="150169"/>
    <n v="10015"/>
    <x v="25"/>
    <m/>
    <n v="0"/>
    <n v="0"/>
    <n v="0"/>
    <x v="1"/>
  </r>
  <r>
    <n v="150171"/>
    <n v="10015"/>
    <x v="3"/>
    <m/>
    <n v="0"/>
    <n v="0"/>
    <n v="0"/>
    <x v="1"/>
  </r>
  <r>
    <n v="150172"/>
    <n v="10015"/>
    <x v="4"/>
    <m/>
    <n v="6.78"/>
    <n v="0"/>
    <n v="6.78"/>
    <x v="1"/>
  </r>
  <r>
    <n v="150173"/>
    <n v="10015"/>
    <x v="5"/>
    <m/>
    <n v="3.1"/>
    <n v="0"/>
    <n v="3.1"/>
    <x v="1"/>
  </r>
  <r>
    <n v="150174"/>
    <n v="10015"/>
    <x v="6"/>
    <m/>
    <n v="0.1"/>
    <n v="0"/>
    <n v="0.1"/>
    <x v="1"/>
  </r>
  <r>
    <n v="150175"/>
    <n v="10015"/>
    <x v="7"/>
    <m/>
    <n v="4.8499999999999996"/>
    <n v="0"/>
    <n v="4.8499999999999996"/>
    <x v="1"/>
  </r>
  <r>
    <n v="150176"/>
    <n v="10015"/>
    <x v="8"/>
    <m/>
    <n v="3.3"/>
    <n v="0"/>
    <n v="3.3"/>
    <x v="1"/>
  </r>
  <r>
    <n v="150177"/>
    <n v="10015"/>
    <x v="9"/>
    <m/>
    <n v="6.4"/>
    <n v="0"/>
    <n v="6.4"/>
    <x v="1"/>
  </r>
  <r>
    <n v="150178"/>
    <n v="10015"/>
    <x v="10"/>
    <m/>
    <n v="3.65"/>
    <n v="0"/>
    <n v="3.65"/>
    <x v="1"/>
  </r>
  <r>
    <n v="150179"/>
    <n v="10015"/>
    <x v="11"/>
    <m/>
    <n v="4.7"/>
    <n v="0"/>
    <n v="4.7"/>
    <x v="1"/>
  </r>
  <r>
    <n v="150180"/>
    <n v="10015"/>
    <x v="6"/>
    <m/>
    <n v="0"/>
    <n v="0"/>
    <n v="0"/>
    <x v="1"/>
  </r>
  <r>
    <n v="150181"/>
    <n v="10015"/>
    <x v="12"/>
    <m/>
    <n v="3.1"/>
    <n v="0"/>
    <n v="3.1"/>
    <x v="1"/>
  </r>
  <r>
    <n v="150182"/>
    <n v="10015"/>
    <x v="13"/>
    <m/>
    <n v="2.75"/>
    <n v="0"/>
    <n v="2.75"/>
    <x v="1"/>
  </r>
  <r>
    <n v="150183"/>
    <n v="10015"/>
    <x v="14"/>
    <m/>
    <n v="0.4"/>
    <n v="0"/>
    <n v="0.4"/>
    <x v="1"/>
  </r>
  <r>
    <n v="150184"/>
    <n v="10015"/>
    <x v="15"/>
    <m/>
    <n v="0"/>
    <n v="0"/>
    <n v="0"/>
    <x v="1"/>
  </r>
  <r>
    <n v="150185"/>
    <n v="10015"/>
    <x v="16"/>
    <m/>
    <n v="6.9"/>
    <n v="0"/>
    <n v="6.9"/>
    <x v="1"/>
  </r>
  <r>
    <n v="150186"/>
    <n v="10015"/>
    <x v="17"/>
    <m/>
    <n v="8.0299999999999994"/>
    <n v="0"/>
    <n v="8.0299999999999994"/>
    <x v="1"/>
  </r>
  <r>
    <n v="150187"/>
    <n v="10015"/>
    <x v="18"/>
    <m/>
    <n v="1.47"/>
    <n v="0"/>
    <n v="1.47"/>
    <x v="1"/>
  </r>
  <r>
    <n v="150188"/>
    <n v="10015"/>
    <x v="19"/>
    <m/>
    <n v="1"/>
    <n v="0"/>
    <n v="1"/>
    <x v="1"/>
  </r>
  <r>
    <n v="150189"/>
    <n v="10015"/>
    <x v="20"/>
    <m/>
    <n v="5.85"/>
    <n v="0"/>
    <n v="5.85"/>
    <x v="1"/>
  </r>
  <r>
    <n v="150190"/>
    <n v="10015"/>
    <x v="21"/>
    <m/>
    <n v="1.1000000000000001"/>
    <n v="0"/>
    <n v="1.1000000000000001"/>
    <x v="1"/>
  </r>
  <r>
    <n v="150191"/>
    <n v="10015"/>
    <x v="22"/>
    <m/>
    <n v="1.75"/>
    <n v="0"/>
    <n v="1.75"/>
    <x v="1"/>
  </r>
  <r>
    <n v="150192"/>
    <n v="10015"/>
    <x v="23"/>
    <m/>
    <n v="3"/>
    <n v="0"/>
    <n v="3"/>
    <x v="1"/>
  </r>
  <r>
    <n v="150193"/>
    <n v="10015"/>
    <x v="11"/>
    <m/>
    <n v="0.65"/>
    <n v="0"/>
    <n v="0.65"/>
    <x v="1"/>
  </r>
  <r>
    <n v="150194"/>
    <n v="10015"/>
    <x v="24"/>
    <m/>
    <n v="4.05"/>
    <n v="0"/>
    <n v="4.05"/>
    <x v="1"/>
  </r>
  <r>
    <n v="150195"/>
    <n v="10015"/>
    <x v="25"/>
    <m/>
    <n v="0"/>
    <n v="0"/>
    <n v="0"/>
    <x v="1"/>
  </r>
  <r>
    <n v="150197"/>
    <n v="10015"/>
    <x v="3"/>
    <m/>
    <n v="0"/>
    <n v="0"/>
    <n v="0"/>
    <x v="1"/>
  </r>
  <r>
    <n v="150198"/>
    <n v="10015"/>
    <x v="4"/>
    <m/>
    <n v="7.46"/>
    <n v="0"/>
    <n v="7.46"/>
    <x v="1"/>
  </r>
  <r>
    <n v="150199"/>
    <n v="10015"/>
    <x v="5"/>
    <m/>
    <n v="0.2"/>
    <n v="0"/>
    <n v="0.2"/>
    <x v="1"/>
  </r>
  <r>
    <n v="150200"/>
    <n v="10015"/>
    <x v="6"/>
    <m/>
    <n v="0"/>
    <n v="0"/>
    <n v="0"/>
    <x v="1"/>
  </r>
  <r>
    <n v="150201"/>
    <n v="10015"/>
    <x v="7"/>
    <m/>
    <n v="3.6"/>
    <n v="0"/>
    <n v="3.6"/>
    <x v="1"/>
  </r>
  <r>
    <n v="150202"/>
    <n v="10015"/>
    <x v="8"/>
    <m/>
    <n v="4"/>
    <n v="0"/>
    <n v="4"/>
    <x v="1"/>
  </r>
  <r>
    <n v="150203"/>
    <n v="10015"/>
    <x v="9"/>
    <m/>
    <n v="3.3"/>
    <n v="0"/>
    <n v="3.3"/>
    <x v="1"/>
  </r>
  <r>
    <n v="150204"/>
    <n v="10015"/>
    <x v="10"/>
    <m/>
    <n v="4.9000000000000004"/>
    <n v="0"/>
    <n v="4.9000000000000004"/>
    <x v="1"/>
  </r>
  <r>
    <n v="150205"/>
    <n v="10015"/>
    <x v="11"/>
    <m/>
    <n v="10.15"/>
    <n v="0"/>
    <n v="10.15"/>
    <x v="1"/>
  </r>
  <r>
    <n v="150206"/>
    <n v="10015"/>
    <x v="6"/>
    <m/>
    <n v="0"/>
    <n v="0"/>
    <n v="0"/>
    <x v="1"/>
  </r>
  <r>
    <n v="150207"/>
    <n v="10015"/>
    <x v="12"/>
    <m/>
    <n v="0.8"/>
    <n v="0"/>
    <n v="0.8"/>
    <x v="1"/>
  </r>
  <r>
    <n v="150208"/>
    <n v="10015"/>
    <x v="13"/>
    <m/>
    <n v="1.65"/>
    <n v="0"/>
    <n v="1.65"/>
    <x v="1"/>
  </r>
  <r>
    <n v="150209"/>
    <n v="10015"/>
    <x v="14"/>
    <m/>
    <n v="0.3"/>
    <n v="0"/>
    <n v="0.3"/>
    <x v="1"/>
  </r>
  <r>
    <n v="150210"/>
    <n v="10015"/>
    <x v="15"/>
    <m/>
    <n v="0"/>
    <n v="0"/>
    <n v="0"/>
    <x v="1"/>
  </r>
  <r>
    <n v="150211"/>
    <n v="10015"/>
    <x v="16"/>
    <m/>
    <n v="1.4"/>
    <n v="0"/>
    <n v="1.4"/>
    <x v="1"/>
  </r>
  <r>
    <n v="150212"/>
    <n v="10015"/>
    <x v="17"/>
    <m/>
    <n v="1.75"/>
    <n v="0"/>
    <n v="1.75"/>
    <x v="1"/>
  </r>
  <r>
    <n v="150213"/>
    <n v="10015"/>
    <x v="18"/>
    <m/>
    <n v="2.15"/>
    <n v="0"/>
    <n v="2.15"/>
    <x v="1"/>
  </r>
  <r>
    <n v="150214"/>
    <n v="10015"/>
    <x v="19"/>
    <m/>
    <n v="2.2000000000000002"/>
    <n v="0"/>
    <n v="2.2000000000000002"/>
    <x v="1"/>
  </r>
  <r>
    <n v="150215"/>
    <n v="10015"/>
    <x v="20"/>
    <m/>
    <n v="5.5"/>
    <n v="0"/>
    <n v="5.5"/>
    <x v="1"/>
  </r>
  <r>
    <n v="150216"/>
    <n v="10015"/>
    <x v="21"/>
    <m/>
    <n v="1.4"/>
    <n v="0"/>
    <n v="1.4"/>
    <x v="1"/>
  </r>
  <r>
    <n v="150217"/>
    <n v="10015"/>
    <x v="22"/>
    <m/>
    <n v="0.35"/>
    <n v="0"/>
    <n v="0.35"/>
    <x v="1"/>
  </r>
  <r>
    <n v="150218"/>
    <n v="10015"/>
    <x v="23"/>
    <m/>
    <n v="7.5"/>
    <n v="0"/>
    <n v="7.5"/>
    <x v="1"/>
  </r>
  <r>
    <n v="150219"/>
    <n v="10015"/>
    <x v="11"/>
    <m/>
    <n v="0"/>
    <n v="0"/>
    <n v="0"/>
    <x v="1"/>
  </r>
  <r>
    <n v="150220"/>
    <n v="10015"/>
    <x v="24"/>
    <m/>
    <n v="5.6"/>
    <n v="0"/>
    <n v="5.6"/>
    <x v="1"/>
  </r>
  <r>
    <n v="150221"/>
    <n v="10015"/>
    <x v="25"/>
    <m/>
    <n v="0"/>
    <n v="0"/>
    <n v="0"/>
    <x v="1"/>
  </r>
  <r>
    <n v="150543"/>
    <n v="10015"/>
    <x v="3"/>
    <m/>
    <n v="0"/>
    <n v="0"/>
    <n v="0"/>
    <x v="1"/>
  </r>
  <r>
    <n v="150544"/>
    <n v="10015"/>
    <x v="4"/>
    <m/>
    <n v="11.85"/>
    <n v="0"/>
    <n v="11.85"/>
    <x v="1"/>
  </r>
  <r>
    <n v="150545"/>
    <n v="10015"/>
    <x v="5"/>
    <m/>
    <n v="0"/>
    <n v="0"/>
    <n v="0"/>
    <x v="1"/>
  </r>
  <r>
    <n v="150546"/>
    <n v="10015"/>
    <x v="6"/>
    <m/>
    <n v="7.6"/>
    <n v="0"/>
    <n v="7.6"/>
    <x v="1"/>
  </r>
  <r>
    <n v="150547"/>
    <n v="10015"/>
    <x v="7"/>
    <m/>
    <n v="25.25"/>
    <n v="0"/>
    <n v="25.25"/>
    <x v="1"/>
  </r>
  <r>
    <n v="150548"/>
    <n v="10015"/>
    <x v="8"/>
    <m/>
    <n v="23"/>
    <n v="0"/>
    <n v="23"/>
    <x v="1"/>
  </r>
  <r>
    <n v="150549"/>
    <n v="10015"/>
    <x v="9"/>
    <m/>
    <n v="21.5"/>
    <n v="0"/>
    <n v="21.5"/>
    <x v="1"/>
  </r>
  <r>
    <n v="150550"/>
    <n v="10015"/>
    <x v="10"/>
    <m/>
    <n v="3.9"/>
    <n v="0"/>
    <n v="3.9"/>
    <x v="1"/>
  </r>
  <r>
    <n v="150551"/>
    <n v="10015"/>
    <x v="11"/>
    <m/>
    <n v="3"/>
    <n v="0"/>
    <n v="3"/>
    <x v="1"/>
  </r>
  <r>
    <n v="150552"/>
    <n v="10015"/>
    <x v="6"/>
    <m/>
    <n v="1.8"/>
    <n v="0"/>
    <n v="1.8"/>
    <x v="1"/>
  </r>
  <r>
    <n v="150553"/>
    <n v="10015"/>
    <x v="12"/>
    <m/>
    <n v="18.649999999999999"/>
    <n v="0"/>
    <n v="18.649999999999999"/>
    <x v="1"/>
  </r>
  <r>
    <n v="150554"/>
    <n v="10015"/>
    <x v="13"/>
    <m/>
    <n v="7.8"/>
    <n v="0"/>
    <n v="7.8"/>
    <x v="1"/>
  </r>
  <r>
    <n v="150555"/>
    <n v="10015"/>
    <x v="14"/>
    <m/>
    <n v="3.3"/>
    <n v="0"/>
    <n v="3.3"/>
    <x v="1"/>
  </r>
  <r>
    <n v="150556"/>
    <n v="10015"/>
    <x v="15"/>
    <m/>
    <n v="2.15"/>
    <n v="0"/>
    <n v="2.15"/>
    <x v="1"/>
  </r>
  <r>
    <n v="150557"/>
    <n v="10015"/>
    <x v="16"/>
    <m/>
    <n v="48.4"/>
    <n v="0"/>
    <n v="48.4"/>
    <x v="1"/>
  </r>
  <r>
    <n v="150558"/>
    <n v="10015"/>
    <x v="17"/>
    <m/>
    <n v="29.7"/>
    <n v="0"/>
    <n v="29.7"/>
    <x v="1"/>
  </r>
  <r>
    <n v="150559"/>
    <n v="10015"/>
    <x v="18"/>
    <m/>
    <n v="26.01"/>
    <n v="0"/>
    <n v="26.01"/>
    <x v="1"/>
  </r>
  <r>
    <n v="150560"/>
    <n v="10015"/>
    <x v="19"/>
    <m/>
    <n v="32.299999999999997"/>
    <n v="0"/>
    <n v="32.299999999999997"/>
    <x v="1"/>
  </r>
  <r>
    <n v="150561"/>
    <n v="10015"/>
    <x v="20"/>
    <m/>
    <n v="0.9"/>
    <n v="0"/>
    <n v="0.9"/>
    <x v="1"/>
  </r>
  <r>
    <n v="150562"/>
    <n v="10015"/>
    <x v="21"/>
    <m/>
    <n v="23.9"/>
    <n v="0"/>
    <n v="23.9"/>
    <x v="1"/>
  </r>
  <r>
    <n v="150563"/>
    <n v="10015"/>
    <x v="22"/>
    <m/>
    <n v="11.75"/>
    <n v="0"/>
    <n v="11.75"/>
    <x v="1"/>
  </r>
  <r>
    <n v="150564"/>
    <n v="10015"/>
    <x v="23"/>
    <m/>
    <n v="30.65"/>
    <n v="0"/>
    <n v="30.65"/>
    <x v="1"/>
  </r>
  <r>
    <n v="150565"/>
    <n v="10015"/>
    <x v="11"/>
    <m/>
    <n v="32.200000000000003"/>
    <n v="0"/>
    <n v="32.200000000000003"/>
    <x v="1"/>
  </r>
  <r>
    <n v="150566"/>
    <n v="10015"/>
    <x v="24"/>
    <m/>
    <n v="60.55"/>
    <n v="0"/>
    <n v="60.55"/>
    <x v="1"/>
  </r>
  <r>
    <n v="150567"/>
    <n v="10015"/>
    <x v="25"/>
    <m/>
    <n v="0"/>
    <n v="0"/>
    <n v="0"/>
    <x v="1"/>
  </r>
  <r>
    <n v="151983"/>
    <n v="10011"/>
    <x v="3"/>
    <m/>
    <n v="0"/>
    <n v="0"/>
    <n v="0"/>
    <x v="1"/>
  </r>
  <r>
    <n v="151984"/>
    <n v="10011"/>
    <x v="4"/>
    <m/>
    <n v="0.12"/>
    <n v="0"/>
    <n v="0.12"/>
    <x v="1"/>
  </r>
  <r>
    <n v="151985"/>
    <n v="10011"/>
    <x v="5"/>
    <m/>
    <n v="6.5"/>
    <n v="0"/>
    <n v="6.5"/>
    <x v="1"/>
  </r>
  <r>
    <n v="151986"/>
    <n v="10011"/>
    <x v="6"/>
    <m/>
    <n v="0"/>
    <n v="0"/>
    <n v="0"/>
    <x v="1"/>
  </r>
  <r>
    <n v="151987"/>
    <n v="10011"/>
    <x v="7"/>
    <m/>
    <n v="4.75"/>
    <n v="0"/>
    <n v="4.75"/>
    <x v="1"/>
  </r>
  <r>
    <n v="151988"/>
    <n v="10011"/>
    <x v="8"/>
    <m/>
    <n v="0"/>
    <n v="0"/>
    <n v="0"/>
    <x v="1"/>
  </r>
  <r>
    <n v="151989"/>
    <n v="10011"/>
    <x v="9"/>
    <m/>
    <n v="0"/>
    <n v="0"/>
    <n v="0"/>
    <x v="1"/>
  </r>
  <r>
    <n v="151990"/>
    <n v="10011"/>
    <x v="10"/>
    <m/>
    <n v="2.1"/>
    <n v="0"/>
    <n v="2.1"/>
    <x v="1"/>
  </r>
  <r>
    <n v="151991"/>
    <n v="10011"/>
    <x v="11"/>
    <m/>
    <n v="3.47"/>
    <n v="0"/>
    <n v="3.47"/>
    <x v="1"/>
  </r>
  <r>
    <n v="151992"/>
    <n v="10011"/>
    <x v="6"/>
    <m/>
    <n v="0"/>
    <n v="0"/>
    <n v="0"/>
    <x v="1"/>
  </r>
  <r>
    <n v="151993"/>
    <n v="10011"/>
    <x v="12"/>
    <m/>
    <n v="1.1000000000000001"/>
    <n v="0"/>
    <n v="1.1000000000000001"/>
    <x v="1"/>
  </r>
  <r>
    <n v="151994"/>
    <n v="10011"/>
    <x v="13"/>
    <m/>
    <n v="0.75"/>
    <n v="0"/>
    <n v="0.75"/>
    <x v="1"/>
  </r>
  <r>
    <n v="151995"/>
    <n v="10011"/>
    <x v="14"/>
    <m/>
    <n v="5.8"/>
    <n v="0"/>
    <n v="5.8"/>
    <x v="1"/>
  </r>
  <r>
    <n v="151996"/>
    <n v="10011"/>
    <x v="15"/>
    <m/>
    <n v="0.5"/>
    <n v="0"/>
    <n v="0.5"/>
    <x v="1"/>
  </r>
  <r>
    <n v="151997"/>
    <n v="10011"/>
    <x v="16"/>
    <m/>
    <n v="0"/>
    <n v="0"/>
    <n v="0"/>
    <x v="1"/>
  </r>
  <r>
    <n v="151998"/>
    <n v="10011"/>
    <x v="17"/>
    <m/>
    <n v="1.5"/>
    <n v="0"/>
    <n v="1.5"/>
    <x v="1"/>
  </r>
  <r>
    <n v="151999"/>
    <n v="10011"/>
    <x v="18"/>
    <m/>
    <n v="0.97"/>
    <n v="0"/>
    <n v="0.97"/>
    <x v="1"/>
  </r>
  <r>
    <n v="152000"/>
    <n v="10011"/>
    <x v="19"/>
    <m/>
    <n v="0.9"/>
    <n v="0"/>
    <n v="0.9"/>
    <x v="1"/>
  </r>
  <r>
    <n v="152001"/>
    <n v="10011"/>
    <x v="20"/>
    <m/>
    <n v="4.5"/>
    <n v="0"/>
    <n v="4.5"/>
    <x v="1"/>
  </r>
  <r>
    <n v="152002"/>
    <n v="10011"/>
    <x v="21"/>
    <m/>
    <n v="0.85"/>
    <n v="0"/>
    <n v="0.85"/>
    <x v="1"/>
  </r>
  <r>
    <n v="152003"/>
    <n v="10011"/>
    <x v="22"/>
    <m/>
    <n v="8.1999999999999993"/>
    <n v="0"/>
    <n v="8.1999999999999993"/>
    <x v="1"/>
  </r>
  <r>
    <n v="152004"/>
    <n v="10011"/>
    <x v="23"/>
    <m/>
    <n v="0"/>
    <n v="0"/>
    <n v="0"/>
    <x v="1"/>
  </r>
  <r>
    <n v="152005"/>
    <n v="10011"/>
    <x v="11"/>
    <m/>
    <n v="0"/>
    <n v="0"/>
    <n v="0"/>
    <x v="1"/>
  </r>
  <r>
    <n v="152006"/>
    <n v="10011"/>
    <x v="24"/>
    <m/>
    <n v="0.3"/>
    <n v="0"/>
    <n v="0.3"/>
    <x v="1"/>
  </r>
  <r>
    <n v="152007"/>
    <n v="10011"/>
    <x v="25"/>
    <m/>
    <n v="0"/>
    <n v="0"/>
    <n v="0"/>
    <x v="1"/>
  </r>
  <r>
    <n v="152009"/>
    <n v="10011"/>
    <x v="3"/>
    <m/>
    <n v="2.4500000000000002"/>
    <n v="0"/>
    <n v="2.4500000000000002"/>
    <x v="1"/>
  </r>
  <r>
    <n v="152010"/>
    <n v="10011"/>
    <x v="4"/>
    <m/>
    <n v="8.89"/>
    <n v="0"/>
    <n v="8.89"/>
    <x v="1"/>
  </r>
  <r>
    <n v="152011"/>
    <n v="10011"/>
    <x v="5"/>
    <m/>
    <n v="8.9"/>
    <n v="0"/>
    <n v="8.9"/>
    <x v="1"/>
  </r>
  <r>
    <n v="152012"/>
    <n v="10011"/>
    <x v="6"/>
    <m/>
    <n v="3.2"/>
    <n v="0"/>
    <n v="3.2"/>
    <x v="1"/>
  </r>
  <r>
    <n v="152013"/>
    <n v="10011"/>
    <x v="7"/>
    <m/>
    <n v="5.4"/>
    <n v="0"/>
    <n v="5.4"/>
    <x v="1"/>
  </r>
  <r>
    <n v="152014"/>
    <n v="10011"/>
    <x v="8"/>
    <m/>
    <n v="4.5999999999999996"/>
    <n v="0"/>
    <n v="4.5999999999999996"/>
    <x v="1"/>
  </r>
  <r>
    <n v="152015"/>
    <n v="10011"/>
    <x v="9"/>
    <m/>
    <n v="3.3"/>
    <n v="0"/>
    <n v="3.3"/>
    <x v="1"/>
  </r>
  <r>
    <n v="152016"/>
    <n v="10011"/>
    <x v="10"/>
    <m/>
    <n v="3.85"/>
    <n v="0"/>
    <n v="3.85"/>
    <x v="1"/>
  </r>
  <r>
    <n v="152017"/>
    <n v="10011"/>
    <x v="11"/>
    <m/>
    <n v="5.98"/>
    <n v="0"/>
    <n v="5.98"/>
    <x v="1"/>
  </r>
  <r>
    <n v="152018"/>
    <n v="10011"/>
    <x v="6"/>
    <m/>
    <n v="0"/>
    <n v="0"/>
    <n v="0"/>
    <x v="1"/>
  </r>
  <r>
    <n v="152019"/>
    <n v="10011"/>
    <x v="12"/>
    <m/>
    <n v="4.4000000000000004"/>
    <n v="0"/>
    <n v="4.4000000000000004"/>
    <x v="1"/>
  </r>
  <r>
    <n v="152020"/>
    <n v="10011"/>
    <x v="13"/>
    <m/>
    <n v="3.3"/>
    <n v="0"/>
    <n v="3.3"/>
    <x v="1"/>
  </r>
  <r>
    <n v="152021"/>
    <n v="10011"/>
    <x v="14"/>
    <m/>
    <n v="4.3"/>
    <n v="0"/>
    <n v="4.3"/>
    <x v="1"/>
  </r>
  <r>
    <n v="152022"/>
    <n v="10011"/>
    <x v="15"/>
    <m/>
    <n v="10.15"/>
    <n v="0"/>
    <n v="10.15"/>
    <x v="1"/>
  </r>
  <r>
    <n v="152023"/>
    <n v="10011"/>
    <x v="16"/>
    <m/>
    <n v="2.6"/>
    <n v="0"/>
    <n v="2.6"/>
    <x v="1"/>
  </r>
  <r>
    <n v="152024"/>
    <n v="10011"/>
    <x v="17"/>
    <m/>
    <n v="2.97"/>
    <n v="0"/>
    <n v="2.97"/>
    <x v="1"/>
  </r>
  <r>
    <n v="152025"/>
    <n v="10011"/>
    <x v="18"/>
    <m/>
    <n v="1.85"/>
    <n v="0"/>
    <n v="1.85"/>
    <x v="1"/>
  </r>
  <r>
    <n v="152026"/>
    <n v="10011"/>
    <x v="19"/>
    <m/>
    <n v="6.2"/>
    <n v="0"/>
    <n v="6.2"/>
    <x v="1"/>
  </r>
  <r>
    <n v="152027"/>
    <n v="10011"/>
    <x v="20"/>
    <m/>
    <n v="4.78"/>
    <n v="0"/>
    <n v="4.78"/>
    <x v="1"/>
  </r>
  <r>
    <n v="152028"/>
    <n v="10011"/>
    <x v="21"/>
    <m/>
    <n v="4.3"/>
    <n v="0"/>
    <n v="4.3"/>
    <x v="1"/>
  </r>
  <r>
    <n v="152029"/>
    <n v="10011"/>
    <x v="22"/>
    <m/>
    <n v="4.75"/>
    <n v="0"/>
    <n v="4.75"/>
    <x v="1"/>
  </r>
  <r>
    <n v="152030"/>
    <n v="10011"/>
    <x v="23"/>
    <m/>
    <n v="2.1"/>
    <n v="0"/>
    <n v="2.1"/>
    <x v="1"/>
  </r>
  <r>
    <n v="152031"/>
    <n v="10011"/>
    <x v="11"/>
    <m/>
    <n v="0"/>
    <n v="0"/>
    <n v="0"/>
    <x v="1"/>
  </r>
  <r>
    <n v="152032"/>
    <n v="10011"/>
    <x v="24"/>
    <m/>
    <n v="3.4"/>
    <n v="0"/>
    <n v="3.4"/>
    <x v="1"/>
  </r>
  <r>
    <n v="152033"/>
    <n v="10011"/>
    <x v="25"/>
    <m/>
    <n v="0"/>
    <n v="0"/>
    <n v="0"/>
    <x v="1"/>
  </r>
  <r>
    <n v="152035"/>
    <n v="10011"/>
    <x v="3"/>
    <m/>
    <n v="0"/>
    <n v="0"/>
    <n v="0"/>
    <x v="1"/>
  </r>
  <r>
    <n v="152036"/>
    <n v="10011"/>
    <x v="4"/>
    <m/>
    <n v="0"/>
    <n v="0"/>
    <n v="0"/>
    <x v="1"/>
  </r>
  <r>
    <n v="152037"/>
    <n v="10011"/>
    <x v="5"/>
    <m/>
    <n v="3.5"/>
    <n v="0"/>
    <n v="3.5"/>
    <x v="1"/>
  </r>
  <r>
    <n v="152038"/>
    <n v="10011"/>
    <x v="6"/>
    <m/>
    <n v="0.3"/>
    <n v="0"/>
    <n v="0.3"/>
    <x v="1"/>
  </r>
  <r>
    <n v="152039"/>
    <n v="10011"/>
    <x v="7"/>
    <m/>
    <n v="0.3"/>
    <n v="0"/>
    <n v="0.3"/>
    <x v="1"/>
  </r>
  <r>
    <n v="152040"/>
    <n v="10011"/>
    <x v="8"/>
    <m/>
    <n v="0.3"/>
    <n v="0"/>
    <n v="0.3"/>
    <x v="1"/>
  </r>
  <r>
    <n v="152041"/>
    <n v="10011"/>
    <x v="9"/>
    <m/>
    <n v="0"/>
    <n v="0"/>
    <n v="0"/>
    <x v="1"/>
  </r>
  <r>
    <n v="152042"/>
    <n v="10011"/>
    <x v="10"/>
    <m/>
    <n v="0"/>
    <n v="0"/>
    <n v="0"/>
    <x v="1"/>
  </r>
  <r>
    <n v="152043"/>
    <n v="10011"/>
    <x v="11"/>
    <m/>
    <n v="0.2"/>
    <n v="0"/>
    <n v="0.2"/>
    <x v="1"/>
  </r>
  <r>
    <n v="152044"/>
    <n v="10011"/>
    <x v="6"/>
    <m/>
    <n v="0"/>
    <n v="0"/>
    <n v="0"/>
    <x v="1"/>
  </r>
  <r>
    <n v="152045"/>
    <n v="10011"/>
    <x v="12"/>
    <m/>
    <n v="1.1499999999999999"/>
    <n v="0"/>
    <n v="1.1499999999999999"/>
    <x v="1"/>
  </r>
  <r>
    <n v="152046"/>
    <n v="10011"/>
    <x v="13"/>
    <m/>
    <n v="0"/>
    <n v="0"/>
    <n v="0"/>
    <x v="1"/>
  </r>
  <r>
    <n v="152047"/>
    <n v="10011"/>
    <x v="14"/>
    <m/>
    <n v="0.2"/>
    <n v="0"/>
    <n v="0.2"/>
    <x v="1"/>
  </r>
  <r>
    <n v="152048"/>
    <n v="10011"/>
    <x v="15"/>
    <m/>
    <n v="0"/>
    <n v="0"/>
    <n v="0"/>
    <x v="1"/>
  </r>
  <r>
    <n v="152049"/>
    <n v="10011"/>
    <x v="16"/>
    <m/>
    <n v="0.8"/>
    <n v="0"/>
    <n v="0.8"/>
    <x v="1"/>
  </r>
  <r>
    <n v="152050"/>
    <n v="10011"/>
    <x v="17"/>
    <m/>
    <n v="0"/>
    <n v="0"/>
    <n v="0"/>
    <x v="1"/>
  </r>
  <r>
    <n v="152051"/>
    <n v="10011"/>
    <x v="18"/>
    <m/>
    <n v="0.7"/>
    <n v="0"/>
    <n v="0.7"/>
    <x v="1"/>
  </r>
  <r>
    <n v="152052"/>
    <n v="10011"/>
    <x v="19"/>
    <m/>
    <n v="2.2000000000000002"/>
    <n v="0"/>
    <n v="2.2000000000000002"/>
    <x v="1"/>
  </r>
  <r>
    <n v="152053"/>
    <n v="10011"/>
    <x v="20"/>
    <m/>
    <n v="0.2"/>
    <n v="0"/>
    <n v="0.2"/>
    <x v="1"/>
  </r>
  <r>
    <n v="152054"/>
    <n v="10011"/>
    <x v="21"/>
    <m/>
    <n v="0"/>
    <n v="0"/>
    <n v="0"/>
    <x v="1"/>
  </r>
  <r>
    <n v="152055"/>
    <n v="10011"/>
    <x v="22"/>
    <m/>
    <n v="0.2"/>
    <n v="0"/>
    <n v="0.2"/>
    <x v="1"/>
  </r>
  <r>
    <n v="152056"/>
    <n v="10011"/>
    <x v="23"/>
    <m/>
    <n v="0.2"/>
    <n v="0"/>
    <n v="0.2"/>
    <x v="1"/>
  </r>
  <r>
    <n v="152057"/>
    <n v="10011"/>
    <x v="11"/>
    <m/>
    <n v="0"/>
    <n v="0"/>
    <n v="0"/>
    <x v="1"/>
  </r>
  <r>
    <n v="152058"/>
    <n v="10011"/>
    <x v="24"/>
    <m/>
    <n v="0.2"/>
    <n v="0"/>
    <n v="0.2"/>
    <x v="1"/>
  </r>
  <r>
    <n v="152059"/>
    <n v="10011"/>
    <x v="25"/>
    <m/>
    <n v="0"/>
    <n v="0"/>
    <n v="0"/>
    <x v="1"/>
  </r>
  <r>
    <n v="152061"/>
    <n v="10015"/>
    <x v="3"/>
    <m/>
    <n v="0"/>
    <n v="0"/>
    <n v="0"/>
    <x v="1"/>
  </r>
  <r>
    <n v="152062"/>
    <n v="10015"/>
    <x v="4"/>
    <m/>
    <n v="11.02"/>
    <n v="0"/>
    <n v="11.02"/>
    <x v="1"/>
  </r>
  <r>
    <n v="152063"/>
    <n v="10015"/>
    <x v="5"/>
    <m/>
    <n v="5.7"/>
    <n v="0"/>
    <n v="5.7"/>
    <x v="1"/>
  </r>
  <r>
    <n v="152064"/>
    <n v="10015"/>
    <x v="6"/>
    <m/>
    <n v="0.2"/>
    <n v="0"/>
    <n v="0.2"/>
    <x v="1"/>
  </r>
  <r>
    <n v="152065"/>
    <n v="10015"/>
    <x v="7"/>
    <m/>
    <n v="13.75"/>
    <n v="0"/>
    <n v="13.75"/>
    <x v="1"/>
  </r>
  <r>
    <n v="152066"/>
    <n v="10015"/>
    <x v="8"/>
    <m/>
    <n v="2.8"/>
    <n v="0"/>
    <n v="2.8"/>
    <x v="1"/>
  </r>
  <r>
    <n v="152067"/>
    <n v="10015"/>
    <x v="9"/>
    <m/>
    <n v="6.6"/>
    <n v="0"/>
    <n v="6.6"/>
    <x v="1"/>
  </r>
  <r>
    <n v="152068"/>
    <n v="10015"/>
    <x v="10"/>
    <m/>
    <n v="3.8"/>
    <n v="0"/>
    <n v="3.8"/>
    <x v="1"/>
  </r>
  <r>
    <n v="152069"/>
    <n v="10015"/>
    <x v="11"/>
    <m/>
    <n v="2.34"/>
    <n v="0"/>
    <n v="2.34"/>
    <x v="1"/>
  </r>
  <r>
    <n v="152070"/>
    <n v="10015"/>
    <x v="6"/>
    <m/>
    <n v="0"/>
    <n v="0"/>
    <n v="0"/>
    <x v="1"/>
  </r>
  <r>
    <n v="152071"/>
    <n v="10015"/>
    <x v="12"/>
    <m/>
    <n v="0.35"/>
    <n v="0"/>
    <n v="0.35"/>
    <x v="1"/>
  </r>
  <r>
    <n v="152072"/>
    <n v="10015"/>
    <x v="13"/>
    <m/>
    <n v="2.6"/>
    <n v="0"/>
    <n v="2.6"/>
    <x v="1"/>
  </r>
  <r>
    <n v="152073"/>
    <n v="10015"/>
    <x v="14"/>
    <m/>
    <n v="0.9"/>
    <n v="0"/>
    <n v="0.9"/>
    <x v="1"/>
  </r>
  <r>
    <n v="152074"/>
    <n v="10015"/>
    <x v="15"/>
    <m/>
    <n v="0"/>
    <n v="0"/>
    <n v="0"/>
    <x v="1"/>
  </r>
  <r>
    <n v="152075"/>
    <n v="10015"/>
    <x v="16"/>
    <m/>
    <n v="5.0999999999999996"/>
    <n v="0"/>
    <n v="5.0999999999999996"/>
    <x v="1"/>
  </r>
  <r>
    <n v="152076"/>
    <n v="10015"/>
    <x v="17"/>
    <m/>
    <n v="4.9800000000000004"/>
    <n v="0"/>
    <n v="4.9800000000000004"/>
    <x v="1"/>
  </r>
  <r>
    <n v="152077"/>
    <n v="10015"/>
    <x v="18"/>
    <m/>
    <n v="1.39"/>
    <n v="0"/>
    <n v="1.39"/>
    <x v="1"/>
  </r>
  <r>
    <n v="152078"/>
    <n v="10015"/>
    <x v="19"/>
    <m/>
    <n v="2.1"/>
    <n v="0"/>
    <n v="2.1"/>
    <x v="1"/>
  </r>
  <r>
    <n v="152079"/>
    <n v="10015"/>
    <x v="20"/>
    <m/>
    <n v="5.8"/>
    <n v="0"/>
    <n v="5.8"/>
    <x v="1"/>
  </r>
  <r>
    <n v="152080"/>
    <n v="10015"/>
    <x v="21"/>
    <m/>
    <n v="0.9"/>
    <n v="0"/>
    <n v="0.9"/>
    <x v="1"/>
  </r>
  <r>
    <n v="152081"/>
    <n v="10015"/>
    <x v="22"/>
    <m/>
    <n v="1"/>
    <n v="0"/>
    <n v="1"/>
    <x v="1"/>
  </r>
  <r>
    <n v="152082"/>
    <n v="10015"/>
    <x v="23"/>
    <m/>
    <n v="3.7"/>
    <n v="0"/>
    <n v="3.7"/>
    <x v="1"/>
  </r>
  <r>
    <n v="152083"/>
    <n v="10015"/>
    <x v="11"/>
    <m/>
    <n v="0"/>
    <n v="0"/>
    <n v="0"/>
    <x v="1"/>
  </r>
  <r>
    <n v="152084"/>
    <n v="10015"/>
    <x v="24"/>
    <m/>
    <n v="2.5"/>
    <n v="0"/>
    <n v="2.5"/>
    <x v="1"/>
  </r>
  <r>
    <n v="152085"/>
    <n v="10015"/>
    <x v="25"/>
    <m/>
    <n v="0"/>
    <n v="0"/>
    <n v="0"/>
    <x v="1"/>
  </r>
  <r>
    <n v="152088"/>
    <n v="10096"/>
    <x v="3"/>
    <m/>
    <n v="2.35"/>
    <n v="0"/>
    <n v="2.35"/>
    <x v="2"/>
  </r>
  <r>
    <n v="152094"/>
    <n v="10097"/>
    <x v="3"/>
    <m/>
    <n v="0"/>
    <n v="0"/>
    <n v="0"/>
    <x v="2"/>
  </r>
  <r>
    <n v="152095"/>
    <n v="10097"/>
    <x v="7"/>
    <m/>
    <n v="1.3"/>
    <n v="0"/>
    <n v="1.3"/>
    <x v="2"/>
  </r>
  <r>
    <n v="152096"/>
    <n v="10097"/>
    <x v="26"/>
    <m/>
    <m/>
    <m/>
    <m/>
    <x v="2"/>
  </r>
  <r>
    <n v="152097"/>
    <n v="10097"/>
    <x v="8"/>
    <m/>
    <n v="9.1"/>
    <n v="0"/>
    <n v="9.1"/>
    <x v="2"/>
  </r>
  <r>
    <n v="152098"/>
    <n v="10097"/>
    <x v="12"/>
    <m/>
    <n v="1"/>
    <n v="0"/>
    <n v="1"/>
    <x v="2"/>
  </r>
  <r>
    <n v="152099"/>
    <n v="10097"/>
    <x v="16"/>
    <m/>
    <n v="6.1"/>
    <n v="0"/>
    <n v="6.1"/>
    <x v="2"/>
  </r>
  <r>
    <n v="152100"/>
    <n v="10097"/>
    <x v="13"/>
    <m/>
    <n v="16.850000000000001"/>
    <n v="0"/>
    <n v="16.850000000000001"/>
    <x v="2"/>
  </r>
  <r>
    <n v="152101"/>
    <n v="10097"/>
    <x v="14"/>
    <m/>
    <n v="1.9"/>
    <n v="0"/>
    <n v="1.9"/>
    <x v="2"/>
  </r>
  <r>
    <n v="152102"/>
    <n v="10097"/>
    <x v="15"/>
    <m/>
    <n v="0"/>
    <n v="0"/>
    <n v="0"/>
    <x v="2"/>
  </r>
  <r>
    <n v="152103"/>
    <n v="10097"/>
    <x v="27"/>
    <m/>
    <m/>
    <m/>
    <m/>
    <x v="2"/>
  </r>
  <r>
    <n v="152104"/>
    <n v="10097"/>
    <x v="4"/>
    <m/>
    <n v="0.97"/>
    <n v="0"/>
    <n v="0.97"/>
    <x v="2"/>
  </r>
  <r>
    <n v="152105"/>
    <n v="10097"/>
    <x v="28"/>
    <m/>
    <m/>
    <m/>
    <m/>
    <x v="2"/>
  </r>
  <r>
    <n v="152106"/>
    <n v="10097"/>
    <x v="19"/>
    <m/>
    <n v="3"/>
    <n v="0"/>
    <n v="3"/>
    <x v="2"/>
  </r>
  <r>
    <n v="152107"/>
    <n v="10097"/>
    <x v="9"/>
    <m/>
    <n v="0.6"/>
    <n v="0"/>
    <n v="0.6"/>
    <x v="2"/>
  </r>
  <r>
    <n v="152108"/>
    <n v="10097"/>
    <x v="29"/>
    <m/>
    <n v="0"/>
    <n v="0"/>
    <n v="0"/>
    <x v="2"/>
  </r>
  <r>
    <n v="152109"/>
    <n v="10097"/>
    <x v="6"/>
    <m/>
    <n v="1.2"/>
    <n v="0"/>
    <n v="1.2"/>
    <x v="2"/>
  </r>
  <r>
    <n v="152110"/>
    <n v="10097"/>
    <x v="30"/>
    <m/>
    <m/>
    <m/>
    <m/>
    <x v="2"/>
  </r>
  <r>
    <n v="152111"/>
    <n v="10097"/>
    <x v="17"/>
    <m/>
    <n v="8.2799999999999994"/>
    <n v="0"/>
    <n v="8.2799999999999994"/>
    <x v="2"/>
  </r>
  <r>
    <n v="152112"/>
    <n v="10097"/>
    <x v="31"/>
    <m/>
    <m/>
    <m/>
    <m/>
    <x v="2"/>
  </r>
  <r>
    <n v="152113"/>
    <n v="10097"/>
    <x v="10"/>
    <m/>
    <n v="2.5499999999999998"/>
    <n v="0"/>
    <n v="2.5499999999999998"/>
    <x v="2"/>
  </r>
  <r>
    <n v="152114"/>
    <n v="10097"/>
    <x v="18"/>
    <m/>
    <n v="19.489999999999998"/>
    <n v="0"/>
    <n v="19.489999999999998"/>
    <x v="2"/>
  </r>
  <r>
    <n v="152115"/>
    <n v="10097"/>
    <x v="20"/>
    <m/>
    <n v="0"/>
    <n v="0"/>
    <n v="0"/>
    <x v="2"/>
  </r>
  <r>
    <n v="152116"/>
    <n v="10097"/>
    <x v="32"/>
    <m/>
    <m/>
    <m/>
    <m/>
    <x v="2"/>
  </r>
  <r>
    <n v="152117"/>
    <n v="10097"/>
    <x v="21"/>
    <m/>
    <n v="12.9"/>
    <n v="0"/>
    <n v="12.9"/>
    <x v="2"/>
  </r>
  <r>
    <n v="152118"/>
    <n v="10097"/>
    <x v="22"/>
    <m/>
    <n v="11"/>
    <n v="0"/>
    <n v="11"/>
    <x v="2"/>
  </r>
  <r>
    <n v="152119"/>
    <n v="10097"/>
    <x v="23"/>
    <m/>
    <n v="16.3"/>
    <n v="0"/>
    <n v="16.3"/>
    <x v="2"/>
  </r>
  <r>
    <n v="152120"/>
    <n v="10097"/>
    <x v="11"/>
    <m/>
    <n v="17.25"/>
    <n v="0"/>
    <n v="17.25"/>
    <x v="2"/>
  </r>
  <r>
    <n v="152121"/>
    <n v="10097"/>
    <x v="24"/>
    <m/>
    <n v="12.65"/>
    <n v="0"/>
    <n v="12.65"/>
    <x v="2"/>
  </r>
  <r>
    <n v="152196"/>
    <n v="10100"/>
    <x v="4"/>
    <m/>
    <n v="3.62"/>
    <n v="0"/>
    <n v="3.62"/>
    <x v="2"/>
  </r>
  <r>
    <n v="152197"/>
    <n v="10100"/>
    <x v="3"/>
    <m/>
    <n v="0"/>
    <n v="0"/>
    <n v="0"/>
    <x v="2"/>
  </r>
  <r>
    <n v="153495"/>
    <n v="10020"/>
    <x v="20"/>
    <n v="0"/>
    <n v="6.8"/>
    <n v="0"/>
    <n v="6.8"/>
    <x v="1"/>
  </r>
  <r>
    <n v="153497"/>
    <n v="10020"/>
    <x v="16"/>
    <n v="0"/>
    <n v="0.5"/>
    <n v="0"/>
    <n v="0.5"/>
    <x v="1"/>
  </r>
  <r>
    <n v="153498"/>
    <n v="10020"/>
    <x v="5"/>
    <n v="0"/>
    <n v="0.4"/>
    <n v="0"/>
    <n v="0.4"/>
    <x v="1"/>
  </r>
  <r>
    <n v="153501"/>
    <n v="10020"/>
    <x v="20"/>
    <n v="0"/>
    <n v="0.5"/>
    <n v="0"/>
    <n v="0.5"/>
    <x v="1"/>
  </r>
  <r>
    <n v="153502"/>
    <n v="10020"/>
    <x v="5"/>
    <n v="0"/>
    <n v="0"/>
    <n v="0"/>
    <n v="0"/>
    <x v="1"/>
  </r>
  <r>
    <n v="153503"/>
    <n v="10020"/>
    <x v="16"/>
    <n v="0"/>
    <n v="7.6"/>
    <n v="0"/>
    <n v="7.6"/>
    <x v="1"/>
  </r>
  <r>
    <n v="155929"/>
    <n v="10639"/>
    <x v="33"/>
    <n v="0"/>
    <n v="163"/>
    <n v="5"/>
    <n v="168"/>
    <x v="0"/>
  </r>
  <r>
    <n v="155930"/>
    <n v="10639"/>
    <x v="34"/>
    <n v="0"/>
    <n v="211.5"/>
    <n v="16.5"/>
    <n v="228"/>
    <x v="0"/>
  </r>
  <r>
    <n v="155931"/>
    <n v="10639"/>
    <x v="35"/>
    <n v="0"/>
    <n v="131.5"/>
    <n v="11.5"/>
    <n v="143"/>
    <x v="0"/>
  </r>
  <r>
    <n v="155933"/>
    <n v="10639"/>
    <x v="36"/>
    <n v="0"/>
    <n v="128"/>
    <n v="0"/>
    <n v="128"/>
    <x v="0"/>
  </r>
  <r>
    <n v="155934"/>
    <n v="10639"/>
    <x v="37"/>
    <n v="0"/>
    <n v="99"/>
    <n v="0"/>
    <n v="99"/>
    <x v="0"/>
  </r>
  <r>
    <n v="155935"/>
    <n v="10639"/>
    <x v="38"/>
    <n v="0"/>
    <n v="45.25"/>
    <n v="3"/>
    <n v="48.25"/>
    <x v="0"/>
  </r>
  <r>
    <n v="156718"/>
    <n v="10688"/>
    <x v="39"/>
    <n v="8.3000000000000007"/>
    <n v="8.3000000000000007"/>
    <n v="0"/>
    <n v="8.3000000000000007"/>
    <x v="0"/>
  </r>
  <r>
    <n v="156719"/>
    <n v="10688"/>
    <x v="39"/>
    <n v="15.5"/>
    <n v="11.5"/>
    <n v="0"/>
    <n v="11.5"/>
    <x v="0"/>
  </r>
  <r>
    <n v="156720"/>
    <n v="10688"/>
    <x v="39"/>
    <n v="5.2"/>
    <n v="3.2"/>
    <n v="0"/>
    <n v="3.2"/>
    <x v="0"/>
  </r>
  <r>
    <n v="157546"/>
    <n v="11948"/>
    <x v="40"/>
    <n v="4.2"/>
    <n v="2.2999999999999998"/>
    <n v="0"/>
    <n v="2.2999999999999998"/>
    <x v="0"/>
  </r>
  <r>
    <n v="157547"/>
    <n v="11948"/>
    <x v="41"/>
    <n v="1"/>
    <n v="0.9"/>
    <n v="0"/>
    <n v="0.9"/>
    <x v="0"/>
  </r>
  <r>
    <n v="157914"/>
    <n v="11334"/>
    <x v="42"/>
    <n v="3.7"/>
    <n v="18.899999999999999"/>
    <n v="0"/>
    <n v="18.899999999999999"/>
    <x v="0"/>
  </r>
  <r>
    <n v="157915"/>
    <n v="10742"/>
    <x v="43"/>
    <n v="3.7"/>
    <n v="6"/>
    <n v="0"/>
    <n v="6"/>
    <x v="0"/>
  </r>
  <r>
    <n v="157917"/>
    <n v="10742"/>
    <x v="43"/>
    <n v="12.9"/>
    <n v="20"/>
    <n v="0"/>
    <n v="20"/>
    <x v="0"/>
  </r>
  <r>
    <n v="157919"/>
    <n v="10756"/>
    <x v="44"/>
    <n v="9.3000000000000007"/>
    <n v="26.9"/>
    <n v="0"/>
    <n v="26.9"/>
    <x v="0"/>
  </r>
  <r>
    <n v="158046"/>
    <n v="10814"/>
    <x v="45"/>
    <n v="31.1"/>
    <n v="10"/>
    <n v="0"/>
    <n v="10"/>
    <x v="0"/>
  </r>
  <r>
    <n v="158053"/>
    <n v="11307"/>
    <x v="46"/>
    <n v="2"/>
    <n v="2"/>
    <n v="0"/>
    <n v="2"/>
    <x v="3"/>
  </r>
  <r>
    <n v="158054"/>
    <n v="11307"/>
    <x v="46"/>
    <n v="2"/>
    <n v="2.5"/>
    <n v="0"/>
    <n v="2.5"/>
    <x v="3"/>
  </r>
  <r>
    <n v="158058"/>
    <n v="11307"/>
    <x v="46"/>
    <n v="4"/>
    <n v="4.7"/>
    <n v="0"/>
    <n v="4.7"/>
    <x v="3"/>
  </r>
  <r>
    <n v="158061"/>
    <n v="11307"/>
    <x v="46"/>
    <n v="4.5"/>
    <n v="4.5"/>
    <n v="0"/>
    <n v="4.5"/>
    <x v="3"/>
  </r>
  <r>
    <n v="158062"/>
    <n v="11307"/>
    <x v="46"/>
    <n v="2"/>
    <n v="0.7"/>
    <n v="0"/>
    <n v="0.7"/>
    <x v="3"/>
  </r>
  <r>
    <n v="158065"/>
    <n v="11307"/>
    <x v="46"/>
    <n v="12.8"/>
    <n v="14.7"/>
    <n v="0"/>
    <n v="14.7"/>
    <x v="3"/>
  </r>
  <r>
    <n v="158112"/>
    <n v="10719"/>
    <x v="47"/>
    <n v="52.3"/>
    <n v="57"/>
    <n v="0"/>
    <n v="57"/>
    <x v="0"/>
  </r>
  <r>
    <n v="158237"/>
    <n v="10763"/>
    <x v="1"/>
    <m/>
    <n v="23"/>
    <n v="0"/>
    <n v="23"/>
    <x v="0"/>
  </r>
  <r>
    <n v="158238"/>
    <n v="10763"/>
    <x v="0"/>
    <m/>
    <n v="8.25"/>
    <n v="0"/>
    <n v="8.25"/>
    <x v="0"/>
  </r>
  <r>
    <n v="158239"/>
    <n v="10763"/>
    <x v="48"/>
    <m/>
    <n v="0"/>
    <n v="0"/>
    <n v="0"/>
    <x v="0"/>
  </r>
  <r>
    <n v="158458"/>
    <n v="11307"/>
    <x v="46"/>
    <n v="2"/>
    <n v="1.5"/>
    <n v="0"/>
    <n v="1.5"/>
    <x v="3"/>
  </r>
  <r>
    <n v="158460"/>
    <n v="11308"/>
    <x v="46"/>
    <n v="3"/>
    <n v="2.5"/>
    <n v="0"/>
    <n v="2.5"/>
    <x v="3"/>
  </r>
  <r>
    <n v="158461"/>
    <n v="10720"/>
    <x v="40"/>
    <n v="20"/>
    <n v="31.05"/>
    <n v="0"/>
    <n v="31.05"/>
    <x v="0"/>
  </r>
  <r>
    <n v="158462"/>
    <n v="10720"/>
    <x v="41"/>
    <n v="13.4"/>
    <n v="12.7"/>
    <n v="0"/>
    <n v="12.7"/>
    <x v="0"/>
  </r>
  <r>
    <n v="158463"/>
    <n v="10720"/>
    <x v="1"/>
    <n v="10"/>
    <n v="14"/>
    <n v="0"/>
    <n v="14"/>
    <x v="0"/>
  </r>
  <r>
    <n v="158581"/>
    <n v="10688"/>
    <x v="38"/>
    <m/>
    <n v="1.5"/>
    <n v="0"/>
    <n v="1.5"/>
    <x v="0"/>
  </r>
  <r>
    <n v="158582"/>
    <n v="10688"/>
    <x v="38"/>
    <m/>
    <n v="3.5"/>
    <n v="0"/>
    <n v="3.5"/>
    <x v="0"/>
  </r>
  <r>
    <n v="158589"/>
    <n v="10639"/>
    <x v="1"/>
    <m/>
    <n v="9"/>
    <n v="0"/>
    <n v="9"/>
    <x v="0"/>
  </r>
  <r>
    <n v="158590"/>
    <n v="10639"/>
    <x v="49"/>
    <m/>
    <n v="9.0500000000000007"/>
    <n v="0"/>
    <n v="9.0500000000000007"/>
    <x v="0"/>
  </r>
  <r>
    <n v="158591"/>
    <n v="10639"/>
    <x v="0"/>
    <m/>
    <n v="6.25"/>
    <n v="0"/>
    <n v="6.25"/>
    <x v="0"/>
  </r>
  <r>
    <n v="158592"/>
    <n v="10639"/>
    <x v="42"/>
    <m/>
    <n v="5.3"/>
    <n v="0"/>
    <n v="5.3"/>
    <x v="0"/>
  </r>
  <r>
    <n v="158593"/>
    <n v="10639"/>
    <x v="50"/>
    <m/>
    <n v="10.85"/>
    <n v="0"/>
    <n v="10.85"/>
    <x v="0"/>
  </r>
  <r>
    <n v="158594"/>
    <n v="10639"/>
    <x v="43"/>
    <m/>
    <n v="8.8000000000000007"/>
    <n v="0"/>
    <n v="8.8000000000000007"/>
    <x v="0"/>
  </r>
  <r>
    <n v="158595"/>
    <n v="10639"/>
    <x v="41"/>
    <m/>
    <n v="5.35"/>
    <n v="0"/>
    <n v="5.35"/>
    <x v="0"/>
  </r>
  <r>
    <n v="158596"/>
    <n v="10639"/>
    <x v="40"/>
    <m/>
    <n v="8.0500000000000007"/>
    <n v="0"/>
    <n v="8.0500000000000007"/>
    <x v="0"/>
  </r>
  <r>
    <n v="158597"/>
    <n v="10639"/>
    <x v="51"/>
    <m/>
    <n v="7.9"/>
    <n v="0"/>
    <n v="7.9"/>
    <x v="0"/>
  </r>
  <r>
    <n v="158598"/>
    <n v="10639"/>
    <x v="44"/>
    <m/>
    <n v="3.95"/>
    <n v="0"/>
    <n v="3.95"/>
    <x v="0"/>
  </r>
  <r>
    <n v="158599"/>
    <n v="10639"/>
    <x v="48"/>
    <m/>
    <n v="9.5"/>
    <n v="0"/>
    <n v="9.5"/>
    <x v="0"/>
  </r>
  <r>
    <n v="158601"/>
    <n v="11948"/>
    <x v="43"/>
    <n v="2.6"/>
    <n v="0"/>
    <n v="0"/>
    <n v="0"/>
    <x v="0"/>
  </r>
  <r>
    <n v="158602"/>
    <n v="11948"/>
    <x v="50"/>
    <n v="2.6"/>
    <n v="1.25"/>
    <n v="0"/>
    <n v="1.25"/>
    <x v="0"/>
  </r>
  <r>
    <n v="158603"/>
    <n v="11948"/>
    <x v="50"/>
    <n v="2.6"/>
    <n v="8.5"/>
    <n v="0"/>
    <n v="8.5"/>
    <x v="0"/>
  </r>
  <r>
    <n v="158604"/>
    <n v="11948"/>
    <x v="40"/>
    <n v="2.6"/>
    <n v="0.6"/>
    <n v="0"/>
    <n v="0.6"/>
    <x v="0"/>
  </r>
  <r>
    <n v="158605"/>
    <n v="11948"/>
    <x v="1"/>
    <n v="2.6"/>
    <n v="2.25"/>
    <n v="0"/>
    <n v="2.25"/>
    <x v="0"/>
  </r>
  <r>
    <n v="158606"/>
    <n v="11948"/>
    <x v="1"/>
    <n v="2.6"/>
    <n v="2.5"/>
    <n v="0"/>
    <n v="2.5"/>
    <x v="0"/>
  </r>
  <r>
    <n v="158607"/>
    <n v="11948"/>
    <x v="1"/>
    <n v="2.6"/>
    <n v="0"/>
    <n v="0"/>
    <n v="0"/>
    <x v="0"/>
  </r>
  <r>
    <n v="158608"/>
    <n v="11948"/>
    <x v="1"/>
    <n v="2.6"/>
    <n v="0"/>
    <n v="0"/>
    <n v="0"/>
    <x v="0"/>
  </r>
  <r>
    <n v="158609"/>
    <n v="11948"/>
    <x v="50"/>
    <n v="2.6"/>
    <n v="1.85"/>
    <n v="0"/>
    <n v="1.85"/>
    <x v="0"/>
  </r>
  <r>
    <n v="158610"/>
    <n v="11948"/>
    <x v="43"/>
    <n v="4.5999999999999996"/>
    <n v="4"/>
    <n v="0"/>
    <n v="4"/>
    <x v="0"/>
  </r>
  <r>
    <n v="158611"/>
    <n v="11948"/>
    <x v="43"/>
    <n v="2.6"/>
    <n v="6.2"/>
    <n v="0"/>
    <n v="6.2"/>
    <x v="0"/>
  </r>
  <r>
    <n v="158612"/>
    <n v="11948"/>
    <x v="50"/>
    <n v="2.6"/>
    <n v="0"/>
    <n v="0"/>
    <n v="0"/>
    <x v="0"/>
  </r>
  <r>
    <n v="158613"/>
    <n v="11948"/>
    <x v="51"/>
    <n v="2.6"/>
    <n v="1"/>
    <n v="0"/>
    <n v="1"/>
    <x v="0"/>
  </r>
  <r>
    <n v="158614"/>
    <n v="11948"/>
    <x v="51"/>
    <n v="2.6"/>
    <n v="11.85"/>
    <n v="0"/>
    <n v="11.85"/>
    <x v="0"/>
  </r>
  <r>
    <n v="158617"/>
    <n v="11948"/>
    <x v="51"/>
    <n v="2.6"/>
    <n v="0"/>
    <n v="0"/>
    <n v="0"/>
    <x v="0"/>
  </r>
  <r>
    <n v="158618"/>
    <n v="11948"/>
    <x v="51"/>
    <n v="2.6"/>
    <n v="0"/>
    <n v="0"/>
    <n v="0"/>
    <x v="0"/>
  </r>
  <r>
    <n v="158620"/>
    <n v="11948"/>
    <x v="40"/>
    <n v="2.6"/>
    <n v="0.9"/>
    <n v="0"/>
    <n v="0.9"/>
    <x v="0"/>
  </r>
  <r>
    <n v="158621"/>
    <n v="11948"/>
    <x v="40"/>
    <n v="2.6"/>
    <n v="0.3"/>
    <n v="0"/>
    <n v="0.3"/>
    <x v="0"/>
  </r>
  <r>
    <n v="158622"/>
    <n v="11948"/>
    <x v="40"/>
    <n v="2.6"/>
    <n v="0.2"/>
    <n v="0"/>
    <n v="0.2"/>
    <x v="0"/>
  </r>
  <r>
    <n v="158623"/>
    <n v="11948"/>
    <x v="51"/>
    <n v="2.6"/>
    <n v="1.5"/>
    <n v="0"/>
    <n v="1.5"/>
    <x v="0"/>
  </r>
  <r>
    <n v="158624"/>
    <n v="11948"/>
    <x v="51"/>
    <n v="5.2"/>
    <n v="4.75"/>
    <n v="0"/>
    <n v="4.75"/>
    <x v="0"/>
  </r>
  <r>
    <n v="158625"/>
    <n v="11948"/>
    <x v="44"/>
    <n v="7.7"/>
    <n v="14.65"/>
    <n v="0"/>
    <n v="14.65"/>
    <x v="0"/>
  </r>
  <r>
    <n v="158626"/>
    <n v="11948"/>
    <x v="49"/>
    <n v="2.6"/>
    <n v="7.02"/>
    <n v="0"/>
    <n v="7.02"/>
    <x v="0"/>
  </r>
  <r>
    <n v="158637"/>
    <n v="11948"/>
    <x v="49"/>
    <n v="2.6"/>
    <n v="7.38"/>
    <n v="0"/>
    <n v="7.38"/>
    <x v="0"/>
  </r>
  <r>
    <n v="158638"/>
    <n v="11948"/>
    <x v="49"/>
    <m/>
    <n v="0.4"/>
    <n v="0"/>
    <n v="0.4"/>
    <x v="0"/>
  </r>
  <r>
    <n v="158639"/>
    <n v="11948"/>
    <x v="42"/>
    <n v="2.6"/>
    <n v="0.6"/>
    <n v="0"/>
    <n v="0.6"/>
    <x v="0"/>
  </r>
  <r>
    <n v="158640"/>
    <n v="11948"/>
    <x v="42"/>
    <n v="2.6"/>
    <n v="4.4000000000000004"/>
    <n v="0"/>
    <n v="4.4000000000000004"/>
    <x v="0"/>
  </r>
  <r>
    <n v="158641"/>
    <n v="10763"/>
    <x v="1"/>
    <n v="9.8000000000000007"/>
    <n v="8"/>
    <n v="0"/>
    <n v="8"/>
    <x v="0"/>
  </r>
  <r>
    <n v="158644"/>
    <n v="11948"/>
    <x v="42"/>
    <n v="3.9"/>
    <n v="4"/>
    <n v="0"/>
    <n v="4"/>
    <x v="0"/>
  </r>
  <r>
    <n v="158645"/>
    <n v="11948"/>
    <x v="49"/>
    <n v="3.8"/>
    <n v="7.5"/>
    <n v="0"/>
    <n v="7.5"/>
    <x v="0"/>
  </r>
  <r>
    <n v="158647"/>
    <n v="11948"/>
    <x v="50"/>
    <n v="2.6"/>
    <n v="1.95"/>
    <n v="0"/>
    <n v="1.95"/>
    <x v="0"/>
  </r>
  <r>
    <n v="158648"/>
    <n v="11948"/>
    <x v="43"/>
    <n v="2.6"/>
    <n v="1"/>
    <n v="0"/>
    <n v="1"/>
    <x v="0"/>
  </r>
  <r>
    <n v="158649"/>
    <n v="11948"/>
    <x v="43"/>
    <n v="2.6"/>
    <n v="0"/>
    <n v="0"/>
    <n v="0"/>
    <x v="0"/>
  </r>
  <r>
    <n v="158685"/>
    <n v="11213"/>
    <x v="50"/>
    <n v="0"/>
    <n v="4.95"/>
    <n v="0"/>
    <n v="4.95"/>
    <x v="0"/>
  </r>
  <r>
    <n v="158692"/>
    <n v="11948"/>
    <x v="42"/>
    <n v="2.6"/>
    <n v="0.3"/>
    <n v="0"/>
    <n v="0.3"/>
    <x v="0"/>
  </r>
  <r>
    <n v="158707"/>
    <n v="10796"/>
    <x v="52"/>
    <n v="2.7"/>
    <n v="4"/>
    <n v="0"/>
    <n v="4"/>
    <x v="0"/>
  </r>
  <r>
    <n v="158711"/>
    <n v="10796"/>
    <x v="53"/>
    <n v="2.5"/>
    <n v="5.05"/>
    <n v="0"/>
    <n v="5.05"/>
    <x v="0"/>
  </r>
  <r>
    <n v="158712"/>
    <n v="10796"/>
    <x v="52"/>
    <n v="2.5"/>
    <n v="2"/>
    <n v="0"/>
    <n v="2"/>
    <x v="0"/>
  </r>
  <r>
    <n v="158713"/>
    <n v="10796"/>
    <x v="53"/>
    <n v="2.5"/>
    <n v="2.75"/>
    <n v="0"/>
    <n v="2.75"/>
    <x v="0"/>
  </r>
  <r>
    <n v="158714"/>
    <n v="10796"/>
    <x v="53"/>
    <n v="8"/>
    <n v="5.85"/>
    <n v="0"/>
    <n v="5.85"/>
    <x v="0"/>
  </r>
  <r>
    <n v="158715"/>
    <n v="10796"/>
    <x v="52"/>
    <n v="7.5"/>
    <n v="6.6"/>
    <n v="0"/>
    <n v="6.6"/>
    <x v="0"/>
  </r>
  <r>
    <n v="158718"/>
    <n v="10796"/>
    <x v="52"/>
    <n v="0"/>
    <n v="2.2000000000000002"/>
    <n v="0"/>
    <n v="2.2000000000000002"/>
    <x v="0"/>
  </r>
  <r>
    <n v="158719"/>
    <n v="10796"/>
    <x v="53"/>
    <n v="2.5"/>
    <n v="3.2"/>
    <n v="0"/>
    <n v="3.2"/>
    <x v="0"/>
  </r>
  <r>
    <n v="158735"/>
    <n v="10692"/>
    <x v="54"/>
    <n v="1.5"/>
    <n v="7"/>
    <n v="0"/>
    <n v="7"/>
    <x v="0"/>
  </r>
  <r>
    <n v="158737"/>
    <n v="10691"/>
    <x v="54"/>
    <n v="1.5"/>
    <n v="5.5"/>
    <n v="0"/>
    <n v="5.5"/>
    <x v="0"/>
  </r>
  <r>
    <n v="158738"/>
    <n v="10691"/>
    <x v="55"/>
    <n v="1.5"/>
    <n v="1.5"/>
    <n v="0"/>
    <n v="1.5"/>
    <x v="0"/>
  </r>
  <r>
    <n v="158739"/>
    <n v="11950"/>
    <x v="55"/>
    <n v="4.0999999999999996"/>
    <n v="5"/>
    <n v="0"/>
    <n v="5"/>
    <x v="0"/>
  </r>
  <r>
    <n v="158740"/>
    <n v="11950"/>
    <x v="55"/>
    <n v="8.3000000000000007"/>
    <n v="5.25"/>
    <n v="0"/>
    <n v="5.25"/>
    <x v="0"/>
  </r>
  <r>
    <n v="158741"/>
    <n v="11950"/>
    <x v="55"/>
    <n v="5.2"/>
    <n v="9.5"/>
    <n v="0"/>
    <n v="9.5"/>
    <x v="0"/>
  </r>
  <r>
    <n v="158743"/>
    <n v="11950"/>
    <x v="55"/>
    <n v="6.2"/>
    <n v="5"/>
    <n v="0"/>
    <n v="5"/>
    <x v="0"/>
  </r>
  <r>
    <n v="158746"/>
    <n v="11704"/>
    <x v="56"/>
    <n v="15"/>
    <n v="2"/>
    <n v="0"/>
    <n v="2"/>
    <x v="0"/>
  </r>
  <r>
    <n v="158757"/>
    <n v="11704"/>
    <x v="56"/>
    <n v="2"/>
    <n v="0"/>
    <n v="0"/>
    <n v="0"/>
    <x v="0"/>
  </r>
  <r>
    <n v="158760"/>
    <n v="11706"/>
    <x v="56"/>
    <n v="4.0999999999999996"/>
    <n v="5"/>
    <n v="0"/>
    <n v="5"/>
    <x v="0"/>
  </r>
  <r>
    <n v="158802"/>
    <n v="10020"/>
    <x v="16"/>
    <n v="0"/>
    <n v="10.3"/>
    <n v="0"/>
    <n v="10.3"/>
    <x v="1"/>
  </r>
  <r>
    <n v="158806"/>
    <n v="10020"/>
    <x v="5"/>
    <n v="0"/>
    <n v="0.7"/>
    <n v="0"/>
    <n v="0.7"/>
    <x v="1"/>
  </r>
  <r>
    <n v="158807"/>
    <n v="10020"/>
    <x v="20"/>
    <n v="0"/>
    <n v="0.65"/>
    <n v="0"/>
    <n v="0.65"/>
    <x v="1"/>
  </r>
  <r>
    <n v="159018"/>
    <n v="10719"/>
    <x v="57"/>
    <m/>
    <n v="2"/>
    <n v="0"/>
    <n v="2"/>
    <x v="0"/>
  </r>
  <r>
    <n v="159023"/>
    <n v="11213"/>
    <x v="43"/>
    <n v="0"/>
    <n v="23"/>
    <n v="0"/>
    <n v="23"/>
    <x v="0"/>
  </r>
  <r>
    <n v="159028"/>
    <n v="11213"/>
    <x v="40"/>
    <n v="0"/>
    <n v="0.2"/>
    <n v="0"/>
    <n v="0.2"/>
    <x v="0"/>
  </r>
  <r>
    <n v="159029"/>
    <n v="10777"/>
    <x v="50"/>
    <n v="0.5"/>
    <n v="4"/>
    <n v="0"/>
    <n v="4"/>
    <x v="0"/>
  </r>
  <r>
    <n v="159030"/>
    <n v="11213"/>
    <x v="50"/>
    <m/>
    <n v="0"/>
    <n v="0"/>
    <n v="0"/>
    <x v="0"/>
  </r>
  <r>
    <n v="159031"/>
    <n v="11948"/>
    <x v="50"/>
    <n v="3.1"/>
    <n v="2.25"/>
    <n v="0"/>
    <n v="2.25"/>
    <x v="0"/>
  </r>
  <r>
    <n v="159032"/>
    <n v="11213"/>
    <x v="50"/>
    <n v="0"/>
    <n v="0"/>
    <n v="0"/>
    <n v="0"/>
    <x v="0"/>
  </r>
  <r>
    <n v="159033"/>
    <n v="11213"/>
    <x v="43"/>
    <n v="0"/>
    <n v="0"/>
    <n v="0"/>
    <n v="0"/>
    <x v="0"/>
  </r>
  <r>
    <n v="159034"/>
    <n v="10639"/>
    <x v="41"/>
    <n v="0"/>
    <n v="25.65"/>
    <n v="0"/>
    <n v="25.65"/>
    <x v="0"/>
  </r>
  <r>
    <n v="159035"/>
    <n v="10639"/>
    <x v="0"/>
    <n v="0"/>
    <n v="17.75"/>
    <n v="0"/>
    <n v="17.75"/>
    <x v="0"/>
  </r>
  <r>
    <n v="159039"/>
    <n v="11948"/>
    <x v="40"/>
    <n v="4.7"/>
    <n v="0.7"/>
    <n v="0"/>
    <n v="0.7"/>
    <x v="0"/>
  </r>
  <r>
    <n v="159040"/>
    <n v="11948"/>
    <x v="40"/>
    <n v="2.6"/>
    <n v="0.3"/>
    <n v="0"/>
    <n v="0.3"/>
    <x v="0"/>
  </r>
  <r>
    <n v="159041"/>
    <n v="11948"/>
    <x v="40"/>
    <n v="4.7"/>
    <n v="1.96"/>
    <n v="0"/>
    <n v="1.96"/>
    <x v="0"/>
  </r>
  <r>
    <n v="159042"/>
    <n v="11948"/>
    <x v="40"/>
    <n v="2.6"/>
    <n v="0.94"/>
    <n v="0"/>
    <n v="0.94"/>
    <x v="0"/>
  </r>
  <r>
    <n v="159051"/>
    <n v="10639"/>
    <x v="58"/>
    <n v="0"/>
    <n v="5.5"/>
    <n v="0"/>
    <n v="5.5"/>
    <x v="0"/>
  </r>
  <r>
    <n v="159052"/>
    <n v="10639"/>
    <x v="59"/>
    <m/>
    <n v="3.5"/>
    <n v="0"/>
    <n v="3.5"/>
    <x v="0"/>
  </r>
  <r>
    <n v="159160"/>
    <n v="10639"/>
    <x v="51"/>
    <m/>
    <n v="5"/>
    <n v="0"/>
    <n v="5"/>
    <x v="0"/>
  </r>
  <r>
    <n v="159161"/>
    <n v="10639"/>
    <x v="45"/>
    <m/>
    <n v="0"/>
    <n v="0"/>
    <n v="0"/>
    <x v="0"/>
  </r>
  <r>
    <n v="159184"/>
    <n v="10719"/>
    <x v="47"/>
    <m/>
    <n v="0"/>
    <n v="0"/>
    <n v="0"/>
    <x v="0"/>
  </r>
  <r>
    <n v="159185"/>
    <n v="10719"/>
    <x v="47"/>
    <m/>
    <n v="0"/>
    <n v="0"/>
    <n v="0"/>
    <x v="0"/>
  </r>
  <r>
    <n v="159193"/>
    <n v="10742"/>
    <x v="41"/>
    <m/>
    <n v="1"/>
    <n v="0"/>
    <n v="1"/>
    <x v="0"/>
  </r>
  <r>
    <n v="159194"/>
    <n v="11213"/>
    <x v="51"/>
    <n v="0"/>
    <n v="7.25"/>
    <n v="25.8"/>
    <n v="33.049999999999997"/>
    <x v="0"/>
  </r>
  <r>
    <n v="159195"/>
    <n v="11213"/>
    <x v="51"/>
    <m/>
    <n v="1"/>
    <n v="0"/>
    <n v="1"/>
    <x v="0"/>
  </r>
  <r>
    <n v="159229"/>
    <n v="11213"/>
    <x v="40"/>
    <n v="0"/>
    <n v="0.35"/>
    <n v="0"/>
    <n v="0.35"/>
    <x v="0"/>
  </r>
  <r>
    <n v="159241"/>
    <n v="10720"/>
    <x v="36"/>
    <m/>
    <n v="0.5"/>
    <n v="0"/>
    <n v="0.5"/>
    <x v="0"/>
  </r>
  <r>
    <n v="159349"/>
    <n v="10759"/>
    <x v="49"/>
    <n v="5"/>
    <n v="4.5"/>
    <n v="0"/>
    <n v="4.5"/>
    <x v="0"/>
  </r>
  <r>
    <n v="159369"/>
    <n v="11213"/>
    <x v="41"/>
    <n v="0"/>
    <n v="0"/>
    <n v="0"/>
    <n v="0"/>
    <x v="0"/>
  </r>
  <r>
    <n v="159370"/>
    <n v="11334"/>
    <x v="42"/>
    <n v="6"/>
    <n v="7.15"/>
    <n v="0"/>
    <n v="7.15"/>
    <x v="0"/>
  </r>
  <r>
    <n v="159372"/>
    <n v="10763"/>
    <x v="42"/>
    <n v="4.5999999999999996"/>
    <n v="4.7"/>
    <n v="0"/>
    <n v="4.7"/>
    <x v="0"/>
  </r>
  <r>
    <n v="159373"/>
    <n v="10763"/>
    <x v="0"/>
    <n v="15"/>
    <n v="18.5"/>
    <n v="0"/>
    <n v="18.5"/>
    <x v="0"/>
  </r>
  <r>
    <n v="159382"/>
    <n v="10639"/>
    <x v="60"/>
    <n v="0"/>
    <n v="44.75"/>
    <n v="0"/>
    <n v="44.75"/>
    <x v="0"/>
  </r>
  <r>
    <n v="159383"/>
    <n v="11213"/>
    <x v="42"/>
    <n v="6.2"/>
    <n v="3.7"/>
    <n v="0"/>
    <n v="3.7"/>
    <x v="0"/>
  </r>
  <r>
    <n v="159384"/>
    <n v="11213"/>
    <x v="49"/>
    <n v="6.2"/>
    <n v="1.95"/>
    <n v="0"/>
    <n v="1.95"/>
    <x v="0"/>
  </r>
  <r>
    <n v="159385"/>
    <n v="11214"/>
    <x v="42"/>
    <n v="0"/>
    <n v="0.9"/>
    <n v="0"/>
    <n v="0.9"/>
    <x v="0"/>
  </r>
  <r>
    <n v="159388"/>
    <n v="11214"/>
    <x v="49"/>
    <n v="0"/>
    <n v="2.25"/>
    <n v="0"/>
    <n v="2.25"/>
    <x v="0"/>
  </r>
  <r>
    <n v="159389"/>
    <n v="10759"/>
    <x v="42"/>
    <m/>
    <n v="0.7"/>
    <n v="0"/>
    <n v="0.7"/>
    <x v="0"/>
  </r>
  <r>
    <n v="159390"/>
    <n v="10096"/>
    <x v="5"/>
    <m/>
    <n v="1.8"/>
    <n v="0"/>
    <n v="1.8"/>
    <x v="2"/>
  </r>
  <r>
    <n v="159391"/>
    <n v="10096"/>
    <x v="12"/>
    <m/>
    <n v="0"/>
    <n v="0"/>
    <n v="0"/>
    <x v="2"/>
  </r>
  <r>
    <n v="159393"/>
    <n v="10096"/>
    <x v="14"/>
    <m/>
    <n v="0"/>
    <n v="0"/>
    <n v="0"/>
    <x v="2"/>
  </r>
  <r>
    <n v="159394"/>
    <n v="10011"/>
    <x v="58"/>
    <n v="0"/>
    <n v="9"/>
    <n v="0"/>
    <n v="9"/>
    <x v="1"/>
  </r>
  <r>
    <n v="159395"/>
    <n v="10096"/>
    <x v="58"/>
    <n v="0"/>
    <n v="5.5"/>
    <n v="0"/>
    <n v="5.5"/>
    <x v="2"/>
  </r>
  <r>
    <n v="159396"/>
    <n v="10096"/>
    <x v="59"/>
    <m/>
    <n v="0"/>
    <n v="0"/>
    <n v="0"/>
    <x v="2"/>
  </r>
  <r>
    <n v="159397"/>
    <n v="10011"/>
    <x v="59"/>
    <m/>
    <n v="2.5"/>
    <n v="0"/>
    <n v="2.5"/>
    <x v="1"/>
  </r>
  <r>
    <n v="159423"/>
    <n v="11213"/>
    <x v="49"/>
    <n v="0"/>
    <n v="8.4"/>
    <n v="0"/>
    <n v="8.4"/>
    <x v="0"/>
  </r>
  <r>
    <n v="159435"/>
    <n v="11759"/>
    <x v="45"/>
    <n v="10.3"/>
    <n v="13.6"/>
    <n v="0"/>
    <n v="13.6"/>
    <x v="0"/>
  </r>
  <r>
    <n v="159441"/>
    <n v="11213"/>
    <x v="42"/>
    <n v="0"/>
    <n v="1.35"/>
    <n v="0"/>
    <n v="1.35"/>
    <x v="0"/>
  </r>
  <r>
    <n v="159486"/>
    <n v="10639"/>
    <x v="48"/>
    <n v="20"/>
    <n v="10.8"/>
    <n v="0"/>
    <n v="10.8"/>
    <x v="0"/>
  </r>
  <r>
    <n v="159496"/>
    <n v="10763"/>
    <x v="0"/>
    <n v="17.600000000000001"/>
    <n v="17"/>
    <n v="0"/>
    <n v="17"/>
    <x v="0"/>
  </r>
  <r>
    <n v="159498"/>
    <n v="10763"/>
    <x v="49"/>
    <n v="0"/>
    <n v="1"/>
    <n v="0"/>
    <n v="1"/>
    <x v="0"/>
  </r>
  <r>
    <n v="159499"/>
    <n v="10692"/>
    <x v="60"/>
    <n v="1.6"/>
    <n v="0.5"/>
    <n v="0"/>
    <n v="0.5"/>
    <x v="0"/>
  </r>
  <r>
    <n v="159500"/>
    <n v="10691"/>
    <x v="60"/>
    <n v="0.3"/>
    <n v="3.5"/>
    <n v="0"/>
    <n v="3.5"/>
    <x v="0"/>
  </r>
  <r>
    <n v="159503"/>
    <n v="10691"/>
    <x v="54"/>
    <n v="2.1"/>
    <n v="1"/>
    <n v="0"/>
    <n v="1"/>
    <x v="0"/>
  </r>
  <r>
    <n v="159504"/>
    <n v="10691"/>
    <x v="55"/>
    <n v="2.1"/>
    <n v="0"/>
    <n v="0"/>
    <n v="0"/>
    <x v="0"/>
  </r>
  <r>
    <n v="159505"/>
    <n v="10691"/>
    <x v="60"/>
    <n v="1"/>
    <n v="0"/>
    <n v="0"/>
    <n v="0"/>
    <x v="0"/>
  </r>
  <r>
    <n v="159506"/>
    <n v="10691"/>
    <x v="54"/>
    <n v="2"/>
    <n v="0"/>
    <n v="0"/>
    <n v="0"/>
    <x v="0"/>
  </r>
  <r>
    <n v="159507"/>
    <n v="10691"/>
    <x v="60"/>
    <n v="1"/>
    <n v="0.25"/>
    <n v="0"/>
    <n v="0.25"/>
    <x v="0"/>
  </r>
  <r>
    <n v="159508"/>
    <n v="10691"/>
    <x v="55"/>
    <n v="2"/>
    <n v="3"/>
    <n v="0"/>
    <n v="3"/>
    <x v="0"/>
  </r>
  <r>
    <n v="159509"/>
    <n v="10691"/>
    <x v="54"/>
    <n v="2.5"/>
    <n v="1.5"/>
    <n v="0"/>
    <n v="1.5"/>
    <x v="0"/>
  </r>
  <r>
    <n v="159510"/>
    <n v="10691"/>
    <x v="55"/>
    <n v="2.5"/>
    <n v="0"/>
    <n v="0"/>
    <n v="0"/>
    <x v="0"/>
  </r>
  <r>
    <n v="159511"/>
    <n v="10691"/>
    <x v="60"/>
    <n v="1.2"/>
    <n v="3.5"/>
    <n v="0"/>
    <n v="3.5"/>
    <x v="0"/>
  </r>
  <r>
    <n v="159512"/>
    <n v="10691"/>
    <x v="55"/>
    <n v="2"/>
    <n v="0"/>
    <n v="0"/>
    <n v="0"/>
    <x v="0"/>
  </r>
  <r>
    <n v="159513"/>
    <n v="10691"/>
    <x v="54"/>
    <n v="0.5"/>
    <n v="0"/>
    <n v="0"/>
    <n v="0"/>
    <x v="0"/>
  </r>
  <r>
    <n v="159514"/>
    <n v="10691"/>
    <x v="60"/>
    <m/>
    <n v="0"/>
    <n v="0"/>
    <n v="0"/>
    <x v="0"/>
  </r>
  <r>
    <n v="159533"/>
    <n v="10694"/>
    <x v="52"/>
    <n v="3.7"/>
    <n v="3.1"/>
    <n v="0"/>
    <n v="3.1"/>
    <x v="0"/>
  </r>
  <r>
    <n v="159535"/>
    <n v="11704"/>
    <x v="60"/>
    <n v="0.5"/>
    <n v="0.75"/>
    <n v="0"/>
    <n v="0.75"/>
    <x v="0"/>
  </r>
  <r>
    <n v="159540"/>
    <n v="11704"/>
    <x v="60"/>
    <n v="2.1"/>
    <n v="1"/>
    <n v="0"/>
    <n v="1"/>
    <x v="0"/>
  </r>
  <r>
    <n v="159541"/>
    <n v="11704"/>
    <x v="60"/>
    <n v="2.8"/>
    <n v="3.75"/>
    <n v="0"/>
    <n v="3.75"/>
    <x v="0"/>
  </r>
  <r>
    <n v="159542"/>
    <n v="11704"/>
    <x v="56"/>
    <n v="5"/>
    <n v="0"/>
    <n v="0"/>
    <n v="0"/>
    <x v="0"/>
  </r>
  <r>
    <n v="159544"/>
    <n v="11214"/>
    <x v="1"/>
    <n v="3.1"/>
    <n v="1"/>
    <n v="0"/>
    <n v="1"/>
    <x v="0"/>
  </r>
  <r>
    <n v="159545"/>
    <n v="10691"/>
    <x v="55"/>
    <n v="4"/>
    <n v="0"/>
    <n v="0"/>
    <n v="0"/>
    <x v="0"/>
  </r>
  <r>
    <n v="159546"/>
    <n v="10691"/>
    <x v="54"/>
    <n v="2"/>
    <n v="0.25"/>
    <n v="0"/>
    <n v="0.25"/>
    <x v="0"/>
  </r>
  <r>
    <n v="159547"/>
    <n v="10691"/>
    <x v="60"/>
    <n v="1.8"/>
    <n v="3"/>
    <n v="0"/>
    <n v="3"/>
    <x v="0"/>
  </r>
  <r>
    <n v="159548"/>
    <n v="11751"/>
    <x v="55"/>
    <n v="1"/>
    <n v="0.5"/>
    <n v="0"/>
    <n v="0.5"/>
    <x v="0"/>
  </r>
  <r>
    <n v="159549"/>
    <n v="11751"/>
    <x v="54"/>
    <n v="1.5"/>
    <n v="2"/>
    <n v="0"/>
    <n v="2"/>
    <x v="0"/>
  </r>
  <r>
    <n v="159550"/>
    <n v="11751"/>
    <x v="60"/>
    <n v="1.5"/>
    <n v="1.5"/>
    <n v="0"/>
    <n v="1.5"/>
    <x v="0"/>
  </r>
  <r>
    <n v="159560"/>
    <n v="10691"/>
    <x v="55"/>
    <n v="1.5"/>
    <n v="3.75"/>
    <n v="0"/>
    <n v="3.75"/>
    <x v="0"/>
  </r>
  <r>
    <n v="159561"/>
    <n v="10691"/>
    <x v="54"/>
    <n v="1.5"/>
    <n v="5"/>
    <n v="0"/>
    <n v="5"/>
    <x v="0"/>
  </r>
  <r>
    <n v="159562"/>
    <n v="10691"/>
    <x v="60"/>
    <n v="0.7"/>
    <n v="1"/>
    <n v="0"/>
    <n v="1"/>
    <x v="0"/>
  </r>
  <r>
    <n v="159563"/>
    <n v="11214"/>
    <x v="1"/>
    <n v="3.1"/>
    <n v="3.75"/>
    <n v="0"/>
    <n v="3.75"/>
    <x v="0"/>
  </r>
  <r>
    <n v="159586"/>
    <n v="10691"/>
    <x v="60"/>
    <n v="2"/>
    <n v="0"/>
    <n v="0"/>
    <n v="0"/>
    <x v="0"/>
  </r>
  <r>
    <n v="159587"/>
    <n v="10691"/>
    <x v="55"/>
    <n v="1"/>
    <n v="0"/>
    <n v="0"/>
    <n v="0"/>
    <x v="0"/>
  </r>
  <r>
    <n v="159588"/>
    <n v="10691"/>
    <x v="54"/>
    <n v="2"/>
    <n v="0"/>
    <n v="0"/>
    <n v="0"/>
    <x v="0"/>
  </r>
  <r>
    <n v="159589"/>
    <n v="10691"/>
    <x v="54"/>
    <n v="0"/>
    <n v="0"/>
    <n v="0"/>
    <n v="0"/>
    <x v="0"/>
  </r>
  <r>
    <n v="159590"/>
    <n v="10691"/>
    <x v="60"/>
    <n v="0"/>
    <n v="0"/>
    <n v="0"/>
    <n v="0"/>
    <x v="0"/>
  </r>
  <r>
    <n v="159591"/>
    <n v="10691"/>
    <x v="55"/>
    <n v="1"/>
    <n v="0"/>
    <n v="0"/>
    <n v="0"/>
    <x v="0"/>
  </r>
  <r>
    <n v="159592"/>
    <n v="10691"/>
    <x v="55"/>
    <n v="1"/>
    <n v="0"/>
    <n v="0"/>
    <n v="0"/>
    <x v="0"/>
  </r>
  <r>
    <n v="159593"/>
    <n v="10691"/>
    <x v="60"/>
    <n v="3"/>
    <n v="1.25"/>
    <n v="0"/>
    <n v="1.25"/>
    <x v="0"/>
  </r>
  <r>
    <n v="159597"/>
    <n v="10691"/>
    <x v="54"/>
    <n v="2.2000000000000002"/>
    <n v="0"/>
    <n v="0"/>
    <n v="0"/>
    <x v="0"/>
  </r>
  <r>
    <n v="159598"/>
    <n v="10691"/>
    <x v="60"/>
    <n v="1"/>
    <n v="1"/>
    <n v="0"/>
    <n v="1"/>
    <x v="0"/>
  </r>
  <r>
    <n v="159599"/>
    <n v="10691"/>
    <x v="54"/>
    <n v="2.1"/>
    <n v="0"/>
    <n v="0"/>
    <n v="0"/>
    <x v="0"/>
  </r>
  <r>
    <n v="159600"/>
    <n v="10691"/>
    <x v="55"/>
    <n v="1"/>
    <n v="0"/>
    <n v="0"/>
    <n v="0"/>
    <x v="0"/>
  </r>
  <r>
    <n v="159609"/>
    <n v="10096"/>
    <x v="13"/>
    <m/>
    <n v="1.9"/>
    <n v="0"/>
    <n v="1.9"/>
    <x v="2"/>
  </r>
  <r>
    <n v="159810"/>
    <n v="10720"/>
    <x v="44"/>
    <m/>
    <n v="7.9"/>
    <n v="0"/>
    <n v="7.9"/>
    <x v="0"/>
  </r>
  <r>
    <n v="159886"/>
    <n v="11705"/>
    <x v="60"/>
    <n v="1.1000000000000001"/>
    <n v="1.25"/>
    <n v="0"/>
    <n v="1.25"/>
    <x v="0"/>
  </r>
  <r>
    <n v="159887"/>
    <n v="11706"/>
    <x v="60"/>
    <n v="0"/>
    <n v="0.75"/>
    <n v="0"/>
    <n v="0.75"/>
    <x v="0"/>
  </r>
  <r>
    <n v="159888"/>
    <n v="11709"/>
    <x v="60"/>
    <n v="0.6"/>
    <n v="4"/>
    <n v="0"/>
    <n v="4"/>
    <x v="0"/>
  </r>
  <r>
    <n v="159889"/>
    <n v="10639"/>
    <x v="60"/>
    <m/>
    <n v="3"/>
    <n v="0"/>
    <n v="3"/>
    <x v="0"/>
  </r>
  <r>
    <n v="159890"/>
    <n v="10639"/>
    <x v="54"/>
    <m/>
    <n v="3"/>
    <n v="0"/>
    <n v="3"/>
    <x v="0"/>
  </r>
  <r>
    <n v="159891"/>
    <n v="10639"/>
    <x v="55"/>
    <m/>
    <n v="3.5"/>
    <n v="0"/>
    <n v="3.5"/>
    <x v="0"/>
  </r>
  <r>
    <n v="159892"/>
    <n v="10639"/>
    <x v="56"/>
    <m/>
    <n v="3"/>
    <n v="0"/>
    <n v="3"/>
    <x v="0"/>
  </r>
  <r>
    <n v="159893"/>
    <n v="10639"/>
    <x v="39"/>
    <m/>
    <n v="0"/>
    <n v="0"/>
    <n v="0"/>
    <x v="0"/>
  </r>
  <r>
    <n v="159894"/>
    <n v="10639"/>
    <x v="38"/>
    <m/>
    <n v="1"/>
    <n v="0"/>
    <n v="1"/>
    <x v="0"/>
  </r>
  <r>
    <n v="159895"/>
    <n v="10639"/>
    <x v="52"/>
    <m/>
    <n v="3.05"/>
    <n v="0"/>
    <n v="3.05"/>
    <x v="0"/>
  </r>
  <r>
    <n v="159896"/>
    <n v="10639"/>
    <x v="61"/>
    <m/>
    <n v="2"/>
    <n v="0"/>
    <n v="2"/>
    <x v="0"/>
  </r>
  <r>
    <n v="159897"/>
    <n v="10639"/>
    <x v="53"/>
    <m/>
    <n v="1.6"/>
    <n v="0"/>
    <n v="1.6"/>
    <x v="0"/>
  </r>
  <r>
    <n v="159898"/>
    <n v="10639"/>
    <x v="62"/>
    <m/>
    <n v="0"/>
    <n v="0"/>
    <n v="0"/>
    <x v="0"/>
  </r>
  <r>
    <n v="159913"/>
    <n v="10719"/>
    <x v="0"/>
    <n v="10"/>
    <n v="13.5"/>
    <n v="0"/>
    <n v="13.5"/>
    <x v="0"/>
  </r>
  <r>
    <n v="159942"/>
    <n v="11213"/>
    <x v="40"/>
    <n v="0"/>
    <n v="0.7"/>
    <n v="0"/>
    <n v="0.7"/>
    <x v="0"/>
  </r>
  <r>
    <n v="159960"/>
    <n v="11213"/>
    <x v="40"/>
    <n v="0"/>
    <n v="0"/>
    <n v="0"/>
    <n v="0"/>
    <x v="0"/>
  </r>
  <r>
    <n v="159966"/>
    <n v="11213"/>
    <x v="42"/>
    <n v="0"/>
    <n v="0"/>
    <n v="0"/>
    <n v="0"/>
    <x v="0"/>
  </r>
  <r>
    <n v="159967"/>
    <n v="11213"/>
    <x v="49"/>
    <n v="0"/>
    <n v="3.1"/>
    <n v="0"/>
    <n v="3.1"/>
    <x v="0"/>
  </r>
  <r>
    <n v="159968"/>
    <n v="11213"/>
    <x v="42"/>
    <n v="0"/>
    <n v="0"/>
    <n v="0"/>
    <n v="0"/>
    <x v="0"/>
  </r>
  <r>
    <n v="159969"/>
    <n v="11213"/>
    <x v="49"/>
    <n v="0"/>
    <n v="1"/>
    <n v="0"/>
    <n v="1"/>
    <x v="0"/>
  </r>
  <r>
    <n v="160140"/>
    <n v="11759"/>
    <x v="45"/>
    <n v="6.2"/>
    <n v="6.7"/>
    <n v="0"/>
    <n v="6.7"/>
    <x v="0"/>
  </r>
  <r>
    <n v="160141"/>
    <n v="11759"/>
    <x v="45"/>
    <n v="15.6"/>
    <n v="15.5"/>
    <n v="0"/>
    <n v="15.5"/>
    <x v="0"/>
  </r>
  <r>
    <n v="160143"/>
    <n v="11308"/>
    <x v="46"/>
    <n v="2.2000000000000002"/>
    <n v="2.2000000000000002"/>
    <n v="0"/>
    <n v="2.2000000000000002"/>
    <x v="3"/>
  </r>
  <r>
    <n v="160193"/>
    <n v="11715"/>
    <x v="61"/>
    <n v="4.0999999999999996"/>
    <n v="5"/>
    <n v="0"/>
    <n v="5"/>
    <x v="0"/>
  </r>
  <r>
    <n v="160194"/>
    <n v="11715"/>
    <x v="61"/>
    <n v="5"/>
    <n v="2.5"/>
    <n v="0"/>
    <n v="2.5"/>
    <x v="0"/>
  </r>
  <r>
    <n v="160195"/>
    <n v="11715"/>
    <x v="61"/>
    <n v="4.0999999999999996"/>
    <n v="3"/>
    <n v="0"/>
    <n v="3"/>
    <x v="0"/>
  </r>
  <r>
    <n v="160196"/>
    <n v="11715"/>
    <x v="61"/>
    <n v="4"/>
    <n v="2"/>
    <n v="0"/>
    <n v="2"/>
    <x v="0"/>
  </r>
  <r>
    <n v="160198"/>
    <n v="11715"/>
    <x v="61"/>
    <n v="0"/>
    <n v="1"/>
    <n v="0"/>
    <n v="1"/>
    <x v="0"/>
  </r>
  <r>
    <n v="160199"/>
    <n v="11715"/>
    <x v="61"/>
    <n v="0.55000000000000004"/>
    <n v="2.5"/>
    <n v="0.5"/>
    <n v="3"/>
    <x v="0"/>
  </r>
  <r>
    <n v="160214"/>
    <n v="11704"/>
    <x v="56"/>
    <n v="0"/>
    <n v="0"/>
    <n v="0"/>
    <n v="0"/>
    <x v="0"/>
  </r>
  <r>
    <n v="160215"/>
    <n v="11704"/>
    <x v="60"/>
    <n v="3.3"/>
    <n v="9.75"/>
    <n v="0"/>
    <n v="9.75"/>
    <x v="0"/>
  </r>
  <r>
    <n v="160220"/>
    <n v="11044"/>
    <x v="63"/>
    <m/>
    <n v="70"/>
    <n v="0"/>
    <n v="70"/>
    <x v="0"/>
  </r>
  <r>
    <n v="160319"/>
    <n v="11307"/>
    <x v="64"/>
    <n v="0.5"/>
    <n v="1.5"/>
    <n v="0"/>
    <n v="1.5"/>
    <x v="3"/>
  </r>
  <r>
    <n v="160320"/>
    <n v="11307"/>
    <x v="65"/>
    <n v="0.25"/>
    <n v="0.5"/>
    <n v="0"/>
    <n v="0.5"/>
    <x v="3"/>
  </r>
  <r>
    <n v="160321"/>
    <n v="11307"/>
    <x v="64"/>
    <n v="5.75"/>
    <n v="6.5"/>
    <n v="0"/>
    <n v="6.5"/>
    <x v="3"/>
  </r>
  <r>
    <n v="160324"/>
    <n v="11307"/>
    <x v="64"/>
    <n v="0.5"/>
    <n v="1.5"/>
    <n v="0"/>
    <n v="1.5"/>
    <x v="3"/>
  </r>
  <r>
    <n v="160330"/>
    <n v="11307"/>
    <x v="64"/>
    <n v="1"/>
    <n v="1"/>
    <n v="0"/>
    <n v="1"/>
    <x v="3"/>
  </r>
  <r>
    <n v="160331"/>
    <n v="11307"/>
    <x v="65"/>
    <n v="13.1"/>
    <n v="13.25"/>
    <n v="0"/>
    <n v="13.25"/>
    <x v="3"/>
  </r>
  <r>
    <n v="160338"/>
    <n v="11308"/>
    <x v="46"/>
    <n v="4"/>
    <n v="3"/>
    <n v="0"/>
    <n v="3"/>
    <x v="3"/>
  </r>
  <r>
    <n v="160339"/>
    <n v="11308"/>
    <x v="46"/>
    <n v="1"/>
    <n v="0"/>
    <n v="0"/>
    <n v="0"/>
    <x v="3"/>
  </r>
  <r>
    <n v="160341"/>
    <n v="11308"/>
    <x v="46"/>
    <n v="2"/>
    <n v="0"/>
    <n v="0"/>
    <n v="0"/>
    <x v="3"/>
  </r>
  <r>
    <n v="160343"/>
    <n v="11309"/>
    <x v="46"/>
    <n v="0"/>
    <n v="0.2"/>
    <n v="0"/>
    <n v="0.2"/>
    <x v="3"/>
  </r>
  <r>
    <n v="160344"/>
    <n v="11307"/>
    <x v="65"/>
    <n v="7"/>
    <n v="5"/>
    <n v="0"/>
    <n v="5"/>
    <x v="3"/>
  </r>
  <r>
    <n v="160389"/>
    <n v="10797"/>
    <x v="52"/>
    <n v="3.3"/>
    <n v="6.25"/>
    <n v="0"/>
    <n v="6.25"/>
    <x v="0"/>
  </r>
  <r>
    <n v="160397"/>
    <n v="10797"/>
    <x v="53"/>
    <m/>
    <n v="0"/>
    <n v="0"/>
    <n v="0"/>
    <x v="0"/>
  </r>
  <r>
    <n v="160398"/>
    <n v="10797"/>
    <x v="52"/>
    <m/>
    <n v="0"/>
    <n v="0"/>
    <n v="0"/>
    <x v="0"/>
  </r>
  <r>
    <n v="160399"/>
    <n v="10797"/>
    <x v="53"/>
    <m/>
    <n v="0"/>
    <n v="0"/>
    <n v="0"/>
    <x v="0"/>
  </r>
  <r>
    <n v="160400"/>
    <n v="10797"/>
    <x v="52"/>
    <m/>
    <n v="0"/>
    <n v="0"/>
    <n v="0"/>
    <x v="0"/>
  </r>
  <r>
    <n v="160415"/>
    <n v="10018"/>
    <x v="3"/>
    <m/>
    <n v="0"/>
    <n v="0"/>
    <n v="0"/>
    <x v="1"/>
  </r>
  <r>
    <n v="160416"/>
    <n v="10018"/>
    <x v="4"/>
    <m/>
    <n v="0.76"/>
    <n v="0"/>
    <n v="0.76"/>
    <x v="1"/>
  </r>
  <r>
    <n v="160417"/>
    <n v="10018"/>
    <x v="5"/>
    <m/>
    <n v="0"/>
    <n v="0"/>
    <n v="0"/>
    <x v="1"/>
  </r>
  <r>
    <n v="160418"/>
    <n v="10018"/>
    <x v="6"/>
    <m/>
    <n v="0"/>
    <n v="0"/>
    <n v="0"/>
    <x v="1"/>
  </r>
  <r>
    <n v="160419"/>
    <n v="10018"/>
    <x v="7"/>
    <m/>
    <n v="0.3"/>
    <n v="0"/>
    <n v="0.3"/>
    <x v="1"/>
  </r>
  <r>
    <n v="160420"/>
    <n v="10018"/>
    <x v="8"/>
    <m/>
    <n v="2.2999999999999998"/>
    <n v="0"/>
    <n v="2.2999999999999998"/>
    <x v="1"/>
  </r>
  <r>
    <n v="160421"/>
    <n v="10018"/>
    <x v="9"/>
    <m/>
    <n v="1.4"/>
    <n v="0"/>
    <n v="1.4"/>
    <x v="1"/>
  </r>
  <r>
    <n v="160422"/>
    <n v="10018"/>
    <x v="10"/>
    <m/>
    <n v="0.4"/>
    <n v="0"/>
    <n v="0.4"/>
    <x v="1"/>
  </r>
  <r>
    <n v="160423"/>
    <n v="10018"/>
    <x v="11"/>
    <m/>
    <n v="3.75"/>
    <n v="0"/>
    <n v="3.75"/>
    <x v="1"/>
  </r>
  <r>
    <n v="160424"/>
    <n v="10018"/>
    <x v="6"/>
    <m/>
    <n v="0"/>
    <n v="0"/>
    <n v="0"/>
    <x v="1"/>
  </r>
  <r>
    <n v="160425"/>
    <n v="10018"/>
    <x v="12"/>
    <m/>
    <n v="0"/>
    <n v="0"/>
    <n v="0"/>
    <x v="1"/>
  </r>
  <r>
    <n v="160426"/>
    <n v="10018"/>
    <x v="13"/>
    <m/>
    <n v="0"/>
    <n v="0"/>
    <n v="0"/>
    <x v="1"/>
  </r>
  <r>
    <n v="160427"/>
    <n v="10018"/>
    <x v="14"/>
    <m/>
    <n v="0.2"/>
    <n v="0"/>
    <n v="0.2"/>
    <x v="1"/>
  </r>
  <r>
    <n v="160428"/>
    <n v="10018"/>
    <x v="15"/>
    <m/>
    <n v="0"/>
    <n v="0"/>
    <n v="0"/>
    <x v="1"/>
  </r>
  <r>
    <n v="160429"/>
    <n v="10018"/>
    <x v="16"/>
    <m/>
    <n v="0"/>
    <n v="0"/>
    <n v="0"/>
    <x v="1"/>
  </r>
  <r>
    <n v="160430"/>
    <n v="10018"/>
    <x v="17"/>
    <m/>
    <n v="1.1299999999999999"/>
    <n v="0"/>
    <n v="1.1299999999999999"/>
    <x v="1"/>
  </r>
  <r>
    <n v="160431"/>
    <n v="10018"/>
    <x v="18"/>
    <m/>
    <n v="0.4"/>
    <n v="0"/>
    <n v="0.4"/>
    <x v="1"/>
  </r>
  <r>
    <n v="160432"/>
    <n v="10018"/>
    <x v="19"/>
    <m/>
    <n v="1.4"/>
    <n v="0"/>
    <n v="1.4"/>
    <x v="1"/>
  </r>
  <r>
    <n v="160433"/>
    <n v="10018"/>
    <x v="20"/>
    <m/>
    <n v="2.4"/>
    <n v="0"/>
    <n v="2.4"/>
    <x v="1"/>
  </r>
  <r>
    <n v="160434"/>
    <n v="10018"/>
    <x v="21"/>
    <m/>
    <n v="0.05"/>
    <n v="0"/>
    <n v="0.05"/>
    <x v="1"/>
  </r>
  <r>
    <n v="160435"/>
    <n v="10018"/>
    <x v="22"/>
    <m/>
    <n v="0.6"/>
    <n v="0"/>
    <n v="0.6"/>
    <x v="1"/>
  </r>
  <r>
    <n v="160436"/>
    <n v="10018"/>
    <x v="23"/>
    <m/>
    <n v="5"/>
    <n v="0"/>
    <n v="5"/>
    <x v="1"/>
  </r>
  <r>
    <n v="160437"/>
    <n v="10018"/>
    <x v="11"/>
    <m/>
    <n v="0"/>
    <n v="0"/>
    <n v="0"/>
    <x v="1"/>
  </r>
  <r>
    <n v="160438"/>
    <n v="10018"/>
    <x v="24"/>
    <m/>
    <n v="3.85"/>
    <n v="0"/>
    <n v="3.85"/>
    <x v="1"/>
  </r>
  <r>
    <n v="160439"/>
    <n v="10018"/>
    <x v="25"/>
    <m/>
    <n v="0"/>
    <n v="0"/>
    <n v="0"/>
    <x v="1"/>
  </r>
  <r>
    <n v="160441"/>
    <n v="11948"/>
    <x v="44"/>
    <n v="2.6"/>
    <n v="1.4"/>
    <n v="0"/>
    <n v="1.4"/>
    <x v="0"/>
  </r>
  <r>
    <n v="160446"/>
    <n v="10100"/>
    <x v="4"/>
    <m/>
    <n v="0"/>
    <n v="0"/>
    <n v="0"/>
    <x v="2"/>
  </r>
  <r>
    <n v="160447"/>
    <n v="10100"/>
    <x v="3"/>
    <m/>
    <n v="0"/>
    <n v="0"/>
    <n v="0"/>
    <x v="2"/>
  </r>
  <r>
    <n v="160448"/>
    <n v="10100"/>
    <x v="5"/>
    <m/>
    <n v="0"/>
    <n v="0"/>
    <n v="0"/>
    <x v="2"/>
  </r>
  <r>
    <n v="160620"/>
    <n v="10103"/>
    <x v="5"/>
    <m/>
    <n v="9.3000000000000007"/>
    <n v="0"/>
    <n v="9.3000000000000007"/>
    <x v="2"/>
  </r>
  <r>
    <n v="160621"/>
    <n v="10103"/>
    <x v="12"/>
    <m/>
    <n v="0"/>
    <n v="0"/>
    <n v="0"/>
    <x v="2"/>
  </r>
  <r>
    <n v="160676"/>
    <n v="11044"/>
    <x v="62"/>
    <m/>
    <n v="72"/>
    <n v="0"/>
    <n v="72"/>
    <x v="0"/>
  </r>
  <r>
    <n v="160719"/>
    <n v="10814"/>
    <x v="66"/>
    <n v="5.2"/>
    <n v="6"/>
    <n v="0"/>
    <n v="6"/>
    <x v="0"/>
  </r>
  <r>
    <n v="160721"/>
    <n v="10814"/>
    <x v="66"/>
    <n v="8.4"/>
    <n v="11.25"/>
    <n v="0"/>
    <n v="11.25"/>
    <x v="0"/>
  </r>
  <r>
    <n v="160722"/>
    <n v="10814"/>
    <x v="38"/>
    <n v="4"/>
    <n v="6"/>
    <n v="0"/>
    <n v="6"/>
    <x v="0"/>
  </r>
  <r>
    <n v="160725"/>
    <n v="10814"/>
    <x v="66"/>
    <n v="2.5"/>
    <n v="6.05"/>
    <n v="0"/>
    <n v="6.05"/>
    <x v="0"/>
  </r>
  <r>
    <n v="160726"/>
    <n v="10814"/>
    <x v="38"/>
    <n v="0"/>
    <n v="1"/>
    <n v="0"/>
    <n v="1"/>
    <x v="0"/>
  </r>
  <r>
    <n v="160761"/>
    <n v="10688"/>
    <x v="39"/>
    <n v="8.3000000000000007"/>
    <n v="5.5"/>
    <n v="0"/>
    <n v="5.5"/>
    <x v="0"/>
  </r>
  <r>
    <n v="160763"/>
    <n v="10688"/>
    <x v="39"/>
    <n v="15.5"/>
    <n v="11.5"/>
    <n v="0"/>
    <n v="11.5"/>
    <x v="0"/>
  </r>
  <r>
    <n v="160765"/>
    <n v="10688"/>
    <x v="39"/>
    <n v="4.2"/>
    <n v="2.75"/>
    <n v="0"/>
    <n v="2.75"/>
    <x v="0"/>
  </r>
  <r>
    <n v="160841"/>
    <n v="10639"/>
    <x v="66"/>
    <n v="1"/>
    <n v="1.8"/>
    <n v="0"/>
    <n v="1.8"/>
    <x v="0"/>
  </r>
  <r>
    <n v="160882"/>
    <n v="10758"/>
    <x v="49"/>
    <n v="6.4"/>
    <n v="3.05"/>
    <n v="0"/>
    <n v="3.05"/>
    <x v="0"/>
  </r>
  <r>
    <n v="160885"/>
    <n v="10777"/>
    <x v="41"/>
    <n v="4.5"/>
    <n v="2.8"/>
    <n v="0"/>
    <n v="2.8"/>
    <x v="0"/>
  </r>
  <r>
    <n v="160888"/>
    <n v="10720"/>
    <x v="40"/>
    <n v="0"/>
    <n v="4.9000000000000004"/>
    <n v="0"/>
    <n v="4.9000000000000004"/>
    <x v="0"/>
  </r>
  <r>
    <n v="160890"/>
    <n v="10720"/>
    <x v="41"/>
    <n v="0"/>
    <n v="0.95"/>
    <n v="0"/>
    <n v="0.95"/>
    <x v="0"/>
  </r>
  <r>
    <n v="160999"/>
    <n v="11213"/>
    <x v="43"/>
    <m/>
    <n v="0"/>
    <n v="0"/>
    <n v="0"/>
    <x v="0"/>
  </r>
  <r>
    <n v="161000"/>
    <n v="11213"/>
    <x v="41"/>
    <m/>
    <n v="0.35"/>
    <n v="0"/>
    <n v="0.35"/>
    <x v="0"/>
  </r>
  <r>
    <n v="161002"/>
    <n v="11213"/>
    <x v="40"/>
    <m/>
    <n v="0"/>
    <n v="0"/>
    <n v="0"/>
    <x v="0"/>
  </r>
  <r>
    <n v="161003"/>
    <n v="11213"/>
    <x v="1"/>
    <m/>
    <n v="0"/>
    <n v="0"/>
    <n v="0"/>
    <x v="0"/>
  </r>
  <r>
    <n v="161004"/>
    <n v="11213"/>
    <x v="49"/>
    <m/>
    <n v="1.9"/>
    <n v="0"/>
    <n v="1.9"/>
    <x v="0"/>
  </r>
  <r>
    <n v="161006"/>
    <n v="11213"/>
    <x v="42"/>
    <m/>
    <n v="0"/>
    <n v="0"/>
    <n v="0"/>
    <x v="0"/>
  </r>
  <r>
    <n v="161007"/>
    <n v="11213"/>
    <x v="44"/>
    <m/>
    <n v="0"/>
    <n v="0"/>
    <n v="0"/>
    <x v="0"/>
  </r>
  <r>
    <n v="161008"/>
    <n v="11213"/>
    <x v="51"/>
    <m/>
    <n v="1"/>
    <n v="0"/>
    <n v="1"/>
    <x v="0"/>
  </r>
  <r>
    <n v="161009"/>
    <n v="11213"/>
    <x v="50"/>
    <n v="0"/>
    <n v="2.25"/>
    <n v="0"/>
    <n v="2.25"/>
    <x v="0"/>
  </r>
  <r>
    <n v="161010"/>
    <n v="11213"/>
    <x v="43"/>
    <m/>
    <n v="0"/>
    <n v="0"/>
    <n v="0"/>
    <x v="0"/>
  </r>
  <r>
    <n v="161011"/>
    <n v="11213"/>
    <x v="41"/>
    <m/>
    <n v="0.75"/>
    <n v="0"/>
    <n v="0.75"/>
    <x v="0"/>
  </r>
  <r>
    <n v="161012"/>
    <n v="11213"/>
    <x v="40"/>
    <n v="0"/>
    <n v="0.5"/>
    <n v="0"/>
    <n v="0.5"/>
    <x v="0"/>
  </r>
  <r>
    <n v="161013"/>
    <n v="11213"/>
    <x v="1"/>
    <m/>
    <n v="0"/>
    <n v="0"/>
    <n v="0"/>
    <x v="0"/>
  </r>
  <r>
    <n v="161014"/>
    <n v="11213"/>
    <x v="51"/>
    <n v="0"/>
    <n v="5.25"/>
    <n v="0"/>
    <n v="5.25"/>
    <x v="0"/>
  </r>
  <r>
    <n v="161015"/>
    <n v="11213"/>
    <x v="44"/>
    <m/>
    <n v="0.5"/>
    <n v="0"/>
    <n v="0.5"/>
    <x v="0"/>
  </r>
  <r>
    <n v="161017"/>
    <n v="11213"/>
    <x v="43"/>
    <n v="0"/>
    <n v="0"/>
    <n v="0"/>
    <n v="0"/>
    <x v="0"/>
  </r>
  <r>
    <n v="161018"/>
    <n v="11213"/>
    <x v="50"/>
    <n v="0"/>
    <n v="2"/>
    <n v="0"/>
    <n v="2"/>
    <x v="0"/>
  </r>
  <r>
    <n v="161019"/>
    <n v="11213"/>
    <x v="1"/>
    <n v="0"/>
    <n v="2"/>
    <n v="0"/>
    <n v="2"/>
    <x v="0"/>
  </r>
  <r>
    <n v="161020"/>
    <n v="11213"/>
    <x v="44"/>
    <n v="0"/>
    <n v="7.05"/>
    <n v="0"/>
    <n v="7.05"/>
    <x v="0"/>
  </r>
  <r>
    <n v="161021"/>
    <n v="11213"/>
    <x v="51"/>
    <n v="0"/>
    <n v="0"/>
    <n v="0"/>
    <n v="0"/>
    <x v="0"/>
  </r>
  <r>
    <n v="161022"/>
    <n v="11213"/>
    <x v="41"/>
    <m/>
    <n v="0"/>
    <n v="0"/>
    <n v="0"/>
    <x v="0"/>
  </r>
  <r>
    <n v="161023"/>
    <n v="11213"/>
    <x v="40"/>
    <n v="0"/>
    <n v="0.5"/>
    <n v="0"/>
    <n v="0.5"/>
    <x v="0"/>
  </r>
  <r>
    <n v="161024"/>
    <n v="11213"/>
    <x v="42"/>
    <n v="0"/>
    <n v="2.1"/>
    <n v="0"/>
    <n v="2.1"/>
    <x v="0"/>
  </r>
  <r>
    <n v="161025"/>
    <n v="11213"/>
    <x v="44"/>
    <n v="0"/>
    <n v="3.05"/>
    <n v="0"/>
    <n v="3.05"/>
    <x v="0"/>
  </r>
  <r>
    <n v="161026"/>
    <n v="11213"/>
    <x v="42"/>
    <n v="0"/>
    <n v="0"/>
    <n v="0"/>
    <n v="0"/>
    <x v="0"/>
  </r>
  <r>
    <n v="161027"/>
    <n v="11213"/>
    <x v="49"/>
    <m/>
    <n v="0"/>
    <n v="0"/>
    <n v="0"/>
    <x v="0"/>
  </r>
  <r>
    <n v="161028"/>
    <n v="11213"/>
    <x v="43"/>
    <m/>
    <n v="1"/>
    <n v="0"/>
    <n v="1"/>
    <x v="0"/>
  </r>
  <r>
    <n v="161029"/>
    <n v="11213"/>
    <x v="50"/>
    <m/>
    <n v="0"/>
    <n v="0"/>
    <n v="0"/>
    <x v="0"/>
  </r>
  <r>
    <n v="161030"/>
    <n v="11213"/>
    <x v="44"/>
    <n v="0"/>
    <n v="1.8"/>
    <n v="0"/>
    <n v="1.8"/>
    <x v="0"/>
  </r>
  <r>
    <n v="161031"/>
    <n v="11213"/>
    <x v="51"/>
    <n v="0"/>
    <n v="0.75"/>
    <n v="0"/>
    <n v="0.75"/>
    <x v="0"/>
  </r>
  <r>
    <n v="161033"/>
    <n v="11213"/>
    <x v="1"/>
    <m/>
    <n v="0"/>
    <n v="0"/>
    <n v="0"/>
    <x v="0"/>
  </r>
  <r>
    <n v="161034"/>
    <n v="11213"/>
    <x v="42"/>
    <m/>
    <n v="0"/>
    <n v="0"/>
    <n v="0"/>
    <x v="0"/>
  </r>
  <r>
    <n v="161035"/>
    <n v="11213"/>
    <x v="49"/>
    <m/>
    <n v="0.2"/>
    <n v="0"/>
    <n v="0.2"/>
    <x v="0"/>
  </r>
  <r>
    <n v="161036"/>
    <n v="11213"/>
    <x v="44"/>
    <m/>
    <n v="7.65"/>
    <n v="0"/>
    <n v="7.65"/>
    <x v="0"/>
  </r>
  <r>
    <n v="161037"/>
    <n v="11213"/>
    <x v="51"/>
    <m/>
    <n v="0"/>
    <n v="0"/>
    <n v="0"/>
    <x v="0"/>
  </r>
  <r>
    <n v="161038"/>
    <n v="11213"/>
    <x v="40"/>
    <m/>
    <n v="0.8"/>
    <n v="0"/>
    <n v="0.8"/>
    <x v="0"/>
  </r>
  <r>
    <n v="161039"/>
    <n v="11213"/>
    <x v="41"/>
    <m/>
    <n v="0.6"/>
    <n v="0"/>
    <n v="0.6"/>
    <x v="0"/>
  </r>
  <r>
    <n v="161040"/>
    <n v="11213"/>
    <x v="1"/>
    <m/>
    <n v="0"/>
    <n v="0"/>
    <n v="0"/>
    <x v="0"/>
  </r>
  <r>
    <n v="161041"/>
    <n v="11213"/>
    <x v="42"/>
    <n v="0"/>
    <n v="1.5"/>
    <n v="0"/>
    <n v="1.5"/>
    <x v="0"/>
  </r>
  <r>
    <n v="161042"/>
    <n v="11213"/>
    <x v="49"/>
    <m/>
    <n v="0"/>
    <n v="0"/>
    <n v="0"/>
    <x v="0"/>
  </r>
  <r>
    <n v="161043"/>
    <n v="11213"/>
    <x v="41"/>
    <m/>
    <n v="0"/>
    <n v="0"/>
    <n v="0"/>
    <x v="0"/>
  </r>
  <r>
    <n v="161044"/>
    <n v="11213"/>
    <x v="50"/>
    <m/>
    <n v="0.5"/>
    <n v="0"/>
    <n v="0.5"/>
    <x v="0"/>
  </r>
  <r>
    <n v="161045"/>
    <n v="11213"/>
    <x v="43"/>
    <n v="0"/>
    <n v="7"/>
    <n v="0"/>
    <n v="7"/>
    <x v="0"/>
  </r>
  <r>
    <n v="161046"/>
    <n v="11213"/>
    <x v="44"/>
    <m/>
    <n v="0"/>
    <n v="0"/>
    <n v="0"/>
    <x v="0"/>
  </r>
  <r>
    <n v="161047"/>
    <n v="11213"/>
    <x v="51"/>
    <m/>
    <n v="0"/>
    <n v="0"/>
    <n v="0"/>
    <x v="0"/>
  </r>
  <r>
    <n v="161048"/>
    <n v="11213"/>
    <x v="1"/>
    <n v="0"/>
    <n v="0"/>
    <n v="0"/>
    <n v="0"/>
    <x v="0"/>
  </r>
  <r>
    <n v="161074"/>
    <n v="11218"/>
    <x v="49"/>
    <m/>
    <n v="1.45"/>
    <n v="0"/>
    <n v="1.45"/>
    <x v="0"/>
  </r>
  <r>
    <n v="161081"/>
    <n v="11219"/>
    <x v="42"/>
    <m/>
    <n v="0"/>
    <n v="0"/>
    <n v="0"/>
    <x v="0"/>
  </r>
  <r>
    <n v="161082"/>
    <n v="11219"/>
    <x v="49"/>
    <m/>
    <n v="0.6"/>
    <n v="0"/>
    <n v="0.6"/>
    <x v="0"/>
  </r>
  <r>
    <n v="161083"/>
    <n v="11219"/>
    <x v="44"/>
    <m/>
    <n v="0"/>
    <n v="0"/>
    <n v="0"/>
    <x v="0"/>
  </r>
  <r>
    <n v="161084"/>
    <n v="11219"/>
    <x v="51"/>
    <m/>
    <n v="0"/>
    <n v="0"/>
    <n v="0"/>
    <x v="0"/>
  </r>
  <r>
    <n v="161085"/>
    <n v="11219"/>
    <x v="50"/>
    <m/>
    <n v="0.5"/>
    <n v="0"/>
    <n v="0.5"/>
    <x v="0"/>
  </r>
  <r>
    <n v="161086"/>
    <n v="11219"/>
    <x v="43"/>
    <m/>
    <n v="1.5"/>
    <n v="0"/>
    <n v="1.5"/>
    <x v="0"/>
  </r>
  <r>
    <n v="161087"/>
    <n v="11219"/>
    <x v="1"/>
    <m/>
    <n v="0"/>
    <n v="0"/>
    <n v="0"/>
    <x v="0"/>
  </r>
  <r>
    <n v="161088"/>
    <n v="11219"/>
    <x v="41"/>
    <m/>
    <n v="0"/>
    <n v="0"/>
    <n v="0"/>
    <x v="0"/>
  </r>
  <r>
    <n v="161089"/>
    <n v="11219"/>
    <x v="40"/>
    <m/>
    <n v="0"/>
    <n v="0"/>
    <n v="0"/>
    <x v="0"/>
  </r>
  <r>
    <n v="161090"/>
    <n v="11220"/>
    <x v="42"/>
    <m/>
    <n v="1.25"/>
    <n v="0"/>
    <n v="1.25"/>
    <x v="0"/>
  </r>
  <r>
    <n v="161091"/>
    <n v="11220"/>
    <x v="49"/>
    <m/>
    <n v="1.1000000000000001"/>
    <n v="0"/>
    <n v="1.6"/>
    <x v="0"/>
  </r>
  <r>
    <n v="161092"/>
    <n v="11220"/>
    <x v="40"/>
    <m/>
    <n v="0"/>
    <n v="0"/>
    <n v="0"/>
    <x v="0"/>
  </r>
  <r>
    <n v="161094"/>
    <n v="11220"/>
    <x v="43"/>
    <m/>
    <n v="0"/>
    <n v="0"/>
    <n v="0"/>
    <x v="0"/>
  </r>
  <r>
    <n v="161095"/>
    <n v="11220"/>
    <x v="50"/>
    <m/>
    <n v="0"/>
    <n v="0"/>
    <n v="0"/>
    <x v="0"/>
  </r>
  <r>
    <n v="161096"/>
    <n v="11220"/>
    <x v="41"/>
    <m/>
    <n v="0"/>
    <n v="0"/>
    <n v="0"/>
    <x v="0"/>
  </r>
  <r>
    <n v="161097"/>
    <n v="11220"/>
    <x v="1"/>
    <m/>
    <n v="0"/>
    <n v="0"/>
    <n v="0"/>
    <x v="0"/>
  </r>
  <r>
    <n v="161098"/>
    <n v="11220"/>
    <x v="44"/>
    <m/>
    <n v="0"/>
    <n v="0"/>
    <n v="0"/>
    <x v="0"/>
  </r>
  <r>
    <n v="161099"/>
    <n v="11220"/>
    <x v="51"/>
    <m/>
    <n v="0"/>
    <n v="0"/>
    <n v="0"/>
    <x v="0"/>
  </r>
  <r>
    <n v="161100"/>
    <n v="11221"/>
    <x v="51"/>
    <m/>
    <n v="0"/>
    <n v="0"/>
    <n v="0"/>
    <x v="0"/>
  </r>
  <r>
    <n v="161101"/>
    <n v="11221"/>
    <x v="44"/>
    <m/>
    <n v="2.1"/>
    <n v="0"/>
    <n v="2.1"/>
    <x v="0"/>
  </r>
  <r>
    <n v="161102"/>
    <n v="11221"/>
    <x v="42"/>
    <m/>
    <n v="0"/>
    <n v="0"/>
    <n v="0"/>
    <x v="0"/>
  </r>
  <r>
    <n v="161103"/>
    <n v="11221"/>
    <x v="49"/>
    <m/>
    <n v="0.9"/>
    <n v="0"/>
    <n v="0.9"/>
    <x v="0"/>
  </r>
  <r>
    <n v="161104"/>
    <n v="11221"/>
    <x v="43"/>
    <m/>
    <n v="0"/>
    <n v="0"/>
    <n v="0"/>
    <x v="0"/>
  </r>
  <r>
    <n v="161105"/>
    <n v="11221"/>
    <x v="50"/>
    <m/>
    <n v="0"/>
    <n v="0"/>
    <n v="0.5"/>
    <x v="0"/>
  </r>
  <r>
    <n v="161106"/>
    <n v="11221"/>
    <x v="1"/>
    <m/>
    <n v="0"/>
    <n v="0"/>
    <n v="0"/>
    <x v="0"/>
  </r>
  <r>
    <n v="161107"/>
    <n v="11221"/>
    <x v="40"/>
    <m/>
    <n v="0"/>
    <n v="0"/>
    <n v="0"/>
    <x v="0"/>
  </r>
  <r>
    <n v="161108"/>
    <n v="11221"/>
    <x v="41"/>
    <m/>
    <n v="0"/>
    <n v="0"/>
    <n v="0"/>
    <x v="0"/>
  </r>
  <r>
    <n v="161114"/>
    <n v="11221"/>
    <x v="37"/>
    <m/>
    <n v="0"/>
    <n v="0"/>
    <n v="0"/>
    <x v="0"/>
  </r>
  <r>
    <n v="161117"/>
    <n v="10100"/>
    <x v="5"/>
    <n v="0"/>
    <n v="6.4"/>
    <n v="0"/>
    <n v="6.4"/>
    <x v="2"/>
  </r>
  <r>
    <n v="161118"/>
    <n v="10100"/>
    <x v="4"/>
    <m/>
    <n v="0.31"/>
    <n v="0"/>
    <n v="0.31"/>
    <x v="2"/>
  </r>
  <r>
    <n v="161381"/>
    <n v="11705"/>
    <x v="56"/>
    <n v="2.5"/>
    <n v="0"/>
    <n v="0"/>
    <n v="0"/>
    <x v="0"/>
  </r>
  <r>
    <n v="161382"/>
    <n v="11705"/>
    <x v="56"/>
    <n v="1"/>
    <n v="0"/>
    <n v="0"/>
    <n v="0"/>
    <x v="0"/>
  </r>
  <r>
    <n v="161490"/>
    <n v="10639"/>
    <x v="67"/>
    <n v="0"/>
    <n v="105.85"/>
    <n v="0"/>
    <n v="105.85"/>
    <x v="0"/>
  </r>
  <r>
    <n v="161667"/>
    <n v="11709"/>
    <x v="68"/>
    <n v="1.5"/>
    <n v="2.5"/>
    <n v="0"/>
    <n v="2.5"/>
    <x v="0"/>
  </r>
  <r>
    <n v="161668"/>
    <n v="11705"/>
    <x v="68"/>
    <n v="1"/>
    <n v="2"/>
    <n v="0"/>
    <n v="2"/>
    <x v="0"/>
  </r>
  <r>
    <n v="161669"/>
    <n v="11705"/>
    <x v="60"/>
    <m/>
    <n v="0.75"/>
    <n v="0"/>
    <n v="0.75"/>
    <x v="0"/>
  </r>
  <r>
    <n v="161670"/>
    <n v="11705"/>
    <x v="68"/>
    <m/>
    <n v="3"/>
    <n v="0"/>
    <n v="3"/>
    <x v="0"/>
  </r>
  <r>
    <n v="161671"/>
    <n v="11950"/>
    <x v="69"/>
    <m/>
    <n v="0"/>
    <n v="0"/>
    <n v="0"/>
    <x v="0"/>
  </r>
  <r>
    <n v="161672"/>
    <n v="11950"/>
    <x v="69"/>
    <m/>
    <n v="0"/>
    <n v="0"/>
    <n v="0"/>
    <x v="0"/>
  </r>
  <r>
    <n v="161673"/>
    <n v="11950"/>
    <x v="69"/>
    <m/>
    <n v="0"/>
    <n v="0"/>
    <n v="0"/>
    <x v="0"/>
  </r>
  <r>
    <n v="161675"/>
    <n v="11950"/>
    <x v="69"/>
    <m/>
    <n v="0.25"/>
    <n v="0"/>
    <n v="0.25"/>
    <x v="0"/>
  </r>
  <r>
    <n v="161676"/>
    <n v="11704"/>
    <x v="52"/>
    <m/>
    <n v="3.1"/>
    <n v="0"/>
    <n v="3.1"/>
    <x v="0"/>
  </r>
  <r>
    <n v="161685"/>
    <n v="10816"/>
    <x v="38"/>
    <n v="8.3000000000000007"/>
    <n v="4"/>
    <n v="0"/>
    <n v="4"/>
    <x v="0"/>
  </r>
  <r>
    <n v="161689"/>
    <n v="10020"/>
    <x v="16"/>
    <n v="0"/>
    <n v="7.8"/>
    <n v="0"/>
    <n v="7.8"/>
    <x v="1"/>
  </r>
  <r>
    <n v="161691"/>
    <n v="10020"/>
    <x v="5"/>
    <n v="0"/>
    <n v="0.4"/>
    <n v="0"/>
    <n v="0.4"/>
    <x v="1"/>
  </r>
  <r>
    <n v="161692"/>
    <n v="10020"/>
    <x v="20"/>
    <n v="0"/>
    <n v="0.4"/>
    <n v="0"/>
    <n v="0.4"/>
    <x v="1"/>
  </r>
  <r>
    <n v="161694"/>
    <n v="10020"/>
    <x v="16"/>
    <n v="0"/>
    <n v="0.5"/>
    <n v="0"/>
    <n v="0.5"/>
    <x v="1"/>
  </r>
  <r>
    <n v="161695"/>
    <n v="10020"/>
    <x v="20"/>
    <m/>
    <n v="6.15"/>
    <n v="0"/>
    <n v="6.15"/>
    <x v="1"/>
  </r>
  <r>
    <n v="161696"/>
    <n v="10020"/>
    <x v="5"/>
    <m/>
    <n v="0.4"/>
    <n v="0"/>
    <n v="0.4"/>
    <x v="1"/>
  </r>
  <r>
    <n v="161697"/>
    <n v="10020"/>
    <x v="20"/>
    <n v="0"/>
    <n v="0.2"/>
    <n v="0"/>
    <n v="0.2"/>
    <x v="1"/>
  </r>
  <r>
    <n v="161722"/>
    <n v="10692"/>
    <x v="54"/>
    <n v="1"/>
    <n v="1"/>
    <n v="0"/>
    <n v="1"/>
    <x v="0"/>
  </r>
  <r>
    <n v="161723"/>
    <n v="10692"/>
    <x v="54"/>
    <n v="5"/>
    <n v="5.5"/>
    <n v="0"/>
    <n v="5.5"/>
    <x v="0"/>
  </r>
  <r>
    <n v="161724"/>
    <n v="10692"/>
    <x v="54"/>
    <n v="6.2"/>
    <n v="2"/>
    <n v="0"/>
    <n v="2"/>
    <x v="0"/>
  </r>
  <r>
    <n v="161725"/>
    <n v="10816"/>
    <x v="38"/>
    <n v="0"/>
    <n v="5"/>
    <n v="0"/>
    <n v="5"/>
    <x v="0"/>
  </r>
  <r>
    <n v="161735"/>
    <n v="10692"/>
    <x v="54"/>
    <n v="4.0999999999999996"/>
    <n v="1.25"/>
    <n v="0"/>
    <n v="1.25"/>
    <x v="0"/>
  </r>
  <r>
    <n v="161736"/>
    <n v="10692"/>
    <x v="60"/>
    <m/>
    <n v="1.25"/>
    <n v="0"/>
    <n v="1.25"/>
    <x v="0"/>
  </r>
  <r>
    <n v="161737"/>
    <n v="10692"/>
    <x v="60"/>
    <m/>
    <n v="0"/>
    <n v="0"/>
    <n v="0"/>
    <x v="0"/>
  </r>
  <r>
    <n v="161738"/>
    <n v="10692"/>
    <x v="60"/>
    <m/>
    <n v="0"/>
    <n v="0"/>
    <n v="0"/>
    <x v="0"/>
  </r>
  <r>
    <n v="161739"/>
    <n v="10692"/>
    <x v="60"/>
    <m/>
    <n v="2.75"/>
    <n v="0"/>
    <n v="2.75"/>
    <x v="0"/>
  </r>
  <r>
    <n v="161743"/>
    <n v="11711"/>
    <x v="38"/>
    <n v="2.5"/>
    <n v="4.25"/>
    <n v="0"/>
    <n v="4.25"/>
    <x v="0"/>
  </r>
  <r>
    <n v="161803"/>
    <n v="11244"/>
    <x v="70"/>
    <n v="0"/>
    <n v="88"/>
    <n v="0"/>
    <n v="88"/>
    <x v="1"/>
  </r>
  <r>
    <n v="161866"/>
    <n v="11213"/>
    <x v="40"/>
    <m/>
    <n v="1.55"/>
    <n v="0"/>
    <n v="1.55"/>
    <x v="0"/>
  </r>
  <r>
    <n v="162137"/>
    <n v="10719"/>
    <x v="47"/>
    <n v="56.3"/>
    <n v="56"/>
    <n v="0"/>
    <n v="56"/>
    <x v="0"/>
  </r>
  <r>
    <n v="162138"/>
    <n v="10719"/>
    <x v="0"/>
    <n v="6"/>
    <n v="7.5"/>
    <n v="0"/>
    <n v="7.5"/>
    <x v="0"/>
  </r>
  <r>
    <n v="162139"/>
    <n v="10719"/>
    <x v="47"/>
    <n v="54"/>
    <n v="37"/>
    <n v="0"/>
    <n v="37"/>
    <x v="0"/>
  </r>
  <r>
    <n v="162140"/>
    <n v="10719"/>
    <x v="0"/>
    <n v="8.3000000000000007"/>
    <n v="17"/>
    <n v="0"/>
    <n v="17"/>
    <x v="0"/>
  </r>
  <r>
    <n v="162141"/>
    <n v="10719"/>
    <x v="47"/>
    <n v="52.3"/>
    <n v="42.5"/>
    <n v="15"/>
    <n v="57.5"/>
    <x v="0"/>
  </r>
  <r>
    <n v="162142"/>
    <n v="10719"/>
    <x v="0"/>
    <n v="10"/>
    <n v="5.5"/>
    <n v="3"/>
    <n v="8.5"/>
    <x v="0"/>
  </r>
  <r>
    <n v="162154"/>
    <n v="11706"/>
    <x v="68"/>
    <n v="0"/>
    <n v="2.5"/>
    <n v="0"/>
    <n v="2.5"/>
    <x v="0"/>
  </r>
  <r>
    <n v="162157"/>
    <n v="10639"/>
    <x v="68"/>
    <m/>
    <n v="2"/>
    <n v="0"/>
    <n v="2"/>
    <x v="0"/>
  </r>
  <r>
    <n v="162158"/>
    <n v="10639"/>
    <x v="69"/>
    <m/>
    <n v="2.75"/>
    <n v="0"/>
    <n v="2.75"/>
    <x v="0"/>
  </r>
  <r>
    <n v="162175"/>
    <n v="11214"/>
    <x v="40"/>
    <n v="0"/>
    <n v="0.75"/>
    <n v="0.6"/>
    <n v="1.35"/>
    <x v="0"/>
  </r>
  <r>
    <n v="162196"/>
    <n v="11044"/>
    <x v="69"/>
    <m/>
    <n v="16"/>
    <n v="0"/>
    <n v="16"/>
    <x v="0"/>
  </r>
  <r>
    <n v="162200"/>
    <n v="11948"/>
    <x v="40"/>
    <n v="5.2"/>
    <n v="2.2000000000000002"/>
    <n v="0"/>
    <n v="2.2000000000000002"/>
    <x v="0"/>
  </r>
  <r>
    <n v="162201"/>
    <n v="11948"/>
    <x v="40"/>
    <n v="0"/>
    <n v="0"/>
    <n v="0"/>
    <n v="0"/>
    <x v="0"/>
  </r>
  <r>
    <n v="162202"/>
    <n v="11948"/>
    <x v="44"/>
    <n v="2.6"/>
    <n v="0"/>
    <n v="0"/>
    <n v="0"/>
    <x v="0"/>
  </r>
  <r>
    <n v="162203"/>
    <n v="10725"/>
    <x v="40"/>
    <n v="0"/>
    <n v="0"/>
    <n v="0"/>
    <n v="0"/>
    <x v="0"/>
  </r>
  <r>
    <n v="162204"/>
    <n v="10725"/>
    <x v="40"/>
    <n v="2.5"/>
    <n v="0"/>
    <n v="0"/>
    <n v="0"/>
    <x v="0"/>
  </r>
  <r>
    <n v="162208"/>
    <n v="11948"/>
    <x v="40"/>
    <n v="4.7"/>
    <n v="0.25"/>
    <n v="0"/>
    <n v="0.25"/>
    <x v="0"/>
  </r>
  <r>
    <n v="162209"/>
    <n v="11948"/>
    <x v="40"/>
    <n v="0"/>
    <n v="0"/>
    <n v="0"/>
    <n v="0"/>
    <x v="0"/>
  </r>
  <r>
    <n v="162210"/>
    <n v="11948"/>
    <x v="40"/>
    <n v="0"/>
    <n v="0"/>
    <n v="0"/>
    <n v="0"/>
    <x v="0"/>
  </r>
  <r>
    <n v="162220"/>
    <n v="10720"/>
    <x v="40"/>
    <n v="19.05"/>
    <n v="3.1"/>
    <n v="0"/>
    <n v="3.1"/>
    <x v="0"/>
  </r>
  <r>
    <n v="162223"/>
    <n v="10720"/>
    <x v="40"/>
    <n v="0"/>
    <n v="1"/>
    <n v="0"/>
    <n v="1"/>
    <x v="0"/>
  </r>
  <r>
    <n v="162224"/>
    <n v="10720"/>
    <x v="40"/>
    <n v="0"/>
    <n v="0"/>
    <n v="0"/>
    <n v="0"/>
    <x v="0"/>
  </r>
  <r>
    <n v="162225"/>
    <n v="10720"/>
    <x v="40"/>
    <n v="19.05"/>
    <n v="4.6500000000000004"/>
    <n v="0"/>
    <n v="4.6500000000000004"/>
    <x v="0"/>
  </r>
  <r>
    <n v="162226"/>
    <n v="10720"/>
    <x v="40"/>
    <n v="0"/>
    <n v="1"/>
    <n v="0"/>
    <n v="1"/>
    <x v="0"/>
  </r>
  <r>
    <n v="162227"/>
    <n v="10720"/>
    <x v="40"/>
    <n v="0"/>
    <n v="0.75"/>
    <n v="0"/>
    <n v="0.75"/>
    <x v="0"/>
  </r>
  <r>
    <n v="162228"/>
    <n v="10720"/>
    <x v="41"/>
    <n v="5"/>
    <n v="4.4000000000000004"/>
    <n v="0"/>
    <n v="4.4000000000000004"/>
    <x v="0"/>
  </r>
  <r>
    <n v="162229"/>
    <n v="10720"/>
    <x v="40"/>
    <n v="0"/>
    <n v="2.1"/>
    <n v="1"/>
    <n v="3.1"/>
    <x v="0"/>
  </r>
  <r>
    <n v="162230"/>
    <n v="11948"/>
    <x v="1"/>
    <n v="2.6"/>
    <n v="2.25"/>
    <n v="0"/>
    <n v="2.25"/>
    <x v="0"/>
  </r>
  <r>
    <n v="162231"/>
    <n v="11948"/>
    <x v="1"/>
    <n v="2.6"/>
    <n v="2.25"/>
    <n v="0"/>
    <n v="2.25"/>
    <x v="0"/>
  </r>
  <r>
    <n v="162232"/>
    <n v="11948"/>
    <x v="1"/>
    <n v="2.6"/>
    <n v="0.25"/>
    <n v="0"/>
    <n v="0.25"/>
    <x v="0"/>
  </r>
  <r>
    <n v="162233"/>
    <n v="11948"/>
    <x v="1"/>
    <n v="2.6"/>
    <n v="0.25"/>
    <n v="0"/>
    <n v="0.25"/>
    <x v="0"/>
  </r>
  <r>
    <n v="162241"/>
    <n v="11948"/>
    <x v="43"/>
    <n v="2.6"/>
    <n v="1.5"/>
    <n v="0"/>
    <n v="1.5"/>
    <x v="0"/>
  </r>
  <r>
    <n v="162242"/>
    <n v="11948"/>
    <x v="43"/>
    <n v="2.6"/>
    <n v="0"/>
    <n v="0.1"/>
    <n v="0.1"/>
    <x v="0"/>
  </r>
  <r>
    <n v="162243"/>
    <n v="11948"/>
    <x v="43"/>
    <n v="2.6"/>
    <n v="0.5"/>
    <n v="0.5"/>
    <n v="1"/>
    <x v="0"/>
  </r>
  <r>
    <n v="162244"/>
    <n v="10733"/>
    <x v="1"/>
    <n v="6.4"/>
    <n v="1.75"/>
    <n v="0"/>
    <n v="1.75"/>
    <x v="0"/>
  </r>
  <r>
    <n v="162245"/>
    <n v="10733"/>
    <x v="1"/>
    <n v="0"/>
    <n v="0"/>
    <n v="0"/>
    <n v="0"/>
    <x v="0"/>
  </r>
  <r>
    <n v="162246"/>
    <n v="10732"/>
    <x v="43"/>
    <n v="2.25"/>
    <n v="0"/>
    <n v="0"/>
    <n v="0"/>
    <x v="0"/>
  </r>
  <r>
    <n v="162247"/>
    <n v="10734"/>
    <x v="43"/>
    <n v="2.25"/>
    <n v="4"/>
    <n v="0"/>
    <n v="4"/>
    <x v="0"/>
  </r>
  <r>
    <n v="162248"/>
    <n v="10735"/>
    <x v="43"/>
    <n v="2.25"/>
    <n v="0"/>
    <n v="0"/>
    <n v="0"/>
    <x v="0"/>
  </r>
  <r>
    <n v="162250"/>
    <n v="10732"/>
    <x v="1"/>
    <n v="0"/>
    <n v="0.25"/>
    <n v="0"/>
    <n v="0.25"/>
    <x v="0"/>
  </r>
  <r>
    <n v="162253"/>
    <n v="10733"/>
    <x v="1"/>
    <n v="13.5"/>
    <n v="7.25"/>
    <n v="0"/>
    <n v="7.25"/>
    <x v="0"/>
  </r>
  <r>
    <n v="162254"/>
    <n v="10733"/>
    <x v="1"/>
    <n v="0"/>
    <n v="0"/>
    <n v="0"/>
    <n v="0"/>
    <x v="0"/>
  </r>
  <r>
    <n v="162264"/>
    <n v="11214"/>
    <x v="1"/>
    <n v="3.1"/>
    <n v="0"/>
    <n v="0"/>
    <n v="0"/>
    <x v="0"/>
  </r>
  <r>
    <n v="162265"/>
    <n v="11948"/>
    <x v="50"/>
    <n v="2.6"/>
    <n v="1.25"/>
    <n v="0.4"/>
    <n v="1.65"/>
    <x v="0"/>
  </r>
  <r>
    <n v="162266"/>
    <n v="11948"/>
    <x v="50"/>
    <n v="2.6"/>
    <n v="1.25"/>
    <n v="0"/>
    <n v="1.25"/>
    <x v="0"/>
  </r>
  <r>
    <n v="162267"/>
    <n v="11948"/>
    <x v="50"/>
    <n v="2.6"/>
    <n v="1"/>
    <n v="0"/>
    <n v="1"/>
    <x v="0"/>
  </r>
  <r>
    <n v="162268"/>
    <n v="11948"/>
    <x v="43"/>
    <n v="2.6"/>
    <n v="0"/>
    <n v="0"/>
    <n v="0"/>
    <x v="0"/>
  </r>
  <r>
    <n v="162269"/>
    <n v="11948"/>
    <x v="43"/>
    <n v="2.6"/>
    <n v="0"/>
    <n v="0"/>
    <n v="0"/>
    <x v="0"/>
  </r>
  <r>
    <n v="162270"/>
    <n v="11948"/>
    <x v="43"/>
    <n v="2.6"/>
    <n v="0"/>
    <n v="0"/>
    <n v="0"/>
    <x v="0"/>
  </r>
  <r>
    <n v="162271"/>
    <n v="10708"/>
    <x v="43"/>
    <n v="2.5"/>
    <n v="1.5"/>
    <n v="0"/>
    <n v="1.5"/>
    <x v="0"/>
  </r>
  <r>
    <n v="162272"/>
    <n v="10738"/>
    <x v="50"/>
    <n v="9.3000000000000007"/>
    <n v="2.5"/>
    <n v="2"/>
    <n v="4.5"/>
    <x v="0"/>
  </r>
  <r>
    <n v="162273"/>
    <n v="10738"/>
    <x v="50"/>
    <n v="9.3000000000000007"/>
    <n v="8.75"/>
    <n v="0"/>
    <n v="8.75"/>
    <x v="0"/>
  </r>
  <r>
    <n v="162274"/>
    <n v="10738"/>
    <x v="50"/>
    <n v="9.3000000000000007"/>
    <n v="10"/>
    <n v="0"/>
    <n v="10"/>
    <x v="0"/>
  </r>
  <r>
    <n v="162275"/>
    <n v="10738"/>
    <x v="50"/>
    <n v="6.15"/>
    <n v="6.75"/>
    <n v="2.25"/>
    <n v="9"/>
    <x v="0"/>
  </r>
  <r>
    <n v="162276"/>
    <n v="11948"/>
    <x v="50"/>
    <n v="2.6"/>
    <n v="8.5"/>
    <n v="0"/>
    <n v="8.5"/>
    <x v="0"/>
  </r>
  <r>
    <n v="162277"/>
    <n v="11948"/>
    <x v="50"/>
    <n v="2.6"/>
    <n v="8"/>
    <n v="0"/>
    <n v="8"/>
    <x v="0"/>
  </r>
  <r>
    <n v="162278"/>
    <n v="11948"/>
    <x v="50"/>
    <n v="2.6"/>
    <n v="6"/>
    <n v="2.8"/>
    <n v="8.8000000000000007"/>
    <x v="0"/>
  </r>
  <r>
    <n v="162279"/>
    <n v="10739"/>
    <x v="50"/>
    <n v="2.25"/>
    <n v="3"/>
    <n v="0"/>
    <n v="3"/>
    <x v="0"/>
  </r>
  <r>
    <n v="162280"/>
    <n v="11948"/>
    <x v="50"/>
    <n v="2.6"/>
    <n v="3"/>
    <n v="0"/>
    <n v="3"/>
    <x v="0"/>
  </r>
  <r>
    <n v="162281"/>
    <n v="11948"/>
    <x v="50"/>
    <n v="2.6"/>
    <n v="4"/>
    <n v="0"/>
    <n v="4"/>
    <x v="0"/>
  </r>
  <r>
    <n v="162282"/>
    <n v="11948"/>
    <x v="50"/>
    <n v="2.6"/>
    <n v="3.75"/>
    <n v="0"/>
    <n v="3.75"/>
    <x v="0"/>
  </r>
  <r>
    <n v="162283"/>
    <n v="10740"/>
    <x v="43"/>
    <n v="8.8000000000000007"/>
    <n v="4"/>
    <n v="0"/>
    <n v="4"/>
    <x v="0"/>
  </r>
  <r>
    <n v="162284"/>
    <n v="10740"/>
    <x v="43"/>
    <n v="8.3000000000000007"/>
    <n v="0"/>
    <n v="0"/>
    <n v="0"/>
    <x v="0"/>
  </r>
  <r>
    <n v="162285"/>
    <n v="11948"/>
    <x v="43"/>
    <n v="7.7"/>
    <n v="4.25"/>
    <n v="0"/>
    <n v="4.25"/>
    <x v="0"/>
  </r>
  <r>
    <n v="162286"/>
    <n v="11948"/>
    <x v="43"/>
    <n v="7.7"/>
    <n v="10.4"/>
    <n v="0"/>
    <n v="10.4"/>
    <x v="0"/>
  </r>
  <r>
    <n v="162287"/>
    <n v="11948"/>
    <x v="43"/>
    <n v="7.7"/>
    <n v="3.5"/>
    <n v="2.2000000000000002"/>
    <n v="5.7"/>
    <x v="0"/>
  </r>
  <r>
    <n v="162288"/>
    <n v="11948"/>
    <x v="43"/>
    <n v="2.6"/>
    <n v="3"/>
    <n v="0"/>
    <n v="3"/>
    <x v="0"/>
  </r>
  <r>
    <n v="162289"/>
    <n v="11948"/>
    <x v="43"/>
    <n v="2.6"/>
    <n v="5"/>
    <n v="0"/>
    <n v="5"/>
    <x v="0"/>
  </r>
  <r>
    <n v="162290"/>
    <n v="11948"/>
    <x v="43"/>
    <n v="2.6"/>
    <n v="1"/>
    <n v="1.4"/>
    <n v="2.4"/>
    <x v="0"/>
  </r>
  <r>
    <n v="162291"/>
    <n v="10741"/>
    <x v="43"/>
    <n v="2.5"/>
    <n v="2.25"/>
    <n v="0.25"/>
    <n v="2.5"/>
    <x v="0"/>
  </r>
  <r>
    <n v="162292"/>
    <n v="10741"/>
    <x v="43"/>
    <n v="18.100000000000001"/>
    <n v="14.3"/>
    <n v="0"/>
    <n v="14.3"/>
    <x v="0"/>
  </r>
  <r>
    <n v="162298"/>
    <n v="11948"/>
    <x v="51"/>
    <n v="2.6"/>
    <n v="8.1999999999999993"/>
    <n v="3"/>
    <n v="11.2"/>
    <x v="0"/>
  </r>
  <r>
    <n v="162299"/>
    <n v="11948"/>
    <x v="51"/>
    <n v="2.6"/>
    <n v="9"/>
    <n v="0"/>
    <n v="9"/>
    <x v="0"/>
  </r>
  <r>
    <n v="162300"/>
    <n v="11948"/>
    <x v="51"/>
    <n v="2.6"/>
    <n v="4.6500000000000004"/>
    <n v="0"/>
    <n v="4.6500000000000004"/>
    <x v="0"/>
  </r>
  <r>
    <n v="162301"/>
    <n v="10745"/>
    <x v="51"/>
    <n v="2.25"/>
    <n v="2.15"/>
    <n v="0"/>
    <n v="2.15"/>
    <x v="0"/>
  </r>
  <r>
    <n v="162302"/>
    <n v="10745"/>
    <x v="51"/>
    <n v="19.3"/>
    <n v="13.55"/>
    <n v="0"/>
    <n v="13.55"/>
    <x v="0"/>
  </r>
  <r>
    <n v="162303"/>
    <n v="11948"/>
    <x v="51"/>
    <n v="2.6"/>
    <n v="0"/>
    <n v="0"/>
    <n v="0"/>
    <x v="0"/>
  </r>
  <r>
    <n v="162304"/>
    <n v="11948"/>
    <x v="51"/>
    <n v="2.6"/>
    <n v="0"/>
    <n v="0"/>
    <n v="2.6"/>
    <x v="0"/>
  </r>
  <r>
    <n v="162305"/>
    <n v="11948"/>
    <x v="51"/>
    <n v="2.6"/>
    <n v="0"/>
    <n v="0"/>
    <n v="2.6"/>
    <x v="0"/>
  </r>
  <r>
    <n v="162306"/>
    <n v="10746"/>
    <x v="51"/>
    <n v="2.25"/>
    <n v="2.25"/>
    <n v="0"/>
    <n v="2.25"/>
    <x v="0"/>
  </r>
  <r>
    <n v="162315"/>
    <n v="11948"/>
    <x v="40"/>
    <n v="2.6"/>
    <n v="0.6"/>
    <n v="0"/>
    <n v="0.6"/>
    <x v="0"/>
  </r>
  <r>
    <n v="162316"/>
    <n v="11948"/>
    <x v="49"/>
    <n v="2.6"/>
    <n v="0.35"/>
    <n v="0"/>
    <n v="0.35"/>
    <x v="0"/>
  </r>
  <r>
    <n v="162317"/>
    <n v="11948"/>
    <x v="49"/>
    <n v="2.6"/>
    <n v="0"/>
    <n v="0.2"/>
    <n v="0.2"/>
    <x v="0"/>
  </r>
  <r>
    <n v="162319"/>
    <n v="11948"/>
    <x v="40"/>
    <n v="2.6"/>
    <n v="0"/>
    <n v="0"/>
    <n v="0"/>
    <x v="0"/>
  </r>
  <r>
    <n v="162320"/>
    <n v="11948"/>
    <x v="40"/>
    <n v="2.6"/>
    <n v="0"/>
    <n v="0"/>
    <n v="0"/>
    <x v="0"/>
  </r>
  <r>
    <n v="162321"/>
    <n v="11948"/>
    <x v="40"/>
    <n v="2.6"/>
    <n v="0"/>
    <n v="0"/>
    <n v="0"/>
    <x v="0"/>
  </r>
  <r>
    <n v="162322"/>
    <n v="11948"/>
    <x v="40"/>
    <n v="2.6"/>
    <n v="0"/>
    <n v="0"/>
    <n v="0"/>
    <x v="0"/>
  </r>
  <r>
    <n v="162323"/>
    <n v="11948"/>
    <x v="40"/>
    <n v="2.6"/>
    <n v="0.75"/>
    <n v="0.6"/>
    <n v="1.35"/>
    <x v="0"/>
  </r>
  <r>
    <n v="162325"/>
    <n v="10720"/>
    <x v="40"/>
    <n v="0"/>
    <n v="1.35"/>
    <n v="0"/>
    <n v="1.35"/>
    <x v="0"/>
  </r>
  <r>
    <n v="162327"/>
    <n v="10720"/>
    <x v="40"/>
    <n v="0"/>
    <n v="5.5"/>
    <n v="0"/>
    <n v="5.5"/>
    <x v="0"/>
  </r>
  <r>
    <n v="162329"/>
    <n v="10720"/>
    <x v="40"/>
    <n v="0"/>
    <n v="0"/>
    <n v="0"/>
    <n v="0"/>
    <x v="0"/>
  </r>
  <r>
    <n v="162334"/>
    <n v="11948"/>
    <x v="44"/>
    <m/>
    <n v="0.55000000000000004"/>
    <n v="0"/>
    <n v="0.55000000000000004"/>
    <x v="0"/>
  </r>
  <r>
    <n v="162335"/>
    <n v="11948"/>
    <x v="51"/>
    <n v="2.6"/>
    <n v="2.5"/>
    <n v="0"/>
    <n v="2.5"/>
    <x v="0"/>
  </r>
  <r>
    <n v="162337"/>
    <n v="11948"/>
    <x v="44"/>
    <m/>
    <n v="0.3"/>
    <n v="0"/>
    <n v="0.3"/>
    <x v="0"/>
  </r>
  <r>
    <n v="162340"/>
    <n v="11948"/>
    <x v="44"/>
    <n v="2.6"/>
    <n v="2.4"/>
    <n v="0"/>
    <n v="2.4"/>
    <x v="0"/>
  </r>
  <r>
    <n v="162342"/>
    <n v="11948"/>
    <x v="44"/>
    <n v="2.6"/>
    <n v="1.5"/>
    <n v="0.8"/>
    <n v="2.2999999999999998"/>
    <x v="0"/>
  </r>
  <r>
    <n v="162344"/>
    <n v="10752"/>
    <x v="44"/>
    <n v="5"/>
    <n v="0.9"/>
    <n v="0"/>
    <n v="0.9"/>
    <x v="0"/>
  </r>
  <r>
    <n v="162348"/>
    <n v="11948"/>
    <x v="51"/>
    <n v="4.7"/>
    <n v="7.75"/>
    <n v="0"/>
    <n v="7.75"/>
    <x v="0"/>
  </r>
  <r>
    <n v="162350"/>
    <n v="11948"/>
    <x v="51"/>
    <n v="0"/>
    <n v="5.0999999999999996"/>
    <n v="0"/>
    <n v="5.0999999999999996"/>
    <x v="0"/>
  </r>
  <r>
    <n v="162351"/>
    <n v="11948"/>
    <x v="71"/>
    <n v="4.7"/>
    <n v="9.35"/>
    <n v="3"/>
    <n v="12.35"/>
    <x v="0"/>
  </r>
  <r>
    <n v="162352"/>
    <n v="10720"/>
    <x v="72"/>
    <n v="9"/>
    <n v="0"/>
    <n v="6.5"/>
    <n v="6.5"/>
    <x v="0"/>
  </r>
  <r>
    <n v="162353"/>
    <n v="10753"/>
    <x v="51"/>
    <n v="2.5"/>
    <n v="2.2000000000000002"/>
    <n v="0"/>
    <n v="2.2000000000000002"/>
    <x v="0"/>
  </r>
  <r>
    <n v="162354"/>
    <n v="10753"/>
    <x v="51"/>
    <n v="0"/>
    <n v="0"/>
    <n v="0"/>
    <n v="0"/>
    <x v="0"/>
  </r>
  <r>
    <n v="162355"/>
    <n v="10759"/>
    <x v="49"/>
    <n v="5"/>
    <n v="0.5"/>
    <n v="0"/>
    <n v="0.5"/>
    <x v="0"/>
  </r>
  <r>
    <n v="162356"/>
    <n v="10763"/>
    <x v="1"/>
    <n v="28.4"/>
    <n v="8"/>
    <n v="28"/>
    <n v="36"/>
    <x v="0"/>
  </r>
  <r>
    <n v="162364"/>
    <n v="10760"/>
    <x v="49"/>
    <n v="0"/>
    <n v="0.3"/>
    <n v="0"/>
    <n v="0.3"/>
    <x v="0"/>
  </r>
  <r>
    <n v="162365"/>
    <n v="10760"/>
    <x v="42"/>
    <n v="6.4"/>
    <n v="0.75"/>
    <n v="0"/>
    <n v="0.75"/>
    <x v="0"/>
  </r>
  <r>
    <n v="162366"/>
    <n v="10720"/>
    <x v="40"/>
    <n v="19.600000000000001"/>
    <n v="6.2"/>
    <n v="1"/>
    <n v="7.2"/>
    <x v="0"/>
  </r>
  <r>
    <n v="162367"/>
    <n v="10720"/>
    <x v="41"/>
    <n v="0"/>
    <n v="2.5"/>
    <n v="0"/>
    <n v="2.5"/>
    <x v="0"/>
  </r>
  <r>
    <n v="162373"/>
    <n v="11213"/>
    <x v="37"/>
    <m/>
    <n v="0"/>
    <n v="0"/>
    <n v="0"/>
    <x v="0"/>
  </r>
  <r>
    <n v="162375"/>
    <n v="10816"/>
    <x v="38"/>
    <n v="3.5"/>
    <n v="3.25"/>
    <n v="0"/>
    <n v="3.25"/>
    <x v="0"/>
  </r>
  <r>
    <n v="162645"/>
    <n v="11307"/>
    <x v="64"/>
    <n v="8"/>
    <n v="11.05"/>
    <n v="0"/>
    <n v="11.05"/>
    <x v="3"/>
  </r>
  <r>
    <n v="162647"/>
    <n v="10639"/>
    <x v="73"/>
    <n v="0"/>
    <n v="21.7"/>
    <n v="0"/>
    <n v="21.7"/>
    <x v="0"/>
  </r>
  <r>
    <n v="162648"/>
    <n v="10639"/>
    <x v="53"/>
    <m/>
    <n v="5.8"/>
    <n v="0"/>
    <n v="5.8"/>
    <x v="0"/>
  </r>
  <r>
    <n v="162649"/>
    <n v="10639"/>
    <x v="68"/>
    <m/>
    <n v="8"/>
    <n v="0"/>
    <n v="8"/>
    <x v="0"/>
  </r>
  <r>
    <n v="162650"/>
    <n v="10639"/>
    <x v="61"/>
    <m/>
    <n v="0"/>
    <n v="0"/>
    <n v="0"/>
    <x v="0"/>
  </r>
  <r>
    <n v="162651"/>
    <n v="10639"/>
    <x v="55"/>
    <m/>
    <n v="1"/>
    <n v="0"/>
    <n v="1"/>
    <x v="0"/>
  </r>
  <r>
    <n v="162652"/>
    <n v="10639"/>
    <x v="56"/>
    <m/>
    <n v="0"/>
    <n v="0"/>
    <n v="0"/>
    <x v="0"/>
  </r>
  <r>
    <n v="162653"/>
    <n v="10639"/>
    <x v="54"/>
    <m/>
    <n v="0"/>
    <n v="0"/>
    <n v="0"/>
    <x v="0"/>
  </r>
  <r>
    <n v="162654"/>
    <n v="10639"/>
    <x v="39"/>
    <m/>
    <n v="0.25"/>
    <n v="0"/>
    <n v="0.25"/>
    <x v="0"/>
  </r>
  <r>
    <n v="162655"/>
    <n v="10639"/>
    <x v="45"/>
    <m/>
    <n v="0"/>
    <n v="0"/>
    <n v="0"/>
    <x v="0"/>
  </r>
  <r>
    <n v="162656"/>
    <n v="10639"/>
    <x v="66"/>
    <m/>
    <n v="5.7"/>
    <n v="0"/>
    <n v="5.7"/>
    <x v="0"/>
  </r>
  <r>
    <n v="162657"/>
    <n v="11255"/>
    <x v="35"/>
    <n v="35.9"/>
    <n v="62.5"/>
    <n v="6"/>
    <n v="68.5"/>
    <x v="3"/>
  </r>
  <r>
    <n v="162658"/>
    <n v="11255"/>
    <x v="33"/>
    <n v="0"/>
    <n v="25"/>
    <n v="4"/>
    <n v="29"/>
    <x v="3"/>
  </r>
  <r>
    <n v="162659"/>
    <n v="11255"/>
    <x v="46"/>
    <m/>
    <n v="2"/>
    <n v="0"/>
    <n v="2"/>
    <x v="3"/>
  </r>
  <r>
    <n v="162660"/>
    <n v="11255"/>
    <x v="64"/>
    <m/>
    <n v="0.95"/>
    <n v="0"/>
    <n v="0.95"/>
    <x v="3"/>
  </r>
  <r>
    <n v="162661"/>
    <n v="11255"/>
    <x v="65"/>
    <m/>
    <n v="2.5"/>
    <n v="0"/>
    <n v="2.5"/>
    <x v="3"/>
  </r>
  <r>
    <n v="162662"/>
    <n v="11255"/>
    <x v="46"/>
    <m/>
    <n v="0"/>
    <n v="0"/>
    <n v="0"/>
    <x v="3"/>
  </r>
  <r>
    <n v="162663"/>
    <n v="11255"/>
    <x v="65"/>
    <m/>
    <n v="5.5"/>
    <n v="0"/>
    <n v="5.5"/>
    <x v="3"/>
  </r>
  <r>
    <n v="162664"/>
    <n v="11255"/>
    <x v="64"/>
    <m/>
    <n v="9"/>
    <n v="0"/>
    <n v="9"/>
    <x v="3"/>
  </r>
  <r>
    <n v="162724"/>
    <n v="10783"/>
    <x v="50"/>
    <n v="0"/>
    <n v="5.35"/>
    <n v="0"/>
    <n v="5.35"/>
    <x v="0"/>
  </r>
  <r>
    <n v="162765"/>
    <n v="10814"/>
    <x v="74"/>
    <n v="0"/>
    <n v="5.75"/>
    <n v="0"/>
    <n v="5.75"/>
    <x v="0"/>
  </r>
  <r>
    <n v="162768"/>
    <n v="11255"/>
    <x v="66"/>
    <m/>
    <n v="1.5"/>
    <n v="0"/>
    <n v="1.5"/>
    <x v="3"/>
  </r>
  <r>
    <n v="162771"/>
    <n v="10639"/>
    <x v="45"/>
    <m/>
    <n v="1.4"/>
    <n v="0"/>
    <n v="1.4"/>
    <x v="0"/>
  </r>
  <r>
    <n v="162793"/>
    <n v="10740"/>
    <x v="41"/>
    <n v="1"/>
    <n v="0.95"/>
    <n v="0"/>
    <n v="0.95"/>
    <x v="0"/>
  </r>
  <r>
    <n v="162794"/>
    <n v="10690"/>
    <x v="68"/>
    <n v="2"/>
    <n v="2.5"/>
    <n v="0"/>
    <n v="2.5"/>
    <x v="0"/>
  </r>
  <r>
    <n v="162795"/>
    <n v="10690"/>
    <x v="68"/>
    <n v="2.5"/>
    <n v="2.5"/>
    <n v="0"/>
    <n v="2.5"/>
    <x v="0"/>
  </r>
  <r>
    <n v="162796"/>
    <n v="11612"/>
    <x v="49"/>
    <m/>
    <n v="0.5"/>
    <n v="0"/>
    <n v="0.5"/>
    <x v="0"/>
  </r>
  <r>
    <n v="162797"/>
    <n v="11612"/>
    <x v="42"/>
    <m/>
    <n v="3.2"/>
    <n v="0"/>
    <n v="3.45"/>
    <x v="0"/>
  </r>
  <r>
    <n v="162801"/>
    <n v="11704"/>
    <x v="56"/>
    <n v="2.1"/>
    <n v="2.5"/>
    <n v="0"/>
    <n v="2.5"/>
    <x v="0"/>
  </r>
  <r>
    <n v="162846"/>
    <n v="10100"/>
    <x v="5"/>
    <n v="4.5"/>
    <n v="6.8"/>
    <n v="0"/>
    <n v="6.8"/>
    <x v="2"/>
  </r>
  <r>
    <n v="162848"/>
    <n v="10100"/>
    <x v="4"/>
    <n v="0.5"/>
    <n v="0"/>
    <n v="0"/>
    <n v="0"/>
    <x v="2"/>
  </r>
  <r>
    <n v="162927"/>
    <n v="11309"/>
    <x v="65"/>
    <n v="6.9"/>
    <n v="6.5"/>
    <n v="0"/>
    <n v="6.5"/>
    <x v="3"/>
  </r>
  <r>
    <n v="162928"/>
    <n v="11307"/>
    <x v="65"/>
    <n v="13.6"/>
    <n v="13.5"/>
    <n v="0"/>
    <n v="13.5"/>
    <x v="3"/>
  </r>
  <r>
    <n v="162930"/>
    <n v="11307"/>
    <x v="46"/>
    <n v="9"/>
    <n v="14.5"/>
    <n v="0"/>
    <n v="14.5"/>
    <x v="3"/>
  </r>
  <r>
    <n v="162931"/>
    <n v="11307"/>
    <x v="65"/>
    <n v="11.7"/>
    <n v="22.5"/>
    <n v="0"/>
    <n v="22.5"/>
    <x v="3"/>
  </r>
  <r>
    <n v="162934"/>
    <n v="10783"/>
    <x v="42"/>
    <m/>
    <n v="0.65"/>
    <n v="0"/>
    <n v="0.65"/>
    <x v="0"/>
  </r>
  <r>
    <n v="163287"/>
    <n v="10639"/>
    <x v="44"/>
    <m/>
    <n v="3"/>
    <n v="0"/>
    <n v="3"/>
    <x v="0"/>
  </r>
  <r>
    <n v="163313"/>
    <n v="10639"/>
    <x v="52"/>
    <m/>
    <n v="10.3"/>
    <n v="0"/>
    <n v="10.3"/>
    <x v="0"/>
  </r>
  <r>
    <n v="163467"/>
    <n v="10816"/>
    <x v="53"/>
    <n v="14.6"/>
    <n v="15.5"/>
    <n v="0"/>
    <n v="15.5"/>
    <x v="0"/>
  </r>
  <r>
    <n v="163468"/>
    <n v="10816"/>
    <x v="38"/>
    <n v="3"/>
    <n v="4"/>
    <n v="0"/>
    <n v="4"/>
    <x v="0"/>
  </r>
  <r>
    <n v="163471"/>
    <n v="10815"/>
    <x v="74"/>
    <n v="13.5"/>
    <n v="14.25"/>
    <n v="0"/>
    <n v="14.25"/>
    <x v="0"/>
  </r>
  <r>
    <n v="163472"/>
    <n v="10815"/>
    <x v="74"/>
    <n v="11.9"/>
    <n v="11.75"/>
    <n v="0"/>
    <n v="11.75"/>
    <x v="0"/>
  </r>
  <r>
    <n v="163478"/>
    <n v="11309"/>
    <x v="46"/>
    <n v="6.9"/>
    <n v="5"/>
    <n v="0"/>
    <n v="5"/>
    <x v="3"/>
  </r>
  <r>
    <n v="163500"/>
    <n v="10797"/>
    <x v="52"/>
    <n v="10.7"/>
    <n v="20.2"/>
    <n v="0"/>
    <n v="20.2"/>
    <x v="0"/>
  </r>
  <r>
    <n v="163501"/>
    <n v="10797"/>
    <x v="53"/>
    <n v="1.2"/>
    <n v="3"/>
    <n v="0"/>
    <n v="3"/>
    <x v="0"/>
  </r>
  <r>
    <n v="163502"/>
    <n v="10761"/>
    <x v="42"/>
    <n v="6.15"/>
    <n v="2"/>
    <n v="1.5"/>
    <n v="3.5"/>
    <x v="0"/>
  </r>
  <r>
    <n v="163534"/>
    <n v="10719"/>
    <x v="57"/>
    <m/>
    <n v="3.5"/>
    <n v="0"/>
    <n v="3.5"/>
    <x v="0"/>
  </r>
  <r>
    <n v="163540"/>
    <n v="10783"/>
    <x v="1"/>
    <m/>
    <n v="1.75"/>
    <n v="0"/>
    <n v="1.75"/>
    <x v="0"/>
  </r>
  <r>
    <n v="163541"/>
    <n v="10783"/>
    <x v="40"/>
    <m/>
    <n v="0"/>
    <n v="0"/>
    <n v="0"/>
    <x v="0"/>
  </r>
  <r>
    <n v="163542"/>
    <n v="10783"/>
    <x v="50"/>
    <m/>
    <n v="0.25"/>
    <n v="0"/>
    <n v="0.25"/>
    <x v="0"/>
  </r>
  <r>
    <n v="163543"/>
    <n v="10783"/>
    <x v="43"/>
    <m/>
    <n v="0"/>
    <n v="0"/>
    <n v="0"/>
    <x v="0"/>
  </r>
  <r>
    <n v="163544"/>
    <n v="10783"/>
    <x v="41"/>
    <m/>
    <n v="0"/>
    <n v="0"/>
    <n v="0"/>
    <x v="0"/>
  </r>
  <r>
    <n v="163545"/>
    <n v="10783"/>
    <x v="44"/>
    <m/>
    <n v="0"/>
    <n v="0"/>
    <n v="0"/>
    <x v="0"/>
  </r>
  <r>
    <n v="163547"/>
    <n v="10783"/>
    <x v="51"/>
    <m/>
    <n v="0"/>
    <n v="0"/>
    <n v="0"/>
    <x v="0"/>
  </r>
  <r>
    <n v="163548"/>
    <n v="10783"/>
    <x v="49"/>
    <m/>
    <n v="0.15"/>
    <n v="0"/>
    <n v="0.15"/>
    <x v="0"/>
  </r>
  <r>
    <n v="163550"/>
    <n v="11213"/>
    <x v="42"/>
    <n v="0"/>
    <n v="0.45"/>
    <n v="0"/>
    <n v="0.45"/>
    <x v="0"/>
  </r>
  <r>
    <n v="163551"/>
    <n v="11213"/>
    <x v="49"/>
    <m/>
    <n v="1.95"/>
    <n v="0"/>
    <n v="1.95"/>
    <x v="0"/>
  </r>
  <r>
    <n v="163552"/>
    <n v="11213"/>
    <x v="43"/>
    <m/>
    <n v="0"/>
    <n v="0"/>
    <n v="0"/>
    <x v="0"/>
  </r>
  <r>
    <n v="163553"/>
    <n v="11213"/>
    <x v="50"/>
    <m/>
    <n v="5.75"/>
    <n v="0"/>
    <n v="5.75"/>
    <x v="0"/>
  </r>
  <r>
    <n v="163554"/>
    <n v="11213"/>
    <x v="41"/>
    <m/>
    <n v="0.45"/>
    <n v="0"/>
    <n v="0.45"/>
    <x v="0"/>
  </r>
  <r>
    <n v="163555"/>
    <n v="11213"/>
    <x v="40"/>
    <m/>
    <n v="1.3"/>
    <n v="0"/>
    <n v="1.3"/>
    <x v="0"/>
  </r>
  <r>
    <n v="163556"/>
    <n v="11213"/>
    <x v="44"/>
    <m/>
    <n v="0.3"/>
    <n v="0"/>
    <n v="0.3"/>
    <x v="0"/>
  </r>
  <r>
    <n v="163557"/>
    <n v="11213"/>
    <x v="1"/>
    <m/>
    <n v="0"/>
    <n v="0"/>
    <n v="0"/>
    <x v="0"/>
  </r>
  <r>
    <n v="163561"/>
    <n v="10752"/>
    <x v="44"/>
    <n v="6.4"/>
    <n v="1.8"/>
    <n v="0"/>
    <n v="1.8"/>
    <x v="0"/>
  </r>
  <r>
    <n v="163563"/>
    <n v="10639"/>
    <x v="42"/>
    <n v="0"/>
    <n v="1.85"/>
    <n v="4"/>
    <n v="5.85"/>
    <x v="0"/>
  </r>
  <r>
    <n v="163652"/>
    <n v="10783"/>
    <x v="51"/>
    <m/>
    <n v="0.5"/>
    <n v="0"/>
    <n v="0.5"/>
    <x v="0"/>
  </r>
  <r>
    <n v="163722"/>
    <n v="10764"/>
    <x v="49"/>
    <n v="2.5"/>
    <n v="0.8"/>
    <n v="0"/>
    <n v="0.8"/>
    <x v="0"/>
  </r>
  <r>
    <n v="163726"/>
    <n v="10754"/>
    <x v="44"/>
    <n v="6.4"/>
    <n v="1.2"/>
    <n v="1.8"/>
    <n v="3"/>
    <x v="0"/>
  </r>
  <r>
    <n v="163727"/>
    <n v="10759"/>
    <x v="49"/>
    <n v="5"/>
    <n v="0.35"/>
    <n v="0"/>
    <n v="0.35"/>
    <x v="0"/>
  </r>
  <r>
    <n v="163737"/>
    <n v="10783"/>
    <x v="50"/>
    <m/>
    <n v="0.5"/>
    <n v="0"/>
    <n v="0.5"/>
    <x v="0"/>
  </r>
  <r>
    <n v="163741"/>
    <n v="10783"/>
    <x v="49"/>
    <n v="0"/>
    <n v="0.2"/>
    <n v="0"/>
    <n v="0.2"/>
    <x v="0"/>
  </r>
  <r>
    <n v="163742"/>
    <n v="10783"/>
    <x v="51"/>
    <n v="0"/>
    <n v="2.5"/>
    <n v="0"/>
    <n v="2.5"/>
    <x v="0"/>
  </r>
  <r>
    <n v="163743"/>
    <n v="10783"/>
    <x v="42"/>
    <n v="0"/>
    <n v="0"/>
    <n v="0"/>
    <n v="0"/>
    <x v="0"/>
  </r>
  <r>
    <n v="163744"/>
    <n v="10783"/>
    <x v="44"/>
    <n v="0"/>
    <n v="0.1"/>
    <n v="0"/>
    <n v="0.1"/>
    <x v="0"/>
  </r>
  <r>
    <n v="163745"/>
    <n v="10783"/>
    <x v="43"/>
    <n v="0"/>
    <n v="1.8"/>
    <n v="0"/>
    <n v="1.8"/>
    <x v="0"/>
  </r>
  <r>
    <n v="163746"/>
    <n v="10783"/>
    <x v="40"/>
    <n v="0"/>
    <n v="0"/>
    <n v="0"/>
    <n v="0"/>
    <x v="0"/>
  </r>
  <r>
    <n v="163784"/>
    <n v="10100"/>
    <x v="5"/>
    <m/>
    <n v="1"/>
    <n v="0"/>
    <n v="1"/>
    <x v="2"/>
  </r>
  <r>
    <n v="163785"/>
    <n v="10100"/>
    <x v="5"/>
    <n v="0"/>
    <n v="4.3"/>
    <n v="0"/>
    <n v="4.3"/>
    <x v="2"/>
  </r>
  <r>
    <n v="163787"/>
    <n v="10100"/>
    <x v="4"/>
    <m/>
    <n v="4.74"/>
    <n v="0"/>
    <n v="4.74"/>
    <x v="2"/>
  </r>
  <r>
    <n v="163788"/>
    <n v="10100"/>
    <x v="4"/>
    <m/>
    <n v="5.59"/>
    <n v="0"/>
    <n v="5.59"/>
    <x v="2"/>
  </r>
  <r>
    <n v="163795"/>
    <n v="10639"/>
    <x v="0"/>
    <m/>
    <n v="0"/>
    <n v="0"/>
    <n v="0"/>
    <x v="0"/>
  </r>
  <r>
    <n v="163796"/>
    <n v="10639"/>
    <x v="41"/>
    <m/>
    <n v="0"/>
    <n v="0"/>
    <n v="0"/>
    <x v="0"/>
  </r>
  <r>
    <n v="163797"/>
    <n v="10639"/>
    <x v="49"/>
    <m/>
    <n v="1.2"/>
    <n v="0"/>
    <n v="1.2"/>
    <x v="0"/>
  </r>
  <r>
    <n v="163798"/>
    <n v="10639"/>
    <x v="42"/>
    <m/>
    <n v="0.65"/>
    <n v="0"/>
    <n v="0.65"/>
    <x v="0"/>
  </r>
  <r>
    <n v="163799"/>
    <n v="10639"/>
    <x v="1"/>
    <m/>
    <n v="0"/>
    <n v="0"/>
    <n v="0"/>
    <x v="0"/>
  </r>
  <r>
    <n v="163800"/>
    <n v="10639"/>
    <x v="40"/>
    <m/>
    <n v="0.95"/>
    <n v="0"/>
    <n v="0.95"/>
    <x v="0"/>
  </r>
  <r>
    <n v="163801"/>
    <n v="10639"/>
    <x v="44"/>
    <m/>
    <n v="2.85"/>
    <n v="0"/>
    <n v="2.85"/>
    <x v="0"/>
  </r>
  <r>
    <n v="163802"/>
    <n v="10639"/>
    <x v="50"/>
    <m/>
    <n v="0.75"/>
    <n v="0"/>
    <n v="0.75"/>
    <x v="0"/>
  </r>
  <r>
    <n v="163803"/>
    <n v="10639"/>
    <x v="43"/>
    <m/>
    <n v="0"/>
    <n v="0"/>
    <n v="0"/>
    <x v="0"/>
  </r>
  <r>
    <n v="163804"/>
    <n v="10639"/>
    <x v="51"/>
    <m/>
    <n v="0"/>
    <n v="0"/>
    <n v="0"/>
    <x v="0"/>
  </r>
  <r>
    <n v="163805"/>
    <n v="10639"/>
    <x v="44"/>
    <m/>
    <n v="0"/>
    <n v="0"/>
    <n v="0"/>
    <x v="0"/>
  </r>
  <r>
    <n v="163806"/>
    <n v="10639"/>
    <x v="42"/>
    <m/>
    <n v="1.65"/>
    <n v="0"/>
    <n v="1.65"/>
    <x v="0"/>
  </r>
  <r>
    <n v="163843"/>
    <n v="10020"/>
    <x v="20"/>
    <n v="6.25"/>
    <n v="6.8"/>
    <n v="0"/>
    <n v="6.8"/>
    <x v="1"/>
  </r>
  <r>
    <n v="163848"/>
    <n v="10783"/>
    <x v="50"/>
    <n v="2"/>
    <n v="9.25"/>
    <n v="0"/>
    <n v="9.25"/>
    <x v="0"/>
  </r>
  <r>
    <n v="163849"/>
    <n v="10783"/>
    <x v="49"/>
    <n v="0.25"/>
    <n v="0"/>
    <n v="0.25"/>
    <n v="0.25"/>
    <x v="0"/>
  </r>
  <r>
    <n v="163850"/>
    <n v="10783"/>
    <x v="42"/>
    <n v="0.5"/>
    <n v="1.45"/>
    <n v="0.25"/>
    <n v="1.7"/>
    <x v="0"/>
  </r>
  <r>
    <n v="163851"/>
    <n v="10783"/>
    <x v="41"/>
    <n v="0"/>
    <n v="0"/>
    <n v="0"/>
    <n v="0"/>
    <x v="0"/>
  </r>
  <r>
    <n v="163852"/>
    <n v="10783"/>
    <x v="43"/>
    <n v="0"/>
    <n v="0.5"/>
    <n v="0"/>
    <n v="0.5"/>
    <x v="0"/>
  </r>
  <r>
    <n v="163853"/>
    <n v="10783"/>
    <x v="50"/>
    <n v="0.75"/>
    <n v="0"/>
    <n v="0"/>
    <n v="0"/>
    <x v="0"/>
  </r>
  <r>
    <n v="163876"/>
    <n v="10020"/>
    <x v="20"/>
    <n v="0.4"/>
    <n v="0.8"/>
    <n v="0"/>
    <n v="0.8"/>
    <x v="1"/>
  </r>
  <r>
    <n v="163877"/>
    <n v="10020"/>
    <x v="16"/>
    <n v="6.25"/>
    <n v="8.4"/>
    <n v="0"/>
    <n v="8.4"/>
    <x v="1"/>
  </r>
  <r>
    <n v="163878"/>
    <n v="10020"/>
    <x v="5"/>
    <n v="0.3"/>
    <n v="0.5"/>
    <n v="0"/>
    <n v="0.5"/>
    <x v="1"/>
  </r>
  <r>
    <n v="163893"/>
    <n v="11213"/>
    <x v="72"/>
    <n v="24.8"/>
    <n v="0"/>
    <n v="0"/>
    <n v="0"/>
    <x v="0"/>
  </r>
  <r>
    <n v="163894"/>
    <n v="10738"/>
    <x v="50"/>
    <n v="2.5"/>
    <n v="2.5"/>
    <n v="0"/>
    <n v="2.5"/>
    <x v="0"/>
  </r>
  <r>
    <n v="163895"/>
    <n v="10738"/>
    <x v="72"/>
    <n v="0"/>
    <n v="0"/>
    <n v="0"/>
    <n v="0"/>
    <x v="0"/>
  </r>
  <r>
    <n v="163900"/>
    <n v="10773"/>
    <x v="40"/>
    <n v="6.4"/>
    <n v="2.2000000000000002"/>
    <n v="0"/>
    <n v="2.2000000000000002"/>
    <x v="0"/>
  </r>
  <r>
    <n v="163901"/>
    <n v="10720"/>
    <x v="49"/>
    <n v="6.4"/>
    <n v="0"/>
    <n v="0"/>
    <n v="0"/>
    <x v="0"/>
  </r>
  <r>
    <n v="163902"/>
    <n v="10720"/>
    <x v="49"/>
    <n v="6.4"/>
    <n v="0"/>
    <n v="0"/>
    <n v="0"/>
    <x v="0"/>
  </r>
  <r>
    <n v="163903"/>
    <n v="10720"/>
    <x v="40"/>
    <n v="9.0500000000000007"/>
    <n v="1.75"/>
    <n v="0"/>
    <n v="1.75"/>
    <x v="0"/>
  </r>
  <r>
    <n v="163904"/>
    <n v="10720"/>
    <x v="40"/>
    <n v="0"/>
    <n v="1"/>
    <n v="0"/>
    <n v="1"/>
    <x v="0"/>
  </r>
  <r>
    <n v="163905"/>
    <n v="10778"/>
    <x v="50"/>
    <n v="6"/>
    <n v="6.5"/>
    <n v="0"/>
    <n v="6.5"/>
    <x v="0"/>
  </r>
  <r>
    <n v="163906"/>
    <n v="10779"/>
    <x v="43"/>
    <n v="0"/>
    <n v="1"/>
    <n v="0"/>
    <n v="1"/>
    <x v="0"/>
  </r>
  <r>
    <n v="163907"/>
    <n v="10780"/>
    <x v="43"/>
    <n v="2.5"/>
    <n v="2.5"/>
    <n v="0"/>
    <n v="2.5"/>
    <x v="0"/>
  </r>
  <r>
    <n v="163908"/>
    <n v="11221"/>
    <x v="72"/>
    <n v="3.1"/>
    <n v="0"/>
    <n v="0"/>
    <n v="2"/>
    <x v="0"/>
  </r>
  <r>
    <n v="163910"/>
    <n v="11948"/>
    <x v="42"/>
    <n v="2.6"/>
    <n v="0"/>
    <n v="0"/>
    <n v="0"/>
    <x v="0"/>
  </r>
  <r>
    <n v="163911"/>
    <n v="11948"/>
    <x v="44"/>
    <n v="2.6"/>
    <n v="6.1"/>
    <n v="0"/>
    <n v="6.1"/>
    <x v="0"/>
  </r>
  <r>
    <n v="163912"/>
    <n v="11948"/>
    <x v="42"/>
    <n v="2.6"/>
    <n v="0"/>
    <n v="0"/>
    <n v="0"/>
    <x v="0"/>
  </r>
  <r>
    <n v="163913"/>
    <n v="11948"/>
    <x v="50"/>
    <n v="2.6"/>
    <n v="0"/>
    <n v="0"/>
    <n v="0"/>
    <x v="0"/>
  </r>
  <r>
    <n v="163914"/>
    <n v="11948"/>
    <x v="50"/>
    <n v="2.6"/>
    <n v="0"/>
    <n v="0"/>
    <n v="0"/>
    <x v="0"/>
  </r>
  <r>
    <n v="163915"/>
    <n v="10740"/>
    <x v="43"/>
    <n v="18.600000000000001"/>
    <n v="2.5"/>
    <n v="0"/>
    <n v="2.5"/>
    <x v="0"/>
  </r>
  <r>
    <n v="163916"/>
    <n v="11948"/>
    <x v="44"/>
    <n v="7.7"/>
    <n v="6.5"/>
    <n v="0"/>
    <n v="6.5"/>
    <x v="0"/>
  </r>
  <r>
    <n v="163917"/>
    <n v="11948"/>
    <x v="44"/>
    <n v="7.7"/>
    <n v="3.6"/>
    <n v="2.4"/>
    <n v="6"/>
    <x v="0"/>
  </r>
  <r>
    <n v="163918"/>
    <n v="10754"/>
    <x v="44"/>
    <n v="26.4"/>
    <n v="1.85"/>
    <n v="3"/>
    <n v="4.8499999999999996"/>
    <x v="0"/>
  </r>
  <r>
    <n v="163921"/>
    <n v="10754"/>
    <x v="44"/>
    <n v="12.9"/>
    <n v="3.35"/>
    <n v="5"/>
    <n v="8.35"/>
    <x v="0"/>
  </r>
  <r>
    <n v="163922"/>
    <n v="11948"/>
    <x v="44"/>
    <n v="7.7"/>
    <n v="2.1"/>
    <n v="0"/>
    <n v="2.1"/>
    <x v="0"/>
  </r>
  <r>
    <n v="163923"/>
    <n v="11948"/>
    <x v="44"/>
    <n v="2.6"/>
    <n v="2.2000000000000002"/>
    <n v="0"/>
    <n v="2.2000000000000002"/>
    <x v="0"/>
  </r>
  <r>
    <n v="163924"/>
    <n v="11948"/>
    <x v="44"/>
    <n v="2.6"/>
    <n v="1.3"/>
    <n v="0.7"/>
    <n v="2"/>
    <x v="0"/>
  </r>
  <r>
    <n v="163925"/>
    <n v="10755"/>
    <x v="44"/>
    <n v="7.25"/>
    <n v="0.6"/>
    <n v="4"/>
    <n v="4.5999999999999996"/>
    <x v="0"/>
  </r>
  <r>
    <n v="163928"/>
    <n v="11948"/>
    <x v="49"/>
    <n v="2.6"/>
    <n v="4.7300000000000004"/>
    <n v="0"/>
    <n v="4.7300000000000004"/>
    <x v="0"/>
  </r>
  <r>
    <n v="163929"/>
    <n v="11948"/>
    <x v="49"/>
    <n v="2.6"/>
    <n v="6.08"/>
    <n v="0"/>
    <n v="6.08"/>
    <x v="0"/>
  </r>
  <r>
    <n v="163930"/>
    <n v="11948"/>
    <x v="42"/>
    <n v="2.6"/>
    <n v="3"/>
    <n v="0"/>
    <n v="3"/>
    <x v="0"/>
  </r>
  <r>
    <n v="163931"/>
    <n v="11948"/>
    <x v="42"/>
    <n v="2.6"/>
    <n v="2.6"/>
    <n v="0"/>
    <n v="2.6"/>
    <x v="0"/>
  </r>
  <r>
    <n v="163932"/>
    <n v="11948"/>
    <x v="49"/>
    <n v="2.6"/>
    <n v="1.5"/>
    <n v="0"/>
    <n v="1.5"/>
    <x v="0"/>
  </r>
  <r>
    <n v="163933"/>
    <n v="11948"/>
    <x v="49"/>
    <n v="2.6"/>
    <n v="2.4"/>
    <n v="0"/>
    <n v="2.4"/>
    <x v="0"/>
  </r>
  <r>
    <n v="163934"/>
    <n v="11948"/>
    <x v="42"/>
    <n v="2.6"/>
    <n v="1"/>
    <n v="0"/>
    <n v="1"/>
    <x v="0"/>
  </r>
  <r>
    <n v="163935"/>
    <n v="11948"/>
    <x v="42"/>
    <n v="2.6"/>
    <n v="2.2999999999999998"/>
    <n v="0"/>
    <n v="2.2999999999999998"/>
    <x v="0"/>
  </r>
  <r>
    <n v="163936"/>
    <n v="11948"/>
    <x v="49"/>
    <n v="2.6"/>
    <n v="2.35"/>
    <n v="1.4"/>
    <n v="3.75"/>
    <x v="0"/>
  </r>
  <r>
    <n v="163937"/>
    <n v="11948"/>
    <x v="49"/>
    <n v="2.6"/>
    <n v="2.89"/>
    <n v="1.7"/>
    <n v="4.59"/>
    <x v="0"/>
  </r>
  <r>
    <n v="163938"/>
    <n v="11948"/>
    <x v="42"/>
    <n v="2.6"/>
    <n v="0"/>
    <n v="0.5"/>
    <n v="0.5"/>
    <x v="0"/>
  </r>
  <r>
    <n v="163939"/>
    <n v="11948"/>
    <x v="42"/>
    <n v="2.6"/>
    <n v="2.75"/>
    <n v="0.1"/>
    <n v="2.85"/>
    <x v="0"/>
  </r>
  <r>
    <n v="163940"/>
    <n v="10758"/>
    <x v="49"/>
    <n v="5.4"/>
    <n v="1.45"/>
    <n v="0"/>
    <n v="1.45"/>
    <x v="0"/>
  </r>
  <r>
    <n v="163941"/>
    <n v="10758"/>
    <x v="49"/>
    <n v="2.5"/>
    <n v="0"/>
    <n v="0"/>
    <n v="0"/>
    <x v="0"/>
  </r>
  <r>
    <n v="163943"/>
    <n v="10759"/>
    <x v="49"/>
    <n v="6.15"/>
    <n v="0.2"/>
    <n v="0"/>
    <n v="0.2"/>
    <x v="0"/>
  </r>
  <r>
    <n v="163945"/>
    <n v="10763"/>
    <x v="42"/>
    <n v="0"/>
    <n v="0.6"/>
    <n v="0"/>
    <n v="0.6"/>
    <x v="0"/>
  </r>
  <r>
    <n v="163946"/>
    <n v="10763"/>
    <x v="1"/>
    <n v="18.600000000000001"/>
    <n v="11.5"/>
    <n v="0"/>
    <n v="11.5"/>
    <x v="0"/>
  </r>
  <r>
    <n v="163947"/>
    <n v="10763"/>
    <x v="0"/>
    <n v="8.8000000000000007"/>
    <n v="7"/>
    <n v="6"/>
    <n v="13"/>
    <x v="0"/>
  </r>
  <r>
    <n v="163948"/>
    <n v="10763"/>
    <x v="1"/>
    <n v="26.4"/>
    <n v="62.75"/>
    <n v="0"/>
    <n v="62.75"/>
    <x v="0"/>
  </r>
  <r>
    <n v="163949"/>
    <n v="10763"/>
    <x v="49"/>
    <n v="2"/>
    <n v="0.9"/>
    <n v="0.6"/>
    <n v="1.5"/>
    <x v="0"/>
  </r>
  <r>
    <n v="163950"/>
    <n v="10764"/>
    <x v="42"/>
    <n v="0"/>
    <n v="0.45"/>
    <n v="0"/>
    <n v="0.45"/>
    <x v="0"/>
  </r>
  <r>
    <n v="163951"/>
    <n v="10764"/>
    <x v="49"/>
    <n v="2.5"/>
    <n v="0"/>
    <n v="1"/>
    <n v="1"/>
    <x v="0"/>
  </r>
  <r>
    <n v="163952"/>
    <n v="10764"/>
    <x v="49"/>
    <n v="2.25"/>
    <n v="1.45"/>
    <n v="0"/>
    <n v="1.45"/>
    <x v="0"/>
  </r>
  <r>
    <n v="163953"/>
    <n v="10768"/>
    <x v="42"/>
    <n v="2.5"/>
    <n v="0.8"/>
    <n v="0"/>
    <n v="0.8"/>
    <x v="0"/>
  </r>
  <r>
    <n v="163954"/>
    <n v="10768"/>
    <x v="42"/>
    <n v="2.5"/>
    <n v="0"/>
    <n v="1.9"/>
    <n v="1.9"/>
    <x v="0"/>
  </r>
  <r>
    <n v="163955"/>
    <n v="10768"/>
    <x v="42"/>
    <n v="2.5"/>
    <n v="0.8"/>
    <n v="0"/>
    <n v="0.8"/>
    <x v="0"/>
  </r>
  <r>
    <n v="163956"/>
    <n v="10768"/>
    <x v="42"/>
    <n v="2.25"/>
    <n v="0.9"/>
    <n v="0"/>
    <n v="0.9"/>
    <x v="0"/>
  </r>
  <r>
    <n v="163957"/>
    <n v="10769"/>
    <x v="49"/>
    <n v="6.4"/>
    <n v="1"/>
    <n v="0"/>
    <n v="1"/>
    <x v="0"/>
  </r>
  <r>
    <n v="163960"/>
    <n v="10759"/>
    <x v="49"/>
    <n v="2.5"/>
    <n v="0"/>
    <n v="0"/>
    <n v="0"/>
    <x v="0"/>
  </r>
  <r>
    <n v="163962"/>
    <n v="10778"/>
    <x v="50"/>
    <n v="2.5"/>
    <n v="2"/>
    <n v="0"/>
    <n v="2"/>
    <x v="0"/>
  </r>
  <r>
    <n v="163963"/>
    <n v="11948"/>
    <x v="42"/>
    <n v="3.9"/>
    <n v="3.6"/>
    <n v="0"/>
    <n v="3.6"/>
    <x v="0"/>
  </r>
  <r>
    <n v="163964"/>
    <n v="11948"/>
    <x v="49"/>
    <n v="3.8"/>
    <n v="5.2"/>
    <n v="0"/>
    <n v="5.2"/>
    <x v="0"/>
  </r>
  <r>
    <n v="163965"/>
    <n v="11948"/>
    <x v="42"/>
    <n v="3.9"/>
    <n v="3.95"/>
    <n v="0"/>
    <n v="3.95"/>
    <x v="0"/>
  </r>
  <r>
    <n v="163966"/>
    <n v="11948"/>
    <x v="49"/>
    <n v="3.8"/>
    <n v="5.64"/>
    <n v="0"/>
    <n v="5.64"/>
    <x v="0"/>
  </r>
  <r>
    <n v="163967"/>
    <n v="11948"/>
    <x v="42"/>
    <n v="3.9"/>
    <n v="3.15"/>
    <n v="0"/>
    <n v="3.15"/>
    <x v="0"/>
  </r>
  <r>
    <n v="163968"/>
    <n v="11948"/>
    <x v="49"/>
    <n v="3.8"/>
    <n v="1.5"/>
    <n v="0"/>
    <n v="1.5"/>
    <x v="0"/>
  </r>
  <r>
    <n v="163970"/>
    <n v="11948"/>
    <x v="40"/>
    <n v="4.7"/>
    <n v="0.3"/>
    <n v="0"/>
    <n v="0.3"/>
    <x v="0"/>
  </r>
  <r>
    <n v="163971"/>
    <n v="11948"/>
    <x v="49"/>
    <n v="4.7"/>
    <n v="0"/>
    <n v="0"/>
    <n v="0"/>
    <x v="0"/>
  </r>
  <r>
    <n v="163972"/>
    <n v="11948"/>
    <x v="49"/>
    <n v="4.7"/>
    <n v="0"/>
    <n v="0.2"/>
    <n v="0.2"/>
    <x v="0"/>
  </r>
  <r>
    <n v="163973"/>
    <n v="11948"/>
    <x v="40"/>
    <n v="2.6"/>
    <n v="0.05"/>
    <n v="0"/>
    <n v="0.05"/>
    <x v="0"/>
  </r>
  <r>
    <n v="163974"/>
    <n v="11948"/>
    <x v="40"/>
    <n v="2.6"/>
    <n v="0"/>
    <n v="0"/>
    <n v="0"/>
    <x v="0"/>
  </r>
  <r>
    <n v="163975"/>
    <n v="11948"/>
    <x v="40"/>
    <n v="2.6"/>
    <n v="0.2"/>
    <n v="0"/>
    <n v="0.2"/>
    <x v="0"/>
  </r>
  <r>
    <n v="163980"/>
    <n v="11948"/>
    <x v="50"/>
    <n v="2.6"/>
    <n v="2"/>
    <n v="0"/>
    <n v="2"/>
    <x v="0"/>
  </r>
  <r>
    <n v="163981"/>
    <n v="11948"/>
    <x v="50"/>
    <n v="2.6"/>
    <n v="2.5"/>
    <n v="0"/>
    <n v="2.5"/>
    <x v="0"/>
  </r>
  <r>
    <n v="163982"/>
    <n v="11948"/>
    <x v="50"/>
    <n v="2.6"/>
    <n v="2.75"/>
    <n v="0.8"/>
    <n v="3.55"/>
    <x v="0"/>
  </r>
  <r>
    <n v="163984"/>
    <n v="11948"/>
    <x v="43"/>
    <n v="2.6"/>
    <n v="1.5"/>
    <n v="0"/>
    <n v="1.5"/>
    <x v="0"/>
  </r>
  <r>
    <n v="163985"/>
    <n v="11948"/>
    <x v="43"/>
    <n v="2.6"/>
    <n v="1"/>
    <n v="0"/>
    <n v="1"/>
    <x v="0"/>
  </r>
  <r>
    <n v="163986"/>
    <n v="11948"/>
    <x v="43"/>
    <n v="2.6"/>
    <n v="1"/>
    <n v="0.1"/>
    <n v="1.1000000000000001"/>
    <x v="0"/>
  </r>
  <r>
    <n v="163987"/>
    <n v="11948"/>
    <x v="43"/>
    <n v="2.6"/>
    <n v="0"/>
    <n v="0"/>
    <n v="0"/>
    <x v="0"/>
  </r>
  <r>
    <n v="163988"/>
    <n v="11948"/>
    <x v="43"/>
    <n v="2.6"/>
    <n v="0"/>
    <n v="0"/>
    <n v="0"/>
    <x v="0"/>
  </r>
  <r>
    <n v="163989"/>
    <n v="11213"/>
    <x v="72"/>
    <n v="12.4"/>
    <n v="0"/>
    <n v="0"/>
    <n v="0"/>
    <x v="0"/>
  </r>
  <r>
    <n v="163990"/>
    <n v="11213"/>
    <x v="72"/>
    <n v="18.600000000000001"/>
    <n v="0"/>
    <n v="0"/>
    <n v="0"/>
    <x v="0"/>
  </r>
  <r>
    <n v="163991"/>
    <n v="11213"/>
    <x v="72"/>
    <n v="18.600000000000001"/>
    <m/>
    <m/>
    <m/>
    <x v="0"/>
  </r>
  <r>
    <n v="163992"/>
    <n v="11213"/>
    <x v="72"/>
    <n v="6.2"/>
    <n v="0"/>
    <n v="0"/>
    <n v="0"/>
    <x v="0"/>
  </r>
  <r>
    <n v="163993"/>
    <n v="11213"/>
    <x v="72"/>
    <n v="6.2"/>
    <m/>
    <m/>
    <m/>
    <x v="0"/>
  </r>
  <r>
    <n v="163994"/>
    <n v="11213"/>
    <x v="72"/>
    <n v="12.4"/>
    <n v="0"/>
    <n v="0"/>
    <n v="0"/>
    <x v="0"/>
  </r>
  <r>
    <n v="163995"/>
    <n v="11213"/>
    <x v="72"/>
    <n v="12.4"/>
    <m/>
    <m/>
    <m/>
    <x v="0"/>
  </r>
  <r>
    <n v="163996"/>
    <n v="11213"/>
    <x v="72"/>
    <n v="6.2"/>
    <m/>
    <m/>
    <m/>
    <x v="0"/>
  </r>
  <r>
    <n v="163997"/>
    <n v="11213"/>
    <x v="72"/>
    <n v="12.4"/>
    <m/>
    <m/>
    <m/>
    <x v="0"/>
  </r>
  <r>
    <n v="164020"/>
    <n v="10639"/>
    <x v="73"/>
    <m/>
    <n v="0.3"/>
    <n v="0"/>
    <n v="0.3"/>
    <x v="0"/>
  </r>
  <r>
    <n v="164021"/>
    <n v="11950"/>
    <x v="55"/>
    <n v="4"/>
    <n v="5"/>
    <n v="0"/>
    <n v="5"/>
    <x v="0"/>
  </r>
  <r>
    <n v="164022"/>
    <n v="11950"/>
    <x v="55"/>
    <n v="14.3"/>
    <n v="8.25"/>
    <n v="0"/>
    <n v="8.25"/>
    <x v="0"/>
  </r>
  <r>
    <n v="164023"/>
    <n v="11950"/>
    <x v="55"/>
    <n v="5"/>
    <n v="7.5"/>
    <n v="0"/>
    <n v="7.5"/>
    <x v="0"/>
  </r>
  <r>
    <n v="164024"/>
    <n v="11950"/>
    <x v="69"/>
    <n v="2.8"/>
    <n v="0.75"/>
    <n v="0"/>
    <n v="0.75"/>
    <x v="0"/>
  </r>
  <r>
    <n v="164025"/>
    <n v="11950"/>
    <x v="69"/>
    <n v="1.2"/>
    <n v="1.75"/>
    <n v="0"/>
    <n v="1.75"/>
    <x v="0"/>
  </r>
  <r>
    <n v="164026"/>
    <n v="11950"/>
    <x v="69"/>
    <n v="1"/>
    <n v="0"/>
    <n v="0"/>
    <n v="0"/>
    <x v="0"/>
  </r>
  <r>
    <n v="164027"/>
    <n v="11950"/>
    <x v="55"/>
    <n v="4"/>
    <n v="7.5"/>
    <n v="0"/>
    <n v="7.5"/>
    <x v="0"/>
  </r>
  <r>
    <n v="164028"/>
    <n v="11950"/>
    <x v="69"/>
    <n v="2.35"/>
    <n v="0.75"/>
    <n v="0"/>
    <n v="0.75"/>
    <x v="0"/>
  </r>
  <r>
    <n v="164029"/>
    <n v="11950"/>
    <x v="67"/>
    <n v="0.25"/>
    <n v="1.5"/>
    <n v="0"/>
    <n v="1.5"/>
    <x v="0"/>
  </r>
  <r>
    <n v="164031"/>
    <n v="10692"/>
    <x v="55"/>
    <n v="0.5"/>
    <n v="0.5"/>
    <n v="0"/>
    <n v="0.5"/>
    <x v="0"/>
  </r>
  <r>
    <n v="164032"/>
    <n v="10692"/>
    <x v="69"/>
    <n v="1.6"/>
    <n v="1.5"/>
    <n v="0"/>
    <n v="1.5"/>
    <x v="0"/>
  </r>
  <r>
    <n v="164034"/>
    <n v="10692"/>
    <x v="69"/>
    <n v="6.2"/>
    <n v="6"/>
    <n v="0"/>
    <n v="6"/>
    <x v="0"/>
  </r>
  <r>
    <n v="164035"/>
    <n v="10692"/>
    <x v="55"/>
    <n v="0.5"/>
    <n v="0.5"/>
    <n v="0"/>
    <n v="0.5"/>
    <x v="0"/>
  </r>
  <r>
    <n v="164036"/>
    <n v="10692"/>
    <x v="69"/>
    <n v="5.7"/>
    <n v="5.75"/>
    <n v="0"/>
    <n v="5.75"/>
    <x v="0"/>
  </r>
  <r>
    <n v="164083"/>
    <n v="11307"/>
    <x v="65"/>
    <n v="10.7"/>
    <n v="10"/>
    <n v="0"/>
    <n v="10"/>
    <x v="3"/>
  </r>
  <r>
    <n v="164090"/>
    <n v="11308"/>
    <x v="46"/>
    <n v="3.25"/>
    <n v="3.25"/>
    <n v="0"/>
    <n v="3.25"/>
    <x v="3"/>
  </r>
  <r>
    <n v="164091"/>
    <n v="11309"/>
    <x v="46"/>
    <n v="3"/>
    <n v="2"/>
    <n v="0"/>
    <n v="2"/>
    <x v="3"/>
  </r>
  <r>
    <n v="164236"/>
    <n v="10795"/>
    <x v="61"/>
    <n v="0"/>
    <n v="14.5"/>
    <n v="0"/>
    <n v="14.5"/>
    <x v="0"/>
  </r>
  <r>
    <n v="164240"/>
    <n v="11307"/>
    <x v="65"/>
    <n v="7"/>
    <n v="9.25"/>
    <n v="0"/>
    <n v="9.25"/>
    <x v="3"/>
  </r>
  <r>
    <n v="164241"/>
    <n v="11307"/>
    <x v="75"/>
    <n v="8.6999999999999993"/>
    <n v="0"/>
    <n v="0"/>
    <n v="0"/>
    <x v="3"/>
  </r>
  <r>
    <n v="164242"/>
    <n v="11308"/>
    <x v="75"/>
    <n v="4.5999999999999996"/>
    <m/>
    <m/>
    <m/>
    <x v="3"/>
  </r>
  <r>
    <n v="164246"/>
    <n v="11711"/>
    <x v="39"/>
    <n v="4"/>
    <n v="9"/>
    <n v="0"/>
    <n v="9"/>
    <x v="0"/>
  </r>
  <r>
    <n v="164247"/>
    <n v="11711"/>
    <x v="68"/>
    <n v="1.2"/>
    <n v="1.5"/>
    <n v="0"/>
    <n v="1.5"/>
    <x v="0"/>
  </r>
  <r>
    <n v="164249"/>
    <n v="11711"/>
    <x v="38"/>
    <m/>
    <n v="0"/>
    <n v="0"/>
    <n v="0"/>
    <x v="0"/>
  </r>
  <r>
    <n v="164250"/>
    <n v="11711"/>
    <x v="39"/>
    <n v="6.2"/>
    <n v="6.75"/>
    <n v="0"/>
    <n v="6.75"/>
    <x v="0"/>
  </r>
  <r>
    <n v="164251"/>
    <n v="11711"/>
    <x v="38"/>
    <m/>
    <n v="0.5"/>
    <n v="0"/>
    <n v="0.5"/>
    <x v="0"/>
  </r>
  <r>
    <n v="164252"/>
    <n v="11711"/>
    <x v="39"/>
    <n v="4.0999999999999996"/>
    <n v="4"/>
    <n v="0"/>
    <n v="4"/>
    <x v="0"/>
  </r>
  <r>
    <n v="164254"/>
    <n v="11214"/>
    <x v="41"/>
    <m/>
    <n v="0"/>
    <n v="0"/>
    <n v="0"/>
    <x v="0"/>
  </r>
  <r>
    <n v="164255"/>
    <n v="11213"/>
    <x v="37"/>
    <m/>
    <n v="0"/>
    <n v="0"/>
    <n v="0"/>
    <x v="0"/>
  </r>
  <r>
    <n v="164256"/>
    <n v="10639"/>
    <x v="45"/>
    <m/>
    <n v="1.5"/>
    <n v="0"/>
    <n v="1.5"/>
    <x v="0"/>
  </r>
  <r>
    <n v="164258"/>
    <n v="11255"/>
    <x v="46"/>
    <m/>
    <n v="0.5"/>
    <n v="0"/>
    <n v="0.5"/>
    <x v="3"/>
  </r>
  <r>
    <n v="164259"/>
    <n v="11255"/>
    <x v="65"/>
    <m/>
    <n v="1.5"/>
    <n v="0"/>
    <n v="1.5"/>
    <x v="3"/>
  </r>
  <r>
    <n v="164260"/>
    <n v="11255"/>
    <x v="66"/>
    <m/>
    <n v="2"/>
    <n v="0"/>
    <n v="2"/>
    <x v="3"/>
  </r>
  <r>
    <n v="164261"/>
    <n v="11213"/>
    <x v="37"/>
    <m/>
    <n v="0"/>
    <n v="0"/>
    <n v="0"/>
    <x v="0"/>
  </r>
  <r>
    <n v="164263"/>
    <n v="11213"/>
    <x v="37"/>
    <m/>
    <n v="0"/>
    <n v="0"/>
    <n v="0"/>
    <x v="0"/>
  </r>
  <r>
    <n v="164300"/>
    <n v="11334"/>
    <x v="49"/>
    <n v="0.4"/>
    <n v="0.5"/>
    <n v="0"/>
    <n v="0.5"/>
    <x v="0"/>
  </r>
  <r>
    <n v="164432"/>
    <n v="11221"/>
    <x v="41"/>
    <m/>
    <n v="0.25"/>
    <n v="0"/>
    <n v="0.25"/>
    <x v="0"/>
  </r>
  <r>
    <n v="164433"/>
    <n v="11221"/>
    <x v="40"/>
    <m/>
    <n v="0"/>
    <n v="0"/>
    <n v="0"/>
    <x v="0"/>
  </r>
  <r>
    <n v="164434"/>
    <n v="11221"/>
    <x v="50"/>
    <m/>
    <n v="0.5"/>
    <n v="0"/>
    <n v="0.5"/>
    <x v="0"/>
  </r>
  <r>
    <n v="164435"/>
    <n v="11221"/>
    <x v="43"/>
    <m/>
    <n v="0"/>
    <n v="0"/>
    <n v="0"/>
    <x v="0"/>
  </r>
  <r>
    <n v="164436"/>
    <n v="11221"/>
    <x v="44"/>
    <m/>
    <n v="0.3"/>
    <n v="0"/>
    <n v="0.3"/>
    <x v="0"/>
  </r>
  <r>
    <n v="164437"/>
    <n v="11221"/>
    <x v="51"/>
    <m/>
    <n v="0"/>
    <n v="0"/>
    <n v="0"/>
    <x v="0"/>
  </r>
  <r>
    <n v="164438"/>
    <n v="11221"/>
    <x v="49"/>
    <m/>
    <n v="0"/>
    <n v="0"/>
    <n v="0"/>
    <x v="0"/>
  </r>
  <r>
    <n v="164439"/>
    <n v="11221"/>
    <x v="42"/>
    <m/>
    <n v="0"/>
    <n v="0"/>
    <n v="0"/>
    <x v="0"/>
  </r>
  <r>
    <n v="164440"/>
    <n v="11309"/>
    <x v="46"/>
    <n v="5"/>
    <n v="3.5"/>
    <n v="0"/>
    <n v="3.5"/>
    <x v="3"/>
  </r>
  <r>
    <n v="164451"/>
    <n v="10639"/>
    <x v="76"/>
    <m/>
    <n v="0"/>
    <n v="0"/>
    <n v="0"/>
    <x v="0"/>
  </r>
  <r>
    <n v="164452"/>
    <n v="10816"/>
    <x v="76"/>
    <n v="2.7"/>
    <n v="1.65"/>
    <n v="0"/>
    <n v="1.65"/>
    <x v="0"/>
  </r>
  <r>
    <n v="164486"/>
    <n v="10763"/>
    <x v="1"/>
    <n v="0"/>
    <n v="1.25"/>
    <n v="0"/>
    <n v="1.25"/>
    <x v="0"/>
  </r>
  <r>
    <n v="164487"/>
    <n v="11308"/>
    <x v="66"/>
    <n v="4"/>
    <n v="3.5"/>
    <n v="0"/>
    <n v="3.5"/>
    <x v="3"/>
  </r>
  <r>
    <n v="164488"/>
    <n v="11213"/>
    <x v="37"/>
    <m/>
    <n v="0"/>
    <n v="0"/>
    <n v="0"/>
    <x v="0"/>
  </r>
  <r>
    <n v="164489"/>
    <n v="11213"/>
    <x v="44"/>
    <m/>
    <n v="0.7"/>
    <n v="0"/>
    <n v="0.7"/>
    <x v="0"/>
  </r>
  <r>
    <n v="164490"/>
    <n v="11704"/>
    <x v="68"/>
    <m/>
    <n v="3"/>
    <n v="0"/>
    <n v="3"/>
    <x v="0"/>
  </r>
  <r>
    <n v="164492"/>
    <n v="11710"/>
    <x v="56"/>
    <n v="3"/>
    <n v="4"/>
    <n v="0"/>
    <n v="4"/>
    <x v="0"/>
  </r>
  <r>
    <n v="164493"/>
    <n v="11710"/>
    <x v="68"/>
    <n v="2.1"/>
    <n v="3"/>
    <n v="0"/>
    <n v="3"/>
    <x v="0"/>
  </r>
  <r>
    <n v="164494"/>
    <n v="11710"/>
    <x v="56"/>
    <n v="0"/>
    <n v="0"/>
    <n v="0"/>
    <n v="0"/>
    <x v="0"/>
  </r>
  <r>
    <n v="164495"/>
    <n v="11710"/>
    <x v="68"/>
    <n v="4.0999999999999996"/>
    <n v="8.5"/>
    <n v="0"/>
    <n v="8.5"/>
    <x v="0"/>
  </r>
  <r>
    <n v="164496"/>
    <n v="11710"/>
    <x v="56"/>
    <n v="0"/>
    <n v="1"/>
    <n v="0"/>
    <n v="1"/>
    <x v="0"/>
  </r>
  <r>
    <n v="164497"/>
    <n v="11309"/>
    <x v="66"/>
    <n v="2"/>
    <n v="2"/>
    <n v="0"/>
    <n v="2"/>
    <x v="3"/>
  </r>
  <r>
    <n v="164498"/>
    <n v="11710"/>
    <x v="52"/>
    <m/>
    <n v="0"/>
    <n v="0"/>
    <n v="0"/>
    <x v="0"/>
  </r>
  <r>
    <n v="164499"/>
    <n v="11710"/>
    <x v="68"/>
    <n v="0.5"/>
    <n v="7"/>
    <n v="0"/>
    <n v="7"/>
    <x v="0"/>
  </r>
  <r>
    <n v="164500"/>
    <n v="11710"/>
    <x v="56"/>
    <n v="0.5"/>
    <n v="2"/>
    <n v="0"/>
    <n v="2"/>
    <x v="0"/>
  </r>
  <r>
    <n v="164501"/>
    <n v="11708"/>
    <x v="68"/>
    <n v="3.3"/>
    <n v="7.25"/>
    <n v="0"/>
    <n v="7.25"/>
    <x v="0"/>
  </r>
  <r>
    <n v="164502"/>
    <n v="11708"/>
    <x v="56"/>
    <n v="5"/>
    <n v="18"/>
    <n v="0"/>
    <n v="18"/>
    <x v="0"/>
  </r>
  <r>
    <n v="164505"/>
    <n v="11044"/>
    <x v="77"/>
    <n v="90"/>
    <n v="23.5"/>
    <n v="0"/>
    <n v="23.5"/>
    <x v="0"/>
  </r>
  <r>
    <n v="164506"/>
    <n v="11715"/>
    <x v="61"/>
    <n v="1"/>
    <n v="13.5"/>
    <n v="0"/>
    <n v="13.5"/>
    <x v="0"/>
  </r>
  <r>
    <n v="164507"/>
    <n v="11948"/>
    <x v="42"/>
    <n v="2.6"/>
    <n v="2.95"/>
    <n v="0"/>
    <n v="2.95"/>
    <x v="0"/>
  </r>
  <r>
    <n v="164508"/>
    <n v="11948"/>
    <x v="42"/>
    <n v="2.6"/>
    <n v="0"/>
    <n v="0"/>
    <n v="0"/>
    <x v="0"/>
  </r>
  <r>
    <n v="164509"/>
    <n v="11948"/>
    <x v="42"/>
    <n v="2.6"/>
    <n v="0"/>
    <n v="0"/>
    <n v="0"/>
    <x v="0"/>
  </r>
  <r>
    <n v="164512"/>
    <n v="11213"/>
    <x v="49"/>
    <m/>
    <n v="0.75"/>
    <n v="0"/>
    <n v="0.75"/>
    <x v="0"/>
  </r>
  <r>
    <n v="164535"/>
    <n v="10816"/>
    <x v="76"/>
    <n v="4.3"/>
    <n v="4.25"/>
    <n v="0"/>
    <n v="4.25"/>
    <x v="0"/>
  </r>
  <r>
    <n v="164536"/>
    <n v="10816"/>
    <x v="38"/>
    <n v="4"/>
    <n v="4.5"/>
    <n v="0"/>
    <n v="4.5"/>
    <x v="0"/>
  </r>
  <r>
    <n v="164547"/>
    <n v="10100"/>
    <x v="5"/>
    <n v="0"/>
    <n v="4.4000000000000004"/>
    <n v="1"/>
    <n v="5.4"/>
    <x v="2"/>
  </r>
  <r>
    <n v="164549"/>
    <n v="10100"/>
    <x v="4"/>
    <m/>
    <n v="0"/>
    <n v="0"/>
    <n v="0"/>
    <x v="2"/>
  </r>
  <r>
    <n v="164610"/>
    <n v="11706"/>
    <x v="56"/>
    <n v="2.1"/>
    <n v="2"/>
    <n v="0"/>
    <n v="2"/>
    <x v="0"/>
  </r>
  <r>
    <n v="164621"/>
    <n v="10639"/>
    <x v="74"/>
    <m/>
    <n v="1.25"/>
    <n v="0"/>
    <n v="1.25"/>
    <x v="0"/>
  </r>
  <r>
    <n v="166069"/>
    <n v="10772"/>
    <x v="40"/>
    <n v="0"/>
    <n v="1.1499999999999999"/>
    <n v="0"/>
    <n v="1.1499999999999999"/>
    <x v="0"/>
  </r>
  <r>
    <n v="166091"/>
    <n v="10011"/>
    <x v="15"/>
    <n v="0"/>
    <n v="22.65"/>
    <n v="0"/>
    <n v="22.65"/>
    <x v="1"/>
  </r>
  <r>
    <n v="166102"/>
    <n v="11213"/>
    <x v="72"/>
    <n v="12.4"/>
    <n v="0"/>
    <n v="0"/>
    <n v="0"/>
    <x v="0"/>
  </r>
  <r>
    <n v="166103"/>
    <n v="11213"/>
    <x v="72"/>
    <n v="6.2"/>
    <n v="0"/>
    <n v="0"/>
    <n v="0"/>
    <x v="0"/>
  </r>
  <r>
    <n v="166104"/>
    <n v="11214"/>
    <x v="72"/>
    <n v="6.2"/>
    <n v="0"/>
    <n v="1.8"/>
    <n v="1.8"/>
    <x v="0"/>
  </r>
  <r>
    <n v="166105"/>
    <n v="10727"/>
    <x v="40"/>
    <n v="9.3000000000000007"/>
    <n v="1.8"/>
    <n v="3"/>
    <n v="4.8"/>
    <x v="0"/>
  </r>
  <r>
    <n v="166112"/>
    <n v="10764"/>
    <x v="49"/>
    <n v="9.3000000000000007"/>
    <n v="3.15"/>
    <n v="0"/>
    <n v="3.15"/>
    <x v="0"/>
  </r>
  <r>
    <n v="166113"/>
    <n v="10761"/>
    <x v="42"/>
    <n v="12.9"/>
    <n v="4"/>
    <n v="0"/>
    <n v="4"/>
    <x v="0"/>
  </r>
  <r>
    <n v="166115"/>
    <n v="10725"/>
    <x v="40"/>
    <n v="2.5"/>
    <n v="0.75"/>
    <n v="0"/>
    <n v="0.75"/>
    <x v="0"/>
  </r>
  <r>
    <n v="166116"/>
    <n v="10725"/>
    <x v="40"/>
    <n v="2.5"/>
    <n v="0"/>
    <n v="2"/>
    <n v="2"/>
    <x v="0"/>
  </r>
  <r>
    <n v="166117"/>
    <n v="11948"/>
    <x v="50"/>
    <n v="2.6"/>
    <n v="0"/>
    <n v="0"/>
    <n v="0"/>
    <x v="0"/>
  </r>
  <r>
    <n v="166118"/>
    <n v="11948"/>
    <x v="43"/>
    <n v="2.6"/>
    <n v="0"/>
    <n v="0"/>
    <n v="0"/>
    <x v="0"/>
  </r>
  <r>
    <n v="166119"/>
    <n v="11948"/>
    <x v="43"/>
    <n v="2.6"/>
    <n v="0"/>
    <n v="0"/>
    <n v="0"/>
    <x v="0"/>
  </r>
  <r>
    <n v="166230"/>
    <n v="10763"/>
    <x v="37"/>
    <m/>
    <n v="0"/>
    <n v="0"/>
    <n v="0"/>
    <x v="0"/>
  </r>
  <r>
    <n v="166240"/>
    <n v="10814"/>
    <x v="45"/>
    <n v="6.2"/>
    <n v="6.4"/>
    <n v="0"/>
    <n v="6.4"/>
    <x v="0"/>
  </r>
  <r>
    <n v="166267"/>
    <n v="10020"/>
    <x v="20"/>
    <n v="6.25"/>
    <n v="5"/>
    <n v="0"/>
    <n v="5"/>
    <x v="1"/>
  </r>
  <r>
    <n v="166269"/>
    <n v="10020"/>
    <x v="5"/>
    <n v="0.4"/>
    <n v="0.5"/>
    <n v="0"/>
    <n v="0.5"/>
    <x v="1"/>
  </r>
  <r>
    <n v="166270"/>
    <n v="10020"/>
    <x v="16"/>
    <n v="0.3"/>
    <n v="0"/>
    <n v="0"/>
    <n v="0"/>
    <x v="1"/>
  </r>
  <r>
    <n v="166271"/>
    <n v="10692"/>
    <x v="54"/>
    <n v="7.8"/>
    <n v="8.5"/>
    <n v="0"/>
    <n v="8.5"/>
    <x v="0"/>
  </r>
  <r>
    <n v="166273"/>
    <n v="10636"/>
    <x v="55"/>
    <n v="0"/>
    <n v="2"/>
    <n v="0"/>
    <n v="2"/>
    <x v="0"/>
  </r>
  <r>
    <n v="166275"/>
    <n v="10816"/>
    <x v="76"/>
    <n v="1.9"/>
    <n v="0.5"/>
    <n v="0"/>
    <n v="0.5"/>
    <x v="0"/>
  </r>
  <r>
    <n v="166276"/>
    <n v="10816"/>
    <x v="38"/>
    <n v="1.2"/>
    <n v="1.25"/>
    <n v="0"/>
    <n v="1.25"/>
    <x v="0"/>
  </r>
  <r>
    <n v="166344"/>
    <n v="11715"/>
    <x v="78"/>
    <n v="2.2999999999999998"/>
    <n v="0"/>
    <n v="0"/>
    <n v="0"/>
    <x v="0"/>
  </r>
  <r>
    <n v="166346"/>
    <n v="11711"/>
    <x v="52"/>
    <m/>
    <n v="4.3"/>
    <n v="0"/>
    <n v="4.3"/>
    <x v="0"/>
  </r>
  <r>
    <n v="166367"/>
    <n v="11214"/>
    <x v="44"/>
    <m/>
    <n v="0.5"/>
    <n v="0"/>
    <n v="0.5"/>
    <x v="0"/>
  </r>
  <r>
    <n v="166429"/>
    <n v="11307"/>
    <x v="46"/>
    <n v="9"/>
    <n v="8.25"/>
    <n v="0"/>
    <n v="8.25"/>
    <x v="3"/>
  </r>
  <r>
    <n v="166481"/>
    <n v="11213"/>
    <x v="42"/>
    <m/>
    <n v="0.9"/>
    <n v="0"/>
    <n v="0.9"/>
    <x v="0"/>
  </r>
  <r>
    <n v="166495"/>
    <n v="10764"/>
    <x v="42"/>
    <m/>
    <n v="0.5"/>
    <n v="0"/>
    <n v="0.5"/>
    <x v="0"/>
  </r>
  <r>
    <n v="166504"/>
    <n v="11255"/>
    <x v="66"/>
    <m/>
    <n v="6.1"/>
    <n v="0"/>
    <n v="6.1"/>
    <x v="3"/>
  </r>
  <r>
    <n v="166506"/>
    <n v="10815"/>
    <x v="45"/>
    <n v="2"/>
    <n v="2.6"/>
    <n v="0"/>
    <n v="2.6"/>
    <x v="0"/>
  </r>
  <r>
    <n v="166507"/>
    <n v="10639"/>
    <x v="53"/>
    <m/>
    <n v="5.2"/>
    <n v="0"/>
    <n v="5.2"/>
    <x v="0"/>
  </r>
  <r>
    <n v="166510"/>
    <n v="10783"/>
    <x v="41"/>
    <m/>
    <n v="0.15"/>
    <n v="0"/>
    <n v="0.15"/>
    <x v="0"/>
  </r>
  <r>
    <n v="166516"/>
    <n v="11213"/>
    <x v="1"/>
    <m/>
    <n v="0"/>
    <n v="0"/>
    <n v="0"/>
    <x v="0"/>
  </r>
  <r>
    <n v="166517"/>
    <n v="11213"/>
    <x v="72"/>
    <n v="6.2"/>
    <n v="0"/>
    <n v="0"/>
    <n v="0"/>
    <x v="0"/>
  </r>
  <r>
    <n v="166518"/>
    <n v="11213"/>
    <x v="43"/>
    <m/>
    <n v="0"/>
    <n v="0"/>
    <n v="0"/>
    <x v="0"/>
  </r>
  <r>
    <n v="166519"/>
    <n v="11213"/>
    <x v="50"/>
    <m/>
    <n v="0"/>
    <n v="0"/>
    <n v="0"/>
    <x v="0"/>
  </r>
  <r>
    <n v="166520"/>
    <n v="11213"/>
    <x v="49"/>
    <m/>
    <n v="0.3"/>
    <n v="0"/>
    <n v="0.3"/>
    <x v="0"/>
  </r>
  <r>
    <n v="166521"/>
    <n v="11213"/>
    <x v="42"/>
    <m/>
    <n v="0"/>
    <n v="0"/>
    <n v="0"/>
    <x v="0"/>
  </r>
  <r>
    <n v="166522"/>
    <n v="11213"/>
    <x v="51"/>
    <m/>
    <n v="0"/>
    <n v="0"/>
    <n v="0"/>
    <x v="0"/>
  </r>
  <r>
    <n v="166523"/>
    <n v="11213"/>
    <x v="1"/>
    <m/>
    <n v="0"/>
    <n v="0"/>
    <n v="0"/>
    <x v="0"/>
  </r>
  <r>
    <n v="166524"/>
    <n v="11213"/>
    <x v="43"/>
    <n v="0"/>
    <n v="0"/>
    <n v="0"/>
    <n v="0"/>
    <x v="0"/>
  </r>
  <r>
    <n v="166525"/>
    <n v="11213"/>
    <x v="40"/>
    <n v="6.2"/>
    <n v="0"/>
    <n v="0"/>
    <n v="0"/>
    <x v="0"/>
  </r>
  <r>
    <n v="166526"/>
    <n v="11213"/>
    <x v="41"/>
    <m/>
    <n v="0"/>
    <n v="0"/>
    <n v="0"/>
    <x v="0"/>
  </r>
  <r>
    <n v="166527"/>
    <n v="11213"/>
    <x v="50"/>
    <m/>
    <n v="0"/>
    <n v="0"/>
    <n v="0"/>
    <x v="0"/>
  </r>
  <r>
    <n v="166528"/>
    <n v="11213"/>
    <x v="49"/>
    <m/>
    <n v="0"/>
    <n v="0"/>
    <n v="0"/>
    <x v="0"/>
  </r>
  <r>
    <n v="166529"/>
    <n v="11213"/>
    <x v="42"/>
    <n v="0"/>
    <n v="0"/>
    <n v="0"/>
    <n v="0"/>
    <x v="0"/>
  </r>
  <r>
    <n v="166532"/>
    <n v="11213"/>
    <x v="72"/>
    <n v="0"/>
    <n v="0"/>
    <n v="0"/>
    <n v="0"/>
    <x v="0"/>
  </r>
  <r>
    <n v="166533"/>
    <n v="11214"/>
    <x v="40"/>
    <m/>
    <n v="0.5"/>
    <n v="0"/>
    <n v="0.5"/>
    <x v="0"/>
  </r>
  <r>
    <n v="166535"/>
    <n v="10816"/>
    <x v="53"/>
    <n v="8.3000000000000007"/>
    <n v="9.1999999999999993"/>
    <n v="0"/>
    <n v="9.1999999999999993"/>
    <x v="0"/>
  </r>
  <r>
    <n v="166538"/>
    <n v="10692"/>
    <x v="60"/>
    <m/>
    <n v="0.25"/>
    <n v="0"/>
    <n v="0.25"/>
    <x v="0"/>
  </r>
  <r>
    <n v="166644"/>
    <n v="11213"/>
    <x v="42"/>
    <m/>
    <n v="0"/>
    <n v="0"/>
    <n v="0"/>
    <x v="0"/>
  </r>
  <r>
    <n v="166645"/>
    <n v="11213"/>
    <x v="51"/>
    <m/>
    <n v="2.5"/>
    <n v="0"/>
    <n v="2.5"/>
    <x v="0"/>
  </r>
  <r>
    <n v="166646"/>
    <n v="11213"/>
    <x v="44"/>
    <m/>
    <n v="0"/>
    <n v="0"/>
    <n v="0"/>
    <x v="0"/>
  </r>
  <r>
    <n v="166647"/>
    <n v="11213"/>
    <x v="43"/>
    <m/>
    <n v="0"/>
    <n v="0"/>
    <n v="0"/>
    <x v="0"/>
  </r>
  <r>
    <n v="166648"/>
    <n v="11213"/>
    <x v="50"/>
    <m/>
    <n v="1.75"/>
    <n v="0"/>
    <n v="1.75"/>
    <x v="0"/>
  </r>
  <r>
    <n v="166649"/>
    <n v="11213"/>
    <x v="72"/>
    <n v="12.4"/>
    <n v="0"/>
    <n v="10.8"/>
    <n v="10.8"/>
    <x v="0"/>
  </r>
  <r>
    <n v="166650"/>
    <n v="11213"/>
    <x v="42"/>
    <n v="0"/>
    <n v="0.55000000000000004"/>
    <n v="0"/>
    <n v="0.55000000000000004"/>
    <x v="0"/>
  </r>
  <r>
    <n v="166651"/>
    <n v="11213"/>
    <x v="49"/>
    <n v="0"/>
    <n v="0.1"/>
    <n v="0"/>
    <n v="0.1"/>
    <x v="0"/>
  </r>
  <r>
    <n v="166652"/>
    <n v="11213"/>
    <x v="43"/>
    <m/>
    <n v="0"/>
    <n v="0"/>
    <n v="0"/>
    <x v="0"/>
  </r>
  <r>
    <n v="166653"/>
    <n v="11213"/>
    <x v="40"/>
    <n v="0"/>
    <n v="0"/>
    <n v="0"/>
    <n v="0"/>
    <x v="0"/>
  </r>
  <r>
    <n v="166654"/>
    <n v="11213"/>
    <x v="51"/>
    <n v="0"/>
    <n v="0"/>
    <n v="0"/>
    <n v="0"/>
    <x v="0"/>
  </r>
  <r>
    <n v="166655"/>
    <n v="11213"/>
    <x v="44"/>
    <m/>
    <n v="0.8"/>
    <n v="0"/>
    <n v="0.8"/>
    <x v="0"/>
  </r>
  <r>
    <n v="166656"/>
    <n v="11213"/>
    <x v="50"/>
    <n v="0"/>
    <n v="1.5"/>
    <n v="0"/>
    <n v="1.5"/>
    <x v="0"/>
  </r>
  <r>
    <n v="166657"/>
    <n v="11214"/>
    <x v="72"/>
    <n v="6.2"/>
    <n v="0"/>
    <n v="0"/>
    <n v="0"/>
    <x v="0"/>
  </r>
  <r>
    <n v="166658"/>
    <n v="11214"/>
    <x v="72"/>
    <n v="6.2"/>
    <n v="0"/>
    <n v="0"/>
    <n v="0"/>
    <x v="0"/>
  </r>
  <r>
    <n v="166660"/>
    <n v="11214"/>
    <x v="37"/>
    <m/>
    <n v="0"/>
    <n v="0"/>
    <n v="0"/>
    <x v="0"/>
  </r>
  <r>
    <n v="166661"/>
    <n v="11214"/>
    <x v="50"/>
    <n v="0"/>
    <n v="1.75"/>
    <n v="0"/>
    <n v="1.75"/>
    <x v="0"/>
  </r>
  <r>
    <n v="166662"/>
    <n v="11214"/>
    <x v="49"/>
    <m/>
    <n v="1.35"/>
    <n v="0"/>
    <n v="1.35"/>
    <x v="0"/>
  </r>
  <r>
    <n v="166666"/>
    <n v="11214"/>
    <x v="51"/>
    <m/>
    <n v="2"/>
    <n v="0"/>
    <n v="2"/>
    <x v="0"/>
  </r>
  <r>
    <n v="166670"/>
    <n v="11214"/>
    <x v="41"/>
    <m/>
    <n v="0"/>
    <n v="0"/>
    <n v="0"/>
    <x v="0"/>
  </r>
  <r>
    <n v="166672"/>
    <n v="11214"/>
    <x v="37"/>
    <m/>
    <n v="0"/>
    <n v="0"/>
    <n v="0"/>
    <x v="0"/>
  </r>
  <r>
    <n v="166673"/>
    <n v="11214"/>
    <x v="40"/>
    <m/>
    <n v="1.95"/>
    <n v="0"/>
    <n v="1.95"/>
    <x v="0"/>
  </r>
  <r>
    <n v="166674"/>
    <n v="11214"/>
    <x v="49"/>
    <m/>
    <n v="0.4"/>
    <n v="0"/>
    <n v="0.4"/>
    <x v="0"/>
  </r>
  <r>
    <n v="166679"/>
    <n v="11214"/>
    <x v="51"/>
    <m/>
    <n v="0.5"/>
    <n v="0"/>
    <n v="0.5"/>
    <x v="0"/>
  </r>
  <r>
    <n v="166680"/>
    <n v="11214"/>
    <x v="50"/>
    <m/>
    <n v="1.75"/>
    <n v="0"/>
    <n v="1.75"/>
    <x v="0"/>
  </r>
  <r>
    <n v="166682"/>
    <n v="11214"/>
    <x v="40"/>
    <n v="0"/>
    <n v="0"/>
    <n v="0"/>
    <n v="0"/>
    <x v="0"/>
  </r>
  <r>
    <n v="166683"/>
    <n v="11214"/>
    <x v="42"/>
    <n v="0"/>
    <n v="0.32"/>
    <n v="0"/>
    <n v="0.32"/>
    <x v="0"/>
  </r>
  <r>
    <n v="166684"/>
    <n v="11214"/>
    <x v="49"/>
    <n v="0"/>
    <n v="1.7"/>
    <n v="0"/>
    <n v="1.7"/>
    <x v="0"/>
  </r>
  <r>
    <n v="166685"/>
    <n v="11214"/>
    <x v="44"/>
    <m/>
    <n v="0"/>
    <n v="0"/>
    <n v="0"/>
    <x v="0"/>
  </r>
  <r>
    <n v="166686"/>
    <n v="11214"/>
    <x v="51"/>
    <n v="0"/>
    <n v="0.65"/>
    <n v="0"/>
    <n v="0.65"/>
    <x v="0"/>
  </r>
  <r>
    <n v="166687"/>
    <n v="11214"/>
    <x v="43"/>
    <m/>
    <n v="0"/>
    <n v="0"/>
    <n v="0"/>
    <x v="0"/>
  </r>
  <r>
    <n v="166688"/>
    <n v="11214"/>
    <x v="50"/>
    <n v="0"/>
    <n v="1"/>
    <n v="0"/>
    <n v="1"/>
    <x v="0"/>
  </r>
  <r>
    <n v="166691"/>
    <n v="11221"/>
    <x v="37"/>
    <m/>
    <n v="0"/>
    <n v="0"/>
    <n v="0"/>
    <x v="0"/>
  </r>
  <r>
    <n v="166693"/>
    <n v="11213"/>
    <x v="51"/>
    <m/>
    <n v="0"/>
    <n v="0"/>
    <n v="0"/>
    <x v="0"/>
  </r>
  <r>
    <n v="166694"/>
    <n v="11213"/>
    <x v="44"/>
    <m/>
    <n v="0.9"/>
    <n v="0"/>
    <n v="0.9"/>
    <x v="0"/>
  </r>
  <r>
    <n v="166698"/>
    <n v="11213"/>
    <x v="37"/>
    <m/>
    <n v="0"/>
    <n v="0"/>
    <n v="0"/>
    <x v="0"/>
  </r>
  <r>
    <n v="166701"/>
    <n v="10100"/>
    <x v="5"/>
    <m/>
    <n v="6.8"/>
    <n v="0"/>
    <n v="6.8"/>
    <x v="2"/>
  </r>
  <r>
    <n v="166702"/>
    <n v="10100"/>
    <x v="4"/>
    <m/>
    <n v="0.12"/>
    <n v="0"/>
    <n v="0.12"/>
    <x v="2"/>
  </r>
  <r>
    <n v="166704"/>
    <n v="10020"/>
    <x v="20"/>
    <n v="1.25"/>
    <n v="2.0499999999999998"/>
    <n v="0"/>
    <n v="2.0499999999999998"/>
    <x v="1"/>
  </r>
  <r>
    <n v="166705"/>
    <n v="10020"/>
    <x v="16"/>
    <n v="6.25"/>
    <n v="5.7"/>
    <n v="0"/>
    <n v="5.7"/>
    <x v="1"/>
  </r>
  <r>
    <n v="166707"/>
    <n v="10101"/>
    <x v="5"/>
    <m/>
    <n v="0"/>
    <n v="0"/>
    <n v="0"/>
    <x v="2"/>
  </r>
  <r>
    <n v="166709"/>
    <n v="11308"/>
    <x v="66"/>
    <n v="4"/>
    <n v="3"/>
    <n v="0"/>
    <n v="3"/>
    <x v="3"/>
  </r>
  <r>
    <n v="166710"/>
    <n v="11308"/>
    <x v="79"/>
    <n v="5.3"/>
    <n v="0"/>
    <n v="0"/>
    <n v="0"/>
    <x v="3"/>
  </r>
  <r>
    <n v="166711"/>
    <n v="11213"/>
    <x v="72"/>
    <n v="6.2"/>
    <n v="0"/>
    <n v="0"/>
    <n v="0"/>
    <x v="0"/>
  </r>
  <r>
    <n v="166712"/>
    <n v="11213"/>
    <x v="72"/>
    <n v="6.2"/>
    <n v="0"/>
    <n v="0"/>
    <n v="0"/>
    <x v="0"/>
  </r>
  <r>
    <n v="166713"/>
    <n v="11214"/>
    <x v="72"/>
    <n v="9.3000000000000007"/>
    <n v="0"/>
    <n v="0"/>
    <n v="0"/>
    <x v="0"/>
  </r>
  <r>
    <n v="166714"/>
    <n v="11213"/>
    <x v="72"/>
    <n v="6.2"/>
    <n v="0"/>
    <n v="0"/>
    <n v="0"/>
    <x v="0"/>
  </r>
  <r>
    <n v="166715"/>
    <n v="11308"/>
    <x v="46"/>
    <n v="0.5"/>
    <n v="1"/>
    <n v="0"/>
    <n v="1"/>
    <x v="3"/>
  </r>
  <r>
    <n v="166716"/>
    <n v="11213"/>
    <x v="72"/>
    <n v="6.2"/>
    <n v="0"/>
    <n v="0"/>
    <n v="0"/>
    <x v="0"/>
  </r>
  <r>
    <n v="166717"/>
    <n v="11213"/>
    <x v="72"/>
    <n v="6.2"/>
    <n v="0"/>
    <n v="0"/>
    <n v="0"/>
    <x v="0"/>
  </r>
  <r>
    <n v="166718"/>
    <n v="11213"/>
    <x v="72"/>
    <n v="18.600000000000001"/>
    <n v="0"/>
    <n v="3.6"/>
    <n v="3.6"/>
    <x v="0"/>
  </r>
  <r>
    <n v="166719"/>
    <n v="11213"/>
    <x v="72"/>
    <n v="12.4"/>
    <n v="0"/>
    <n v="0"/>
    <n v="0"/>
    <x v="0"/>
  </r>
  <r>
    <n v="166720"/>
    <n v="10721"/>
    <x v="72"/>
    <n v="12.9"/>
    <m/>
    <n v="12.9"/>
    <n v="12.9"/>
    <x v="0"/>
  </r>
  <r>
    <n v="166721"/>
    <n v="10776"/>
    <x v="49"/>
    <n v="6.4"/>
    <n v="0"/>
    <n v="0"/>
    <n v="0"/>
    <x v="0"/>
  </r>
  <r>
    <n v="166722"/>
    <n v="10769"/>
    <x v="49"/>
    <n v="2.5"/>
    <n v="0.7"/>
    <n v="0"/>
    <n v="0.7"/>
    <x v="0"/>
  </r>
  <r>
    <n v="166723"/>
    <n v="10768"/>
    <x v="42"/>
    <n v="2.5"/>
    <n v="1"/>
    <n v="0"/>
    <n v="1"/>
    <x v="0"/>
  </r>
  <r>
    <n v="166725"/>
    <n v="10721"/>
    <x v="72"/>
    <n v="10"/>
    <n v="0"/>
    <n v="0"/>
    <n v="0"/>
    <x v="0"/>
  </r>
  <r>
    <n v="166728"/>
    <n v="10815"/>
    <x v="74"/>
    <n v="3.5"/>
    <n v="2.9979200000000001"/>
    <n v="0"/>
    <n v="2.9979200000000001"/>
    <x v="0"/>
  </r>
  <r>
    <n v="166730"/>
    <n v="10815"/>
    <x v="80"/>
    <n v="1.2"/>
    <n v="2.1"/>
    <n v="0"/>
    <n v="2.1"/>
    <x v="0"/>
  </r>
  <r>
    <n v="166824"/>
    <n v="11255"/>
    <x v="81"/>
    <n v="0"/>
    <n v="26"/>
    <n v="0"/>
    <n v="26"/>
    <x v="3"/>
  </r>
  <r>
    <n v="166887"/>
    <n v="10020"/>
    <x v="16"/>
    <n v="0.3"/>
    <n v="0.3"/>
    <n v="0"/>
    <n v="0.3"/>
    <x v="1"/>
  </r>
  <r>
    <n v="166889"/>
    <n v="10020"/>
    <x v="20"/>
    <n v="6.25"/>
    <n v="5.9"/>
    <n v="0"/>
    <n v="5.9"/>
    <x v="1"/>
  </r>
  <r>
    <n v="166890"/>
    <n v="10020"/>
    <x v="5"/>
    <n v="0.4"/>
    <n v="0.5"/>
    <n v="0"/>
    <n v="0.5"/>
    <x v="1"/>
  </r>
  <r>
    <n v="166998"/>
    <n v="10099"/>
    <x v="12"/>
    <n v="4"/>
    <n v="4"/>
    <n v="0"/>
    <n v="4"/>
    <x v="2"/>
  </r>
  <r>
    <n v="167018"/>
    <n v="10726"/>
    <x v="40"/>
    <n v="0"/>
    <n v="1.2"/>
    <n v="0"/>
    <n v="1.2"/>
    <x v="0"/>
  </r>
  <r>
    <n v="167044"/>
    <n v="10639"/>
    <x v="39"/>
    <m/>
    <n v="0"/>
    <n v="0"/>
    <n v="0"/>
    <x v="0"/>
  </r>
  <r>
    <n v="167049"/>
    <n v="10772"/>
    <x v="0"/>
    <m/>
    <n v="1"/>
    <n v="0"/>
    <n v="1"/>
    <x v="0"/>
  </r>
  <r>
    <n v="167051"/>
    <n v="10769"/>
    <x v="42"/>
    <m/>
    <n v="0"/>
    <n v="0"/>
    <n v="0"/>
    <x v="0"/>
  </r>
  <r>
    <n v="167062"/>
    <n v="11599"/>
    <x v="14"/>
    <m/>
    <n v="1.6"/>
    <n v="0"/>
    <n v="1.6"/>
    <x v="2"/>
  </r>
  <r>
    <n v="167130"/>
    <n v="11715"/>
    <x v="60"/>
    <n v="2"/>
    <n v="3.5"/>
    <n v="0"/>
    <n v="3.5"/>
    <x v="0"/>
  </r>
  <r>
    <n v="167271"/>
    <n v="10636"/>
    <x v="69"/>
    <m/>
    <n v="7.25"/>
    <n v="0"/>
    <n v="7.25"/>
    <x v="0"/>
  </r>
  <r>
    <n v="167273"/>
    <n v="10690"/>
    <x v="69"/>
    <n v="0.5"/>
    <n v="0.5"/>
    <n v="0"/>
    <n v="0.5"/>
    <x v="0"/>
  </r>
  <r>
    <n v="167274"/>
    <n v="10100"/>
    <x v="4"/>
    <n v="0"/>
    <n v="4.2"/>
    <n v="0"/>
    <n v="4.2"/>
    <x v="2"/>
  </r>
  <r>
    <n v="167275"/>
    <n v="10100"/>
    <x v="5"/>
    <n v="0"/>
    <n v="0"/>
    <n v="0"/>
    <n v="0"/>
    <x v="2"/>
  </r>
  <r>
    <n v="167313"/>
    <n v="10688"/>
    <x v="52"/>
    <n v="1"/>
    <n v="0.7"/>
    <n v="0"/>
    <n v="0.7"/>
    <x v="0"/>
  </r>
  <r>
    <n v="167355"/>
    <n v="10753"/>
    <x v="51"/>
    <n v="5"/>
    <n v="2.2000000000000002"/>
    <n v="0"/>
    <n v="2.2000000000000002"/>
    <x v="0"/>
  </r>
  <r>
    <n v="167356"/>
    <n v="10763"/>
    <x v="0"/>
    <n v="9.8000000000000007"/>
    <n v="0"/>
    <n v="0"/>
    <n v="0"/>
    <x v="0"/>
  </r>
  <r>
    <n v="167366"/>
    <n v="11307"/>
    <x v="79"/>
    <n v="0"/>
    <n v="0"/>
    <n v="0"/>
    <n v="0"/>
    <x v="3"/>
  </r>
  <r>
    <n v="167368"/>
    <n v="10783"/>
    <x v="45"/>
    <m/>
    <n v="2"/>
    <n v="0"/>
    <n v="2"/>
    <x v="0"/>
  </r>
  <r>
    <n v="167370"/>
    <n v="11715"/>
    <x v="73"/>
    <n v="5.6"/>
    <n v="8.1"/>
    <n v="0"/>
    <n v="8.1"/>
    <x v="0"/>
  </r>
  <r>
    <n v="167382"/>
    <n v="11710"/>
    <x v="61"/>
    <n v="0.3"/>
    <n v="0.5"/>
    <n v="0"/>
    <n v="0.5"/>
    <x v="0"/>
  </r>
  <r>
    <n v="167454"/>
    <n v="11309"/>
    <x v="46"/>
    <n v="6"/>
    <n v="4.5"/>
    <n v="0"/>
    <n v="4.5"/>
    <x v="3"/>
  </r>
  <r>
    <n v="167455"/>
    <n v="11309"/>
    <x v="79"/>
    <n v="0.9"/>
    <n v="0"/>
    <n v="0"/>
    <n v="0"/>
    <x v="3"/>
  </r>
  <r>
    <n v="167456"/>
    <n v="10816"/>
    <x v="76"/>
    <n v="11.75"/>
    <n v="15.95"/>
    <n v="0"/>
    <n v="15.95"/>
    <x v="0"/>
  </r>
  <r>
    <n v="167457"/>
    <n v="10816"/>
    <x v="38"/>
    <n v="5.6"/>
    <n v="9.5"/>
    <n v="0"/>
    <n v="9.5"/>
    <x v="0"/>
  </r>
  <r>
    <n v="167483"/>
    <n v="10814"/>
    <x v="74"/>
    <n v="5.2"/>
    <n v="5"/>
    <n v="0"/>
    <n v="5"/>
    <x v="0"/>
  </r>
  <r>
    <n v="167484"/>
    <n v="11214"/>
    <x v="42"/>
    <m/>
    <n v="0.75"/>
    <n v="4.5"/>
    <n v="5.25"/>
    <x v="0"/>
  </r>
  <r>
    <n v="167485"/>
    <n v="11214"/>
    <x v="49"/>
    <m/>
    <n v="4.3499999999999996"/>
    <n v="0"/>
    <n v="4.3499999999999996"/>
    <x v="0"/>
  </r>
  <r>
    <n v="167486"/>
    <n v="11214"/>
    <x v="72"/>
    <n v="6.2"/>
    <n v="0"/>
    <n v="0"/>
    <n v="0"/>
    <x v="0"/>
  </r>
  <r>
    <n v="167491"/>
    <n v="11214"/>
    <x v="44"/>
    <m/>
    <n v="0"/>
    <n v="0"/>
    <n v="0"/>
    <x v="0"/>
  </r>
  <r>
    <n v="167492"/>
    <n v="11214"/>
    <x v="42"/>
    <m/>
    <n v="0"/>
    <n v="0"/>
    <n v="0"/>
    <x v="0"/>
  </r>
  <r>
    <n v="167493"/>
    <n v="11214"/>
    <x v="1"/>
    <m/>
    <n v="0"/>
    <n v="0"/>
    <n v="0"/>
    <x v="0"/>
  </r>
  <r>
    <n v="167509"/>
    <n v="11214"/>
    <x v="49"/>
    <m/>
    <n v="0.2"/>
    <n v="0"/>
    <n v="0.2"/>
    <x v="0"/>
  </r>
  <r>
    <n v="167510"/>
    <n v="10639"/>
    <x v="76"/>
    <m/>
    <n v="0"/>
    <n v="0"/>
    <n v="0"/>
    <x v="0"/>
  </r>
  <r>
    <n v="167511"/>
    <n v="10763"/>
    <x v="67"/>
    <n v="1"/>
    <n v="1"/>
    <n v="0"/>
    <n v="1"/>
    <x v="0"/>
  </r>
  <r>
    <n v="167513"/>
    <n v="10763"/>
    <x v="67"/>
    <n v="1"/>
    <n v="1"/>
    <n v="0"/>
    <n v="1"/>
    <x v="0"/>
  </r>
  <r>
    <n v="167514"/>
    <n v="10763"/>
    <x v="67"/>
    <n v="1"/>
    <n v="1"/>
    <n v="0"/>
    <n v="1"/>
    <x v="0"/>
  </r>
  <r>
    <n v="167515"/>
    <n v="10763"/>
    <x v="67"/>
    <n v="1"/>
    <n v="0"/>
    <n v="1"/>
    <n v="1"/>
    <x v="0"/>
  </r>
  <r>
    <n v="167516"/>
    <n v="10763"/>
    <x v="67"/>
    <n v="1"/>
    <n v="0"/>
    <n v="1"/>
    <n v="1"/>
    <x v="0"/>
  </r>
  <r>
    <n v="167517"/>
    <n v="10763"/>
    <x v="67"/>
    <n v="1"/>
    <n v="0"/>
    <n v="0"/>
    <n v="0"/>
    <x v="0"/>
  </r>
  <r>
    <n v="167544"/>
    <n v="11213"/>
    <x v="50"/>
    <m/>
    <n v="1.5"/>
    <n v="0"/>
    <n v="1.5"/>
    <x v="0"/>
  </r>
  <r>
    <n v="167546"/>
    <n v="10742"/>
    <x v="72"/>
    <n v="2.5"/>
    <n v="0"/>
    <n v="0"/>
    <n v="0"/>
    <x v="0"/>
  </r>
  <r>
    <n v="167580"/>
    <n v="10101"/>
    <x v="5"/>
    <m/>
    <n v="0"/>
    <n v="0"/>
    <n v="0"/>
    <x v="2"/>
  </r>
  <r>
    <n v="167624"/>
    <n v="10720"/>
    <x v="72"/>
    <n v="10"/>
    <n v="0"/>
    <n v="0"/>
    <n v="0"/>
    <x v="0"/>
  </r>
  <r>
    <n v="167626"/>
    <n v="10753"/>
    <x v="44"/>
    <m/>
    <n v="0.5"/>
    <n v="0"/>
    <n v="0.5"/>
    <x v="0"/>
  </r>
  <r>
    <n v="167628"/>
    <n v="10814"/>
    <x v="66"/>
    <n v="3.5"/>
    <n v="4"/>
    <n v="0"/>
    <n v="4"/>
    <x v="0"/>
  </r>
  <r>
    <n v="167629"/>
    <n v="10814"/>
    <x v="45"/>
    <n v="1.7"/>
    <n v="3"/>
    <n v="0"/>
    <n v="3"/>
    <x v="0"/>
  </r>
  <r>
    <n v="167631"/>
    <n v="10814"/>
    <x v="45"/>
    <n v="6.2"/>
    <n v="6.3"/>
    <n v="0"/>
    <n v="6.3"/>
    <x v="0"/>
  </r>
  <r>
    <n v="167633"/>
    <n v="10814"/>
    <x v="74"/>
    <n v="10.3"/>
    <n v="17"/>
    <n v="0"/>
    <n v="17"/>
    <x v="0"/>
  </r>
  <r>
    <n v="167634"/>
    <n v="10814"/>
    <x v="74"/>
    <n v="6.2"/>
    <n v="6.5"/>
    <n v="0"/>
    <n v="6.5"/>
    <x v="0"/>
  </r>
  <r>
    <n v="167635"/>
    <n v="10814"/>
    <x v="74"/>
    <n v="15.6"/>
    <n v="10.5"/>
    <n v="0"/>
    <n v="10.5"/>
    <x v="0"/>
  </r>
  <r>
    <n v="167636"/>
    <n v="10639"/>
    <x v="74"/>
    <n v="38"/>
    <n v="2.5"/>
    <n v="0"/>
    <n v="2.5"/>
    <x v="0"/>
  </r>
  <r>
    <n v="167639"/>
    <n v="10020"/>
    <x v="20"/>
    <n v="6.25"/>
    <n v="6.15"/>
    <n v="0"/>
    <n v="6.15"/>
    <x v="1"/>
  </r>
  <r>
    <n v="167641"/>
    <n v="10020"/>
    <x v="5"/>
    <n v="0.35"/>
    <n v="0.5"/>
    <n v="0"/>
    <n v="0.5"/>
    <x v="1"/>
  </r>
  <r>
    <n v="167657"/>
    <n v="10688"/>
    <x v="39"/>
    <n v="8.3000000000000007"/>
    <n v="2"/>
    <n v="0"/>
    <n v="2"/>
    <x v="0"/>
  </r>
  <r>
    <n v="167658"/>
    <n v="10688"/>
    <x v="39"/>
    <n v="4.0999999999999996"/>
    <n v="2"/>
    <n v="0"/>
    <n v="2"/>
    <x v="0"/>
  </r>
  <r>
    <n v="167659"/>
    <n v="10688"/>
    <x v="39"/>
    <n v="15.5"/>
    <n v="13"/>
    <n v="0"/>
    <n v="13"/>
    <x v="0"/>
  </r>
  <r>
    <n v="167660"/>
    <n v="10688"/>
    <x v="39"/>
    <n v="1.2"/>
    <n v="6"/>
    <n v="0"/>
    <n v="6"/>
    <x v="0"/>
  </r>
  <r>
    <n v="167661"/>
    <n v="11775"/>
    <x v="54"/>
    <n v="2.1"/>
    <n v="3"/>
    <n v="0"/>
    <n v="3"/>
    <x v="0"/>
  </r>
  <r>
    <n v="167662"/>
    <n v="11775"/>
    <x v="54"/>
    <n v="4.0999999999999996"/>
    <n v="0.5"/>
    <n v="0"/>
    <n v="0.5"/>
    <x v="0"/>
  </r>
  <r>
    <n v="167663"/>
    <n v="11775"/>
    <x v="54"/>
    <n v="4.0999999999999996"/>
    <n v="4.5"/>
    <n v="0"/>
    <n v="4.5"/>
    <x v="0"/>
  </r>
  <r>
    <n v="167664"/>
    <n v="11775"/>
    <x v="54"/>
    <n v="4.0999999999999996"/>
    <n v="4"/>
    <n v="0"/>
    <n v="4"/>
    <x v="0"/>
  </r>
  <r>
    <n v="167665"/>
    <n v="11775"/>
    <x v="54"/>
    <n v="2.5"/>
    <n v="1.5"/>
    <n v="0"/>
    <n v="1.5"/>
    <x v="0"/>
  </r>
  <r>
    <n v="167671"/>
    <n v="10691"/>
    <x v="67"/>
    <m/>
    <n v="0"/>
    <n v="0"/>
    <n v="0"/>
    <x v="0"/>
  </r>
  <r>
    <n v="167672"/>
    <n v="10688"/>
    <x v="67"/>
    <n v="1"/>
    <n v="1"/>
    <n v="0"/>
    <n v="1"/>
    <x v="0"/>
  </r>
  <r>
    <n v="167675"/>
    <n v="10720"/>
    <x v="44"/>
    <m/>
    <n v="0"/>
    <n v="0"/>
    <n v="0"/>
    <x v="0"/>
  </r>
  <r>
    <n v="167676"/>
    <n v="10720"/>
    <x v="44"/>
    <m/>
    <n v="5.3"/>
    <n v="0"/>
    <n v="5.3"/>
    <x v="0"/>
  </r>
  <r>
    <n v="167677"/>
    <n v="10720"/>
    <x v="42"/>
    <m/>
    <n v="15.45"/>
    <n v="0"/>
    <n v="15.45"/>
    <x v="0"/>
  </r>
  <r>
    <n v="167678"/>
    <n v="10720"/>
    <x v="42"/>
    <m/>
    <n v="0"/>
    <n v="0"/>
    <n v="0"/>
    <x v="0"/>
  </r>
  <r>
    <n v="167679"/>
    <n v="10720"/>
    <x v="44"/>
    <n v="5.6"/>
    <n v="8.1"/>
    <n v="2"/>
    <n v="10.1"/>
    <x v="0"/>
  </r>
  <r>
    <n v="167680"/>
    <n v="10720"/>
    <x v="42"/>
    <n v="9"/>
    <n v="0.25"/>
    <n v="2"/>
    <n v="2.25"/>
    <x v="0"/>
  </r>
  <r>
    <n v="167683"/>
    <n v="10720"/>
    <x v="44"/>
    <m/>
    <n v="0"/>
    <n v="0"/>
    <n v="0"/>
    <x v="0"/>
  </r>
  <r>
    <n v="167684"/>
    <n v="10720"/>
    <x v="42"/>
    <m/>
    <n v="0"/>
    <n v="0"/>
    <n v="0"/>
    <x v="0"/>
  </r>
  <r>
    <n v="167686"/>
    <n v="11950"/>
    <x v="55"/>
    <n v="1.85"/>
    <n v="2"/>
    <n v="0"/>
    <n v="2"/>
    <x v="0"/>
  </r>
  <r>
    <n v="167688"/>
    <n v="10020"/>
    <x v="20"/>
    <n v="0.7"/>
    <n v="0.75"/>
    <n v="0"/>
    <n v="0.75"/>
    <x v="1"/>
  </r>
  <r>
    <n v="167689"/>
    <n v="10020"/>
    <x v="4"/>
    <n v="6.25"/>
    <n v="6.96"/>
    <n v="0"/>
    <n v="6.96"/>
    <x v="1"/>
  </r>
  <r>
    <n v="167696"/>
    <n v="11044"/>
    <x v="77"/>
    <m/>
    <n v="121.5"/>
    <n v="0"/>
    <n v="121.5"/>
    <x v="0"/>
  </r>
  <r>
    <n v="167697"/>
    <n v="11044"/>
    <x v="62"/>
    <n v="45"/>
    <n v="60.5"/>
    <n v="0"/>
    <n v="60.5"/>
    <x v="0"/>
  </r>
  <r>
    <n v="167698"/>
    <n v="11044"/>
    <x v="63"/>
    <n v="45"/>
    <n v="98"/>
    <n v="0"/>
    <n v="98"/>
    <x v="0"/>
  </r>
  <r>
    <n v="167700"/>
    <n v="10763"/>
    <x v="39"/>
    <m/>
    <n v="0.5"/>
    <n v="0"/>
    <n v="0.5"/>
    <x v="0"/>
  </r>
  <r>
    <n v="167707"/>
    <n v="11307"/>
    <x v="66"/>
    <n v="0"/>
    <n v="1.5"/>
    <n v="0"/>
    <n v="1.5"/>
    <x v="3"/>
  </r>
  <r>
    <n v="167709"/>
    <n v="11309"/>
    <x v="65"/>
    <n v="7.7"/>
    <n v="8"/>
    <n v="0"/>
    <n v="8"/>
    <x v="3"/>
  </r>
  <r>
    <n v="167912"/>
    <n v="11307"/>
    <x v="46"/>
    <n v="3"/>
    <n v="1"/>
    <n v="0"/>
    <n v="1"/>
    <x v="3"/>
  </r>
  <r>
    <n v="167913"/>
    <n v="11307"/>
    <x v="79"/>
    <n v="4.3"/>
    <n v="0"/>
    <n v="0"/>
    <n v="0"/>
    <x v="3"/>
  </r>
  <r>
    <n v="167914"/>
    <n v="10639"/>
    <x v="76"/>
    <m/>
    <n v="0.4"/>
    <n v="0.3"/>
    <n v="0.7"/>
    <x v="0"/>
  </r>
  <r>
    <n v="167938"/>
    <n v="10020"/>
    <x v="4"/>
    <n v="0.7"/>
    <n v="0.71"/>
    <n v="0"/>
    <n v="0.71"/>
    <x v="1"/>
  </r>
  <r>
    <n v="167955"/>
    <n v="10688"/>
    <x v="67"/>
    <m/>
    <n v="0"/>
    <n v="0"/>
    <n v="0"/>
    <x v="0"/>
  </r>
  <r>
    <n v="168034"/>
    <n v="10795"/>
    <x v="73"/>
    <m/>
    <n v="7.9"/>
    <n v="0"/>
    <n v="7.9"/>
    <x v="0"/>
  </r>
  <r>
    <n v="168035"/>
    <n v="11717"/>
    <x v="73"/>
    <n v="6.2"/>
    <n v="6.3"/>
    <n v="0"/>
    <n v="6.3"/>
    <x v="0"/>
  </r>
  <r>
    <n v="168087"/>
    <n v="11307"/>
    <x v="66"/>
    <n v="5"/>
    <n v="6"/>
    <n v="0"/>
    <n v="6"/>
    <x v="3"/>
  </r>
  <r>
    <n v="168091"/>
    <n v="10816"/>
    <x v="76"/>
    <n v="1.8"/>
    <n v="5.5"/>
    <n v="0"/>
    <n v="5.5"/>
    <x v="0"/>
  </r>
  <r>
    <n v="168092"/>
    <n v="10816"/>
    <x v="53"/>
    <n v="8.3000000000000007"/>
    <n v="9.6"/>
    <n v="0"/>
    <n v="9.6"/>
    <x v="0"/>
  </r>
  <r>
    <n v="168096"/>
    <n v="11716"/>
    <x v="73"/>
    <n v="6.3"/>
    <n v="2"/>
    <n v="0"/>
    <n v="2"/>
    <x v="0"/>
  </r>
  <r>
    <n v="168097"/>
    <n v="11716"/>
    <x v="73"/>
    <n v="6.2"/>
    <n v="3.4"/>
    <n v="0"/>
    <n v="3.4"/>
    <x v="0"/>
  </r>
  <r>
    <n v="168107"/>
    <n v="11717"/>
    <x v="73"/>
    <n v="8.3000000000000007"/>
    <n v="5.2"/>
    <n v="0"/>
    <n v="5.2"/>
    <x v="0"/>
  </r>
  <r>
    <n v="168108"/>
    <n v="11717"/>
    <x v="73"/>
    <n v="5"/>
    <n v="7.2"/>
    <n v="0"/>
    <n v="7.2"/>
    <x v="0"/>
  </r>
  <r>
    <n v="168109"/>
    <n v="11717"/>
    <x v="73"/>
    <n v="0.55000000000000004"/>
    <n v="0.8"/>
    <n v="0"/>
    <n v="0.8"/>
    <x v="0"/>
  </r>
  <r>
    <n v="168110"/>
    <n v="11717"/>
    <x v="73"/>
    <n v="2.5"/>
    <n v="3.4"/>
    <n v="0"/>
    <n v="3.4"/>
    <x v="0"/>
  </r>
  <r>
    <n v="168111"/>
    <n v="11717"/>
    <x v="73"/>
    <n v="2"/>
    <n v="3"/>
    <n v="0"/>
    <n v="3"/>
    <x v="0"/>
  </r>
  <r>
    <n v="168113"/>
    <n v="11717"/>
    <x v="60"/>
    <n v="2.2000000000000002"/>
    <n v="6"/>
    <n v="0"/>
    <n v="6"/>
    <x v="0"/>
  </r>
  <r>
    <n v="168114"/>
    <n v="11717"/>
    <x v="61"/>
    <n v="2"/>
    <n v="9.5"/>
    <n v="0"/>
    <n v="9.5"/>
    <x v="0"/>
  </r>
  <r>
    <n v="168116"/>
    <n v="11716"/>
    <x v="61"/>
    <n v="2"/>
    <n v="5"/>
    <n v="0"/>
    <n v="5"/>
    <x v="0"/>
  </r>
  <r>
    <n v="168117"/>
    <n v="11716"/>
    <x v="61"/>
    <n v="2.5"/>
    <n v="9"/>
    <n v="0"/>
    <n v="9"/>
    <x v="0"/>
  </r>
  <r>
    <n v="168118"/>
    <n v="11716"/>
    <x v="73"/>
    <n v="2.5"/>
    <n v="4.7"/>
    <n v="0"/>
    <n v="4.7"/>
    <x v="0"/>
  </r>
  <r>
    <n v="168242"/>
    <n v="11716"/>
    <x v="73"/>
    <n v="2.2000000000000002"/>
    <n v="3.5"/>
    <n v="0"/>
    <n v="3.5"/>
    <x v="0"/>
  </r>
  <r>
    <n v="168243"/>
    <n v="11716"/>
    <x v="61"/>
    <n v="2"/>
    <n v="1.5"/>
    <n v="0"/>
    <n v="1.5"/>
    <x v="0"/>
  </r>
  <r>
    <n v="168244"/>
    <n v="11716"/>
    <x v="60"/>
    <n v="2"/>
    <n v="4"/>
    <n v="0"/>
    <n v="4"/>
    <x v="0"/>
  </r>
  <r>
    <n v="168245"/>
    <n v="11716"/>
    <x v="61"/>
    <n v="1.5"/>
    <n v="2"/>
    <n v="0"/>
    <n v="2"/>
    <x v="0"/>
  </r>
  <r>
    <n v="168246"/>
    <n v="11716"/>
    <x v="73"/>
    <n v="1"/>
    <n v="0.5"/>
    <n v="0"/>
    <n v="0.5"/>
    <x v="0"/>
  </r>
  <r>
    <n v="168249"/>
    <n v="11716"/>
    <x v="73"/>
    <n v="0.55000000000000004"/>
    <n v="0.2"/>
    <n v="0"/>
    <n v="0.2"/>
    <x v="0"/>
  </r>
  <r>
    <n v="168393"/>
    <n v="10720"/>
    <x v="1"/>
    <m/>
    <n v="0"/>
    <n v="0"/>
    <n v="0"/>
    <x v="0"/>
  </r>
  <r>
    <n v="168394"/>
    <n v="10720"/>
    <x v="1"/>
    <m/>
    <n v="1"/>
    <n v="0"/>
    <n v="1"/>
    <x v="0"/>
  </r>
  <r>
    <n v="168395"/>
    <n v="10720"/>
    <x v="1"/>
    <m/>
    <n v="0"/>
    <n v="0"/>
    <n v="0"/>
    <x v="0"/>
  </r>
  <r>
    <n v="168418"/>
    <n v="11715"/>
    <x v="73"/>
    <n v="4.0999999999999996"/>
    <n v="7.8"/>
    <n v="0"/>
    <n v="7.8"/>
    <x v="0"/>
  </r>
  <r>
    <n v="168419"/>
    <n v="11715"/>
    <x v="60"/>
    <n v="0"/>
    <n v="2"/>
    <n v="0"/>
    <n v="2"/>
    <x v="0"/>
  </r>
  <r>
    <n v="168424"/>
    <n v="11719"/>
    <x v="60"/>
    <n v="6.2"/>
    <n v="5"/>
    <n v="0"/>
    <n v="5"/>
    <x v="0"/>
  </r>
  <r>
    <n v="168450"/>
    <n v="10814"/>
    <x v="45"/>
    <n v="2.5"/>
    <n v="5.9"/>
    <n v="0"/>
    <n v="5.9"/>
    <x v="0"/>
  </r>
  <r>
    <n v="168452"/>
    <n v="10814"/>
    <x v="45"/>
    <n v="3"/>
    <n v="2.1"/>
    <n v="0"/>
    <n v="2.1"/>
    <x v="0"/>
  </r>
  <r>
    <n v="168453"/>
    <n v="10814"/>
    <x v="74"/>
    <n v="2.2000000000000002"/>
    <n v="2"/>
    <n v="0"/>
    <n v="2"/>
    <x v="0"/>
  </r>
  <r>
    <n v="168467"/>
    <n v="10814"/>
    <x v="45"/>
    <n v="5.2"/>
    <n v="5"/>
    <n v="0"/>
    <n v="5"/>
    <x v="0"/>
  </r>
  <r>
    <n v="168492"/>
    <n v="11213"/>
    <x v="72"/>
    <n v="6.2"/>
    <n v="0"/>
    <n v="0"/>
    <n v="0"/>
    <x v="0"/>
  </r>
  <r>
    <n v="168493"/>
    <n v="11214"/>
    <x v="72"/>
    <n v="6.2"/>
    <n v="0"/>
    <n v="0"/>
    <n v="0"/>
    <x v="0"/>
  </r>
  <r>
    <n v="168495"/>
    <n v="11214"/>
    <x v="72"/>
    <n v="6.2"/>
    <n v="0.2"/>
    <n v="3"/>
    <n v="3.2"/>
    <x v="0"/>
  </r>
  <r>
    <n v="168496"/>
    <n v="11213"/>
    <x v="72"/>
    <n v="6.2"/>
    <n v="0"/>
    <n v="1.2"/>
    <n v="1.2"/>
    <x v="0"/>
  </r>
  <r>
    <n v="168509"/>
    <n v="11213"/>
    <x v="49"/>
    <m/>
    <n v="2.9"/>
    <n v="0"/>
    <n v="2.9"/>
    <x v="0"/>
  </r>
  <r>
    <n v="168517"/>
    <n v="11711"/>
    <x v="69"/>
    <n v="4.0999999999999996"/>
    <n v="7.5"/>
    <n v="0"/>
    <n v="7.5"/>
    <x v="0"/>
  </r>
  <r>
    <n v="168518"/>
    <n v="11711"/>
    <x v="69"/>
    <n v="6.2"/>
    <n v="13.75"/>
    <n v="0"/>
    <n v="13.75"/>
    <x v="0"/>
  </r>
  <r>
    <n v="168519"/>
    <n v="11711"/>
    <x v="69"/>
    <n v="2.5"/>
    <n v="4"/>
    <n v="0"/>
    <n v="4"/>
    <x v="0"/>
  </r>
  <r>
    <n v="168521"/>
    <n v="10816"/>
    <x v="76"/>
    <n v="5"/>
    <n v="5.55"/>
    <n v="0"/>
    <n v="5.55"/>
    <x v="0"/>
  </r>
  <r>
    <n v="168522"/>
    <n v="10816"/>
    <x v="76"/>
    <n v="4.0999999999999996"/>
    <n v="4.2"/>
    <n v="0"/>
    <n v="4.2"/>
    <x v="0"/>
  </r>
  <r>
    <n v="168544"/>
    <n v="10639"/>
    <x v="52"/>
    <m/>
    <n v="3"/>
    <n v="0"/>
    <n v="3"/>
    <x v="0"/>
  </r>
  <r>
    <n v="168545"/>
    <n v="11708"/>
    <x v="68"/>
    <n v="11.9"/>
    <n v="5.25"/>
    <n v="0"/>
    <n v="5.25"/>
    <x v="0"/>
  </r>
  <r>
    <n v="168574"/>
    <n v="10010"/>
    <x v="82"/>
    <m/>
    <n v="6.76"/>
    <n v="0"/>
    <n v="6.76"/>
    <x v="1"/>
  </r>
  <r>
    <n v="168575"/>
    <n v="10011"/>
    <x v="82"/>
    <m/>
    <n v="0.2"/>
    <n v="0"/>
    <n v="0.2"/>
    <x v="1"/>
  </r>
  <r>
    <n v="168576"/>
    <n v="10011"/>
    <x v="82"/>
    <m/>
    <n v="32.700000000000003"/>
    <n v="0"/>
    <n v="32.700000000000003"/>
    <x v="1"/>
  </r>
  <r>
    <n v="168577"/>
    <n v="10011"/>
    <x v="82"/>
    <m/>
    <n v="0.75"/>
    <n v="0"/>
    <n v="0.75"/>
    <x v="1"/>
  </r>
  <r>
    <n v="168578"/>
    <n v="10011"/>
    <x v="82"/>
    <m/>
    <n v="0.4"/>
    <n v="0"/>
    <n v="0.4"/>
    <x v="1"/>
  </r>
  <r>
    <n v="168579"/>
    <n v="10099"/>
    <x v="23"/>
    <n v="5"/>
    <n v="5"/>
    <n v="0"/>
    <n v="5"/>
    <x v="2"/>
  </r>
  <r>
    <n v="168580"/>
    <n v="10012"/>
    <x v="82"/>
    <m/>
    <n v="0"/>
    <n v="0"/>
    <n v="0"/>
    <x v="1"/>
  </r>
  <r>
    <n v="168581"/>
    <n v="10013"/>
    <x v="82"/>
    <m/>
    <n v="0"/>
    <n v="0"/>
    <n v="0"/>
    <x v="1"/>
  </r>
  <r>
    <n v="168582"/>
    <n v="10014"/>
    <x v="82"/>
    <m/>
    <n v="0"/>
    <n v="0"/>
    <n v="0"/>
    <x v="1"/>
  </r>
  <r>
    <n v="168583"/>
    <n v="10014"/>
    <x v="82"/>
    <m/>
    <n v="1.55"/>
    <n v="0"/>
    <n v="1.55"/>
    <x v="1"/>
  </r>
  <r>
    <n v="168584"/>
    <n v="10015"/>
    <x v="82"/>
    <m/>
    <n v="0"/>
    <n v="0"/>
    <n v="0"/>
    <x v="1"/>
  </r>
  <r>
    <n v="168585"/>
    <n v="10015"/>
    <x v="82"/>
    <m/>
    <n v="1.35"/>
    <n v="0"/>
    <n v="1.35"/>
    <x v="1"/>
  </r>
  <r>
    <n v="168586"/>
    <n v="10015"/>
    <x v="82"/>
    <m/>
    <n v="0"/>
    <n v="0"/>
    <n v="0"/>
    <x v="1"/>
  </r>
  <r>
    <n v="168587"/>
    <n v="10015"/>
    <x v="82"/>
    <m/>
    <n v="7.62"/>
    <n v="0"/>
    <n v="7.62"/>
    <x v="1"/>
  </r>
  <r>
    <n v="168588"/>
    <n v="10015"/>
    <x v="82"/>
    <m/>
    <n v="0"/>
    <n v="0"/>
    <n v="0"/>
    <x v="1"/>
  </r>
  <r>
    <n v="168664"/>
    <n v="10816"/>
    <x v="67"/>
    <n v="0.25"/>
    <n v="0.5"/>
    <n v="0"/>
    <n v="0.5"/>
    <x v="0"/>
  </r>
  <r>
    <n v="168678"/>
    <n v="11308"/>
    <x v="66"/>
    <n v="7.8"/>
    <n v="8.6"/>
    <n v="0"/>
    <n v="8.6"/>
    <x v="3"/>
  </r>
  <r>
    <n v="168832"/>
    <n v="10816"/>
    <x v="38"/>
    <n v="0"/>
    <n v="1.75"/>
    <n v="0"/>
    <n v="1.75"/>
    <x v="0"/>
  </r>
  <r>
    <n v="168834"/>
    <n v="10814"/>
    <x v="38"/>
    <n v="0"/>
    <n v="2.25"/>
    <n v="0"/>
    <n v="2.25"/>
    <x v="0"/>
  </r>
  <r>
    <n v="168880"/>
    <n v="10763"/>
    <x v="0"/>
    <n v="38.200000000000003"/>
    <n v="29"/>
    <n v="0"/>
    <n v="29"/>
    <x v="0"/>
  </r>
  <r>
    <n v="168882"/>
    <n v="11308"/>
    <x v="66"/>
    <n v="2"/>
    <n v="2"/>
    <n v="0"/>
    <n v="2"/>
    <x v="3"/>
  </r>
  <r>
    <n v="168890"/>
    <n v="11710"/>
    <x v="60"/>
    <m/>
    <n v="0.25"/>
    <n v="0"/>
    <n v="0.25"/>
    <x v="0"/>
  </r>
  <r>
    <n v="168891"/>
    <n v="11710"/>
    <x v="60"/>
    <n v="2"/>
    <n v="0.25"/>
    <n v="0"/>
    <n v="0.25"/>
    <x v="0"/>
  </r>
  <r>
    <n v="168892"/>
    <n v="11710"/>
    <x v="60"/>
    <n v="0"/>
    <n v="1.5"/>
    <n v="0"/>
    <n v="1.5"/>
    <x v="0"/>
  </r>
  <r>
    <n v="168893"/>
    <n v="11710"/>
    <x v="60"/>
    <m/>
    <n v="0"/>
    <n v="0"/>
    <n v="0"/>
    <x v="0"/>
  </r>
  <r>
    <n v="168896"/>
    <n v="10719"/>
    <x v="42"/>
    <m/>
    <n v="1.6"/>
    <n v="0"/>
    <n v="1.6"/>
    <x v="0"/>
  </r>
  <r>
    <n v="168897"/>
    <n v="10719"/>
    <x v="77"/>
    <m/>
    <n v="0"/>
    <n v="0"/>
    <n v="0"/>
    <x v="0"/>
  </r>
  <r>
    <n v="168898"/>
    <n v="11775"/>
    <x v="60"/>
    <m/>
    <n v="1.25"/>
    <n v="0"/>
    <n v="1.25"/>
    <x v="0"/>
  </r>
  <r>
    <n v="168899"/>
    <n v="11775"/>
    <x v="60"/>
    <m/>
    <n v="0"/>
    <n v="0"/>
    <n v="0"/>
    <x v="0"/>
  </r>
  <r>
    <n v="168900"/>
    <n v="11775"/>
    <x v="60"/>
    <m/>
    <n v="0"/>
    <n v="0"/>
    <n v="0"/>
    <x v="0"/>
  </r>
  <r>
    <n v="168901"/>
    <n v="11775"/>
    <x v="60"/>
    <m/>
    <n v="0.25"/>
    <n v="0"/>
    <n v="0.25"/>
    <x v="0"/>
  </r>
  <r>
    <n v="168902"/>
    <n v="11775"/>
    <x v="60"/>
    <m/>
    <n v="2.5"/>
    <n v="0"/>
    <n v="2.5"/>
    <x v="0"/>
  </r>
  <r>
    <n v="168903"/>
    <n v="11707"/>
    <x v="56"/>
    <n v="10"/>
    <n v="12"/>
    <n v="0"/>
    <n v="12"/>
    <x v="0"/>
  </r>
  <r>
    <n v="168904"/>
    <n v="11707"/>
    <x v="60"/>
    <n v="3"/>
    <n v="0.5"/>
    <n v="0"/>
    <n v="0.5"/>
    <x v="0"/>
  </r>
  <r>
    <n v="168905"/>
    <n v="11707"/>
    <x v="68"/>
    <n v="3.6"/>
    <n v="1"/>
    <n v="0"/>
    <n v="1"/>
    <x v="0"/>
  </r>
  <r>
    <n v="168906"/>
    <n v="11707"/>
    <x v="60"/>
    <n v="4.3"/>
    <n v="4.25"/>
    <n v="0"/>
    <n v="4.25"/>
    <x v="0"/>
  </r>
  <r>
    <n v="168907"/>
    <n v="11707"/>
    <x v="39"/>
    <n v="4"/>
    <n v="3.5"/>
    <n v="0"/>
    <n v="3.5"/>
    <x v="0"/>
  </r>
  <r>
    <n v="168908"/>
    <n v="11707"/>
    <x v="60"/>
    <n v="1.2"/>
    <n v="0.5"/>
    <n v="0"/>
    <n v="0.5"/>
    <x v="0"/>
  </r>
  <r>
    <n v="168909"/>
    <n v="11707"/>
    <x v="68"/>
    <n v="5"/>
    <n v="8"/>
    <n v="0"/>
    <n v="8"/>
    <x v="0"/>
  </r>
  <r>
    <n v="168911"/>
    <n v="11707"/>
    <x v="68"/>
    <n v="0"/>
    <n v="0.5"/>
    <n v="0"/>
    <n v="0.5"/>
    <x v="0"/>
  </r>
  <r>
    <n v="168913"/>
    <n v="11708"/>
    <x v="67"/>
    <n v="0.25"/>
    <n v="0.25"/>
    <n v="0"/>
    <n v="0.25"/>
    <x v="0"/>
  </r>
  <r>
    <n v="168915"/>
    <n v="11711"/>
    <x v="69"/>
    <n v="2.7"/>
    <n v="8"/>
    <n v="0"/>
    <n v="8"/>
    <x v="0"/>
  </r>
  <r>
    <n v="168916"/>
    <n v="11711"/>
    <x v="39"/>
    <n v="2.5"/>
    <n v="0"/>
    <n v="0"/>
    <n v="0"/>
    <x v="0"/>
  </r>
  <r>
    <n v="168917"/>
    <n v="11711"/>
    <x v="69"/>
    <n v="6.2"/>
    <n v="4.25"/>
    <n v="0"/>
    <n v="4.25"/>
    <x v="0"/>
  </r>
  <r>
    <n v="168918"/>
    <n v="11711"/>
    <x v="54"/>
    <n v="4.0999999999999996"/>
    <n v="4.0999999999999996"/>
    <n v="0"/>
    <n v="4.0999999999999996"/>
    <x v="0"/>
  </r>
  <r>
    <n v="168923"/>
    <n v="11213"/>
    <x v="42"/>
    <m/>
    <n v="0.9"/>
    <n v="0"/>
    <n v="0.9"/>
    <x v="0"/>
  </r>
  <r>
    <n v="168924"/>
    <n v="11213"/>
    <x v="49"/>
    <m/>
    <n v="0.7"/>
    <n v="0"/>
    <n v="0.7"/>
    <x v="0"/>
  </r>
  <r>
    <n v="168925"/>
    <n v="11213"/>
    <x v="43"/>
    <m/>
    <n v="0"/>
    <n v="0"/>
    <n v="0"/>
    <x v="0"/>
  </r>
  <r>
    <n v="168926"/>
    <n v="11213"/>
    <x v="50"/>
    <m/>
    <n v="1"/>
    <n v="0"/>
    <n v="1"/>
    <x v="0"/>
  </r>
  <r>
    <n v="168927"/>
    <n v="11213"/>
    <x v="40"/>
    <m/>
    <n v="0"/>
    <n v="0"/>
    <n v="0"/>
    <x v="0"/>
  </r>
  <r>
    <n v="168928"/>
    <n v="11213"/>
    <x v="44"/>
    <m/>
    <n v="0"/>
    <n v="0"/>
    <n v="0"/>
    <x v="0"/>
  </r>
  <r>
    <n v="168929"/>
    <n v="11213"/>
    <x v="51"/>
    <m/>
    <n v="0.75"/>
    <n v="0"/>
    <n v="0.75"/>
    <x v="0"/>
  </r>
  <r>
    <n v="168930"/>
    <n v="11213"/>
    <x v="1"/>
    <m/>
    <n v="0"/>
    <n v="0"/>
    <n v="0"/>
    <x v="0"/>
  </r>
  <r>
    <n v="168949"/>
    <n v="10816"/>
    <x v="38"/>
    <n v="3.3"/>
    <n v="0.75"/>
    <n v="0"/>
    <n v="0.75"/>
    <x v="0"/>
  </r>
  <r>
    <n v="168950"/>
    <n v="10816"/>
    <x v="53"/>
    <n v="2.2999999999999998"/>
    <n v="1.3"/>
    <n v="0"/>
    <n v="1.3"/>
    <x v="0"/>
  </r>
  <r>
    <n v="168954"/>
    <n v="10814"/>
    <x v="74"/>
    <n v="5"/>
    <n v="2.02"/>
    <n v="0"/>
    <n v="2.02"/>
    <x v="0"/>
  </r>
  <r>
    <n v="168955"/>
    <n v="10814"/>
    <x v="45"/>
    <n v="1.2"/>
    <n v="4.5999999999999996"/>
    <n v="0"/>
    <n v="4.5999999999999996"/>
    <x v="0"/>
  </r>
  <r>
    <n v="168956"/>
    <n v="11213"/>
    <x v="1"/>
    <m/>
    <n v="5.75"/>
    <n v="0"/>
    <n v="5.75"/>
    <x v="0"/>
  </r>
  <r>
    <n v="168963"/>
    <n v="11707"/>
    <x v="52"/>
    <n v="6"/>
    <n v="7"/>
    <n v="0"/>
    <n v="7"/>
    <x v="0"/>
  </r>
  <r>
    <n v="168964"/>
    <n v="11707"/>
    <x v="68"/>
    <n v="5.4"/>
    <n v="7.25"/>
    <n v="0"/>
    <n v="7.25"/>
    <x v="0"/>
  </r>
  <r>
    <n v="168965"/>
    <n v="11707"/>
    <x v="60"/>
    <n v="0.5"/>
    <n v="0.5"/>
    <n v="0"/>
    <n v="0.5"/>
    <x v="0"/>
  </r>
  <r>
    <n v="168982"/>
    <n v="11950"/>
    <x v="54"/>
    <m/>
    <n v="1"/>
    <n v="0"/>
    <n v="1"/>
    <x v="0"/>
  </r>
  <r>
    <n v="169056"/>
    <n v="10738"/>
    <x v="43"/>
    <m/>
    <n v="2"/>
    <n v="0"/>
    <n v="2"/>
    <x v="0"/>
  </r>
  <r>
    <n v="169093"/>
    <n v="10020"/>
    <x v="4"/>
    <n v="0.3"/>
    <n v="0.36"/>
    <n v="0"/>
    <n v="0.36"/>
    <x v="1"/>
  </r>
  <r>
    <n v="169258"/>
    <n v="10020"/>
    <x v="16"/>
    <n v="6.15"/>
    <n v="6.8"/>
    <n v="0"/>
    <n v="6.8"/>
    <x v="1"/>
  </r>
  <r>
    <n v="169259"/>
    <n v="10020"/>
    <x v="20"/>
    <n v="0.4"/>
    <n v="0.6"/>
    <n v="0"/>
    <n v="0.6"/>
    <x v="1"/>
  </r>
  <r>
    <n v="169260"/>
    <n v="10020"/>
    <x v="5"/>
    <n v="0.4"/>
    <n v="0.5"/>
    <n v="0"/>
    <n v="0.5"/>
    <x v="1"/>
  </r>
  <r>
    <n v="169261"/>
    <n v="10020"/>
    <x v="20"/>
    <n v="1.55"/>
    <n v="1.55"/>
    <n v="0"/>
    <n v="1.55"/>
    <x v="1"/>
  </r>
  <r>
    <n v="169322"/>
    <n v="10763"/>
    <x v="40"/>
    <n v="1"/>
    <n v="0.5"/>
    <n v="0"/>
    <n v="0.5"/>
    <x v="0"/>
  </r>
  <r>
    <n v="169323"/>
    <n v="10814"/>
    <x v="74"/>
    <n v="2"/>
    <n v="0"/>
    <n v="0"/>
    <n v="0"/>
    <x v="0"/>
  </r>
  <r>
    <n v="169324"/>
    <n v="10729"/>
    <x v="43"/>
    <n v="4.8"/>
    <n v="3.25"/>
    <n v="0"/>
    <n v="3.25"/>
    <x v="0"/>
  </r>
  <r>
    <n v="169325"/>
    <n v="10729"/>
    <x v="44"/>
    <n v="4.5"/>
    <n v="0"/>
    <n v="0"/>
    <n v="0"/>
    <x v="0"/>
  </r>
  <r>
    <n v="169326"/>
    <n v="10763"/>
    <x v="67"/>
    <m/>
    <n v="0"/>
    <n v="0"/>
    <n v="0"/>
    <x v="0"/>
  </r>
  <r>
    <n v="169327"/>
    <n v="11214"/>
    <x v="72"/>
    <n v="6.2"/>
    <n v="0"/>
    <n v="0.6"/>
    <n v="0.6"/>
    <x v="0"/>
  </r>
  <r>
    <n v="169328"/>
    <n v="11213"/>
    <x v="72"/>
    <n v="6.2"/>
    <n v="0"/>
    <n v="0"/>
    <n v="0"/>
    <x v="0"/>
  </r>
  <r>
    <n v="169329"/>
    <n v="11213"/>
    <x v="72"/>
    <n v="12.4"/>
    <n v="0"/>
    <n v="0"/>
    <n v="0"/>
    <x v="0"/>
  </r>
  <r>
    <n v="169331"/>
    <n v="10103"/>
    <x v="4"/>
    <m/>
    <n v="3.45"/>
    <n v="0"/>
    <n v="3.45"/>
    <x v="2"/>
  </r>
  <r>
    <n v="169332"/>
    <n v="10814"/>
    <x v="38"/>
    <m/>
    <n v="2.5"/>
    <n v="0"/>
    <n v="2.5"/>
    <x v="0"/>
  </r>
  <r>
    <n v="169333"/>
    <n v="11664"/>
    <x v="83"/>
    <m/>
    <n v="21.5"/>
    <n v="3"/>
    <n v="24.5"/>
    <x v="3"/>
  </r>
  <r>
    <n v="169338"/>
    <n v="11775"/>
    <x v="54"/>
    <n v="1.85"/>
    <n v="4"/>
    <n v="0"/>
    <n v="4"/>
    <x v="0"/>
  </r>
  <r>
    <n v="169339"/>
    <n v="11775"/>
    <x v="67"/>
    <n v="0.25"/>
    <n v="0.25"/>
    <n v="0"/>
    <n v="0.25"/>
    <x v="0"/>
  </r>
  <r>
    <n v="169350"/>
    <n v="10814"/>
    <x v="45"/>
    <n v="8.5"/>
    <n v="9"/>
    <n v="0"/>
    <n v="9"/>
    <x v="0"/>
  </r>
  <r>
    <n v="169352"/>
    <n v="10639"/>
    <x v="39"/>
    <m/>
    <n v="10"/>
    <n v="2.5"/>
    <n v="12.5"/>
    <x v="0"/>
  </r>
  <r>
    <n v="169353"/>
    <n v="10639"/>
    <x v="54"/>
    <m/>
    <n v="4"/>
    <n v="0.5"/>
    <n v="4.5"/>
    <x v="0"/>
  </r>
  <r>
    <n v="169354"/>
    <n v="10016"/>
    <x v="3"/>
    <m/>
    <n v="0"/>
    <m/>
    <n v="0"/>
    <x v="1"/>
  </r>
  <r>
    <n v="169355"/>
    <n v="11711"/>
    <x v="60"/>
    <m/>
    <n v="2.75"/>
    <n v="0"/>
    <n v="2.75"/>
    <x v="0"/>
  </r>
  <r>
    <n v="169356"/>
    <n v="11711"/>
    <x v="60"/>
    <m/>
    <n v="0.25"/>
    <n v="0"/>
    <n v="0.25"/>
    <x v="0"/>
  </r>
  <r>
    <n v="169359"/>
    <n v="11213"/>
    <x v="72"/>
    <n v="31"/>
    <n v="0"/>
    <n v="0"/>
    <n v="0"/>
    <x v="0"/>
  </r>
  <r>
    <n v="169360"/>
    <n v="11213"/>
    <x v="72"/>
    <m/>
    <m/>
    <n v="0"/>
    <n v="0"/>
    <x v="0"/>
  </r>
  <r>
    <n v="169361"/>
    <n v="11664"/>
    <x v="79"/>
    <n v="16"/>
    <m/>
    <n v="0"/>
    <n v="0"/>
    <x v="3"/>
  </r>
  <r>
    <n v="169462"/>
    <n v="10816"/>
    <x v="76"/>
    <n v="2.2000000000000002"/>
    <n v="2.15"/>
    <n v="0"/>
    <n v="2.15"/>
    <x v="0"/>
  </r>
  <r>
    <n v="169463"/>
    <n v="10816"/>
    <x v="53"/>
    <m/>
    <n v="1.7"/>
    <n v="0"/>
    <n v="1.7"/>
    <x v="0"/>
  </r>
  <r>
    <n v="169464"/>
    <n v="11711"/>
    <x v="39"/>
    <n v="1"/>
    <n v="0.25"/>
    <n v="0"/>
    <n v="0.25"/>
    <x v="0"/>
  </r>
  <r>
    <n v="169465"/>
    <n v="11711"/>
    <x v="69"/>
    <n v="1.5"/>
    <n v="0.5"/>
    <n v="0"/>
    <n v="0.5"/>
    <x v="0"/>
  </r>
  <r>
    <n v="169467"/>
    <n v="10100"/>
    <x v="4"/>
    <n v="0.5"/>
    <n v="0"/>
    <n v="0.5"/>
    <n v="0.5"/>
    <x v="2"/>
  </r>
  <r>
    <n v="169550"/>
    <n v="11710"/>
    <x v="68"/>
    <n v="0"/>
    <n v="2.75"/>
    <n v="0"/>
    <n v="2.75"/>
    <x v="0"/>
  </r>
  <r>
    <n v="169601"/>
    <n v="10020"/>
    <x v="16"/>
    <n v="6.15"/>
    <n v="7.7"/>
    <n v="0"/>
    <n v="7.7"/>
    <x v="1"/>
  </r>
  <r>
    <n v="169603"/>
    <n v="10020"/>
    <x v="5"/>
    <n v="0.4"/>
    <n v="0"/>
    <n v="0"/>
    <n v="0"/>
    <x v="1"/>
  </r>
  <r>
    <n v="169604"/>
    <n v="10020"/>
    <x v="20"/>
    <n v="0.4"/>
    <n v="1.1000000000000001"/>
    <n v="0"/>
    <n v="1.1000000000000001"/>
    <x v="1"/>
  </r>
  <r>
    <n v="169668"/>
    <n v="10099"/>
    <x v="23"/>
    <n v="5"/>
    <n v="5"/>
    <n v="0"/>
    <n v="5"/>
    <x v="2"/>
  </r>
  <r>
    <n v="169695"/>
    <n v="10639"/>
    <x v="55"/>
    <m/>
    <n v="0.5"/>
    <n v="0.5"/>
    <n v="1"/>
    <x v="0"/>
  </r>
  <r>
    <n v="169754"/>
    <n v="11214"/>
    <x v="51"/>
    <m/>
    <n v="0.5"/>
    <n v="0"/>
    <n v="0.5"/>
    <x v="0"/>
  </r>
  <r>
    <n v="169755"/>
    <n v="11213"/>
    <x v="51"/>
    <m/>
    <n v="3.25"/>
    <n v="0"/>
    <n v="3.25"/>
    <x v="0"/>
  </r>
  <r>
    <n v="169756"/>
    <n v="11948"/>
    <x v="50"/>
    <m/>
    <n v="0.5"/>
    <n v="0"/>
    <n v="0.5"/>
    <x v="0"/>
  </r>
  <r>
    <n v="169830"/>
    <n v="10759"/>
    <x v="72"/>
    <n v="5"/>
    <n v="0"/>
    <n v="0"/>
    <n v="5"/>
    <x v="0"/>
  </r>
  <r>
    <n v="169831"/>
    <n v="11307"/>
    <x v="65"/>
    <n v="1"/>
    <n v="1"/>
    <n v="0"/>
    <n v="1"/>
    <x v="3"/>
  </r>
  <r>
    <n v="169833"/>
    <n v="11307"/>
    <x v="66"/>
    <n v="8"/>
    <n v="11"/>
    <n v="0"/>
    <n v="11"/>
    <x v="3"/>
  </r>
  <r>
    <n v="169885"/>
    <n v="10720"/>
    <x v="52"/>
    <m/>
    <n v="0"/>
    <n v="0"/>
    <n v="0"/>
    <x v="0"/>
  </r>
  <r>
    <n v="169886"/>
    <n v="10720"/>
    <x v="52"/>
    <m/>
    <n v="3.5"/>
    <n v="0"/>
    <n v="3.5"/>
    <x v="0"/>
  </r>
  <r>
    <n v="169887"/>
    <n v="10720"/>
    <x v="52"/>
    <m/>
    <n v="0"/>
    <n v="0"/>
    <n v="0"/>
    <x v="0"/>
  </r>
  <r>
    <n v="169888"/>
    <n v="10720"/>
    <x v="52"/>
    <m/>
    <n v="23.3"/>
    <n v="0"/>
    <n v="23.3"/>
    <x v="0"/>
  </r>
  <r>
    <n v="169906"/>
    <n v="10690"/>
    <x v="68"/>
    <n v="2.1"/>
    <n v="1"/>
    <n v="0"/>
    <n v="1"/>
    <x v="0"/>
  </r>
  <r>
    <n v="169907"/>
    <n v="10690"/>
    <x v="68"/>
    <n v="4.0999999999999996"/>
    <n v="3"/>
    <n v="0"/>
    <n v="3"/>
    <x v="0"/>
  </r>
  <r>
    <n v="169908"/>
    <n v="10690"/>
    <x v="68"/>
    <n v="4.0999999999999996"/>
    <n v="3.25"/>
    <n v="0"/>
    <n v="3.25"/>
    <x v="0"/>
  </r>
  <r>
    <n v="169909"/>
    <n v="10690"/>
    <x v="68"/>
    <n v="2.5"/>
    <n v="0"/>
    <n v="0"/>
    <n v="0"/>
    <x v="0"/>
  </r>
  <r>
    <n v="169912"/>
    <n v="10100"/>
    <x v="5"/>
    <n v="4.5999999999999996"/>
    <n v="6.4"/>
    <n v="1"/>
    <n v="7.4"/>
    <x v="2"/>
  </r>
  <r>
    <n v="169913"/>
    <n v="10101"/>
    <x v="5"/>
    <m/>
    <n v="0"/>
    <m/>
    <n v="0"/>
    <x v="2"/>
  </r>
  <r>
    <n v="169915"/>
    <n v="10101"/>
    <x v="5"/>
    <m/>
    <n v="0"/>
    <m/>
    <n v="0"/>
    <x v="2"/>
  </r>
  <r>
    <n v="169917"/>
    <n v="11751"/>
    <x v="60"/>
    <n v="2"/>
    <n v="0"/>
    <n v="0"/>
    <n v="0"/>
    <x v="0"/>
  </r>
  <r>
    <n v="169918"/>
    <n v="11751"/>
    <x v="54"/>
    <n v="2"/>
    <n v="0"/>
    <n v="0"/>
    <n v="0"/>
    <x v="0"/>
  </r>
  <r>
    <n v="169919"/>
    <n v="11751"/>
    <x v="55"/>
    <m/>
    <n v="0"/>
    <n v="0"/>
    <n v="0"/>
    <x v="0"/>
  </r>
  <r>
    <n v="169932"/>
    <n v="11307"/>
    <x v="66"/>
    <n v="1"/>
    <n v="1"/>
    <n v="0"/>
    <n v="1"/>
    <x v="3"/>
  </r>
  <r>
    <n v="169933"/>
    <n v="11308"/>
    <x v="79"/>
    <n v="0.9"/>
    <n v="0"/>
    <n v="0"/>
    <n v="0"/>
    <x v="3"/>
  </r>
  <r>
    <n v="169934"/>
    <n v="11308"/>
    <x v="46"/>
    <n v="2"/>
    <n v="2"/>
    <n v="0"/>
    <n v="2"/>
    <x v="3"/>
  </r>
  <r>
    <n v="169935"/>
    <n v="11308"/>
    <x v="81"/>
    <n v="2"/>
    <n v="1"/>
    <n v="0"/>
    <n v="1"/>
    <x v="3"/>
  </r>
  <r>
    <n v="169937"/>
    <n v="11307"/>
    <x v="66"/>
    <n v="2"/>
    <n v="2"/>
    <n v="0"/>
    <n v="2"/>
    <x v="3"/>
  </r>
  <r>
    <n v="169938"/>
    <n v="11307"/>
    <x v="66"/>
    <n v="2"/>
    <n v="2"/>
    <n v="0"/>
    <n v="2"/>
    <x v="3"/>
  </r>
  <r>
    <n v="169939"/>
    <n v="11307"/>
    <x v="79"/>
    <n v="5.7"/>
    <n v="0"/>
    <n v="0"/>
    <n v="0"/>
    <x v="3"/>
  </r>
  <r>
    <n v="169940"/>
    <n v="10814"/>
    <x v="45"/>
    <n v="4.0999999999999996"/>
    <n v="3.2"/>
    <n v="0"/>
    <n v="3.2"/>
    <x v="0"/>
  </r>
  <r>
    <n v="169941"/>
    <n v="10814"/>
    <x v="45"/>
    <n v="5"/>
    <n v="4.5"/>
    <n v="0"/>
    <n v="4.5"/>
    <x v="0"/>
  </r>
  <r>
    <n v="169942"/>
    <n v="10814"/>
    <x v="45"/>
    <n v="7.5"/>
    <n v="8.3000000000000007"/>
    <n v="0"/>
    <n v="8.3000000000000007"/>
    <x v="0"/>
  </r>
  <r>
    <n v="169962"/>
    <n v="10816"/>
    <x v="53"/>
    <m/>
    <n v="1"/>
    <n v="0"/>
    <n v="1"/>
    <x v="0"/>
  </r>
  <r>
    <n v="169963"/>
    <n v="10816"/>
    <x v="53"/>
    <m/>
    <n v="0.5"/>
    <n v="0"/>
    <n v="0.5"/>
    <x v="0"/>
  </r>
  <r>
    <n v="169966"/>
    <n v="10814"/>
    <x v="38"/>
    <m/>
    <n v="2.5"/>
    <n v="0"/>
    <n v="2.5"/>
    <x v="0"/>
  </r>
  <r>
    <n v="169968"/>
    <n v="10695"/>
    <x v="60"/>
    <n v="2"/>
    <n v="0.75"/>
    <n v="0"/>
    <n v="0.75"/>
    <x v="0"/>
  </r>
  <r>
    <n v="169969"/>
    <n v="10695"/>
    <x v="68"/>
    <n v="2.1"/>
    <n v="0.5"/>
    <n v="0"/>
    <n v="0.5"/>
    <x v="0"/>
  </r>
  <r>
    <n v="169984"/>
    <n v="11751"/>
    <x v="84"/>
    <n v="12"/>
    <n v="0"/>
    <n v="0"/>
    <n v="0"/>
    <x v="0"/>
  </r>
  <r>
    <n v="169988"/>
    <n v="10814"/>
    <x v="85"/>
    <n v="1.9"/>
    <m/>
    <m/>
    <m/>
    <x v="0"/>
  </r>
  <r>
    <n v="169989"/>
    <n v="10814"/>
    <x v="85"/>
    <n v="6.2"/>
    <n v="0"/>
    <n v="0"/>
    <n v="0"/>
    <x v="0"/>
  </r>
  <r>
    <n v="169990"/>
    <n v="10814"/>
    <x v="85"/>
    <n v="3.2"/>
    <n v="0"/>
    <n v="0"/>
    <n v="0"/>
    <x v="0"/>
  </r>
  <r>
    <n v="170037"/>
    <n v="11948"/>
    <x v="51"/>
    <m/>
    <n v="0.5"/>
    <n v="0"/>
    <n v="0.5"/>
    <x v="0"/>
  </r>
  <r>
    <n v="170038"/>
    <n v="11948"/>
    <x v="42"/>
    <m/>
    <n v="0.2"/>
    <n v="0"/>
    <n v="0.2"/>
    <x v="0"/>
  </r>
  <r>
    <n v="170041"/>
    <n v="10720"/>
    <x v="49"/>
    <m/>
    <n v="6.65"/>
    <n v="0"/>
    <n v="6.65"/>
    <x v="0"/>
  </r>
  <r>
    <n v="170042"/>
    <n v="10773"/>
    <x v="49"/>
    <n v="0"/>
    <n v="1.5"/>
    <n v="0"/>
    <n v="1.5"/>
    <x v="0"/>
  </r>
  <r>
    <n v="170043"/>
    <n v="10763"/>
    <x v="49"/>
    <m/>
    <n v="0"/>
    <n v="0"/>
    <n v="0"/>
    <x v="0"/>
  </r>
  <r>
    <n v="170047"/>
    <n v="11309"/>
    <x v="46"/>
    <n v="2"/>
    <n v="2"/>
    <n v="0"/>
    <n v="2"/>
    <x v="3"/>
  </r>
  <r>
    <n v="170048"/>
    <n v="11309"/>
    <x v="75"/>
    <n v="1.9"/>
    <n v="0"/>
    <n v="0"/>
    <n v="0"/>
    <x v="3"/>
  </r>
  <r>
    <n v="170147"/>
    <n v="11307"/>
    <x v="66"/>
    <n v="3"/>
    <n v="3"/>
    <n v="0"/>
    <n v="3"/>
    <x v="3"/>
  </r>
  <r>
    <n v="170186"/>
    <n v="10020"/>
    <x v="16"/>
    <n v="0.3"/>
    <n v="0"/>
    <n v="0"/>
    <n v="0"/>
    <x v="1"/>
  </r>
  <r>
    <n v="170187"/>
    <n v="10020"/>
    <x v="20"/>
    <n v="6.25"/>
    <n v="5.4"/>
    <n v="0"/>
    <n v="5.4"/>
    <x v="1"/>
  </r>
  <r>
    <n v="170188"/>
    <n v="10020"/>
    <x v="5"/>
    <n v="0.4"/>
    <n v="0"/>
    <n v="0"/>
    <n v="0"/>
    <x v="1"/>
  </r>
  <r>
    <n v="170216"/>
    <n v="10011"/>
    <x v="86"/>
    <m/>
    <n v="0.5"/>
    <n v="0"/>
    <n v="0.5"/>
    <x v="1"/>
  </r>
  <r>
    <n v="170239"/>
    <n v="10816"/>
    <x v="87"/>
    <n v="19.600000000000001"/>
    <n v="9"/>
    <n v="0"/>
    <n v="9"/>
    <x v="0"/>
  </r>
  <r>
    <n v="170249"/>
    <n v="10689"/>
    <x v="87"/>
    <n v="3.1"/>
    <n v="8"/>
    <n v="0"/>
    <n v="8"/>
    <x v="0"/>
  </r>
  <r>
    <n v="170250"/>
    <n v="10688"/>
    <x v="88"/>
    <m/>
    <n v="3"/>
    <n v="0"/>
    <n v="3"/>
    <x v="0"/>
  </r>
  <r>
    <n v="170260"/>
    <n v="10688"/>
    <x v="88"/>
    <m/>
    <n v="4"/>
    <n v="0"/>
    <n v="4"/>
    <x v="0"/>
  </r>
  <r>
    <n v="170261"/>
    <n v="11705"/>
    <x v="89"/>
    <m/>
    <n v="3"/>
    <n v="0"/>
    <n v="3"/>
    <x v="0"/>
  </r>
  <r>
    <n v="170271"/>
    <n v="10691"/>
    <x v="89"/>
    <m/>
    <n v="1"/>
    <n v="0"/>
    <n v="1"/>
    <x v="0"/>
  </r>
  <r>
    <n v="170272"/>
    <n v="10691"/>
    <x v="89"/>
    <m/>
    <n v="4"/>
    <n v="0"/>
    <n v="4"/>
    <x v="0"/>
  </r>
  <r>
    <n v="170273"/>
    <n v="10691"/>
    <x v="89"/>
    <m/>
    <n v="4.5"/>
    <n v="0"/>
    <n v="4.5"/>
    <x v="0"/>
  </r>
  <r>
    <n v="170274"/>
    <n v="11706"/>
    <x v="90"/>
    <m/>
    <n v="14"/>
    <n v="0"/>
    <n v="14"/>
    <x v="0"/>
  </r>
  <r>
    <n v="170296"/>
    <n v="10796"/>
    <x v="91"/>
    <m/>
    <n v="19"/>
    <n v="0"/>
    <n v="19"/>
    <x v="0"/>
  </r>
  <r>
    <n v="170308"/>
    <n v="11044"/>
    <x v="92"/>
    <m/>
    <n v="26"/>
    <n v="0"/>
    <n v="26"/>
    <x v="0"/>
  </r>
  <r>
    <n v="170320"/>
    <n v="10746"/>
    <x v="67"/>
    <n v="0.25"/>
    <n v="0.25"/>
    <n v="0"/>
    <n v="0.25"/>
    <x v="0"/>
  </r>
  <r>
    <n v="170322"/>
    <n v="10761"/>
    <x v="67"/>
    <n v="0.25"/>
    <n v="0"/>
    <n v="0.25"/>
    <n v="0.25"/>
    <x v="0"/>
  </r>
  <r>
    <n v="170324"/>
    <n v="10726"/>
    <x v="67"/>
    <n v="0.25"/>
    <n v="0.25"/>
    <n v="0"/>
    <n v="0.25"/>
    <x v="0"/>
  </r>
  <r>
    <n v="170325"/>
    <n v="10732"/>
    <x v="67"/>
    <n v="0.25"/>
    <n v="0"/>
    <n v="0.25"/>
    <n v="0.25"/>
    <x v="0"/>
  </r>
  <r>
    <n v="170326"/>
    <n v="10740"/>
    <x v="67"/>
    <n v="0.5"/>
    <n v="0.5"/>
    <n v="0"/>
    <n v="0.5"/>
    <x v="0"/>
  </r>
  <r>
    <n v="170327"/>
    <n v="10738"/>
    <x v="67"/>
    <n v="0.25"/>
    <n v="0.25"/>
    <n v="0"/>
    <n v="0.25"/>
    <x v="0"/>
  </r>
  <r>
    <n v="170464"/>
    <n v="10816"/>
    <x v="53"/>
    <n v="2"/>
    <n v="3"/>
    <n v="0"/>
    <n v="3"/>
    <x v="0"/>
  </r>
  <r>
    <n v="170465"/>
    <n v="10816"/>
    <x v="38"/>
    <n v="2"/>
    <n v="1.25"/>
    <n v="0"/>
    <n v="1.25"/>
    <x v="0"/>
  </r>
  <r>
    <n v="170476"/>
    <n v="10815"/>
    <x v="74"/>
    <n v="2"/>
    <n v="2"/>
    <n v="0"/>
    <n v="2"/>
    <x v="0"/>
  </r>
  <r>
    <n v="170477"/>
    <n v="10815"/>
    <x v="74"/>
    <n v="6"/>
    <n v="3.98"/>
    <n v="0"/>
    <n v="3.98"/>
    <x v="0"/>
  </r>
  <r>
    <n v="170478"/>
    <n v="10814"/>
    <x v="53"/>
    <n v="2"/>
    <n v="2"/>
    <n v="0"/>
    <n v="2"/>
    <x v="0"/>
  </r>
  <r>
    <n v="170479"/>
    <n v="10760"/>
    <x v="55"/>
    <n v="0"/>
    <n v="0.25"/>
    <n v="0"/>
    <n v="0.25"/>
    <x v="0"/>
  </r>
  <r>
    <n v="170521"/>
    <n v="10816"/>
    <x v="76"/>
    <n v="13"/>
    <n v="14.4"/>
    <n v="0"/>
    <n v="14.4"/>
    <x v="0"/>
  </r>
  <r>
    <n v="170546"/>
    <n v="11950"/>
    <x v="67"/>
    <n v="0.25"/>
    <n v="0.25"/>
    <n v="0"/>
    <n v="0.25"/>
    <x v="0"/>
  </r>
  <r>
    <n v="170547"/>
    <n v="11716"/>
    <x v="67"/>
    <n v="0.25"/>
    <n v="0.25"/>
    <n v="0"/>
    <n v="0.25"/>
    <x v="0"/>
  </r>
  <r>
    <n v="170548"/>
    <n v="11715"/>
    <x v="67"/>
    <n v="0.25"/>
    <n v="0.25"/>
    <n v="0"/>
    <n v="0.25"/>
    <x v="0"/>
  </r>
  <r>
    <n v="170549"/>
    <n v="11717"/>
    <x v="67"/>
    <n v="0.25"/>
    <n v="0.25"/>
    <n v="0"/>
    <n v="0.25"/>
    <x v="0"/>
  </r>
  <r>
    <n v="170550"/>
    <n v="10816"/>
    <x v="67"/>
    <n v="0"/>
    <n v="0.25"/>
    <n v="0"/>
    <n v="0.25"/>
    <x v="0"/>
  </r>
  <r>
    <n v="170551"/>
    <n v="11710"/>
    <x v="67"/>
    <n v="0.8"/>
    <n v="0.75"/>
    <n v="0"/>
    <n v="0.75"/>
    <x v="0"/>
  </r>
  <r>
    <n v="170552"/>
    <n v="11731"/>
    <x v="54"/>
    <n v="1"/>
    <n v="1"/>
    <n v="0"/>
    <n v="1"/>
    <x v="0"/>
  </r>
  <r>
    <n v="170554"/>
    <n v="11731"/>
    <x v="54"/>
    <n v="2.5"/>
    <n v="2.5"/>
    <n v="0"/>
    <n v="2.5"/>
    <x v="0"/>
  </r>
  <r>
    <n v="170555"/>
    <n v="11731"/>
    <x v="54"/>
    <n v="0.5"/>
    <n v="0.5"/>
    <n v="0"/>
    <n v="0.5"/>
    <x v="0"/>
  </r>
  <r>
    <n v="170556"/>
    <n v="11731"/>
    <x v="54"/>
    <n v="3.3"/>
    <n v="1.75"/>
    <n v="0"/>
    <n v="1.75"/>
    <x v="0"/>
  </r>
  <r>
    <n v="170557"/>
    <n v="11731"/>
    <x v="54"/>
    <n v="0.25"/>
    <n v="0.25"/>
    <n v="0"/>
    <n v="0.25"/>
    <x v="0"/>
  </r>
  <r>
    <n v="170558"/>
    <n v="10694"/>
    <x v="93"/>
    <n v="3.3"/>
    <n v="0"/>
    <n v="3.3"/>
    <n v="3.3"/>
    <x v="0"/>
  </r>
  <r>
    <n v="170559"/>
    <n v="11735"/>
    <x v="69"/>
    <n v="5"/>
    <n v="3"/>
    <n v="2"/>
    <n v="5"/>
    <x v="0"/>
  </r>
  <r>
    <n v="170560"/>
    <n v="11736"/>
    <x v="94"/>
    <n v="8.3000000000000007"/>
    <n v="13.25"/>
    <n v="0"/>
    <n v="13.25"/>
    <x v="0"/>
  </r>
  <r>
    <n v="170561"/>
    <n v="11736"/>
    <x v="94"/>
    <n v="3.2"/>
    <n v="5.95"/>
    <n v="0"/>
    <n v="5.95"/>
    <x v="0"/>
  </r>
  <r>
    <n v="170562"/>
    <n v="11736"/>
    <x v="94"/>
    <n v="4.0999999999999996"/>
    <n v="3.95"/>
    <n v="0"/>
    <n v="3.95"/>
    <x v="0"/>
  </r>
  <r>
    <n v="170563"/>
    <n v="11736"/>
    <x v="94"/>
    <n v="9.5"/>
    <n v="11.2"/>
    <n v="0"/>
    <n v="11.2"/>
    <x v="0"/>
  </r>
  <r>
    <n v="170564"/>
    <n v="11736"/>
    <x v="94"/>
    <n v="6.3"/>
    <n v="6.3"/>
    <n v="0"/>
    <n v="6.3"/>
    <x v="0"/>
  </r>
  <r>
    <n v="170565"/>
    <n v="11736"/>
    <x v="94"/>
    <n v="6.35"/>
    <n v="14.75"/>
    <n v="0"/>
    <n v="14.75"/>
    <x v="0"/>
  </r>
  <r>
    <n v="170566"/>
    <n v="10691"/>
    <x v="60"/>
    <n v="4.5"/>
    <n v="4"/>
    <n v="0"/>
    <n v="4"/>
    <x v="0"/>
  </r>
  <r>
    <n v="170567"/>
    <n v="10691"/>
    <x v="60"/>
    <n v="1"/>
    <n v="0.75"/>
    <n v="0"/>
    <n v="0.75"/>
    <x v="0"/>
  </r>
  <r>
    <n v="170569"/>
    <n v="10691"/>
    <x v="93"/>
    <n v="13.3"/>
    <n v="0"/>
    <n v="0"/>
    <n v="0"/>
    <x v="0"/>
  </r>
  <r>
    <n v="170570"/>
    <n v="10691"/>
    <x v="60"/>
    <n v="15.5"/>
    <n v="0.75"/>
    <n v="0"/>
    <n v="0.75"/>
    <x v="0"/>
  </r>
  <r>
    <n v="170571"/>
    <n v="10691"/>
    <x v="69"/>
    <n v="15.5"/>
    <n v="0"/>
    <n v="10"/>
    <n v="10"/>
    <x v="0"/>
  </r>
  <r>
    <n v="170572"/>
    <n v="10691"/>
    <x v="69"/>
    <n v="5"/>
    <n v="0"/>
    <n v="0"/>
    <n v="0"/>
    <x v="0"/>
  </r>
  <r>
    <n v="170573"/>
    <n v="11775"/>
    <x v="54"/>
    <n v="6.4"/>
    <n v="3.5"/>
    <n v="0"/>
    <n v="3.5"/>
    <x v="0"/>
  </r>
  <r>
    <n v="170574"/>
    <n v="10691"/>
    <x v="54"/>
    <n v="2.5"/>
    <n v="2.25"/>
    <n v="0"/>
    <n v="2.25"/>
    <x v="0"/>
  </r>
  <r>
    <n v="170576"/>
    <n v="10691"/>
    <x v="95"/>
    <n v="11.6"/>
    <n v="0"/>
    <n v="0"/>
    <n v="0"/>
    <x v="0"/>
  </r>
  <r>
    <n v="170577"/>
    <n v="10691"/>
    <x v="54"/>
    <n v="3.5"/>
    <n v="3.25"/>
    <n v="0"/>
    <n v="3.25"/>
    <x v="0"/>
  </r>
  <r>
    <n v="170578"/>
    <n v="10691"/>
    <x v="60"/>
    <n v="4.8"/>
    <n v="0"/>
    <n v="4.8"/>
    <n v="4.8"/>
    <x v="0"/>
  </r>
  <r>
    <n v="170579"/>
    <n v="10691"/>
    <x v="54"/>
    <n v="5.6"/>
    <n v="0"/>
    <n v="0"/>
    <n v="0"/>
    <x v="0"/>
  </r>
  <r>
    <n v="170580"/>
    <n v="10691"/>
    <x v="54"/>
    <n v="1.7"/>
    <n v="2.25"/>
    <n v="0"/>
    <n v="2.25"/>
    <x v="0"/>
  </r>
  <r>
    <n v="170581"/>
    <n v="10691"/>
    <x v="54"/>
    <n v="8.9"/>
    <n v="8.25"/>
    <n v="0"/>
    <n v="8.25"/>
    <x v="0"/>
  </r>
  <r>
    <n v="170582"/>
    <n v="11751"/>
    <x v="84"/>
    <n v="4"/>
    <n v="0"/>
    <n v="4"/>
    <n v="4"/>
    <x v="0"/>
  </r>
  <r>
    <n v="170583"/>
    <n v="11751"/>
    <x v="95"/>
    <n v="4"/>
    <n v="0"/>
    <n v="4"/>
    <n v="4"/>
    <x v="0"/>
  </r>
  <r>
    <n v="170584"/>
    <n v="11751"/>
    <x v="84"/>
    <n v="2"/>
    <n v="0"/>
    <n v="0"/>
    <n v="0"/>
    <x v="0"/>
  </r>
  <r>
    <n v="170586"/>
    <n v="11751"/>
    <x v="84"/>
    <n v="12"/>
    <n v="0"/>
    <n v="0"/>
    <n v="0"/>
    <x v="0"/>
  </r>
  <r>
    <n v="170587"/>
    <n v="11751"/>
    <x v="93"/>
    <n v="12"/>
    <n v="0"/>
    <n v="0"/>
    <n v="0"/>
    <x v="0"/>
  </r>
  <r>
    <n v="170590"/>
    <n v="11921"/>
    <x v="69"/>
    <n v="1.5"/>
    <n v="1.5"/>
    <n v="0"/>
    <n v="1.5"/>
    <x v="0"/>
  </r>
  <r>
    <n v="170591"/>
    <n v="11921"/>
    <x v="69"/>
    <n v="4.3"/>
    <n v="3.75"/>
    <n v="0"/>
    <n v="3.75"/>
    <x v="0"/>
  </r>
  <r>
    <n v="170593"/>
    <n v="11921"/>
    <x v="69"/>
    <n v="24.9"/>
    <n v="3.75"/>
    <n v="0"/>
    <n v="3.75"/>
    <x v="0"/>
  </r>
  <r>
    <n v="170594"/>
    <n v="11921"/>
    <x v="69"/>
    <n v="12.75"/>
    <n v="12"/>
    <n v="0.75"/>
    <n v="12.75"/>
    <x v="0"/>
  </r>
  <r>
    <n v="170595"/>
    <n v="11921"/>
    <x v="69"/>
    <n v="7.8"/>
    <n v="5.75"/>
    <n v="1.05"/>
    <n v="6.8"/>
    <x v="0"/>
  </r>
  <r>
    <n v="170596"/>
    <n v="10692"/>
    <x v="69"/>
    <n v="4"/>
    <n v="2.25"/>
    <n v="1.75"/>
    <n v="4"/>
    <x v="0"/>
  </r>
  <r>
    <n v="170597"/>
    <n v="11921"/>
    <x v="94"/>
    <n v="3.2"/>
    <n v="2.15"/>
    <n v="1"/>
    <n v="3.15"/>
    <x v="0"/>
  </r>
  <r>
    <n v="170598"/>
    <n v="10692"/>
    <x v="69"/>
    <n v="24.9"/>
    <n v="4.75"/>
    <n v="3"/>
    <n v="7.75"/>
    <x v="0"/>
  </r>
  <r>
    <n v="170599"/>
    <n v="10692"/>
    <x v="93"/>
    <n v="39.9"/>
    <n v="0"/>
    <n v="0"/>
    <n v="0"/>
    <x v="0"/>
  </r>
  <r>
    <n v="170602"/>
    <n v="11712"/>
    <x v="54"/>
    <n v="2.5"/>
    <n v="1"/>
    <n v="0"/>
    <n v="1"/>
    <x v="0"/>
  </r>
  <r>
    <n v="170604"/>
    <n v="11712"/>
    <x v="54"/>
    <n v="4.0999999999999996"/>
    <n v="0"/>
    <n v="0"/>
    <n v="0"/>
    <x v="0"/>
  </r>
  <r>
    <n v="170607"/>
    <n v="11712"/>
    <x v="54"/>
    <n v="2.1"/>
    <n v="2"/>
    <n v="0"/>
    <n v="2"/>
    <x v="0"/>
  </r>
  <r>
    <n v="170613"/>
    <n v="11711"/>
    <x v="69"/>
    <n v="5.2"/>
    <n v="5.25"/>
    <n v="0"/>
    <n v="5.25"/>
    <x v="0"/>
  </r>
  <r>
    <n v="170617"/>
    <n v="11953"/>
    <x v="38"/>
    <n v="6.2"/>
    <n v="4"/>
    <n v="0"/>
    <n v="4"/>
    <x v="0"/>
  </r>
  <r>
    <n v="170618"/>
    <n v="10689"/>
    <x v="39"/>
    <n v="2.1"/>
    <n v="1.05"/>
    <n v="1.05"/>
    <n v="2.1"/>
    <x v="0"/>
  </r>
  <r>
    <n v="170619"/>
    <n v="10720"/>
    <x v="96"/>
    <n v="9.3000000000000007"/>
    <n v="0"/>
    <n v="0"/>
    <n v="0"/>
    <x v="0"/>
  </r>
  <r>
    <n v="170620"/>
    <n v="10689"/>
    <x v="54"/>
    <n v="7.9"/>
    <n v="3.5"/>
    <n v="4.4000000000000004"/>
    <n v="7.9"/>
    <x v="0"/>
  </r>
  <r>
    <n v="170621"/>
    <n v="11713"/>
    <x v="39"/>
    <n v="4.0999999999999996"/>
    <n v="0.1"/>
    <n v="4"/>
    <n v="4.0999999999999996"/>
    <x v="0"/>
  </r>
  <r>
    <n v="170622"/>
    <n v="11713"/>
    <x v="39"/>
    <n v="4.0999999999999996"/>
    <n v="1.4"/>
    <n v="2.7"/>
    <n v="4.0999999999999996"/>
    <x v="0"/>
  </r>
  <r>
    <n v="170623"/>
    <n v="11713"/>
    <x v="54"/>
    <n v="2.5"/>
    <n v="1.5"/>
    <n v="1"/>
    <n v="2.5"/>
    <x v="0"/>
  </r>
  <r>
    <n v="170624"/>
    <n v="10693"/>
    <x v="55"/>
    <n v="1.1000000000000001"/>
    <n v="3"/>
    <n v="0"/>
    <n v="3"/>
    <x v="0"/>
  </r>
  <r>
    <n v="170625"/>
    <n v="10693"/>
    <x v="55"/>
    <n v="3"/>
    <n v="4.5999999999999996"/>
    <n v="0"/>
    <n v="4.5999999999999996"/>
    <x v="0"/>
  </r>
  <r>
    <n v="170626"/>
    <n v="10693"/>
    <x v="55"/>
    <n v="0.85"/>
    <n v="1"/>
    <n v="0"/>
    <n v="1"/>
    <x v="0"/>
  </r>
  <r>
    <n v="170629"/>
    <n v="10695"/>
    <x v="69"/>
    <n v="7.8"/>
    <n v="0"/>
    <n v="0"/>
    <n v="0"/>
    <x v="0"/>
  </r>
  <r>
    <n v="170630"/>
    <n v="11951"/>
    <x v="69"/>
    <n v="5"/>
    <n v="5"/>
    <n v="0"/>
    <n v="5"/>
    <x v="0"/>
  </r>
  <r>
    <n v="170631"/>
    <n v="11951"/>
    <x v="69"/>
    <n v="6.75"/>
    <n v="6.75"/>
    <n v="0"/>
    <n v="6.75"/>
    <x v="0"/>
  </r>
  <r>
    <n v="170632"/>
    <n v="11780"/>
    <x v="61"/>
    <n v="8.3000000000000007"/>
    <n v="21.5"/>
    <n v="0"/>
    <n v="21.5"/>
    <x v="0"/>
  </r>
  <r>
    <n v="170633"/>
    <n v="11780"/>
    <x v="53"/>
    <n v="8.3000000000000007"/>
    <n v="9.8000000000000007"/>
    <n v="0"/>
    <n v="9.8000000000000007"/>
    <x v="0"/>
  </r>
  <r>
    <n v="170634"/>
    <n v="11780"/>
    <x v="53"/>
    <n v="12"/>
    <n v="13.1"/>
    <n v="0"/>
    <n v="13.1"/>
    <x v="0"/>
  </r>
  <r>
    <n v="170635"/>
    <n v="11780"/>
    <x v="53"/>
    <n v="12.8"/>
    <n v="12.8"/>
    <n v="0"/>
    <n v="12.8"/>
    <x v="0"/>
  </r>
  <r>
    <n v="170636"/>
    <n v="11780"/>
    <x v="68"/>
    <n v="1.85"/>
    <n v="1.75"/>
    <n v="0.1"/>
    <n v="1.85"/>
    <x v="0"/>
  </r>
  <r>
    <n v="170649"/>
    <n v="11741"/>
    <x v="61"/>
    <n v="2.5"/>
    <n v="2.5"/>
    <n v="0"/>
    <n v="2.5"/>
    <x v="0"/>
  </r>
  <r>
    <n v="170651"/>
    <n v="11741"/>
    <x v="73"/>
    <n v="5"/>
    <n v="12.4"/>
    <n v="0"/>
    <n v="12.4"/>
    <x v="0"/>
  </r>
  <r>
    <n v="170652"/>
    <n v="11741"/>
    <x v="60"/>
    <n v="4.2"/>
    <n v="1.5"/>
    <n v="0"/>
    <n v="1.5"/>
    <x v="0"/>
  </r>
  <r>
    <n v="170653"/>
    <n v="11741"/>
    <x v="60"/>
    <n v="1.5"/>
    <n v="2.5"/>
    <n v="0"/>
    <n v="2.5"/>
    <x v="0"/>
  </r>
  <r>
    <n v="170654"/>
    <n v="11741"/>
    <x v="73"/>
    <n v="0.55000000000000004"/>
    <n v="0.1"/>
    <n v="0.45"/>
    <n v="0.55000000000000004"/>
    <x v="0"/>
  </r>
  <r>
    <n v="170655"/>
    <n v="11744"/>
    <x v="97"/>
    <n v="8.3000000000000007"/>
    <n v="0"/>
    <n v="0"/>
    <n v="0"/>
    <x v="0"/>
  </r>
  <r>
    <n v="170656"/>
    <n v="11744"/>
    <x v="97"/>
    <n v="8.3000000000000007"/>
    <n v="0"/>
    <n v="0"/>
    <n v="0"/>
    <x v="0"/>
  </r>
  <r>
    <n v="170657"/>
    <n v="11744"/>
    <x v="97"/>
    <n v="5"/>
    <n v="0"/>
    <n v="0"/>
    <n v="0"/>
    <x v="0"/>
  </r>
  <r>
    <n v="170658"/>
    <n v="11744"/>
    <x v="97"/>
    <n v="15.5"/>
    <n v="0"/>
    <n v="0"/>
    <n v="0"/>
    <x v="0"/>
  </r>
  <r>
    <n v="170659"/>
    <n v="11744"/>
    <x v="97"/>
    <n v="7.8"/>
    <n v="0"/>
    <n v="0"/>
    <n v="0"/>
    <x v="0"/>
  </r>
  <r>
    <n v="170660"/>
    <n v="11744"/>
    <x v="97"/>
    <n v="2.1"/>
    <n v="0"/>
    <n v="0"/>
    <n v="0"/>
    <x v="0"/>
  </r>
  <r>
    <n v="170662"/>
    <n v="11742"/>
    <x v="61"/>
    <n v="4.0999999999999996"/>
    <n v="0"/>
    <n v="4.0999999999999996"/>
    <n v="4.0999999999999996"/>
    <x v="0"/>
  </r>
  <r>
    <n v="170663"/>
    <n v="11742"/>
    <x v="73"/>
    <n v="5"/>
    <n v="2.2000000000000002"/>
    <n v="2.8"/>
    <n v="5"/>
    <x v="0"/>
  </r>
  <r>
    <n v="170664"/>
    <n v="11742"/>
    <x v="61"/>
    <n v="3.1"/>
    <n v="1"/>
    <n v="2.1"/>
    <n v="3.1"/>
    <x v="0"/>
  </r>
  <r>
    <n v="170665"/>
    <n v="11742"/>
    <x v="73"/>
    <n v="2.5"/>
    <n v="0"/>
    <n v="2.5"/>
    <n v="2.5"/>
    <x v="0"/>
  </r>
  <r>
    <n v="170666"/>
    <n v="11742"/>
    <x v="97"/>
    <n v="0.8"/>
    <n v="0"/>
    <n v="0"/>
    <n v="0"/>
    <x v="0"/>
  </r>
  <r>
    <n v="170667"/>
    <n v="11743"/>
    <x v="61"/>
    <n v="2.1"/>
    <n v="0"/>
    <n v="2.1"/>
    <n v="2.1"/>
    <x v="0"/>
  </r>
  <r>
    <n v="170668"/>
    <n v="11743"/>
    <x v="61"/>
    <n v="4"/>
    <n v="4.5"/>
    <n v="0"/>
    <n v="4.5"/>
    <x v="0"/>
  </r>
  <r>
    <n v="170669"/>
    <n v="11743"/>
    <x v="73"/>
    <n v="5"/>
    <n v="1.9"/>
    <n v="3.1"/>
    <n v="5"/>
    <x v="0"/>
  </r>
  <r>
    <n v="170670"/>
    <n v="11743"/>
    <x v="61"/>
    <n v="3.1"/>
    <n v="0"/>
    <n v="3.1"/>
    <n v="3.1"/>
    <x v="0"/>
  </r>
  <r>
    <n v="170671"/>
    <n v="11743"/>
    <x v="73"/>
    <n v="1.5"/>
    <n v="0"/>
    <n v="1.5"/>
    <n v="1.5"/>
    <x v="0"/>
  </r>
  <r>
    <n v="170672"/>
    <n v="11743"/>
    <x v="73"/>
    <n v="0.6"/>
    <n v="0.6"/>
    <n v="0"/>
    <n v="0.6"/>
    <x v="0"/>
  </r>
  <r>
    <n v="170673"/>
    <n v="11747"/>
    <x v="55"/>
    <n v="6.2"/>
    <n v="8.1999999999999993"/>
    <n v="0"/>
    <n v="8.1999999999999993"/>
    <x v="0"/>
  </r>
  <r>
    <n v="170674"/>
    <n v="11747"/>
    <x v="55"/>
    <n v="1.6"/>
    <n v="1.1000000000000001"/>
    <n v="0"/>
    <n v="1.1000000000000001"/>
    <x v="0"/>
  </r>
  <r>
    <n v="170675"/>
    <n v="11747"/>
    <x v="55"/>
    <n v="4"/>
    <n v="2.4500000000000002"/>
    <n v="0"/>
    <n v="2.4500000000000002"/>
    <x v="0"/>
  </r>
  <r>
    <n v="170676"/>
    <n v="11747"/>
    <x v="55"/>
    <n v="12.5"/>
    <n v="10"/>
    <n v="0"/>
    <n v="10"/>
    <x v="0"/>
  </r>
  <r>
    <n v="170677"/>
    <n v="11747"/>
    <x v="55"/>
    <n v="5.3"/>
    <n v="8.35"/>
    <n v="0"/>
    <n v="8.35"/>
    <x v="0"/>
  </r>
  <r>
    <n v="170678"/>
    <n v="11747"/>
    <x v="55"/>
    <n v="5.0999999999999996"/>
    <n v="13.15"/>
    <n v="0"/>
    <n v="13.15"/>
    <x v="0"/>
  </r>
  <r>
    <n v="170679"/>
    <n v="11748"/>
    <x v="39"/>
    <n v="2.25"/>
    <n v="3"/>
    <n v="0"/>
    <n v="3"/>
    <x v="0"/>
  </r>
  <r>
    <n v="170680"/>
    <n v="11748"/>
    <x v="68"/>
    <n v="4.0999999999999996"/>
    <n v="0.5"/>
    <n v="0"/>
    <n v="0.5"/>
    <x v="0"/>
  </r>
  <r>
    <n v="170685"/>
    <n v="11749"/>
    <x v="39"/>
    <n v="3.3"/>
    <n v="4"/>
    <n v="0"/>
    <n v="4"/>
    <x v="0"/>
  </r>
  <r>
    <n v="170686"/>
    <n v="11749"/>
    <x v="68"/>
    <n v="2.1"/>
    <n v="2"/>
    <n v="0"/>
    <n v="2"/>
    <x v="0"/>
  </r>
  <r>
    <n v="170687"/>
    <n v="11749"/>
    <x v="68"/>
    <n v="15.5"/>
    <n v="11"/>
    <n v="0"/>
    <n v="11"/>
    <x v="0"/>
  </r>
  <r>
    <n v="170688"/>
    <n v="11749"/>
    <x v="68"/>
    <n v="7.8"/>
    <n v="6"/>
    <n v="0"/>
    <n v="6"/>
    <x v="0"/>
  </r>
  <r>
    <n v="170689"/>
    <n v="11749"/>
    <x v="68"/>
    <n v="1.9"/>
    <n v="3"/>
    <n v="0"/>
    <n v="3"/>
    <x v="0"/>
  </r>
  <r>
    <n v="170690"/>
    <n v="11746"/>
    <x v="55"/>
    <n v="5.8"/>
    <n v="5.75"/>
    <n v="0"/>
    <n v="5.75"/>
    <x v="0"/>
  </r>
  <r>
    <n v="170691"/>
    <n v="11746"/>
    <x v="55"/>
    <n v="3.7"/>
    <n v="8.5"/>
    <n v="0"/>
    <n v="8.5"/>
    <x v="0"/>
  </r>
  <r>
    <n v="170692"/>
    <n v="11746"/>
    <x v="55"/>
    <n v="3.5"/>
    <n v="7.45"/>
    <n v="0"/>
    <n v="7.45"/>
    <x v="0"/>
  </r>
  <r>
    <n v="170693"/>
    <n v="11746"/>
    <x v="55"/>
    <n v="10.9"/>
    <n v="12.6"/>
    <n v="0"/>
    <n v="12.6"/>
    <x v="0"/>
  </r>
  <r>
    <n v="170694"/>
    <n v="11746"/>
    <x v="55"/>
    <n v="5.5"/>
    <n v="12.45"/>
    <n v="0"/>
    <n v="12.45"/>
    <x v="0"/>
  </r>
  <r>
    <n v="170695"/>
    <n v="11746"/>
    <x v="55"/>
    <n v="2.2000000000000002"/>
    <n v="6.95"/>
    <n v="0"/>
    <n v="6.95"/>
    <x v="0"/>
  </r>
  <r>
    <n v="170696"/>
    <n v="11746"/>
    <x v="55"/>
    <n v="1.9"/>
    <n v="2.4"/>
    <n v="0"/>
    <n v="2.4"/>
    <x v="0"/>
  </r>
  <r>
    <n v="170698"/>
    <n v="10692"/>
    <x v="93"/>
    <n v="3.4"/>
    <n v="0"/>
    <n v="0"/>
    <n v="0"/>
    <x v="0"/>
  </r>
  <r>
    <n v="170736"/>
    <n v="11051"/>
    <x v="52"/>
    <n v="3"/>
    <n v="4"/>
    <n v="0"/>
    <n v="4"/>
    <x v="0"/>
  </r>
  <r>
    <n v="170737"/>
    <n v="11051"/>
    <x v="52"/>
    <n v="3.3"/>
    <n v="8.5"/>
    <n v="0"/>
    <n v="8.5"/>
    <x v="0"/>
  </r>
  <r>
    <n v="170740"/>
    <n v="10794"/>
    <x v="52"/>
    <n v="3.6"/>
    <n v="2.6"/>
    <n v="1"/>
    <n v="3.6"/>
    <x v="0"/>
  </r>
  <r>
    <n v="170742"/>
    <n v="10794"/>
    <x v="52"/>
    <n v="3.2"/>
    <n v="0.2"/>
    <n v="3"/>
    <n v="3.2"/>
    <x v="0"/>
  </r>
  <r>
    <n v="170744"/>
    <n v="11750"/>
    <x v="52"/>
    <n v="1.5"/>
    <n v="0"/>
    <n v="1.5"/>
    <n v="1.5"/>
    <x v="0"/>
  </r>
  <r>
    <n v="170745"/>
    <n v="11750"/>
    <x v="52"/>
    <n v="0"/>
    <n v="0"/>
    <n v="0"/>
    <n v="0"/>
    <x v="0"/>
  </r>
  <r>
    <n v="170746"/>
    <n v="11750"/>
    <x v="52"/>
    <n v="2.5"/>
    <n v="2.5"/>
    <n v="0"/>
    <n v="2.5"/>
    <x v="0"/>
  </r>
  <r>
    <n v="170747"/>
    <n v="11750"/>
    <x v="52"/>
    <n v="2.5"/>
    <n v="2.5"/>
    <n v="0"/>
    <n v="2.5"/>
    <x v="0"/>
  </r>
  <r>
    <n v="170748"/>
    <n v="11750"/>
    <x v="52"/>
    <n v="2.5"/>
    <n v="2.5"/>
    <n v="0"/>
    <n v="2.5"/>
    <x v="0"/>
  </r>
  <r>
    <n v="170749"/>
    <n v="11750"/>
    <x v="52"/>
    <n v="2.5"/>
    <n v="2.5"/>
    <n v="0"/>
    <n v="2.5"/>
    <x v="0"/>
  </r>
  <r>
    <n v="170750"/>
    <n v="11750"/>
    <x v="52"/>
    <n v="2"/>
    <n v="2"/>
    <n v="0"/>
    <n v="2"/>
    <x v="0"/>
  </r>
  <r>
    <n v="170752"/>
    <n v="10686"/>
    <x v="98"/>
    <n v="109.7"/>
    <n v="53"/>
    <n v="4"/>
    <n v="57"/>
    <x v="0"/>
  </r>
  <r>
    <n v="170760"/>
    <n v="10816"/>
    <x v="35"/>
    <n v="0"/>
    <n v="0"/>
    <n v="0"/>
    <n v="0"/>
    <x v="0"/>
  </r>
  <r>
    <n v="170762"/>
    <n v="10814"/>
    <x v="99"/>
    <n v="1.2"/>
    <m/>
    <n v="0"/>
    <n v="0"/>
    <x v="0"/>
  </r>
  <r>
    <n v="170763"/>
    <n v="10814"/>
    <x v="99"/>
    <n v="0"/>
    <n v="0"/>
    <n v="0"/>
    <n v="0"/>
    <x v="0"/>
  </r>
  <r>
    <n v="170764"/>
    <n v="10814"/>
    <x v="53"/>
    <n v="0"/>
    <n v="1"/>
    <n v="0"/>
    <n v="1"/>
    <x v="0"/>
  </r>
  <r>
    <n v="170765"/>
    <n v="10815"/>
    <x v="45"/>
    <n v="1.7"/>
    <n v="2"/>
    <n v="0"/>
    <n v="2"/>
    <x v="0"/>
  </r>
  <r>
    <n v="170766"/>
    <n v="10814"/>
    <x v="99"/>
    <n v="0"/>
    <n v="0"/>
    <n v="0"/>
    <n v="0"/>
    <x v="0"/>
  </r>
  <r>
    <n v="170768"/>
    <n v="11719"/>
    <x v="60"/>
    <n v="4.0999999999999996"/>
    <n v="8.75"/>
    <n v="0"/>
    <n v="8.75"/>
    <x v="0"/>
  </r>
  <r>
    <n v="170769"/>
    <n v="11719"/>
    <x v="60"/>
    <n v="4.0999999999999996"/>
    <n v="2.75"/>
    <n v="1"/>
    <n v="3.75"/>
    <x v="0"/>
  </r>
  <r>
    <n v="170770"/>
    <n v="10691"/>
    <x v="94"/>
    <n v="7.8"/>
    <n v="3.05"/>
    <n v="4.75"/>
    <n v="7.8"/>
    <x v="0"/>
  </r>
  <r>
    <n v="170771"/>
    <n v="10691"/>
    <x v="94"/>
    <n v="1.85"/>
    <n v="2"/>
    <n v="0"/>
    <n v="2"/>
    <x v="0"/>
  </r>
  <r>
    <n v="170772"/>
    <n v="10691"/>
    <x v="54"/>
    <n v="4.3"/>
    <n v="3.75"/>
    <n v="0"/>
    <n v="3.75"/>
    <x v="0"/>
  </r>
  <r>
    <n v="170775"/>
    <n v="11711"/>
    <x v="69"/>
    <n v="2.1"/>
    <n v="5.25"/>
    <n v="0"/>
    <n v="5.25"/>
    <x v="0"/>
  </r>
  <r>
    <n v="170776"/>
    <n v="10689"/>
    <x v="54"/>
    <n v="4.0999999999999996"/>
    <n v="4"/>
    <n v="0"/>
    <n v="4"/>
    <x v="0"/>
  </r>
  <r>
    <n v="170777"/>
    <n v="10691"/>
    <x v="54"/>
    <n v="5.5"/>
    <n v="5.5"/>
    <n v="0"/>
    <n v="5.5"/>
    <x v="0"/>
  </r>
  <r>
    <n v="170778"/>
    <n v="11746"/>
    <x v="69"/>
    <n v="1.5"/>
    <n v="0"/>
    <n v="0"/>
    <n v="0"/>
    <x v="0"/>
  </r>
  <r>
    <n v="170779"/>
    <n v="11746"/>
    <x v="69"/>
    <n v="2.5"/>
    <n v="0.5"/>
    <n v="0"/>
    <n v="0.5"/>
    <x v="0"/>
  </r>
  <r>
    <n v="170780"/>
    <n v="11746"/>
    <x v="69"/>
    <n v="1.5"/>
    <n v="0"/>
    <n v="0"/>
    <n v="0"/>
    <x v="0"/>
  </r>
  <r>
    <n v="170781"/>
    <n v="11746"/>
    <x v="69"/>
    <n v="4.5999999999999996"/>
    <n v="0"/>
    <n v="0"/>
    <n v="0"/>
    <x v="0"/>
  </r>
  <r>
    <n v="170782"/>
    <n v="11746"/>
    <x v="69"/>
    <n v="2.2999999999999998"/>
    <n v="0"/>
    <n v="0"/>
    <n v="0"/>
    <x v="0"/>
  </r>
  <r>
    <n v="170783"/>
    <n v="11746"/>
    <x v="67"/>
    <n v="1.5"/>
    <n v="1.5"/>
    <n v="0"/>
    <n v="1.5"/>
    <x v="0"/>
  </r>
  <r>
    <n v="170784"/>
    <n v="11746"/>
    <x v="67"/>
    <n v="0.2"/>
    <n v="0.4"/>
    <n v="0"/>
    <n v="0.4"/>
    <x v="0"/>
  </r>
  <r>
    <n v="170787"/>
    <n v="11749"/>
    <x v="67"/>
    <n v="0.2"/>
    <n v="0.25"/>
    <n v="0"/>
    <n v="0.25"/>
    <x v="0"/>
  </r>
  <r>
    <n v="170788"/>
    <n v="10816"/>
    <x v="53"/>
    <m/>
    <n v="0.5"/>
    <n v="0"/>
    <n v="0.5"/>
    <x v="0"/>
  </r>
  <r>
    <n v="170791"/>
    <n v="10766"/>
    <x v="72"/>
    <n v="6.4"/>
    <n v="0"/>
    <n v="0"/>
    <n v="0"/>
    <x v="0"/>
  </r>
  <r>
    <n v="170796"/>
    <n v="10020"/>
    <x v="16"/>
    <n v="0.35"/>
    <n v="0.5"/>
    <n v="0"/>
    <n v="0.5"/>
    <x v="1"/>
  </r>
  <r>
    <n v="170802"/>
    <n v="10100"/>
    <x v="5"/>
    <n v="4"/>
    <n v="8"/>
    <n v="1"/>
    <n v="9"/>
    <x v="2"/>
  </r>
  <r>
    <n v="170804"/>
    <n v="10100"/>
    <x v="4"/>
    <n v="0.5"/>
    <n v="0.82"/>
    <n v="0"/>
    <n v="0.82"/>
    <x v="2"/>
  </r>
  <r>
    <n v="170806"/>
    <n v="11307"/>
    <x v="66"/>
    <n v="1"/>
    <n v="0"/>
    <n v="0"/>
    <n v="0"/>
    <x v="3"/>
  </r>
  <r>
    <n v="170807"/>
    <n v="11309"/>
    <x v="75"/>
    <n v="1"/>
    <n v="0"/>
    <n v="0"/>
    <n v="0"/>
    <x v="3"/>
  </r>
  <r>
    <n v="170809"/>
    <n v="10816"/>
    <x v="76"/>
    <n v="3.1"/>
    <n v="1.45"/>
    <n v="0"/>
    <n v="1.45"/>
    <x v="0"/>
  </r>
  <r>
    <n v="170811"/>
    <n v="11213"/>
    <x v="37"/>
    <m/>
    <m/>
    <m/>
    <m/>
    <x v="0"/>
  </r>
  <r>
    <n v="170813"/>
    <n v="10816"/>
    <x v="38"/>
    <n v="4.3499999999999996"/>
    <n v="4.75"/>
    <n v="0"/>
    <n v="4.75"/>
    <x v="0"/>
  </r>
  <r>
    <n v="170815"/>
    <n v="10720"/>
    <x v="49"/>
    <n v="5"/>
    <n v="3.05"/>
    <n v="0"/>
    <n v="3.05"/>
    <x v="0"/>
  </r>
  <r>
    <n v="170818"/>
    <n v="11711"/>
    <x v="60"/>
    <n v="6.2"/>
    <n v="5.75"/>
    <n v="0"/>
    <n v="5.75"/>
    <x v="0"/>
  </r>
  <r>
    <n v="170826"/>
    <n v="10753"/>
    <x v="51"/>
    <n v="0"/>
    <n v="0"/>
    <n v="0"/>
    <n v="0"/>
    <x v="0"/>
  </r>
  <r>
    <n v="170829"/>
    <n v="10742"/>
    <x v="72"/>
    <n v="2.5"/>
    <n v="0"/>
    <n v="0"/>
    <n v="0"/>
    <x v="0"/>
  </r>
  <r>
    <n v="170846"/>
    <n v="10756"/>
    <x v="44"/>
    <n v="12.9"/>
    <n v="0"/>
    <n v="12.9"/>
    <n v="12.9"/>
    <x v="0"/>
  </r>
  <r>
    <n v="170847"/>
    <n v="11711"/>
    <x v="60"/>
    <n v="2.1"/>
    <n v="0"/>
    <n v="0"/>
    <n v="0"/>
    <x v="0"/>
  </r>
  <r>
    <n v="170848"/>
    <n v="11711"/>
    <x v="60"/>
    <n v="2.5"/>
    <n v="0"/>
    <n v="0"/>
    <n v="0"/>
    <x v="0"/>
  </r>
  <r>
    <n v="170852"/>
    <n v="10753"/>
    <x v="71"/>
    <n v="2.5"/>
    <n v="3.55"/>
    <n v="0"/>
    <n v="3.55"/>
    <x v="0"/>
  </r>
  <r>
    <n v="170859"/>
    <n v="10721"/>
    <x v="100"/>
    <n v="12.9"/>
    <m/>
    <n v="0"/>
    <n v="12.9"/>
    <x v="0"/>
  </r>
  <r>
    <n v="170860"/>
    <n v="10712"/>
    <x v="40"/>
    <n v="6.4"/>
    <n v="0.55000000000000004"/>
    <n v="0"/>
    <n v="0.55000000000000004"/>
    <x v="0"/>
  </r>
  <r>
    <n v="170861"/>
    <n v="10721"/>
    <x v="100"/>
    <n v="6.4"/>
    <m/>
    <n v="0"/>
    <n v="0"/>
    <x v="0"/>
  </r>
  <r>
    <n v="170867"/>
    <n v="10776"/>
    <x v="49"/>
    <n v="6.4"/>
    <m/>
    <n v="4"/>
    <n v="4"/>
    <x v="0"/>
  </r>
  <r>
    <n v="170873"/>
    <n v="10741"/>
    <x v="43"/>
    <n v="2.5"/>
    <n v="2.75"/>
    <n v="0"/>
    <n v="2.75"/>
    <x v="0"/>
  </r>
  <r>
    <n v="170878"/>
    <n v="10769"/>
    <x v="49"/>
    <n v="2.25"/>
    <n v="0.2"/>
    <n v="0"/>
    <n v="0.2"/>
    <x v="0"/>
  </r>
  <r>
    <n v="170882"/>
    <n v="10720"/>
    <x v="72"/>
    <n v="6.4"/>
    <n v="0"/>
    <n v="0"/>
    <n v="0"/>
    <x v="0"/>
  </r>
  <r>
    <n v="170890"/>
    <n v="10720"/>
    <x v="44"/>
    <n v="16.7"/>
    <n v="14.35"/>
    <n v="0"/>
    <n v="14.35"/>
    <x v="0"/>
  </r>
  <r>
    <n v="170919"/>
    <n v="11213"/>
    <x v="44"/>
    <m/>
    <n v="0"/>
    <n v="0"/>
    <n v="0"/>
    <x v="0"/>
  </r>
  <r>
    <n v="170967"/>
    <n v="11308"/>
    <x v="66"/>
    <n v="2"/>
    <n v="2"/>
    <n v="0"/>
    <n v="2"/>
    <x v="3"/>
  </r>
  <r>
    <n v="170968"/>
    <n v="11308"/>
    <x v="46"/>
    <n v="2"/>
    <n v="1"/>
    <n v="0"/>
    <n v="1"/>
    <x v="3"/>
  </r>
  <r>
    <n v="170970"/>
    <n v="10010"/>
    <x v="101"/>
    <m/>
    <n v="3.45"/>
    <n v="0"/>
    <n v="3.45"/>
    <x v="1"/>
  </r>
  <r>
    <n v="170971"/>
    <n v="10011"/>
    <x v="101"/>
    <m/>
    <n v="0"/>
    <n v="0"/>
    <n v="0"/>
    <x v="1"/>
  </r>
  <r>
    <n v="170972"/>
    <n v="10011"/>
    <x v="101"/>
    <m/>
    <n v="21.4"/>
    <n v="0"/>
    <n v="21.4"/>
    <x v="1"/>
  </r>
  <r>
    <n v="170973"/>
    <n v="10011"/>
    <x v="101"/>
    <m/>
    <n v="0"/>
    <n v="0"/>
    <n v="0"/>
    <x v="1"/>
  </r>
  <r>
    <n v="170974"/>
    <n v="10011"/>
    <x v="101"/>
    <m/>
    <n v="0"/>
    <n v="0"/>
    <n v="0"/>
    <x v="1"/>
  </r>
  <r>
    <n v="170975"/>
    <n v="10012"/>
    <x v="101"/>
    <m/>
    <n v="34.4"/>
    <n v="0"/>
    <n v="34.4"/>
    <x v="1"/>
  </r>
  <r>
    <n v="170976"/>
    <n v="10013"/>
    <x v="101"/>
    <m/>
    <n v="1.1000000000000001"/>
    <n v="0"/>
    <n v="1.1000000000000001"/>
    <x v="1"/>
  </r>
  <r>
    <n v="170977"/>
    <n v="10014"/>
    <x v="101"/>
    <m/>
    <n v="28.9"/>
    <n v="0"/>
    <n v="28.9"/>
    <x v="1"/>
  </r>
  <r>
    <n v="170978"/>
    <n v="10014"/>
    <x v="101"/>
    <m/>
    <n v="2.35"/>
    <n v="0"/>
    <n v="2.35"/>
    <x v="1"/>
  </r>
  <r>
    <n v="170979"/>
    <n v="10015"/>
    <x v="101"/>
    <m/>
    <n v="9.6"/>
    <n v="0"/>
    <n v="9.6"/>
    <x v="1"/>
  </r>
  <r>
    <n v="170980"/>
    <n v="10015"/>
    <x v="101"/>
    <m/>
    <n v="0.2"/>
    <n v="0"/>
    <n v="0.2"/>
    <x v="1"/>
  </r>
  <r>
    <n v="170981"/>
    <n v="10015"/>
    <x v="101"/>
    <m/>
    <n v="2.6"/>
    <n v="0"/>
    <n v="2.6"/>
    <x v="1"/>
  </r>
  <r>
    <n v="170982"/>
    <n v="10015"/>
    <x v="101"/>
    <m/>
    <n v="0"/>
    <n v="0"/>
    <n v="0"/>
    <x v="1"/>
  </r>
  <r>
    <n v="170983"/>
    <n v="10015"/>
    <x v="101"/>
    <m/>
    <n v="0"/>
    <n v="0"/>
    <n v="0"/>
    <x v="1"/>
  </r>
  <r>
    <n v="170993"/>
    <n v="10097"/>
    <x v="101"/>
    <m/>
    <n v="14.55"/>
    <n v="0"/>
    <n v="14.55"/>
    <x v="2"/>
  </r>
  <r>
    <n v="170994"/>
    <n v="10099"/>
    <x v="23"/>
    <n v="5"/>
    <n v="5"/>
    <n v="0"/>
    <n v="5"/>
    <x v="2"/>
  </r>
  <r>
    <n v="170996"/>
    <n v="10720"/>
    <x v="49"/>
    <n v="12.65"/>
    <n v="9.1"/>
    <n v="0"/>
    <n v="9.1"/>
    <x v="0"/>
  </r>
  <r>
    <n v="170998"/>
    <n v="10103"/>
    <x v="102"/>
    <m/>
    <n v="0"/>
    <n v="0"/>
    <n v="0"/>
    <x v="2"/>
  </r>
  <r>
    <n v="170999"/>
    <n v="10103"/>
    <x v="14"/>
    <m/>
    <n v="0.2"/>
    <n v="0"/>
    <n v="0.2"/>
    <x v="2"/>
  </r>
  <r>
    <n v="171006"/>
    <n v="10695"/>
    <x v="95"/>
    <n v="4"/>
    <n v="0"/>
    <n v="0"/>
    <n v="0"/>
    <x v="0"/>
  </r>
  <r>
    <n v="171007"/>
    <n v="11953"/>
    <x v="69"/>
    <n v="5.2"/>
    <n v="10"/>
    <n v="0"/>
    <n v="10"/>
    <x v="0"/>
  </r>
  <r>
    <n v="171011"/>
    <n v="10690"/>
    <x v="68"/>
    <n v="2.5"/>
    <n v="1"/>
    <n v="0"/>
    <n v="1"/>
    <x v="0"/>
  </r>
  <r>
    <n v="171012"/>
    <n v="10690"/>
    <x v="68"/>
    <n v="1.85"/>
    <n v="0.5"/>
    <n v="0"/>
    <n v="0.5"/>
    <x v="0"/>
  </r>
  <r>
    <n v="171013"/>
    <n v="10690"/>
    <x v="68"/>
    <n v="1.85"/>
    <n v="1"/>
    <n v="0"/>
    <n v="1"/>
    <x v="0"/>
  </r>
  <r>
    <n v="171014"/>
    <n v="11307"/>
    <x v="81"/>
    <n v="4"/>
    <n v="7"/>
    <n v="0"/>
    <n v="7"/>
    <x v="3"/>
  </r>
  <r>
    <n v="171015"/>
    <n v="11307"/>
    <x v="66"/>
    <n v="2"/>
    <n v="3"/>
    <n v="0"/>
    <n v="3"/>
    <x v="3"/>
  </r>
  <r>
    <n v="171023"/>
    <n v="10020"/>
    <x v="5"/>
    <n v="0.4"/>
    <n v="0"/>
    <n v="0"/>
    <n v="0"/>
    <x v="1"/>
  </r>
  <r>
    <n v="171025"/>
    <n v="10020"/>
    <x v="20"/>
    <n v="6.15"/>
    <n v="6.6"/>
    <n v="0"/>
    <n v="6.6"/>
    <x v="1"/>
  </r>
  <r>
    <n v="171027"/>
    <n v="10020"/>
    <x v="16"/>
    <n v="0.4"/>
    <n v="0"/>
    <n v="0"/>
    <n v="0"/>
    <x v="1"/>
  </r>
  <r>
    <n v="171028"/>
    <n v="10020"/>
    <x v="5"/>
    <n v="0.4"/>
    <n v="0.5"/>
    <n v="0"/>
    <n v="0.5"/>
    <x v="1"/>
  </r>
  <r>
    <n v="171191"/>
    <n v="11741"/>
    <x v="73"/>
    <n v="8.3000000000000007"/>
    <n v="8.3000000000000007"/>
    <n v="0"/>
    <n v="8.3000000000000007"/>
    <x v="0"/>
  </r>
  <r>
    <n v="171195"/>
    <n v="11742"/>
    <x v="73"/>
    <n v="8.3000000000000007"/>
    <n v="2.6"/>
    <n v="5.7"/>
    <n v="8.3000000000000007"/>
    <x v="0"/>
  </r>
  <r>
    <n v="171197"/>
    <n v="11743"/>
    <x v="73"/>
    <n v="8.4"/>
    <n v="1.5"/>
    <n v="6.9"/>
    <n v="8.4"/>
    <x v="0"/>
  </r>
  <r>
    <n v="171198"/>
    <n v="11743"/>
    <x v="61"/>
    <m/>
    <n v="0"/>
    <n v="0"/>
    <n v="0"/>
    <x v="0"/>
  </r>
  <r>
    <n v="171199"/>
    <n v="11743"/>
    <x v="73"/>
    <n v="3.1"/>
    <n v="0"/>
    <n v="3.1"/>
    <n v="3.1"/>
    <x v="0"/>
  </r>
  <r>
    <n v="171200"/>
    <n v="11742"/>
    <x v="73"/>
    <n v="3.1"/>
    <n v="3"/>
    <n v="0.1"/>
    <n v="3.1"/>
    <x v="0"/>
  </r>
  <r>
    <n v="171205"/>
    <n v="11717"/>
    <x v="60"/>
    <m/>
    <n v="0"/>
    <n v="0"/>
    <n v="0"/>
    <x v="0"/>
  </r>
  <r>
    <n v="171206"/>
    <n v="10691"/>
    <x v="60"/>
    <n v="13"/>
    <n v="12"/>
    <n v="0"/>
    <n v="12"/>
    <x v="0"/>
  </r>
  <r>
    <n v="171208"/>
    <n v="10691"/>
    <x v="93"/>
    <n v="19.899999999999999"/>
    <n v="0"/>
    <n v="0"/>
    <n v="0"/>
    <x v="0"/>
  </r>
  <r>
    <n v="171209"/>
    <n v="10693"/>
    <x v="55"/>
    <n v="15.4"/>
    <n v="0"/>
    <n v="0"/>
    <n v="0"/>
    <x v="0"/>
  </r>
  <r>
    <n v="171210"/>
    <n v="10693"/>
    <x v="93"/>
    <n v="8.3000000000000007"/>
    <n v="0"/>
    <n v="0"/>
    <n v="0"/>
    <x v="0"/>
  </r>
  <r>
    <n v="171211"/>
    <n v="10688"/>
    <x v="39"/>
    <n v="8.3000000000000007"/>
    <n v="7.5"/>
    <n v="0"/>
    <n v="7.5"/>
    <x v="0"/>
  </r>
  <r>
    <n v="171212"/>
    <n v="10688"/>
    <x v="39"/>
    <n v="5.2"/>
    <n v="4"/>
    <n v="0"/>
    <n v="4"/>
    <x v="0"/>
  </r>
  <r>
    <n v="171213"/>
    <n v="10688"/>
    <x v="39"/>
    <n v="15.5"/>
    <n v="8.5"/>
    <n v="0"/>
    <n v="8.5"/>
    <x v="0"/>
  </r>
  <r>
    <n v="171214"/>
    <n v="10688"/>
    <x v="39"/>
    <n v="4.0999999999999996"/>
    <n v="0"/>
    <n v="0"/>
    <n v="0"/>
    <x v="0"/>
  </r>
  <r>
    <n v="171216"/>
    <n v="10688"/>
    <x v="38"/>
    <n v="8.3000000000000007"/>
    <n v="4.25"/>
    <n v="0"/>
    <n v="4.25"/>
    <x v="0"/>
  </r>
  <r>
    <n v="171218"/>
    <n v="10688"/>
    <x v="38"/>
    <n v="5.5"/>
    <n v="5.5"/>
    <n v="0"/>
    <n v="5.5"/>
    <x v="0"/>
  </r>
  <r>
    <n v="171419"/>
    <n v="10688"/>
    <x v="39"/>
    <n v="15.5"/>
    <n v="17"/>
    <n v="0"/>
    <n v="17"/>
    <x v="0"/>
  </r>
  <r>
    <n v="171420"/>
    <n v="11749"/>
    <x v="39"/>
    <n v="2"/>
    <n v="2"/>
    <n v="0"/>
    <n v="2"/>
    <x v="0"/>
  </r>
  <r>
    <n v="171469"/>
    <n v="10763"/>
    <x v="0"/>
    <n v="9"/>
    <n v="7.75"/>
    <n v="0"/>
    <n v="7.75"/>
    <x v="0"/>
  </r>
  <r>
    <n v="171470"/>
    <n v="10763"/>
    <x v="67"/>
    <n v="0.8"/>
    <n v="0.8"/>
    <n v="0"/>
    <n v="0.8"/>
    <x v="0"/>
  </r>
  <r>
    <n v="171852"/>
    <n v="11309"/>
    <x v="81"/>
    <n v="15"/>
    <n v="7"/>
    <n v="0"/>
    <n v="7"/>
    <x v="3"/>
  </r>
  <r>
    <n v="171853"/>
    <n v="11309"/>
    <x v="46"/>
    <n v="5"/>
    <n v="4"/>
    <n v="0"/>
    <n v="4"/>
    <x v="3"/>
  </r>
  <r>
    <n v="171876"/>
    <n v="10815"/>
    <x v="53"/>
    <n v="8.4"/>
    <n v="8"/>
    <n v="0"/>
    <n v="8"/>
    <x v="0"/>
  </r>
  <r>
    <n v="171877"/>
    <n v="10815"/>
    <x v="53"/>
    <n v="4"/>
    <n v="4"/>
    <n v="0"/>
    <n v="4"/>
    <x v="0"/>
  </r>
  <r>
    <n v="171881"/>
    <n v="11214"/>
    <x v="49"/>
    <m/>
    <n v="2.8"/>
    <n v="0"/>
    <n v="2.8"/>
    <x v="0"/>
  </r>
  <r>
    <n v="171903"/>
    <n v="11308"/>
    <x v="81"/>
    <n v="2.75"/>
    <n v="1"/>
    <n v="0"/>
    <n v="1"/>
    <x v="3"/>
  </r>
  <r>
    <n v="171904"/>
    <n v="11309"/>
    <x v="81"/>
    <n v="0"/>
    <n v="0"/>
    <n v="0"/>
    <n v="0"/>
    <x v="3"/>
  </r>
  <r>
    <n v="171905"/>
    <n v="11307"/>
    <x v="46"/>
    <n v="2"/>
    <n v="4"/>
    <n v="0"/>
    <n v="4"/>
    <x v="3"/>
  </r>
  <r>
    <n v="171925"/>
    <n v="10816"/>
    <x v="67"/>
    <n v="0.25"/>
    <n v="0.25"/>
    <n v="0"/>
    <n v="0.25"/>
    <x v="0"/>
  </r>
  <r>
    <n v="171926"/>
    <n v="10815"/>
    <x v="67"/>
    <n v="0.4"/>
    <n v="0.4"/>
    <n v="0"/>
    <n v="0.4"/>
    <x v="0"/>
  </r>
  <r>
    <n v="171927"/>
    <n v="10815"/>
    <x v="67"/>
    <m/>
    <n v="0"/>
    <n v="0"/>
    <n v="0"/>
    <x v="0"/>
  </r>
  <r>
    <n v="171978"/>
    <n v="10020"/>
    <x v="16"/>
    <n v="0.3"/>
    <n v="0.3"/>
    <n v="0"/>
    <n v="0.3"/>
    <x v="1"/>
  </r>
  <r>
    <n v="172011"/>
    <n v="11309"/>
    <x v="66"/>
    <n v="1.1000000000000001"/>
    <n v="3"/>
    <n v="0"/>
    <n v="3"/>
    <x v="3"/>
  </r>
  <r>
    <n v="172012"/>
    <n v="11309"/>
    <x v="65"/>
    <n v="21.5"/>
    <n v="21.5"/>
    <n v="8"/>
    <n v="29.5"/>
    <x v="3"/>
  </r>
  <r>
    <n v="172024"/>
    <n v="10020"/>
    <x v="20"/>
    <n v="6.95"/>
    <n v="2.35"/>
    <n v="0.75"/>
    <n v="3.1"/>
    <x v="1"/>
  </r>
  <r>
    <n v="172025"/>
    <n v="10020"/>
    <x v="20"/>
    <n v="2.25"/>
    <n v="2.25"/>
    <n v="0"/>
    <n v="2.25"/>
    <x v="1"/>
  </r>
  <r>
    <n v="172026"/>
    <n v="10020"/>
    <x v="16"/>
    <n v="0.3"/>
    <n v="0.6"/>
    <n v="0"/>
    <n v="0.6"/>
    <x v="1"/>
  </r>
  <r>
    <n v="172122"/>
    <n v="10100"/>
    <x v="5"/>
    <n v="4.5"/>
    <n v="5.7"/>
    <n v="0"/>
    <n v="5.7"/>
    <x v="2"/>
  </r>
  <r>
    <n v="172123"/>
    <n v="10100"/>
    <x v="4"/>
    <n v="0.6"/>
    <n v="0"/>
    <n v="0"/>
    <n v="0.6"/>
    <x v="2"/>
  </r>
  <r>
    <n v="172126"/>
    <n v="10100"/>
    <x v="4"/>
    <n v="4.5"/>
    <n v="5.89"/>
    <n v="0"/>
    <n v="5.89"/>
    <x v="2"/>
  </r>
  <r>
    <n v="172127"/>
    <n v="10100"/>
    <x v="5"/>
    <n v="0.6"/>
    <n v="0.4"/>
    <n v="0"/>
    <n v="0.4"/>
    <x v="2"/>
  </r>
  <r>
    <n v="172133"/>
    <n v="10745"/>
    <x v="51"/>
    <n v="6.4"/>
    <n v="5.25"/>
    <n v="0"/>
    <n v="5.25"/>
    <x v="0"/>
  </r>
  <r>
    <n v="172164"/>
    <n v="10814"/>
    <x v="45"/>
    <n v="3"/>
    <n v="3.5"/>
    <n v="0"/>
    <n v="3.5"/>
    <x v="0"/>
  </r>
  <r>
    <n v="172165"/>
    <n v="10814"/>
    <x v="53"/>
    <n v="2"/>
    <n v="1"/>
    <n v="0"/>
    <n v="1"/>
    <x v="0"/>
  </r>
  <r>
    <n v="172166"/>
    <n v="10814"/>
    <x v="99"/>
    <n v="1.2"/>
    <m/>
    <n v="0"/>
    <n v="0"/>
    <x v="0"/>
  </r>
  <r>
    <n v="172167"/>
    <n v="10814"/>
    <x v="99"/>
    <n v="4.0999999999999996"/>
    <m/>
    <n v="0"/>
    <n v="0"/>
    <x v="0"/>
  </r>
  <r>
    <n v="172183"/>
    <n v="10636"/>
    <x v="68"/>
    <n v="4.0999999999999996"/>
    <n v="1"/>
    <n v="0"/>
    <n v="1"/>
    <x v="0"/>
  </r>
  <r>
    <n v="172184"/>
    <n v="10101"/>
    <x v="5"/>
    <m/>
    <n v="1.5"/>
    <n v="0"/>
    <n v="1.5"/>
    <x v="2"/>
  </r>
  <r>
    <n v="172185"/>
    <n v="10101"/>
    <x v="4"/>
    <m/>
    <n v="0"/>
    <n v="0"/>
    <n v="0"/>
    <x v="2"/>
  </r>
  <r>
    <n v="172187"/>
    <n v="11213"/>
    <x v="49"/>
    <m/>
    <n v="0"/>
    <n v="0"/>
    <n v="0"/>
    <x v="0"/>
  </r>
  <r>
    <n v="172189"/>
    <n v="11213"/>
    <x v="50"/>
    <m/>
    <n v="7.5"/>
    <n v="0"/>
    <n v="7.5"/>
    <x v="0"/>
  </r>
  <r>
    <n v="172190"/>
    <n v="10720"/>
    <x v="49"/>
    <n v="18.600000000000001"/>
    <n v="0"/>
    <n v="0"/>
    <n v="0"/>
    <x v="0"/>
  </r>
  <r>
    <n v="172191"/>
    <n v="10720"/>
    <x v="49"/>
    <n v="6.4"/>
    <n v="4.5599999999999996"/>
    <n v="2"/>
    <n v="6.56"/>
    <x v="0"/>
  </r>
  <r>
    <n v="172193"/>
    <n v="10101"/>
    <x v="5"/>
    <m/>
    <n v="0"/>
    <n v="0"/>
    <n v="0"/>
    <x v="2"/>
  </r>
  <r>
    <n v="172195"/>
    <n v="10766"/>
    <x v="49"/>
    <m/>
    <n v="1.95"/>
    <n v="0"/>
    <n v="1.95"/>
    <x v="0"/>
  </r>
  <r>
    <n v="172196"/>
    <n v="10766"/>
    <x v="42"/>
    <m/>
    <n v="1.1000000000000001"/>
    <n v="0"/>
    <n v="1.1000000000000001"/>
    <x v="0"/>
  </r>
  <r>
    <n v="172201"/>
    <n v="11213"/>
    <x v="72"/>
    <n v="31"/>
    <m/>
    <n v="0"/>
    <n v="0"/>
    <x v="0"/>
  </r>
  <r>
    <n v="172203"/>
    <n v="10720"/>
    <x v="49"/>
    <n v="9.3000000000000007"/>
    <n v="4.3499999999999996"/>
    <n v="4"/>
    <n v="8.35"/>
    <x v="0"/>
  </r>
  <r>
    <n v="172204"/>
    <n v="10763"/>
    <x v="72"/>
    <n v="9.8000000000000007"/>
    <n v="0"/>
    <n v="0"/>
    <n v="0"/>
    <x v="0"/>
  </r>
  <r>
    <n v="172205"/>
    <n v="10688"/>
    <x v="39"/>
    <n v="0.5"/>
    <n v="0"/>
    <n v="0"/>
    <n v="0"/>
    <x v="0"/>
  </r>
  <r>
    <n v="172206"/>
    <n v="11309"/>
    <x v="65"/>
    <n v="5.9"/>
    <n v="5.75"/>
    <n v="0"/>
    <n v="5.75"/>
    <x v="3"/>
  </r>
  <r>
    <n v="172229"/>
    <n v="10720"/>
    <x v="49"/>
    <m/>
    <n v="0.3"/>
    <n v="0"/>
    <n v="0.3"/>
    <x v="0"/>
  </r>
  <r>
    <n v="172230"/>
    <n v="10720"/>
    <x v="42"/>
    <m/>
    <n v="2.35"/>
    <m/>
    <n v="2.35"/>
    <x v="0"/>
  </r>
  <r>
    <n v="172231"/>
    <n v="10720"/>
    <x v="52"/>
    <m/>
    <n v="0"/>
    <n v="0"/>
    <n v="0"/>
    <x v="0"/>
  </r>
  <r>
    <n v="172232"/>
    <n v="10720"/>
    <x v="40"/>
    <m/>
    <n v="0"/>
    <n v="0"/>
    <n v="0"/>
    <x v="0"/>
  </r>
  <r>
    <n v="172296"/>
    <n v="10720"/>
    <x v="49"/>
    <n v="12.9"/>
    <n v="13.1"/>
    <n v="0"/>
    <n v="13.1"/>
    <x v="0"/>
  </r>
  <r>
    <n v="172299"/>
    <n v="10816"/>
    <x v="38"/>
    <m/>
    <n v="1"/>
    <n v="0"/>
    <n v="1"/>
    <x v="0"/>
  </r>
  <r>
    <n v="172319"/>
    <n v="11708"/>
    <x v="39"/>
    <n v="8.3000000000000007"/>
    <n v="7.25"/>
    <n v="0"/>
    <n v="7.25"/>
    <x v="0"/>
  </r>
  <r>
    <n v="172320"/>
    <n v="11708"/>
    <x v="39"/>
    <n v="1.75"/>
    <n v="1.75"/>
    <n v="0"/>
    <n v="1.75"/>
    <x v="0"/>
  </r>
  <r>
    <n v="172321"/>
    <n v="11708"/>
    <x v="68"/>
    <n v="1.5"/>
    <n v="1.5"/>
    <n v="0"/>
    <n v="1.5"/>
    <x v="0"/>
  </r>
  <r>
    <n v="172323"/>
    <n v="11309"/>
    <x v="81"/>
    <n v="1"/>
    <n v="1"/>
    <n v="0"/>
    <n v="1"/>
    <x v="3"/>
  </r>
  <r>
    <n v="172324"/>
    <n v="11307"/>
    <x v="81"/>
    <n v="1"/>
    <n v="1.5"/>
    <n v="0"/>
    <n v="1.5"/>
    <x v="3"/>
  </r>
  <r>
    <n v="172329"/>
    <n v="10688"/>
    <x v="39"/>
    <n v="4.95"/>
    <n v="3.5"/>
    <n v="0"/>
    <n v="3.5"/>
    <x v="0"/>
  </r>
  <r>
    <n v="172330"/>
    <n v="11708"/>
    <x v="67"/>
    <n v="0.5"/>
    <n v="0.5"/>
    <n v="0"/>
    <n v="0.5"/>
    <x v="0"/>
  </r>
  <r>
    <n v="172331"/>
    <n v="11775"/>
    <x v="67"/>
    <n v="0.2"/>
    <n v="0.2"/>
    <n v="0"/>
    <n v="0.2"/>
    <x v="0"/>
  </r>
  <r>
    <n v="172332"/>
    <n v="10691"/>
    <x v="67"/>
    <n v="0.2"/>
    <n v="0.2"/>
    <n v="0"/>
    <n v="0.2"/>
    <x v="0"/>
  </r>
  <r>
    <n v="172333"/>
    <n v="10691"/>
    <x v="67"/>
    <n v="1"/>
    <n v="1"/>
    <n v="0"/>
    <n v="1"/>
    <x v="0"/>
  </r>
  <r>
    <n v="172334"/>
    <n v="11921"/>
    <x v="67"/>
    <n v="0.5"/>
    <n v="0"/>
    <n v="0.5"/>
    <n v="0.5"/>
    <x v="0"/>
  </r>
  <r>
    <n v="172335"/>
    <n v="11747"/>
    <x v="67"/>
    <n v="1.5"/>
    <n v="1.5"/>
    <n v="0"/>
    <n v="1.5"/>
    <x v="0"/>
  </r>
  <r>
    <n v="172336"/>
    <n v="10794"/>
    <x v="67"/>
    <n v="1"/>
    <n v="0.5"/>
    <n v="1"/>
    <n v="1.5"/>
    <x v="0"/>
  </r>
  <r>
    <n v="172337"/>
    <n v="10690"/>
    <x v="67"/>
    <n v="0.25"/>
    <n v="0.25"/>
    <n v="0"/>
    <n v="0.25"/>
    <x v="0"/>
  </r>
  <r>
    <n v="172340"/>
    <n v="11741"/>
    <x v="67"/>
    <n v="0.25"/>
    <n v="0"/>
    <n v="0.25"/>
    <n v="0.25"/>
    <x v="0"/>
  </r>
  <r>
    <n v="172344"/>
    <n v="11748"/>
    <x v="67"/>
    <n v="0.25"/>
    <n v="0.25"/>
    <n v="0"/>
    <n v="0.25"/>
    <x v="0"/>
  </r>
  <r>
    <n v="172345"/>
    <n v="11780"/>
    <x v="67"/>
    <n v="0.25"/>
    <n v="0"/>
    <n v="0.25"/>
    <n v="0.25"/>
    <x v="0"/>
  </r>
  <r>
    <n v="172346"/>
    <n v="10690"/>
    <x v="67"/>
    <n v="0.25"/>
    <n v="0.25"/>
    <n v="0"/>
    <n v="0.25"/>
    <x v="0"/>
  </r>
  <r>
    <n v="172365"/>
    <n v="10763"/>
    <x v="72"/>
    <n v="9.8000000000000007"/>
    <m/>
    <n v="0"/>
    <n v="0"/>
    <x v="0"/>
  </r>
  <r>
    <n v="172372"/>
    <n v="10695"/>
    <x v="68"/>
    <n v="4"/>
    <n v="1"/>
    <n v="0"/>
    <n v="1"/>
    <x v="0"/>
  </r>
  <r>
    <n v="172373"/>
    <n v="10695"/>
    <x v="93"/>
    <n v="4"/>
    <m/>
    <n v="0"/>
    <n v="0"/>
    <x v="0"/>
  </r>
  <r>
    <n v="172377"/>
    <n v="10697"/>
    <x v="95"/>
    <n v="4.0999999999999996"/>
    <n v="0"/>
    <n v="0"/>
    <n v="0"/>
    <x v="0"/>
  </r>
  <r>
    <n v="172378"/>
    <n v="10697"/>
    <x v="95"/>
    <n v="7.8"/>
    <n v="0"/>
    <n v="0"/>
    <n v="0"/>
    <x v="0"/>
  </r>
  <r>
    <n v="172383"/>
    <n v="10742"/>
    <x v="72"/>
    <n v="2.5"/>
    <m/>
    <n v="0"/>
    <n v="0"/>
    <x v="0"/>
  </r>
  <r>
    <n v="172385"/>
    <n v="10763"/>
    <x v="49"/>
    <n v="4.8"/>
    <m/>
    <n v="4.8"/>
    <n v="4.8"/>
    <x v="0"/>
  </r>
  <r>
    <n v="172387"/>
    <n v="10764"/>
    <x v="49"/>
    <n v="9"/>
    <n v="2.7"/>
    <n v="0"/>
    <n v="2.7"/>
    <x v="0"/>
  </r>
  <r>
    <n v="172388"/>
    <n v="10769"/>
    <x v="49"/>
    <n v="2.5"/>
    <n v="0.3"/>
    <n v="0"/>
    <n v="0.3"/>
    <x v="0"/>
  </r>
  <r>
    <n v="172389"/>
    <n v="11213"/>
    <x v="72"/>
    <n v="4.2"/>
    <m/>
    <n v="0"/>
    <n v="0"/>
    <x v="0"/>
  </r>
  <r>
    <n v="172475"/>
    <n v="10816"/>
    <x v="76"/>
    <n v="6.2"/>
    <n v="1.5"/>
    <n v="0"/>
    <n v="1.5"/>
    <x v="0"/>
  </r>
  <r>
    <n v="172514"/>
    <n v="10020"/>
    <x v="82"/>
    <n v="4.7"/>
    <n v="5.55"/>
    <n v="0"/>
    <n v="5.55"/>
    <x v="1"/>
  </r>
  <r>
    <n v="172517"/>
    <n v="10020"/>
    <x v="20"/>
    <n v="0.4"/>
    <n v="0.95"/>
    <n v="0"/>
    <n v="0.95"/>
    <x v="1"/>
  </r>
  <r>
    <n v="172518"/>
    <n v="10020"/>
    <x v="82"/>
    <n v="6.15"/>
    <n v="5.45"/>
    <n v="0"/>
    <n v="5.45"/>
    <x v="1"/>
  </r>
  <r>
    <n v="172521"/>
    <n v="10020"/>
    <x v="20"/>
    <n v="0.4"/>
    <n v="0.5"/>
    <n v="0"/>
    <n v="0.5"/>
    <x v="1"/>
  </r>
  <r>
    <n v="173271"/>
    <n v="10688"/>
    <x v="38"/>
    <n v="3"/>
    <n v="0.25"/>
    <n v="0"/>
    <n v="0.25"/>
    <x v="0"/>
  </r>
  <r>
    <n v="173294"/>
    <n v="10639"/>
    <x v="71"/>
    <m/>
    <n v="24.2"/>
    <m/>
    <n v="24.2"/>
    <x v="0"/>
  </r>
  <r>
    <n v="173314"/>
    <n v="10639"/>
    <x v="103"/>
    <m/>
    <n v="23.5"/>
    <m/>
    <n v="23.5"/>
    <x v="0"/>
  </r>
  <r>
    <n v="173778"/>
    <n v="10639"/>
    <x v="1"/>
    <m/>
    <n v="5"/>
    <n v="0"/>
    <n v="5"/>
    <x v="0"/>
  </r>
  <r>
    <n v="173819"/>
    <n v="10814"/>
    <x v="45"/>
    <n v="5.5"/>
    <n v="4.5"/>
    <n v="0"/>
    <n v="4.5"/>
    <x v="0"/>
  </r>
  <r>
    <n v="173833"/>
    <n v="10100"/>
    <x v="5"/>
    <m/>
    <n v="6.1"/>
    <n v="0"/>
    <n v="6.1"/>
    <x v="2"/>
  </r>
  <r>
    <n v="173837"/>
    <n v="11213"/>
    <x v="50"/>
    <m/>
    <n v="2.75"/>
    <n v="0"/>
    <n v="2.75"/>
    <x v="0"/>
  </r>
  <r>
    <n v="173839"/>
    <n v="10103"/>
    <x v="23"/>
    <m/>
    <n v="2"/>
    <n v="0"/>
    <n v="2"/>
    <x v="2"/>
  </r>
  <r>
    <n v="173852"/>
    <n v="11213"/>
    <x v="50"/>
    <m/>
    <n v="1.5"/>
    <n v="0"/>
    <n v="1.5"/>
    <x v="0"/>
  </r>
  <r>
    <n v="173866"/>
    <n v="10020"/>
    <x v="82"/>
    <n v="4"/>
    <n v="4.2"/>
    <n v="0"/>
    <n v="4.2"/>
    <x v="1"/>
  </r>
  <r>
    <n v="173878"/>
    <n v="10742"/>
    <x v="50"/>
    <m/>
    <n v="1.25"/>
    <n v="0"/>
    <n v="1.25"/>
    <x v="0"/>
  </r>
  <r>
    <n v="173882"/>
    <n v="10753"/>
    <x v="71"/>
    <m/>
    <n v="3.05"/>
    <m/>
    <n v="3.05"/>
    <x v="0"/>
  </r>
  <r>
    <n v="173910"/>
    <n v="10816"/>
    <x v="38"/>
    <n v="3.5"/>
    <n v="4.25"/>
    <n v="0"/>
    <n v="4.25"/>
    <x v="0"/>
  </r>
  <r>
    <n v="173911"/>
    <n v="10816"/>
    <x v="76"/>
    <n v="9"/>
    <n v="10.25"/>
    <n v="0"/>
    <n v="10.25"/>
    <x v="0"/>
  </r>
  <r>
    <n v="173913"/>
    <n v="10816"/>
    <x v="99"/>
    <n v="1"/>
    <m/>
    <n v="0"/>
    <n v="0"/>
    <x v="0"/>
  </r>
  <r>
    <n v="173919"/>
    <n v="11948"/>
    <x v="43"/>
    <n v="2.6"/>
    <n v="2.4"/>
    <n v="0"/>
    <n v="2.4"/>
    <x v="0"/>
  </r>
  <r>
    <n v="173921"/>
    <n v="11948"/>
    <x v="43"/>
    <n v="2.6"/>
    <m/>
    <n v="0"/>
    <n v="0"/>
    <x v="0"/>
  </r>
  <r>
    <n v="173922"/>
    <n v="11948"/>
    <x v="43"/>
    <n v="2.6"/>
    <n v="2.6"/>
    <n v="0"/>
    <n v="2.6"/>
    <x v="0"/>
  </r>
  <r>
    <n v="173923"/>
    <n v="11948"/>
    <x v="43"/>
    <n v="2.6"/>
    <n v="1"/>
    <n v="0"/>
    <n v="1"/>
    <x v="0"/>
  </r>
  <r>
    <n v="173924"/>
    <n v="10741"/>
    <x v="50"/>
    <n v="0.5"/>
    <n v="0.5"/>
    <n v="0"/>
    <n v="0.5"/>
    <x v="0"/>
  </r>
  <r>
    <n v="173930"/>
    <n v="11309"/>
    <x v="81"/>
    <n v="3"/>
    <n v="3"/>
    <n v="0"/>
    <n v="3"/>
    <x v="3"/>
  </r>
  <r>
    <n v="173955"/>
    <n v="10753"/>
    <x v="71"/>
    <n v="2.5"/>
    <n v="1.1000000000000001"/>
    <n v="0.4"/>
    <n v="1.5"/>
    <x v="0"/>
  </r>
  <r>
    <n v="173957"/>
    <n v="11308"/>
    <x v="66"/>
    <n v="1"/>
    <n v="1"/>
    <n v="0"/>
    <n v="1"/>
    <x v="3"/>
  </r>
  <r>
    <n v="173961"/>
    <n v="10753"/>
    <x v="71"/>
    <n v="2.5"/>
    <n v="4.55"/>
    <n v="0"/>
    <n v="4.55"/>
    <x v="0"/>
  </r>
  <r>
    <n v="173962"/>
    <n v="10753"/>
    <x v="51"/>
    <m/>
    <n v="3.55"/>
    <n v="0"/>
    <n v="3.55"/>
    <x v="0"/>
  </r>
  <r>
    <n v="173994"/>
    <n v="10639"/>
    <x v="51"/>
    <m/>
    <n v="4"/>
    <m/>
    <n v="4"/>
    <x v="0"/>
  </r>
  <r>
    <n v="173996"/>
    <n v="10814"/>
    <x v="74"/>
    <n v="0.7"/>
    <m/>
    <n v="0"/>
    <n v="0"/>
    <x v="0"/>
  </r>
  <r>
    <n v="174021"/>
    <n v="11214"/>
    <x v="67"/>
    <n v="0"/>
    <m/>
    <n v="0"/>
    <n v="0"/>
    <x v="0"/>
  </r>
  <r>
    <n v="174022"/>
    <n v="10720"/>
    <x v="67"/>
    <n v="0.25"/>
    <n v="0.25"/>
    <n v="0"/>
    <n v="0.25"/>
    <x v="0"/>
  </r>
  <r>
    <n v="174023"/>
    <n v="10720"/>
    <x v="67"/>
    <n v="0.25"/>
    <n v="0.25"/>
    <n v="0"/>
    <n v="0.25"/>
    <x v="0"/>
  </r>
  <r>
    <n v="174025"/>
    <n v="10720"/>
    <x v="67"/>
    <n v="0.25"/>
    <n v="0.25"/>
    <n v="0"/>
    <n v="0.25"/>
    <x v="0"/>
  </r>
  <r>
    <n v="174037"/>
    <n v="10763"/>
    <x v="1"/>
    <n v="9.3000000000000007"/>
    <m/>
    <n v="0"/>
    <n v="0"/>
    <x v="0"/>
  </r>
  <r>
    <n v="174038"/>
    <n v="10763"/>
    <x v="1"/>
    <n v="12.4"/>
    <m/>
    <n v="0"/>
    <n v="0"/>
    <x v="0"/>
  </r>
  <r>
    <n v="174076"/>
    <n v="10639"/>
    <x v="42"/>
    <m/>
    <n v="0.4"/>
    <m/>
    <n v="0.4"/>
    <x v="0"/>
  </r>
  <r>
    <n v="174085"/>
    <n v="10720"/>
    <x v="42"/>
    <n v="19.3"/>
    <n v="20.7"/>
    <n v="0.5"/>
    <n v="21.2"/>
    <x v="0"/>
  </r>
  <r>
    <n v="174086"/>
    <n v="11948"/>
    <x v="42"/>
    <n v="2.35"/>
    <n v="0.2"/>
    <n v="0"/>
    <n v="2.35"/>
    <x v="0"/>
  </r>
  <r>
    <n v="174087"/>
    <n v="11948"/>
    <x v="42"/>
    <n v="2.6"/>
    <n v="1.3"/>
    <n v="0"/>
    <n v="1.3"/>
    <x v="0"/>
  </r>
  <r>
    <n v="174089"/>
    <n v="10816"/>
    <x v="38"/>
    <n v="5"/>
    <n v="11.75"/>
    <n v="0"/>
    <n v="11.75"/>
    <x v="0"/>
  </r>
  <r>
    <n v="174090"/>
    <n v="10816"/>
    <x v="76"/>
    <n v="12.9"/>
    <n v="4.3"/>
    <n v="0"/>
    <n v="4.3"/>
    <x v="0"/>
  </r>
  <r>
    <n v="174168"/>
    <n v="11214"/>
    <x v="43"/>
    <m/>
    <n v="0.5"/>
    <n v="0"/>
    <n v="0.5"/>
    <x v="0"/>
  </r>
  <r>
    <n v="174169"/>
    <n v="10783"/>
    <x v="103"/>
    <m/>
    <m/>
    <n v="2"/>
    <n v="2"/>
    <x v="0"/>
  </r>
  <r>
    <n v="174170"/>
    <n v="10720"/>
    <x v="67"/>
    <n v="0.25"/>
    <n v="0.25"/>
    <n v="0"/>
    <n v="0.25"/>
    <x v="0"/>
  </r>
  <r>
    <n v="174171"/>
    <n v="10763"/>
    <x v="103"/>
    <n v="18.600000000000001"/>
    <n v="0.5"/>
    <n v="25.5"/>
    <n v="26"/>
    <x v="0"/>
  </r>
  <r>
    <n v="174173"/>
    <n v="11747"/>
    <x v="73"/>
    <n v="2.1"/>
    <n v="2"/>
    <n v="0"/>
    <n v="2"/>
    <x v="0"/>
  </r>
  <r>
    <n v="174174"/>
    <n v="10763"/>
    <x v="103"/>
    <n v="18.600000000000001"/>
    <n v="46"/>
    <n v="0"/>
    <n v="46"/>
    <x v="0"/>
  </r>
  <r>
    <n v="174280"/>
    <n v="10639"/>
    <x v="49"/>
    <m/>
    <n v="0.5"/>
    <m/>
    <n v="0.5"/>
    <x v="0"/>
  </r>
  <r>
    <n v="174282"/>
    <n v="11750"/>
    <x v="54"/>
    <n v="2.5"/>
    <n v="4"/>
    <n v="0"/>
    <n v="4"/>
    <x v="0"/>
  </r>
  <r>
    <n v="174283"/>
    <n v="11750"/>
    <x v="54"/>
    <m/>
    <n v="1.5"/>
    <m/>
    <n v="1.5"/>
    <x v="0"/>
  </r>
  <r>
    <n v="174380"/>
    <n v="11051"/>
    <x v="52"/>
    <n v="11.9"/>
    <n v="15"/>
    <n v="0"/>
    <n v="15"/>
    <x v="0"/>
  </r>
  <r>
    <n v="174383"/>
    <n v="11750"/>
    <x v="54"/>
    <n v="0"/>
    <m/>
    <n v="0"/>
    <n v="0"/>
    <x v="0"/>
  </r>
  <r>
    <n v="174384"/>
    <n v="11750"/>
    <x v="52"/>
    <n v="2.5"/>
    <n v="2.5"/>
    <n v="0"/>
    <n v="2.5"/>
    <x v="0"/>
  </r>
  <r>
    <n v="174385"/>
    <n v="11750"/>
    <x v="52"/>
    <n v="2.5"/>
    <n v="2.5"/>
    <n v="0"/>
    <n v="2.5"/>
    <x v="0"/>
  </r>
  <r>
    <n v="174386"/>
    <n v="11750"/>
    <x v="52"/>
    <n v="2.5"/>
    <n v="2.5"/>
    <n v="0"/>
    <n v="2.5"/>
    <x v="0"/>
  </r>
  <r>
    <n v="174387"/>
    <n v="11750"/>
    <x v="52"/>
    <n v="2.5"/>
    <n v="4.5"/>
    <n v="0"/>
    <n v="4.5"/>
    <x v="0"/>
  </r>
  <r>
    <n v="174388"/>
    <n v="11750"/>
    <x v="52"/>
    <n v="1.5"/>
    <n v="0.5"/>
    <n v="1"/>
    <n v="1.5"/>
    <x v="0"/>
  </r>
  <r>
    <n v="174389"/>
    <n v="11750"/>
    <x v="52"/>
    <n v="1.5"/>
    <m/>
    <n v="1.5"/>
    <n v="1.5"/>
    <x v="0"/>
  </r>
  <r>
    <n v="174390"/>
    <n v="10794"/>
    <x v="52"/>
    <n v="1.5"/>
    <m/>
    <n v="1.5"/>
    <n v="1.5"/>
    <x v="0"/>
  </r>
  <r>
    <n v="174391"/>
    <n v="10794"/>
    <x v="52"/>
    <n v="4.0999999999999996"/>
    <n v="4.0999999999999996"/>
    <n v="0"/>
    <n v="4.0999999999999996"/>
    <x v="0"/>
  </r>
  <r>
    <n v="174392"/>
    <n v="10794"/>
    <x v="52"/>
    <n v="4.0999999999999996"/>
    <n v="4.0999999999999996"/>
    <n v="0"/>
    <n v="4.0999999999999996"/>
    <x v="0"/>
  </r>
  <r>
    <n v="174574"/>
    <n v="10020"/>
    <x v="82"/>
    <n v="6.96"/>
    <n v="7.76"/>
    <n v="0.18"/>
    <n v="7.94"/>
    <x v="1"/>
  </r>
  <r>
    <n v="174576"/>
    <n v="10020"/>
    <x v="20"/>
    <n v="0.55000000000000004"/>
    <n v="1.35"/>
    <n v="0"/>
    <n v="1.35"/>
    <x v="1"/>
  </r>
  <r>
    <n v="174577"/>
    <n v="10020"/>
    <x v="5"/>
    <n v="0.4"/>
    <n v="0.7"/>
    <n v="0"/>
    <n v="0.7"/>
    <x v="1"/>
  </r>
  <r>
    <n v="174597"/>
    <n v="10688"/>
    <x v="38"/>
    <n v="4.3"/>
    <n v="4.25"/>
    <n v="0"/>
    <n v="4.25"/>
    <x v="0"/>
  </r>
  <r>
    <n v="174605"/>
    <n v="11255"/>
    <x v="104"/>
    <m/>
    <n v="12"/>
    <n v="0"/>
    <n v="12"/>
    <x v="3"/>
  </r>
  <r>
    <n v="174683"/>
    <n v="10639"/>
    <x v="39"/>
    <m/>
    <n v="0.25"/>
    <m/>
    <n v="0.25"/>
    <x v="0"/>
  </r>
  <r>
    <n v="174686"/>
    <n v="11719"/>
    <x v="60"/>
    <n v="0"/>
    <m/>
    <n v="0"/>
    <n v="0"/>
    <x v="0"/>
  </r>
  <r>
    <n v="174687"/>
    <n v="11719"/>
    <x v="53"/>
    <n v="2.1"/>
    <n v="2"/>
    <n v="0"/>
    <n v="2"/>
    <x v="0"/>
  </r>
  <r>
    <n v="174688"/>
    <n v="11707"/>
    <x v="53"/>
    <m/>
    <n v="6"/>
    <m/>
    <n v="6"/>
    <x v="0"/>
  </r>
  <r>
    <n v="174689"/>
    <n v="11707"/>
    <x v="95"/>
    <n v="1.85"/>
    <m/>
    <n v="0"/>
    <n v="0"/>
    <x v="0"/>
  </r>
  <r>
    <n v="174690"/>
    <n v="11707"/>
    <x v="53"/>
    <n v="2.1"/>
    <n v="6"/>
    <n v="0"/>
    <n v="6"/>
    <x v="0"/>
  </r>
  <r>
    <n v="174691"/>
    <n v="11708"/>
    <x v="53"/>
    <n v="1.85"/>
    <n v="7.3"/>
    <n v="0"/>
    <n v="7.3"/>
    <x v="0"/>
  </r>
  <r>
    <n v="174692"/>
    <n v="11708"/>
    <x v="53"/>
    <m/>
    <n v="1.5"/>
    <m/>
    <n v="1.5"/>
    <x v="0"/>
  </r>
  <r>
    <n v="174694"/>
    <n v="11708"/>
    <x v="53"/>
    <n v="1.6"/>
    <n v="2.1"/>
    <n v="0"/>
    <n v="2.1"/>
    <x v="0"/>
  </r>
  <r>
    <n v="174695"/>
    <n v="11749"/>
    <x v="53"/>
    <m/>
    <m/>
    <m/>
    <m/>
    <x v="0"/>
  </r>
  <r>
    <n v="174696"/>
    <n v="11749"/>
    <x v="53"/>
    <m/>
    <m/>
    <m/>
    <m/>
    <x v="0"/>
  </r>
  <r>
    <n v="174697"/>
    <n v="11749"/>
    <x v="53"/>
    <m/>
    <m/>
    <m/>
    <m/>
    <x v="0"/>
  </r>
  <r>
    <n v="174698"/>
    <n v="11780"/>
    <x v="68"/>
    <n v="1.85"/>
    <n v="0.25"/>
    <n v="1.6"/>
    <n v="1.85"/>
    <x v="0"/>
  </r>
  <r>
    <n v="174699"/>
    <n v="11780"/>
    <x v="93"/>
    <n v="10.15"/>
    <n v="0"/>
    <n v="0"/>
    <n v="0"/>
    <x v="0"/>
  </r>
  <r>
    <n v="174700"/>
    <n v="11748"/>
    <x v="53"/>
    <n v="6.2"/>
    <n v="8"/>
    <n v="0"/>
    <n v="8"/>
    <x v="0"/>
  </r>
  <r>
    <n v="174701"/>
    <n v="11748"/>
    <x v="53"/>
    <m/>
    <n v="6"/>
    <m/>
    <n v="6"/>
    <x v="0"/>
  </r>
  <r>
    <n v="174702"/>
    <n v="11748"/>
    <x v="53"/>
    <n v="5.55"/>
    <n v="5.2"/>
    <n v="0"/>
    <n v="5.2"/>
    <x v="0"/>
  </r>
  <r>
    <n v="174703"/>
    <n v="11748"/>
    <x v="53"/>
    <n v="1.85"/>
    <n v="3.1"/>
    <n v="0"/>
    <n v="3.1"/>
    <x v="0"/>
  </r>
  <r>
    <n v="174708"/>
    <n v="11953"/>
    <x v="38"/>
    <m/>
    <n v="1.5"/>
    <m/>
    <n v="1.5"/>
    <x v="0"/>
  </r>
  <r>
    <n v="174709"/>
    <n v="10639"/>
    <x v="53"/>
    <m/>
    <n v="5"/>
    <m/>
    <n v="5"/>
    <x v="0"/>
  </r>
  <r>
    <n v="174713"/>
    <n v="10020"/>
    <x v="20"/>
    <n v="6.25"/>
    <n v="5.0999999999999996"/>
    <n v="0"/>
    <n v="5.0999999999999996"/>
    <x v="1"/>
  </r>
  <r>
    <n v="174714"/>
    <n v="10020"/>
    <x v="5"/>
    <n v="0.4"/>
    <m/>
    <n v="0"/>
    <n v="0"/>
    <x v="1"/>
  </r>
  <r>
    <n v="174716"/>
    <n v="10020"/>
    <x v="16"/>
    <n v="0.3"/>
    <n v="0.3"/>
    <n v="0"/>
    <n v="0.3"/>
    <x v="1"/>
  </r>
  <r>
    <n v="174857"/>
    <n v="11750"/>
    <x v="52"/>
    <n v="1.7"/>
    <n v="0.5"/>
    <n v="0"/>
    <n v="0.5"/>
    <x v="0"/>
  </r>
  <r>
    <n v="174861"/>
    <n v="11213"/>
    <x v="43"/>
    <m/>
    <n v="2.5"/>
    <m/>
    <n v="2.5"/>
    <x v="0"/>
  </r>
  <r>
    <n v="174862"/>
    <n v="11213"/>
    <x v="43"/>
    <m/>
    <n v="0.5"/>
    <m/>
    <n v="0.5"/>
    <x v="0"/>
  </r>
  <r>
    <n v="175095"/>
    <n v="11953"/>
    <x v="69"/>
    <n v="5.2"/>
    <n v="5.5"/>
    <n v="0"/>
    <n v="5.5"/>
    <x v="0"/>
  </r>
  <r>
    <n v="175096"/>
    <n v="11712"/>
    <x v="69"/>
    <n v="2.5"/>
    <n v="0"/>
    <n v="0"/>
    <n v="0"/>
    <x v="0"/>
  </r>
  <r>
    <n v="175097"/>
    <n v="11711"/>
    <x v="69"/>
    <n v="5.2"/>
    <n v="0.5"/>
    <n v="0"/>
    <n v="0.5"/>
    <x v="0"/>
  </r>
  <r>
    <n v="175098"/>
    <n v="10689"/>
    <x v="99"/>
    <n v="4.0999999999999996"/>
    <m/>
    <n v="0"/>
    <n v="0"/>
    <x v="0"/>
  </r>
  <r>
    <n v="175099"/>
    <n v="10689"/>
    <x v="54"/>
    <n v="3.45"/>
    <n v="4"/>
    <n v="0"/>
    <n v="4"/>
    <x v="0"/>
  </r>
  <r>
    <n v="175100"/>
    <n v="11712"/>
    <x v="54"/>
    <n v="4.0999999999999996"/>
    <n v="1"/>
    <n v="1"/>
    <n v="2"/>
    <x v="0"/>
  </r>
  <r>
    <n v="175101"/>
    <n v="11712"/>
    <x v="54"/>
    <n v="4.0999999999999996"/>
    <n v="4"/>
    <n v="0"/>
    <n v="4"/>
    <x v="0"/>
  </r>
  <r>
    <n v="175102"/>
    <n v="10689"/>
    <x v="38"/>
    <n v="4.0999999999999996"/>
    <n v="2"/>
    <n v="0"/>
    <n v="2"/>
    <x v="0"/>
  </r>
  <r>
    <n v="175103"/>
    <n v="10689"/>
    <x v="69"/>
    <n v="6.2"/>
    <n v="2.5"/>
    <n v="0"/>
    <n v="2.5"/>
    <x v="0"/>
  </r>
  <r>
    <n v="175104"/>
    <n v="10689"/>
    <x v="99"/>
    <n v="2.1"/>
    <m/>
    <n v="0"/>
    <n v="0"/>
    <x v="0"/>
  </r>
  <r>
    <n v="175105"/>
    <n v="11953"/>
    <x v="38"/>
    <n v="4.0999999999999996"/>
    <n v="10"/>
    <n v="0"/>
    <n v="10"/>
    <x v="0"/>
  </r>
  <r>
    <n v="175106"/>
    <n v="11712"/>
    <x v="54"/>
    <n v="7.8"/>
    <n v="4.5"/>
    <n v="0"/>
    <n v="4.5"/>
    <x v="0"/>
  </r>
  <r>
    <n v="175107"/>
    <n v="10689"/>
    <x v="39"/>
    <n v="4.0999999999999996"/>
    <n v="3.1"/>
    <n v="1"/>
    <n v="4.0999999999999996"/>
    <x v="0"/>
  </r>
  <r>
    <n v="175108"/>
    <n v="10689"/>
    <x v="54"/>
    <n v="8.3000000000000007"/>
    <n v="8"/>
    <n v="0"/>
    <n v="8"/>
    <x v="0"/>
  </r>
  <r>
    <n v="175109"/>
    <n v="10639"/>
    <x v="49"/>
    <m/>
    <n v="1.3"/>
    <n v="0"/>
    <n v="1.3"/>
    <x v="0"/>
  </r>
  <r>
    <n v="175110"/>
    <n v="10639"/>
    <x v="34"/>
    <m/>
    <m/>
    <m/>
    <m/>
    <x v="0"/>
  </r>
  <r>
    <n v="175111"/>
    <n v="10639"/>
    <x v="43"/>
    <m/>
    <n v="11.5"/>
    <m/>
    <n v="11.5"/>
    <x v="0"/>
  </r>
  <r>
    <n v="175112"/>
    <n v="10639"/>
    <x v="1"/>
    <m/>
    <n v="2"/>
    <m/>
    <n v="2"/>
    <x v="0"/>
  </r>
  <r>
    <n v="175116"/>
    <n v="10639"/>
    <x v="34"/>
    <m/>
    <m/>
    <m/>
    <m/>
    <x v="0"/>
  </r>
  <r>
    <n v="175122"/>
    <n v="11213"/>
    <x v="44"/>
    <m/>
    <n v="0.4"/>
    <m/>
    <n v="0.4"/>
    <x v="0"/>
  </r>
  <r>
    <n v="175171"/>
    <n v="10814"/>
    <x v="45"/>
    <n v="8"/>
    <n v="7"/>
    <n v="0"/>
    <n v="7"/>
    <x v="0"/>
  </r>
  <r>
    <n v="175172"/>
    <n v="10814"/>
    <x v="74"/>
    <n v="1.5"/>
    <m/>
    <n v="0"/>
    <n v="0"/>
    <x v="0"/>
  </r>
  <r>
    <n v="175173"/>
    <n v="10814"/>
    <x v="99"/>
    <n v="6.1"/>
    <m/>
    <n v="0"/>
    <n v="0"/>
    <x v="0"/>
  </r>
  <r>
    <n v="175174"/>
    <n v="10814"/>
    <x v="45"/>
    <n v="4.0999999999999996"/>
    <n v="0"/>
    <n v="0"/>
    <n v="0"/>
    <x v="0"/>
  </r>
  <r>
    <n v="175175"/>
    <n v="10814"/>
    <x v="80"/>
    <n v="7.8"/>
    <n v="2"/>
    <n v="0"/>
    <n v="2"/>
    <x v="0"/>
  </r>
  <r>
    <n v="175291"/>
    <n v="10639"/>
    <x v="42"/>
    <m/>
    <n v="0.3"/>
    <m/>
    <n v="0.3"/>
    <x v="0"/>
  </r>
  <r>
    <n v="175292"/>
    <n v="10639"/>
    <x v="54"/>
    <m/>
    <m/>
    <m/>
    <m/>
    <x v="0"/>
  </r>
  <r>
    <n v="175293"/>
    <n v="10639"/>
    <x v="50"/>
    <m/>
    <n v="0.75"/>
    <m/>
    <n v="0.75"/>
    <x v="0"/>
  </r>
  <r>
    <n v="175294"/>
    <n v="10639"/>
    <x v="69"/>
    <m/>
    <m/>
    <m/>
    <m/>
    <x v="0"/>
  </r>
  <r>
    <n v="175295"/>
    <n v="10639"/>
    <x v="73"/>
    <m/>
    <m/>
    <m/>
    <m/>
    <x v="0"/>
  </r>
  <r>
    <n v="175296"/>
    <n v="10639"/>
    <x v="61"/>
    <m/>
    <m/>
    <m/>
    <m/>
    <x v="0"/>
  </r>
  <r>
    <n v="175346"/>
    <n v="10778"/>
    <x v="67"/>
    <n v="0.4"/>
    <n v="0.5"/>
    <n v="0"/>
    <n v="0.5"/>
    <x v="0"/>
  </r>
  <r>
    <n v="175347"/>
    <n v="10779"/>
    <x v="67"/>
    <n v="0.25"/>
    <m/>
    <n v="0.25"/>
    <n v="0.25"/>
    <x v="0"/>
  </r>
  <r>
    <n v="175348"/>
    <n v="10780"/>
    <x v="67"/>
    <m/>
    <n v="0.25"/>
    <m/>
    <n v="0.25"/>
    <x v="0"/>
  </r>
  <r>
    <n v="175349"/>
    <n v="10772"/>
    <x v="49"/>
    <n v="2.5"/>
    <m/>
    <n v="0.7"/>
    <n v="0.7"/>
    <x v="0"/>
  </r>
  <r>
    <n v="175350"/>
    <n v="10720"/>
    <x v="49"/>
    <n v="9.3000000000000007"/>
    <n v="8.1"/>
    <n v="0"/>
    <n v="8.1"/>
    <x v="0"/>
  </r>
  <r>
    <n v="175374"/>
    <n v="10732"/>
    <x v="43"/>
    <n v="6.4"/>
    <n v="2.5"/>
    <n v="0"/>
    <n v="2.5"/>
    <x v="0"/>
  </r>
  <r>
    <n v="175376"/>
    <n v="10733"/>
    <x v="43"/>
    <n v="2.25"/>
    <n v="2"/>
    <n v="0"/>
    <n v="2"/>
    <x v="0"/>
  </r>
  <r>
    <n v="175386"/>
    <n v="11719"/>
    <x v="61"/>
    <n v="3"/>
    <n v="3"/>
    <n v="0"/>
    <n v="3"/>
    <x v="0"/>
  </r>
  <r>
    <n v="175391"/>
    <n v="10688"/>
    <x v="39"/>
    <n v="5.2"/>
    <m/>
    <n v="0"/>
    <n v="0"/>
    <x v="0"/>
  </r>
  <r>
    <n v="175393"/>
    <n v="10794"/>
    <x v="52"/>
    <n v="8.3000000000000007"/>
    <n v="9.8000000000000007"/>
    <n v="0"/>
    <n v="9.8000000000000007"/>
    <x v="0"/>
  </r>
  <r>
    <n v="175395"/>
    <n v="10816"/>
    <x v="76"/>
    <n v="17.600000000000001"/>
    <n v="18.45"/>
    <n v="0"/>
    <n v="18.45"/>
    <x v="0"/>
  </r>
  <r>
    <n v="175396"/>
    <n v="10816"/>
    <x v="76"/>
    <n v="6.2"/>
    <n v="5.85"/>
    <n v="0"/>
    <n v="5.85"/>
    <x v="0"/>
  </r>
  <r>
    <n v="175397"/>
    <n v="10816"/>
    <x v="76"/>
    <n v="3.1"/>
    <n v="1.95"/>
    <n v="0"/>
    <n v="1.95"/>
    <x v="0"/>
  </r>
  <r>
    <n v="175398"/>
    <n v="10816"/>
    <x v="76"/>
    <n v="3.1"/>
    <n v="1.75"/>
    <n v="0"/>
    <n v="1.75"/>
    <x v="0"/>
  </r>
  <r>
    <n v="175399"/>
    <n v="10816"/>
    <x v="38"/>
    <n v="8.3000000000000007"/>
    <n v="5.75"/>
    <n v="2.5499999999999998"/>
    <n v="8.3000000000000007"/>
    <x v="0"/>
  </r>
  <r>
    <n v="175400"/>
    <n v="10816"/>
    <x v="76"/>
    <n v="8.3000000000000007"/>
    <n v="5.5"/>
    <n v="0"/>
    <n v="5.5"/>
    <x v="0"/>
  </r>
  <r>
    <n v="175401"/>
    <n v="10816"/>
    <x v="76"/>
    <n v="8.3000000000000007"/>
    <n v="2.15"/>
    <n v="6.15"/>
    <n v="8.3000000000000007"/>
    <x v="0"/>
  </r>
  <r>
    <n v="175402"/>
    <n v="10816"/>
    <x v="76"/>
    <n v="8.3000000000000007"/>
    <n v="5.75"/>
    <n v="0"/>
    <n v="5.75"/>
    <x v="0"/>
  </r>
  <r>
    <n v="175403"/>
    <n v="10816"/>
    <x v="76"/>
    <n v="17.600000000000001"/>
    <n v="16"/>
    <n v="0"/>
    <n v="16"/>
    <x v="0"/>
  </r>
  <r>
    <n v="175404"/>
    <n v="10816"/>
    <x v="76"/>
    <n v="17.600000000000001"/>
    <m/>
    <n v="0"/>
    <n v="0"/>
    <x v="0"/>
  </r>
  <r>
    <n v="175405"/>
    <n v="10816"/>
    <x v="76"/>
    <n v="17.600000000000001"/>
    <n v="4.3"/>
    <n v="6"/>
    <n v="10.3"/>
    <x v="0"/>
  </r>
  <r>
    <n v="175406"/>
    <n v="10816"/>
    <x v="76"/>
    <n v="17.600000000000001"/>
    <n v="13.4"/>
    <n v="0.6"/>
    <n v="14"/>
    <x v="0"/>
  </r>
  <r>
    <n v="175407"/>
    <n v="10814"/>
    <x v="105"/>
    <n v="15.6"/>
    <n v="6"/>
    <n v="1.6"/>
    <n v="7.6"/>
    <x v="0"/>
  </r>
  <r>
    <n v="175408"/>
    <n v="10814"/>
    <x v="80"/>
    <n v="6.2"/>
    <n v="6.2"/>
    <n v="0"/>
    <n v="6.2"/>
    <x v="0"/>
  </r>
  <r>
    <n v="175409"/>
    <n v="10814"/>
    <x v="105"/>
    <n v="10.3"/>
    <n v="10"/>
    <n v="0"/>
    <n v="10"/>
    <x v="0"/>
  </r>
  <r>
    <n v="175410"/>
    <n v="10814"/>
    <x v="80"/>
    <n v="10"/>
    <n v="20"/>
    <n v="0"/>
    <n v="20"/>
    <x v="0"/>
  </r>
  <r>
    <n v="175411"/>
    <n v="10814"/>
    <x v="105"/>
    <n v="12.4"/>
    <n v="4"/>
    <n v="0"/>
    <n v="4"/>
    <x v="0"/>
  </r>
  <r>
    <n v="175412"/>
    <n v="10814"/>
    <x v="105"/>
    <n v="11.6"/>
    <n v="2"/>
    <n v="0"/>
    <n v="2"/>
    <x v="0"/>
  </r>
  <r>
    <n v="175413"/>
    <n v="10814"/>
    <x v="45"/>
    <n v="15.6"/>
    <n v="3"/>
    <n v="0"/>
    <n v="3"/>
    <x v="0"/>
  </r>
  <r>
    <n v="175414"/>
    <n v="10814"/>
    <x v="45"/>
    <n v="12.4"/>
    <n v="4.5"/>
    <n v="0"/>
    <n v="4.5"/>
    <x v="0"/>
  </r>
  <r>
    <n v="175415"/>
    <n v="10814"/>
    <x v="45"/>
    <n v="16.600000000000001"/>
    <n v="8.8000000000000007"/>
    <n v="0"/>
    <n v="8.8000000000000007"/>
    <x v="0"/>
  </r>
  <r>
    <n v="175416"/>
    <n v="10814"/>
    <x v="80"/>
    <n v="8"/>
    <m/>
    <n v="0"/>
    <n v="0"/>
    <x v="0"/>
  </r>
  <r>
    <n v="175417"/>
    <n v="10814"/>
    <x v="45"/>
    <n v="3"/>
    <n v="2.9"/>
    <n v="0"/>
    <n v="2.9"/>
    <x v="0"/>
  </r>
  <r>
    <n v="175418"/>
    <n v="10814"/>
    <x v="74"/>
    <n v="16.600000000000001"/>
    <n v="1"/>
    <n v="0"/>
    <n v="1"/>
    <x v="0"/>
  </r>
  <r>
    <n v="175422"/>
    <n v="10688"/>
    <x v="39"/>
    <n v="6.2"/>
    <n v="5"/>
    <n v="0"/>
    <n v="5"/>
    <x v="0"/>
  </r>
  <r>
    <n v="175424"/>
    <n v="10688"/>
    <x v="39"/>
    <n v="8.3000000000000007"/>
    <n v="8"/>
    <n v="0"/>
    <n v="8"/>
    <x v="0"/>
  </r>
  <r>
    <n v="175427"/>
    <n v="10688"/>
    <x v="39"/>
    <n v="4.0999999999999996"/>
    <n v="4.0999999999999996"/>
    <n v="0"/>
    <n v="4.0999999999999996"/>
    <x v="0"/>
  </r>
  <r>
    <n v="175428"/>
    <n v="10688"/>
    <x v="39"/>
    <n v="6.2"/>
    <n v="5.05"/>
    <n v="0"/>
    <n v="5.05"/>
    <x v="0"/>
  </r>
  <r>
    <n v="175429"/>
    <n v="10688"/>
    <x v="39"/>
    <n v="2.1"/>
    <n v="0.1"/>
    <n v="0"/>
    <n v="0.1"/>
    <x v="0"/>
  </r>
  <r>
    <n v="175443"/>
    <n v="11044"/>
    <x v="77"/>
    <n v="36"/>
    <n v="18.5"/>
    <n v="15.75"/>
    <n v="34.25"/>
    <x v="0"/>
  </r>
  <r>
    <n v="175444"/>
    <n v="11926"/>
    <x v="96"/>
    <n v="31.1"/>
    <m/>
    <n v="0"/>
    <n v="0"/>
    <x v="0"/>
  </r>
  <r>
    <n v="175445"/>
    <n v="11926"/>
    <x v="96"/>
    <n v="31.1"/>
    <m/>
    <n v="0"/>
    <n v="0"/>
    <x v="0"/>
  </r>
  <r>
    <n v="175447"/>
    <n v="10815"/>
    <x v="85"/>
    <n v="15.5"/>
    <m/>
    <m/>
    <m/>
    <x v="0"/>
  </r>
  <r>
    <n v="175448"/>
    <n v="10815"/>
    <x v="85"/>
    <n v="11.9"/>
    <m/>
    <m/>
    <m/>
    <x v="0"/>
  </r>
  <r>
    <n v="175449"/>
    <n v="10688"/>
    <x v="39"/>
    <n v="6.2"/>
    <n v="4"/>
    <n v="0"/>
    <n v="4"/>
    <x v="0"/>
  </r>
  <r>
    <n v="175450"/>
    <n v="10814"/>
    <x v="45"/>
    <n v="6.4"/>
    <n v="5.3"/>
    <n v="0"/>
    <n v="5.3"/>
    <x v="0"/>
  </r>
  <r>
    <n v="175451"/>
    <n v="11898"/>
    <x v="71"/>
    <n v="13.5"/>
    <n v="0"/>
    <n v="0"/>
    <n v="0"/>
    <x v="0"/>
  </r>
  <r>
    <n v="175452"/>
    <n v="11898"/>
    <x v="100"/>
    <n v="6.8"/>
    <m/>
    <n v="0"/>
    <n v="0"/>
    <x v="0"/>
  </r>
  <r>
    <n v="175453"/>
    <n v="10720"/>
    <x v="49"/>
    <n v="6.4"/>
    <n v="2.75"/>
    <n v="0"/>
    <n v="2.75"/>
    <x v="0"/>
  </r>
  <r>
    <n v="175455"/>
    <n v="10763"/>
    <x v="103"/>
    <n v="9.5500000000000007"/>
    <m/>
    <n v="25"/>
    <n v="25"/>
    <x v="0"/>
  </r>
  <r>
    <n v="175456"/>
    <n v="10745"/>
    <x v="51"/>
    <n v="5"/>
    <n v="0.5"/>
    <n v="1.5"/>
    <n v="2"/>
    <x v="0"/>
  </r>
  <r>
    <n v="175457"/>
    <n v="10745"/>
    <x v="51"/>
    <n v="7.5"/>
    <n v="8.5"/>
    <n v="0"/>
    <n v="8.5"/>
    <x v="0"/>
  </r>
  <r>
    <n v="175458"/>
    <n v="10721"/>
    <x v="100"/>
    <n v="6.4"/>
    <m/>
    <n v="0"/>
    <n v="0"/>
    <x v="0"/>
  </r>
  <r>
    <n v="175460"/>
    <n v="10814"/>
    <x v="45"/>
    <n v="6.2"/>
    <n v="4.5"/>
    <n v="0"/>
    <n v="4.5"/>
    <x v="0"/>
  </r>
  <r>
    <n v="175461"/>
    <n v="10691"/>
    <x v="54"/>
    <n v="6.2"/>
    <n v="1"/>
    <n v="0"/>
    <n v="1"/>
    <x v="0"/>
  </r>
  <r>
    <n v="175462"/>
    <n v="10691"/>
    <x v="54"/>
    <n v="4.3"/>
    <n v="4.5"/>
    <n v="0"/>
    <n v="4.5"/>
    <x v="0"/>
  </r>
  <r>
    <n v="175463"/>
    <n v="10691"/>
    <x v="54"/>
    <n v="2.1"/>
    <m/>
    <n v="2.1"/>
    <n v="2.1"/>
    <x v="0"/>
  </r>
  <r>
    <n v="175464"/>
    <n v="10691"/>
    <x v="54"/>
    <n v="2.1"/>
    <m/>
    <n v="2.1"/>
    <n v="2.1"/>
    <x v="0"/>
  </r>
  <r>
    <n v="175465"/>
    <n v="10691"/>
    <x v="54"/>
    <n v="2.1"/>
    <m/>
    <n v="2.1"/>
    <n v="2.1"/>
    <x v="0"/>
  </r>
  <r>
    <n v="175466"/>
    <n v="10691"/>
    <x v="54"/>
    <n v="1.5"/>
    <m/>
    <n v="1.5"/>
    <n v="1.5"/>
    <x v="0"/>
  </r>
  <r>
    <n v="175467"/>
    <n v="10691"/>
    <x v="54"/>
    <n v="0.85"/>
    <m/>
    <n v="0.85"/>
    <n v="0.85"/>
    <x v="0"/>
  </r>
  <r>
    <n v="175468"/>
    <n v="10763"/>
    <x v="0"/>
    <n v="0"/>
    <m/>
    <n v="0"/>
    <n v="0"/>
    <x v="0"/>
  </r>
  <r>
    <n v="175469"/>
    <n v="10687"/>
    <x v="95"/>
    <n v="8.3000000000000007"/>
    <m/>
    <n v="0"/>
    <n v="0"/>
    <x v="0"/>
  </r>
  <r>
    <n v="175470"/>
    <n v="11926"/>
    <x v="96"/>
    <n v="7.8"/>
    <m/>
    <m/>
    <m/>
    <x v="0"/>
  </r>
  <r>
    <n v="175471"/>
    <n v="11926"/>
    <x v="93"/>
    <n v="7.8"/>
    <m/>
    <m/>
    <m/>
    <x v="0"/>
  </r>
  <r>
    <n v="175472"/>
    <n v="11926"/>
    <x v="93"/>
    <n v="6.6"/>
    <m/>
    <m/>
    <m/>
    <x v="0"/>
  </r>
  <r>
    <n v="175473"/>
    <n v="11926"/>
    <x v="93"/>
    <n v="7.8"/>
    <m/>
    <m/>
    <m/>
    <x v="0"/>
  </r>
  <r>
    <n v="175474"/>
    <n v="11780"/>
    <x v="68"/>
    <n v="7.8"/>
    <n v="5"/>
    <n v="3.9"/>
    <n v="8.9"/>
    <x v="0"/>
  </r>
  <r>
    <n v="175475"/>
    <n v="10687"/>
    <x v="95"/>
    <n v="6.35"/>
    <m/>
    <n v="0"/>
    <n v="0"/>
    <x v="0"/>
  </r>
  <r>
    <n v="175476"/>
    <n v="11948"/>
    <x v="40"/>
    <n v="2.6"/>
    <n v="0.55000000000000004"/>
    <n v="2.8"/>
    <n v="3.35"/>
    <x v="0"/>
  </r>
  <r>
    <n v="175477"/>
    <n v="10768"/>
    <x v="42"/>
    <n v="2.5"/>
    <m/>
    <n v="0"/>
    <n v="0"/>
    <x v="0"/>
  </r>
  <r>
    <n v="175478"/>
    <n v="11948"/>
    <x v="43"/>
    <n v="2.6"/>
    <n v="0.5"/>
    <n v="0.1"/>
    <n v="0.6"/>
    <x v="0"/>
  </r>
  <r>
    <n v="175479"/>
    <n v="10768"/>
    <x v="42"/>
    <n v="2.25"/>
    <n v="1.3"/>
    <n v="0"/>
    <n v="1.3"/>
    <x v="0"/>
  </r>
  <r>
    <n v="175480"/>
    <n v="10720"/>
    <x v="49"/>
    <n v="2.5"/>
    <n v="0.65"/>
    <n v="1.05"/>
    <n v="1.7"/>
    <x v="0"/>
  </r>
  <r>
    <n v="175481"/>
    <n v="10753"/>
    <x v="51"/>
    <n v="0"/>
    <m/>
    <n v="0"/>
    <n v="0"/>
    <x v="0"/>
  </r>
  <r>
    <n v="175482"/>
    <n v="10759"/>
    <x v="49"/>
    <n v="2.5"/>
    <m/>
    <n v="1"/>
    <n v="1"/>
    <x v="0"/>
  </r>
  <r>
    <n v="175483"/>
    <n v="10689"/>
    <x v="39"/>
    <n v="2.1"/>
    <n v="0.1"/>
    <n v="2"/>
    <n v="2.1"/>
    <x v="0"/>
  </r>
  <r>
    <n v="175485"/>
    <n v="11748"/>
    <x v="53"/>
    <n v="1.85"/>
    <n v="2.6"/>
    <n v="0"/>
    <n v="2.6"/>
    <x v="0"/>
  </r>
  <r>
    <n v="175487"/>
    <n v="11926"/>
    <x v="93"/>
    <n v="4"/>
    <m/>
    <m/>
    <m/>
    <x v="0"/>
  </r>
  <r>
    <n v="175488"/>
    <n v="11926"/>
    <x v="93"/>
    <n v="2.1"/>
    <m/>
    <m/>
    <m/>
    <x v="0"/>
  </r>
  <r>
    <n v="175489"/>
    <n v="11926"/>
    <x v="93"/>
    <n v="1"/>
    <m/>
    <m/>
    <m/>
    <x v="0"/>
  </r>
  <r>
    <n v="175490"/>
    <n v="11926"/>
    <x v="93"/>
    <n v="3.3"/>
    <m/>
    <m/>
    <m/>
    <x v="0"/>
  </r>
  <r>
    <n v="175491"/>
    <n v="11926"/>
    <x v="93"/>
    <n v="2.1"/>
    <m/>
    <m/>
    <m/>
    <x v="0"/>
  </r>
  <r>
    <n v="175494"/>
    <n v="10020"/>
    <x v="82"/>
    <n v="0.95"/>
    <n v="0.95"/>
    <n v="0"/>
    <n v="0.95"/>
    <x v="1"/>
  </r>
  <r>
    <n v="175534"/>
    <n v="10639"/>
    <x v="106"/>
    <m/>
    <n v="79"/>
    <n v="35"/>
    <n v="114"/>
    <x v="0"/>
  </r>
  <r>
    <n v="175543"/>
    <n v="10688"/>
    <x v="54"/>
    <n v="10"/>
    <n v="9.25"/>
    <n v="0"/>
    <n v="9.25"/>
    <x v="0"/>
  </r>
  <r>
    <n v="175548"/>
    <n v="10726"/>
    <x v="9"/>
    <n v="2.25"/>
    <n v="3.4"/>
    <n v="0"/>
    <n v="3.4"/>
    <x v="0"/>
  </r>
  <r>
    <n v="175559"/>
    <n v="10750"/>
    <x v="72"/>
    <n v="3.4"/>
    <m/>
    <n v="0"/>
    <n v="0"/>
    <x v="0"/>
  </r>
  <r>
    <n v="175560"/>
    <n v="10764"/>
    <x v="49"/>
    <n v="2.5"/>
    <n v="1.1000000000000001"/>
    <n v="0"/>
    <n v="1.1000000000000001"/>
    <x v="0"/>
  </r>
  <r>
    <n v="175561"/>
    <n v="10763"/>
    <x v="103"/>
    <n v="18.600000000000001"/>
    <n v="28"/>
    <n v="0"/>
    <n v="28"/>
    <x v="0"/>
  </r>
  <r>
    <n v="175562"/>
    <n v="11044"/>
    <x v="107"/>
    <m/>
    <n v="88.5"/>
    <n v="0"/>
    <n v="88.5"/>
    <x v="0"/>
  </r>
  <r>
    <n v="175563"/>
    <n v="11044"/>
    <x v="107"/>
    <m/>
    <n v="19"/>
    <n v="15"/>
    <n v="34"/>
    <x v="0"/>
  </r>
  <r>
    <n v="175570"/>
    <n v="10754"/>
    <x v="44"/>
    <n v="7.5"/>
    <n v="0.85"/>
    <n v="4"/>
    <n v="4.8499999999999996"/>
    <x v="0"/>
  </r>
  <r>
    <n v="175578"/>
    <n v="11309"/>
    <x v="65"/>
    <n v="6.9"/>
    <n v="6.75"/>
    <n v="0"/>
    <n v="6.75"/>
    <x v="3"/>
  </r>
  <r>
    <n v="175579"/>
    <n v="11309"/>
    <x v="81"/>
    <n v="6.9"/>
    <n v="6.5"/>
    <n v="0"/>
    <n v="6.5"/>
    <x v="3"/>
  </r>
  <r>
    <n v="175723"/>
    <n v="10720"/>
    <x v="49"/>
    <n v="9.3000000000000007"/>
    <n v="5.15"/>
    <n v="0"/>
    <n v="5.15"/>
    <x v="0"/>
  </r>
  <r>
    <n v="175724"/>
    <n v="10720"/>
    <x v="0"/>
    <m/>
    <n v="0.5"/>
    <m/>
    <n v="0.5"/>
    <x v="0"/>
  </r>
  <r>
    <n v="175780"/>
    <n v="10691"/>
    <x v="67"/>
    <n v="0.5"/>
    <n v="0.5"/>
    <n v="0"/>
    <n v="0.5"/>
    <x v="0"/>
  </r>
  <r>
    <n v="175785"/>
    <n v="11213"/>
    <x v="44"/>
    <m/>
    <n v="1.1499999999999999"/>
    <m/>
    <n v="1.1499999999999999"/>
    <x v="0"/>
  </r>
  <r>
    <n v="175795"/>
    <n v="10720"/>
    <x v="44"/>
    <n v="19.3"/>
    <n v="27.05"/>
    <n v="0"/>
    <n v="27.05"/>
    <x v="0"/>
  </r>
  <r>
    <n v="175797"/>
    <n v="10720"/>
    <x v="49"/>
    <n v="9.3000000000000007"/>
    <n v="7.8"/>
    <n v="0"/>
    <n v="7.8"/>
    <x v="0"/>
  </r>
  <r>
    <n v="175801"/>
    <n v="10097"/>
    <x v="82"/>
    <m/>
    <n v="11.15"/>
    <m/>
    <n v="11.15"/>
    <x v="2"/>
  </r>
  <r>
    <n v="175803"/>
    <n v="10795"/>
    <x v="60"/>
    <n v="6.35"/>
    <n v="8.75"/>
    <n v="0"/>
    <n v="8.75"/>
    <x v="0"/>
  </r>
  <r>
    <n v="175804"/>
    <n v="10795"/>
    <x v="61"/>
    <n v="1.5"/>
    <n v="1.5"/>
    <n v="0"/>
    <n v="1.5"/>
    <x v="0"/>
  </r>
  <r>
    <n v="175840"/>
    <n v="11707"/>
    <x v="69"/>
    <m/>
    <n v="0.25"/>
    <m/>
    <n v="0.25"/>
    <x v="0"/>
  </r>
  <r>
    <n v="175910"/>
    <n v="10720"/>
    <x v="49"/>
    <n v="0"/>
    <m/>
    <n v="0"/>
    <n v="0"/>
    <x v="0"/>
  </r>
  <r>
    <n v="175924"/>
    <n v="11308"/>
    <x v="81"/>
    <n v="15.7"/>
    <n v="9"/>
    <n v="3"/>
    <n v="12"/>
    <x v="3"/>
  </r>
  <r>
    <n v="175925"/>
    <n v="11308"/>
    <x v="65"/>
    <n v="2"/>
    <m/>
    <n v="1"/>
    <n v="1"/>
    <x v="3"/>
  </r>
  <r>
    <n v="175926"/>
    <n v="11309"/>
    <x v="65"/>
    <n v="8"/>
    <n v="4"/>
    <n v="3"/>
    <n v="7"/>
    <x v="3"/>
  </r>
  <r>
    <n v="175927"/>
    <n v="11309"/>
    <x v="81"/>
    <n v="8"/>
    <n v="1.5"/>
    <n v="4.5"/>
    <n v="6"/>
    <x v="3"/>
  </r>
  <r>
    <n v="175988"/>
    <n v="10816"/>
    <x v="35"/>
    <m/>
    <m/>
    <m/>
    <m/>
    <x v="0"/>
  </r>
  <r>
    <n v="176000"/>
    <n v="10016"/>
    <x v="14"/>
    <n v="5"/>
    <m/>
    <n v="0"/>
    <n v="0"/>
    <x v="1"/>
  </r>
  <r>
    <n v="176028"/>
    <n v="11213"/>
    <x v="44"/>
    <n v="31"/>
    <n v="0"/>
    <n v="0"/>
    <n v="0"/>
    <x v="0"/>
  </r>
  <r>
    <n v="176031"/>
    <n v="10020"/>
    <x v="20"/>
    <n v="5.3"/>
    <n v="5.45"/>
    <n v="0"/>
    <n v="5.45"/>
    <x v="1"/>
  </r>
  <r>
    <n v="176032"/>
    <n v="10020"/>
    <x v="5"/>
    <n v="0.4"/>
    <n v="0.9"/>
    <n v="0"/>
    <n v="0.9"/>
    <x v="1"/>
  </r>
  <r>
    <n v="176033"/>
    <n v="10020"/>
    <x v="16"/>
    <n v="0.3"/>
    <m/>
    <n v="0"/>
    <n v="0"/>
    <x v="1"/>
  </r>
  <r>
    <n v="176034"/>
    <n v="10020"/>
    <x v="82"/>
    <n v="6"/>
    <n v="6.8"/>
    <n v="0"/>
    <n v="6.8"/>
    <x v="1"/>
  </r>
  <r>
    <n v="176035"/>
    <n v="10020"/>
    <x v="20"/>
    <n v="0.55000000000000004"/>
    <n v="0.85"/>
    <n v="0"/>
    <n v="0.85"/>
    <x v="1"/>
  </r>
  <r>
    <n v="176036"/>
    <n v="10020"/>
    <x v="16"/>
    <n v="0.3"/>
    <m/>
    <n v="0"/>
    <n v="0"/>
    <x v="1"/>
  </r>
  <r>
    <n v="176039"/>
    <n v="11213"/>
    <x v="49"/>
    <m/>
    <n v="0.85"/>
    <m/>
    <n v="0.85"/>
    <x v="0"/>
  </r>
  <r>
    <n v="176040"/>
    <n v="11213"/>
    <x v="49"/>
    <m/>
    <n v="0.1"/>
    <m/>
    <n v="0.1"/>
    <x v="0"/>
  </r>
  <r>
    <n v="176041"/>
    <n v="10733"/>
    <x v="43"/>
    <n v="2.5"/>
    <n v="2"/>
    <n v="0"/>
    <n v="2"/>
    <x v="0"/>
  </r>
  <r>
    <n v="176044"/>
    <n v="10732"/>
    <x v="43"/>
    <n v="6.4"/>
    <m/>
    <n v="3"/>
    <n v="3"/>
    <x v="0"/>
  </r>
  <r>
    <n v="176111"/>
    <n v="11307"/>
    <x v="65"/>
    <n v="6"/>
    <n v="5.5"/>
    <n v="0"/>
    <n v="5.5"/>
    <x v="3"/>
  </r>
  <r>
    <n v="176113"/>
    <n v="11307"/>
    <x v="65"/>
    <n v="6"/>
    <n v="4.5"/>
    <n v="0"/>
    <n v="4.5"/>
    <x v="3"/>
  </r>
  <r>
    <n v="176114"/>
    <n v="11309"/>
    <x v="81"/>
    <n v="5"/>
    <n v="6"/>
    <n v="0"/>
    <n v="6"/>
    <x v="3"/>
  </r>
  <r>
    <n v="176115"/>
    <n v="11309"/>
    <x v="65"/>
    <n v="1.9"/>
    <n v="0.5"/>
    <n v="0"/>
    <n v="0.5"/>
    <x v="3"/>
  </r>
  <r>
    <n v="176143"/>
    <n v="11213"/>
    <x v="49"/>
    <m/>
    <n v="0.1"/>
    <m/>
    <n v="0.1"/>
    <x v="0"/>
  </r>
  <r>
    <n v="176238"/>
    <n v="10100"/>
    <x v="5"/>
    <n v="4.5"/>
    <n v="6.1"/>
    <n v="0"/>
    <n v="6.1"/>
    <x v="2"/>
  </r>
  <r>
    <n v="176239"/>
    <n v="10100"/>
    <x v="4"/>
    <n v="0.5"/>
    <m/>
    <n v="0"/>
    <n v="0.5"/>
    <x v="2"/>
  </r>
  <r>
    <n v="176242"/>
    <n v="10753"/>
    <x v="71"/>
    <n v="2.5"/>
    <n v="3.7"/>
    <n v="0"/>
    <n v="3.7"/>
    <x v="0"/>
  </r>
  <r>
    <n v="176243"/>
    <n v="11948"/>
    <x v="71"/>
    <n v="4.7"/>
    <n v="6.55"/>
    <n v="0"/>
    <n v="6.55"/>
    <x v="0"/>
  </r>
  <r>
    <n v="176244"/>
    <n v="10753"/>
    <x v="71"/>
    <n v="2.5"/>
    <n v="1.5"/>
    <n v="1"/>
    <n v="2.5"/>
    <x v="0"/>
  </r>
  <r>
    <n v="176260"/>
    <n v="11748"/>
    <x v="68"/>
    <n v="1.05"/>
    <n v="1"/>
    <n v="0"/>
    <n v="1"/>
    <x v="0"/>
  </r>
  <r>
    <n v="176262"/>
    <n v="11708"/>
    <x v="68"/>
    <n v="3.45"/>
    <n v="2.5"/>
    <n v="0"/>
    <n v="2.5"/>
    <x v="0"/>
  </r>
  <r>
    <n v="176278"/>
    <n v="11780"/>
    <x v="68"/>
    <n v="10.1"/>
    <n v="9"/>
    <n v="0"/>
    <n v="9"/>
    <x v="0"/>
  </r>
  <r>
    <n v="176294"/>
    <n v="11213"/>
    <x v="34"/>
    <m/>
    <n v="0"/>
    <m/>
    <n v="0"/>
    <x v="0"/>
  </r>
  <r>
    <n v="176295"/>
    <n v="11213"/>
    <x v="34"/>
    <m/>
    <n v="0"/>
    <n v="0"/>
    <n v="0"/>
    <x v="0"/>
  </r>
  <r>
    <n v="176296"/>
    <n v="11213"/>
    <x v="34"/>
    <m/>
    <m/>
    <m/>
    <m/>
    <x v="0"/>
  </r>
  <r>
    <n v="176299"/>
    <n v="10097"/>
    <x v="5"/>
    <m/>
    <n v="4.5"/>
    <m/>
    <n v="4.5"/>
    <x v="2"/>
  </r>
  <r>
    <n v="176306"/>
    <n v="10686"/>
    <x v="38"/>
    <n v="20.25"/>
    <n v="20.25"/>
    <n v="0"/>
    <n v="20.25"/>
    <x v="0"/>
  </r>
  <r>
    <n v="176330"/>
    <n v="11213"/>
    <x v="34"/>
    <m/>
    <n v="0"/>
    <n v="0"/>
    <n v="0"/>
    <x v="0"/>
  </r>
  <r>
    <n v="176331"/>
    <n v="11213"/>
    <x v="34"/>
    <m/>
    <n v="0"/>
    <n v="0"/>
    <n v="0"/>
    <x v="0"/>
  </r>
  <r>
    <n v="176335"/>
    <n v="11213"/>
    <x v="34"/>
    <m/>
    <m/>
    <m/>
    <m/>
    <x v="0"/>
  </r>
  <r>
    <n v="176341"/>
    <n v="11213"/>
    <x v="34"/>
    <m/>
    <n v="0"/>
    <n v="0"/>
    <n v="0"/>
    <x v="0"/>
  </r>
  <r>
    <n v="176342"/>
    <n v="11214"/>
    <x v="34"/>
    <m/>
    <m/>
    <m/>
    <m/>
    <x v="0"/>
  </r>
  <r>
    <n v="176343"/>
    <n v="11218"/>
    <x v="34"/>
    <m/>
    <m/>
    <m/>
    <m/>
    <x v="0"/>
  </r>
  <r>
    <n v="176344"/>
    <n v="11218"/>
    <x v="72"/>
    <m/>
    <n v="0"/>
    <n v="0"/>
    <n v="0"/>
    <x v="0"/>
  </r>
  <r>
    <n v="176346"/>
    <n v="11214"/>
    <x v="51"/>
    <m/>
    <n v="1.25"/>
    <m/>
    <n v="1.25"/>
    <x v="0"/>
  </r>
  <r>
    <n v="176372"/>
    <n v="10695"/>
    <x v="55"/>
    <m/>
    <m/>
    <m/>
    <m/>
    <x v="0"/>
  </r>
  <r>
    <n v="176384"/>
    <n v="11214"/>
    <x v="71"/>
    <m/>
    <n v="0.4"/>
    <m/>
    <n v="0.4"/>
    <x v="0"/>
  </r>
  <r>
    <n v="176389"/>
    <n v="10688"/>
    <x v="39"/>
    <n v="0"/>
    <n v="1.25"/>
    <n v="0"/>
    <n v="1.25"/>
    <x v="0"/>
  </r>
  <r>
    <n v="176457"/>
    <n v="11948"/>
    <x v="42"/>
    <n v="2.6"/>
    <n v="0.7"/>
    <n v="0.8"/>
    <n v="1.5"/>
    <x v="0"/>
  </r>
  <r>
    <n v="176458"/>
    <n v="11948"/>
    <x v="44"/>
    <n v="2.6"/>
    <n v="1.8"/>
    <n v="0"/>
    <n v="1.8"/>
    <x v="0"/>
  </r>
  <r>
    <n v="176461"/>
    <n v="10725"/>
    <x v="42"/>
    <n v="0"/>
    <m/>
    <n v="0"/>
    <n v="0"/>
    <x v="0"/>
  </r>
  <r>
    <n v="176462"/>
    <n v="10725"/>
    <x v="42"/>
    <n v="0"/>
    <m/>
    <n v="0"/>
    <n v="0"/>
    <x v="0"/>
  </r>
  <r>
    <n v="176464"/>
    <n v="11948"/>
    <x v="44"/>
    <n v="2.35"/>
    <n v="0.2"/>
    <n v="0"/>
    <n v="2.35"/>
    <x v="0"/>
  </r>
  <r>
    <n v="176465"/>
    <n v="11948"/>
    <x v="42"/>
    <n v="2.35"/>
    <m/>
    <n v="0"/>
    <n v="2.35"/>
    <x v="0"/>
  </r>
  <r>
    <n v="176466"/>
    <n v="11948"/>
    <x v="44"/>
    <n v="2.35"/>
    <m/>
    <n v="0"/>
    <n v="2.35"/>
    <x v="0"/>
  </r>
  <r>
    <n v="176468"/>
    <n v="10814"/>
    <x v="45"/>
    <n v="0"/>
    <n v="4.3"/>
    <n v="0"/>
    <n v="4.3"/>
    <x v="0"/>
  </r>
  <r>
    <n v="176503"/>
    <n v="10639"/>
    <x v="105"/>
    <m/>
    <n v="10"/>
    <m/>
    <n v="10"/>
    <x v="0"/>
  </r>
  <r>
    <n v="176506"/>
    <n v="10753"/>
    <x v="71"/>
    <n v="2.5"/>
    <n v="0.6"/>
    <n v="1.5"/>
    <n v="2.1"/>
    <x v="0"/>
  </r>
  <r>
    <n v="176567"/>
    <n v="11948"/>
    <x v="43"/>
    <n v="2.6"/>
    <n v="1.5"/>
    <n v="0"/>
    <n v="1.5"/>
    <x v="0"/>
  </r>
  <r>
    <n v="176569"/>
    <n v="10733"/>
    <x v="43"/>
    <m/>
    <m/>
    <m/>
    <m/>
    <x v="0"/>
  </r>
  <r>
    <n v="176599"/>
    <n v="11708"/>
    <x v="52"/>
    <n v="6.3"/>
    <n v="4.7"/>
    <n v="0"/>
    <n v="4.7"/>
    <x v="0"/>
  </r>
  <r>
    <n v="176627"/>
    <n v="10763"/>
    <x v="1"/>
    <n v="5"/>
    <m/>
    <n v="5"/>
    <n v="5"/>
    <x v="0"/>
  </r>
  <r>
    <n v="176628"/>
    <n v="11898"/>
    <x v="50"/>
    <m/>
    <n v="3.5"/>
    <m/>
    <n v="3.5"/>
    <x v="0"/>
  </r>
  <r>
    <n v="176629"/>
    <n v="11898"/>
    <x v="42"/>
    <m/>
    <n v="2"/>
    <m/>
    <n v="2"/>
    <x v="0"/>
  </r>
  <r>
    <n v="176630"/>
    <n v="11898"/>
    <x v="49"/>
    <n v="0"/>
    <n v="1.3"/>
    <n v="0"/>
    <n v="1.3"/>
    <x v="0"/>
  </r>
  <r>
    <n v="176631"/>
    <n v="11898"/>
    <x v="51"/>
    <m/>
    <m/>
    <m/>
    <m/>
    <x v="0"/>
  </r>
  <r>
    <n v="176632"/>
    <n v="11898"/>
    <x v="71"/>
    <m/>
    <n v="0.8"/>
    <m/>
    <n v="0.8"/>
    <x v="0"/>
  </r>
  <r>
    <n v="176665"/>
    <n v="11898"/>
    <x v="44"/>
    <m/>
    <n v="3.05"/>
    <m/>
    <n v="3.05"/>
    <x v="0"/>
  </r>
  <r>
    <n v="176670"/>
    <n v="10795"/>
    <x v="73"/>
    <n v="5.0999999999999996"/>
    <n v="5.0999999999999996"/>
    <n v="0"/>
    <n v="5.0999999999999996"/>
    <x v="0"/>
  </r>
  <r>
    <n v="176792"/>
    <n v="10020"/>
    <x v="82"/>
    <n v="1"/>
    <n v="1.3"/>
    <n v="0"/>
    <n v="1.3"/>
    <x v="1"/>
  </r>
  <r>
    <n v="176794"/>
    <n v="10020"/>
    <x v="20"/>
    <n v="5.25"/>
    <n v="4.95"/>
    <n v="0"/>
    <n v="4.95"/>
    <x v="1"/>
  </r>
  <r>
    <n v="176795"/>
    <n v="10020"/>
    <x v="5"/>
    <n v="0.4"/>
    <m/>
    <n v="0"/>
    <n v="0"/>
    <x v="1"/>
  </r>
  <r>
    <n v="176796"/>
    <n v="10020"/>
    <x v="16"/>
    <n v="0.3"/>
    <n v="0.3"/>
    <n v="0"/>
    <n v="0.3"/>
    <x v="1"/>
  </r>
  <r>
    <n v="176802"/>
    <n v="11307"/>
    <x v="81"/>
    <n v="1"/>
    <n v="1"/>
    <n v="0"/>
    <n v="1"/>
    <x v="3"/>
  </r>
  <r>
    <n v="176803"/>
    <n v="11307"/>
    <x v="81"/>
    <n v="1"/>
    <n v="1"/>
    <n v="0"/>
    <n v="1"/>
    <x v="3"/>
  </r>
  <r>
    <n v="176805"/>
    <n v="11309"/>
    <x v="65"/>
    <n v="13.8"/>
    <n v="9"/>
    <n v="0.5"/>
    <n v="9.5"/>
    <x v="3"/>
  </r>
  <r>
    <n v="176813"/>
    <n v="10816"/>
    <x v="38"/>
    <m/>
    <n v="1.75"/>
    <m/>
    <n v="1.75"/>
    <x v="0"/>
  </r>
  <r>
    <n v="176825"/>
    <n v="10639"/>
    <x v="106"/>
    <m/>
    <n v="20"/>
    <m/>
    <n v="20"/>
    <x v="0"/>
  </r>
  <r>
    <n v="176867"/>
    <n v="10693"/>
    <x v="55"/>
    <n v="3.9"/>
    <n v="3.9"/>
    <n v="0"/>
    <n v="3.9"/>
    <x v="0"/>
  </r>
  <r>
    <n v="176924"/>
    <n v="10010"/>
    <x v="23"/>
    <m/>
    <n v="0.2"/>
    <m/>
    <n v="0.2"/>
    <x v="1"/>
  </r>
  <r>
    <n v="176925"/>
    <n v="10010"/>
    <x v="23"/>
    <m/>
    <n v="1.35"/>
    <m/>
    <n v="1.35"/>
    <x v="1"/>
  </r>
  <r>
    <n v="176926"/>
    <n v="10010"/>
    <x v="23"/>
    <m/>
    <n v="14.83"/>
    <m/>
    <n v="14.83"/>
    <x v="1"/>
  </r>
  <r>
    <n v="176931"/>
    <n v="10725"/>
    <x v="44"/>
    <n v="2.25"/>
    <m/>
    <n v="1.5"/>
    <n v="1.5"/>
    <x v="0"/>
  </r>
  <r>
    <n v="176932"/>
    <n v="11751"/>
    <x v="54"/>
    <n v="5.8"/>
    <m/>
    <n v="5.8"/>
    <n v="5.8"/>
    <x v="0"/>
  </r>
  <r>
    <n v="176935"/>
    <n v="11751"/>
    <x v="93"/>
    <n v="4"/>
    <m/>
    <n v="0"/>
    <n v="0"/>
    <x v="0"/>
  </r>
  <r>
    <n v="176936"/>
    <n v="10727"/>
    <x v="44"/>
    <n v="9"/>
    <m/>
    <n v="0"/>
    <n v="0"/>
    <x v="0"/>
  </r>
  <r>
    <n v="176937"/>
    <n v="10727"/>
    <x v="42"/>
    <n v="0"/>
    <m/>
    <n v="0"/>
    <n v="0"/>
    <x v="0"/>
  </r>
  <r>
    <n v="176944"/>
    <n v="11213"/>
    <x v="1"/>
    <m/>
    <n v="0.75"/>
    <m/>
    <n v="0.75"/>
    <x v="0"/>
  </r>
  <r>
    <n v="176945"/>
    <n v="11213"/>
    <x v="51"/>
    <m/>
    <n v="0.5"/>
    <m/>
    <n v="0.5"/>
    <x v="0"/>
  </r>
  <r>
    <n v="176949"/>
    <n v="10814"/>
    <x v="38"/>
    <n v="5"/>
    <n v="3.5"/>
    <n v="0"/>
    <n v="3.5"/>
    <x v="0"/>
  </r>
  <r>
    <n v="176971"/>
    <n v="11214"/>
    <x v="72"/>
    <n v="6.2"/>
    <m/>
    <n v="0"/>
    <n v="0"/>
    <x v="0"/>
  </r>
  <r>
    <n v="176972"/>
    <n v="10692"/>
    <x v="84"/>
    <n v="30.7"/>
    <m/>
    <n v="0"/>
    <n v="0"/>
    <x v="0"/>
  </r>
  <r>
    <n v="176976"/>
    <n v="11751"/>
    <x v="93"/>
    <n v="2"/>
    <m/>
    <n v="0"/>
    <n v="0"/>
    <x v="0"/>
  </r>
  <r>
    <n v="176978"/>
    <n v="11214"/>
    <x v="72"/>
    <n v="9.3000000000000007"/>
    <m/>
    <n v="0"/>
    <n v="0"/>
    <x v="0"/>
  </r>
  <r>
    <n v="176999"/>
    <n v="10639"/>
    <x v="60"/>
    <n v="0"/>
    <n v="2.5"/>
    <n v="0"/>
    <n v="2.5"/>
    <x v="0"/>
  </r>
  <r>
    <n v="177000"/>
    <n v="10639"/>
    <x v="94"/>
    <n v="0"/>
    <n v="10"/>
    <n v="0"/>
    <n v="10"/>
    <x v="0"/>
  </r>
  <r>
    <n v="177001"/>
    <n v="11213"/>
    <x v="77"/>
    <n v="2"/>
    <n v="2"/>
    <n v="0"/>
    <n v="2"/>
    <x v="0"/>
  </r>
  <r>
    <n v="177002"/>
    <n v="11213"/>
    <x v="72"/>
    <n v="6.2"/>
    <m/>
    <n v="0"/>
    <n v="0"/>
    <x v="0"/>
  </r>
  <r>
    <n v="177005"/>
    <n v="10011"/>
    <x v="108"/>
    <m/>
    <n v="20"/>
    <m/>
    <n v="20"/>
    <x v="1"/>
  </r>
  <r>
    <n v="177015"/>
    <n v="11712"/>
    <x v="39"/>
    <n v="2"/>
    <n v="2"/>
    <n v="0"/>
    <n v="2"/>
    <x v="0"/>
  </r>
  <r>
    <n v="177016"/>
    <n v="11712"/>
    <x v="54"/>
    <n v="4.2"/>
    <m/>
    <n v="0"/>
    <n v="0"/>
    <x v="0"/>
  </r>
  <r>
    <n v="177017"/>
    <n v="10763"/>
    <x v="67"/>
    <m/>
    <m/>
    <m/>
    <m/>
    <x v="0"/>
  </r>
  <r>
    <n v="177019"/>
    <n v="10763"/>
    <x v="67"/>
    <m/>
    <m/>
    <m/>
    <m/>
    <x v="0"/>
  </r>
  <r>
    <n v="177021"/>
    <n v="10763"/>
    <x v="67"/>
    <n v="0.25"/>
    <m/>
    <n v="1"/>
    <n v="1"/>
    <x v="0"/>
  </r>
  <r>
    <n v="177022"/>
    <n v="10763"/>
    <x v="67"/>
    <n v="1"/>
    <n v="0.5"/>
    <n v="0"/>
    <n v="0.5"/>
    <x v="0"/>
  </r>
  <r>
    <n v="177023"/>
    <n v="10763"/>
    <x v="67"/>
    <m/>
    <m/>
    <m/>
    <m/>
    <x v="0"/>
  </r>
  <r>
    <n v="177024"/>
    <n v="10763"/>
    <x v="67"/>
    <n v="1"/>
    <m/>
    <n v="1"/>
    <n v="1"/>
    <x v="0"/>
  </r>
  <r>
    <n v="177025"/>
    <n v="10745"/>
    <x v="67"/>
    <n v="0.25"/>
    <n v="0.25"/>
    <n v="0"/>
    <n v="0.25"/>
    <x v="0"/>
  </r>
  <r>
    <n v="177026"/>
    <n v="10739"/>
    <x v="67"/>
    <n v="0.25"/>
    <n v="0.25"/>
    <n v="0"/>
    <n v="0.25"/>
    <x v="0"/>
  </r>
  <r>
    <n v="177027"/>
    <n v="10735"/>
    <x v="67"/>
    <n v="0.25"/>
    <n v="0.25"/>
    <n v="0"/>
    <n v="0.25"/>
    <x v="0"/>
  </r>
  <r>
    <n v="177028"/>
    <n v="10733"/>
    <x v="67"/>
    <n v="0.25"/>
    <n v="0.25"/>
    <n v="0"/>
    <n v="0.25"/>
    <x v="0"/>
  </r>
  <r>
    <n v="177030"/>
    <n v="10768"/>
    <x v="67"/>
    <m/>
    <m/>
    <m/>
    <m/>
    <x v="0"/>
  </r>
  <r>
    <n v="177031"/>
    <n v="10768"/>
    <x v="67"/>
    <n v="0.25"/>
    <n v="0.25"/>
    <n v="0"/>
    <n v="0.25"/>
    <x v="0"/>
  </r>
  <r>
    <n v="177032"/>
    <n v="10758"/>
    <x v="67"/>
    <n v="1"/>
    <n v="1"/>
    <n v="0"/>
    <n v="1"/>
    <x v="0"/>
  </r>
  <r>
    <n v="177033"/>
    <n v="10754"/>
    <x v="67"/>
    <n v="1.5"/>
    <m/>
    <n v="1.5"/>
    <n v="1.5"/>
    <x v="0"/>
  </r>
  <r>
    <n v="177034"/>
    <n v="10759"/>
    <x v="67"/>
    <n v="0.25"/>
    <n v="0.5"/>
    <n v="0"/>
    <n v="0.5"/>
    <x v="0"/>
  </r>
  <r>
    <n v="177035"/>
    <n v="10734"/>
    <x v="67"/>
    <n v="0.25"/>
    <n v="0.25"/>
    <n v="0"/>
    <n v="0.25"/>
    <x v="0"/>
  </r>
  <r>
    <n v="177036"/>
    <n v="10725"/>
    <x v="67"/>
    <n v="0.25"/>
    <m/>
    <n v="0.25"/>
    <n v="0.25"/>
    <x v="0"/>
  </r>
  <r>
    <n v="177037"/>
    <n v="10750"/>
    <x v="67"/>
    <n v="0.25"/>
    <n v="0.25"/>
    <n v="0"/>
    <n v="0.25"/>
    <x v="0"/>
  </r>
  <r>
    <n v="177039"/>
    <n v="10764"/>
    <x v="67"/>
    <n v="0.3"/>
    <n v="0.3"/>
    <n v="0"/>
    <n v="0.3"/>
    <x v="0"/>
  </r>
  <r>
    <n v="177042"/>
    <n v="10727"/>
    <x v="67"/>
    <n v="1"/>
    <m/>
    <n v="1"/>
    <n v="1"/>
    <x v="0"/>
  </r>
  <r>
    <n v="177043"/>
    <n v="10010"/>
    <x v="108"/>
    <m/>
    <n v="0.25"/>
    <m/>
    <n v="0.25"/>
    <x v="1"/>
  </r>
  <r>
    <n v="177044"/>
    <n v="10688"/>
    <x v="67"/>
    <n v="0"/>
    <n v="0.5"/>
    <n v="0"/>
    <n v="0.5"/>
    <x v="0"/>
  </r>
  <r>
    <n v="177045"/>
    <n v="10011"/>
    <x v="108"/>
    <m/>
    <m/>
    <m/>
    <m/>
    <x v="1"/>
  </r>
  <r>
    <n v="177046"/>
    <n v="10011"/>
    <x v="108"/>
    <m/>
    <m/>
    <m/>
    <m/>
    <x v="1"/>
  </r>
  <r>
    <n v="177047"/>
    <n v="10012"/>
    <x v="108"/>
    <m/>
    <n v="20.75"/>
    <m/>
    <n v="20.75"/>
    <x v="1"/>
  </r>
  <r>
    <n v="177048"/>
    <n v="10013"/>
    <x v="108"/>
    <m/>
    <m/>
    <m/>
    <m/>
    <x v="1"/>
  </r>
  <r>
    <n v="177049"/>
    <n v="10014"/>
    <x v="108"/>
    <m/>
    <n v="24.25"/>
    <m/>
    <n v="24.25"/>
    <x v="1"/>
  </r>
  <r>
    <n v="177050"/>
    <n v="10014"/>
    <x v="108"/>
    <m/>
    <n v="0.45"/>
    <m/>
    <n v="0.45"/>
    <x v="1"/>
  </r>
  <r>
    <n v="177051"/>
    <n v="10015"/>
    <x v="108"/>
    <m/>
    <n v="2"/>
    <m/>
    <n v="2"/>
    <x v="1"/>
  </r>
  <r>
    <n v="177052"/>
    <n v="10015"/>
    <x v="108"/>
    <m/>
    <n v="0.25"/>
    <m/>
    <n v="0.25"/>
    <x v="1"/>
  </r>
  <r>
    <n v="177053"/>
    <n v="10015"/>
    <x v="108"/>
    <m/>
    <n v="3.05"/>
    <m/>
    <n v="3.05"/>
    <x v="1"/>
  </r>
  <r>
    <n v="177054"/>
    <n v="10015"/>
    <x v="108"/>
    <m/>
    <n v="0.5"/>
    <m/>
    <n v="0.5"/>
    <x v="1"/>
  </r>
  <r>
    <n v="177055"/>
    <n v="10015"/>
    <x v="108"/>
    <m/>
    <m/>
    <m/>
    <m/>
    <x v="1"/>
  </r>
  <r>
    <n v="177070"/>
    <n v="11214"/>
    <x v="50"/>
    <m/>
    <n v="1"/>
    <m/>
    <n v="1"/>
    <x v="0"/>
  </r>
  <r>
    <n v="177087"/>
    <n v="11213"/>
    <x v="51"/>
    <m/>
    <n v="1.25"/>
    <m/>
    <n v="1.25"/>
    <x v="0"/>
  </r>
  <r>
    <n v="177113"/>
    <n v="11213"/>
    <x v="71"/>
    <m/>
    <n v="5.25"/>
    <n v="0"/>
    <n v="5.25"/>
    <x v="0"/>
  </r>
  <r>
    <n v="177114"/>
    <n v="11213"/>
    <x v="71"/>
    <m/>
    <n v="1.2"/>
    <n v="5.4"/>
    <n v="6.6"/>
    <x v="0"/>
  </r>
  <r>
    <n v="177115"/>
    <n v="10783"/>
    <x v="71"/>
    <m/>
    <n v="3"/>
    <n v="0"/>
    <n v="3"/>
    <x v="0"/>
  </r>
  <r>
    <n v="177156"/>
    <n v="11213"/>
    <x v="50"/>
    <m/>
    <n v="4"/>
    <n v="0"/>
    <n v="4"/>
    <x v="0"/>
  </r>
  <r>
    <n v="177162"/>
    <n v="10639"/>
    <x v="109"/>
    <m/>
    <n v="84.5"/>
    <n v="0"/>
    <n v="84.5"/>
    <x v="0"/>
  </r>
  <r>
    <n v="177173"/>
    <n v="11731"/>
    <x v="67"/>
    <n v="0.5"/>
    <n v="0.25"/>
    <n v="0"/>
    <n v="0.25"/>
    <x v="0"/>
  </r>
  <r>
    <n v="177174"/>
    <n v="11731"/>
    <x v="67"/>
    <n v="0.5"/>
    <m/>
    <n v="0"/>
    <n v="0"/>
    <x v="0"/>
  </r>
  <r>
    <n v="177181"/>
    <n v="10639"/>
    <x v="55"/>
    <n v="2.25"/>
    <n v="2.25"/>
    <n v="0"/>
    <n v="2.25"/>
    <x v="0"/>
  </r>
  <r>
    <n v="177182"/>
    <n v="10639"/>
    <x v="67"/>
    <n v="14"/>
    <n v="7.25"/>
    <n v="0"/>
    <n v="7.25"/>
    <x v="0"/>
  </r>
  <r>
    <n v="177183"/>
    <n v="11044"/>
    <x v="63"/>
    <n v="0"/>
    <n v="5"/>
    <n v="0"/>
    <n v="5"/>
    <x v="0"/>
  </r>
  <r>
    <n v="177198"/>
    <n v="10814"/>
    <x v="105"/>
    <n v="9.4"/>
    <n v="7.5"/>
    <n v="0"/>
    <n v="7.5"/>
    <x v="0"/>
  </r>
  <r>
    <n v="177199"/>
    <n v="10814"/>
    <x v="45"/>
    <n v="4.0999999999999996"/>
    <n v="2.9"/>
    <n v="0"/>
    <n v="2.9"/>
    <x v="0"/>
  </r>
  <r>
    <n v="177220"/>
    <n v="11308"/>
    <x v="81"/>
    <n v="4"/>
    <n v="4"/>
    <n v="0"/>
    <n v="4"/>
    <x v="3"/>
  </r>
  <r>
    <n v="177222"/>
    <n v="11308"/>
    <x v="81"/>
    <n v="2"/>
    <n v="3"/>
    <n v="0"/>
    <n v="3"/>
    <x v="3"/>
  </r>
  <r>
    <n v="177224"/>
    <n v="11308"/>
    <x v="75"/>
    <n v="0.9"/>
    <m/>
    <m/>
    <m/>
    <x v="3"/>
  </r>
  <r>
    <n v="177233"/>
    <n v="11949"/>
    <x v="20"/>
    <n v="6.96"/>
    <m/>
    <n v="0"/>
    <n v="0"/>
    <x v="1"/>
  </r>
  <r>
    <n v="177236"/>
    <n v="10101"/>
    <x v="5"/>
    <n v="0"/>
    <m/>
    <m/>
    <m/>
    <x v="2"/>
  </r>
  <r>
    <n v="177237"/>
    <n v="10101"/>
    <x v="5"/>
    <n v="0"/>
    <m/>
    <m/>
    <m/>
    <x v="2"/>
  </r>
  <r>
    <n v="177238"/>
    <n v="10101"/>
    <x v="5"/>
    <n v="0"/>
    <m/>
    <m/>
    <m/>
    <x v="2"/>
  </r>
  <r>
    <n v="177245"/>
    <n v="11953"/>
    <x v="38"/>
    <n v="5.2"/>
    <n v="5.25"/>
    <n v="0"/>
    <n v="5.25"/>
    <x v="0"/>
  </r>
  <r>
    <n v="177246"/>
    <n v="11712"/>
    <x v="54"/>
    <n v="5.2"/>
    <n v="3"/>
    <n v="0"/>
    <n v="3"/>
    <x v="0"/>
  </r>
  <r>
    <n v="177247"/>
    <n v="11741"/>
    <x v="73"/>
    <n v="5.8"/>
    <n v="5.6"/>
    <n v="0"/>
    <n v="5.6"/>
    <x v="0"/>
  </r>
  <r>
    <n v="177289"/>
    <n v="11898"/>
    <x v="72"/>
    <n v="10"/>
    <m/>
    <n v="10"/>
    <n v="10"/>
    <x v="0"/>
  </r>
  <r>
    <n v="177291"/>
    <n v="10783"/>
    <x v="0"/>
    <m/>
    <n v="0.5"/>
    <n v="0"/>
    <n v="0.5"/>
    <x v="0"/>
  </r>
  <r>
    <n v="177296"/>
    <n v="10783"/>
    <x v="72"/>
    <m/>
    <m/>
    <n v="9"/>
    <n v="9"/>
    <x v="0"/>
  </r>
  <r>
    <n v="177310"/>
    <n v="11213"/>
    <x v="100"/>
    <m/>
    <m/>
    <n v="0"/>
    <n v="0"/>
    <x v="0"/>
  </r>
  <r>
    <n v="177311"/>
    <n v="11214"/>
    <x v="100"/>
    <m/>
    <m/>
    <n v="0"/>
    <n v="0"/>
    <x v="0"/>
  </r>
  <r>
    <n v="177312"/>
    <n v="11213"/>
    <x v="100"/>
    <m/>
    <m/>
    <n v="0"/>
    <n v="0"/>
    <x v="0"/>
  </r>
  <r>
    <n v="177313"/>
    <n v="11213"/>
    <x v="100"/>
    <m/>
    <m/>
    <n v="0"/>
    <n v="0"/>
    <x v="0"/>
  </r>
  <r>
    <n v="177314"/>
    <n v="11214"/>
    <x v="100"/>
    <m/>
    <m/>
    <n v="0"/>
    <n v="0"/>
    <x v="0"/>
  </r>
  <r>
    <n v="177315"/>
    <n v="11214"/>
    <x v="72"/>
    <m/>
    <m/>
    <n v="0"/>
    <n v="0"/>
    <x v="0"/>
  </r>
  <r>
    <n v="177316"/>
    <n v="10720"/>
    <x v="42"/>
    <n v="3"/>
    <n v="2.9"/>
    <n v="0"/>
    <n v="2.9"/>
    <x v="0"/>
  </r>
  <r>
    <n v="177317"/>
    <n v="10720"/>
    <x v="44"/>
    <n v="1"/>
    <n v="1.5"/>
    <n v="0"/>
    <n v="1.5"/>
    <x v="0"/>
  </r>
  <r>
    <n v="177318"/>
    <n v="11898"/>
    <x v="42"/>
    <n v="0"/>
    <m/>
    <n v="0.2"/>
    <n v="0.2"/>
    <x v="0"/>
  </r>
  <r>
    <n v="177319"/>
    <n v="11898"/>
    <x v="50"/>
    <n v="0"/>
    <n v="3.5"/>
    <n v="1"/>
    <n v="4.5"/>
    <x v="0"/>
  </r>
  <r>
    <n v="177320"/>
    <n v="11898"/>
    <x v="44"/>
    <n v="0"/>
    <n v="0.2"/>
    <n v="0.2"/>
    <n v="0.4"/>
    <x v="0"/>
  </r>
  <r>
    <n v="177321"/>
    <n v="11898"/>
    <x v="49"/>
    <n v="0"/>
    <n v="1.65"/>
    <n v="0.2"/>
    <n v="1.85"/>
    <x v="0"/>
  </r>
  <r>
    <n v="177325"/>
    <n v="10691"/>
    <x v="94"/>
    <n v="3"/>
    <n v="3"/>
    <n v="0"/>
    <n v="3"/>
    <x v="0"/>
  </r>
  <r>
    <n v="177493"/>
    <n v="10020"/>
    <x v="20"/>
    <n v="0.6"/>
    <n v="0.8"/>
    <n v="0"/>
    <n v="0.8"/>
    <x v="1"/>
  </r>
  <r>
    <n v="177494"/>
    <n v="10020"/>
    <x v="20"/>
    <n v="6.15"/>
    <n v="3.75"/>
    <n v="2.4"/>
    <n v="6.15"/>
    <x v="1"/>
  </r>
  <r>
    <n v="177495"/>
    <n v="10020"/>
    <x v="82"/>
    <n v="0.4"/>
    <m/>
    <n v="0.4"/>
    <n v="0.4"/>
    <x v="1"/>
  </r>
  <r>
    <n v="177496"/>
    <n v="10020"/>
    <x v="5"/>
    <n v="0.4"/>
    <m/>
    <n v="0.4"/>
    <n v="0.4"/>
    <x v="1"/>
  </r>
  <r>
    <n v="177497"/>
    <n v="10020"/>
    <x v="82"/>
    <n v="5.95"/>
    <n v="6.1"/>
    <n v="0"/>
    <n v="6.1"/>
    <x v="1"/>
  </r>
  <r>
    <n v="177506"/>
    <n v="10020"/>
    <x v="20"/>
    <n v="6.15"/>
    <n v="5.0999999999999996"/>
    <n v="0"/>
    <n v="5.0999999999999996"/>
    <x v="1"/>
  </r>
  <r>
    <n v="177508"/>
    <n v="10020"/>
    <x v="82"/>
    <n v="0.4"/>
    <n v="0.4"/>
    <n v="0"/>
    <n v="0.4"/>
    <x v="1"/>
  </r>
  <r>
    <n v="177509"/>
    <n v="10020"/>
    <x v="5"/>
    <n v="0.4"/>
    <m/>
    <n v="0"/>
    <n v="0"/>
    <x v="1"/>
  </r>
  <r>
    <n v="177513"/>
    <n v="10100"/>
    <x v="4"/>
    <n v="0.13"/>
    <n v="0.13"/>
    <n v="0"/>
    <n v="0.13"/>
    <x v="2"/>
  </r>
  <r>
    <n v="177514"/>
    <n v="10100"/>
    <x v="4"/>
    <n v="4.5"/>
    <n v="7.9"/>
    <n v="0"/>
    <n v="7.9"/>
    <x v="2"/>
  </r>
  <r>
    <n v="177560"/>
    <n v="10795"/>
    <x v="67"/>
    <n v="0.25"/>
    <m/>
    <n v="0.25"/>
    <n v="0.25"/>
    <x v="0"/>
  </r>
  <r>
    <n v="177561"/>
    <n v="11748"/>
    <x v="67"/>
    <n v="0.25"/>
    <n v="0.25"/>
    <n v="0"/>
    <n v="0.25"/>
    <x v="0"/>
  </r>
  <r>
    <n v="177562"/>
    <n v="11707"/>
    <x v="67"/>
    <n v="0.25"/>
    <n v="0.25"/>
    <n v="0"/>
    <n v="0.25"/>
    <x v="0"/>
  </r>
  <r>
    <n v="177565"/>
    <n v="11780"/>
    <x v="67"/>
    <n v="0.25"/>
    <m/>
    <n v="0.25"/>
    <n v="0.25"/>
    <x v="0"/>
  </r>
  <r>
    <n v="177566"/>
    <n v="11736"/>
    <x v="67"/>
    <n v="0.25"/>
    <n v="0.25"/>
    <n v="0"/>
    <n v="0.25"/>
    <x v="0"/>
  </r>
  <r>
    <n v="177567"/>
    <n v="10687"/>
    <x v="67"/>
    <n v="0.25"/>
    <m/>
    <n v="0"/>
    <n v="0"/>
    <x v="0"/>
  </r>
  <r>
    <n v="177568"/>
    <n v="10688"/>
    <x v="67"/>
    <n v="0.25"/>
    <m/>
    <n v="0"/>
    <n v="0"/>
    <x v="0"/>
  </r>
  <r>
    <n v="177569"/>
    <n v="10689"/>
    <x v="67"/>
    <n v="0.25"/>
    <n v="0.25"/>
    <n v="0"/>
    <n v="0.25"/>
    <x v="0"/>
  </r>
  <r>
    <n v="177644"/>
    <n v="11748"/>
    <x v="60"/>
    <n v="2.25"/>
    <n v="2.25"/>
    <n v="0"/>
    <n v="2.25"/>
    <x v="0"/>
  </r>
  <r>
    <n v="177646"/>
    <n v="11708"/>
    <x v="60"/>
    <m/>
    <n v="0.5"/>
    <m/>
    <n v="0.5"/>
    <x v="0"/>
  </r>
  <r>
    <n v="177653"/>
    <n v="11213"/>
    <x v="71"/>
    <m/>
    <n v="7.3"/>
    <m/>
    <n v="7.3"/>
    <x v="0"/>
  </r>
  <r>
    <n v="177654"/>
    <n v="11213"/>
    <x v="71"/>
    <m/>
    <n v="0.35"/>
    <m/>
    <n v="0.35"/>
    <x v="0"/>
  </r>
  <r>
    <n v="177690"/>
    <n v="11213"/>
    <x v="42"/>
    <m/>
    <n v="0.2"/>
    <m/>
    <n v="0.2"/>
    <x v="0"/>
  </r>
  <r>
    <n v="177700"/>
    <n v="10795"/>
    <x v="60"/>
    <n v="3.1"/>
    <m/>
    <n v="1"/>
    <n v="1"/>
    <x v="0"/>
  </r>
  <r>
    <n v="177704"/>
    <n v="10020"/>
    <x v="20"/>
    <n v="6.15"/>
    <n v="8.15"/>
    <n v="0"/>
    <n v="8.15"/>
    <x v="1"/>
  </r>
  <r>
    <n v="177706"/>
    <n v="10020"/>
    <x v="82"/>
    <n v="0.4"/>
    <n v="0.2"/>
    <n v="0"/>
    <n v="0.2"/>
    <x v="1"/>
  </r>
  <r>
    <n v="177707"/>
    <n v="10020"/>
    <x v="5"/>
    <n v="0.4"/>
    <n v="0.4"/>
    <n v="0"/>
    <n v="0.4"/>
    <x v="1"/>
  </r>
  <r>
    <n v="177708"/>
    <n v="10020"/>
    <x v="82"/>
    <n v="5.95"/>
    <n v="12.29"/>
    <n v="0.15"/>
    <n v="12.44"/>
    <x v="1"/>
  </r>
  <r>
    <n v="177710"/>
    <n v="10020"/>
    <x v="20"/>
    <n v="0.6"/>
    <n v="0.8"/>
    <n v="0"/>
    <n v="0.8"/>
    <x v="1"/>
  </r>
  <r>
    <n v="177711"/>
    <n v="10020"/>
    <x v="5"/>
    <n v="0.4"/>
    <m/>
    <n v="0.4"/>
    <n v="0.4"/>
    <x v="1"/>
  </r>
  <r>
    <n v="177719"/>
    <n v="11712"/>
    <x v="54"/>
    <n v="3.7"/>
    <n v="6"/>
    <n v="0"/>
    <n v="6"/>
    <x v="0"/>
  </r>
  <r>
    <n v="177720"/>
    <n v="11712"/>
    <x v="69"/>
    <n v="2.5"/>
    <n v="2.5"/>
    <n v="0"/>
    <n v="2.5"/>
    <x v="0"/>
  </r>
  <r>
    <n v="177721"/>
    <n v="10814"/>
    <x v="45"/>
    <n v="5.2"/>
    <m/>
    <n v="0"/>
    <n v="0"/>
    <x v="0"/>
  </r>
  <r>
    <n v="177722"/>
    <n v="10814"/>
    <x v="105"/>
    <n v="7.6"/>
    <n v="11.5"/>
    <n v="0"/>
    <n v="11.5"/>
    <x v="0"/>
  </r>
  <r>
    <n v="177741"/>
    <n v="10763"/>
    <x v="110"/>
    <n v="0"/>
    <n v="1.5"/>
    <n v="0"/>
    <n v="1.5"/>
    <x v="0"/>
  </r>
  <r>
    <n v="177744"/>
    <n v="11214"/>
    <x v="49"/>
    <m/>
    <n v="1.6"/>
    <m/>
    <n v="1.6"/>
    <x v="0"/>
  </r>
  <r>
    <n v="177778"/>
    <n v="10691"/>
    <x v="69"/>
    <n v="15"/>
    <n v="6.5"/>
    <n v="3.75"/>
    <n v="10.25"/>
    <x v="0"/>
  </r>
  <r>
    <n v="177840"/>
    <n v="10688"/>
    <x v="39"/>
    <n v="8.3000000000000007"/>
    <n v="2.5"/>
    <n v="0"/>
    <n v="2.5"/>
    <x v="0"/>
  </r>
  <r>
    <n v="177841"/>
    <n v="10688"/>
    <x v="39"/>
    <n v="6.2"/>
    <n v="1.5"/>
    <n v="0"/>
    <n v="1.5"/>
    <x v="0"/>
  </r>
  <r>
    <n v="177842"/>
    <n v="10815"/>
    <x v="105"/>
    <n v="11.9"/>
    <m/>
    <n v="11.9"/>
    <n v="11.9"/>
    <x v="0"/>
  </r>
  <r>
    <n v="177843"/>
    <n v="10815"/>
    <x v="105"/>
    <n v="15.5"/>
    <n v="16"/>
    <n v="0"/>
    <n v="16"/>
    <x v="0"/>
  </r>
  <r>
    <n v="177844"/>
    <n v="10815"/>
    <x v="80"/>
    <n v="5.2"/>
    <n v="4"/>
    <n v="0"/>
    <n v="4"/>
    <x v="0"/>
  </r>
  <r>
    <n v="177845"/>
    <n v="10815"/>
    <x v="45"/>
    <n v="7.8"/>
    <n v="9.1999999999999993"/>
    <n v="0"/>
    <n v="9.1999999999999993"/>
    <x v="0"/>
  </r>
  <r>
    <n v="177864"/>
    <n v="11214"/>
    <x v="43"/>
    <m/>
    <n v="0.5"/>
    <m/>
    <n v="0.5"/>
    <x v="0"/>
  </r>
  <r>
    <n v="177955"/>
    <n v="11213"/>
    <x v="42"/>
    <m/>
    <n v="0.7"/>
    <m/>
    <n v="0.7"/>
    <x v="0"/>
  </r>
  <r>
    <n v="177962"/>
    <n v="10694"/>
    <x v="69"/>
    <n v="8.3000000000000007"/>
    <n v="0.5"/>
    <n v="5.8"/>
    <n v="6.3"/>
    <x v="0"/>
  </r>
  <r>
    <n v="177964"/>
    <n v="11731"/>
    <x v="69"/>
    <n v="0.5"/>
    <n v="0.5"/>
    <n v="0"/>
    <n v="0.5"/>
    <x v="0"/>
  </r>
  <r>
    <n v="177965"/>
    <n v="11731"/>
    <x v="69"/>
    <n v="2.25"/>
    <n v="2.5"/>
    <n v="0"/>
    <n v="2.5"/>
    <x v="0"/>
  </r>
  <r>
    <n v="177977"/>
    <n v="11309"/>
    <x v="81"/>
    <n v="4"/>
    <n v="4"/>
    <n v="0"/>
    <n v="4"/>
    <x v="3"/>
  </r>
  <r>
    <n v="177978"/>
    <n v="11309"/>
    <x v="104"/>
    <n v="2.9"/>
    <n v="2.9"/>
    <n v="0"/>
    <n v="2.9"/>
    <x v="3"/>
  </r>
  <r>
    <n v="177990"/>
    <n v="10100"/>
    <x v="4"/>
    <n v="0.5"/>
    <m/>
    <n v="0"/>
    <n v="0"/>
    <x v="2"/>
  </r>
  <r>
    <n v="177991"/>
    <n v="10100"/>
    <x v="5"/>
    <n v="4.5"/>
    <n v="5.7"/>
    <n v="0.2"/>
    <n v="5.9"/>
    <x v="2"/>
  </r>
  <r>
    <n v="177992"/>
    <n v="10101"/>
    <x v="5"/>
    <m/>
    <n v="2.5"/>
    <m/>
    <n v="2.5"/>
    <x v="2"/>
  </r>
  <r>
    <n v="177995"/>
    <n v="10101"/>
    <x v="4"/>
    <m/>
    <m/>
    <m/>
    <m/>
    <x v="2"/>
  </r>
  <r>
    <n v="178018"/>
    <n v="10814"/>
    <x v="45"/>
    <n v="5.6"/>
    <n v="5.5"/>
    <n v="0"/>
    <n v="5.5"/>
    <x v="0"/>
  </r>
  <r>
    <n v="178063"/>
    <n v="10742"/>
    <x v="111"/>
    <m/>
    <m/>
    <n v="0"/>
    <n v="0"/>
    <x v="0"/>
  </r>
  <r>
    <n v="178064"/>
    <n v="10764"/>
    <x v="111"/>
    <m/>
    <m/>
    <n v="0"/>
    <n v="0"/>
    <x v="0"/>
  </r>
  <r>
    <n v="178065"/>
    <n v="10769"/>
    <x v="111"/>
    <m/>
    <m/>
    <n v="0"/>
    <n v="0"/>
    <x v="0"/>
  </r>
  <r>
    <n v="178066"/>
    <n v="10764"/>
    <x v="111"/>
    <m/>
    <m/>
    <n v="0.6"/>
    <n v="0.6"/>
    <x v="0"/>
  </r>
  <r>
    <n v="178067"/>
    <n v="10769"/>
    <x v="111"/>
    <m/>
    <m/>
    <n v="0"/>
    <n v="0"/>
    <x v="0"/>
  </r>
  <r>
    <n v="178068"/>
    <n v="10768"/>
    <x v="111"/>
    <m/>
    <m/>
    <n v="0.6"/>
    <n v="0.6"/>
    <x v="0"/>
  </r>
  <r>
    <n v="178069"/>
    <n v="10759"/>
    <x v="111"/>
    <m/>
    <m/>
    <n v="0"/>
    <n v="0"/>
    <x v="0"/>
  </r>
  <r>
    <n v="178071"/>
    <n v="10778"/>
    <x v="111"/>
    <m/>
    <m/>
    <n v="0"/>
    <n v="0"/>
    <x v="0"/>
  </r>
  <r>
    <n v="178072"/>
    <n v="10768"/>
    <x v="67"/>
    <n v="0.25"/>
    <m/>
    <n v="0"/>
    <n v="0"/>
    <x v="0"/>
  </r>
  <r>
    <n v="178074"/>
    <n v="10768"/>
    <x v="111"/>
    <m/>
    <m/>
    <n v="0"/>
    <n v="0"/>
    <x v="0"/>
  </r>
  <r>
    <n v="178075"/>
    <n v="10758"/>
    <x v="111"/>
    <m/>
    <m/>
    <n v="0"/>
    <n v="0"/>
    <x v="0"/>
  </r>
  <r>
    <n v="178076"/>
    <n v="10759"/>
    <x v="111"/>
    <m/>
    <m/>
    <n v="1.5"/>
    <n v="1.5"/>
    <x v="0"/>
  </r>
  <r>
    <n v="178080"/>
    <n v="10738"/>
    <x v="67"/>
    <n v="0"/>
    <n v="0.25"/>
    <n v="0"/>
    <n v="0.25"/>
    <x v="0"/>
  </r>
  <r>
    <n v="178081"/>
    <n v="10738"/>
    <x v="111"/>
    <n v="2.5"/>
    <m/>
    <n v="0"/>
    <n v="0"/>
    <x v="0"/>
  </r>
  <r>
    <n v="178085"/>
    <n v="10733"/>
    <x v="111"/>
    <m/>
    <m/>
    <n v="0"/>
    <n v="0"/>
    <x v="0"/>
  </r>
  <r>
    <n v="178097"/>
    <n v="10639"/>
    <x v="80"/>
    <n v="6"/>
    <n v="4"/>
    <n v="0"/>
    <n v="4"/>
    <x v="0"/>
  </r>
  <r>
    <n v="178099"/>
    <n v="10815"/>
    <x v="105"/>
    <n v="3"/>
    <m/>
    <n v="0"/>
    <n v="0"/>
    <x v="0"/>
  </r>
  <r>
    <n v="178397"/>
    <n v="11307"/>
    <x v="104"/>
    <n v="3.5"/>
    <n v="4.5"/>
    <n v="0"/>
    <n v="4.5"/>
    <x v="3"/>
  </r>
  <r>
    <n v="178398"/>
    <n v="11307"/>
    <x v="81"/>
    <n v="3.4"/>
    <n v="2.5"/>
    <n v="0"/>
    <n v="2.5"/>
    <x v="3"/>
  </r>
  <r>
    <n v="178414"/>
    <n v="11711"/>
    <x v="54"/>
    <m/>
    <m/>
    <n v="0"/>
    <n v="0"/>
    <x v="0"/>
  </r>
  <r>
    <n v="178415"/>
    <n v="10753"/>
    <x v="44"/>
    <m/>
    <n v="0"/>
    <m/>
    <n v="0"/>
    <x v="0"/>
  </r>
  <r>
    <n v="178510"/>
    <n v="10020"/>
    <x v="82"/>
    <n v="5.95"/>
    <n v="5.3"/>
    <n v="0"/>
    <n v="5.3"/>
    <x v="1"/>
  </r>
  <r>
    <n v="178512"/>
    <n v="10020"/>
    <x v="20"/>
    <n v="0.6"/>
    <n v="0.55000000000000004"/>
    <n v="0"/>
    <n v="0.55000000000000004"/>
    <x v="1"/>
  </r>
  <r>
    <n v="178513"/>
    <n v="10020"/>
    <x v="16"/>
    <n v="0.4"/>
    <m/>
    <n v="0"/>
    <n v="0"/>
    <x v="1"/>
  </r>
  <r>
    <n v="178525"/>
    <n v="11731"/>
    <x v="68"/>
    <n v="6.8"/>
    <m/>
    <n v="0"/>
    <n v="0"/>
    <x v="0"/>
  </r>
  <r>
    <n v="178527"/>
    <n v="11731"/>
    <x v="68"/>
    <n v="3.5"/>
    <n v="5.5"/>
    <n v="0"/>
    <n v="5.5"/>
    <x v="0"/>
  </r>
  <r>
    <n v="178528"/>
    <n v="11951"/>
    <x v="68"/>
    <n v="18.149999999999999"/>
    <n v="11.5"/>
    <n v="0"/>
    <n v="11.5"/>
    <x v="0"/>
  </r>
  <r>
    <n v="178529"/>
    <n v="11951"/>
    <x v="68"/>
    <n v="8.75"/>
    <n v="8.25"/>
    <n v="0"/>
    <n v="8.25"/>
    <x v="0"/>
  </r>
  <r>
    <n v="178531"/>
    <n v="10020"/>
    <x v="20"/>
    <n v="5.75"/>
    <n v="5.2"/>
    <n v="0"/>
    <n v="5.2"/>
    <x v="1"/>
  </r>
  <r>
    <n v="178533"/>
    <n v="10020"/>
    <x v="5"/>
    <n v="0.6"/>
    <n v="0.6"/>
    <n v="0"/>
    <n v="0.6"/>
    <x v="1"/>
  </r>
  <r>
    <n v="178534"/>
    <n v="10020"/>
    <x v="16"/>
    <n v="0.3"/>
    <n v="0.5"/>
    <n v="0"/>
    <n v="0.5"/>
    <x v="1"/>
  </r>
  <r>
    <n v="178550"/>
    <n v="11747"/>
    <x v="69"/>
    <n v="0.5"/>
    <n v="0.25"/>
    <n v="0"/>
    <n v="0.25"/>
    <x v="0"/>
  </r>
  <r>
    <n v="178551"/>
    <n v="11747"/>
    <x v="69"/>
    <n v="1"/>
    <n v="2.5"/>
    <n v="0"/>
    <n v="2.5"/>
    <x v="0"/>
  </r>
  <r>
    <n v="178552"/>
    <n v="11747"/>
    <x v="69"/>
    <n v="3"/>
    <n v="3"/>
    <n v="0"/>
    <n v="3"/>
    <x v="0"/>
  </r>
  <r>
    <n v="178553"/>
    <n v="11747"/>
    <x v="69"/>
    <n v="2.5"/>
    <n v="3"/>
    <n v="0"/>
    <n v="3"/>
    <x v="0"/>
  </r>
  <r>
    <n v="178555"/>
    <n v="11780"/>
    <x v="68"/>
    <n v="3.25"/>
    <n v="3.75"/>
    <n v="0"/>
    <n v="3.75"/>
    <x v="0"/>
  </r>
  <r>
    <n v="178566"/>
    <n v="11307"/>
    <x v="65"/>
    <n v="9"/>
    <n v="5"/>
    <n v="3"/>
    <n v="8"/>
    <x v="3"/>
  </r>
  <r>
    <n v="178567"/>
    <n v="11307"/>
    <x v="104"/>
    <n v="6.7"/>
    <n v="7.45"/>
    <n v="0"/>
    <n v="7.45"/>
    <x v="3"/>
  </r>
  <r>
    <n v="178568"/>
    <n v="11307"/>
    <x v="81"/>
    <n v="7"/>
    <n v="4.25"/>
    <n v="0.75"/>
    <n v="5"/>
    <x v="3"/>
  </r>
  <r>
    <n v="178594"/>
    <n v="10639"/>
    <x v="38"/>
    <m/>
    <n v="4.25"/>
    <m/>
    <n v="4.25"/>
    <x v="0"/>
  </r>
  <r>
    <n v="178598"/>
    <n v="10763"/>
    <x v="1"/>
    <m/>
    <n v="5"/>
    <n v="4"/>
    <n v="9"/>
    <x v="0"/>
  </r>
  <r>
    <n v="178599"/>
    <n v="10763"/>
    <x v="49"/>
    <m/>
    <n v="4.2"/>
    <n v="1.3"/>
    <n v="5.5"/>
    <x v="0"/>
  </r>
  <r>
    <n v="178600"/>
    <n v="10763"/>
    <x v="33"/>
    <m/>
    <m/>
    <m/>
    <m/>
    <x v="0"/>
  </r>
  <r>
    <n v="178601"/>
    <n v="11898"/>
    <x v="33"/>
    <m/>
    <m/>
    <m/>
    <m/>
    <x v="0"/>
  </r>
  <r>
    <n v="178602"/>
    <n v="11898"/>
    <x v="1"/>
    <m/>
    <n v="0.5"/>
    <m/>
    <n v="0.5"/>
    <x v="0"/>
  </r>
  <r>
    <n v="178603"/>
    <n v="11213"/>
    <x v="33"/>
    <m/>
    <m/>
    <m/>
    <m/>
    <x v="0"/>
  </r>
  <r>
    <n v="178604"/>
    <n v="11213"/>
    <x v="39"/>
    <m/>
    <n v="0.5"/>
    <m/>
    <n v="0.5"/>
    <x v="0"/>
  </r>
  <r>
    <n v="178613"/>
    <n v="10816"/>
    <x v="76"/>
    <n v="8.3000000000000007"/>
    <n v="7.8"/>
    <n v="0"/>
    <n v="7.8"/>
    <x v="0"/>
  </r>
  <r>
    <n v="178623"/>
    <n v="11731"/>
    <x v="68"/>
    <n v="1.45"/>
    <n v="1"/>
    <n v="0"/>
    <n v="1"/>
    <x v="0"/>
  </r>
  <r>
    <n v="178624"/>
    <n v="10816"/>
    <x v="35"/>
    <m/>
    <m/>
    <m/>
    <m/>
    <x v="0"/>
  </r>
  <r>
    <n v="178658"/>
    <n v="10693"/>
    <x v="55"/>
    <n v="10"/>
    <n v="5.15"/>
    <n v="6"/>
    <n v="11.15"/>
    <x v="0"/>
  </r>
  <r>
    <n v="178660"/>
    <n v="11308"/>
    <x v="104"/>
    <n v="5"/>
    <n v="1.25"/>
    <n v="8.4499999999999993"/>
    <n v="9.6999999999999993"/>
    <x v="3"/>
  </r>
  <r>
    <n v="178661"/>
    <n v="11307"/>
    <x v="81"/>
    <n v="3"/>
    <n v="3"/>
    <n v="0"/>
    <n v="3"/>
    <x v="3"/>
  </r>
  <r>
    <n v="178662"/>
    <n v="11307"/>
    <x v="104"/>
    <n v="3"/>
    <n v="3"/>
    <n v="0"/>
    <n v="3"/>
    <x v="3"/>
  </r>
  <r>
    <n v="178663"/>
    <n v="11307"/>
    <x v="104"/>
    <n v="2"/>
    <n v="2"/>
    <n v="0"/>
    <n v="2"/>
    <x v="3"/>
  </r>
  <r>
    <n v="178664"/>
    <n v="11307"/>
    <x v="81"/>
    <n v="2"/>
    <n v="2"/>
    <n v="0"/>
    <n v="2"/>
    <x v="3"/>
  </r>
  <r>
    <n v="178665"/>
    <n v="11307"/>
    <x v="81"/>
    <n v="3"/>
    <n v="3"/>
    <n v="0"/>
    <n v="3"/>
    <x v="3"/>
  </r>
  <r>
    <n v="178666"/>
    <n v="11307"/>
    <x v="104"/>
    <n v="3"/>
    <n v="3"/>
    <n v="0"/>
    <n v="3"/>
    <x v="3"/>
  </r>
  <r>
    <n v="178667"/>
    <n v="11307"/>
    <x v="104"/>
    <n v="2.4"/>
    <n v="2.4"/>
    <n v="0"/>
    <n v="2.4"/>
    <x v="3"/>
  </r>
  <r>
    <n v="178668"/>
    <n v="11307"/>
    <x v="81"/>
    <n v="2.4"/>
    <n v="2.5"/>
    <n v="0"/>
    <n v="2.5"/>
    <x v="3"/>
  </r>
  <r>
    <n v="178669"/>
    <n v="10753"/>
    <x v="71"/>
    <m/>
    <n v="6.75"/>
    <n v="0"/>
    <n v="6.75"/>
    <x v="0"/>
  </r>
  <r>
    <n v="178773"/>
    <n v="11214"/>
    <x v="51"/>
    <m/>
    <n v="0.5"/>
    <m/>
    <n v="0.5"/>
    <x v="0"/>
  </r>
  <r>
    <n v="178779"/>
    <n v="10758"/>
    <x v="52"/>
    <m/>
    <n v="0.5"/>
    <m/>
    <n v="0.5"/>
    <x v="0"/>
  </r>
  <r>
    <n v="178931"/>
    <n v="10763"/>
    <x v="72"/>
    <m/>
    <m/>
    <n v="0"/>
    <n v="0"/>
    <x v="0"/>
  </r>
  <r>
    <n v="178932"/>
    <n v="11044"/>
    <x v="77"/>
    <n v="12.4"/>
    <m/>
    <n v="0"/>
    <n v="0"/>
    <x v="0"/>
  </r>
  <r>
    <n v="178933"/>
    <n v="11044"/>
    <x v="77"/>
    <n v="6.2"/>
    <m/>
    <m/>
    <m/>
    <x v="0"/>
  </r>
  <r>
    <n v="178934"/>
    <n v="11044"/>
    <x v="77"/>
    <n v="6.2"/>
    <m/>
    <m/>
    <m/>
    <x v="0"/>
  </r>
  <r>
    <n v="178936"/>
    <n v="10816"/>
    <x v="76"/>
    <m/>
    <n v="0.25"/>
    <n v="0"/>
    <n v="0.25"/>
    <x v="0"/>
  </r>
  <r>
    <n v="178938"/>
    <n v="10816"/>
    <x v="99"/>
    <m/>
    <m/>
    <n v="0"/>
    <n v="0"/>
    <x v="0"/>
  </r>
  <r>
    <n v="179040"/>
    <n v="11307"/>
    <x v="75"/>
    <n v="5"/>
    <m/>
    <m/>
    <m/>
    <x v="3"/>
  </r>
  <r>
    <n v="179041"/>
    <n v="11309"/>
    <x v="104"/>
    <n v="6.7"/>
    <n v="7.95"/>
    <n v="0"/>
    <n v="7.95"/>
    <x v="3"/>
  </r>
  <r>
    <n v="179042"/>
    <n v="11309"/>
    <x v="75"/>
    <n v="5"/>
    <m/>
    <m/>
    <m/>
    <x v="3"/>
  </r>
  <r>
    <n v="179043"/>
    <n v="11308"/>
    <x v="75"/>
    <n v="5"/>
    <m/>
    <m/>
    <m/>
    <x v="3"/>
  </r>
  <r>
    <n v="179076"/>
    <n v="10103"/>
    <x v="23"/>
    <m/>
    <m/>
    <m/>
    <m/>
    <x v="2"/>
  </r>
  <r>
    <n v="179085"/>
    <n v="10103"/>
    <x v="23"/>
    <m/>
    <m/>
    <m/>
    <m/>
    <x v="2"/>
  </r>
  <r>
    <n v="179126"/>
    <n v="10753"/>
    <x v="44"/>
    <m/>
    <n v="0.6"/>
    <m/>
    <n v="0.6"/>
    <x v="0"/>
  </r>
  <r>
    <n v="179133"/>
    <n v="10010"/>
    <x v="112"/>
    <m/>
    <n v="0.45"/>
    <m/>
    <n v="0.45"/>
    <x v="1"/>
  </r>
  <r>
    <n v="179134"/>
    <n v="10011"/>
    <x v="112"/>
    <m/>
    <n v="17.149999999999999"/>
    <m/>
    <n v="17.149999999999999"/>
    <x v="1"/>
  </r>
  <r>
    <n v="179135"/>
    <n v="10011"/>
    <x v="108"/>
    <m/>
    <m/>
    <m/>
    <m/>
    <x v="1"/>
  </r>
  <r>
    <n v="179136"/>
    <n v="10011"/>
    <x v="112"/>
    <m/>
    <m/>
    <m/>
    <m/>
    <x v="1"/>
  </r>
  <r>
    <n v="179137"/>
    <n v="10011"/>
    <x v="112"/>
    <m/>
    <m/>
    <m/>
    <m/>
    <x v="1"/>
  </r>
  <r>
    <n v="179138"/>
    <n v="10012"/>
    <x v="112"/>
    <m/>
    <n v="14.55"/>
    <m/>
    <n v="14.55"/>
    <x v="1"/>
  </r>
  <r>
    <n v="179139"/>
    <n v="10013"/>
    <x v="112"/>
    <m/>
    <n v="0.5"/>
    <m/>
    <n v="0.5"/>
    <x v="1"/>
  </r>
  <r>
    <n v="179140"/>
    <n v="10014"/>
    <x v="112"/>
    <m/>
    <n v="5.85"/>
    <m/>
    <n v="5.85"/>
    <x v="1"/>
  </r>
  <r>
    <n v="179141"/>
    <n v="10014"/>
    <x v="112"/>
    <m/>
    <n v="3.5"/>
    <m/>
    <n v="3.5"/>
    <x v="1"/>
  </r>
  <r>
    <n v="179142"/>
    <n v="10015"/>
    <x v="112"/>
    <m/>
    <n v="4.3"/>
    <m/>
    <n v="4.3"/>
    <x v="1"/>
  </r>
  <r>
    <n v="179143"/>
    <n v="10015"/>
    <x v="112"/>
    <m/>
    <n v="7.3"/>
    <m/>
    <n v="7.3"/>
    <x v="1"/>
  </r>
  <r>
    <n v="179144"/>
    <n v="10015"/>
    <x v="112"/>
    <m/>
    <n v="1.95"/>
    <m/>
    <n v="1.95"/>
    <x v="1"/>
  </r>
  <r>
    <n v="179145"/>
    <n v="10015"/>
    <x v="112"/>
    <m/>
    <n v="2.5499999999999998"/>
    <m/>
    <n v="2.5499999999999998"/>
    <x v="1"/>
  </r>
  <r>
    <n v="179146"/>
    <n v="10019"/>
    <x v="112"/>
    <m/>
    <m/>
    <m/>
    <m/>
    <x v="1"/>
  </r>
  <r>
    <n v="179311"/>
    <n v="11307"/>
    <x v="65"/>
    <n v="20.8"/>
    <n v="22.5"/>
    <n v="0"/>
    <n v="22.5"/>
    <x v="3"/>
  </r>
  <r>
    <n v="179312"/>
    <n v="11307"/>
    <x v="81"/>
    <n v="0"/>
    <n v="4"/>
    <n v="0"/>
    <n v="4"/>
    <x v="3"/>
  </r>
  <r>
    <n v="179324"/>
    <n v="11214"/>
    <x v="49"/>
    <m/>
    <n v="0.6"/>
    <m/>
    <n v="0.6"/>
    <x v="0"/>
  </r>
  <r>
    <n v="179810"/>
    <n v="11213"/>
    <x v="42"/>
    <m/>
    <n v="0.7"/>
    <m/>
    <n v="0.7"/>
    <x v="0"/>
  </r>
  <r>
    <n v="179811"/>
    <n v="11214"/>
    <x v="42"/>
    <m/>
    <n v="0.35"/>
    <m/>
    <n v="0.35"/>
    <x v="0"/>
  </r>
  <r>
    <n v="179812"/>
    <n v="10100"/>
    <x v="5"/>
    <n v="4.5"/>
    <n v="5.4"/>
    <n v="0"/>
    <n v="5.4"/>
    <x v="2"/>
  </r>
  <r>
    <n v="179867"/>
    <n v="11736"/>
    <x v="60"/>
    <n v="2"/>
    <n v="2"/>
    <n v="0"/>
    <n v="2"/>
    <x v="0"/>
  </r>
  <r>
    <n v="179868"/>
    <n v="11736"/>
    <x v="60"/>
    <n v="6.5"/>
    <n v="6.5"/>
    <n v="0"/>
    <n v="6.5"/>
    <x v="0"/>
  </r>
  <r>
    <n v="179869"/>
    <n v="11736"/>
    <x v="60"/>
    <n v="6"/>
    <n v="6"/>
    <n v="0"/>
    <n v="6"/>
    <x v="0"/>
  </r>
  <r>
    <n v="179870"/>
    <n v="11736"/>
    <x v="60"/>
    <n v="5.6"/>
    <n v="7.5"/>
    <n v="0"/>
    <n v="7.5"/>
    <x v="0"/>
  </r>
  <r>
    <n v="179871"/>
    <n v="10814"/>
    <x v="105"/>
    <m/>
    <n v="15"/>
    <n v="0"/>
    <n v="15"/>
    <x v="0"/>
  </r>
  <r>
    <n v="179904"/>
    <n v="10708"/>
    <x v="67"/>
    <m/>
    <n v="0.25"/>
    <m/>
    <n v="0.25"/>
    <x v="0"/>
  </r>
  <r>
    <n v="179973"/>
    <n v="10816"/>
    <x v="67"/>
    <n v="0"/>
    <m/>
    <n v="0"/>
    <n v="0"/>
    <x v="0"/>
  </r>
  <r>
    <n v="179978"/>
    <n v="11308"/>
    <x v="104"/>
    <m/>
    <n v="2"/>
    <n v="0"/>
    <n v="2"/>
    <x v="3"/>
  </r>
  <r>
    <n v="179979"/>
    <n v="11214"/>
    <x v="50"/>
    <m/>
    <n v="2.25"/>
    <n v="0"/>
    <n v="2.25"/>
    <x v="0"/>
  </r>
  <r>
    <n v="179995"/>
    <n v="10020"/>
    <x v="82"/>
    <n v="0.3"/>
    <n v="0.45"/>
    <n v="0"/>
    <n v="0.45"/>
    <x v="1"/>
  </r>
  <r>
    <n v="179996"/>
    <n v="11309"/>
    <x v="35"/>
    <m/>
    <m/>
    <m/>
    <m/>
    <x v="3"/>
  </r>
  <r>
    <n v="179997"/>
    <n v="11307"/>
    <x v="35"/>
    <m/>
    <n v="0"/>
    <n v="0"/>
    <n v="0"/>
    <x v="3"/>
  </r>
  <r>
    <n v="179998"/>
    <n v="11711"/>
    <x v="99"/>
    <n v="16.600000000000001"/>
    <m/>
    <m/>
    <m/>
    <x v="0"/>
  </r>
  <r>
    <n v="179999"/>
    <n v="11711"/>
    <x v="99"/>
    <n v="6.2"/>
    <m/>
    <m/>
    <m/>
    <x v="0"/>
  </r>
  <r>
    <n v="180000"/>
    <n v="11711"/>
    <x v="99"/>
    <n v="4.0999999999999996"/>
    <m/>
    <m/>
    <m/>
    <x v="0"/>
  </r>
  <r>
    <n v="180006"/>
    <n v="10763"/>
    <x v="113"/>
    <n v="10"/>
    <n v="58.4"/>
    <n v="25.6"/>
    <n v="84"/>
    <x v="0"/>
  </r>
  <r>
    <n v="180136"/>
    <n v="11926"/>
    <x v="93"/>
    <n v="31.1"/>
    <m/>
    <m/>
    <m/>
    <x v="0"/>
  </r>
  <r>
    <n v="180154"/>
    <n v="10755"/>
    <x v="44"/>
    <n v="2.5"/>
    <n v="1"/>
    <n v="0"/>
    <n v="1"/>
    <x v="0"/>
  </r>
  <r>
    <n v="180456"/>
    <n v="10732"/>
    <x v="67"/>
    <m/>
    <n v="0.25"/>
    <m/>
    <n v="0.25"/>
    <x v="0"/>
  </r>
  <r>
    <n v="180468"/>
    <n v="10814"/>
    <x v="105"/>
    <m/>
    <n v="1.5"/>
    <n v="0"/>
    <n v="1.5"/>
    <x v="0"/>
  </r>
  <r>
    <n v="180469"/>
    <n v="10814"/>
    <x v="105"/>
    <m/>
    <n v="1.5"/>
    <n v="0"/>
    <n v="1.5"/>
    <x v="0"/>
  </r>
  <r>
    <n v="180471"/>
    <n v="11214"/>
    <x v="51"/>
    <m/>
    <n v="1.5"/>
    <m/>
    <n v="1.5"/>
    <x v="0"/>
  </r>
  <r>
    <n v="180472"/>
    <n v="11921"/>
    <x v="94"/>
    <n v="1.8"/>
    <n v="4.8"/>
    <n v="0"/>
    <n v="4.8"/>
    <x v="0"/>
  </r>
  <r>
    <n v="180473"/>
    <n v="11921"/>
    <x v="94"/>
    <n v="3"/>
    <n v="1"/>
    <n v="0"/>
    <n v="1"/>
    <x v="0"/>
  </r>
  <r>
    <n v="180475"/>
    <n v="11921"/>
    <x v="94"/>
    <n v="2.75"/>
    <n v="2.75"/>
    <n v="0"/>
    <n v="2.75"/>
    <x v="0"/>
  </r>
  <r>
    <n v="180477"/>
    <n v="11213"/>
    <x v="44"/>
    <m/>
    <n v="0.15"/>
    <m/>
    <n v="0.15"/>
    <x v="0"/>
  </r>
  <r>
    <n v="180478"/>
    <n v="10097"/>
    <x v="108"/>
    <m/>
    <n v="1"/>
    <m/>
    <n v="1"/>
    <x v="2"/>
  </r>
  <r>
    <n v="180480"/>
    <n v="10010"/>
    <x v="114"/>
    <m/>
    <m/>
    <m/>
    <m/>
    <x v="1"/>
  </r>
  <r>
    <n v="180496"/>
    <n v="11214"/>
    <x v="43"/>
    <m/>
    <n v="0"/>
    <n v="0"/>
    <n v="0"/>
    <x v="0"/>
  </r>
  <r>
    <n v="180497"/>
    <n v="10100"/>
    <x v="5"/>
    <n v="2"/>
    <n v="2.9"/>
    <n v="0.5"/>
    <n v="3.4"/>
    <x v="2"/>
  </r>
  <r>
    <n v="180498"/>
    <n v="10100"/>
    <x v="108"/>
    <n v="2"/>
    <n v="1"/>
    <n v="0"/>
    <n v="1"/>
    <x v="2"/>
  </r>
  <r>
    <n v="180519"/>
    <n v="10020"/>
    <x v="16"/>
    <n v="0.3"/>
    <n v="0.1"/>
    <n v="0"/>
    <n v="0.1"/>
    <x v="1"/>
  </r>
  <r>
    <n v="180529"/>
    <n v="10020"/>
    <x v="16"/>
    <n v="6"/>
    <n v="6.4"/>
    <n v="0.3"/>
    <n v="6.7"/>
    <x v="1"/>
  </r>
  <r>
    <n v="180530"/>
    <n v="10020"/>
    <x v="82"/>
    <n v="0.35"/>
    <n v="0.3"/>
    <n v="0"/>
    <n v="0.3"/>
    <x v="1"/>
  </r>
  <r>
    <n v="180531"/>
    <n v="10020"/>
    <x v="20"/>
    <n v="0.6"/>
    <n v="1.3"/>
    <n v="0"/>
    <n v="1.3"/>
    <x v="1"/>
  </r>
  <r>
    <n v="180532"/>
    <n v="10020"/>
    <x v="82"/>
    <n v="6"/>
    <n v="6.4"/>
    <n v="0"/>
    <n v="6.4"/>
    <x v="1"/>
  </r>
  <r>
    <n v="180535"/>
    <n v="10020"/>
    <x v="20"/>
    <n v="0.6"/>
    <n v="1.25"/>
    <n v="0"/>
    <n v="1.25"/>
    <x v="1"/>
  </r>
  <r>
    <n v="180549"/>
    <n v="10769"/>
    <x v="115"/>
    <m/>
    <n v="0.5"/>
    <m/>
    <n v="0.5"/>
    <x v="0"/>
  </r>
  <r>
    <n v="180559"/>
    <n v="11719"/>
    <x v="52"/>
    <n v="1"/>
    <n v="1"/>
    <n v="0"/>
    <n v="1"/>
    <x v="0"/>
  </r>
  <r>
    <n v="180596"/>
    <n v="10759"/>
    <x v="67"/>
    <m/>
    <n v="0.25"/>
    <m/>
    <n v="0.25"/>
    <x v="0"/>
  </r>
  <r>
    <n v="180597"/>
    <n v="10769"/>
    <x v="67"/>
    <m/>
    <n v="0.25"/>
    <m/>
    <n v="0.25"/>
    <x v="0"/>
  </r>
  <r>
    <n v="180598"/>
    <n v="10764"/>
    <x v="67"/>
    <m/>
    <n v="0.25"/>
    <m/>
    <n v="0.25"/>
    <x v="0"/>
  </r>
  <r>
    <n v="180599"/>
    <n v="10720"/>
    <x v="72"/>
    <n v="2.5"/>
    <m/>
    <n v="0"/>
    <n v="0"/>
    <x v="0"/>
  </r>
  <r>
    <n v="180619"/>
    <n v="10758"/>
    <x v="9"/>
    <m/>
    <n v="4.2"/>
    <n v="0"/>
    <n v="4.2"/>
    <x v="0"/>
  </r>
  <r>
    <n v="180736"/>
    <n v="10639"/>
    <x v="94"/>
    <m/>
    <n v="0.5"/>
    <n v="0.5"/>
    <n v="1"/>
    <x v="0"/>
  </r>
  <r>
    <n v="180750"/>
    <n v="10759"/>
    <x v="9"/>
    <m/>
    <n v="1.7"/>
    <m/>
    <n v="1.7"/>
    <x v="0"/>
  </r>
  <r>
    <n v="180751"/>
    <n v="10769"/>
    <x v="9"/>
    <m/>
    <n v="2.4"/>
    <m/>
    <n v="2.4"/>
    <x v="0"/>
  </r>
  <r>
    <n v="180752"/>
    <n v="10759"/>
    <x v="9"/>
    <m/>
    <m/>
    <m/>
    <m/>
    <x v="0"/>
  </r>
  <r>
    <n v="180766"/>
    <n v="11213"/>
    <x v="9"/>
    <m/>
    <n v="8.4"/>
    <n v="0"/>
    <n v="8.4"/>
    <x v="0"/>
  </r>
  <r>
    <n v="180807"/>
    <n v="11213"/>
    <x v="9"/>
    <m/>
    <n v="2.9"/>
    <n v="0"/>
    <n v="2.9"/>
    <x v="0"/>
  </r>
  <r>
    <n v="180808"/>
    <n v="11213"/>
    <x v="9"/>
    <m/>
    <n v="3.3"/>
    <m/>
    <n v="3.3"/>
    <x v="0"/>
  </r>
  <r>
    <n v="180815"/>
    <n v="11213"/>
    <x v="9"/>
    <m/>
    <n v="0.5"/>
    <n v="11.4"/>
    <n v="11.9"/>
    <x v="0"/>
  </r>
  <r>
    <n v="180841"/>
    <n v="11051"/>
    <x v="52"/>
    <n v="7.8"/>
    <n v="10"/>
    <n v="0"/>
    <n v="10"/>
    <x v="0"/>
  </r>
  <r>
    <n v="180934"/>
    <n v="10011"/>
    <x v="114"/>
    <m/>
    <m/>
    <m/>
    <m/>
    <x v="1"/>
  </r>
  <r>
    <n v="180935"/>
    <n v="10012"/>
    <x v="114"/>
    <m/>
    <n v="9.93"/>
    <m/>
    <n v="9.93"/>
    <x v="1"/>
  </r>
  <r>
    <n v="180936"/>
    <n v="10014"/>
    <x v="114"/>
    <m/>
    <n v="9.6999999999999993"/>
    <m/>
    <n v="9.6999999999999993"/>
    <x v="1"/>
  </r>
  <r>
    <n v="180937"/>
    <n v="10014"/>
    <x v="114"/>
    <m/>
    <n v="7.0000000000000007E-2"/>
    <m/>
    <n v="7.0000000000000007E-2"/>
    <x v="1"/>
  </r>
  <r>
    <n v="180938"/>
    <n v="10015"/>
    <x v="114"/>
    <m/>
    <n v="6.94"/>
    <m/>
    <n v="6.94"/>
    <x v="1"/>
  </r>
  <r>
    <n v="180939"/>
    <n v="10015"/>
    <x v="114"/>
    <m/>
    <m/>
    <m/>
    <m/>
    <x v="1"/>
  </r>
  <r>
    <n v="180940"/>
    <n v="10015"/>
    <x v="112"/>
    <m/>
    <m/>
    <m/>
    <m/>
    <x v="1"/>
  </r>
  <r>
    <n v="180941"/>
    <n v="10015"/>
    <x v="114"/>
    <m/>
    <n v="10.25"/>
    <m/>
    <n v="10.25"/>
    <x v="1"/>
  </r>
  <r>
    <n v="180942"/>
    <n v="10015"/>
    <x v="114"/>
    <m/>
    <n v="0.69"/>
    <m/>
    <n v="0.69"/>
    <x v="1"/>
  </r>
  <r>
    <n v="180943"/>
    <n v="10015"/>
    <x v="114"/>
    <m/>
    <n v="0.37"/>
    <m/>
    <n v="0.37"/>
    <x v="1"/>
  </r>
  <r>
    <n v="180944"/>
    <n v="10097"/>
    <x v="114"/>
    <m/>
    <n v="3.57"/>
    <m/>
    <n v="3.57"/>
    <x v="2"/>
  </r>
  <r>
    <n v="180954"/>
    <n v="11214"/>
    <x v="44"/>
    <m/>
    <n v="0.55000000000000004"/>
    <m/>
    <n v="0.55000000000000004"/>
    <x v="0"/>
  </r>
  <r>
    <n v="181246"/>
    <n v="10100"/>
    <x v="108"/>
    <m/>
    <n v="9.75"/>
    <n v="0.5"/>
    <n v="10.25"/>
    <x v="2"/>
  </r>
  <r>
    <n v="182144"/>
    <n v="10100"/>
    <x v="5"/>
    <n v="4.37"/>
    <m/>
    <n v="0"/>
    <n v="0"/>
    <x v="2"/>
  </r>
  <r>
    <n v="182145"/>
    <n v="10100"/>
    <x v="5"/>
    <n v="0.5"/>
    <n v="3.5"/>
    <n v="0.4"/>
    <n v="3.9"/>
    <x v="2"/>
  </r>
  <r>
    <n v="182146"/>
    <n v="10020"/>
    <x v="5"/>
    <m/>
    <n v="0.5"/>
    <m/>
    <n v="0.5"/>
    <x v="1"/>
  </r>
  <r>
    <n v="182147"/>
    <n v="11707"/>
    <x v="68"/>
    <n v="1.85"/>
    <m/>
    <n v="1.85"/>
    <n v="1.85"/>
    <x v="0"/>
  </r>
  <r>
    <n v="182148"/>
    <n v="11708"/>
    <x v="53"/>
    <n v="0.75"/>
    <m/>
    <n v="0"/>
    <n v="0"/>
    <x v="0"/>
  </r>
  <r>
    <n v="182149"/>
    <n v="10816"/>
    <x v="38"/>
    <m/>
    <n v="1"/>
    <n v="0"/>
    <n v="1"/>
    <x v="0"/>
  </r>
  <r>
    <n v="182150"/>
    <n v="10011"/>
    <x v="116"/>
    <m/>
    <n v="5"/>
    <m/>
    <n v="5"/>
    <x v="1"/>
  </r>
  <r>
    <n v="182151"/>
    <n v="10019"/>
    <x v="116"/>
    <m/>
    <n v="19"/>
    <m/>
    <n v="19"/>
    <x v="1"/>
  </r>
  <r>
    <n v="182152"/>
    <n v="10019"/>
    <x v="116"/>
    <m/>
    <n v="19"/>
    <n v="20.5"/>
    <n v="39.5"/>
    <x v="1"/>
  </r>
  <r>
    <n v="182154"/>
    <n v="10814"/>
    <x v="38"/>
    <m/>
    <n v="0.5"/>
    <n v="0"/>
    <n v="0.5"/>
    <x v="0"/>
  </r>
  <r>
    <n v="182155"/>
    <n v="11711"/>
    <x v="38"/>
    <m/>
    <n v="5"/>
    <n v="0"/>
    <n v="5"/>
    <x v="0"/>
  </r>
  <r>
    <n v="182201"/>
    <n v="11741"/>
    <x v="73"/>
    <n v="2"/>
    <n v="1.7"/>
    <n v="0"/>
    <n v="1.7"/>
    <x v="0"/>
  </r>
  <r>
    <n v="182203"/>
    <n v="11741"/>
    <x v="73"/>
    <n v="1"/>
    <n v="1.1000000000000001"/>
    <n v="0"/>
    <n v="1.1000000000000001"/>
    <x v="0"/>
  </r>
  <r>
    <n v="182204"/>
    <n v="11719"/>
    <x v="73"/>
    <n v="4.3"/>
    <n v="7.5"/>
    <n v="0"/>
    <n v="7.5"/>
    <x v="0"/>
  </r>
  <r>
    <n v="182237"/>
    <n v="10763"/>
    <x v="117"/>
    <m/>
    <n v="24"/>
    <n v="13.5"/>
    <n v="37.5"/>
    <x v="0"/>
  </r>
  <r>
    <n v="182247"/>
    <n v="10763"/>
    <x v="117"/>
    <n v="9.8000000000000007"/>
    <n v="2.1"/>
    <n v="0"/>
    <n v="2.1"/>
    <x v="0"/>
  </r>
  <r>
    <n v="182291"/>
    <n v="10814"/>
    <x v="45"/>
    <n v="0"/>
    <n v="3.5"/>
    <n v="0"/>
    <n v="3.5"/>
    <x v="0"/>
  </r>
  <r>
    <n v="182292"/>
    <n v="10814"/>
    <x v="80"/>
    <n v="6.2"/>
    <n v="5"/>
    <n v="0"/>
    <n v="5"/>
    <x v="0"/>
  </r>
  <r>
    <n v="182293"/>
    <n v="10814"/>
    <x v="45"/>
    <n v="3.85"/>
    <m/>
    <n v="0"/>
    <n v="0"/>
    <x v="0"/>
  </r>
  <r>
    <n v="182294"/>
    <n v="10814"/>
    <x v="105"/>
    <m/>
    <n v="1"/>
    <n v="0"/>
    <n v="1"/>
    <x v="0"/>
  </r>
  <r>
    <n v="182295"/>
    <n v="10814"/>
    <x v="105"/>
    <n v="0"/>
    <m/>
    <n v="0"/>
    <n v="0"/>
    <x v="0"/>
  </r>
  <r>
    <n v="182296"/>
    <n v="10814"/>
    <x v="80"/>
    <m/>
    <n v="5.5"/>
    <n v="0"/>
    <n v="5.5"/>
    <x v="0"/>
  </r>
  <r>
    <n v="182297"/>
    <n v="10814"/>
    <x v="80"/>
    <n v="0"/>
    <n v="3"/>
    <n v="0"/>
    <n v="3"/>
    <x v="0"/>
  </r>
  <r>
    <n v="182949"/>
    <n v="11742"/>
    <x v="73"/>
    <n v="8.3000000000000007"/>
    <n v="5.7"/>
    <n v="0"/>
    <n v="5.7"/>
    <x v="0"/>
  </r>
  <r>
    <n v="182950"/>
    <n v="11743"/>
    <x v="73"/>
    <n v="6.2"/>
    <n v="5.4"/>
    <n v="0.8"/>
    <n v="6.2"/>
    <x v="0"/>
  </r>
  <r>
    <n v="182973"/>
    <n v="10011"/>
    <x v="114"/>
    <m/>
    <n v="11.98"/>
    <m/>
    <n v="11.98"/>
    <x v="1"/>
  </r>
  <r>
    <n v="183000"/>
    <n v="10100"/>
    <x v="5"/>
    <n v="4.5"/>
    <n v="2.6"/>
    <n v="0"/>
    <n v="2.6"/>
    <x v="2"/>
  </r>
  <r>
    <n v="183002"/>
    <n v="10100"/>
    <x v="7"/>
    <n v="0.5"/>
    <m/>
    <n v="0"/>
    <n v="0"/>
    <x v="2"/>
  </r>
  <r>
    <n v="183003"/>
    <n v="10100"/>
    <x v="5"/>
    <n v="0.5"/>
    <m/>
    <n v="0"/>
    <n v="0"/>
    <x v="2"/>
  </r>
  <r>
    <n v="183024"/>
    <n v="10815"/>
    <x v="45"/>
    <n v="3"/>
    <n v="3"/>
    <n v="0"/>
    <n v="3"/>
    <x v="0"/>
  </r>
  <r>
    <n v="183036"/>
    <n v="11213"/>
    <x v="9"/>
    <m/>
    <n v="2.2000000000000002"/>
    <m/>
    <n v="2.2000000000000002"/>
    <x v="0"/>
  </r>
  <r>
    <n v="183128"/>
    <n v="10689"/>
    <x v="54"/>
    <m/>
    <n v="11.4"/>
    <n v="0"/>
    <n v="11.4"/>
    <x v="0"/>
  </r>
  <r>
    <n v="183160"/>
    <n v="10096"/>
    <x v="23"/>
    <m/>
    <n v="0.1"/>
    <m/>
    <n v="0.1"/>
    <x v="2"/>
  </r>
  <r>
    <n v="183162"/>
    <n v="10720"/>
    <x v="40"/>
    <n v="0"/>
    <n v="6"/>
    <n v="0"/>
    <n v="6"/>
    <x v="0"/>
  </r>
  <r>
    <n v="183163"/>
    <n v="11213"/>
    <x v="49"/>
    <m/>
    <n v="0.5"/>
    <m/>
    <n v="0.5"/>
    <x v="0"/>
  </r>
  <r>
    <n v="183176"/>
    <n v="10020"/>
    <x v="20"/>
    <n v="5.85"/>
    <n v="1"/>
    <n v="0"/>
    <n v="1"/>
    <x v="1"/>
  </r>
  <r>
    <n v="183178"/>
    <n v="10020"/>
    <x v="82"/>
    <n v="0.4"/>
    <m/>
    <n v="0.4"/>
    <n v="0.4"/>
    <x v="1"/>
  </r>
  <r>
    <n v="183179"/>
    <n v="10020"/>
    <x v="5"/>
    <n v="0.4"/>
    <n v="0.3"/>
    <n v="0.1"/>
    <n v="0.4"/>
    <x v="1"/>
  </r>
  <r>
    <n v="183183"/>
    <n v="10733"/>
    <x v="117"/>
    <m/>
    <n v="0.5"/>
    <m/>
    <n v="0.5"/>
    <x v="0"/>
  </r>
  <r>
    <n v="183184"/>
    <n v="10020"/>
    <x v="82"/>
    <n v="0.3"/>
    <n v="3.9"/>
    <n v="1.3"/>
    <n v="5.2"/>
    <x v="1"/>
  </r>
  <r>
    <n v="183185"/>
    <n v="11213"/>
    <x v="71"/>
    <m/>
    <n v="6.9"/>
    <m/>
    <n v="6.9"/>
    <x v="0"/>
  </r>
  <r>
    <n v="183200"/>
    <n v="10720"/>
    <x v="42"/>
    <m/>
    <n v="13.8"/>
    <m/>
    <n v="13.8"/>
    <x v="0"/>
  </r>
  <r>
    <n v="183202"/>
    <n v="10732"/>
    <x v="117"/>
    <m/>
    <n v="4.9000000000000004"/>
    <m/>
    <n v="4.9000000000000004"/>
    <x v="0"/>
  </r>
  <r>
    <n v="183203"/>
    <n v="10733"/>
    <x v="117"/>
    <m/>
    <n v="1"/>
    <m/>
    <n v="1"/>
    <x v="0"/>
  </r>
  <r>
    <n v="183204"/>
    <n v="10732"/>
    <x v="117"/>
    <m/>
    <n v="1.5"/>
    <n v="1.5"/>
    <n v="3"/>
    <x v="0"/>
  </r>
  <r>
    <n v="183206"/>
    <n v="10783"/>
    <x v="2"/>
    <m/>
    <n v="1.25"/>
    <n v="0"/>
    <n v="1.25"/>
    <x v="0"/>
  </r>
  <r>
    <n v="183209"/>
    <n v="10688"/>
    <x v="39"/>
    <n v="4.0999999999999996"/>
    <m/>
    <n v="0"/>
    <n v="0"/>
    <x v="0"/>
  </r>
  <r>
    <n v="183212"/>
    <n v="10738"/>
    <x v="72"/>
    <n v="6.4"/>
    <m/>
    <m/>
    <m/>
    <x v="0"/>
  </r>
  <r>
    <n v="183213"/>
    <n v="10755"/>
    <x v="72"/>
    <n v="6.4"/>
    <m/>
    <n v="0"/>
    <n v="0"/>
    <x v="0"/>
  </r>
  <r>
    <n v="183216"/>
    <n v="10763"/>
    <x v="72"/>
    <n v="88.2"/>
    <m/>
    <n v="0"/>
    <n v="0"/>
    <x v="0"/>
  </r>
  <r>
    <n v="183304"/>
    <n v="10725"/>
    <x v="44"/>
    <m/>
    <n v="1"/>
    <n v="0"/>
    <n v="1"/>
    <x v="0"/>
  </r>
  <r>
    <n v="183305"/>
    <n v="10725"/>
    <x v="40"/>
    <n v="9.8000000000000007"/>
    <n v="1.55"/>
    <n v="0"/>
    <n v="1.55"/>
    <x v="0"/>
  </r>
  <r>
    <n v="183391"/>
    <n v="10814"/>
    <x v="80"/>
    <n v="6"/>
    <m/>
    <n v="0"/>
    <n v="0"/>
    <x v="0"/>
  </r>
  <r>
    <n v="183431"/>
    <n v="11213"/>
    <x v="49"/>
    <m/>
    <n v="0.6"/>
    <m/>
    <n v="0.6"/>
    <x v="0"/>
  </r>
  <r>
    <n v="183498"/>
    <n v="11309"/>
    <x v="104"/>
    <n v="5"/>
    <n v="5.8"/>
    <n v="0"/>
    <n v="5.8"/>
    <x v="3"/>
  </r>
  <r>
    <n v="183499"/>
    <n v="11309"/>
    <x v="81"/>
    <n v="2"/>
    <n v="1"/>
    <n v="0"/>
    <n v="1"/>
    <x v="3"/>
  </r>
  <r>
    <n v="183509"/>
    <n v="10814"/>
    <x v="67"/>
    <n v="0.25"/>
    <m/>
    <n v="0"/>
    <n v="0"/>
    <x v="0"/>
  </r>
  <r>
    <n v="183514"/>
    <n v="10020"/>
    <x v="82"/>
    <n v="6"/>
    <n v="4.32"/>
    <n v="1.48"/>
    <n v="5.8"/>
    <x v="1"/>
  </r>
  <r>
    <n v="183517"/>
    <n v="10020"/>
    <x v="16"/>
    <n v="0.3"/>
    <m/>
    <n v="0.5"/>
    <n v="0.5"/>
    <x v="1"/>
  </r>
  <r>
    <n v="183518"/>
    <n v="10020"/>
    <x v="20"/>
    <n v="0.65"/>
    <n v="0.8"/>
    <n v="0"/>
    <n v="0.8"/>
    <x v="1"/>
  </r>
  <r>
    <n v="183546"/>
    <n v="10639"/>
    <x v="118"/>
    <m/>
    <n v="0.5"/>
    <m/>
    <n v="0.5"/>
    <x v="0"/>
  </r>
  <r>
    <n v="183557"/>
    <n v="10719"/>
    <x v="51"/>
    <n v="0"/>
    <n v="0.25"/>
    <n v="0"/>
    <n v="0.25"/>
    <x v="0"/>
  </r>
  <r>
    <n v="183558"/>
    <n v="11213"/>
    <x v="34"/>
    <m/>
    <m/>
    <m/>
    <m/>
    <x v="0"/>
  </r>
  <r>
    <n v="183572"/>
    <n v="11736"/>
    <x v="113"/>
    <n v="1.8"/>
    <n v="1.8"/>
    <n v="0"/>
    <n v="1.8"/>
    <x v="0"/>
  </r>
  <r>
    <n v="183630"/>
    <n v="11213"/>
    <x v="51"/>
    <m/>
    <n v="2.5"/>
    <m/>
    <n v="2.5"/>
    <x v="0"/>
  </r>
  <r>
    <n v="183662"/>
    <n v="11213"/>
    <x v="44"/>
    <m/>
    <n v="0.6"/>
    <m/>
    <n v="0.6"/>
    <x v="0"/>
  </r>
  <r>
    <n v="183681"/>
    <n v="11308"/>
    <x v="35"/>
    <m/>
    <m/>
    <m/>
    <m/>
    <x v="3"/>
  </r>
  <r>
    <n v="183719"/>
    <n v="11309"/>
    <x v="81"/>
    <n v="2"/>
    <n v="2"/>
    <n v="0"/>
    <n v="2"/>
    <x v="3"/>
  </r>
  <r>
    <n v="183720"/>
    <n v="11309"/>
    <x v="104"/>
    <n v="4.9000000000000004"/>
    <n v="2.85"/>
    <n v="0"/>
    <n v="2.85"/>
    <x v="3"/>
  </r>
  <r>
    <n v="183721"/>
    <n v="11309"/>
    <x v="104"/>
    <n v="4"/>
    <m/>
    <n v="0"/>
    <n v="0"/>
    <x v="3"/>
  </r>
  <r>
    <n v="183722"/>
    <n v="11309"/>
    <x v="81"/>
    <n v="3"/>
    <n v="2"/>
    <n v="0"/>
    <n v="2"/>
    <x v="3"/>
  </r>
  <r>
    <n v="183723"/>
    <n v="11309"/>
    <x v="104"/>
    <n v="5"/>
    <n v="3.75"/>
    <n v="1.25"/>
    <n v="5"/>
    <x v="3"/>
  </r>
  <r>
    <n v="183724"/>
    <n v="11309"/>
    <x v="81"/>
    <n v="2"/>
    <m/>
    <n v="2"/>
    <n v="2"/>
    <x v="3"/>
  </r>
  <r>
    <n v="183725"/>
    <n v="11309"/>
    <x v="65"/>
    <n v="6.9"/>
    <n v="5"/>
    <n v="0"/>
    <n v="5"/>
    <x v="3"/>
  </r>
  <r>
    <n v="183726"/>
    <n v="11308"/>
    <x v="104"/>
    <n v="5.4"/>
    <n v="2.35"/>
    <n v="0"/>
    <n v="2.35"/>
    <x v="3"/>
  </r>
  <r>
    <n v="183727"/>
    <n v="11308"/>
    <x v="81"/>
    <n v="1.5"/>
    <m/>
    <n v="0"/>
    <n v="0"/>
    <x v="3"/>
  </r>
  <r>
    <n v="183728"/>
    <n v="11308"/>
    <x v="65"/>
    <n v="2"/>
    <n v="2"/>
    <n v="0"/>
    <n v="2"/>
    <x v="3"/>
  </r>
  <r>
    <n v="183729"/>
    <n v="11308"/>
    <x v="65"/>
    <n v="1"/>
    <n v="2.5"/>
    <n v="0"/>
    <n v="2.5"/>
    <x v="3"/>
  </r>
  <r>
    <n v="183730"/>
    <n v="10814"/>
    <x v="80"/>
    <n v="10.4"/>
    <n v="1"/>
    <n v="9.4"/>
    <n v="10.4"/>
    <x v="0"/>
  </r>
  <r>
    <n v="183731"/>
    <n v="10814"/>
    <x v="99"/>
    <n v="10.4"/>
    <m/>
    <n v="0"/>
    <n v="10.4"/>
    <x v="0"/>
  </r>
  <r>
    <n v="183733"/>
    <n v="10814"/>
    <x v="45"/>
    <n v="5.2"/>
    <m/>
    <n v="0"/>
    <n v="5.2"/>
    <x v="0"/>
  </r>
  <r>
    <n v="183735"/>
    <n v="11051"/>
    <x v="61"/>
    <n v="8.9"/>
    <n v="21"/>
    <n v="0"/>
    <n v="21"/>
    <x v="0"/>
  </r>
  <r>
    <n v="183737"/>
    <n v="11051"/>
    <x v="61"/>
    <n v="7.8"/>
    <n v="15"/>
    <n v="0"/>
    <n v="15"/>
    <x v="0"/>
  </r>
  <r>
    <n v="183746"/>
    <n v="11731"/>
    <x v="68"/>
    <n v="2.95"/>
    <n v="0"/>
    <n v="0"/>
    <n v="0"/>
    <x v="0"/>
  </r>
  <r>
    <n v="183777"/>
    <n v="11743"/>
    <x v="97"/>
    <n v="0.2"/>
    <m/>
    <n v="0"/>
    <n v="0"/>
    <x v="0"/>
  </r>
  <r>
    <n v="183836"/>
    <n v="11308"/>
    <x v="81"/>
    <n v="5.9"/>
    <n v="5.5"/>
    <n v="0"/>
    <n v="5.5"/>
    <x v="3"/>
  </r>
  <r>
    <n v="184316"/>
    <n v="10769"/>
    <x v="67"/>
    <m/>
    <n v="0.25"/>
    <m/>
    <n v="0.25"/>
    <x v="0"/>
  </r>
  <r>
    <n v="184371"/>
    <n v="11731"/>
    <x v="94"/>
    <n v="2.1"/>
    <n v="3.8"/>
    <n v="0"/>
    <n v="3.8"/>
    <x v="0"/>
  </r>
  <r>
    <n v="184372"/>
    <n v="11921"/>
    <x v="73"/>
    <n v="1"/>
    <n v="1.8"/>
    <n v="0"/>
    <n v="1.8"/>
    <x v="0"/>
  </r>
  <r>
    <n v="184433"/>
    <n v="11751"/>
    <x v="73"/>
    <n v="12"/>
    <n v="0.2"/>
    <n v="0"/>
    <n v="0.2"/>
    <x v="0"/>
  </r>
  <r>
    <n v="184441"/>
    <n v="11780"/>
    <x v="69"/>
    <n v="0.25"/>
    <n v="0.25"/>
    <n v="0"/>
    <n v="0.25"/>
    <x v="0"/>
  </r>
  <r>
    <n v="184442"/>
    <n v="11214"/>
    <x v="71"/>
    <m/>
    <n v="0.2"/>
    <m/>
    <n v="0.2"/>
    <x v="0"/>
  </r>
  <r>
    <n v="184444"/>
    <n v="10720"/>
    <x v="42"/>
    <n v="6.4"/>
    <n v="12.95"/>
    <n v="0"/>
    <n v="12.95"/>
    <x v="0"/>
  </r>
  <r>
    <n v="184445"/>
    <n v="10720"/>
    <x v="44"/>
    <n v="6.4"/>
    <n v="11.3"/>
    <n v="2"/>
    <n v="13.3"/>
    <x v="0"/>
  </r>
  <r>
    <n v="184446"/>
    <n v="10720"/>
    <x v="40"/>
    <n v="1"/>
    <n v="2.9"/>
    <n v="0"/>
    <n v="2.9"/>
    <x v="0"/>
  </r>
  <r>
    <n v="184480"/>
    <n v="10100"/>
    <x v="5"/>
    <n v="2"/>
    <n v="0.4"/>
    <n v="1.6"/>
    <n v="2"/>
    <x v="2"/>
  </r>
  <r>
    <n v="184481"/>
    <n v="10101"/>
    <x v="4"/>
    <m/>
    <m/>
    <m/>
    <m/>
    <x v="2"/>
  </r>
  <r>
    <n v="184486"/>
    <n v="10693"/>
    <x v="67"/>
    <n v="0.25"/>
    <m/>
    <n v="0.25"/>
    <n v="0.25"/>
    <x v="0"/>
  </r>
  <r>
    <n v="184487"/>
    <n v="11707"/>
    <x v="67"/>
    <n v="0.25"/>
    <m/>
    <n v="0.25"/>
    <n v="0.25"/>
    <x v="0"/>
  </r>
  <r>
    <n v="184489"/>
    <n v="11708"/>
    <x v="67"/>
    <n v="0.25"/>
    <m/>
    <n v="0"/>
    <n v="0"/>
    <x v="0"/>
  </r>
  <r>
    <n v="184493"/>
    <n v="11213"/>
    <x v="34"/>
    <m/>
    <n v="0"/>
    <n v="0"/>
    <n v="0"/>
    <x v="0"/>
  </r>
  <r>
    <n v="184499"/>
    <n v="11213"/>
    <x v="50"/>
    <m/>
    <n v="0.25"/>
    <m/>
    <n v="0.25"/>
    <x v="0"/>
  </r>
  <r>
    <n v="184506"/>
    <n v="10636"/>
    <x v="50"/>
    <m/>
    <m/>
    <m/>
    <m/>
    <x v="0"/>
  </r>
  <r>
    <n v="184508"/>
    <n v="10759"/>
    <x v="9"/>
    <m/>
    <n v="2.8"/>
    <m/>
    <n v="2.8"/>
    <x v="0"/>
  </r>
  <r>
    <n v="184509"/>
    <n v="11214"/>
    <x v="49"/>
    <m/>
    <n v="0.1"/>
    <m/>
    <n v="0.1"/>
    <x v="0"/>
  </r>
  <r>
    <n v="184510"/>
    <n v="11307"/>
    <x v="81"/>
    <n v="3.8"/>
    <n v="1.5"/>
    <n v="0"/>
    <n v="1.5"/>
    <x v="3"/>
  </r>
  <r>
    <n v="184511"/>
    <n v="11307"/>
    <x v="104"/>
    <n v="10"/>
    <n v="12.05"/>
    <n v="0"/>
    <n v="12.05"/>
    <x v="3"/>
  </r>
  <r>
    <n v="184512"/>
    <n v="11308"/>
    <x v="81"/>
    <n v="6.9"/>
    <n v="5.5"/>
    <n v="0"/>
    <n v="5.5"/>
    <x v="3"/>
  </r>
  <r>
    <n v="184513"/>
    <n v="11214"/>
    <x v="50"/>
    <m/>
    <n v="0.25"/>
    <m/>
    <n v="0.25"/>
    <x v="0"/>
  </r>
  <r>
    <n v="184520"/>
    <n v="10725"/>
    <x v="9"/>
    <m/>
    <n v="3.2"/>
    <m/>
    <n v="3.2"/>
    <x v="0"/>
  </r>
  <r>
    <n v="184599"/>
    <n v="10100"/>
    <x v="5"/>
    <n v="4.5"/>
    <n v="4.0999999999999996"/>
    <n v="1"/>
    <n v="5.0999999999999996"/>
    <x v="2"/>
  </r>
  <r>
    <n v="184600"/>
    <n v="10100"/>
    <x v="5"/>
    <n v="0.5"/>
    <m/>
    <n v="0"/>
    <n v="0"/>
    <x v="2"/>
  </r>
  <r>
    <n v="184601"/>
    <n v="11213"/>
    <x v="42"/>
    <m/>
    <m/>
    <m/>
    <m/>
    <x v="0"/>
  </r>
  <r>
    <n v="184636"/>
    <n v="10768"/>
    <x v="67"/>
    <m/>
    <n v="0.25"/>
    <m/>
    <n v="0.25"/>
    <x v="0"/>
  </r>
  <r>
    <n v="184637"/>
    <n v="10768"/>
    <x v="67"/>
    <m/>
    <n v="0.25"/>
    <m/>
    <n v="0.25"/>
    <x v="0"/>
  </r>
  <r>
    <n v="184654"/>
    <n v="10720"/>
    <x v="40"/>
    <m/>
    <n v="14.5"/>
    <n v="3.5"/>
    <n v="18"/>
    <x v="0"/>
  </r>
  <r>
    <n v="184662"/>
    <n v="10816"/>
    <x v="67"/>
    <m/>
    <m/>
    <m/>
    <m/>
    <x v="0"/>
  </r>
  <r>
    <n v="184663"/>
    <n v="11741"/>
    <x v="73"/>
    <n v="12.4"/>
    <n v="8.5"/>
    <n v="0"/>
    <n v="8.5"/>
    <x v="0"/>
  </r>
  <r>
    <n v="184664"/>
    <n v="11741"/>
    <x v="73"/>
    <n v="12.4"/>
    <n v="6"/>
    <n v="0"/>
    <n v="6"/>
    <x v="0"/>
  </r>
  <r>
    <n v="184666"/>
    <n v="11308"/>
    <x v="81"/>
    <n v="4.9000000000000004"/>
    <n v="3"/>
    <n v="0"/>
    <n v="3"/>
    <x v="3"/>
  </r>
  <r>
    <n v="184679"/>
    <n v="10691"/>
    <x v="68"/>
    <n v="11.6"/>
    <n v="2"/>
    <n v="9.6"/>
    <n v="11.6"/>
    <x v="0"/>
  </r>
  <r>
    <n v="184682"/>
    <n v="10691"/>
    <x v="94"/>
    <n v="15"/>
    <n v="0"/>
    <n v="15"/>
    <n v="15"/>
    <x v="0"/>
  </r>
  <r>
    <n v="184685"/>
    <n v="11214"/>
    <x v="40"/>
    <m/>
    <n v="0.5"/>
    <m/>
    <n v="0.5"/>
    <x v="0"/>
  </r>
  <r>
    <n v="184686"/>
    <n v="10750"/>
    <x v="40"/>
    <n v="2.25"/>
    <n v="2.35"/>
    <n v="0"/>
    <n v="2.35"/>
    <x v="0"/>
  </r>
  <r>
    <n v="184687"/>
    <n v="10639"/>
    <x v="69"/>
    <n v="1.5"/>
    <n v="1.5"/>
    <n v="0"/>
    <n v="1.5"/>
    <x v="0"/>
  </r>
  <r>
    <n v="184688"/>
    <n v="10639"/>
    <x v="119"/>
    <n v="6.75"/>
    <n v="15.75"/>
    <n v="0"/>
    <n v="15.75"/>
    <x v="0"/>
  </r>
  <r>
    <n v="184689"/>
    <n v="10816"/>
    <x v="35"/>
    <m/>
    <m/>
    <m/>
    <m/>
    <x v="0"/>
  </r>
  <r>
    <n v="184690"/>
    <n v="10816"/>
    <x v="35"/>
    <m/>
    <m/>
    <m/>
    <m/>
    <x v="0"/>
  </r>
  <r>
    <n v="184691"/>
    <n v="10100"/>
    <x v="5"/>
    <n v="4.5"/>
    <n v="4.4000000000000004"/>
    <n v="0.1"/>
    <n v="4.5"/>
    <x v="2"/>
  </r>
  <r>
    <n v="184692"/>
    <n v="10100"/>
    <x v="5"/>
    <n v="0.5"/>
    <m/>
    <n v="0.5"/>
    <n v="0.5"/>
    <x v="2"/>
  </r>
  <r>
    <n v="184713"/>
    <n v="10020"/>
    <x v="20"/>
    <n v="6.05"/>
    <n v="1.8"/>
    <n v="4.25"/>
    <n v="6.05"/>
    <x v="1"/>
  </r>
  <r>
    <n v="184715"/>
    <n v="10020"/>
    <x v="5"/>
    <n v="0.3"/>
    <n v="0.6"/>
    <n v="0"/>
    <n v="0.6"/>
    <x v="1"/>
  </r>
  <r>
    <n v="184716"/>
    <n v="10020"/>
    <x v="82"/>
    <n v="0.3"/>
    <n v="0.1"/>
    <n v="0.2"/>
    <n v="0.3"/>
    <x v="1"/>
  </r>
  <r>
    <n v="184717"/>
    <n v="10020"/>
    <x v="16"/>
    <n v="0.3"/>
    <m/>
    <n v="0.3"/>
    <n v="0.3"/>
    <x v="1"/>
  </r>
  <r>
    <n v="184718"/>
    <n v="10020"/>
    <x v="82"/>
    <n v="6.95"/>
    <n v="3.62"/>
    <n v="2.83"/>
    <n v="6.45"/>
    <x v="1"/>
  </r>
  <r>
    <n v="184723"/>
    <n v="10101"/>
    <x v="108"/>
    <m/>
    <m/>
    <m/>
    <m/>
    <x v="2"/>
  </r>
  <r>
    <n v="184724"/>
    <n v="10020"/>
    <x v="5"/>
    <n v="0.4"/>
    <n v="0.4"/>
    <n v="0"/>
    <n v="0.4"/>
    <x v="1"/>
  </r>
  <r>
    <n v="184751"/>
    <n v="10098"/>
    <x v="23"/>
    <n v="2.7"/>
    <n v="2.9"/>
    <n v="0.8"/>
    <n v="3.7"/>
    <x v="2"/>
  </r>
  <r>
    <n v="184778"/>
    <n v="10754"/>
    <x v="71"/>
    <m/>
    <n v="5.3"/>
    <n v="0.5"/>
    <n v="5.8"/>
    <x v="0"/>
  </r>
  <r>
    <n v="184780"/>
    <n v="11951"/>
    <x v="60"/>
    <n v="0.75"/>
    <n v="0.75"/>
    <n v="0"/>
    <n v="0.75"/>
    <x v="0"/>
  </r>
  <r>
    <n v="184800"/>
    <n v="10010"/>
    <x v="120"/>
    <m/>
    <n v="0.15"/>
    <m/>
    <n v="0.15"/>
    <x v="1"/>
  </r>
  <r>
    <n v="184801"/>
    <n v="10011"/>
    <x v="120"/>
    <m/>
    <m/>
    <m/>
    <m/>
    <x v="1"/>
  </r>
  <r>
    <n v="184802"/>
    <n v="10011"/>
    <x v="120"/>
    <m/>
    <n v="20"/>
    <m/>
    <n v="20"/>
    <x v="1"/>
  </r>
  <r>
    <n v="184803"/>
    <n v="10012"/>
    <x v="120"/>
    <m/>
    <n v="4.4000000000000004"/>
    <m/>
    <n v="4.4000000000000004"/>
    <x v="1"/>
  </r>
  <r>
    <n v="184804"/>
    <n v="10013"/>
    <x v="120"/>
    <m/>
    <n v="0"/>
    <m/>
    <n v="0"/>
    <x v="1"/>
  </r>
  <r>
    <n v="184805"/>
    <n v="10013"/>
    <x v="114"/>
    <m/>
    <m/>
    <m/>
    <m/>
    <x v="1"/>
  </r>
  <r>
    <n v="184806"/>
    <n v="10014"/>
    <x v="120"/>
    <m/>
    <n v="3.2"/>
    <m/>
    <n v="3.2"/>
    <x v="1"/>
  </r>
  <r>
    <n v="184807"/>
    <n v="10014"/>
    <x v="120"/>
    <m/>
    <n v="3.05"/>
    <m/>
    <n v="3.05"/>
    <x v="1"/>
  </r>
  <r>
    <n v="184808"/>
    <n v="10015"/>
    <x v="120"/>
    <m/>
    <n v="5.2"/>
    <m/>
    <n v="5.2"/>
    <x v="1"/>
  </r>
  <r>
    <n v="184809"/>
    <n v="10015"/>
    <x v="120"/>
    <m/>
    <n v="1"/>
    <m/>
    <n v="1"/>
    <x v="1"/>
  </r>
  <r>
    <n v="184810"/>
    <n v="10015"/>
    <x v="120"/>
    <m/>
    <n v="1.4"/>
    <m/>
    <n v="1.4"/>
    <x v="1"/>
  </r>
  <r>
    <n v="184811"/>
    <n v="10015"/>
    <x v="120"/>
    <m/>
    <n v="1.8"/>
    <m/>
    <n v="1.8"/>
    <x v="1"/>
  </r>
  <r>
    <n v="184812"/>
    <n v="10015"/>
    <x v="120"/>
    <m/>
    <n v="1"/>
    <m/>
    <n v="1"/>
    <x v="1"/>
  </r>
  <r>
    <n v="184813"/>
    <n v="10097"/>
    <x v="120"/>
    <m/>
    <n v="0.8"/>
    <m/>
    <n v="0.8"/>
    <x v="2"/>
  </r>
  <r>
    <n v="184838"/>
    <n v="10759"/>
    <x v="67"/>
    <m/>
    <n v="0.25"/>
    <m/>
    <n v="0.25"/>
    <x v="0"/>
  </r>
  <r>
    <n v="185048"/>
    <n v="10639"/>
    <x v="121"/>
    <m/>
    <n v="28"/>
    <n v="11"/>
    <n v="39"/>
    <x v="0"/>
  </r>
  <r>
    <n v="185049"/>
    <n v="11255"/>
    <x v="121"/>
    <m/>
    <n v="6"/>
    <n v="0"/>
    <n v="6"/>
    <x v="3"/>
  </r>
  <r>
    <n v="185104"/>
    <n v="11742"/>
    <x v="73"/>
    <n v="6.2"/>
    <n v="3.8"/>
    <n v="0"/>
    <n v="3.8"/>
    <x v="0"/>
  </r>
  <r>
    <n v="185142"/>
    <n v="11712"/>
    <x v="54"/>
    <n v="2.1"/>
    <n v="2"/>
    <n v="0"/>
    <n v="2"/>
    <x v="0"/>
  </r>
  <r>
    <n v="185143"/>
    <n v="11712"/>
    <x v="54"/>
    <n v="4.0999999999999996"/>
    <n v="4"/>
    <n v="0"/>
    <n v="4"/>
    <x v="0"/>
  </r>
  <r>
    <n v="185225"/>
    <n v="10098"/>
    <x v="23"/>
    <n v="5"/>
    <n v="2.1"/>
    <n v="2.9"/>
    <n v="5"/>
    <x v="2"/>
  </r>
  <r>
    <n v="185245"/>
    <n v="10098"/>
    <x v="23"/>
    <m/>
    <m/>
    <m/>
    <m/>
    <x v="2"/>
  </r>
  <r>
    <n v="185247"/>
    <n v="10098"/>
    <x v="23"/>
    <m/>
    <m/>
    <m/>
    <m/>
    <x v="2"/>
  </r>
  <r>
    <n v="185248"/>
    <n v="10103"/>
    <x v="14"/>
    <m/>
    <m/>
    <m/>
    <m/>
    <x v="2"/>
  </r>
  <r>
    <n v="185262"/>
    <n v="11308"/>
    <x v="104"/>
    <n v="6.9"/>
    <n v="3.75"/>
    <n v="3"/>
    <n v="6.75"/>
    <x v="3"/>
  </r>
  <r>
    <n v="185264"/>
    <n v="10816"/>
    <x v="38"/>
    <m/>
    <n v="7"/>
    <n v="5"/>
    <n v="12"/>
    <x v="0"/>
  </r>
  <r>
    <n v="185265"/>
    <n v="10688"/>
    <x v="67"/>
    <m/>
    <m/>
    <n v="0"/>
    <n v="0"/>
    <x v="0"/>
  </r>
  <r>
    <n v="185266"/>
    <n v="10769"/>
    <x v="9"/>
    <m/>
    <n v="0.6"/>
    <m/>
    <n v="0.6"/>
    <x v="0"/>
  </r>
  <r>
    <n v="185267"/>
    <n v="11214"/>
    <x v="49"/>
    <m/>
    <n v="1"/>
    <m/>
    <n v="1"/>
    <x v="0"/>
  </r>
  <r>
    <n v="185412"/>
    <n v="11213"/>
    <x v="49"/>
    <m/>
    <n v="0.15"/>
    <m/>
    <n v="0.15"/>
    <x v="0"/>
  </r>
  <r>
    <n v="185477"/>
    <n v="10020"/>
    <x v="20"/>
    <n v="0.55000000000000004"/>
    <n v="0.3"/>
    <n v="0.35"/>
    <n v="0.65"/>
    <x v="1"/>
  </r>
  <r>
    <n v="185479"/>
    <n v="10020"/>
    <x v="20"/>
    <n v="0.5"/>
    <n v="0.4"/>
    <n v="0.1"/>
    <n v="0.5"/>
    <x v="1"/>
  </r>
  <r>
    <n v="185482"/>
    <n v="10815"/>
    <x v="45"/>
    <n v="2"/>
    <n v="2"/>
    <n v="0"/>
    <n v="2"/>
    <x v="0"/>
  </r>
  <r>
    <n v="185679"/>
    <n v="11044"/>
    <x v="122"/>
    <m/>
    <m/>
    <n v="15"/>
    <n v="15"/>
    <x v="0"/>
  </r>
  <r>
    <n v="185683"/>
    <n v="10639"/>
    <x v="123"/>
    <n v="9"/>
    <n v="10.75"/>
    <n v="0"/>
    <n v="10.75"/>
    <x v="0"/>
  </r>
  <r>
    <n v="185685"/>
    <n v="10639"/>
    <x v="124"/>
    <n v="8"/>
    <n v="14.5"/>
    <n v="0"/>
    <n v="14.5"/>
    <x v="0"/>
  </r>
  <r>
    <n v="185686"/>
    <n v="10816"/>
    <x v="99"/>
    <m/>
    <m/>
    <n v="0"/>
    <n v="0"/>
    <x v="0"/>
  </r>
  <r>
    <n v="185687"/>
    <n v="10725"/>
    <x v="44"/>
    <m/>
    <m/>
    <m/>
    <m/>
    <x v="0"/>
  </r>
  <r>
    <n v="185691"/>
    <n v="10712"/>
    <x v="67"/>
    <m/>
    <n v="0.25"/>
    <n v="0"/>
    <n v="0.25"/>
    <x v="0"/>
  </r>
  <r>
    <n v="185697"/>
    <n v="10752"/>
    <x v="67"/>
    <m/>
    <m/>
    <n v="0.25"/>
    <n v="0.25"/>
    <x v="0"/>
  </r>
  <r>
    <n v="185700"/>
    <n v="10755"/>
    <x v="44"/>
    <m/>
    <m/>
    <n v="4"/>
    <n v="4"/>
    <x v="0"/>
  </r>
  <r>
    <n v="185712"/>
    <n v="11948"/>
    <x v="117"/>
    <m/>
    <m/>
    <m/>
    <m/>
    <x v="0"/>
  </r>
  <r>
    <n v="185713"/>
    <n v="11948"/>
    <x v="117"/>
    <m/>
    <m/>
    <m/>
    <m/>
    <x v="0"/>
  </r>
  <r>
    <n v="185714"/>
    <n v="11948"/>
    <x v="117"/>
    <m/>
    <m/>
    <n v="0.8"/>
    <n v="0.8"/>
    <x v="0"/>
  </r>
  <r>
    <n v="185715"/>
    <n v="11948"/>
    <x v="117"/>
    <m/>
    <m/>
    <n v="0.8"/>
    <n v="0.8"/>
    <x v="0"/>
  </r>
  <r>
    <n v="185720"/>
    <n v="10020"/>
    <x v="82"/>
    <m/>
    <n v="2.77"/>
    <n v="3.23"/>
    <n v="6"/>
    <x v="1"/>
  </r>
  <r>
    <n v="185721"/>
    <n v="10020"/>
    <x v="16"/>
    <n v="0.3"/>
    <m/>
    <n v="0.3"/>
    <n v="0.3"/>
    <x v="1"/>
  </r>
  <r>
    <n v="185723"/>
    <n v="10020"/>
    <x v="82"/>
    <n v="0.3"/>
    <m/>
    <n v="0.3"/>
    <n v="0.3"/>
    <x v="1"/>
  </r>
  <r>
    <n v="185724"/>
    <n v="10020"/>
    <x v="16"/>
    <n v="0"/>
    <m/>
    <n v="0"/>
    <n v="0"/>
    <x v="1"/>
  </r>
  <r>
    <n v="185725"/>
    <n v="10020"/>
    <x v="20"/>
    <n v="0.65"/>
    <m/>
    <n v="0.65"/>
    <n v="0.65"/>
    <x v="1"/>
  </r>
  <r>
    <n v="185747"/>
    <n v="10020"/>
    <x v="20"/>
    <n v="6.25"/>
    <n v="0.55000000000000004"/>
    <n v="5.7"/>
    <n v="6.25"/>
    <x v="1"/>
  </r>
  <r>
    <n v="185748"/>
    <n v="10020"/>
    <x v="82"/>
    <n v="0.3"/>
    <m/>
    <n v="0.3"/>
    <n v="0.3"/>
    <x v="1"/>
  </r>
  <r>
    <n v="185749"/>
    <n v="10020"/>
    <x v="5"/>
    <n v="0.4"/>
    <m/>
    <n v="0.4"/>
    <n v="0.4"/>
    <x v="1"/>
  </r>
  <r>
    <n v="185751"/>
    <n v="10693"/>
    <x v="119"/>
    <n v="2"/>
    <n v="5.25"/>
    <n v="0"/>
    <n v="5.25"/>
    <x v="0"/>
  </r>
  <r>
    <n v="185752"/>
    <n v="10693"/>
    <x v="119"/>
    <n v="1"/>
    <n v="1"/>
    <n v="0"/>
    <n v="1"/>
    <x v="0"/>
  </r>
  <r>
    <n v="185753"/>
    <n v="10693"/>
    <x v="119"/>
    <n v="1"/>
    <n v="6"/>
    <n v="0"/>
    <n v="6"/>
    <x v="0"/>
  </r>
  <r>
    <n v="185786"/>
    <n v="10763"/>
    <x v="113"/>
    <m/>
    <n v="2.2000000000000002"/>
    <n v="0"/>
    <n v="2.2000000000000002"/>
    <x v="0"/>
  </r>
  <r>
    <n v="185831"/>
    <n v="11213"/>
    <x v="51"/>
    <m/>
    <n v="1.25"/>
    <m/>
    <n v="1.25"/>
    <x v="0"/>
  </r>
  <r>
    <n v="185845"/>
    <n v="10100"/>
    <x v="5"/>
    <n v="0.5"/>
    <m/>
    <n v="0.5"/>
    <n v="0.5"/>
    <x v="2"/>
  </r>
  <r>
    <n v="185846"/>
    <n v="10100"/>
    <x v="5"/>
    <n v="0.5"/>
    <m/>
    <n v="0.5"/>
    <n v="0.5"/>
    <x v="2"/>
  </r>
  <r>
    <n v="185849"/>
    <n v="10720"/>
    <x v="40"/>
    <m/>
    <n v="0.5"/>
    <n v="0"/>
    <n v="0.5"/>
    <x v="0"/>
  </r>
  <r>
    <n v="185850"/>
    <n v="10764"/>
    <x v="9"/>
    <m/>
    <n v="1"/>
    <n v="1"/>
    <n v="2"/>
    <x v="0"/>
  </r>
  <r>
    <n v="185868"/>
    <n v="10100"/>
    <x v="108"/>
    <n v="4.5"/>
    <m/>
    <n v="4.5"/>
    <n v="4.5"/>
    <x v="2"/>
  </r>
  <r>
    <n v="185869"/>
    <n v="10100"/>
    <x v="5"/>
    <n v="0.5"/>
    <m/>
    <n v="0.5"/>
    <n v="0.5"/>
    <x v="2"/>
  </r>
  <r>
    <n v="185944"/>
    <n v="10018"/>
    <x v="3"/>
    <m/>
    <m/>
    <m/>
    <m/>
    <x v="1"/>
  </r>
  <r>
    <n v="186063"/>
    <n v="10779"/>
    <x v="50"/>
    <n v="2.25"/>
    <n v="2.6"/>
    <n v="0"/>
    <n v="2.6"/>
    <x v="0"/>
  </r>
  <r>
    <n v="186064"/>
    <n v="10100"/>
    <x v="5"/>
    <n v="4.5"/>
    <n v="4.0999999999999996"/>
    <n v="2"/>
    <n v="6.1"/>
    <x v="2"/>
  </r>
  <r>
    <n v="186065"/>
    <n v="10100"/>
    <x v="5"/>
    <n v="0.5"/>
    <m/>
    <n v="0.5"/>
    <n v="0.5"/>
    <x v="2"/>
  </r>
  <r>
    <n v="186066"/>
    <n v="10750"/>
    <x v="9"/>
    <n v="3"/>
    <n v="3.7"/>
    <n v="0"/>
    <n v="3.7"/>
    <x v="0"/>
  </r>
  <r>
    <n v="186067"/>
    <n v="10750"/>
    <x v="40"/>
    <m/>
    <n v="0.65"/>
    <m/>
    <n v="0.65"/>
    <x v="0"/>
  </r>
  <r>
    <n v="186073"/>
    <n v="11307"/>
    <x v="104"/>
    <m/>
    <n v="0"/>
    <n v="1.5"/>
    <n v="1.5"/>
    <x v="3"/>
  </r>
  <r>
    <n v="186074"/>
    <n v="10735"/>
    <x v="117"/>
    <m/>
    <n v="5.5"/>
    <m/>
    <n v="5.5"/>
    <x v="0"/>
  </r>
  <r>
    <n v="186088"/>
    <n v="10010"/>
    <x v="16"/>
    <m/>
    <n v="2.7"/>
    <m/>
    <n v="2.7"/>
    <x v="1"/>
  </r>
  <r>
    <n v="186096"/>
    <n v="11307"/>
    <x v="35"/>
    <m/>
    <m/>
    <m/>
    <m/>
    <x v="3"/>
  </r>
  <r>
    <n v="186098"/>
    <n v="10020"/>
    <x v="16"/>
    <n v="0"/>
    <n v="1.2"/>
    <n v="0"/>
    <n v="1.2"/>
    <x v="1"/>
  </r>
  <r>
    <n v="186138"/>
    <n v="10725"/>
    <x v="67"/>
    <m/>
    <n v="0.25"/>
    <m/>
    <n v="0.25"/>
    <x v="0"/>
  </r>
  <r>
    <n v="186150"/>
    <n v="10639"/>
    <x v="94"/>
    <n v="1"/>
    <n v="1"/>
    <n v="0"/>
    <n v="1"/>
    <x v="0"/>
  </r>
  <r>
    <n v="186151"/>
    <n v="10686"/>
    <x v="123"/>
    <n v="2.25"/>
    <n v="2.25"/>
    <n v="0"/>
    <n v="2.25"/>
    <x v="0"/>
  </r>
  <r>
    <n v="186152"/>
    <n v="10691"/>
    <x v="123"/>
    <n v="1"/>
    <n v="0"/>
    <n v="1"/>
    <n v="1"/>
    <x v="0"/>
  </r>
  <r>
    <n v="186153"/>
    <n v="10691"/>
    <x v="67"/>
    <n v="0.25"/>
    <m/>
    <n v="0.25"/>
    <n v="0.25"/>
    <x v="0"/>
  </r>
  <r>
    <n v="186154"/>
    <n v="10691"/>
    <x v="123"/>
    <n v="1"/>
    <m/>
    <n v="1"/>
    <n v="1"/>
    <x v="0"/>
  </r>
  <r>
    <n v="186155"/>
    <n v="10691"/>
    <x v="123"/>
    <n v="2"/>
    <m/>
    <n v="2"/>
    <n v="2"/>
    <x v="0"/>
  </r>
  <r>
    <n v="186156"/>
    <n v="10691"/>
    <x v="123"/>
    <n v="2"/>
    <m/>
    <n v="2"/>
    <n v="2"/>
    <x v="0"/>
  </r>
  <r>
    <n v="186157"/>
    <n v="10691"/>
    <x v="123"/>
    <n v="2"/>
    <m/>
    <n v="2"/>
    <n v="2"/>
    <x v="0"/>
  </r>
  <r>
    <n v="186158"/>
    <n v="10691"/>
    <x v="123"/>
    <n v="4"/>
    <n v="6"/>
    <n v="0"/>
    <n v="6"/>
    <x v="0"/>
  </r>
  <r>
    <n v="186160"/>
    <n v="10741"/>
    <x v="67"/>
    <m/>
    <n v="0.25"/>
    <m/>
    <n v="0.25"/>
    <x v="0"/>
  </r>
  <r>
    <n v="186168"/>
    <n v="11948"/>
    <x v="40"/>
    <m/>
    <n v="0.6"/>
    <m/>
    <n v="0.6"/>
    <x v="0"/>
  </r>
  <r>
    <n v="186184"/>
    <n v="10815"/>
    <x v="80"/>
    <n v="2.2000000000000002"/>
    <n v="2.2000000000000002"/>
    <n v="0"/>
    <n v="2.2000000000000002"/>
    <x v="0"/>
  </r>
  <r>
    <n v="186186"/>
    <n v="10814"/>
    <x v="45"/>
    <n v="0"/>
    <n v="5"/>
    <n v="0"/>
    <n v="5"/>
    <x v="0"/>
  </r>
  <r>
    <n v="186201"/>
    <n v="10639"/>
    <x v="73"/>
    <n v="2"/>
    <n v="2"/>
    <n v="0"/>
    <n v="2"/>
    <x v="0"/>
  </r>
  <r>
    <n v="186229"/>
    <n v="10100"/>
    <x v="108"/>
    <n v="4.5"/>
    <n v="5.25"/>
    <n v="1"/>
    <n v="6.25"/>
    <x v="2"/>
  </r>
  <r>
    <n v="186255"/>
    <n v="11044"/>
    <x v="77"/>
    <n v="10.8"/>
    <m/>
    <n v="0"/>
    <n v="0"/>
    <x v="0"/>
  </r>
  <r>
    <n v="186256"/>
    <n v="10741"/>
    <x v="125"/>
    <m/>
    <n v="5"/>
    <m/>
    <n v="5"/>
    <x v="0"/>
  </r>
  <r>
    <n v="186257"/>
    <n v="10740"/>
    <x v="125"/>
    <m/>
    <m/>
    <n v="5"/>
    <n v="5"/>
    <x v="0"/>
  </r>
  <r>
    <n v="186258"/>
    <n v="10779"/>
    <x v="125"/>
    <m/>
    <m/>
    <m/>
    <m/>
    <x v="0"/>
  </r>
  <r>
    <n v="186267"/>
    <n v="10764"/>
    <x v="67"/>
    <n v="0.25"/>
    <n v="0.25"/>
    <n v="0"/>
    <n v="0.25"/>
    <x v="0"/>
  </r>
  <r>
    <n v="186268"/>
    <n v="10769"/>
    <x v="67"/>
    <n v="0.25"/>
    <n v="0.25"/>
    <n v="0"/>
    <n v="0.25"/>
    <x v="0"/>
  </r>
  <r>
    <n v="186755"/>
    <n v="10738"/>
    <x v="9"/>
    <m/>
    <n v="0.6"/>
    <n v="1.4"/>
    <n v="2"/>
    <x v="0"/>
  </r>
  <r>
    <n v="186756"/>
    <n v="10738"/>
    <x v="9"/>
    <m/>
    <m/>
    <m/>
    <m/>
    <x v="0"/>
  </r>
  <r>
    <n v="186757"/>
    <n v="10727"/>
    <x v="9"/>
    <m/>
    <n v="6.9"/>
    <m/>
    <n v="6.9"/>
    <x v="0"/>
  </r>
  <r>
    <n v="186763"/>
    <n v="10721"/>
    <x v="42"/>
    <m/>
    <m/>
    <m/>
    <m/>
    <x v="0"/>
  </r>
  <r>
    <n v="186764"/>
    <n v="10721"/>
    <x v="125"/>
    <m/>
    <m/>
    <m/>
    <m/>
    <x v="0"/>
  </r>
  <r>
    <n v="186777"/>
    <n v="10721"/>
    <x v="9"/>
    <m/>
    <n v="1"/>
    <m/>
    <n v="1"/>
    <x v="0"/>
  </r>
  <r>
    <n v="186778"/>
    <n v="11309"/>
    <x v="81"/>
    <n v="0"/>
    <n v="4"/>
    <n v="0"/>
    <n v="4"/>
    <x v="3"/>
  </r>
  <r>
    <n v="186786"/>
    <n v="11213"/>
    <x v="40"/>
    <m/>
    <n v="0.25"/>
    <n v="15"/>
    <n v="15.25"/>
    <x v="0"/>
  </r>
  <r>
    <n v="186787"/>
    <n v="10795"/>
    <x v="73"/>
    <n v="1"/>
    <m/>
    <n v="1"/>
    <n v="1"/>
    <x v="0"/>
  </r>
  <r>
    <n v="186788"/>
    <n v="11213"/>
    <x v="51"/>
    <m/>
    <n v="0.5"/>
    <m/>
    <n v="0.5"/>
    <x v="0"/>
  </r>
  <r>
    <n v="186794"/>
    <n v="10763"/>
    <x v="1"/>
    <m/>
    <n v="1.75"/>
    <m/>
    <n v="1.75"/>
    <x v="0"/>
  </r>
  <r>
    <n v="186796"/>
    <n v="11213"/>
    <x v="9"/>
    <m/>
    <n v="0.2"/>
    <m/>
    <n v="0.2"/>
    <x v="0"/>
  </r>
  <r>
    <n v="186797"/>
    <n v="11213"/>
    <x v="71"/>
    <m/>
    <n v="0.3"/>
    <m/>
    <n v="0.3"/>
    <x v="0"/>
  </r>
  <r>
    <n v="186798"/>
    <n v="10020"/>
    <x v="82"/>
    <n v="0.01"/>
    <n v="3.05"/>
    <n v="2.72"/>
    <n v="5.77"/>
    <x v="1"/>
  </r>
  <r>
    <n v="186799"/>
    <n v="10814"/>
    <x v="80"/>
    <n v="5.2"/>
    <n v="5"/>
    <n v="0"/>
    <n v="5"/>
    <x v="0"/>
  </r>
  <r>
    <n v="186801"/>
    <n v="10814"/>
    <x v="80"/>
    <n v="6.2"/>
    <n v="5"/>
    <n v="1.2"/>
    <n v="6.2"/>
    <x v="0"/>
  </r>
  <r>
    <n v="186802"/>
    <n v="10814"/>
    <x v="80"/>
    <n v="7.8"/>
    <m/>
    <n v="7.8"/>
    <n v="7.8"/>
    <x v="0"/>
  </r>
  <r>
    <n v="186803"/>
    <n v="10814"/>
    <x v="45"/>
    <n v="5.2"/>
    <n v="2"/>
    <n v="3.2"/>
    <n v="5.2"/>
    <x v="0"/>
  </r>
  <r>
    <n v="186804"/>
    <n v="10814"/>
    <x v="45"/>
    <n v="6.2"/>
    <m/>
    <n v="6.2"/>
    <n v="6.2"/>
    <x v="0"/>
  </r>
  <r>
    <n v="186805"/>
    <n v="10814"/>
    <x v="45"/>
    <n v="7.8"/>
    <m/>
    <n v="7.8"/>
    <n v="7.8"/>
    <x v="0"/>
  </r>
  <r>
    <n v="186826"/>
    <n v="11780"/>
    <x v="60"/>
    <n v="1"/>
    <n v="0.5"/>
    <n v="0"/>
    <n v="0.5"/>
    <x v="0"/>
  </r>
  <r>
    <n v="186841"/>
    <n v="11780"/>
    <x v="61"/>
    <n v="16.600000000000001"/>
    <n v="1"/>
    <n v="0.5"/>
    <n v="1.5"/>
    <x v="0"/>
  </r>
  <r>
    <n v="186877"/>
    <n v="10018"/>
    <x v="14"/>
    <m/>
    <m/>
    <m/>
    <m/>
    <x v="1"/>
  </r>
  <r>
    <n v="186878"/>
    <n v="10018"/>
    <x v="10"/>
    <m/>
    <n v="1.95"/>
    <m/>
    <n v="1.95"/>
    <x v="1"/>
  </r>
  <r>
    <n v="186879"/>
    <n v="10018"/>
    <x v="7"/>
    <m/>
    <n v="0.6"/>
    <m/>
    <n v="0.6"/>
    <x v="1"/>
  </r>
  <r>
    <n v="186880"/>
    <n v="10018"/>
    <x v="19"/>
    <m/>
    <n v="0.3"/>
    <m/>
    <n v="0.3"/>
    <x v="1"/>
  </r>
  <r>
    <n v="186881"/>
    <n v="10018"/>
    <x v="17"/>
    <m/>
    <m/>
    <m/>
    <m/>
    <x v="1"/>
  </r>
  <r>
    <n v="186931"/>
    <n v="10097"/>
    <x v="112"/>
    <m/>
    <n v="2.65"/>
    <m/>
    <n v="2.65"/>
    <x v="2"/>
  </r>
  <r>
    <n v="186941"/>
    <n v="10695"/>
    <x v="68"/>
    <n v="2"/>
    <m/>
    <n v="2"/>
    <n v="2"/>
    <x v="0"/>
  </r>
  <r>
    <n v="186943"/>
    <n v="10794"/>
    <x v="124"/>
    <n v="1"/>
    <m/>
    <n v="1"/>
    <n v="1"/>
    <x v="0"/>
  </r>
  <r>
    <n v="186944"/>
    <n v="11750"/>
    <x v="124"/>
    <n v="1"/>
    <m/>
    <n v="1"/>
    <n v="1"/>
    <x v="0"/>
  </r>
  <r>
    <n v="186945"/>
    <n v="11214"/>
    <x v="44"/>
    <m/>
    <n v="0.3"/>
    <m/>
    <n v="0.3"/>
    <x v="0"/>
  </r>
  <r>
    <n v="186946"/>
    <n v="11750"/>
    <x v="124"/>
    <n v="1"/>
    <m/>
    <n v="1"/>
    <n v="1"/>
    <x v="0"/>
  </r>
  <r>
    <n v="186947"/>
    <n v="10794"/>
    <x v="124"/>
    <n v="2"/>
    <m/>
    <n v="2"/>
    <n v="2"/>
    <x v="0"/>
  </r>
  <r>
    <n v="186948"/>
    <n v="10794"/>
    <x v="124"/>
    <n v="2"/>
    <m/>
    <n v="2"/>
    <n v="2"/>
    <x v="0"/>
  </r>
  <r>
    <n v="186949"/>
    <n v="11750"/>
    <x v="124"/>
    <n v="1"/>
    <n v="1"/>
    <n v="0"/>
    <n v="1"/>
    <x v="0"/>
  </r>
  <r>
    <n v="186971"/>
    <n v="10691"/>
    <x v="67"/>
    <n v="0.25"/>
    <m/>
    <n v="0.25"/>
    <n v="0.25"/>
    <x v="0"/>
  </r>
  <r>
    <n v="186988"/>
    <n v="10763"/>
    <x v="67"/>
    <m/>
    <m/>
    <m/>
    <m/>
    <x v="0"/>
  </r>
  <r>
    <n v="186989"/>
    <n v="10755"/>
    <x v="67"/>
    <n v="0.25"/>
    <m/>
    <n v="0.25"/>
    <n v="0.25"/>
    <x v="0"/>
  </r>
  <r>
    <n v="186990"/>
    <n v="10763"/>
    <x v="67"/>
    <n v="1"/>
    <m/>
    <n v="1"/>
    <n v="1"/>
    <x v="0"/>
  </r>
  <r>
    <n v="187008"/>
    <n v="11309"/>
    <x v="81"/>
    <m/>
    <m/>
    <n v="5"/>
    <n v="5"/>
    <x v="3"/>
  </r>
  <r>
    <n v="187031"/>
    <n v="11751"/>
    <x v="123"/>
    <n v="4"/>
    <m/>
    <n v="4"/>
    <n v="4"/>
    <x v="0"/>
  </r>
  <r>
    <n v="187032"/>
    <n v="11213"/>
    <x v="49"/>
    <m/>
    <n v="0.9"/>
    <m/>
    <n v="0.9"/>
    <x v="0"/>
  </r>
  <r>
    <n v="187046"/>
    <n v="10639"/>
    <x v="123"/>
    <m/>
    <n v="0"/>
    <n v="1"/>
    <n v="1"/>
    <x v="0"/>
  </r>
  <r>
    <n v="187048"/>
    <n v="10639"/>
    <x v="113"/>
    <m/>
    <n v="0"/>
    <n v="0.5"/>
    <n v="0.5"/>
    <x v="0"/>
  </r>
  <r>
    <n v="187051"/>
    <n v="10639"/>
    <x v="119"/>
    <m/>
    <n v="0"/>
    <n v="0.5"/>
    <n v="0.5"/>
    <x v="0"/>
  </r>
  <r>
    <n v="189096"/>
    <n v="11743"/>
    <x v="61"/>
    <n v="1"/>
    <m/>
    <n v="1"/>
    <n v="1"/>
    <x v="0"/>
  </r>
  <r>
    <n v="189097"/>
    <n v="10639"/>
    <x v="124"/>
    <m/>
    <n v="0"/>
    <n v="0.5"/>
    <n v="0.5"/>
    <x v="0"/>
  </r>
  <r>
    <n v="189179"/>
    <n v="10750"/>
    <x v="67"/>
    <m/>
    <n v="0.25"/>
    <m/>
    <n v="0.25"/>
    <x v="0"/>
  </r>
  <r>
    <n v="189244"/>
    <n v="10639"/>
    <x v="125"/>
    <n v="10"/>
    <n v="10"/>
    <n v="5"/>
    <n v="15"/>
    <x v="0"/>
  </r>
  <r>
    <n v="189293"/>
    <n v="11213"/>
    <x v="71"/>
    <m/>
    <n v="0.6"/>
    <m/>
    <n v="0.6"/>
    <x v="0"/>
  </r>
  <r>
    <n v="189294"/>
    <n v="11213"/>
    <x v="71"/>
    <m/>
    <n v="0.2"/>
    <m/>
    <n v="0.2"/>
    <x v="0"/>
  </r>
  <r>
    <n v="189295"/>
    <n v="11213"/>
    <x v="71"/>
    <m/>
    <n v="0.3"/>
    <m/>
    <n v="0.3"/>
    <x v="0"/>
  </r>
  <r>
    <n v="189327"/>
    <n v="10639"/>
    <x v="73"/>
    <m/>
    <n v="0"/>
    <n v="0.5"/>
    <n v="0.5"/>
    <x v="0"/>
  </r>
  <r>
    <n v="189429"/>
    <n v="10815"/>
    <x v="113"/>
    <n v="1.45"/>
    <n v="1.45"/>
    <n v="0"/>
    <n v="1.45"/>
    <x v="0"/>
  </r>
  <r>
    <n v="189485"/>
    <n v="11750"/>
    <x v="124"/>
    <n v="0.5"/>
    <n v="0.5"/>
    <n v="0"/>
    <n v="0.5"/>
    <x v="0"/>
  </r>
  <r>
    <n v="189490"/>
    <n v="10693"/>
    <x v="119"/>
    <n v="2.7"/>
    <m/>
    <n v="2.7"/>
    <n v="2.7"/>
    <x v="0"/>
  </r>
  <r>
    <n v="189491"/>
    <n v="10693"/>
    <x v="119"/>
    <n v="2"/>
    <m/>
    <n v="2"/>
    <n v="2"/>
    <x v="0"/>
  </r>
  <r>
    <n v="189492"/>
    <n v="10695"/>
    <x v="55"/>
    <n v="2"/>
    <m/>
    <n v="2"/>
    <n v="2"/>
    <x v="0"/>
  </r>
  <r>
    <n v="189982"/>
    <n v="11898"/>
    <x v="9"/>
    <m/>
    <n v="0.7"/>
    <m/>
    <n v="0.7"/>
    <x v="0"/>
  </r>
  <r>
    <n v="189983"/>
    <n v="11948"/>
    <x v="9"/>
    <m/>
    <m/>
    <m/>
    <m/>
    <x v="0"/>
  </r>
  <r>
    <n v="189984"/>
    <n v="11948"/>
    <x v="9"/>
    <m/>
    <m/>
    <n v="1.1000000000000001"/>
    <n v="1.1000000000000001"/>
    <x v="0"/>
  </r>
  <r>
    <n v="190118"/>
    <n v="10692"/>
    <x v="123"/>
    <n v="0.5"/>
    <n v="1"/>
    <n v="0"/>
    <n v="1"/>
    <x v="0"/>
  </r>
  <r>
    <n v="190119"/>
    <n v="10692"/>
    <x v="39"/>
    <n v="2.5"/>
    <n v="2.5"/>
    <n v="0"/>
    <n v="2.5"/>
    <x v="0"/>
  </r>
  <r>
    <n v="190120"/>
    <n v="10692"/>
    <x v="94"/>
    <n v="0.5"/>
    <n v="0.5"/>
    <n v="0"/>
    <n v="0.5"/>
    <x v="0"/>
  </r>
  <r>
    <n v="190121"/>
    <n v="10692"/>
    <x v="113"/>
    <n v="0.5"/>
    <n v="0.5"/>
    <n v="0"/>
    <n v="0.5"/>
    <x v="0"/>
  </r>
  <r>
    <n v="190122"/>
    <n v="10692"/>
    <x v="76"/>
    <n v="0.3"/>
    <n v="0.3"/>
    <n v="0"/>
    <n v="0.3"/>
    <x v="0"/>
  </r>
  <r>
    <n v="190123"/>
    <n v="10692"/>
    <x v="55"/>
    <n v="0.5"/>
    <n v="0.5"/>
    <n v="0"/>
    <n v="0.5"/>
    <x v="0"/>
  </r>
  <r>
    <n v="190124"/>
    <n v="10692"/>
    <x v="119"/>
    <n v="0.5"/>
    <n v="0.5"/>
    <n v="0"/>
    <n v="0.5"/>
    <x v="0"/>
  </r>
  <r>
    <n v="190125"/>
    <n v="10692"/>
    <x v="124"/>
    <n v="0.5"/>
    <n v="0.5"/>
    <n v="0"/>
    <n v="0.5"/>
    <x v="0"/>
  </r>
  <r>
    <n v="190126"/>
    <n v="10692"/>
    <x v="73"/>
    <n v="0.5"/>
    <n v="0.5"/>
    <n v="0"/>
    <n v="0.5"/>
    <x v="0"/>
  </r>
  <r>
    <n v="190127"/>
    <n v="10692"/>
    <x v="54"/>
    <n v="0.5"/>
    <n v="0.5"/>
    <n v="0"/>
    <n v="0.5"/>
    <x v="0"/>
  </r>
  <r>
    <n v="190141"/>
    <n v="10639"/>
    <x v="34"/>
    <m/>
    <m/>
    <m/>
    <m/>
    <x v="0"/>
  </r>
  <r>
    <n v="190142"/>
    <n v="10639"/>
    <x v="9"/>
    <m/>
    <n v="8"/>
    <m/>
    <n v="8"/>
    <x v="0"/>
  </r>
  <r>
    <n v="190143"/>
    <n v="10639"/>
    <x v="50"/>
    <m/>
    <n v="1.9"/>
    <m/>
    <n v="1.9"/>
    <x v="0"/>
  </r>
  <r>
    <n v="190147"/>
    <n v="10100"/>
    <x v="5"/>
    <n v="4.5"/>
    <m/>
    <n v="4.5"/>
    <n v="4.5"/>
    <x v="2"/>
  </r>
  <r>
    <n v="190148"/>
    <n v="10100"/>
    <x v="5"/>
    <n v="0.5"/>
    <m/>
    <n v="0.5"/>
    <n v="0.5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6">
  <r>
    <x v="0"/>
    <x v="0"/>
    <d v="2018-02-13T00:00:00"/>
    <s v="20180213"/>
    <s v="201807"/>
    <x v="0"/>
    <s v="2018"/>
    <n v="0.2"/>
  </r>
  <r>
    <x v="1"/>
    <x v="0"/>
    <d v="2018-03-21T00:00:00"/>
    <s v="20180321"/>
    <s v="201812"/>
    <x v="1"/>
    <s v="2018"/>
    <n v="4.75"/>
  </r>
  <r>
    <x v="1"/>
    <x v="0"/>
    <d v="2018-04-03T00:00:00"/>
    <s v="20180403"/>
    <s v="201814"/>
    <x v="2"/>
    <s v="2018"/>
    <n v="19"/>
  </r>
  <r>
    <x v="1"/>
    <x v="0"/>
    <d v="2018-05-25T00:00:00"/>
    <s v="20180525"/>
    <s v="201821"/>
    <x v="3"/>
    <s v="2018"/>
    <n v="16.75"/>
  </r>
  <r>
    <x v="1"/>
    <x v="0"/>
    <d v="2018-06-08T00:00:00"/>
    <s v="20180608"/>
    <s v="201823"/>
    <x v="4"/>
    <s v="2018"/>
    <n v="17"/>
  </r>
  <r>
    <x v="1"/>
    <x v="0"/>
    <d v="2018-07-11T00:00:00"/>
    <s v="20180711"/>
    <s v="201828"/>
    <x v="5"/>
    <s v="2018"/>
    <n v="20"/>
  </r>
  <r>
    <x v="1"/>
    <x v="0"/>
    <d v="2018-08-13T00:00:00"/>
    <s v="20180813"/>
    <s v="201833"/>
    <x v="6"/>
    <s v="2018"/>
    <n v="17"/>
  </r>
  <r>
    <x v="1"/>
    <x v="0"/>
    <d v="2018-09-03T00:00:00"/>
    <s v="20180903"/>
    <s v="201836"/>
    <x v="7"/>
    <s v="2018"/>
    <n v="18"/>
  </r>
  <r>
    <x v="1"/>
    <x v="0"/>
    <d v="2018-10-04T00:00:00"/>
    <s v="20181004"/>
    <s v="201840"/>
    <x v="8"/>
    <s v="2018"/>
    <n v="21"/>
  </r>
  <r>
    <x v="1"/>
    <x v="0"/>
    <d v="2018-11-05T00:00:00"/>
    <s v="20181105"/>
    <s v="201845"/>
    <x v="9"/>
    <s v="2018"/>
    <n v="19"/>
  </r>
  <r>
    <x v="1"/>
    <x v="0"/>
    <d v="2018-12-03T00:00:00"/>
    <s v="20181203"/>
    <s v="201849"/>
    <x v="10"/>
    <s v="2018"/>
    <n v="3"/>
  </r>
  <r>
    <x v="2"/>
    <x v="0"/>
    <d v="2018-11-05T00:00:00"/>
    <s v="20181105"/>
    <s v="201845"/>
    <x v="9"/>
    <s v="2018"/>
    <n v="20"/>
  </r>
  <r>
    <x v="3"/>
    <x v="1"/>
    <d v="2018-01-08T00:00:00"/>
    <s v="20180108"/>
    <s v="201802"/>
    <x v="11"/>
    <s v="2018"/>
    <n v="16.8"/>
  </r>
  <r>
    <x v="3"/>
    <x v="2"/>
    <d v="2018-01-05T00:00:00"/>
    <s v="20180105"/>
    <s v="201801"/>
    <x v="11"/>
    <s v="2018"/>
    <n v="2.7"/>
  </r>
  <r>
    <x v="3"/>
    <x v="1"/>
    <d v="2018-02-19T00:00:00"/>
    <s v="20180219"/>
    <s v="201808"/>
    <x v="0"/>
    <s v="2018"/>
    <n v="19"/>
  </r>
  <r>
    <x v="3"/>
    <x v="1"/>
    <d v="2018-03-05T00:00:00"/>
    <s v="20180305"/>
    <s v="201810"/>
    <x v="1"/>
    <s v="2018"/>
    <n v="16.7"/>
  </r>
  <r>
    <x v="3"/>
    <x v="2"/>
    <d v="2018-03-28T00:00:00"/>
    <s v="20180328"/>
    <s v="201813"/>
    <x v="1"/>
    <s v="2018"/>
    <n v="0.3"/>
  </r>
  <r>
    <x v="3"/>
    <x v="1"/>
    <d v="2018-04-09T00:00:00"/>
    <s v="20180409"/>
    <s v="201815"/>
    <x v="2"/>
    <s v="2018"/>
    <n v="17.7"/>
  </r>
  <r>
    <x v="3"/>
    <x v="2"/>
    <d v="2018-04-23T00:00:00"/>
    <s v="20180423"/>
    <s v="201817"/>
    <x v="2"/>
    <s v="2018"/>
    <n v="1.25"/>
  </r>
  <r>
    <x v="3"/>
    <x v="1"/>
    <d v="2018-05-28T00:00:00"/>
    <s v="20180528"/>
    <s v="201822"/>
    <x v="3"/>
    <s v="2018"/>
    <n v="16.899999999999999"/>
  </r>
  <r>
    <x v="3"/>
    <x v="2"/>
    <d v="2018-05-14T00:00:00"/>
    <s v="20180514"/>
    <s v="201820"/>
    <x v="3"/>
    <s v="2018"/>
    <n v="0.9"/>
  </r>
  <r>
    <x v="3"/>
    <x v="1"/>
    <d v="2018-06-04T00:00:00"/>
    <s v="20180604"/>
    <s v="201823"/>
    <x v="4"/>
    <s v="2018"/>
    <n v="16.75"/>
  </r>
  <r>
    <x v="3"/>
    <x v="2"/>
    <d v="2018-06-13T00:00:00"/>
    <s v="20180613"/>
    <s v="201824"/>
    <x v="4"/>
    <s v="2018"/>
    <n v="2.75"/>
  </r>
  <r>
    <x v="3"/>
    <x v="1"/>
    <d v="2018-07-02T00:00:00"/>
    <s v="20180702"/>
    <s v="201827"/>
    <x v="5"/>
    <s v="2018"/>
    <n v="18.8"/>
  </r>
  <r>
    <x v="3"/>
    <x v="2"/>
    <d v="2018-07-04T00:00:00"/>
    <s v="20180704"/>
    <s v="201827"/>
    <x v="5"/>
    <s v="2018"/>
    <n v="1.2"/>
  </r>
  <r>
    <x v="3"/>
    <x v="1"/>
    <d v="2018-08-06T00:00:00"/>
    <s v="20180806"/>
    <s v="201832"/>
    <x v="6"/>
    <s v="2018"/>
    <n v="13.9"/>
  </r>
  <r>
    <x v="3"/>
    <x v="2"/>
    <d v="2018-08-06T00:00:00"/>
    <s v="20180806"/>
    <s v="201832"/>
    <x v="6"/>
    <s v="2018"/>
    <n v="1.1000000000000001"/>
  </r>
  <r>
    <x v="3"/>
    <x v="1"/>
    <d v="2018-09-10T00:00:00"/>
    <s v="20180910"/>
    <s v="201837"/>
    <x v="7"/>
    <s v="2018"/>
    <n v="17.649999999999999"/>
  </r>
  <r>
    <x v="3"/>
    <x v="2"/>
    <d v="2018-09-03T00:00:00"/>
    <s v="20180903"/>
    <s v="201836"/>
    <x v="7"/>
    <s v="2018"/>
    <n v="0.85"/>
  </r>
  <r>
    <x v="3"/>
    <x v="1"/>
    <d v="2018-10-18T00:00:00"/>
    <s v="20181018"/>
    <s v="201842"/>
    <x v="8"/>
    <s v="2018"/>
    <n v="21.6"/>
  </r>
  <r>
    <x v="3"/>
    <x v="2"/>
    <d v="2018-10-24T00:00:00"/>
    <s v="20181024"/>
    <s v="201843"/>
    <x v="8"/>
    <s v="2018"/>
    <n v="0.4"/>
  </r>
  <r>
    <x v="3"/>
    <x v="1"/>
    <d v="2018-11-05T00:00:00"/>
    <s v="20181105"/>
    <s v="201845"/>
    <x v="9"/>
    <s v="2018"/>
    <n v="18.649999999999999"/>
  </r>
  <r>
    <x v="3"/>
    <x v="2"/>
    <d v="2018-11-13T00:00:00"/>
    <s v="20181113"/>
    <s v="201846"/>
    <x v="9"/>
    <s v="2018"/>
    <n v="1.35"/>
  </r>
  <r>
    <x v="3"/>
    <x v="1"/>
    <d v="2018-12-03T00:00:00"/>
    <s v="20181203"/>
    <s v="201849"/>
    <x v="10"/>
    <s v="2018"/>
    <n v="2.9"/>
  </r>
  <r>
    <x v="3"/>
    <x v="2"/>
    <d v="2018-12-05T00:00:00"/>
    <s v="20181205"/>
    <s v="201849"/>
    <x v="10"/>
    <s v="2018"/>
    <n v="0.1"/>
  </r>
  <r>
    <x v="4"/>
    <x v="1"/>
    <d v="2018-05-02T00:00:00"/>
    <s v="20180502"/>
    <s v="201818"/>
    <x v="3"/>
    <s v="2018"/>
    <n v="19"/>
  </r>
  <r>
    <x v="4"/>
    <x v="1"/>
    <d v="2018-06-18T00:00:00"/>
    <s v="20180618"/>
    <s v="201825"/>
    <x v="4"/>
    <s v="2018"/>
    <n v="20"/>
  </r>
  <r>
    <x v="4"/>
    <x v="1"/>
    <d v="2018-07-02T00:00:00"/>
    <s v="20180702"/>
    <s v="201827"/>
    <x v="5"/>
    <s v="2018"/>
    <n v="16.25"/>
  </r>
  <r>
    <x v="4"/>
    <x v="2"/>
    <d v="2018-07-13T00:00:00"/>
    <s v="20180713"/>
    <s v="201828"/>
    <x v="5"/>
    <s v="2018"/>
    <n v="5.25"/>
  </r>
  <r>
    <x v="4"/>
    <x v="1"/>
    <d v="2018-08-03T00:00:00"/>
    <s v="20180803"/>
    <s v="201831"/>
    <x v="6"/>
    <s v="2018"/>
    <n v="17.55"/>
  </r>
  <r>
    <x v="4"/>
    <x v="2"/>
    <d v="2018-08-01T00:00:00"/>
    <s v="20180801"/>
    <s v="201831"/>
    <x v="6"/>
    <s v="2018"/>
    <n v="3.95"/>
  </r>
  <r>
    <x v="4"/>
    <x v="1"/>
    <d v="2018-09-03T00:00:00"/>
    <s v="20180903"/>
    <s v="201836"/>
    <x v="7"/>
    <s v="2018"/>
    <n v="17.600000000000001"/>
  </r>
  <r>
    <x v="4"/>
    <x v="2"/>
    <d v="2018-09-03T00:00:00"/>
    <s v="20180903"/>
    <s v="201836"/>
    <x v="7"/>
    <s v="2018"/>
    <n v="1.4"/>
  </r>
  <r>
    <x v="4"/>
    <x v="1"/>
    <d v="2018-10-01T00:00:00"/>
    <s v="20181001"/>
    <s v="201840"/>
    <x v="8"/>
    <s v="2018"/>
    <n v="20.2"/>
  </r>
  <r>
    <x v="4"/>
    <x v="2"/>
    <d v="2018-10-30T00:00:00"/>
    <s v="20181030"/>
    <s v="201844"/>
    <x v="8"/>
    <s v="2018"/>
    <n v="0.2"/>
  </r>
  <r>
    <x v="4"/>
    <x v="1"/>
    <d v="2018-11-05T00:00:00"/>
    <s v="20181105"/>
    <s v="201845"/>
    <x v="9"/>
    <s v="2018"/>
    <n v="19.2"/>
  </r>
  <r>
    <x v="4"/>
    <x v="2"/>
    <d v="2018-11-05T00:00:00"/>
    <s v="20181105"/>
    <s v="201845"/>
    <x v="9"/>
    <s v="2018"/>
    <n v="0.35"/>
  </r>
  <r>
    <x v="4"/>
    <x v="1"/>
    <d v="2018-12-03T00:00:00"/>
    <s v="20181203"/>
    <s v="201849"/>
    <x v="10"/>
    <s v="2018"/>
    <n v="2.74"/>
  </r>
  <r>
    <x v="5"/>
    <x v="0"/>
    <d v="2018-02-20T00:00:00"/>
    <s v="20180220"/>
    <s v="201808"/>
    <x v="0"/>
    <s v="2018"/>
    <n v="8"/>
  </r>
  <r>
    <x v="5"/>
    <x v="0"/>
    <d v="2018-03-07T00:00:00"/>
    <s v="20180307"/>
    <s v="201810"/>
    <x v="1"/>
    <s v="2018"/>
    <n v="21"/>
  </r>
  <r>
    <x v="5"/>
    <x v="0"/>
    <d v="2018-04-03T00:00:00"/>
    <s v="20180403"/>
    <s v="201814"/>
    <x v="2"/>
    <s v="2018"/>
    <n v="19"/>
  </r>
  <r>
    <x v="5"/>
    <x v="0"/>
    <d v="2018-05-07T00:00:00"/>
    <s v="20180507"/>
    <s v="201819"/>
    <x v="3"/>
    <s v="2018"/>
    <n v="19"/>
  </r>
  <r>
    <x v="5"/>
    <x v="0"/>
    <d v="2018-06-07T00:00:00"/>
    <s v="20180607"/>
    <s v="201823"/>
    <x v="4"/>
    <s v="2018"/>
    <n v="20.75"/>
  </r>
  <r>
    <x v="5"/>
    <x v="0"/>
    <d v="2018-07-06T00:00:00"/>
    <s v="20180706"/>
    <s v="201827"/>
    <x v="5"/>
    <s v="2018"/>
    <n v="22"/>
  </r>
  <r>
    <x v="5"/>
    <x v="0"/>
    <d v="2018-08-07T00:00:00"/>
    <s v="20180807"/>
    <s v="201832"/>
    <x v="6"/>
    <s v="2018"/>
    <n v="12"/>
  </r>
  <r>
    <x v="5"/>
    <x v="0"/>
    <d v="2018-09-14T00:00:00"/>
    <s v="20180914"/>
    <s v="201837"/>
    <x v="7"/>
    <s v="2018"/>
    <n v="18"/>
  </r>
  <r>
    <x v="5"/>
    <x v="0"/>
    <d v="2018-10-08T00:00:00"/>
    <s v="20181008"/>
    <s v="201841"/>
    <x v="8"/>
    <s v="2018"/>
    <n v="10"/>
  </r>
  <r>
    <x v="5"/>
    <x v="0"/>
    <d v="2018-11-12T00:00:00"/>
    <s v="20181112"/>
    <s v="201846"/>
    <x v="9"/>
    <s v="2018"/>
    <n v="13"/>
  </r>
  <r>
    <x v="5"/>
    <x v="0"/>
    <d v="2018-12-03T00:00:00"/>
    <s v="20181203"/>
    <s v="201849"/>
    <x v="10"/>
    <s v="2018"/>
    <n v="5"/>
  </r>
  <r>
    <x v="6"/>
    <x v="1"/>
    <d v="2018-05-14T00:00:00"/>
    <s v="20180514"/>
    <s v="201820"/>
    <x v="3"/>
    <s v="2018"/>
    <n v="13"/>
  </r>
  <r>
    <x v="6"/>
    <x v="1"/>
    <d v="2018-06-11T00:00:00"/>
    <s v="20180611"/>
    <s v="201824"/>
    <x v="4"/>
    <s v="2018"/>
    <n v="16.850000000000001"/>
  </r>
  <r>
    <x v="6"/>
    <x v="2"/>
    <d v="2018-06-19T00:00:00"/>
    <s v="20180619"/>
    <s v="201825"/>
    <x v="4"/>
    <s v="2018"/>
    <n v="3.7"/>
  </r>
  <r>
    <x v="6"/>
    <x v="1"/>
    <d v="2018-07-02T00:00:00"/>
    <s v="20180702"/>
    <s v="201827"/>
    <x v="5"/>
    <s v="2018"/>
    <n v="19.3"/>
  </r>
  <r>
    <x v="6"/>
    <x v="2"/>
    <d v="2018-07-02T00:00:00"/>
    <s v="20180702"/>
    <s v="201827"/>
    <x v="5"/>
    <s v="2018"/>
    <n v="1.7"/>
  </r>
  <r>
    <x v="6"/>
    <x v="1"/>
    <d v="2018-08-06T00:00:00"/>
    <s v="20180806"/>
    <s v="201832"/>
    <x v="6"/>
    <s v="2018"/>
    <n v="15.15"/>
  </r>
  <r>
    <x v="6"/>
    <x v="2"/>
    <d v="2018-08-02T00:00:00"/>
    <s v="20180802"/>
    <s v="201831"/>
    <x v="6"/>
    <s v="2018"/>
    <n v="5.85"/>
  </r>
  <r>
    <x v="6"/>
    <x v="1"/>
    <d v="2018-09-03T00:00:00"/>
    <s v="20180903"/>
    <s v="201836"/>
    <x v="7"/>
    <s v="2018"/>
    <n v="18"/>
  </r>
  <r>
    <x v="6"/>
    <x v="2"/>
    <d v="2018-09-10T00:00:00"/>
    <s v="20180910"/>
    <s v="201837"/>
    <x v="7"/>
    <s v="2018"/>
    <n v="1"/>
  </r>
  <r>
    <x v="6"/>
    <x v="1"/>
    <d v="2018-10-01T00:00:00"/>
    <s v="20181001"/>
    <s v="201840"/>
    <x v="8"/>
    <s v="2018"/>
    <n v="20.7"/>
  </r>
  <r>
    <x v="6"/>
    <x v="2"/>
    <d v="2018-10-04T00:00:00"/>
    <s v="20181004"/>
    <s v="201840"/>
    <x v="8"/>
    <s v="2018"/>
    <n v="2.2999999999999998"/>
  </r>
  <r>
    <x v="6"/>
    <x v="1"/>
    <d v="2018-11-02T00:00:00"/>
    <s v="20181102"/>
    <s v="201844"/>
    <x v="9"/>
    <s v="2018"/>
    <n v="1"/>
  </r>
  <r>
    <x v="7"/>
    <x v="0"/>
    <d v="2018-01-10T00:00:00"/>
    <s v="20180110"/>
    <s v="201802"/>
    <x v="11"/>
    <s v="2018"/>
    <n v="0.5"/>
  </r>
  <r>
    <x v="7"/>
    <x v="1"/>
    <d v="2018-02-05T00:00:00"/>
    <s v="20180205"/>
    <s v="201806"/>
    <x v="0"/>
    <s v="2018"/>
    <n v="0.5"/>
  </r>
  <r>
    <x v="7"/>
    <x v="0"/>
    <d v="2018-04-09T00:00:00"/>
    <s v="20180409"/>
    <s v="201815"/>
    <x v="2"/>
    <s v="2018"/>
    <n v="0.5"/>
  </r>
  <r>
    <x v="7"/>
    <x v="0"/>
    <d v="2018-05-07T00:00:00"/>
    <s v="20180507"/>
    <s v="201819"/>
    <x v="3"/>
    <s v="2018"/>
    <n v="0.5"/>
  </r>
  <r>
    <x v="7"/>
    <x v="1"/>
    <d v="2018-06-06T00:00:00"/>
    <s v="20180606"/>
    <s v="201823"/>
    <x v="4"/>
    <s v="2018"/>
    <n v="2"/>
  </r>
  <r>
    <x v="7"/>
    <x v="0"/>
    <d v="2018-11-26T00:00:00"/>
    <s v="20181126"/>
    <s v="201848"/>
    <x v="9"/>
    <s v="2018"/>
    <n v="2"/>
  </r>
  <r>
    <x v="8"/>
    <x v="1"/>
    <d v="2018-01-08T00:00:00"/>
    <s v="20180108"/>
    <s v="201802"/>
    <x v="11"/>
    <s v="2018"/>
    <n v="20.55"/>
  </r>
  <r>
    <x v="8"/>
    <x v="2"/>
    <d v="2018-01-26T00:00:00"/>
    <s v="20180126"/>
    <s v="201804"/>
    <x v="11"/>
    <s v="2018"/>
    <n v="0.3"/>
  </r>
  <r>
    <x v="8"/>
    <x v="1"/>
    <d v="2018-02-05T00:00:00"/>
    <s v="20180205"/>
    <s v="201806"/>
    <x v="0"/>
    <s v="2018"/>
    <n v="18.2"/>
  </r>
  <r>
    <x v="8"/>
    <x v="2"/>
    <d v="2018-02-13T00:00:00"/>
    <s v="20180213"/>
    <s v="201807"/>
    <x v="0"/>
    <s v="2018"/>
    <n v="0.3"/>
  </r>
  <r>
    <x v="8"/>
    <x v="1"/>
    <d v="2018-03-12T00:00:00"/>
    <s v="20180312"/>
    <s v="201811"/>
    <x v="1"/>
    <s v="2018"/>
    <n v="15.3"/>
  </r>
  <r>
    <x v="8"/>
    <x v="2"/>
    <d v="2018-03-20T00:00:00"/>
    <s v="20180320"/>
    <s v="201812"/>
    <x v="1"/>
    <s v="2018"/>
    <n v="0.7"/>
  </r>
  <r>
    <x v="8"/>
    <x v="1"/>
    <d v="2018-04-09T00:00:00"/>
    <s v="20180409"/>
    <s v="201815"/>
    <x v="2"/>
    <s v="2018"/>
    <n v="18.399999999999999"/>
  </r>
  <r>
    <x v="8"/>
    <x v="2"/>
    <d v="2018-04-04T00:00:00"/>
    <s v="20180404"/>
    <s v="201814"/>
    <x v="2"/>
    <s v="2018"/>
    <n v="0.4"/>
  </r>
  <r>
    <x v="8"/>
    <x v="1"/>
    <d v="2018-05-14T00:00:00"/>
    <s v="20180514"/>
    <s v="201820"/>
    <x v="3"/>
    <s v="2018"/>
    <n v="10.1"/>
  </r>
  <r>
    <x v="8"/>
    <x v="2"/>
    <d v="2018-05-16T00:00:00"/>
    <s v="20180516"/>
    <s v="201820"/>
    <x v="3"/>
    <s v="2018"/>
    <n v="0.65"/>
  </r>
  <r>
    <x v="8"/>
    <x v="1"/>
    <d v="2018-06-01T00:00:00"/>
    <s v="20180601"/>
    <s v="201822"/>
    <x v="4"/>
    <s v="2018"/>
    <n v="5.55"/>
  </r>
  <r>
    <x v="8"/>
    <x v="1"/>
    <d v="2018-07-18T00:00:00"/>
    <s v="20180718"/>
    <s v="201829"/>
    <x v="5"/>
    <s v="2018"/>
    <n v="0.15"/>
  </r>
  <r>
    <x v="8"/>
    <x v="1"/>
    <d v="2018-08-20T00:00:00"/>
    <s v="20180820"/>
    <s v="201834"/>
    <x v="6"/>
    <s v="2018"/>
    <n v="0.2"/>
  </r>
  <r>
    <x v="9"/>
    <x v="0"/>
    <d v="2018-01-29T00:00:00"/>
    <s v="20180129"/>
    <s v="201805"/>
    <x v="11"/>
    <s v="2018"/>
    <n v="3.5"/>
  </r>
  <r>
    <x v="9"/>
    <x v="0"/>
    <d v="2018-02-02T00:00:00"/>
    <s v="20180202"/>
    <s v="201805"/>
    <x v="0"/>
    <s v="2018"/>
    <n v="17.2"/>
  </r>
  <r>
    <x v="9"/>
    <x v="0"/>
    <d v="2018-03-19T00:00:00"/>
    <s v="20180319"/>
    <s v="201812"/>
    <x v="1"/>
    <s v="2018"/>
    <n v="20.9"/>
  </r>
  <r>
    <x v="9"/>
    <x v="0"/>
    <d v="2018-04-12T00:00:00"/>
    <s v="20180412"/>
    <s v="201815"/>
    <x v="2"/>
    <s v="2018"/>
    <n v="18"/>
  </r>
  <r>
    <x v="9"/>
    <x v="0"/>
    <d v="2018-05-02T00:00:00"/>
    <s v="20180502"/>
    <s v="201818"/>
    <x v="3"/>
    <s v="2018"/>
    <n v="19"/>
  </r>
  <r>
    <x v="9"/>
    <x v="0"/>
    <d v="2018-06-19T00:00:00"/>
    <s v="20180619"/>
    <s v="201825"/>
    <x v="4"/>
    <s v="2018"/>
    <n v="17"/>
  </r>
  <r>
    <x v="9"/>
    <x v="0"/>
    <d v="2018-07-09T00:00:00"/>
    <s v="20180709"/>
    <s v="201828"/>
    <x v="5"/>
    <s v="2018"/>
    <n v="20.5"/>
  </r>
  <r>
    <x v="9"/>
    <x v="0"/>
    <d v="2018-08-16T00:00:00"/>
    <s v="20180816"/>
    <s v="201833"/>
    <x v="6"/>
    <s v="2018"/>
    <n v="17"/>
  </r>
  <r>
    <x v="9"/>
    <x v="0"/>
    <d v="2018-09-07T00:00:00"/>
    <s v="20180907"/>
    <s v="201836"/>
    <x v="7"/>
    <s v="2018"/>
    <n v="18"/>
  </r>
  <r>
    <x v="9"/>
    <x v="0"/>
    <d v="2018-10-29T00:00:00"/>
    <s v="20181029"/>
    <s v="201844"/>
    <x v="8"/>
    <s v="2018"/>
    <n v="22.5"/>
  </r>
  <r>
    <x v="9"/>
    <x v="0"/>
    <d v="2018-11-19T00:00:00"/>
    <s v="20181119"/>
    <s v="201847"/>
    <x v="9"/>
    <s v="2018"/>
    <n v="18.5"/>
  </r>
  <r>
    <x v="10"/>
    <x v="0"/>
    <d v="2018-01-29T00:00:00"/>
    <s v="20180129"/>
    <s v="201805"/>
    <x v="11"/>
    <s v="2018"/>
    <n v="3.5"/>
  </r>
  <r>
    <x v="10"/>
    <x v="0"/>
    <d v="2018-02-02T00:00:00"/>
    <s v="20180202"/>
    <s v="201805"/>
    <x v="0"/>
    <s v="2018"/>
    <n v="18.25"/>
  </r>
  <r>
    <x v="10"/>
    <x v="0"/>
    <d v="2018-03-15T00:00:00"/>
    <s v="20180315"/>
    <s v="201811"/>
    <x v="1"/>
    <s v="2018"/>
    <n v="22"/>
  </r>
  <r>
    <x v="10"/>
    <x v="0"/>
    <d v="2018-04-03T00:00:00"/>
    <s v="20180403"/>
    <s v="201814"/>
    <x v="2"/>
    <s v="2018"/>
    <n v="17"/>
  </r>
  <r>
    <x v="10"/>
    <x v="0"/>
    <d v="2018-05-02T00:00:00"/>
    <s v="20180502"/>
    <s v="201818"/>
    <x v="3"/>
    <s v="2018"/>
    <n v="16"/>
  </r>
  <r>
    <x v="10"/>
    <x v="0"/>
    <d v="2018-06-01T00:00:00"/>
    <s v="20180601"/>
    <s v="201822"/>
    <x v="4"/>
    <s v="2018"/>
    <n v="18"/>
  </r>
  <r>
    <x v="10"/>
    <x v="0"/>
    <d v="2018-07-11T00:00:00"/>
    <s v="20180711"/>
    <s v="201828"/>
    <x v="5"/>
    <s v="2018"/>
    <n v="13.5"/>
  </r>
  <r>
    <x v="10"/>
    <x v="0"/>
    <d v="2018-08-28T00:00:00"/>
    <s v="20180828"/>
    <s v="201835"/>
    <x v="6"/>
    <s v="2018"/>
    <n v="22"/>
  </r>
  <r>
    <x v="10"/>
    <x v="0"/>
    <d v="2018-09-27T00:00:00"/>
    <s v="20180927"/>
    <s v="201839"/>
    <x v="7"/>
    <s v="2018"/>
    <n v="19"/>
  </r>
  <r>
    <x v="10"/>
    <x v="0"/>
    <d v="2018-10-01T00:00:00"/>
    <s v="20181001"/>
    <s v="201840"/>
    <x v="8"/>
    <s v="2018"/>
    <n v="23"/>
  </r>
  <r>
    <x v="10"/>
    <x v="0"/>
    <d v="2018-11-05T00:00:00"/>
    <s v="20181105"/>
    <s v="201845"/>
    <x v="9"/>
    <s v="2018"/>
    <n v="9"/>
  </r>
  <r>
    <x v="11"/>
    <x v="1"/>
    <d v="2018-01-08T00:00:00"/>
    <s v="20180108"/>
    <s v="201802"/>
    <x v="11"/>
    <s v="2018"/>
    <n v="15.35"/>
  </r>
  <r>
    <x v="11"/>
    <x v="2"/>
    <d v="2018-01-03T00:00:00"/>
    <s v="20180103"/>
    <s v="201801"/>
    <x v="11"/>
    <s v="2018"/>
    <n v="3.62"/>
  </r>
  <r>
    <x v="11"/>
    <x v="1"/>
    <d v="2018-02-01T00:00:00"/>
    <s v="20180201"/>
    <s v="201805"/>
    <x v="0"/>
    <s v="2018"/>
    <n v="18.27"/>
  </r>
  <r>
    <x v="11"/>
    <x v="2"/>
    <d v="2018-02-16T00:00:00"/>
    <s v="20180216"/>
    <s v="201807"/>
    <x v="0"/>
    <s v="2018"/>
    <n v="0.34"/>
  </r>
  <r>
    <x v="11"/>
    <x v="1"/>
    <d v="2018-03-01T00:00:00"/>
    <s v="20180301"/>
    <s v="201809"/>
    <x v="1"/>
    <s v="2018"/>
    <n v="17.14"/>
  </r>
  <r>
    <x v="11"/>
    <x v="2"/>
    <d v="2018-03-01T00:00:00"/>
    <s v="20180301"/>
    <s v="201809"/>
    <x v="1"/>
    <s v="2018"/>
    <n v="3.49"/>
  </r>
  <r>
    <x v="11"/>
    <x v="1"/>
    <d v="2018-04-04T00:00:00"/>
    <s v="20180404"/>
    <s v="201814"/>
    <x v="2"/>
    <s v="2018"/>
    <n v="12.71"/>
  </r>
  <r>
    <x v="11"/>
    <x v="2"/>
    <d v="2018-04-09T00:00:00"/>
    <s v="20180409"/>
    <s v="201815"/>
    <x v="2"/>
    <s v="2018"/>
    <n v="5.48"/>
  </r>
  <r>
    <x v="11"/>
    <x v="1"/>
    <d v="2018-05-11T00:00:00"/>
    <s v="20180511"/>
    <s v="201819"/>
    <x v="3"/>
    <s v="2018"/>
    <n v="10.220000000000001"/>
  </r>
  <r>
    <x v="11"/>
    <x v="2"/>
    <d v="2018-05-18T00:00:00"/>
    <s v="20180518"/>
    <s v="201820"/>
    <x v="3"/>
    <s v="2018"/>
    <n v="6.78"/>
  </r>
  <r>
    <x v="11"/>
    <x v="1"/>
    <d v="2018-06-07T00:00:00"/>
    <s v="20180607"/>
    <s v="201823"/>
    <x v="4"/>
    <s v="2018"/>
    <n v="13.15"/>
  </r>
  <r>
    <x v="11"/>
    <x v="2"/>
    <d v="2018-06-05T00:00:00"/>
    <s v="20180605"/>
    <s v="201823"/>
    <x v="4"/>
    <s v="2018"/>
    <n v="5.49"/>
  </r>
  <r>
    <x v="11"/>
    <x v="1"/>
    <d v="2018-07-02T00:00:00"/>
    <s v="20180702"/>
    <s v="201827"/>
    <x v="5"/>
    <s v="2018"/>
    <n v="5.13"/>
  </r>
  <r>
    <x v="11"/>
    <x v="2"/>
    <d v="2018-07-31T00:00:00"/>
    <s v="20180731"/>
    <s v="201831"/>
    <x v="5"/>
    <s v="2018"/>
    <n v="1.7"/>
  </r>
  <r>
    <x v="11"/>
    <x v="1"/>
    <d v="2018-08-14T00:00:00"/>
    <s v="20180814"/>
    <s v="201833"/>
    <x v="6"/>
    <s v="2018"/>
    <n v="12.32"/>
  </r>
  <r>
    <x v="11"/>
    <x v="2"/>
    <d v="2018-08-08T00:00:00"/>
    <s v="20180808"/>
    <s v="201832"/>
    <x v="6"/>
    <s v="2018"/>
    <n v="9.68"/>
  </r>
  <r>
    <x v="11"/>
    <x v="1"/>
    <d v="2018-09-11T00:00:00"/>
    <s v="20180911"/>
    <s v="201837"/>
    <x v="7"/>
    <s v="2018"/>
    <n v="8.84"/>
  </r>
  <r>
    <x v="11"/>
    <x v="2"/>
    <d v="2018-09-03T00:00:00"/>
    <s v="20180903"/>
    <s v="201836"/>
    <x v="7"/>
    <s v="2018"/>
    <n v="1.1599999999999999"/>
  </r>
  <r>
    <x v="12"/>
    <x v="3"/>
    <d v="2018-07-03T00:00:00"/>
    <s v="20180703"/>
    <s v="201827"/>
    <x v="5"/>
    <s v="2018"/>
    <n v="2.5"/>
  </r>
  <r>
    <x v="12"/>
    <x v="3"/>
    <d v="2018-08-16T00:00:00"/>
    <s v="20180816"/>
    <s v="201833"/>
    <x v="6"/>
    <s v="2018"/>
    <n v="9"/>
  </r>
  <r>
    <x v="12"/>
    <x v="3"/>
    <d v="2018-09-04T00:00:00"/>
    <s v="20180904"/>
    <s v="201836"/>
    <x v="7"/>
    <s v="2018"/>
    <n v="20"/>
  </r>
  <r>
    <x v="12"/>
    <x v="3"/>
    <d v="2018-10-02T00:00:00"/>
    <s v="20181002"/>
    <s v="201840"/>
    <x v="8"/>
    <s v="2018"/>
    <n v="23"/>
  </r>
  <r>
    <x v="12"/>
    <x v="3"/>
    <d v="2018-11-09T00:00:00"/>
    <s v="20181109"/>
    <s v="201845"/>
    <x v="9"/>
    <s v="2018"/>
    <n v="19.5"/>
  </r>
  <r>
    <x v="12"/>
    <x v="3"/>
    <d v="2018-12-06T00:00:00"/>
    <s v="20181206"/>
    <s v="201849"/>
    <x v="10"/>
    <s v="2018"/>
    <n v="5"/>
  </r>
  <r>
    <x v="13"/>
    <x v="0"/>
    <d v="2018-02-07T00:00:00"/>
    <s v="20180207"/>
    <s v="201806"/>
    <x v="0"/>
    <s v="2018"/>
    <n v="2"/>
  </r>
  <r>
    <x v="13"/>
    <x v="0"/>
    <d v="2018-03-06T00:00:00"/>
    <s v="20180306"/>
    <s v="201810"/>
    <x v="1"/>
    <s v="2018"/>
    <n v="17.5"/>
  </r>
  <r>
    <x v="13"/>
    <x v="0"/>
    <d v="2018-04-10T00:00:00"/>
    <s v="20180410"/>
    <s v="201815"/>
    <x v="2"/>
    <s v="2018"/>
    <n v="11"/>
  </r>
  <r>
    <x v="13"/>
    <x v="0"/>
    <d v="2018-05-03T00:00:00"/>
    <s v="20180503"/>
    <s v="201818"/>
    <x v="3"/>
    <s v="2018"/>
    <n v="13"/>
  </r>
  <r>
    <x v="13"/>
    <x v="0"/>
    <d v="2018-06-27T00:00:00"/>
    <s v="20180627"/>
    <s v="201826"/>
    <x v="4"/>
    <s v="2018"/>
    <n v="16.5"/>
  </r>
  <r>
    <x v="13"/>
    <x v="0"/>
    <d v="2018-07-02T00:00:00"/>
    <s v="20180702"/>
    <s v="201827"/>
    <x v="5"/>
    <s v="2018"/>
    <n v="15"/>
  </r>
  <r>
    <x v="13"/>
    <x v="0"/>
    <d v="2018-08-27T00:00:00"/>
    <s v="20180827"/>
    <s v="201835"/>
    <x v="6"/>
    <s v="2018"/>
    <n v="5"/>
  </r>
  <r>
    <x v="13"/>
    <x v="0"/>
    <d v="2018-09-03T00:00:00"/>
    <s v="20180903"/>
    <s v="201836"/>
    <x v="7"/>
    <s v="2018"/>
    <n v="19"/>
  </r>
  <r>
    <x v="13"/>
    <x v="0"/>
    <d v="2018-10-08T00:00:00"/>
    <s v="20181008"/>
    <s v="201841"/>
    <x v="8"/>
    <s v="2018"/>
    <n v="21.5"/>
  </r>
  <r>
    <x v="13"/>
    <x v="0"/>
    <d v="2018-11-27T00:00:00"/>
    <s v="20181127"/>
    <s v="201848"/>
    <x v="9"/>
    <s v="2018"/>
    <n v="19.5"/>
  </r>
  <r>
    <x v="13"/>
    <x v="0"/>
    <d v="2018-12-03T00:00:00"/>
    <s v="20181203"/>
    <s v="201849"/>
    <x v="10"/>
    <s v="2018"/>
    <n v="4.5"/>
  </r>
  <r>
    <x v="14"/>
    <x v="1"/>
    <d v="2018-01-10T00:00:00"/>
    <s v="20180110"/>
    <s v="201802"/>
    <x v="11"/>
    <s v="2018"/>
    <n v="12"/>
  </r>
  <r>
    <x v="14"/>
    <x v="1"/>
    <d v="2018-02-13T00:00:00"/>
    <s v="20180213"/>
    <s v="201807"/>
    <x v="0"/>
    <s v="2018"/>
    <n v="10.8"/>
  </r>
  <r>
    <x v="14"/>
    <x v="2"/>
    <d v="2018-02-09T00:00:00"/>
    <s v="20180209"/>
    <s v="201806"/>
    <x v="0"/>
    <s v="2018"/>
    <n v="1.2"/>
  </r>
  <r>
    <x v="14"/>
    <x v="1"/>
    <d v="2018-03-07T00:00:00"/>
    <s v="20180307"/>
    <s v="201810"/>
    <x v="1"/>
    <s v="2018"/>
    <n v="5.7"/>
  </r>
  <r>
    <x v="15"/>
    <x v="1"/>
    <d v="2018-01-09T00:00:00"/>
    <s v="20180109"/>
    <s v="201802"/>
    <x v="11"/>
    <s v="2018"/>
    <n v="4.9000000000000004"/>
  </r>
  <r>
    <x v="15"/>
    <x v="2"/>
    <d v="2018-01-26T00:00:00"/>
    <s v="20180126"/>
    <s v="201804"/>
    <x v="11"/>
    <s v="2018"/>
    <n v="0.4"/>
  </r>
  <r>
    <x v="15"/>
    <x v="1"/>
    <d v="2018-02-01T00:00:00"/>
    <s v="20180201"/>
    <s v="201805"/>
    <x v="0"/>
    <s v="2018"/>
    <n v="6.9"/>
  </r>
  <r>
    <x v="15"/>
    <x v="2"/>
    <d v="2018-02-05T00:00:00"/>
    <s v="20180205"/>
    <s v="201806"/>
    <x v="0"/>
    <s v="2018"/>
    <n v="10.7"/>
  </r>
  <r>
    <x v="15"/>
    <x v="1"/>
    <d v="2018-03-01T00:00:00"/>
    <s v="20180301"/>
    <s v="201809"/>
    <x v="1"/>
    <s v="2018"/>
    <n v="6.7"/>
  </r>
  <r>
    <x v="15"/>
    <x v="2"/>
    <d v="2018-03-02T00:00:00"/>
    <s v="20180302"/>
    <s v="201809"/>
    <x v="1"/>
    <s v="2018"/>
    <n v="13.7"/>
  </r>
  <r>
    <x v="15"/>
    <x v="1"/>
    <d v="2018-04-03T00:00:00"/>
    <s v="20180403"/>
    <s v="201814"/>
    <x v="2"/>
    <s v="2018"/>
    <n v="4.2"/>
  </r>
  <r>
    <x v="15"/>
    <x v="2"/>
    <d v="2018-04-17T00:00:00"/>
    <s v="20180417"/>
    <s v="201816"/>
    <x v="2"/>
    <s v="2018"/>
    <n v="7.8"/>
  </r>
  <r>
    <x v="15"/>
    <x v="1"/>
    <d v="2018-05-22T00:00:00"/>
    <s v="20180522"/>
    <s v="201821"/>
    <x v="3"/>
    <s v="2018"/>
    <n v="3.6"/>
  </r>
  <r>
    <x v="15"/>
    <x v="2"/>
    <d v="2018-05-16T00:00:00"/>
    <s v="20180516"/>
    <s v="201820"/>
    <x v="3"/>
    <s v="2018"/>
    <n v="8.9"/>
  </r>
  <r>
    <x v="15"/>
    <x v="1"/>
    <d v="2018-06-07T00:00:00"/>
    <s v="20180607"/>
    <s v="201823"/>
    <x v="4"/>
    <s v="2018"/>
    <n v="6.1"/>
  </r>
  <r>
    <x v="15"/>
    <x v="2"/>
    <d v="2018-06-04T00:00:00"/>
    <s v="20180604"/>
    <s v="201823"/>
    <x v="4"/>
    <s v="2018"/>
    <n v="13.9"/>
  </r>
  <r>
    <x v="15"/>
    <x v="1"/>
    <d v="2018-07-25T00:00:00"/>
    <s v="20180725"/>
    <s v="201830"/>
    <x v="5"/>
    <s v="2018"/>
    <n v="5.8"/>
  </r>
  <r>
    <x v="15"/>
    <x v="2"/>
    <d v="2018-07-19T00:00:00"/>
    <s v="20180719"/>
    <s v="201829"/>
    <x v="5"/>
    <s v="2018"/>
    <n v="15.2"/>
  </r>
  <r>
    <x v="15"/>
    <x v="1"/>
    <d v="2018-08-01T00:00:00"/>
    <s v="20180801"/>
    <s v="201831"/>
    <x v="6"/>
    <s v="2018"/>
    <n v="1"/>
  </r>
  <r>
    <x v="15"/>
    <x v="2"/>
    <d v="2018-08-02T00:00:00"/>
    <s v="20180802"/>
    <s v="201831"/>
    <x v="6"/>
    <s v="2018"/>
    <n v="4"/>
  </r>
  <r>
    <x v="15"/>
    <x v="1"/>
    <d v="2018-09-03T00:00:00"/>
    <s v="20180903"/>
    <s v="201836"/>
    <x v="7"/>
    <s v="2018"/>
    <n v="2.9"/>
  </r>
  <r>
    <x v="15"/>
    <x v="2"/>
    <d v="2018-09-11T00:00:00"/>
    <s v="20180911"/>
    <s v="201837"/>
    <x v="7"/>
    <s v="2018"/>
    <n v="17.100000000000001"/>
  </r>
  <r>
    <x v="15"/>
    <x v="1"/>
    <d v="2018-10-01T00:00:00"/>
    <s v="20181001"/>
    <s v="201840"/>
    <x v="8"/>
    <s v="2018"/>
    <n v="11.3"/>
  </r>
  <r>
    <x v="15"/>
    <x v="2"/>
    <d v="2018-10-08T00:00:00"/>
    <s v="20181008"/>
    <s v="201841"/>
    <x v="8"/>
    <s v="2018"/>
    <n v="11.7"/>
  </r>
  <r>
    <x v="15"/>
    <x v="1"/>
    <d v="2018-11-07T00:00:00"/>
    <s v="20181107"/>
    <s v="201845"/>
    <x v="9"/>
    <s v="2018"/>
    <n v="8.3000000000000007"/>
  </r>
  <r>
    <x v="15"/>
    <x v="2"/>
    <d v="2018-11-12T00:00:00"/>
    <s v="20181112"/>
    <s v="201846"/>
    <x v="9"/>
    <s v="2018"/>
    <n v="11.7"/>
  </r>
  <r>
    <x v="16"/>
    <x v="3"/>
    <d v="2018-05-02T00:00:00"/>
    <s v="20180502"/>
    <s v="201818"/>
    <x v="3"/>
    <s v="2018"/>
    <n v="17"/>
  </r>
  <r>
    <x v="16"/>
    <x v="3"/>
    <d v="2018-06-01T00:00:00"/>
    <s v="20180601"/>
    <s v="201822"/>
    <x v="4"/>
    <s v="2018"/>
    <n v="20.5"/>
  </r>
  <r>
    <x v="16"/>
    <x v="3"/>
    <d v="2018-07-03T00:00:00"/>
    <s v="20180703"/>
    <s v="201827"/>
    <x v="5"/>
    <s v="2018"/>
    <n v="20"/>
  </r>
  <r>
    <x v="16"/>
    <x v="3"/>
    <d v="2018-08-07T00:00:00"/>
    <s v="20180807"/>
    <s v="201832"/>
    <x v="6"/>
    <s v="2018"/>
    <n v="22"/>
  </r>
  <r>
    <x v="16"/>
    <x v="3"/>
    <d v="2018-09-20T00:00:00"/>
    <s v="20180920"/>
    <s v="201838"/>
    <x v="7"/>
    <s v="2018"/>
    <n v="19"/>
  </r>
  <r>
    <x v="16"/>
    <x v="3"/>
    <d v="2018-10-08T00:00:00"/>
    <s v="20181008"/>
    <s v="201841"/>
    <x v="8"/>
    <s v="2018"/>
    <n v="22"/>
  </r>
  <r>
    <x v="16"/>
    <x v="3"/>
    <d v="2018-11-19T00:00:00"/>
    <s v="20181119"/>
    <s v="201847"/>
    <x v="9"/>
    <s v="2018"/>
    <n v="8"/>
  </r>
  <r>
    <x v="16"/>
    <x v="3"/>
    <d v="2018-12-04T00:00:00"/>
    <s v="20181204"/>
    <s v="201849"/>
    <x v="10"/>
    <s v="2018"/>
    <n v="0.75"/>
  </r>
  <r>
    <x v="17"/>
    <x v="0"/>
    <d v="2018-01-08T00:00:00"/>
    <s v="20180108"/>
    <s v="201802"/>
    <x v="11"/>
    <s v="2018"/>
    <n v="16"/>
  </r>
  <r>
    <x v="17"/>
    <x v="0"/>
    <d v="2018-02-01T00:00:00"/>
    <s v="20180201"/>
    <s v="201805"/>
    <x v="0"/>
    <s v="2018"/>
    <n v="20"/>
  </r>
  <r>
    <x v="17"/>
    <x v="0"/>
    <d v="2018-03-01T00:00:00"/>
    <s v="20180301"/>
    <s v="201809"/>
    <x v="1"/>
    <s v="2018"/>
    <n v="22"/>
  </r>
  <r>
    <x v="17"/>
    <x v="0"/>
    <d v="2018-04-03T00:00:00"/>
    <s v="20180403"/>
    <s v="201814"/>
    <x v="2"/>
    <s v="2018"/>
    <n v="19"/>
  </r>
  <r>
    <x v="17"/>
    <x v="0"/>
    <d v="2018-05-14T00:00:00"/>
    <s v="20180514"/>
    <s v="201820"/>
    <x v="3"/>
    <s v="2018"/>
    <n v="12.5"/>
  </r>
  <r>
    <x v="17"/>
    <x v="0"/>
    <d v="2018-06-01T00:00:00"/>
    <s v="20180601"/>
    <s v="201822"/>
    <x v="4"/>
    <s v="2018"/>
    <n v="21"/>
  </r>
  <r>
    <x v="17"/>
    <x v="0"/>
    <d v="2018-07-02T00:00:00"/>
    <s v="20180702"/>
    <s v="201827"/>
    <x v="5"/>
    <s v="2018"/>
    <n v="22"/>
  </r>
  <r>
    <x v="18"/>
    <x v="0"/>
    <d v="2018-01-15T00:00:00"/>
    <s v="20180115"/>
    <s v="201803"/>
    <x v="11"/>
    <s v="2018"/>
    <n v="18"/>
  </r>
  <r>
    <x v="18"/>
    <x v="0"/>
    <d v="2018-02-01T00:00:00"/>
    <s v="20180201"/>
    <s v="201805"/>
    <x v="0"/>
    <s v="2018"/>
    <n v="20"/>
  </r>
  <r>
    <x v="18"/>
    <x v="0"/>
    <d v="2018-03-02T00:00:00"/>
    <s v="20180302"/>
    <s v="201809"/>
    <x v="1"/>
    <s v="2018"/>
    <n v="20"/>
  </r>
  <r>
    <x v="18"/>
    <x v="0"/>
    <d v="2018-04-16T00:00:00"/>
    <s v="20180416"/>
    <s v="201816"/>
    <x v="2"/>
    <s v="2018"/>
    <n v="19"/>
  </r>
  <r>
    <x v="18"/>
    <x v="0"/>
    <d v="2018-05-22T00:00:00"/>
    <s v="20180522"/>
    <s v="201821"/>
    <x v="3"/>
    <s v="2018"/>
    <n v="16"/>
  </r>
  <r>
    <x v="18"/>
    <x v="0"/>
    <d v="2018-06-06T00:00:00"/>
    <s v="20180606"/>
    <s v="201823"/>
    <x v="4"/>
    <s v="2018"/>
    <n v="21"/>
  </r>
  <r>
    <x v="18"/>
    <x v="0"/>
    <d v="2018-07-11T00:00:00"/>
    <s v="20180711"/>
    <s v="201828"/>
    <x v="5"/>
    <s v="2018"/>
    <n v="22"/>
  </r>
  <r>
    <x v="18"/>
    <x v="0"/>
    <d v="2018-08-29T00:00:00"/>
    <s v="20180829"/>
    <s v="201835"/>
    <x v="6"/>
    <s v="2018"/>
    <n v="13"/>
  </r>
  <r>
    <x v="18"/>
    <x v="0"/>
    <d v="2018-09-07T00:00:00"/>
    <s v="20180907"/>
    <s v="201836"/>
    <x v="7"/>
    <s v="2018"/>
    <n v="20"/>
  </r>
  <r>
    <x v="18"/>
    <x v="0"/>
    <d v="2018-10-04T00:00:00"/>
    <s v="20181004"/>
    <s v="201840"/>
    <x v="8"/>
    <s v="2018"/>
    <n v="23"/>
  </r>
  <r>
    <x v="18"/>
    <x v="0"/>
    <d v="2018-11-15T00:00:00"/>
    <s v="20181115"/>
    <s v="201846"/>
    <x v="9"/>
    <s v="2018"/>
    <n v="20"/>
  </r>
  <r>
    <x v="18"/>
    <x v="0"/>
    <d v="2018-12-05T00:00:00"/>
    <s v="20181205"/>
    <s v="201849"/>
    <x v="10"/>
    <s v="2018"/>
    <n v="3"/>
  </r>
  <r>
    <x v="19"/>
    <x v="3"/>
    <d v="2018-01-03T00:00:00"/>
    <s v="20180103"/>
    <s v="201801"/>
    <x v="11"/>
    <s v="2018"/>
    <n v="21"/>
  </r>
  <r>
    <x v="19"/>
    <x v="3"/>
    <d v="2018-02-06T00:00:00"/>
    <s v="20180206"/>
    <s v="201806"/>
    <x v="0"/>
    <s v="2018"/>
    <n v="17"/>
  </r>
  <r>
    <x v="19"/>
    <x v="3"/>
    <d v="2018-03-23T00:00:00"/>
    <s v="20180323"/>
    <s v="201812"/>
    <x v="1"/>
    <s v="2018"/>
    <n v="19"/>
  </r>
  <r>
    <x v="19"/>
    <x v="3"/>
    <d v="2018-04-19T00:00:00"/>
    <s v="20180419"/>
    <s v="201816"/>
    <x v="2"/>
    <s v="2018"/>
    <n v="17"/>
  </r>
  <r>
    <x v="19"/>
    <x v="3"/>
    <d v="2018-05-02T00:00:00"/>
    <s v="20180502"/>
    <s v="201818"/>
    <x v="3"/>
    <s v="2018"/>
    <n v="12"/>
  </r>
  <r>
    <x v="19"/>
    <x v="3"/>
    <d v="2018-06-07T00:00:00"/>
    <s v="20180607"/>
    <s v="201823"/>
    <x v="4"/>
    <s v="2018"/>
    <n v="11"/>
  </r>
  <r>
    <x v="20"/>
    <x v="0"/>
    <d v="2018-03-01T00:00:00"/>
    <s v="20180301"/>
    <s v="201809"/>
    <x v="1"/>
    <s v="2018"/>
    <n v="22"/>
  </r>
  <r>
    <x v="20"/>
    <x v="0"/>
    <d v="2018-04-09T00:00:00"/>
    <s v="20180409"/>
    <s v="201815"/>
    <x v="2"/>
    <s v="2018"/>
    <n v="19"/>
  </r>
  <r>
    <x v="20"/>
    <x v="0"/>
    <d v="2018-05-18T00:00:00"/>
    <s v="20180518"/>
    <s v="201820"/>
    <x v="3"/>
    <s v="2018"/>
    <n v="19"/>
  </r>
  <r>
    <x v="20"/>
    <x v="0"/>
    <d v="2018-06-26T00:00:00"/>
    <s v="20180626"/>
    <s v="201826"/>
    <x v="4"/>
    <s v="2018"/>
    <n v="19"/>
  </r>
  <r>
    <x v="20"/>
    <x v="0"/>
    <d v="2018-07-05T00:00:00"/>
    <s v="20180705"/>
    <s v="201827"/>
    <x v="5"/>
    <s v="2018"/>
    <n v="14"/>
  </r>
  <r>
    <x v="20"/>
    <x v="0"/>
    <d v="2018-08-24T00:00:00"/>
    <s v="20180824"/>
    <s v="201834"/>
    <x v="6"/>
    <s v="2018"/>
    <n v="19.5"/>
  </r>
  <r>
    <x v="20"/>
    <x v="0"/>
    <d v="2018-09-13T00:00:00"/>
    <s v="20180913"/>
    <s v="201837"/>
    <x v="7"/>
    <s v="2018"/>
    <n v="20"/>
  </r>
  <r>
    <x v="20"/>
    <x v="0"/>
    <d v="2018-10-17T00:00:00"/>
    <s v="20181017"/>
    <s v="201842"/>
    <x v="8"/>
    <s v="2018"/>
    <n v="23"/>
  </r>
  <r>
    <x v="20"/>
    <x v="0"/>
    <d v="2018-11-07T00:00:00"/>
    <s v="20181107"/>
    <s v="201845"/>
    <x v="9"/>
    <s v="2018"/>
    <n v="20"/>
  </r>
  <r>
    <x v="21"/>
    <x v="0"/>
    <d v="2018-01-29T00:00:00"/>
    <s v="20180129"/>
    <s v="201805"/>
    <x v="11"/>
    <s v="2018"/>
    <n v="8.25"/>
  </r>
  <r>
    <x v="21"/>
    <x v="0"/>
    <d v="2018-02-01T00:00:00"/>
    <s v="20180201"/>
    <s v="201805"/>
    <x v="0"/>
    <s v="2018"/>
    <n v="14.7"/>
  </r>
  <r>
    <x v="21"/>
    <x v="0"/>
    <d v="2018-03-01T00:00:00"/>
    <s v="20180301"/>
    <s v="201809"/>
    <x v="1"/>
    <s v="2018"/>
    <n v="22"/>
  </r>
  <r>
    <x v="21"/>
    <x v="0"/>
    <d v="2018-04-04T00:00:00"/>
    <s v="20180404"/>
    <s v="201814"/>
    <x v="2"/>
    <s v="2018"/>
    <n v="17"/>
  </r>
  <r>
    <x v="21"/>
    <x v="0"/>
    <d v="2018-05-04T00:00:00"/>
    <s v="20180504"/>
    <s v="201818"/>
    <x v="3"/>
    <s v="2018"/>
    <n v="15.5"/>
  </r>
  <r>
    <x v="21"/>
    <x v="0"/>
    <d v="2018-06-07T00:00:00"/>
    <s v="20180607"/>
    <s v="201823"/>
    <x v="4"/>
    <s v="2018"/>
    <n v="18"/>
  </r>
  <r>
    <x v="21"/>
    <x v="0"/>
    <d v="2018-07-04T00:00:00"/>
    <s v="20180704"/>
    <s v="201827"/>
    <x v="5"/>
    <s v="2018"/>
    <n v="20.77"/>
  </r>
  <r>
    <x v="21"/>
    <x v="0"/>
    <d v="2018-08-07T00:00:00"/>
    <s v="20180807"/>
    <s v="201832"/>
    <x v="6"/>
    <s v="2018"/>
    <n v="14.5"/>
  </r>
  <r>
    <x v="21"/>
    <x v="0"/>
    <d v="2018-09-21T00:00:00"/>
    <s v="20180921"/>
    <s v="201838"/>
    <x v="7"/>
    <s v="2018"/>
    <n v="15"/>
  </r>
  <r>
    <x v="21"/>
    <x v="0"/>
    <d v="2018-10-16T00:00:00"/>
    <s v="20181016"/>
    <s v="201842"/>
    <x v="8"/>
    <s v="2018"/>
    <n v="23"/>
  </r>
  <r>
    <x v="21"/>
    <x v="0"/>
    <d v="2018-11-05T00:00:00"/>
    <s v="20181105"/>
    <s v="201845"/>
    <x v="9"/>
    <s v="2018"/>
    <n v="18"/>
  </r>
  <r>
    <x v="22"/>
    <x v="1"/>
    <d v="2018-01-29T00:00:00"/>
    <s v="20180129"/>
    <s v="201805"/>
    <x v="11"/>
    <s v="2018"/>
    <n v="18"/>
  </r>
  <r>
    <x v="22"/>
    <x v="1"/>
    <d v="2018-02-05T00:00:00"/>
    <s v="20180205"/>
    <s v="201806"/>
    <x v="0"/>
    <s v="2018"/>
    <n v="20"/>
  </r>
  <r>
    <x v="22"/>
    <x v="1"/>
    <d v="2018-03-05T00:00:00"/>
    <s v="20180305"/>
    <s v="201810"/>
    <x v="1"/>
    <s v="2018"/>
    <n v="22"/>
  </r>
  <r>
    <x v="22"/>
    <x v="1"/>
    <d v="2018-04-19T00:00:00"/>
    <s v="20180419"/>
    <s v="201816"/>
    <x v="2"/>
    <s v="2018"/>
    <n v="16.7"/>
  </r>
  <r>
    <x v="22"/>
    <x v="2"/>
    <d v="2018-04-25T00:00:00"/>
    <s v="20180425"/>
    <s v="201817"/>
    <x v="2"/>
    <s v="2018"/>
    <n v="1.3"/>
  </r>
  <r>
    <x v="22"/>
    <x v="1"/>
    <d v="2018-05-14T00:00:00"/>
    <s v="20180514"/>
    <s v="201820"/>
    <x v="3"/>
    <s v="2018"/>
    <n v="19"/>
  </r>
  <r>
    <x v="22"/>
    <x v="1"/>
    <d v="2018-06-11T00:00:00"/>
    <s v="20180611"/>
    <s v="201824"/>
    <x v="4"/>
    <s v="2018"/>
    <n v="21"/>
  </r>
  <r>
    <x v="22"/>
    <x v="1"/>
    <d v="2018-07-02T00:00:00"/>
    <s v="20180702"/>
    <s v="201827"/>
    <x v="5"/>
    <s v="2018"/>
    <n v="10"/>
  </r>
  <r>
    <x v="22"/>
    <x v="1"/>
    <d v="2018-08-06T00:00:00"/>
    <s v="20180806"/>
    <s v="201832"/>
    <x v="6"/>
    <s v="2018"/>
    <n v="18.5"/>
  </r>
  <r>
    <x v="22"/>
    <x v="1"/>
    <d v="2018-09-18T00:00:00"/>
    <s v="20180918"/>
    <s v="201838"/>
    <x v="7"/>
    <s v="2018"/>
    <n v="17.5"/>
  </r>
  <r>
    <x v="22"/>
    <x v="1"/>
    <d v="2018-10-17T00:00:00"/>
    <s v="20181017"/>
    <s v="201842"/>
    <x v="8"/>
    <s v="2018"/>
    <n v="20.8"/>
  </r>
  <r>
    <x v="22"/>
    <x v="1"/>
    <d v="2018-11-05T00:00:00"/>
    <s v="20181105"/>
    <s v="201845"/>
    <x v="9"/>
    <s v="2018"/>
    <n v="21"/>
  </r>
  <r>
    <x v="23"/>
    <x v="0"/>
    <d v="2018-01-08T00:00:00"/>
    <s v="20180108"/>
    <s v="201802"/>
    <x v="11"/>
    <s v="2018"/>
    <n v="18"/>
  </r>
  <r>
    <x v="23"/>
    <x v="0"/>
    <d v="2018-02-01T00:00:00"/>
    <s v="20180201"/>
    <s v="201805"/>
    <x v="0"/>
    <s v="2018"/>
    <n v="17"/>
  </r>
  <r>
    <x v="23"/>
    <x v="0"/>
    <d v="2018-03-01T00:00:00"/>
    <s v="20180301"/>
    <s v="201809"/>
    <x v="1"/>
    <s v="2018"/>
    <n v="22"/>
  </r>
  <r>
    <x v="23"/>
    <x v="0"/>
    <d v="2018-04-03T00:00:00"/>
    <s v="20180403"/>
    <s v="201814"/>
    <x v="2"/>
    <s v="2018"/>
    <n v="19"/>
  </r>
  <r>
    <x v="23"/>
    <x v="0"/>
    <d v="2018-05-14T00:00:00"/>
    <s v="20180514"/>
    <s v="201820"/>
    <x v="3"/>
    <s v="2018"/>
    <n v="9"/>
  </r>
  <r>
    <x v="23"/>
    <x v="0"/>
    <d v="2018-06-01T00:00:00"/>
    <s v="20180601"/>
    <s v="201822"/>
    <x v="4"/>
    <s v="2018"/>
    <n v="21"/>
  </r>
  <r>
    <x v="23"/>
    <x v="0"/>
    <d v="2018-07-02T00:00:00"/>
    <s v="20180702"/>
    <s v="201827"/>
    <x v="5"/>
    <s v="2018"/>
    <n v="20"/>
  </r>
  <r>
    <x v="23"/>
    <x v="0"/>
    <d v="2018-08-27T00:00:00"/>
    <s v="20180827"/>
    <s v="201835"/>
    <x v="6"/>
    <s v="2018"/>
    <n v="5"/>
  </r>
  <r>
    <x v="23"/>
    <x v="0"/>
    <d v="2018-09-03T00:00:00"/>
    <s v="20180903"/>
    <s v="201836"/>
    <x v="7"/>
    <s v="2018"/>
    <n v="19"/>
  </r>
  <r>
    <x v="23"/>
    <x v="0"/>
    <d v="2018-10-01T00:00:00"/>
    <s v="20181001"/>
    <s v="201840"/>
    <x v="8"/>
    <s v="2018"/>
    <n v="22.5"/>
  </r>
  <r>
    <x v="23"/>
    <x v="0"/>
    <d v="2018-11-05T00:00:00"/>
    <s v="20181105"/>
    <s v="201845"/>
    <x v="9"/>
    <s v="2018"/>
    <n v="20"/>
  </r>
  <r>
    <x v="24"/>
    <x v="0"/>
    <d v="2018-07-30T00:00:00"/>
    <s v="20180730"/>
    <s v="201831"/>
    <x v="5"/>
    <s v="2018"/>
    <n v="2"/>
  </r>
  <r>
    <x v="24"/>
    <x v="0"/>
    <d v="2018-08-13T00:00:00"/>
    <s v="20180813"/>
    <s v="201833"/>
    <x v="6"/>
    <s v="2018"/>
    <n v="22"/>
  </r>
  <r>
    <x v="24"/>
    <x v="0"/>
    <d v="2018-09-04T00:00:00"/>
    <s v="20180904"/>
    <s v="201836"/>
    <x v="7"/>
    <s v="2018"/>
    <n v="19.25"/>
  </r>
  <r>
    <x v="24"/>
    <x v="0"/>
    <d v="2018-10-04T00:00:00"/>
    <s v="20181004"/>
    <s v="201840"/>
    <x v="8"/>
    <s v="2018"/>
    <n v="23"/>
  </r>
  <r>
    <x v="24"/>
    <x v="0"/>
    <d v="2018-11-05T00:00:00"/>
    <s v="20181105"/>
    <s v="201845"/>
    <x v="9"/>
    <s v="2018"/>
    <n v="21"/>
  </r>
  <r>
    <x v="24"/>
    <x v="0"/>
    <d v="2018-12-05T00:00:00"/>
    <s v="20181205"/>
    <s v="201849"/>
    <x v="10"/>
    <s v="2018"/>
    <n v="4"/>
  </r>
  <r>
    <x v="25"/>
    <x v="0"/>
    <d v="2018-02-07T00:00:00"/>
    <s v="20180207"/>
    <s v="201806"/>
    <x v="0"/>
    <s v="2018"/>
    <n v="16"/>
  </r>
  <r>
    <x v="25"/>
    <x v="3"/>
    <d v="2018-02-13T00:00:00"/>
    <s v="20180213"/>
    <s v="201807"/>
    <x v="0"/>
    <s v="2018"/>
    <n v="2"/>
  </r>
  <r>
    <x v="25"/>
    <x v="0"/>
    <d v="2018-03-05T00:00:00"/>
    <s v="20180305"/>
    <s v="201810"/>
    <x v="1"/>
    <s v="2018"/>
    <n v="9.9"/>
  </r>
  <r>
    <x v="25"/>
    <x v="3"/>
    <d v="2018-03-08T00:00:00"/>
    <s v="20180308"/>
    <s v="201810"/>
    <x v="1"/>
    <s v="2018"/>
    <n v="11.1"/>
  </r>
  <r>
    <x v="25"/>
    <x v="0"/>
    <d v="2018-04-10T00:00:00"/>
    <s v="20180410"/>
    <s v="201815"/>
    <x v="2"/>
    <s v="2018"/>
    <n v="8.9"/>
  </r>
  <r>
    <x v="25"/>
    <x v="3"/>
    <d v="2018-04-03T00:00:00"/>
    <s v="20180403"/>
    <s v="201814"/>
    <x v="2"/>
    <s v="2018"/>
    <n v="11.1"/>
  </r>
  <r>
    <x v="25"/>
    <x v="3"/>
    <d v="2018-05-03T00:00:00"/>
    <s v="20180503"/>
    <s v="201818"/>
    <x v="3"/>
    <s v="2018"/>
    <n v="18"/>
  </r>
  <r>
    <x v="25"/>
    <x v="3"/>
    <d v="2018-06-28T00:00:00"/>
    <s v="20180628"/>
    <s v="201826"/>
    <x v="4"/>
    <s v="2018"/>
    <n v="18"/>
  </r>
  <r>
    <x v="25"/>
    <x v="3"/>
    <d v="2018-07-05T00:00:00"/>
    <s v="20180705"/>
    <s v="201827"/>
    <x v="5"/>
    <s v="2018"/>
    <n v="4"/>
  </r>
  <r>
    <x v="26"/>
    <x v="0"/>
    <d v="2018-02-14T00:00:00"/>
    <s v="20180214"/>
    <s v="201807"/>
    <x v="0"/>
    <s v="2018"/>
    <n v="11"/>
  </r>
  <r>
    <x v="26"/>
    <x v="0"/>
    <d v="2018-03-01T00:00:00"/>
    <s v="20180301"/>
    <s v="201809"/>
    <x v="1"/>
    <s v="2018"/>
    <n v="22"/>
  </r>
  <r>
    <x v="26"/>
    <x v="0"/>
    <d v="2018-04-02T00:00:00"/>
    <s v="20180402"/>
    <s v="201814"/>
    <x v="2"/>
    <s v="2018"/>
    <n v="20"/>
  </r>
  <r>
    <x v="26"/>
    <x v="0"/>
    <d v="2018-05-02T00:00:00"/>
    <s v="20180502"/>
    <s v="201818"/>
    <x v="3"/>
    <s v="2018"/>
    <n v="17.75"/>
  </r>
  <r>
    <x v="26"/>
    <x v="0"/>
    <d v="2018-06-01T00:00:00"/>
    <s v="20180601"/>
    <s v="201822"/>
    <x v="4"/>
    <s v="2018"/>
    <n v="16.5"/>
  </r>
  <r>
    <x v="26"/>
    <x v="0"/>
    <d v="2018-07-02T00:00:00"/>
    <s v="20180702"/>
    <s v="201827"/>
    <x v="5"/>
    <s v="2018"/>
    <n v="9"/>
  </r>
  <r>
    <x v="26"/>
    <x v="0"/>
    <d v="2018-08-01T00:00:00"/>
    <s v="20180801"/>
    <s v="201831"/>
    <x v="6"/>
    <s v="2018"/>
    <n v="13.15"/>
  </r>
  <r>
    <x v="26"/>
    <x v="0"/>
    <d v="2018-09-03T00:00:00"/>
    <s v="20180903"/>
    <s v="201836"/>
    <x v="7"/>
    <s v="2018"/>
    <n v="10"/>
  </r>
  <r>
    <x v="26"/>
    <x v="0"/>
    <d v="2018-10-02T00:00:00"/>
    <s v="20181002"/>
    <s v="201840"/>
    <x v="8"/>
    <s v="2018"/>
    <n v="12.5"/>
  </r>
  <r>
    <x v="26"/>
    <x v="0"/>
    <d v="2018-11-02T00:00:00"/>
    <s v="20181102"/>
    <s v="201844"/>
    <x v="9"/>
    <s v="2018"/>
    <n v="10"/>
  </r>
  <r>
    <x v="26"/>
    <x v="0"/>
    <d v="2018-12-04T00:00:00"/>
    <s v="20181204"/>
    <s v="201849"/>
    <x v="10"/>
    <s v="2018"/>
    <n v="1.25"/>
  </r>
  <r>
    <x v="27"/>
    <x v="0"/>
    <d v="2018-01-02T00:00:00"/>
    <s v="20180102"/>
    <s v="201801"/>
    <x v="11"/>
    <s v="2018"/>
    <n v="14"/>
  </r>
  <r>
    <x v="28"/>
    <x v="0"/>
    <d v="2018-01-02T00:00:00"/>
    <s v="20180102"/>
    <s v="201801"/>
    <x v="11"/>
    <s v="2018"/>
    <n v="10.5"/>
  </r>
  <r>
    <x v="28"/>
    <x v="0"/>
    <d v="2018-02-05T00:00:00"/>
    <s v="20180205"/>
    <s v="201806"/>
    <x v="0"/>
    <s v="2018"/>
    <n v="8.5"/>
  </r>
  <r>
    <x v="29"/>
    <x v="0"/>
    <d v="2018-01-02T00:00:00"/>
    <s v="20180102"/>
    <s v="201801"/>
    <x v="11"/>
    <s v="2018"/>
    <n v="17"/>
  </r>
  <r>
    <x v="30"/>
    <x v="0"/>
    <d v="2018-01-04T00:00:00"/>
    <s v="20180104"/>
    <s v="201801"/>
    <x v="11"/>
    <s v="2018"/>
    <n v="7"/>
  </r>
  <r>
    <x v="31"/>
    <x v="0"/>
    <d v="2018-01-03T00:00:00"/>
    <s v="20180103"/>
    <s v="201801"/>
    <x v="11"/>
    <s v="2018"/>
    <n v="12.5"/>
  </r>
  <r>
    <x v="32"/>
    <x v="0"/>
    <d v="2018-01-02T00:00:00"/>
    <s v="20180102"/>
    <s v="201801"/>
    <x v="11"/>
    <s v="2018"/>
    <n v="12.5"/>
  </r>
  <r>
    <x v="32"/>
    <x v="0"/>
    <d v="2018-02-01T00:00:00"/>
    <s v="20180201"/>
    <s v="201805"/>
    <x v="0"/>
    <s v="2018"/>
    <n v="13.5"/>
  </r>
  <r>
    <x v="33"/>
    <x v="0"/>
    <d v="2018-01-04T00:00:00"/>
    <s v="20180104"/>
    <s v="201801"/>
    <x v="11"/>
    <s v="2018"/>
    <n v="20.5"/>
  </r>
  <r>
    <x v="33"/>
    <x v="0"/>
    <d v="2018-02-01T00:00:00"/>
    <s v="20180201"/>
    <s v="201805"/>
    <x v="0"/>
    <s v="2018"/>
    <n v="20"/>
  </r>
  <r>
    <x v="33"/>
    <x v="0"/>
    <d v="2018-03-01T00:00:00"/>
    <s v="20180301"/>
    <s v="201809"/>
    <x v="1"/>
    <s v="2018"/>
    <n v="15"/>
  </r>
  <r>
    <x v="33"/>
    <x v="0"/>
    <d v="2018-04-16T00:00:00"/>
    <s v="20180416"/>
    <s v="201816"/>
    <x v="2"/>
    <s v="2018"/>
    <n v="9"/>
  </r>
  <r>
    <x v="33"/>
    <x v="0"/>
    <d v="2018-05-02T00:00:00"/>
    <s v="20180502"/>
    <s v="201818"/>
    <x v="3"/>
    <s v="2018"/>
    <n v="13"/>
  </r>
  <r>
    <x v="33"/>
    <x v="0"/>
    <d v="2018-06-01T00:00:00"/>
    <s v="20180601"/>
    <s v="201822"/>
    <x v="4"/>
    <s v="2018"/>
    <n v="17"/>
  </r>
  <r>
    <x v="33"/>
    <x v="0"/>
    <d v="2018-07-02T00:00:00"/>
    <s v="20180702"/>
    <s v="201827"/>
    <x v="5"/>
    <s v="2018"/>
    <n v="22"/>
  </r>
  <r>
    <x v="33"/>
    <x v="0"/>
    <d v="2018-08-01T00:00:00"/>
    <s v="20180801"/>
    <s v="201831"/>
    <x v="6"/>
    <s v="2018"/>
    <n v="12"/>
  </r>
  <r>
    <x v="34"/>
    <x v="0"/>
    <d v="2018-10-08T00:00:00"/>
    <s v="20181008"/>
    <s v="201841"/>
    <x v="8"/>
    <s v="2018"/>
    <n v="18.5"/>
  </r>
  <r>
    <x v="34"/>
    <x v="0"/>
    <d v="2018-11-02T00:00:00"/>
    <s v="20181102"/>
    <s v="201844"/>
    <x v="9"/>
    <s v="2018"/>
    <n v="21"/>
  </r>
  <r>
    <x v="35"/>
    <x v="0"/>
    <d v="2018-01-03T00:00:00"/>
    <s v="20180103"/>
    <s v="201801"/>
    <x v="11"/>
    <s v="2018"/>
    <n v="21"/>
  </r>
  <r>
    <x v="35"/>
    <x v="0"/>
    <d v="2018-02-01T00:00:00"/>
    <s v="20180201"/>
    <s v="201805"/>
    <x v="0"/>
    <s v="2018"/>
    <n v="19"/>
  </r>
  <r>
    <x v="35"/>
    <x v="0"/>
    <d v="2018-03-01T00:00:00"/>
    <s v="20180301"/>
    <s v="201809"/>
    <x v="1"/>
    <s v="2018"/>
    <n v="22"/>
  </r>
  <r>
    <x v="35"/>
    <x v="0"/>
    <d v="2018-04-03T00:00:00"/>
    <s v="20180403"/>
    <s v="201814"/>
    <x v="2"/>
    <s v="2018"/>
    <n v="20"/>
  </r>
  <r>
    <x v="35"/>
    <x v="0"/>
    <d v="2018-05-02T00:00:00"/>
    <s v="20180502"/>
    <s v="201818"/>
    <x v="3"/>
    <s v="2018"/>
    <n v="16"/>
  </r>
  <r>
    <x v="35"/>
    <x v="0"/>
    <d v="2018-06-01T00:00:00"/>
    <s v="20180601"/>
    <s v="201822"/>
    <x v="4"/>
    <s v="2018"/>
    <n v="1"/>
  </r>
  <r>
    <x v="36"/>
    <x v="0"/>
    <d v="2018-01-04T00:00:00"/>
    <s v="20180104"/>
    <s v="201801"/>
    <x v="11"/>
    <s v="2018"/>
    <n v="13.25"/>
  </r>
  <r>
    <x v="36"/>
    <x v="0"/>
    <d v="2018-02-05T00:00:00"/>
    <s v="20180205"/>
    <s v="201806"/>
    <x v="0"/>
    <s v="2018"/>
    <n v="13.25"/>
  </r>
  <r>
    <x v="36"/>
    <x v="0"/>
    <d v="2018-03-19T00:00:00"/>
    <s v="20180319"/>
    <s v="201812"/>
    <x v="1"/>
    <s v="2018"/>
    <n v="16.5"/>
  </r>
  <r>
    <x v="36"/>
    <x v="0"/>
    <d v="2018-04-03T00:00:00"/>
    <s v="20180403"/>
    <s v="201814"/>
    <x v="2"/>
    <s v="2018"/>
    <n v="11"/>
  </r>
  <r>
    <x v="36"/>
    <x v="0"/>
    <d v="2018-05-29T00:00:00"/>
    <s v="20180529"/>
    <s v="201822"/>
    <x v="3"/>
    <s v="2018"/>
    <n v="12.5"/>
  </r>
  <r>
    <x v="36"/>
    <x v="0"/>
    <d v="2018-06-04T00:00:00"/>
    <s v="20180604"/>
    <s v="201823"/>
    <x v="4"/>
    <s v="2018"/>
    <n v="15.5"/>
  </r>
  <r>
    <x v="36"/>
    <x v="0"/>
    <d v="2018-07-05T00:00:00"/>
    <s v="20180705"/>
    <s v="201827"/>
    <x v="5"/>
    <s v="2018"/>
    <n v="17.75"/>
  </r>
  <r>
    <x v="36"/>
    <x v="0"/>
    <d v="2018-08-01T00:00:00"/>
    <s v="20180801"/>
    <s v="201831"/>
    <x v="6"/>
    <s v="2018"/>
    <n v="6"/>
  </r>
  <r>
    <x v="36"/>
    <x v="0"/>
    <d v="2018-09-03T00:00:00"/>
    <s v="20180903"/>
    <s v="201836"/>
    <x v="7"/>
    <s v="2018"/>
    <n v="16"/>
  </r>
  <r>
    <x v="36"/>
    <x v="0"/>
    <d v="2018-10-01T00:00:00"/>
    <s v="20181001"/>
    <s v="201840"/>
    <x v="8"/>
    <s v="2018"/>
    <n v="18"/>
  </r>
  <r>
    <x v="36"/>
    <x v="0"/>
    <d v="2018-11-19T00:00:00"/>
    <s v="20181119"/>
    <s v="201847"/>
    <x v="9"/>
    <s v="2018"/>
    <n v="12"/>
  </r>
  <r>
    <x v="37"/>
    <x v="0"/>
    <d v="2018-10-22T00:00:00"/>
    <s v="20181022"/>
    <s v="201843"/>
    <x v="8"/>
    <s v="2018"/>
    <n v="8"/>
  </r>
  <r>
    <x v="37"/>
    <x v="0"/>
    <d v="2018-11-02T00:00:00"/>
    <s v="20181102"/>
    <s v="201844"/>
    <x v="9"/>
    <s v="2018"/>
    <n v="18"/>
  </r>
  <r>
    <x v="37"/>
    <x v="3"/>
    <d v="2018-11-05T00:00:00"/>
    <s v="20181105"/>
    <s v="201845"/>
    <x v="9"/>
    <s v="2018"/>
    <n v="3"/>
  </r>
  <r>
    <x v="37"/>
    <x v="0"/>
    <d v="2018-12-06T00:00:00"/>
    <s v="20181206"/>
    <s v="201849"/>
    <x v="10"/>
    <s v="2018"/>
    <n v="2"/>
  </r>
  <r>
    <x v="37"/>
    <x v="3"/>
    <d v="2018-12-03T00:00:00"/>
    <s v="20181203"/>
    <s v="201849"/>
    <x v="10"/>
    <s v="2018"/>
    <n v="3"/>
  </r>
  <r>
    <x v="38"/>
    <x v="1"/>
    <d v="2018-01-22T00:00:00"/>
    <s v="20180122"/>
    <s v="201804"/>
    <x v="11"/>
    <s v="2018"/>
    <n v="19.2"/>
  </r>
  <r>
    <x v="38"/>
    <x v="1"/>
    <d v="2018-02-12T00:00:00"/>
    <s v="20180212"/>
    <s v="201807"/>
    <x v="0"/>
    <s v="2018"/>
    <n v="15.8"/>
  </r>
  <r>
    <x v="38"/>
    <x v="1"/>
    <d v="2018-03-19T00:00:00"/>
    <s v="20180319"/>
    <s v="201812"/>
    <x v="1"/>
    <s v="2018"/>
    <n v="19.600000000000001"/>
  </r>
  <r>
    <x v="38"/>
    <x v="2"/>
    <d v="2018-03-06T00:00:00"/>
    <s v="20180306"/>
    <s v="201810"/>
    <x v="1"/>
    <s v="2018"/>
    <n v="0.6"/>
  </r>
  <r>
    <x v="38"/>
    <x v="1"/>
    <d v="2018-04-11T00:00:00"/>
    <s v="20180411"/>
    <s v="201815"/>
    <x v="2"/>
    <s v="2018"/>
    <n v="18.399999999999999"/>
  </r>
  <r>
    <x v="38"/>
    <x v="1"/>
    <d v="2018-05-14T00:00:00"/>
    <s v="20180514"/>
    <s v="201820"/>
    <x v="3"/>
    <s v="2018"/>
    <n v="11"/>
  </r>
  <r>
    <x v="38"/>
    <x v="1"/>
    <d v="2018-06-01T00:00:00"/>
    <s v="20180601"/>
    <s v="201822"/>
    <x v="4"/>
    <s v="2018"/>
    <n v="21"/>
  </r>
  <r>
    <x v="38"/>
    <x v="1"/>
    <d v="2018-07-11T00:00:00"/>
    <s v="20180711"/>
    <s v="201828"/>
    <x v="5"/>
    <s v="2018"/>
    <n v="21"/>
  </r>
  <r>
    <x v="38"/>
    <x v="1"/>
    <d v="2018-08-06T00:00:00"/>
    <s v="20180806"/>
    <s v="201832"/>
    <x v="6"/>
    <s v="2018"/>
    <n v="12"/>
  </r>
  <r>
    <x v="38"/>
    <x v="1"/>
    <d v="2018-09-03T00:00:00"/>
    <s v="20180903"/>
    <s v="201836"/>
    <x v="7"/>
    <s v="2018"/>
    <n v="8"/>
  </r>
  <r>
    <x v="38"/>
    <x v="0"/>
    <d v="2018-09-14T00:00:00"/>
    <s v="20180914"/>
    <s v="201837"/>
    <x v="7"/>
    <s v="2018"/>
    <n v="11"/>
  </r>
  <r>
    <x v="38"/>
    <x v="0"/>
    <d v="2018-10-15T00:00:00"/>
    <s v="20181015"/>
    <s v="201842"/>
    <x v="8"/>
    <s v="2018"/>
    <n v="22"/>
  </r>
  <r>
    <x v="38"/>
    <x v="1"/>
    <d v="2018-11-06T00:00:00"/>
    <s v="20181106"/>
    <s v="201845"/>
    <x v="9"/>
    <s v="2018"/>
    <n v="0.3"/>
  </r>
  <r>
    <x v="38"/>
    <x v="0"/>
    <d v="2018-11-07T00:00:00"/>
    <s v="20181107"/>
    <s v="201845"/>
    <x v="9"/>
    <s v="2018"/>
    <n v="20.7"/>
  </r>
  <r>
    <x v="38"/>
    <x v="0"/>
    <d v="2018-12-06T00:00:00"/>
    <s v="20181206"/>
    <s v="201849"/>
    <x v="10"/>
    <s v="2018"/>
    <n v="4"/>
  </r>
  <r>
    <x v="39"/>
    <x v="1"/>
    <d v="2018-01-08T00:00:00"/>
    <s v="20180108"/>
    <s v="201802"/>
    <x v="11"/>
    <s v="2018"/>
    <n v="18.8"/>
  </r>
  <r>
    <x v="39"/>
    <x v="2"/>
    <d v="2018-01-09T00:00:00"/>
    <s v="20180109"/>
    <s v="201802"/>
    <x v="11"/>
    <s v="2018"/>
    <n v="0.2"/>
  </r>
  <r>
    <x v="39"/>
    <x v="1"/>
    <d v="2018-02-05T00:00:00"/>
    <s v="20180205"/>
    <s v="201806"/>
    <x v="0"/>
    <s v="2018"/>
    <n v="17"/>
  </r>
  <r>
    <x v="39"/>
    <x v="2"/>
    <d v="2018-02-01T00:00:00"/>
    <s v="20180201"/>
    <s v="201805"/>
    <x v="0"/>
    <s v="2018"/>
    <n v="1"/>
  </r>
  <r>
    <x v="39"/>
    <x v="1"/>
    <d v="2018-03-05T00:00:00"/>
    <s v="20180305"/>
    <s v="201810"/>
    <x v="1"/>
    <s v="2018"/>
    <n v="16.5"/>
  </r>
  <r>
    <x v="39"/>
    <x v="2"/>
    <d v="2018-03-05T00:00:00"/>
    <s v="20180305"/>
    <s v="201810"/>
    <x v="1"/>
    <s v="2018"/>
    <n v="3"/>
  </r>
  <r>
    <x v="39"/>
    <x v="1"/>
    <d v="2018-04-03T00:00:00"/>
    <s v="20180403"/>
    <s v="201814"/>
    <x v="2"/>
    <s v="2018"/>
    <n v="18.2"/>
  </r>
  <r>
    <x v="39"/>
    <x v="2"/>
    <d v="2018-04-06T00:00:00"/>
    <s v="20180406"/>
    <s v="201814"/>
    <x v="2"/>
    <s v="2018"/>
    <n v="1.8"/>
  </r>
  <r>
    <x v="39"/>
    <x v="1"/>
    <d v="2018-05-28T00:00:00"/>
    <s v="20180528"/>
    <s v="201822"/>
    <x v="3"/>
    <s v="2018"/>
    <n v="15.8"/>
  </r>
  <r>
    <x v="39"/>
    <x v="2"/>
    <d v="2018-05-11T00:00:00"/>
    <s v="20180511"/>
    <s v="201819"/>
    <x v="3"/>
    <s v="2018"/>
    <n v="2.7"/>
  </r>
  <r>
    <x v="39"/>
    <x v="1"/>
    <d v="2018-06-04T00:00:00"/>
    <s v="20180604"/>
    <s v="201823"/>
    <x v="4"/>
    <s v="2018"/>
    <n v="12.1"/>
  </r>
  <r>
    <x v="39"/>
    <x v="2"/>
    <d v="2018-06-04T00:00:00"/>
    <s v="20180604"/>
    <s v="201823"/>
    <x v="4"/>
    <s v="2018"/>
    <n v="0.4"/>
  </r>
  <r>
    <x v="40"/>
    <x v="0"/>
    <d v="2018-01-08T00:00:00"/>
    <s v="20180108"/>
    <s v="201802"/>
    <x v="11"/>
    <s v="2018"/>
    <n v="13"/>
  </r>
  <r>
    <x v="40"/>
    <x v="0"/>
    <d v="2018-02-01T00:00:00"/>
    <s v="20180201"/>
    <s v="201805"/>
    <x v="0"/>
    <s v="2018"/>
    <n v="16.95"/>
  </r>
  <r>
    <x v="40"/>
    <x v="0"/>
    <d v="2018-03-06T00:00:00"/>
    <s v="20180306"/>
    <s v="201810"/>
    <x v="1"/>
    <s v="2018"/>
    <n v="20.5"/>
  </r>
  <r>
    <x v="40"/>
    <x v="0"/>
    <d v="2018-04-05T00:00:00"/>
    <s v="20180405"/>
    <s v="201814"/>
    <x v="2"/>
    <s v="2018"/>
    <n v="19"/>
  </r>
  <r>
    <x v="40"/>
    <x v="0"/>
    <d v="2018-05-29T00:00:00"/>
    <s v="20180529"/>
    <s v="201822"/>
    <x v="3"/>
    <s v="2018"/>
    <n v="6"/>
  </r>
  <r>
    <x v="40"/>
    <x v="0"/>
    <d v="2018-06-13T00:00:00"/>
    <s v="20180613"/>
    <s v="201824"/>
    <x v="4"/>
    <s v="2018"/>
    <n v="20"/>
  </r>
  <r>
    <x v="40"/>
    <x v="0"/>
    <d v="2018-07-20T00:00:00"/>
    <s v="20180720"/>
    <s v="201829"/>
    <x v="5"/>
    <s v="2018"/>
    <n v="19"/>
  </r>
  <r>
    <x v="40"/>
    <x v="0"/>
    <d v="2018-08-07T00:00:00"/>
    <s v="20180807"/>
    <s v="201832"/>
    <x v="6"/>
    <s v="2018"/>
    <n v="15"/>
  </r>
  <r>
    <x v="40"/>
    <x v="0"/>
    <d v="2018-09-06T00:00:00"/>
    <s v="20180906"/>
    <s v="201836"/>
    <x v="7"/>
    <s v="2018"/>
    <n v="20"/>
  </r>
  <r>
    <x v="40"/>
    <x v="0"/>
    <d v="2018-10-01T00:00:00"/>
    <s v="20181001"/>
    <s v="201840"/>
    <x v="8"/>
    <s v="2018"/>
    <n v="23"/>
  </r>
  <r>
    <x v="40"/>
    <x v="0"/>
    <d v="2018-11-07T00:00:00"/>
    <s v="20181107"/>
    <s v="201845"/>
    <x v="9"/>
    <s v="2018"/>
    <n v="20"/>
  </r>
  <r>
    <x v="40"/>
    <x v="0"/>
    <d v="2018-12-03T00:00:00"/>
    <s v="20181203"/>
    <s v="201849"/>
    <x v="10"/>
    <s v="2018"/>
    <n v="1"/>
  </r>
  <r>
    <x v="41"/>
    <x v="1"/>
    <d v="2018-01-08T00:00:00"/>
    <s v="20180108"/>
    <s v="201802"/>
    <x v="11"/>
    <s v="2018"/>
    <n v="21"/>
  </r>
  <r>
    <x v="41"/>
    <x v="1"/>
    <d v="2018-02-05T00:00:00"/>
    <s v="20180205"/>
    <s v="201806"/>
    <x v="0"/>
    <s v="2018"/>
    <n v="18.5"/>
  </r>
  <r>
    <x v="41"/>
    <x v="1"/>
    <d v="2018-03-05T00:00:00"/>
    <s v="20180305"/>
    <s v="201810"/>
    <x v="1"/>
    <s v="2018"/>
    <n v="16"/>
  </r>
  <r>
    <x v="41"/>
    <x v="1"/>
    <d v="2018-04-03T00:00:00"/>
    <s v="20180403"/>
    <s v="201814"/>
    <x v="2"/>
    <s v="2018"/>
    <n v="16"/>
  </r>
  <r>
    <x v="41"/>
    <x v="1"/>
    <d v="2018-05-14T00:00:00"/>
    <s v="20180514"/>
    <s v="201820"/>
    <x v="3"/>
    <s v="2018"/>
    <n v="14"/>
  </r>
  <r>
    <x v="41"/>
    <x v="2"/>
    <d v="2018-05-14T00:00:00"/>
    <s v="20180514"/>
    <s v="201820"/>
    <x v="3"/>
    <s v="2018"/>
    <n v="5"/>
  </r>
  <r>
    <x v="41"/>
    <x v="1"/>
    <d v="2018-06-11T00:00:00"/>
    <s v="20180611"/>
    <s v="201824"/>
    <x v="4"/>
    <s v="2018"/>
    <n v="21"/>
  </r>
  <r>
    <x v="42"/>
    <x v="0"/>
    <d v="2018-07-09T00:00:00"/>
    <s v="20180709"/>
    <s v="201828"/>
    <x v="5"/>
    <s v="2018"/>
    <n v="10"/>
  </r>
  <r>
    <x v="42"/>
    <x v="0"/>
    <d v="2018-08-16T00:00:00"/>
    <s v="20180816"/>
    <s v="201833"/>
    <x v="6"/>
    <s v="2018"/>
    <n v="19"/>
  </r>
  <r>
    <x v="42"/>
    <x v="0"/>
    <d v="2018-09-10T00:00:00"/>
    <s v="20180910"/>
    <s v="201837"/>
    <x v="7"/>
    <s v="2018"/>
    <n v="15"/>
  </r>
  <r>
    <x v="42"/>
    <x v="0"/>
    <d v="2018-10-29T00:00:00"/>
    <s v="20181029"/>
    <s v="201844"/>
    <x v="8"/>
    <s v="2018"/>
    <n v="23"/>
  </r>
  <r>
    <x v="42"/>
    <x v="0"/>
    <d v="2018-11-02T00:00:00"/>
    <s v="20181102"/>
    <s v="201844"/>
    <x v="9"/>
    <s v="2018"/>
    <n v="19"/>
  </r>
  <r>
    <x v="43"/>
    <x v="0"/>
    <d v="2018-10-22T00:00:00"/>
    <s v="20181022"/>
    <s v="201843"/>
    <x v="8"/>
    <s v="2018"/>
    <n v="3"/>
  </r>
  <r>
    <x v="44"/>
    <x v="1"/>
    <d v="2018-09-10T00:00:00"/>
    <s v="20180910"/>
    <s v="201837"/>
    <x v="7"/>
    <s v="2018"/>
    <n v="15"/>
  </r>
  <r>
    <x v="44"/>
    <x v="1"/>
    <d v="2018-10-01T00:00:00"/>
    <s v="20181001"/>
    <s v="201840"/>
    <x v="8"/>
    <s v="2018"/>
    <n v="23"/>
  </r>
  <r>
    <x v="44"/>
    <x v="1"/>
    <d v="2018-11-27T00:00:00"/>
    <s v="20181127"/>
    <s v="201848"/>
    <x v="9"/>
    <s v="2018"/>
    <n v="17.350000000000001"/>
  </r>
  <r>
    <x v="44"/>
    <x v="2"/>
    <d v="2018-11-21T00:00:00"/>
    <s v="20181121"/>
    <s v="201847"/>
    <x v="9"/>
    <s v="2018"/>
    <n v="2.4"/>
  </r>
  <r>
    <x v="44"/>
    <x v="1"/>
    <d v="2018-12-03T00:00:00"/>
    <s v="20181203"/>
    <s v="201849"/>
    <x v="10"/>
    <s v="2018"/>
    <n v="2.75"/>
  </r>
  <r>
    <x v="44"/>
    <x v="2"/>
    <d v="2018-12-05T00:00:00"/>
    <s v="20181205"/>
    <s v="201849"/>
    <x v="10"/>
    <s v="2018"/>
    <n v="0.25"/>
  </r>
  <r>
    <x v="45"/>
    <x v="0"/>
    <d v="2018-03-12T00:00:00"/>
    <s v="20180312"/>
    <s v="201811"/>
    <x v="1"/>
    <s v="2018"/>
    <n v="15"/>
  </r>
  <r>
    <x v="45"/>
    <x v="0"/>
    <d v="2018-04-06T00:00:00"/>
    <s v="20180406"/>
    <s v="201814"/>
    <x v="2"/>
    <s v="2018"/>
    <n v="19.997920000000001"/>
  </r>
  <r>
    <x v="45"/>
    <x v="0"/>
    <d v="2018-05-07T00:00:00"/>
    <s v="20180507"/>
    <s v="201819"/>
    <x v="3"/>
    <s v="2018"/>
    <n v="18"/>
  </r>
  <r>
    <x v="45"/>
    <x v="0"/>
    <d v="2018-06-01T00:00:00"/>
    <s v="20180601"/>
    <s v="201822"/>
    <x v="4"/>
    <s v="2018"/>
    <n v="21"/>
  </r>
  <r>
    <x v="45"/>
    <x v="0"/>
    <d v="2018-07-09T00:00:00"/>
    <s v="20180709"/>
    <s v="201828"/>
    <x v="5"/>
    <s v="2018"/>
    <n v="14.5"/>
  </r>
  <r>
    <x v="46"/>
    <x v="1"/>
    <d v="2018-01-15T00:00:00"/>
    <s v="20180115"/>
    <s v="201803"/>
    <x v="11"/>
    <s v="2018"/>
    <n v="12.15"/>
  </r>
  <r>
    <x v="46"/>
    <x v="2"/>
    <d v="2018-01-17T00:00:00"/>
    <s v="20180117"/>
    <s v="201803"/>
    <x v="11"/>
    <s v="2018"/>
    <n v="0.85"/>
  </r>
  <r>
    <x v="46"/>
    <x v="1"/>
    <d v="2018-02-05T00:00:00"/>
    <s v="20180205"/>
    <s v="201806"/>
    <x v="0"/>
    <s v="2018"/>
    <n v="12.75"/>
  </r>
  <r>
    <x v="46"/>
    <x v="2"/>
    <d v="2018-02-05T00:00:00"/>
    <s v="20180205"/>
    <s v="201806"/>
    <x v="0"/>
    <s v="2018"/>
    <n v="4.25"/>
  </r>
  <r>
    <x v="46"/>
    <x v="1"/>
    <d v="2018-03-05T00:00:00"/>
    <s v="20180305"/>
    <s v="201810"/>
    <x v="1"/>
    <s v="2018"/>
    <n v="18.2"/>
  </r>
  <r>
    <x v="46"/>
    <x v="2"/>
    <d v="2018-03-05T00:00:00"/>
    <s v="20180305"/>
    <s v="201810"/>
    <x v="1"/>
    <s v="2018"/>
    <n v="1.3"/>
  </r>
  <r>
    <x v="46"/>
    <x v="1"/>
    <d v="2018-04-20T00:00:00"/>
    <s v="20180420"/>
    <s v="201816"/>
    <x v="2"/>
    <s v="2018"/>
    <n v="10.85"/>
  </r>
  <r>
    <x v="46"/>
    <x v="2"/>
    <d v="2018-04-04T00:00:00"/>
    <s v="20180404"/>
    <s v="201814"/>
    <x v="2"/>
    <s v="2018"/>
    <n v="2.15"/>
  </r>
  <r>
    <x v="46"/>
    <x v="1"/>
    <d v="2018-05-24T00:00:00"/>
    <s v="20180524"/>
    <s v="201821"/>
    <x v="3"/>
    <s v="2018"/>
    <n v="13.8"/>
  </r>
  <r>
    <x v="46"/>
    <x v="2"/>
    <d v="2018-05-17T00:00:00"/>
    <s v="20180517"/>
    <s v="201820"/>
    <x v="3"/>
    <s v="2018"/>
    <n v="0.2"/>
  </r>
  <r>
    <x v="46"/>
    <x v="1"/>
    <d v="2018-06-04T00:00:00"/>
    <s v="20180604"/>
    <s v="201823"/>
    <x v="4"/>
    <s v="2018"/>
    <n v="18.5"/>
  </r>
  <r>
    <x v="46"/>
    <x v="2"/>
    <d v="2018-06-05T00:00:00"/>
    <s v="20180605"/>
    <s v="201823"/>
    <x v="4"/>
    <s v="2018"/>
    <n v="1.5"/>
  </r>
  <r>
    <x v="46"/>
    <x v="1"/>
    <d v="2018-07-02T00:00:00"/>
    <s v="20180702"/>
    <s v="201827"/>
    <x v="5"/>
    <s v="2018"/>
    <n v="16.850000000000001"/>
  </r>
  <r>
    <x v="46"/>
    <x v="2"/>
    <d v="2018-07-05T00:00:00"/>
    <s v="20180705"/>
    <s v="201827"/>
    <x v="5"/>
    <s v="2018"/>
    <n v="2.65"/>
  </r>
  <r>
    <x v="46"/>
    <x v="1"/>
    <d v="2018-09-03T00:00:00"/>
    <s v="20180903"/>
    <s v="201836"/>
    <x v="7"/>
    <s v="2018"/>
    <n v="18.7"/>
  </r>
  <r>
    <x v="46"/>
    <x v="2"/>
    <d v="2018-09-20T00:00:00"/>
    <s v="20180920"/>
    <s v="201838"/>
    <x v="7"/>
    <s v="2018"/>
    <n v="1.3"/>
  </r>
  <r>
    <x v="46"/>
    <x v="1"/>
    <d v="2018-10-01T00:00:00"/>
    <s v="20181001"/>
    <s v="201840"/>
    <x v="8"/>
    <s v="2018"/>
    <n v="21.25"/>
  </r>
  <r>
    <x v="46"/>
    <x v="2"/>
    <d v="2018-10-31T00:00:00"/>
    <s v="20181031"/>
    <s v="201844"/>
    <x v="8"/>
    <s v="2018"/>
    <n v="0.75"/>
  </r>
  <r>
    <x v="46"/>
    <x v="1"/>
    <d v="2018-11-19T00:00:00"/>
    <s v="20181119"/>
    <s v="201847"/>
    <x v="9"/>
    <s v="2018"/>
    <n v="12"/>
  </r>
  <r>
    <x v="46"/>
    <x v="2"/>
    <d v="2018-11-02T00:00:00"/>
    <s v="20181102"/>
    <s v="201844"/>
    <x v="9"/>
    <s v="2018"/>
    <n v="3"/>
  </r>
  <r>
    <x v="46"/>
    <x v="1"/>
    <d v="2018-12-03T00:00:00"/>
    <s v="20181203"/>
    <s v="201849"/>
    <x v="10"/>
    <s v="2018"/>
    <n v="3.2"/>
  </r>
  <r>
    <x v="46"/>
    <x v="2"/>
    <d v="2018-12-04T00:00:00"/>
    <s v="20181204"/>
    <s v="201849"/>
    <x v="10"/>
    <s v="2018"/>
    <n v="0.8"/>
  </r>
  <r>
    <x v="47"/>
    <x v="0"/>
    <d v="2018-01-03T00:00:00"/>
    <s v="20180103"/>
    <s v="201801"/>
    <x v="11"/>
    <s v="2018"/>
    <n v="16.8"/>
  </r>
  <r>
    <x v="47"/>
    <x v="0"/>
    <d v="2018-02-02T00:00:00"/>
    <s v="20180202"/>
    <s v="201805"/>
    <x v="0"/>
    <s v="2018"/>
    <n v="3.5"/>
  </r>
  <r>
    <x v="48"/>
    <x v="0"/>
    <d v="2018-11-12T00:00:00"/>
    <s v="20181112"/>
    <s v="201846"/>
    <x v="9"/>
    <s v="2018"/>
    <n v="15"/>
  </r>
  <r>
    <x v="48"/>
    <x v="0"/>
    <d v="2018-12-04T00:00:00"/>
    <s v="20181204"/>
    <s v="201849"/>
    <x v="10"/>
    <s v="2018"/>
    <n v="1.5"/>
  </r>
  <r>
    <x v="49"/>
    <x v="0"/>
    <d v="2018-02-22T00:00:00"/>
    <s v="20180222"/>
    <s v="201808"/>
    <x v="0"/>
    <s v="2018"/>
    <n v="6"/>
  </r>
  <r>
    <x v="49"/>
    <x v="0"/>
    <d v="2018-03-01T00:00:00"/>
    <s v="20180301"/>
    <s v="201809"/>
    <x v="1"/>
    <s v="2018"/>
    <n v="21"/>
  </r>
  <r>
    <x v="49"/>
    <x v="0"/>
    <d v="2018-04-03T00:00:00"/>
    <s v="20180403"/>
    <s v="201814"/>
    <x v="2"/>
    <s v="2018"/>
    <n v="20"/>
  </r>
  <r>
    <x v="49"/>
    <x v="0"/>
    <d v="2018-05-09T00:00:00"/>
    <s v="20180509"/>
    <s v="201819"/>
    <x v="3"/>
    <s v="2018"/>
    <n v="19"/>
  </r>
  <r>
    <x v="49"/>
    <x v="0"/>
    <d v="2018-06-04T00:00:00"/>
    <s v="20180604"/>
    <s v="201823"/>
    <x v="4"/>
    <s v="2018"/>
    <n v="18"/>
  </r>
  <r>
    <x v="49"/>
    <x v="0"/>
    <d v="2018-07-02T00:00:00"/>
    <s v="20180702"/>
    <s v="201827"/>
    <x v="5"/>
    <s v="2018"/>
    <n v="20"/>
  </r>
  <r>
    <x v="49"/>
    <x v="0"/>
    <d v="2018-08-06T00:00:00"/>
    <s v="20180806"/>
    <s v="201832"/>
    <x v="6"/>
    <s v="2018"/>
    <n v="17"/>
  </r>
  <r>
    <x v="49"/>
    <x v="0"/>
    <d v="2018-09-05T00:00:00"/>
    <s v="20180905"/>
    <s v="201836"/>
    <x v="7"/>
    <s v="2018"/>
    <n v="17.5"/>
  </r>
  <r>
    <x v="49"/>
    <x v="0"/>
    <d v="2018-10-03T00:00:00"/>
    <s v="20181003"/>
    <s v="201840"/>
    <x v="8"/>
    <s v="2018"/>
    <n v="23"/>
  </r>
  <r>
    <x v="49"/>
    <x v="0"/>
    <d v="2018-11-19T00:00:00"/>
    <s v="20181119"/>
    <s v="201847"/>
    <x v="9"/>
    <s v="2018"/>
    <n v="21"/>
  </r>
  <r>
    <x v="50"/>
    <x v="0"/>
    <d v="2018-01-23T00:00:00"/>
    <s v="20180123"/>
    <s v="201804"/>
    <x v="11"/>
    <s v="2018"/>
    <n v="15.15"/>
  </r>
  <r>
    <x v="50"/>
    <x v="0"/>
    <d v="2018-02-02T00:00:00"/>
    <s v="20180202"/>
    <s v="201805"/>
    <x v="0"/>
    <s v="2018"/>
    <n v="19.3"/>
  </r>
  <r>
    <x v="50"/>
    <x v="0"/>
    <d v="2018-03-05T00:00:00"/>
    <s v="20180305"/>
    <s v="201810"/>
    <x v="1"/>
    <s v="2018"/>
    <n v="21.3"/>
  </r>
  <r>
    <x v="50"/>
    <x v="0"/>
    <d v="2018-04-03T00:00:00"/>
    <s v="20180403"/>
    <s v="201814"/>
    <x v="2"/>
    <s v="2018"/>
    <n v="4"/>
  </r>
  <r>
    <x v="51"/>
    <x v="0"/>
    <d v="2018-10-22T00:00:00"/>
    <s v="20181022"/>
    <s v="201843"/>
    <x v="8"/>
    <s v="2018"/>
    <n v="8"/>
  </r>
  <r>
    <x v="51"/>
    <x v="0"/>
    <d v="2018-11-02T00:00:00"/>
    <s v="20181102"/>
    <s v="201844"/>
    <x v="9"/>
    <s v="2018"/>
    <n v="20.5"/>
  </r>
  <r>
    <x v="52"/>
    <x v="1"/>
    <d v="2018-01-03T00:00:00"/>
    <s v="20180103"/>
    <s v="201801"/>
    <x v="11"/>
    <s v="2018"/>
    <n v="20"/>
  </r>
  <r>
    <x v="52"/>
    <x v="1"/>
    <d v="2018-02-05T00:00:00"/>
    <s v="20180205"/>
    <s v="201806"/>
    <x v="0"/>
    <s v="2018"/>
    <n v="20"/>
  </r>
  <r>
    <x v="52"/>
    <x v="1"/>
    <d v="2018-03-05T00:00:00"/>
    <s v="20180305"/>
    <s v="201810"/>
    <x v="1"/>
    <s v="2018"/>
    <n v="17.100000000000001"/>
  </r>
  <r>
    <x v="52"/>
    <x v="2"/>
    <d v="2018-03-02T00:00:00"/>
    <s v="20180302"/>
    <s v="201809"/>
    <x v="1"/>
    <s v="2018"/>
    <n v="3.7"/>
  </r>
  <r>
    <x v="52"/>
    <x v="1"/>
    <d v="2018-04-03T00:00:00"/>
    <s v="20180403"/>
    <s v="201814"/>
    <x v="2"/>
    <s v="2018"/>
    <n v="16.5"/>
  </r>
  <r>
    <x v="52"/>
    <x v="2"/>
    <d v="2018-04-10T00:00:00"/>
    <s v="20180410"/>
    <s v="201815"/>
    <x v="2"/>
    <s v="2018"/>
    <n v="3"/>
  </r>
  <r>
    <x v="52"/>
    <x v="1"/>
    <d v="2018-05-14T00:00:00"/>
    <s v="20180514"/>
    <s v="201820"/>
    <x v="3"/>
    <s v="2018"/>
    <n v="6.3"/>
  </r>
  <r>
    <x v="52"/>
    <x v="2"/>
    <d v="2018-05-03T00:00:00"/>
    <s v="20180503"/>
    <s v="201818"/>
    <x v="3"/>
    <s v="2018"/>
    <n v="12.7"/>
  </r>
  <r>
    <x v="52"/>
    <x v="1"/>
    <d v="2018-06-04T00:00:00"/>
    <s v="20180604"/>
    <s v="201823"/>
    <x v="4"/>
    <s v="2018"/>
    <n v="12.5"/>
  </r>
  <r>
    <x v="52"/>
    <x v="2"/>
    <d v="2018-06-06T00:00:00"/>
    <s v="20180606"/>
    <s v="201823"/>
    <x v="4"/>
    <s v="2018"/>
    <n v="7.5"/>
  </r>
  <r>
    <x v="52"/>
    <x v="1"/>
    <d v="2018-07-02T00:00:00"/>
    <s v="20180702"/>
    <s v="201827"/>
    <x v="5"/>
    <s v="2018"/>
    <n v="15.95"/>
  </r>
  <r>
    <x v="52"/>
    <x v="2"/>
    <d v="2018-07-09T00:00:00"/>
    <s v="20180709"/>
    <s v="201828"/>
    <x v="5"/>
    <s v="2018"/>
    <n v="2.0499999999999998"/>
  </r>
  <r>
    <x v="52"/>
    <x v="1"/>
    <d v="2018-08-06T00:00:00"/>
    <s v="20180806"/>
    <s v="201832"/>
    <x v="6"/>
    <s v="2018"/>
    <n v="19.399999999999999"/>
  </r>
  <r>
    <x v="52"/>
    <x v="2"/>
    <d v="2018-08-02T00:00:00"/>
    <s v="20180802"/>
    <s v="201831"/>
    <x v="6"/>
    <s v="2018"/>
    <n v="0.6"/>
  </r>
  <r>
    <x v="52"/>
    <x v="1"/>
    <d v="2018-09-03T00:00:00"/>
    <s v="20180903"/>
    <s v="201836"/>
    <x v="7"/>
    <s v="2018"/>
    <n v="14.6"/>
  </r>
  <r>
    <x v="52"/>
    <x v="2"/>
    <d v="2018-09-10T00:00:00"/>
    <s v="20180910"/>
    <s v="201837"/>
    <x v="7"/>
    <s v="2018"/>
    <n v="0.4"/>
  </r>
  <r>
    <x v="52"/>
    <x v="1"/>
    <d v="2018-10-08T00:00:00"/>
    <s v="20181008"/>
    <s v="201841"/>
    <x v="8"/>
    <s v="2018"/>
    <n v="15.5"/>
  </r>
  <r>
    <x v="52"/>
    <x v="2"/>
    <d v="2018-10-03T00:00:00"/>
    <s v="20181003"/>
    <s v="201840"/>
    <x v="8"/>
    <s v="2018"/>
    <n v="5.5"/>
  </r>
  <r>
    <x v="52"/>
    <x v="1"/>
    <d v="2018-11-28T00:00:00"/>
    <s v="20181128"/>
    <s v="201848"/>
    <x v="9"/>
    <s v="2018"/>
    <n v="17.55"/>
  </r>
  <r>
    <x v="52"/>
    <x v="2"/>
    <d v="2018-11-15T00:00:00"/>
    <s v="20181115"/>
    <s v="201846"/>
    <x v="9"/>
    <s v="2018"/>
    <n v="2.95"/>
  </r>
  <r>
    <x v="53"/>
    <x v="0"/>
    <d v="2018-01-09T00:00:00"/>
    <s v="20180109"/>
    <s v="201802"/>
    <x v="11"/>
    <s v="2018"/>
    <n v="16"/>
  </r>
  <r>
    <x v="53"/>
    <x v="0"/>
    <d v="2018-02-01T00:00:00"/>
    <s v="20180201"/>
    <s v="201805"/>
    <x v="0"/>
    <s v="2018"/>
    <n v="15"/>
  </r>
  <r>
    <x v="53"/>
    <x v="0"/>
    <d v="2018-03-07T00:00:00"/>
    <s v="20180307"/>
    <s v="201810"/>
    <x v="1"/>
    <s v="2018"/>
    <n v="20"/>
  </r>
  <r>
    <x v="53"/>
    <x v="0"/>
    <d v="2018-04-06T00:00:00"/>
    <s v="20180406"/>
    <s v="201814"/>
    <x v="2"/>
    <s v="2018"/>
    <n v="18"/>
  </r>
  <r>
    <x v="53"/>
    <x v="0"/>
    <d v="2018-05-03T00:00:00"/>
    <s v="20180503"/>
    <s v="201818"/>
    <x v="3"/>
    <s v="2018"/>
    <n v="17"/>
  </r>
  <r>
    <x v="53"/>
    <x v="0"/>
    <d v="2018-06-01T00:00:00"/>
    <s v="20180601"/>
    <s v="201822"/>
    <x v="4"/>
    <s v="2018"/>
    <n v="18"/>
  </r>
  <r>
    <x v="53"/>
    <x v="0"/>
    <d v="2018-07-17T00:00:00"/>
    <s v="20180717"/>
    <s v="201829"/>
    <x v="5"/>
    <s v="2018"/>
    <n v="16"/>
  </r>
  <r>
    <x v="53"/>
    <x v="0"/>
    <d v="2018-08-07T00:00:00"/>
    <s v="20180807"/>
    <s v="201832"/>
    <x v="6"/>
    <s v="2018"/>
    <n v="21"/>
  </r>
  <r>
    <x v="53"/>
    <x v="0"/>
    <d v="2018-09-04T00:00:00"/>
    <s v="20180904"/>
    <s v="201836"/>
    <x v="7"/>
    <s v="2018"/>
    <n v="18"/>
  </r>
  <r>
    <x v="53"/>
    <x v="0"/>
    <d v="2018-10-12T00:00:00"/>
    <s v="20181012"/>
    <s v="201841"/>
    <x v="8"/>
    <s v="2018"/>
    <n v="17"/>
  </r>
  <r>
    <x v="53"/>
    <x v="0"/>
    <d v="2018-11-19T00:00:00"/>
    <s v="20181119"/>
    <s v="201847"/>
    <x v="9"/>
    <s v="2018"/>
    <n v="20"/>
  </r>
  <r>
    <x v="53"/>
    <x v="0"/>
    <d v="2018-12-12T00:00:00"/>
    <s v="20181212"/>
    <s v="201850"/>
    <x v="10"/>
    <s v="2018"/>
    <n v="5"/>
  </r>
  <r>
    <x v="54"/>
    <x v="0"/>
    <d v="2018-01-03T00:00:00"/>
    <s v="20180103"/>
    <s v="201801"/>
    <x v="11"/>
    <s v="2018"/>
    <n v="19"/>
  </r>
  <r>
    <x v="54"/>
    <x v="0"/>
    <d v="2018-02-01T00:00:00"/>
    <s v="20180201"/>
    <s v="201805"/>
    <x v="0"/>
    <s v="2018"/>
    <n v="16"/>
  </r>
  <r>
    <x v="54"/>
    <x v="3"/>
    <d v="2018-02-15T00:00:00"/>
    <s v="20180215"/>
    <s v="201807"/>
    <x v="0"/>
    <s v="2018"/>
    <n v="2"/>
  </r>
  <r>
    <x v="54"/>
    <x v="0"/>
    <d v="2018-03-01T00:00:00"/>
    <s v="20180301"/>
    <s v="201809"/>
    <x v="1"/>
    <s v="2018"/>
    <n v="16.5"/>
  </r>
  <r>
    <x v="54"/>
    <x v="3"/>
    <d v="2018-03-02T00:00:00"/>
    <s v="20180302"/>
    <s v="201809"/>
    <x v="1"/>
    <s v="2018"/>
    <n v="4"/>
  </r>
  <r>
    <x v="54"/>
    <x v="0"/>
    <d v="2018-04-03T00:00:00"/>
    <s v="20180403"/>
    <s v="201814"/>
    <x v="2"/>
    <s v="2018"/>
    <n v="14.5"/>
  </r>
  <r>
    <x v="54"/>
    <x v="3"/>
    <d v="2018-04-04T00:00:00"/>
    <s v="20180404"/>
    <s v="201814"/>
    <x v="2"/>
    <s v="2018"/>
    <n v="2.5"/>
  </r>
  <r>
    <x v="54"/>
    <x v="0"/>
    <d v="2018-05-02T00:00:00"/>
    <s v="20180502"/>
    <s v="201818"/>
    <x v="3"/>
    <s v="2018"/>
    <n v="10"/>
  </r>
  <r>
    <x v="54"/>
    <x v="3"/>
    <d v="2018-05-17T00:00:00"/>
    <s v="20180517"/>
    <s v="201820"/>
    <x v="3"/>
    <s v="2018"/>
    <n v="0.5"/>
  </r>
  <r>
    <x v="54"/>
    <x v="0"/>
    <d v="2018-06-21T00:00:00"/>
    <s v="20180621"/>
    <s v="201825"/>
    <x v="4"/>
    <s v="2018"/>
    <n v="5"/>
  </r>
  <r>
    <x v="54"/>
    <x v="3"/>
    <d v="2018-06-28T00:00:00"/>
    <s v="20180628"/>
    <s v="201826"/>
    <x v="4"/>
    <s v="2018"/>
    <n v="2"/>
  </r>
  <r>
    <x v="54"/>
    <x v="0"/>
    <d v="2018-07-02T00:00:00"/>
    <s v="20180702"/>
    <s v="201827"/>
    <x v="5"/>
    <s v="2018"/>
    <n v="15"/>
  </r>
  <r>
    <x v="54"/>
    <x v="3"/>
    <d v="2018-07-09T00:00:00"/>
    <s v="20180709"/>
    <s v="201828"/>
    <x v="5"/>
    <s v="2018"/>
    <n v="5"/>
  </r>
  <r>
    <x v="54"/>
    <x v="0"/>
    <d v="2018-08-01T00:00:00"/>
    <s v="20180801"/>
    <s v="201831"/>
    <x v="6"/>
    <s v="2018"/>
    <n v="18"/>
  </r>
  <r>
    <x v="54"/>
    <x v="3"/>
    <d v="2018-08-10T00:00:00"/>
    <s v="20180810"/>
    <s v="201832"/>
    <x v="6"/>
    <s v="2018"/>
    <n v="2"/>
  </r>
  <r>
    <x v="54"/>
    <x v="0"/>
    <d v="2018-09-03T00:00:00"/>
    <s v="20180903"/>
    <s v="201836"/>
    <x v="7"/>
    <s v="2018"/>
    <n v="18"/>
  </r>
  <r>
    <x v="54"/>
    <x v="3"/>
    <d v="2018-09-05T00:00:00"/>
    <s v="20180905"/>
    <s v="201836"/>
    <x v="7"/>
    <s v="2018"/>
    <n v="2"/>
  </r>
  <r>
    <x v="54"/>
    <x v="0"/>
    <d v="2018-10-08T00:00:00"/>
    <s v="20181008"/>
    <s v="201841"/>
    <x v="8"/>
    <s v="2018"/>
    <n v="14"/>
  </r>
  <r>
    <x v="54"/>
    <x v="3"/>
    <d v="2018-10-09T00:00:00"/>
    <s v="20181009"/>
    <s v="201841"/>
    <x v="8"/>
    <s v="2018"/>
    <n v="3"/>
  </r>
  <r>
    <x v="54"/>
    <x v="0"/>
    <d v="2018-11-02T00:00:00"/>
    <s v="20181102"/>
    <s v="201844"/>
    <x v="9"/>
    <s v="2018"/>
    <n v="17"/>
  </r>
  <r>
    <x v="54"/>
    <x v="3"/>
    <d v="2018-11-06T00:00:00"/>
    <s v="20181106"/>
    <s v="201845"/>
    <x v="9"/>
    <s v="2018"/>
    <n v="2"/>
  </r>
  <r>
    <x v="55"/>
    <x v="0"/>
    <d v="2018-01-08T00:00:00"/>
    <s v="20180108"/>
    <s v="201802"/>
    <x v="11"/>
    <s v="2018"/>
    <n v="18"/>
  </r>
  <r>
    <x v="55"/>
    <x v="0"/>
    <d v="2018-02-02T00:00:00"/>
    <s v="20180202"/>
    <s v="201805"/>
    <x v="0"/>
    <s v="2018"/>
    <n v="19"/>
  </r>
  <r>
    <x v="55"/>
    <x v="0"/>
    <d v="2018-03-01T00:00:00"/>
    <s v="20180301"/>
    <s v="201809"/>
    <x v="1"/>
    <s v="2018"/>
    <n v="22"/>
  </r>
  <r>
    <x v="55"/>
    <x v="0"/>
    <d v="2018-04-03T00:00:00"/>
    <s v="20180403"/>
    <s v="201814"/>
    <x v="2"/>
    <s v="2018"/>
    <n v="19.5"/>
  </r>
  <r>
    <x v="55"/>
    <x v="0"/>
    <d v="2018-05-02T00:00:00"/>
    <s v="20180502"/>
    <s v="201818"/>
    <x v="3"/>
    <s v="2018"/>
    <n v="12"/>
  </r>
  <r>
    <x v="55"/>
    <x v="0"/>
    <d v="2018-06-01T00:00:00"/>
    <s v="20180601"/>
    <s v="201822"/>
    <x v="4"/>
    <s v="2018"/>
    <n v="20.5"/>
  </r>
  <r>
    <x v="55"/>
    <x v="0"/>
    <d v="2018-07-13T00:00:00"/>
    <s v="20180713"/>
    <s v="201828"/>
    <x v="5"/>
    <s v="2018"/>
    <n v="19.5"/>
  </r>
  <r>
    <x v="55"/>
    <x v="0"/>
    <d v="2018-08-07T00:00:00"/>
    <s v="20180807"/>
    <s v="201832"/>
    <x v="6"/>
    <s v="2018"/>
    <n v="20"/>
  </r>
  <r>
    <x v="55"/>
    <x v="0"/>
    <d v="2018-09-25T00:00:00"/>
    <s v="20180925"/>
    <s v="201839"/>
    <x v="7"/>
    <s v="2018"/>
    <n v="20"/>
  </r>
  <r>
    <x v="55"/>
    <x v="0"/>
    <d v="2018-10-01T00:00:00"/>
    <s v="20181001"/>
    <s v="201840"/>
    <x v="8"/>
    <s v="2018"/>
    <n v="22.75"/>
  </r>
  <r>
    <x v="55"/>
    <x v="0"/>
    <d v="2018-11-09T00:00:00"/>
    <s v="20181109"/>
    <s v="201845"/>
    <x v="9"/>
    <s v="2018"/>
    <n v="20"/>
  </r>
  <r>
    <x v="56"/>
    <x v="0"/>
    <d v="2018-08-28T00:00:00"/>
    <s v="20180828"/>
    <s v="201835"/>
    <x v="6"/>
    <s v="2018"/>
    <n v="4"/>
  </r>
  <r>
    <x v="56"/>
    <x v="0"/>
    <d v="2018-09-20T00:00:00"/>
    <s v="20180920"/>
    <s v="201838"/>
    <x v="7"/>
    <s v="2018"/>
    <n v="19.5"/>
  </r>
  <r>
    <x v="56"/>
    <x v="0"/>
    <d v="2018-10-23T00:00:00"/>
    <s v="20181023"/>
    <s v="201843"/>
    <x v="8"/>
    <s v="2018"/>
    <n v="21.5"/>
  </r>
  <r>
    <x v="56"/>
    <x v="0"/>
    <d v="2018-11-05T00:00:00"/>
    <s v="20181105"/>
    <s v="201845"/>
    <x v="9"/>
    <s v="2018"/>
    <n v="20"/>
  </r>
  <r>
    <x v="57"/>
    <x v="0"/>
    <d v="2018-11-26T00:00:00"/>
    <s v="20181126"/>
    <s v="201848"/>
    <x v="9"/>
    <s v="2018"/>
    <n v="15"/>
  </r>
  <r>
    <x v="58"/>
    <x v="0"/>
    <d v="2018-01-08T00:00:00"/>
    <s v="20180108"/>
    <s v="201802"/>
    <x v="11"/>
    <s v="2018"/>
    <n v="17"/>
  </r>
  <r>
    <x v="58"/>
    <x v="0"/>
    <d v="2018-02-01T00:00:00"/>
    <s v="20180201"/>
    <s v="201805"/>
    <x v="0"/>
    <s v="2018"/>
    <n v="8"/>
  </r>
  <r>
    <x v="58"/>
    <x v="3"/>
    <d v="2018-02-13T00:00:00"/>
    <s v="20180213"/>
    <s v="201807"/>
    <x v="0"/>
    <s v="2018"/>
    <n v="12"/>
  </r>
  <r>
    <x v="58"/>
    <x v="0"/>
    <d v="2018-03-01T00:00:00"/>
    <s v="20180301"/>
    <s v="201809"/>
    <x v="1"/>
    <s v="2018"/>
    <n v="13.5"/>
  </r>
  <r>
    <x v="58"/>
    <x v="3"/>
    <d v="2018-03-08T00:00:00"/>
    <s v="20180308"/>
    <s v="201810"/>
    <x v="1"/>
    <s v="2018"/>
    <n v="6"/>
  </r>
  <r>
    <x v="58"/>
    <x v="0"/>
    <d v="2018-04-03T00:00:00"/>
    <s v="20180403"/>
    <s v="201814"/>
    <x v="2"/>
    <s v="2018"/>
    <n v="11"/>
  </r>
  <r>
    <x v="58"/>
    <x v="3"/>
    <d v="2018-04-12T00:00:00"/>
    <s v="20180412"/>
    <s v="201815"/>
    <x v="2"/>
    <s v="2018"/>
    <n v="6"/>
  </r>
  <r>
    <x v="58"/>
    <x v="0"/>
    <d v="2018-05-03T00:00:00"/>
    <s v="20180503"/>
    <s v="201818"/>
    <x v="3"/>
    <s v="2018"/>
    <n v="6"/>
  </r>
  <r>
    <x v="58"/>
    <x v="3"/>
    <d v="2018-05-02T00:00:00"/>
    <s v="20180502"/>
    <s v="201818"/>
    <x v="3"/>
    <s v="2018"/>
    <n v="5"/>
  </r>
  <r>
    <x v="58"/>
    <x v="0"/>
    <d v="2018-06-05T00:00:00"/>
    <s v="20180605"/>
    <s v="201823"/>
    <x v="4"/>
    <s v="2018"/>
    <n v="12"/>
  </r>
  <r>
    <x v="58"/>
    <x v="3"/>
    <d v="2018-06-01T00:00:00"/>
    <s v="20180601"/>
    <s v="201822"/>
    <x v="4"/>
    <s v="2018"/>
    <n v="6"/>
  </r>
  <r>
    <x v="58"/>
    <x v="0"/>
    <d v="2018-07-05T00:00:00"/>
    <s v="20180705"/>
    <s v="201827"/>
    <x v="5"/>
    <s v="2018"/>
    <n v="8"/>
  </r>
  <r>
    <x v="58"/>
    <x v="3"/>
    <d v="2018-07-02T00:00:00"/>
    <s v="20180702"/>
    <s v="201827"/>
    <x v="5"/>
    <s v="2018"/>
    <n v="11"/>
  </r>
  <r>
    <x v="58"/>
    <x v="0"/>
    <d v="2018-08-20T00:00:00"/>
    <s v="20180820"/>
    <s v="201834"/>
    <x v="6"/>
    <s v="2018"/>
    <n v="9"/>
  </r>
  <r>
    <x v="58"/>
    <x v="3"/>
    <d v="2018-08-01T00:00:00"/>
    <s v="20180801"/>
    <s v="201831"/>
    <x v="6"/>
    <s v="2018"/>
    <n v="6"/>
  </r>
  <r>
    <x v="58"/>
    <x v="0"/>
    <d v="2018-09-03T00:00:00"/>
    <s v="20180903"/>
    <s v="201836"/>
    <x v="7"/>
    <s v="2018"/>
    <n v="15.5"/>
  </r>
  <r>
    <x v="58"/>
    <x v="3"/>
    <d v="2018-09-06T00:00:00"/>
    <s v="20180906"/>
    <s v="201836"/>
    <x v="7"/>
    <s v="2018"/>
    <n v="1.5"/>
  </r>
  <r>
    <x v="58"/>
    <x v="0"/>
    <d v="2018-10-01T00:00:00"/>
    <s v="20181001"/>
    <s v="201840"/>
    <x v="8"/>
    <s v="2018"/>
    <n v="19"/>
  </r>
  <r>
    <x v="58"/>
    <x v="3"/>
    <d v="2018-10-11T00:00:00"/>
    <s v="20181011"/>
    <s v="201841"/>
    <x v="8"/>
    <s v="2018"/>
    <n v="4"/>
  </r>
  <r>
    <x v="58"/>
    <x v="0"/>
    <d v="2018-11-14T00:00:00"/>
    <s v="20181114"/>
    <s v="201846"/>
    <x v="9"/>
    <s v="2018"/>
    <n v="12.5"/>
  </r>
  <r>
    <x v="58"/>
    <x v="3"/>
    <d v="2018-11-05T00:00:00"/>
    <s v="20181105"/>
    <s v="201845"/>
    <x v="9"/>
    <s v="2018"/>
    <n v="5"/>
  </r>
  <r>
    <x v="59"/>
    <x v="1"/>
    <d v="2018-09-25T00:00:00"/>
    <s v="20180925"/>
    <s v="201839"/>
    <x v="7"/>
    <s v="2018"/>
    <n v="10"/>
  </r>
  <r>
    <x v="59"/>
    <x v="1"/>
    <d v="2018-10-01T00:00:00"/>
    <s v="20181001"/>
    <s v="201840"/>
    <x v="8"/>
    <s v="2018"/>
    <n v="21.47"/>
  </r>
  <r>
    <x v="59"/>
    <x v="2"/>
    <d v="2018-10-15T00:00:00"/>
    <s v="20181015"/>
    <s v="201842"/>
    <x v="8"/>
    <s v="2018"/>
    <n v="1.53"/>
  </r>
  <r>
    <x v="59"/>
    <x v="1"/>
    <d v="2018-11-06T00:00:00"/>
    <s v="20181106"/>
    <s v="201845"/>
    <x v="9"/>
    <s v="2018"/>
    <n v="18.46"/>
  </r>
  <r>
    <x v="59"/>
    <x v="2"/>
    <d v="2018-11-14T00:00:00"/>
    <s v="20181114"/>
    <s v="201846"/>
    <x v="9"/>
    <s v="2018"/>
    <n v="2.04"/>
  </r>
  <r>
    <x v="60"/>
    <x v="0"/>
    <d v="2018-01-09T00:00:00"/>
    <s v="20180109"/>
    <s v="201802"/>
    <x v="11"/>
    <s v="2018"/>
    <n v="16"/>
  </r>
  <r>
    <x v="60"/>
    <x v="0"/>
    <d v="2018-02-01T00:00:00"/>
    <s v="20180201"/>
    <s v="201805"/>
    <x v="0"/>
    <s v="2018"/>
    <n v="20"/>
  </r>
  <r>
    <x v="60"/>
    <x v="0"/>
    <d v="2018-03-01T00:00:00"/>
    <s v="20180301"/>
    <s v="201809"/>
    <x v="1"/>
    <s v="2018"/>
    <n v="22"/>
  </r>
  <r>
    <x v="60"/>
    <x v="0"/>
    <d v="2018-04-03T00:00:00"/>
    <s v="20180403"/>
    <s v="201814"/>
    <x v="2"/>
    <s v="2018"/>
    <n v="17"/>
  </r>
  <r>
    <x v="60"/>
    <x v="0"/>
    <d v="2018-05-02T00:00:00"/>
    <s v="20180502"/>
    <s v="201818"/>
    <x v="3"/>
    <s v="2018"/>
    <n v="15"/>
  </r>
  <r>
    <x v="60"/>
    <x v="0"/>
    <d v="2018-06-07T00:00:00"/>
    <s v="20180607"/>
    <s v="201823"/>
    <x v="4"/>
    <s v="2018"/>
    <n v="4"/>
  </r>
  <r>
    <x v="60"/>
    <x v="0"/>
    <d v="2018-07-10T00:00:00"/>
    <s v="20180710"/>
    <s v="201828"/>
    <x v="5"/>
    <s v="2018"/>
    <n v="15"/>
  </r>
  <r>
    <x v="60"/>
    <x v="0"/>
    <d v="2018-08-13T00:00:00"/>
    <s v="20180813"/>
    <s v="201833"/>
    <x v="6"/>
    <s v="2018"/>
    <n v="13"/>
  </r>
  <r>
    <x v="60"/>
    <x v="0"/>
    <d v="2018-09-03T00:00:00"/>
    <s v="20180903"/>
    <s v="201836"/>
    <x v="7"/>
    <s v="2018"/>
    <n v="20"/>
  </r>
  <r>
    <x v="60"/>
    <x v="0"/>
    <d v="2018-10-01T00:00:00"/>
    <s v="20181001"/>
    <s v="201840"/>
    <x v="8"/>
    <s v="2018"/>
    <n v="22"/>
  </r>
  <r>
    <x v="60"/>
    <x v="0"/>
    <d v="2018-11-06T00:00:00"/>
    <s v="20181106"/>
    <s v="201845"/>
    <x v="9"/>
    <s v="2018"/>
    <n v="9"/>
  </r>
  <r>
    <x v="61"/>
    <x v="0"/>
    <d v="2018-01-11T00:00:00"/>
    <s v="20180111"/>
    <s v="201802"/>
    <x v="11"/>
    <s v="2018"/>
    <n v="13"/>
  </r>
  <r>
    <x v="61"/>
    <x v="0"/>
    <d v="2018-02-06T00:00:00"/>
    <s v="20180206"/>
    <s v="201806"/>
    <x v="0"/>
    <s v="2018"/>
    <n v="18"/>
  </r>
  <r>
    <x v="61"/>
    <x v="0"/>
    <d v="2018-03-05T00:00:00"/>
    <s v="20180305"/>
    <s v="201810"/>
    <x v="1"/>
    <s v="2018"/>
    <n v="18.5"/>
  </r>
  <r>
    <x v="61"/>
    <x v="0"/>
    <d v="2018-04-03T00:00:00"/>
    <s v="20180403"/>
    <s v="201814"/>
    <x v="2"/>
    <s v="2018"/>
    <n v="20"/>
  </r>
  <r>
    <x v="61"/>
    <x v="0"/>
    <d v="2018-05-15T00:00:00"/>
    <s v="20180515"/>
    <s v="201820"/>
    <x v="3"/>
    <s v="2018"/>
    <n v="11"/>
  </r>
  <r>
    <x v="61"/>
    <x v="0"/>
    <d v="2018-06-20T00:00:00"/>
    <s v="20180620"/>
    <s v="201825"/>
    <x v="4"/>
    <s v="2018"/>
    <n v="10"/>
  </r>
  <r>
    <x v="61"/>
    <x v="0"/>
    <d v="2018-07-10T00:00:00"/>
    <s v="20180710"/>
    <s v="201828"/>
    <x v="5"/>
    <s v="2018"/>
    <n v="21"/>
  </r>
  <r>
    <x v="61"/>
    <x v="0"/>
    <d v="2018-08-16T00:00:00"/>
    <s v="20180816"/>
    <s v="201833"/>
    <x v="6"/>
    <s v="2018"/>
    <n v="19"/>
  </r>
  <r>
    <x v="61"/>
    <x v="0"/>
    <d v="2018-09-10T00:00:00"/>
    <s v="20180910"/>
    <s v="201837"/>
    <x v="7"/>
    <s v="2018"/>
    <n v="20"/>
  </r>
  <r>
    <x v="61"/>
    <x v="0"/>
    <d v="2018-10-02T00:00:00"/>
    <s v="20181002"/>
    <s v="201840"/>
    <x v="8"/>
    <s v="2018"/>
    <n v="23"/>
  </r>
  <r>
    <x v="61"/>
    <x v="0"/>
    <d v="2018-11-05T00:00:00"/>
    <s v="20181105"/>
    <s v="201845"/>
    <x v="9"/>
    <s v="2018"/>
    <n v="10"/>
  </r>
  <r>
    <x v="62"/>
    <x v="1"/>
    <d v="2018-01-08T00:00:00"/>
    <s v="20180108"/>
    <s v="201802"/>
    <x v="11"/>
    <s v="2018"/>
    <n v="16.05"/>
  </r>
  <r>
    <x v="62"/>
    <x v="2"/>
    <d v="2018-01-09T00:00:00"/>
    <s v="20180109"/>
    <s v="201802"/>
    <x v="11"/>
    <s v="2018"/>
    <n v="1.45"/>
  </r>
  <r>
    <x v="62"/>
    <x v="1"/>
    <d v="2018-02-12T00:00:00"/>
    <s v="20180212"/>
    <s v="201807"/>
    <x v="0"/>
    <s v="2018"/>
    <n v="16.399999999999999"/>
  </r>
  <r>
    <x v="62"/>
    <x v="1"/>
    <d v="2018-03-02T00:00:00"/>
    <s v="20180302"/>
    <s v="201809"/>
    <x v="1"/>
    <s v="2018"/>
    <n v="18.899999999999999"/>
  </r>
  <r>
    <x v="62"/>
    <x v="2"/>
    <d v="2018-03-06T00:00:00"/>
    <s v="20180306"/>
    <s v="201810"/>
    <x v="1"/>
    <s v="2018"/>
    <n v="1.1000000000000001"/>
  </r>
  <r>
    <x v="62"/>
    <x v="1"/>
    <d v="2018-04-03T00:00:00"/>
    <s v="20180403"/>
    <s v="201814"/>
    <x v="2"/>
    <s v="2018"/>
    <n v="12"/>
  </r>
  <r>
    <x v="62"/>
    <x v="1"/>
    <d v="2018-11-05T00:00:00"/>
    <s v="20181105"/>
    <s v="201845"/>
    <x v="9"/>
    <s v="2018"/>
    <n v="17"/>
  </r>
  <r>
    <x v="62"/>
    <x v="1"/>
    <d v="2018-12-03T00:00:00"/>
    <s v="20181203"/>
    <s v="201849"/>
    <x v="10"/>
    <s v="2018"/>
    <n v="2.0499999999999998"/>
  </r>
  <r>
    <x v="63"/>
    <x v="0"/>
    <d v="2018-08-01T00:00:00"/>
    <s v="20180801"/>
    <s v="201831"/>
    <x v="6"/>
    <s v="2018"/>
    <n v="22"/>
  </r>
  <r>
    <x v="63"/>
    <x v="0"/>
    <d v="2018-09-03T00:00:00"/>
    <s v="20180903"/>
    <s v="201836"/>
    <x v="7"/>
    <s v="2018"/>
    <n v="19.5"/>
  </r>
  <r>
    <x v="63"/>
    <x v="0"/>
    <d v="2018-10-01T00:00:00"/>
    <s v="20181001"/>
    <s v="201840"/>
    <x v="8"/>
    <s v="2018"/>
    <n v="18"/>
  </r>
  <r>
    <x v="63"/>
    <x v="0"/>
    <d v="2018-11-05T00:00:00"/>
    <s v="20181105"/>
    <s v="201845"/>
    <x v="9"/>
    <s v="2018"/>
    <n v="20"/>
  </r>
  <r>
    <x v="63"/>
    <x v="0"/>
    <d v="2018-12-03T00:00:00"/>
    <s v="20181203"/>
    <s v="201849"/>
    <x v="10"/>
    <s v="2018"/>
    <n v="5"/>
  </r>
  <r>
    <x v="64"/>
    <x v="0"/>
    <d v="2018-01-04T00:00:00"/>
    <s v="20180104"/>
    <s v="201801"/>
    <x v="11"/>
    <s v="2018"/>
    <n v="9.5"/>
  </r>
  <r>
    <x v="64"/>
    <x v="0"/>
    <d v="2018-02-01T00:00:00"/>
    <s v="20180201"/>
    <s v="201805"/>
    <x v="0"/>
    <s v="2018"/>
    <n v="20"/>
  </r>
  <r>
    <x v="64"/>
    <x v="0"/>
    <d v="2018-03-19T00:00:00"/>
    <s v="20180319"/>
    <s v="201812"/>
    <x v="1"/>
    <s v="2018"/>
    <n v="21"/>
  </r>
  <r>
    <x v="64"/>
    <x v="0"/>
    <d v="2018-04-11T00:00:00"/>
    <s v="20180411"/>
    <s v="201815"/>
    <x v="2"/>
    <s v="2018"/>
    <n v="20"/>
  </r>
  <r>
    <x v="64"/>
    <x v="0"/>
    <d v="2018-05-25T00:00:00"/>
    <s v="20180525"/>
    <s v="201821"/>
    <x v="3"/>
    <s v="2018"/>
    <n v="18"/>
  </r>
  <r>
    <x v="64"/>
    <x v="0"/>
    <d v="2018-06-20T00:00:00"/>
    <s v="20180620"/>
    <s v="201825"/>
    <x v="4"/>
    <s v="2018"/>
    <n v="18"/>
  </r>
  <r>
    <x v="64"/>
    <x v="0"/>
    <d v="2018-07-06T00:00:00"/>
    <s v="20180706"/>
    <s v="201827"/>
    <x v="5"/>
    <s v="2018"/>
    <n v="19.5"/>
  </r>
  <r>
    <x v="64"/>
    <x v="0"/>
    <d v="2018-08-24T00:00:00"/>
    <s v="20180824"/>
    <s v="201834"/>
    <x v="6"/>
    <s v="2018"/>
    <n v="15"/>
  </r>
  <r>
    <x v="64"/>
    <x v="0"/>
    <d v="2018-09-12T00:00:00"/>
    <s v="20180912"/>
    <s v="201837"/>
    <x v="7"/>
    <s v="2018"/>
    <n v="10"/>
  </r>
  <r>
    <x v="64"/>
    <x v="0"/>
    <d v="2018-10-10T00:00:00"/>
    <s v="20181010"/>
    <s v="201841"/>
    <x v="8"/>
    <s v="2018"/>
    <n v="23"/>
  </r>
  <r>
    <x v="64"/>
    <x v="0"/>
    <d v="2018-11-02T00:00:00"/>
    <s v="20181102"/>
    <s v="201844"/>
    <x v="9"/>
    <s v="2018"/>
    <n v="21"/>
  </r>
  <r>
    <x v="65"/>
    <x v="1"/>
    <d v="2018-01-08T00:00:00"/>
    <s v="20180108"/>
    <s v="201802"/>
    <x v="11"/>
    <s v="2018"/>
    <n v="19.25"/>
  </r>
  <r>
    <x v="65"/>
    <x v="2"/>
    <d v="2018-01-17T00:00:00"/>
    <s v="20180117"/>
    <s v="201803"/>
    <x v="11"/>
    <s v="2018"/>
    <n v="1.75"/>
  </r>
  <r>
    <x v="65"/>
    <x v="1"/>
    <d v="2018-02-05T00:00:00"/>
    <s v="20180205"/>
    <s v="201806"/>
    <x v="0"/>
    <s v="2018"/>
    <n v="18.3"/>
  </r>
  <r>
    <x v="65"/>
    <x v="2"/>
    <d v="2018-02-07T00:00:00"/>
    <s v="20180207"/>
    <s v="201806"/>
    <x v="0"/>
    <s v="2018"/>
    <n v="1.7"/>
  </r>
  <r>
    <x v="65"/>
    <x v="1"/>
    <d v="2018-03-13T00:00:00"/>
    <s v="20180313"/>
    <s v="201811"/>
    <x v="1"/>
    <s v="2018"/>
    <n v="21.15"/>
  </r>
  <r>
    <x v="65"/>
    <x v="2"/>
    <d v="2018-03-19T00:00:00"/>
    <s v="20180319"/>
    <s v="201812"/>
    <x v="1"/>
    <s v="2018"/>
    <n v="0.85"/>
  </r>
  <r>
    <x v="65"/>
    <x v="1"/>
    <d v="2018-04-03T00:00:00"/>
    <s v="20180403"/>
    <s v="201814"/>
    <x v="2"/>
    <s v="2018"/>
    <n v="16.8"/>
  </r>
  <r>
    <x v="65"/>
    <x v="2"/>
    <d v="2018-04-17T00:00:00"/>
    <s v="20180417"/>
    <s v="201816"/>
    <x v="2"/>
    <s v="2018"/>
    <n v="1.7"/>
  </r>
  <r>
    <x v="65"/>
    <x v="1"/>
    <d v="2018-05-14T00:00:00"/>
    <s v="20180514"/>
    <s v="201820"/>
    <x v="3"/>
    <s v="2018"/>
    <n v="15.15"/>
  </r>
  <r>
    <x v="65"/>
    <x v="2"/>
    <d v="2018-05-04T00:00:00"/>
    <s v="20180504"/>
    <s v="201818"/>
    <x v="3"/>
    <s v="2018"/>
    <n v="2.85"/>
  </r>
  <r>
    <x v="65"/>
    <x v="1"/>
    <d v="2018-06-08T00:00:00"/>
    <s v="20180608"/>
    <s v="201823"/>
    <x v="4"/>
    <s v="2018"/>
    <n v="13.65"/>
  </r>
  <r>
    <x v="65"/>
    <x v="2"/>
    <d v="2018-06-26T00:00:00"/>
    <s v="20180626"/>
    <s v="201826"/>
    <x v="4"/>
    <s v="2018"/>
    <n v="0.35"/>
  </r>
  <r>
    <x v="65"/>
    <x v="1"/>
    <d v="2018-07-02T00:00:00"/>
    <s v="20180702"/>
    <s v="201827"/>
    <x v="5"/>
    <s v="2018"/>
    <n v="20"/>
  </r>
  <r>
    <x v="65"/>
    <x v="1"/>
    <d v="2018-08-06T00:00:00"/>
    <s v="20180806"/>
    <s v="201832"/>
    <x v="6"/>
    <s v="2018"/>
    <n v="14.2"/>
  </r>
  <r>
    <x v="65"/>
    <x v="2"/>
    <d v="2018-08-08T00:00:00"/>
    <s v="20180808"/>
    <s v="201832"/>
    <x v="6"/>
    <s v="2018"/>
    <n v="1.8"/>
  </r>
  <r>
    <x v="66"/>
    <x v="0"/>
    <d v="2018-08-23T00:00:00"/>
    <s v="20180823"/>
    <s v="201834"/>
    <x v="6"/>
    <s v="2018"/>
    <n v="1"/>
  </r>
  <r>
    <x v="66"/>
    <x v="0"/>
    <d v="2018-10-02T00:00:00"/>
    <s v="20181002"/>
    <s v="201840"/>
    <x v="8"/>
    <s v="2018"/>
    <n v="0.5"/>
  </r>
  <r>
    <x v="67"/>
    <x v="0"/>
    <d v="2018-01-31T00:00:00"/>
    <s v="20180131"/>
    <s v="201805"/>
    <x v="11"/>
    <s v="2018"/>
    <n v="3"/>
  </r>
  <r>
    <x v="67"/>
    <x v="0"/>
    <d v="2018-02-01T00:00:00"/>
    <s v="20180201"/>
    <s v="201805"/>
    <x v="0"/>
    <s v="2018"/>
    <n v="20"/>
  </r>
  <r>
    <x v="67"/>
    <x v="0"/>
    <d v="2018-03-02T00:00:00"/>
    <s v="20180302"/>
    <s v="201809"/>
    <x v="1"/>
    <s v="2018"/>
    <n v="22"/>
  </r>
  <r>
    <x v="67"/>
    <x v="0"/>
    <d v="2018-04-03T00:00:00"/>
    <s v="20180403"/>
    <s v="201814"/>
    <x v="2"/>
    <s v="2018"/>
    <n v="20"/>
  </r>
  <r>
    <x v="67"/>
    <x v="0"/>
    <d v="2018-05-02T00:00:00"/>
    <s v="20180502"/>
    <s v="201818"/>
    <x v="3"/>
    <s v="2018"/>
    <n v="17.75"/>
  </r>
  <r>
    <x v="67"/>
    <x v="0"/>
    <d v="2018-06-04T00:00:00"/>
    <s v="20180604"/>
    <s v="201823"/>
    <x v="4"/>
    <s v="2018"/>
    <n v="18.5"/>
  </r>
  <r>
    <x v="67"/>
    <x v="0"/>
    <d v="2018-07-04T00:00:00"/>
    <s v="20180704"/>
    <s v="201827"/>
    <x v="5"/>
    <s v="2018"/>
    <n v="17"/>
  </r>
  <r>
    <x v="67"/>
    <x v="0"/>
    <d v="2018-08-06T00:00:00"/>
    <s v="20180806"/>
    <s v="201832"/>
    <x v="6"/>
    <s v="2018"/>
    <n v="22"/>
  </r>
  <r>
    <x v="67"/>
    <x v="0"/>
    <d v="2018-09-03T00:00:00"/>
    <s v="20180903"/>
    <s v="201836"/>
    <x v="7"/>
    <s v="2018"/>
    <n v="18.75"/>
  </r>
  <r>
    <x v="67"/>
    <x v="0"/>
    <d v="2018-10-01T00:00:00"/>
    <s v="20181001"/>
    <s v="201840"/>
    <x v="8"/>
    <s v="2018"/>
    <n v="23"/>
  </r>
  <r>
    <x v="67"/>
    <x v="0"/>
    <d v="2018-11-05T00:00:00"/>
    <s v="20181105"/>
    <s v="201845"/>
    <x v="9"/>
    <s v="2018"/>
    <n v="19.5"/>
  </r>
  <r>
    <x v="68"/>
    <x v="0"/>
    <d v="2017-10-23T00:00:00"/>
    <s v="20171023"/>
    <s v="201743"/>
    <x v="12"/>
    <s v="2017"/>
    <n v="2.5"/>
  </r>
  <r>
    <x v="68"/>
    <x v="0"/>
    <d v="2017-11-02T00:00:00"/>
    <s v="20171102"/>
    <s v="201744"/>
    <x v="13"/>
    <s v="2017"/>
    <n v="3.25"/>
  </r>
  <r>
    <x v="68"/>
    <x v="0"/>
    <d v="2017-12-07T00:00:00"/>
    <s v="20171207"/>
    <s v="201749"/>
    <x v="14"/>
    <s v="2017"/>
    <n v="1"/>
  </r>
  <r>
    <x v="68"/>
    <x v="0"/>
    <d v="2018-01-10T00:00:00"/>
    <s v="20180110"/>
    <s v="201802"/>
    <x v="11"/>
    <s v="2018"/>
    <n v="19.75"/>
  </r>
  <r>
    <x v="68"/>
    <x v="0"/>
    <d v="2018-02-08T00:00:00"/>
    <s v="20180208"/>
    <s v="201806"/>
    <x v="0"/>
    <s v="2018"/>
    <n v="19.5"/>
  </r>
  <r>
    <x v="68"/>
    <x v="0"/>
    <d v="2018-03-23T00:00:00"/>
    <s v="20180323"/>
    <s v="201812"/>
    <x v="1"/>
    <s v="2018"/>
    <n v="22"/>
  </r>
  <r>
    <x v="68"/>
    <x v="0"/>
    <d v="2018-04-04T00:00:00"/>
    <s v="20180404"/>
    <s v="201814"/>
    <x v="2"/>
    <s v="2018"/>
    <n v="19"/>
  </r>
  <r>
    <x v="68"/>
    <x v="0"/>
    <d v="2018-05-15T00:00:00"/>
    <s v="20180515"/>
    <s v="201820"/>
    <x v="3"/>
    <s v="2018"/>
    <n v="1.5"/>
  </r>
  <r>
    <x v="68"/>
    <x v="0"/>
    <d v="2018-06-28T00:00:00"/>
    <s v="20180628"/>
    <s v="201826"/>
    <x v="4"/>
    <s v="2018"/>
    <n v="21"/>
  </r>
  <r>
    <x v="68"/>
    <x v="0"/>
    <d v="2018-07-10T00:00:00"/>
    <s v="20180710"/>
    <s v="201828"/>
    <x v="5"/>
    <s v="2018"/>
    <n v="20"/>
  </r>
  <r>
    <x v="68"/>
    <x v="0"/>
    <d v="2018-08-09T00:00:00"/>
    <s v="20180809"/>
    <s v="201832"/>
    <x v="6"/>
    <s v="2018"/>
    <n v="15"/>
  </r>
  <r>
    <x v="68"/>
    <x v="0"/>
    <d v="2018-09-03T00:00:00"/>
    <s v="20180903"/>
    <s v="201836"/>
    <x v="7"/>
    <s v="2018"/>
    <n v="20"/>
  </r>
  <r>
    <x v="68"/>
    <x v="0"/>
    <d v="2018-10-01T00:00:00"/>
    <s v="20181001"/>
    <s v="201840"/>
    <x v="8"/>
    <s v="2018"/>
    <n v="21.5"/>
  </r>
  <r>
    <x v="68"/>
    <x v="0"/>
    <d v="2018-11-06T00:00:00"/>
    <s v="20181106"/>
    <s v="201845"/>
    <x v="9"/>
    <s v="2018"/>
    <n v="19.5"/>
  </r>
  <r>
    <x v="69"/>
    <x v="0"/>
    <d v="2018-01-05T00:00:00"/>
    <s v="20180105"/>
    <s v="201801"/>
    <x v="11"/>
    <s v="2018"/>
    <n v="2"/>
  </r>
  <r>
    <x v="69"/>
    <x v="0"/>
    <d v="2018-03-27T00:00:00"/>
    <s v="20180327"/>
    <s v="201813"/>
    <x v="1"/>
    <s v="2018"/>
    <n v="3.5"/>
  </r>
  <r>
    <x v="70"/>
    <x v="3"/>
    <d v="2018-05-14T00:00:00"/>
    <s v="20180514"/>
    <s v="201820"/>
    <x v="3"/>
    <s v="2018"/>
    <n v="2.5"/>
  </r>
  <r>
    <x v="70"/>
    <x v="3"/>
    <d v="2018-06-19T00:00:00"/>
    <s v="20180619"/>
    <s v="201825"/>
    <x v="4"/>
    <s v="2018"/>
    <n v="3"/>
  </r>
  <r>
    <x v="70"/>
    <x v="3"/>
    <d v="2018-07-06T00:00:00"/>
    <s v="20180706"/>
    <s v="201827"/>
    <x v="5"/>
    <s v="2018"/>
    <n v="3"/>
  </r>
  <r>
    <x v="70"/>
    <x v="3"/>
    <d v="2018-08-13T00:00:00"/>
    <s v="20180813"/>
    <s v="201833"/>
    <x v="6"/>
    <s v="2018"/>
    <n v="4.5"/>
  </r>
  <r>
    <x v="70"/>
    <x v="3"/>
    <d v="2018-09-14T00:00:00"/>
    <s v="20180914"/>
    <s v="201837"/>
    <x v="7"/>
    <s v="2018"/>
    <n v="2.5"/>
  </r>
  <r>
    <x v="70"/>
    <x v="3"/>
    <d v="2018-10-01T00:00:00"/>
    <s v="20181001"/>
    <s v="201840"/>
    <x v="8"/>
    <s v="2018"/>
    <n v="4"/>
  </r>
  <r>
    <x v="70"/>
    <x v="3"/>
    <d v="2018-11-26T00:00:00"/>
    <s v="20181126"/>
    <s v="201848"/>
    <x v="9"/>
    <s v="2018"/>
    <n v="2"/>
  </r>
  <r>
    <x v="71"/>
    <x v="3"/>
    <d v="2018-02-20T00:00:00"/>
    <s v="20180220"/>
    <s v="201808"/>
    <x v="0"/>
    <s v="2018"/>
    <n v="18"/>
  </r>
  <r>
    <x v="71"/>
    <x v="3"/>
    <d v="2018-03-07T00:00:00"/>
    <s v="20180307"/>
    <s v="201810"/>
    <x v="1"/>
    <s v="2018"/>
    <n v="13.5"/>
  </r>
  <r>
    <x v="72"/>
    <x v="1"/>
    <d v="2018-01-15T00:00:00"/>
    <s v="20180115"/>
    <s v="201803"/>
    <x v="11"/>
    <s v="2018"/>
    <n v="15"/>
  </r>
  <r>
    <x v="72"/>
    <x v="1"/>
    <d v="2018-02-05T00:00:00"/>
    <s v="20180205"/>
    <s v="201806"/>
    <x v="0"/>
    <s v="2018"/>
    <n v="17"/>
  </r>
  <r>
    <x v="72"/>
    <x v="1"/>
    <d v="2018-03-05T00:00:00"/>
    <s v="20180305"/>
    <s v="201810"/>
    <x v="1"/>
    <s v="2018"/>
    <n v="20"/>
  </r>
  <r>
    <x v="72"/>
    <x v="1"/>
    <d v="2018-04-17T00:00:00"/>
    <s v="20180417"/>
    <s v="201816"/>
    <x v="2"/>
    <s v="2018"/>
    <n v="14.5"/>
  </r>
  <r>
    <x v="72"/>
    <x v="1"/>
    <d v="2018-05-14T00:00:00"/>
    <s v="20180514"/>
    <s v="201820"/>
    <x v="3"/>
    <s v="2018"/>
    <n v="16"/>
  </r>
  <r>
    <x v="72"/>
    <x v="1"/>
    <d v="2018-06-11T00:00:00"/>
    <s v="20180611"/>
    <s v="201824"/>
    <x v="4"/>
    <s v="2018"/>
    <n v="19"/>
  </r>
  <r>
    <x v="72"/>
    <x v="1"/>
    <d v="2018-07-09T00:00:00"/>
    <s v="20180709"/>
    <s v="201828"/>
    <x v="5"/>
    <s v="2018"/>
    <n v="15.5"/>
  </r>
  <r>
    <x v="72"/>
    <x v="1"/>
    <d v="2018-08-06T00:00:00"/>
    <s v="20180806"/>
    <s v="201832"/>
    <x v="6"/>
    <s v="2018"/>
    <n v="11.5"/>
  </r>
  <r>
    <x v="72"/>
    <x v="1"/>
    <d v="2018-09-03T00:00:00"/>
    <s v="20180903"/>
    <s v="201836"/>
    <x v="7"/>
    <s v="2018"/>
    <n v="19"/>
  </r>
  <r>
    <x v="72"/>
    <x v="1"/>
    <d v="2018-10-01T00:00:00"/>
    <s v="20181001"/>
    <s v="201840"/>
    <x v="8"/>
    <s v="2018"/>
    <n v="17"/>
  </r>
  <r>
    <x v="72"/>
    <x v="2"/>
    <d v="2018-10-17T00:00:00"/>
    <s v="20181017"/>
    <s v="201842"/>
    <x v="8"/>
    <s v="2018"/>
    <n v="1"/>
  </r>
  <r>
    <x v="72"/>
    <x v="1"/>
    <d v="2018-11-02T00:00:00"/>
    <s v="20181102"/>
    <s v="201844"/>
    <x v="9"/>
    <s v="2018"/>
    <n v="19"/>
  </r>
  <r>
    <x v="72"/>
    <x v="2"/>
    <d v="2018-11-14T00:00:00"/>
    <s v="20181114"/>
    <s v="201846"/>
    <x v="9"/>
    <s v="2018"/>
    <n v="2"/>
  </r>
  <r>
    <x v="72"/>
    <x v="1"/>
    <d v="2018-12-03T00:00:00"/>
    <s v="20181203"/>
    <s v="201849"/>
    <x v="10"/>
    <s v="2018"/>
    <n v="3"/>
  </r>
  <r>
    <x v="73"/>
    <x v="3"/>
    <d v="2018-02-08T00:00:00"/>
    <s v="20180208"/>
    <s v="201806"/>
    <x v="0"/>
    <s v="2018"/>
    <n v="18"/>
  </r>
  <r>
    <x v="73"/>
    <x v="3"/>
    <d v="2018-03-06T00:00:00"/>
    <s v="20180306"/>
    <s v="201810"/>
    <x v="1"/>
    <s v="2018"/>
    <n v="22"/>
  </r>
  <r>
    <x v="73"/>
    <x v="3"/>
    <d v="2018-04-05T00:00:00"/>
    <s v="20180405"/>
    <s v="201814"/>
    <x v="2"/>
    <s v="2018"/>
    <n v="19"/>
  </r>
  <r>
    <x v="73"/>
    <x v="3"/>
    <d v="2018-05-03T00:00:00"/>
    <s v="20180503"/>
    <s v="201818"/>
    <x v="3"/>
    <s v="2018"/>
    <n v="18"/>
  </r>
  <r>
    <x v="73"/>
    <x v="3"/>
    <d v="2018-06-01T00:00:00"/>
    <s v="20180601"/>
    <s v="201822"/>
    <x v="4"/>
    <s v="2018"/>
    <n v="19"/>
  </r>
  <r>
    <x v="73"/>
    <x v="3"/>
    <d v="2018-07-09T00:00:00"/>
    <s v="20180709"/>
    <s v="201828"/>
    <x v="5"/>
    <s v="2018"/>
    <n v="16"/>
  </r>
  <r>
    <x v="73"/>
    <x v="3"/>
    <d v="2018-08-31T00:00:00"/>
    <s v="20180831"/>
    <s v="201835"/>
    <x v="6"/>
    <s v="2018"/>
    <n v="20"/>
  </r>
  <r>
    <x v="73"/>
    <x v="3"/>
    <d v="2018-09-11T00:00:00"/>
    <s v="20180911"/>
    <s v="201837"/>
    <x v="7"/>
    <s v="2018"/>
    <n v="18"/>
  </r>
  <r>
    <x v="73"/>
    <x v="3"/>
    <d v="2018-10-24T00:00:00"/>
    <s v="20181024"/>
    <s v="201843"/>
    <x v="8"/>
    <s v="2018"/>
    <n v="19"/>
  </r>
  <r>
    <x v="73"/>
    <x v="3"/>
    <d v="2018-11-05T00:00:00"/>
    <s v="20181105"/>
    <s v="201845"/>
    <x v="9"/>
    <s v="2018"/>
    <n v="21"/>
  </r>
  <r>
    <x v="73"/>
    <x v="3"/>
    <d v="2018-12-04T00:00:00"/>
    <s v="20181204"/>
    <s v="201849"/>
    <x v="10"/>
    <s v="2018"/>
    <n v="3.5"/>
  </r>
  <r>
    <x v="74"/>
    <x v="0"/>
    <d v="2018-07-09T00:00:00"/>
    <s v="20180709"/>
    <s v="201828"/>
    <x v="5"/>
    <s v="2018"/>
    <n v="17"/>
  </r>
  <r>
    <x v="74"/>
    <x v="0"/>
    <d v="2018-08-06T00:00:00"/>
    <s v="20180806"/>
    <s v="201832"/>
    <x v="6"/>
    <s v="2018"/>
    <n v="20"/>
  </r>
  <r>
    <x v="74"/>
    <x v="0"/>
    <d v="2018-09-03T00:00:00"/>
    <s v="20180903"/>
    <s v="201836"/>
    <x v="7"/>
    <s v="2018"/>
    <n v="20"/>
  </r>
  <r>
    <x v="74"/>
    <x v="0"/>
    <d v="2018-10-01T00:00:00"/>
    <s v="20181001"/>
    <s v="201840"/>
    <x v="8"/>
    <s v="2018"/>
    <n v="22"/>
  </r>
  <r>
    <x v="74"/>
    <x v="0"/>
    <d v="2018-11-05T00:00:00"/>
    <s v="20181105"/>
    <s v="201845"/>
    <x v="9"/>
    <s v="2018"/>
    <n v="20"/>
  </r>
  <r>
    <x v="75"/>
    <x v="1"/>
    <d v="2018-01-08T00:00:00"/>
    <s v="20180108"/>
    <s v="201802"/>
    <x v="11"/>
    <s v="2018"/>
    <n v="20.5"/>
  </r>
  <r>
    <x v="75"/>
    <x v="2"/>
    <d v="2018-01-15T00:00:00"/>
    <s v="20180115"/>
    <s v="201803"/>
    <x v="11"/>
    <s v="2018"/>
    <n v="0.5"/>
  </r>
  <r>
    <x v="75"/>
    <x v="1"/>
    <d v="2018-02-27T00:00:00"/>
    <s v="20180227"/>
    <s v="201809"/>
    <x v="0"/>
    <s v="2018"/>
    <n v="19.2"/>
  </r>
  <r>
    <x v="75"/>
    <x v="2"/>
    <d v="2018-02-01T00:00:00"/>
    <s v="20180201"/>
    <s v="201805"/>
    <x v="0"/>
    <s v="2018"/>
    <n v="0.3"/>
  </r>
  <r>
    <x v="75"/>
    <x v="1"/>
    <d v="2018-03-12T00:00:00"/>
    <s v="20180312"/>
    <s v="201811"/>
    <x v="1"/>
    <s v="2018"/>
    <n v="19.3"/>
  </r>
  <r>
    <x v="75"/>
    <x v="2"/>
    <d v="2018-03-19T00:00:00"/>
    <s v="20180319"/>
    <s v="201812"/>
    <x v="1"/>
    <s v="2018"/>
    <n v="0.7"/>
  </r>
  <r>
    <x v="75"/>
    <x v="1"/>
    <d v="2018-04-05T00:00:00"/>
    <s v="20180405"/>
    <s v="201814"/>
    <x v="2"/>
    <s v="2018"/>
    <n v="7.2"/>
  </r>
  <r>
    <x v="75"/>
    <x v="2"/>
    <d v="2018-04-04T00:00:00"/>
    <s v="20180404"/>
    <s v="201814"/>
    <x v="2"/>
    <s v="2018"/>
    <n v="1.8"/>
  </r>
  <r>
    <x v="75"/>
    <x v="1"/>
    <d v="2018-05-28T00:00:00"/>
    <s v="20180528"/>
    <s v="201822"/>
    <x v="3"/>
    <s v="2018"/>
    <n v="8.8000000000000007"/>
  </r>
  <r>
    <x v="75"/>
    <x v="2"/>
    <d v="2018-05-30T00:00:00"/>
    <s v="20180530"/>
    <s v="201822"/>
    <x v="3"/>
    <s v="2018"/>
    <n v="0.2"/>
  </r>
  <r>
    <x v="75"/>
    <x v="1"/>
    <d v="2018-06-11T00:00:00"/>
    <s v="20180611"/>
    <s v="201824"/>
    <x v="4"/>
    <s v="2018"/>
    <n v="20.3"/>
  </r>
  <r>
    <x v="75"/>
    <x v="2"/>
    <d v="2018-06-08T00:00:00"/>
    <s v="20180608"/>
    <s v="201823"/>
    <x v="4"/>
    <s v="2018"/>
    <n v="0.2"/>
  </r>
  <r>
    <x v="75"/>
    <x v="1"/>
    <d v="2018-07-02T00:00:00"/>
    <s v="20180702"/>
    <s v="201827"/>
    <x v="5"/>
    <s v="2018"/>
    <n v="20"/>
  </r>
  <r>
    <x v="75"/>
    <x v="1"/>
    <d v="2018-08-06T00:00:00"/>
    <s v="20180806"/>
    <s v="201832"/>
    <x v="6"/>
    <s v="2018"/>
    <n v="9"/>
  </r>
  <r>
    <x v="75"/>
    <x v="1"/>
    <d v="2018-09-10T00:00:00"/>
    <s v="20180910"/>
    <s v="201837"/>
    <x v="7"/>
    <s v="2018"/>
    <n v="18"/>
  </r>
  <r>
    <x v="75"/>
    <x v="1"/>
    <d v="2018-10-22T00:00:00"/>
    <s v="20181022"/>
    <s v="201843"/>
    <x v="8"/>
    <s v="2018"/>
    <n v="23"/>
  </r>
  <r>
    <x v="75"/>
    <x v="1"/>
    <d v="2018-11-02T00:00:00"/>
    <s v="20181102"/>
    <s v="201844"/>
    <x v="9"/>
    <s v="2018"/>
    <n v="18"/>
  </r>
  <r>
    <x v="76"/>
    <x v="1"/>
    <d v="2018-01-03T00:00:00"/>
    <s v="20180103"/>
    <s v="201801"/>
    <x v="11"/>
    <s v="2018"/>
    <n v="21"/>
  </r>
  <r>
    <x v="76"/>
    <x v="1"/>
    <d v="2018-02-01T00:00:00"/>
    <s v="20180201"/>
    <s v="201805"/>
    <x v="0"/>
    <s v="2018"/>
    <n v="20"/>
  </r>
  <r>
    <x v="76"/>
    <x v="1"/>
    <d v="2018-03-01T00:00:00"/>
    <s v="20180301"/>
    <s v="201809"/>
    <x v="1"/>
    <s v="2018"/>
    <n v="20.5"/>
  </r>
  <r>
    <x v="76"/>
    <x v="1"/>
    <d v="2018-04-03T00:00:00"/>
    <s v="20180403"/>
    <s v="201814"/>
    <x v="2"/>
    <s v="2018"/>
    <n v="19"/>
  </r>
  <r>
    <x v="76"/>
    <x v="1"/>
    <d v="2018-05-02T00:00:00"/>
    <s v="20180502"/>
    <s v="201818"/>
    <x v="3"/>
    <s v="2018"/>
    <n v="17.5"/>
  </r>
  <r>
    <x v="76"/>
    <x v="1"/>
    <d v="2018-06-01T00:00:00"/>
    <s v="20180601"/>
    <s v="201822"/>
    <x v="4"/>
    <s v="2018"/>
    <n v="18.5"/>
  </r>
  <r>
    <x v="76"/>
    <x v="1"/>
    <d v="2018-07-02T00:00:00"/>
    <s v="20180702"/>
    <s v="201827"/>
    <x v="5"/>
    <s v="2018"/>
    <n v="20"/>
  </r>
  <r>
    <x v="76"/>
    <x v="1"/>
    <d v="2018-08-01T00:00:00"/>
    <s v="20180801"/>
    <s v="201831"/>
    <x v="6"/>
    <s v="2018"/>
    <n v="16"/>
  </r>
  <r>
    <x v="76"/>
    <x v="1"/>
    <d v="2018-09-03T00:00:00"/>
    <s v="20180903"/>
    <s v="201836"/>
    <x v="7"/>
    <s v="2018"/>
    <n v="18"/>
  </r>
  <r>
    <x v="76"/>
    <x v="1"/>
    <d v="2018-10-01T00:00:00"/>
    <s v="20181001"/>
    <s v="201840"/>
    <x v="8"/>
    <s v="2018"/>
    <n v="8"/>
  </r>
  <r>
    <x v="77"/>
    <x v="1"/>
    <d v="2018-01-09T00:00:00"/>
    <s v="20180109"/>
    <s v="201802"/>
    <x v="11"/>
    <s v="2018"/>
    <n v="1"/>
  </r>
  <r>
    <x v="77"/>
    <x v="2"/>
    <d v="2018-01-08T00:00:00"/>
    <s v="20180108"/>
    <s v="201802"/>
    <x v="11"/>
    <s v="2018"/>
    <n v="0.5"/>
  </r>
  <r>
    <x v="77"/>
    <x v="0"/>
    <d v="2018-01-30T00:00:00"/>
    <s v="20180130"/>
    <s v="201805"/>
    <x v="11"/>
    <s v="2018"/>
    <n v="1"/>
  </r>
  <r>
    <x v="77"/>
    <x v="1"/>
    <d v="2018-02-06T00:00:00"/>
    <s v="20180206"/>
    <s v="201806"/>
    <x v="0"/>
    <s v="2018"/>
    <n v="1"/>
  </r>
  <r>
    <x v="77"/>
    <x v="0"/>
    <d v="2018-02-02T00:00:00"/>
    <s v="20180202"/>
    <s v="201805"/>
    <x v="0"/>
    <s v="2018"/>
    <n v="1"/>
  </r>
  <r>
    <x v="77"/>
    <x v="1"/>
    <d v="2018-03-08T00:00:00"/>
    <s v="20180308"/>
    <s v="201810"/>
    <x v="1"/>
    <s v="2018"/>
    <n v="3"/>
  </r>
  <r>
    <x v="77"/>
    <x v="0"/>
    <d v="2018-03-06T00:00:00"/>
    <s v="20180306"/>
    <s v="201810"/>
    <x v="1"/>
    <s v="2018"/>
    <n v="2"/>
  </r>
  <r>
    <x v="77"/>
    <x v="1"/>
    <d v="2018-04-12T00:00:00"/>
    <s v="20180412"/>
    <s v="201815"/>
    <x v="2"/>
    <s v="2018"/>
    <n v="0.5"/>
  </r>
  <r>
    <x v="77"/>
    <x v="0"/>
    <d v="2018-04-09T00:00:00"/>
    <s v="20180409"/>
    <s v="201815"/>
    <x v="2"/>
    <s v="2018"/>
    <n v="0.5"/>
  </r>
  <r>
    <x v="77"/>
    <x v="1"/>
    <d v="2018-05-24T00:00:00"/>
    <s v="20180524"/>
    <s v="201821"/>
    <x v="3"/>
    <s v="2018"/>
    <n v="0.5"/>
  </r>
  <r>
    <x v="77"/>
    <x v="0"/>
    <d v="2018-05-02T00:00:00"/>
    <s v="20180502"/>
    <s v="201818"/>
    <x v="3"/>
    <s v="2018"/>
    <n v="0.5"/>
  </r>
  <r>
    <x v="77"/>
    <x v="1"/>
    <d v="2018-06-01T00:00:00"/>
    <s v="20180601"/>
    <s v="201822"/>
    <x v="4"/>
    <s v="2018"/>
    <n v="2"/>
  </r>
  <r>
    <x v="77"/>
    <x v="2"/>
    <d v="2018-09-03T00:00:00"/>
    <s v="20180903"/>
    <s v="201836"/>
    <x v="7"/>
    <s v="2018"/>
    <n v="1.5"/>
  </r>
  <r>
    <x v="77"/>
    <x v="2"/>
    <d v="2018-10-01T00:00:00"/>
    <s v="20181001"/>
    <s v="201840"/>
    <x v="8"/>
    <s v="2018"/>
    <n v="3.5"/>
  </r>
  <r>
    <x v="77"/>
    <x v="1"/>
    <d v="2018-11-05T00:00:00"/>
    <s v="20181105"/>
    <s v="201845"/>
    <x v="9"/>
    <s v="2018"/>
    <n v="1"/>
  </r>
  <r>
    <x v="77"/>
    <x v="0"/>
    <d v="2018-11-13T00:00:00"/>
    <s v="20181113"/>
    <s v="201846"/>
    <x v="9"/>
    <s v="2018"/>
    <n v="0.5"/>
  </r>
  <r>
    <x v="78"/>
    <x v="0"/>
    <d v="2018-01-17T00:00:00"/>
    <s v="20180117"/>
    <s v="201803"/>
    <x v="11"/>
    <s v="2018"/>
    <n v="6"/>
  </r>
  <r>
    <x v="78"/>
    <x v="0"/>
    <d v="2018-02-02T00:00:00"/>
    <s v="20180202"/>
    <s v="201805"/>
    <x v="0"/>
    <s v="2018"/>
    <n v="11"/>
  </r>
  <r>
    <x v="78"/>
    <x v="0"/>
    <d v="2018-03-06T00:00:00"/>
    <s v="20180306"/>
    <s v="201810"/>
    <x v="1"/>
    <s v="2018"/>
    <n v="16"/>
  </r>
  <r>
    <x v="78"/>
    <x v="0"/>
    <d v="2018-04-03T00:00:00"/>
    <s v="20180403"/>
    <s v="201814"/>
    <x v="2"/>
    <s v="2018"/>
    <n v="19"/>
  </r>
  <r>
    <x v="78"/>
    <x v="0"/>
    <d v="2018-05-02T00:00:00"/>
    <s v="20180502"/>
    <s v="201818"/>
    <x v="3"/>
    <s v="2018"/>
    <n v="15.5"/>
  </r>
  <r>
    <x v="78"/>
    <x v="0"/>
    <d v="2018-06-18T00:00:00"/>
    <s v="20180618"/>
    <s v="201825"/>
    <x v="4"/>
    <s v="2018"/>
    <n v="20"/>
  </r>
  <r>
    <x v="78"/>
    <x v="0"/>
    <d v="2018-07-02T00:00:00"/>
    <s v="20180702"/>
    <s v="201827"/>
    <x v="5"/>
    <s v="2018"/>
    <n v="22"/>
  </r>
  <r>
    <x v="78"/>
    <x v="0"/>
    <d v="2018-08-30T00:00:00"/>
    <s v="20180830"/>
    <s v="201835"/>
    <x v="6"/>
    <s v="2018"/>
    <n v="22"/>
  </r>
  <r>
    <x v="78"/>
    <x v="0"/>
    <d v="2018-09-03T00:00:00"/>
    <s v="20180903"/>
    <s v="201836"/>
    <x v="7"/>
    <s v="2018"/>
    <n v="10"/>
  </r>
  <r>
    <x v="78"/>
    <x v="0"/>
    <d v="2018-10-15T00:00:00"/>
    <s v="20181015"/>
    <s v="201842"/>
    <x v="8"/>
    <s v="2018"/>
    <n v="21"/>
  </r>
  <r>
    <x v="78"/>
    <x v="0"/>
    <d v="2018-11-07T00:00:00"/>
    <s v="20181107"/>
    <s v="201845"/>
    <x v="9"/>
    <s v="2018"/>
    <n v="20"/>
  </r>
  <r>
    <x v="78"/>
    <x v="0"/>
    <d v="2018-12-03T00:00:00"/>
    <s v="20181203"/>
    <s v="201849"/>
    <x v="10"/>
    <s v="2018"/>
    <n v="3"/>
  </r>
  <r>
    <x v="79"/>
    <x v="1"/>
    <d v="2018-01-08T00:00:00"/>
    <s v="20180108"/>
    <s v="201802"/>
    <x v="11"/>
    <s v="2018"/>
    <n v="14"/>
  </r>
  <r>
    <x v="79"/>
    <x v="1"/>
    <d v="2018-02-28T00:00:00"/>
    <s v="20180228"/>
    <s v="201809"/>
    <x v="0"/>
    <s v="2018"/>
    <n v="14"/>
  </r>
  <r>
    <x v="79"/>
    <x v="1"/>
    <d v="2018-03-12T00:00:00"/>
    <s v="20180312"/>
    <s v="201811"/>
    <x v="1"/>
    <s v="2018"/>
    <n v="13"/>
  </r>
  <r>
    <x v="79"/>
    <x v="1"/>
    <d v="2018-04-03T00:00:00"/>
    <s v="20180403"/>
    <s v="201814"/>
    <x v="2"/>
    <s v="2018"/>
    <n v="13"/>
  </r>
  <r>
    <x v="79"/>
    <x v="1"/>
    <d v="2018-05-14T00:00:00"/>
    <s v="20180514"/>
    <s v="201820"/>
    <x v="3"/>
    <s v="2018"/>
    <n v="7"/>
  </r>
  <r>
    <x v="79"/>
    <x v="1"/>
    <d v="2018-06-11T00:00:00"/>
    <s v="20180611"/>
    <s v="201824"/>
    <x v="4"/>
    <s v="2018"/>
    <n v="10"/>
  </r>
  <r>
    <x v="79"/>
    <x v="1"/>
    <d v="2018-07-09T00:00:00"/>
    <s v="20180709"/>
    <s v="201828"/>
    <x v="5"/>
    <s v="2018"/>
    <n v="10"/>
  </r>
  <r>
    <x v="79"/>
    <x v="1"/>
    <d v="2018-08-06T00:00:00"/>
    <s v="20180806"/>
    <s v="201832"/>
    <x v="6"/>
    <s v="2018"/>
    <n v="16"/>
  </r>
  <r>
    <x v="79"/>
    <x v="1"/>
    <d v="2018-09-03T00:00:00"/>
    <s v="20180903"/>
    <s v="201836"/>
    <x v="7"/>
    <s v="2018"/>
    <n v="12"/>
  </r>
  <r>
    <x v="79"/>
    <x v="1"/>
    <d v="2018-10-08T00:00:00"/>
    <s v="20181008"/>
    <s v="201841"/>
    <x v="8"/>
    <s v="2018"/>
    <n v="17"/>
  </r>
  <r>
    <x v="79"/>
    <x v="1"/>
    <d v="2018-11-05T00:00:00"/>
    <s v="20181105"/>
    <s v="201845"/>
    <x v="9"/>
    <s v="2018"/>
    <n v="15"/>
  </r>
  <r>
    <x v="80"/>
    <x v="1"/>
    <d v="2018-10-01T00:00:00"/>
    <s v="20181001"/>
    <s v="201840"/>
    <x v="8"/>
    <s v="2018"/>
    <n v="23"/>
  </r>
  <r>
    <x v="80"/>
    <x v="1"/>
    <d v="2018-11-02T00:00:00"/>
    <s v="20181102"/>
    <s v="201844"/>
    <x v="9"/>
    <s v="2018"/>
    <n v="20"/>
  </r>
  <r>
    <x v="81"/>
    <x v="0"/>
    <d v="2018-09-19T00:00:00"/>
    <s v="20180919"/>
    <s v="201838"/>
    <x v="7"/>
    <s v="2018"/>
    <n v="0.5"/>
  </r>
  <r>
    <x v="82"/>
    <x v="0"/>
    <d v="2017-11-13T00:00:00"/>
    <s v="20171113"/>
    <s v="201746"/>
    <x v="13"/>
    <s v="2017"/>
    <n v="5"/>
  </r>
  <r>
    <x v="82"/>
    <x v="0"/>
    <d v="2017-12-04T00:00:00"/>
    <s v="20171204"/>
    <s v="201749"/>
    <x v="14"/>
    <s v="2017"/>
    <n v="4"/>
  </r>
  <r>
    <x v="82"/>
    <x v="0"/>
    <d v="2018-01-08T00:00:00"/>
    <s v="20180108"/>
    <s v="201802"/>
    <x v="11"/>
    <s v="2018"/>
    <n v="18"/>
  </r>
  <r>
    <x v="82"/>
    <x v="0"/>
    <d v="2018-02-01T00:00:00"/>
    <s v="20180201"/>
    <s v="201805"/>
    <x v="0"/>
    <s v="2018"/>
    <n v="13"/>
  </r>
  <r>
    <x v="82"/>
    <x v="0"/>
    <d v="2018-03-29T00:00:00"/>
    <s v="20180329"/>
    <s v="201813"/>
    <x v="1"/>
    <s v="2018"/>
    <n v="17"/>
  </r>
  <r>
    <x v="82"/>
    <x v="0"/>
    <d v="2018-04-23T00:00:00"/>
    <s v="20180423"/>
    <s v="201817"/>
    <x v="2"/>
    <s v="2018"/>
    <n v="12.5"/>
  </r>
  <r>
    <x v="82"/>
    <x v="0"/>
    <d v="2018-05-15T00:00:00"/>
    <s v="20180515"/>
    <s v="201820"/>
    <x v="3"/>
    <s v="2018"/>
    <n v="17.5"/>
  </r>
  <r>
    <x v="82"/>
    <x v="0"/>
    <d v="2018-06-05T00:00:00"/>
    <s v="20180605"/>
    <s v="201823"/>
    <x v="4"/>
    <s v="2018"/>
    <n v="17.5"/>
  </r>
  <r>
    <x v="82"/>
    <x v="0"/>
    <d v="2018-07-03T00:00:00"/>
    <s v="20180703"/>
    <s v="201827"/>
    <x v="5"/>
    <s v="2018"/>
    <n v="14.5"/>
  </r>
  <r>
    <x v="82"/>
    <x v="0"/>
    <d v="2018-08-01T00:00:00"/>
    <s v="20180801"/>
    <s v="201831"/>
    <x v="6"/>
    <s v="2018"/>
    <n v="17"/>
  </r>
  <r>
    <x v="82"/>
    <x v="0"/>
    <d v="2018-09-27T00:00:00"/>
    <s v="20180927"/>
    <s v="201839"/>
    <x v="7"/>
    <s v="2018"/>
    <n v="17.5"/>
  </r>
  <r>
    <x v="82"/>
    <x v="0"/>
    <d v="2018-10-03T00:00:00"/>
    <s v="20181003"/>
    <s v="201840"/>
    <x v="8"/>
    <s v="2018"/>
    <n v="15.5"/>
  </r>
  <r>
    <x v="82"/>
    <x v="0"/>
    <d v="2018-11-02T00:00:00"/>
    <s v="20181102"/>
    <s v="201844"/>
    <x v="9"/>
    <s v="2018"/>
    <n v="4"/>
  </r>
  <r>
    <x v="83"/>
    <x v="0"/>
    <d v="2018-01-29T00:00:00"/>
    <s v="20180129"/>
    <s v="201805"/>
    <x v="11"/>
    <s v="2018"/>
    <n v="2"/>
  </r>
  <r>
    <x v="83"/>
    <x v="0"/>
    <d v="2018-02-15T00:00:00"/>
    <s v="20180215"/>
    <s v="201807"/>
    <x v="0"/>
    <s v="2018"/>
    <n v="1"/>
  </r>
  <r>
    <x v="83"/>
    <x v="0"/>
    <d v="2018-03-05T00:00:00"/>
    <s v="20180305"/>
    <s v="201810"/>
    <x v="1"/>
    <s v="2018"/>
    <n v="16.5"/>
  </r>
  <r>
    <x v="83"/>
    <x v="0"/>
    <d v="2018-04-04T00:00:00"/>
    <s v="20180404"/>
    <s v="201814"/>
    <x v="2"/>
    <s v="2018"/>
    <n v="19"/>
  </r>
  <r>
    <x v="83"/>
    <x v="0"/>
    <d v="2018-05-03T00:00:00"/>
    <s v="20180503"/>
    <s v="201818"/>
    <x v="3"/>
    <s v="2018"/>
    <n v="13"/>
  </r>
  <r>
    <x v="84"/>
    <x v="0"/>
    <d v="2018-09-04T00:00:00"/>
    <s v="20180904"/>
    <s v="201836"/>
    <x v="7"/>
    <s v="2018"/>
    <n v="19"/>
  </r>
  <r>
    <x v="84"/>
    <x v="0"/>
    <d v="2018-10-01T00:00:00"/>
    <s v="20181001"/>
    <s v="201840"/>
    <x v="8"/>
    <s v="2018"/>
    <n v="22.5"/>
  </r>
  <r>
    <x v="84"/>
    <x v="0"/>
    <d v="2018-11-02T00:00:00"/>
    <s v="20181102"/>
    <s v="201844"/>
    <x v="9"/>
    <s v="2018"/>
    <n v="21"/>
  </r>
  <r>
    <x v="84"/>
    <x v="0"/>
    <d v="2018-12-03T00:00:00"/>
    <s v="20181203"/>
    <s v="201849"/>
    <x v="10"/>
    <s v="2018"/>
    <n v="1.85"/>
  </r>
  <r>
    <x v="85"/>
    <x v="0"/>
    <d v="2018-03-19T00:00:00"/>
    <s v="20180319"/>
    <s v="201812"/>
    <x v="1"/>
    <s v="2018"/>
    <n v="10"/>
  </r>
  <r>
    <x v="85"/>
    <x v="0"/>
    <d v="2018-04-03T00:00:00"/>
    <s v="20180403"/>
    <s v="201814"/>
    <x v="2"/>
    <s v="2018"/>
    <n v="19.5"/>
  </r>
  <r>
    <x v="85"/>
    <x v="0"/>
    <d v="2018-05-02T00:00:00"/>
    <s v="20180502"/>
    <s v="201818"/>
    <x v="3"/>
    <s v="2018"/>
    <n v="19"/>
  </r>
  <r>
    <x v="85"/>
    <x v="0"/>
    <d v="2018-06-01T00:00:00"/>
    <s v="20180601"/>
    <s v="201822"/>
    <x v="4"/>
    <s v="2018"/>
    <n v="21"/>
  </r>
  <r>
    <x v="85"/>
    <x v="0"/>
    <d v="2018-07-02T00:00:00"/>
    <s v="20180702"/>
    <s v="201827"/>
    <x v="5"/>
    <s v="2018"/>
    <n v="20"/>
  </r>
  <r>
    <x v="85"/>
    <x v="0"/>
    <d v="2018-08-01T00:00:00"/>
    <s v="20180801"/>
    <s v="201831"/>
    <x v="6"/>
    <s v="2018"/>
    <n v="20.5"/>
  </r>
  <r>
    <x v="85"/>
    <x v="0"/>
    <d v="2018-09-03T00:00:00"/>
    <s v="20180903"/>
    <s v="201836"/>
    <x v="7"/>
    <s v="2018"/>
    <n v="17.25"/>
  </r>
  <r>
    <x v="85"/>
    <x v="0"/>
    <d v="2018-10-01T00:00:00"/>
    <s v="20181001"/>
    <s v="201840"/>
    <x v="8"/>
    <s v="2018"/>
    <n v="18.75"/>
  </r>
  <r>
    <x v="85"/>
    <x v="0"/>
    <d v="2018-11-02T00:00:00"/>
    <s v="20181102"/>
    <s v="201844"/>
    <x v="9"/>
    <s v="2018"/>
    <n v="19.5"/>
  </r>
  <r>
    <x v="86"/>
    <x v="0"/>
    <d v="2018-06-25T00:00:00"/>
    <s v="20180625"/>
    <s v="201826"/>
    <x v="4"/>
    <s v="2018"/>
    <n v="5"/>
  </r>
  <r>
    <x v="86"/>
    <x v="0"/>
    <d v="2018-07-02T00:00:00"/>
    <s v="20180702"/>
    <s v="201827"/>
    <x v="5"/>
    <s v="2018"/>
    <n v="22"/>
  </r>
  <r>
    <x v="86"/>
    <x v="0"/>
    <d v="2018-08-02T00:00:00"/>
    <s v="20180802"/>
    <s v="201831"/>
    <x v="6"/>
    <s v="2018"/>
    <n v="22"/>
  </r>
  <r>
    <x v="86"/>
    <x v="0"/>
    <d v="2018-09-24T00:00:00"/>
    <s v="20180924"/>
    <s v="201839"/>
    <x v="7"/>
    <s v="2018"/>
    <n v="5"/>
  </r>
  <r>
    <x v="86"/>
    <x v="0"/>
    <d v="2018-10-01T00:00:00"/>
    <s v="20181001"/>
    <s v="201840"/>
    <x v="8"/>
    <s v="2018"/>
    <n v="23"/>
  </r>
  <r>
    <x v="86"/>
    <x v="0"/>
    <d v="2018-11-05T00:00:00"/>
    <s v="20181105"/>
    <s v="201845"/>
    <x v="9"/>
    <s v="2018"/>
    <n v="20"/>
  </r>
  <r>
    <x v="87"/>
    <x v="1"/>
    <d v="2018-02-23T00:00:00"/>
    <s v="20180223"/>
    <s v="201808"/>
    <x v="0"/>
    <s v="2018"/>
    <n v="2"/>
  </r>
  <r>
    <x v="87"/>
    <x v="1"/>
    <d v="2018-03-01T00:00:00"/>
    <s v="20180301"/>
    <s v="201809"/>
    <x v="1"/>
    <s v="2018"/>
    <n v="11.5"/>
  </r>
  <r>
    <x v="87"/>
    <x v="1"/>
    <d v="2018-04-04T00:00:00"/>
    <s v="20180404"/>
    <s v="201814"/>
    <x v="2"/>
    <s v="2018"/>
    <n v="10.5"/>
  </r>
  <r>
    <x v="87"/>
    <x v="1"/>
    <d v="2018-05-07T00:00:00"/>
    <s v="20180507"/>
    <s v="201819"/>
    <x v="3"/>
    <s v="2018"/>
    <n v="7"/>
  </r>
  <r>
    <x v="87"/>
    <x v="1"/>
    <d v="2018-06-01T00:00:00"/>
    <s v="20180601"/>
    <s v="201822"/>
    <x v="4"/>
    <s v="2018"/>
    <n v="11"/>
  </r>
  <r>
    <x v="87"/>
    <x v="1"/>
    <d v="2018-07-04T00:00:00"/>
    <s v="20180704"/>
    <s v="201827"/>
    <x v="5"/>
    <s v="2018"/>
    <n v="11"/>
  </r>
  <r>
    <x v="87"/>
    <x v="1"/>
    <d v="2018-08-03T00:00:00"/>
    <s v="20180803"/>
    <s v="201831"/>
    <x v="6"/>
    <s v="2018"/>
    <n v="3.5"/>
  </r>
  <r>
    <x v="87"/>
    <x v="1"/>
    <d v="2018-09-03T00:00:00"/>
    <s v="20180903"/>
    <s v="201836"/>
    <x v="7"/>
    <s v="2018"/>
    <n v="9.5"/>
  </r>
  <r>
    <x v="87"/>
    <x v="1"/>
    <d v="2018-10-01T00:00:00"/>
    <s v="20181001"/>
    <s v="201840"/>
    <x v="8"/>
    <s v="2018"/>
    <n v="13"/>
  </r>
  <r>
    <x v="87"/>
    <x v="1"/>
    <d v="2018-11-05T00:00:00"/>
    <s v="20181105"/>
    <s v="201845"/>
    <x v="9"/>
    <s v="2018"/>
    <n v="9"/>
  </r>
  <r>
    <x v="88"/>
    <x v="1"/>
    <d v="2018-05-15T00:00:00"/>
    <s v="20180515"/>
    <s v="201820"/>
    <x v="3"/>
    <s v="2018"/>
    <n v="0.3"/>
  </r>
  <r>
    <x v="88"/>
    <x v="1"/>
    <d v="2018-07-25T00:00:00"/>
    <s v="20180725"/>
    <s v="201830"/>
    <x v="5"/>
    <s v="2018"/>
    <n v="0.2"/>
  </r>
  <r>
    <x v="89"/>
    <x v="1"/>
    <d v="2018-01-25T00:00:00"/>
    <s v="20180125"/>
    <s v="201804"/>
    <x v="11"/>
    <s v="2018"/>
    <n v="18.850000000000001"/>
  </r>
  <r>
    <x v="89"/>
    <x v="2"/>
    <d v="2018-01-03T00:00:00"/>
    <s v="20180103"/>
    <s v="201801"/>
    <x v="11"/>
    <s v="2018"/>
    <n v="2.15"/>
  </r>
  <r>
    <x v="89"/>
    <x v="1"/>
    <d v="2018-02-21T00:00:00"/>
    <s v="20180221"/>
    <s v="201808"/>
    <x v="0"/>
    <s v="2018"/>
    <n v="16.149999999999999"/>
  </r>
  <r>
    <x v="89"/>
    <x v="2"/>
    <d v="2018-02-26T00:00:00"/>
    <s v="20180226"/>
    <s v="201809"/>
    <x v="0"/>
    <s v="2018"/>
    <n v="0.6"/>
  </r>
  <r>
    <x v="89"/>
    <x v="1"/>
    <d v="2018-03-07T00:00:00"/>
    <s v="20180307"/>
    <s v="201810"/>
    <x v="1"/>
    <s v="2018"/>
    <n v="15.95"/>
  </r>
  <r>
    <x v="89"/>
    <x v="2"/>
    <d v="2018-03-01T00:00:00"/>
    <s v="20180301"/>
    <s v="201809"/>
    <x v="1"/>
    <s v="2018"/>
    <n v="4.05"/>
  </r>
  <r>
    <x v="89"/>
    <x v="1"/>
    <d v="2018-04-11T00:00:00"/>
    <s v="20180411"/>
    <s v="201815"/>
    <x v="2"/>
    <s v="2018"/>
    <n v="17.5"/>
  </r>
  <r>
    <x v="89"/>
    <x v="2"/>
    <d v="2018-04-11T00:00:00"/>
    <s v="20180411"/>
    <s v="201815"/>
    <x v="2"/>
    <s v="2018"/>
    <n v="0.5"/>
  </r>
  <r>
    <x v="89"/>
    <x v="1"/>
    <d v="2018-05-22T00:00:00"/>
    <s v="20180522"/>
    <s v="201821"/>
    <x v="3"/>
    <s v="2018"/>
    <n v="6.1"/>
  </r>
  <r>
    <x v="89"/>
    <x v="2"/>
    <d v="2018-05-22T00:00:00"/>
    <s v="20180522"/>
    <s v="201821"/>
    <x v="3"/>
    <s v="2018"/>
    <n v="0.9"/>
  </r>
  <r>
    <x v="89"/>
    <x v="1"/>
    <d v="2018-06-04T00:00:00"/>
    <s v="20180604"/>
    <s v="201823"/>
    <x v="4"/>
    <s v="2018"/>
    <n v="17.5"/>
  </r>
  <r>
    <x v="89"/>
    <x v="2"/>
    <d v="2018-06-22T00:00:00"/>
    <s v="20180622"/>
    <s v="201825"/>
    <x v="4"/>
    <s v="2018"/>
    <n v="1.5"/>
  </r>
  <r>
    <x v="89"/>
    <x v="1"/>
    <d v="2018-07-09T00:00:00"/>
    <s v="20180709"/>
    <s v="201828"/>
    <x v="5"/>
    <s v="2018"/>
    <n v="20"/>
  </r>
  <r>
    <x v="89"/>
    <x v="2"/>
    <d v="2018-07-05T00:00:00"/>
    <s v="20180705"/>
    <s v="201827"/>
    <x v="5"/>
    <s v="2018"/>
    <n v="1.5"/>
  </r>
  <r>
    <x v="89"/>
    <x v="1"/>
    <d v="2018-08-13T00:00:00"/>
    <s v="20180813"/>
    <s v="201833"/>
    <x v="6"/>
    <s v="2018"/>
    <n v="20.5"/>
  </r>
  <r>
    <x v="89"/>
    <x v="2"/>
    <d v="2018-08-01T00:00:00"/>
    <s v="20180801"/>
    <s v="201831"/>
    <x v="6"/>
    <s v="2018"/>
    <n v="1.5"/>
  </r>
  <r>
    <x v="89"/>
    <x v="1"/>
    <d v="2018-09-17T00:00:00"/>
    <s v="20180917"/>
    <s v="201838"/>
    <x v="7"/>
    <s v="2018"/>
    <n v="10"/>
  </r>
  <r>
    <x v="89"/>
    <x v="2"/>
    <d v="2018-09-17T00:00:00"/>
    <s v="20180917"/>
    <s v="201838"/>
    <x v="7"/>
    <s v="2018"/>
    <n v="2"/>
  </r>
  <r>
    <x v="89"/>
    <x v="1"/>
    <d v="2018-10-09T00:00:00"/>
    <s v="20181009"/>
    <s v="201841"/>
    <x v="8"/>
    <s v="2018"/>
    <n v="18.899999999999999"/>
  </r>
  <r>
    <x v="89"/>
    <x v="2"/>
    <d v="2018-10-19T00:00:00"/>
    <s v="20181019"/>
    <s v="201842"/>
    <x v="8"/>
    <s v="2018"/>
    <n v="1.1000000000000001"/>
  </r>
  <r>
    <x v="89"/>
    <x v="1"/>
    <d v="2018-11-13T00:00:00"/>
    <s v="20181113"/>
    <s v="201846"/>
    <x v="9"/>
    <s v="2018"/>
    <n v="19.05"/>
  </r>
  <r>
    <x v="89"/>
    <x v="2"/>
    <d v="2018-11-08T00:00:00"/>
    <s v="20181108"/>
    <s v="201845"/>
    <x v="9"/>
    <s v="2018"/>
    <n v="1.45"/>
  </r>
  <r>
    <x v="90"/>
    <x v="0"/>
    <d v="2018-01-08T00:00:00"/>
    <s v="20180108"/>
    <s v="201802"/>
    <x v="11"/>
    <s v="2018"/>
    <n v="15"/>
  </r>
  <r>
    <x v="90"/>
    <x v="0"/>
    <d v="2018-02-05T00:00:00"/>
    <s v="20180205"/>
    <s v="201806"/>
    <x v="0"/>
    <s v="2018"/>
    <n v="18"/>
  </r>
  <r>
    <x v="90"/>
    <x v="0"/>
    <d v="2018-03-01T00:00:00"/>
    <s v="20180301"/>
    <s v="201809"/>
    <x v="1"/>
    <s v="2018"/>
    <n v="22"/>
  </r>
  <r>
    <x v="90"/>
    <x v="0"/>
    <d v="2018-04-03T00:00:00"/>
    <s v="20180403"/>
    <s v="201814"/>
    <x v="2"/>
    <s v="2018"/>
    <n v="20"/>
  </r>
  <r>
    <x v="90"/>
    <x v="0"/>
    <d v="2018-05-02T00:00:00"/>
    <s v="20180502"/>
    <s v="201818"/>
    <x v="3"/>
    <s v="2018"/>
    <n v="18"/>
  </r>
  <r>
    <x v="90"/>
    <x v="0"/>
    <d v="2018-06-01T00:00:00"/>
    <s v="20180601"/>
    <s v="201822"/>
    <x v="4"/>
    <s v="2018"/>
    <n v="21"/>
  </r>
  <r>
    <x v="90"/>
    <x v="0"/>
    <d v="2018-07-02T00:00:00"/>
    <s v="20180702"/>
    <s v="201827"/>
    <x v="5"/>
    <s v="2018"/>
    <n v="22"/>
  </r>
  <r>
    <x v="90"/>
    <x v="0"/>
    <d v="2018-08-01T00:00:00"/>
    <s v="20180801"/>
    <s v="201831"/>
    <x v="6"/>
    <s v="2018"/>
    <n v="11"/>
  </r>
  <r>
    <x v="90"/>
    <x v="0"/>
    <d v="2018-09-03T00:00:00"/>
    <s v="20180903"/>
    <s v="201836"/>
    <x v="7"/>
    <s v="2018"/>
    <n v="20"/>
  </r>
  <r>
    <x v="90"/>
    <x v="0"/>
    <d v="2018-10-01T00:00:00"/>
    <s v="20181001"/>
    <s v="201840"/>
    <x v="8"/>
    <s v="2018"/>
    <n v="23"/>
  </r>
  <r>
    <x v="90"/>
    <x v="0"/>
    <d v="2018-11-05T00:00:00"/>
    <s v="20181105"/>
    <s v="201845"/>
    <x v="9"/>
    <s v="2018"/>
    <n v="19.5"/>
  </r>
  <r>
    <x v="90"/>
    <x v="0"/>
    <d v="2018-12-03T00:00:00"/>
    <s v="20181203"/>
    <s v="201849"/>
    <x v="10"/>
    <s v="2018"/>
    <n v="2"/>
  </r>
  <r>
    <x v="91"/>
    <x v="1"/>
    <d v="2018-07-23T00:00:00"/>
    <s v="20180723"/>
    <s v="201830"/>
    <x v="5"/>
    <s v="2018"/>
    <n v="7"/>
  </r>
  <r>
    <x v="91"/>
    <x v="1"/>
    <d v="2018-08-01T00:00:00"/>
    <s v="20180801"/>
    <s v="201831"/>
    <x v="6"/>
    <s v="2018"/>
    <n v="20.5"/>
  </r>
  <r>
    <x v="91"/>
    <x v="1"/>
    <d v="2018-09-13T00:00:00"/>
    <s v="20180913"/>
    <s v="201837"/>
    <x v="7"/>
    <s v="2018"/>
    <n v="17"/>
  </r>
  <r>
    <x v="91"/>
    <x v="2"/>
    <d v="2018-09-20T00:00:00"/>
    <s v="20180920"/>
    <s v="201838"/>
    <x v="7"/>
    <s v="2018"/>
    <n v="3"/>
  </r>
  <r>
    <x v="91"/>
    <x v="1"/>
    <d v="2018-10-23T00:00:00"/>
    <s v="20181023"/>
    <s v="201843"/>
    <x v="8"/>
    <s v="2018"/>
    <n v="12.75"/>
  </r>
  <r>
    <x v="91"/>
    <x v="2"/>
    <d v="2018-10-04T00:00:00"/>
    <s v="20181004"/>
    <s v="201840"/>
    <x v="8"/>
    <s v="2018"/>
    <n v="8.25"/>
  </r>
  <r>
    <x v="91"/>
    <x v="1"/>
    <d v="2018-11-15T00:00:00"/>
    <s v="20181115"/>
    <s v="201846"/>
    <x v="9"/>
    <s v="2018"/>
    <n v="14.25"/>
  </r>
  <r>
    <x v="91"/>
    <x v="2"/>
    <d v="2018-11-08T00:00:00"/>
    <s v="20181108"/>
    <s v="201845"/>
    <x v="9"/>
    <s v="2018"/>
    <n v="5.75"/>
  </r>
  <r>
    <x v="92"/>
    <x v="1"/>
    <d v="2018-01-08T00:00:00"/>
    <s v="20180108"/>
    <s v="201802"/>
    <x v="11"/>
    <s v="2018"/>
    <n v="18.7"/>
  </r>
  <r>
    <x v="92"/>
    <x v="2"/>
    <d v="2018-01-09T00:00:00"/>
    <s v="20180109"/>
    <s v="201802"/>
    <x v="11"/>
    <s v="2018"/>
    <n v="2.2999999999999998"/>
  </r>
  <r>
    <x v="92"/>
    <x v="1"/>
    <d v="2018-02-06T00:00:00"/>
    <s v="20180206"/>
    <s v="201806"/>
    <x v="0"/>
    <s v="2018"/>
    <n v="17.45"/>
  </r>
  <r>
    <x v="92"/>
    <x v="2"/>
    <d v="2018-02-13T00:00:00"/>
    <s v="20180213"/>
    <s v="201807"/>
    <x v="0"/>
    <s v="2018"/>
    <n v="1.4"/>
  </r>
  <r>
    <x v="92"/>
    <x v="1"/>
    <d v="2018-03-12T00:00:00"/>
    <s v="20180312"/>
    <s v="201811"/>
    <x v="1"/>
    <s v="2018"/>
    <n v="20.25"/>
  </r>
  <r>
    <x v="92"/>
    <x v="2"/>
    <d v="2018-03-02T00:00:00"/>
    <s v="20180302"/>
    <s v="201809"/>
    <x v="1"/>
    <s v="2018"/>
    <n v="0.25"/>
  </r>
  <r>
    <x v="92"/>
    <x v="1"/>
    <d v="2018-04-17T00:00:00"/>
    <s v="20180417"/>
    <s v="201816"/>
    <x v="2"/>
    <s v="2018"/>
    <n v="17.5"/>
  </r>
  <r>
    <x v="92"/>
    <x v="1"/>
    <d v="2018-05-14T00:00:00"/>
    <s v="20180514"/>
    <s v="201820"/>
    <x v="3"/>
    <s v="2018"/>
    <n v="18.3"/>
  </r>
  <r>
    <x v="92"/>
    <x v="2"/>
    <d v="2018-05-28T00:00:00"/>
    <s v="20180528"/>
    <s v="201822"/>
    <x v="3"/>
    <s v="2018"/>
    <n v="0.7"/>
  </r>
  <r>
    <x v="92"/>
    <x v="1"/>
    <d v="2018-06-04T00:00:00"/>
    <s v="20180604"/>
    <s v="201823"/>
    <x v="4"/>
    <s v="2018"/>
    <n v="16"/>
  </r>
  <r>
    <x v="92"/>
    <x v="2"/>
    <d v="2018-06-07T00:00:00"/>
    <s v="20180607"/>
    <s v="201823"/>
    <x v="4"/>
    <s v="2018"/>
    <n v="1"/>
  </r>
  <r>
    <x v="92"/>
    <x v="1"/>
    <d v="2018-07-06T00:00:00"/>
    <s v="20180706"/>
    <s v="201827"/>
    <x v="5"/>
    <s v="2018"/>
    <n v="16.25"/>
  </r>
  <r>
    <x v="92"/>
    <x v="2"/>
    <d v="2018-07-06T00:00:00"/>
    <s v="20180706"/>
    <s v="201827"/>
    <x v="5"/>
    <s v="2018"/>
    <n v="3.75"/>
  </r>
  <r>
    <x v="92"/>
    <x v="1"/>
    <d v="2018-08-01T00:00:00"/>
    <s v="20180801"/>
    <s v="201831"/>
    <x v="6"/>
    <s v="2018"/>
    <n v="20"/>
  </r>
  <r>
    <x v="92"/>
    <x v="2"/>
    <d v="2018-08-30T00:00:00"/>
    <s v="20180830"/>
    <s v="201835"/>
    <x v="6"/>
    <s v="2018"/>
    <n v="0.5"/>
  </r>
  <r>
    <x v="92"/>
    <x v="1"/>
    <d v="2018-09-03T00:00:00"/>
    <s v="20180903"/>
    <s v="201836"/>
    <x v="7"/>
    <s v="2018"/>
    <n v="20"/>
  </r>
  <r>
    <x v="92"/>
    <x v="1"/>
    <d v="2018-10-01T00:00:00"/>
    <s v="20181001"/>
    <s v="201840"/>
    <x v="8"/>
    <s v="2018"/>
    <n v="21"/>
  </r>
  <r>
    <x v="92"/>
    <x v="2"/>
    <d v="2018-10-10T00:00:00"/>
    <s v="20181010"/>
    <s v="201841"/>
    <x v="8"/>
    <s v="2018"/>
    <n v="2"/>
  </r>
  <r>
    <x v="92"/>
    <x v="1"/>
    <d v="2018-11-19T00:00:00"/>
    <s v="20181119"/>
    <s v="201847"/>
    <x v="9"/>
    <s v="2018"/>
    <n v="9.25"/>
  </r>
  <r>
    <x v="92"/>
    <x v="2"/>
    <d v="2018-11-26T00:00:00"/>
    <s v="20181126"/>
    <s v="201848"/>
    <x v="9"/>
    <s v="2018"/>
    <n v="0.75"/>
  </r>
  <r>
    <x v="93"/>
    <x v="0"/>
    <d v="2018-07-11T00:00:00"/>
    <s v="20180711"/>
    <s v="201828"/>
    <x v="5"/>
    <s v="2018"/>
    <n v="7"/>
  </r>
  <r>
    <x v="93"/>
    <x v="0"/>
    <d v="2018-08-01T00:00:00"/>
    <s v="20180801"/>
    <s v="201831"/>
    <x v="6"/>
    <s v="2018"/>
    <n v="4"/>
  </r>
  <r>
    <x v="93"/>
    <x v="0"/>
    <d v="2018-09-03T00:00:00"/>
    <s v="20180903"/>
    <s v="201836"/>
    <x v="7"/>
    <s v="2018"/>
    <n v="11"/>
  </r>
  <r>
    <x v="93"/>
    <x v="0"/>
    <d v="2018-10-04T00:00:00"/>
    <s v="20181004"/>
    <s v="201840"/>
    <x v="8"/>
    <s v="2018"/>
    <n v="14"/>
  </r>
  <r>
    <x v="93"/>
    <x v="0"/>
    <d v="2018-11-05T00:00:00"/>
    <s v="20181105"/>
    <s v="201845"/>
    <x v="9"/>
    <s v="2018"/>
    <n v="17"/>
  </r>
  <r>
    <x v="94"/>
    <x v="0"/>
    <d v="2018-06-12T00:00:00"/>
    <s v="20180612"/>
    <s v="201824"/>
    <x v="4"/>
    <s v="2018"/>
    <n v="11.5"/>
  </r>
  <r>
    <x v="94"/>
    <x v="0"/>
    <d v="2018-07-02T00:00:00"/>
    <s v="20180702"/>
    <s v="201827"/>
    <x v="5"/>
    <s v="2018"/>
    <n v="12"/>
  </r>
  <r>
    <x v="94"/>
    <x v="0"/>
    <d v="2018-08-16T00:00:00"/>
    <s v="20180816"/>
    <s v="201833"/>
    <x v="6"/>
    <s v="2018"/>
    <n v="11"/>
  </r>
  <r>
    <x v="94"/>
    <x v="0"/>
    <d v="2018-09-03T00:00:00"/>
    <s v="20180903"/>
    <s v="201836"/>
    <x v="7"/>
    <s v="2018"/>
    <n v="19.5"/>
  </r>
  <r>
    <x v="94"/>
    <x v="0"/>
    <d v="2018-10-03T00:00:00"/>
    <s v="20181003"/>
    <s v="201840"/>
    <x v="8"/>
    <s v="2018"/>
    <n v="23"/>
  </r>
  <r>
    <x v="94"/>
    <x v="0"/>
    <d v="2018-11-29T00:00:00"/>
    <s v="20181129"/>
    <s v="201848"/>
    <x v="9"/>
    <s v="2018"/>
    <n v="21"/>
  </r>
  <r>
    <x v="95"/>
    <x v="1"/>
    <d v="2017-12-19T00:00:00"/>
    <s v="20171219"/>
    <s v="201751"/>
    <x v="14"/>
    <s v="2017"/>
    <n v="0.2"/>
  </r>
  <r>
    <x v="95"/>
    <x v="1"/>
    <d v="2018-01-08T00:00:00"/>
    <s v="20180108"/>
    <s v="201802"/>
    <x v="11"/>
    <s v="2018"/>
    <n v="13.4"/>
  </r>
  <r>
    <x v="95"/>
    <x v="2"/>
    <d v="2018-01-09T00:00:00"/>
    <s v="20180109"/>
    <s v="201802"/>
    <x v="11"/>
    <s v="2018"/>
    <n v="0.5"/>
  </r>
  <r>
    <x v="95"/>
    <x v="1"/>
    <d v="2018-02-05T00:00:00"/>
    <s v="20180205"/>
    <s v="201806"/>
    <x v="0"/>
    <s v="2018"/>
    <n v="14.9"/>
  </r>
  <r>
    <x v="95"/>
    <x v="2"/>
    <d v="2018-02-01T00:00:00"/>
    <s v="20180201"/>
    <s v="201805"/>
    <x v="0"/>
    <s v="2018"/>
    <n v="0.5"/>
  </r>
  <r>
    <x v="95"/>
    <x v="1"/>
    <d v="2018-03-12T00:00:00"/>
    <s v="20180312"/>
    <s v="201811"/>
    <x v="1"/>
    <s v="2018"/>
    <n v="18"/>
  </r>
  <r>
    <x v="95"/>
    <x v="2"/>
    <d v="2018-03-14T00:00:00"/>
    <s v="20180314"/>
    <s v="201811"/>
    <x v="1"/>
    <s v="2018"/>
    <n v="1.5"/>
  </r>
  <r>
    <x v="95"/>
    <x v="1"/>
    <d v="2018-04-09T00:00:00"/>
    <s v="20180409"/>
    <s v="201815"/>
    <x v="2"/>
    <s v="2018"/>
    <n v="12.5"/>
  </r>
  <r>
    <x v="95"/>
    <x v="1"/>
    <d v="2018-05-22T00:00:00"/>
    <s v="20180522"/>
    <s v="201821"/>
    <x v="3"/>
    <s v="2018"/>
    <n v="11"/>
  </r>
  <r>
    <x v="95"/>
    <x v="1"/>
    <d v="2018-06-21T00:00:00"/>
    <s v="20180621"/>
    <s v="201825"/>
    <x v="4"/>
    <s v="2018"/>
    <n v="17.899999999999999"/>
  </r>
  <r>
    <x v="95"/>
    <x v="2"/>
    <d v="2018-06-05T00:00:00"/>
    <s v="20180605"/>
    <s v="201823"/>
    <x v="4"/>
    <s v="2018"/>
    <n v="1.2"/>
  </r>
  <r>
    <x v="95"/>
    <x v="1"/>
    <d v="2018-07-02T00:00:00"/>
    <s v="20180702"/>
    <s v="201827"/>
    <x v="5"/>
    <s v="2018"/>
    <n v="16.2"/>
  </r>
  <r>
    <x v="95"/>
    <x v="2"/>
    <d v="2018-07-24T00:00:00"/>
    <s v="20180724"/>
    <s v="201830"/>
    <x v="5"/>
    <s v="2018"/>
    <n v="0.5"/>
  </r>
  <r>
    <x v="95"/>
    <x v="1"/>
    <d v="2018-08-06T00:00:00"/>
    <s v="20180806"/>
    <s v="201832"/>
    <x v="6"/>
    <s v="2018"/>
    <n v="22"/>
  </r>
  <r>
    <x v="95"/>
    <x v="1"/>
    <d v="2018-09-03T00:00:00"/>
    <s v="20180903"/>
    <s v="201836"/>
    <x v="7"/>
    <s v="2018"/>
    <n v="19.2"/>
  </r>
  <r>
    <x v="95"/>
    <x v="2"/>
    <d v="2018-09-04T00:00:00"/>
    <s v="20180904"/>
    <s v="201836"/>
    <x v="7"/>
    <s v="2018"/>
    <n v="0.3"/>
  </r>
  <r>
    <x v="95"/>
    <x v="1"/>
    <d v="2018-10-01T00:00:00"/>
    <s v="20181001"/>
    <s v="201840"/>
    <x v="8"/>
    <s v="2018"/>
    <n v="23"/>
  </r>
  <r>
    <x v="95"/>
    <x v="1"/>
    <d v="2018-11-19T00:00:00"/>
    <s v="20181119"/>
    <s v="201847"/>
    <x v="9"/>
    <s v="2018"/>
    <n v="17.399999999999999"/>
  </r>
  <r>
    <x v="95"/>
    <x v="2"/>
    <d v="2018-11-02T00:00:00"/>
    <s v="20181102"/>
    <s v="201844"/>
    <x v="9"/>
    <s v="2018"/>
    <n v="1.6"/>
  </r>
  <r>
    <x v="95"/>
    <x v="1"/>
    <d v="2018-12-03T00:00:00"/>
    <s v="20181203"/>
    <s v="201849"/>
    <x v="10"/>
    <s v="2018"/>
    <n v="1"/>
  </r>
  <r>
    <x v="96"/>
    <x v="1"/>
    <d v="2018-01-15T00:00:00"/>
    <s v="20180115"/>
    <s v="201803"/>
    <x v="11"/>
    <s v="2018"/>
    <n v="8.6999999999999993"/>
  </r>
  <r>
    <x v="96"/>
    <x v="2"/>
    <d v="2018-01-17T00:00:00"/>
    <s v="20180117"/>
    <s v="201803"/>
    <x v="11"/>
    <s v="2018"/>
    <n v="0.8"/>
  </r>
  <r>
    <x v="96"/>
    <x v="1"/>
    <d v="2018-02-07T00:00:00"/>
    <s v="20180207"/>
    <s v="201806"/>
    <x v="0"/>
    <s v="2018"/>
    <n v="13.9"/>
  </r>
  <r>
    <x v="96"/>
    <x v="2"/>
    <d v="2018-02-06T00:00:00"/>
    <s v="20180206"/>
    <s v="201806"/>
    <x v="0"/>
    <s v="2018"/>
    <n v="4.0999999999999996"/>
  </r>
  <r>
    <x v="96"/>
    <x v="1"/>
    <d v="2018-03-05T00:00:00"/>
    <s v="20180305"/>
    <s v="201810"/>
    <x v="1"/>
    <s v="2018"/>
    <n v="21.42"/>
  </r>
  <r>
    <x v="96"/>
    <x v="2"/>
    <d v="2018-03-16T00:00:00"/>
    <s v="20180316"/>
    <s v="201811"/>
    <x v="1"/>
    <s v="2018"/>
    <n v="0.57999999999999996"/>
  </r>
  <r>
    <x v="96"/>
    <x v="1"/>
    <d v="2018-04-16T00:00:00"/>
    <s v="20180416"/>
    <s v="201816"/>
    <x v="2"/>
    <s v="2018"/>
    <n v="16.78"/>
  </r>
  <r>
    <x v="96"/>
    <x v="2"/>
    <d v="2018-04-04T00:00:00"/>
    <s v="20180404"/>
    <s v="201814"/>
    <x v="2"/>
    <s v="2018"/>
    <n v="2.5"/>
  </r>
  <r>
    <x v="96"/>
    <x v="1"/>
    <d v="2018-05-14T00:00:00"/>
    <s v="20180514"/>
    <s v="201820"/>
    <x v="3"/>
    <s v="2018"/>
    <n v="16.2"/>
  </r>
  <r>
    <x v="96"/>
    <x v="2"/>
    <d v="2018-05-03T00:00:00"/>
    <s v="20180503"/>
    <s v="201818"/>
    <x v="3"/>
    <s v="2018"/>
    <n v="1.8"/>
  </r>
  <r>
    <x v="96"/>
    <x v="1"/>
    <d v="2018-06-12T00:00:00"/>
    <s v="20180612"/>
    <s v="201824"/>
    <x v="4"/>
    <s v="2018"/>
    <n v="18.23"/>
  </r>
  <r>
    <x v="96"/>
    <x v="2"/>
    <d v="2018-06-05T00:00:00"/>
    <s v="20180605"/>
    <s v="201823"/>
    <x v="4"/>
    <s v="2018"/>
    <n v="1.77"/>
  </r>
  <r>
    <x v="96"/>
    <x v="1"/>
    <d v="2018-07-02T00:00:00"/>
    <s v="20180702"/>
    <s v="201827"/>
    <x v="5"/>
    <s v="2018"/>
    <n v="14.67"/>
  </r>
  <r>
    <x v="96"/>
    <x v="2"/>
    <d v="2018-07-04T00:00:00"/>
    <s v="20180704"/>
    <s v="201827"/>
    <x v="5"/>
    <s v="2018"/>
    <n v="2.33"/>
  </r>
  <r>
    <x v="96"/>
    <x v="1"/>
    <d v="2018-08-13T00:00:00"/>
    <s v="20180813"/>
    <s v="201833"/>
    <x v="6"/>
    <s v="2018"/>
    <n v="17.29"/>
  </r>
  <r>
    <x v="96"/>
    <x v="2"/>
    <d v="2018-08-01T00:00:00"/>
    <s v="20180801"/>
    <s v="201831"/>
    <x v="6"/>
    <s v="2018"/>
    <n v="1.71"/>
  </r>
  <r>
    <x v="96"/>
    <x v="1"/>
    <d v="2018-09-17T00:00:00"/>
    <s v="20180917"/>
    <s v="201838"/>
    <x v="7"/>
    <s v="2018"/>
    <n v="19.14"/>
  </r>
  <r>
    <x v="96"/>
    <x v="2"/>
    <d v="2018-09-17T00:00:00"/>
    <s v="20180917"/>
    <s v="201838"/>
    <x v="7"/>
    <s v="2018"/>
    <n v="0.86"/>
  </r>
  <r>
    <x v="96"/>
    <x v="1"/>
    <d v="2018-10-29T00:00:00"/>
    <s v="20181029"/>
    <s v="201844"/>
    <x v="8"/>
    <s v="2018"/>
    <n v="8.64"/>
  </r>
  <r>
    <x v="96"/>
    <x v="2"/>
    <d v="2018-10-02T00:00:00"/>
    <s v="20181002"/>
    <s v="201840"/>
    <x v="8"/>
    <s v="2018"/>
    <n v="1.36"/>
  </r>
  <r>
    <x v="96"/>
    <x v="1"/>
    <d v="2018-11-05T00:00:00"/>
    <s v="20181105"/>
    <s v="201845"/>
    <x v="9"/>
    <s v="2018"/>
    <n v="18.32"/>
  </r>
  <r>
    <x v="96"/>
    <x v="2"/>
    <d v="2018-11-05T00:00:00"/>
    <s v="20181105"/>
    <s v="201845"/>
    <x v="9"/>
    <s v="2018"/>
    <n v="1.68"/>
  </r>
  <r>
    <x v="97"/>
    <x v="1"/>
    <d v="2018-01-08T00:00:00"/>
    <s v="20180108"/>
    <s v="201802"/>
    <x v="11"/>
    <s v="2018"/>
    <n v="12.3"/>
  </r>
  <r>
    <x v="97"/>
    <x v="1"/>
    <d v="2018-02-08T00:00:00"/>
    <s v="20180208"/>
    <s v="201806"/>
    <x v="0"/>
    <s v="2018"/>
    <n v="16.95"/>
  </r>
  <r>
    <x v="97"/>
    <x v="1"/>
    <d v="2018-03-08T00:00:00"/>
    <s v="20180308"/>
    <s v="201810"/>
    <x v="1"/>
    <s v="2018"/>
    <n v="20.8"/>
  </r>
  <r>
    <x v="97"/>
    <x v="1"/>
    <d v="2018-04-13T00:00:00"/>
    <s v="20180413"/>
    <s v="201815"/>
    <x v="2"/>
    <s v="2018"/>
    <n v="17.2"/>
  </r>
  <r>
    <x v="97"/>
    <x v="1"/>
    <d v="2018-05-14T00:00:00"/>
    <s v="20180514"/>
    <s v="201820"/>
    <x v="3"/>
    <s v="2018"/>
    <n v="18"/>
  </r>
  <r>
    <x v="97"/>
    <x v="1"/>
    <d v="2018-06-12T00:00:00"/>
    <s v="20180612"/>
    <s v="201824"/>
    <x v="4"/>
    <s v="2018"/>
    <n v="21"/>
  </r>
  <r>
    <x v="97"/>
    <x v="1"/>
    <d v="2018-07-17T00:00:00"/>
    <s v="20180717"/>
    <s v="201829"/>
    <x v="5"/>
    <s v="2018"/>
    <n v="16"/>
  </r>
  <r>
    <x v="97"/>
    <x v="1"/>
    <d v="2018-08-09T00:00:00"/>
    <s v="20180809"/>
    <s v="201832"/>
    <x v="6"/>
    <s v="2018"/>
    <n v="18"/>
  </r>
  <r>
    <x v="97"/>
    <x v="1"/>
    <d v="2018-09-03T00:00:00"/>
    <s v="20180903"/>
    <s v="201836"/>
    <x v="7"/>
    <s v="2018"/>
    <n v="18"/>
  </r>
  <r>
    <x v="97"/>
    <x v="1"/>
    <d v="2018-10-08T00:00:00"/>
    <s v="20181008"/>
    <s v="201841"/>
    <x v="8"/>
    <s v="2018"/>
    <n v="22"/>
  </r>
  <r>
    <x v="97"/>
    <x v="1"/>
    <d v="2018-11-05T00:00:00"/>
    <s v="20181105"/>
    <s v="201845"/>
    <x v="9"/>
    <s v="2018"/>
    <n v="11"/>
  </r>
  <r>
    <x v="98"/>
    <x v="0"/>
    <d v="2018-10-04T00:00:00"/>
    <s v="20181004"/>
    <s v="201840"/>
    <x v="8"/>
    <s v="2018"/>
    <n v="0.5"/>
  </r>
  <r>
    <x v="99"/>
    <x v="0"/>
    <d v="2018-07-02T00:00:00"/>
    <s v="20180702"/>
    <s v="201827"/>
    <x v="5"/>
    <s v="2018"/>
    <n v="21.5"/>
  </r>
  <r>
    <x v="99"/>
    <x v="0"/>
    <d v="2018-08-01T00:00:00"/>
    <s v="20180801"/>
    <s v="201831"/>
    <x v="6"/>
    <s v="2018"/>
    <n v="22"/>
  </r>
  <r>
    <x v="99"/>
    <x v="0"/>
    <d v="2018-09-03T00:00:00"/>
    <s v="20180903"/>
    <s v="201836"/>
    <x v="7"/>
    <s v="2018"/>
    <n v="20"/>
  </r>
  <r>
    <x v="99"/>
    <x v="0"/>
    <d v="2018-10-01T00:00:00"/>
    <s v="20181001"/>
    <s v="201840"/>
    <x v="8"/>
    <s v="2018"/>
    <n v="23"/>
  </r>
  <r>
    <x v="99"/>
    <x v="0"/>
    <d v="2018-11-02T00:00:00"/>
    <s v="20181102"/>
    <s v="201844"/>
    <x v="9"/>
    <s v="2018"/>
    <n v="21"/>
  </r>
  <r>
    <x v="100"/>
    <x v="0"/>
    <d v="2018-01-24T00:00:00"/>
    <s v="20180124"/>
    <s v="201804"/>
    <x v="11"/>
    <s v="2018"/>
    <n v="5"/>
  </r>
  <r>
    <x v="100"/>
    <x v="0"/>
    <d v="2018-02-07T00:00:00"/>
    <s v="20180207"/>
    <s v="201806"/>
    <x v="0"/>
    <s v="2018"/>
    <n v="15.75"/>
  </r>
  <r>
    <x v="100"/>
    <x v="0"/>
    <d v="2018-03-20T00:00:00"/>
    <s v="20180320"/>
    <s v="201812"/>
    <x v="1"/>
    <s v="2018"/>
    <n v="22"/>
  </r>
  <r>
    <x v="100"/>
    <x v="0"/>
    <d v="2018-04-18T00:00:00"/>
    <s v="20180418"/>
    <s v="201816"/>
    <x v="2"/>
    <s v="2018"/>
    <n v="20"/>
  </r>
  <r>
    <x v="100"/>
    <x v="0"/>
    <d v="2018-05-02T00:00:00"/>
    <s v="20180502"/>
    <s v="201818"/>
    <x v="3"/>
    <s v="2018"/>
    <n v="16"/>
  </r>
  <r>
    <x v="100"/>
    <x v="0"/>
    <d v="2018-06-26T00:00:00"/>
    <s v="20180626"/>
    <s v="201826"/>
    <x v="4"/>
    <s v="2018"/>
    <n v="20"/>
  </r>
  <r>
    <x v="100"/>
    <x v="0"/>
    <d v="2018-07-03T00:00:00"/>
    <s v="20180703"/>
    <s v="201827"/>
    <x v="5"/>
    <s v="2018"/>
    <n v="21"/>
  </r>
  <r>
    <x v="100"/>
    <x v="0"/>
    <d v="2018-08-01T00:00:00"/>
    <s v="20180801"/>
    <s v="201831"/>
    <x v="6"/>
    <s v="2018"/>
    <n v="11"/>
  </r>
  <r>
    <x v="100"/>
    <x v="0"/>
    <d v="2018-09-03T00:00:00"/>
    <s v="20180903"/>
    <s v="201836"/>
    <x v="7"/>
    <s v="2018"/>
    <n v="20"/>
  </r>
  <r>
    <x v="100"/>
    <x v="0"/>
    <d v="2018-10-04T00:00:00"/>
    <s v="20181004"/>
    <s v="201840"/>
    <x v="8"/>
    <s v="2018"/>
    <n v="21"/>
  </r>
  <r>
    <x v="100"/>
    <x v="0"/>
    <d v="2018-11-05T00:00:00"/>
    <s v="20181105"/>
    <s v="201845"/>
    <x v="9"/>
    <s v="2018"/>
    <n v="20"/>
  </r>
  <r>
    <x v="101"/>
    <x v="1"/>
    <d v="2018-01-29T00:00:00"/>
    <s v="20180129"/>
    <s v="201805"/>
    <x v="11"/>
    <s v="2018"/>
    <n v="13.45"/>
  </r>
  <r>
    <x v="101"/>
    <x v="2"/>
    <d v="2018-01-10T00:00:00"/>
    <s v="20180110"/>
    <s v="201802"/>
    <x v="11"/>
    <s v="2018"/>
    <n v="0.55000000000000004"/>
  </r>
  <r>
    <x v="101"/>
    <x v="1"/>
    <d v="2018-02-07T00:00:00"/>
    <s v="20180207"/>
    <s v="201806"/>
    <x v="0"/>
    <s v="2018"/>
    <n v="13.26"/>
  </r>
  <r>
    <x v="101"/>
    <x v="2"/>
    <d v="2018-02-14T00:00:00"/>
    <s v="20180214"/>
    <s v="201807"/>
    <x v="0"/>
    <s v="2018"/>
    <n v="2.74"/>
  </r>
  <r>
    <x v="101"/>
    <x v="1"/>
    <d v="2018-03-13T00:00:00"/>
    <s v="20180313"/>
    <s v="201811"/>
    <x v="1"/>
    <s v="2018"/>
    <n v="13.9"/>
  </r>
  <r>
    <x v="101"/>
    <x v="2"/>
    <d v="2018-03-19T00:00:00"/>
    <s v="20180319"/>
    <s v="201812"/>
    <x v="1"/>
    <s v="2018"/>
    <n v="1.1000000000000001"/>
  </r>
  <r>
    <x v="101"/>
    <x v="1"/>
    <d v="2018-04-09T00:00:00"/>
    <s v="20180409"/>
    <s v="201815"/>
    <x v="2"/>
    <s v="2018"/>
    <n v="11.87"/>
  </r>
  <r>
    <x v="101"/>
    <x v="2"/>
    <d v="2018-04-09T00:00:00"/>
    <s v="20180409"/>
    <s v="201815"/>
    <x v="2"/>
    <s v="2018"/>
    <n v="1.73"/>
  </r>
  <r>
    <x v="101"/>
    <x v="1"/>
    <d v="2018-05-15T00:00:00"/>
    <s v="20180515"/>
    <s v="201820"/>
    <x v="3"/>
    <s v="2018"/>
    <n v="10.5"/>
  </r>
  <r>
    <x v="101"/>
    <x v="1"/>
    <d v="2018-06-05T00:00:00"/>
    <s v="20180605"/>
    <s v="201823"/>
    <x v="4"/>
    <s v="2018"/>
    <n v="14.37"/>
  </r>
  <r>
    <x v="101"/>
    <x v="2"/>
    <d v="2018-06-04T00:00:00"/>
    <s v="20180604"/>
    <s v="201823"/>
    <x v="4"/>
    <s v="2018"/>
    <n v="0.63"/>
  </r>
  <r>
    <x v="101"/>
    <x v="1"/>
    <d v="2018-07-11T00:00:00"/>
    <s v="20180711"/>
    <s v="201828"/>
    <x v="5"/>
    <s v="2018"/>
    <n v="18"/>
  </r>
  <r>
    <x v="101"/>
    <x v="1"/>
    <d v="2018-08-06T00:00:00"/>
    <s v="20180806"/>
    <s v="201832"/>
    <x v="6"/>
    <s v="2018"/>
    <n v="6"/>
  </r>
  <r>
    <x v="101"/>
    <x v="1"/>
    <d v="2018-09-04T00:00:00"/>
    <s v="20180904"/>
    <s v="201836"/>
    <x v="7"/>
    <s v="2018"/>
    <n v="15"/>
  </r>
  <r>
    <x v="101"/>
    <x v="1"/>
    <d v="2018-10-01T00:00:00"/>
    <s v="20181001"/>
    <s v="201840"/>
    <x v="8"/>
    <s v="2018"/>
    <n v="14.77"/>
  </r>
  <r>
    <x v="101"/>
    <x v="2"/>
    <d v="2018-10-18T00:00:00"/>
    <s v="20181018"/>
    <s v="201842"/>
    <x v="8"/>
    <s v="2018"/>
    <n v="0.73"/>
  </r>
  <r>
    <x v="101"/>
    <x v="1"/>
    <d v="2018-11-05T00:00:00"/>
    <s v="20181105"/>
    <s v="201845"/>
    <x v="9"/>
    <s v="2018"/>
    <n v="11.7"/>
  </r>
  <r>
    <x v="101"/>
    <x v="2"/>
    <d v="2018-11-14T00:00:00"/>
    <s v="20181114"/>
    <s v="201846"/>
    <x v="9"/>
    <s v="2018"/>
    <n v="0.8"/>
  </r>
  <r>
    <x v="102"/>
    <x v="0"/>
    <d v="2018-01-04T00:00:00"/>
    <s v="20180104"/>
    <s v="201801"/>
    <x v="11"/>
    <s v="2018"/>
    <n v="18.8"/>
  </r>
  <r>
    <x v="102"/>
    <x v="0"/>
    <d v="2018-02-02T00:00:00"/>
    <s v="20180202"/>
    <s v="201805"/>
    <x v="0"/>
    <s v="2018"/>
    <n v="19.8"/>
  </r>
  <r>
    <x v="102"/>
    <x v="0"/>
    <d v="2018-03-02T00:00:00"/>
    <s v="20180302"/>
    <s v="201809"/>
    <x v="1"/>
    <s v="2018"/>
    <n v="22"/>
  </r>
  <r>
    <x v="102"/>
    <x v="0"/>
    <d v="2018-04-03T00:00:00"/>
    <s v="20180403"/>
    <s v="201814"/>
    <x v="2"/>
    <s v="2018"/>
    <n v="19"/>
  </r>
  <r>
    <x v="102"/>
    <x v="0"/>
    <d v="2018-05-02T00:00:00"/>
    <s v="20180502"/>
    <s v="201818"/>
    <x v="3"/>
    <s v="2018"/>
    <n v="19"/>
  </r>
  <r>
    <x v="102"/>
    <x v="0"/>
    <d v="2018-06-04T00:00:00"/>
    <s v="20180604"/>
    <s v="201823"/>
    <x v="4"/>
    <s v="2018"/>
    <n v="6"/>
  </r>
  <r>
    <x v="102"/>
    <x v="0"/>
    <d v="2018-07-05T00:00:00"/>
    <s v="20180705"/>
    <s v="201827"/>
    <x v="5"/>
    <s v="2018"/>
    <n v="20"/>
  </r>
  <r>
    <x v="102"/>
    <x v="0"/>
    <d v="2018-08-02T00:00:00"/>
    <s v="20180802"/>
    <s v="201831"/>
    <x v="6"/>
    <s v="2018"/>
    <n v="19"/>
  </r>
  <r>
    <x v="102"/>
    <x v="0"/>
    <d v="2018-09-11T00:00:00"/>
    <s v="20180911"/>
    <s v="201837"/>
    <x v="7"/>
    <s v="2018"/>
    <n v="15"/>
  </r>
  <r>
    <x v="102"/>
    <x v="0"/>
    <d v="2018-10-16T00:00:00"/>
    <s v="20181016"/>
    <s v="201842"/>
    <x v="8"/>
    <s v="2018"/>
    <n v="23"/>
  </r>
  <r>
    <x v="102"/>
    <x v="0"/>
    <d v="2018-11-08T00:00:00"/>
    <s v="20181108"/>
    <s v="201845"/>
    <x v="9"/>
    <s v="2018"/>
    <n v="21"/>
  </r>
  <r>
    <x v="103"/>
    <x v="1"/>
    <d v="2018-10-08T00:00:00"/>
    <s v="20181008"/>
    <s v="201841"/>
    <x v="8"/>
    <s v="2018"/>
    <n v="18"/>
  </r>
  <r>
    <x v="103"/>
    <x v="1"/>
    <d v="2018-11-19T00:00:00"/>
    <s v="20181119"/>
    <s v="201847"/>
    <x v="9"/>
    <s v="2018"/>
    <n v="21"/>
  </r>
  <r>
    <x v="103"/>
    <x v="1"/>
    <d v="2018-12-03T00:00:00"/>
    <s v="20181203"/>
    <s v="201849"/>
    <x v="10"/>
    <s v="2018"/>
    <n v="2.2000000000000002"/>
  </r>
  <r>
    <x v="103"/>
    <x v="2"/>
    <d v="2018-12-05T00:00:00"/>
    <s v="20181205"/>
    <s v="201849"/>
    <x v="10"/>
    <s v="2018"/>
    <n v="0.8"/>
  </r>
  <r>
    <x v="104"/>
    <x v="0"/>
    <d v="2018-01-03T00:00:00"/>
    <s v="20180103"/>
    <s v="201801"/>
    <x v="11"/>
    <s v="2018"/>
    <n v="15.25"/>
  </r>
  <r>
    <x v="104"/>
    <x v="0"/>
    <d v="2018-02-06T00:00:00"/>
    <s v="20180206"/>
    <s v="201806"/>
    <x v="0"/>
    <s v="2018"/>
    <n v="19.25"/>
  </r>
  <r>
    <x v="104"/>
    <x v="0"/>
    <d v="2018-03-06T00:00:00"/>
    <s v="20180306"/>
    <s v="201810"/>
    <x v="1"/>
    <s v="2018"/>
    <n v="21"/>
  </r>
  <r>
    <x v="104"/>
    <x v="0"/>
    <d v="2018-04-05T00:00:00"/>
    <s v="20180405"/>
    <s v="201814"/>
    <x v="2"/>
    <s v="2018"/>
    <n v="20"/>
  </r>
  <r>
    <x v="104"/>
    <x v="0"/>
    <d v="2018-05-03T00:00:00"/>
    <s v="20180503"/>
    <s v="201818"/>
    <x v="3"/>
    <s v="2018"/>
    <n v="6"/>
  </r>
  <r>
    <x v="104"/>
    <x v="0"/>
    <d v="2018-09-18T00:00:00"/>
    <s v="20180918"/>
    <s v="201838"/>
    <x v="7"/>
    <s v="2018"/>
    <n v="9"/>
  </r>
  <r>
    <x v="104"/>
    <x v="0"/>
    <d v="2018-10-23T00:00:00"/>
    <s v="20181023"/>
    <s v="201843"/>
    <x v="8"/>
    <s v="2018"/>
    <n v="23"/>
  </r>
  <r>
    <x v="104"/>
    <x v="0"/>
    <d v="2018-11-05T00:00:00"/>
    <s v="20181105"/>
    <s v="201845"/>
    <x v="9"/>
    <s v="2018"/>
    <n v="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09">
  <r>
    <s v="C000187436"/>
    <n v="0"/>
    <s v="WPA - SII - PJOP - Airbus - WD1701094 - Flight and Integration Test CT1705359."/>
    <s v=""/>
    <s v="1"/>
    <s v="3 Each of WU_PROP_STD_[PJO_SII_EVYP_FR_USD_AIRBUS_EN ]"/>
    <s v="3.0"/>
    <n v="3036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0"/>
    <n v="0"/>
    <x v="0"/>
    <m/>
    <m/>
    <x v="0"/>
    <x v="0"/>
    <s v="ATA7X"/>
    <s v="A380"/>
    <m/>
    <x v="0"/>
    <m/>
    <m/>
    <x v="0"/>
    <x v="0"/>
    <x v="0"/>
    <s v=""/>
    <n v="10120"/>
    <n v="30360"/>
    <n v="8.2799999999999994"/>
    <n v="3.833333333333333E-2"/>
    <n v="46.919999999999995"/>
    <n v="0.21722222222222221"/>
    <n v="55.199999999999996"/>
    <n v="0.25555555555555554"/>
    <x v="0"/>
    <x v="0"/>
    <n v="30360"/>
    <n v="46.919999999999995"/>
    <n v="8.2799999999999994"/>
    <n v="15.639999999999999"/>
    <n v="15.639999999999999"/>
    <n v="15.639999999999999"/>
    <s v=""/>
    <s v=""/>
    <s v=""/>
    <s v=""/>
    <s v=""/>
    <s v=""/>
    <s v=""/>
    <s v=""/>
    <s v=""/>
    <n v="0"/>
    <n v="10120"/>
    <n v="10120"/>
    <n v="10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0360"/>
    <n v="0"/>
    <n v="3"/>
    <m/>
    <m/>
    <m/>
  </r>
  <r>
    <s v="C000187436"/>
    <n v="0"/>
    <s v="WPA - SII - PJOP - Airbus - WD1701094 - Flight and Integration Test CT1705359."/>
    <s v=""/>
    <s v="2"/>
    <s v="1 Each of WU_PROP_S_[PJO_SII_EVYP_FR_USD_AIRBUS_EN ]"/>
    <s v="1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1"/>
    <n v="0"/>
    <x v="0"/>
    <m/>
    <m/>
    <x v="1"/>
    <x v="0"/>
    <s v="ATA7X"/>
    <s v="A380"/>
    <m/>
    <x v="0"/>
    <m/>
    <m/>
    <x v="0"/>
    <x v="0"/>
    <x v="1"/>
    <s v=""/>
    <n v="3360"/>
    <n v="3360"/>
    <n v="0.90000000000000036"/>
    <n v="4.1666666666666683E-3"/>
    <n v="5.0999999999999996"/>
    <n v="2.361111111111111E-2"/>
    <n v="6"/>
    <n v="2.777777777777778E-2"/>
    <x v="1"/>
    <x v="0"/>
    <n v="3360"/>
    <n v="5.0999999999999996"/>
    <n v="0.90000000000000036"/>
    <n v="1.7"/>
    <n v="1.7"/>
    <n v="1.7"/>
    <s v=""/>
    <s v=""/>
    <s v=""/>
    <s v=""/>
    <s v=""/>
    <s v=""/>
    <s v=""/>
    <s v=""/>
    <s v=""/>
    <n v="0"/>
    <n v="1120"/>
    <n v="1120"/>
    <n v="1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1"/>
    <m/>
    <m/>
    <m/>
  </r>
  <r>
    <s v="C000187436"/>
    <n v="0"/>
    <s v="WPA - SII - PJOP - Airbus - WD1701094 - Flight and Integration Test CT1705359."/>
    <s v=""/>
    <s v="3"/>
    <s v="3 Each of WU_PROP_STD_[PJO_SII_EVYP_FR_USD_AIRBUS_EN ]"/>
    <s v="3.0"/>
    <n v="3036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2"/>
    <n v="0"/>
    <x v="0"/>
    <m/>
    <m/>
    <x v="0"/>
    <x v="0"/>
    <s v="ATA7X"/>
    <s v="A380"/>
    <m/>
    <x v="1"/>
    <s v="Activité lissée sur Q1"/>
    <m/>
    <x v="0"/>
    <x v="0"/>
    <x v="2"/>
    <s v=""/>
    <n v="10120"/>
    <n v="15180"/>
    <n v="4.1399999999999997"/>
    <n v="1.9166666666666665E-2"/>
    <n v="23.459999999999997"/>
    <n v="0.1086111111111111"/>
    <n v="27.599999999999998"/>
    <n v="0.12777777777777777"/>
    <x v="1"/>
    <x v="0"/>
    <n v="15180"/>
    <n v="23.459999999999997"/>
    <n v="4.1399999999999997"/>
    <n v="7.8199999999999994"/>
    <n v="7.8199999999999994"/>
    <n v="7.8199999999999994"/>
    <s v=""/>
    <s v=""/>
    <s v=""/>
    <s v=""/>
    <s v=""/>
    <s v=""/>
    <s v=""/>
    <s v=""/>
    <s v=""/>
    <n v="0"/>
    <n v="5060"/>
    <n v="5060"/>
    <n v="506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0360"/>
    <n v="0"/>
    <n v="1.5"/>
    <m/>
    <m/>
    <m/>
  </r>
  <r>
    <s v="C000187436"/>
    <n v="0"/>
    <s v="WPA - SII - PJOP - Airbus - WD1701094 - Flight and Integration Test CT1705359."/>
    <s v=""/>
    <s v="3"/>
    <s v="3 Each of WU_PROP_STD_[PJO_SII_EVYP_FR_USD_AIRBUS_EN ]"/>
    <n v="4"/>
    <n v="10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n v="25"/>
    <x v="2"/>
    <n v="0"/>
    <x v="0"/>
    <m/>
    <m/>
    <x v="0"/>
    <x v="0"/>
    <s v="ATA7X"/>
    <s v="A380"/>
    <m/>
    <x v="1"/>
    <s v="Activité lissée sur Q1"/>
    <m/>
    <x v="1"/>
    <x v="1"/>
    <x v="2"/>
    <n v="2.5"/>
    <n v="10120"/>
    <n v="15180"/>
    <n v="4.1399999999999997"/>
    <n v="1.9166666666666665E-2"/>
    <n v="23.459999999999997"/>
    <n v="0.1086111111111111"/>
    <n v="27.599999999999998"/>
    <n v="0.12777777777777777"/>
    <x v="1"/>
    <x v="0"/>
    <n v="15180"/>
    <n v="23.459999999999997"/>
    <n v="4.1399999999999997"/>
    <s v=""/>
    <s v=""/>
    <s v=""/>
    <n v="7.8199999999999994"/>
    <n v="7.8199999999999994"/>
    <n v="7.8199999999999994"/>
    <s v=""/>
    <s v=""/>
    <s v=""/>
    <s v=""/>
    <s v=""/>
    <s v=""/>
    <n v="0"/>
    <s v=""/>
    <s v=""/>
    <s v=""/>
    <n v="5060"/>
    <n v="5060"/>
    <n v="5060"/>
    <s v=""/>
    <s v=""/>
    <s v=""/>
    <s v=""/>
    <s v=""/>
    <s v=""/>
    <n v="0"/>
    <m/>
    <m/>
    <m/>
    <m/>
    <m/>
    <m/>
    <m/>
    <m/>
    <m/>
    <m/>
    <m/>
    <m/>
    <n v="0"/>
    <m/>
    <n v="0"/>
    <n v="1.5"/>
    <m/>
    <m/>
    <m/>
  </r>
  <r>
    <s v="C000187436"/>
    <n v="0"/>
    <s v="WPA - SII - PJOP - Airbus - WD1701094 - Flight and Integration Test CT1705359."/>
    <s v=""/>
    <s v="4"/>
    <s v="4 Each of WU_PROP_STD_[PJO_SII_EVYP_FR_USD_AIRBUS_EN ]"/>
    <s v="4.0"/>
    <n v="4048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3"/>
    <n v="0"/>
    <x v="0"/>
    <m/>
    <m/>
    <x v="0"/>
    <x v="0"/>
    <s v="ATA7X"/>
    <s v="LR"/>
    <m/>
    <x v="2"/>
    <m/>
    <m/>
    <x v="0"/>
    <x v="0"/>
    <x v="3"/>
    <s v=""/>
    <n v="10120"/>
    <n v="40480"/>
    <n v="11.04"/>
    <n v="5.1111111111111107E-2"/>
    <n v="62.559999999999995"/>
    <n v="0.28962962962962963"/>
    <n v="73.599999999999994"/>
    <n v="0.34074074074074073"/>
    <x v="1"/>
    <x v="0"/>
    <n v="40480"/>
    <n v="62.559999999999995"/>
    <n v="11.04"/>
    <n v="20.853333333333332"/>
    <n v="20.853333333333332"/>
    <n v="20.853333333333332"/>
    <s v=""/>
    <s v=""/>
    <s v=""/>
    <s v=""/>
    <s v=""/>
    <s v=""/>
    <s v=""/>
    <s v=""/>
    <s v=""/>
    <n v="0"/>
    <n v="13493.333333333334"/>
    <n v="13493.333333333334"/>
    <n v="13493.333333333334"/>
    <s v=""/>
    <s v=""/>
    <s v=""/>
    <s v=""/>
    <s v=""/>
    <s v=""/>
    <s v=""/>
    <s v=""/>
    <s v=""/>
    <n v="0"/>
    <m/>
    <m/>
    <m/>
    <m/>
    <m/>
    <m/>
    <m/>
    <m/>
    <m/>
    <m/>
    <m/>
    <m/>
    <n v="0"/>
    <n v="40480"/>
    <n v="0"/>
    <n v="4"/>
    <m/>
    <m/>
    <m/>
  </r>
  <r>
    <s v="C000187436"/>
    <n v="0"/>
    <s v="WPA - SII - PJOP - Airbus - WD1701094 - Flight and Integration Test CT1705359."/>
    <s v=""/>
    <s v="6"/>
    <s v="1 Each of WU_PROP_STD_[PJO_SII_EVYP_FR_USD_AIRBUS_EN ]"/>
    <s v="1.0"/>
    <n v="1012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4"/>
    <n v="0"/>
    <x v="0"/>
    <m/>
    <m/>
    <x v="1"/>
    <x v="0"/>
    <s v="ATA7X"/>
    <s v="LR"/>
    <m/>
    <x v="2"/>
    <m/>
    <m/>
    <x v="0"/>
    <x v="0"/>
    <x v="4"/>
    <s v=""/>
    <n v="3360"/>
    <n v="6720"/>
    <n v="1.8000000000000007"/>
    <n v="8.3333333333333367E-3"/>
    <n v="10.199999999999999"/>
    <n v="4.7222222222222221E-2"/>
    <n v="12"/>
    <n v="5.5555555555555559E-2"/>
    <x v="1"/>
    <x v="0"/>
    <n v="6720"/>
    <n v="10.199999999999999"/>
    <n v="1.8000000000000007"/>
    <n v="3.4"/>
    <n v="3.4"/>
    <n v="3.4"/>
    <s v=""/>
    <s v=""/>
    <s v=""/>
    <s v=""/>
    <s v=""/>
    <s v=""/>
    <s v=""/>
    <s v=""/>
    <s v=""/>
    <n v="0"/>
    <n v="2240"/>
    <n v="2240"/>
    <n v="2240"/>
    <s v=""/>
    <s v=""/>
    <s v=""/>
    <s v=""/>
    <s v=""/>
    <s v=""/>
    <s v=""/>
    <s v=""/>
    <s v=""/>
    <n v="0"/>
    <m/>
    <m/>
    <m/>
    <m/>
    <m/>
    <m/>
    <m/>
    <m/>
    <m/>
    <m/>
    <m/>
    <m/>
    <n v="0"/>
    <n v="10120"/>
    <n v="0"/>
    <n v="2"/>
    <m/>
    <m/>
    <m/>
  </r>
  <r>
    <s v="C000187436"/>
    <n v="0"/>
    <s v="WPA - SII - PJOP - Airbus - WD1701094 - Flight and Integration Test CT1705359."/>
    <s v=""/>
    <s v="7"/>
    <s v="1 Each of WU_PROP_S_[PJO_SII_EVYP_FR_USD_AIRBUS_EN ]"/>
    <s v="1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5"/>
    <n v="0"/>
    <x v="0"/>
    <m/>
    <m/>
    <x v="0"/>
    <x v="0"/>
    <s v="ATA7X"/>
    <s v="LR"/>
    <m/>
    <x v="3"/>
    <s v="TBC si sonde reçue"/>
    <m/>
    <x v="0"/>
    <x v="0"/>
    <x v="1"/>
    <s v=""/>
    <n v="10120"/>
    <n v="10120"/>
    <n v="2.76"/>
    <n v="1.2777777777777777E-2"/>
    <n v="15.639999999999999"/>
    <n v="7.2407407407407406E-2"/>
    <n v="18.399999999999999"/>
    <n v="8.5185185185185183E-2"/>
    <x v="2"/>
    <x v="0"/>
    <n v="10120"/>
    <n v="15.639999999999999"/>
    <n v="2.76"/>
    <n v="5.2133333333333329"/>
    <n v="5.2133333333333329"/>
    <n v="5.2133333333333329"/>
    <s v=""/>
    <s v=""/>
    <s v=""/>
    <s v=""/>
    <s v=""/>
    <s v=""/>
    <s v=""/>
    <s v=""/>
    <s v=""/>
    <n v="0"/>
    <n v="3373.3333333333335"/>
    <n v="3373.3333333333335"/>
    <n v="3373.3333333333335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1"/>
    <m/>
    <m/>
    <m/>
  </r>
  <r>
    <s v="C000187436"/>
    <n v="0"/>
    <s v="WPA - SII - PJOP - Airbus - WD1701094 - Flight and Integration Test CT1705359."/>
    <s v=""/>
    <s v="8"/>
    <s v="4 Each of WU_PROP_STD_[PJO_SII_EVYP_FR_USD_AIRBUS_EN ]"/>
    <s v="4.0"/>
    <n v="4048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6"/>
    <n v="0"/>
    <x v="0"/>
    <m/>
    <m/>
    <x v="1"/>
    <x v="0"/>
    <s v="ATA7X"/>
    <s v="LR"/>
    <m/>
    <x v="3"/>
    <s v="TBC si sonde reçue"/>
    <m/>
    <x v="0"/>
    <x v="0"/>
    <x v="1"/>
    <s v=""/>
    <n v="3360"/>
    <n v="3360"/>
    <n v="0.90000000000000036"/>
    <n v="4.1666666666666683E-3"/>
    <n v="5.0999999999999996"/>
    <n v="2.361111111111111E-2"/>
    <n v="6"/>
    <n v="2.777777777777778E-2"/>
    <x v="2"/>
    <x v="0"/>
    <n v="3360"/>
    <n v="5.0999999999999996"/>
    <n v="0.90000000000000036"/>
    <n v="1.7"/>
    <n v="1.7"/>
    <n v="1.7"/>
    <s v=""/>
    <s v=""/>
    <s v=""/>
    <s v=""/>
    <s v=""/>
    <s v=""/>
    <s v=""/>
    <s v=""/>
    <s v=""/>
    <n v="0"/>
    <n v="1120"/>
    <n v="1120"/>
    <n v="1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40480"/>
    <n v="0"/>
    <n v="1"/>
    <m/>
    <m/>
    <m/>
  </r>
  <r>
    <s v="C000187436"/>
    <n v="0"/>
    <s v="WPA - SII - PJOP - Airbus - WD1701094 - Flight and Integration Test CT1705359."/>
    <s v=""/>
    <s v="9"/>
    <s v="1 Each of WU_PROP_S_[PJO_SII_EVYP_FR_USD_AIRBUS_EN ]"/>
    <s v="1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7"/>
    <n v="0"/>
    <x v="0"/>
    <m/>
    <m/>
    <x v="0"/>
    <x v="0"/>
    <s v="ATA7X"/>
    <s v="SA"/>
    <m/>
    <x v="4"/>
    <m/>
    <m/>
    <x v="0"/>
    <x v="0"/>
    <x v="3"/>
    <s v=""/>
    <n v="10120"/>
    <n v="40480"/>
    <n v="11.04"/>
    <n v="5.1111111111111107E-2"/>
    <n v="62.559999999999995"/>
    <n v="0.28962962962962963"/>
    <n v="73.599999999999994"/>
    <n v="0.34074074074074073"/>
    <x v="1"/>
    <x v="0"/>
    <n v="40480"/>
    <n v="62.559999999999995"/>
    <n v="11.04"/>
    <n v="20.853333333333332"/>
    <n v="20.853333333333332"/>
    <n v="20.853333333333332"/>
    <s v=""/>
    <s v=""/>
    <s v=""/>
    <s v=""/>
    <s v=""/>
    <s v=""/>
    <s v=""/>
    <s v=""/>
    <s v=""/>
    <n v="0"/>
    <n v="13493.333333333334"/>
    <n v="13493.333333333334"/>
    <n v="13493.333333333334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4"/>
    <m/>
    <m/>
    <m/>
  </r>
  <r>
    <s v="C000187436"/>
    <n v="0"/>
    <s v="WPA - SII - PJOP - Airbus - WD1701094 - Flight and Integration Test CT1705359."/>
    <s v=""/>
    <s v="9"/>
    <s v="1 Each of WU_PROP_S_[PJO_SII_EVYP_FR_USD_AIRBUS_EN ]"/>
    <s v="1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/ C559"/>
    <n v="0"/>
    <s v=""/>
    <x v="7"/>
    <n v="0"/>
    <x v="0"/>
    <m/>
    <m/>
    <x v="1"/>
    <x v="0"/>
    <s v="ATA7X"/>
    <s v="SA"/>
    <m/>
    <x v="4"/>
    <m/>
    <m/>
    <x v="0"/>
    <x v="0"/>
    <x v="1"/>
    <s v=""/>
    <n v="3360"/>
    <n v="3360"/>
    <n v="0.90000000000000036"/>
    <n v="4.1666666666666683E-3"/>
    <n v="5.0999999999999996"/>
    <n v="2.361111111111111E-2"/>
    <n v="6"/>
    <n v="2.777777777777778E-2"/>
    <x v="1"/>
    <x v="0"/>
    <n v="3360"/>
    <n v="5.0999999999999996"/>
    <n v="0.90000000000000036"/>
    <n v="1.7"/>
    <n v="1.7"/>
    <n v="1.7"/>
    <s v=""/>
    <s v=""/>
    <s v=""/>
    <s v=""/>
    <s v=""/>
    <s v=""/>
    <s v=""/>
    <s v=""/>
    <s v=""/>
    <n v="0"/>
    <n v="1120"/>
    <n v="1120"/>
    <n v="1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1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0"/>
    <m/>
    <m/>
    <x v="1"/>
    <x v="0"/>
    <s v="ATA7X"/>
    <m/>
    <m/>
    <x v="5"/>
    <m/>
    <m/>
    <x v="1"/>
    <x v="1"/>
    <x v="5"/>
    <s v=""/>
    <n v="3360"/>
    <n v="94281.599999999991"/>
    <n v="25.254000000000008"/>
    <n v="0.11691666666666671"/>
    <n v="143.10599999999999"/>
    <n v="0.66252777777777772"/>
    <n v="168.36"/>
    <n v="0.77944444444444438"/>
    <x v="0"/>
    <x v="0"/>
    <n v="94281.599999999991"/>
    <n v="143.10599999999999"/>
    <n v="25.254000000000008"/>
    <s v=""/>
    <s v=""/>
    <s v=""/>
    <n v="47.701999999999998"/>
    <n v="47.701999999999998"/>
    <n v="47.701999999999998"/>
    <s v=""/>
    <s v=""/>
    <s v=""/>
    <s v=""/>
    <s v=""/>
    <s v=""/>
    <n v="0"/>
    <s v=""/>
    <s v=""/>
    <s v=""/>
    <n v="31427.199999999997"/>
    <n v="31427.199999999997"/>
    <n v="31427.199999999997"/>
    <s v=""/>
    <s v=""/>
    <s v=""/>
    <s v=""/>
    <s v=""/>
    <s v=""/>
    <n v="0"/>
    <m/>
    <m/>
    <m/>
    <m/>
    <m/>
    <m/>
    <m/>
    <m/>
    <m/>
    <m/>
    <m/>
    <m/>
    <n v="0"/>
    <s v=""/>
    <n v="0"/>
    <n v="28.06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0"/>
    <m/>
    <m/>
    <x v="0"/>
    <x v="0"/>
    <s v="ATA7X"/>
    <m/>
    <m/>
    <x v="5"/>
    <m/>
    <m/>
    <x v="2"/>
    <x v="2"/>
    <x v="6"/>
    <s v=""/>
    <n v="10120"/>
    <n v="109397.20000000001"/>
    <n v="29.835599999999999"/>
    <n v="0.13812777777777777"/>
    <n v="169.0684"/>
    <n v="0.78272407407407407"/>
    <n v="198.904"/>
    <n v="0.92085185185185181"/>
    <x v="0"/>
    <x v="0"/>
    <n v="109397.20000000001"/>
    <n v="169.0684"/>
    <n v="29.835599999999999"/>
    <s v=""/>
    <s v=""/>
    <s v=""/>
    <s v=""/>
    <s v=""/>
    <s v=""/>
    <n v="56.356133333333332"/>
    <n v="56.356133333333332"/>
    <n v="56.356133333333332"/>
    <s v=""/>
    <s v=""/>
    <s v=""/>
    <n v="0"/>
    <s v=""/>
    <s v=""/>
    <s v=""/>
    <s v=""/>
    <s v=""/>
    <s v=""/>
    <n v="36465.733333333337"/>
    <n v="36465.733333333337"/>
    <n v="36465.733333333337"/>
    <s v=""/>
    <s v=""/>
    <s v=""/>
    <n v="0"/>
    <m/>
    <m/>
    <m/>
    <m/>
    <m/>
    <m/>
    <m/>
    <m/>
    <m/>
    <m/>
    <m/>
    <m/>
    <n v="0"/>
    <s v=""/>
    <n v="0"/>
    <n v="10.81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0"/>
    <m/>
    <m/>
    <x v="0"/>
    <x v="0"/>
    <s v="ATA7X"/>
    <m/>
    <m/>
    <x v="5"/>
    <m/>
    <m/>
    <x v="3"/>
    <x v="3"/>
    <x v="6"/>
    <s v=""/>
    <n v="10120"/>
    <n v="109397.20000000001"/>
    <n v="29.835599999999999"/>
    <n v="0.13812777777777777"/>
    <n v="169.0684"/>
    <n v="0.78272407407407407"/>
    <n v="198.904"/>
    <n v="0.92085185185185181"/>
    <x v="0"/>
    <x v="0"/>
    <n v="109397.20000000001"/>
    <n v="169.0684"/>
    <n v="29.835599999999999"/>
    <s v=""/>
    <s v=""/>
    <s v=""/>
    <s v=""/>
    <s v=""/>
    <s v=""/>
    <s v=""/>
    <s v=""/>
    <s v=""/>
    <n v="56.356133333333332"/>
    <n v="56.356133333333332"/>
    <n v="56.356133333333332"/>
    <n v="0"/>
    <s v=""/>
    <s v=""/>
    <s v=""/>
    <s v=""/>
    <s v=""/>
    <s v=""/>
    <s v=""/>
    <s v=""/>
    <s v=""/>
    <n v="36465.733333333337"/>
    <n v="36465.733333333337"/>
    <n v="36465.733333333337"/>
    <n v="0"/>
    <m/>
    <m/>
    <m/>
    <m/>
    <m/>
    <m/>
    <m/>
    <m/>
    <m/>
    <m/>
    <m/>
    <m/>
    <n v="0"/>
    <s v=""/>
    <n v="0"/>
    <n v="10.81"/>
    <m/>
    <m/>
    <m/>
  </r>
  <r>
    <s v="C000187069"/>
    <n v="0"/>
    <s v="WPA - SII - PJOP - Airbus - WD1701094 - Flight and Integration Test CT1705359."/>
    <s v=""/>
    <s v="1"/>
    <s v="20 Each of WU_ELEC_2_[PJO_SII_EVYP_FR_USD_AIRBUS_EN ]"/>
    <s v="20.0"/>
    <n v="1120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9"/>
    <n v="0"/>
    <x v="1"/>
    <m/>
    <m/>
    <x v="2"/>
    <x v="1"/>
    <s v="ATA24"/>
    <m/>
    <m/>
    <x v="6"/>
    <m/>
    <m/>
    <x v="0"/>
    <x v="0"/>
    <x v="7"/>
    <s v=""/>
    <n v="560"/>
    <n v="11200"/>
    <n v="3.0000000000000004"/>
    <n v="1.3888888888888892E-2"/>
    <n v="17"/>
    <n v="7.8703703703703706E-2"/>
    <n v="20"/>
    <n v="9.2592592592592601E-2"/>
    <x v="1"/>
    <x v="0"/>
    <n v="11200"/>
    <n v="17"/>
    <n v="3.0000000000000004"/>
    <n v="5.666666666666667"/>
    <n v="5.666666666666667"/>
    <n v="5.666666666666667"/>
    <s v=""/>
    <s v=""/>
    <s v=""/>
    <s v=""/>
    <s v=""/>
    <s v=""/>
    <s v=""/>
    <s v=""/>
    <s v=""/>
    <n v="0"/>
    <n v="3733.3333333333335"/>
    <n v="3733.3333333333335"/>
    <n v="3733.3333333333335"/>
    <s v=""/>
    <s v=""/>
    <s v=""/>
    <s v=""/>
    <s v=""/>
    <s v=""/>
    <s v=""/>
    <s v=""/>
    <s v=""/>
    <n v="0"/>
    <m/>
    <m/>
    <m/>
    <m/>
    <m/>
    <m/>
    <m/>
    <m/>
    <m/>
    <m/>
    <m/>
    <m/>
    <n v="0"/>
    <n v="11200"/>
    <n v="0"/>
    <n v="20"/>
    <m/>
    <m/>
    <m/>
  </r>
  <r>
    <s v="C000187069"/>
    <n v="0"/>
    <s v="WPA - SII - PJOP - Airbus - WD1701094 - Flight and Integration Test CT1705359."/>
    <s v=""/>
    <s v="2"/>
    <s v="6 Each of WU_ELEC_2_[PJO_SII_EVYP_FR_USD_AIRBUS_EN ]"/>
    <s v="6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0"/>
    <n v="0"/>
    <x v="1"/>
    <m/>
    <m/>
    <x v="2"/>
    <x v="1"/>
    <s v="ATA24"/>
    <m/>
    <m/>
    <x v="7"/>
    <m/>
    <m/>
    <x v="0"/>
    <x v="0"/>
    <x v="8"/>
    <s v=""/>
    <n v="560"/>
    <n v="3360"/>
    <n v="0.90000000000000013"/>
    <n v="4.1666666666666675E-3"/>
    <n v="5.0999999999999996"/>
    <n v="2.361111111111111E-2"/>
    <n v="6"/>
    <n v="2.7777777777777776E-2"/>
    <x v="1"/>
    <x v="0"/>
    <n v="3360"/>
    <n v="5.0999999999999996"/>
    <n v="0.90000000000000013"/>
    <n v="1.7"/>
    <n v="1.7"/>
    <n v="1.7"/>
    <s v=""/>
    <s v=""/>
    <s v=""/>
    <s v=""/>
    <s v=""/>
    <s v=""/>
    <s v=""/>
    <s v=""/>
    <s v=""/>
    <n v="0"/>
    <n v="1120"/>
    <n v="1120"/>
    <n v="1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6"/>
    <m/>
    <m/>
    <m/>
  </r>
  <r>
    <s v="C000187069"/>
    <n v="0"/>
    <s v="WPA - SII - PJOP - Airbus - WD1701094 - Flight and Integration Test CT1705359."/>
    <s v=""/>
    <s v="3"/>
    <s v="6 Each of WU_ELEC_2_[PJO_SII_EVYP_FR_USD_AIRBUS_EN ]"/>
    <s v="6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1"/>
    <n v="0"/>
    <x v="1"/>
    <m/>
    <m/>
    <x v="2"/>
    <x v="1"/>
    <s v="ATA24"/>
    <m/>
    <m/>
    <x v="8"/>
    <m/>
    <m/>
    <x v="0"/>
    <x v="0"/>
    <x v="8"/>
    <s v=""/>
    <n v="560"/>
    <n v="3360"/>
    <n v="0.90000000000000013"/>
    <n v="4.1666666666666675E-3"/>
    <n v="5.0999999999999996"/>
    <n v="2.361111111111111E-2"/>
    <n v="6"/>
    <n v="2.7777777777777776E-2"/>
    <x v="1"/>
    <x v="0"/>
    <n v="3360"/>
    <n v="5.0999999999999996"/>
    <n v="0.90000000000000013"/>
    <n v="1.7"/>
    <n v="1.7"/>
    <n v="1.7"/>
    <s v=""/>
    <s v=""/>
    <s v=""/>
    <s v=""/>
    <s v=""/>
    <s v=""/>
    <s v=""/>
    <s v=""/>
    <s v=""/>
    <n v="0"/>
    <n v="1120"/>
    <n v="1120"/>
    <n v="1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6"/>
    <m/>
    <m/>
    <m/>
  </r>
  <r>
    <s v="C000187069"/>
    <n v="0"/>
    <s v="WPA - SII - PJOP - Airbus - WD1701094 - Flight and Integration Test CT1705359."/>
    <s v=""/>
    <s v="4"/>
    <s v="6 Each of WU_ELEC_2_[PJO_SII_EVYP_FR_USD_AIRBUS_EN ]"/>
    <s v="6.0"/>
    <n v="336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2"/>
    <n v="0"/>
    <x v="1"/>
    <m/>
    <m/>
    <x v="2"/>
    <x v="1"/>
    <s v="ATA24"/>
    <m/>
    <m/>
    <x v="9"/>
    <m/>
    <m/>
    <x v="0"/>
    <x v="0"/>
    <x v="8"/>
    <s v=""/>
    <n v="560"/>
    <n v="3360"/>
    <n v="0.90000000000000013"/>
    <n v="4.1666666666666675E-3"/>
    <n v="5.0999999999999996"/>
    <n v="2.361111111111111E-2"/>
    <n v="6"/>
    <n v="2.7777777777777776E-2"/>
    <x v="1"/>
    <x v="0"/>
    <n v="3360"/>
    <n v="5.0999999999999996"/>
    <n v="0.90000000000000013"/>
    <n v="1.7"/>
    <n v="1.7"/>
    <n v="1.7"/>
    <s v=""/>
    <s v=""/>
    <s v=""/>
    <s v=""/>
    <s v=""/>
    <s v=""/>
    <s v=""/>
    <s v=""/>
    <s v=""/>
    <n v="0"/>
    <n v="1120"/>
    <n v="1120"/>
    <n v="1120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60"/>
    <n v="0"/>
    <n v="6"/>
    <m/>
    <m/>
    <m/>
  </r>
  <r>
    <s v="C000187069"/>
    <n v="0"/>
    <s v="WPA - SII - PJOP - Airbus - WD1701094 - Flight and Integration Test CT1705359."/>
    <s v=""/>
    <s v="5"/>
    <s v="2 Each of WU_ELEC_1_[PJO_SII_EVYP_FR_USD_AIRBUS_EN ]"/>
    <s v="2.0"/>
    <n v="337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3"/>
    <n v="0"/>
    <x v="1"/>
    <m/>
    <m/>
    <x v="3"/>
    <x v="1"/>
    <s v="ATA24"/>
    <m/>
    <m/>
    <x v="10"/>
    <m/>
    <m/>
    <x v="0"/>
    <x v="0"/>
    <x v="4"/>
    <s v=""/>
    <n v="1685"/>
    <n v="3370"/>
    <n v="0.90000000000000036"/>
    <n v="4.1666666666666683E-3"/>
    <n v="5.0999999999999996"/>
    <n v="2.361111111111111E-2"/>
    <n v="6"/>
    <n v="2.777777777777778E-2"/>
    <x v="1"/>
    <x v="0"/>
    <n v="3370"/>
    <n v="5.0999999999999996"/>
    <n v="0.90000000000000036"/>
    <n v="1.7"/>
    <n v="1.7"/>
    <n v="1.7"/>
    <s v=""/>
    <s v=""/>
    <s v=""/>
    <s v=""/>
    <s v=""/>
    <s v=""/>
    <s v=""/>
    <s v=""/>
    <s v=""/>
    <n v="0"/>
    <n v="1123.3333333333333"/>
    <n v="1123.3333333333333"/>
    <n v="1123.3333333333333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70"/>
    <n v="0"/>
    <n v="2"/>
    <m/>
    <m/>
    <m/>
  </r>
  <r>
    <s v="C000187069"/>
    <n v="0"/>
    <s v="WPA - SII - PJOP - Airbus - WD1701094 - Flight and Integration Test CT1705359."/>
    <s v=""/>
    <s v="6"/>
    <s v="2 Each of WU_ELEC_1_[PJO_SII_EVYP_FR_USD_AIRBUS_EN ]"/>
    <s v="2.0"/>
    <n v="337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4"/>
    <n v="0"/>
    <x v="1"/>
    <m/>
    <m/>
    <x v="3"/>
    <x v="1"/>
    <s v="ATA24"/>
    <m/>
    <m/>
    <x v="11"/>
    <m/>
    <m/>
    <x v="0"/>
    <x v="0"/>
    <x v="4"/>
    <s v=""/>
    <n v="1685"/>
    <n v="3370"/>
    <n v="0.90000000000000036"/>
    <n v="4.1666666666666683E-3"/>
    <n v="5.0999999999999996"/>
    <n v="2.361111111111111E-2"/>
    <n v="6"/>
    <n v="2.777777777777778E-2"/>
    <x v="1"/>
    <x v="0"/>
    <n v="3370"/>
    <n v="5.0999999999999996"/>
    <n v="0.90000000000000036"/>
    <n v="1.7"/>
    <n v="1.7"/>
    <n v="1.7"/>
    <s v=""/>
    <s v=""/>
    <s v=""/>
    <s v=""/>
    <s v=""/>
    <s v=""/>
    <s v=""/>
    <s v=""/>
    <s v=""/>
    <n v="0"/>
    <n v="1123.3333333333333"/>
    <n v="1123.3333333333333"/>
    <n v="1123.3333333333333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70"/>
    <n v="0"/>
    <n v="2"/>
    <m/>
    <m/>
    <m/>
  </r>
  <r>
    <s v="C000187069"/>
    <n v="0"/>
    <s v="WPA - SII - PJOP - Airbus - WD1701094 - Flight and Integration Test CT1705359."/>
    <s v=""/>
    <s v="7"/>
    <s v="2 Each of WU_ELEC_2_[PJO_SII_EVYP_FR_USD_AIRBUS_EN ]"/>
    <s v="2.0"/>
    <n v="112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5"/>
    <n v="0"/>
    <x v="1"/>
    <m/>
    <m/>
    <x v="2"/>
    <x v="1"/>
    <s v="ATA24"/>
    <m/>
    <m/>
    <x v="12"/>
    <m/>
    <m/>
    <x v="0"/>
    <x v="0"/>
    <x v="4"/>
    <s v=""/>
    <n v="560"/>
    <n v="1120"/>
    <n v="0.30000000000000004"/>
    <n v="1.3888888888888892E-3"/>
    <n v="1.7"/>
    <n v="7.8703703703703696E-3"/>
    <n v="2"/>
    <n v="9.2592592592592587E-3"/>
    <x v="1"/>
    <x v="0"/>
    <n v="1120"/>
    <n v="1.7"/>
    <n v="0.30000000000000004"/>
    <n v="0.56666666666666665"/>
    <n v="0.56666666666666665"/>
    <n v="0.56666666666666665"/>
    <s v=""/>
    <s v=""/>
    <s v=""/>
    <s v=""/>
    <s v=""/>
    <s v=""/>
    <s v=""/>
    <s v=""/>
    <s v=""/>
    <n v="0"/>
    <n v="373.33333333333331"/>
    <n v="373.33333333333331"/>
    <n v="373.33333333333331"/>
    <s v=""/>
    <s v=""/>
    <s v=""/>
    <s v=""/>
    <s v=""/>
    <s v=""/>
    <s v=""/>
    <s v=""/>
    <s v=""/>
    <n v="0"/>
    <m/>
    <m/>
    <m/>
    <m/>
    <m/>
    <m/>
    <m/>
    <m/>
    <m/>
    <m/>
    <m/>
    <m/>
    <n v="0"/>
    <n v="1120"/>
    <n v="0"/>
    <n v="2"/>
    <m/>
    <m/>
    <m/>
  </r>
  <r>
    <s v="C000187069"/>
    <n v="0"/>
    <s v="WPA - SII - PJOP - Airbus - WD1701094 - Flight and Integration Test CT1705359."/>
    <s v=""/>
    <s v="8"/>
    <s v="2 Each of WU_ELEC_2_[PJO_SII_EVYP_FR_USD_AIRBUS_EN ]"/>
    <s v="2.0"/>
    <n v="112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6"/>
    <n v="0"/>
    <x v="1"/>
    <m/>
    <m/>
    <x v="2"/>
    <x v="1"/>
    <s v="ATA24"/>
    <m/>
    <m/>
    <x v="13"/>
    <m/>
    <m/>
    <x v="0"/>
    <x v="0"/>
    <x v="4"/>
    <s v=""/>
    <n v="560"/>
    <n v="1120"/>
    <n v="0.30000000000000004"/>
    <n v="1.3888888888888892E-3"/>
    <n v="1.7"/>
    <n v="7.8703703703703696E-3"/>
    <n v="2"/>
    <n v="9.2592592592592587E-3"/>
    <x v="1"/>
    <x v="0"/>
    <n v="1120"/>
    <n v="1.7"/>
    <n v="0.30000000000000004"/>
    <n v="0.56666666666666665"/>
    <n v="0.56666666666666665"/>
    <n v="0.56666666666666665"/>
    <s v=""/>
    <s v=""/>
    <s v=""/>
    <s v=""/>
    <s v=""/>
    <s v=""/>
    <s v=""/>
    <s v=""/>
    <s v=""/>
    <n v="0"/>
    <n v="373.33333333333331"/>
    <n v="373.33333333333331"/>
    <n v="373.33333333333331"/>
    <s v=""/>
    <s v=""/>
    <s v=""/>
    <s v=""/>
    <s v=""/>
    <s v=""/>
    <s v=""/>
    <s v=""/>
    <s v=""/>
    <n v="0"/>
    <m/>
    <m/>
    <m/>
    <m/>
    <m/>
    <m/>
    <m/>
    <m/>
    <m/>
    <m/>
    <m/>
    <m/>
    <n v="0"/>
    <n v="1120"/>
    <n v="0"/>
    <n v="2"/>
    <m/>
    <m/>
    <m/>
  </r>
  <r>
    <s v="C000187069"/>
    <n v="0"/>
    <s v="WPA - SII - PJOP - Airbus - WD1701094 - Flight and Integration Test CT1705359."/>
    <s v=""/>
    <s v="9"/>
    <s v="2 Each of WU_ELEC_2_[PJO_SII_EVYP_FR_USD_AIRBUS_EN ]"/>
    <s v="2.0"/>
    <n v="112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7"/>
    <n v="0"/>
    <x v="1"/>
    <m/>
    <m/>
    <x v="2"/>
    <x v="1"/>
    <s v="ATA24"/>
    <m/>
    <m/>
    <x v="14"/>
    <m/>
    <m/>
    <x v="0"/>
    <x v="0"/>
    <x v="4"/>
    <s v=""/>
    <n v="560"/>
    <n v="1120"/>
    <n v="0.30000000000000004"/>
    <n v="1.3888888888888892E-3"/>
    <n v="1.7"/>
    <n v="7.8703703703703696E-3"/>
    <n v="2"/>
    <n v="9.2592592592592587E-3"/>
    <x v="1"/>
    <x v="0"/>
    <n v="1120"/>
    <n v="1.7"/>
    <n v="0.30000000000000004"/>
    <n v="0.56666666666666665"/>
    <n v="0.56666666666666665"/>
    <n v="0.56666666666666665"/>
    <s v=""/>
    <s v=""/>
    <s v=""/>
    <s v=""/>
    <s v=""/>
    <s v=""/>
    <s v=""/>
    <s v=""/>
    <s v=""/>
    <n v="0"/>
    <n v="373.33333333333331"/>
    <n v="373.33333333333331"/>
    <n v="373.33333333333331"/>
    <s v=""/>
    <s v=""/>
    <s v=""/>
    <s v=""/>
    <s v=""/>
    <s v=""/>
    <s v=""/>
    <s v=""/>
    <s v=""/>
    <n v="0"/>
    <m/>
    <m/>
    <m/>
    <m/>
    <m/>
    <m/>
    <m/>
    <m/>
    <m/>
    <m/>
    <m/>
    <m/>
    <n v="0"/>
    <n v="1120"/>
    <n v="0"/>
    <n v="2"/>
    <m/>
    <m/>
    <m/>
  </r>
  <r>
    <s v="C000187069"/>
    <n v="0"/>
    <s v="WPA - SII - PJOP - Airbus - WD1701094 - Flight and Integration Test CT1705359."/>
    <s v=""/>
    <s v="10"/>
    <s v="30 Each of WU_ELEC_1_[PJO_SII_EVYP_FR_USD_AIRBUS_EN ]"/>
    <s v="30.0"/>
    <n v="5055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8"/>
    <n v="0"/>
    <x v="1"/>
    <m/>
    <m/>
    <x v="3"/>
    <x v="1"/>
    <s v="ATA24"/>
    <m/>
    <m/>
    <x v="15"/>
    <m/>
    <m/>
    <x v="0"/>
    <x v="0"/>
    <x v="9"/>
    <s v=""/>
    <n v="1685"/>
    <n v="50550"/>
    <n v="13.500000000000005"/>
    <n v="6.2500000000000028E-2"/>
    <n v="76.5"/>
    <n v="0.35416666666666669"/>
    <n v="90"/>
    <n v="0.41666666666666674"/>
    <x v="1"/>
    <x v="0"/>
    <n v="50550"/>
    <n v="76.5"/>
    <n v="13.500000000000005"/>
    <n v="25.5"/>
    <n v="25.5"/>
    <n v="25.5"/>
    <s v=""/>
    <s v=""/>
    <s v=""/>
    <s v=""/>
    <s v=""/>
    <s v=""/>
    <s v=""/>
    <s v=""/>
    <s v=""/>
    <n v="0"/>
    <n v="16850"/>
    <n v="16850"/>
    <n v="16850"/>
    <s v=""/>
    <s v=""/>
    <s v=""/>
    <s v=""/>
    <s v=""/>
    <s v=""/>
    <s v=""/>
    <s v=""/>
    <s v=""/>
    <n v="0"/>
    <m/>
    <m/>
    <m/>
    <m/>
    <m/>
    <m/>
    <m/>
    <m/>
    <m/>
    <m/>
    <m/>
    <m/>
    <n v="0"/>
    <n v="50550"/>
    <n v="0"/>
    <n v="30"/>
    <m/>
    <m/>
    <m/>
  </r>
  <r>
    <s v="C000187069"/>
    <n v="0"/>
    <s v="WPA - SII - PJOP - Airbus - WD1701094 - Flight and Integration Test CT1705359."/>
    <s v=""/>
    <s v="11"/>
    <s v="30 Each of WU_ELEC_2_[PJO_SII_EVYP_FR_USD_AIRBUS_EN ]"/>
    <s v="30.0"/>
    <n v="1680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19"/>
    <n v="0"/>
    <x v="1"/>
    <m/>
    <m/>
    <x v="2"/>
    <x v="1"/>
    <s v="ATA24"/>
    <m/>
    <m/>
    <x v="16"/>
    <m/>
    <m/>
    <x v="0"/>
    <x v="0"/>
    <x v="9"/>
    <s v=""/>
    <n v="560"/>
    <n v="16800"/>
    <n v="4.5000000000000009"/>
    <n v="2.0833333333333339E-2"/>
    <n v="25.5"/>
    <n v="0.11805555555555555"/>
    <n v="30"/>
    <n v="0.1388888888888889"/>
    <x v="1"/>
    <x v="0"/>
    <n v="16800"/>
    <n v="25.5"/>
    <n v="4.5000000000000009"/>
    <n v="8.5"/>
    <n v="8.5"/>
    <n v="8.5"/>
    <s v=""/>
    <s v=""/>
    <s v=""/>
    <s v=""/>
    <s v=""/>
    <s v=""/>
    <s v=""/>
    <s v=""/>
    <s v=""/>
    <n v="0"/>
    <n v="5600"/>
    <n v="5600"/>
    <n v="5600"/>
    <s v=""/>
    <s v=""/>
    <s v=""/>
    <s v=""/>
    <s v=""/>
    <s v=""/>
    <s v=""/>
    <s v=""/>
    <s v=""/>
    <n v="0"/>
    <m/>
    <m/>
    <m/>
    <m/>
    <m/>
    <m/>
    <m/>
    <m/>
    <m/>
    <m/>
    <m/>
    <m/>
    <n v="0"/>
    <n v="16800"/>
    <n v="0"/>
    <n v="30"/>
    <m/>
    <m/>
    <m/>
  </r>
  <r>
    <s v="C000187069"/>
    <n v="0"/>
    <s v="WPA - SII - PJOP - Airbus - WD1701094 - Flight and Integration Test CT1705359."/>
    <s v=""/>
    <s v="12"/>
    <s v="10 Each of WU_ELEC_1_[PJO_SII_EVYP_FR_USD_AIRBUS_EN ]"/>
    <s v="10.0"/>
    <n v="1685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20"/>
    <n v="0"/>
    <x v="1"/>
    <m/>
    <m/>
    <x v="3"/>
    <x v="1"/>
    <s v="ATA24"/>
    <m/>
    <m/>
    <x v="17"/>
    <m/>
    <m/>
    <x v="0"/>
    <x v="0"/>
    <x v="10"/>
    <s v=""/>
    <n v="1685"/>
    <n v="16850"/>
    <n v="4.5000000000000018"/>
    <n v="2.0833333333333343E-2"/>
    <n v="25.5"/>
    <n v="0.11805555555555555"/>
    <n v="30"/>
    <n v="0.1388888888888889"/>
    <x v="1"/>
    <x v="0"/>
    <n v="16850"/>
    <n v="25.5"/>
    <n v="4.5000000000000018"/>
    <n v="8.5"/>
    <n v="8.5"/>
    <n v="8.5"/>
    <s v=""/>
    <s v=""/>
    <s v=""/>
    <s v=""/>
    <s v=""/>
    <s v=""/>
    <s v=""/>
    <s v=""/>
    <s v=""/>
    <n v="0"/>
    <n v="5616.666666666667"/>
    <n v="5616.666666666667"/>
    <n v="5616.666666666667"/>
    <s v=""/>
    <s v=""/>
    <s v=""/>
    <s v=""/>
    <s v=""/>
    <s v=""/>
    <s v=""/>
    <s v=""/>
    <s v=""/>
    <n v="0"/>
    <m/>
    <m/>
    <m/>
    <m/>
    <m/>
    <m/>
    <m/>
    <m/>
    <m/>
    <m/>
    <m/>
    <m/>
    <n v="0"/>
    <n v="16850"/>
    <n v="0"/>
    <n v="10"/>
    <m/>
    <m/>
    <m/>
  </r>
  <r>
    <s v="C000187069"/>
    <n v="0"/>
    <s v="WPA - SII - PJOP - Airbus - WD1701094 - Flight and Integration Test CT1705359."/>
    <s v=""/>
    <s v="13"/>
    <s v="2 Each of WU_ELEC_1_[PJO_SII_EVYP_FR_USD_AIRBUS_EN ]"/>
    <s v="2.0"/>
    <n v="337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21"/>
    <n v="0"/>
    <x v="1"/>
    <m/>
    <m/>
    <x v="3"/>
    <x v="1"/>
    <s v="ATA24"/>
    <m/>
    <m/>
    <x v="18"/>
    <m/>
    <m/>
    <x v="0"/>
    <x v="0"/>
    <x v="4"/>
    <s v=""/>
    <n v="1685"/>
    <n v="3370"/>
    <n v="0.90000000000000036"/>
    <n v="4.1666666666666683E-3"/>
    <n v="5.0999999999999996"/>
    <n v="2.361111111111111E-2"/>
    <n v="6"/>
    <n v="2.777777777777778E-2"/>
    <x v="1"/>
    <x v="0"/>
    <n v="3370"/>
    <n v="5.0999999999999996"/>
    <n v="0.90000000000000036"/>
    <n v="1.7"/>
    <n v="1.7"/>
    <n v="1.7"/>
    <s v=""/>
    <s v=""/>
    <s v=""/>
    <s v=""/>
    <s v=""/>
    <s v=""/>
    <s v=""/>
    <s v=""/>
    <s v=""/>
    <n v="0"/>
    <n v="1123.3333333333333"/>
    <n v="1123.3333333333333"/>
    <n v="1123.3333333333333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70"/>
    <n v="0"/>
    <n v="2"/>
    <m/>
    <m/>
    <m/>
  </r>
  <r>
    <s v="C000187069"/>
    <n v="0"/>
    <s v="WPA - SII - PJOP - Airbus - WD1701094 - Flight and Integration Test CT1705359."/>
    <s v=""/>
    <s v="14"/>
    <s v="2 Each of WU_ELEC_1_[PJO_SII_EVYP_FR_USD_AIRBUS_EN ]"/>
    <s v="2.0"/>
    <n v="337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22"/>
    <n v="0"/>
    <x v="1"/>
    <m/>
    <m/>
    <x v="3"/>
    <x v="1"/>
    <s v="ATA24"/>
    <m/>
    <m/>
    <x v="19"/>
    <m/>
    <m/>
    <x v="0"/>
    <x v="0"/>
    <x v="4"/>
    <s v=""/>
    <n v="1685"/>
    <n v="3370"/>
    <n v="0.90000000000000036"/>
    <n v="4.1666666666666683E-3"/>
    <n v="5.0999999999999996"/>
    <n v="2.361111111111111E-2"/>
    <n v="6"/>
    <n v="2.777777777777778E-2"/>
    <x v="1"/>
    <x v="0"/>
    <n v="3370"/>
    <n v="5.0999999999999996"/>
    <n v="0.90000000000000036"/>
    <n v="1.7"/>
    <n v="1.7"/>
    <n v="1.7"/>
    <s v=""/>
    <s v=""/>
    <s v=""/>
    <s v=""/>
    <s v=""/>
    <s v=""/>
    <s v=""/>
    <s v=""/>
    <s v=""/>
    <n v="0"/>
    <n v="1123.3333333333333"/>
    <n v="1123.3333333333333"/>
    <n v="1123.3333333333333"/>
    <s v=""/>
    <s v=""/>
    <s v=""/>
    <s v=""/>
    <s v=""/>
    <s v=""/>
    <s v=""/>
    <s v=""/>
    <s v=""/>
    <n v="0"/>
    <m/>
    <m/>
    <m/>
    <m/>
    <m/>
    <m/>
    <m/>
    <m/>
    <m/>
    <m/>
    <m/>
    <m/>
    <n v="0"/>
    <n v="3370"/>
    <n v="0"/>
    <n v="2"/>
    <m/>
    <m/>
    <m/>
  </r>
  <r>
    <s v="C000187069"/>
    <n v="0"/>
    <s v="WPA - SII - PJOP - Airbus - WD1701094 - Flight and Integration Test CT1705359."/>
    <s v=""/>
    <s v="15"/>
    <s v="30 Each of WU_ELEC_1_[PJO_SII_EVYP_FR_USD_AIRBUS_EN ]"/>
    <s v="30.0"/>
    <n v="5055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23"/>
    <n v="0"/>
    <x v="1"/>
    <m/>
    <m/>
    <x v="3"/>
    <x v="1"/>
    <s v="ATA24"/>
    <m/>
    <m/>
    <x v="20"/>
    <m/>
    <m/>
    <x v="0"/>
    <x v="0"/>
    <x v="9"/>
    <s v=""/>
    <n v="1685"/>
    <n v="50550"/>
    <n v="13.500000000000005"/>
    <n v="6.2500000000000028E-2"/>
    <n v="76.5"/>
    <n v="0.35416666666666669"/>
    <n v="90"/>
    <n v="0.41666666666666674"/>
    <x v="1"/>
    <x v="0"/>
    <n v="50550"/>
    <n v="76.5"/>
    <n v="13.500000000000005"/>
    <n v="25.5"/>
    <n v="25.5"/>
    <n v="25.5"/>
    <s v=""/>
    <s v=""/>
    <s v=""/>
    <s v=""/>
    <s v=""/>
    <s v=""/>
    <s v=""/>
    <s v=""/>
    <s v=""/>
    <n v="0"/>
    <n v="16850"/>
    <n v="16850"/>
    <n v="16850"/>
    <s v=""/>
    <s v=""/>
    <s v=""/>
    <s v=""/>
    <s v=""/>
    <s v=""/>
    <s v=""/>
    <s v=""/>
    <s v=""/>
    <n v="0"/>
    <m/>
    <m/>
    <m/>
    <m/>
    <m/>
    <m/>
    <m/>
    <m/>
    <m/>
    <m/>
    <m/>
    <m/>
    <n v="0"/>
    <n v="50550"/>
    <n v="0"/>
    <n v="30"/>
    <m/>
    <m/>
    <m/>
  </r>
  <r>
    <s v="C000187069"/>
    <n v="0"/>
    <s v="WPA - SII - PJOP - Airbus - WD1701094 - Flight and Integration Test CT1705359."/>
    <s v=""/>
    <s v="16"/>
    <s v="10 Each of WU_ELEC_1_[PJO_SII_EVYP_FR_USD_AIRBUS_EN ]"/>
    <s v="10.0"/>
    <n v="16850"/>
    <n v="0"/>
    <s v="0"/>
    <s v=""/>
    <s v=""/>
    <s v="0"/>
    <s v=""/>
    <s v=""/>
    <s v="0"/>
    <n v="0"/>
    <s v=""/>
    <s v="&lt;span class=&quot;show none&quot; role=&quot;button&quot;&gt;None&lt;/span&gt;"/>
    <s v=""/>
    <s v="M24 / A559"/>
    <n v="0"/>
    <s v=""/>
    <x v="24"/>
    <n v="0"/>
    <x v="1"/>
    <m/>
    <m/>
    <x v="3"/>
    <x v="1"/>
    <s v="ATA24"/>
    <m/>
    <m/>
    <x v="21"/>
    <m/>
    <m/>
    <x v="0"/>
    <x v="0"/>
    <x v="10"/>
    <s v=""/>
    <n v="1685"/>
    <n v="16850"/>
    <n v="4.5000000000000018"/>
    <n v="2.0833333333333343E-2"/>
    <n v="25.5"/>
    <n v="0.11805555555555555"/>
    <n v="30"/>
    <n v="0.1388888888888889"/>
    <x v="1"/>
    <x v="0"/>
    <n v="16850"/>
    <n v="25.5"/>
    <n v="4.5000000000000018"/>
    <n v="8.5"/>
    <n v="8.5"/>
    <n v="8.5"/>
    <s v=""/>
    <s v=""/>
    <s v=""/>
    <s v=""/>
    <s v=""/>
    <s v=""/>
    <s v=""/>
    <s v=""/>
    <s v=""/>
    <n v="0"/>
    <n v="5616.666666666667"/>
    <n v="5616.666666666667"/>
    <n v="5616.666666666667"/>
    <s v=""/>
    <s v=""/>
    <s v=""/>
    <s v=""/>
    <s v=""/>
    <s v=""/>
    <s v=""/>
    <s v=""/>
    <s v=""/>
    <n v="0"/>
    <m/>
    <m/>
    <m/>
    <m/>
    <m/>
    <m/>
    <m/>
    <m/>
    <m/>
    <m/>
    <m/>
    <m/>
    <n v="0"/>
    <n v="16850"/>
    <n v="0"/>
    <n v="10"/>
    <m/>
    <m/>
    <m/>
  </r>
  <r>
    <s v="C000214730"/>
    <n v="0"/>
    <n v="0"/>
    <s v=""/>
    <s v="1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25"/>
    <n v="0"/>
    <x v="1"/>
    <m/>
    <m/>
    <x v="4"/>
    <x v="2"/>
    <s v="ATA28/32"/>
    <s v="A350"/>
    <m/>
    <x v="22"/>
    <m/>
    <m/>
    <x v="0"/>
    <x v="0"/>
    <x v="0"/>
    <n v="-3"/>
    <n v="580"/>
    <n v="1740"/>
    <n v="0.45000000000000007"/>
    <n v="2.0833333333333337E-3"/>
    <n v="2.5499999999999998"/>
    <n v="1.1805555555555555E-2"/>
    <n v="3"/>
    <n v="1.3888888888888888E-2"/>
    <x v="1"/>
    <x v="0"/>
    <n v="1740"/>
    <n v="2.5499999999999998"/>
    <n v="0.45000000000000007"/>
    <n v="0.85"/>
    <n v="0.85"/>
    <n v="0.85"/>
    <s v=""/>
    <s v=""/>
    <s v=""/>
    <s v=""/>
    <s v=""/>
    <s v=""/>
    <s v=""/>
    <s v=""/>
    <s v=""/>
    <n v="0"/>
    <n v="580"/>
    <n v="580"/>
    <n v="580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3"/>
    <m/>
    <m/>
    <m/>
  </r>
  <r>
    <s v="C000214730"/>
    <n v="0"/>
    <n v="0"/>
    <s v=""/>
    <s v="2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26"/>
    <n v="0"/>
    <x v="1"/>
    <m/>
    <m/>
    <x v="5"/>
    <x v="2"/>
    <s v="ATA28/32"/>
    <s v="A350"/>
    <m/>
    <x v="23"/>
    <m/>
    <m/>
    <x v="0"/>
    <x v="0"/>
    <x v="4"/>
    <n v="-2"/>
    <n v="2800"/>
    <n v="5600"/>
    <n v="1.5"/>
    <n v="6.9444444444444441E-3"/>
    <n v="8.5"/>
    <n v="3.9351851851851853E-2"/>
    <n v="10"/>
    <n v="4.6296296296296294E-2"/>
    <x v="1"/>
    <x v="0"/>
    <n v="5600"/>
    <n v="8.5"/>
    <n v="1.5"/>
    <n v="2.8333333333333335"/>
    <n v="2.8333333333333335"/>
    <n v="2.8333333333333335"/>
    <s v=""/>
    <s v=""/>
    <s v=""/>
    <s v=""/>
    <s v=""/>
    <s v=""/>
    <s v=""/>
    <s v=""/>
    <s v=""/>
    <n v="0"/>
    <n v="1866.6666666666667"/>
    <n v="1866.6666666666667"/>
    <n v="1866.6666666666667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2"/>
    <m/>
    <m/>
    <m/>
  </r>
  <r>
    <s v="C000214730"/>
    <n v="0"/>
    <n v="0"/>
    <s v=""/>
    <s v="3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27"/>
    <n v="0"/>
    <x v="1"/>
    <m/>
    <m/>
    <x v="5"/>
    <x v="2"/>
    <s v="ATA28/32"/>
    <s v="A350"/>
    <m/>
    <x v="24"/>
    <m/>
    <m/>
    <x v="0"/>
    <x v="0"/>
    <x v="4"/>
    <n v="-2"/>
    <n v="2800"/>
    <n v="5600"/>
    <n v="1.5"/>
    <n v="6.9444444444444441E-3"/>
    <n v="8.5"/>
    <n v="3.9351851851851853E-2"/>
    <n v="10"/>
    <n v="4.6296296296296294E-2"/>
    <x v="1"/>
    <x v="0"/>
    <n v="5600"/>
    <n v="8.5"/>
    <n v="1.5"/>
    <n v="2.8333333333333335"/>
    <n v="2.8333333333333335"/>
    <n v="2.8333333333333335"/>
    <s v=""/>
    <s v=""/>
    <s v=""/>
    <s v=""/>
    <s v=""/>
    <s v=""/>
    <s v=""/>
    <s v=""/>
    <s v=""/>
    <n v="0"/>
    <n v="1866.6666666666667"/>
    <n v="1866.6666666666667"/>
    <n v="1866.6666666666667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2"/>
    <m/>
    <m/>
    <m/>
  </r>
  <r>
    <s v="C000214730"/>
    <n v="0"/>
    <n v="0"/>
    <s v=""/>
    <s v="4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28"/>
    <n v="0"/>
    <x v="1"/>
    <m/>
    <m/>
    <x v="4"/>
    <x v="2"/>
    <s v="ATA28/32"/>
    <s v="A350"/>
    <m/>
    <x v="25"/>
    <m/>
    <m/>
    <x v="0"/>
    <x v="0"/>
    <x v="1"/>
    <n v="-1"/>
    <n v="580"/>
    <n v="580"/>
    <n v="0.15000000000000002"/>
    <n v="6.9444444444444458E-4"/>
    <n v="0.85"/>
    <n v="3.9351851851851848E-3"/>
    <n v="1"/>
    <n v="4.6296296296296294E-3"/>
    <x v="1"/>
    <x v="0"/>
    <n v="580"/>
    <n v="0.85"/>
    <n v="0.15000000000000002"/>
    <n v="0.28333333333333333"/>
    <n v="0.28333333333333333"/>
    <n v="0.28333333333333333"/>
    <s v=""/>
    <s v=""/>
    <s v=""/>
    <s v=""/>
    <s v=""/>
    <s v=""/>
    <s v=""/>
    <s v=""/>
    <s v=""/>
    <n v="0"/>
    <n v="193.33333333333334"/>
    <n v="193.33333333333334"/>
    <n v="193.33333333333334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1"/>
    <m/>
    <m/>
    <m/>
  </r>
  <r>
    <s v="C000214730"/>
    <n v="0"/>
    <n v="0"/>
    <s v=""/>
    <s v="5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29"/>
    <n v="0"/>
    <x v="1"/>
    <m/>
    <m/>
    <x v="5"/>
    <x v="2"/>
    <s v="ATA28/32"/>
    <s v="A350"/>
    <m/>
    <x v="26"/>
    <m/>
    <m/>
    <x v="0"/>
    <x v="0"/>
    <x v="11"/>
    <n v="-25"/>
    <n v="2800"/>
    <n v="70000"/>
    <n v="18.75"/>
    <n v="8.6805555555555552E-2"/>
    <n v="106.25"/>
    <n v="0.49189814814814814"/>
    <n v="125"/>
    <n v="0.57870370370370372"/>
    <x v="1"/>
    <x v="0"/>
    <n v="70000"/>
    <n v="106.25"/>
    <n v="18.75"/>
    <n v="35.416666666666664"/>
    <n v="35.416666666666664"/>
    <n v="35.416666666666664"/>
    <s v=""/>
    <s v=""/>
    <s v=""/>
    <s v=""/>
    <s v=""/>
    <s v=""/>
    <s v=""/>
    <s v=""/>
    <s v=""/>
    <n v="0"/>
    <n v="23333.333333333332"/>
    <n v="23333.333333333332"/>
    <n v="23333.333333333332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25"/>
    <m/>
    <m/>
    <m/>
  </r>
  <r>
    <s v="C000214730"/>
    <n v="0"/>
    <n v="0"/>
    <s v=""/>
    <s v="6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30"/>
    <n v="0"/>
    <x v="1"/>
    <m/>
    <m/>
    <x v="4"/>
    <x v="2"/>
    <s v="ATA28/32"/>
    <s v="A350"/>
    <m/>
    <x v="26"/>
    <m/>
    <m/>
    <x v="0"/>
    <x v="0"/>
    <x v="0"/>
    <n v="-3"/>
    <n v="580"/>
    <n v="1740"/>
    <n v="0.45000000000000007"/>
    <n v="2.0833333333333337E-3"/>
    <n v="2.5499999999999998"/>
    <n v="1.1805555555555555E-2"/>
    <n v="3"/>
    <n v="1.3888888888888888E-2"/>
    <x v="1"/>
    <x v="0"/>
    <n v="1740"/>
    <n v="2.5499999999999998"/>
    <n v="0.45000000000000007"/>
    <n v="0.85"/>
    <n v="0.85"/>
    <n v="0.85"/>
    <s v=""/>
    <s v=""/>
    <s v=""/>
    <s v=""/>
    <s v=""/>
    <s v=""/>
    <s v=""/>
    <s v=""/>
    <s v=""/>
    <n v="0"/>
    <n v="580"/>
    <n v="580"/>
    <n v="580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3"/>
    <m/>
    <m/>
    <m/>
  </r>
  <r>
    <s v="C000214730"/>
    <n v="0"/>
    <n v="0"/>
    <s v=""/>
    <s v="7"/>
    <n v="0"/>
    <n v="0"/>
    <n v="0"/>
    <n v="0"/>
    <d v="1899-12-30T00:00:00"/>
    <s v=""/>
    <s v=""/>
    <n v="0"/>
    <n v="0"/>
    <n v="0"/>
    <n v="0"/>
    <n v="0"/>
    <s v=""/>
    <n v="0"/>
    <s v=""/>
    <n v="0"/>
    <n v="0"/>
    <s v=""/>
    <x v="31"/>
    <n v="0"/>
    <x v="1"/>
    <m/>
    <m/>
    <x v="5"/>
    <x v="2"/>
    <s v="ATA28/32"/>
    <s v="A350"/>
    <m/>
    <x v="27"/>
    <m/>
    <m/>
    <x v="0"/>
    <x v="0"/>
    <x v="4"/>
    <n v="-2"/>
    <n v="2800"/>
    <n v="5600"/>
    <n v="1.5"/>
    <n v="6.9444444444444441E-3"/>
    <n v="8.5"/>
    <n v="3.9351851851851853E-2"/>
    <n v="10"/>
    <n v="4.6296296296296294E-2"/>
    <x v="1"/>
    <x v="0"/>
    <n v="5600"/>
    <n v="8.5"/>
    <n v="1.5"/>
    <n v="2.8333333333333335"/>
    <n v="2.8333333333333335"/>
    <n v="2.8333333333333335"/>
    <s v=""/>
    <s v=""/>
    <s v=""/>
    <s v=""/>
    <s v=""/>
    <s v=""/>
    <s v=""/>
    <s v=""/>
    <s v=""/>
    <n v="0"/>
    <n v="1866.6666666666667"/>
    <n v="1866.6666666666667"/>
    <n v="1866.6666666666667"/>
    <s v=""/>
    <s v=""/>
    <s v=""/>
    <s v=""/>
    <s v=""/>
    <s v=""/>
    <s v=""/>
    <s v=""/>
    <s v=""/>
    <n v="0"/>
    <m/>
    <m/>
    <m/>
    <m/>
    <m/>
    <m/>
    <m/>
    <m/>
    <m/>
    <m/>
    <m/>
    <m/>
    <n v="0"/>
    <n v="0"/>
    <n v="0"/>
    <n v="2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2"/>
    <x v="1"/>
    <s v="ATA24"/>
    <m/>
    <m/>
    <x v="28"/>
    <m/>
    <m/>
    <x v="0"/>
    <x v="0"/>
    <x v="12"/>
    <s v=""/>
    <n v="560"/>
    <n v="110880"/>
    <n v="29.700000000000003"/>
    <n v="0.13750000000000001"/>
    <n v="168.29999999999998"/>
    <n v="0.77916666666666656"/>
    <n v="198"/>
    <n v="0.91666666666666652"/>
    <x v="1"/>
    <x v="0"/>
    <n v="110880"/>
    <n v="168.29999999999998"/>
    <n v="29.700000000000003"/>
    <n v="56.099999999999994"/>
    <n v="56.099999999999994"/>
    <n v="56.099999999999994"/>
    <s v=""/>
    <s v=""/>
    <s v=""/>
    <s v=""/>
    <s v=""/>
    <s v=""/>
    <s v=""/>
    <s v=""/>
    <s v=""/>
    <n v="0"/>
    <n v="36960"/>
    <n v="36960"/>
    <n v="36960"/>
    <s v=""/>
    <s v=""/>
    <s v=""/>
    <s v=""/>
    <s v=""/>
    <s v=""/>
    <s v=""/>
    <s v=""/>
    <s v=""/>
    <n v="0"/>
    <m/>
    <m/>
    <m/>
    <m/>
    <m/>
    <m/>
    <m/>
    <m/>
    <m/>
    <m/>
    <m/>
    <m/>
    <n v="0"/>
    <s v=""/>
    <n v="0"/>
    <n v="198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2"/>
    <x v="1"/>
    <s v="ATA24"/>
    <m/>
    <m/>
    <x v="29"/>
    <m/>
    <m/>
    <x v="1"/>
    <x v="1"/>
    <x v="13"/>
    <s v=""/>
    <n v="560"/>
    <n v="399840"/>
    <n v="107.10000000000002"/>
    <n v="0.49583333333333346"/>
    <n v="606.9"/>
    <n v="2.8097222222222222"/>
    <n v="714"/>
    <n v="3.3055555555555558"/>
    <x v="0"/>
    <x v="0"/>
    <n v="399840"/>
    <n v="606.9"/>
    <n v="107.10000000000002"/>
    <s v=""/>
    <s v=""/>
    <s v=""/>
    <n v="202.29999999999998"/>
    <n v="202.29999999999998"/>
    <n v="202.29999999999998"/>
    <s v=""/>
    <s v=""/>
    <s v=""/>
    <s v=""/>
    <s v=""/>
    <s v=""/>
    <n v="0"/>
    <s v=""/>
    <s v=""/>
    <s v=""/>
    <n v="133280"/>
    <n v="133280"/>
    <n v="133280"/>
    <s v=""/>
    <s v=""/>
    <s v=""/>
    <s v=""/>
    <s v=""/>
    <s v=""/>
    <n v="0"/>
    <m/>
    <m/>
    <m/>
    <m/>
    <m/>
    <m/>
    <m/>
    <m/>
    <m/>
    <m/>
    <m/>
    <m/>
    <n v="0"/>
    <s v=""/>
    <n v="0"/>
    <n v="714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2"/>
    <x v="1"/>
    <s v="ATA24"/>
    <m/>
    <m/>
    <x v="30"/>
    <m/>
    <m/>
    <x v="2"/>
    <x v="2"/>
    <x v="13"/>
    <s v=""/>
    <n v="560"/>
    <n v="399840"/>
    <n v="107.10000000000002"/>
    <n v="0.49583333333333346"/>
    <n v="606.9"/>
    <n v="2.8097222222222222"/>
    <n v="714"/>
    <n v="3.3055555555555558"/>
    <x v="0"/>
    <x v="0"/>
    <n v="399840"/>
    <n v="606.9"/>
    <n v="107.10000000000002"/>
    <s v=""/>
    <s v=""/>
    <s v=""/>
    <s v=""/>
    <s v=""/>
    <s v=""/>
    <n v="202.29999999999998"/>
    <n v="202.29999999999998"/>
    <n v="202.29999999999998"/>
    <s v=""/>
    <s v=""/>
    <s v=""/>
    <n v="0"/>
    <s v=""/>
    <s v=""/>
    <s v=""/>
    <s v=""/>
    <s v=""/>
    <s v=""/>
    <n v="133280"/>
    <n v="133280"/>
    <n v="133280"/>
    <s v=""/>
    <s v=""/>
    <s v=""/>
    <n v="0"/>
    <m/>
    <m/>
    <m/>
    <m/>
    <m/>
    <m/>
    <m/>
    <m/>
    <m/>
    <m/>
    <m/>
    <m/>
    <n v="0"/>
    <s v=""/>
    <n v="0"/>
    <n v="714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2"/>
    <x v="1"/>
    <s v="ATA24"/>
    <m/>
    <m/>
    <x v="31"/>
    <m/>
    <m/>
    <x v="3"/>
    <x v="3"/>
    <x v="13"/>
    <s v=""/>
    <n v="560"/>
    <n v="399840"/>
    <n v="107.10000000000002"/>
    <n v="0.49583333333333346"/>
    <n v="606.9"/>
    <n v="2.8097222222222222"/>
    <n v="714"/>
    <n v="3.3055555555555558"/>
    <x v="0"/>
    <x v="0"/>
    <n v="399840"/>
    <n v="606.9"/>
    <n v="107.10000000000002"/>
    <s v=""/>
    <s v=""/>
    <s v=""/>
    <s v=""/>
    <s v=""/>
    <s v=""/>
    <s v=""/>
    <s v=""/>
    <s v=""/>
    <n v="202.29999999999998"/>
    <n v="202.29999999999998"/>
    <n v="202.29999999999998"/>
    <n v="0"/>
    <s v=""/>
    <s v=""/>
    <s v=""/>
    <s v=""/>
    <s v=""/>
    <s v=""/>
    <s v=""/>
    <s v=""/>
    <s v=""/>
    <n v="133280"/>
    <n v="133280"/>
    <n v="133280"/>
    <n v="0"/>
    <m/>
    <m/>
    <m/>
    <m/>
    <m/>
    <m/>
    <m/>
    <m/>
    <m/>
    <m/>
    <m/>
    <m/>
    <n v="0"/>
    <s v=""/>
    <n v="0"/>
    <n v="714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4"/>
    <x v="2"/>
    <s v="ATA28/32"/>
    <m/>
    <m/>
    <x v="32"/>
    <m/>
    <m/>
    <x v="1"/>
    <x v="1"/>
    <x v="14"/>
    <s v=""/>
    <n v="580"/>
    <n v="93960"/>
    <n v="24.300000000000004"/>
    <n v="0.11250000000000002"/>
    <n v="137.69999999999999"/>
    <n v="0.63749999999999996"/>
    <n v="162"/>
    <n v="0.75"/>
    <x v="0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162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4"/>
    <x v="2"/>
    <s v="ATA28/32"/>
    <m/>
    <m/>
    <x v="32"/>
    <m/>
    <m/>
    <x v="2"/>
    <x v="2"/>
    <x v="14"/>
    <s v=""/>
    <n v="580"/>
    <n v="93960"/>
    <n v="24.300000000000004"/>
    <n v="0.11250000000000002"/>
    <n v="137.69999999999999"/>
    <n v="0.63749999999999996"/>
    <n v="162"/>
    <n v="0.75"/>
    <x v="0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162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1"/>
    <m/>
    <m/>
    <x v="4"/>
    <x v="2"/>
    <s v="ATA28/32"/>
    <m/>
    <m/>
    <x v="32"/>
    <m/>
    <m/>
    <x v="3"/>
    <x v="3"/>
    <x v="14"/>
    <s v=""/>
    <n v="580"/>
    <n v="93960"/>
    <n v="24.300000000000004"/>
    <n v="0.11250000000000002"/>
    <n v="137.69999999999999"/>
    <n v="0.63749999999999996"/>
    <n v="162"/>
    <n v="0.75"/>
    <x v="0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162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  <r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8"/>
    <s v=""/>
    <x v="2"/>
    <m/>
    <m/>
    <x v="6"/>
    <x v="3"/>
    <m/>
    <m/>
    <m/>
    <x v="33"/>
    <m/>
    <m/>
    <x v="4"/>
    <x v="4"/>
    <x v="15"/>
    <s v=""/>
    <s v=""/>
    <s v=""/>
    <n v="0"/>
    <n v="0"/>
    <n v="0"/>
    <n v="0"/>
    <n v="0"/>
    <n v="0"/>
    <x v="3"/>
    <x v="1"/>
    <n v="0"/>
    <n v="0"/>
    <n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m/>
    <m/>
    <m/>
    <m/>
    <m/>
    <m/>
    <m/>
    <m/>
    <m/>
    <m/>
    <m/>
    <m/>
    <n v="0"/>
    <s v=""/>
    <n v="0"/>
    <n v="0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6">
  <r>
    <x v="0"/>
    <s v="SII"/>
    <s v="ATA24"/>
    <s v="PM"/>
    <m/>
    <m/>
    <x v="0"/>
    <d v="2019-01-01T00:00:00"/>
    <d v="2019-12-31T00:00:00"/>
    <n v="0"/>
    <m/>
    <m/>
    <m/>
    <m/>
    <m/>
    <m/>
    <m/>
    <m/>
    <m/>
    <m/>
    <m/>
    <m/>
  </r>
  <r>
    <x v="0"/>
    <s v="SII"/>
    <s v="ATA28/32"/>
    <s v="PM"/>
    <m/>
    <m/>
    <x v="1"/>
    <d v="2019-01-01T00:00:00"/>
    <d v="2019-12-31T00:00:00"/>
    <n v="0"/>
    <m/>
    <m/>
    <m/>
    <m/>
    <m/>
    <m/>
    <m/>
    <m/>
    <m/>
    <m/>
    <m/>
    <m/>
  </r>
  <r>
    <x v="0"/>
    <s v="SII"/>
    <s v="ATA7X"/>
    <s v="PM"/>
    <m/>
    <m/>
    <x v="2"/>
    <d v="2019-01-01T00:00:00"/>
    <d v="2019-12-31T00:00:00"/>
    <n v="0"/>
    <m/>
    <m/>
    <m/>
    <m/>
    <m/>
    <m/>
    <m/>
    <m/>
    <m/>
    <m/>
    <m/>
    <m/>
  </r>
  <r>
    <x v="1"/>
    <s v="SII"/>
    <s v="ATA24"/>
    <s v="ATA24"/>
    <m/>
    <m/>
    <x v="0"/>
    <d v="2019-01-01T00:00:00"/>
    <d v="2019-12-31T00:00:00"/>
    <n v="0"/>
    <m/>
    <m/>
    <m/>
    <m/>
    <m/>
    <m/>
    <m/>
    <m/>
    <m/>
    <m/>
    <m/>
    <m/>
  </r>
  <r>
    <x v="2"/>
    <m/>
    <s v="ATA24"/>
    <s v="ATA24"/>
    <m/>
    <s v="EVYPE"/>
    <x v="0"/>
    <m/>
    <m/>
    <m/>
    <m/>
    <m/>
    <m/>
    <m/>
    <m/>
    <m/>
    <m/>
    <m/>
    <m/>
    <m/>
    <m/>
    <m/>
  </r>
  <r>
    <x v="3"/>
    <s v="SII"/>
    <s v="ATA28/32"/>
    <s v="ATA28/32"/>
    <m/>
    <s v="EVYPA"/>
    <x v="1"/>
    <d v="2019-01-01T00:00:00"/>
    <d v="2019-12-31T00:00:00"/>
    <n v="0"/>
    <m/>
    <m/>
    <m/>
    <m/>
    <m/>
    <m/>
    <m/>
    <m/>
    <m/>
    <m/>
    <m/>
    <m/>
  </r>
  <r>
    <x v="4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5"/>
    <s v="SII"/>
    <s v="ATA7X"/>
    <s v="ATA7X"/>
    <m/>
    <m/>
    <x v="2"/>
    <d v="2019-01-01T00:00:00"/>
    <d v="2019-12-31T00:00:00"/>
    <n v="0"/>
    <m/>
    <m/>
    <m/>
    <m/>
    <m/>
    <m/>
    <m/>
    <m/>
    <m/>
    <m/>
    <m/>
    <m/>
  </r>
  <r>
    <x v="6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7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8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9"/>
    <s v="SII"/>
    <s v="ATA24"/>
    <s v="PM"/>
    <m/>
    <m/>
    <x v="0"/>
    <d v="2019-01-01T00:00:00"/>
    <d v="2019-12-31T00:00:00"/>
    <n v="0"/>
    <m/>
    <m/>
    <m/>
    <m/>
    <m/>
    <m/>
    <m/>
    <m/>
    <m/>
    <m/>
    <m/>
    <m/>
  </r>
  <r>
    <x v="9"/>
    <s v="SII"/>
    <s v="ATA7X"/>
    <s v="PM"/>
    <m/>
    <m/>
    <x v="2"/>
    <d v="2019-01-01T00:00:00"/>
    <d v="2019-12-31T00:00:00"/>
    <n v="0"/>
    <m/>
    <m/>
    <m/>
    <m/>
    <m/>
    <m/>
    <m/>
    <m/>
    <m/>
    <m/>
    <m/>
    <m/>
  </r>
  <r>
    <x v="10"/>
    <s v="SII"/>
    <s v="ATA7X"/>
    <s v="ATA7X"/>
    <m/>
    <s v="EVYPM"/>
    <x v="2"/>
    <d v="2019-01-01T00:00:00"/>
    <d v="2019-12-31T00:00:00"/>
    <n v="0"/>
    <m/>
    <m/>
    <m/>
    <m/>
    <m/>
    <m/>
    <m/>
    <m/>
    <m/>
    <m/>
    <m/>
    <m/>
  </r>
  <r>
    <x v="11"/>
    <m/>
    <s v="ATA24"/>
    <s v="ATA24"/>
    <m/>
    <m/>
    <x v="0"/>
    <m/>
    <m/>
    <m/>
    <m/>
    <m/>
    <m/>
    <m/>
    <m/>
    <m/>
    <m/>
    <m/>
    <m/>
    <m/>
    <m/>
    <m/>
  </r>
  <r>
    <x v="12"/>
    <s v="SII"/>
    <s v="ATA28/32"/>
    <s v="ATA28/32"/>
    <m/>
    <s v="EVYPA"/>
    <x v="1"/>
    <d v="2019-01-01T00:00:00"/>
    <d v="2019-12-31T00:00:00"/>
    <n v="0"/>
    <m/>
    <m/>
    <m/>
    <m/>
    <m/>
    <m/>
    <m/>
    <m/>
    <m/>
    <m/>
    <m/>
    <m/>
  </r>
  <r>
    <x v="13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14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15"/>
    <s v="SII"/>
    <s v="ATA7X"/>
    <s v="ATA7X"/>
    <m/>
    <s v="EVYPM"/>
    <x v="2"/>
    <d v="2019-01-01T00:00:00"/>
    <d v="2019-12-31T00:00:00"/>
    <n v="0"/>
    <m/>
    <m/>
    <m/>
    <m/>
    <m/>
    <m/>
    <m/>
    <m/>
    <m/>
    <m/>
    <m/>
    <m/>
  </r>
  <r>
    <x v="16"/>
    <s v="SII"/>
    <s v="ATA7X"/>
    <s v="ATA7X"/>
    <m/>
    <s v="EVYPM"/>
    <x v="2"/>
    <d v="2019-01-01T00:00:00"/>
    <d v="2019-12-31T00:00:00"/>
    <n v="0"/>
    <m/>
    <m/>
    <m/>
    <m/>
    <m/>
    <m/>
    <m/>
    <m/>
    <m/>
    <m/>
    <m/>
    <m/>
  </r>
  <r>
    <x v="17"/>
    <m/>
    <s v="ATA7X"/>
    <s v="ATA7X"/>
    <m/>
    <s v="EVYPM"/>
    <x v="2"/>
    <m/>
    <m/>
    <m/>
    <m/>
    <m/>
    <m/>
    <m/>
    <m/>
    <m/>
    <m/>
    <m/>
    <m/>
    <m/>
    <m/>
    <m/>
  </r>
  <r>
    <x v="18"/>
    <s v="SII"/>
    <s v="ATA28/32"/>
    <s v="ATA28/32"/>
    <m/>
    <s v="EVYPA"/>
    <x v="1"/>
    <d v="2019-01-01T00:00:00"/>
    <d v="2019-12-31T00:00:00"/>
    <n v="0"/>
    <m/>
    <m/>
    <m/>
    <m/>
    <m/>
    <m/>
    <m/>
    <m/>
    <m/>
    <m/>
    <m/>
    <m/>
  </r>
  <r>
    <x v="19"/>
    <s v="SII"/>
    <s v="ATA24"/>
    <s v="ATA24"/>
    <m/>
    <m/>
    <x v="0"/>
    <d v="2019-01-01T00:00:00"/>
    <d v="2019-12-31T00:00:00"/>
    <n v="0"/>
    <m/>
    <m/>
    <m/>
    <m/>
    <m/>
    <m/>
    <m/>
    <m/>
    <m/>
    <m/>
    <m/>
    <m/>
  </r>
  <r>
    <x v="20"/>
    <m/>
    <s v="ATA24"/>
    <s v="ATA24"/>
    <m/>
    <m/>
    <x v="0"/>
    <m/>
    <m/>
    <m/>
    <m/>
    <m/>
    <m/>
    <m/>
    <m/>
    <m/>
    <m/>
    <m/>
    <m/>
    <m/>
    <m/>
    <m/>
  </r>
  <r>
    <x v="21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22"/>
    <s v="SII"/>
    <s v="ATA24"/>
    <s v="Métrologie"/>
    <m/>
    <s v="EVYPE"/>
    <x v="0"/>
    <d v="2019-01-01T00:00:00"/>
    <d v="2019-12-31T00:00:00"/>
    <n v="0"/>
    <m/>
    <m/>
    <m/>
    <m/>
    <m/>
    <m/>
    <m/>
    <m/>
    <m/>
    <m/>
    <m/>
    <m/>
  </r>
  <r>
    <x v="23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24"/>
    <m/>
    <s v="ATA7X"/>
    <s v="ATA7X"/>
    <m/>
    <s v="EVYPM"/>
    <x v="2"/>
    <m/>
    <m/>
    <m/>
    <m/>
    <m/>
    <m/>
    <m/>
    <m/>
    <m/>
    <m/>
    <m/>
    <m/>
    <m/>
    <m/>
    <m/>
  </r>
  <r>
    <x v="25"/>
    <m/>
    <s v="ATA24"/>
    <s v="ATA24"/>
    <m/>
    <s v="EVYPE"/>
    <x v="0"/>
    <m/>
    <m/>
    <m/>
    <m/>
    <m/>
    <m/>
    <m/>
    <m/>
    <m/>
    <m/>
    <m/>
    <m/>
    <m/>
    <m/>
    <m/>
  </r>
  <r>
    <x v="26"/>
    <s v="SII"/>
    <s v="ATA7X"/>
    <s v="ATA7X"/>
    <m/>
    <m/>
    <x v="2"/>
    <d v="2019-01-01T00:00:00"/>
    <d v="2019-12-31T00:00:00"/>
    <n v="0"/>
    <m/>
    <m/>
    <m/>
    <m/>
    <m/>
    <m/>
    <m/>
    <m/>
    <m/>
    <m/>
    <m/>
    <m/>
  </r>
  <r>
    <x v="27"/>
    <m/>
    <s v="ATA24"/>
    <s v="ATA24"/>
    <m/>
    <s v="EVYPE"/>
    <x v="0"/>
    <m/>
    <m/>
    <m/>
    <m/>
    <m/>
    <m/>
    <m/>
    <m/>
    <m/>
    <m/>
    <m/>
    <m/>
    <m/>
    <m/>
    <m/>
  </r>
  <r>
    <x v="28"/>
    <s v="SII"/>
    <s v="ATA28/32"/>
    <s v="ATA28/32"/>
    <m/>
    <s v="EVYPA"/>
    <x v="1"/>
    <d v="2019-01-01T00:00:00"/>
    <d v="2019-12-31T00:00:00"/>
    <n v="0"/>
    <m/>
    <m/>
    <m/>
    <m/>
    <m/>
    <m/>
    <m/>
    <m/>
    <m/>
    <m/>
    <m/>
    <m/>
  </r>
  <r>
    <x v="29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30"/>
    <m/>
    <s v="ATA24"/>
    <s v="ATA24"/>
    <m/>
    <s v="EVYPE"/>
    <x v="0"/>
    <m/>
    <m/>
    <m/>
    <m/>
    <m/>
    <m/>
    <m/>
    <m/>
    <m/>
    <m/>
    <m/>
    <m/>
    <m/>
    <m/>
    <m/>
  </r>
  <r>
    <x v="31"/>
    <s v="SII"/>
    <s v="ATA24"/>
    <s v="ATA24"/>
    <m/>
    <s v="EVYPE"/>
    <x v="0"/>
    <d v="2019-01-01T00:00:00"/>
    <d v="2019-12-31T00:00:00"/>
    <n v="0"/>
    <m/>
    <m/>
    <m/>
    <m/>
    <m/>
    <m/>
    <m/>
    <m/>
    <m/>
    <m/>
    <m/>
    <m/>
  </r>
  <r>
    <x v="32"/>
    <s v="SII"/>
    <s v="ATA7X"/>
    <s v="ATA7X"/>
    <m/>
    <s v="EVYPM"/>
    <x v="2"/>
    <d v="2019-01-01T00:00:00"/>
    <d v="2019-12-31T00:00:0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>
  <location ref="B3:R249" firstHeaderRow="1" firstDataRow="2" firstDataCol="1"/>
  <pivotFields count="8">
    <pivotField axis="axisRow" showAll="0">
      <items count="106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0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numFmtId="14" showAll="0"/>
    <pivotField showAll="0"/>
    <pivotField showAll="0"/>
    <pivotField axis="axisCol" showAll="0">
      <items count="16">
        <item x="12"/>
        <item x="13"/>
        <item x="14"/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</pivotFields>
  <rowFields count="2">
    <field x="0"/>
    <field x="1"/>
  </rowFields>
  <rowItems count="245">
    <i>
      <x/>
    </i>
    <i r="1">
      <x v="2"/>
    </i>
    <i>
      <x v="1"/>
    </i>
    <i r="1">
      <x v="2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 v="2"/>
    </i>
    <i>
      <x v="5"/>
    </i>
    <i r="1">
      <x/>
    </i>
    <i r="1">
      <x v="1"/>
    </i>
    <i>
      <x v="6"/>
    </i>
    <i r="1">
      <x/>
    </i>
    <i r="1">
      <x v="2"/>
    </i>
    <i>
      <x v="7"/>
    </i>
    <i r="1">
      <x/>
    </i>
    <i r="1">
      <x v="1"/>
    </i>
    <i>
      <x v="8"/>
    </i>
    <i r="1">
      <x v="2"/>
    </i>
    <i>
      <x v="9"/>
    </i>
    <i r="1">
      <x v="2"/>
    </i>
    <i>
      <x v="10"/>
    </i>
    <i r="1">
      <x/>
    </i>
    <i r="1">
      <x v="1"/>
    </i>
    <i>
      <x v="11"/>
    </i>
    <i r="1">
      <x v="3"/>
    </i>
    <i>
      <x v="12"/>
    </i>
    <i r="1">
      <x v="2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 v="3"/>
    </i>
    <i>
      <x v="16"/>
    </i>
    <i r="1">
      <x v="2"/>
    </i>
    <i>
      <x v="17"/>
    </i>
    <i r="1">
      <x v="2"/>
    </i>
    <i>
      <x v="18"/>
    </i>
    <i r="1">
      <x v="3"/>
    </i>
    <i>
      <x v="19"/>
    </i>
    <i r="1">
      <x v="2"/>
    </i>
    <i>
      <x v="20"/>
    </i>
    <i r="1">
      <x v="2"/>
    </i>
    <i>
      <x v="21"/>
    </i>
    <i r="1">
      <x/>
    </i>
    <i r="1">
      <x v="1"/>
    </i>
    <i>
      <x v="22"/>
    </i>
    <i r="1">
      <x v="2"/>
    </i>
    <i>
      <x v="23"/>
    </i>
    <i r="1">
      <x v="2"/>
    </i>
    <i>
      <x v="24"/>
    </i>
    <i r="1">
      <x v="2"/>
    </i>
    <i r="1">
      <x v="3"/>
    </i>
    <i>
      <x v="25"/>
    </i>
    <i r="1">
      <x v="2"/>
    </i>
    <i>
      <x v="26"/>
    </i>
    <i r="1">
      <x v="2"/>
    </i>
    <i>
      <x v="27"/>
    </i>
    <i r="1">
      <x v="2"/>
    </i>
    <i>
      <x v="28"/>
    </i>
    <i r="1">
      <x v="2"/>
    </i>
    <i>
      <x v="29"/>
    </i>
    <i r="1">
      <x v="2"/>
    </i>
    <i>
      <x v="30"/>
    </i>
    <i r="1">
      <x v="2"/>
    </i>
    <i>
      <x v="31"/>
    </i>
    <i r="1">
      <x v="2"/>
    </i>
    <i>
      <x v="32"/>
    </i>
    <i r="1">
      <x v="2"/>
    </i>
    <i>
      <x v="33"/>
    </i>
    <i r="1">
      <x v="2"/>
    </i>
    <i>
      <x v="34"/>
    </i>
    <i r="1">
      <x v="2"/>
    </i>
    <i>
      <x v="35"/>
    </i>
    <i r="1">
      <x v="2"/>
    </i>
    <i>
      <x v="36"/>
    </i>
    <i r="1">
      <x v="2"/>
    </i>
    <i r="1">
      <x v="3"/>
    </i>
    <i>
      <x v="37"/>
    </i>
    <i r="1">
      <x/>
    </i>
    <i r="1">
      <x v="1"/>
    </i>
    <i r="1">
      <x v="2"/>
    </i>
    <i>
      <x v="38"/>
    </i>
    <i r="1">
      <x/>
    </i>
    <i r="1">
      <x v="1"/>
    </i>
    <i>
      <x v="39"/>
    </i>
    <i r="1">
      <x v="2"/>
    </i>
    <i>
      <x v="40"/>
    </i>
    <i r="1">
      <x/>
    </i>
    <i r="1">
      <x v="1"/>
    </i>
    <i>
      <x v="41"/>
    </i>
    <i r="1">
      <x v="2"/>
    </i>
    <i>
      <x v="42"/>
    </i>
    <i r="1">
      <x v="2"/>
    </i>
    <i>
      <x v="43"/>
    </i>
    <i r="1">
      <x/>
    </i>
    <i r="1">
      <x v="1"/>
    </i>
    <i>
      <x v="44"/>
    </i>
    <i r="1">
      <x v="2"/>
    </i>
    <i>
      <x v="45"/>
    </i>
    <i r="1">
      <x/>
    </i>
    <i r="1">
      <x v="1"/>
    </i>
    <i>
      <x v="46"/>
    </i>
    <i r="1">
      <x v="2"/>
    </i>
    <i>
      <x v="47"/>
    </i>
    <i r="1">
      <x v="2"/>
    </i>
    <i>
      <x v="48"/>
    </i>
    <i r="1">
      <x v="2"/>
    </i>
    <i>
      <x v="49"/>
    </i>
    <i r="1">
      <x v="2"/>
    </i>
    <i>
      <x v="50"/>
    </i>
    <i r="1">
      <x v="2"/>
    </i>
    <i>
      <x v="51"/>
    </i>
    <i r="1">
      <x/>
    </i>
    <i r="1">
      <x v="1"/>
    </i>
    <i>
      <x v="52"/>
    </i>
    <i r="1">
      <x v="2"/>
    </i>
    <i>
      <x v="53"/>
    </i>
    <i r="1">
      <x v="2"/>
    </i>
    <i r="1">
      <x v="3"/>
    </i>
    <i>
      <x v="54"/>
    </i>
    <i r="1">
      <x v="2"/>
    </i>
    <i>
      <x v="55"/>
    </i>
    <i r="1">
      <x v="2"/>
    </i>
    <i>
      <x v="56"/>
    </i>
    <i r="1">
      <x v="2"/>
    </i>
    <i>
      <x v="57"/>
    </i>
    <i r="1">
      <x v="2"/>
    </i>
    <i r="1">
      <x v="3"/>
    </i>
    <i>
      <x v="58"/>
    </i>
    <i r="1">
      <x/>
    </i>
    <i r="1">
      <x v="1"/>
    </i>
    <i>
      <x v="59"/>
    </i>
    <i r="1">
      <x v="2"/>
    </i>
    <i>
      <x v="60"/>
    </i>
    <i r="1">
      <x v="2"/>
    </i>
    <i>
      <x v="61"/>
    </i>
    <i r="1">
      <x/>
    </i>
    <i r="1">
      <x v="1"/>
    </i>
    <i>
      <x v="62"/>
    </i>
    <i r="1">
      <x v="2"/>
    </i>
    <i>
      <x v="63"/>
    </i>
    <i r="1">
      <x v="2"/>
    </i>
    <i>
      <x v="64"/>
    </i>
    <i r="1">
      <x/>
    </i>
    <i r="1">
      <x v="1"/>
    </i>
    <i>
      <x v="65"/>
    </i>
    <i r="1">
      <x v="2"/>
    </i>
    <i>
      <x v="66"/>
    </i>
    <i r="1">
      <x v="2"/>
    </i>
    <i>
      <x v="67"/>
    </i>
    <i r="1">
      <x v="2"/>
    </i>
    <i>
      <x v="68"/>
    </i>
    <i r="1">
      <x v="2"/>
    </i>
    <i>
      <x v="69"/>
    </i>
    <i r="1">
      <x v="3"/>
    </i>
    <i>
      <x v="70"/>
    </i>
    <i r="1">
      <x v="3"/>
    </i>
    <i>
      <x v="71"/>
    </i>
    <i r="1">
      <x/>
    </i>
    <i r="1">
      <x v="1"/>
    </i>
    <i>
      <x v="72"/>
    </i>
    <i r="1">
      <x v="3"/>
    </i>
    <i>
      <x v="73"/>
    </i>
    <i r="1">
      <x v="2"/>
    </i>
    <i>
      <x v="74"/>
    </i>
    <i r="1">
      <x/>
    </i>
    <i r="1">
      <x v="1"/>
    </i>
    <i>
      <x v="75"/>
    </i>
    <i r="1">
      <x/>
    </i>
    <i>
      <x v="76"/>
    </i>
    <i r="1">
      <x/>
    </i>
    <i r="1">
      <x v="1"/>
    </i>
    <i r="1">
      <x v="2"/>
    </i>
    <i>
      <x v="77"/>
    </i>
    <i r="1">
      <x v="2"/>
    </i>
    <i>
      <x v="78"/>
    </i>
    <i r="1">
      <x/>
    </i>
    <i>
      <x v="79"/>
    </i>
    <i r="1">
      <x/>
    </i>
    <i>
      <x v="80"/>
    </i>
    <i r="1">
      <x v="2"/>
    </i>
    <i>
      <x v="81"/>
    </i>
    <i r="1">
      <x v="2"/>
    </i>
    <i>
      <x v="82"/>
    </i>
    <i r="1">
      <x v="2"/>
    </i>
    <i>
      <x v="83"/>
    </i>
    <i r="1">
      <x v="2"/>
    </i>
    <i>
      <x v="84"/>
    </i>
    <i r="1">
      <x v="2"/>
    </i>
    <i>
      <x v="85"/>
    </i>
    <i r="1">
      <x v="2"/>
    </i>
    <i>
      <x v="86"/>
    </i>
    <i r="1">
      <x/>
    </i>
    <i>
      <x v="87"/>
    </i>
    <i r="1">
      <x/>
    </i>
    <i>
      <x v="88"/>
    </i>
    <i r="1">
      <x/>
    </i>
    <i r="1">
      <x v="1"/>
    </i>
    <i>
      <x v="89"/>
    </i>
    <i r="1">
      <x v="2"/>
    </i>
    <i>
      <x v="90"/>
    </i>
    <i r="1">
      <x/>
    </i>
    <i r="1">
      <x v="1"/>
    </i>
    <i>
      <x v="91"/>
    </i>
    <i r="1">
      <x/>
    </i>
    <i r="1">
      <x v="1"/>
    </i>
    <i>
      <x v="92"/>
    </i>
    <i r="1">
      <x v="2"/>
    </i>
    <i>
      <x v="93"/>
    </i>
    <i r="1">
      <x v="2"/>
    </i>
    <i>
      <x v="94"/>
    </i>
    <i r="1">
      <x/>
    </i>
    <i r="1">
      <x v="1"/>
    </i>
    <i>
      <x v="95"/>
    </i>
    <i r="1">
      <x/>
    </i>
    <i r="1">
      <x v="1"/>
    </i>
    <i>
      <x v="96"/>
    </i>
    <i r="1">
      <x/>
    </i>
    <i>
      <x v="97"/>
    </i>
    <i r="1">
      <x v="2"/>
    </i>
    <i>
      <x v="98"/>
    </i>
    <i r="1">
      <x v="2"/>
    </i>
    <i>
      <x v="99"/>
    </i>
    <i r="1">
      <x v="2"/>
    </i>
    <i>
      <x v="100"/>
    </i>
    <i r="1">
      <x/>
    </i>
    <i r="1">
      <x v="1"/>
    </i>
    <i>
      <x v="101"/>
    </i>
    <i r="1">
      <x v="2"/>
    </i>
    <i>
      <x v="102"/>
    </i>
    <i r="1">
      <x/>
    </i>
    <i r="1">
      <x v="1"/>
    </i>
    <i>
      <x v="103"/>
    </i>
    <i r="1">
      <x v="2"/>
    </i>
    <i>
      <x v="104"/>
    </i>
    <i r="1">
      <x v="2"/>
    </i>
    <i t="grand">
      <x/>
    </i>
  </rowItems>
  <colFields count="1">
    <field x="5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Pointage" fld="7" baseField="0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outline="1" outlineData="1" multipleFieldFilters="0">
  <location ref="B5:N75" firstHeaderRow="0" firstDataRow="1" firstDataCol="1"/>
  <pivotFields count="22">
    <pivotField axis="axisRow" showAll="0">
      <items count="35">
        <item m="1"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6">
        <item m="1" x="4"/>
        <item m="1" x="3"/>
        <item x="0"/>
        <item x="1"/>
        <item x="2"/>
        <item t="default"/>
      </items>
    </pivotField>
    <pivotField showAll="0"/>
    <pivotField showAll="0"/>
    <pivotField numFmtId="1" showAl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2">
    <field x="0"/>
    <field x="6"/>
  </rowFields>
  <rowItems count="70">
    <i>
      <x v="1"/>
    </i>
    <i r="1">
      <x v="2"/>
    </i>
    <i r="1">
      <x v="3"/>
    </i>
    <i r="1">
      <x v="4"/>
    </i>
    <i>
      <x v="2"/>
    </i>
    <i r="1">
      <x v="2"/>
    </i>
    <i>
      <x v="3"/>
    </i>
    <i r="1">
      <x v="2"/>
    </i>
    <i>
      <x v="4"/>
    </i>
    <i r="1">
      <x v="3"/>
    </i>
    <i>
      <x v="5"/>
    </i>
    <i r="1">
      <x v="2"/>
    </i>
    <i>
      <x v="6"/>
    </i>
    <i r="1">
      <x v="4"/>
    </i>
    <i>
      <x v="7"/>
    </i>
    <i r="1">
      <x v="2"/>
    </i>
    <i>
      <x v="8"/>
    </i>
    <i r="1">
      <x v="2"/>
    </i>
    <i>
      <x v="9"/>
    </i>
    <i r="1">
      <x v="2"/>
    </i>
    <i>
      <x v="10"/>
    </i>
    <i r="1">
      <x v="2"/>
    </i>
    <i r="1">
      <x v="4"/>
    </i>
    <i>
      <x v="11"/>
    </i>
    <i r="1">
      <x v="4"/>
    </i>
    <i>
      <x v="12"/>
    </i>
    <i r="1">
      <x v="2"/>
    </i>
    <i>
      <x v="13"/>
    </i>
    <i r="1">
      <x v="3"/>
    </i>
    <i>
      <x v="14"/>
    </i>
    <i r="1">
      <x v="2"/>
    </i>
    <i>
      <x v="15"/>
    </i>
    <i r="1">
      <x v="2"/>
    </i>
    <i>
      <x v="16"/>
    </i>
    <i r="1">
      <x v="4"/>
    </i>
    <i>
      <x v="17"/>
    </i>
    <i r="1">
      <x v="4"/>
    </i>
    <i>
      <x v="18"/>
    </i>
    <i r="1">
      <x v="4"/>
    </i>
    <i>
      <x v="19"/>
    </i>
    <i r="1">
      <x v="3"/>
    </i>
    <i>
      <x v="20"/>
    </i>
    <i r="1">
      <x v="2"/>
    </i>
    <i>
      <x v="21"/>
    </i>
    <i r="1">
      <x v="2"/>
    </i>
    <i>
      <x v="22"/>
    </i>
    <i r="1">
      <x v="2"/>
    </i>
    <i>
      <x v="23"/>
    </i>
    <i r="1">
      <x v="2"/>
    </i>
    <i>
      <x v="24"/>
    </i>
    <i r="1">
      <x v="2"/>
    </i>
    <i>
      <x v="25"/>
    </i>
    <i r="1">
      <x v="4"/>
    </i>
    <i>
      <x v="26"/>
    </i>
    <i r="1">
      <x v="2"/>
    </i>
    <i>
      <x v="27"/>
    </i>
    <i r="1">
      <x v="4"/>
    </i>
    <i>
      <x v="28"/>
    </i>
    <i r="1">
      <x v="2"/>
    </i>
    <i>
      <x v="29"/>
    </i>
    <i r="1">
      <x v="3"/>
    </i>
    <i>
      <x v="30"/>
    </i>
    <i r="1">
      <x v="2"/>
    </i>
    <i>
      <x v="31"/>
    </i>
    <i r="1">
      <x v="2"/>
    </i>
    <i>
      <x v="32"/>
    </i>
    <i r="1">
      <x v="2"/>
    </i>
    <i>
      <x v="33"/>
    </i>
    <i r="1">
      <x v="4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jan" fld="10" baseField="6" baseItem="2"/>
    <dataField name="fév" fld="11" baseField="6" baseItem="2"/>
    <dataField name="mar" fld="12" baseField="6" baseItem="2"/>
    <dataField name="avr" fld="13" baseField="6" baseItem="2"/>
    <dataField name="mai" fld="14" baseField="6" baseItem="2"/>
    <dataField name="juin" fld="15" baseField="6" baseItem="2"/>
    <dataField name="juil" fld="16" baseField="6" baseItem="2"/>
    <dataField name="août" fld="17" baseField="6" baseItem="2"/>
    <dataField name="sept" fld="18" baseField="6" baseItem="2"/>
    <dataField name="oct" fld="19" baseField="6" baseItem="2"/>
    <dataField name="nov" fld="20" baseField="6" baseItem="2"/>
    <dataField name="déc" fld="21" baseField="6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chartFormat="1">
  <location ref="A48:D53" firstHeaderRow="0" firstDataRow="1" firstDataCol="1"/>
  <pivotFields count="9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/>
    <pivotField axis="axisRow" showAll="0">
      <items count="9">
        <item x="3"/>
        <item m="1" x="4"/>
        <item m="1" x="7"/>
        <item m="1" x="6"/>
        <item m="1" x="5"/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dataField="1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showAll="0"/>
    <pivotField showAll="0"/>
    <pivotField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/>
    <pivotField showAll="0" defaultSubtotal="0"/>
  </pivotFields>
  <rowFields count="1">
    <field x="29"/>
  </rowFields>
  <rowItems count="5">
    <i>
      <x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Forecast" fld="41" baseField="26" baseItem="0"/>
    <dataField name="Committed" fld="7" baseField="26" baseItem="0"/>
    <dataField name="Receipt" fld="93" baseField="26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1" cacheId="2" dataOnRows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chartFormat="1">
  <location ref="A6:F13" firstHeaderRow="1" firstDataRow="2" firstDataCol="1"/>
  <pivotFields count="9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multipleItemSelectionAllowed="1" showAll="0"/>
    <pivotField showAll="0" defaultSubtotal="0"/>
    <pivotField showAll="0" defaultSubtotal="0"/>
    <pivotField showAll="0"/>
    <pivotField multipleItemSelectionAllowed="1"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0"/>
        <item x="1"/>
        <item m="1" x="5"/>
        <item m="1" x="8"/>
        <item x="2"/>
        <item m="1" x="7"/>
        <item m="1" x="6"/>
        <item x="3"/>
        <item x="4"/>
        <item t="default"/>
      </items>
    </pivotField>
    <pivotField showAll="0"/>
    <pivotField showAll="0" defaultSubtotal="0"/>
    <pivotField showAll="0"/>
    <pivotField dataField="1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axis="axisCol" showAll="0" defaultSubtotal="0">
      <items count="4">
        <item x="0"/>
        <item x="2"/>
        <item x="1"/>
        <item x="3"/>
      </items>
    </pivotField>
    <pivotField showAll="0"/>
    <pivotField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</pivotFields>
  <rowFields count="1">
    <field x="37"/>
  </rowFields>
  <rowItems count="6">
    <i>
      <x/>
    </i>
    <i>
      <x v="1"/>
    </i>
    <i>
      <x v="4"/>
    </i>
    <i>
      <x v="7"/>
    </i>
    <i>
      <x v="8"/>
    </i>
    <i t="grand">
      <x/>
    </i>
  </rowItems>
  <colFields count="1">
    <field x="48"/>
  </colFields>
  <colItems count="5">
    <i>
      <x/>
    </i>
    <i>
      <x v="1"/>
    </i>
    <i>
      <x v="2"/>
    </i>
    <i>
      <x v="3"/>
    </i>
    <i t="grand">
      <x/>
    </i>
  </colItems>
  <dataFields count="1">
    <dataField name="Somme de Montant TOTAL" fld="41" baseField="0" baseItem="64"/>
  </dataFields>
  <chartFormats count="4">
    <chartFormat chart="0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8" count="1" selected="0">
            <x v="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8" count="1" selected="0">
            <x v="2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>
  <location ref="A3:D171" firstHeaderRow="0" firstDataRow="1" firstDataCol="1"/>
  <pivotFields count="8">
    <pivotField showAll="0"/>
    <pivotField showAll="0"/>
    <pivotField axis="axisRow" showAll="0">
      <items count="127">
        <item x="59"/>
        <item x="4"/>
        <item x="33"/>
        <item x="50"/>
        <item x="98"/>
        <item x="28"/>
        <item x="110"/>
        <item x="51"/>
        <item x="5"/>
        <item x="9"/>
        <item x="19"/>
        <item x="2"/>
        <item x="3"/>
        <item x="7"/>
        <item x="61"/>
        <item x="0"/>
        <item x="46"/>
        <item x="11"/>
        <item x="86"/>
        <item x="16"/>
        <item x="10"/>
        <item x="6"/>
        <item x="36"/>
        <item x="47"/>
        <item x="13"/>
        <item x="58"/>
        <item x="1"/>
        <item x="35"/>
        <item x="41"/>
        <item x="115"/>
        <item x="57"/>
        <item x="27"/>
        <item x="12"/>
        <item x="26"/>
        <item x="8"/>
        <item x="83"/>
        <item x="42"/>
        <item x="15"/>
        <item x="14"/>
        <item x="102"/>
        <item x="56"/>
        <item x="29"/>
        <item x="62"/>
        <item x="30"/>
        <item x="104"/>
        <item x="17"/>
        <item x="31"/>
        <item x="64"/>
        <item x="45"/>
        <item x="37"/>
        <item x="18"/>
        <item x="103"/>
        <item x="20"/>
        <item x="32"/>
        <item x="21"/>
        <item x="40"/>
        <item x="55"/>
        <item x="43"/>
        <item x="70"/>
        <item x="22"/>
        <item x="53"/>
        <item x="23"/>
        <item x="24"/>
        <item x="67"/>
        <item x="44"/>
        <item x="48"/>
        <item x="49"/>
        <item x="25"/>
        <item x="52"/>
        <item x="39"/>
        <item x="38"/>
        <item x="54"/>
        <item x="34"/>
        <item x="63"/>
        <item x="65"/>
        <item x="60"/>
        <item x="66"/>
        <item x="118"/>
        <item x="93"/>
        <item x="96"/>
        <item x="99"/>
        <item x="72"/>
        <item x="79"/>
        <item x="73"/>
        <item x="68"/>
        <item x="69"/>
        <item x="75"/>
        <item x="111"/>
        <item x="85"/>
        <item x="78"/>
        <item x="84"/>
        <item x="74"/>
        <item x="76"/>
        <item x="77"/>
        <item x="82"/>
        <item x="81"/>
        <item x="101"/>
        <item x="87"/>
        <item x="88"/>
        <item x="91"/>
        <item x="89"/>
        <item x="90"/>
        <item x="92"/>
        <item x="95"/>
        <item x="97"/>
        <item x="100"/>
        <item x="107"/>
        <item x="71"/>
        <item x="105"/>
        <item x="106"/>
        <item x="108"/>
        <item x="94"/>
        <item x="109"/>
        <item x="80"/>
        <item x="112"/>
        <item x="113"/>
        <item x="114"/>
        <item x="116"/>
        <item x="117"/>
        <item x="120"/>
        <item x="121"/>
        <item x="119"/>
        <item x="123"/>
        <item x="125"/>
        <item x="124"/>
        <item x="122"/>
        <item t="default"/>
      </items>
    </pivotField>
    <pivotField showAll="0"/>
    <pivotField dataField="1" showAll="0"/>
    <pivotField dataField="1" showAll="0"/>
    <pivotField dataField="1" showAll="0"/>
    <pivotField axis="axisRow" showAll="0">
      <items count="5">
        <item x="1"/>
        <item x="2"/>
        <item x="0"/>
        <item x="3"/>
        <item t="default"/>
      </items>
    </pivotField>
  </pivotFields>
  <rowFields count="2">
    <field x="7"/>
    <field x="2"/>
  </rowFields>
  <rowItems count="168">
    <i>
      <x/>
    </i>
    <i r="1">
      <x/>
    </i>
    <i r="1">
      <x v="1"/>
    </i>
    <i r="1">
      <x v="8"/>
    </i>
    <i r="1">
      <x v="9"/>
    </i>
    <i r="1">
      <x v="10"/>
    </i>
    <i r="1">
      <x v="12"/>
    </i>
    <i r="1">
      <x v="13"/>
    </i>
    <i r="1">
      <x v="17"/>
    </i>
    <i r="1">
      <x v="18"/>
    </i>
    <i r="1">
      <x v="19"/>
    </i>
    <i r="1">
      <x v="20"/>
    </i>
    <i r="1">
      <x v="21"/>
    </i>
    <i r="1">
      <x v="24"/>
    </i>
    <i r="1">
      <x v="25"/>
    </i>
    <i r="1">
      <x v="32"/>
    </i>
    <i r="1">
      <x v="34"/>
    </i>
    <i r="1">
      <x v="37"/>
    </i>
    <i r="1">
      <x v="38"/>
    </i>
    <i r="1">
      <x v="45"/>
    </i>
    <i r="1">
      <x v="50"/>
    </i>
    <i r="1">
      <x v="52"/>
    </i>
    <i r="1">
      <x v="54"/>
    </i>
    <i r="1">
      <x v="58"/>
    </i>
    <i r="1">
      <x v="59"/>
    </i>
    <i r="1">
      <x v="61"/>
    </i>
    <i r="1">
      <x v="62"/>
    </i>
    <i r="1">
      <x v="67"/>
    </i>
    <i r="1">
      <x v="94"/>
    </i>
    <i r="1">
      <x v="96"/>
    </i>
    <i r="1">
      <x v="110"/>
    </i>
    <i r="1">
      <x v="114"/>
    </i>
    <i r="1">
      <x v="116"/>
    </i>
    <i r="1">
      <x v="117"/>
    </i>
    <i r="1">
      <x v="119"/>
    </i>
    <i>
      <x v="1"/>
    </i>
    <i r="1">
      <x/>
    </i>
    <i r="1">
      <x v="1"/>
    </i>
    <i r="1">
      <x v="5"/>
    </i>
    <i r="1">
      <x v="8"/>
    </i>
    <i r="1">
      <x v="9"/>
    </i>
    <i r="1">
      <x v="10"/>
    </i>
    <i r="1">
      <x v="12"/>
    </i>
    <i r="1">
      <x v="13"/>
    </i>
    <i r="1">
      <x v="17"/>
    </i>
    <i r="1">
      <x v="19"/>
    </i>
    <i r="1">
      <x v="20"/>
    </i>
    <i r="1">
      <x v="21"/>
    </i>
    <i r="1">
      <x v="24"/>
    </i>
    <i r="1">
      <x v="25"/>
    </i>
    <i r="1">
      <x v="31"/>
    </i>
    <i r="1">
      <x v="32"/>
    </i>
    <i r="1">
      <x v="33"/>
    </i>
    <i r="1">
      <x v="34"/>
    </i>
    <i r="1">
      <x v="37"/>
    </i>
    <i r="1">
      <x v="38"/>
    </i>
    <i r="1">
      <x v="39"/>
    </i>
    <i r="1">
      <x v="41"/>
    </i>
    <i r="1">
      <x v="43"/>
    </i>
    <i r="1">
      <x v="45"/>
    </i>
    <i r="1">
      <x v="46"/>
    </i>
    <i r="1">
      <x v="50"/>
    </i>
    <i r="1">
      <x v="52"/>
    </i>
    <i r="1">
      <x v="53"/>
    </i>
    <i r="1">
      <x v="54"/>
    </i>
    <i r="1">
      <x v="59"/>
    </i>
    <i r="1">
      <x v="61"/>
    </i>
    <i r="1">
      <x v="62"/>
    </i>
    <i r="1">
      <x v="94"/>
    </i>
    <i r="1">
      <x v="96"/>
    </i>
    <i r="1">
      <x v="110"/>
    </i>
    <i r="1">
      <x v="114"/>
    </i>
    <i r="1">
      <x v="116"/>
    </i>
    <i r="1">
      <x v="119"/>
    </i>
    <i>
      <x v="2"/>
    </i>
    <i r="1">
      <x/>
    </i>
    <i r="1">
      <x v="2"/>
    </i>
    <i r="1">
      <x v="3"/>
    </i>
    <i r="1">
      <x v="4"/>
    </i>
    <i r="1">
      <x v="6"/>
    </i>
    <i r="1">
      <x v="7"/>
    </i>
    <i r="1">
      <x v="9"/>
    </i>
    <i r="1">
      <x v="11"/>
    </i>
    <i r="1">
      <x v="14"/>
    </i>
    <i r="1">
      <x v="15"/>
    </i>
    <i r="1">
      <x v="22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6"/>
    </i>
    <i r="1">
      <x v="40"/>
    </i>
    <i r="1">
      <x v="42"/>
    </i>
    <i r="1">
      <x v="48"/>
    </i>
    <i r="1">
      <x v="49"/>
    </i>
    <i r="1">
      <x v="51"/>
    </i>
    <i r="1">
      <x v="55"/>
    </i>
    <i r="1">
      <x v="56"/>
    </i>
    <i r="1">
      <x v="57"/>
    </i>
    <i r="1">
      <x v="60"/>
    </i>
    <i r="1">
      <x v="63"/>
    </i>
    <i r="1">
      <x v="64"/>
    </i>
    <i r="1">
      <x v="65"/>
    </i>
    <i r="1">
      <x v="66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3"/>
    </i>
    <i r="1">
      <x v="84"/>
    </i>
    <i r="1">
      <x v="85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1"/>
    </i>
    <i r="1">
      <x v="112"/>
    </i>
    <i r="1">
      <x v="113"/>
    </i>
    <i r="1">
      <x v="115"/>
    </i>
    <i r="1">
      <x v="118"/>
    </i>
    <i r="1">
      <x v="120"/>
    </i>
    <i r="1">
      <x v="121"/>
    </i>
    <i r="1">
      <x v="122"/>
    </i>
    <i r="1">
      <x v="123"/>
    </i>
    <i r="1">
      <x v="124"/>
    </i>
    <i r="1">
      <x v="125"/>
    </i>
    <i>
      <x v="3"/>
    </i>
    <i r="1">
      <x v="2"/>
    </i>
    <i r="1">
      <x v="16"/>
    </i>
    <i r="1">
      <x v="27"/>
    </i>
    <i r="1">
      <x v="35"/>
    </i>
    <i r="1">
      <x v="44"/>
    </i>
    <i r="1">
      <x v="47"/>
    </i>
    <i r="1">
      <x v="74"/>
    </i>
    <i r="1">
      <x v="76"/>
    </i>
    <i r="1">
      <x v="82"/>
    </i>
    <i r="1">
      <x v="86"/>
    </i>
    <i r="1">
      <x v="95"/>
    </i>
    <i r="1">
      <x v="12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realWork" fld="4" baseField="2" baseItem="25"/>
    <dataField name="Somme de leftWork" fld="5" baseField="2" baseItem="25"/>
    <dataField name="Somme de plannedWork" fld="6" baseField="2" baseItem="3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compact="0" compactData="0" multipleFieldFilters="0">
  <location ref="A5:S5" firstHeaderRow="0" firstDataRow="1" firstDataCol="6" rowPageCount="2" colPageCount="1"/>
  <pivotFields count="9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4">
        <item m="1" x="33"/>
        <item m="1" x="32"/>
        <item h="1" x="8"/>
        <item h="1" x="0"/>
        <item h="1" x="1"/>
        <item h="1" x="2"/>
        <item h="1" x="3"/>
        <item h="1" x="4"/>
        <item h="1" x="5"/>
        <item h="1" x="6"/>
        <item h="1" x="7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</items>
    </pivotField>
    <pivotField compact="0" outline="0" showAll="0" defaultSubtotal="0"/>
    <pivotField axis="axisPage" compact="0" outline="0" showAll="0" defaultSubtotal="0">
      <items count="5">
        <item m="1" x="4"/>
        <item m="1" x="3"/>
        <item x="2"/>
        <item x="0"/>
        <item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2">
        <item m="1" x="15"/>
        <item m="1" x="10"/>
        <item m="1" x="17"/>
        <item m="1" x="12"/>
        <item m="1" x="11"/>
        <item m="1" x="21"/>
        <item m="1" x="14"/>
        <item m="1" x="20"/>
        <item m="1" x="18"/>
        <item m="1" x="19"/>
        <item m="1" x="13"/>
        <item m="1" x="8"/>
        <item m="1" x="16"/>
        <item m="1" x="7"/>
        <item m="1" x="9"/>
        <item x="6"/>
        <item x="0"/>
        <item x="1"/>
        <item x="2"/>
        <item x="3"/>
        <item x="4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84"/>
        <item m="1" x="72"/>
        <item m="1" x="86"/>
        <item m="1" x="97"/>
        <item m="1" x="109"/>
        <item m="1" x="87"/>
        <item m="1" x="44"/>
        <item m="1" x="106"/>
        <item m="1" x="63"/>
        <item m="1" x="107"/>
        <item m="1" x="59"/>
        <item m="1" x="70"/>
        <item m="1" x="82"/>
        <item m="1" x="69"/>
        <item m="1" x="91"/>
        <item m="1" x="78"/>
        <item m="1" x="79"/>
        <item m="1" x="57"/>
        <item m="1" x="96"/>
        <item m="1" x="46"/>
        <item m="1" x="50"/>
        <item m="1" x="51"/>
        <item m="1" x="62"/>
        <item m="1" x="89"/>
        <item m="1" x="77"/>
        <item m="1" x="88"/>
        <item m="1" x="53"/>
        <item m="1" x="104"/>
        <item m="1" x="76"/>
        <item m="1" x="56"/>
        <item m="1" x="60"/>
        <item m="1" x="83"/>
        <item m="1" x="95"/>
        <item m="1" x="58"/>
        <item m="1" x="71"/>
        <item m="1" x="74"/>
        <item m="1" x="94"/>
        <item m="1" x="67"/>
        <item m="1" x="45"/>
        <item m="1" x="93"/>
        <item m="1" x="75"/>
        <item m="1" x="52"/>
        <item m="1" x="43"/>
        <item m="1" x="85"/>
        <item m="1" x="81"/>
        <item m="1" x="39"/>
        <item m="1" x="105"/>
        <item m="1" x="90"/>
        <item m="1" x="98"/>
        <item m="1" x="41"/>
        <item m="1" x="37"/>
        <item m="1" x="64"/>
        <item m="1" x="99"/>
        <item m="1" x="73"/>
        <item m="1" x="100"/>
        <item m="1" x="65"/>
        <item m="1" x="101"/>
        <item m="1" x="66"/>
        <item m="1" x="108"/>
        <item m="1" x="34"/>
        <item m="1" x="47"/>
        <item m="1" x="35"/>
        <item m="1" x="48"/>
        <item m="1" x="36"/>
        <item m="1" x="68"/>
        <item m="1" x="49"/>
        <item m="1" x="55"/>
        <item m="1" x="80"/>
        <item m="1" x="38"/>
        <item m="1" x="40"/>
        <item m="1" x="42"/>
        <item m="1" x="103"/>
        <item m="1" x="54"/>
        <item m="1" x="92"/>
        <item m="1" x="61"/>
        <item m="1" x="102"/>
        <item x="33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5"/>
        <item x="28"/>
        <item x="29"/>
        <item x="30"/>
        <item x="31"/>
        <item x="3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x="0"/>
        <item m="1" x="5"/>
        <item x="2"/>
        <item m="1" x="6"/>
        <item x="4"/>
        <item x="1"/>
        <item x="3"/>
      </items>
    </pivotField>
    <pivotField axis="axisRow" compact="0" outline="0" showAll="0" defaultSubtotal="0">
      <items count="9">
        <item m="1" x="5"/>
        <item m="1" x="8"/>
        <item m="1" x="7"/>
        <item m="1" x="6"/>
        <item x="4"/>
        <item x="0"/>
        <item x="1"/>
        <item x="2"/>
        <item x="3"/>
      </items>
    </pivotField>
    <pivotField axis="axisRow" compact="0" outline="0" showAll="0" defaultSubtotal="0">
      <items count="67">
        <item m="1" x="66"/>
        <item x="1"/>
        <item m="1" x="54"/>
        <item m="1" x="65"/>
        <item x="4"/>
        <item m="1" x="39"/>
        <item x="0"/>
        <item x="3"/>
        <item m="1" x="28"/>
        <item x="8"/>
        <item m="1" x="41"/>
        <item m="1" x="48"/>
        <item m="1" x="51"/>
        <item x="10"/>
        <item m="1" x="61"/>
        <item m="1" x="21"/>
        <item m="1" x="25"/>
        <item m="1" x="30"/>
        <item m="1" x="32"/>
        <item m="1" x="36"/>
        <item m="1" x="38"/>
        <item x="7"/>
        <item m="1" x="55"/>
        <item x="9"/>
        <item m="1" x="16"/>
        <item m="1" x="46"/>
        <item m="1" x="23"/>
        <item m="1" x="29"/>
        <item m="1" x="57"/>
        <item m="1" x="34"/>
        <item m="1" x="40"/>
        <item m="1" x="43"/>
        <item m="1" x="45"/>
        <item m="1" x="20"/>
        <item m="1" x="22"/>
        <item m="1" x="60"/>
        <item m="1" x="18"/>
        <item m="1" x="58"/>
        <item m="1" x="47"/>
        <item m="1" x="27"/>
        <item m="1" x="26"/>
        <item m="1" x="50"/>
        <item m="1" x="42"/>
        <item x="14"/>
        <item m="1" x="17"/>
        <item m="1" x="56"/>
        <item m="1" x="24"/>
        <item m="1" x="52"/>
        <item m="1" x="31"/>
        <item m="1" x="53"/>
        <item m="1" x="35"/>
        <item m="1" x="62"/>
        <item m="1" x="49"/>
        <item m="1" x="64"/>
        <item m="1" x="59"/>
        <item m="1" x="37"/>
        <item m="1" x="63"/>
        <item m="1" x="44"/>
        <item m="1" x="19"/>
        <item m="1" x="33"/>
        <item x="15"/>
        <item x="2"/>
        <item x="5"/>
        <item x="6"/>
        <item x="11"/>
        <item x="12"/>
        <item x="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axis="axisPage" compact="0" outline="0" showAll="0" defaultSubtotal="0">
      <items count="2">
        <item x="0"/>
        <item x="1"/>
      </items>
    </pivotField>
    <pivotField compact="0" numFmtId="166" outline="0" showAll="0" defaultSubtotal="0"/>
    <pivotField compact="0" numFmtId="166" outline="0" showAll="0" defaultSubtotal="0"/>
    <pivotField compact="0" numFmtId="166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6">
    <field x="23"/>
    <field x="28"/>
    <field x="33"/>
    <field x="36"/>
    <field x="37"/>
    <field x="38"/>
  </rowField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25" hier="-1"/>
    <pageField fld="49" hier="-1"/>
  </pageFields>
  <dataFields count="13">
    <dataField name="Nombre de Qté Réception 01/2019" fld="79" subtotal="count" baseField="0" baseItem="0"/>
    <dataField name="Nombre de Qté Réception 02/2019" fld="80" subtotal="count" baseField="0" baseItem="0"/>
    <dataField name="Nombre de Qté Réception 03/2019" fld="81" subtotal="count" baseField="0" baseItem="0"/>
    <dataField name="Nombre de Qté Réception 04/2019" fld="82" subtotal="count" baseField="0" baseItem="0"/>
    <dataField name="Nombre de Qté Réception 05/2019" fld="83" subtotal="count" baseField="0" baseItem="0"/>
    <dataField name="Nombre de Qté Réception 06/2019" fld="84" subtotal="count" baseField="0" baseItem="0"/>
    <dataField name="Nombre de Qté Réception 07/2019" fld="85" subtotal="count" baseField="0" baseItem="0"/>
    <dataField name="Nombre de Qté Réception 08/2019" fld="86" subtotal="count" baseField="0" baseItem="0"/>
    <dataField name="Nombre de Qté Réception 09/2019" fld="87" subtotal="count" baseField="0" baseItem="0"/>
    <dataField name="Nombre de Qté Réception 10/2019" fld="88" subtotal="count" baseField="0" baseItem="0"/>
    <dataField name="Nombre de Qté Réception 11/2019" fld="89" subtotal="count" baseField="0" baseItem="0"/>
    <dataField name="Nombre de Qté Réception 12/2019" fld="90" subtotal="count" baseField="0" baseItem="0"/>
    <dataField name="Somme de Total item réceptionné" fld="9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Lancer la requête à partir de Projectorria SII" connectionId="1" autoFormatId="16" applyNumberFormats="0" applyBorderFormats="0" applyFontFormats="0" applyPatternFormats="0" applyAlignmentFormats="0" applyWidthHeightFormats="0">
  <queryTableRefresh nextId="41">
    <queryTableFields count="8">
      <queryTableField id="1" name="id" tableColumnId="1"/>
      <queryTableField id="4" name="idProject" tableColumnId="4"/>
      <queryTableField id="27" name="idResource" tableColumnId="27"/>
      <queryTableField id="36" name="assignedWork" tableColumnId="36"/>
      <queryTableField id="37" name="realWork" tableColumnId="37"/>
      <queryTableField id="38" name="leftWork" tableColumnId="38"/>
      <queryTableField id="39" name="plannedWork" tableColumnId="39"/>
      <queryTableField id="40" name="projectCode" tableColumnId="40"/>
    </queryTableFields>
  </queryTableRefresh>
</queryTable>
</file>

<file path=xl/queryTables/queryTable2.xml><?xml version="1.0" encoding="utf-8"?>
<queryTable xmlns="http://schemas.openxmlformats.org/spreadsheetml/2006/main" name="Lancer la requête à partir de Projectorria SII" connectionId="2" autoFormatId="16" applyNumberFormats="0" applyBorderFormats="0" applyFontFormats="0" applyPatternFormats="0" applyAlignmentFormats="0" applyWidthHeightFormats="0">
  <queryTableRefresh nextId="53">
    <queryTableFields count="8">
      <queryTableField id="41" name="Participant" tableColumnId="41"/>
      <queryTableField id="42" name="projectCode" tableColumnId="42"/>
      <queryTableField id="47" name="workDate" tableColumnId="47"/>
      <queryTableField id="48" name="day" tableColumnId="48"/>
      <queryTableField id="49" name="week" tableColumnId="49"/>
      <queryTableField id="50" name="month" tableColumnId="50"/>
      <queryTableField id="51" name="year" tableColumnId="51"/>
      <queryTableField id="52" name="sum(work.work)" tableColumnId="5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6" name="Tableau6" displayName="Tableau6" ref="A1:D6" totalsRowShown="0">
  <autoFilter ref="A1:D6"/>
  <tableColumns count="4">
    <tableColumn id="1" name="Date" dataDxfId="407"/>
    <tableColumn id="4" name="Version" dataDxfId="406"/>
    <tableColumn id="2" name="Personne"/>
    <tableColumn id="3" name="Modification" dataDxfId="40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CATALOGUE" displayName="CATALOGUE" ref="A1:J47" totalsRowShown="0">
  <autoFilter ref="A1:J47"/>
  <tableColumns count="10">
    <tableColumn id="1" name="Id_WU"/>
    <tableColumn id="2" name="Name_WU"/>
    <tableColumn id="3" name="Domain"/>
    <tableColumn id="4" name="Global_Workload_(d)" dataDxfId="404"/>
    <tableColumn id="5" name="Global_Workload_Tech_(d)" dataDxfId="403"/>
    <tableColumn id="6" name="Global_Workload_PM_(d)" dataDxfId="402"/>
    <tableColumn id="8" name="TJ $" dataDxfId="401"/>
    <tableColumn id="9" name="Price $"/>
    <tableColumn id="10" name="iPMP_Follow_up"/>
    <tableColumn id="11" name="Busin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UO_List" displayName="UO_List" ref="AA4:DU50" totalsRowCount="1" headerRowDxfId="400" dataDxfId="399">
  <autoFilter ref="AA4:DU49"/>
  <tableColumns count="99">
    <tableColumn id="84" name="PO Number (Header)" totalsRowLabel="Total" dataDxfId="398" totalsRowDxfId="184">
      <calculatedColumnFormula>IFERROR(VLOOKUP(UO_List[[#This Row],[Unique_AIB_ID]],Tableau1[[Unique_AIB_ID]:[Building / Room]],2,FALSE),"")</calculatedColumnFormula>
    </tableColumn>
    <tableColumn id="85" name="Work Specification ref." dataDxfId="397" totalsRowDxfId="183">
      <calculatedColumnFormula>IFERROR(VLOOKUP(UO_List[[#This Row],[Unique_AIB_ID]],UO_Contract!A5:V194,3,TRUE),"")</calculatedColumnFormula>
    </tableColumn>
    <tableColumn id="86" name="Commercial contract ref." dataDxfId="396" totalsRowDxfId="182">
      <calculatedColumnFormula>IFERROR(VLOOKUP(UO_List[[#This Row],[Unique_AIB_ID]],Tableau1[[Unique_AIB_ID]:[Building / Room]],4,FALSE),"")</calculatedColumnFormula>
    </tableColumn>
    <tableColumn id="87" name="Catalogue ID" dataDxfId="395" totalsRowDxfId="181">
      <calculatedColumnFormula>IFERROR(VLOOKUP(UO_List[[#This Row],[Unique_AIB_ID]],Tableau1[[Unique_AIB_ID]:[Building / Room]],5,FALSE),"")</calculatedColumnFormula>
    </tableColumn>
    <tableColumn id="88" name="Line" dataDxfId="394" totalsRowDxfId="180">
      <calculatedColumnFormula>IFERROR(VLOOKUP(UO_List[[#This Row],[Unique_AIB_ID]],Tableau1[[Unique_AIB_ID]:[Building / Room]],6,FALSE),"")</calculatedColumnFormula>
    </tableColumn>
    <tableColumn id="89" name="Item" dataDxfId="393" totalsRowDxfId="179">
      <calculatedColumnFormula>IFERROR(VLOOKUP(UO_List[[#This Row],[Unique_AIB_ID]],Tableau1[[Unique_AIB_ID]:[Building / Room]],7,FALSE),"")</calculatedColumnFormula>
    </tableColumn>
    <tableColumn id="90" name="Total Item Quantity" dataDxfId="392" totalsRowDxfId="178">
      <calculatedColumnFormula>IFERROR(VLOOKUP(UO_List[[#This Row],[Unique_AIB_ID]],Tableau1[[Unique_AIB_ID]:[Building / Room]],8,FALSE),"")</calculatedColumnFormula>
    </tableColumn>
    <tableColumn id="91" name="Line Total" dataDxfId="391" totalsRowDxfId="177">
      <calculatedColumnFormula>IFERROR(VALUE(VLOOKUP(UO_List[[#This Row],[Unique_AIB_ID]],Tableau1[[Unique_AIB_ID]:[Building / Room]],9,FALSE)),"")</calculatedColumnFormula>
    </tableColumn>
    <tableColumn id="92" name="Order Status (Header)" dataDxfId="390" totalsRowDxfId="176">
      <calculatedColumnFormula>IFERROR(VLOOKUP(UO_List[[#This Row],[Unique_AIB_ID]],Tableau1[[Unique_AIB_ID]:[Building / Room]],10,TRUE),"")</calculatedColumnFormula>
    </tableColumn>
    <tableColumn id="93" name="Shipped Quantity" dataDxfId="389" totalsRowDxfId="175">
      <calculatedColumnFormula>IFERROR(VLOOKUP(UO_List[[#This Row],[Unique_AIB_ID]],Tableau1[[Unique_AIB_ID]:[Building / Room]],11,FALSE),"")</calculatedColumnFormula>
    </tableColumn>
    <tableColumn id="94" name="Shipment Date" dataDxfId="388" totalsRowDxfId="174">
      <calculatedColumnFormula>IFERROR(VLOOKUP(UO_List[[#This Row],[Unique_AIB_ID]],Tableau1[[Unique_AIB_ID]:[Building / Room]],12,FALSE),"")</calculatedColumnFormula>
    </tableColumn>
    <tableColumn id="95" name="Ship Note" dataDxfId="387" totalsRowDxfId="173">
      <calculatedColumnFormula>IFERROR(VLOOKUP(UO_List[[#This Row],[Unique_AIB_ID]],Tableau1[[Unique_AIB_ID]:[Building / Room]],13,FALSE),"")</calculatedColumnFormula>
    </tableColumn>
    <tableColumn id="98" name="Confirmed Quantity" dataDxfId="386" totalsRowDxfId="172">
      <calculatedColumnFormula>IFERROR(VLOOKUP(UO_List[[#This Row],[Unique_AIB_ID]],Tableau1[[Unique_AIB_ID]:[Building / Room]],14,FALSE),"")</calculatedColumnFormula>
    </tableColumn>
    <tableColumn id="96" name="Ship Method" dataDxfId="385" totalsRowDxfId="171">
      <calculatedColumnFormula>IFERROR(VLOOKUP(UO_List[[#This Row],[Unique_AIB_ID]],Tableau1[[Unique_AIB_ID]:[Building / Room]],15,FALSE),"")</calculatedColumnFormula>
    </tableColumn>
    <tableColumn id="99" name="Tracking Number" dataDxfId="384" totalsRowDxfId="170">
      <calculatedColumnFormula>IFERROR(VLOOKUP(UO_List[[#This Row],[Unique_AIB_ID]],Tableau1[[Unique_AIB_ID]:[Building / Room]],16,FALSE),"")</calculatedColumnFormula>
    </tableColumn>
    <tableColumn id="137" name="Received" dataDxfId="383" totalsRowDxfId="169">
      <calculatedColumnFormula>IFERROR(VLOOKUP(UO_List[[#This Row],[Unique_AIB_ID]],Tableau1[[Unique_AIB_ID]:[Building / Room]],17,FALSE),"")</calculatedColumnFormula>
    </tableColumn>
    <tableColumn id="136" name="Invoiced" dataDxfId="382" totalsRowDxfId="168">
      <calculatedColumnFormula>IFERROR(VLOOKUP(UO_List[[#This Row],[Unique_AIB_ID]],Tableau1[[Unique_AIB_ID]:[Building / Room]],18,FALSE),"")</calculatedColumnFormula>
    </tableColumn>
    <tableColumn id="144" name="Delivery Date" dataDxfId="381" totalsRowDxfId="167">
      <calculatedColumnFormula>IFERROR(VLOOKUP(UO_List[[#This Row],[Unique_AIB_ID]],Tableau1[[Unique_AIB_ID]:[Building / Room]],19,FALSE),"")</calculatedColumnFormula>
    </tableColumn>
    <tableColumn id="143" name="Delivery Date2" dataDxfId="380" totalsRowDxfId="166">
      <calculatedColumnFormula>IFERROR(VLOOKUP(UO_List[[#This Row],[Unique_AIB_ID]],Tableau1[[Unique_AIB_ID]:[Building / Room]],20,FALSE),"")</calculatedColumnFormula>
    </tableColumn>
    <tableColumn id="142" name="Carrier" dataDxfId="379" totalsRowDxfId="165">
      <calculatedColumnFormula>IFERROR(VLOOKUP(UO_List[[#This Row],[Unique_AIB_ID]],Tableau1[[Unique_AIB_ID]:[Building / Room]],21,FALSE),"")</calculatedColumnFormula>
    </tableColumn>
    <tableColumn id="135" name="Building / Room" dataDxfId="378" totalsRowDxfId="164">
      <calculatedColumnFormula>IFERROR(VLOOKUP(UO_List[[#This Row],[Unique_AIB_ID]],Tableau1[[Unique_AIB_ID]:[Building / Room]],22,FALSE),"")</calculatedColumnFormula>
    </tableColumn>
    <tableColumn id="97" name="Additional Info" dataDxfId="377" totalsRowDxfId="163">
      <calculatedColumnFormula>IFERROR(VLOOKUP(UO_List[[#This Row],[Unique_AIB_ID]],Tableau1[[Unique_AIB_ID]:[Currency]],23,FALSE),"")</calculatedColumnFormula>
    </tableColumn>
    <tableColumn id="41" name="Unit Price (calcul)" dataDxfId="376" totalsRowDxfId="162">
      <calculatedColumnFormula>IFERROR(IF(ISBLANK(UO_List[[#This Row],[PO Number (Header)]]),"",UO_List[[#This Row],[Line Total]]/UO_List[[#This Row],[Total Item Quantity]]),"")</calculatedColumnFormula>
    </tableColumn>
    <tableColumn id="146" name="Unique_AIB_ID" dataDxfId="375" totalsRowDxfId="161"/>
    <tableColumn id="60" name="Currency" dataDxfId="374" totalsRowDxfId="160">
      <calculatedColumnFormula>IFERROR(VLOOKUP(UO_List[[#This Row],[Unique_AIB_ID]],Tableau1[[Unique_AIB_ID]:[Currency]],26,FALSE),"")</calculatedColumnFormula>
    </tableColumn>
    <tableColumn id="40" name="OLGA F6" dataDxfId="373" totalsRowDxfId="159"/>
    <tableColumn id="58" name="Company" dataDxfId="372" totalsRowDxfId="158"/>
    <tableColumn id="34" name="Id iPMP" dataDxfId="371" totalsRowDxfId="157"/>
    <tableColumn id="1" name="Id_UO" dataDxfId="370" totalsRowDxfId="156"/>
    <tableColumn id="2" name="WP" dataDxfId="369" totalsRowDxfId="155"/>
    <tableColumn id="3" name="Business" dataDxfId="368" totalsRowDxfId="154"/>
    <tableColumn id="16" name="Program" dataDxfId="367" totalsRowDxfId="153"/>
    <tableColumn id="59" name="Team" dataDxfId="366" totalsRowDxfId="152"/>
    <tableColumn id="4" name="Description" dataDxfId="365" totalsRowDxfId="151"/>
    <tableColumn id="83" name="Commentaires" dataDxfId="364" totalsRowDxfId="150"/>
    <tableColumn id="5" name="SPARE" dataDxfId="363" totalsRowDxfId="149"/>
    <tableColumn id="6" name="Début" dataDxfId="362" totalsRowDxfId="148"/>
    <tableColumn id="7" name="Fin" dataDxfId="361" totalsRowDxfId="147"/>
    <tableColumn id="8" name="Facteur" dataDxfId="360" totalsRowDxfId="146"/>
    <tableColumn id="62" name="Nb WU non affecté" dataDxfId="359" totalsRowDxfId="145">
      <calculatedColumnFormula>IFERROR(UO_List[[#This Row],[Total Item Quantity]]-UO_List[[#This Row],[Facteur]],"")</calculatedColumnFormula>
    </tableColumn>
    <tableColumn id="32" name="Prix unitaire" dataDxfId="358" totalsRowDxfId="144">
      <calculatedColumnFormula>IFERROR(IF(ISBLANK(UO_List[[#This Row],[Id_UO]]),"",SUMPRODUCT(1*(EXACT(UO_List[[#This Row],[Id_UO]],CATALOGUE[Id_WU]))*CATALOGUE[Price $])),"")</calculatedColumnFormula>
    </tableColumn>
    <tableColumn id="9" name="Montant TOTAL" totalsRowFunction="custom" dataDxfId="357" totalsRowDxfId="143">
      <calculatedColumnFormula>IFERROR(UO_List[[#This Row],[Prix unitaire]]*UO_List[[#This Row],[Facteur]],"")</calculatedColumnFormula>
      <totalsRowFormula>SUBTOTAL(9,UO_List[Montant TOTAL])</totalsRowFormula>
    </tableColumn>
    <tableColumn id="10" name="Jours GP" totalsRowFunction="custom" dataDxfId="356" totalsRowDxfId="142">
      <calculatedColumnFormula>IFERROR(SUMPRODUCT(1*(EXACT(UO_List[[#This Row],[Id_UO]],CATALOGUE[Id_WU]))*CATALOGUE[Global_Workload_PM_(d)]*UO_List[[#This Row],[Facteur]]),"")</calculatedColumnFormula>
      <totalsRowFormula>SUBTOTAL(9,UO_List[Jours GP])</totalsRowFormula>
    </tableColumn>
    <tableColumn id="11" name="ETP GP" totalsRowFunction="custom" dataDxfId="355" totalsRowDxfId="141">
      <calculatedColumnFormula>UO_List[[#This Row],[Jours GP]]/jours_an</calculatedColumnFormula>
      <totalsRowFormula>SUBTOTAL(9,UO_List[ETP GP])</totalsRowFormula>
    </tableColumn>
    <tableColumn id="12" name="Jours Tech" totalsRowFunction="custom" dataDxfId="354" totalsRowDxfId="140">
      <calculatedColumnFormula>IFERROR(SUMPRODUCT(1*(EXACT(UO_List[[#This Row],[Id_UO]],CATALOGUE[Id_WU]))*CATALOGUE[Global_Workload_Tech_(d)]*UO_List[[#This Row],[Facteur]]),"")</calculatedColumnFormula>
      <totalsRowFormula>SUBTOTAL(9,UO_List[Jours Tech])</totalsRowFormula>
    </tableColumn>
    <tableColumn id="13" name="ETP Tech" totalsRowFunction="custom" dataDxfId="353" totalsRowDxfId="139">
      <calculatedColumnFormula>UO_List[[#This Row],[Jours Tech]]/jours_an</calculatedColumnFormula>
      <totalsRowFormula>SUBTOTAL(9,UO_List[ETP Tech])</totalsRowFormula>
    </tableColumn>
    <tableColumn id="15" name="Total jour" totalsRowFunction="custom" dataDxfId="352" totalsRowDxfId="138">
      <calculatedColumnFormula>UO_List[[#This Row],[Jours GP]]+UO_List[[#This Row],[Jours Tech]]</calculatedColumnFormula>
      <totalsRowFormula>SUBTOTAL(9,UO_List[Total jour])</totalsRowFormula>
    </tableColumn>
    <tableColumn id="14" name="ETP Tot" totalsRowFunction="custom" dataDxfId="351" totalsRowDxfId="137">
      <calculatedColumnFormula>UO_List[[#This Row],[ETP GP]]+UO_List[[#This Row],[ETP Tech]]</calculatedColumnFormula>
      <totalsRowFormula>SUBTOTAL(9,UO_List[ETP Tot])</totalsRowFormula>
    </tableColumn>
    <tableColumn id="36" name="Risque" totalsRowFunction="custom" dataDxfId="350" totalsRowDxfId="136">
      <totalsRowFormula>SUBTOTAL(9,UO_List[Risque])</totalsRowFormula>
    </tableColumn>
    <tableColumn id="20" name="Budget Revue" totalsRowFunction="custom" dataDxfId="349" totalsRowDxfId="135">
      <totalsRowFormula>SUBTOTAL(9,UO_List[Budget Revue])</totalsRowFormula>
    </tableColumn>
    <tableColumn id="19" name="Montant Revue" totalsRowFunction="custom" dataDxfId="348" totalsRowDxfId="134">
      <calculatedColumnFormula>IF(UO_List[[#This Row],[Budget Revue]]="x",UO_List[[#This Row],[Montant TOTAL]],0)</calculatedColumnFormula>
      <totalsRowFormula>SUBTOTAL(9,UO_List[Montant Revue])</totalsRowFormula>
    </tableColumn>
    <tableColumn id="18" name="jrs technique revue" totalsRowFunction="custom" dataDxfId="347" totalsRowDxfId="133">
      <calculatedColumnFormula>IF(UO_List[[#This Row],[Budget Revue]]="x",UO_List[[#This Row],[Jours Tech]],0)</calculatedColumnFormula>
      <totalsRowFormula>SUBTOTAL(9,UO_List[jrs technique revue])</totalsRowFormula>
    </tableColumn>
    <tableColumn id="17" name="jrs GP revue" totalsRowFunction="custom" dataDxfId="346" totalsRowDxfId="132">
      <calculatedColumnFormula>IF(UO_List[[#This Row],[Budget Revue]]="x",UO_List[[#This Row],[Jours GP]],0)</calculatedColumnFormula>
      <totalsRowFormula>SUBTOTAL(9,UO_List[jrs GP revue])</totalsRowFormula>
    </tableColumn>
    <tableColumn id="21" name="JANVIER" totalsRowFunction="custom" dataDxfId="345" totalsRowDxfId="131">
      <calculatedColumnFormula>IF(AND(UO_List[[#This Row],[Budget Revue]]="x",$BK5&lt;&gt;"",$BL5&lt;&gt;"",YEAR(BB$3)=YEAR($BK5),MONTH(BB$3)&gt;=MONTH($BK5),MONTH(BB$3)&lt;=MONTH($BL5)),$BS5/(MONTH($BL5)-MONTH($BK5)+1),"")</calculatedColumnFormula>
      <totalsRowFormula>SUBTOTAL(9,UO_List[JANVIER])</totalsRowFormula>
    </tableColumn>
    <tableColumn id="22" name="FEVRIER" totalsRowFunction="custom" dataDxfId="344" totalsRowDxfId="130">
      <calculatedColumnFormula>IF(AND(UO_List[[#This Row],[Budget Revue]]="x",$BK5&lt;&gt;"",$BL5&lt;&gt;"",YEAR(BC$3)=YEAR($BK5),MONTH(BC$3)&gt;=MONTH($BK5),MONTH(BC$3)&lt;=MONTH($BL5)),$BS5/(MONTH($BL5)-MONTH($BK5)+1),"")</calculatedColumnFormula>
      <totalsRowFormula>SUBTOTAL(9,UO_List[FEVRIER])</totalsRowFormula>
    </tableColumn>
    <tableColumn id="23" name="MARS" totalsRowFunction="custom" dataDxfId="343" totalsRowDxfId="129">
      <calculatedColumnFormula>IF(AND(UO_List[[#This Row],[Budget Revue]]="x",$BK5&lt;&gt;"",$BL5&lt;&gt;"",YEAR(BD$3)=YEAR($BK5),MONTH(BD$3)&gt;=MONTH($BK5),MONTH(BD$3)&lt;=MONTH($BL5)),$BS5/(MONTH($BL5)-MONTH($BK5)+1),"")</calculatedColumnFormula>
      <totalsRowFormula>SUBTOTAL(9,UO_List[MARS])</totalsRowFormula>
    </tableColumn>
    <tableColumn id="24" name="AVRIL" totalsRowFunction="custom" dataDxfId="342" totalsRowDxfId="128">
      <calculatedColumnFormula>IF(AND(UO_List[[#This Row],[Budget Revue]]="x",$BK5&lt;&gt;"",$BL5&lt;&gt;"",YEAR(BE$3)=YEAR($BK5),MONTH(BE$3)&gt;=MONTH($BK5),MONTH(BE$3)&lt;=MONTH($BL5)),$BS5/(MONTH($BL5)-MONTH($BK5)+1),"")</calculatedColumnFormula>
      <totalsRowFormula>SUBTOTAL(9,UO_List[AVRIL])</totalsRowFormula>
    </tableColumn>
    <tableColumn id="25" name="MAI" totalsRowFunction="custom" dataDxfId="341" totalsRowDxfId="127">
      <calculatedColumnFormula>IF(AND(UO_List[[#This Row],[Budget Revue]]="x",$BK5&lt;&gt;"",$BL5&lt;&gt;"",YEAR(BF$3)=YEAR($BK5),MONTH(BF$3)&gt;=MONTH($BK5),MONTH(BF$3)&lt;=MONTH($BL5)),$BS5/(MONTH($BL5)-MONTH($BK5)+1),"")</calculatedColumnFormula>
      <totalsRowFormula>SUBTOTAL(9,UO_List[MAI])</totalsRowFormula>
    </tableColumn>
    <tableColumn id="26" name="JUIN" totalsRowFunction="custom" dataDxfId="340" totalsRowDxfId="126">
      <calculatedColumnFormula>IF(AND(UO_List[[#This Row],[Budget Revue]]="x",$BK5&lt;&gt;"",$BL5&lt;&gt;"",YEAR(BG$3)=YEAR($BK5),MONTH(BG$3)&gt;=MONTH($BK5),MONTH(BG$3)&lt;=MONTH($BL5)),$BS5/(MONTH($BL5)-MONTH($BK5)+1),"")</calculatedColumnFormula>
      <totalsRowFormula>SUBTOTAL(9,UO_List[JUIN])</totalsRowFormula>
    </tableColumn>
    <tableColumn id="27" name="JUILLET" totalsRowFunction="custom" dataDxfId="339" totalsRowDxfId="125">
      <calculatedColumnFormula>IF(AND(UO_List[[#This Row],[Budget Revue]]="x",$BK5&lt;&gt;"",$BL5&lt;&gt;"",YEAR(BH$3)=YEAR($BK5),MONTH(BH$3)&gt;=MONTH($BK5),MONTH(BH$3)&lt;=MONTH($BL5)),$BS5/(MONTH($BL5)-MONTH($BK5)+1),"")</calculatedColumnFormula>
      <totalsRowFormula>SUBTOTAL(9,UO_List[JUILLET])</totalsRowFormula>
    </tableColumn>
    <tableColumn id="28" name="AOUT" totalsRowFunction="custom" dataDxfId="338" totalsRowDxfId="124">
      <calculatedColumnFormula>IF(AND(UO_List[[#This Row],[Budget Revue]]="x",$BK5&lt;&gt;"",$BL5&lt;&gt;"",YEAR(BI$3)=YEAR($BK5),MONTH(BI$3)&gt;=MONTH($BK5),MONTH(BI$3)&lt;=MONTH($BL5)),$BS5/(MONTH($BL5)-MONTH($BK5)+1),"")</calculatedColumnFormula>
      <totalsRowFormula>SUBTOTAL(9,UO_List[AOUT])</totalsRowFormula>
    </tableColumn>
    <tableColumn id="29" name="SEPTEMBRE" totalsRowFunction="custom" dataDxfId="337" totalsRowDxfId="123">
      <calculatedColumnFormula>IF(AND(UO_List[[#This Row],[Budget Revue]]="x",$BK5&lt;&gt;"",$BL5&lt;&gt;"",YEAR(BJ$3)=YEAR($BK5),MONTH(BJ$3)&gt;=MONTH($BK5),MONTH(BJ$3)&lt;=MONTH($BL5)),$BS5/(MONTH($BL5)-MONTH($BK5)+1),"")</calculatedColumnFormula>
      <totalsRowFormula>SUBTOTAL(9,UO_List[SEPTEMBRE])</totalsRowFormula>
    </tableColumn>
    <tableColumn id="30" name="OCTOBRE" totalsRowFunction="custom" dataDxfId="336" totalsRowDxfId="122">
      <calculatedColumnFormula>IF(AND(UO_List[[#This Row],[Budget Revue]]="x",$BK5&lt;&gt;"",$BL5&lt;&gt;"",YEAR(BK$3)=YEAR($BK5),MONTH(BK$3)&gt;=MONTH($BK5),MONTH(BK$3)&lt;=MONTH($BL5)),$BS5/(MONTH($BL5)-MONTH($BK5)+1),"")</calculatedColumnFormula>
      <totalsRowFormula>SUBTOTAL(9,UO_List[OCTOBRE])</totalsRowFormula>
    </tableColumn>
    <tableColumn id="31" name="NOVEMBRE" totalsRowFunction="custom" dataDxfId="335" totalsRowDxfId="121">
      <calculatedColumnFormula>IF(AND(UO_List[[#This Row],[Budget Revue]]="x",$BK5&lt;&gt;"",$BL5&lt;&gt;"",YEAR(BL$3)=YEAR($BK5),MONTH(BL$3)&gt;=MONTH($BK5),MONTH(BL$3)&lt;=MONTH($BL5)),$BS5/(MONTH($BL5)-MONTH($BK5)+1),"")</calculatedColumnFormula>
      <totalsRowFormula>SUBTOTAL(9,UO_List[NOVEMBRE])</totalsRowFormula>
    </tableColumn>
    <tableColumn id="37" name="DECEMBRE" totalsRowFunction="custom" dataDxfId="334" totalsRowDxfId="120">
      <calculatedColumnFormula>IF(AND(UO_List[[#This Row],[Budget Revue]]="x",$BK5&lt;&gt;"",$BL5&lt;&gt;"",YEAR(BM$3)=YEAR($BK5),MONTH(BM$3)&gt;=MONTH($BK5),MONTH(BM$3)&lt;=MONTH($BL5)),$BS5/(MONTH($BL5)-MONTH($BK5)+1),"")</calculatedColumnFormula>
      <totalsRowFormula>SUBTOTAL(9,UO_List[DECEMBRE])</totalsRowFormula>
    </tableColumn>
    <tableColumn id="38" name="verif" totalsRowFunction="custom" dataDxfId="333" totalsRowDxfId="119">
      <calculatedColumnFormula>IF(UO_List[[#This Row],[Budget Revue]]="x",SUM(UO_List[[#This Row],[JANVIER]:[DECEMBRE]])-UO_List[[#This Row],[Jours Tech]],"")</calculatedColumnFormula>
      <totalsRowFormula>SUBTOTAL(9,UO_List[verif])</totalsRowFormula>
    </tableColumn>
    <tableColumn id="54" name="JANVIER2" totalsRowFunction="custom" dataDxfId="332" totalsRowDxfId="118">
      <calculatedColumnFormula>IF(AND(UO_List[[#This Row],[Budget Revue]]="x",$BK5&lt;&gt;"",$BL5&lt;&gt;"",YEAR(BO$3)=YEAR($BK5),MONTH(BO$3)&gt;=MONTH($BK5),MONTH(BO$3)&lt;=MONTH($BL5)),UO_List[[#This Row],[Montant TOTAL]]/(MONTH($BL5)-MONTH($BK5)+1),"")</calculatedColumnFormula>
      <totalsRowFormula>SUBTOTAL(9,UO_List[JANVIER2])</totalsRowFormula>
    </tableColumn>
    <tableColumn id="53" name="FEVRIER2" totalsRowFunction="custom" dataDxfId="331" totalsRowDxfId="117">
      <calculatedColumnFormula>IF(AND(UO_List[[#This Row],[Budget Revue]]="x",$BK5&lt;&gt;"",$BL5&lt;&gt;"",YEAR(BP$3)=YEAR($BK5),MONTH(BP$3)&gt;=MONTH($BK5),MONTH(BP$3)&lt;=MONTH($BL5)),UO_List[[#This Row],[Montant TOTAL]]/(MONTH($BL5)-MONTH($BK5)+1),"")</calculatedColumnFormula>
      <totalsRowFormula>SUBTOTAL(9,UO_List[FEVRIER2])</totalsRowFormula>
    </tableColumn>
    <tableColumn id="52" name="MARS2" totalsRowFunction="custom" dataDxfId="330" totalsRowDxfId="116">
      <calculatedColumnFormula>IF(AND(UO_List[[#This Row],[Budget Revue]]="x",$BK5&lt;&gt;"",$BL5&lt;&gt;"",YEAR(BQ$3)=YEAR($BK5),MONTH(BQ$3)&gt;=MONTH($BK5),MONTH(BQ$3)&lt;=MONTH($BL5)),UO_List[[#This Row],[Montant TOTAL]]/(MONTH($BL5)-MONTH($BK5)+1),"")</calculatedColumnFormula>
      <totalsRowFormula>SUBTOTAL(9,UO_List[MARS2])</totalsRowFormula>
    </tableColumn>
    <tableColumn id="51" name="AVRIL2" totalsRowFunction="custom" dataDxfId="329" totalsRowDxfId="115">
      <calculatedColumnFormula>IF(AND(UO_List[[#This Row],[Budget Revue]]="x",$BK5&lt;&gt;"",$BL5&lt;&gt;"",YEAR(BR$3)=YEAR($BK5),MONTH(BR$3)&gt;=MONTH($BK5),MONTH(BR$3)&lt;=MONTH($BL5)),UO_List[[#This Row],[Montant TOTAL]]/(MONTH($BL5)-MONTH($BK5)+1),"")</calculatedColumnFormula>
      <totalsRowFormula>SUBTOTAL(9,UO_List[AVRIL2])</totalsRowFormula>
    </tableColumn>
    <tableColumn id="50" name="MAI2" totalsRowFunction="custom" dataDxfId="328" totalsRowDxfId="114">
      <calculatedColumnFormula>IF(AND(UO_List[[#This Row],[Budget Revue]]="x",$BK5&lt;&gt;"",$BL5&lt;&gt;"",YEAR(BS$3)=YEAR($BK5),MONTH(BS$3)&gt;=MONTH($BK5),MONTH(BS$3)&lt;=MONTH($BL5)),UO_List[[#This Row],[Montant TOTAL]]/(MONTH($BL5)-MONTH($BK5)+1),"")</calculatedColumnFormula>
      <totalsRowFormula>SUBTOTAL(9,UO_List[MAI2])</totalsRowFormula>
    </tableColumn>
    <tableColumn id="49" name="JUIN2" totalsRowFunction="custom" dataDxfId="327" totalsRowDxfId="113">
      <calculatedColumnFormula>IF(AND(UO_List[[#This Row],[Budget Revue]]="x",$BK5&lt;&gt;"",$BL5&lt;&gt;"",YEAR(BT$3)=YEAR($BK5),MONTH(BT$3)&gt;=MONTH($BK5),MONTH(BT$3)&lt;=MONTH($BL5)),UO_List[[#This Row],[Montant TOTAL]]/(MONTH($BL5)-MONTH($BK5)+1),"")</calculatedColumnFormula>
      <totalsRowFormula>SUBTOTAL(9,UO_List[JUIN2])</totalsRowFormula>
    </tableColumn>
    <tableColumn id="48" name="JUILLET2" totalsRowFunction="custom" dataDxfId="326" totalsRowDxfId="112">
      <calculatedColumnFormula>IF(AND(UO_List[[#This Row],[Budget Revue]]="x",$BK5&lt;&gt;"",$BL5&lt;&gt;"",YEAR(BU$3)=YEAR($BK5),MONTH(BU$3)&gt;=MONTH($BK5),MONTH(BU$3)&lt;=MONTH($BL5)),UO_List[[#This Row],[Montant TOTAL]]/(MONTH($BL5)-MONTH($BK5)+1),"")</calculatedColumnFormula>
      <totalsRowFormula>SUBTOTAL(9,UO_List[JUILLET2])</totalsRowFormula>
    </tableColumn>
    <tableColumn id="46" name="AOUT2" totalsRowFunction="custom" dataDxfId="325" totalsRowDxfId="111">
      <calculatedColumnFormula>IF(AND(UO_List[[#This Row],[Budget Revue]]="x",$BK5&lt;&gt;"",$BL5&lt;&gt;"",YEAR(BV$3)=YEAR($BK5),MONTH(BV$3)&gt;=MONTH($BK5),MONTH(BV$3)&lt;=MONTH($BL5)),UO_List[[#This Row],[Montant TOTAL]]/(MONTH($BL5)-MONTH($BK5)+1),"")</calculatedColumnFormula>
      <totalsRowFormula>SUBTOTAL(9,UO_List[AOUT2])</totalsRowFormula>
    </tableColumn>
    <tableColumn id="45" name="SEPTEMBRE2" totalsRowFunction="custom" dataDxfId="324" totalsRowDxfId="110">
      <calculatedColumnFormula>IF(AND(UO_List[[#This Row],[Budget Revue]]="x",$BK5&lt;&gt;"",$BL5&lt;&gt;"",YEAR(BW$3)=YEAR($BK5),MONTH(BW$3)&gt;=MONTH($BK5),MONTH(BW$3)&lt;=MONTH($BL5)),UO_List[[#This Row],[Montant TOTAL]]/(MONTH($BL5)-MONTH($BK5)+1),"")</calculatedColumnFormula>
      <totalsRowFormula>SUBTOTAL(9,UO_List[SEPTEMBRE2])</totalsRowFormula>
    </tableColumn>
    <tableColumn id="44" name="OCTOBRE2" totalsRowFunction="custom" dataDxfId="323" totalsRowDxfId="109">
      <calculatedColumnFormula>IF(AND(UO_List[[#This Row],[Budget Revue]]="x",$BK5&lt;&gt;"",$BL5&lt;&gt;"",YEAR(BX$3)=YEAR($BK5),MONTH(BX$3)&gt;=MONTH($BK5),MONTH(BX$3)&lt;=MONTH($BL5)),UO_List[[#This Row],[Montant TOTAL]]/(MONTH($BL5)-MONTH($BK5)+1),"")</calculatedColumnFormula>
      <totalsRowFormula>SUBTOTAL(9,UO_List[OCTOBRE2])</totalsRowFormula>
    </tableColumn>
    <tableColumn id="42" name="NOVEMBRE2" totalsRowFunction="custom" dataDxfId="322" totalsRowDxfId="108">
      <calculatedColumnFormula>IF(AND(UO_List[[#This Row],[Budget Revue]]="x",$BK5&lt;&gt;"",$BL5&lt;&gt;"",YEAR(BY$3)=YEAR($BK5),MONTH(BY$3)&gt;=MONTH($BK5),MONTH(BY$3)&lt;=MONTH($BL5)),UO_List[[#This Row],[Montant TOTAL]]/(MONTH($BL5)-MONTH($BK5)+1),"")</calculatedColumnFormula>
      <totalsRowFormula>SUBTOTAL(9,UO_List[NOVEMBRE2])</totalsRowFormula>
    </tableColumn>
    <tableColumn id="33" name="DECEMBRE2" totalsRowFunction="custom" dataDxfId="321" totalsRowDxfId="107">
      <calculatedColumnFormula>IF(AND(UO_List[[#This Row],[Budget Revue]]="x",$BK5&lt;&gt;"",$BL5&lt;&gt;"",YEAR(BY$3)=YEAR($BK5),MONTH(BY$3)&gt;=MONTH($BK5),MONTH(BY$3)&lt;=MONTH($BL5)),UO_List[[#This Row],[Montant TOTAL]]/(MONTH($BL5)-MONTH($BK5)+1),"")</calculatedColumnFormula>
      <totalsRowFormula>SUBTOTAL(9,UO_List[DECEMBRE2])</totalsRowFormula>
    </tableColumn>
    <tableColumn id="55" name="veril2" dataDxfId="320" totalsRowDxfId="106">
      <calculatedColumnFormula>IF(UO_List[[#This Row],[Budget Revue]]="x",SUM(UO_List[[#This Row],[JANVIER2]:[DECEMBRE2]])-UO_List[Montant TOTAL],"")</calculatedColumnFormula>
    </tableColumn>
    <tableColumn id="39" name="Qté Réception 03/2020" totalsRowFunction="custom" dataDxfId="319" totalsRowDxfId="105">
      <totalsRowFormula>SUBTOTAL(9,UO_List[Qté Réception 03/2020])</totalsRowFormula>
    </tableColumn>
    <tableColumn id="43" name="Qté Réception 02/2020" totalsRowFunction="custom" dataDxfId="318" totalsRowDxfId="104">
      <totalsRowFormula>SUBTOTAL(9,UO_List[Qté Réception 02/2020])</totalsRowFormula>
    </tableColumn>
    <tableColumn id="47" name="Qté Réception 00/2020" totalsRowFunction="custom" dataDxfId="317" totalsRowDxfId="103">
      <calculatedColumnFormula>UO_List[[#This Row],[Qté Réception 03/2020]]*UO_List[[#This Row],[Prix unitaire]]</calculatedColumnFormula>
      <totalsRowFormula>SUBTOTAL(9,UO_List[Qté Réception 00/2020])</totalsRowFormula>
    </tableColumn>
    <tableColumn id="82" name="Qté Réception 04/2020" totalsRowFunction="custom" dataDxfId="316" totalsRowDxfId="102">
      <totalsRowFormula>SUBTOTAL(9,UO_List[Qté Réception 04/2020])</totalsRowFormula>
    </tableColumn>
    <tableColumn id="56" name="Qté Réception 05/2020" totalsRowFunction="custom" dataDxfId="315" totalsRowDxfId="101">
      <totalsRowFormula>SUBTOTAL(9,UO_List[Qté Réception 05/2020])</totalsRowFormula>
    </tableColumn>
    <tableColumn id="61" name="Qté Réception 06/2020" totalsRowFunction="custom" dataDxfId="314" totalsRowDxfId="100">
      <totalsRowFormula>SUBTOTAL(9,UO_List[Qté Réception 06/2020])</totalsRowFormula>
    </tableColumn>
    <tableColumn id="68" name="Qté Réception 07/2020" totalsRowFunction="custom" dataDxfId="313" totalsRowDxfId="99">
      <totalsRowFormula>SUBTOTAL(9,UO_List[Qté Réception 07/2020])</totalsRowFormula>
    </tableColumn>
    <tableColumn id="73" name="Qté Réception 08/2020" totalsRowFunction="custom" dataDxfId="312" totalsRowDxfId="98">
      <totalsRowFormula>SUBTOTAL(9,UO_List[Qté Réception 08/2020])</totalsRowFormula>
    </tableColumn>
    <tableColumn id="115" name="Qté Réception 09/2020" totalsRowFunction="custom" dataDxfId="311" totalsRowDxfId="97">
      <totalsRowFormula>SUBTOTAL(9,UO_List[Qté Réception 09/2020])</totalsRowFormula>
    </tableColumn>
    <tableColumn id="114" name="Qté Réception 10/2020" totalsRowFunction="custom" dataDxfId="310" totalsRowDxfId="96">
      <totalsRowFormula>SUBTOTAL(9,UO_List[Qté Réception 10/2020])</totalsRowFormula>
    </tableColumn>
    <tableColumn id="107" name="Qté Réception 11/2020" totalsRowFunction="custom" dataDxfId="309" totalsRowDxfId="95">
      <totalsRowFormula>SUBTOTAL(9,UO_List[Qté Réception 11/2020])</totalsRowFormula>
    </tableColumn>
    <tableColumn id="120" name="Qté Réception 12/2020" totalsRowFunction="custom" dataDxfId="308" totalsRowDxfId="94">
      <totalsRowFormula>SUBTOTAL(9,UO_List[Qté Réception 12/2020])</totalsRowFormula>
    </tableColumn>
    <tableColumn id="134" name="Total item réceptionné" totalsRowFunction="custom" dataDxfId="307" totalsRowDxfId="93">
      <calculatedColumnFormula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calculatedColumnFormula>
      <totalsRowFormula>SUBTOTAL(9,UO_List[Total item réceptionné])</totalsRowFormula>
    </tableColumn>
    <tableColumn id="140" name="Montant restant à réceptionner" totalsRowFunction="custom" dataDxfId="306" totalsRowDxfId="92">
      <calculatedColumnFormula>IFERROR(UO_List[[#This Row],[Line Total]]-UO_List[[#This Row],[Montant total réceptionné]],"")</calculatedColumnFormula>
      <totalsRowFormula>SUBTOTAL(9,UO_List[Montant restant à réceptionner])</totalsRowFormula>
    </tableColumn>
    <tableColumn id="57" name="Montant total réceptionné" totalsRowFunction="custom" dataDxfId="305" totalsRowDxfId="91">
      <calculatedColumnFormula>IFERROR(UO_List[[#This Row],[Total item réceptionné]]*UO_List[[#This Row],[Unit Price (calcul)]],0)</calculatedColumnFormula>
      <totalsRowFormula>SUBTOTAL(9,UO_List[Montant total réceptionné])</totalsRowFormula>
    </tableColumn>
    <tableColumn id="133" name="Total items restant à receptionner" totalsRowFunction="custom" dataDxfId="304" totalsRowDxfId="90">
      <calculatedColumnFormula>UO_List[[#This Row],[Facteur]]-UO_List[[#This Row],[Total item réceptionné]]</calculatedColumnFormula>
      <totalsRowFormula>SUBTOTAL(9,UO_List[Total items restant à receptionner])</totalsRowFormula>
    </tableColumn>
    <tableColumn id="104" name="Poste Clos" dataDxfId="303" totalsRowDxfId="89"/>
    <tableColumn id="121" name="BL" dataDxfId="302" totalsRowDxfId="88"/>
    <tableColumn id="35" name="Livrable"/>
    <tableColumn id="63" name="Colonne1" dataDxfId="301" totalsRowDxfId="87"/>
  </tableColumns>
  <tableStyleInfo name="TableStyleMedium2" showFirstColumn="0" showLastColumn="0" showRowStripes="1" showColumnStripes="1"/>
</table>
</file>

<file path=xl/tables/table4.xml><?xml version="1.0" encoding="utf-8"?>
<table xmlns="http://schemas.openxmlformats.org/spreadsheetml/2006/main" id="8" name="Tableau1" displayName="Tableau1" ref="A4:DI194" totalsRowShown="0" headerRowDxfId="300" dataDxfId="299">
  <autoFilter ref="A4:DI194"/>
  <tableColumns count="113">
    <tableColumn id="2" name="Unique_AIB_ID" dataDxfId="298">
      <calculatedColumnFormula>CONCATENATE(Tableau1[[#This Row],[PO Number (Header)]],"-",Tableau1[[#This Row],[Line]])</calculatedColumnFormula>
    </tableColumn>
    <tableColumn id="84" name="PO Number (Header)" dataDxfId="297"/>
    <tableColumn id="85" name="Work Specification ref." dataDxfId="296"/>
    <tableColumn id="86" name="Commercial contract ref." dataDxfId="295"/>
    <tableColumn id="87" name="Catalogue ID" dataDxfId="294"/>
    <tableColumn id="88" name="Line" dataDxfId="293"/>
    <tableColumn id="89" name="Item" dataDxfId="292"/>
    <tableColumn id="90" name="Total Item Quantity" dataDxfId="291"/>
    <tableColumn id="91" name="Line Total" dataDxfId="290"/>
    <tableColumn id="92" name="Order Status (Header)" dataDxfId="289"/>
    <tableColumn id="93" name="Shipped Quantity" dataDxfId="288"/>
    <tableColumn id="94" name="Shipment Date" dataDxfId="287"/>
    <tableColumn id="95" name="Ship Note" dataDxfId="286"/>
    <tableColumn id="98" name="Confirmed Quantity" dataDxfId="285"/>
    <tableColumn id="96" name="Ship Method" dataDxfId="284"/>
    <tableColumn id="99" name="Tracking Number" dataDxfId="283"/>
    <tableColumn id="137" name="Received" dataDxfId="282"/>
    <tableColumn id="136" name="Invoiced" dataDxfId="281"/>
    <tableColumn id="144" name="Delivery Date" dataDxfId="280"/>
    <tableColumn id="143" name="Delivery Date2" dataDxfId="279"/>
    <tableColumn id="142" name="Carrier" dataDxfId="278"/>
    <tableColumn id="135" name="Building / Room" dataDxfId="277"/>
    <tableColumn id="97" name="Additional Info" dataDxfId="276"/>
    <tableColumn id="19" name="Requestor" dataDxfId="275"/>
    <tableColumn id="1" name="Unit Price (calcul)" dataDxfId="274">
      <calculatedColumnFormula>IF(ISBLANK(Tableau1[[#This Row],[PO Number (Header)]]),"",Tableau1[[#This Row],[Line Total]]/Tableau1[[#This Row],[Total Item Quantity]])</calculatedColumnFormula>
    </tableColumn>
    <tableColumn id="4" name="Activité Liée" dataDxfId="273">
      <calculatedColumnFormula>IF(ISNA(VLOOKUP(Tableau1[[#This Row],[Unique_AIB_ID]],UO_List[Unique_AIB_ID],1,FALSE)),IF(ISBLANK(Tableau1[[#This Row],[PO Number (Header)]]),"","FAUX"),"VRAI")</calculatedColumnFormula>
    </tableColumn>
    <tableColumn id="6" name="Currency" dataDxfId="272"/>
    <tableColumn id="5" name="Code OLGA F6" dataDxfId="271">
      <calculatedColumnFormula>VLOOKUP(Tableau1[[#This Row],[Unique_AIB_ID]],UO_List[[Unique_AIB_ID]:[OLGA F6]],3,FALSE)</calculatedColumnFormula>
    </tableColumn>
    <tableColumn id="3" name="Code OLGA F2" dataDxfId="270"/>
    <tableColumn id="39" name="Qté Réception 01/2018" dataDxfId="269">
      <calculatedColumnFormula>SUMPRODUCT(1*(EXACT(CONCATENATE(Tableau1[[#This Row],[PO Number (Header)]],"-",Tableau1[[#This Row],[Line]]),UO_List[Unique_AIB_ID]))*(UO_List[Qté Réception 03/2020]))</calculatedColumnFormula>
    </tableColumn>
    <tableColumn id="40" name="Qté A facturer 01/2018" dataDxfId="268"/>
    <tableColumn id="41" name="Qté Facturé 01/2018" dataDxfId="267"/>
    <tableColumn id="105" name="Montant Facturé 01/2018" dataDxfId="266">
      <calculatedColumnFormula>IFERROR(Tableau1[[#This Row],[Qté Facturé 01/2018]]*Tableau1[[#This Row],[Unit Price (calcul)]],"")</calculatedColumnFormula>
    </tableColumn>
    <tableColumn id="7" name="Montant Facturé 01/2018 €" dataDxfId="265">
      <calculatedColumnFormula>IFERROR(IF(Tableau1[[#This Row],[Montant Facturé 01/2018]]&gt;0,Tableau1[[#This Row],[Montant Facturé 01/2018]]/Taux_Change_SII,""),"")</calculatedColumnFormula>
    </tableColumn>
    <tableColumn id="42" name="Statut facturation 01/2018" dataDxfId="264"/>
    <tableColumn id="43" name="Qté Réception 02/2018" dataDxfId="263">
      <calculatedColumnFormula>SUMPRODUCT(1*(EXACT(CONCATENATE(Tableau1[[#This Row],[PO Number (Header)]],"-",Tableau1[[#This Row],[Line]]),UO_List[Unique_AIB_ID]))*(UO_List[Qté Réception 02/2020]))</calculatedColumnFormula>
    </tableColumn>
    <tableColumn id="44" name="Qté A facturer 02/2018" dataDxfId="262">
      <calculatedColumnFormula>SUMPRODUCT(1*(EXACT(CONCATENATE(Tableau1[[#This Row],[PO Number (Header)]],"-",Tableau1[[#This Row],[Line]]),UO_List[Unique_AIB_ID]))*(UO_List[Qté Réception 02/2020]))</calculatedColumnFormula>
    </tableColumn>
    <tableColumn id="45" name="Qté Facturé 02/2018" dataDxfId="261"/>
    <tableColumn id="106" name="Montant Facturé 02/2018" dataDxfId="260">
      <calculatedColumnFormula>IFERROR(Tableau1[[#This Row],[Qté Facturé 02/2018]]*Tableau1[[#This Row],[Unit Price (calcul)]],"")</calculatedColumnFormula>
    </tableColumn>
    <tableColumn id="8" name="Montant Facturé 02/2018 €" dataDxfId="259">
      <calculatedColumnFormula>IFERROR(IF(Tableau1[[#This Row],[Montant Facturé 02/2018]]&gt;0,Tableau1[[#This Row],[Montant Facturé 02/2018]]/Taux_Change_SII,""),"")</calculatedColumnFormula>
    </tableColumn>
    <tableColumn id="46" name="Statut facturation 02/20182" dataDxfId="258"/>
    <tableColumn id="47" name="Qté Réception 03/2018" dataDxfId="257">
      <calculatedColumnFormula>SUMPRODUCT(1*(EXACT(CONCATENATE(Tableau1[[#This Row],[PO Number (Header)]],"-",Tableau1[[#This Row],[Line]]),UO_List[Unique_AIB_ID]))*(UO_List[Qté Réception 00/2020]))</calculatedColumnFormula>
    </tableColumn>
    <tableColumn id="48" name="Qté A facturer 03/2018" dataDxfId="256"/>
    <tableColumn id="49" name="Qté Facturé 03/2018" dataDxfId="255"/>
    <tableColumn id="50" name="Montant Facturé 03/2018" dataDxfId="254">
      <calculatedColumnFormula>IFERROR(Tableau1[[#This Row],[Qté Facturé 03/2018]]*Tableau1[[#This Row],[Unit Price (calcul)]],"")</calculatedColumnFormula>
    </tableColumn>
    <tableColumn id="9" name="Montant Facturé 03/2018 €" dataDxfId="253">
      <calculatedColumnFormula>IFERROR(IF(Tableau1[[#This Row],[Montant Facturé 03/2018]]&gt;0,Tableau1[[#This Row],[Montant Facturé 03/2018]]/Taux_Change_SII,""),"")</calculatedColumnFormula>
    </tableColumn>
    <tableColumn id="51" name="Statut facturation 03/20182" dataDxfId="252"/>
    <tableColumn id="82" name="Qté Réception 04/2018" dataDxfId="251">
      <calculatedColumnFormula>SUMPRODUCT(1*(EXACT(CONCATENATE(Tableau1[[#This Row],[PO Number (Header)]],"-",Tableau1[[#This Row],[Line]]),UO_List[Unique_AIB_ID]))*(UO_List[Qté Réception 04/2020]))</calculatedColumnFormula>
    </tableColumn>
    <tableColumn id="52" name="Qté A facturer 04/2018" dataDxfId="250"/>
    <tableColumn id="53" name="Qté Facturé 04/2018" dataDxfId="249"/>
    <tableColumn id="54" name="Montant Facturé 04/2018" dataDxfId="248">
      <calculatedColumnFormula>IFERROR(Tableau1[[#This Row],[Qté Facturé 04/2018]]*Tableau1[[#This Row],[Unit Price (calcul)]],"")</calculatedColumnFormula>
    </tableColumn>
    <tableColumn id="10" name="Montant Facturé 04/2018 €" dataDxfId="247">
      <calculatedColumnFormula>IFERROR(IF(Tableau1[[#This Row],[Montant Facturé 04/2018]]&gt;0,Tableau1[[#This Row],[Montant Facturé 04/2018]]/Taux_Change_SII,""),"")</calculatedColumnFormula>
    </tableColumn>
    <tableColumn id="55" name="Statut facturation 04/2018" dataDxfId="246"/>
    <tableColumn id="56" name="Qté Réception 05/2018" dataDxfId="245">
      <calculatedColumnFormula>SUMPRODUCT(1*(EXACT(CONCATENATE(Tableau1[[#This Row],[PO Number (Header)]],"-",Tableau1[[#This Row],[Line]]),UO_List[Unique_AIB_ID]))*(UO_List[Qté Réception 05/2020]))</calculatedColumnFormula>
    </tableColumn>
    <tableColumn id="57" name="Qté A facturer 05/2018" dataDxfId="244"/>
    <tableColumn id="58" name="Qté Facturé 05/2018" dataDxfId="243"/>
    <tableColumn id="59" name="Montant Facturé 05/2018" dataDxfId="242">
      <calculatedColumnFormula>IFERROR(Tableau1[[#This Row],[Qté Facturé 05/2018]]*Tableau1[[#This Row],[Unit Price (calcul)]],"")</calculatedColumnFormula>
    </tableColumn>
    <tableColumn id="11" name="Montant Facturé 05/2018 €" dataDxfId="241">
      <calculatedColumnFormula>IFERROR(IF(Tableau1[[#This Row],[Montant Facturé 05/2018]]&gt;0,Tableau1[[#This Row],[Montant Facturé 05/2018]]/Taux_Change_SII,""),"")</calculatedColumnFormula>
    </tableColumn>
    <tableColumn id="60" name="Statut facturation 05/2018" dataDxfId="240"/>
    <tableColumn id="61" name="Qté Réception 06/2018" dataDxfId="239">
      <calculatedColumnFormula>SUMPRODUCT(1*(EXACT(CONCATENATE(Tableau1[[#This Row],[PO Number (Header)]],"-",Tableau1[[#This Row],[Line]]),UO_List[Unique_AIB_ID]))*(UO_List[Qté Réception 06/2020]))</calculatedColumnFormula>
    </tableColumn>
    <tableColumn id="62" name="Qté A facturer 06/2018" dataDxfId="238"/>
    <tableColumn id="63" name="Qté Facturé 06/2018" dataDxfId="237"/>
    <tableColumn id="64" name="Montant Facturé 06/2018" dataDxfId="236">
      <calculatedColumnFormula>IFERROR(Tableau1[[#This Row],[Qté Facturé 06/2018]]*Tableau1[[#This Row],[Unit Price (calcul)]],"")</calculatedColumnFormula>
    </tableColumn>
    <tableColumn id="12" name="Montant Facturé 06/2018 €" dataDxfId="235">
      <calculatedColumnFormula>IFERROR(IF(Tableau1[[#This Row],[Montant Facturé 06/2018]]&gt;0,Tableau1[[#This Row],[Montant Facturé 06/2018]]/Taux_Change_SII,""),"")</calculatedColumnFormula>
    </tableColumn>
    <tableColumn id="65" name="Statut facturation 06/2018" dataDxfId="234"/>
    <tableColumn id="68" name="Qté Réception 07/2018" dataDxfId="233">
      <calculatedColumnFormula>SUMPRODUCT(1*(EXACT(CONCATENATE(Tableau1[[#This Row],[PO Number (Header)]],"-",Tableau1[[#This Row],[Line]]),UO_List[Unique_AIB_ID]))*(UO_List[Qté Réception 07/2020]))</calculatedColumnFormula>
    </tableColumn>
    <tableColumn id="69" name="Qté A facturer 07/2018" dataDxfId="232"/>
    <tableColumn id="70" name="Qté Facturé 07/2018" dataDxfId="231"/>
    <tableColumn id="71" name="Montant Facturé 07/2018" dataDxfId="230">
      <calculatedColumnFormula>IFERROR(Tableau1[[#This Row],[Qté Facturé 07/2018]]*Tableau1[[#This Row],[Unit Price (calcul)]],"")</calculatedColumnFormula>
    </tableColumn>
    <tableColumn id="13" name="Montant Facturé 07/2018 €" dataDxfId="229">
      <calculatedColumnFormula>IFERROR(IF(Tableau1[[#This Row],[Montant Facturé 07/2018]]&gt;0,Tableau1[[#This Row],[Montant Facturé 07/2018]]/Taux_Change_SII,""),"")</calculatedColumnFormula>
    </tableColumn>
    <tableColumn id="72" name="Statut facturation 07/2018" dataDxfId="228"/>
    <tableColumn id="73" name="Qté Réception 08/2018" dataDxfId="227">
      <calculatedColumnFormula>SUMPRODUCT(1*(EXACT(CONCATENATE(Tableau1[[#This Row],[PO Number (Header)]],"-",Tableau1[[#This Row],[Line]]),UO_List[Unique_AIB_ID]))*(UO_List[Qté Réception 08/2020]))</calculatedColumnFormula>
    </tableColumn>
    <tableColumn id="74" name="Qté A facturer 08/2018" dataDxfId="226"/>
    <tableColumn id="75" name="Qté Facturé 08/2018" dataDxfId="225"/>
    <tableColumn id="76" name="Montant Facturé 08/2018" dataDxfId="224">
      <calculatedColumnFormula>IFERROR(Tableau1[[#This Row],[Qté Facturé 08/2018]]*Tableau1[[#This Row],[Unit Price (calcul)]],"")</calculatedColumnFormula>
    </tableColumn>
    <tableColumn id="14" name="Montant Facturé 08/2019" dataDxfId="223">
      <calculatedColumnFormula>IFERROR(IF(Tableau1[[#This Row],[Montant Facturé 08/2018]]&gt;0,Tableau1[[#This Row],[Montant Facturé 08/2018]]/Taux_Change_SII,""),"")</calculatedColumnFormula>
    </tableColumn>
    <tableColumn id="77" name="Statut facturation 08/2018" dataDxfId="222"/>
    <tableColumn id="115" name="Qté Réception 09/2018" dataDxfId="221">
      <calculatedColumnFormula>SUMPRODUCT(1*(EXACT(CONCATENATE(Tableau1[[#This Row],[PO Number (Header)]],"-",Tableau1[[#This Row],[Line]]),UO_List[Unique_AIB_ID]))*(UO_List[Qté Réception 09/2020]))</calculatedColumnFormula>
    </tableColumn>
    <tableColumn id="116" name="Qté A facturer 09/2018" dataDxfId="220"/>
    <tableColumn id="117" name="Qté Facturé 09/2018" dataDxfId="219"/>
    <tableColumn id="112" name="Montant Facturé 09/2018" dataDxfId="218">
      <calculatedColumnFormula>IFERROR(Tableau1[[#This Row],[Qté Facturé 09/2018]]*Tableau1[[#This Row],[Unit Price (calcul)]],"")</calculatedColumnFormula>
    </tableColumn>
    <tableColumn id="15" name="Montant Facturé 09/2018 €" dataDxfId="217">
      <calculatedColumnFormula>IFERROR(IF(Tableau1[[#This Row],[Montant Facturé 09/2018]]&gt;0,Tableau1[[#This Row],[Montant Facturé 09/2018]]/Taux_Change_SII,""),"")</calculatedColumnFormula>
    </tableColumn>
    <tableColumn id="113" name="Statut facturation 09/2018" dataDxfId="216"/>
    <tableColumn id="114" name="Qté Réception 10/2018" dataDxfId="215">
      <calculatedColumnFormula>SUMPRODUCT(1*(EXACT(CONCATENATE(Tableau1[[#This Row],[PO Number (Header)]],"-",Tableau1[[#This Row],[Line]]),UO_List[Unique_AIB_ID]))*(UO_List[Qté Réception 10/2020]))</calculatedColumnFormula>
    </tableColumn>
    <tableColumn id="109" name="Qté A facturer 10/2018" dataDxfId="214"/>
    <tableColumn id="110" name="Qté Facturé 10/2018" dataDxfId="213"/>
    <tableColumn id="111" name="Montant Facturé 10/2018" dataDxfId="212">
      <calculatedColumnFormula>IFERROR(Tableau1[[#This Row],[Qté Facturé 10/2018]]*Tableau1[[#This Row],[Unit Price (calcul)]],"")</calculatedColumnFormula>
    </tableColumn>
    <tableColumn id="16" name="Montant Facturé 10/2018 €" dataDxfId="211">
      <calculatedColumnFormula>IFERROR(IF(Tableau1[[#This Row],[Montant Facturé 10/2018]]&gt;0,Tableau1[[#This Row],[Montant Facturé 10/2018]]/Taux_Change_SII,""),"")</calculatedColumnFormula>
    </tableColumn>
    <tableColumn id="81" name="Statut facturation 10/2018" dataDxfId="210"/>
    <tableColumn id="107" name="Qté Réception 11/2018" dataDxfId="209">
      <calculatedColumnFormula>SUMPRODUCT(1*(EXACT(CONCATENATE(Tableau1[[#This Row],[PO Number (Header)]],"-",Tableau1[[#This Row],[Line]]),UO_List[Unique_AIB_ID]))*(UO_List[Qté Réception 11/2020]))</calculatedColumnFormula>
    </tableColumn>
    <tableColumn id="108" name="Qté A facturer 11/2018" dataDxfId="208"/>
    <tableColumn id="67" name="Qté Facturé 11/2018" dataDxfId="207"/>
    <tableColumn id="66" name="Montant Facturé 11/2018" dataDxfId="206">
      <calculatedColumnFormula>IFERROR(Tableau1[[#This Row],[Qté Facturé 11/2018]]*Tableau1[[#This Row],[Unit Price (calcul)]],"")</calculatedColumnFormula>
    </tableColumn>
    <tableColumn id="17" name="Montant Facturé 11/2018 €" dataDxfId="205">
      <calculatedColumnFormula>IFERROR(IF(Tableau1[[#This Row],[Montant Facturé 11/2018]]&gt;0,Tableau1[[#This Row],[Montant Facturé 11/2018]]/Taux_Change_SII,""),"")</calculatedColumnFormula>
    </tableColumn>
    <tableColumn id="33" name="Statut facturation 11/2018" dataDxfId="204"/>
    <tableColumn id="120" name="Qté Réception 12/2018" dataDxfId="203">
      <calculatedColumnFormula>SUMPRODUCT(1*(EXACT(CONCATENATE(Tableau1[[#This Row],[PO Number (Header)]],"-",Tableau1[[#This Row],[Line]]),UO_List[Unique_AIB_ID]))*(UO_List[Qté Réception 12/2020]))</calculatedColumnFormula>
    </tableColumn>
    <tableColumn id="119" name="Qté A facturer 12/2018" dataDxfId="202"/>
    <tableColumn id="118" name="Qté Facturé 12/2018" dataDxfId="201"/>
    <tableColumn id="78" name="Montant Facturé 12/2018" dataDxfId="200">
      <calculatedColumnFormula>IFERROR(Tableau1[[#This Row],[Qté Facturé 12/2018]]*Tableau1[[#This Row],[Unit Price (calcul)]],"")</calculatedColumnFormula>
    </tableColumn>
    <tableColumn id="18" name="Montant Facturé 12/2018 €" dataDxfId="199">
      <calculatedColumnFormula>IFERROR(IF(Tableau1[[#This Row],[Montant Facturé 12/2018]]&gt;0,Tableau1[[#This Row],[Montant Facturé 12/2018]]/Taux_Change_SII,""),"")</calculatedColumnFormula>
    </tableColumn>
    <tableColumn id="79" name="Statut facturation 12/2018" dataDxfId="198"/>
    <tableColumn id="134" name="Total item réceptionné" dataDxfId="197">
      <calculatedColumnFormula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calculatedColumnFormula>
    </tableColumn>
    <tableColumn id="138" name="Total item à Facturer" dataDxfId="196">
      <calculatedColumnFormula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calculatedColumnFormula>
    </tableColumn>
    <tableColumn id="80" name="Total item Facturé" dataDxfId="195">
      <calculatedColumnFormula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calculatedColumnFormula>
    </tableColumn>
    <tableColumn id="101" name="Total Price Réceptionné" dataDxfId="194">
      <calculatedColumnFormula>IFERROR(Tableau1[[#This Row],[Total item réceptionné]]*Tableau1[[#This Row],[Unit Price (calcul)]],"")</calculatedColumnFormula>
    </tableColumn>
    <tableColumn id="102" name="Total Price A facturer" dataDxfId="193">
      <calculatedColumnFormula>IFERROR(Tableau1[[#This Row],[Total item à Facturer]]*Tableau1[[#This Row],[Unit Price (calcul)]],"")</calculatedColumnFormula>
    </tableColumn>
    <tableColumn id="139" name="Total Price Facturé" dataDxfId="192">
      <calculatedColumnFormula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calculatedColumnFormula>
    </tableColumn>
    <tableColumn id="140" name="Montant restant à réceptionner" dataDxfId="191">
      <calculatedColumnFormula>IFERROR(Tableau1[[#This Row],[Line Total]]-Tableau1[[#This Row],[Total Price Réceptionné]],"")</calculatedColumnFormula>
    </tableColumn>
    <tableColumn id="103" name="Facturation à valider" dataDxfId="190">
      <calculatedColumnFormula>IFERROR(Tableau1[[#This Row],[Total Price Réceptionné]]-Tableau1[[#This Row],[Total Price A facturer]],"")</calculatedColumnFormula>
    </tableColumn>
    <tableColumn id="141" name="Facturation à envoyer" dataDxfId="189">
      <calculatedColumnFormula>IFERROR(Tableau1[[#This Row],[Total Price A facturer]]-Tableau1[[#This Row],[Total Price Facturé]],"")</calculatedColumnFormula>
    </tableColumn>
    <tableColumn id="133" name="Total items restant à receptionner" dataDxfId="188">
      <calculatedColumnFormula>Tableau1[[#This Row],[Total Item Quantity]]-Tableau1[[#This Row],[Total item réceptionné]]</calculatedColumnFormula>
    </tableColumn>
    <tableColumn id="104" name="Poste Clos" dataDxfId="187"/>
    <tableColumn id="121" name="BL" dataDxfId="186"/>
  </tableColumns>
  <tableStyleInfo name="TableStyleMedium2" showFirstColumn="0" showLastColumn="0" showRowStripes="1" showColumnStripes="1"/>
</table>
</file>

<file path=xl/tables/table5.xml><?xml version="1.0" encoding="utf-8"?>
<table xmlns="http://schemas.openxmlformats.org/spreadsheetml/2006/main" id="2" name="Tableau_Lancer_la_requête_à_partir_de_Projectorria_SII" displayName="Tableau_Lancer_la_requête_à_partir_de_Projectorria_SII" ref="D5:K2842" tableType="queryTable" totalsRowShown="0">
  <autoFilter ref="D5:K2842"/>
  <tableColumns count="8">
    <tableColumn id="1" uniqueName="1" name="id" queryTableFieldId="1"/>
    <tableColumn id="4" uniqueName="4" name="idProject" queryTableFieldId="4"/>
    <tableColumn id="27" uniqueName="27" name="idResource" queryTableFieldId="27"/>
    <tableColumn id="36" uniqueName="36" name="assignedWork" queryTableFieldId="36"/>
    <tableColumn id="37" uniqueName="37" name="realWork" queryTableFieldId="37"/>
    <tableColumn id="38" uniqueName="38" name="leftWork" queryTableFieldId="38"/>
    <tableColumn id="39" uniqueName="39" name="plannedWork" queryTableFieldId="39"/>
    <tableColumn id="40" uniqueName="40" name="projectCode" queryTableFieldId="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Tableau_Lancer_la_requête_à_partir_de_Projectorria_SII4" displayName="Tableau_Lancer_la_requête_à_partir_de_Projectorria_SII4" ref="D6:K952" tableType="queryTable" totalsRowShown="0">
  <autoFilter ref="D6:K952"/>
  <tableColumns count="8">
    <tableColumn id="41" uniqueName="41" name="Participant" queryTableFieldId="41"/>
    <tableColumn id="42" uniqueName="42" name="projectCode" queryTableFieldId="42"/>
    <tableColumn id="47" uniqueName="47" name="workDate" queryTableFieldId="47" dataDxfId="185"/>
    <tableColumn id="48" uniqueName="48" name="day" queryTableFieldId="48"/>
    <tableColumn id="49" uniqueName="49" name="week" queryTableFieldId="49"/>
    <tableColumn id="50" uniqueName="50" name="month" queryTableFieldId="50"/>
    <tableColumn id="51" uniqueName="51" name="year" queryTableFieldId="51"/>
    <tableColumn id="52" uniqueName="52" name="sum(work.work)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II">
  <a:themeElements>
    <a:clrScheme name="SII">
      <a:dk1>
        <a:srgbClr val="000000"/>
      </a:dk1>
      <a:lt1>
        <a:srgbClr val="FFFFFF"/>
      </a:lt1>
      <a:dk2>
        <a:srgbClr val="005AA2"/>
      </a:dk2>
      <a:lt2>
        <a:srgbClr val="BCD5EC"/>
      </a:lt2>
      <a:accent1>
        <a:srgbClr val="005AA2"/>
      </a:accent1>
      <a:accent2>
        <a:srgbClr val="88B4DC"/>
      </a:accent2>
      <a:accent3>
        <a:srgbClr val="8D3589"/>
      </a:accent3>
      <a:accent4>
        <a:srgbClr val="B2BE3A"/>
      </a:accent4>
      <a:accent5>
        <a:srgbClr val="80888C"/>
      </a:accent5>
      <a:accent6>
        <a:srgbClr val="D64B13"/>
      </a:accent6>
      <a:hlink>
        <a:srgbClr val="005AA2"/>
      </a:hlink>
      <a:folHlink>
        <a:srgbClr val="80888C"/>
      </a:folHlink>
    </a:clrScheme>
    <a:fontScheme name="Thème SII - 4 partie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249977111117893"/>
  </sheetPr>
  <dimension ref="A1:D6"/>
  <sheetViews>
    <sheetView zoomScale="115" zoomScaleNormal="115" workbookViewId="0">
      <selection activeCell="C2" sqref="C2"/>
    </sheetView>
  </sheetViews>
  <sheetFormatPr baseColWidth="10" defaultRowHeight="15"/>
  <cols>
    <col min="1" max="1" width="11.85546875" bestFit="1" customWidth="1"/>
    <col min="2" max="2" width="11.85546875" style="158" customWidth="1"/>
    <col min="3" max="3" width="18" bestFit="1" customWidth="1"/>
    <col min="4" max="4" width="94.42578125" customWidth="1"/>
  </cols>
  <sheetData>
    <row r="1" spans="1:4">
      <c r="A1" t="s">
        <v>10</v>
      </c>
      <c r="B1" s="158" t="s">
        <v>187</v>
      </c>
      <c r="C1" t="s">
        <v>84</v>
      </c>
      <c r="D1" t="s">
        <v>34</v>
      </c>
    </row>
    <row r="2" spans="1:4">
      <c r="A2" s="1">
        <v>43804</v>
      </c>
      <c r="B2" s="1" t="s">
        <v>188</v>
      </c>
      <c r="C2" t="s">
        <v>838</v>
      </c>
      <c r="D2" s="8" t="s">
        <v>837</v>
      </c>
    </row>
    <row r="3" spans="1:4">
      <c r="A3" s="1"/>
      <c r="B3" s="1"/>
      <c r="D3" s="8"/>
    </row>
    <row r="4" spans="1:4">
      <c r="A4" s="1"/>
      <c r="B4" s="1"/>
      <c r="D4" s="8"/>
    </row>
    <row r="5" spans="1:4">
      <c r="A5" s="1"/>
      <c r="B5" s="1"/>
      <c r="D5" s="8"/>
    </row>
    <row r="6" spans="1:4">
      <c r="A6" s="1"/>
      <c r="B6" s="1"/>
      <c r="D6" s="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7" tint="-0.249977111117893"/>
  </sheetPr>
  <dimension ref="A1:P19"/>
  <sheetViews>
    <sheetView topLeftCell="B1" zoomScale="115" zoomScaleNormal="115" workbookViewId="0">
      <selection activeCell="I14" sqref="I14"/>
    </sheetView>
  </sheetViews>
  <sheetFormatPr baseColWidth="10" defaultRowHeight="15"/>
  <cols>
    <col min="1" max="1" width="26.42578125" bestFit="1" customWidth="1"/>
    <col min="2" max="2" width="14.5703125" bestFit="1" customWidth="1"/>
    <col min="3" max="4" width="11.85546875" bestFit="1" customWidth="1"/>
    <col min="5" max="5" width="14.42578125" bestFit="1" customWidth="1"/>
  </cols>
  <sheetData>
    <row r="1" spans="1:16">
      <c r="A1" s="22" t="s">
        <v>12</v>
      </c>
      <c r="B1" s="21">
        <f>heures_an/217</f>
        <v>7.3732718894009217</v>
      </c>
      <c r="C1" s="158"/>
      <c r="D1" s="158"/>
      <c r="E1" s="158"/>
      <c r="F1" s="158"/>
      <c r="G1" s="158"/>
      <c r="H1" s="158"/>
      <c r="I1" s="158"/>
      <c r="J1" s="158"/>
    </row>
    <row r="2" spans="1:16">
      <c r="A2" s="20" t="s">
        <v>11</v>
      </c>
      <c r="B2" s="19">
        <v>216</v>
      </c>
      <c r="C2" s="158"/>
      <c r="D2" s="158"/>
      <c r="E2" s="158"/>
      <c r="F2" s="158"/>
      <c r="G2" s="158"/>
      <c r="H2" s="158"/>
      <c r="I2" s="158"/>
      <c r="J2" s="158"/>
    </row>
    <row r="3" spans="1:16">
      <c r="A3" s="172" t="s">
        <v>13</v>
      </c>
      <c r="B3" s="173">
        <v>1600</v>
      </c>
      <c r="C3" s="158"/>
      <c r="D3" s="158"/>
      <c r="E3" s="158"/>
      <c r="F3" s="158"/>
      <c r="G3" s="158"/>
      <c r="H3" s="158"/>
      <c r="I3" s="158"/>
      <c r="J3" s="158"/>
    </row>
    <row r="4" spans="1:16">
      <c r="A4" s="156" t="s">
        <v>189</v>
      </c>
      <c r="B4" s="326" t="s">
        <v>685</v>
      </c>
      <c r="C4" s="326" t="s">
        <v>687</v>
      </c>
      <c r="D4" s="326" t="s">
        <v>686</v>
      </c>
      <c r="E4" s="326" t="s">
        <v>2</v>
      </c>
      <c r="F4" s="326"/>
      <c r="G4" s="156"/>
      <c r="H4" s="156"/>
      <c r="I4" s="156"/>
      <c r="J4" s="156"/>
      <c r="K4" s="156"/>
      <c r="L4" s="156"/>
      <c r="M4" s="156"/>
      <c r="N4" s="156"/>
      <c r="O4" s="156"/>
      <c r="P4" s="156"/>
    </row>
    <row r="5" spans="1:16">
      <c r="A5" s="156" t="s">
        <v>190</v>
      </c>
      <c r="B5" s="326" t="s">
        <v>8</v>
      </c>
      <c r="C5" s="326" t="s">
        <v>191</v>
      </c>
      <c r="D5" s="326" t="s">
        <v>192</v>
      </c>
      <c r="E5" s="326" t="s">
        <v>193</v>
      </c>
      <c r="F5" s="326" t="s">
        <v>194</v>
      </c>
      <c r="G5" s="156" t="s">
        <v>195</v>
      </c>
      <c r="H5" s="156" t="s">
        <v>196</v>
      </c>
      <c r="I5" s="156" t="s">
        <v>197</v>
      </c>
      <c r="J5" s="156" t="s">
        <v>198</v>
      </c>
      <c r="K5" s="156"/>
      <c r="L5" s="156"/>
      <c r="M5" s="156"/>
      <c r="N5" s="156"/>
      <c r="O5" s="156"/>
      <c r="P5" s="156"/>
    </row>
    <row r="6" spans="1:16">
      <c r="A6" s="156" t="s">
        <v>199</v>
      </c>
      <c r="B6" s="326" t="s">
        <v>685</v>
      </c>
      <c r="C6" s="326" t="s">
        <v>687</v>
      </c>
      <c r="D6" s="326" t="s">
        <v>686</v>
      </c>
      <c r="E6" s="326" t="s">
        <v>688</v>
      </c>
      <c r="F6" s="326" t="s">
        <v>689</v>
      </c>
      <c r="G6" s="156" t="s">
        <v>797</v>
      </c>
      <c r="H6" s="156" t="s">
        <v>798</v>
      </c>
      <c r="I6" s="156" t="s">
        <v>801</v>
      </c>
      <c r="J6" s="156" t="s">
        <v>799</v>
      </c>
      <c r="K6" s="156" t="s">
        <v>800</v>
      </c>
      <c r="L6" s="156"/>
      <c r="M6" s="156"/>
      <c r="N6" s="156"/>
      <c r="O6" s="156"/>
      <c r="P6" s="156"/>
    </row>
    <row r="7" spans="1:16">
      <c r="A7" s="156" t="s">
        <v>184</v>
      </c>
      <c r="B7" s="158" t="s">
        <v>842</v>
      </c>
      <c r="C7" s="326" t="s">
        <v>844</v>
      </c>
      <c r="D7" s="156" t="s">
        <v>843</v>
      </c>
      <c r="E7" s="156" t="s">
        <v>845</v>
      </c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</row>
    <row r="8" spans="1:16">
      <c r="A8" s="177" t="s">
        <v>624</v>
      </c>
      <c r="B8" s="177" t="s">
        <v>216</v>
      </c>
      <c r="C8" s="156" t="s">
        <v>757</v>
      </c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</row>
    <row r="9" spans="1:16">
      <c r="A9" s="177" t="s">
        <v>217</v>
      </c>
      <c r="B9" s="156" t="s">
        <v>692</v>
      </c>
      <c r="C9" s="156" t="s">
        <v>693</v>
      </c>
      <c r="D9" s="156" t="s">
        <v>694</v>
      </c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</row>
    <row r="10" spans="1:16">
      <c r="A10" s="285" t="s">
        <v>632</v>
      </c>
      <c r="B10" s="285" t="s">
        <v>633</v>
      </c>
      <c r="C10" s="285" t="s">
        <v>634</v>
      </c>
    </row>
    <row r="11" spans="1:16">
      <c r="A11" t="s">
        <v>759</v>
      </c>
      <c r="B11">
        <v>1.35</v>
      </c>
    </row>
    <row r="12" spans="1:16">
      <c r="A12" t="s">
        <v>760</v>
      </c>
      <c r="B12">
        <v>1.45</v>
      </c>
    </row>
    <row r="14" spans="1:16">
      <c r="F14" s="158"/>
    </row>
    <row r="15" spans="1:16">
      <c r="F15" s="158"/>
    </row>
    <row r="16" spans="1:16">
      <c r="F16" s="158"/>
    </row>
    <row r="17" spans="6:6">
      <c r="F17" s="158"/>
    </row>
    <row r="18" spans="6:6">
      <c r="F18" s="158"/>
    </row>
    <row r="19" spans="6:6">
      <c r="F19" s="15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7" tint="-0.249977111117893"/>
  </sheetPr>
  <dimension ref="A1:J47"/>
  <sheetViews>
    <sheetView zoomScale="85" zoomScaleNormal="85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A7" sqref="A7:XFD8"/>
    </sheetView>
  </sheetViews>
  <sheetFormatPr baseColWidth="10" defaultRowHeight="15"/>
  <cols>
    <col min="1" max="1" width="55" style="158" bestFit="1" customWidth="1"/>
    <col min="2" max="2" width="49.42578125" bestFit="1" customWidth="1"/>
    <col min="3" max="3" width="15.5703125" bestFit="1" customWidth="1"/>
    <col min="4" max="4" width="27.42578125" customWidth="1"/>
    <col min="5" max="5" width="30.5703125" customWidth="1"/>
    <col min="6" max="6" width="26.5703125" bestFit="1" customWidth="1"/>
    <col min="7" max="7" width="14.42578125" customWidth="1"/>
    <col min="8" max="8" width="10.42578125" bestFit="1" customWidth="1"/>
    <col min="9" max="9" width="16.5703125" customWidth="1"/>
    <col min="10" max="10" width="19.140625" customWidth="1"/>
  </cols>
  <sheetData>
    <row r="1" spans="1:10">
      <c r="A1" s="158" t="s">
        <v>172</v>
      </c>
      <c r="B1" s="158" t="s">
        <v>173</v>
      </c>
      <c r="C1" s="158" t="s">
        <v>171</v>
      </c>
      <c r="D1" s="158" t="s">
        <v>174</v>
      </c>
      <c r="E1" s="158" t="s">
        <v>175</v>
      </c>
      <c r="F1" s="158" t="s">
        <v>178</v>
      </c>
      <c r="G1" s="158" t="s">
        <v>703</v>
      </c>
      <c r="H1" s="158" t="s">
        <v>702</v>
      </c>
      <c r="I1" s="158" t="s">
        <v>176</v>
      </c>
      <c r="J1" s="158" t="s">
        <v>170</v>
      </c>
    </row>
    <row r="2" spans="1:10">
      <c r="A2" s="158" t="s">
        <v>695</v>
      </c>
      <c r="B2" s="158" t="s">
        <v>695</v>
      </c>
      <c r="C2" s="158"/>
      <c r="D2" s="327">
        <v>18.399999999999999</v>
      </c>
      <c r="E2" s="327">
        <v>15.639999999999999</v>
      </c>
      <c r="F2" s="327">
        <v>2.76</v>
      </c>
      <c r="G2" s="327">
        <v>550</v>
      </c>
      <c r="H2" s="81">
        <v>10120</v>
      </c>
      <c r="I2" s="158"/>
      <c r="J2" s="158"/>
    </row>
    <row r="3" spans="1:10">
      <c r="A3" s="158" t="s">
        <v>696</v>
      </c>
      <c r="B3" s="158" t="s">
        <v>696</v>
      </c>
      <c r="C3" s="158"/>
      <c r="D3" s="327">
        <v>6</v>
      </c>
      <c r="E3" s="327">
        <v>5.0999999999999996</v>
      </c>
      <c r="F3" s="327">
        <v>0.90000000000000036</v>
      </c>
      <c r="G3" s="327">
        <v>560</v>
      </c>
      <c r="H3" s="81">
        <v>3360</v>
      </c>
      <c r="I3" s="158"/>
      <c r="J3" s="158"/>
    </row>
    <row r="4" spans="1:10">
      <c r="A4" s="158" t="s">
        <v>697</v>
      </c>
      <c r="B4" s="158" t="s">
        <v>697</v>
      </c>
      <c r="C4" s="158"/>
      <c r="D4" s="327">
        <v>3</v>
      </c>
      <c r="E4" s="327">
        <v>2.5499999999999998</v>
      </c>
      <c r="F4" s="327">
        <v>0.45000000000000018</v>
      </c>
      <c r="G4" s="327">
        <v>561.66666666666663</v>
      </c>
      <c r="H4" s="81">
        <v>1685</v>
      </c>
      <c r="I4" s="158"/>
      <c r="J4" s="158"/>
    </row>
    <row r="5" spans="1:10">
      <c r="A5" s="158" t="s">
        <v>698</v>
      </c>
      <c r="B5" s="158" t="s">
        <v>698</v>
      </c>
      <c r="C5" s="158"/>
      <c r="D5" s="327">
        <v>1</v>
      </c>
      <c r="E5" s="327">
        <v>0.85</v>
      </c>
      <c r="F5" s="327">
        <v>0.15000000000000002</v>
      </c>
      <c r="G5" s="327">
        <v>560</v>
      </c>
      <c r="H5" s="328">
        <v>560</v>
      </c>
      <c r="I5" s="158"/>
      <c r="J5" s="158"/>
    </row>
    <row r="6" spans="1:10">
      <c r="A6" s="158" t="s">
        <v>699</v>
      </c>
      <c r="B6" s="158" t="s">
        <v>699</v>
      </c>
      <c r="C6" s="158"/>
      <c r="D6" s="327">
        <v>10</v>
      </c>
      <c r="E6" s="327">
        <v>8.5</v>
      </c>
      <c r="F6" s="327">
        <v>1.5</v>
      </c>
      <c r="G6" s="327">
        <v>560</v>
      </c>
      <c r="H6" s="81">
        <v>5600</v>
      </c>
      <c r="I6" s="158"/>
      <c r="J6" s="158"/>
    </row>
    <row r="7" spans="1:10">
      <c r="A7" s="158" t="s">
        <v>700</v>
      </c>
      <c r="B7" s="158" t="s">
        <v>700</v>
      </c>
      <c r="C7" s="158"/>
      <c r="D7" s="327">
        <v>5</v>
      </c>
      <c r="E7" s="327">
        <v>4.25</v>
      </c>
      <c r="F7" s="327">
        <v>0.75</v>
      </c>
      <c r="G7" s="327">
        <v>560</v>
      </c>
      <c r="H7" s="81">
        <v>2800</v>
      </c>
      <c r="I7" s="158"/>
      <c r="J7" s="158"/>
    </row>
    <row r="8" spans="1:10">
      <c r="A8" s="158" t="s">
        <v>701</v>
      </c>
      <c r="B8" s="158" t="s">
        <v>701</v>
      </c>
      <c r="C8" s="158"/>
      <c r="D8" s="327">
        <v>1</v>
      </c>
      <c r="E8" s="327">
        <v>0.85</v>
      </c>
      <c r="F8" s="327">
        <v>0.15000000000000002</v>
      </c>
      <c r="G8" s="327">
        <v>580</v>
      </c>
      <c r="H8" s="81">
        <v>580</v>
      </c>
      <c r="I8" s="158"/>
      <c r="J8" s="158"/>
    </row>
    <row r="9" spans="1:10">
      <c r="B9" s="158"/>
      <c r="C9" s="158"/>
      <c r="D9" s="159"/>
      <c r="E9" s="159"/>
      <c r="F9" s="159"/>
      <c r="G9" s="159"/>
      <c r="H9" s="158"/>
      <c r="I9" s="158"/>
      <c r="J9" s="158"/>
    </row>
    <row r="10" spans="1:10">
      <c r="B10" s="158"/>
      <c r="C10" s="158"/>
      <c r="D10" s="159"/>
      <c r="E10" s="159"/>
      <c r="F10" s="159"/>
      <c r="G10" s="159"/>
      <c r="H10" s="158"/>
      <c r="I10" s="158"/>
      <c r="J10" s="158"/>
    </row>
    <row r="11" spans="1:10">
      <c r="B11" s="158"/>
      <c r="C11" s="158"/>
      <c r="D11" s="159"/>
      <c r="E11" s="159"/>
      <c r="F11" s="159"/>
      <c r="G11" s="159"/>
      <c r="H11" s="158"/>
      <c r="I11" s="158"/>
      <c r="J11" s="158"/>
    </row>
    <row r="12" spans="1:10">
      <c r="B12" s="158"/>
      <c r="C12" s="158"/>
      <c r="D12" s="159"/>
      <c r="E12" s="159"/>
      <c r="F12" s="159"/>
      <c r="G12" s="159"/>
      <c r="H12" s="158"/>
      <c r="I12" s="158"/>
      <c r="J12" s="158"/>
    </row>
    <row r="13" spans="1:10">
      <c r="B13" s="158"/>
      <c r="C13" s="158"/>
      <c r="D13" s="159"/>
      <c r="E13" s="159"/>
      <c r="F13" s="159"/>
      <c r="G13" s="159"/>
      <c r="H13" s="158"/>
      <c r="I13" s="158"/>
      <c r="J13" s="158"/>
    </row>
    <row r="14" spans="1:10">
      <c r="B14" s="158"/>
      <c r="C14" s="158"/>
      <c r="D14" s="159"/>
      <c r="E14" s="159"/>
      <c r="F14" s="159"/>
      <c r="G14" s="159"/>
      <c r="H14" s="158"/>
      <c r="I14" s="158"/>
      <c r="J14" s="158"/>
    </row>
    <row r="15" spans="1:10">
      <c r="B15" s="158"/>
      <c r="C15" s="158"/>
      <c r="D15" s="159"/>
      <c r="E15" s="159"/>
      <c r="F15" s="159"/>
      <c r="G15" s="159"/>
      <c r="H15" s="158"/>
      <c r="I15" s="158"/>
      <c r="J15" s="158"/>
    </row>
    <row r="16" spans="1:10">
      <c r="B16" s="158"/>
      <c r="C16" s="158"/>
      <c r="D16" s="159"/>
      <c r="E16" s="159"/>
      <c r="F16" s="159"/>
      <c r="G16" s="159"/>
      <c r="H16" s="158"/>
      <c r="I16" s="158"/>
      <c r="J16" s="158"/>
    </row>
    <row r="17" spans="2:10">
      <c r="B17" s="158"/>
      <c r="C17" s="158"/>
      <c r="D17" s="159"/>
      <c r="E17" s="159"/>
      <c r="F17" s="159"/>
      <c r="G17" s="159"/>
      <c r="H17" s="158"/>
      <c r="I17" s="158"/>
      <c r="J17" s="158"/>
    </row>
    <row r="18" spans="2:10">
      <c r="B18" s="158"/>
      <c r="C18" s="158"/>
      <c r="D18" s="159"/>
      <c r="E18" s="159"/>
      <c r="F18" s="159"/>
      <c r="G18" s="159"/>
      <c r="H18" s="158"/>
      <c r="I18" s="158"/>
      <c r="J18" s="158"/>
    </row>
    <row r="19" spans="2:10">
      <c r="B19" s="158"/>
      <c r="C19" s="158"/>
      <c r="D19" s="159"/>
      <c r="E19" s="159"/>
      <c r="F19" s="159"/>
      <c r="G19" s="159"/>
      <c r="H19" s="158"/>
      <c r="I19" s="158"/>
      <c r="J19" s="158"/>
    </row>
    <row r="20" spans="2:10">
      <c r="B20" s="158"/>
      <c r="C20" s="158"/>
      <c r="D20" s="159"/>
      <c r="E20" s="159"/>
      <c r="F20" s="159"/>
      <c r="G20" s="159"/>
      <c r="H20" s="158"/>
      <c r="I20" s="158"/>
      <c r="J20" s="158"/>
    </row>
    <row r="21" spans="2:10">
      <c r="B21" s="158"/>
      <c r="C21" s="158"/>
      <c r="D21" s="159"/>
      <c r="E21" s="159"/>
      <c r="F21" s="159"/>
      <c r="G21" s="159"/>
      <c r="H21" s="158"/>
      <c r="I21" s="158"/>
      <c r="J21" s="158"/>
    </row>
    <row r="22" spans="2:10">
      <c r="B22" s="158"/>
      <c r="C22" s="158"/>
      <c r="D22" s="159"/>
      <c r="E22" s="159"/>
      <c r="F22" s="159"/>
      <c r="G22" s="159"/>
      <c r="H22" s="158"/>
      <c r="I22" s="158"/>
      <c r="J22" s="158"/>
    </row>
    <row r="23" spans="2:10">
      <c r="C23" s="158"/>
      <c r="D23" s="159"/>
      <c r="E23" s="159"/>
      <c r="F23" s="159"/>
      <c r="G23" s="159"/>
      <c r="I23" s="158"/>
    </row>
    <row r="24" spans="2:10">
      <c r="C24" s="158"/>
      <c r="D24" s="159"/>
      <c r="E24" s="159"/>
      <c r="F24" s="159"/>
      <c r="G24" s="159"/>
      <c r="I24" s="158"/>
    </row>
    <row r="25" spans="2:10">
      <c r="C25" s="158"/>
      <c r="D25" s="159"/>
      <c r="E25" s="159"/>
      <c r="F25" s="159"/>
      <c r="G25" s="159"/>
      <c r="I25" s="158"/>
    </row>
    <row r="26" spans="2:10">
      <c r="C26" s="158"/>
      <c r="D26" s="159"/>
      <c r="E26" s="159"/>
      <c r="F26" s="159"/>
      <c r="G26" s="159"/>
      <c r="I26" s="158"/>
    </row>
    <row r="27" spans="2:10">
      <c r="C27" s="158"/>
      <c r="D27" s="159"/>
      <c r="E27" s="159"/>
      <c r="F27" s="159"/>
      <c r="G27" s="159"/>
      <c r="I27" s="158"/>
    </row>
    <row r="28" spans="2:10">
      <c r="C28" s="158"/>
      <c r="D28" s="159"/>
      <c r="E28" s="159"/>
      <c r="F28" s="159"/>
      <c r="G28" s="159"/>
      <c r="I28" s="158"/>
    </row>
    <row r="29" spans="2:10">
      <c r="C29" s="158"/>
      <c r="D29" s="159"/>
      <c r="E29" s="159"/>
      <c r="F29" s="159"/>
      <c r="G29" s="159"/>
      <c r="I29" s="158"/>
    </row>
    <row r="30" spans="2:10">
      <c r="C30" s="158"/>
      <c r="D30" s="159"/>
      <c r="E30" s="159"/>
      <c r="F30" s="159"/>
      <c r="G30" s="159"/>
      <c r="I30" s="158"/>
    </row>
    <row r="31" spans="2:10">
      <c r="C31" s="158"/>
      <c r="D31" s="159"/>
      <c r="E31" s="159"/>
      <c r="F31" s="159"/>
      <c r="G31" s="159"/>
      <c r="I31" s="158"/>
    </row>
    <row r="32" spans="2:10">
      <c r="C32" s="158"/>
      <c r="D32" s="159"/>
      <c r="E32" s="159"/>
      <c r="F32" s="159"/>
      <c r="G32" s="159"/>
      <c r="I32" s="158"/>
    </row>
    <row r="33" spans="3:9">
      <c r="C33" s="158"/>
      <c r="D33" s="159"/>
      <c r="E33" s="159"/>
      <c r="F33" s="159"/>
      <c r="G33" s="159"/>
      <c r="I33" s="158"/>
    </row>
    <row r="34" spans="3:9">
      <c r="C34" s="158"/>
      <c r="D34" s="159"/>
      <c r="E34" s="159"/>
      <c r="F34" s="159"/>
      <c r="G34" s="159"/>
      <c r="I34" s="158"/>
    </row>
    <row r="35" spans="3:9">
      <c r="D35" s="159"/>
      <c r="E35" s="159"/>
      <c r="F35" s="159"/>
      <c r="G35" s="159"/>
    </row>
    <row r="36" spans="3:9">
      <c r="D36" s="159"/>
      <c r="E36" s="159"/>
      <c r="F36" s="159"/>
      <c r="G36" s="159"/>
    </row>
    <row r="37" spans="3:9">
      <c r="D37" s="159"/>
      <c r="E37" s="159"/>
      <c r="F37" s="159"/>
      <c r="G37" s="159"/>
    </row>
    <row r="38" spans="3:9">
      <c r="D38" s="159"/>
      <c r="E38" s="159"/>
      <c r="F38" s="159"/>
      <c r="G38" s="159"/>
    </row>
    <row r="39" spans="3:9">
      <c r="D39" s="159"/>
      <c r="E39" s="159"/>
      <c r="F39" s="159"/>
      <c r="G39" s="159"/>
    </row>
    <row r="40" spans="3:9">
      <c r="D40" s="159"/>
      <c r="E40" s="159"/>
      <c r="F40" s="159"/>
      <c r="G40" s="159"/>
    </row>
    <row r="41" spans="3:9">
      <c r="D41" s="159"/>
      <c r="E41" s="159"/>
      <c r="F41" s="159"/>
      <c r="G41" s="159"/>
    </row>
    <row r="42" spans="3:9">
      <c r="D42" s="159"/>
      <c r="E42" s="159"/>
      <c r="F42" s="159"/>
      <c r="G42" s="159"/>
    </row>
    <row r="43" spans="3:9">
      <c r="D43" s="159"/>
      <c r="E43" s="159"/>
      <c r="F43" s="159"/>
      <c r="G43" s="159"/>
    </row>
    <row r="44" spans="3:9">
      <c r="D44" s="159"/>
      <c r="E44" s="159"/>
      <c r="F44" s="159"/>
      <c r="G44" s="159"/>
    </row>
    <row r="45" spans="3:9">
      <c r="D45" s="159"/>
      <c r="E45" s="159"/>
      <c r="F45" s="159"/>
      <c r="G45" s="159"/>
    </row>
    <row r="46" spans="3:9">
      <c r="D46" s="159"/>
      <c r="E46" s="159"/>
      <c r="F46" s="159"/>
      <c r="G46" s="159"/>
    </row>
    <row r="47" spans="3:9">
      <c r="D47" s="159"/>
      <c r="E47" s="159"/>
      <c r="F47" s="159"/>
      <c r="G47" s="15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filterMode="1">
    <tabColor theme="3" tint="-0.249977111117893"/>
  </sheetPr>
  <dimension ref="A3:AD90"/>
  <sheetViews>
    <sheetView zoomScale="80" zoomScaleNormal="80" workbookViewId="0">
      <selection activeCell="H88" sqref="H88"/>
    </sheetView>
  </sheetViews>
  <sheetFormatPr baseColWidth="10" defaultColWidth="11.42578125" defaultRowHeight="15" outlineLevelCol="1"/>
  <cols>
    <col min="1" max="1" width="18.140625" style="26" customWidth="1" outlineLevel="1"/>
    <col min="2" max="2" width="22.5703125" style="26" customWidth="1"/>
    <col min="3" max="3" width="11.42578125" style="158" hidden="1" customWidth="1"/>
    <col min="4" max="4" width="9.42578125" style="26" customWidth="1"/>
    <col min="5" max="5" width="10.140625" style="158" customWidth="1"/>
    <col min="6" max="6" width="6.42578125" style="158" customWidth="1"/>
    <col min="7" max="7" width="7.28515625" style="158" customWidth="1"/>
    <col min="8" max="8" width="10.140625" style="158" customWidth="1"/>
    <col min="9" max="9" width="11.5703125" style="26" hidden="1" customWidth="1"/>
    <col min="10" max="10" width="11.85546875" style="26" hidden="1" customWidth="1"/>
    <col min="11" max="11" width="14.85546875" style="26" customWidth="1"/>
    <col min="12" max="13" width="10.5703125" style="26" customWidth="1"/>
    <col min="14" max="14" width="10.5703125" style="361" customWidth="1"/>
    <col min="15" max="23" width="10.5703125" style="26" customWidth="1"/>
    <col min="24" max="24" width="17.140625" style="26" customWidth="1"/>
    <col min="25" max="25" width="15.5703125" style="26" customWidth="1"/>
    <col min="26" max="26" width="15.5703125" style="26" customWidth="1" outlineLevel="1"/>
    <col min="27" max="28" width="17" style="26" customWidth="1" outlineLevel="1"/>
    <col min="29" max="30" width="19.42578125" style="26" customWidth="1" outlineLevel="1"/>
    <col min="31" max="16384" width="11.42578125" style="26"/>
  </cols>
  <sheetData>
    <row r="3" spans="2:25">
      <c r="B3" s="158"/>
      <c r="D3" s="158"/>
    </row>
    <row r="4" spans="2:25">
      <c r="B4" s="158"/>
      <c r="D4" s="158"/>
      <c r="F4" s="9"/>
      <c r="G4" s="9"/>
      <c r="H4" s="9"/>
    </row>
    <row r="5" spans="2:25">
      <c r="B5" s="158"/>
      <c r="D5" s="158"/>
      <c r="F5" s="9"/>
      <c r="G5" s="9"/>
      <c r="H5" s="9"/>
    </row>
    <row r="6" spans="2:25">
      <c r="B6" s="158"/>
      <c r="D6" s="158"/>
      <c r="F6" s="9"/>
      <c r="G6" s="9"/>
      <c r="H6" s="393"/>
    </row>
    <row r="7" spans="2:25">
      <c r="B7" s="158"/>
      <c r="D7" s="158"/>
      <c r="F7" s="9"/>
      <c r="G7" s="9"/>
      <c r="H7" s="393"/>
    </row>
    <row r="8" spans="2:25">
      <c r="B8" s="158"/>
      <c r="D8" s="158"/>
      <c r="F8" s="9"/>
      <c r="G8" s="9"/>
      <c r="H8" s="393"/>
      <c r="P8" s="26">
        <v>1370</v>
      </c>
      <c r="R8" s="26">
        <v>826</v>
      </c>
    </row>
    <row r="9" spans="2:25">
      <c r="B9" s="158"/>
      <c r="D9" s="158"/>
      <c r="P9" s="26">
        <v>555</v>
      </c>
      <c r="R9" s="26">
        <v>570</v>
      </c>
    </row>
    <row r="10" spans="2:25">
      <c r="P10" s="26">
        <f>P8*P9</f>
        <v>760350</v>
      </c>
      <c r="R10" s="26">
        <f>R8*R9</f>
        <v>470820</v>
      </c>
    </row>
    <row r="14" spans="2:25" ht="15.75" thickBot="1"/>
    <row r="15" spans="2:25" ht="15.75" thickBot="1">
      <c r="L15" s="37">
        <f t="shared" ref="L15:W15" si="0">IF(MONTH(L17)&lt;=MONTH($Q$69),1,0)</f>
        <v>1</v>
      </c>
      <c r="M15" s="36">
        <f t="shared" si="0"/>
        <v>0</v>
      </c>
      <c r="N15" s="362">
        <f t="shared" si="0"/>
        <v>0</v>
      </c>
      <c r="O15" s="36">
        <f t="shared" si="0"/>
        <v>0</v>
      </c>
      <c r="P15" s="36">
        <f t="shared" si="0"/>
        <v>0</v>
      </c>
      <c r="Q15" s="36">
        <f t="shared" si="0"/>
        <v>0</v>
      </c>
      <c r="R15" s="36">
        <f t="shared" si="0"/>
        <v>0</v>
      </c>
      <c r="S15" s="36">
        <f t="shared" si="0"/>
        <v>0</v>
      </c>
      <c r="T15" s="36">
        <f t="shared" si="0"/>
        <v>0</v>
      </c>
      <c r="U15" s="36">
        <f t="shared" si="0"/>
        <v>0</v>
      </c>
      <c r="V15" s="36">
        <f t="shared" si="0"/>
        <v>0</v>
      </c>
      <c r="W15" s="35">
        <f t="shared" si="0"/>
        <v>0</v>
      </c>
    </row>
    <row r="16" spans="2:25" ht="16.5" thickBot="1">
      <c r="K16" s="127" t="s">
        <v>33</v>
      </c>
      <c r="L16" s="128">
        <f>NB.JOURS.OUVRES!D3</f>
        <v>22</v>
      </c>
      <c r="M16" s="128">
        <f>NB.JOURS.OUVRES!D4</f>
        <v>20</v>
      </c>
      <c r="N16" s="363">
        <f>NB.JOURS.OUVRES!D5</f>
        <v>22</v>
      </c>
      <c r="O16" s="128">
        <f>NB.JOURS.OUVRES!D6</f>
        <v>21</v>
      </c>
      <c r="P16" s="128">
        <f>NB.JOURS.OUVRES!D7</f>
        <v>18</v>
      </c>
      <c r="Q16" s="128">
        <f>NB.JOURS.OUVRES!D8</f>
        <v>22</v>
      </c>
      <c r="R16" s="128">
        <f>NB.JOURS.OUVRES!D9</f>
        <v>22</v>
      </c>
      <c r="S16" s="128">
        <f>NB.JOURS.OUVRES!D10</f>
        <v>21</v>
      </c>
      <c r="T16" s="128">
        <f>NB.JOURS.OUVRES!D11</f>
        <v>22</v>
      </c>
      <c r="U16" s="128">
        <f>NB.JOURS.OUVRES!D12</f>
        <v>22</v>
      </c>
      <c r="V16" s="128">
        <f>NB.JOURS.OUVRES!D13</f>
        <v>20</v>
      </c>
      <c r="W16" s="128">
        <f>NB.JOURS.OUVRES!D14</f>
        <v>22</v>
      </c>
      <c r="Y16" s="26" t="s">
        <v>776</v>
      </c>
    </row>
    <row r="17" spans="1:29" ht="15.75" thickBot="1">
      <c r="A17" s="129" t="s">
        <v>85</v>
      </c>
      <c r="B17" s="130" t="s">
        <v>32</v>
      </c>
      <c r="C17" s="130" t="s">
        <v>215</v>
      </c>
      <c r="D17" s="130" t="s">
        <v>14</v>
      </c>
      <c r="E17" s="130" t="s">
        <v>170</v>
      </c>
      <c r="F17" s="130" t="s">
        <v>218</v>
      </c>
      <c r="G17" s="130" t="s">
        <v>217</v>
      </c>
      <c r="H17" s="130" t="s">
        <v>224</v>
      </c>
      <c r="I17" s="130" t="s">
        <v>31</v>
      </c>
      <c r="J17" s="130" t="s">
        <v>30</v>
      </c>
      <c r="K17" s="131" t="s">
        <v>29</v>
      </c>
      <c r="L17" s="178">
        <v>43831</v>
      </c>
      <c r="M17" s="132">
        <v>43862</v>
      </c>
      <c r="N17" s="364">
        <v>43891</v>
      </c>
      <c r="O17" s="132">
        <v>43922</v>
      </c>
      <c r="P17" s="132">
        <v>43952</v>
      </c>
      <c r="Q17" s="132">
        <v>43983</v>
      </c>
      <c r="R17" s="132">
        <v>44013</v>
      </c>
      <c r="S17" s="132">
        <v>44044</v>
      </c>
      <c r="T17" s="132">
        <v>44075</v>
      </c>
      <c r="U17" s="132">
        <v>44105</v>
      </c>
      <c r="V17" s="132">
        <v>44136</v>
      </c>
      <c r="W17" s="179">
        <v>44166</v>
      </c>
      <c r="X17" s="133" t="s">
        <v>28</v>
      </c>
      <c r="Y17" s="134" t="s">
        <v>775</v>
      </c>
      <c r="Z17" s="135" t="s">
        <v>86</v>
      </c>
      <c r="AA17" s="135" t="s">
        <v>27</v>
      </c>
      <c r="AB17" s="136" t="s">
        <v>87</v>
      </c>
      <c r="AC17" s="137" t="s">
        <v>26</v>
      </c>
    </row>
    <row r="18" spans="1:29" s="158" customFormat="1" hidden="1">
      <c r="A18" s="146">
        <v>206</v>
      </c>
      <c r="B18" s="329" t="s">
        <v>704</v>
      </c>
      <c r="C18" s="139" t="s">
        <v>216</v>
      </c>
      <c r="D18" s="139" t="s">
        <v>685</v>
      </c>
      <c r="E18" s="139" t="s">
        <v>689</v>
      </c>
      <c r="F18" s="147"/>
      <c r="G18" s="147"/>
      <c r="H18" s="330" t="s">
        <v>842</v>
      </c>
      <c r="I18" s="140">
        <v>43831</v>
      </c>
      <c r="J18" s="148">
        <v>44196</v>
      </c>
      <c r="K18" s="180">
        <f>SUM(L18:W18)</f>
        <v>119</v>
      </c>
      <c r="L18" s="337">
        <v>9</v>
      </c>
      <c r="M18" s="511">
        <v>10</v>
      </c>
      <c r="N18" s="511">
        <v>10</v>
      </c>
      <c r="O18" s="511">
        <v>10</v>
      </c>
      <c r="P18" s="511">
        <v>10</v>
      </c>
      <c r="Q18" s="511">
        <v>10</v>
      </c>
      <c r="R18" s="511">
        <v>10</v>
      </c>
      <c r="S18" s="511">
        <v>10</v>
      </c>
      <c r="T18" s="511">
        <v>10</v>
      </c>
      <c r="U18" s="511">
        <v>10</v>
      </c>
      <c r="V18" s="511">
        <v>10</v>
      </c>
      <c r="W18" s="511">
        <v>10</v>
      </c>
      <c r="X18" s="141">
        <f t="shared" ref="X18:X34" si="1">SUM(L18:W18)</f>
        <v>119</v>
      </c>
      <c r="Y18" s="142"/>
      <c r="Z18" s="143">
        <f t="shared" ref="Z18:Z66" si="2">SUMIF($L$15:$W$15,0,L18:W18)</f>
        <v>110</v>
      </c>
      <c r="AA18" s="142" t="str">
        <f>IFERROR(GETPIVOTDATA("Somme de leftWork",iPMP_traitement_pointage!$A$3,"idResource",#REF!,"projectCode",H18),"")</f>
        <v/>
      </c>
      <c r="AB18" s="144">
        <f t="shared" ref="AB18:AB48" si="3">SUMIF($L$15:$W$15,1,L18:W18)</f>
        <v>9</v>
      </c>
      <c r="AC18" s="145" t="str">
        <f>IFERROR(GETPIVOTDATA("Somme de realWork",iPMP_traitement_pointage!$A$3,"idResource",#REF!,"projectCode",H18),"")</f>
        <v/>
      </c>
    </row>
    <row r="19" spans="1:29" s="158" customFormat="1">
      <c r="A19" s="146">
        <v>206</v>
      </c>
      <c r="B19" s="329" t="s">
        <v>704</v>
      </c>
      <c r="C19" s="139" t="s">
        <v>216</v>
      </c>
      <c r="D19" s="139" t="s">
        <v>686</v>
      </c>
      <c r="E19" s="139" t="s">
        <v>689</v>
      </c>
      <c r="F19" s="147"/>
      <c r="G19" s="147"/>
      <c r="H19" s="330" t="s">
        <v>843</v>
      </c>
      <c r="I19" s="140">
        <v>43831</v>
      </c>
      <c r="J19" s="148">
        <v>44196</v>
      </c>
      <c r="K19" s="180">
        <f>SUM(L19:W19)</f>
        <v>48</v>
      </c>
      <c r="L19" s="337">
        <v>3</v>
      </c>
      <c r="M19" s="511">
        <v>5</v>
      </c>
      <c r="N19" s="511">
        <v>4</v>
      </c>
      <c r="O19" s="511">
        <v>4</v>
      </c>
      <c r="P19" s="511">
        <v>4</v>
      </c>
      <c r="Q19" s="511">
        <v>4</v>
      </c>
      <c r="R19" s="511">
        <v>4</v>
      </c>
      <c r="S19" s="511">
        <v>4</v>
      </c>
      <c r="T19" s="511">
        <v>4</v>
      </c>
      <c r="U19" s="511">
        <v>4</v>
      </c>
      <c r="V19" s="511">
        <v>4</v>
      </c>
      <c r="W19" s="511">
        <v>4</v>
      </c>
      <c r="X19" s="141">
        <f t="shared" si="1"/>
        <v>48</v>
      </c>
      <c r="Y19" s="142"/>
      <c r="Z19" s="143">
        <f t="shared" si="2"/>
        <v>45</v>
      </c>
      <c r="AA19" s="142" t="str">
        <f>IFERROR(GETPIVOTDATA("Somme de leftWork",iPMP_traitement_pointage!$A$3,"idResource",#REF!,"projectCode",H19),"")</f>
        <v/>
      </c>
      <c r="AB19" s="144">
        <f t="shared" si="3"/>
        <v>3</v>
      </c>
      <c r="AC19" s="145" t="str">
        <f>IFERROR(GETPIVOTDATA("Somme de realWork",iPMP_traitement_pointage!$A$3,"idResource",#REF!,"projectCode",H19),"")</f>
        <v/>
      </c>
    </row>
    <row r="20" spans="1:29" s="158" customFormat="1" hidden="1">
      <c r="A20" s="146">
        <v>206</v>
      </c>
      <c r="B20" s="329" t="s">
        <v>704</v>
      </c>
      <c r="C20" s="139" t="s">
        <v>216</v>
      </c>
      <c r="D20" s="139" t="s">
        <v>687</v>
      </c>
      <c r="E20" s="139" t="s">
        <v>689</v>
      </c>
      <c r="F20" s="147"/>
      <c r="G20" s="147" t="s">
        <v>694</v>
      </c>
      <c r="H20" s="330" t="s">
        <v>844</v>
      </c>
      <c r="I20" s="140">
        <v>43831</v>
      </c>
      <c r="J20" s="148">
        <v>44196</v>
      </c>
      <c r="K20" s="180">
        <f>SUM(L20:W20)</f>
        <v>48</v>
      </c>
      <c r="L20" s="337">
        <v>5</v>
      </c>
      <c r="M20" s="511">
        <v>5</v>
      </c>
      <c r="N20" s="511">
        <v>2</v>
      </c>
      <c r="O20" s="511">
        <v>4</v>
      </c>
      <c r="P20" s="511">
        <v>4</v>
      </c>
      <c r="Q20" s="511">
        <v>4</v>
      </c>
      <c r="R20" s="511">
        <v>4</v>
      </c>
      <c r="S20" s="511">
        <v>4</v>
      </c>
      <c r="T20" s="511">
        <v>4</v>
      </c>
      <c r="U20" s="511">
        <v>4</v>
      </c>
      <c r="V20" s="511">
        <v>4</v>
      </c>
      <c r="W20" s="511">
        <v>4</v>
      </c>
      <c r="X20" s="141">
        <f t="shared" si="1"/>
        <v>48</v>
      </c>
      <c r="Y20" s="142"/>
      <c r="Z20" s="143">
        <f t="shared" si="2"/>
        <v>43</v>
      </c>
      <c r="AA20" s="142" t="str">
        <f>IFERROR(GETPIVOTDATA("Somme de leftWork",iPMP_traitement_pointage!$A$3,"idResource",#REF!,"projectCode",H20),"")</f>
        <v/>
      </c>
      <c r="AB20" s="144">
        <f t="shared" si="3"/>
        <v>5</v>
      </c>
      <c r="AC20" s="145" t="str">
        <f>IFERROR(GETPIVOTDATA("Somme de realWork",iPMP_traitement_pointage!$A$3,"idResource",#REF!,"projectCode",H20),"")</f>
        <v/>
      </c>
    </row>
    <row r="21" spans="1:29" s="158" customFormat="1" hidden="1">
      <c r="A21" s="146"/>
      <c r="B21" s="329" t="s">
        <v>994</v>
      </c>
      <c r="C21" s="139"/>
      <c r="D21" s="139" t="s">
        <v>685</v>
      </c>
      <c r="E21" s="139" t="s">
        <v>685</v>
      </c>
      <c r="F21" s="147"/>
      <c r="G21" s="147" t="s">
        <v>693</v>
      </c>
      <c r="H21" s="330" t="s">
        <v>842</v>
      </c>
      <c r="I21" s="140"/>
      <c r="J21" s="148"/>
      <c r="K21" s="180">
        <f>SUM(L21:W21)</f>
        <v>0</v>
      </c>
      <c r="L21" s="337"/>
      <c r="M21" s="337"/>
      <c r="N21" s="337"/>
      <c r="O21" s="337"/>
      <c r="P21" s="337"/>
      <c r="Q21" s="337"/>
      <c r="R21" s="337"/>
      <c r="S21" s="337"/>
      <c r="T21" s="337"/>
      <c r="U21" s="337"/>
      <c r="V21" s="337"/>
      <c r="W21" s="530"/>
      <c r="X21" s="141">
        <f t="shared" si="1"/>
        <v>0</v>
      </c>
      <c r="Y21" s="142"/>
      <c r="Z21" s="143">
        <f t="shared" si="2"/>
        <v>0</v>
      </c>
      <c r="AA21" s="142" t="str">
        <f>IFERROR(GETPIVOTDATA("Somme de leftWork",iPMP_traitement_pointage!$A$3,"idResource",#REF!,"projectCode",H21),"")</f>
        <v/>
      </c>
      <c r="AB21" s="144">
        <f t="shared" si="3"/>
        <v>0</v>
      </c>
      <c r="AC21" s="145" t="str">
        <f>IFERROR(GETPIVOTDATA("Somme de realWork",iPMP_traitement_pointage!$A$3,"idResource",#REF!,"projectCode",H21),"")</f>
        <v/>
      </c>
    </row>
    <row r="22" spans="1:29" s="158" customFormat="1" hidden="1">
      <c r="A22" s="146">
        <v>60</v>
      </c>
      <c r="B22" s="456" t="s">
        <v>705</v>
      </c>
      <c r="C22" s="139" t="s">
        <v>216</v>
      </c>
      <c r="D22" s="139" t="s">
        <v>685</v>
      </c>
      <c r="E22" s="139" t="s">
        <v>685</v>
      </c>
      <c r="F22" s="147"/>
      <c r="G22" s="147"/>
      <c r="H22" s="330" t="s">
        <v>842</v>
      </c>
      <c r="I22" s="140">
        <v>43831</v>
      </c>
      <c r="J22" s="148">
        <v>44196</v>
      </c>
      <c r="K22" s="180">
        <f>SUM(L22:W22)</f>
        <v>0</v>
      </c>
      <c r="L22" s="337"/>
      <c r="M22" s="511"/>
      <c r="N22" s="511"/>
      <c r="O22" s="511"/>
      <c r="P22" s="511"/>
      <c r="Q22" s="511"/>
      <c r="R22" s="511"/>
      <c r="S22" s="511"/>
      <c r="T22" s="511"/>
      <c r="U22" s="511"/>
      <c r="V22" s="511"/>
      <c r="W22" s="511"/>
      <c r="X22" s="141">
        <f t="shared" si="1"/>
        <v>0</v>
      </c>
      <c r="Y22" s="457"/>
      <c r="Z22" s="143">
        <f t="shared" si="2"/>
        <v>0</v>
      </c>
      <c r="AA22" s="142" t="str">
        <f>IFERROR(GETPIVOTDATA("Somme de leftWork",iPMP_traitement_pointage!$A$3,"idResource",#REF!,"projectCode",H22),"")</f>
        <v/>
      </c>
      <c r="AB22" s="144">
        <f t="shared" si="3"/>
        <v>0</v>
      </c>
      <c r="AC22" s="145" t="str">
        <f>IFERROR(GETPIVOTDATA("Somme de realWork",iPMP_traitement_pointage!$A$3,"idResource",#REF!,"projectCode",H22),"")</f>
        <v/>
      </c>
    </row>
    <row r="23" spans="1:29" s="158" customFormat="1" hidden="1">
      <c r="A23" s="146">
        <v>3109</v>
      </c>
      <c r="B23" s="329" t="s">
        <v>816</v>
      </c>
      <c r="C23" s="139" t="s">
        <v>216</v>
      </c>
      <c r="D23" s="139" t="s">
        <v>685</v>
      </c>
      <c r="E23" s="139" t="s">
        <v>685</v>
      </c>
      <c r="F23" s="147"/>
      <c r="G23" s="147" t="s">
        <v>693</v>
      </c>
      <c r="H23" s="330" t="s">
        <v>842</v>
      </c>
      <c r="I23" s="140">
        <v>43831</v>
      </c>
      <c r="J23" s="148">
        <v>44196</v>
      </c>
      <c r="K23" s="180"/>
      <c r="L23" s="337">
        <v>21</v>
      </c>
      <c r="M23" s="511">
        <v>20</v>
      </c>
      <c r="N23" s="511">
        <v>18</v>
      </c>
      <c r="O23" s="511">
        <v>18</v>
      </c>
      <c r="P23" s="511">
        <v>18</v>
      </c>
      <c r="Q23" s="511">
        <v>18</v>
      </c>
      <c r="R23" s="511">
        <v>18</v>
      </c>
      <c r="S23" s="511">
        <v>18</v>
      </c>
      <c r="T23" s="511">
        <v>18</v>
      </c>
      <c r="U23" s="511">
        <v>18</v>
      </c>
      <c r="V23" s="511">
        <v>18</v>
      </c>
      <c r="W23" s="511">
        <v>18</v>
      </c>
      <c r="X23" s="141">
        <f t="shared" si="1"/>
        <v>221</v>
      </c>
      <c r="Y23" s="142"/>
      <c r="Z23" s="143">
        <f t="shared" si="2"/>
        <v>200</v>
      </c>
      <c r="AA23" s="142" t="str">
        <f>IFERROR(GETPIVOTDATA("Somme de leftWork",iPMP_traitement_pointage!$A$3,"idResource",#REF!,"projectCode",H23),"")</f>
        <v/>
      </c>
      <c r="AB23" s="144">
        <f t="shared" si="3"/>
        <v>21</v>
      </c>
      <c r="AC23" s="145" t="str">
        <f>IFERROR(GETPIVOTDATA("Somme de realWork",iPMP_traitement_pointage!$A$3,"idResource",#REF!,"projectCode",H23),"")</f>
        <v/>
      </c>
    </row>
    <row r="24" spans="1:29" s="377" customFormat="1">
      <c r="A24" s="146">
        <v>2098</v>
      </c>
      <c r="B24" s="329" t="s">
        <v>706</v>
      </c>
      <c r="C24" s="139" t="s">
        <v>216</v>
      </c>
      <c r="D24" s="139" t="s">
        <v>686</v>
      </c>
      <c r="E24" s="139" t="s">
        <v>686</v>
      </c>
      <c r="F24" s="147"/>
      <c r="G24" s="147" t="s">
        <v>692</v>
      </c>
      <c r="H24" s="330" t="s">
        <v>843</v>
      </c>
      <c r="I24" s="140">
        <v>43831</v>
      </c>
      <c r="J24" s="148">
        <v>44196</v>
      </c>
      <c r="K24" s="180">
        <f t="shared" ref="K24:K35" si="4">SUM(L24:W24)</f>
        <v>218.5</v>
      </c>
      <c r="L24" s="337">
        <v>19</v>
      </c>
      <c r="M24" s="511">
        <v>19.5</v>
      </c>
      <c r="N24" s="511">
        <v>18</v>
      </c>
      <c r="O24" s="511">
        <v>18</v>
      </c>
      <c r="P24" s="511">
        <v>18</v>
      </c>
      <c r="Q24" s="511">
        <v>18</v>
      </c>
      <c r="R24" s="511">
        <v>18</v>
      </c>
      <c r="S24" s="511">
        <v>18</v>
      </c>
      <c r="T24" s="511">
        <v>18</v>
      </c>
      <c r="U24" s="511">
        <v>18</v>
      </c>
      <c r="V24" s="511">
        <v>18</v>
      </c>
      <c r="W24" s="511">
        <v>18</v>
      </c>
      <c r="X24" s="141">
        <f t="shared" si="1"/>
        <v>218.5</v>
      </c>
      <c r="Y24" s="375"/>
      <c r="Z24" s="143">
        <f t="shared" si="2"/>
        <v>199.5</v>
      </c>
      <c r="AA24" s="375" t="str">
        <f>IFERROR(GETPIVOTDATA("Somme de leftWork",iPMP_traitement_pointage!$A$3,"idResource",#REF!,"projectCode",H24),"")</f>
        <v/>
      </c>
      <c r="AB24" s="144">
        <f t="shared" si="3"/>
        <v>19</v>
      </c>
      <c r="AC24" s="376" t="str">
        <f>IFERROR(GETPIVOTDATA("Somme de realWork",iPMP_traitement_pointage!$A$3,"idResource",#REF!,"projectCode",H24),"")</f>
        <v/>
      </c>
    </row>
    <row r="25" spans="1:29" s="377" customFormat="1" hidden="1">
      <c r="A25" s="146">
        <v>967</v>
      </c>
      <c r="B25" s="329" t="s">
        <v>707</v>
      </c>
      <c r="C25" s="139" t="s">
        <v>216</v>
      </c>
      <c r="D25" s="139" t="s">
        <v>685</v>
      </c>
      <c r="E25" s="139" t="s">
        <v>685</v>
      </c>
      <c r="F25" s="147"/>
      <c r="G25" s="147" t="s">
        <v>693</v>
      </c>
      <c r="H25" s="330" t="s">
        <v>842</v>
      </c>
      <c r="I25" s="140">
        <v>43831</v>
      </c>
      <c r="J25" s="148">
        <v>44196</v>
      </c>
      <c r="K25" s="180">
        <f t="shared" si="4"/>
        <v>0</v>
      </c>
      <c r="L25" s="337"/>
      <c r="M25" s="511"/>
      <c r="N25" s="511"/>
      <c r="O25" s="511"/>
      <c r="P25" s="511"/>
      <c r="Q25" s="511"/>
      <c r="R25" s="511"/>
      <c r="S25" s="511"/>
      <c r="T25" s="511"/>
      <c r="U25" s="511"/>
      <c r="V25" s="511"/>
      <c r="W25" s="511"/>
      <c r="X25" s="141">
        <f t="shared" si="1"/>
        <v>0</v>
      </c>
      <c r="Y25" s="375"/>
      <c r="Z25" s="143">
        <f t="shared" si="2"/>
        <v>0</v>
      </c>
      <c r="AA25" s="375" t="str">
        <f>IFERROR(GETPIVOTDATA("Somme de leftWork",iPMP_traitement_pointage!$A$3,"idResource",#REF!,"projectCode",H25),"")</f>
        <v/>
      </c>
      <c r="AB25" s="144">
        <f t="shared" si="3"/>
        <v>0</v>
      </c>
      <c r="AC25" s="376" t="str">
        <f>IFERROR(GETPIVOTDATA("Somme de realWork",iPMP_traitement_pointage!$A$3,"idResource",#REF!,"projectCode",H25),"")</f>
        <v/>
      </c>
    </row>
    <row r="26" spans="1:29" s="377" customFormat="1" hidden="1">
      <c r="A26" s="146">
        <v>3077</v>
      </c>
      <c r="B26" s="329" t="s">
        <v>818</v>
      </c>
      <c r="C26" s="139" t="s">
        <v>216</v>
      </c>
      <c r="D26" s="139" t="s">
        <v>687</v>
      </c>
      <c r="E26" s="139" t="s">
        <v>687</v>
      </c>
      <c r="F26" s="512"/>
      <c r="G26" s="512" t="s">
        <v>694</v>
      </c>
      <c r="H26" s="330" t="s">
        <v>844</v>
      </c>
      <c r="I26" s="140">
        <v>43831</v>
      </c>
      <c r="J26" s="513">
        <v>44196</v>
      </c>
      <c r="K26" s="180">
        <f t="shared" si="4"/>
        <v>0.5</v>
      </c>
      <c r="L26" s="337">
        <v>0.5</v>
      </c>
      <c r="M26" s="511"/>
      <c r="N26" s="511"/>
      <c r="O26" s="511"/>
      <c r="P26" s="511"/>
      <c r="Q26" s="511"/>
      <c r="R26" s="511"/>
      <c r="S26" s="511"/>
      <c r="T26" s="511"/>
      <c r="U26" s="511"/>
      <c r="V26" s="511"/>
      <c r="W26" s="511"/>
      <c r="X26" s="141">
        <f t="shared" si="1"/>
        <v>0.5</v>
      </c>
      <c r="Y26" s="514"/>
      <c r="Z26" s="143">
        <f t="shared" si="2"/>
        <v>0</v>
      </c>
      <c r="AA26" s="514"/>
      <c r="AB26" s="144">
        <f t="shared" si="3"/>
        <v>0.5</v>
      </c>
      <c r="AC26" s="376"/>
    </row>
    <row r="27" spans="1:29" s="158" customFormat="1">
      <c r="A27" s="146">
        <v>3077</v>
      </c>
      <c r="B27" s="329" t="s">
        <v>818</v>
      </c>
      <c r="C27" s="139"/>
      <c r="D27" s="139" t="s">
        <v>686</v>
      </c>
      <c r="E27" s="139"/>
      <c r="F27" s="147"/>
      <c r="G27" s="147"/>
      <c r="H27" s="330" t="s">
        <v>843</v>
      </c>
      <c r="I27" s="140"/>
      <c r="J27" s="148"/>
      <c r="K27" s="180">
        <f t="shared" si="4"/>
        <v>5.5</v>
      </c>
      <c r="L27" s="337">
        <v>5.5</v>
      </c>
      <c r="M27" s="511">
        <v>0</v>
      </c>
      <c r="N27" s="511"/>
      <c r="O27" s="511"/>
      <c r="P27" s="511"/>
      <c r="Q27" s="511"/>
      <c r="R27" s="511"/>
      <c r="S27" s="511"/>
      <c r="T27" s="511"/>
      <c r="U27" s="511"/>
      <c r="V27" s="511"/>
      <c r="W27" s="511"/>
      <c r="X27" s="141">
        <f t="shared" si="1"/>
        <v>5.5</v>
      </c>
      <c r="Y27" s="142"/>
      <c r="Z27" s="143">
        <f t="shared" si="2"/>
        <v>0</v>
      </c>
      <c r="AA27" s="142" t="str">
        <f>IFERROR(GETPIVOTDATA("Somme de leftWork",iPMP_traitement_pointage!$A$3,"idResource",#REF!,"projectCode",H27),"")</f>
        <v/>
      </c>
      <c r="AB27" s="144">
        <f t="shared" si="3"/>
        <v>5.5</v>
      </c>
      <c r="AC27" s="145" t="str">
        <f>IFERROR(GETPIVOTDATA("Somme de realWork",iPMP_traitement_pointage!$A$3,"idResource",#REF!,"projectCode",H27),"")</f>
        <v/>
      </c>
    </row>
    <row r="28" spans="1:29" s="493" customFormat="1" hidden="1">
      <c r="A28" s="138">
        <v>2128</v>
      </c>
      <c r="B28" s="525" t="s">
        <v>708</v>
      </c>
      <c r="C28" s="139" t="s">
        <v>216</v>
      </c>
      <c r="D28" s="139" t="s">
        <v>685</v>
      </c>
      <c r="E28" s="139" t="s">
        <v>685</v>
      </c>
      <c r="F28" s="525"/>
      <c r="G28" s="147" t="s">
        <v>693</v>
      </c>
      <c r="H28" s="330" t="s">
        <v>842</v>
      </c>
      <c r="I28" s="140">
        <v>43831</v>
      </c>
      <c r="J28" s="526">
        <v>44196</v>
      </c>
      <c r="K28" s="180">
        <f t="shared" si="4"/>
        <v>219.5</v>
      </c>
      <c r="L28" s="337">
        <v>21.5</v>
      </c>
      <c r="M28" s="511">
        <v>18</v>
      </c>
      <c r="N28" s="511">
        <v>18</v>
      </c>
      <c r="O28" s="511">
        <v>18</v>
      </c>
      <c r="P28" s="511">
        <v>18</v>
      </c>
      <c r="Q28" s="511">
        <v>18</v>
      </c>
      <c r="R28" s="511">
        <v>18</v>
      </c>
      <c r="S28" s="511">
        <v>18</v>
      </c>
      <c r="T28" s="511">
        <v>18</v>
      </c>
      <c r="U28" s="511">
        <v>18</v>
      </c>
      <c r="V28" s="511">
        <v>18</v>
      </c>
      <c r="W28" s="511">
        <v>18</v>
      </c>
      <c r="X28" s="141">
        <f t="shared" si="1"/>
        <v>219.5</v>
      </c>
      <c r="Y28" s="142"/>
      <c r="Z28" s="143">
        <f t="shared" si="2"/>
        <v>198</v>
      </c>
      <c r="AA28" s="142" t="str">
        <f>IFERROR(GETPIVOTDATA("Somme de leftWork",iPMP_traitement_pointage!$A$3,"idResource",#REF!,"projectCode",H28),"")</f>
        <v/>
      </c>
      <c r="AB28" s="144">
        <f t="shared" si="3"/>
        <v>21.5</v>
      </c>
      <c r="AC28" s="145"/>
    </row>
    <row r="29" spans="1:29" hidden="1">
      <c r="A29" s="138"/>
      <c r="B29" s="329" t="s">
        <v>985</v>
      </c>
      <c r="C29" s="139"/>
      <c r="D29" s="139" t="s">
        <v>685</v>
      </c>
      <c r="E29" s="139" t="s">
        <v>685</v>
      </c>
      <c r="F29" s="147"/>
      <c r="G29" s="147" t="s">
        <v>693</v>
      </c>
      <c r="H29" s="330" t="s">
        <v>842</v>
      </c>
      <c r="I29" s="140"/>
      <c r="J29" s="148"/>
      <c r="K29" s="180">
        <f t="shared" si="4"/>
        <v>16.5</v>
      </c>
      <c r="L29" s="337">
        <v>9.5</v>
      </c>
      <c r="M29" s="511">
        <v>7</v>
      </c>
      <c r="N29" s="511"/>
      <c r="O29" s="511"/>
      <c r="P29" s="511"/>
      <c r="Q29" s="511"/>
      <c r="R29" s="511"/>
      <c r="S29" s="511"/>
      <c r="T29" s="511"/>
      <c r="U29" s="511"/>
      <c r="V29" s="511"/>
      <c r="W29" s="511"/>
      <c r="X29" s="141">
        <f t="shared" si="1"/>
        <v>16.5</v>
      </c>
      <c r="Y29" s="142"/>
      <c r="Z29" s="143">
        <f t="shared" si="2"/>
        <v>7</v>
      </c>
      <c r="AA29" s="142" t="str">
        <f>IFERROR(GETPIVOTDATA("Somme de leftWork",iPMP_traitement_pointage!$A$3,"idResource",#REF!,"projectCode",H29),"")</f>
        <v/>
      </c>
      <c r="AB29" s="144">
        <f t="shared" si="3"/>
        <v>9.5</v>
      </c>
      <c r="AC29" s="145" t="str">
        <f>IFERROR(GETPIVOTDATA("Somme de realWork",iPMP_traitement_pointage!$A$3,"idResource",#REF!,"projectCode",H29),"")</f>
        <v/>
      </c>
    </row>
    <row r="30" spans="1:29" hidden="1">
      <c r="A30" s="146"/>
      <c r="B30" s="329" t="s">
        <v>995</v>
      </c>
      <c r="C30" s="139"/>
      <c r="D30" s="139" t="s">
        <v>685</v>
      </c>
      <c r="E30" s="139" t="s">
        <v>685</v>
      </c>
      <c r="F30" s="147"/>
      <c r="G30" s="147" t="s">
        <v>693</v>
      </c>
      <c r="H30" s="330" t="s">
        <v>842</v>
      </c>
      <c r="I30" s="140"/>
      <c r="J30" s="148"/>
      <c r="K30" s="180">
        <f t="shared" si="4"/>
        <v>5</v>
      </c>
      <c r="L30" s="337"/>
      <c r="M30" s="337">
        <v>5</v>
      </c>
      <c r="N30" s="337"/>
      <c r="O30" s="337"/>
      <c r="P30" s="337"/>
      <c r="Q30" s="337"/>
      <c r="R30" s="337"/>
      <c r="S30" s="337"/>
      <c r="T30" s="337"/>
      <c r="U30" s="337"/>
      <c r="V30" s="337"/>
      <c r="W30" s="530"/>
      <c r="X30" s="141">
        <f t="shared" si="1"/>
        <v>5</v>
      </c>
      <c r="Y30" s="142"/>
      <c r="Z30" s="143">
        <f t="shared" si="2"/>
        <v>5</v>
      </c>
      <c r="AA30" s="142" t="str">
        <f>IFERROR(GETPIVOTDATA("Somme de leftWork",iPMP_traitement_pointage!$A$3,"idResource",#REF!,"projectCode",H30),"")</f>
        <v/>
      </c>
      <c r="AB30" s="144">
        <f t="shared" si="3"/>
        <v>0</v>
      </c>
      <c r="AC30" s="145" t="str">
        <f>IFERROR(GETPIVOTDATA("Somme de realWork",iPMP_traitement_pointage!$A$3,"idResource",#REF!,"projectCode",H30),"")</f>
        <v/>
      </c>
    </row>
    <row r="31" spans="1:29" hidden="1">
      <c r="A31" s="146">
        <v>2306</v>
      </c>
      <c r="B31" s="329" t="s">
        <v>709</v>
      </c>
      <c r="C31" s="139" t="s">
        <v>216</v>
      </c>
      <c r="D31" s="139" t="s">
        <v>685</v>
      </c>
      <c r="E31" s="139" t="s">
        <v>685</v>
      </c>
      <c r="F31" s="147"/>
      <c r="G31" s="147" t="s">
        <v>693</v>
      </c>
      <c r="H31" s="330" t="s">
        <v>842</v>
      </c>
      <c r="I31" s="140">
        <v>43831</v>
      </c>
      <c r="J31" s="148">
        <v>44196</v>
      </c>
      <c r="K31" s="180">
        <f t="shared" si="4"/>
        <v>212.5</v>
      </c>
      <c r="L31" s="337">
        <v>18.5</v>
      </c>
      <c r="M31" s="511">
        <v>14</v>
      </c>
      <c r="N31" s="511">
        <v>18</v>
      </c>
      <c r="O31" s="511">
        <v>18</v>
      </c>
      <c r="P31" s="511">
        <v>18</v>
      </c>
      <c r="Q31" s="511">
        <v>18</v>
      </c>
      <c r="R31" s="511">
        <v>18</v>
      </c>
      <c r="S31" s="511">
        <v>18</v>
      </c>
      <c r="T31" s="511">
        <v>18</v>
      </c>
      <c r="U31" s="511">
        <v>18</v>
      </c>
      <c r="V31" s="511">
        <v>18</v>
      </c>
      <c r="W31" s="511">
        <v>18</v>
      </c>
      <c r="X31" s="141">
        <f>SUM(L31:W31)</f>
        <v>212.5</v>
      </c>
      <c r="Y31" s="142"/>
      <c r="Z31" s="143">
        <f>SUMIF($L$15:$W$15,0,L31:W31)</f>
        <v>194</v>
      </c>
      <c r="AA31" s="142" t="str">
        <f>IFERROR(GETPIVOTDATA("Somme de leftWork",iPMP_traitement_pointage!$A$3,"idResource",#REF!,"projectCode",H31),"")</f>
        <v/>
      </c>
      <c r="AB31" s="144">
        <f>SUMIF($L$15:$W$15,1,L31:W31)</f>
        <v>18.5</v>
      </c>
      <c r="AC31" s="145" t="str">
        <f>IFERROR(GETPIVOTDATA("Somme de realWork",iPMP_traitement_pointage!$A$3,"idResource",#REF!,"projectCode",H31),"")</f>
        <v/>
      </c>
    </row>
    <row r="32" spans="1:29" s="158" customFormat="1" hidden="1">
      <c r="A32" s="146">
        <v>2129</v>
      </c>
      <c r="B32" s="329" t="s">
        <v>710</v>
      </c>
      <c r="C32" s="139" t="s">
        <v>216</v>
      </c>
      <c r="D32" s="139" t="s">
        <v>685</v>
      </c>
      <c r="E32" s="139" t="s">
        <v>685</v>
      </c>
      <c r="F32" s="329"/>
      <c r="G32" s="147" t="s">
        <v>693</v>
      </c>
      <c r="H32" s="330" t="s">
        <v>842</v>
      </c>
      <c r="I32" s="140">
        <v>43831</v>
      </c>
      <c r="J32" s="148">
        <v>44196</v>
      </c>
      <c r="K32" s="180">
        <f t="shared" si="4"/>
        <v>218</v>
      </c>
      <c r="L32" s="337">
        <v>18.5</v>
      </c>
      <c r="M32" s="511">
        <v>19.5</v>
      </c>
      <c r="N32" s="511">
        <v>18</v>
      </c>
      <c r="O32" s="511">
        <v>18</v>
      </c>
      <c r="P32" s="511">
        <v>18</v>
      </c>
      <c r="Q32" s="511">
        <v>18</v>
      </c>
      <c r="R32" s="511">
        <v>18</v>
      </c>
      <c r="S32" s="511">
        <v>18</v>
      </c>
      <c r="T32" s="511">
        <v>18</v>
      </c>
      <c r="U32" s="511">
        <v>18</v>
      </c>
      <c r="V32" s="511">
        <v>18</v>
      </c>
      <c r="W32" s="511">
        <v>18</v>
      </c>
      <c r="X32" s="141">
        <f>SUM(L32:W32)</f>
        <v>218</v>
      </c>
      <c r="Y32" s="142"/>
      <c r="Z32" s="143">
        <f>SUMIF($L$15:$W$15,0,L32:W32)</f>
        <v>199.5</v>
      </c>
      <c r="AA32" s="142" t="str">
        <f>IFERROR(GETPIVOTDATA("Somme de leftWork",iPMP_traitement_pointage!$A$3,"idResource",#REF!,"projectCode",H32),"")</f>
        <v/>
      </c>
      <c r="AB32" s="144">
        <f>SUMIF($L$15:$W$15,1,L32:W32)</f>
        <v>18.5</v>
      </c>
      <c r="AC32" s="145" t="str">
        <f>IFERROR(GETPIVOTDATA("Somme de realWork",iPMP_traitement_pointage!$A$3,"idResource",#REF!,"projectCode",H32),"")</f>
        <v/>
      </c>
    </row>
    <row r="33" spans="1:29" s="493" customFormat="1" hidden="1">
      <c r="A33" s="146">
        <v>276</v>
      </c>
      <c r="B33" s="329" t="s">
        <v>788</v>
      </c>
      <c r="C33" s="139" t="s">
        <v>216</v>
      </c>
      <c r="D33" s="139" t="s">
        <v>685</v>
      </c>
      <c r="E33" s="139" t="s">
        <v>689</v>
      </c>
      <c r="F33" s="520"/>
      <c r="G33" s="520"/>
      <c r="H33" s="330" t="s">
        <v>842</v>
      </c>
      <c r="I33" s="140">
        <v>43831</v>
      </c>
      <c r="J33" s="521">
        <v>44196</v>
      </c>
      <c r="K33" s="180">
        <f t="shared" si="4"/>
        <v>9</v>
      </c>
      <c r="L33" s="337">
        <v>0.5</v>
      </c>
      <c r="M33" s="511">
        <v>0.5</v>
      </c>
      <c r="N33" s="511">
        <v>1</v>
      </c>
      <c r="O33" s="511">
        <v>1</v>
      </c>
      <c r="P33" s="511">
        <v>0.5</v>
      </c>
      <c r="Q33" s="511">
        <v>1</v>
      </c>
      <c r="R33" s="511">
        <v>0.5</v>
      </c>
      <c r="S33" s="511">
        <v>1</v>
      </c>
      <c r="T33" s="511">
        <v>0.5</v>
      </c>
      <c r="U33" s="511">
        <v>1</v>
      </c>
      <c r="V33" s="511">
        <v>0.5</v>
      </c>
      <c r="W33" s="511">
        <v>1</v>
      </c>
      <c r="X33" s="141">
        <f>SUM(L33:W33)</f>
        <v>9</v>
      </c>
      <c r="Y33" s="522"/>
      <c r="Z33" s="523">
        <f>SUMIF($L$15:$W$15,0,L33:W33)</f>
        <v>8.5</v>
      </c>
      <c r="AA33" s="522"/>
      <c r="AB33" s="524">
        <f>SUMIF($L$15:$W$15,1,L33:W33)</f>
        <v>0.5</v>
      </c>
      <c r="AC33" s="145"/>
    </row>
    <row r="34" spans="1:29" s="158" customFormat="1" hidden="1">
      <c r="A34" s="146">
        <v>276</v>
      </c>
      <c r="B34" s="329" t="s">
        <v>788</v>
      </c>
      <c r="C34" s="139" t="s">
        <v>216</v>
      </c>
      <c r="D34" s="139" t="s">
        <v>687</v>
      </c>
      <c r="E34" s="139" t="s">
        <v>689</v>
      </c>
      <c r="F34" s="147"/>
      <c r="G34" s="147" t="s">
        <v>694</v>
      </c>
      <c r="H34" s="330" t="s">
        <v>844</v>
      </c>
      <c r="I34" s="140">
        <v>43831</v>
      </c>
      <c r="J34" s="148">
        <v>44196</v>
      </c>
      <c r="K34" s="180">
        <f t="shared" si="4"/>
        <v>9</v>
      </c>
      <c r="L34" s="337">
        <v>0.5</v>
      </c>
      <c r="M34" s="511">
        <v>0.5</v>
      </c>
      <c r="N34" s="511">
        <v>1</v>
      </c>
      <c r="O34" s="511">
        <v>1</v>
      </c>
      <c r="P34" s="511">
        <v>0.5</v>
      </c>
      <c r="Q34" s="511">
        <v>1</v>
      </c>
      <c r="R34" s="511">
        <v>0.5</v>
      </c>
      <c r="S34" s="511">
        <v>1</v>
      </c>
      <c r="T34" s="511">
        <v>0.5</v>
      </c>
      <c r="U34" s="511">
        <v>1</v>
      </c>
      <c r="V34" s="511">
        <v>0.5</v>
      </c>
      <c r="W34" s="511">
        <v>1</v>
      </c>
      <c r="X34" s="141">
        <f t="shared" si="1"/>
        <v>9</v>
      </c>
      <c r="Y34" s="142"/>
      <c r="Z34" s="143">
        <f t="shared" si="2"/>
        <v>8.5</v>
      </c>
      <c r="AA34" s="142" t="str">
        <f>IFERROR(GETPIVOTDATA("Somme de leftWork",iPMP_traitement_pointage!$A$3,"idResource",#REF!,"projectCode",H34),"")</f>
        <v/>
      </c>
      <c r="AB34" s="144">
        <f t="shared" si="3"/>
        <v>0.5</v>
      </c>
      <c r="AC34" s="145" t="str">
        <f>IFERROR(GETPIVOTDATA("Somme de realWork",iPMP_traitement_pointage!$A$3,"idResource",#REF!,"projectCode",H34),"")</f>
        <v/>
      </c>
    </row>
    <row r="35" spans="1:29" s="493" customFormat="1">
      <c r="A35" s="146">
        <v>276</v>
      </c>
      <c r="B35" s="494" t="s">
        <v>788</v>
      </c>
      <c r="C35" s="139"/>
      <c r="D35" s="139" t="s">
        <v>686</v>
      </c>
      <c r="E35" s="139"/>
      <c r="F35" s="147"/>
      <c r="G35" s="147"/>
      <c r="H35" s="330" t="s">
        <v>843</v>
      </c>
      <c r="I35" s="140"/>
      <c r="J35" s="148"/>
      <c r="K35" s="180">
        <f t="shared" si="4"/>
        <v>9</v>
      </c>
      <c r="L35" s="337">
        <v>0.5</v>
      </c>
      <c r="M35" s="511">
        <v>0.5</v>
      </c>
      <c r="N35" s="511">
        <v>1</v>
      </c>
      <c r="O35" s="511">
        <v>1</v>
      </c>
      <c r="P35" s="511">
        <v>0.5</v>
      </c>
      <c r="Q35" s="511">
        <v>1</v>
      </c>
      <c r="R35" s="511">
        <v>0.5</v>
      </c>
      <c r="S35" s="511">
        <v>1</v>
      </c>
      <c r="T35" s="511">
        <v>0.5</v>
      </c>
      <c r="U35" s="511">
        <v>1</v>
      </c>
      <c r="V35" s="511">
        <v>0.5</v>
      </c>
      <c r="W35" s="511">
        <v>1</v>
      </c>
      <c r="X35" s="141">
        <f>SUM(L35:W35)</f>
        <v>9</v>
      </c>
      <c r="Y35" s="495"/>
      <c r="Z35" s="143">
        <f t="shared" si="2"/>
        <v>8.5</v>
      </c>
      <c r="AA35" s="495"/>
      <c r="AB35" s="144">
        <f t="shared" si="3"/>
        <v>0.5</v>
      </c>
      <c r="AC35" s="145"/>
    </row>
    <row r="36" spans="1:29" hidden="1">
      <c r="A36" s="146">
        <v>2053</v>
      </c>
      <c r="B36" s="329" t="s">
        <v>835</v>
      </c>
      <c r="C36" s="139" t="s">
        <v>216</v>
      </c>
      <c r="D36" s="139" t="s">
        <v>685</v>
      </c>
      <c r="E36" s="139" t="s">
        <v>685</v>
      </c>
      <c r="F36" s="147"/>
      <c r="G36" s="147"/>
      <c r="H36" s="330" t="s">
        <v>842</v>
      </c>
      <c r="I36" s="140">
        <v>43831</v>
      </c>
      <c r="J36" s="148">
        <v>44196</v>
      </c>
      <c r="K36" s="180"/>
      <c r="L36" s="337">
        <v>0.5</v>
      </c>
      <c r="M36" s="511">
        <v>1</v>
      </c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141">
        <f t="shared" ref="X36:X65" si="5">SUM(L36:W36)</f>
        <v>1.5</v>
      </c>
      <c r="Y36" s="142"/>
      <c r="Z36" s="143">
        <f t="shared" si="2"/>
        <v>1</v>
      </c>
      <c r="AA36" s="142" t="str">
        <f>IFERROR(GETPIVOTDATA("Somme de leftWork",iPMP_traitement_pointage!$A$3,"idResource",#REF!,"projectCode",H36),"")</f>
        <v/>
      </c>
      <c r="AB36" s="144">
        <f t="shared" si="3"/>
        <v>0.5</v>
      </c>
      <c r="AC36" s="145" t="str">
        <f>IFERROR(GETPIVOTDATA("Somme de realWork",iPMP_traitement_pointage!$A$3,"idResource",#REF!,"projectCode",H36),"")</f>
        <v/>
      </c>
    </row>
    <row r="37" spans="1:29" hidden="1">
      <c r="A37" s="146">
        <v>2083</v>
      </c>
      <c r="B37" s="329" t="s">
        <v>711</v>
      </c>
      <c r="C37" s="139" t="s">
        <v>216</v>
      </c>
      <c r="D37" s="139" t="s">
        <v>687</v>
      </c>
      <c r="E37" s="139" t="s">
        <v>687</v>
      </c>
      <c r="F37" s="147"/>
      <c r="G37" s="147" t="s">
        <v>694</v>
      </c>
      <c r="H37" s="330" t="s">
        <v>844</v>
      </c>
      <c r="I37" s="140">
        <v>43831</v>
      </c>
      <c r="J37" s="148">
        <v>44196</v>
      </c>
      <c r="K37" s="180">
        <f t="shared" ref="K37:K42" si="6">SUM(L37:W37)</f>
        <v>221.5</v>
      </c>
      <c r="L37" s="519">
        <v>20.5</v>
      </c>
      <c r="M37" s="511">
        <v>17</v>
      </c>
      <c r="N37" s="511">
        <v>22</v>
      </c>
      <c r="O37" s="511">
        <v>18</v>
      </c>
      <c r="P37" s="511">
        <v>18</v>
      </c>
      <c r="Q37" s="511">
        <v>18</v>
      </c>
      <c r="R37" s="511">
        <v>18</v>
      </c>
      <c r="S37" s="511">
        <v>18</v>
      </c>
      <c r="T37" s="511">
        <v>18</v>
      </c>
      <c r="U37" s="511">
        <v>18</v>
      </c>
      <c r="V37" s="511">
        <v>18</v>
      </c>
      <c r="W37" s="511">
        <v>18</v>
      </c>
      <c r="X37" s="141">
        <f t="shared" si="5"/>
        <v>221.5</v>
      </c>
      <c r="Y37" s="142"/>
      <c r="Z37" s="143">
        <f t="shared" si="2"/>
        <v>201</v>
      </c>
      <c r="AA37" s="142" t="str">
        <f>IFERROR(GETPIVOTDATA("Somme de leftWork",iPMP_traitement_pointage!$A$3,"idResource",#REF!,"projectCode",H37),"")</f>
        <v/>
      </c>
      <c r="AB37" s="144">
        <f t="shared" si="3"/>
        <v>20.5</v>
      </c>
      <c r="AC37" s="145" t="str">
        <f>IFERROR(GETPIVOTDATA("Somme de realWork",iPMP_traitement_pointage!$A$3,"idResource",#REF!,"projectCode",H37),"")</f>
        <v/>
      </c>
    </row>
    <row r="38" spans="1:29">
      <c r="A38" s="146">
        <v>2130</v>
      </c>
      <c r="B38" s="329" t="s">
        <v>712</v>
      </c>
      <c r="C38" s="139" t="s">
        <v>216</v>
      </c>
      <c r="D38" s="139" t="s">
        <v>686</v>
      </c>
      <c r="E38" s="139" t="s">
        <v>686</v>
      </c>
      <c r="F38" s="147"/>
      <c r="G38" s="147" t="s">
        <v>692</v>
      </c>
      <c r="H38" s="330" t="s">
        <v>843</v>
      </c>
      <c r="I38" s="140">
        <v>43831</v>
      </c>
      <c r="J38" s="148">
        <v>44196</v>
      </c>
      <c r="K38" s="180">
        <f t="shared" si="6"/>
        <v>217.5</v>
      </c>
      <c r="L38" s="337">
        <v>17.5</v>
      </c>
      <c r="M38" s="511">
        <v>20</v>
      </c>
      <c r="N38" s="511">
        <v>18</v>
      </c>
      <c r="O38" s="511">
        <v>18</v>
      </c>
      <c r="P38" s="511">
        <v>18</v>
      </c>
      <c r="Q38" s="511">
        <v>18</v>
      </c>
      <c r="R38" s="511">
        <v>18</v>
      </c>
      <c r="S38" s="511">
        <v>18</v>
      </c>
      <c r="T38" s="511">
        <v>18</v>
      </c>
      <c r="U38" s="511">
        <v>18</v>
      </c>
      <c r="V38" s="511">
        <v>18</v>
      </c>
      <c r="W38" s="511">
        <v>18</v>
      </c>
      <c r="X38" s="141">
        <f t="shared" si="5"/>
        <v>217.5</v>
      </c>
      <c r="Y38" s="142"/>
      <c r="Z38" s="143">
        <f t="shared" si="2"/>
        <v>200</v>
      </c>
      <c r="AA38" s="142" t="str">
        <f>IFERROR(GETPIVOTDATA("Somme de leftWork",iPMP_traitement_pointage!$A$3,"idResource",#REF!,"projectCode",H38),"")</f>
        <v/>
      </c>
      <c r="AB38" s="144">
        <f t="shared" si="3"/>
        <v>17.5</v>
      </c>
      <c r="AC38" s="145" t="str">
        <f>IFERROR(GETPIVOTDATA("Somme de realWork",iPMP_traitement_pointage!$A$3,"idResource",#REF!,"projectCode",H38),"")</f>
        <v/>
      </c>
    </row>
    <row r="39" spans="1:29" hidden="1">
      <c r="A39" s="146">
        <v>2444</v>
      </c>
      <c r="B39" s="329" t="s">
        <v>713</v>
      </c>
      <c r="C39" s="139" t="s">
        <v>216</v>
      </c>
      <c r="D39" s="139" t="s">
        <v>685</v>
      </c>
      <c r="E39" s="139" t="s">
        <v>685</v>
      </c>
      <c r="F39" s="147"/>
      <c r="G39" s="147" t="s">
        <v>693</v>
      </c>
      <c r="H39" s="330" t="s">
        <v>842</v>
      </c>
      <c r="I39" s="140">
        <v>43831</v>
      </c>
      <c r="J39" s="148">
        <v>44196</v>
      </c>
      <c r="K39" s="180">
        <f t="shared" si="6"/>
        <v>221</v>
      </c>
      <c r="L39" s="337">
        <v>21.5</v>
      </c>
      <c r="M39" s="511">
        <v>19.5</v>
      </c>
      <c r="N39" s="511">
        <v>18</v>
      </c>
      <c r="O39" s="511">
        <v>18</v>
      </c>
      <c r="P39" s="511">
        <v>18</v>
      </c>
      <c r="Q39" s="511">
        <v>18</v>
      </c>
      <c r="R39" s="511">
        <v>18</v>
      </c>
      <c r="S39" s="511">
        <v>18</v>
      </c>
      <c r="T39" s="511">
        <v>18</v>
      </c>
      <c r="U39" s="511">
        <v>18</v>
      </c>
      <c r="V39" s="511">
        <v>18</v>
      </c>
      <c r="W39" s="511">
        <v>18</v>
      </c>
      <c r="X39" s="141">
        <f t="shared" si="5"/>
        <v>221</v>
      </c>
      <c r="Y39" s="142"/>
      <c r="Z39" s="143">
        <f t="shared" si="2"/>
        <v>199.5</v>
      </c>
      <c r="AA39" s="142" t="str">
        <f>IFERROR(GETPIVOTDATA("Somme de leftWork",iPMP_traitement_pointage!$A$3,"idResource",#REF!,"projectCode",H39),"")</f>
        <v/>
      </c>
      <c r="AB39" s="144">
        <f t="shared" si="3"/>
        <v>21.5</v>
      </c>
      <c r="AC39" s="145" t="str">
        <f>IFERROR(GETPIVOTDATA("Somme de realWork",iPMP_traitement_pointage!$A$3,"idResource",#REF!,"projectCode",H39),"")</f>
        <v/>
      </c>
    </row>
    <row r="40" spans="1:29" hidden="1">
      <c r="A40" s="146">
        <v>1068</v>
      </c>
      <c r="B40" s="329" t="s">
        <v>714</v>
      </c>
      <c r="C40" s="139" t="s">
        <v>216</v>
      </c>
      <c r="D40" s="139" t="s">
        <v>685</v>
      </c>
      <c r="E40" s="139" t="s">
        <v>685</v>
      </c>
      <c r="F40" s="147"/>
      <c r="G40" s="147" t="s">
        <v>693</v>
      </c>
      <c r="H40" s="330" t="s">
        <v>842</v>
      </c>
      <c r="I40" s="140">
        <v>43831</v>
      </c>
      <c r="J40" s="148">
        <v>44196</v>
      </c>
      <c r="K40" s="180">
        <f t="shared" si="6"/>
        <v>208</v>
      </c>
      <c r="L40" s="337">
        <v>19</v>
      </c>
      <c r="M40" s="511">
        <v>9</v>
      </c>
      <c r="N40" s="511">
        <v>18</v>
      </c>
      <c r="O40" s="511">
        <v>18</v>
      </c>
      <c r="P40" s="511">
        <v>18</v>
      </c>
      <c r="Q40" s="511">
        <v>18</v>
      </c>
      <c r="R40" s="511">
        <v>18</v>
      </c>
      <c r="S40" s="511">
        <v>18</v>
      </c>
      <c r="T40" s="511">
        <v>18</v>
      </c>
      <c r="U40" s="511">
        <v>18</v>
      </c>
      <c r="V40" s="511">
        <v>18</v>
      </c>
      <c r="W40" s="511">
        <v>18</v>
      </c>
      <c r="X40" s="141">
        <f t="shared" si="5"/>
        <v>208</v>
      </c>
      <c r="Y40" s="142"/>
      <c r="Z40" s="143">
        <f t="shared" si="2"/>
        <v>189</v>
      </c>
      <c r="AA40" s="142" t="str">
        <f>IFERROR(GETPIVOTDATA("Somme de leftWork",iPMP_traitement_pointage!$A$3,"idResource",#REF!,"projectCode",H40),"")</f>
        <v/>
      </c>
      <c r="AB40" s="144">
        <f t="shared" si="3"/>
        <v>19</v>
      </c>
      <c r="AC40" s="145" t="str">
        <f>IFERROR(GETPIVOTDATA("Somme de realWork",iPMP_traitement_pointage!$A$3,"idResource",#REF!,"projectCode",H40),"")</f>
        <v/>
      </c>
    </row>
    <row r="41" spans="1:29" s="158" customFormat="1" hidden="1">
      <c r="A41" s="146">
        <v>2131</v>
      </c>
      <c r="B41" s="329" t="s">
        <v>715</v>
      </c>
      <c r="C41" s="139" t="s">
        <v>216</v>
      </c>
      <c r="D41" s="139" t="s">
        <v>687</v>
      </c>
      <c r="E41" s="139" t="s">
        <v>687</v>
      </c>
      <c r="F41" s="147"/>
      <c r="G41" s="147" t="s">
        <v>694</v>
      </c>
      <c r="H41" s="330" t="s">
        <v>844</v>
      </c>
      <c r="I41" s="140">
        <v>43831</v>
      </c>
      <c r="J41" s="148">
        <v>44196</v>
      </c>
      <c r="K41" s="180">
        <f t="shared" si="6"/>
        <v>206</v>
      </c>
      <c r="L41" s="337">
        <v>16.5</v>
      </c>
      <c r="M41" s="511">
        <v>12.5</v>
      </c>
      <c r="N41" s="511">
        <v>15</v>
      </c>
      <c r="O41" s="511">
        <v>18</v>
      </c>
      <c r="P41" s="511">
        <v>18</v>
      </c>
      <c r="Q41" s="511">
        <v>18</v>
      </c>
      <c r="R41" s="511">
        <v>18</v>
      </c>
      <c r="S41" s="511">
        <v>18</v>
      </c>
      <c r="T41" s="511">
        <v>18</v>
      </c>
      <c r="U41" s="511">
        <v>18</v>
      </c>
      <c r="V41" s="511">
        <v>18</v>
      </c>
      <c r="W41" s="511">
        <v>18</v>
      </c>
      <c r="X41" s="141">
        <f t="shared" si="5"/>
        <v>206</v>
      </c>
      <c r="Y41" s="374"/>
      <c r="Z41" s="143">
        <f t="shared" si="2"/>
        <v>189.5</v>
      </c>
      <c r="AA41" s="142" t="str">
        <f>IFERROR(GETPIVOTDATA("Somme de leftWork",iPMP_traitement_pointage!$A$3,"idResource",#REF!,"projectCode",H41),"")</f>
        <v/>
      </c>
      <c r="AB41" s="144">
        <f t="shared" si="3"/>
        <v>16.5</v>
      </c>
      <c r="AC41" s="145" t="str">
        <f>IFERROR(GETPIVOTDATA("Somme de realWork",iPMP_traitement_pointage!$A$3,"idResource",#REF!,"projectCode",H41),"")</f>
        <v/>
      </c>
    </row>
    <row r="42" spans="1:29" hidden="1">
      <c r="A42" s="146">
        <v>2133</v>
      </c>
      <c r="B42" s="329" t="s">
        <v>716</v>
      </c>
      <c r="C42" s="139" t="s">
        <v>216</v>
      </c>
      <c r="D42" s="139" t="s">
        <v>687</v>
      </c>
      <c r="E42" s="139" t="s">
        <v>687</v>
      </c>
      <c r="F42" s="147"/>
      <c r="G42" s="147" t="s">
        <v>694</v>
      </c>
      <c r="H42" s="330" t="s">
        <v>844</v>
      </c>
      <c r="I42" s="140">
        <v>43831</v>
      </c>
      <c r="J42" s="148">
        <v>44196</v>
      </c>
      <c r="K42" s="180">
        <f t="shared" si="6"/>
        <v>221.5</v>
      </c>
      <c r="L42" s="337">
        <v>17.5</v>
      </c>
      <c r="M42" s="511">
        <v>20</v>
      </c>
      <c r="N42" s="511">
        <v>22</v>
      </c>
      <c r="O42" s="511">
        <v>18</v>
      </c>
      <c r="P42" s="511">
        <v>18</v>
      </c>
      <c r="Q42" s="511">
        <v>18</v>
      </c>
      <c r="R42" s="511">
        <v>18</v>
      </c>
      <c r="S42" s="511">
        <v>18</v>
      </c>
      <c r="T42" s="511">
        <v>18</v>
      </c>
      <c r="U42" s="511">
        <v>18</v>
      </c>
      <c r="V42" s="511">
        <v>18</v>
      </c>
      <c r="W42" s="511">
        <v>18</v>
      </c>
      <c r="X42" s="141">
        <f t="shared" si="5"/>
        <v>221.5</v>
      </c>
      <c r="Y42" s="142"/>
      <c r="Z42" s="143">
        <f t="shared" si="2"/>
        <v>204</v>
      </c>
      <c r="AA42" s="142" t="str">
        <f>IFERROR(GETPIVOTDATA("Somme de leftWork",iPMP_traitement_pointage!$A$3,"idResource",#REF!,"projectCode",H42),"")</f>
        <v/>
      </c>
      <c r="AB42" s="144">
        <f t="shared" si="3"/>
        <v>17.5</v>
      </c>
      <c r="AC42" s="145" t="str">
        <f>IFERROR(GETPIVOTDATA("Somme de realWork",iPMP_traitement_pointage!$A$3,"idResource",#REF!,"projectCode",H42),"")</f>
        <v/>
      </c>
    </row>
    <row r="43" spans="1:29" hidden="1">
      <c r="A43" s="146">
        <v>2997</v>
      </c>
      <c r="B43" s="329" t="s">
        <v>846</v>
      </c>
      <c r="C43" s="139" t="s">
        <v>216</v>
      </c>
      <c r="D43" s="139" t="s">
        <v>687</v>
      </c>
      <c r="E43" s="139" t="s">
        <v>687</v>
      </c>
      <c r="F43" s="147"/>
      <c r="G43" s="147" t="s">
        <v>694</v>
      </c>
      <c r="H43" s="330" t="s">
        <v>844</v>
      </c>
      <c r="I43" s="140">
        <v>43831</v>
      </c>
      <c r="J43" s="148">
        <v>44196</v>
      </c>
      <c r="K43" s="180"/>
      <c r="L43" s="337">
        <v>16</v>
      </c>
      <c r="M43" s="511">
        <v>19</v>
      </c>
      <c r="N43" s="511">
        <v>22</v>
      </c>
      <c r="O43" s="511">
        <v>18</v>
      </c>
      <c r="P43" s="511">
        <v>18</v>
      </c>
      <c r="Q43" s="511">
        <v>18</v>
      </c>
      <c r="R43" s="511">
        <v>18</v>
      </c>
      <c r="S43" s="511">
        <v>18</v>
      </c>
      <c r="T43" s="511">
        <v>18</v>
      </c>
      <c r="U43" s="511">
        <v>18</v>
      </c>
      <c r="V43" s="511">
        <v>18</v>
      </c>
      <c r="W43" s="511">
        <v>18</v>
      </c>
      <c r="X43" s="141">
        <f t="shared" si="5"/>
        <v>219</v>
      </c>
      <c r="Y43" s="142"/>
      <c r="Z43" s="143">
        <f t="shared" si="2"/>
        <v>203</v>
      </c>
      <c r="AA43" s="142" t="str">
        <f>IFERROR(GETPIVOTDATA("Somme de leftWork",iPMP_traitement_pointage!$A$3,"idResource",#REF!,"projectCode",H43),"")</f>
        <v/>
      </c>
      <c r="AB43" s="144">
        <f t="shared" si="3"/>
        <v>16</v>
      </c>
      <c r="AC43" s="145" t="str">
        <f>IFERROR(GETPIVOTDATA("Somme de realWork",iPMP_traitement_pointage!$A$3,"idResource",#REF!,"projectCode",H43),"")</f>
        <v/>
      </c>
    </row>
    <row r="44" spans="1:29" s="493" customFormat="1">
      <c r="A44" s="146">
        <v>1639</v>
      </c>
      <c r="B44" s="494" t="s">
        <v>717</v>
      </c>
      <c r="C44" s="139" t="s">
        <v>216</v>
      </c>
      <c r="D44" s="139" t="s">
        <v>686</v>
      </c>
      <c r="E44" s="139" t="s">
        <v>686</v>
      </c>
      <c r="F44" s="147"/>
      <c r="G44" s="147" t="s">
        <v>692</v>
      </c>
      <c r="H44" s="330" t="s">
        <v>843</v>
      </c>
      <c r="I44" s="140">
        <v>43831</v>
      </c>
      <c r="J44" s="148">
        <v>44196</v>
      </c>
      <c r="K44" s="180">
        <f>SUM(L44:W44)</f>
        <v>214.5</v>
      </c>
      <c r="L44" s="337">
        <v>21</v>
      </c>
      <c r="M44" s="511">
        <v>13.5</v>
      </c>
      <c r="N44" s="511">
        <v>18</v>
      </c>
      <c r="O44" s="511">
        <v>18</v>
      </c>
      <c r="P44" s="511">
        <v>18</v>
      </c>
      <c r="Q44" s="511">
        <v>18</v>
      </c>
      <c r="R44" s="511">
        <v>18</v>
      </c>
      <c r="S44" s="511">
        <v>18</v>
      </c>
      <c r="T44" s="511">
        <v>18</v>
      </c>
      <c r="U44" s="511">
        <v>18</v>
      </c>
      <c r="V44" s="511">
        <v>18</v>
      </c>
      <c r="W44" s="511">
        <v>18</v>
      </c>
      <c r="X44" s="141">
        <f t="shared" si="5"/>
        <v>214.5</v>
      </c>
      <c r="Y44" s="495"/>
      <c r="Z44" s="143">
        <f t="shared" si="2"/>
        <v>193.5</v>
      </c>
      <c r="AA44" s="495"/>
      <c r="AB44" s="144">
        <f t="shared" si="3"/>
        <v>21</v>
      </c>
      <c r="AC44" s="145"/>
    </row>
    <row r="45" spans="1:29" hidden="1">
      <c r="A45" s="146">
        <v>2077</v>
      </c>
      <c r="B45" s="329" t="s">
        <v>836</v>
      </c>
      <c r="C45" s="139" t="s">
        <v>216</v>
      </c>
      <c r="D45" s="139" t="s">
        <v>685</v>
      </c>
      <c r="E45" s="139" t="s">
        <v>685</v>
      </c>
      <c r="F45" s="147"/>
      <c r="G45" s="147"/>
      <c r="H45" s="330" t="s">
        <v>842</v>
      </c>
      <c r="I45" s="140">
        <v>43831</v>
      </c>
      <c r="J45" s="148">
        <v>44196</v>
      </c>
      <c r="K45" s="180"/>
      <c r="L45" s="337"/>
      <c r="M45" s="511">
        <v>0.2</v>
      </c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141">
        <f t="shared" si="5"/>
        <v>0.2</v>
      </c>
      <c r="Y45" s="142"/>
      <c r="Z45" s="143">
        <f t="shared" si="2"/>
        <v>0.2</v>
      </c>
      <c r="AA45" s="142" t="str">
        <f>IFERROR(GETPIVOTDATA("Somme de leftWork",iPMP_traitement_pointage!$A$3,"idResource",#REF!,"projectCode",H45),"")</f>
        <v/>
      </c>
      <c r="AB45" s="144">
        <f t="shared" si="3"/>
        <v>0</v>
      </c>
      <c r="AC45" s="145" t="str">
        <f>IFERROR(GETPIVOTDATA("Somme de realWork",iPMP_traitement_pointage!$A$3,"idResource",#REF!,"projectCode",H45),"")</f>
        <v/>
      </c>
    </row>
    <row r="46" spans="1:29" hidden="1">
      <c r="A46" s="146">
        <v>666</v>
      </c>
      <c r="B46" s="329" t="s">
        <v>718</v>
      </c>
      <c r="C46" s="139" t="s">
        <v>216</v>
      </c>
      <c r="D46" s="139" t="s">
        <v>685</v>
      </c>
      <c r="E46" s="139" t="s">
        <v>685</v>
      </c>
      <c r="F46" s="147"/>
      <c r="G46" s="147"/>
      <c r="H46" s="330" t="s">
        <v>842</v>
      </c>
      <c r="I46" s="140">
        <v>43831</v>
      </c>
      <c r="J46" s="148">
        <v>44196</v>
      </c>
      <c r="K46" s="180">
        <f>SUM(L46:W46)</f>
        <v>7</v>
      </c>
      <c r="L46" s="337">
        <v>1.5</v>
      </c>
      <c r="M46" s="511">
        <v>0.5</v>
      </c>
      <c r="N46" s="511">
        <v>0.5</v>
      </c>
      <c r="O46" s="511">
        <v>0.5</v>
      </c>
      <c r="P46" s="511">
        <v>0.5</v>
      </c>
      <c r="Q46" s="511">
        <v>0.5</v>
      </c>
      <c r="R46" s="511">
        <v>0.5</v>
      </c>
      <c r="S46" s="511">
        <v>0.5</v>
      </c>
      <c r="T46" s="511">
        <v>0.5</v>
      </c>
      <c r="U46" s="511">
        <v>0.5</v>
      </c>
      <c r="V46" s="511">
        <v>0.5</v>
      </c>
      <c r="W46" s="511">
        <v>0.5</v>
      </c>
      <c r="X46" s="141">
        <f t="shared" si="5"/>
        <v>7</v>
      </c>
      <c r="Y46" s="142"/>
      <c r="Z46" s="143">
        <f t="shared" si="2"/>
        <v>5.5</v>
      </c>
      <c r="AA46" s="142" t="str">
        <f>IFERROR(GETPIVOTDATA("Somme de leftWork",iPMP_traitement_pointage!$A$3,"idResource",#REF!,"projectCode",H46),"")</f>
        <v/>
      </c>
      <c r="AB46" s="144">
        <f t="shared" si="3"/>
        <v>1.5</v>
      </c>
      <c r="AC46" s="145" t="str">
        <f>IFERROR(GETPIVOTDATA("Somme de realWork",iPMP_traitement_pointage!$A$3,"idResource",#REF!,"projectCode",H46),"")</f>
        <v/>
      </c>
    </row>
    <row r="47" spans="1:29" hidden="1">
      <c r="A47" s="146">
        <v>838</v>
      </c>
      <c r="B47" s="329" t="s">
        <v>719</v>
      </c>
      <c r="C47" s="139" t="s">
        <v>216</v>
      </c>
      <c r="D47" s="139" t="s">
        <v>685</v>
      </c>
      <c r="E47" s="139" t="s">
        <v>685</v>
      </c>
      <c r="F47" s="147"/>
      <c r="G47" s="147" t="s">
        <v>693</v>
      </c>
      <c r="H47" s="330" t="s">
        <v>842</v>
      </c>
      <c r="I47" s="140">
        <v>43831</v>
      </c>
      <c r="J47" s="148">
        <v>44196</v>
      </c>
      <c r="K47" s="180">
        <f>SUM(L47:W47)</f>
        <v>217.5</v>
      </c>
      <c r="L47" s="337">
        <v>19.5</v>
      </c>
      <c r="M47" s="511">
        <v>18</v>
      </c>
      <c r="N47" s="511">
        <v>18</v>
      </c>
      <c r="O47" s="511">
        <v>18</v>
      </c>
      <c r="P47" s="511">
        <v>18</v>
      </c>
      <c r="Q47" s="511">
        <v>18</v>
      </c>
      <c r="R47" s="511">
        <v>18</v>
      </c>
      <c r="S47" s="511">
        <v>18</v>
      </c>
      <c r="T47" s="511">
        <v>18</v>
      </c>
      <c r="U47" s="511">
        <v>18</v>
      </c>
      <c r="V47" s="511">
        <v>18</v>
      </c>
      <c r="W47" s="511">
        <v>18</v>
      </c>
      <c r="X47" s="141">
        <f t="shared" si="5"/>
        <v>217.5</v>
      </c>
      <c r="Y47" s="142"/>
      <c r="Z47" s="143">
        <f t="shared" si="2"/>
        <v>198</v>
      </c>
      <c r="AA47" s="142" t="str">
        <f>IFERROR(GETPIVOTDATA("Somme de leftWork",iPMP_traitement_pointage!$A$3,"idResource",#REF!,"projectCode",H47),"")</f>
        <v/>
      </c>
      <c r="AB47" s="144">
        <f t="shared" si="3"/>
        <v>19.5</v>
      </c>
      <c r="AC47" s="145" t="str">
        <f>IFERROR(GETPIVOTDATA("Somme de realWork",iPMP_traitement_pointage!$A$3,"idResource",#REF!,"projectCode",H47),"")</f>
        <v/>
      </c>
    </row>
    <row r="48" spans="1:29" s="158" customFormat="1" hidden="1">
      <c r="A48" s="146">
        <v>2140</v>
      </c>
      <c r="B48" s="329" t="s">
        <v>720</v>
      </c>
      <c r="C48" s="139" t="s">
        <v>216</v>
      </c>
      <c r="D48" s="139" t="s">
        <v>685</v>
      </c>
      <c r="E48" s="139" t="s">
        <v>688</v>
      </c>
      <c r="F48" s="391"/>
      <c r="G48" s="147" t="s">
        <v>693</v>
      </c>
      <c r="H48" s="330" t="s">
        <v>842</v>
      </c>
      <c r="I48" s="140">
        <v>43831</v>
      </c>
      <c r="J48" s="148">
        <v>44196</v>
      </c>
      <c r="K48" s="180">
        <f>SUM(L48:W48)</f>
        <v>218.5</v>
      </c>
      <c r="L48" s="337">
        <v>18.5</v>
      </c>
      <c r="M48" s="511">
        <v>20</v>
      </c>
      <c r="N48" s="511">
        <v>18</v>
      </c>
      <c r="O48" s="511">
        <v>18</v>
      </c>
      <c r="P48" s="511">
        <v>18</v>
      </c>
      <c r="Q48" s="511">
        <v>18</v>
      </c>
      <c r="R48" s="511">
        <v>18</v>
      </c>
      <c r="S48" s="511">
        <v>18</v>
      </c>
      <c r="T48" s="511">
        <v>18</v>
      </c>
      <c r="U48" s="511">
        <v>18</v>
      </c>
      <c r="V48" s="511">
        <v>18</v>
      </c>
      <c r="W48" s="511">
        <v>18</v>
      </c>
      <c r="X48" s="141">
        <f t="shared" si="5"/>
        <v>218.5</v>
      </c>
      <c r="Y48" s="392"/>
      <c r="Z48" s="143">
        <f t="shared" si="2"/>
        <v>200</v>
      </c>
      <c r="AA48" s="392"/>
      <c r="AB48" s="144">
        <f t="shared" si="3"/>
        <v>18.5</v>
      </c>
      <c r="AC48" s="145"/>
    </row>
    <row r="49" spans="1:29" s="493" customFormat="1" hidden="1">
      <c r="A49" s="146">
        <v>2132</v>
      </c>
      <c r="B49" s="494" t="s">
        <v>721</v>
      </c>
      <c r="C49" s="139" t="s">
        <v>216</v>
      </c>
      <c r="D49" s="139" t="s">
        <v>685</v>
      </c>
      <c r="E49" s="139" t="s">
        <v>685</v>
      </c>
      <c r="F49" s="147"/>
      <c r="G49" s="147" t="s">
        <v>693</v>
      </c>
      <c r="H49" s="330" t="s">
        <v>842</v>
      </c>
      <c r="I49" s="140">
        <v>43831</v>
      </c>
      <c r="J49" s="148">
        <v>44196</v>
      </c>
      <c r="K49" s="180">
        <f>SUM(L49:W49)</f>
        <v>220.5</v>
      </c>
      <c r="L49" s="337">
        <v>20.5</v>
      </c>
      <c r="M49" s="511">
        <v>20</v>
      </c>
      <c r="N49" s="511">
        <v>18</v>
      </c>
      <c r="O49" s="511">
        <v>18</v>
      </c>
      <c r="P49" s="511">
        <v>18</v>
      </c>
      <c r="Q49" s="511">
        <v>18</v>
      </c>
      <c r="R49" s="511">
        <v>18</v>
      </c>
      <c r="S49" s="511">
        <v>18</v>
      </c>
      <c r="T49" s="511">
        <v>18</v>
      </c>
      <c r="U49" s="511">
        <v>18</v>
      </c>
      <c r="V49" s="511">
        <v>18</v>
      </c>
      <c r="W49" s="511">
        <v>18</v>
      </c>
      <c r="X49" s="141">
        <f>SUM(L49:W49)</f>
        <v>220.5</v>
      </c>
      <c r="Y49" s="495"/>
      <c r="Z49" s="143">
        <f>SUMIF($L$15:$W$15,0,L49:W49)</f>
        <v>200</v>
      </c>
      <c r="AA49" s="495"/>
      <c r="AB49" s="144">
        <f>SUMIF($L$15:$W$15,1,L49:W49)</f>
        <v>20.5</v>
      </c>
      <c r="AC49" s="145"/>
    </row>
    <row r="50" spans="1:29" s="158" customFormat="1" hidden="1">
      <c r="A50" s="146">
        <v>2749</v>
      </c>
      <c r="B50" s="329" t="s">
        <v>805</v>
      </c>
      <c r="C50" s="139" t="s">
        <v>216</v>
      </c>
      <c r="D50" s="139" t="s">
        <v>687</v>
      </c>
      <c r="E50" s="139" t="s">
        <v>687</v>
      </c>
      <c r="F50" s="359"/>
      <c r="G50" s="147" t="s">
        <v>694</v>
      </c>
      <c r="H50" s="330" t="s">
        <v>844</v>
      </c>
      <c r="I50" s="140">
        <v>43831</v>
      </c>
      <c r="J50" s="148">
        <v>44196</v>
      </c>
      <c r="K50" s="180"/>
      <c r="L50" s="337">
        <v>19</v>
      </c>
      <c r="M50" s="511">
        <v>19.5</v>
      </c>
      <c r="N50" s="511">
        <v>22</v>
      </c>
      <c r="O50" s="511">
        <v>18</v>
      </c>
      <c r="P50" s="511">
        <v>18</v>
      </c>
      <c r="Q50" s="511">
        <v>18</v>
      </c>
      <c r="R50" s="511">
        <v>18</v>
      </c>
      <c r="S50" s="511">
        <v>18</v>
      </c>
      <c r="T50" s="511">
        <v>18</v>
      </c>
      <c r="U50" s="511">
        <v>18</v>
      </c>
      <c r="V50" s="511">
        <v>18</v>
      </c>
      <c r="W50" s="511">
        <v>18</v>
      </c>
      <c r="X50" s="141">
        <f t="shared" si="5"/>
        <v>222.5</v>
      </c>
      <c r="Y50" s="360"/>
      <c r="Z50" s="143">
        <f t="shared" si="2"/>
        <v>203.5</v>
      </c>
      <c r="AA50" s="360"/>
      <c r="AB50" s="144">
        <f t="shared" ref="AB50:AB65" si="7">SUMIF($L$15:$W$15,1,L50:W50)</f>
        <v>19</v>
      </c>
      <c r="AC50" s="145"/>
    </row>
    <row r="51" spans="1:29" s="158" customFormat="1" hidden="1">
      <c r="A51" s="146">
        <v>3167</v>
      </c>
      <c r="B51" s="478" t="s">
        <v>834</v>
      </c>
      <c r="C51" s="139" t="s">
        <v>216</v>
      </c>
      <c r="D51" s="139" t="s">
        <v>685</v>
      </c>
      <c r="E51" s="139" t="s">
        <v>685</v>
      </c>
      <c r="F51" s="147"/>
      <c r="G51" s="147" t="s">
        <v>693</v>
      </c>
      <c r="H51" s="330" t="s">
        <v>842</v>
      </c>
      <c r="I51" s="140">
        <v>43831</v>
      </c>
      <c r="J51" s="148">
        <v>44196</v>
      </c>
      <c r="K51" s="180"/>
      <c r="L51" s="337">
        <v>17</v>
      </c>
      <c r="M51" s="511">
        <v>20</v>
      </c>
      <c r="N51" s="511">
        <v>18</v>
      </c>
      <c r="O51" s="511">
        <v>18</v>
      </c>
      <c r="P51" s="511">
        <v>18</v>
      </c>
      <c r="Q51" s="511">
        <v>18</v>
      </c>
      <c r="R51" s="511">
        <v>18</v>
      </c>
      <c r="S51" s="511">
        <v>18</v>
      </c>
      <c r="T51" s="511">
        <v>18</v>
      </c>
      <c r="U51" s="511">
        <v>18</v>
      </c>
      <c r="V51" s="511">
        <v>18</v>
      </c>
      <c r="W51" s="511">
        <v>18</v>
      </c>
      <c r="X51" s="141">
        <f t="shared" si="5"/>
        <v>217</v>
      </c>
      <c r="Y51" s="360"/>
      <c r="Z51" s="143">
        <f t="shared" si="2"/>
        <v>200</v>
      </c>
      <c r="AA51" s="360"/>
      <c r="AB51" s="144">
        <f t="shared" si="7"/>
        <v>17</v>
      </c>
      <c r="AC51" s="145"/>
    </row>
    <row r="52" spans="1:29" s="158" customFormat="1" hidden="1">
      <c r="A52" s="146">
        <v>1702</v>
      </c>
      <c r="B52" s="329" t="s">
        <v>722</v>
      </c>
      <c r="C52" s="139" t="s">
        <v>216</v>
      </c>
      <c r="D52" s="139" t="s">
        <v>687</v>
      </c>
      <c r="E52" s="139" t="s">
        <v>687</v>
      </c>
      <c r="F52" s="329"/>
      <c r="G52" s="147" t="s">
        <v>694</v>
      </c>
      <c r="H52" s="330" t="s">
        <v>844</v>
      </c>
      <c r="I52" s="140">
        <v>43831</v>
      </c>
      <c r="J52" s="148">
        <v>44196</v>
      </c>
      <c r="K52" s="180">
        <f>SUM(L52:W52)</f>
        <v>1</v>
      </c>
      <c r="L52" s="337">
        <v>1</v>
      </c>
      <c r="M52" s="511"/>
      <c r="N52" s="511"/>
      <c r="O52" s="511"/>
      <c r="P52" s="511"/>
      <c r="Q52" s="511"/>
      <c r="R52" s="511"/>
      <c r="S52" s="511"/>
      <c r="T52" s="511"/>
      <c r="U52" s="511"/>
      <c r="V52" s="511"/>
      <c r="W52" s="511"/>
      <c r="X52" s="141">
        <f t="shared" si="5"/>
        <v>1</v>
      </c>
      <c r="Y52" s="142"/>
      <c r="Z52" s="143">
        <f t="shared" si="2"/>
        <v>0</v>
      </c>
      <c r="AA52" s="142" t="str">
        <f>IFERROR(GETPIVOTDATA("Somme de leftWork",iPMP_traitement_pointage!$A$3,"idResource",#REF!,"projectCode",H52),"")</f>
        <v/>
      </c>
      <c r="AB52" s="144">
        <f t="shared" si="7"/>
        <v>1</v>
      </c>
      <c r="AC52" s="145"/>
    </row>
    <row r="53" spans="1:29" s="158" customFormat="1" hidden="1">
      <c r="A53" s="146">
        <v>3139</v>
      </c>
      <c r="B53" s="329" t="s">
        <v>817</v>
      </c>
      <c r="C53" s="139" t="s">
        <v>216</v>
      </c>
      <c r="D53" s="139" t="s">
        <v>685</v>
      </c>
      <c r="E53" s="139" t="s">
        <v>685</v>
      </c>
      <c r="F53" s="147"/>
      <c r="G53" s="147" t="s">
        <v>693</v>
      </c>
      <c r="H53" s="330" t="s">
        <v>842</v>
      </c>
      <c r="I53" s="140">
        <v>43831</v>
      </c>
      <c r="J53" s="148">
        <v>44196</v>
      </c>
      <c r="K53" s="180"/>
      <c r="L53" s="337">
        <v>17</v>
      </c>
      <c r="M53" s="511">
        <v>20</v>
      </c>
      <c r="N53" s="511">
        <v>18</v>
      </c>
      <c r="O53" s="511">
        <v>18</v>
      </c>
      <c r="P53" s="511">
        <v>18</v>
      </c>
      <c r="Q53" s="511">
        <v>18</v>
      </c>
      <c r="R53" s="511">
        <v>18</v>
      </c>
      <c r="S53" s="511">
        <v>18</v>
      </c>
      <c r="T53" s="511">
        <v>18</v>
      </c>
      <c r="U53" s="511">
        <v>18</v>
      </c>
      <c r="V53" s="511">
        <v>18</v>
      </c>
      <c r="W53" s="511">
        <v>18</v>
      </c>
      <c r="X53" s="141">
        <f t="shared" si="5"/>
        <v>217</v>
      </c>
      <c r="Y53" s="142"/>
      <c r="Z53" s="143">
        <f t="shared" si="2"/>
        <v>200</v>
      </c>
      <c r="AA53" s="142" t="str">
        <f>IFERROR(GETPIVOTDATA("Somme de leftWork",iPMP_traitement_pointage!$A$3,"idResource",#REF!,"projectCode",H53),"")</f>
        <v/>
      </c>
      <c r="AB53" s="144">
        <f t="shared" si="7"/>
        <v>17</v>
      </c>
      <c r="AC53" s="145" t="str">
        <f>IFERROR(GETPIVOTDATA("Somme de realWork",iPMP_traitement_pointage!$A$3,"idResource",#REF!,"projectCode",H53),"")</f>
        <v/>
      </c>
    </row>
    <row r="54" spans="1:29" s="158" customFormat="1">
      <c r="A54" s="146">
        <v>214</v>
      </c>
      <c r="B54" s="329" t="s">
        <v>756</v>
      </c>
      <c r="C54" s="139" t="s">
        <v>216</v>
      </c>
      <c r="D54" s="139" t="s">
        <v>686</v>
      </c>
      <c r="E54" s="139" t="s">
        <v>686</v>
      </c>
      <c r="F54" s="147"/>
      <c r="G54" s="147" t="s">
        <v>692</v>
      </c>
      <c r="H54" s="330" t="s">
        <v>843</v>
      </c>
      <c r="I54" s="140">
        <v>43831</v>
      </c>
      <c r="J54" s="148">
        <v>44196</v>
      </c>
      <c r="K54" s="180">
        <f>SUM(L54:W54)</f>
        <v>107</v>
      </c>
      <c r="L54" s="337">
        <v>10</v>
      </c>
      <c r="M54" s="511">
        <v>7</v>
      </c>
      <c r="N54" s="511">
        <v>9</v>
      </c>
      <c r="O54" s="511">
        <v>9</v>
      </c>
      <c r="P54" s="511">
        <v>9</v>
      </c>
      <c r="Q54" s="511">
        <v>9</v>
      </c>
      <c r="R54" s="511">
        <v>9</v>
      </c>
      <c r="S54" s="511">
        <v>9</v>
      </c>
      <c r="T54" s="511">
        <v>9</v>
      </c>
      <c r="U54" s="511">
        <v>9</v>
      </c>
      <c r="V54" s="511">
        <v>9</v>
      </c>
      <c r="W54" s="511">
        <v>9</v>
      </c>
      <c r="X54" s="141">
        <f t="shared" si="5"/>
        <v>107</v>
      </c>
      <c r="Y54" s="142"/>
      <c r="Z54" s="143">
        <f t="shared" si="2"/>
        <v>97</v>
      </c>
      <c r="AA54" s="386"/>
      <c r="AB54" s="144">
        <f t="shared" si="7"/>
        <v>10</v>
      </c>
      <c r="AC54" s="145"/>
    </row>
    <row r="55" spans="1:29" s="158" customFormat="1" hidden="1">
      <c r="A55" s="146">
        <v>1462</v>
      </c>
      <c r="B55" s="329" t="s">
        <v>723</v>
      </c>
      <c r="C55" s="139" t="s">
        <v>216</v>
      </c>
      <c r="D55" s="139" t="s">
        <v>685</v>
      </c>
      <c r="E55" s="139" t="s">
        <v>685</v>
      </c>
      <c r="F55" s="147"/>
      <c r="G55" s="147" t="s">
        <v>693</v>
      </c>
      <c r="H55" s="330" t="s">
        <v>842</v>
      </c>
      <c r="I55" s="140">
        <v>43831</v>
      </c>
      <c r="J55" s="148">
        <v>44196</v>
      </c>
      <c r="K55" s="180">
        <f>SUM(L55:W55)</f>
        <v>212.5</v>
      </c>
      <c r="L55" s="337">
        <v>18.5</v>
      </c>
      <c r="M55" s="511">
        <v>14</v>
      </c>
      <c r="N55" s="511">
        <v>18</v>
      </c>
      <c r="O55" s="511">
        <v>18</v>
      </c>
      <c r="P55" s="511">
        <v>18</v>
      </c>
      <c r="Q55" s="511">
        <v>18</v>
      </c>
      <c r="R55" s="511">
        <v>18</v>
      </c>
      <c r="S55" s="511">
        <v>18</v>
      </c>
      <c r="T55" s="511">
        <v>18</v>
      </c>
      <c r="U55" s="511">
        <v>18</v>
      </c>
      <c r="V55" s="511">
        <v>18</v>
      </c>
      <c r="W55" s="511">
        <v>18</v>
      </c>
      <c r="X55" s="141">
        <f t="shared" si="5"/>
        <v>212.5</v>
      </c>
      <c r="Y55" s="338"/>
      <c r="Z55" s="143">
        <f t="shared" si="2"/>
        <v>194</v>
      </c>
      <c r="AA55" s="142" t="str">
        <f>IFERROR(GETPIVOTDATA("Somme de leftWork",iPMP_traitement_pointage!$A$3,"idResource",#REF!,"projectCode",H55),"")</f>
        <v/>
      </c>
      <c r="AB55" s="144">
        <f t="shared" si="7"/>
        <v>18.5</v>
      </c>
      <c r="AC55" s="145" t="str">
        <f>IFERROR(GETPIVOTDATA("Somme de realWork",iPMP_traitement_pointage!$A$3,"idResource",#REF!,"projectCode",H55),"")</f>
        <v/>
      </c>
    </row>
    <row r="56" spans="1:29" hidden="1">
      <c r="A56" s="146">
        <v>2018</v>
      </c>
      <c r="B56" s="147" t="s">
        <v>787</v>
      </c>
      <c r="C56" s="139" t="s">
        <v>216</v>
      </c>
      <c r="D56" s="139" t="s">
        <v>685</v>
      </c>
      <c r="E56" s="139" t="s">
        <v>685</v>
      </c>
      <c r="F56" s="147"/>
      <c r="G56" s="147" t="s">
        <v>693</v>
      </c>
      <c r="H56" s="330" t="s">
        <v>842</v>
      </c>
      <c r="I56" s="140">
        <v>43831</v>
      </c>
      <c r="J56" s="148">
        <v>44196</v>
      </c>
      <c r="K56" s="180"/>
      <c r="L56" s="337">
        <v>19.5</v>
      </c>
      <c r="M56" s="511">
        <v>14</v>
      </c>
      <c r="N56" s="511">
        <v>18</v>
      </c>
      <c r="O56" s="511">
        <v>18</v>
      </c>
      <c r="P56" s="511">
        <v>18</v>
      </c>
      <c r="Q56" s="511">
        <v>18</v>
      </c>
      <c r="R56" s="511">
        <v>18</v>
      </c>
      <c r="S56" s="511">
        <v>18</v>
      </c>
      <c r="T56" s="511">
        <v>18</v>
      </c>
      <c r="U56" s="511">
        <v>18</v>
      </c>
      <c r="V56" s="511">
        <v>18</v>
      </c>
      <c r="W56" s="511">
        <v>18</v>
      </c>
      <c r="X56" s="141">
        <f t="shared" si="5"/>
        <v>213.5</v>
      </c>
      <c r="Y56" s="142"/>
      <c r="Z56" s="143">
        <f t="shared" si="2"/>
        <v>194</v>
      </c>
      <c r="AA56" s="142" t="str">
        <f>IFERROR(GETPIVOTDATA("Somme de leftWork",iPMP_traitement_pointage!$A$3,"idResource",#REF!,"projectCode",H56),"")</f>
        <v/>
      </c>
      <c r="AB56" s="144">
        <f t="shared" si="7"/>
        <v>19.5</v>
      </c>
      <c r="AC56" s="145" t="str">
        <f>IFERROR(GETPIVOTDATA("Somme de realWork",iPMP_traitement_pointage!$A$3,"idResource",#REF!,"projectCode",H56),"")</f>
        <v/>
      </c>
    </row>
    <row r="57" spans="1:29" s="493" customFormat="1" hidden="1">
      <c r="A57" s="146">
        <v>1522</v>
      </c>
      <c r="B57" s="505" t="s">
        <v>724</v>
      </c>
      <c r="C57" s="139" t="s">
        <v>216</v>
      </c>
      <c r="D57" s="341" t="s">
        <v>685</v>
      </c>
      <c r="E57" s="139" t="s">
        <v>685</v>
      </c>
      <c r="F57" s="505"/>
      <c r="G57" s="505" t="s">
        <v>693</v>
      </c>
      <c r="H57" s="509" t="s">
        <v>842</v>
      </c>
      <c r="I57" s="140">
        <v>43831</v>
      </c>
      <c r="J57" s="506">
        <v>44196</v>
      </c>
      <c r="K57" s="180">
        <f>SUM(L57:W57)</f>
        <v>213.5</v>
      </c>
      <c r="L57" s="337">
        <v>13.5</v>
      </c>
      <c r="M57" s="511">
        <v>20</v>
      </c>
      <c r="N57" s="511">
        <v>18</v>
      </c>
      <c r="O57" s="529">
        <v>18</v>
      </c>
      <c r="P57" s="529">
        <v>18</v>
      </c>
      <c r="Q57" s="529">
        <v>18</v>
      </c>
      <c r="R57" s="529">
        <v>18</v>
      </c>
      <c r="S57" s="529">
        <v>18</v>
      </c>
      <c r="T57" s="529">
        <v>18</v>
      </c>
      <c r="U57" s="529">
        <v>18</v>
      </c>
      <c r="V57" s="529">
        <v>18</v>
      </c>
      <c r="W57" s="531">
        <v>18</v>
      </c>
      <c r="X57" s="141">
        <f t="shared" si="5"/>
        <v>213.5</v>
      </c>
      <c r="Y57" s="508"/>
      <c r="Z57" s="143">
        <f t="shared" si="2"/>
        <v>200</v>
      </c>
      <c r="AA57" s="142" t="str">
        <f>IFERROR(GETPIVOTDATA("Somme de leftWork",iPMP_traitement_pointage!$A$3,"idResource",#REF!,"projectCode",H57),"")</f>
        <v/>
      </c>
      <c r="AB57" s="144">
        <f t="shared" si="7"/>
        <v>13.5</v>
      </c>
      <c r="AC57" s="145" t="str">
        <f>IFERROR(GETPIVOTDATA("Somme de realWork",iPMP_traitement_pointage!$A$3,"idResource",#REF!,"projectCode",H57),"")</f>
        <v/>
      </c>
    </row>
    <row r="58" spans="1:29" s="493" customFormat="1" hidden="1">
      <c r="A58" s="146">
        <v>1367</v>
      </c>
      <c r="B58" s="505" t="s">
        <v>725</v>
      </c>
      <c r="C58" s="139" t="s">
        <v>216</v>
      </c>
      <c r="D58" s="341" t="s">
        <v>687</v>
      </c>
      <c r="E58" s="139" t="s">
        <v>687</v>
      </c>
      <c r="F58" s="505"/>
      <c r="G58" s="505" t="s">
        <v>694</v>
      </c>
      <c r="H58" s="509" t="s">
        <v>844</v>
      </c>
      <c r="I58" s="140">
        <v>43831</v>
      </c>
      <c r="J58" s="506">
        <v>44196</v>
      </c>
      <c r="K58" s="180">
        <f>SUM(L58:W58)</f>
        <v>215</v>
      </c>
      <c r="L58" s="337">
        <v>17</v>
      </c>
      <c r="M58" s="511">
        <v>14</v>
      </c>
      <c r="N58" s="511">
        <v>22</v>
      </c>
      <c r="O58" s="529">
        <v>18</v>
      </c>
      <c r="P58" s="529">
        <v>18</v>
      </c>
      <c r="Q58" s="529">
        <v>18</v>
      </c>
      <c r="R58" s="529">
        <v>18</v>
      </c>
      <c r="S58" s="529">
        <v>18</v>
      </c>
      <c r="T58" s="529">
        <v>18</v>
      </c>
      <c r="U58" s="529">
        <v>18</v>
      </c>
      <c r="V58" s="529">
        <v>18</v>
      </c>
      <c r="W58" s="531">
        <v>18</v>
      </c>
      <c r="X58" s="141">
        <f t="shared" si="5"/>
        <v>215</v>
      </c>
      <c r="Y58" s="508"/>
      <c r="Z58" s="143">
        <f t="shared" si="2"/>
        <v>198</v>
      </c>
      <c r="AA58" s="142" t="str">
        <f>IFERROR(GETPIVOTDATA("Somme de leftWork",iPMP_traitement_pointage!$A$3,"idResource",#REF!,"projectCode",H58),"")</f>
        <v/>
      </c>
      <c r="AB58" s="144">
        <f t="shared" si="7"/>
        <v>17</v>
      </c>
      <c r="AC58" s="145" t="str">
        <f>IFERROR(GETPIVOTDATA("Somme de realWork",iPMP_traitement_pointage!$A$3,"idResource",#REF!,"projectCode",H58),"")</f>
        <v/>
      </c>
    </row>
    <row r="59" spans="1:29" s="493" customFormat="1" hidden="1">
      <c r="A59" s="146"/>
      <c r="B59" s="505"/>
      <c r="C59" s="139"/>
      <c r="D59" s="341"/>
      <c r="E59" s="139"/>
      <c r="F59" s="505"/>
      <c r="G59" s="505"/>
      <c r="H59" s="509"/>
      <c r="I59" s="140"/>
      <c r="J59" s="506"/>
      <c r="K59" s="180">
        <f t="shared" ref="K59:K65" si="8">SUM(L59:W59)</f>
        <v>0</v>
      </c>
      <c r="L59" s="337"/>
      <c r="M59" s="337"/>
      <c r="N59" s="337"/>
      <c r="O59" s="507"/>
      <c r="P59" s="507"/>
      <c r="Q59" s="507"/>
      <c r="R59" s="507"/>
      <c r="S59" s="507"/>
      <c r="T59" s="507"/>
      <c r="U59" s="507"/>
      <c r="V59" s="507"/>
      <c r="W59" s="510"/>
      <c r="X59" s="141">
        <f t="shared" si="5"/>
        <v>0</v>
      </c>
      <c r="Y59" s="508"/>
      <c r="Z59" s="143">
        <f t="shared" si="2"/>
        <v>0</v>
      </c>
      <c r="AA59" s="142" t="str">
        <f>IFERROR(GETPIVOTDATA("Somme de leftWork",iPMP_traitement_pointage!$A$3,"idResource",#REF!,"projectCode",H59),"")</f>
        <v/>
      </c>
      <c r="AB59" s="144">
        <f t="shared" si="7"/>
        <v>0</v>
      </c>
      <c r="AC59" s="145" t="str">
        <f>IFERROR(GETPIVOTDATA("Somme de realWork",iPMP_traitement_pointage!$A$3,"idResource",#REF!,"projectCode",H59),"")</f>
        <v/>
      </c>
    </row>
    <row r="60" spans="1:29" s="493" customFormat="1" hidden="1">
      <c r="A60" s="146"/>
      <c r="B60" s="505"/>
      <c r="C60" s="139"/>
      <c r="D60" s="341"/>
      <c r="E60" s="139"/>
      <c r="F60" s="505"/>
      <c r="G60" s="505"/>
      <c r="H60" s="509"/>
      <c r="I60" s="140"/>
      <c r="J60" s="506"/>
      <c r="K60" s="180">
        <f t="shared" si="8"/>
        <v>0</v>
      </c>
      <c r="L60" s="337"/>
      <c r="M60" s="337"/>
      <c r="N60" s="337"/>
      <c r="O60" s="507"/>
      <c r="P60" s="507"/>
      <c r="Q60" s="507"/>
      <c r="R60" s="507"/>
      <c r="S60" s="507"/>
      <c r="T60" s="507"/>
      <c r="U60" s="507"/>
      <c r="V60" s="507"/>
      <c r="W60" s="510"/>
      <c r="X60" s="141">
        <f t="shared" si="5"/>
        <v>0</v>
      </c>
      <c r="Y60" s="508"/>
      <c r="Z60" s="143">
        <f t="shared" si="2"/>
        <v>0</v>
      </c>
      <c r="AA60" s="142" t="str">
        <f>IFERROR(GETPIVOTDATA("Somme de leftWork",iPMP_traitement_pointage!$A$3,"idResource",#REF!,"projectCode",H60),"")</f>
        <v/>
      </c>
      <c r="AB60" s="144">
        <f t="shared" si="7"/>
        <v>0</v>
      </c>
      <c r="AC60" s="145" t="str">
        <f>IFERROR(GETPIVOTDATA("Somme de realWork",iPMP_traitement_pointage!$A$3,"idResource",#REF!,"projectCode",H60),"")</f>
        <v/>
      </c>
    </row>
    <row r="61" spans="1:29" s="493" customFormat="1" hidden="1">
      <c r="A61" s="146"/>
      <c r="B61" s="505"/>
      <c r="C61" s="139"/>
      <c r="D61" s="341"/>
      <c r="E61" s="139"/>
      <c r="F61" s="505"/>
      <c r="G61" s="505"/>
      <c r="H61" s="509"/>
      <c r="I61" s="140"/>
      <c r="J61" s="506"/>
      <c r="K61" s="180">
        <f t="shared" si="8"/>
        <v>0</v>
      </c>
      <c r="L61" s="337"/>
      <c r="M61" s="337"/>
      <c r="N61" s="337"/>
      <c r="O61" s="507"/>
      <c r="P61" s="507"/>
      <c r="Q61" s="507"/>
      <c r="R61" s="507"/>
      <c r="S61" s="507"/>
      <c r="T61" s="507"/>
      <c r="U61" s="507"/>
      <c r="V61" s="507"/>
      <c r="W61" s="510"/>
      <c r="X61" s="141">
        <f t="shared" si="5"/>
        <v>0</v>
      </c>
      <c r="Y61" s="508"/>
      <c r="Z61" s="143">
        <f t="shared" si="2"/>
        <v>0</v>
      </c>
      <c r="AA61" s="142" t="str">
        <f>IFERROR(GETPIVOTDATA("Somme de leftWork",iPMP_traitement_pointage!$A$3,"idResource",#REF!,"projectCode",H61),"")</f>
        <v/>
      </c>
      <c r="AB61" s="144">
        <f t="shared" si="7"/>
        <v>0</v>
      </c>
      <c r="AC61" s="145" t="str">
        <f>IFERROR(GETPIVOTDATA("Somme de realWork",iPMP_traitement_pointage!$A$3,"idResource",#REF!,"projectCode",H61),"")</f>
        <v/>
      </c>
    </row>
    <row r="62" spans="1:29" s="493" customFormat="1" hidden="1">
      <c r="A62" s="146"/>
      <c r="B62" s="505"/>
      <c r="C62" s="139"/>
      <c r="D62" s="341"/>
      <c r="E62" s="139"/>
      <c r="F62" s="505"/>
      <c r="G62" s="505"/>
      <c r="H62" s="509"/>
      <c r="I62" s="140"/>
      <c r="J62" s="506"/>
      <c r="K62" s="180">
        <f t="shared" si="8"/>
        <v>0</v>
      </c>
      <c r="L62" s="337"/>
      <c r="M62" s="337"/>
      <c r="N62" s="337"/>
      <c r="O62" s="507"/>
      <c r="P62" s="507"/>
      <c r="Q62" s="507"/>
      <c r="R62" s="507"/>
      <c r="S62" s="507"/>
      <c r="T62" s="507"/>
      <c r="U62" s="507"/>
      <c r="V62" s="507"/>
      <c r="W62" s="510"/>
      <c r="X62" s="141">
        <f t="shared" si="5"/>
        <v>0</v>
      </c>
      <c r="Y62" s="508"/>
      <c r="Z62" s="143">
        <f t="shared" si="2"/>
        <v>0</v>
      </c>
      <c r="AA62" s="142" t="str">
        <f>IFERROR(GETPIVOTDATA("Somme de leftWork",iPMP_traitement_pointage!$A$3,"idResource",#REF!,"projectCode",H62),"")</f>
        <v/>
      </c>
      <c r="AB62" s="144">
        <f t="shared" si="7"/>
        <v>0</v>
      </c>
      <c r="AC62" s="145" t="str">
        <f>IFERROR(GETPIVOTDATA("Somme de realWork",iPMP_traitement_pointage!$A$3,"idResource",#REF!,"projectCode",H62),"")</f>
        <v/>
      </c>
    </row>
    <row r="63" spans="1:29" s="493" customFormat="1" hidden="1">
      <c r="A63" s="146"/>
      <c r="B63" s="505"/>
      <c r="C63" s="139"/>
      <c r="D63" s="341"/>
      <c r="E63" s="139"/>
      <c r="F63" s="505"/>
      <c r="G63" s="505"/>
      <c r="H63" s="509"/>
      <c r="I63" s="140"/>
      <c r="J63" s="506"/>
      <c r="K63" s="180">
        <f t="shared" si="8"/>
        <v>0</v>
      </c>
      <c r="L63" s="337"/>
      <c r="M63" s="337"/>
      <c r="N63" s="337"/>
      <c r="O63" s="507"/>
      <c r="P63" s="507"/>
      <c r="Q63" s="507"/>
      <c r="R63" s="507"/>
      <c r="S63" s="507"/>
      <c r="T63" s="507"/>
      <c r="U63" s="507"/>
      <c r="V63" s="507"/>
      <c r="W63" s="510"/>
      <c r="X63" s="141">
        <f t="shared" si="5"/>
        <v>0</v>
      </c>
      <c r="Y63" s="508"/>
      <c r="Z63" s="143">
        <f t="shared" si="2"/>
        <v>0</v>
      </c>
      <c r="AA63" s="142" t="str">
        <f>IFERROR(GETPIVOTDATA("Somme de leftWork",iPMP_traitement_pointage!$A$3,"idResource",#REF!,"projectCode",H63),"")</f>
        <v/>
      </c>
      <c r="AB63" s="144">
        <f t="shared" si="7"/>
        <v>0</v>
      </c>
      <c r="AC63" s="145" t="str">
        <f>IFERROR(GETPIVOTDATA("Somme de realWork",iPMP_traitement_pointage!$A$3,"idResource",#REF!,"projectCode",H63),"")</f>
        <v/>
      </c>
    </row>
    <row r="64" spans="1:29" s="493" customFormat="1" hidden="1">
      <c r="A64" s="146"/>
      <c r="B64" s="505"/>
      <c r="C64" s="139"/>
      <c r="D64" s="341"/>
      <c r="E64" s="139"/>
      <c r="F64" s="505"/>
      <c r="G64" s="505"/>
      <c r="H64" s="509"/>
      <c r="I64" s="140"/>
      <c r="J64" s="506"/>
      <c r="K64" s="180">
        <f t="shared" si="8"/>
        <v>0</v>
      </c>
      <c r="L64" s="337"/>
      <c r="M64" s="337"/>
      <c r="N64" s="337"/>
      <c r="O64" s="507"/>
      <c r="P64" s="507"/>
      <c r="Q64" s="507"/>
      <c r="R64" s="507"/>
      <c r="S64" s="507"/>
      <c r="T64" s="507"/>
      <c r="U64" s="507"/>
      <c r="V64" s="507"/>
      <c r="W64" s="510"/>
      <c r="X64" s="141">
        <f t="shared" si="5"/>
        <v>0</v>
      </c>
      <c r="Y64" s="508"/>
      <c r="Z64" s="143">
        <f t="shared" si="2"/>
        <v>0</v>
      </c>
      <c r="AA64" s="142" t="str">
        <f>IFERROR(GETPIVOTDATA("Somme de leftWork",iPMP_traitement_pointage!$A$3,"idResource",#REF!,"projectCode",H64),"")</f>
        <v/>
      </c>
      <c r="AB64" s="144">
        <f t="shared" si="7"/>
        <v>0</v>
      </c>
      <c r="AC64" s="145" t="str">
        <f>IFERROR(GETPIVOTDATA("Somme de realWork",iPMP_traitement_pointage!$A$3,"idResource",#REF!,"projectCode",H64),"")</f>
        <v/>
      </c>
    </row>
    <row r="65" spans="1:29" s="493" customFormat="1" hidden="1">
      <c r="A65" s="146"/>
      <c r="B65" s="505"/>
      <c r="C65" s="139"/>
      <c r="D65" s="341"/>
      <c r="E65" s="139"/>
      <c r="F65" s="505"/>
      <c r="G65" s="505"/>
      <c r="H65" s="509"/>
      <c r="I65" s="140"/>
      <c r="J65" s="506"/>
      <c r="K65" s="180">
        <f t="shared" si="8"/>
        <v>0</v>
      </c>
      <c r="L65" s="337"/>
      <c r="M65" s="337"/>
      <c r="N65" s="337"/>
      <c r="O65" s="507"/>
      <c r="P65" s="507"/>
      <c r="Q65" s="507"/>
      <c r="R65" s="507"/>
      <c r="S65" s="507"/>
      <c r="T65" s="507"/>
      <c r="U65" s="507"/>
      <c r="V65" s="507"/>
      <c r="W65" s="510"/>
      <c r="X65" s="141">
        <f t="shared" si="5"/>
        <v>0</v>
      </c>
      <c r="Y65" s="508"/>
      <c r="Z65" s="143">
        <f t="shared" si="2"/>
        <v>0</v>
      </c>
      <c r="AA65" s="142" t="str">
        <f>IFERROR(GETPIVOTDATA("Somme de leftWork",iPMP_traitement_pointage!$A$3,"idResource",#REF!,"projectCode",H65),"")</f>
        <v/>
      </c>
      <c r="AB65" s="144">
        <f t="shared" si="7"/>
        <v>0</v>
      </c>
      <c r="AC65" s="145" t="str">
        <f>IFERROR(GETPIVOTDATA("Somme de realWork",iPMP_traitement_pointage!$A$3,"idResource",#REF!,"projectCode",H65),"")</f>
        <v/>
      </c>
    </row>
    <row r="66" spans="1:29" s="158" customFormat="1" ht="15.75" hidden="1" thickBot="1">
      <c r="A66" s="274"/>
      <c r="B66" s="329" t="s">
        <v>25</v>
      </c>
      <c r="C66" s="139"/>
      <c r="D66" s="331"/>
      <c r="E66" s="329"/>
      <c r="F66" s="147"/>
      <c r="G66" s="147"/>
      <c r="H66" s="149"/>
      <c r="I66" s="140"/>
      <c r="J66" s="148"/>
      <c r="K66" s="341"/>
      <c r="L66" s="342">
        <f>SUM(L18:L65)</f>
        <v>475</v>
      </c>
      <c r="M66" s="342">
        <f t="shared" ref="M66:W66" si="9">SUM(M18:M65)</f>
        <v>443.2</v>
      </c>
      <c r="N66" s="342">
        <f t="shared" si="9"/>
        <v>459.5</v>
      </c>
      <c r="O66" s="342">
        <f t="shared" si="9"/>
        <v>444.5</v>
      </c>
      <c r="P66" s="342">
        <f t="shared" si="9"/>
        <v>443</v>
      </c>
      <c r="Q66" s="342">
        <f t="shared" si="9"/>
        <v>444.5</v>
      </c>
      <c r="R66" s="342">
        <f t="shared" si="9"/>
        <v>443</v>
      </c>
      <c r="S66" s="342">
        <f t="shared" si="9"/>
        <v>444.5</v>
      </c>
      <c r="T66" s="342">
        <f t="shared" si="9"/>
        <v>443</v>
      </c>
      <c r="U66" s="342">
        <f t="shared" si="9"/>
        <v>444.5</v>
      </c>
      <c r="V66" s="342">
        <f t="shared" si="9"/>
        <v>443</v>
      </c>
      <c r="W66" s="342">
        <f t="shared" si="9"/>
        <v>444.5</v>
      </c>
      <c r="X66" s="342"/>
      <c r="Y66" s="343">
        <f>SUM(Y18:Y65)</f>
        <v>0</v>
      </c>
      <c r="Z66" s="143">
        <f t="shared" si="2"/>
        <v>4897.2</v>
      </c>
      <c r="AA66" s="345">
        <f>SUM(AA18:AA65)</f>
        <v>0</v>
      </c>
      <c r="AB66" s="344">
        <f>SUM(AB18:AB65)</f>
        <v>475</v>
      </c>
      <c r="AC66" s="346">
        <f>SUM(AC18:AC65)</f>
        <v>0</v>
      </c>
    </row>
    <row r="67" spans="1:29" ht="21" hidden="1" customHeight="1" thickBot="1">
      <c r="J67" s="34" t="s">
        <v>25</v>
      </c>
      <c r="K67" s="33">
        <f>SUM(K29:K66)</f>
        <v>3401.5</v>
      </c>
      <c r="N67" s="26"/>
      <c r="X67" s="31" t="s">
        <v>88</v>
      </c>
      <c r="Y67" s="32">
        <f>SUM(X18:X56)</f>
        <v>4943.7</v>
      </c>
    </row>
    <row r="68" spans="1:29" ht="21" hidden="1" customHeight="1" thickBot="1">
      <c r="N68" s="26"/>
      <c r="X68" s="29" t="s">
        <v>19</v>
      </c>
      <c r="Y68" s="30"/>
    </row>
    <row r="69" spans="1:29" hidden="1">
      <c r="N69" s="26"/>
      <c r="P69" s="150" t="s">
        <v>24</v>
      </c>
      <c r="Q69" s="151">
        <v>43831</v>
      </c>
      <c r="X69" s="28"/>
      <c r="Y69" s="12"/>
      <c r="AB69" s="27"/>
    </row>
    <row r="70" spans="1:29" hidden="1">
      <c r="N70" s="26"/>
      <c r="O70" s="150" t="s">
        <v>89</v>
      </c>
      <c r="P70" s="150" t="s">
        <v>23</v>
      </c>
      <c r="Q70" s="152">
        <f>SUM(AB29:AB65)</f>
        <v>390.5</v>
      </c>
      <c r="R70" s="153" t="s">
        <v>22</v>
      </c>
      <c r="S70" s="150"/>
      <c r="T70" s="152">
        <f>SUM(Z29:Z65)</f>
        <v>4101.7</v>
      </c>
      <c r="Y70" s="12"/>
    </row>
    <row r="73" spans="1:29">
      <c r="P73" s="150" t="s">
        <v>215</v>
      </c>
      <c r="Q73" s="154" t="s">
        <v>216</v>
      </c>
    </row>
    <row r="74" spans="1:29">
      <c r="O74" s="150" t="s">
        <v>219</v>
      </c>
      <c r="P74" s="150" t="s">
        <v>23</v>
      </c>
      <c r="Q74" s="155">
        <f>SUMIF(C29:C65,Q73,AB29:AB65)</f>
        <v>380.5</v>
      </c>
      <c r="R74" s="153" t="s">
        <v>22</v>
      </c>
      <c r="S74" s="150"/>
      <c r="T74" s="156">
        <f>SUMIF(C18:C65,Q73,Z18:Z65)</f>
        <v>4876.7</v>
      </c>
    </row>
    <row r="77" spans="1:29">
      <c r="P77" s="150" t="s">
        <v>14</v>
      </c>
      <c r="Q77" s="154" t="s">
        <v>687</v>
      </c>
    </row>
    <row r="78" spans="1:29">
      <c r="O78" s="150" t="s">
        <v>221</v>
      </c>
      <c r="P78" s="150" t="s">
        <v>23</v>
      </c>
      <c r="Q78" s="155">
        <f>SUMIF(D29:D65,Q77,AB29:AB65)</f>
        <v>108</v>
      </c>
      <c r="R78" s="153" t="s">
        <v>22</v>
      </c>
      <c r="S78" s="150"/>
      <c r="T78" s="156">
        <f>SUMIF(D18:D65,Q77,Z18:Z65)</f>
        <v>1250.5</v>
      </c>
    </row>
    <row r="80" spans="1:29">
      <c r="O80" s="158"/>
      <c r="P80" s="150" t="s">
        <v>170</v>
      </c>
      <c r="Q80" s="154" t="s">
        <v>689</v>
      </c>
      <c r="R80" s="158"/>
      <c r="S80" s="158"/>
      <c r="T80" s="158"/>
    </row>
    <row r="81" spans="15:20">
      <c r="O81" s="150" t="s">
        <v>220</v>
      </c>
      <c r="P81" s="150" t="s">
        <v>23</v>
      </c>
      <c r="Q81" s="155">
        <f>SUMIF(E29:E65,Q80,AB29:AB65)</f>
        <v>1</v>
      </c>
      <c r="R81" s="153" t="s">
        <v>22</v>
      </c>
      <c r="S81" s="150"/>
      <c r="T81" s="156">
        <f>SUMIF(E18:E65,Q80,Z18:Z65)</f>
        <v>215</v>
      </c>
    </row>
    <row r="83" spans="15:20">
      <c r="O83" s="158"/>
      <c r="P83" s="150" t="s">
        <v>222</v>
      </c>
      <c r="Q83" s="154" t="s">
        <v>197</v>
      </c>
      <c r="R83" s="158"/>
      <c r="S83" s="158"/>
      <c r="T83" s="158"/>
    </row>
    <row r="84" spans="15:20">
      <c r="O84" s="150" t="s">
        <v>223</v>
      </c>
      <c r="P84" s="150" t="s">
        <v>23</v>
      </c>
      <c r="Q84" s="155">
        <f>SUMIF(F29:F65,Q83,AB29:AB65)</f>
        <v>0</v>
      </c>
      <c r="R84" s="153" t="s">
        <v>22</v>
      </c>
      <c r="S84" s="150"/>
      <c r="T84" s="156">
        <f>SUMIF(F18:F65,Q83,Z18:Z65)</f>
        <v>0</v>
      </c>
    </row>
    <row r="86" spans="15:20">
      <c r="O86" s="158"/>
      <c r="P86" s="150" t="s">
        <v>217</v>
      </c>
      <c r="Q86" s="154" t="s">
        <v>694</v>
      </c>
      <c r="R86" s="158"/>
      <c r="S86" s="158"/>
      <c r="T86" s="158"/>
    </row>
    <row r="87" spans="15:20">
      <c r="O87" s="150" t="s">
        <v>225</v>
      </c>
      <c r="P87" s="150" t="s">
        <v>23</v>
      </c>
      <c r="Q87" s="155">
        <f>SUMIF(G29:G65,Q86,AB29:AB65)</f>
        <v>108</v>
      </c>
      <c r="R87" s="153" t="s">
        <v>22</v>
      </c>
      <c r="S87" s="150"/>
      <c r="T87" s="156">
        <f>SUMIF(G18:G65,Q86,Z18:Z65)</f>
        <v>1250.5</v>
      </c>
    </row>
    <row r="89" spans="15:20">
      <c r="O89" s="158"/>
      <c r="P89" s="150" t="s">
        <v>224</v>
      </c>
      <c r="Q89" s="154" t="s">
        <v>842</v>
      </c>
      <c r="R89" s="158"/>
      <c r="S89" s="158"/>
      <c r="T89" s="158"/>
    </row>
    <row r="90" spans="15:20">
      <c r="O90" s="150" t="s">
        <v>226</v>
      </c>
      <c r="P90" s="150" t="s">
        <v>23</v>
      </c>
      <c r="Q90" s="155">
        <f>SUMIF(H29:H65,Q89,AB29:AB65)</f>
        <v>233.5</v>
      </c>
      <c r="R90" s="153" t="s">
        <v>22</v>
      </c>
      <c r="S90" s="150"/>
      <c r="T90" s="156">
        <f>SUMIF(H18:H65,Q89,Z18:Z65)</f>
        <v>2903.2</v>
      </c>
    </row>
  </sheetData>
  <autoFilter ref="A17:AD70">
    <filterColumn colId="7">
      <filters>
        <filter val="3173-12"/>
      </filters>
    </filterColumn>
  </autoFilter>
  <sortState ref="A18:W58">
    <sortCondition ref="B18:B58"/>
  </sortState>
  <conditionalFormatting sqref="AB69">
    <cfRule type="cellIs" dxfId="86" priority="141" operator="lessThan">
      <formula>0</formula>
    </cfRule>
    <cfRule type="cellIs" dxfId="85" priority="142" operator="greaterThan">
      <formula>0</formula>
    </cfRule>
  </conditionalFormatting>
  <conditionalFormatting sqref="L59:W66">
    <cfRule type="expression" dxfId="84" priority="140">
      <formula>IF(ISBLANK($I59),FALSE,IF(AND(MONTH($I59)&lt;=MONTH(L$17),MONTH($J59)&gt;=MONTH(L$17)),TRUE,FALSE))</formula>
    </cfRule>
  </conditionalFormatting>
  <conditionalFormatting sqref="L15:W16">
    <cfRule type="cellIs" dxfId="83" priority="139" operator="equal">
      <formula>1</formula>
    </cfRule>
  </conditionalFormatting>
  <conditionalFormatting sqref="X18:X65">
    <cfRule type="expression" dxfId="82" priority="138">
      <formula>IF(X18&gt;K18,TRUE,FALSE)</formula>
    </cfRule>
  </conditionalFormatting>
  <conditionalFormatting sqref="Y68">
    <cfRule type="cellIs" dxfId="81" priority="136" operator="greaterThanOrEqual">
      <formula>0</formula>
    </cfRule>
    <cfRule type="cellIs" dxfId="80" priority="137" operator="lessThan">
      <formula>0</formula>
    </cfRule>
  </conditionalFormatting>
  <conditionalFormatting sqref="Y36:Y65 Y18:Y24 Y27:Y33">
    <cfRule type="expression" dxfId="79" priority="130">
      <formula>EXACT($Y18,"")</formula>
    </cfRule>
    <cfRule type="expression" dxfId="78" priority="134">
      <formula>AND(IF(Y18&gt;X18*1.1,TRUE,FALSE),NOT(EXACT($Y18,"")))</formula>
    </cfRule>
  </conditionalFormatting>
  <conditionalFormatting sqref="AA18:AA24 AA36:AA65 AA27:AA33">
    <cfRule type="expression" dxfId="77" priority="129">
      <formula>EXACT($AA18,"")</formula>
    </cfRule>
    <cfRule type="expression" dxfId="76" priority="132">
      <formula>AND(IF(AA18&gt;Z18*1.1,TRUE,FALSE),NOT(EXACT($AA18,"")))</formula>
    </cfRule>
  </conditionalFormatting>
  <conditionalFormatting sqref="AC27:AC33 AC18:AC24 AC36:AC65">
    <cfRule type="expression" dxfId="75" priority="128">
      <formula>EXACT($AC18,"")</formula>
    </cfRule>
    <cfRule type="expression" dxfId="74" priority="131">
      <formula>AND(IF(AC18&gt;AB18*1.1,TRUE,FALSE),NOT(EXACT($AC18,"")))</formula>
    </cfRule>
  </conditionalFormatting>
  <conditionalFormatting sqref="L59:W65">
    <cfRule type="expression" dxfId="73" priority="1149">
      <formula>IF(L59&gt;K$16,TRUE,FALSE)</formula>
    </cfRule>
  </conditionalFormatting>
  <conditionalFormatting sqref="Y34:Y35">
    <cfRule type="expression" dxfId="72" priority="121">
      <formula>EXACT($Y34,"")</formula>
    </cfRule>
    <cfRule type="expression" dxfId="71" priority="124">
      <formula>AND(IF(Y34&gt;X34*1.1,TRUE,FALSE),NOT(EXACT($Y34,"")))</formula>
    </cfRule>
  </conditionalFormatting>
  <conditionalFormatting sqref="AA34:AA35">
    <cfRule type="expression" dxfId="70" priority="120">
      <formula>EXACT($AA34,"")</formula>
    </cfRule>
    <cfRule type="expression" dxfId="69" priority="123">
      <formula>AND(IF(AA34&gt;Z34*1.1,TRUE,FALSE),NOT(EXACT($AA34,"")))</formula>
    </cfRule>
  </conditionalFormatting>
  <conditionalFormatting sqref="AC34:AC35">
    <cfRule type="expression" dxfId="68" priority="119">
      <formula>EXACT($AC34,"")</formula>
    </cfRule>
    <cfRule type="expression" dxfId="67" priority="122">
      <formula>AND(IF(AC34&gt;AB34*1.1,TRUE,FALSE),NOT(EXACT($AC34,"")))</formula>
    </cfRule>
  </conditionalFormatting>
  <conditionalFormatting sqref="X66">
    <cfRule type="expression" dxfId="66" priority="71">
      <formula>IF(X66&gt;K66,TRUE,FALSE)</formula>
    </cfRule>
  </conditionalFormatting>
  <conditionalFormatting sqref="Y66">
    <cfRule type="expression" dxfId="65" priority="67">
      <formula>EXACT($Y66,"")</formula>
    </cfRule>
    <cfRule type="expression" dxfId="64" priority="70">
      <formula>AND(IF(Y66&gt;X66*1.1,TRUE,FALSE),NOT(EXACT($Y66,"")))</formula>
    </cfRule>
  </conditionalFormatting>
  <conditionalFormatting sqref="AA66">
    <cfRule type="expression" dxfId="63" priority="66">
      <formula>EXACT($AA66,"")</formula>
    </cfRule>
    <cfRule type="expression" dxfId="62" priority="69">
      <formula>AND(IF(AA66&gt;Z66*1.1,TRUE,FALSE),NOT(EXACT($AA66,"")))</formula>
    </cfRule>
  </conditionalFormatting>
  <conditionalFormatting sqref="AC66">
    <cfRule type="expression" dxfId="61" priority="65">
      <formula>EXACT($AC66,"")</formula>
    </cfRule>
    <cfRule type="expression" dxfId="60" priority="68">
      <formula>AND(IF(AC66&gt;AB66*1.1,TRUE,FALSE),NOT(EXACT($AC66,"")))</formula>
    </cfRule>
  </conditionalFormatting>
  <conditionalFormatting sqref="L66:W66">
    <cfRule type="expression" dxfId="59" priority="73">
      <formula>IF(L66&gt;K$16,TRUE,FALSE)</formula>
    </cfRule>
  </conditionalFormatting>
  <conditionalFormatting sqref="Y25:Y26">
    <cfRule type="expression" dxfId="58" priority="31">
      <formula>EXACT($Y25,"")</formula>
    </cfRule>
    <cfRule type="expression" dxfId="57" priority="34">
      <formula>AND(IF(Y25&gt;X25*1.1,TRUE,FALSE),NOT(EXACT($Y25,"")))</formula>
    </cfRule>
  </conditionalFormatting>
  <conditionalFormatting sqref="AA25:AA26">
    <cfRule type="expression" dxfId="56" priority="30">
      <formula>EXACT($AA25,"")</formula>
    </cfRule>
    <cfRule type="expression" dxfId="55" priority="33">
      <formula>AND(IF(AA25&gt;Z25*1.1,TRUE,FALSE),NOT(EXACT($AA25,"")))</formula>
    </cfRule>
  </conditionalFormatting>
  <conditionalFormatting sqref="AC25:AC26">
    <cfRule type="expression" dxfId="54" priority="29">
      <formula>EXACT($AC25,"")</formula>
    </cfRule>
    <cfRule type="expression" dxfId="53" priority="32">
      <formula>AND(IF(AC25&gt;AB25*1.1,TRUE,FALSE),NOT(EXACT($AC25,"")))</formula>
    </cfRule>
  </conditionalFormatting>
  <conditionalFormatting sqref="L59:N65">
    <cfRule type="expression" dxfId="52" priority="22">
      <formula>IF(L59&gt;K$16,TRUE,FALSE)</formula>
    </cfRule>
  </conditionalFormatting>
  <conditionalFormatting sqref="L18:W58">
    <cfRule type="expression" dxfId="51" priority="10">
      <formula>IF(ISBLANK($I18),FALSE,IF(AND(MONTH($I18)&lt;=MONTH(L$17),MONTH($J18)&gt;=MONTH(L$17)),TRUE,FALSE))</formula>
    </cfRule>
  </conditionalFormatting>
  <conditionalFormatting sqref="L18:W58">
    <cfRule type="expression" dxfId="50" priority="11">
      <formula>IF(L18&gt;K$16,TRUE,FALSE)</formula>
    </cfRule>
  </conditionalFormatting>
  <conditionalFormatting sqref="L34:W35">
    <cfRule type="expression" dxfId="49" priority="9">
      <formula>IF(L34&gt;K$16,TRUE,FALSE)</formula>
    </cfRule>
  </conditionalFormatting>
  <conditionalFormatting sqref="L25:W26">
    <cfRule type="expression" dxfId="48" priority="8">
      <formula>IF(L25&gt;K$16,TRUE,FALSE)</formula>
    </cfRule>
  </conditionalFormatting>
  <conditionalFormatting sqref="U25:U26">
    <cfRule type="expression" dxfId="47" priority="7">
      <formula>IF(U25&gt;T$16,TRUE,FALSE)</formula>
    </cfRule>
  </conditionalFormatting>
  <conditionalFormatting sqref="L39:W39">
    <cfRule type="expression" dxfId="46" priority="6">
      <formula>IF(L39&gt;K$16,TRUE,FALSE)</formula>
    </cfRule>
  </conditionalFormatting>
  <conditionalFormatting sqref="L40:W40">
    <cfRule type="expression" dxfId="45" priority="5">
      <formula>IF(L40&gt;K$16,TRUE,FALSE)</formula>
    </cfRule>
  </conditionalFormatting>
  <conditionalFormatting sqref="L41:W41">
    <cfRule type="expression" dxfId="44" priority="4">
      <formula>IF(L41&gt;K$16,TRUE,FALSE)</formula>
    </cfRule>
  </conditionalFormatting>
  <conditionalFormatting sqref="L48:W48">
    <cfRule type="expression" dxfId="43" priority="3">
      <formula>IF(L48&gt;K$16,TRUE,FALSE)</formula>
    </cfRule>
  </conditionalFormatting>
  <conditionalFormatting sqref="L56:N58 O56:W56">
    <cfRule type="expression" dxfId="42" priority="2">
      <formula>IF(L56&gt;K$16,TRUE,FALSE)</formula>
    </cfRule>
  </conditionalFormatting>
  <conditionalFormatting sqref="L41:W41">
    <cfRule type="expression" dxfId="41" priority="1">
      <formula>IF(L41&gt;K$16,TRUE,FALSE)</formula>
    </cfRule>
  </conditionalFormatting>
  <dataValidations count="1">
    <dataValidation type="list" allowBlank="1" showInputMessage="1" showErrorMessage="1" sqref="Q69">
      <formula1>$L$17:$W$17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paramètres!$B$8:$P$8</xm:f>
          </x14:formula1>
          <xm:sqref>Q73 C18:C66</xm:sqref>
        </x14:dataValidation>
        <x14:dataValidation type="list" allowBlank="1" showInputMessage="1" showErrorMessage="1">
          <x14:formula1>
            <xm:f>paramètres!$B$4:$P$4</xm:f>
          </x14:formula1>
          <xm:sqref>Q77 D37:D41 D24:D35 D43:D51 D18:D22 D53:D65</xm:sqref>
        </x14:dataValidation>
        <x14:dataValidation type="list" allowBlank="1" showInputMessage="1" showErrorMessage="1">
          <x14:formula1>
            <xm:f>paramètres!$B$6:$P$6</xm:f>
          </x14:formula1>
          <xm:sqref>Q80 E18:E65</xm:sqref>
        </x14:dataValidation>
        <x14:dataValidation type="list" allowBlank="1" showInputMessage="1" showErrorMessage="1">
          <x14:formula1>
            <xm:f>paramètres!$B$5:$P$5</xm:f>
          </x14:formula1>
          <xm:sqref>Q83 F18:F66</xm:sqref>
        </x14:dataValidation>
        <x14:dataValidation type="list" allowBlank="1" showInputMessage="1" showErrorMessage="1">
          <x14:formula1>
            <xm:f>paramètres!$B$9:$P$9</xm:f>
          </x14:formula1>
          <xm:sqref>Q86 G18:G66</xm:sqref>
        </x14:dataValidation>
        <x14:dataValidation type="list" allowBlank="1" showInputMessage="1" showErrorMessage="1">
          <x14:formula1>
            <xm:f>paramètres!$B$7:$P$7</xm:f>
          </x14:formula1>
          <xm:sqref>Q89 H18:H65</xm:sqref>
        </x14:dataValidation>
        <x14:dataValidation type="list" allowBlank="1" showInputMessage="1" showErrorMessage="1">
          <x14:formula1>
            <xm:f>'R:\DO\DELIVERY\2018-2019\AIRBUS\3173 - EVYP - Adrien Lunes\Suivi_Operation\00-travail\[Macro-pilotage  EVYP 2019_v3.1.1_DEUX DEVISES v0.2_01.xlsx]paramètres'!#REF!</xm:f>
          </x14:formula1>
          <xm:sqref>D52 D23 D36 D42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4" tint="-0.249977111117893"/>
    <pageSetUpPr fitToPage="1"/>
  </sheetPr>
  <dimension ref="A1:DU208"/>
  <sheetViews>
    <sheetView tabSelected="1" topLeftCell="W31" zoomScale="80" zoomScaleNormal="80" workbookViewId="0">
      <pane xSplit="18510" topLeftCell="DG1"/>
      <selection activeCell="AA5" sqref="AA5:AA49"/>
      <selection pane="topRight" activeCell="DI246" sqref="DI246"/>
    </sheetView>
  </sheetViews>
  <sheetFormatPr baseColWidth="10" defaultRowHeight="15" outlineLevelCol="1"/>
  <cols>
    <col min="1" max="1" width="19.140625" style="26" customWidth="1" outlineLevel="1"/>
    <col min="2" max="2" width="20.5703125" style="26" customWidth="1" outlineLevel="1"/>
    <col min="3" max="3" width="69" style="26" customWidth="1" outlineLevel="1"/>
    <col min="4" max="4" width="78.5703125" style="26" customWidth="1" outlineLevel="1"/>
    <col min="5" max="5" width="12.85546875" style="26" customWidth="1" outlineLevel="1"/>
    <col min="6" max="6" width="105.42578125" style="26" customWidth="1" outlineLevel="1"/>
    <col min="7" max="7" width="19.140625" style="26" customWidth="1" outlineLevel="1"/>
    <col min="8" max="8" width="22" style="26" customWidth="1" outlineLevel="1"/>
    <col min="9" max="9" width="30.42578125" style="26" customWidth="1" outlineLevel="1"/>
    <col min="10" max="10" width="22.85546875" style="26" customWidth="1" outlineLevel="1"/>
    <col min="11" max="11" width="22.42578125" style="26" customWidth="1" outlineLevel="1"/>
    <col min="12" max="12" width="52.42578125" style="26" customWidth="1" outlineLevel="1"/>
    <col min="13" max="13" width="42.5703125" style="26" customWidth="1" outlineLevel="1"/>
    <col min="14" max="14" width="14.85546875" style="26" customWidth="1" outlineLevel="1"/>
    <col min="15" max="15" width="15" style="26" customWidth="1" outlineLevel="1"/>
    <col min="16" max="21" width="24.85546875" style="26" customWidth="1" outlineLevel="1"/>
    <col min="22" max="23" width="24.85546875" style="158" customWidth="1" outlineLevel="1"/>
    <col min="24" max="24" width="15.85546875" style="158" customWidth="1"/>
    <col min="25" max="25" width="4.42578125" style="158" customWidth="1"/>
    <col min="26" max="26" width="11" style="158" customWidth="1"/>
    <col min="27" max="27" width="20.42578125" style="158" customWidth="1"/>
    <col min="28" max="28" width="14.7109375" style="158" customWidth="1"/>
    <col min="29" max="29" width="15.42578125" customWidth="1"/>
    <col min="30" max="30" width="11.28515625" customWidth="1"/>
    <col min="31" max="31" width="9.5703125" customWidth="1"/>
    <col min="32" max="32" width="88.7109375" style="26" bestFit="1" customWidth="1"/>
    <col min="33" max="33" width="7.140625" style="158" customWidth="1"/>
    <col min="34" max="34" width="38.140625" customWidth="1"/>
    <col min="35" max="35" width="16.5703125" style="26" customWidth="1"/>
    <col min="36" max="36" width="14.140625" customWidth="1"/>
    <col min="37" max="37" width="14" style="9" customWidth="1"/>
    <col min="38" max="38" width="12" style="9" customWidth="1"/>
    <col min="39" max="39" width="11.5703125" customWidth="1"/>
    <col min="40" max="40" width="11.5703125" style="158" customWidth="1" outlineLevel="1"/>
    <col min="41" max="41" width="11.5703125" style="26" customWidth="1"/>
    <col min="42" max="42" width="18.5703125" customWidth="1"/>
    <col min="43" max="43" width="14.42578125" customWidth="1"/>
    <col min="44" max="44" width="13.140625" customWidth="1"/>
    <col min="45" max="45" width="13.5703125" hidden="1" customWidth="1"/>
    <col min="46" max="46" width="11.42578125" hidden="1" customWidth="1"/>
    <col min="47" max="47" width="16.42578125" style="23" hidden="1" customWidth="1"/>
    <col min="48" max="48" width="23.42578125" hidden="1" customWidth="1"/>
    <col min="49" max="49" width="19.5703125" style="26" customWidth="1"/>
    <col min="50" max="50" width="17.140625" style="500" customWidth="1"/>
    <col min="51" max="51" width="17.140625" style="26" hidden="1" customWidth="1"/>
    <col min="52" max="52" width="13.140625" style="26" customWidth="1"/>
    <col min="53" max="53" width="17.140625" style="26" hidden="1" customWidth="1"/>
    <col min="54" max="54" width="26.5703125" hidden="1" customWidth="1" outlineLevel="1"/>
    <col min="55" max="55" width="19.42578125" style="26" customWidth="1" outlineLevel="1"/>
    <col min="56" max="56" width="14.42578125" customWidth="1" outlineLevel="1"/>
    <col min="57" max="57" width="13.85546875" customWidth="1" outlineLevel="1"/>
    <col min="58" max="58" width="8.85546875" customWidth="1" outlineLevel="1"/>
    <col min="59" max="59" width="11.42578125" hidden="1" customWidth="1" outlineLevel="1"/>
    <col min="60" max="60" width="32.7109375" customWidth="1" outlineLevel="1"/>
    <col min="61" max="61" width="14.5703125" customWidth="1" outlineLevel="1"/>
    <col min="62" max="62" width="11.28515625" customWidth="1" outlineLevel="1"/>
    <col min="63" max="63" width="11.5703125" customWidth="1" outlineLevel="1"/>
    <col min="64" max="64" width="14.42578125" customWidth="1" outlineLevel="1"/>
    <col min="65" max="65" width="11.5703125" customWidth="1" outlineLevel="1"/>
    <col min="66" max="66" width="14" customWidth="1" outlineLevel="1"/>
    <col min="67" max="67" width="14" style="158" customWidth="1" outlineLevel="1" collapsed="1"/>
    <col min="68" max="68" width="15.85546875" style="158" customWidth="1" outlineLevel="1"/>
    <col min="69" max="78" width="14" style="158" customWidth="1" outlineLevel="1"/>
    <col min="79" max="79" width="14" style="158" customWidth="1"/>
    <col min="80" max="80" width="19.5703125" customWidth="1"/>
    <col min="81" max="83" width="18.140625" customWidth="1"/>
    <col min="84" max="84" width="16" customWidth="1"/>
    <col min="85" max="86" width="14.5703125" customWidth="1"/>
    <col min="87" max="87" width="14.42578125" customWidth="1"/>
    <col min="88" max="91" width="14.42578125" style="26" customWidth="1"/>
    <col min="92" max="93" width="21.140625" style="26" customWidth="1"/>
    <col min="94" max="94" width="21.140625" style="158" customWidth="1"/>
    <col min="95" max="95" width="19.140625" style="26" customWidth="1"/>
    <col min="96" max="96" width="20.42578125" customWidth="1"/>
    <col min="97" max="97" width="18.140625" customWidth="1"/>
    <col min="98" max="98" width="11.7109375" customWidth="1"/>
    <col min="107" max="114" width="10.85546875" customWidth="1"/>
    <col min="115" max="115" width="11.42578125" customWidth="1"/>
    <col min="116" max="117" width="10.85546875" customWidth="1"/>
    <col min="125" max="125" width="15.42578125" customWidth="1"/>
  </cols>
  <sheetData>
    <row r="1" spans="14:125" s="4" customFormat="1" ht="58.5" customHeight="1">
      <c r="AC1" s="3" t="s">
        <v>5</v>
      </c>
      <c r="AD1" s="24">
        <v>43831</v>
      </c>
      <c r="AK1" s="10"/>
      <c r="AL1" s="11"/>
      <c r="AM1" s="5"/>
      <c r="AN1" s="5"/>
      <c r="AO1" s="5"/>
      <c r="AP1" s="5"/>
      <c r="AQ1" s="66" t="s">
        <v>70</v>
      </c>
      <c r="AR1" s="65"/>
      <c r="AS1" s="65"/>
      <c r="AT1" s="65"/>
      <c r="AU1" s="65"/>
      <c r="AV1" s="65"/>
      <c r="AW1" s="66" t="s">
        <v>69</v>
      </c>
      <c r="AX1" s="496"/>
      <c r="AY1" s="67"/>
      <c r="AZ1" s="67"/>
      <c r="BA1" s="65"/>
      <c r="BB1" s="66" t="s">
        <v>647</v>
      </c>
      <c r="BC1" s="67"/>
      <c r="BD1" s="67"/>
      <c r="BE1" s="67"/>
      <c r="BF1" s="64"/>
      <c r="BG1" s="64"/>
      <c r="BH1" s="64"/>
      <c r="BI1" s="64"/>
      <c r="BJ1" s="64"/>
      <c r="BK1" s="64"/>
      <c r="BL1" s="64"/>
      <c r="BM1" s="64"/>
      <c r="BN1" s="64"/>
      <c r="BO1" s="64" t="s">
        <v>202</v>
      </c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2"/>
      <c r="CS1" s="62"/>
      <c r="CT1"/>
    </row>
    <row r="2" spans="14:125" s="54" customFormat="1">
      <c r="N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G2" s="74"/>
      <c r="AL2" s="68"/>
      <c r="AN2" s="74"/>
      <c r="AQ2" s="98"/>
      <c r="AR2" s="65"/>
      <c r="AS2" s="65"/>
      <c r="AT2" s="65"/>
      <c r="AU2" s="65"/>
      <c r="AV2" s="65"/>
      <c r="AW2" s="66"/>
      <c r="AX2" s="497"/>
      <c r="AY2" s="60"/>
      <c r="AZ2" s="60"/>
      <c r="BA2" s="65"/>
      <c r="BB2" s="95">
        <v>0</v>
      </c>
      <c r="BC2" s="54">
        <v>1</v>
      </c>
      <c r="BD2" s="54">
        <v>2</v>
      </c>
      <c r="BE2" s="54">
        <v>3</v>
      </c>
      <c r="BF2" s="54">
        <v>4</v>
      </c>
      <c r="BG2" s="54">
        <v>5</v>
      </c>
      <c r="BH2" s="54">
        <v>6</v>
      </c>
      <c r="BI2" s="54">
        <v>7</v>
      </c>
      <c r="BJ2" s="54">
        <v>8</v>
      </c>
      <c r="BK2" s="54">
        <v>9</v>
      </c>
      <c r="BL2" s="54">
        <v>10</v>
      </c>
      <c r="BM2" s="54">
        <v>11</v>
      </c>
      <c r="BN2" s="54">
        <v>12</v>
      </c>
      <c r="BO2" s="95">
        <v>0</v>
      </c>
      <c r="BP2" s="74">
        <v>1</v>
      </c>
      <c r="BQ2" s="74">
        <v>2</v>
      </c>
      <c r="BR2" s="74">
        <v>3</v>
      </c>
      <c r="BS2" s="74">
        <v>4</v>
      </c>
      <c r="BT2" s="74">
        <v>5</v>
      </c>
      <c r="BU2" s="74">
        <v>6</v>
      </c>
      <c r="BV2" s="74">
        <v>7</v>
      </c>
      <c r="BW2" s="74">
        <v>8</v>
      </c>
      <c r="BX2" s="74">
        <v>9</v>
      </c>
      <c r="BY2" s="74">
        <v>10</v>
      </c>
      <c r="BZ2" s="74">
        <v>11</v>
      </c>
      <c r="CA2" s="74">
        <v>12</v>
      </c>
      <c r="CN2" s="74"/>
      <c r="CO2" s="74"/>
      <c r="CP2" s="74"/>
      <c r="CQ2" s="74"/>
      <c r="CT2"/>
    </row>
    <row r="3" spans="14:125">
      <c r="AD3">
        <v>0</v>
      </c>
      <c r="AK3"/>
      <c r="AL3" s="6"/>
      <c r="AM3" s="1"/>
      <c r="AN3" s="1"/>
      <c r="AO3" s="1"/>
      <c r="AP3" s="1"/>
      <c r="AQ3" s="98"/>
      <c r="AR3" s="65"/>
      <c r="AS3" s="65"/>
      <c r="AT3" s="65"/>
      <c r="AU3" s="65"/>
      <c r="AV3" s="65"/>
      <c r="AW3" s="66"/>
      <c r="AX3" s="497"/>
      <c r="AY3" s="60"/>
      <c r="AZ3" s="60"/>
      <c r="BA3" s="65"/>
      <c r="BB3" s="96">
        <f t="shared" ref="BB3:BZ3" si="0">DATE(YEAR($AD$1),MONTH($AD$1)+BB2,1)</f>
        <v>43831</v>
      </c>
      <c r="BC3" s="1">
        <f t="shared" si="0"/>
        <v>43862</v>
      </c>
      <c r="BD3" s="1">
        <f t="shared" si="0"/>
        <v>43891</v>
      </c>
      <c r="BE3" s="1">
        <f t="shared" si="0"/>
        <v>43922</v>
      </c>
      <c r="BF3" s="1">
        <f t="shared" si="0"/>
        <v>43952</v>
      </c>
      <c r="BG3" s="1">
        <f t="shared" si="0"/>
        <v>43983</v>
      </c>
      <c r="BH3" s="1">
        <f t="shared" si="0"/>
        <v>44013</v>
      </c>
      <c r="BI3" s="1">
        <f t="shared" si="0"/>
        <v>44044</v>
      </c>
      <c r="BJ3" s="1">
        <f t="shared" si="0"/>
        <v>44075</v>
      </c>
      <c r="BK3" s="1">
        <f t="shared" si="0"/>
        <v>44105</v>
      </c>
      <c r="BL3" s="1">
        <f t="shared" si="0"/>
        <v>44136</v>
      </c>
      <c r="BM3" s="1">
        <f t="shared" si="0"/>
        <v>44166</v>
      </c>
      <c r="BN3" s="1"/>
      <c r="BO3" s="96">
        <f t="shared" si="0"/>
        <v>43831</v>
      </c>
      <c r="BP3" s="1">
        <f t="shared" si="0"/>
        <v>43862</v>
      </c>
      <c r="BQ3" s="1">
        <f t="shared" si="0"/>
        <v>43891</v>
      </c>
      <c r="BR3" s="1">
        <f t="shared" si="0"/>
        <v>43922</v>
      </c>
      <c r="BS3" s="1">
        <f t="shared" si="0"/>
        <v>43952</v>
      </c>
      <c r="BT3" s="1">
        <f t="shared" si="0"/>
        <v>43983</v>
      </c>
      <c r="BU3" s="1">
        <f t="shared" si="0"/>
        <v>44013</v>
      </c>
      <c r="BV3" s="1">
        <f t="shared" si="0"/>
        <v>44044</v>
      </c>
      <c r="BW3" s="1">
        <f t="shared" si="0"/>
        <v>44075</v>
      </c>
      <c r="BX3" s="1">
        <f t="shared" si="0"/>
        <v>44105</v>
      </c>
      <c r="BY3" s="1">
        <f t="shared" si="0"/>
        <v>44136</v>
      </c>
      <c r="BZ3" s="1">
        <f t="shared" si="0"/>
        <v>44166</v>
      </c>
      <c r="CA3" s="1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</row>
    <row r="4" spans="14:125" s="8" customFormat="1" ht="60">
      <c r="AA4" s="157" t="s">
        <v>150</v>
      </c>
      <c r="AB4" s="157" t="s">
        <v>151</v>
      </c>
      <c r="AC4" s="157" t="s">
        <v>152</v>
      </c>
      <c r="AD4" s="157" t="s">
        <v>153</v>
      </c>
      <c r="AE4" s="157" t="s">
        <v>154</v>
      </c>
      <c r="AF4" s="157" t="s">
        <v>155</v>
      </c>
      <c r="AG4" s="157" t="s">
        <v>156</v>
      </c>
      <c r="AH4" s="157" t="s">
        <v>157</v>
      </c>
      <c r="AI4" s="157" t="s">
        <v>158</v>
      </c>
      <c r="AJ4" s="157" t="s">
        <v>159</v>
      </c>
      <c r="AK4" s="157" t="s">
        <v>160</v>
      </c>
      <c r="AL4" s="157" t="s">
        <v>161</v>
      </c>
      <c r="AM4" s="157" t="s">
        <v>162</v>
      </c>
      <c r="AN4" s="157" t="s">
        <v>163</v>
      </c>
      <c r="AO4" s="157" t="s">
        <v>164</v>
      </c>
      <c r="AP4" s="157" t="s">
        <v>21</v>
      </c>
      <c r="AQ4" s="157" t="s">
        <v>165</v>
      </c>
      <c r="AR4" s="157" t="s">
        <v>166</v>
      </c>
      <c r="AS4" s="157" t="s">
        <v>169</v>
      </c>
      <c r="AT4" s="157" t="s">
        <v>167</v>
      </c>
      <c r="AU4" s="157" t="s">
        <v>168</v>
      </c>
      <c r="AV4" s="161" t="s">
        <v>179</v>
      </c>
      <c r="AW4" s="161" t="s">
        <v>181</v>
      </c>
      <c r="AX4" s="161" t="s">
        <v>180</v>
      </c>
      <c r="AY4" s="161" t="s">
        <v>632</v>
      </c>
      <c r="AZ4" s="14" t="s">
        <v>185</v>
      </c>
      <c r="BA4" s="14" t="s">
        <v>215</v>
      </c>
      <c r="BB4" s="14" t="s">
        <v>214</v>
      </c>
      <c r="BC4" s="14" t="s">
        <v>182</v>
      </c>
      <c r="BD4" s="14" t="s">
        <v>14</v>
      </c>
      <c r="BE4" s="14" t="s">
        <v>170</v>
      </c>
      <c r="BF4" s="14" t="s">
        <v>218</v>
      </c>
      <c r="BG4" s="14" t="s">
        <v>217</v>
      </c>
      <c r="BH4" s="14" t="s">
        <v>71</v>
      </c>
      <c r="BI4" s="14" t="s">
        <v>7</v>
      </c>
      <c r="BJ4" s="14" t="s">
        <v>177</v>
      </c>
      <c r="BK4" s="14" t="s">
        <v>3</v>
      </c>
      <c r="BL4" s="14" t="s">
        <v>4</v>
      </c>
      <c r="BM4" s="14" t="s">
        <v>6</v>
      </c>
      <c r="BN4" s="14" t="s">
        <v>635</v>
      </c>
      <c r="BO4" s="14" t="s">
        <v>51</v>
      </c>
      <c r="BP4" s="15" t="s">
        <v>50</v>
      </c>
      <c r="BQ4" s="99" t="s">
        <v>1</v>
      </c>
      <c r="BR4" s="16" t="s">
        <v>15</v>
      </c>
      <c r="BS4" s="16" t="s">
        <v>0</v>
      </c>
      <c r="BT4" s="16" t="s">
        <v>16</v>
      </c>
      <c r="BU4" s="16" t="s">
        <v>9</v>
      </c>
      <c r="BV4" s="17" t="s">
        <v>17</v>
      </c>
      <c r="BW4" s="18" t="s">
        <v>208</v>
      </c>
      <c r="BX4" s="18" t="s">
        <v>52</v>
      </c>
      <c r="BY4" s="18" t="s">
        <v>53</v>
      </c>
      <c r="BZ4" s="18" t="s">
        <v>54</v>
      </c>
      <c r="CA4" s="18" t="s">
        <v>55</v>
      </c>
      <c r="CB4" s="97" t="s">
        <v>56</v>
      </c>
      <c r="CC4" s="56" t="s">
        <v>57</v>
      </c>
      <c r="CD4" s="56" t="s">
        <v>58</v>
      </c>
      <c r="CE4" s="56" t="s">
        <v>59</v>
      </c>
      <c r="CF4" s="56" t="s">
        <v>60</v>
      </c>
      <c r="CG4" s="56" t="s">
        <v>61</v>
      </c>
      <c r="CH4" s="56" t="s">
        <v>62</v>
      </c>
      <c r="CI4" s="56" t="s">
        <v>63</v>
      </c>
      <c r="CJ4" s="56" t="s">
        <v>64</v>
      </c>
      <c r="CK4" s="56" t="s">
        <v>65</v>
      </c>
      <c r="CL4" s="56" t="s">
        <v>66</v>
      </c>
      <c r="CM4" s="56" t="s">
        <v>67</v>
      </c>
      <c r="CN4" s="57" t="s">
        <v>49</v>
      </c>
      <c r="CO4" s="97" t="s">
        <v>200</v>
      </c>
      <c r="CP4" s="56" t="s">
        <v>636</v>
      </c>
      <c r="CQ4" s="56" t="s">
        <v>637</v>
      </c>
      <c r="CR4" s="56" t="s">
        <v>638</v>
      </c>
      <c r="CS4" s="56" t="s">
        <v>639</v>
      </c>
      <c r="CT4" s="56" t="s">
        <v>640</v>
      </c>
      <c r="CU4" s="56" t="s">
        <v>641</v>
      </c>
      <c r="CV4" s="56" t="s">
        <v>642</v>
      </c>
      <c r="CW4" s="56" t="s">
        <v>643</v>
      </c>
      <c r="CX4" s="56" t="s">
        <v>644</v>
      </c>
      <c r="CY4" s="56" t="s">
        <v>645</v>
      </c>
      <c r="CZ4" s="56" t="s">
        <v>646</v>
      </c>
      <c r="DA4" s="56" t="s">
        <v>201</v>
      </c>
      <c r="DB4" s="89" t="s">
        <v>998</v>
      </c>
      <c r="DC4" s="89" t="s">
        <v>997</v>
      </c>
      <c r="DD4" s="89" t="s">
        <v>1024</v>
      </c>
      <c r="DE4" s="89" t="s">
        <v>999</v>
      </c>
      <c r="DF4" s="89" t="s">
        <v>1000</v>
      </c>
      <c r="DG4" s="89" t="s">
        <v>1001</v>
      </c>
      <c r="DH4" s="89" t="s">
        <v>1002</v>
      </c>
      <c r="DI4" s="89" t="s">
        <v>1003</v>
      </c>
      <c r="DJ4" s="89" t="s">
        <v>1004</v>
      </c>
      <c r="DK4" s="89" t="s">
        <v>1005</v>
      </c>
      <c r="DL4" s="89" t="s">
        <v>1006</v>
      </c>
      <c r="DM4" s="89" t="s">
        <v>1007</v>
      </c>
      <c r="DN4" s="92" t="s">
        <v>78</v>
      </c>
      <c r="DO4" s="92" t="s">
        <v>81</v>
      </c>
      <c r="DP4" s="92" t="s">
        <v>213</v>
      </c>
      <c r="DQ4" s="92" t="s">
        <v>83</v>
      </c>
      <c r="DR4" s="63" t="s">
        <v>73</v>
      </c>
      <c r="DS4" s="63" t="s">
        <v>74</v>
      </c>
      <c r="DT4" s="63" t="s">
        <v>1017</v>
      </c>
      <c r="DU4" s="63" t="s">
        <v>1016</v>
      </c>
    </row>
    <row r="5" spans="14:125" s="74" customFormat="1" ht="15.6" customHeight="1">
      <c r="AA5" s="184" t="str">
        <f>IFERROR(VLOOKUP(UO_List[[#This Row],[Unique_AIB_ID]],Tableau1[[Unique_AIB_ID]:[Building / Room]],2,FALSE),"")</f>
        <v>C000482017</v>
      </c>
      <c r="AB5" s="185">
        <f>IFERROR(VLOOKUP(UO_List[[#This Row],[Unique_AIB_ID]],UO_Contract!A7:V196,3,TRUE),"")</f>
        <v>0</v>
      </c>
      <c r="AC5" s="184" t="str">
        <f>IFERROR(VLOOKUP(UO_List[[#This Row],[Unique_AIB_ID]],Tableau1[[Unique_AIB_ID]:[Building / Room]],4,FALSE),"")</f>
        <v>WPA - SII - PJOP - Airbus - WD1701094 - Flight and Integration Test CT1705359</v>
      </c>
      <c r="AD5" s="185">
        <f>IFERROR(VLOOKUP(UO_List[[#This Row],[Unique_AIB_ID]],Tableau1[[Unique_AIB_ID]:[Building / Room]],5,FALSE),"")</f>
        <v>0</v>
      </c>
      <c r="AE5" s="185">
        <f>IFERROR(VLOOKUP(UO_List[[#This Row],[Unique_AIB_ID]],Tableau1[[Unique_AIB_ID]:[Building / Room]],6,FALSE),"")</f>
        <v>1</v>
      </c>
      <c r="AF5" s="185" t="str">
        <f>IFERROR(VLOOKUP(UO_List[[#This Row],[Unique_AIB_ID]],Tableau1[[Unique_AIB_ID]:[Building / Room]],7,FALSE),"")</f>
        <v>5 Each of WU_PROP_S[PJE_SII_EVYP_USD_AIRBUS_FR]</v>
      </c>
      <c r="AG5" s="185">
        <f>IFERROR(VLOOKUP(UO_List[[#This Row],[Unique_AIB_ID]],Tableau1[[Unique_AIB_ID]:[Building / Room]],8,FALSE),"")</f>
        <v>5</v>
      </c>
      <c r="AH5" s="186">
        <f>IFERROR(VALUE(VLOOKUP(UO_List[[#This Row],[Unique_AIB_ID]],Tableau1[[Unique_AIB_ID]:[Building / Room]],9,FALSE)),"")</f>
        <v>16800</v>
      </c>
      <c r="AI5" s="185">
        <f>IFERROR(VLOOKUP(UO_List[[#This Row],[Unique_AIB_ID]],Tableau1[[Unique_AIB_ID]:[Building / Room]],10,TRUE),"")</f>
        <v>0</v>
      </c>
      <c r="AJ5" s="187">
        <f>IFERROR(VLOOKUP(UO_List[[#This Row],[Unique_AIB_ID]],Tableau1[[Unique_AIB_ID]:[Building / Room]],11,FALSE),"")</f>
        <v>0</v>
      </c>
      <c r="AK5" s="185">
        <f>IFERROR(VLOOKUP(UO_List[[#This Row],[Unique_AIB_ID]],Tableau1[[Unique_AIB_ID]:[Building / Room]],12,FALSE),"")</f>
        <v>0</v>
      </c>
      <c r="AL5" s="185">
        <f>IFERROR(VLOOKUP(UO_List[[#This Row],[Unique_AIB_ID]],Tableau1[[Unique_AIB_ID]:[Building / Room]],13,FALSE),"")</f>
        <v>0</v>
      </c>
      <c r="AM5" s="183">
        <f>IFERROR(VLOOKUP(UO_List[[#This Row],[Unique_AIB_ID]],Tableau1[[Unique_AIB_ID]:[Building / Room]],14,FALSE),"")</f>
        <v>0</v>
      </c>
      <c r="AN5" s="183">
        <f>IFERROR(VLOOKUP(UO_List[[#This Row],[Unique_AIB_ID]],Tableau1[[Unique_AIB_ID]:[Building / Room]],15,FALSE),"")</f>
        <v>0</v>
      </c>
      <c r="AO5" s="183">
        <f>IFERROR(VLOOKUP(UO_List[[#This Row],[Unique_AIB_ID]],Tableau1[[Unique_AIB_ID]:[Building / Room]],16,FALSE),"")</f>
        <v>0</v>
      </c>
      <c r="AP5" s="183" t="str">
        <f>IFERROR(VLOOKUP(UO_List[[#This Row],[Unique_AIB_ID]],Tableau1[[Unique_AIB_ID]:[Building / Room]],17,FALSE),"")</f>
        <v>0</v>
      </c>
      <c r="AQ5" s="183">
        <f>IFERROR(VLOOKUP(UO_List[[#This Row],[Unique_AIB_ID]],Tableau1[[Unique_AIB_ID]:[Building / Room]],18,FALSE),"")</f>
        <v>0</v>
      </c>
      <c r="AR5" s="183" t="str">
        <f>IFERROR(VLOOKUP(UO_List[[#This Row],[Unique_AIB_ID]],Tableau1[[Unique_AIB_ID]:[Building / Room]],19,FALSE),"")</f>
        <v>03/25/20</v>
      </c>
      <c r="AS5" s="183">
        <f>IFERROR(VLOOKUP(UO_List[[#This Row],[Unique_AIB_ID]],Tableau1[[Unique_AIB_ID]:[Building / Room]],20,FALSE),"")</f>
        <v>0</v>
      </c>
      <c r="AT5" s="183">
        <f>IFERROR(VLOOKUP(UO_List[[#This Row],[Unique_AIB_ID]],Tableau1[[Unique_AIB_ID]:[Building / Room]],21,FALSE),"")</f>
        <v>0</v>
      </c>
      <c r="AU5" s="183" t="str">
        <f>IFERROR(VLOOKUP(UO_List[[#This Row],[Unique_AIB_ID]],Tableau1[[Unique_AIB_ID]:[Building / Room]],22,FALSE),"")</f>
        <v>M24 / B032</v>
      </c>
      <c r="AV5" s="167" t="str">
        <f>IFERROR(VLOOKUP(UO_List[[#This Row],[Unique_AIB_ID]],Tableau1[[Unique_AIB_ID]:[Currency]],23,FALSE),"")</f>
        <v>Q 1 / Flow activities - Fixed part</v>
      </c>
      <c r="AW5" s="167">
        <f>IFERROR(IF(ISBLANK(UO_List[[#This Row],[PO Number (Header)]]),"",UO_List[[#This Row],[Line Total]]/UO_List[[#This Row],[Total Item Quantity]]),"")</f>
        <v>3360</v>
      </c>
      <c r="AX5" s="498" t="s">
        <v>870</v>
      </c>
      <c r="AY5" s="167"/>
      <c r="AZ5" s="78" t="s">
        <v>844</v>
      </c>
      <c r="BA5" s="78"/>
      <c r="BB5" s="78"/>
      <c r="BC5" s="78" t="s">
        <v>696</v>
      </c>
      <c r="BD5" s="70" t="s">
        <v>687</v>
      </c>
      <c r="BE5" s="78" t="s">
        <v>687</v>
      </c>
      <c r="BF5" s="78" t="s">
        <v>191</v>
      </c>
      <c r="BG5" s="78"/>
      <c r="BH5" s="78" t="s">
        <v>859</v>
      </c>
      <c r="BI5" s="78" t="s">
        <v>984</v>
      </c>
      <c r="BJ5" s="79"/>
      <c r="BK5" s="79">
        <v>43831</v>
      </c>
      <c r="BL5" s="79">
        <v>43921</v>
      </c>
      <c r="BM5" s="71">
        <v>1</v>
      </c>
      <c r="BN5" s="71">
        <f>IFERROR(UO_List[[#This Row],[Total Item Quantity]]-UO_List[[#This Row],[Facteur]],"")</f>
        <v>4</v>
      </c>
      <c r="BO5" s="349">
        <f>IFERROR(IF(ISBLANK(UO_List[[#This Row],[Id_UO]]),"",SUMPRODUCT(1*(EXACT(UO_List[[#This Row],[Id_UO]],CATALOGUE[Id_WU]))*CATALOGUE[Price $])),"")</f>
        <v>3360</v>
      </c>
      <c r="BP5" s="350">
        <f>IFERROR(UO_List[[#This Row],[Prix unitaire]]*UO_List[[#This Row],[Facteur]],"")</f>
        <v>3360</v>
      </c>
      <c r="BQ5" s="100">
        <f>IFERROR(SUMPRODUCT(1*(EXACT(UO_List[[#This Row],[Id_UO]],CATALOGUE[Id_WU]))*CATALOGUE[Global_Workload_PM_(d)]*UO_List[[#This Row],[Facteur]]),"")</f>
        <v>0.90000000000000036</v>
      </c>
      <c r="BR5" s="286">
        <f>UO_List[[#This Row],[Jours GP]]/jours_an</f>
        <v>4.1666666666666683E-3</v>
      </c>
      <c r="BS5" s="72">
        <f>IFERROR(SUMPRODUCT(1*(EXACT(UO_List[[#This Row],[Id_UO]],CATALOGUE[Id_WU]))*CATALOGUE[Global_Workload_Tech_(d)]*UO_List[[#This Row],[Facteur]]),"")</f>
        <v>5.0999999999999996</v>
      </c>
      <c r="BT5" s="286">
        <f>UO_List[[#This Row],[Jours Tech]]/jours_an</f>
        <v>2.361111111111111E-2</v>
      </c>
      <c r="BU5" s="72">
        <f>UO_List[[#This Row],[Jours GP]]+UO_List[[#This Row],[Jours Tech]]</f>
        <v>6</v>
      </c>
      <c r="BV5" s="286">
        <f>UO_List[[#This Row],[ETP GP]]+UO_List[[#This Row],[ETP Tech]]</f>
        <v>2.777777777777778E-2</v>
      </c>
      <c r="BW5" s="73" t="s">
        <v>209</v>
      </c>
      <c r="BX5" s="515" t="s">
        <v>203</v>
      </c>
      <c r="BY5" s="462">
        <f>IF(UO_List[[#This Row],[Budget Revue]]="x",UO_List[[#This Row],[Montant TOTAL]],0)</f>
        <v>3360</v>
      </c>
      <c r="BZ5" s="80">
        <f>IF(UO_List[[#This Row],[Budget Revue]]="x",UO_List[[#This Row],[Jours Tech]],0)</f>
        <v>5.0999999999999996</v>
      </c>
      <c r="CA5" s="80">
        <f>IF(UO_List[[#This Row],[Budget Revue]]="x",UO_List[[#This Row],[Jours GP]],0)</f>
        <v>0.90000000000000036</v>
      </c>
      <c r="CB5" s="516">
        <f>IF(AND(UO_List[[#This Row],[Budget Revue]]="x",$BK5&lt;&gt;"",$BL5&lt;&gt;"",YEAR(BB$3)=YEAR($BK5),MONTH(BB$3)&gt;=MONTH($BK5),MONTH(BB$3)&lt;=MONTH($BL5)),$BS5/(MONTH($BL5)-MONTH($BK5)+1),"")</f>
        <v>1.7</v>
      </c>
      <c r="CC5" s="80">
        <f>IF(AND(UO_List[[#This Row],[Budget Revue]]="x",$BK5&lt;&gt;"",$BL5&lt;&gt;"",YEAR(BC$3)=YEAR($BK5),MONTH(BC$3)&gt;=MONTH($BK5),MONTH(BC$3)&lt;=MONTH($BL5)),$BS5/(MONTH($BL5)-MONTH($BK5)+1),"")</f>
        <v>1.7</v>
      </c>
      <c r="CD5" s="80">
        <f>IF(AND(UO_List[[#This Row],[Budget Revue]]="x",$BK5&lt;&gt;"",$BL5&lt;&gt;"",YEAR(BD$3)=YEAR($BK5),MONTH(BD$3)&gt;=MONTH($BK5),MONTH(BD$3)&lt;=MONTH($BL5)),$BS5/(MONTH($BL5)-MONTH($BK5)+1),"")</f>
        <v>1.7</v>
      </c>
      <c r="CE5" s="80" t="str">
        <f>IF(AND(UO_List[[#This Row],[Budget Revue]]="x",$BK5&lt;&gt;"",$BL5&lt;&gt;"",YEAR(BE$3)=YEAR($BK5),MONTH(BE$3)&gt;=MONTH($BK5),MONTH(BE$3)&lt;=MONTH($BL5)),$BS5/(MONTH($BL5)-MONTH($BK5)+1),"")</f>
        <v/>
      </c>
      <c r="CF5" s="80" t="str">
        <f>IF(AND(UO_List[[#This Row],[Budget Revue]]="x",$BK5&lt;&gt;"",$BL5&lt;&gt;"",YEAR(BF$3)=YEAR($BK5),MONTH(BF$3)&gt;=MONTH($BK5),MONTH(BF$3)&lt;=MONTH($BL5)),$BS5/(MONTH($BL5)-MONTH($BK5)+1),"")</f>
        <v/>
      </c>
      <c r="CG5" s="80" t="str">
        <f>IF(AND(UO_List[[#This Row],[Budget Revue]]="x",$BK5&lt;&gt;"",$BL5&lt;&gt;"",YEAR(BG$3)=YEAR($BK5),MONTH(BG$3)&gt;=MONTH($BK5),MONTH(BG$3)&lt;=MONTH($BL5)),$BS5/(MONTH($BL5)-MONTH($BK5)+1),"")</f>
        <v/>
      </c>
      <c r="CH5" s="80" t="str">
        <f>IF(AND(UO_List[[#This Row],[Budget Revue]]="x",$BK5&lt;&gt;"",$BL5&lt;&gt;"",YEAR(BH$3)=YEAR($BK5),MONTH(BH$3)&gt;=MONTH($BK5),MONTH(BH$3)&lt;=MONTH($BL5)),$BS5/(MONTH($BL5)-MONTH($BK5)+1),"")</f>
        <v/>
      </c>
      <c r="CI5" s="80" t="str">
        <f>IF(AND(UO_List[[#This Row],[Budget Revue]]="x",$BK5&lt;&gt;"",$BL5&lt;&gt;"",YEAR(BI$3)=YEAR($BK5),MONTH(BI$3)&gt;=MONTH($BK5),MONTH(BI$3)&lt;=MONTH($BL5)),$BS5/(MONTH($BL5)-MONTH($BK5)+1),"")</f>
        <v/>
      </c>
      <c r="CJ5" s="80" t="str">
        <f>IF(AND(UO_List[[#This Row],[Budget Revue]]="x",$BK5&lt;&gt;"",$BL5&lt;&gt;"",YEAR(BJ$3)=YEAR($BK5),MONTH(BJ$3)&gt;=MONTH($BK5),MONTH(BJ$3)&lt;=MONTH($BL5)),$BS5/(MONTH($BL5)-MONTH($BK5)+1),"")</f>
        <v/>
      </c>
      <c r="CK5" s="80" t="str">
        <f>IF(AND(UO_List[[#This Row],[Budget Revue]]="x",$BK5&lt;&gt;"",$BL5&lt;&gt;"",YEAR(BK$3)=YEAR($BK5),MONTH(BK$3)&gt;=MONTH($BK5),MONTH(BK$3)&lt;=MONTH($BL5)),$BS5/(MONTH($BL5)-MONTH($BK5)+1),"")</f>
        <v/>
      </c>
      <c r="CL5" s="80" t="str">
        <f>IF(AND(UO_List[[#This Row],[Budget Revue]]="x",$BK5&lt;&gt;"",$BL5&lt;&gt;"",YEAR(BL$3)=YEAR($BK5),MONTH(BL$3)&gt;=MONTH($BK5),MONTH(BL$3)&lt;=MONTH($BL5)),$BS5/(MONTH($BL5)-MONTH($BK5)+1),"")</f>
        <v/>
      </c>
      <c r="CM5" s="80" t="str">
        <f>IF(AND(UO_List[[#This Row],[Budget Revue]]="x",$BK5&lt;&gt;"",$BL5&lt;&gt;"",YEAR(BM$3)=YEAR($BK5),MONTH(BM$3)&gt;=MONTH($BK5),MONTH(BM$3)&lt;=MONTH($BL5)),$BS5/(MONTH($BL5)-MONTH($BK5)+1),"")</f>
        <v/>
      </c>
      <c r="CN5" s="75">
        <f>IF(UO_List[[#This Row],[Budget Revue]]="x",SUM(UO_List[[#This Row],[JANVIER]:[DECEMBRE]])-UO_List[[#This Row],[Jours Tech]],"")</f>
        <v>0</v>
      </c>
      <c r="CO5" s="348">
        <f>IF(AND(UO_List[[#This Row],[Budget Revue]]="x",$BK5&lt;&gt;"",$BL5&lt;&gt;"",YEAR(BO$3)=YEAR($BK5),MONTH(BO$3)&gt;=MONTH($BK5),MONTH(BO$3)&lt;=MONTH($BL5)),UO_List[[#This Row],[Montant TOTAL]]/(MONTH($BL5)-MONTH($BK5)+1),"")</f>
        <v>1120</v>
      </c>
      <c r="CP5" s="348">
        <f>IF(AND(UO_List[[#This Row],[Budget Revue]]="x",$BK5&lt;&gt;"",$BL5&lt;&gt;"",YEAR(BP$3)=YEAR($BK5),MONTH(BP$3)&gt;=MONTH($BK5),MONTH(BP$3)&lt;=MONTH($BL5)),UO_List[[#This Row],[Montant TOTAL]]/(MONTH($BL5)-MONTH($BK5)+1),"")</f>
        <v>1120</v>
      </c>
      <c r="CQ5" s="348">
        <f>IF(AND(UO_List[[#This Row],[Budget Revue]]="x",$BK5&lt;&gt;"",$BL5&lt;&gt;"",YEAR(BQ$3)=YEAR($BK5),MONTH(BQ$3)&gt;=MONTH($BK5),MONTH(BQ$3)&lt;=MONTH($BL5)),UO_List[[#This Row],[Montant TOTAL]]/(MONTH($BL5)-MONTH($BK5)+1),"")</f>
        <v>1120</v>
      </c>
      <c r="CR5" s="348" t="str">
        <f>IF(AND(UO_List[[#This Row],[Budget Revue]]="x",$BK5&lt;&gt;"",$BL5&lt;&gt;"",YEAR(BR$3)=YEAR($BK5),MONTH(BR$3)&gt;=MONTH($BK5),MONTH(BR$3)&lt;=MONTH($BL5)),UO_List[[#This Row],[Montant TOTAL]]/(MONTH($BL5)-MONTH($BK5)+1),"")</f>
        <v/>
      </c>
      <c r="CS5" s="348" t="str">
        <f>IF(AND(UO_List[[#This Row],[Budget Revue]]="x",$BK5&lt;&gt;"",$BL5&lt;&gt;"",YEAR(BS$3)=YEAR($BK5),MONTH(BS$3)&gt;=MONTH($BK5),MONTH(BS$3)&lt;=MONTH($BL5)),UO_List[[#This Row],[Montant TOTAL]]/(MONTH($BL5)-MONTH($BK5)+1),"")</f>
        <v/>
      </c>
      <c r="CT5" s="348" t="str">
        <f>IF(AND(UO_List[[#This Row],[Budget Revue]]="x",$BK5&lt;&gt;"",$BL5&lt;&gt;"",YEAR(BT$3)=YEAR($BK5),MONTH(BT$3)&gt;=MONTH($BK5),MONTH(BT$3)&lt;=MONTH($BL5)),UO_List[[#This Row],[Montant TOTAL]]/(MONTH($BL5)-MONTH($BK5)+1),"")</f>
        <v/>
      </c>
      <c r="CU5" s="348" t="str">
        <f>IF(AND(UO_List[[#This Row],[Budget Revue]]="x",$BK5&lt;&gt;"",$BL5&lt;&gt;"",YEAR(BU$3)=YEAR($BK5),MONTH(BU$3)&gt;=MONTH($BK5),MONTH(BU$3)&lt;=MONTH($BL5)),UO_List[[#This Row],[Montant TOTAL]]/(MONTH($BL5)-MONTH($BK5)+1),"")</f>
        <v/>
      </c>
      <c r="CV5" s="348" t="str">
        <f>IF(AND(UO_List[[#This Row],[Budget Revue]]="x",$BK5&lt;&gt;"",$BL5&lt;&gt;"",YEAR(BV$3)=YEAR($BK5),MONTH(BV$3)&gt;=MONTH($BK5),MONTH(BV$3)&lt;=MONTH($BL5)),UO_List[[#This Row],[Montant TOTAL]]/(MONTH($BL5)-MONTH($BK5)+1),"")</f>
        <v/>
      </c>
      <c r="CW5" s="348" t="str">
        <f>IF(AND(UO_List[[#This Row],[Budget Revue]]="x",$BK5&lt;&gt;"",$BL5&lt;&gt;"",YEAR(BW$3)=YEAR($BK5),MONTH(BW$3)&gt;=MONTH($BK5),MONTH(BW$3)&lt;=MONTH($BL5)),UO_List[[#This Row],[Montant TOTAL]]/(MONTH($BL5)-MONTH($BK5)+1),"")</f>
        <v/>
      </c>
      <c r="CX5" s="348" t="str">
        <f>IF(AND(UO_List[[#This Row],[Budget Revue]]="x",$BK5&lt;&gt;"",$BL5&lt;&gt;"",YEAR(BX$3)=YEAR($BK5),MONTH(BX$3)&gt;=MONTH($BK5),MONTH(BX$3)&lt;=MONTH($BL5)),UO_List[[#This Row],[Montant TOTAL]]/(MONTH($BL5)-MONTH($BK5)+1),"")</f>
        <v/>
      </c>
      <c r="CY5" s="348" t="str">
        <f>IF(AND(UO_List[[#This Row],[Budget Revue]]="x",$BK5&lt;&gt;"",$BL5&lt;&gt;"",YEAR(BY$3)=YEAR($BK5),MONTH(BY$3)&gt;=MONTH($BK5),MONTH(BY$3)&lt;=MONTH($BL5)),UO_List[[#This Row],[Montant TOTAL]]/(MONTH($BL5)-MONTH($BK5)+1),"")</f>
        <v/>
      </c>
      <c r="CZ5" s="348" t="str">
        <f>IF(AND(UO_List[[#This Row],[Budget Revue]]="x",$BK5&lt;&gt;"",$BL5&lt;&gt;"",YEAR(BY$3)=YEAR($BK5),MONTH(BY$3)&gt;=MONTH($BK5),MONTH(BY$3)&lt;=MONTH($BL5)),UO_List[[#This Row],[Montant TOTAL]]/(MONTH($BL5)-MONTH($BK5)+1),"")</f>
        <v/>
      </c>
      <c r="DA5" s="348">
        <f>IF(UO_List[[#This Row],[Budget Revue]]="x",SUM(UO_List[[#This Row],[JANVIER2]:[DECEMBRE2]])-UO_List[Montant TOTAL],"")</f>
        <v>0</v>
      </c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5" s="76">
        <f>IFERROR(UO_List[[#This Row],[Line Total]]-UO_List[[#This Row],[Montant total réceptionné]],"")</f>
        <v>16800</v>
      </c>
      <c r="DP5" s="76">
        <f>IFERROR(UO_List[[#This Row],[Total item réceptionné]]*UO_List[[#This Row],[Unit Price (calcul)]],0)</f>
        <v>0</v>
      </c>
      <c r="DQ5" s="76">
        <f>UO_List[[#This Row],[Facteur]]-UO_List[[#This Row],[Total item réceptionné]]</f>
        <v>1</v>
      </c>
      <c r="DR5" s="77"/>
      <c r="DS5" s="77"/>
      <c r="DT5" s="158"/>
      <c r="DU5" s="77"/>
    </row>
    <row r="6" spans="14:125" s="74" customFormat="1" ht="16.5" customHeight="1">
      <c r="AA6" s="188" t="str">
        <f>IFERROR(VLOOKUP(UO_List[[#This Row],[Unique_AIB_ID]],Tableau1[[Unique_AIB_ID]:[Building / Room]],2,FALSE),"")</f>
        <v>C000482017</v>
      </c>
      <c r="AB6" s="189">
        <f>IFERROR(VLOOKUP(UO_List[[#This Row],[Unique_AIB_ID]],UO_Contract!A8:V197,3,TRUE),"")</f>
        <v>0</v>
      </c>
      <c r="AC6" s="188" t="str">
        <f>IFERROR(VLOOKUP(UO_List[[#This Row],[Unique_AIB_ID]],Tableau1[[Unique_AIB_ID]:[Building / Room]],4,FALSE),"")</f>
        <v>WPA - SII - PJOP - Airbus - WD1701094 - Flight and Integration Test CT1705359</v>
      </c>
      <c r="AD6" s="189">
        <f>IFERROR(VLOOKUP(UO_List[[#This Row],[Unique_AIB_ID]],Tableau1[[Unique_AIB_ID]:[Building / Room]],5,FALSE),"")</f>
        <v>0</v>
      </c>
      <c r="AE6" s="189">
        <f>IFERROR(VLOOKUP(UO_List[[#This Row],[Unique_AIB_ID]],Tableau1[[Unique_AIB_ID]:[Building / Room]],6,FALSE),"")</f>
        <v>2</v>
      </c>
      <c r="AF6" s="189" t="str">
        <f>IFERROR(VLOOKUP(UO_List[[#This Row],[Unique_AIB_ID]],Tableau1[[Unique_AIB_ID]:[Building / Room]],7,FALSE),"")</f>
        <v>3 Each of WU_PROP_S[PJE_SII_EVYP_USD_AIRBUS_FR]</v>
      </c>
      <c r="AG6" s="189">
        <f>IFERROR(VLOOKUP(UO_List[[#This Row],[Unique_AIB_ID]],Tableau1[[Unique_AIB_ID]:[Building / Room]],8,FALSE),"")</f>
        <v>3</v>
      </c>
      <c r="AH6" s="190">
        <f>IFERROR(VALUE(VLOOKUP(UO_List[[#This Row],[Unique_AIB_ID]],Tableau1[[Unique_AIB_ID]:[Building / Room]],9,FALSE)),"")</f>
        <v>10080</v>
      </c>
      <c r="AI6" s="189">
        <f>IFERROR(VLOOKUP(UO_List[[#This Row],[Unique_AIB_ID]],Tableau1[[Unique_AIB_ID]:[Building / Room]],10,TRUE),"")</f>
        <v>0</v>
      </c>
      <c r="AJ6" s="191">
        <f>IFERROR(VLOOKUP(UO_List[[#This Row],[Unique_AIB_ID]],Tableau1[[Unique_AIB_ID]:[Building / Room]],11,FALSE),"")</f>
        <v>0</v>
      </c>
      <c r="AK6" s="189">
        <f>IFERROR(VLOOKUP(UO_List[[#This Row],[Unique_AIB_ID]],Tableau1[[Unique_AIB_ID]:[Building / Room]],12,FALSE),"")</f>
        <v>0</v>
      </c>
      <c r="AL6" s="189">
        <f>IFERROR(VLOOKUP(UO_List[[#This Row],[Unique_AIB_ID]],Tableau1[[Unique_AIB_ID]:[Building / Room]],13,FALSE),"")</f>
        <v>0</v>
      </c>
      <c r="AM6" s="183">
        <f>IFERROR(VLOOKUP(UO_List[[#This Row],[Unique_AIB_ID]],Tableau1[[Unique_AIB_ID]:[Building / Room]],14,FALSE),"")</f>
        <v>0</v>
      </c>
      <c r="AN6" s="183">
        <f>IFERROR(VLOOKUP(UO_List[[#This Row],[Unique_AIB_ID]],Tableau1[[Unique_AIB_ID]:[Building / Room]],15,FALSE),"")</f>
        <v>0</v>
      </c>
      <c r="AO6" s="183">
        <f>IFERROR(VLOOKUP(UO_List[[#This Row],[Unique_AIB_ID]],Tableau1[[Unique_AIB_ID]:[Building / Room]],16,FALSE),"")</f>
        <v>0</v>
      </c>
      <c r="AP6" s="183" t="str">
        <f>IFERROR(VLOOKUP(UO_List[[#This Row],[Unique_AIB_ID]],Tableau1[[Unique_AIB_ID]:[Building / Room]],17,FALSE),"")</f>
        <v>0</v>
      </c>
      <c r="AQ6" s="183">
        <f>IFERROR(VLOOKUP(UO_List[[#This Row],[Unique_AIB_ID]],Tableau1[[Unique_AIB_ID]:[Building / Room]],18,FALSE),"")</f>
        <v>0</v>
      </c>
      <c r="AR6" s="183" t="str">
        <f>IFERROR(VLOOKUP(UO_List[[#This Row],[Unique_AIB_ID]],Tableau1[[Unique_AIB_ID]:[Building / Room]],19,FALSE),"")</f>
        <v>03/25/20</v>
      </c>
      <c r="AS6" s="183">
        <f>IFERROR(VLOOKUP(UO_List[[#This Row],[Unique_AIB_ID]],Tableau1[[Unique_AIB_ID]:[Building / Room]],20,FALSE),"")</f>
        <v>0</v>
      </c>
      <c r="AT6" s="183">
        <f>IFERROR(VLOOKUP(UO_List[[#This Row],[Unique_AIB_ID]],Tableau1[[Unique_AIB_ID]:[Building / Room]],21,FALSE),"")</f>
        <v>0</v>
      </c>
      <c r="AU6" s="183" t="str">
        <f>IFERROR(VLOOKUP(UO_List[[#This Row],[Unique_AIB_ID]],Tableau1[[Unique_AIB_ID]:[Building / Room]],22,FALSE),"")</f>
        <v>M24 / B032</v>
      </c>
      <c r="AV6" s="167" t="str">
        <f>IFERROR(VLOOKUP(UO_List[[#This Row],[Unique_AIB_ID]],Tableau1[[Unique_AIB_ID]:[Currency]],23,FALSE),"")</f>
        <v>Q 1 / Beluga XL FT CC16</v>
      </c>
      <c r="AW6" s="167">
        <f>IFERROR(IF(ISBLANK(UO_List[[#This Row],[PO Number (Header)]]),"",UO_List[[#This Row],[Line Total]]/UO_List[[#This Row],[Total Item Quantity]]),"")</f>
        <v>3360</v>
      </c>
      <c r="AX6" s="498" t="s">
        <v>871</v>
      </c>
      <c r="AY6" s="167"/>
      <c r="AZ6" s="78" t="s">
        <v>844</v>
      </c>
      <c r="BA6" s="78"/>
      <c r="BB6" s="78"/>
      <c r="BC6" s="78" t="s">
        <v>696</v>
      </c>
      <c r="BD6" s="70" t="s">
        <v>687</v>
      </c>
      <c r="BE6" s="78" t="s">
        <v>687</v>
      </c>
      <c r="BF6" s="78" t="s">
        <v>192</v>
      </c>
      <c r="BG6" s="78"/>
      <c r="BH6" s="78" t="s">
        <v>839</v>
      </c>
      <c r="BI6" s="78" t="s">
        <v>1015</v>
      </c>
      <c r="BJ6" s="79"/>
      <c r="BK6" s="79">
        <v>43831</v>
      </c>
      <c r="BL6" s="79">
        <v>43921</v>
      </c>
      <c r="BM6" s="71">
        <v>3</v>
      </c>
      <c r="BN6" s="71">
        <f>IFERROR(UO_List[[#This Row],[Total Item Quantity]]-UO_List[[#This Row],[Facteur]],"")</f>
        <v>0</v>
      </c>
      <c r="BO6" s="349">
        <f>IFERROR(IF(ISBLANK(UO_List[[#This Row],[Id_UO]]),"",SUMPRODUCT(1*(EXACT(UO_List[[#This Row],[Id_UO]],CATALOGUE[Id_WU]))*CATALOGUE[Price $])),"")</f>
        <v>3360</v>
      </c>
      <c r="BP6" s="350">
        <f>IFERROR(UO_List[[#This Row],[Prix unitaire]]*UO_List[[#This Row],[Facteur]],"")</f>
        <v>10080</v>
      </c>
      <c r="BQ6" s="100">
        <f>IFERROR(SUMPRODUCT(1*(EXACT(UO_List[[#This Row],[Id_UO]],CATALOGUE[Id_WU]))*CATALOGUE[Global_Workload_PM_(d)]*UO_List[[#This Row],[Facteur]]),"")</f>
        <v>2.7000000000000011</v>
      </c>
      <c r="BR6" s="286">
        <f>UO_List[[#This Row],[Jours GP]]/jours_an</f>
        <v>1.2500000000000004E-2</v>
      </c>
      <c r="BS6" s="72">
        <f>IFERROR(SUMPRODUCT(1*(EXACT(UO_List[[#This Row],[Id_UO]],CATALOGUE[Id_WU]))*CATALOGUE[Global_Workload_Tech_(d)]*UO_List[[#This Row],[Facteur]]),"")</f>
        <v>15.299999999999999</v>
      </c>
      <c r="BT6" s="286">
        <f>UO_List[[#This Row],[Jours Tech]]/jours_an</f>
        <v>7.0833333333333331E-2</v>
      </c>
      <c r="BU6" s="72">
        <f>UO_List[[#This Row],[Jours GP]]+UO_List[[#This Row],[Jours Tech]]</f>
        <v>18</v>
      </c>
      <c r="BV6" s="286">
        <f>UO_List[[#This Row],[ETP GP]]+UO_List[[#This Row],[ETP Tech]]</f>
        <v>8.3333333333333343E-2</v>
      </c>
      <c r="BW6" s="73" t="s">
        <v>209</v>
      </c>
      <c r="BX6" s="515" t="s">
        <v>203</v>
      </c>
      <c r="BY6" s="462">
        <f>IF(UO_List[[#This Row],[Budget Revue]]="x",UO_List[[#This Row],[Montant TOTAL]],0)</f>
        <v>10080</v>
      </c>
      <c r="BZ6" s="80">
        <f>IF(UO_List[[#This Row],[Budget Revue]]="x",UO_List[[#This Row],[Jours Tech]],0)</f>
        <v>15.299999999999999</v>
      </c>
      <c r="CA6" s="80">
        <f>IF(UO_List[[#This Row],[Budget Revue]]="x",UO_List[[#This Row],[Jours GP]],0)</f>
        <v>2.7000000000000011</v>
      </c>
      <c r="CB6" s="516">
        <f>IF(AND(UO_List[[#This Row],[Budget Revue]]="x",$BK6&lt;&gt;"",$BL6&lt;&gt;"",YEAR(BB$3)=YEAR($BK6),MONTH(BB$3)&gt;=MONTH($BK6),MONTH(BB$3)&lt;=MONTH($BL6)),$BS6/(MONTH($BL6)-MONTH($BK6)+1),"")</f>
        <v>5.0999999999999996</v>
      </c>
      <c r="CC6" s="80">
        <f>IF(AND(UO_List[[#This Row],[Budget Revue]]="x",$BK6&lt;&gt;"",$BL6&lt;&gt;"",YEAR(BC$3)=YEAR($BK6),MONTH(BC$3)&gt;=MONTH($BK6),MONTH(BC$3)&lt;=MONTH($BL6)),$BS6/(MONTH($BL6)-MONTH($BK6)+1),"")</f>
        <v>5.0999999999999996</v>
      </c>
      <c r="CD6" s="80">
        <f>IF(AND(UO_List[[#This Row],[Budget Revue]]="x",$BK6&lt;&gt;"",$BL6&lt;&gt;"",YEAR(BD$3)=YEAR($BK6),MONTH(BD$3)&gt;=MONTH($BK6),MONTH(BD$3)&lt;=MONTH($BL6)),$BS6/(MONTH($BL6)-MONTH($BK6)+1),"")</f>
        <v>5.0999999999999996</v>
      </c>
      <c r="CE6" s="80" t="str">
        <f>IF(AND(UO_List[[#This Row],[Budget Revue]]="x",$BK6&lt;&gt;"",$BL6&lt;&gt;"",YEAR(BE$3)=YEAR($BK6),MONTH(BE$3)&gt;=MONTH($BK6),MONTH(BE$3)&lt;=MONTH($BL6)),$BS6/(MONTH($BL6)-MONTH($BK6)+1),"")</f>
        <v/>
      </c>
      <c r="CF6" s="80" t="str">
        <f>IF(AND(UO_List[[#This Row],[Budget Revue]]="x",$BK6&lt;&gt;"",$BL6&lt;&gt;"",YEAR(BF$3)=YEAR($BK6),MONTH(BF$3)&gt;=MONTH($BK6),MONTH(BF$3)&lt;=MONTH($BL6)),$BS6/(MONTH($BL6)-MONTH($BK6)+1),"")</f>
        <v/>
      </c>
      <c r="CG6" s="80" t="str">
        <f>IF(AND(UO_List[[#This Row],[Budget Revue]]="x",$BK6&lt;&gt;"",$BL6&lt;&gt;"",YEAR(BG$3)=YEAR($BK6),MONTH(BG$3)&gt;=MONTH($BK6),MONTH(BG$3)&lt;=MONTH($BL6)),$BS6/(MONTH($BL6)-MONTH($BK6)+1),"")</f>
        <v/>
      </c>
      <c r="CH6" s="80" t="str">
        <f>IF(AND(UO_List[[#This Row],[Budget Revue]]="x",$BK6&lt;&gt;"",$BL6&lt;&gt;"",YEAR(BH$3)=YEAR($BK6),MONTH(BH$3)&gt;=MONTH($BK6),MONTH(BH$3)&lt;=MONTH($BL6)),$BS6/(MONTH($BL6)-MONTH($BK6)+1),"")</f>
        <v/>
      </c>
      <c r="CI6" s="80" t="str">
        <f>IF(AND(UO_List[[#This Row],[Budget Revue]]="x",$BK6&lt;&gt;"",$BL6&lt;&gt;"",YEAR(BI$3)=YEAR($BK6),MONTH(BI$3)&gt;=MONTH($BK6),MONTH(BI$3)&lt;=MONTH($BL6)),$BS6/(MONTH($BL6)-MONTH($BK6)+1),"")</f>
        <v/>
      </c>
      <c r="CJ6" s="80" t="str">
        <f>IF(AND(UO_List[[#This Row],[Budget Revue]]="x",$BK6&lt;&gt;"",$BL6&lt;&gt;"",YEAR(BJ$3)=YEAR($BK6),MONTH(BJ$3)&gt;=MONTH($BK6),MONTH(BJ$3)&lt;=MONTH($BL6)),$BS6/(MONTH($BL6)-MONTH($BK6)+1),"")</f>
        <v/>
      </c>
      <c r="CK6" s="80" t="str">
        <f>IF(AND(UO_List[[#This Row],[Budget Revue]]="x",$BK6&lt;&gt;"",$BL6&lt;&gt;"",YEAR(BK$3)=YEAR($BK6),MONTH(BK$3)&gt;=MONTH($BK6),MONTH(BK$3)&lt;=MONTH($BL6)),$BS6/(MONTH($BL6)-MONTH($BK6)+1),"")</f>
        <v/>
      </c>
      <c r="CL6" s="80" t="str">
        <f>IF(AND(UO_List[[#This Row],[Budget Revue]]="x",$BK6&lt;&gt;"",$BL6&lt;&gt;"",YEAR(BL$3)=YEAR($BK6),MONTH(BL$3)&gt;=MONTH($BK6),MONTH(BL$3)&lt;=MONTH($BL6)),$BS6/(MONTH($BL6)-MONTH($BK6)+1),"")</f>
        <v/>
      </c>
      <c r="CM6" s="80" t="str">
        <f>IF(AND(UO_List[[#This Row],[Budget Revue]]="x",$BK6&lt;&gt;"",$BL6&lt;&gt;"",YEAR(BM$3)=YEAR($BK6),MONTH(BM$3)&gt;=MONTH($BK6),MONTH(BM$3)&lt;=MONTH($BL6)),$BS6/(MONTH($BL6)-MONTH($BK6)+1),"")</f>
        <v/>
      </c>
      <c r="CN6" s="75">
        <f>IF(UO_List[[#This Row],[Budget Revue]]="x",SUM(UO_List[[#This Row],[JANVIER]:[DECEMBRE]])-UO_List[[#This Row],[Jours Tech]],"")</f>
        <v>0</v>
      </c>
      <c r="CO6" s="348">
        <f>IF(AND(UO_List[[#This Row],[Budget Revue]]="x",$BK6&lt;&gt;"",$BL6&lt;&gt;"",YEAR(BO$3)=YEAR($BK6),MONTH(BO$3)&gt;=MONTH($BK6),MONTH(BO$3)&lt;=MONTH($BL6)),UO_List[[#This Row],[Montant TOTAL]]/(MONTH($BL6)-MONTH($BK6)+1),"")</f>
        <v>3360</v>
      </c>
      <c r="CP6" s="348">
        <f>IF(AND(UO_List[[#This Row],[Budget Revue]]="x",$BK6&lt;&gt;"",$BL6&lt;&gt;"",YEAR(BP$3)=YEAR($BK6),MONTH(BP$3)&gt;=MONTH($BK6),MONTH(BP$3)&lt;=MONTH($BL6)),UO_List[[#This Row],[Montant TOTAL]]/(MONTH($BL6)-MONTH($BK6)+1),"")</f>
        <v>3360</v>
      </c>
      <c r="CQ6" s="348">
        <f>IF(AND(UO_List[[#This Row],[Budget Revue]]="x",$BK6&lt;&gt;"",$BL6&lt;&gt;"",YEAR(BQ$3)=YEAR($BK6),MONTH(BQ$3)&gt;=MONTH($BK6),MONTH(BQ$3)&lt;=MONTH($BL6)),UO_List[[#This Row],[Montant TOTAL]]/(MONTH($BL6)-MONTH($BK6)+1),"")</f>
        <v>3360</v>
      </c>
      <c r="CR6" s="348" t="str">
        <f>IF(AND(UO_List[[#This Row],[Budget Revue]]="x",$BK6&lt;&gt;"",$BL6&lt;&gt;"",YEAR(BR$3)=YEAR($BK6),MONTH(BR$3)&gt;=MONTH($BK6),MONTH(BR$3)&lt;=MONTH($BL6)),UO_List[[#This Row],[Montant TOTAL]]/(MONTH($BL6)-MONTH($BK6)+1),"")</f>
        <v/>
      </c>
      <c r="CS6" s="348" t="str">
        <f>IF(AND(UO_List[[#This Row],[Budget Revue]]="x",$BK6&lt;&gt;"",$BL6&lt;&gt;"",YEAR(BS$3)=YEAR($BK6),MONTH(BS$3)&gt;=MONTH($BK6),MONTH(BS$3)&lt;=MONTH($BL6)),UO_List[[#This Row],[Montant TOTAL]]/(MONTH($BL6)-MONTH($BK6)+1),"")</f>
        <v/>
      </c>
      <c r="CT6" s="348" t="str">
        <f>IF(AND(UO_List[[#This Row],[Budget Revue]]="x",$BK6&lt;&gt;"",$BL6&lt;&gt;"",YEAR(BT$3)=YEAR($BK6),MONTH(BT$3)&gt;=MONTH($BK6),MONTH(BT$3)&lt;=MONTH($BL6)),UO_List[[#This Row],[Montant TOTAL]]/(MONTH($BL6)-MONTH($BK6)+1),"")</f>
        <v/>
      </c>
      <c r="CU6" s="348" t="str">
        <f>IF(AND(UO_List[[#This Row],[Budget Revue]]="x",$BK6&lt;&gt;"",$BL6&lt;&gt;"",YEAR(BU$3)=YEAR($BK6),MONTH(BU$3)&gt;=MONTH($BK6),MONTH(BU$3)&lt;=MONTH($BL6)),UO_List[[#This Row],[Montant TOTAL]]/(MONTH($BL6)-MONTH($BK6)+1),"")</f>
        <v/>
      </c>
      <c r="CV6" s="348" t="str">
        <f>IF(AND(UO_List[[#This Row],[Budget Revue]]="x",$BK6&lt;&gt;"",$BL6&lt;&gt;"",YEAR(BV$3)=YEAR($BK6),MONTH(BV$3)&gt;=MONTH($BK6),MONTH(BV$3)&lt;=MONTH($BL6)),UO_List[[#This Row],[Montant TOTAL]]/(MONTH($BL6)-MONTH($BK6)+1),"")</f>
        <v/>
      </c>
      <c r="CW6" s="348" t="str">
        <f>IF(AND(UO_List[[#This Row],[Budget Revue]]="x",$BK6&lt;&gt;"",$BL6&lt;&gt;"",YEAR(BW$3)=YEAR($BK6),MONTH(BW$3)&gt;=MONTH($BK6),MONTH(BW$3)&lt;=MONTH($BL6)),UO_List[[#This Row],[Montant TOTAL]]/(MONTH($BL6)-MONTH($BK6)+1),"")</f>
        <v/>
      </c>
      <c r="CX6" s="348" t="str">
        <f>IF(AND(UO_List[[#This Row],[Budget Revue]]="x",$BK6&lt;&gt;"",$BL6&lt;&gt;"",YEAR(BX$3)=YEAR($BK6),MONTH(BX$3)&gt;=MONTH($BK6),MONTH(BX$3)&lt;=MONTH($BL6)),UO_List[[#This Row],[Montant TOTAL]]/(MONTH($BL6)-MONTH($BK6)+1),"")</f>
        <v/>
      </c>
      <c r="CY6" s="348" t="str">
        <f>IF(AND(UO_List[[#This Row],[Budget Revue]]="x",$BK6&lt;&gt;"",$BL6&lt;&gt;"",YEAR(BY$3)=YEAR($BK6),MONTH(BY$3)&gt;=MONTH($BK6),MONTH(BY$3)&lt;=MONTH($BL6)),UO_List[[#This Row],[Montant TOTAL]]/(MONTH($BL6)-MONTH($BK6)+1),"")</f>
        <v/>
      </c>
      <c r="CZ6" s="348" t="str">
        <f>IF(AND(UO_List[[#This Row],[Budget Revue]]="x",$BK6&lt;&gt;"",$BL6&lt;&gt;"",YEAR(BY$3)=YEAR($BK6),MONTH(BY$3)&gt;=MONTH($BK6),MONTH(BY$3)&lt;=MONTH($BL6)),UO_List[[#This Row],[Montant TOTAL]]/(MONTH($BL6)-MONTH($BK6)+1),"")</f>
        <v/>
      </c>
      <c r="DA6" s="348">
        <f>IF(UO_List[[#This Row],[Budget Revue]]="x",SUM(UO_List[[#This Row],[JANVIER2]:[DECEMBRE2]])-UO_List[Montant TOTAL],"")</f>
        <v>0</v>
      </c>
      <c r="DB6" s="517">
        <v>1</v>
      </c>
      <c r="DC6" s="83"/>
      <c r="DD6" s="83"/>
      <c r="DE6" s="83"/>
      <c r="DF6" s="83"/>
      <c r="DG6" s="83"/>
      <c r="DH6" s="83"/>
      <c r="DI6" s="83"/>
      <c r="DJ6" s="83"/>
      <c r="DK6" s="83"/>
      <c r="DL6" s="83"/>
      <c r="DM6" s="83"/>
      <c r="DN6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6" s="76">
        <f>IFERROR(UO_List[[#This Row],[Line Total]]-UO_List[[#This Row],[Montant total réceptionné]],"")</f>
        <v>6720</v>
      </c>
      <c r="DP6" s="76">
        <f>IFERROR(UO_List[[#This Row],[Total item réceptionné]]*UO_List[[#This Row],[Unit Price (calcul)]],0)</f>
        <v>3360</v>
      </c>
      <c r="DQ6" s="76">
        <f>UO_List[[#This Row],[Facteur]]-UO_List[[#This Row],[Total item réceptionné]]</f>
        <v>2</v>
      </c>
      <c r="DR6" s="77"/>
      <c r="DS6" s="77"/>
      <c r="DT6" s="158"/>
      <c r="DU6" s="77"/>
    </row>
    <row r="7" spans="14:125" s="74" customFormat="1">
      <c r="AA7" s="192" t="str">
        <f>IFERROR(VLOOKUP(UO_List[[#This Row],[Unique_AIB_ID]],Tableau1[[Unique_AIB_ID]:[Building / Room]],2,FALSE),"")</f>
        <v>C000482017</v>
      </c>
      <c r="AB7" s="189">
        <f>IFERROR(VLOOKUP(UO_List[[#This Row],[Unique_AIB_ID]],UO_Contract!A9:V198,3,TRUE),"")</f>
        <v>0</v>
      </c>
      <c r="AC7" s="188" t="str">
        <f>IFERROR(VLOOKUP(UO_List[[#This Row],[Unique_AIB_ID]],Tableau1[[Unique_AIB_ID]:[Building / Room]],4,FALSE),"")</f>
        <v>WPA - SII - PJOP - Airbus - WD1701094 - Flight and Integration Test CT1705359</v>
      </c>
      <c r="AD7" s="189">
        <f>IFERROR(VLOOKUP(UO_List[[#This Row],[Unique_AIB_ID]],Tableau1[[Unique_AIB_ID]:[Building / Room]],5,FALSE),"")</f>
        <v>0</v>
      </c>
      <c r="AE7" s="189">
        <f>IFERROR(VLOOKUP(UO_List[[#This Row],[Unique_AIB_ID]],Tableau1[[Unique_AIB_ID]:[Building / Room]],6,FALSE),"")</f>
        <v>3</v>
      </c>
      <c r="AF7" s="189" t="str">
        <f>IFERROR(VLOOKUP(UO_List[[#This Row],[Unique_AIB_ID]],Tableau1[[Unique_AIB_ID]:[Building / Room]],7,FALSE),"")</f>
        <v>9 Each of WU_PROP_S[PJE_SII_EVYP_USD_AIRBUS_FR]</v>
      </c>
      <c r="AG7" s="189">
        <f>IFERROR(VLOOKUP(UO_List[[#This Row],[Unique_AIB_ID]],Tableau1[[Unique_AIB_ID]:[Building / Room]],8,FALSE),"")</f>
        <v>9</v>
      </c>
      <c r="AH7" s="190">
        <f>IFERROR(VALUE(VLOOKUP(UO_List[[#This Row],[Unique_AIB_ID]],Tableau1[[Unique_AIB_ID]:[Building / Room]],9,FALSE)),"")</f>
        <v>30240</v>
      </c>
      <c r="AI7" s="189">
        <f>IFERROR(VLOOKUP(UO_List[[#This Row],[Unique_AIB_ID]],Tableau1[[Unique_AIB_ID]:[Building / Room]],10,TRUE),"")</f>
        <v>0</v>
      </c>
      <c r="AJ7" s="191">
        <f>IFERROR(VLOOKUP(UO_List[[#This Row],[Unique_AIB_ID]],Tableau1[[Unique_AIB_ID]:[Building / Room]],11,FALSE),"")</f>
        <v>0</v>
      </c>
      <c r="AK7" s="189">
        <f>IFERROR(VLOOKUP(UO_List[[#This Row],[Unique_AIB_ID]],Tableau1[[Unique_AIB_ID]:[Building / Room]],12,FALSE),"")</f>
        <v>0</v>
      </c>
      <c r="AL7" s="189">
        <f>IFERROR(VLOOKUP(UO_List[[#This Row],[Unique_AIB_ID]],Tableau1[[Unique_AIB_ID]:[Building / Room]],13,FALSE),"")</f>
        <v>0</v>
      </c>
      <c r="AM7" s="183">
        <f>IFERROR(VLOOKUP(UO_List[[#This Row],[Unique_AIB_ID]],Tableau1[[Unique_AIB_ID]:[Building / Room]],14,FALSE),"")</f>
        <v>0</v>
      </c>
      <c r="AN7" s="183">
        <f>IFERROR(VLOOKUP(UO_List[[#This Row],[Unique_AIB_ID]],Tableau1[[Unique_AIB_ID]:[Building / Room]],15,FALSE),"")</f>
        <v>0</v>
      </c>
      <c r="AO7" s="183">
        <f>IFERROR(VLOOKUP(UO_List[[#This Row],[Unique_AIB_ID]],Tableau1[[Unique_AIB_ID]:[Building / Room]],16,FALSE),"")</f>
        <v>0</v>
      </c>
      <c r="AP7" s="183" t="str">
        <f>IFERROR(VLOOKUP(UO_List[[#This Row],[Unique_AIB_ID]],Tableau1[[Unique_AIB_ID]:[Building / Room]],17,FALSE),"")</f>
        <v>0</v>
      </c>
      <c r="AQ7" s="183">
        <f>IFERROR(VLOOKUP(UO_List[[#This Row],[Unique_AIB_ID]],Tableau1[[Unique_AIB_ID]:[Building / Room]],18,FALSE),"")</f>
        <v>0</v>
      </c>
      <c r="AR7" s="183" t="str">
        <f>IFERROR(VLOOKUP(UO_List[[#This Row],[Unique_AIB_ID]],Tableau1[[Unique_AIB_ID]:[Building / Room]],19,FALSE),"")</f>
        <v>03/25/20</v>
      </c>
      <c r="AS7" s="183">
        <f>IFERROR(VLOOKUP(UO_List[[#This Row],[Unique_AIB_ID]],Tableau1[[Unique_AIB_ID]:[Building / Room]],20,FALSE),"")</f>
        <v>0</v>
      </c>
      <c r="AT7" s="183">
        <f>IFERROR(VLOOKUP(UO_List[[#This Row],[Unique_AIB_ID]],Tableau1[[Unique_AIB_ID]:[Building / Room]],21,FALSE),"")</f>
        <v>0</v>
      </c>
      <c r="AU7" s="183" t="str">
        <f>IFERROR(VLOOKUP(UO_List[[#This Row],[Unique_AIB_ID]],Tableau1[[Unique_AIB_ID]:[Building / Room]],22,FALSE),"")</f>
        <v>M24 / B032</v>
      </c>
      <c r="AV7" s="167" t="str">
        <f>IFERROR(VLOOKUP(UO_List[[#This Row],[Unique_AIB_ID]],Tableau1[[Unique_AIB_ID]:[Currency]],23,FALSE),"")</f>
        <v>Q 1 / DD: Current flow - A380</v>
      </c>
      <c r="AW7" s="167">
        <f>IFERROR(IF(ISBLANK(UO_List[[#This Row],[PO Number (Header)]]),"",UO_List[[#This Row],[Line Total]]/UO_List[[#This Row],[Total Item Quantity]]),"")</f>
        <v>3360</v>
      </c>
      <c r="AX7" s="498" t="s">
        <v>872</v>
      </c>
      <c r="AY7" s="167"/>
      <c r="AZ7" s="78" t="s">
        <v>844</v>
      </c>
      <c r="BA7" s="78"/>
      <c r="BB7" s="78"/>
      <c r="BC7" s="78" t="s">
        <v>696</v>
      </c>
      <c r="BD7" s="70" t="s">
        <v>687</v>
      </c>
      <c r="BE7" s="78" t="s">
        <v>687</v>
      </c>
      <c r="BF7" s="106" t="s">
        <v>193</v>
      </c>
      <c r="BG7" s="78"/>
      <c r="BH7" s="78" t="s">
        <v>859</v>
      </c>
      <c r="BI7" s="78"/>
      <c r="BJ7" s="79"/>
      <c r="BK7" s="79">
        <v>43831</v>
      </c>
      <c r="BL7" s="79">
        <v>43921</v>
      </c>
      <c r="BM7" s="71">
        <v>4</v>
      </c>
      <c r="BN7" s="71">
        <f>IFERROR(UO_List[[#This Row],[Total Item Quantity]]-UO_List[[#This Row],[Facteur]],"")</f>
        <v>5</v>
      </c>
      <c r="BO7" s="349">
        <f>IFERROR(IF(ISBLANK(UO_List[[#This Row],[Id_UO]]),"",SUMPRODUCT(1*(EXACT(UO_List[[#This Row],[Id_UO]],CATALOGUE[Id_WU]))*CATALOGUE[Price $])),"")</f>
        <v>3360</v>
      </c>
      <c r="BP7" s="350">
        <f>IFERROR(UO_List[[#This Row],[Prix unitaire]]*UO_List[[#This Row],[Facteur]],"")</f>
        <v>13440</v>
      </c>
      <c r="BQ7" s="100">
        <f>IFERROR(SUMPRODUCT(1*(EXACT(UO_List[[#This Row],[Id_UO]],CATALOGUE[Id_WU]))*CATALOGUE[Global_Workload_PM_(d)]*UO_List[[#This Row],[Facteur]]),"")</f>
        <v>3.6000000000000014</v>
      </c>
      <c r="BR7" s="286">
        <f>UO_List[[#This Row],[Jours GP]]/jours_an</f>
        <v>1.6666666666666673E-2</v>
      </c>
      <c r="BS7" s="72">
        <f>IFERROR(SUMPRODUCT(1*(EXACT(UO_List[[#This Row],[Id_UO]],CATALOGUE[Id_WU]))*CATALOGUE[Global_Workload_Tech_(d)]*UO_List[[#This Row],[Facteur]]),"")</f>
        <v>20.399999999999999</v>
      </c>
      <c r="BT7" s="286">
        <f>UO_List[[#This Row],[Jours Tech]]/jours_an</f>
        <v>9.4444444444444442E-2</v>
      </c>
      <c r="BU7" s="72">
        <f>UO_List[[#This Row],[Jours GP]]+UO_List[[#This Row],[Jours Tech]]</f>
        <v>24</v>
      </c>
      <c r="BV7" s="286">
        <f>UO_List[[#This Row],[ETP GP]]+UO_List[[#This Row],[ETP Tech]]</f>
        <v>0.11111111111111112</v>
      </c>
      <c r="BW7" s="73"/>
      <c r="BX7" s="80" t="s">
        <v>203</v>
      </c>
      <c r="BY7" s="462">
        <f>IF(UO_List[[#This Row],[Budget Revue]]="x",UO_List[[#This Row],[Montant TOTAL]],0)</f>
        <v>13440</v>
      </c>
      <c r="BZ7" s="80">
        <f>IF(UO_List[[#This Row],[Budget Revue]]="x",UO_List[[#This Row],[Jours Tech]],0)</f>
        <v>20.399999999999999</v>
      </c>
      <c r="CA7" s="80">
        <f>IF(UO_List[[#This Row],[Budget Revue]]="x",UO_List[[#This Row],[Jours GP]],0)</f>
        <v>3.6000000000000014</v>
      </c>
      <c r="CB7" s="516">
        <f>IF(AND(UO_List[[#This Row],[Budget Revue]]="x",$BK7&lt;&gt;"",$BL7&lt;&gt;"",YEAR(BB$3)=YEAR($BK7),MONTH(BB$3)&gt;=MONTH($BK7),MONTH(BB$3)&lt;=MONTH($BL7)),$BS7/(MONTH($BL7)-MONTH($BK7)+1),"")</f>
        <v>6.8</v>
      </c>
      <c r="CC7" s="80">
        <f>IF(AND(UO_List[[#This Row],[Budget Revue]]="x",$BK7&lt;&gt;"",$BL7&lt;&gt;"",YEAR(BC$3)=YEAR($BK7),MONTH(BC$3)&gt;=MONTH($BK7),MONTH(BC$3)&lt;=MONTH($BL7)),$BS7/(MONTH($BL7)-MONTH($BK7)+1),"")</f>
        <v>6.8</v>
      </c>
      <c r="CD7" s="80">
        <f>IF(AND(UO_List[[#This Row],[Budget Revue]]="x",$BK7&lt;&gt;"",$BL7&lt;&gt;"",YEAR(BD$3)=YEAR($BK7),MONTH(BD$3)&gt;=MONTH($BK7),MONTH(BD$3)&lt;=MONTH($BL7)),$BS7/(MONTH($BL7)-MONTH($BK7)+1),"")</f>
        <v>6.8</v>
      </c>
      <c r="CE7" s="80" t="str">
        <f>IF(AND(UO_List[[#This Row],[Budget Revue]]="x",$BK7&lt;&gt;"",$BL7&lt;&gt;"",YEAR(BE$3)=YEAR($BK7),MONTH(BE$3)&gt;=MONTH($BK7),MONTH(BE$3)&lt;=MONTH($BL7)),$BS7/(MONTH($BL7)-MONTH($BK7)+1),"")</f>
        <v/>
      </c>
      <c r="CF7" s="80" t="str">
        <f>IF(AND(UO_List[[#This Row],[Budget Revue]]="x",$BK7&lt;&gt;"",$BL7&lt;&gt;"",YEAR(BF$3)=YEAR($BK7),MONTH(BF$3)&gt;=MONTH($BK7),MONTH(BF$3)&lt;=MONTH($BL7)),$BS7/(MONTH($BL7)-MONTH($BK7)+1),"")</f>
        <v/>
      </c>
      <c r="CG7" s="80" t="str">
        <f>IF(AND(UO_List[[#This Row],[Budget Revue]]="x",$BK7&lt;&gt;"",$BL7&lt;&gt;"",YEAR(BG$3)=YEAR($BK7),MONTH(BG$3)&gt;=MONTH($BK7),MONTH(BG$3)&lt;=MONTH($BL7)),$BS7/(MONTH($BL7)-MONTH($BK7)+1),"")</f>
        <v/>
      </c>
      <c r="CH7" s="80" t="str">
        <f>IF(AND(UO_List[[#This Row],[Budget Revue]]="x",$BK7&lt;&gt;"",$BL7&lt;&gt;"",YEAR(BH$3)=YEAR($BK7),MONTH(BH$3)&gt;=MONTH($BK7),MONTH(BH$3)&lt;=MONTH($BL7)),$BS7/(MONTH($BL7)-MONTH($BK7)+1),"")</f>
        <v/>
      </c>
      <c r="CI7" s="80" t="str">
        <f>IF(AND(UO_List[[#This Row],[Budget Revue]]="x",$BK7&lt;&gt;"",$BL7&lt;&gt;"",YEAR(BI$3)=YEAR($BK7),MONTH(BI$3)&gt;=MONTH($BK7),MONTH(BI$3)&lt;=MONTH($BL7)),$BS7/(MONTH($BL7)-MONTH($BK7)+1),"")</f>
        <v/>
      </c>
      <c r="CJ7" s="80" t="str">
        <f>IF(AND(UO_List[[#This Row],[Budget Revue]]="x",$BK7&lt;&gt;"",$BL7&lt;&gt;"",YEAR(BJ$3)=YEAR($BK7),MONTH(BJ$3)&gt;=MONTH($BK7),MONTH(BJ$3)&lt;=MONTH($BL7)),$BS7/(MONTH($BL7)-MONTH($BK7)+1),"")</f>
        <v/>
      </c>
      <c r="CK7" s="80" t="str">
        <f>IF(AND(UO_List[[#This Row],[Budget Revue]]="x",$BK7&lt;&gt;"",$BL7&lt;&gt;"",YEAR(BK$3)=YEAR($BK7),MONTH(BK$3)&gt;=MONTH($BK7),MONTH(BK$3)&lt;=MONTH($BL7)),$BS7/(MONTH($BL7)-MONTH($BK7)+1),"")</f>
        <v/>
      </c>
      <c r="CL7" s="80" t="str">
        <f>IF(AND(UO_List[[#This Row],[Budget Revue]]="x",$BK7&lt;&gt;"",$BL7&lt;&gt;"",YEAR(BL$3)=YEAR($BK7),MONTH(BL$3)&gt;=MONTH($BK7),MONTH(BL$3)&lt;=MONTH($BL7)),$BS7/(MONTH($BL7)-MONTH($BK7)+1),"")</f>
        <v/>
      </c>
      <c r="CM7" s="80" t="str">
        <f>IF(AND(UO_List[[#This Row],[Budget Revue]]="x",$BK7&lt;&gt;"",$BL7&lt;&gt;"",YEAR(BM$3)=YEAR($BK7),MONTH(BM$3)&gt;=MONTH($BK7),MONTH(BM$3)&lt;=MONTH($BL7)),$BS7/(MONTH($BL7)-MONTH($BK7)+1),"")</f>
        <v/>
      </c>
      <c r="CN7" s="75">
        <f>IF(UO_List[[#This Row],[Budget Revue]]="x",SUM(UO_List[[#This Row],[JANVIER]:[DECEMBRE]])-UO_List[[#This Row],[Jours Tech]],"")</f>
        <v>0</v>
      </c>
      <c r="CO7" s="348">
        <f>IF(AND(UO_List[[#This Row],[Budget Revue]]="x",$BK7&lt;&gt;"",$BL7&lt;&gt;"",YEAR(BO$3)=YEAR($BK7),MONTH(BO$3)&gt;=MONTH($BK7),MONTH(BO$3)&lt;=MONTH($BL7)),UO_List[[#This Row],[Montant TOTAL]]/(MONTH($BL7)-MONTH($BK7)+1),"")</f>
        <v>4480</v>
      </c>
      <c r="CP7" s="348">
        <f>IF(AND(UO_List[[#This Row],[Budget Revue]]="x",$BK7&lt;&gt;"",$BL7&lt;&gt;"",YEAR(BP$3)=YEAR($BK7),MONTH(BP$3)&gt;=MONTH($BK7),MONTH(BP$3)&lt;=MONTH($BL7)),UO_List[[#This Row],[Montant TOTAL]]/(MONTH($BL7)-MONTH($BK7)+1),"")</f>
        <v>4480</v>
      </c>
      <c r="CQ7" s="348">
        <f>IF(AND(UO_List[[#This Row],[Budget Revue]]="x",$BK7&lt;&gt;"",$BL7&lt;&gt;"",YEAR(BQ$3)=YEAR($BK7),MONTH(BQ$3)&gt;=MONTH($BK7),MONTH(BQ$3)&lt;=MONTH($BL7)),UO_List[[#This Row],[Montant TOTAL]]/(MONTH($BL7)-MONTH($BK7)+1),"")</f>
        <v>4480</v>
      </c>
      <c r="CR7" s="348" t="str">
        <f>IF(AND(UO_List[[#This Row],[Budget Revue]]="x",$BK7&lt;&gt;"",$BL7&lt;&gt;"",YEAR(BR$3)=YEAR($BK7),MONTH(BR$3)&gt;=MONTH($BK7),MONTH(BR$3)&lt;=MONTH($BL7)),UO_List[[#This Row],[Montant TOTAL]]/(MONTH($BL7)-MONTH($BK7)+1),"")</f>
        <v/>
      </c>
      <c r="CS7" s="348" t="str">
        <f>IF(AND(UO_List[[#This Row],[Budget Revue]]="x",$BK7&lt;&gt;"",$BL7&lt;&gt;"",YEAR(BS$3)=YEAR($BK7),MONTH(BS$3)&gt;=MONTH($BK7),MONTH(BS$3)&lt;=MONTH($BL7)),UO_List[[#This Row],[Montant TOTAL]]/(MONTH($BL7)-MONTH($BK7)+1),"")</f>
        <v/>
      </c>
      <c r="CT7" s="348" t="str">
        <f>IF(AND(UO_List[[#This Row],[Budget Revue]]="x",$BK7&lt;&gt;"",$BL7&lt;&gt;"",YEAR(BT$3)=YEAR($BK7),MONTH(BT$3)&gt;=MONTH($BK7),MONTH(BT$3)&lt;=MONTH($BL7)),UO_List[[#This Row],[Montant TOTAL]]/(MONTH($BL7)-MONTH($BK7)+1),"")</f>
        <v/>
      </c>
      <c r="CU7" s="348" t="str">
        <f>IF(AND(UO_List[[#This Row],[Budget Revue]]="x",$BK7&lt;&gt;"",$BL7&lt;&gt;"",YEAR(BU$3)=YEAR($BK7),MONTH(BU$3)&gt;=MONTH($BK7),MONTH(BU$3)&lt;=MONTH($BL7)),UO_List[[#This Row],[Montant TOTAL]]/(MONTH($BL7)-MONTH($BK7)+1),"")</f>
        <v/>
      </c>
      <c r="CV7" s="348" t="str">
        <f>IF(AND(UO_List[[#This Row],[Budget Revue]]="x",$BK7&lt;&gt;"",$BL7&lt;&gt;"",YEAR(BV$3)=YEAR($BK7),MONTH(BV$3)&gt;=MONTH($BK7),MONTH(BV$3)&lt;=MONTH($BL7)),UO_List[[#This Row],[Montant TOTAL]]/(MONTH($BL7)-MONTH($BK7)+1),"")</f>
        <v/>
      </c>
      <c r="CW7" s="348" t="str">
        <f>IF(AND(UO_List[[#This Row],[Budget Revue]]="x",$BK7&lt;&gt;"",$BL7&lt;&gt;"",YEAR(BW$3)=YEAR($BK7),MONTH(BW$3)&gt;=MONTH($BK7),MONTH(BW$3)&lt;=MONTH($BL7)),UO_List[[#This Row],[Montant TOTAL]]/(MONTH($BL7)-MONTH($BK7)+1),"")</f>
        <v/>
      </c>
      <c r="CX7" s="348" t="str">
        <f>IF(AND(UO_List[[#This Row],[Budget Revue]]="x",$BK7&lt;&gt;"",$BL7&lt;&gt;"",YEAR(BX$3)=YEAR($BK7),MONTH(BX$3)&gt;=MONTH($BK7),MONTH(BX$3)&lt;=MONTH($BL7)),UO_List[[#This Row],[Montant TOTAL]]/(MONTH($BL7)-MONTH($BK7)+1),"")</f>
        <v/>
      </c>
      <c r="CY7" s="348" t="str">
        <f>IF(AND(UO_List[[#This Row],[Budget Revue]]="x",$BK7&lt;&gt;"",$BL7&lt;&gt;"",YEAR(BY$3)=YEAR($BK7),MONTH(BY$3)&gt;=MONTH($BK7),MONTH(BY$3)&lt;=MONTH($BL7)),UO_List[[#This Row],[Montant TOTAL]]/(MONTH($BL7)-MONTH($BK7)+1),"")</f>
        <v/>
      </c>
      <c r="CZ7" s="348" t="str">
        <f>IF(AND(UO_List[[#This Row],[Budget Revue]]="x",$BK7&lt;&gt;"",$BL7&lt;&gt;"",YEAR(BY$3)=YEAR($BK7),MONTH(BY$3)&gt;=MONTH($BK7),MONTH(BY$3)&lt;=MONTH($BL7)),UO_List[[#This Row],[Montant TOTAL]]/(MONTH($BL7)-MONTH($BK7)+1),"")</f>
        <v/>
      </c>
      <c r="DA7" s="348">
        <f>IF(UO_List[[#This Row],[Budget Revue]]="x",SUM(UO_List[[#This Row],[JANVIER2]:[DECEMBRE2]])-UO_List[Montant TOTAL],"")</f>
        <v>0</v>
      </c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7" s="76">
        <f>IFERROR(UO_List[[#This Row],[Line Total]]-UO_List[[#This Row],[Montant total réceptionné]],"")</f>
        <v>30240</v>
      </c>
      <c r="DP7" s="76">
        <f>IFERROR(UO_List[[#This Row],[Total item réceptionné]]*UO_List[[#This Row],[Unit Price (calcul)]],0)</f>
        <v>0</v>
      </c>
      <c r="DQ7" s="76">
        <f>UO_List[[#This Row],[Facteur]]-UO_List[[#This Row],[Total item réceptionné]]</f>
        <v>4</v>
      </c>
      <c r="DR7" s="77"/>
      <c r="DS7" s="77"/>
      <c r="DT7" s="158"/>
      <c r="DU7" s="77"/>
    </row>
    <row r="8" spans="14:125" s="74" customFormat="1">
      <c r="AA8" s="368" t="str">
        <f>IFERROR(VLOOKUP(UO_List[[#This Row],[Unique_AIB_ID]],Tableau1[[Unique_AIB_ID]:[Building / Room]],2,FALSE),"")</f>
        <v>C000482017</v>
      </c>
      <c r="AB8" s="369">
        <f>IFERROR(VLOOKUP(UO_List[[#This Row],[Unique_AIB_ID]],UO_Contract!A10:V199,3,TRUE),"")</f>
        <v>0</v>
      </c>
      <c r="AC8" s="369" t="str">
        <f>IFERROR(VLOOKUP(UO_List[[#This Row],[Unique_AIB_ID]],Tableau1[[Unique_AIB_ID]:[Building / Room]],4,FALSE),"")</f>
        <v>WPA - SII - PJOP - Airbus - WD1701094 - Flight and Integration Test CT1705359</v>
      </c>
      <c r="AD8" s="369">
        <f>IFERROR(VLOOKUP(UO_List[[#This Row],[Unique_AIB_ID]],Tableau1[[Unique_AIB_ID]:[Building / Room]],5,FALSE),"")</f>
        <v>0</v>
      </c>
      <c r="AE8" s="369">
        <f>IFERROR(VLOOKUP(UO_List[[#This Row],[Unique_AIB_ID]],Tableau1[[Unique_AIB_ID]:[Building / Room]],6,FALSE),"")</f>
        <v>4</v>
      </c>
      <c r="AF8" s="369" t="str">
        <f>IFERROR(VLOOKUP(UO_List[[#This Row],[Unique_AIB_ID]],Tableau1[[Unique_AIB_ID]:[Building / Room]],7,FALSE),"")</f>
        <v>6 Each of WU_PROP_S[PJE_SII_EVYP_USD_AIRBUS_FR]</v>
      </c>
      <c r="AG8" s="369">
        <f>IFERROR(VLOOKUP(UO_List[[#This Row],[Unique_AIB_ID]],Tableau1[[Unique_AIB_ID]:[Building / Room]],8,FALSE),"")</f>
        <v>6</v>
      </c>
      <c r="AH8" s="370">
        <f>IFERROR(VALUE(VLOOKUP(UO_List[[#This Row],[Unique_AIB_ID]],Tableau1[[Unique_AIB_ID]:[Building / Room]],9,FALSE)),"")</f>
        <v>20160</v>
      </c>
      <c r="AI8" s="369">
        <f>IFERROR(VLOOKUP(UO_List[[#This Row],[Unique_AIB_ID]],Tableau1[[Unique_AIB_ID]:[Building / Room]],10,TRUE),"")</f>
        <v>0</v>
      </c>
      <c r="AJ8" s="369">
        <f>IFERROR(VLOOKUP(UO_List[[#This Row],[Unique_AIB_ID]],Tableau1[[Unique_AIB_ID]:[Building / Room]],11,FALSE),"")</f>
        <v>0</v>
      </c>
      <c r="AK8" s="369">
        <f>IFERROR(VLOOKUP(UO_List[[#This Row],[Unique_AIB_ID]],Tableau1[[Unique_AIB_ID]:[Building / Room]],12,FALSE),"")</f>
        <v>0</v>
      </c>
      <c r="AL8" s="369">
        <f>IFERROR(VLOOKUP(UO_List[[#This Row],[Unique_AIB_ID]],Tableau1[[Unique_AIB_ID]:[Building / Room]],13,FALSE),"")</f>
        <v>0</v>
      </c>
      <c r="AM8" s="371">
        <f>IFERROR(VLOOKUP(UO_List[[#This Row],[Unique_AIB_ID]],Tableau1[[Unique_AIB_ID]:[Building / Room]],14,FALSE),"")</f>
        <v>0</v>
      </c>
      <c r="AN8" s="371">
        <f>IFERROR(VLOOKUP(UO_List[[#This Row],[Unique_AIB_ID]],Tableau1[[Unique_AIB_ID]:[Building / Room]],15,FALSE),"")</f>
        <v>0</v>
      </c>
      <c r="AO8" s="371">
        <f>IFERROR(VLOOKUP(UO_List[[#This Row],[Unique_AIB_ID]],Tableau1[[Unique_AIB_ID]:[Building / Room]],16,FALSE),"")</f>
        <v>0</v>
      </c>
      <c r="AP8" s="371" t="str">
        <f>IFERROR(VLOOKUP(UO_List[[#This Row],[Unique_AIB_ID]],Tableau1[[Unique_AIB_ID]:[Building / Room]],17,FALSE),"")</f>
        <v>0</v>
      </c>
      <c r="AQ8" s="371">
        <f>IFERROR(VLOOKUP(UO_List[[#This Row],[Unique_AIB_ID]],Tableau1[[Unique_AIB_ID]:[Building / Room]],18,FALSE),"")</f>
        <v>0</v>
      </c>
      <c r="AR8" s="371" t="str">
        <f>IFERROR(VLOOKUP(UO_List[[#This Row],[Unique_AIB_ID]],Tableau1[[Unique_AIB_ID]:[Building / Room]],19,FALSE),"")</f>
        <v>03/25/20</v>
      </c>
      <c r="AS8" s="371">
        <f>IFERROR(VLOOKUP(UO_List[[#This Row],[Unique_AIB_ID]],Tableau1[[Unique_AIB_ID]:[Building / Room]],20,FALSE),"")</f>
        <v>0</v>
      </c>
      <c r="AT8" s="371">
        <f>IFERROR(VLOOKUP(UO_List[[#This Row],[Unique_AIB_ID]],Tableau1[[Unique_AIB_ID]:[Building / Room]],21,FALSE),"")</f>
        <v>0</v>
      </c>
      <c r="AU8" s="371" t="str">
        <f>IFERROR(VLOOKUP(UO_List[[#This Row],[Unique_AIB_ID]],Tableau1[[Unique_AIB_ID]:[Building / Room]],22,FALSE),"")</f>
        <v>M24 / B032</v>
      </c>
      <c r="AV8" s="372" t="str">
        <f>IFERROR(VLOOKUP(UO_List[[#This Row],[Unique_AIB_ID]],Tableau1[[Unique_AIB_ID]:[Currency]],23,FALSE),"")</f>
        <v>Q 1 / SA: Current flow - Single Aisle</v>
      </c>
      <c r="AW8" s="372">
        <f>IFERROR(IF(ISBLANK(UO_List[[#This Row],[PO Number (Header)]]),"",UO_List[[#This Row],[Line Total]]/UO_List[[#This Row],[Total Item Quantity]]),"")</f>
        <v>3360</v>
      </c>
      <c r="AX8" s="498" t="s">
        <v>873</v>
      </c>
      <c r="AY8" s="167"/>
      <c r="AZ8" s="78" t="s">
        <v>844</v>
      </c>
      <c r="BA8" s="366"/>
      <c r="BB8" s="366"/>
      <c r="BC8" s="78" t="s">
        <v>696</v>
      </c>
      <c r="BD8" s="70" t="s">
        <v>687</v>
      </c>
      <c r="BE8" s="78" t="s">
        <v>687</v>
      </c>
      <c r="BF8" s="78" t="s">
        <v>8</v>
      </c>
      <c r="BG8" s="367"/>
      <c r="BH8" s="78" t="s">
        <v>859</v>
      </c>
      <c r="BI8" s="78"/>
      <c r="BJ8" s="79"/>
      <c r="BK8" s="79">
        <v>43831</v>
      </c>
      <c r="BL8" s="79">
        <v>43921</v>
      </c>
      <c r="BM8" s="71">
        <v>6</v>
      </c>
      <c r="BN8" s="71">
        <f>IFERROR(UO_List[[#This Row],[Total Item Quantity]]-UO_List[[#This Row],[Facteur]],"")</f>
        <v>0</v>
      </c>
      <c r="BO8" s="349">
        <f>IFERROR(IF(ISBLANK(UO_List[[#This Row],[Id_UO]]),"",SUMPRODUCT(1*(EXACT(UO_List[[#This Row],[Id_UO]],CATALOGUE[Id_WU]))*CATALOGUE[Price $])),"")</f>
        <v>3360</v>
      </c>
      <c r="BP8" s="350">
        <f>IFERROR(UO_List[[#This Row],[Prix unitaire]]*UO_List[[#This Row],[Facteur]],"")</f>
        <v>20160</v>
      </c>
      <c r="BQ8" s="100">
        <f>IFERROR(SUMPRODUCT(1*(EXACT(UO_List[[#This Row],[Id_UO]],CATALOGUE[Id_WU]))*CATALOGUE[Global_Workload_PM_(d)]*UO_List[[#This Row],[Facteur]]),"")</f>
        <v>5.4000000000000021</v>
      </c>
      <c r="BR8" s="286">
        <f>UO_List[[#This Row],[Jours GP]]/jours_an</f>
        <v>2.5000000000000008E-2</v>
      </c>
      <c r="BS8" s="72">
        <f>IFERROR(SUMPRODUCT(1*(EXACT(UO_List[[#This Row],[Id_UO]],CATALOGUE[Id_WU]))*CATALOGUE[Global_Workload_Tech_(d)]*UO_List[[#This Row],[Facteur]]),"")</f>
        <v>30.599999999999998</v>
      </c>
      <c r="BT8" s="286">
        <f>UO_List[[#This Row],[Jours Tech]]/jours_an</f>
        <v>0.14166666666666666</v>
      </c>
      <c r="BU8" s="72">
        <f>UO_List[[#This Row],[Jours GP]]+UO_List[[#This Row],[Jours Tech]]</f>
        <v>36</v>
      </c>
      <c r="BV8" s="286">
        <f>UO_List[[#This Row],[ETP GP]]+UO_List[[#This Row],[ETP Tech]]</f>
        <v>0.16666666666666669</v>
      </c>
      <c r="BW8" s="73" t="s">
        <v>209</v>
      </c>
      <c r="BX8" s="515" t="s">
        <v>203</v>
      </c>
      <c r="BY8" s="462">
        <f>IF(UO_List[[#This Row],[Budget Revue]]="x",UO_List[[#This Row],[Montant TOTAL]],0)</f>
        <v>20160</v>
      </c>
      <c r="BZ8" s="80">
        <f>IF(UO_List[[#This Row],[Budget Revue]]="x",UO_List[[#This Row],[Jours Tech]],0)</f>
        <v>30.599999999999998</v>
      </c>
      <c r="CA8" s="80">
        <f>IF(UO_List[[#This Row],[Budget Revue]]="x",UO_List[[#This Row],[Jours GP]],0)</f>
        <v>5.4000000000000021</v>
      </c>
      <c r="CB8" s="516">
        <f>IF(AND(UO_List[[#This Row],[Budget Revue]]="x",$BK8&lt;&gt;"",$BL8&lt;&gt;"",YEAR(BB$3)=YEAR($BK8),MONTH(BB$3)&gt;=MONTH($BK8),MONTH(BB$3)&lt;=MONTH($BL8)),$BS8/(MONTH($BL8)-MONTH($BK8)+1),"")</f>
        <v>10.199999999999999</v>
      </c>
      <c r="CC8" s="80">
        <f>IF(AND(UO_List[[#This Row],[Budget Revue]]="x",$BK8&lt;&gt;"",$BL8&lt;&gt;"",YEAR(BC$3)=YEAR($BK8),MONTH(BC$3)&gt;=MONTH($BK8),MONTH(BC$3)&lt;=MONTH($BL8)),$BS8/(MONTH($BL8)-MONTH($BK8)+1),"")</f>
        <v>10.199999999999999</v>
      </c>
      <c r="CD8" s="80">
        <f>IF(AND(UO_List[[#This Row],[Budget Revue]]="x",$BK8&lt;&gt;"",$BL8&lt;&gt;"",YEAR(BD$3)=YEAR($BK8),MONTH(BD$3)&gt;=MONTH($BK8),MONTH(BD$3)&lt;=MONTH($BL8)),$BS8/(MONTH($BL8)-MONTH($BK8)+1),"")</f>
        <v>10.199999999999999</v>
      </c>
      <c r="CE8" s="80" t="str">
        <f>IF(AND(UO_List[[#This Row],[Budget Revue]]="x",$BK8&lt;&gt;"",$BL8&lt;&gt;"",YEAR(BE$3)=YEAR($BK8),MONTH(BE$3)&gt;=MONTH($BK8),MONTH(BE$3)&lt;=MONTH($BL8)),$BS8/(MONTH($BL8)-MONTH($BK8)+1),"")</f>
        <v/>
      </c>
      <c r="CF8" s="80" t="str">
        <f>IF(AND(UO_List[[#This Row],[Budget Revue]]="x",$BK8&lt;&gt;"",$BL8&lt;&gt;"",YEAR(BF$3)=YEAR($BK8),MONTH(BF$3)&gt;=MONTH($BK8),MONTH(BF$3)&lt;=MONTH($BL8)),$BS8/(MONTH($BL8)-MONTH($BK8)+1),"")</f>
        <v/>
      </c>
      <c r="CG8" s="80" t="str">
        <f>IF(AND(UO_List[[#This Row],[Budget Revue]]="x",$BK8&lt;&gt;"",$BL8&lt;&gt;"",YEAR(BG$3)=YEAR($BK8),MONTH(BG$3)&gt;=MONTH($BK8),MONTH(BG$3)&lt;=MONTH($BL8)),$BS8/(MONTH($BL8)-MONTH($BK8)+1),"")</f>
        <v/>
      </c>
      <c r="CH8" s="80" t="str">
        <f>IF(AND(UO_List[[#This Row],[Budget Revue]]="x",$BK8&lt;&gt;"",$BL8&lt;&gt;"",YEAR(BH$3)=YEAR($BK8),MONTH(BH$3)&gt;=MONTH($BK8),MONTH(BH$3)&lt;=MONTH($BL8)),$BS8/(MONTH($BL8)-MONTH($BK8)+1),"")</f>
        <v/>
      </c>
      <c r="CI8" s="80" t="str">
        <f>IF(AND(UO_List[[#This Row],[Budget Revue]]="x",$BK8&lt;&gt;"",$BL8&lt;&gt;"",YEAR(BI$3)=YEAR($BK8),MONTH(BI$3)&gt;=MONTH($BK8),MONTH(BI$3)&lt;=MONTH($BL8)),$BS8/(MONTH($BL8)-MONTH($BK8)+1),"")</f>
        <v/>
      </c>
      <c r="CJ8" s="80" t="str">
        <f>IF(AND(UO_List[[#This Row],[Budget Revue]]="x",$BK8&lt;&gt;"",$BL8&lt;&gt;"",YEAR(BJ$3)=YEAR($BK8),MONTH(BJ$3)&gt;=MONTH($BK8),MONTH(BJ$3)&lt;=MONTH($BL8)),$BS8/(MONTH($BL8)-MONTH($BK8)+1),"")</f>
        <v/>
      </c>
      <c r="CK8" s="80" t="str">
        <f>IF(AND(UO_List[[#This Row],[Budget Revue]]="x",$BK8&lt;&gt;"",$BL8&lt;&gt;"",YEAR(BK$3)=YEAR($BK8),MONTH(BK$3)&gt;=MONTH($BK8),MONTH(BK$3)&lt;=MONTH($BL8)),$BS8/(MONTH($BL8)-MONTH($BK8)+1),"")</f>
        <v/>
      </c>
      <c r="CL8" s="80" t="str">
        <f>IF(AND(UO_List[[#This Row],[Budget Revue]]="x",$BK8&lt;&gt;"",$BL8&lt;&gt;"",YEAR(BL$3)=YEAR($BK8),MONTH(BL$3)&gt;=MONTH($BK8),MONTH(BL$3)&lt;=MONTH($BL8)),$BS8/(MONTH($BL8)-MONTH($BK8)+1),"")</f>
        <v/>
      </c>
      <c r="CM8" s="80" t="str">
        <f>IF(AND(UO_List[[#This Row],[Budget Revue]]="x",$BK8&lt;&gt;"",$BL8&lt;&gt;"",YEAR(BM$3)=YEAR($BK8),MONTH(BM$3)&gt;=MONTH($BK8),MONTH(BM$3)&lt;=MONTH($BL8)),$BS8/(MONTH($BL8)-MONTH($BK8)+1),"")</f>
        <v/>
      </c>
      <c r="CN8" s="75">
        <f>IF(UO_List[[#This Row],[Budget Revue]]="x",SUM(UO_List[[#This Row],[JANVIER]:[DECEMBRE]])-UO_List[[#This Row],[Jours Tech]],"")</f>
        <v>0</v>
      </c>
      <c r="CO8" s="348">
        <f>IF(AND(UO_List[[#This Row],[Budget Revue]]="x",$BK8&lt;&gt;"",$BL8&lt;&gt;"",YEAR(BO$3)=YEAR($BK8),MONTH(BO$3)&gt;=MONTH($BK8),MONTH(BO$3)&lt;=MONTH($BL8)),UO_List[[#This Row],[Montant TOTAL]]/(MONTH($BL8)-MONTH($BK8)+1),"")</f>
        <v>6720</v>
      </c>
      <c r="CP8" s="348">
        <f>IF(AND(UO_List[[#This Row],[Budget Revue]]="x",$BK8&lt;&gt;"",$BL8&lt;&gt;"",YEAR(BP$3)=YEAR($BK8),MONTH(BP$3)&gt;=MONTH($BK8),MONTH(BP$3)&lt;=MONTH($BL8)),UO_List[[#This Row],[Montant TOTAL]]/(MONTH($BL8)-MONTH($BK8)+1),"")</f>
        <v>6720</v>
      </c>
      <c r="CQ8" s="348">
        <f>IF(AND(UO_List[[#This Row],[Budget Revue]]="x",$BK8&lt;&gt;"",$BL8&lt;&gt;"",YEAR(BQ$3)=YEAR($BK8),MONTH(BQ$3)&gt;=MONTH($BK8),MONTH(BQ$3)&lt;=MONTH($BL8)),UO_List[[#This Row],[Montant TOTAL]]/(MONTH($BL8)-MONTH($BK8)+1),"")</f>
        <v>6720</v>
      </c>
      <c r="CR8" s="348" t="str">
        <f>IF(AND(UO_List[[#This Row],[Budget Revue]]="x",$BK8&lt;&gt;"",$BL8&lt;&gt;"",YEAR(BR$3)=YEAR($BK8),MONTH(BR$3)&gt;=MONTH($BK8),MONTH(BR$3)&lt;=MONTH($BL8)),UO_List[[#This Row],[Montant TOTAL]]/(MONTH($BL8)-MONTH($BK8)+1),"")</f>
        <v/>
      </c>
      <c r="CS8" s="348" t="str">
        <f>IF(AND(UO_List[[#This Row],[Budget Revue]]="x",$BK8&lt;&gt;"",$BL8&lt;&gt;"",YEAR(BS$3)=YEAR($BK8),MONTH(BS$3)&gt;=MONTH($BK8),MONTH(BS$3)&lt;=MONTH($BL8)),UO_List[[#This Row],[Montant TOTAL]]/(MONTH($BL8)-MONTH($BK8)+1),"")</f>
        <v/>
      </c>
      <c r="CT8" s="348" t="str">
        <f>IF(AND(UO_List[[#This Row],[Budget Revue]]="x",$BK8&lt;&gt;"",$BL8&lt;&gt;"",YEAR(BT$3)=YEAR($BK8),MONTH(BT$3)&gt;=MONTH($BK8),MONTH(BT$3)&lt;=MONTH($BL8)),UO_List[[#This Row],[Montant TOTAL]]/(MONTH($BL8)-MONTH($BK8)+1),"")</f>
        <v/>
      </c>
      <c r="CU8" s="348" t="str">
        <f>IF(AND(UO_List[[#This Row],[Budget Revue]]="x",$BK8&lt;&gt;"",$BL8&lt;&gt;"",YEAR(BU$3)=YEAR($BK8),MONTH(BU$3)&gt;=MONTH($BK8),MONTH(BU$3)&lt;=MONTH($BL8)),UO_List[[#This Row],[Montant TOTAL]]/(MONTH($BL8)-MONTH($BK8)+1),"")</f>
        <v/>
      </c>
      <c r="CV8" s="348" t="str">
        <f>IF(AND(UO_List[[#This Row],[Budget Revue]]="x",$BK8&lt;&gt;"",$BL8&lt;&gt;"",YEAR(BV$3)=YEAR($BK8),MONTH(BV$3)&gt;=MONTH($BK8),MONTH(BV$3)&lt;=MONTH($BL8)),UO_List[[#This Row],[Montant TOTAL]]/(MONTH($BL8)-MONTH($BK8)+1),"")</f>
        <v/>
      </c>
      <c r="CW8" s="348" t="str">
        <f>IF(AND(UO_List[[#This Row],[Budget Revue]]="x",$BK8&lt;&gt;"",$BL8&lt;&gt;"",YEAR(BW$3)=YEAR($BK8),MONTH(BW$3)&gt;=MONTH($BK8),MONTH(BW$3)&lt;=MONTH($BL8)),UO_List[[#This Row],[Montant TOTAL]]/(MONTH($BL8)-MONTH($BK8)+1),"")</f>
        <v/>
      </c>
      <c r="CX8" s="348" t="str">
        <f>IF(AND(UO_List[[#This Row],[Budget Revue]]="x",$BK8&lt;&gt;"",$BL8&lt;&gt;"",YEAR(BX$3)=YEAR($BK8),MONTH(BX$3)&gt;=MONTH($BK8),MONTH(BX$3)&lt;=MONTH($BL8)),UO_List[[#This Row],[Montant TOTAL]]/(MONTH($BL8)-MONTH($BK8)+1),"")</f>
        <v/>
      </c>
      <c r="CY8" s="348" t="str">
        <f>IF(AND(UO_List[[#This Row],[Budget Revue]]="x",$BK8&lt;&gt;"",$BL8&lt;&gt;"",YEAR(BY$3)=YEAR($BK8),MONTH(BY$3)&gt;=MONTH($BK8),MONTH(BY$3)&lt;=MONTH($BL8)),UO_List[[#This Row],[Montant TOTAL]]/(MONTH($BL8)-MONTH($BK8)+1),"")</f>
        <v/>
      </c>
      <c r="CZ8" s="348" t="str">
        <f>IF(AND(UO_List[[#This Row],[Budget Revue]]="x",$BK8&lt;&gt;"",$BL8&lt;&gt;"",YEAR(BY$3)=YEAR($BK8),MONTH(BY$3)&gt;=MONTH($BK8),MONTH(BY$3)&lt;=MONTH($BL8)),UO_List[[#This Row],[Montant TOTAL]]/(MONTH($BL8)-MONTH($BK8)+1),"")</f>
        <v/>
      </c>
      <c r="DA8" s="348">
        <f>IF(UO_List[[#This Row],[Budget Revue]]="x",SUM(UO_List[[#This Row],[JANVIER2]:[DECEMBRE2]])-UO_List[Montant TOTAL],"")</f>
        <v>0</v>
      </c>
      <c r="DB8" s="518">
        <v>2</v>
      </c>
      <c r="DC8" s="502"/>
      <c r="DD8" s="502"/>
      <c r="DE8" s="503"/>
      <c r="DF8" s="502"/>
      <c r="DG8" s="502"/>
      <c r="DH8" s="83"/>
      <c r="DI8" s="502"/>
      <c r="DJ8" s="502"/>
      <c r="DK8" s="502"/>
      <c r="DL8" s="502"/>
      <c r="DM8" s="502"/>
      <c r="DN8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2</v>
      </c>
      <c r="DO8" s="76">
        <f>IFERROR(UO_List[[#This Row],[Line Total]]-UO_List[[#This Row],[Montant total réceptionné]],"")</f>
        <v>13440</v>
      </c>
      <c r="DP8" s="76">
        <f>IFERROR(UO_List[[#This Row],[Total item réceptionné]]*UO_List[[#This Row],[Unit Price (calcul)]],0)</f>
        <v>6720</v>
      </c>
      <c r="DQ8" s="76">
        <f>UO_List[[#This Row],[Facteur]]-UO_List[[#This Row],[Total item réceptionné]]</f>
        <v>4</v>
      </c>
      <c r="DR8" s="77"/>
      <c r="DS8" s="77"/>
      <c r="DT8" s="158"/>
      <c r="DU8" s="77"/>
    </row>
    <row r="9" spans="14:125" s="74" customFormat="1">
      <c r="AA9" s="192" t="str">
        <f>IFERROR(VLOOKUP(UO_List[[#This Row],[Unique_AIB_ID]],Tableau1[[Unique_AIB_ID]:[Building / Room]],2,FALSE),"")</f>
        <v>C000482017</v>
      </c>
      <c r="AB9" s="189">
        <f>IFERROR(VLOOKUP(UO_List[[#This Row],[Unique_AIB_ID]],UO_Contract!A10:V199,3,TRUE),"")</f>
        <v>0</v>
      </c>
      <c r="AC9" s="188" t="str">
        <f>IFERROR(VLOOKUP(UO_List[[#This Row],[Unique_AIB_ID]],Tableau1[[Unique_AIB_ID]:[Building / Room]],4,FALSE),"")</f>
        <v>WPA - SII - PJOP - Airbus - WD1701094 - Flight and Integration Test CT1705359</v>
      </c>
      <c r="AD9" s="189">
        <f>IFERROR(VLOOKUP(UO_List[[#This Row],[Unique_AIB_ID]],Tableau1[[Unique_AIB_ID]:[Building / Room]],5,FALSE),"")</f>
        <v>0</v>
      </c>
      <c r="AE9" s="189">
        <f>IFERROR(VLOOKUP(UO_List[[#This Row],[Unique_AIB_ID]],Tableau1[[Unique_AIB_ID]:[Building / Room]],6,FALSE),"")</f>
        <v>5</v>
      </c>
      <c r="AF9" s="189" t="str">
        <f>IFERROR(VLOOKUP(UO_List[[#This Row],[Unique_AIB_ID]],Tableau1[[Unique_AIB_ID]:[Building / Room]],7,FALSE),"")</f>
        <v>4 Each of WU_PROP_S[PJE_SII_EVYP_USD_AIRBUS_FR]</v>
      </c>
      <c r="AG9" s="189">
        <f>IFERROR(VLOOKUP(UO_List[[#This Row],[Unique_AIB_ID]],Tableau1[[Unique_AIB_ID]:[Building / Room]],8,FALSE),"")</f>
        <v>4</v>
      </c>
      <c r="AH9" s="190">
        <f>IFERROR(VALUE(VLOOKUP(UO_List[[#This Row],[Unique_AIB_ID]],Tableau1[[Unique_AIB_ID]:[Building / Room]],9,FALSE)),"")</f>
        <v>13440</v>
      </c>
      <c r="AI9" s="189">
        <f>IFERROR(VLOOKUP(UO_List[[#This Row],[Unique_AIB_ID]],Tableau1[[Unique_AIB_ID]:[Building / Room]],10,TRUE),"")</f>
        <v>0</v>
      </c>
      <c r="AJ9" s="191">
        <f>IFERROR(VLOOKUP(UO_List[[#This Row],[Unique_AIB_ID]],Tableau1[[Unique_AIB_ID]:[Building / Room]],11,FALSE),"")</f>
        <v>0</v>
      </c>
      <c r="AK9" s="189">
        <f>IFERROR(VLOOKUP(UO_List[[#This Row],[Unique_AIB_ID]],Tableau1[[Unique_AIB_ID]:[Building / Room]],12,FALSE),"")</f>
        <v>0</v>
      </c>
      <c r="AL9" s="189">
        <f>IFERROR(VLOOKUP(UO_List[[#This Row],[Unique_AIB_ID]],Tableau1[[Unique_AIB_ID]:[Building / Room]],13,FALSE),"")</f>
        <v>0</v>
      </c>
      <c r="AM9" s="183">
        <f>IFERROR(VLOOKUP(UO_List[[#This Row],[Unique_AIB_ID]],Tableau1[[Unique_AIB_ID]:[Building / Room]],14,FALSE),"")</f>
        <v>0</v>
      </c>
      <c r="AN9" s="183">
        <f>IFERROR(VLOOKUP(UO_List[[#This Row],[Unique_AIB_ID]],Tableau1[[Unique_AIB_ID]:[Building / Room]],15,FALSE),"")</f>
        <v>0</v>
      </c>
      <c r="AO9" s="183">
        <f>IFERROR(VLOOKUP(UO_List[[#This Row],[Unique_AIB_ID]],Tableau1[[Unique_AIB_ID]:[Building / Room]],16,FALSE),"")</f>
        <v>0</v>
      </c>
      <c r="AP9" s="183" t="str">
        <f>IFERROR(VLOOKUP(UO_List[[#This Row],[Unique_AIB_ID]],Tableau1[[Unique_AIB_ID]:[Building / Room]],17,FALSE),"")</f>
        <v>0</v>
      </c>
      <c r="AQ9" s="183">
        <f>IFERROR(VLOOKUP(UO_List[[#This Row],[Unique_AIB_ID]],Tableau1[[Unique_AIB_ID]:[Building / Room]],18,FALSE),"")</f>
        <v>0</v>
      </c>
      <c r="AR9" s="183" t="str">
        <f>IFERROR(VLOOKUP(UO_List[[#This Row],[Unique_AIB_ID]],Tableau1[[Unique_AIB_ID]:[Building / Room]],19,FALSE),"")</f>
        <v>03/25/20</v>
      </c>
      <c r="AS9" s="183">
        <f>IFERROR(VLOOKUP(UO_List[[#This Row],[Unique_AIB_ID]],Tableau1[[Unique_AIB_ID]:[Building / Room]],20,FALSE),"")</f>
        <v>0</v>
      </c>
      <c r="AT9" s="183">
        <f>IFERROR(VLOOKUP(UO_List[[#This Row],[Unique_AIB_ID]],Tableau1[[Unique_AIB_ID]:[Building / Room]],21,FALSE),"")</f>
        <v>0</v>
      </c>
      <c r="AU9" s="183" t="str">
        <f>IFERROR(VLOOKUP(UO_List[[#This Row],[Unique_AIB_ID]],Tableau1[[Unique_AIB_ID]:[Building / Room]],22,FALSE),"")</f>
        <v>M24 / B032</v>
      </c>
      <c r="AV9" s="167" t="str">
        <f>IFERROR(VLOOKUP(UO_List[[#This Row],[Unique_AIB_ID]],Tableau1[[Unique_AIB_ID]:[Currency]],23,FALSE),"")</f>
        <v>Q 1 / SA: New Pitot probes - New AOA design - Collins /UTAS - NEW AOA Thales</v>
      </c>
      <c r="AW9" s="167">
        <f>IFERROR(IF(ISBLANK(UO_List[[#This Row],[PO Number (Header)]]),"",UO_List[[#This Row],[Line Total]]/UO_List[[#This Row],[Total Item Quantity]]),"")</f>
        <v>3360</v>
      </c>
      <c r="AX9" s="498" t="s">
        <v>874</v>
      </c>
      <c r="AY9" s="171"/>
      <c r="AZ9" s="78" t="s">
        <v>844</v>
      </c>
      <c r="BA9" s="78"/>
      <c r="BB9" s="78"/>
      <c r="BC9" s="78" t="s">
        <v>696</v>
      </c>
      <c r="BD9" s="70" t="s">
        <v>687</v>
      </c>
      <c r="BE9" s="78" t="s">
        <v>687</v>
      </c>
      <c r="BF9" s="78" t="s">
        <v>8</v>
      </c>
      <c r="BG9" s="78"/>
      <c r="BH9" s="78" t="s">
        <v>863</v>
      </c>
      <c r="BI9" s="78" t="s">
        <v>982</v>
      </c>
      <c r="BJ9" s="79"/>
      <c r="BK9" s="79">
        <v>43831</v>
      </c>
      <c r="BL9" s="79">
        <v>43921</v>
      </c>
      <c r="BM9" s="71">
        <v>4</v>
      </c>
      <c r="BN9" s="71">
        <f>IFERROR(UO_List[[#This Row],[Total Item Quantity]]-UO_List[[#This Row],[Facteur]],"")</f>
        <v>0</v>
      </c>
      <c r="BO9" s="349">
        <f>IFERROR(IF(ISBLANK(UO_List[[#This Row],[Id_UO]]),"",SUMPRODUCT(1*(EXACT(UO_List[[#This Row],[Id_UO]],CATALOGUE[Id_WU]))*CATALOGUE[Price $])),"")</f>
        <v>3360</v>
      </c>
      <c r="BP9" s="350">
        <f>IFERROR(UO_List[[#This Row],[Prix unitaire]]*UO_List[[#This Row],[Facteur]],"")</f>
        <v>13440</v>
      </c>
      <c r="BQ9" s="100">
        <f>IFERROR(SUMPRODUCT(1*(EXACT(UO_List[[#This Row],[Id_UO]],CATALOGUE[Id_WU]))*CATALOGUE[Global_Workload_PM_(d)]*UO_List[[#This Row],[Facteur]]),"")</f>
        <v>3.6000000000000014</v>
      </c>
      <c r="BR9" s="286">
        <f>UO_List[[#This Row],[Jours GP]]/jours_an</f>
        <v>1.6666666666666673E-2</v>
      </c>
      <c r="BS9" s="72">
        <f>IFERROR(SUMPRODUCT(1*(EXACT(UO_List[[#This Row],[Id_UO]],CATALOGUE[Id_WU]))*CATALOGUE[Global_Workload_Tech_(d)]*UO_List[[#This Row],[Facteur]]),"")</f>
        <v>20.399999999999999</v>
      </c>
      <c r="BT9" s="286">
        <f>UO_List[[#This Row],[Jours Tech]]/jours_an</f>
        <v>9.4444444444444442E-2</v>
      </c>
      <c r="BU9" s="72">
        <f>UO_List[[#This Row],[Jours GP]]+UO_List[[#This Row],[Jours Tech]]</f>
        <v>24</v>
      </c>
      <c r="BV9" s="286">
        <f>UO_List[[#This Row],[ETP GP]]+UO_List[[#This Row],[ETP Tech]]</f>
        <v>0.11111111111111112</v>
      </c>
      <c r="BW9" s="73" t="s">
        <v>209</v>
      </c>
      <c r="BX9" s="515" t="s">
        <v>203</v>
      </c>
      <c r="BY9" s="462">
        <f>IF(UO_List[[#This Row],[Budget Revue]]="x",UO_List[[#This Row],[Montant TOTAL]],0)</f>
        <v>13440</v>
      </c>
      <c r="BZ9" s="80">
        <f>IF(UO_List[[#This Row],[Budget Revue]]="x",UO_List[[#This Row],[Jours Tech]],0)</f>
        <v>20.399999999999999</v>
      </c>
      <c r="CA9" s="80">
        <f>IF(UO_List[[#This Row],[Budget Revue]]="x",UO_List[[#This Row],[Jours GP]],0)</f>
        <v>3.6000000000000014</v>
      </c>
      <c r="CB9" s="516">
        <f>IF(AND(UO_List[[#This Row],[Budget Revue]]="x",$BK9&lt;&gt;"",$BL9&lt;&gt;"",YEAR(BB$3)=YEAR($BK9),MONTH(BB$3)&gt;=MONTH($BK9),MONTH(BB$3)&lt;=MONTH($BL9)),$BS9/(MONTH($BL9)-MONTH($BK9)+1),"")</f>
        <v>6.8</v>
      </c>
      <c r="CC9" s="80">
        <f>IF(AND(UO_List[[#This Row],[Budget Revue]]="x",$BK9&lt;&gt;"",$BL9&lt;&gt;"",YEAR(BC$3)=YEAR($BK9),MONTH(BC$3)&gt;=MONTH($BK9),MONTH(BC$3)&lt;=MONTH($BL9)),$BS9/(MONTH($BL9)-MONTH($BK9)+1),"")</f>
        <v>6.8</v>
      </c>
      <c r="CD9" s="80">
        <f>IF(AND(UO_List[[#This Row],[Budget Revue]]="x",$BK9&lt;&gt;"",$BL9&lt;&gt;"",YEAR(BD$3)=YEAR($BK9),MONTH(BD$3)&gt;=MONTH($BK9),MONTH(BD$3)&lt;=MONTH($BL9)),$BS9/(MONTH($BL9)-MONTH($BK9)+1),"")</f>
        <v>6.8</v>
      </c>
      <c r="CE9" s="80" t="str">
        <f>IF(AND(UO_List[[#This Row],[Budget Revue]]="x",$BK9&lt;&gt;"",$BL9&lt;&gt;"",YEAR(BE$3)=YEAR($BK9),MONTH(BE$3)&gt;=MONTH($BK9),MONTH(BE$3)&lt;=MONTH($BL9)),$BS9/(MONTH($BL9)-MONTH($BK9)+1),"")</f>
        <v/>
      </c>
      <c r="CF9" s="80" t="str">
        <f>IF(AND(UO_List[[#This Row],[Budget Revue]]="x",$BK9&lt;&gt;"",$BL9&lt;&gt;"",YEAR(BF$3)=YEAR($BK9),MONTH(BF$3)&gt;=MONTH($BK9),MONTH(BF$3)&lt;=MONTH($BL9)),$BS9/(MONTH($BL9)-MONTH($BK9)+1),"")</f>
        <v/>
      </c>
      <c r="CG9" s="80" t="str">
        <f>IF(AND(UO_List[[#This Row],[Budget Revue]]="x",$BK9&lt;&gt;"",$BL9&lt;&gt;"",YEAR(BG$3)=YEAR($BK9),MONTH(BG$3)&gt;=MONTH($BK9),MONTH(BG$3)&lt;=MONTH($BL9)),$BS9/(MONTH($BL9)-MONTH($BK9)+1),"")</f>
        <v/>
      </c>
      <c r="CH9" s="80" t="str">
        <f>IF(AND(UO_List[[#This Row],[Budget Revue]]="x",$BK9&lt;&gt;"",$BL9&lt;&gt;"",YEAR(BH$3)=YEAR($BK9),MONTH(BH$3)&gt;=MONTH($BK9),MONTH(BH$3)&lt;=MONTH($BL9)),$BS9/(MONTH($BL9)-MONTH($BK9)+1),"")</f>
        <v/>
      </c>
      <c r="CI9" s="80" t="str">
        <f>IF(AND(UO_List[[#This Row],[Budget Revue]]="x",$BK9&lt;&gt;"",$BL9&lt;&gt;"",YEAR(BI$3)=YEAR($BK9),MONTH(BI$3)&gt;=MONTH($BK9),MONTH(BI$3)&lt;=MONTH($BL9)),$BS9/(MONTH($BL9)-MONTH($BK9)+1),"")</f>
        <v/>
      </c>
      <c r="CJ9" s="80" t="str">
        <f>IF(AND(UO_List[[#This Row],[Budget Revue]]="x",$BK9&lt;&gt;"",$BL9&lt;&gt;"",YEAR(BJ$3)=YEAR($BK9),MONTH(BJ$3)&gt;=MONTH($BK9),MONTH(BJ$3)&lt;=MONTH($BL9)),$BS9/(MONTH($BL9)-MONTH($BK9)+1),"")</f>
        <v/>
      </c>
      <c r="CK9" s="80" t="str">
        <f>IF(AND(UO_List[[#This Row],[Budget Revue]]="x",$BK9&lt;&gt;"",$BL9&lt;&gt;"",YEAR(BK$3)=YEAR($BK9),MONTH(BK$3)&gt;=MONTH($BK9),MONTH(BK$3)&lt;=MONTH($BL9)),$BS9/(MONTH($BL9)-MONTH($BK9)+1),"")</f>
        <v/>
      </c>
      <c r="CL9" s="80" t="str">
        <f>IF(AND(UO_List[[#This Row],[Budget Revue]]="x",$BK9&lt;&gt;"",$BL9&lt;&gt;"",YEAR(BL$3)=YEAR($BK9),MONTH(BL$3)&gt;=MONTH($BK9),MONTH(BL$3)&lt;=MONTH($BL9)),$BS9/(MONTH($BL9)-MONTH($BK9)+1),"")</f>
        <v/>
      </c>
      <c r="CM9" s="80" t="str">
        <f>IF(AND(UO_List[[#This Row],[Budget Revue]]="x",$BK9&lt;&gt;"",$BL9&lt;&gt;"",YEAR(BM$3)=YEAR($BK9),MONTH(BM$3)&gt;=MONTH($BK9),MONTH(BM$3)&lt;=MONTH($BL9)),$BS9/(MONTH($BL9)-MONTH($BK9)+1),"")</f>
        <v/>
      </c>
      <c r="CN9" s="75">
        <f>IF(UO_List[[#This Row],[Budget Revue]]="x",SUM(UO_List[[#This Row],[JANVIER]:[DECEMBRE]])-UO_List[[#This Row],[Jours Tech]],"")</f>
        <v>0</v>
      </c>
      <c r="CO9" s="348">
        <f>IF(AND(UO_List[[#This Row],[Budget Revue]]="x",$BK9&lt;&gt;"",$BL9&lt;&gt;"",YEAR(BO$3)=YEAR($BK9),MONTH(BO$3)&gt;=MONTH($BK9),MONTH(BO$3)&lt;=MONTH($BL9)),UO_List[[#This Row],[Montant TOTAL]]/(MONTH($BL9)-MONTH($BK9)+1),"")</f>
        <v>4480</v>
      </c>
      <c r="CP9" s="348">
        <f>IF(AND(UO_List[[#This Row],[Budget Revue]]="x",$BK9&lt;&gt;"",$BL9&lt;&gt;"",YEAR(BP$3)=YEAR($BK9),MONTH(BP$3)&gt;=MONTH($BK9),MONTH(BP$3)&lt;=MONTH($BL9)),UO_List[[#This Row],[Montant TOTAL]]/(MONTH($BL9)-MONTH($BK9)+1),"")</f>
        <v>4480</v>
      </c>
      <c r="CQ9" s="348">
        <f>IF(AND(UO_List[[#This Row],[Budget Revue]]="x",$BK9&lt;&gt;"",$BL9&lt;&gt;"",YEAR(BQ$3)=YEAR($BK9),MONTH(BQ$3)&gt;=MONTH($BK9),MONTH(BQ$3)&lt;=MONTH($BL9)),UO_List[[#This Row],[Montant TOTAL]]/(MONTH($BL9)-MONTH($BK9)+1),"")</f>
        <v>4480</v>
      </c>
      <c r="CR9" s="348" t="str">
        <f>IF(AND(UO_List[[#This Row],[Budget Revue]]="x",$BK9&lt;&gt;"",$BL9&lt;&gt;"",YEAR(BR$3)=YEAR($BK9),MONTH(BR$3)&gt;=MONTH($BK9),MONTH(BR$3)&lt;=MONTH($BL9)),UO_List[[#This Row],[Montant TOTAL]]/(MONTH($BL9)-MONTH($BK9)+1),"")</f>
        <v/>
      </c>
      <c r="CS9" s="348" t="str">
        <f>IF(AND(UO_List[[#This Row],[Budget Revue]]="x",$BK9&lt;&gt;"",$BL9&lt;&gt;"",YEAR(BS$3)=YEAR($BK9),MONTH(BS$3)&gt;=MONTH($BK9),MONTH(BS$3)&lt;=MONTH($BL9)),UO_List[[#This Row],[Montant TOTAL]]/(MONTH($BL9)-MONTH($BK9)+1),"")</f>
        <v/>
      </c>
      <c r="CT9" s="348" t="str">
        <f>IF(AND(UO_List[[#This Row],[Budget Revue]]="x",$BK9&lt;&gt;"",$BL9&lt;&gt;"",YEAR(BT$3)=YEAR($BK9),MONTH(BT$3)&gt;=MONTH($BK9),MONTH(BT$3)&lt;=MONTH($BL9)),UO_List[[#This Row],[Montant TOTAL]]/(MONTH($BL9)-MONTH($BK9)+1),"")</f>
        <v/>
      </c>
      <c r="CU9" s="348" t="str">
        <f>IF(AND(UO_List[[#This Row],[Budget Revue]]="x",$BK9&lt;&gt;"",$BL9&lt;&gt;"",YEAR(BU$3)=YEAR($BK9),MONTH(BU$3)&gt;=MONTH($BK9),MONTH(BU$3)&lt;=MONTH($BL9)),UO_List[[#This Row],[Montant TOTAL]]/(MONTH($BL9)-MONTH($BK9)+1),"")</f>
        <v/>
      </c>
      <c r="CV9" s="348" t="str">
        <f>IF(AND(UO_List[[#This Row],[Budget Revue]]="x",$BK9&lt;&gt;"",$BL9&lt;&gt;"",YEAR(BV$3)=YEAR($BK9),MONTH(BV$3)&gt;=MONTH($BK9),MONTH(BV$3)&lt;=MONTH($BL9)),UO_List[[#This Row],[Montant TOTAL]]/(MONTH($BL9)-MONTH($BK9)+1),"")</f>
        <v/>
      </c>
      <c r="CW9" s="348" t="str">
        <f>IF(AND(UO_List[[#This Row],[Budget Revue]]="x",$BK9&lt;&gt;"",$BL9&lt;&gt;"",YEAR(BW$3)=YEAR($BK9),MONTH(BW$3)&gt;=MONTH($BK9),MONTH(BW$3)&lt;=MONTH($BL9)),UO_List[[#This Row],[Montant TOTAL]]/(MONTH($BL9)-MONTH($BK9)+1),"")</f>
        <v/>
      </c>
      <c r="CX9" s="348" t="str">
        <f>IF(AND(UO_List[[#This Row],[Budget Revue]]="x",$BK9&lt;&gt;"",$BL9&lt;&gt;"",YEAR(BX$3)=YEAR($BK9),MONTH(BX$3)&gt;=MONTH($BK9),MONTH(BX$3)&lt;=MONTH($BL9)),UO_List[[#This Row],[Montant TOTAL]]/(MONTH($BL9)-MONTH($BK9)+1),"")</f>
        <v/>
      </c>
      <c r="CY9" s="348" t="str">
        <f>IF(AND(UO_List[[#This Row],[Budget Revue]]="x",$BK9&lt;&gt;"",$BL9&lt;&gt;"",YEAR(BY$3)=YEAR($BK9),MONTH(BY$3)&gt;=MONTH($BK9),MONTH(BY$3)&lt;=MONTH($BL9)),UO_List[[#This Row],[Montant TOTAL]]/(MONTH($BL9)-MONTH($BK9)+1),"")</f>
        <v/>
      </c>
      <c r="CZ9" s="348" t="str">
        <f>IF(AND(UO_List[[#This Row],[Budget Revue]]="x",$BK9&lt;&gt;"",$BL9&lt;&gt;"",YEAR(BY$3)=YEAR($BK9),MONTH(BY$3)&gt;=MONTH($BK9),MONTH(BY$3)&lt;=MONTH($BL9)),UO_List[[#This Row],[Montant TOTAL]]/(MONTH($BL9)-MONTH($BK9)+1),"")</f>
        <v/>
      </c>
      <c r="DA9" s="348">
        <f>IF(UO_List[[#This Row],[Budget Revue]]="x",SUM(UO_List[[#This Row],[JANVIER2]:[DECEMBRE2]])-UO_List[Montant TOTAL],"")</f>
        <v>0</v>
      </c>
      <c r="DB9" s="517">
        <v>1</v>
      </c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9" s="76">
        <f>IFERROR(UO_List[[#This Row],[Line Total]]-UO_List[[#This Row],[Montant total réceptionné]],"")</f>
        <v>10080</v>
      </c>
      <c r="DP9" s="76">
        <f>IFERROR(UO_List[[#This Row],[Total item réceptionné]]*UO_List[[#This Row],[Unit Price (calcul)]],0)</f>
        <v>3360</v>
      </c>
      <c r="DQ9" s="76">
        <f>UO_List[[#This Row],[Facteur]]-UO_List[[#This Row],[Total item réceptionné]]</f>
        <v>3</v>
      </c>
      <c r="DR9" s="77"/>
      <c r="DS9" s="77"/>
      <c r="DT9" s="158"/>
      <c r="DU9" s="77"/>
    </row>
    <row r="10" spans="14:125" s="74" customFormat="1">
      <c r="AA10" s="192" t="str">
        <f>IFERROR(VLOOKUP(UO_List[[#This Row],[Unique_AIB_ID]],Tableau1[[Unique_AIB_ID]:[Building / Room]],2,FALSE),"")</f>
        <v>C000498080</v>
      </c>
      <c r="AB10" s="193">
        <f>IFERROR(VLOOKUP(UO_List[[#This Row],[Unique_AIB_ID]],UO_Contract!A10:V199,3,TRUE),"")</f>
        <v>0</v>
      </c>
      <c r="AC10" s="194" t="str">
        <f>IFERROR(VLOOKUP(UO_List[[#This Row],[Unique_AIB_ID]],Tableau1[[Unique_AIB_ID]:[Building / Room]],4,FALSE),"")</f>
        <v>WPA - SII - PJOP - Airbus - WD1701094 - Flight and Integration Test CT1705359</v>
      </c>
      <c r="AD10" s="193">
        <f>IFERROR(VLOOKUP(UO_List[[#This Row],[Unique_AIB_ID]],Tableau1[[Unique_AIB_ID]:[Building / Room]],5,FALSE),"")</f>
        <v>0</v>
      </c>
      <c r="AE10" s="193">
        <f>IFERROR(VLOOKUP(UO_List[[#This Row],[Unique_AIB_ID]],Tableau1[[Unique_AIB_ID]:[Building / Room]],6,FALSE),"")</f>
        <v>1</v>
      </c>
      <c r="AF10" s="193" t="str">
        <f>IFERROR(VLOOKUP(UO_List[[#This Row],[Unique_AIB_ID]],Tableau1[[Unique_AIB_ID]:[Building / Room]],7,FALSE),"")</f>
        <v>1 Each of WU_PROP_STD[PJE_SII_EVYP_USD_AIRBUS_FR]</v>
      </c>
      <c r="AG10" s="193">
        <f>IFERROR(VLOOKUP(UO_List[[#This Row],[Unique_AIB_ID]],Tableau1[[Unique_AIB_ID]:[Building / Room]],8,FALSE),"")</f>
        <v>1</v>
      </c>
      <c r="AH10" s="195">
        <f>IFERROR(VALUE(VLOOKUP(UO_List[[#This Row],[Unique_AIB_ID]],Tableau1[[Unique_AIB_ID]:[Building / Room]],9,FALSE)),"")</f>
        <v>10120</v>
      </c>
      <c r="AI10" s="193">
        <f>IFERROR(VLOOKUP(UO_List[[#This Row],[Unique_AIB_ID]],Tableau1[[Unique_AIB_ID]:[Building / Room]],10,TRUE),"")</f>
        <v>0</v>
      </c>
      <c r="AJ10" s="196">
        <f>IFERROR(VLOOKUP(UO_List[[#This Row],[Unique_AIB_ID]],Tableau1[[Unique_AIB_ID]:[Building / Room]],11,FALSE),"")</f>
        <v>0</v>
      </c>
      <c r="AK10" s="193">
        <f>IFERROR(VLOOKUP(UO_List[[#This Row],[Unique_AIB_ID]],Tableau1[[Unique_AIB_ID]:[Building / Room]],12,FALSE),"")</f>
        <v>0</v>
      </c>
      <c r="AL10" s="193">
        <f>IFERROR(VLOOKUP(UO_List[[#This Row],[Unique_AIB_ID]],Tableau1[[Unique_AIB_ID]:[Building / Room]],13,FALSE),"")</f>
        <v>0</v>
      </c>
      <c r="AM10" s="183">
        <f>IFERROR(VLOOKUP(UO_List[[#This Row],[Unique_AIB_ID]],Tableau1[[Unique_AIB_ID]:[Building / Room]],14,FALSE),"")</f>
        <v>0</v>
      </c>
      <c r="AN10" s="183">
        <f>IFERROR(VLOOKUP(UO_List[[#This Row],[Unique_AIB_ID]],Tableau1[[Unique_AIB_ID]:[Building / Room]],15,FALSE),"")</f>
        <v>0</v>
      </c>
      <c r="AO10" s="183">
        <f>IFERROR(VLOOKUP(UO_List[[#This Row],[Unique_AIB_ID]],Tableau1[[Unique_AIB_ID]:[Building / Room]],16,FALSE),"")</f>
        <v>0</v>
      </c>
      <c r="AP10" s="183" t="str">
        <f>IFERROR(VLOOKUP(UO_List[[#This Row],[Unique_AIB_ID]],Tableau1[[Unique_AIB_ID]:[Building / Room]],17,FALSE),"")</f>
        <v>0</v>
      </c>
      <c r="AQ10" s="183">
        <f>IFERROR(VLOOKUP(UO_List[[#This Row],[Unique_AIB_ID]],Tableau1[[Unique_AIB_ID]:[Building / Room]],18,FALSE),"")</f>
        <v>0</v>
      </c>
      <c r="AR10" s="183" t="str">
        <f>IFERROR(VLOOKUP(UO_List[[#This Row],[Unique_AIB_ID]],Tableau1[[Unique_AIB_ID]:[Building / Room]],19,FALSE),"")</f>
        <v>03/25/20</v>
      </c>
      <c r="AS10" s="183">
        <f>IFERROR(VLOOKUP(UO_List[[#This Row],[Unique_AIB_ID]],Tableau1[[Unique_AIB_ID]:[Building / Room]],20,FALSE),"")</f>
        <v>0</v>
      </c>
      <c r="AT10" s="183">
        <f>IFERROR(VLOOKUP(UO_List[[#This Row],[Unique_AIB_ID]],Tableau1[[Unique_AIB_ID]:[Building / Room]],21,FALSE),"")</f>
        <v>0</v>
      </c>
      <c r="AU10" s="183" t="str">
        <f>IFERROR(VLOOKUP(UO_List[[#This Row],[Unique_AIB_ID]],Tableau1[[Unique_AIB_ID]:[Building / Room]],22,FALSE),"")</f>
        <v>M24 / B032</v>
      </c>
      <c r="AV10" s="167" t="str">
        <f>IFERROR(VLOOKUP(UO_List[[#This Row],[Unique_AIB_ID]],Tableau1[[Unique_AIB_ID]:[Currency]],23,FALSE),"")</f>
        <v>Q 1 / A330Neo 251T : MLGB Fire Detection</v>
      </c>
      <c r="AW10" s="167">
        <f>IFERROR(IF(ISBLANK(UO_List[[#This Row],[PO Number (Header)]]),"",UO_List[[#This Row],[Line Total]]/UO_List[[#This Row],[Total Item Quantity]]),"")</f>
        <v>10120</v>
      </c>
      <c r="AX10" s="498" t="s">
        <v>864</v>
      </c>
      <c r="AY10" s="167"/>
      <c r="AZ10" s="78" t="s">
        <v>844</v>
      </c>
      <c r="BA10" s="78"/>
      <c r="BB10" s="78"/>
      <c r="BC10" s="78" t="s">
        <v>695</v>
      </c>
      <c r="BD10" s="70" t="s">
        <v>687</v>
      </c>
      <c r="BE10" s="78" t="s">
        <v>687</v>
      </c>
      <c r="BF10" s="78" t="s">
        <v>191</v>
      </c>
      <c r="BG10" s="78"/>
      <c r="BH10" s="78" t="s">
        <v>841</v>
      </c>
      <c r="BI10" s="78" t="s">
        <v>1013</v>
      </c>
      <c r="BJ10" s="79"/>
      <c r="BK10" s="79">
        <v>43831</v>
      </c>
      <c r="BL10" s="79">
        <v>43921</v>
      </c>
      <c r="BM10" s="71">
        <v>1</v>
      </c>
      <c r="BN10" s="71">
        <f>IFERROR(UO_List[[#This Row],[Total Item Quantity]]-UO_List[[#This Row],[Facteur]],"")</f>
        <v>0</v>
      </c>
      <c r="BO10" s="349">
        <f>IFERROR(IF(ISBLANK(UO_List[[#This Row],[Id_UO]]),"",SUMPRODUCT(1*(EXACT(UO_List[[#This Row],[Id_UO]],CATALOGUE[Id_WU]))*CATALOGUE[Price $])),"")</f>
        <v>10120</v>
      </c>
      <c r="BP10" s="350">
        <f>IFERROR(UO_List[[#This Row],[Prix unitaire]]*UO_List[[#This Row],[Facteur]],"")</f>
        <v>10120</v>
      </c>
      <c r="BQ10" s="100">
        <f>IFERROR(SUMPRODUCT(1*(EXACT(UO_List[[#This Row],[Id_UO]],CATALOGUE[Id_WU]))*CATALOGUE[Global_Workload_PM_(d)]*UO_List[[#This Row],[Facteur]]),"")</f>
        <v>2.76</v>
      </c>
      <c r="BR10" s="286">
        <f>UO_List[[#This Row],[Jours GP]]/jours_an</f>
        <v>1.2777777777777777E-2</v>
      </c>
      <c r="BS10" s="72">
        <f>IFERROR(SUMPRODUCT(1*(EXACT(UO_List[[#This Row],[Id_UO]],CATALOGUE[Id_WU]))*CATALOGUE[Global_Workload_Tech_(d)]*UO_List[[#This Row],[Facteur]]),"")</f>
        <v>15.639999999999999</v>
      </c>
      <c r="BT10" s="286">
        <f>UO_List[[#This Row],[Jours Tech]]/jours_an</f>
        <v>7.2407407407407406E-2</v>
      </c>
      <c r="BU10" s="72">
        <f>UO_List[[#This Row],[Jours GP]]+UO_List[[#This Row],[Jours Tech]]</f>
        <v>18.399999999999999</v>
      </c>
      <c r="BV10" s="286">
        <f>UO_List[[#This Row],[ETP GP]]+UO_List[[#This Row],[ETP Tech]]</f>
        <v>8.5185185185185183E-2</v>
      </c>
      <c r="BW10" s="73" t="s">
        <v>209</v>
      </c>
      <c r="BX10" s="515" t="s">
        <v>203</v>
      </c>
      <c r="BY10" s="462">
        <f>IF(UO_List[[#This Row],[Budget Revue]]="x",UO_List[[#This Row],[Montant TOTAL]],0)</f>
        <v>10120</v>
      </c>
      <c r="BZ10" s="80">
        <f>IF(UO_List[[#This Row],[Budget Revue]]="x",UO_List[[#This Row],[Jours Tech]],0)</f>
        <v>15.639999999999999</v>
      </c>
      <c r="CA10" s="80">
        <f>IF(UO_List[[#This Row],[Budget Revue]]="x",UO_List[[#This Row],[Jours GP]],0)</f>
        <v>2.76</v>
      </c>
      <c r="CB10" s="516">
        <f>IF(AND(UO_List[[#This Row],[Budget Revue]]="x",$BK10&lt;&gt;"",$BL10&lt;&gt;"",YEAR(BB$3)=YEAR($BK10),MONTH(BB$3)&gt;=MONTH($BK10),MONTH(BB$3)&lt;=MONTH($BL10)),$BS10/(MONTH($BL10)-MONTH($BK10)+1),"")</f>
        <v>5.2133333333333329</v>
      </c>
      <c r="CC10" s="80">
        <f>IF(AND(UO_List[[#This Row],[Budget Revue]]="x",$BK10&lt;&gt;"",$BL10&lt;&gt;"",YEAR(BC$3)=YEAR($BK10),MONTH(BC$3)&gt;=MONTH($BK10),MONTH(BC$3)&lt;=MONTH($BL10)),$BS10/(MONTH($BL10)-MONTH($BK10)+1),"")</f>
        <v>5.2133333333333329</v>
      </c>
      <c r="CD10" s="80">
        <f>IF(AND(UO_List[[#This Row],[Budget Revue]]="x",$BK10&lt;&gt;"",$BL10&lt;&gt;"",YEAR(BD$3)=YEAR($BK10),MONTH(BD$3)&gt;=MONTH($BK10),MONTH(BD$3)&lt;=MONTH($BL10)),$BS10/(MONTH($BL10)-MONTH($BK10)+1),"")</f>
        <v>5.2133333333333329</v>
      </c>
      <c r="CE10" s="80" t="str">
        <f>IF(AND(UO_List[[#This Row],[Budget Revue]]="x",$BK10&lt;&gt;"",$BL10&lt;&gt;"",YEAR(BE$3)=YEAR($BK10),MONTH(BE$3)&gt;=MONTH($BK10),MONTH(BE$3)&lt;=MONTH($BL10)),$BS10/(MONTH($BL10)-MONTH($BK10)+1),"")</f>
        <v/>
      </c>
      <c r="CF10" s="80" t="str">
        <f>IF(AND(UO_List[[#This Row],[Budget Revue]]="x",$BK10&lt;&gt;"",$BL10&lt;&gt;"",YEAR(BF$3)=YEAR($BK10),MONTH(BF$3)&gt;=MONTH($BK10),MONTH(BF$3)&lt;=MONTH($BL10)),$BS10/(MONTH($BL10)-MONTH($BK10)+1),"")</f>
        <v/>
      </c>
      <c r="CG10" s="80" t="str">
        <f>IF(AND(UO_List[[#This Row],[Budget Revue]]="x",$BK10&lt;&gt;"",$BL10&lt;&gt;"",YEAR(BG$3)=YEAR($BK10),MONTH(BG$3)&gt;=MONTH($BK10),MONTH(BG$3)&lt;=MONTH($BL10)),$BS10/(MONTH($BL10)-MONTH($BK10)+1),"")</f>
        <v/>
      </c>
      <c r="CH10" s="80" t="str">
        <f>IF(AND(UO_List[[#This Row],[Budget Revue]]="x",$BK10&lt;&gt;"",$BL10&lt;&gt;"",YEAR(BH$3)=YEAR($BK10),MONTH(BH$3)&gt;=MONTH($BK10),MONTH(BH$3)&lt;=MONTH($BL10)),$BS10/(MONTH($BL10)-MONTH($BK10)+1),"")</f>
        <v/>
      </c>
      <c r="CI10" s="80" t="str">
        <f>IF(AND(UO_List[[#This Row],[Budget Revue]]="x",$BK10&lt;&gt;"",$BL10&lt;&gt;"",YEAR(BI$3)=YEAR($BK10),MONTH(BI$3)&gt;=MONTH($BK10),MONTH(BI$3)&lt;=MONTH($BL10)),$BS10/(MONTH($BL10)-MONTH($BK10)+1),"")</f>
        <v/>
      </c>
      <c r="CJ10" s="80" t="str">
        <f>IF(AND(UO_List[[#This Row],[Budget Revue]]="x",$BK10&lt;&gt;"",$BL10&lt;&gt;"",YEAR(BJ$3)=YEAR($BK10),MONTH(BJ$3)&gt;=MONTH($BK10),MONTH(BJ$3)&lt;=MONTH($BL10)),$BS10/(MONTH($BL10)-MONTH($BK10)+1),"")</f>
        <v/>
      </c>
      <c r="CK10" s="80" t="str">
        <f>IF(AND(UO_List[[#This Row],[Budget Revue]]="x",$BK10&lt;&gt;"",$BL10&lt;&gt;"",YEAR(BK$3)=YEAR($BK10),MONTH(BK$3)&gt;=MONTH($BK10),MONTH(BK$3)&lt;=MONTH($BL10)),$BS10/(MONTH($BL10)-MONTH($BK10)+1),"")</f>
        <v/>
      </c>
      <c r="CL10" s="80" t="str">
        <f>IF(AND(UO_List[[#This Row],[Budget Revue]]="x",$BK10&lt;&gt;"",$BL10&lt;&gt;"",YEAR(BL$3)=YEAR($BK10),MONTH(BL$3)&gt;=MONTH($BK10),MONTH(BL$3)&lt;=MONTH($BL10)),$BS10/(MONTH($BL10)-MONTH($BK10)+1),"")</f>
        <v/>
      </c>
      <c r="CM10" s="80" t="str">
        <f>IF(AND(UO_List[[#This Row],[Budget Revue]]="x",$BK10&lt;&gt;"",$BL10&lt;&gt;"",YEAR(BM$3)=YEAR($BK10),MONTH(BM$3)&gt;=MONTH($BK10),MONTH(BM$3)&lt;=MONTH($BL10)),$BS10/(MONTH($BL10)-MONTH($BK10)+1),"")</f>
        <v/>
      </c>
      <c r="CN10" s="75">
        <f>IF(UO_List[[#This Row],[Budget Revue]]="x",SUM(UO_List[[#This Row],[JANVIER]:[DECEMBRE]])-UO_List[[#This Row],[Jours Tech]],"")</f>
        <v>0</v>
      </c>
      <c r="CO10" s="348">
        <f>IF(AND(UO_List[[#This Row],[Budget Revue]]="x",$BK10&lt;&gt;"",$BL10&lt;&gt;"",YEAR(BO$3)=YEAR($BK10),MONTH(BO$3)&gt;=MONTH($BK10),MONTH(BO$3)&lt;=MONTH($BL10)),UO_List[[#This Row],[Montant TOTAL]]/(MONTH($BL10)-MONTH($BK10)+1),"")</f>
        <v>3373.3333333333335</v>
      </c>
      <c r="CP10" s="348">
        <f>IF(AND(UO_List[[#This Row],[Budget Revue]]="x",$BK10&lt;&gt;"",$BL10&lt;&gt;"",YEAR(BP$3)=YEAR($BK10),MONTH(BP$3)&gt;=MONTH($BK10),MONTH(BP$3)&lt;=MONTH($BL10)),UO_List[[#This Row],[Montant TOTAL]]/(MONTH($BL10)-MONTH($BK10)+1),"")</f>
        <v>3373.3333333333335</v>
      </c>
      <c r="CQ10" s="348">
        <f>IF(AND(UO_List[[#This Row],[Budget Revue]]="x",$BK10&lt;&gt;"",$BL10&lt;&gt;"",YEAR(BQ$3)=YEAR($BK10),MONTH(BQ$3)&gt;=MONTH($BK10),MONTH(BQ$3)&lt;=MONTH($BL10)),UO_List[[#This Row],[Montant TOTAL]]/(MONTH($BL10)-MONTH($BK10)+1),"")</f>
        <v>3373.3333333333335</v>
      </c>
      <c r="CR10" s="348" t="str">
        <f>IF(AND(UO_List[[#This Row],[Budget Revue]]="x",$BK10&lt;&gt;"",$BL10&lt;&gt;"",YEAR(BR$3)=YEAR($BK10),MONTH(BR$3)&gt;=MONTH($BK10),MONTH(BR$3)&lt;=MONTH($BL10)),UO_List[[#This Row],[Montant TOTAL]]/(MONTH($BL10)-MONTH($BK10)+1),"")</f>
        <v/>
      </c>
      <c r="CS10" s="348" t="str">
        <f>IF(AND(UO_List[[#This Row],[Budget Revue]]="x",$BK10&lt;&gt;"",$BL10&lt;&gt;"",YEAR(BS$3)=YEAR($BK10),MONTH(BS$3)&gt;=MONTH($BK10),MONTH(BS$3)&lt;=MONTH($BL10)),UO_List[[#This Row],[Montant TOTAL]]/(MONTH($BL10)-MONTH($BK10)+1),"")</f>
        <v/>
      </c>
      <c r="CT10" s="348" t="str">
        <f>IF(AND(UO_List[[#This Row],[Budget Revue]]="x",$BK10&lt;&gt;"",$BL10&lt;&gt;"",YEAR(BT$3)=YEAR($BK10),MONTH(BT$3)&gt;=MONTH($BK10),MONTH(BT$3)&lt;=MONTH($BL10)),UO_List[[#This Row],[Montant TOTAL]]/(MONTH($BL10)-MONTH($BK10)+1),"")</f>
        <v/>
      </c>
      <c r="CU10" s="348" t="str">
        <f>IF(AND(UO_List[[#This Row],[Budget Revue]]="x",$BK10&lt;&gt;"",$BL10&lt;&gt;"",YEAR(BU$3)=YEAR($BK10),MONTH(BU$3)&gt;=MONTH($BK10),MONTH(BU$3)&lt;=MONTH($BL10)),UO_List[[#This Row],[Montant TOTAL]]/(MONTH($BL10)-MONTH($BK10)+1),"")</f>
        <v/>
      </c>
      <c r="CV10" s="348" t="str">
        <f>IF(AND(UO_List[[#This Row],[Budget Revue]]="x",$BK10&lt;&gt;"",$BL10&lt;&gt;"",YEAR(BV$3)=YEAR($BK10),MONTH(BV$3)&gt;=MONTH($BK10),MONTH(BV$3)&lt;=MONTH($BL10)),UO_List[[#This Row],[Montant TOTAL]]/(MONTH($BL10)-MONTH($BK10)+1),"")</f>
        <v/>
      </c>
      <c r="CW10" s="348" t="str">
        <f>IF(AND(UO_List[[#This Row],[Budget Revue]]="x",$BK10&lt;&gt;"",$BL10&lt;&gt;"",YEAR(BW$3)=YEAR($BK10),MONTH(BW$3)&gt;=MONTH($BK10),MONTH(BW$3)&lt;=MONTH($BL10)),UO_List[[#This Row],[Montant TOTAL]]/(MONTH($BL10)-MONTH($BK10)+1),"")</f>
        <v/>
      </c>
      <c r="CX10" s="348" t="str">
        <f>IF(AND(UO_List[[#This Row],[Budget Revue]]="x",$BK10&lt;&gt;"",$BL10&lt;&gt;"",YEAR(BX$3)=YEAR($BK10),MONTH(BX$3)&gt;=MONTH($BK10),MONTH(BX$3)&lt;=MONTH($BL10)),UO_List[[#This Row],[Montant TOTAL]]/(MONTH($BL10)-MONTH($BK10)+1),"")</f>
        <v/>
      </c>
      <c r="CY10" s="348" t="str">
        <f>IF(AND(UO_List[[#This Row],[Budget Revue]]="x",$BK10&lt;&gt;"",$BL10&lt;&gt;"",YEAR(BY$3)=YEAR($BK10),MONTH(BY$3)&gt;=MONTH($BK10),MONTH(BY$3)&lt;=MONTH($BL10)),UO_List[[#This Row],[Montant TOTAL]]/(MONTH($BL10)-MONTH($BK10)+1),"")</f>
        <v/>
      </c>
      <c r="CZ10" s="348" t="str">
        <f>IF(AND(UO_List[[#This Row],[Budget Revue]]="x",$BK10&lt;&gt;"",$BL10&lt;&gt;"",YEAR(BY$3)=YEAR($BK10),MONTH(BY$3)&gt;=MONTH($BK10),MONTH(BY$3)&lt;=MONTH($BL10)),UO_List[[#This Row],[Montant TOTAL]]/(MONTH($BL10)-MONTH($BK10)+1),"")</f>
        <v/>
      </c>
      <c r="DA10" s="348">
        <f>IF(UO_List[[#This Row],[Budget Revue]]="x",SUM(UO_List[[#This Row],[JANVIER2]:[DECEMBRE2]])-UO_List[Montant TOTAL],"")</f>
        <v>0</v>
      </c>
      <c r="DB10" s="83"/>
      <c r="DC10" s="83"/>
      <c r="DD10" s="83"/>
      <c r="DE10" s="83"/>
      <c r="DF10" s="83"/>
      <c r="DG10" s="83"/>
      <c r="DH10" s="83"/>
      <c r="DI10" s="83"/>
      <c r="DJ10" s="83"/>
      <c r="DK10" s="83"/>
      <c r="DL10" s="83"/>
      <c r="DM10" s="83"/>
      <c r="DN10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10" s="76">
        <f>IFERROR(UO_List[[#This Row],[Line Total]]-UO_List[[#This Row],[Montant total réceptionné]],"")</f>
        <v>10120</v>
      </c>
      <c r="DP10" s="76">
        <f>IFERROR(UO_List[[#This Row],[Total item réceptionné]]*UO_List[[#This Row],[Unit Price (calcul)]],0)</f>
        <v>0</v>
      </c>
      <c r="DQ10" s="76">
        <f>UO_List[[#This Row],[Facteur]]-UO_List[[#This Row],[Total item réceptionné]]</f>
        <v>1</v>
      </c>
      <c r="DR10" s="77"/>
      <c r="DS10" s="77"/>
      <c r="DT10" s="158"/>
      <c r="DU10" s="77"/>
    </row>
    <row r="11" spans="14:125" s="74" customFormat="1">
      <c r="AA11" s="192" t="str">
        <f>IFERROR(VLOOKUP(UO_List[[#This Row],[Unique_AIB_ID]],Tableau1[[Unique_AIB_ID]:[Building / Room]],2,FALSE),"")</f>
        <v>C000498080</v>
      </c>
      <c r="AB11" s="193">
        <f>IFERROR(VLOOKUP(UO_List[[#This Row],[Unique_AIB_ID]],UO_Contract!A11:V200,3,TRUE),"")</f>
        <v>0</v>
      </c>
      <c r="AC11" s="194" t="str">
        <f>IFERROR(VLOOKUP(UO_List[[#This Row],[Unique_AIB_ID]],Tableau1[[Unique_AIB_ID]:[Building / Room]],4,FALSE),"")</f>
        <v>WPA - SII - PJOP - Airbus - WD1701094 - Flight and Integration Test CT1705359</v>
      </c>
      <c r="AD11" s="193">
        <f>IFERROR(VLOOKUP(UO_List[[#This Row],[Unique_AIB_ID]],Tableau1[[Unique_AIB_ID]:[Building / Room]],5,FALSE),"")</f>
        <v>0</v>
      </c>
      <c r="AE11" s="193">
        <f>IFERROR(VLOOKUP(UO_List[[#This Row],[Unique_AIB_ID]],Tableau1[[Unique_AIB_ID]:[Building / Room]],6,FALSE),"")</f>
        <v>2</v>
      </c>
      <c r="AF11" s="193" t="str">
        <f>IFERROR(VLOOKUP(UO_List[[#This Row],[Unique_AIB_ID]],Tableau1[[Unique_AIB_ID]:[Building / Room]],7,FALSE),"")</f>
        <v>5 Each of WU_PROP_S[PJE_SII_EVYP_USD_AIRBUS_FR]</v>
      </c>
      <c r="AG11" s="193">
        <f>IFERROR(VLOOKUP(UO_List[[#This Row],[Unique_AIB_ID]],Tableau1[[Unique_AIB_ID]:[Building / Room]],8,FALSE),"")</f>
        <v>5</v>
      </c>
      <c r="AH11" s="195">
        <f>IFERROR(VALUE(VLOOKUP(UO_List[[#This Row],[Unique_AIB_ID]],Tableau1[[Unique_AIB_ID]:[Building / Room]],9,FALSE)),"")</f>
        <v>16800</v>
      </c>
      <c r="AI11" s="193">
        <f>IFERROR(VLOOKUP(UO_List[[#This Row],[Unique_AIB_ID]],Tableau1[[Unique_AIB_ID]:[Building / Room]],10,TRUE),"")</f>
        <v>0</v>
      </c>
      <c r="AJ11" s="196">
        <f>IFERROR(VLOOKUP(UO_List[[#This Row],[Unique_AIB_ID]],Tableau1[[Unique_AIB_ID]:[Building / Room]],11,FALSE),"")</f>
        <v>0</v>
      </c>
      <c r="AK11" s="193">
        <f>IFERROR(VLOOKUP(UO_List[[#This Row],[Unique_AIB_ID]],Tableau1[[Unique_AIB_ID]:[Building / Room]],12,FALSE),"")</f>
        <v>0</v>
      </c>
      <c r="AL11" s="193">
        <f>IFERROR(VLOOKUP(UO_List[[#This Row],[Unique_AIB_ID]],Tableau1[[Unique_AIB_ID]:[Building / Room]],13,FALSE),"")</f>
        <v>0</v>
      </c>
      <c r="AM11" s="183">
        <f>IFERROR(VLOOKUP(UO_List[[#This Row],[Unique_AIB_ID]],Tableau1[[Unique_AIB_ID]:[Building / Room]],14,FALSE),"")</f>
        <v>0</v>
      </c>
      <c r="AN11" s="183">
        <f>IFERROR(VLOOKUP(UO_List[[#This Row],[Unique_AIB_ID]],Tableau1[[Unique_AIB_ID]:[Building / Room]],15,FALSE),"")</f>
        <v>0</v>
      </c>
      <c r="AO11" s="183">
        <f>IFERROR(VLOOKUP(UO_List[[#This Row],[Unique_AIB_ID]],Tableau1[[Unique_AIB_ID]:[Building / Room]],16,FALSE),"")</f>
        <v>0</v>
      </c>
      <c r="AP11" s="183" t="str">
        <f>IFERROR(VLOOKUP(UO_List[[#This Row],[Unique_AIB_ID]],Tableau1[[Unique_AIB_ID]:[Building / Room]],17,FALSE),"")</f>
        <v>0</v>
      </c>
      <c r="AQ11" s="183">
        <f>IFERROR(VLOOKUP(UO_List[[#This Row],[Unique_AIB_ID]],Tableau1[[Unique_AIB_ID]:[Building / Room]],18,FALSE),"")</f>
        <v>0</v>
      </c>
      <c r="AR11" s="183" t="str">
        <f>IFERROR(VLOOKUP(UO_List[[#This Row],[Unique_AIB_ID]],Tableau1[[Unique_AIB_ID]:[Building / Room]],19,FALSE),"")</f>
        <v>03/25/20</v>
      </c>
      <c r="AS11" s="183">
        <f>IFERROR(VLOOKUP(UO_List[[#This Row],[Unique_AIB_ID]],Tableau1[[Unique_AIB_ID]:[Building / Room]],20,FALSE),"")</f>
        <v>0</v>
      </c>
      <c r="AT11" s="183">
        <f>IFERROR(VLOOKUP(UO_List[[#This Row],[Unique_AIB_ID]],Tableau1[[Unique_AIB_ID]:[Building / Room]],21,FALSE),"")</f>
        <v>0</v>
      </c>
      <c r="AU11" s="183" t="str">
        <f>IFERROR(VLOOKUP(UO_List[[#This Row],[Unique_AIB_ID]],Tableau1[[Unique_AIB_ID]:[Building / Room]],22,FALSE),"")</f>
        <v>M24 / B032</v>
      </c>
      <c r="AV11" s="167" t="str">
        <f>IFERROR(VLOOKUP(UO_List[[#This Row],[Unique_AIB_ID]],Tableau1[[Unique_AIB_ID]:[Currency]],23,FALSE),"")</f>
        <v>Q 1 / ATA 34 - New AOA Design - THALES</v>
      </c>
      <c r="AW11" s="167">
        <f>IFERROR(IF(ISBLANK(UO_List[[#This Row],[PO Number (Header)]]),"",UO_List[[#This Row],[Line Total]]/UO_List[[#This Row],[Total Item Quantity]]),"")</f>
        <v>3360</v>
      </c>
      <c r="AX11" s="498" t="s">
        <v>865</v>
      </c>
      <c r="AY11" s="171"/>
      <c r="AZ11" s="78" t="s">
        <v>844</v>
      </c>
      <c r="BA11" s="78"/>
      <c r="BB11" s="78"/>
      <c r="BC11" s="78" t="s">
        <v>696</v>
      </c>
      <c r="BD11" s="70" t="s">
        <v>687</v>
      </c>
      <c r="BE11" s="78" t="s">
        <v>687</v>
      </c>
      <c r="BF11" s="78" t="s">
        <v>191</v>
      </c>
      <c r="BG11" s="78"/>
      <c r="BH11" s="78" t="s">
        <v>860</v>
      </c>
      <c r="BI11" s="78"/>
      <c r="BJ11" s="79"/>
      <c r="BK11" s="79">
        <v>43831</v>
      </c>
      <c r="BL11" s="79">
        <v>43921</v>
      </c>
      <c r="BM11" s="71">
        <v>5</v>
      </c>
      <c r="BN11" s="71">
        <f>IFERROR(UO_List[[#This Row],[Total Item Quantity]]-UO_List[[#This Row],[Facteur]],"")</f>
        <v>0</v>
      </c>
      <c r="BO11" s="349">
        <f>IFERROR(IF(ISBLANK(UO_List[[#This Row],[Id_UO]]),"",SUMPRODUCT(1*(EXACT(UO_List[[#This Row],[Id_UO]],CATALOGUE[Id_WU]))*CATALOGUE[Price $])),"")</f>
        <v>3360</v>
      </c>
      <c r="BP11" s="350">
        <f>IFERROR(UO_List[[#This Row],[Prix unitaire]]*UO_List[[#This Row],[Facteur]],"")</f>
        <v>16800</v>
      </c>
      <c r="BQ11" s="100">
        <f>IFERROR(SUMPRODUCT(1*(EXACT(UO_List[[#This Row],[Id_UO]],CATALOGUE[Id_WU]))*CATALOGUE[Global_Workload_PM_(d)]*UO_List[[#This Row],[Facteur]]),"")</f>
        <v>4.5000000000000018</v>
      </c>
      <c r="BR11" s="286">
        <f>UO_List[[#This Row],[Jours GP]]/jours_an</f>
        <v>2.0833333333333343E-2</v>
      </c>
      <c r="BS11" s="72">
        <f>IFERROR(SUMPRODUCT(1*(EXACT(UO_List[[#This Row],[Id_UO]],CATALOGUE[Id_WU]))*CATALOGUE[Global_Workload_Tech_(d)]*UO_List[[#This Row],[Facteur]]),"")</f>
        <v>25.5</v>
      </c>
      <c r="BT11" s="286">
        <f>UO_List[[#This Row],[Jours Tech]]/jours_an</f>
        <v>0.11805555555555555</v>
      </c>
      <c r="BU11" s="72">
        <f>UO_List[[#This Row],[Jours GP]]+UO_List[[#This Row],[Jours Tech]]</f>
        <v>30</v>
      </c>
      <c r="BV11" s="286">
        <f>UO_List[[#This Row],[ETP GP]]+UO_List[[#This Row],[ETP Tech]]</f>
        <v>0.1388888888888889</v>
      </c>
      <c r="BW11" s="73"/>
      <c r="BX11" s="80"/>
      <c r="BY11" s="462">
        <f>IF(UO_List[[#This Row],[Budget Revue]]="x",UO_List[[#This Row],[Montant TOTAL]],0)</f>
        <v>0</v>
      </c>
      <c r="BZ11" s="80">
        <f>IF(UO_List[[#This Row],[Budget Revue]]="x",UO_List[[#This Row],[Jours Tech]],0)</f>
        <v>0</v>
      </c>
      <c r="CA11" s="80">
        <f>IF(UO_List[[#This Row],[Budget Revue]]="x",UO_List[[#This Row],[Jours GP]],0)</f>
        <v>0</v>
      </c>
      <c r="CB11" s="516" t="str">
        <f>IF(AND(UO_List[[#This Row],[Budget Revue]]="x",$BK11&lt;&gt;"",$BL11&lt;&gt;"",YEAR(BB$3)=YEAR($BK11),MONTH(BB$3)&gt;=MONTH($BK11),MONTH(BB$3)&lt;=MONTH($BL11)),$BS11/(MONTH($BL11)-MONTH($BK11)+1),"")</f>
        <v/>
      </c>
      <c r="CC11" s="80" t="str">
        <f>IF(AND(UO_List[[#This Row],[Budget Revue]]="x",$BK11&lt;&gt;"",$BL11&lt;&gt;"",YEAR(BC$3)=YEAR($BK11),MONTH(BC$3)&gt;=MONTH($BK11),MONTH(BC$3)&lt;=MONTH($BL11)),$BS11/(MONTH($BL11)-MONTH($BK11)+1),"")</f>
        <v/>
      </c>
      <c r="CD11" s="80" t="str">
        <f>IF(AND(UO_List[[#This Row],[Budget Revue]]="x",$BK11&lt;&gt;"",$BL11&lt;&gt;"",YEAR(BD$3)=YEAR($BK11),MONTH(BD$3)&gt;=MONTH($BK11),MONTH(BD$3)&lt;=MONTH($BL11)),$BS11/(MONTH($BL11)-MONTH($BK11)+1),"")</f>
        <v/>
      </c>
      <c r="CE11" s="80" t="str">
        <f>IF(AND(UO_List[[#This Row],[Budget Revue]]="x",$BK11&lt;&gt;"",$BL11&lt;&gt;"",YEAR(BE$3)=YEAR($BK11),MONTH(BE$3)&gt;=MONTH($BK11),MONTH(BE$3)&lt;=MONTH($BL11)),$BS11/(MONTH($BL11)-MONTH($BK11)+1),"")</f>
        <v/>
      </c>
      <c r="CF11" s="80" t="str">
        <f>IF(AND(UO_List[[#This Row],[Budget Revue]]="x",$BK11&lt;&gt;"",$BL11&lt;&gt;"",YEAR(BF$3)=YEAR($BK11),MONTH(BF$3)&gt;=MONTH($BK11),MONTH(BF$3)&lt;=MONTH($BL11)),$BS11/(MONTH($BL11)-MONTH($BK11)+1),"")</f>
        <v/>
      </c>
      <c r="CG11" s="80" t="str">
        <f>IF(AND(UO_List[[#This Row],[Budget Revue]]="x",$BK11&lt;&gt;"",$BL11&lt;&gt;"",YEAR(BG$3)=YEAR($BK11),MONTH(BG$3)&gt;=MONTH($BK11),MONTH(BG$3)&lt;=MONTH($BL11)),$BS11/(MONTH($BL11)-MONTH($BK11)+1),"")</f>
        <v/>
      </c>
      <c r="CH11" s="80" t="str">
        <f>IF(AND(UO_List[[#This Row],[Budget Revue]]="x",$BK11&lt;&gt;"",$BL11&lt;&gt;"",YEAR(BH$3)=YEAR($BK11),MONTH(BH$3)&gt;=MONTH($BK11),MONTH(BH$3)&lt;=MONTH($BL11)),$BS11/(MONTH($BL11)-MONTH($BK11)+1),"")</f>
        <v/>
      </c>
      <c r="CI11" s="80" t="str">
        <f>IF(AND(UO_List[[#This Row],[Budget Revue]]="x",$BK11&lt;&gt;"",$BL11&lt;&gt;"",YEAR(BI$3)=YEAR($BK11),MONTH(BI$3)&gt;=MONTH($BK11),MONTH(BI$3)&lt;=MONTH($BL11)),$BS11/(MONTH($BL11)-MONTH($BK11)+1),"")</f>
        <v/>
      </c>
      <c r="CJ11" s="80" t="str">
        <f>IF(AND(UO_List[[#This Row],[Budget Revue]]="x",$BK11&lt;&gt;"",$BL11&lt;&gt;"",YEAR(BJ$3)=YEAR($BK11),MONTH(BJ$3)&gt;=MONTH($BK11),MONTH(BJ$3)&lt;=MONTH($BL11)),$BS11/(MONTH($BL11)-MONTH($BK11)+1),"")</f>
        <v/>
      </c>
      <c r="CK11" s="80" t="str">
        <f>IF(AND(UO_List[[#This Row],[Budget Revue]]="x",$BK11&lt;&gt;"",$BL11&lt;&gt;"",YEAR(BK$3)=YEAR($BK11),MONTH(BK$3)&gt;=MONTH($BK11),MONTH(BK$3)&lt;=MONTH($BL11)),$BS11/(MONTH($BL11)-MONTH($BK11)+1),"")</f>
        <v/>
      </c>
      <c r="CL11" s="80" t="str">
        <f>IF(AND(UO_List[[#This Row],[Budget Revue]]="x",$BK11&lt;&gt;"",$BL11&lt;&gt;"",YEAR(BL$3)=YEAR($BK11),MONTH(BL$3)&gt;=MONTH($BK11),MONTH(BL$3)&lt;=MONTH($BL11)),$BS11/(MONTH($BL11)-MONTH($BK11)+1),"")</f>
        <v/>
      </c>
      <c r="CM11" s="80" t="str">
        <f>IF(AND(UO_List[[#This Row],[Budget Revue]]="x",$BK11&lt;&gt;"",$BL11&lt;&gt;"",YEAR(BM$3)=YEAR($BK11),MONTH(BM$3)&gt;=MONTH($BK11),MONTH(BM$3)&lt;=MONTH($BL11)),$BS11/(MONTH($BL11)-MONTH($BK11)+1),"")</f>
        <v/>
      </c>
      <c r="CN11" s="75" t="str">
        <f>IF(UO_List[[#This Row],[Budget Revue]]="x",SUM(UO_List[[#This Row],[JANVIER]:[DECEMBRE]])-UO_List[[#This Row],[Jours Tech]],"")</f>
        <v/>
      </c>
      <c r="CO11" s="348" t="str">
        <f>IF(AND(UO_List[[#This Row],[Budget Revue]]="x",$BK11&lt;&gt;"",$BL11&lt;&gt;"",YEAR(BO$3)=YEAR($BK11),MONTH(BO$3)&gt;=MONTH($BK11),MONTH(BO$3)&lt;=MONTH($BL11)),UO_List[[#This Row],[Montant TOTAL]]/(MONTH($BL11)-MONTH($BK11)+1),"")</f>
        <v/>
      </c>
      <c r="CP11" s="348" t="str">
        <f>IF(AND(UO_List[[#This Row],[Budget Revue]]="x",$BK11&lt;&gt;"",$BL11&lt;&gt;"",YEAR(BP$3)=YEAR($BK11),MONTH(BP$3)&gt;=MONTH($BK11),MONTH(BP$3)&lt;=MONTH($BL11)),UO_List[[#This Row],[Montant TOTAL]]/(MONTH($BL11)-MONTH($BK11)+1),"")</f>
        <v/>
      </c>
      <c r="CQ11" s="348" t="str">
        <f>IF(AND(UO_List[[#This Row],[Budget Revue]]="x",$BK11&lt;&gt;"",$BL11&lt;&gt;"",YEAR(BQ$3)=YEAR($BK11),MONTH(BQ$3)&gt;=MONTH($BK11),MONTH(BQ$3)&lt;=MONTH($BL11)),UO_List[[#This Row],[Montant TOTAL]]/(MONTH($BL11)-MONTH($BK11)+1),"")</f>
        <v/>
      </c>
      <c r="CR11" s="348" t="str">
        <f>IF(AND(UO_List[[#This Row],[Budget Revue]]="x",$BK11&lt;&gt;"",$BL11&lt;&gt;"",YEAR(BR$3)=YEAR($BK11),MONTH(BR$3)&gt;=MONTH($BK11),MONTH(BR$3)&lt;=MONTH($BL11)),UO_List[[#This Row],[Montant TOTAL]]/(MONTH($BL11)-MONTH($BK11)+1),"")</f>
        <v/>
      </c>
      <c r="CS11" s="348" t="str">
        <f>IF(AND(UO_List[[#This Row],[Budget Revue]]="x",$BK11&lt;&gt;"",$BL11&lt;&gt;"",YEAR(BS$3)=YEAR($BK11),MONTH(BS$3)&gt;=MONTH($BK11),MONTH(BS$3)&lt;=MONTH($BL11)),UO_List[[#This Row],[Montant TOTAL]]/(MONTH($BL11)-MONTH($BK11)+1),"")</f>
        <v/>
      </c>
      <c r="CT11" s="348" t="str">
        <f>IF(AND(UO_List[[#This Row],[Budget Revue]]="x",$BK11&lt;&gt;"",$BL11&lt;&gt;"",YEAR(BT$3)=YEAR($BK11),MONTH(BT$3)&gt;=MONTH($BK11),MONTH(BT$3)&lt;=MONTH($BL11)),UO_List[[#This Row],[Montant TOTAL]]/(MONTH($BL11)-MONTH($BK11)+1),"")</f>
        <v/>
      </c>
      <c r="CU11" s="348" t="str">
        <f>IF(AND(UO_List[[#This Row],[Budget Revue]]="x",$BK11&lt;&gt;"",$BL11&lt;&gt;"",YEAR(BU$3)=YEAR($BK11),MONTH(BU$3)&gt;=MONTH($BK11),MONTH(BU$3)&lt;=MONTH($BL11)),UO_List[[#This Row],[Montant TOTAL]]/(MONTH($BL11)-MONTH($BK11)+1),"")</f>
        <v/>
      </c>
      <c r="CV11" s="348" t="str">
        <f>IF(AND(UO_List[[#This Row],[Budget Revue]]="x",$BK11&lt;&gt;"",$BL11&lt;&gt;"",YEAR(BV$3)=YEAR($BK11),MONTH(BV$3)&gt;=MONTH($BK11),MONTH(BV$3)&lt;=MONTH($BL11)),UO_List[[#This Row],[Montant TOTAL]]/(MONTH($BL11)-MONTH($BK11)+1),"")</f>
        <v/>
      </c>
      <c r="CW11" s="348" t="str">
        <f>IF(AND(UO_List[[#This Row],[Budget Revue]]="x",$BK11&lt;&gt;"",$BL11&lt;&gt;"",YEAR(BW$3)=YEAR($BK11),MONTH(BW$3)&gt;=MONTH($BK11),MONTH(BW$3)&lt;=MONTH($BL11)),UO_List[[#This Row],[Montant TOTAL]]/(MONTH($BL11)-MONTH($BK11)+1),"")</f>
        <v/>
      </c>
      <c r="CX11" s="348" t="str">
        <f>IF(AND(UO_List[[#This Row],[Budget Revue]]="x",$BK11&lt;&gt;"",$BL11&lt;&gt;"",YEAR(BX$3)=YEAR($BK11),MONTH(BX$3)&gt;=MONTH($BK11),MONTH(BX$3)&lt;=MONTH($BL11)),UO_List[[#This Row],[Montant TOTAL]]/(MONTH($BL11)-MONTH($BK11)+1),"")</f>
        <v/>
      </c>
      <c r="CY11" s="348" t="str">
        <f>IF(AND(UO_List[[#This Row],[Budget Revue]]="x",$BK11&lt;&gt;"",$BL11&lt;&gt;"",YEAR(BY$3)=YEAR($BK11),MONTH(BY$3)&gt;=MONTH($BK11),MONTH(BY$3)&lt;=MONTH($BL11)),UO_List[[#This Row],[Montant TOTAL]]/(MONTH($BL11)-MONTH($BK11)+1),"")</f>
        <v/>
      </c>
      <c r="CZ11" s="348" t="str">
        <f>IF(AND(UO_List[[#This Row],[Budget Revue]]="x",$BK11&lt;&gt;"",$BL11&lt;&gt;"",YEAR(BY$3)=YEAR($BK11),MONTH(BY$3)&gt;=MONTH($BK11),MONTH(BY$3)&lt;=MONTH($BL11)),UO_List[[#This Row],[Montant TOTAL]]/(MONTH($BL11)-MONTH($BK11)+1),"")</f>
        <v/>
      </c>
      <c r="DA11" s="348" t="str">
        <f>IF(UO_List[[#This Row],[Budget Revue]]="x",SUM(UO_List[[#This Row],[JANVIER2]:[DECEMBRE2]])-UO_List[Montant TOTAL],"")</f>
        <v/>
      </c>
      <c r="DB11" s="83"/>
      <c r="DC11" s="83"/>
      <c r="DD11" s="83"/>
      <c r="DE11" s="83"/>
      <c r="DF11" s="83"/>
      <c r="DG11" s="83"/>
      <c r="DH11" s="83"/>
      <c r="DI11" s="83"/>
      <c r="DJ11" s="83"/>
      <c r="DK11" s="83"/>
      <c r="DL11" s="83"/>
      <c r="DM11" s="83"/>
      <c r="DN11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11" s="76">
        <f>IFERROR(UO_List[[#This Row],[Line Total]]-UO_List[[#This Row],[Montant total réceptionné]],"")</f>
        <v>16800</v>
      </c>
      <c r="DP11" s="76">
        <f>IFERROR(UO_List[[#This Row],[Total item réceptionné]]*UO_List[[#This Row],[Unit Price (calcul)]],0)</f>
        <v>0</v>
      </c>
      <c r="DQ11" s="76">
        <f>UO_List[[#This Row],[Facteur]]-UO_List[[#This Row],[Total item réceptionné]]</f>
        <v>5</v>
      </c>
      <c r="DR11" s="77"/>
      <c r="DS11" s="77"/>
      <c r="DT11" s="158"/>
      <c r="DU11" s="77"/>
    </row>
    <row r="12" spans="14:125" s="74" customFormat="1">
      <c r="AA12" s="194" t="str">
        <f>IFERROR(VLOOKUP(UO_List[[#This Row],[Unique_AIB_ID]],Tableau1[[Unique_AIB_ID]:[Building / Room]],2,FALSE),"")</f>
        <v>C000498080</v>
      </c>
      <c r="AB12" s="193">
        <f>IFERROR(VLOOKUP(UO_List[[#This Row],[Unique_AIB_ID]],UO_Contract!A11:V200,3,TRUE),"")</f>
        <v>0</v>
      </c>
      <c r="AC12" s="194" t="str">
        <f>IFERROR(VLOOKUP(UO_List[[#This Row],[Unique_AIB_ID]],Tableau1[[Unique_AIB_ID]:[Building / Room]],4,FALSE),"")</f>
        <v>WPA - SII - PJOP - Airbus - WD1701094 - Flight and Integration Test CT1705359</v>
      </c>
      <c r="AD12" s="193">
        <f>IFERROR(VLOOKUP(UO_List[[#This Row],[Unique_AIB_ID]],Tableau1[[Unique_AIB_ID]:[Building / Room]],5,FALSE),"")</f>
        <v>0</v>
      </c>
      <c r="AE12" s="193">
        <f>IFERROR(VLOOKUP(UO_List[[#This Row],[Unique_AIB_ID]],Tableau1[[Unique_AIB_ID]:[Building / Room]],6,FALSE),"")</f>
        <v>3</v>
      </c>
      <c r="AF12" s="193" t="str">
        <f>IFERROR(VLOOKUP(UO_List[[#This Row],[Unique_AIB_ID]],Tableau1[[Unique_AIB_ID]:[Building / Room]],7,FALSE),"")</f>
        <v>5 Each of WU_PROP_S[PJE_SII_EVYP_USD_AIRBUS_FR]</v>
      </c>
      <c r="AG12" s="193">
        <f>IFERROR(VLOOKUP(UO_List[[#This Row],[Unique_AIB_ID]],Tableau1[[Unique_AIB_ID]:[Building / Room]],8,FALSE),"")</f>
        <v>5</v>
      </c>
      <c r="AH12" s="195">
        <f>IFERROR(VALUE(VLOOKUP(UO_List[[#This Row],[Unique_AIB_ID]],Tableau1[[Unique_AIB_ID]:[Building / Room]],9,FALSE)),"")</f>
        <v>16800</v>
      </c>
      <c r="AI12" s="193">
        <f>IFERROR(VLOOKUP(UO_List[[#This Row],[Unique_AIB_ID]],Tableau1[[Unique_AIB_ID]:[Building / Room]],10,TRUE),"")</f>
        <v>0</v>
      </c>
      <c r="AJ12" s="196">
        <f>IFERROR(VLOOKUP(UO_List[[#This Row],[Unique_AIB_ID]],Tableau1[[Unique_AIB_ID]:[Building / Room]],11,FALSE),"")</f>
        <v>0</v>
      </c>
      <c r="AK12" s="193">
        <f>IFERROR(VLOOKUP(UO_List[[#This Row],[Unique_AIB_ID]],Tableau1[[Unique_AIB_ID]:[Building / Room]],12,FALSE),"")</f>
        <v>0</v>
      </c>
      <c r="AL12" s="193">
        <f>IFERROR(VLOOKUP(UO_List[[#This Row],[Unique_AIB_ID]],Tableau1[[Unique_AIB_ID]:[Building / Room]],13,FALSE),"")</f>
        <v>0</v>
      </c>
      <c r="AM12" s="183">
        <f>IFERROR(VLOOKUP(UO_List[[#This Row],[Unique_AIB_ID]],Tableau1[[Unique_AIB_ID]:[Building / Room]],14,FALSE),"")</f>
        <v>0</v>
      </c>
      <c r="AN12" s="183">
        <f>IFERROR(VLOOKUP(UO_List[[#This Row],[Unique_AIB_ID]],Tableau1[[Unique_AIB_ID]:[Building / Room]],15,FALSE),"")</f>
        <v>0</v>
      </c>
      <c r="AO12" s="183">
        <f>IFERROR(VLOOKUP(UO_List[[#This Row],[Unique_AIB_ID]],Tableau1[[Unique_AIB_ID]:[Building / Room]],16,FALSE),"")</f>
        <v>0</v>
      </c>
      <c r="AP12" s="183" t="str">
        <f>IFERROR(VLOOKUP(UO_List[[#This Row],[Unique_AIB_ID]],Tableau1[[Unique_AIB_ID]:[Building / Room]],17,FALSE),"")</f>
        <v>0</v>
      </c>
      <c r="AQ12" s="183">
        <f>IFERROR(VLOOKUP(UO_List[[#This Row],[Unique_AIB_ID]],Tableau1[[Unique_AIB_ID]:[Building / Room]],18,FALSE),"")</f>
        <v>0</v>
      </c>
      <c r="AR12" s="183" t="str">
        <f>IFERROR(VLOOKUP(UO_List[[#This Row],[Unique_AIB_ID]],Tableau1[[Unique_AIB_ID]:[Building / Room]],19,FALSE),"")</f>
        <v>03/25/20</v>
      </c>
      <c r="AS12" s="183">
        <f>IFERROR(VLOOKUP(UO_List[[#This Row],[Unique_AIB_ID]],Tableau1[[Unique_AIB_ID]:[Building / Room]],20,FALSE),"")</f>
        <v>0</v>
      </c>
      <c r="AT12" s="183">
        <f>IFERROR(VLOOKUP(UO_List[[#This Row],[Unique_AIB_ID]],Tableau1[[Unique_AIB_ID]:[Building / Room]],21,FALSE),"")</f>
        <v>0</v>
      </c>
      <c r="AU12" s="183" t="str">
        <f>IFERROR(VLOOKUP(UO_List[[#This Row],[Unique_AIB_ID]],Tableau1[[Unique_AIB_ID]:[Building / Room]],22,FALSE),"")</f>
        <v>M24 / B032</v>
      </c>
      <c r="AV12" s="167" t="str">
        <f>IFERROR(VLOOKUP(UO_List[[#This Row],[Unique_AIB_ID]],Tableau1[[Unique_AIB_ID]:[Currency]],23,FALSE),"")</f>
        <v>Q 1 / ATA 34 - New AOA Design - UTAS</v>
      </c>
      <c r="AW12" s="167">
        <f>IFERROR(IF(ISBLANK(UO_List[[#This Row],[PO Number (Header)]]),"",UO_List[[#This Row],[Line Total]]/UO_List[[#This Row],[Total Item Quantity]]),"")</f>
        <v>3360</v>
      </c>
      <c r="AX12" s="498" t="s">
        <v>866</v>
      </c>
      <c r="AY12" s="167"/>
      <c r="AZ12" s="78" t="s">
        <v>844</v>
      </c>
      <c r="BA12" s="78"/>
      <c r="BB12" s="78"/>
      <c r="BC12" s="78" t="s">
        <v>696</v>
      </c>
      <c r="BD12" s="70" t="s">
        <v>687</v>
      </c>
      <c r="BE12" s="78" t="s">
        <v>687</v>
      </c>
      <c r="BF12" s="78" t="s">
        <v>191</v>
      </c>
      <c r="BG12" s="78"/>
      <c r="BH12" s="78" t="s">
        <v>861</v>
      </c>
      <c r="BI12" s="78"/>
      <c r="BJ12" s="79"/>
      <c r="BK12" s="79">
        <v>43831</v>
      </c>
      <c r="BL12" s="79">
        <v>43921</v>
      </c>
      <c r="BM12" s="71">
        <v>5</v>
      </c>
      <c r="BN12" s="71">
        <f>IFERROR(UO_List[[#This Row],[Total Item Quantity]]-UO_List[[#This Row],[Facteur]],"")</f>
        <v>0</v>
      </c>
      <c r="BO12" s="349">
        <f>IFERROR(IF(ISBLANK(UO_List[[#This Row],[Id_UO]]),"",SUMPRODUCT(1*(EXACT(UO_List[[#This Row],[Id_UO]],CATALOGUE[Id_WU]))*CATALOGUE[Price $])),"")</f>
        <v>3360</v>
      </c>
      <c r="BP12" s="350">
        <f>IFERROR(UO_List[[#This Row],[Prix unitaire]]*UO_List[[#This Row],[Facteur]],"")</f>
        <v>16800</v>
      </c>
      <c r="BQ12" s="100">
        <f>IFERROR(SUMPRODUCT(1*(EXACT(UO_List[[#This Row],[Id_UO]],CATALOGUE[Id_WU]))*CATALOGUE[Global_Workload_PM_(d)]*UO_List[[#This Row],[Facteur]]),"")</f>
        <v>4.5000000000000018</v>
      </c>
      <c r="BR12" s="286">
        <f>UO_List[[#This Row],[Jours GP]]/jours_an</f>
        <v>2.0833333333333343E-2</v>
      </c>
      <c r="BS12" s="72">
        <f>IFERROR(SUMPRODUCT(1*(EXACT(UO_List[[#This Row],[Id_UO]],CATALOGUE[Id_WU]))*CATALOGUE[Global_Workload_Tech_(d)]*UO_List[[#This Row],[Facteur]]),"")</f>
        <v>25.5</v>
      </c>
      <c r="BT12" s="286">
        <f>UO_List[[#This Row],[Jours Tech]]/jours_an</f>
        <v>0.11805555555555555</v>
      </c>
      <c r="BU12" s="72">
        <f>UO_List[[#This Row],[Jours GP]]+UO_List[[#This Row],[Jours Tech]]</f>
        <v>30</v>
      </c>
      <c r="BV12" s="286">
        <f>UO_List[[#This Row],[ETP GP]]+UO_List[[#This Row],[ETP Tech]]</f>
        <v>0.1388888888888889</v>
      </c>
      <c r="BW12" s="73"/>
      <c r="BX12" s="80"/>
      <c r="BY12" s="462">
        <f>IF(UO_List[[#This Row],[Budget Revue]]="x",UO_List[[#This Row],[Montant TOTAL]],0)</f>
        <v>0</v>
      </c>
      <c r="BZ12" s="80">
        <f>IF(UO_List[[#This Row],[Budget Revue]]="x",UO_List[[#This Row],[Jours Tech]],0)</f>
        <v>0</v>
      </c>
      <c r="CA12" s="80">
        <f>IF(UO_List[[#This Row],[Budget Revue]]="x",UO_List[[#This Row],[Jours GP]],0)</f>
        <v>0</v>
      </c>
      <c r="CB12" s="516" t="str">
        <f>IF(AND(UO_List[[#This Row],[Budget Revue]]="x",$BK12&lt;&gt;"",$BL12&lt;&gt;"",YEAR(BB$3)=YEAR($BK12),MONTH(BB$3)&gt;=MONTH($BK12),MONTH(BB$3)&lt;=MONTH($BL12)),$BS12/(MONTH($BL12)-MONTH($BK12)+1),"")</f>
        <v/>
      </c>
      <c r="CC12" s="80" t="str">
        <f>IF(AND(UO_List[[#This Row],[Budget Revue]]="x",$BK12&lt;&gt;"",$BL12&lt;&gt;"",YEAR(BC$3)=YEAR($BK12),MONTH(BC$3)&gt;=MONTH($BK12),MONTH(BC$3)&lt;=MONTH($BL12)),$BS12/(MONTH($BL12)-MONTH($BK12)+1),"")</f>
        <v/>
      </c>
      <c r="CD12" s="80" t="str">
        <f>IF(AND(UO_List[[#This Row],[Budget Revue]]="x",$BK12&lt;&gt;"",$BL12&lt;&gt;"",YEAR(BD$3)=YEAR($BK12),MONTH(BD$3)&gt;=MONTH($BK12),MONTH(BD$3)&lt;=MONTH($BL12)),$BS12/(MONTH($BL12)-MONTH($BK12)+1),"")</f>
        <v/>
      </c>
      <c r="CE12" s="80" t="str">
        <f>IF(AND(UO_List[[#This Row],[Budget Revue]]="x",$BK12&lt;&gt;"",$BL12&lt;&gt;"",YEAR(BE$3)=YEAR($BK12),MONTH(BE$3)&gt;=MONTH($BK12),MONTH(BE$3)&lt;=MONTH($BL12)),$BS12/(MONTH($BL12)-MONTH($BK12)+1),"")</f>
        <v/>
      </c>
      <c r="CF12" s="80" t="str">
        <f>IF(AND(UO_List[[#This Row],[Budget Revue]]="x",$BK12&lt;&gt;"",$BL12&lt;&gt;"",YEAR(BF$3)=YEAR($BK12),MONTH(BF$3)&gt;=MONTH($BK12),MONTH(BF$3)&lt;=MONTH($BL12)),$BS12/(MONTH($BL12)-MONTH($BK12)+1),"")</f>
        <v/>
      </c>
      <c r="CG12" s="80" t="str">
        <f>IF(AND(UO_List[[#This Row],[Budget Revue]]="x",$BK12&lt;&gt;"",$BL12&lt;&gt;"",YEAR(BG$3)=YEAR($BK12),MONTH(BG$3)&gt;=MONTH($BK12),MONTH(BG$3)&lt;=MONTH($BL12)),$BS12/(MONTH($BL12)-MONTH($BK12)+1),"")</f>
        <v/>
      </c>
      <c r="CH12" s="80" t="str">
        <f>IF(AND(UO_List[[#This Row],[Budget Revue]]="x",$BK12&lt;&gt;"",$BL12&lt;&gt;"",YEAR(BH$3)=YEAR($BK12),MONTH(BH$3)&gt;=MONTH($BK12),MONTH(BH$3)&lt;=MONTH($BL12)),$BS12/(MONTH($BL12)-MONTH($BK12)+1),"")</f>
        <v/>
      </c>
      <c r="CI12" s="80" t="str">
        <f>IF(AND(UO_List[[#This Row],[Budget Revue]]="x",$BK12&lt;&gt;"",$BL12&lt;&gt;"",YEAR(BI$3)=YEAR($BK12),MONTH(BI$3)&gt;=MONTH($BK12),MONTH(BI$3)&lt;=MONTH($BL12)),$BS12/(MONTH($BL12)-MONTH($BK12)+1),"")</f>
        <v/>
      </c>
      <c r="CJ12" s="80" t="str">
        <f>IF(AND(UO_List[[#This Row],[Budget Revue]]="x",$BK12&lt;&gt;"",$BL12&lt;&gt;"",YEAR(BJ$3)=YEAR($BK12),MONTH(BJ$3)&gt;=MONTH($BK12),MONTH(BJ$3)&lt;=MONTH($BL12)),$BS12/(MONTH($BL12)-MONTH($BK12)+1),"")</f>
        <v/>
      </c>
      <c r="CK12" s="80" t="str">
        <f>IF(AND(UO_List[[#This Row],[Budget Revue]]="x",$BK12&lt;&gt;"",$BL12&lt;&gt;"",YEAR(BK$3)=YEAR($BK12),MONTH(BK$3)&gt;=MONTH($BK12),MONTH(BK$3)&lt;=MONTH($BL12)),$BS12/(MONTH($BL12)-MONTH($BK12)+1),"")</f>
        <v/>
      </c>
      <c r="CL12" s="80" t="str">
        <f>IF(AND(UO_List[[#This Row],[Budget Revue]]="x",$BK12&lt;&gt;"",$BL12&lt;&gt;"",YEAR(BL$3)=YEAR($BK12),MONTH(BL$3)&gt;=MONTH($BK12),MONTH(BL$3)&lt;=MONTH($BL12)),$BS12/(MONTH($BL12)-MONTH($BK12)+1),"")</f>
        <v/>
      </c>
      <c r="CM12" s="80" t="str">
        <f>IF(AND(UO_List[[#This Row],[Budget Revue]]="x",$BK12&lt;&gt;"",$BL12&lt;&gt;"",YEAR(BM$3)=YEAR($BK12),MONTH(BM$3)&gt;=MONTH($BK12),MONTH(BM$3)&lt;=MONTH($BL12)),$BS12/(MONTH($BL12)-MONTH($BK12)+1),"")</f>
        <v/>
      </c>
      <c r="CN12" s="75" t="str">
        <f>IF(UO_List[[#This Row],[Budget Revue]]="x",SUM(UO_List[[#This Row],[JANVIER]:[DECEMBRE]])-UO_List[[#This Row],[Jours Tech]],"")</f>
        <v/>
      </c>
      <c r="CO12" s="348" t="str">
        <f>IF(AND(UO_List[[#This Row],[Budget Revue]]="x",$BK12&lt;&gt;"",$BL12&lt;&gt;"",YEAR(BO$3)=YEAR($BK12),MONTH(BO$3)&gt;=MONTH($BK12),MONTH(BO$3)&lt;=MONTH($BL12)),UO_List[[#This Row],[Montant TOTAL]]/(MONTH($BL12)-MONTH($BK12)+1),"")</f>
        <v/>
      </c>
      <c r="CP12" s="348" t="str">
        <f>IF(AND(UO_List[[#This Row],[Budget Revue]]="x",$BK12&lt;&gt;"",$BL12&lt;&gt;"",YEAR(BP$3)=YEAR($BK12),MONTH(BP$3)&gt;=MONTH($BK12),MONTH(BP$3)&lt;=MONTH($BL12)),UO_List[[#This Row],[Montant TOTAL]]/(MONTH($BL12)-MONTH($BK12)+1),"")</f>
        <v/>
      </c>
      <c r="CQ12" s="348" t="str">
        <f>IF(AND(UO_List[[#This Row],[Budget Revue]]="x",$BK12&lt;&gt;"",$BL12&lt;&gt;"",YEAR(BQ$3)=YEAR($BK12),MONTH(BQ$3)&gt;=MONTH($BK12),MONTH(BQ$3)&lt;=MONTH($BL12)),UO_List[[#This Row],[Montant TOTAL]]/(MONTH($BL12)-MONTH($BK12)+1),"")</f>
        <v/>
      </c>
      <c r="CR12" s="348" t="str">
        <f>IF(AND(UO_List[[#This Row],[Budget Revue]]="x",$BK12&lt;&gt;"",$BL12&lt;&gt;"",YEAR(BR$3)=YEAR($BK12),MONTH(BR$3)&gt;=MONTH($BK12),MONTH(BR$3)&lt;=MONTH($BL12)),UO_List[[#This Row],[Montant TOTAL]]/(MONTH($BL12)-MONTH($BK12)+1),"")</f>
        <v/>
      </c>
      <c r="CS12" s="348" t="str">
        <f>IF(AND(UO_List[[#This Row],[Budget Revue]]="x",$BK12&lt;&gt;"",$BL12&lt;&gt;"",YEAR(BS$3)=YEAR($BK12),MONTH(BS$3)&gt;=MONTH($BK12),MONTH(BS$3)&lt;=MONTH($BL12)),UO_List[[#This Row],[Montant TOTAL]]/(MONTH($BL12)-MONTH($BK12)+1),"")</f>
        <v/>
      </c>
      <c r="CT12" s="348" t="str">
        <f>IF(AND(UO_List[[#This Row],[Budget Revue]]="x",$BK12&lt;&gt;"",$BL12&lt;&gt;"",YEAR(BT$3)=YEAR($BK12),MONTH(BT$3)&gt;=MONTH($BK12),MONTH(BT$3)&lt;=MONTH($BL12)),UO_List[[#This Row],[Montant TOTAL]]/(MONTH($BL12)-MONTH($BK12)+1),"")</f>
        <v/>
      </c>
      <c r="CU12" s="348" t="str">
        <f>IF(AND(UO_List[[#This Row],[Budget Revue]]="x",$BK12&lt;&gt;"",$BL12&lt;&gt;"",YEAR(BU$3)=YEAR($BK12),MONTH(BU$3)&gt;=MONTH($BK12),MONTH(BU$3)&lt;=MONTH($BL12)),UO_List[[#This Row],[Montant TOTAL]]/(MONTH($BL12)-MONTH($BK12)+1),"")</f>
        <v/>
      </c>
      <c r="CV12" s="348" t="str">
        <f>IF(AND(UO_List[[#This Row],[Budget Revue]]="x",$BK12&lt;&gt;"",$BL12&lt;&gt;"",YEAR(BV$3)=YEAR($BK12),MONTH(BV$3)&gt;=MONTH($BK12),MONTH(BV$3)&lt;=MONTH($BL12)),UO_List[[#This Row],[Montant TOTAL]]/(MONTH($BL12)-MONTH($BK12)+1),"")</f>
        <v/>
      </c>
      <c r="CW12" s="348" t="str">
        <f>IF(AND(UO_List[[#This Row],[Budget Revue]]="x",$BK12&lt;&gt;"",$BL12&lt;&gt;"",YEAR(BW$3)=YEAR($BK12),MONTH(BW$3)&gt;=MONTH($BK12),MONTH(BW$3)&lt;=MONTH($BL12)),UO_List[[#This Row],[Montant TOTAL]]/(MONTH($BL12)-MONTH($BK12)+1),"")</f>
        <v/>
      </c>
      <c r="CX12" s="348" t="str">
        <f>IF(AND(UO_List[[#This Row],[Budget Revue]]="x",$BK12&lt;&gt;"",$BL12&lt;&gt;"",YEAR(BX$3)=YEAR($BK12),MONTH(BX$3)&gt;=MONTH($BK12),MONTH(BX$3)&lt;=MONTH($BL12)),UO_List[[#This Row],[Montant TOTAL]]/(MONTH($BL12)-MONTH($BK12)+1),"")</f>
        <v/>
      </c>
      <c r="CY12" s="348" t="str">
        <f>IF(AND(UO_List[[#This Row],[Budget Revue]]="x",$BK12&lt;&gt;"",$BL12&lt;&gt;"",YEAR(BY$3)=YEAR($BK12),MONTH(BY$3)&gt;=MONTH($BK12),MONTH(BY$3)&lt;=MONTH($BL12)),UO_List[[#This Row],[Montant TOTAL]]/(MONTH($BL12)-MONTH($BK12)+1),"")</f>
        <v/>
      </c>
      <c r="CZ12" s="348" t="str">
        <f>IF(AND(UO_List[[#This Row],[Budget Revue]]="x",$BK12&lt;&gt;"",$BL12&lt;&gt;"",YEAR(BY$3)=YEAR($BK12),MONTH(BY$3)&gt;=MONTH($BK12),MONTH(BY$3)&lt;=MONTH($BL12)),UO_List[[#This Row],[Montant TOTAL]]/(MONTH($BL12)-MONTH($BK12)+1),"")</f>
        <v/>
      </c>
      <c r="DA12" s="348" t="str">
        <f>IF(UO_List[[#This Row],[Budget Revue]]="x",SUM(UO_List[[#This Row],[JANVIER2]:[DECEMBRE2]])-UO_List[Montant TOTAL],"")</f>
        <v/>
      </c>
      <c r="DB12" s="83"/>
      <c r="DC12" s="83"/>
      <c r="DD12" s="83"/>
      <c r="DE12" s="83"/>
      <c r="DF12" s="83"/>
      <c r="DG12" s="83"/>
      <c r="DH12" s="83"/>
      <c r="DI12" s="83"/>
      <c r="DJ12" s="83"/>
      <c r="DK12" s="83"/>
      <c r="DL12" s="83"/>
      <c r="DM12" s="83"/>
      <c r="DN12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12" s="76">
        <f>IFERROR(UO_List[[#This Row],[Line Total]]-UO_List[[#This Row],[Montant total réceptionné]],"")</f>
        <v>16800</v>
      </c>
      <c r="DP12" s="76">
        <f>IFERROR(UO_List[[#This Row],[Total item réceptionné]]*UO_List[[#This Row],[Unit Price (calcul)]],0)</f>
        <v>0</v>
      </c>
      <c r="DQ12" s="76">
        <f>UO_List[[#This Row],[Facteur]]-UO_List[[#This Row],[Total item réceptionné]]</f>
        <v>5</v>
      </c>
      <c r="DR12" s="77"/>
      <c r="DS12" s="77"/>
      <c r="DT12" s="158"/>
      <c r="DU12" s="77"/>
    </row>
    <row r="13" spans="14:125" s="74" customFormat="1">
      <c r="AA13" s="197" t="str">
        <f>IFERROR(VLOOKUP(UO_List[[#This Row],[Unique_AIB_ID]],Tableau1[[Unique_AIB_ID]:[Building / Room]],2,FALSE),"")</f>
        <v>C000498080</v>
      </c>
      <c r="AB13" s="198">
        <f>IFERROR(VLOOKUP(UO_List[[#This Row],[Unique_AIB_ID]],UO_Contract!A12:V201,3,TRUE),"")</f>
        <v>0</v>
      </c>
      <c r="AC13" s="197" t="str">
        <f>IFERROR(VLOOKUP(UO_List[[#This Row],[Unique_AIB_ID]],Tableau1[[Unique_AIB_ID]:[Building / Room]],4,FALSE),"")</f>
        <v>WPA - SII - PJOP - Airbus - WD1701094 - Flight and Integration Test CT1705359</v>
      </c>
      <c r="AD13" s="198">
        <f>IFERROR(VLOOKUP(UO_List[[#This Row],[Unique_AIB_ID]],Tableau1[[Unique_AIB_ID]:[Building / Room]],5,FALSE),"")</f>
        <v>0</v>
      </c>
      <c r="AE13" s="198">
        <f>IFERROR(VLOOKUP(UO_List[[#This Row],[Unique_AIB_ID]],Tableau1[[Unique_AIB_ID]:[Building / Room]],6,FALSE),"")</f>
        <v>4</v>
      </c>
      <c r="AF13" s="198" t="str">
        <f>IFERROR(VLOOKUP(UO_List[[#This Row],[Unique_AIB_ID]],Tableau1[[Unique_AIB_ID]:[Building / Room]],7,FALSE),"")</f>
        <v>5 Each of WU_PROP_S[PJE_SII_EVYP_USD_AIRBUS_FR]</v>
      </c>
      <c r="AG13" s="199">
        <f>IFERROR(VLOOKUP(UO_List[[#This Row],[Unique_AIB_ID]],Tableau1[[Unique_AIB_ID]:[Building / Room]],8,FALSE),"")</f>
        <v>5</v>
      </c>
      <c r="AH13" s="200">
        <f>IFERROR(VALUE(VLOOKUP(UO_List[[#This Row],[Unique_AIB_ID]],Tableau1[[Unique_AIB_ID]:[Building / Room]],9,FALSE)),"")</f>
        <v>16800</v>
      </c>
      <c r="AI13" s="199">
        <f>IFERROR(VLOOKUP(UO_List[[#This Row],[Unique_AIB_ID]],Tableau1[[Unique_AIB_ID]:[Building / Room]],10,TRUE),"")</f>
        <v>0</v>
      </c>
      <c r="AJ13" s="201">
        <f>IFERROR(VLOOKUP(UO_List[[#This Row],[Unique_AIB_ID]],Tableau1[[Unique_AIB_ID]:[Building / Room]],11,FALSE),"")</f>
        <v>0</v>
      </c>
      <c r="AK13" s="202">
        <f>IFERROR(VLOOKUP(UO_List[[#This Row],[Unique_AIB_ID]],Tableau1[[Unique_AIB_ID]:[Building / Room]],12,FALSE),"")</f>
        <v>0</v>
      </c>
      <c r="AL13" s="202">
        <f>IFERROR(VLOOKUP(UO_List[[#This Row],[Unique_AIB_ID]],Tableau1[[Unique_AIB_ID]:[Building / Room]],13,FALSE),"")</f>
        <v>0</v>
      </c>
      <c r="AM13" s="183">
        <f>IFERROR(VLOOKUP(UO_List[[#This Row],[Unique_AIB_ID]],Tableau1[[Unique_AIB_ID]:[Building / Room]],14,FALSE),"")</f>
        <v>0</v>
      </c>
      <c r="AN13" s="203">
        <f>IFERROR(VLOOKUP(UO_List[[#This Row],[Unique_AIB_ID]],Tableau1[[Unique_AIB_ID]:[Building / Room]],15,FALSE),"")</f>
        <v>0</v>
      </c>
      <c r="AO13" s="183">
        <f>IFERROR(VLOOKUP(UO_List[[#This Row],[Unique_AIB_ID]],Tableau1[[Unique_AIB_ID]:[Building / Room]],16,FALSE),"")</f>
        <v>0</v>
      </c>
      <c r="AP13" s="183" t="str">
        <f>IFERROR(VLOOKUP(UO_List[[#This Row],[Unique_AIB_ID]],Tableau1[[Unique_AIB_ID]:[Building / Room]],17,FALSE),"")</f>
        <v>0</v>
      </c>
      <c r="AQ13" s="183">
        <f>IFERROR(VLOOKUP(UO_List[[#This Row],[Unique_AIB_ID]],Tableau1[[Unique_AIB_ID]:[Building / Room]],18,FALSE),"")</f>
        <v>0</v>
      </c>
      <c r="AR13" s="183" t="str">
        <f>IFERROR(VLOOKUP(UO_List[[#This Row],[Unique_AIB_ID]],Tableau1[[Unique_AIB_ID]:[Building / Room]],19,FALSE),"")</f>
        <v>03/25/20</v>
      </c>
      <c r="AS13" s="183">
        <f>IFERROR(VLOOKUP(UO_List[[#This Row],[Unique_AIB_ID]],Tableau1[[Unique_AIB_ID]:[Building / Room]],20,FALSE),"")</f>
        <v>0</v>
      </c>
      <c r="AT13" s="183">
        <f>IFERROR(VLOOKUP(UO_List[[#This Row],[Unique_AIB_ID]],Tableau1[[Unique_AIB_ID]:[Building / Room]],21,FALSE),"")</f>
        <v>0</v>
      </c>
      <c r="AU13" s="183" t="str">
        <f>IFERROR(VLOOKUP(UO_List[[#This Row],[Unique_AIB_ID]],Tableau1[[Unique_AIB_ID]:[Building / Room]],22,FALSE),"")</f>
        <v>M24 / B032</v>
      </c>
      <c r="AV13" s="167" t="str">
        <f>IFERROR(VLOOKUP(UO_List[[#This Row],[Unique_AIB_ID]],Tableau1[[Unique_AIB_ID]:[Currency]],23,FALSE),"")</f>
        <v>Q 1 / ATA 34 - New Pitot Thales for environmental conditions</v>
      </c>
      <c r="AW13" s="167">
        <f>IFERROR(IF(ISBLANK(UO_List[[#This Row],[PO Number (Header)]]),"",UO_List[[#This Row],[Line Total]]/UO_List[[#This Row],[Total Item Quantity]]),"")</f>
        <v>3360</v>
      </c>
      <c r="AX13" s="498" t="s">
        <v>867</v>
      </c>
      <c r="AY13" s="167"/>
      <c r="AZ13" s="78" t="s">
        <v>844</v>
      </c>
      <c r="BA13" s="78"/>
      <c r="BB13" s="78"/>
      <c r="BC13" s="78" t="s">
        <v>696</v>
      </c>
      <c r="BD13" s="70" t="s">
        <v>687</v>
      </c>
      <c r="BE13" s="78" t="s">
        <v>687</v>
      </c>
      <c r="BF13" s="78" t="s">
        <v>191</v>
      </c>
      <c r="BG13" s="78"/>
      <c r="BH13" s="78" t="s">
        <v>862</v>
      </c>
      <c r="BI13" s="78"/>
      <c r="BJ13" s="79"/>
      <c r="BK13" s="79">
        <v>43831</v>
      </c>
      <c r="BL13" s="79">
        <v>43921</v>
      </c>
      <c r="BM13" s="71">
        <v>5</v>
      </c>
      <c r="BN13" s="71">
        <f>IFERROR(UO_List[[#This Row],[Total Item Quantity]]-UO_List[[#This Row],[Facteur]],"")</f>
        <v>0</v>
      </c>
      <c r="BO13" s="349">
        <f>IFERROR(IF(ISBLANK(UO_List[[#This Row],[Id_UO]]),"",SUMPRODUCT(1*(EXACT(UO_List[[#This Row],[Id_UO]],CATALOGUE[Id_WU]))*CATALOGUE[Price $])),"")</f>
        <v>3360</v>
      </c>
      <c r="BP13" s="350">
        <f>IFERROR(UO_List[[#This Row],[Prix unitaire]]*UO_List[[#This Row],[Facteur]],"")</f>
        <v>16800</v>
      </c>
      <c r="BQ13" s="100">
        <f>IFERROR(SUMPRODUCT(1*(EXACT(UO_List[[#This Row],[Id_UO]],CATALOGUE[Id_WU]))*CATALOGUE[Global_Workload_PM_(d)]*UO_List[[#This Row],[Facteur]]),"")</f>
        <v>4.5000000000000018</v>
      </c>
      <c r="BR13" s="286">
        <f>UO_List[[#This Row],[Jours GP]]/jours_an</f>
        <v>2.0833333333333343E-2</v>
      </c>
      <c r="BS13" s="72">
        <f>IFERROR(SUMPRODUCT(1*(EXACT(UO_List[[#This Row],[Id_UO]],CATALOGUE[Id_WU]))*CATALOGUE[Global_Workload_Tech_(d)]*UO_List[[#This Row],[Facteur]]),"")</f>
        <v>25.5</v>
      </c>
      <c r="BT13" s="286">
        <f>UO_List[[#This Row],[Jours Tech]]/jours_an</f>
        <v>0.11805555555555555</v>
      </c>
      <c r="BU13" s="72">
        <f>UO_List[[#This Row],[Jours GP]]+UO_List[[#This Row],[Jours Tech]]</f>
        <v>30</v>
      </c>
      <c r="BV13" s="286">
        <f>UO_List[[#This Row],[ETP GP]]+UO_List[[#This Row],[ETP Tech]]</f>
        <v>0.1388888888888889</v>
      </c>
      <c r="BW13" s="73"/>
      <c r="BX13" s="80"/>
      <c r="BY13" s="462">
        <f>IF(UO_List[[#This Row],[Budget Revue]]="x",UO_List[[#This Row],[Montant TOTAL]],0)</f>
        <v>0</v>
      </c>
      <c r="BZ13" s="80">
        <f>IF(UO_List[[#This Row],[Budget Revue]]="x",UO_List[[#This Row],[Jours Tech]],0)</f>
        <v>0</v>
      </c>
      <c r="CA13" s="80">
        <f>IF(UO_List[[#This Row],[Budget Revue]]="x",UO_List[[#This Row],[Jours GP]],0)</f>
        <v>0</v>
      </c>
      <c r="CB13" s="516" t="str">
        <f>IF(AND(UO_List[[#This Row],[Budget Revue]]="x",$BK13&lt;&gt;"",$BL13&lt;&gt;"",YEAR(BB$3)=YEAR($BK13),MONTH(BB$3)&gt;=MONTH($BK13),MONTH(BB$3)&lt;=MONTH($BL13)),$BS13/(MONTH($BL13)-MONTH($BK13)+1),"")</f>
        <v/>
      </c>
      <c r="CC13" s="80" t="str">
        <f>IF(AND(UO_List[[#This Row],[Budget Revue]]="x",$BK13&lt;&gt;"",$BL13&lt;&gt;"",YEAR(BC$3)=YEAR($BK13),MONTH(BC$3)&gt;=MONTH($BK13),MONTH(BC$3)&lt;=MONTH($BL13)),$BS13/(MONTH($BL13)-MONTH($BK13)+1),"")</f>
        <v/>
      </c>
      <c r="CD13" s="80" t="str">
        <f>IF(AND(UO_List[[#This Row],[Budget Revue]]="x",$BK13&lt;&gt;"",$BL13&lt;&gt;"",YEAR(BD$3)=YEAR($BK13),MONTH(BD$3)&gt;=MONTH($BK13),MONTH(BD$3)&lt;=MONTH($BL13)),$BS13/(MONTH($BL13)-MONTH($BK13)+1),"")</f>
        <v/>
      </c>
      <c r="CE13" s="80" t="str">
        <f>IF(AND(UO_List[[#This Row],[Budget Revue]]="x",$BK13&lt;&gt;"",$BL13&lt;&gt;"",YEAR(BE$3)=YEAR($BK13),MONTH(BE$3)&gt;=MONTH($BK13),MONTH(BE$3)&lt;=MONTH($BL13)),$BS13/(MONTH($BL13)-MONTH($BK13)+1),"")</f>
        <v/>
      </c>
      <c r="CF13" s="80" t="str">
        <f>IF(AND(UO_List[[#This Row],[Budget Revue]]="x",$BK13&lt;&gt;"",$BL13&lt;&gt;"",YEAR(BF$3)=YEAR($BK13),MONTH(BF$3)&gt;=MONTH($BK13),MONTH(BF$3)&lt;=MONTH($BL13)),$BS13/(MONTH($BL13)-MONTH($BK13)+1),"")</f>
        <v/>
      </c>
      <c r="CG13" s="80" t="str">
        <f>IF(AND(UO_List[[#This Row],[Budget Revue]]="x",$BK13&lt;&gt;"",$BL13&lt;&gt;"",YEAR(BG$3)=YEAR($BK13),MONTH(BG$3)&gt;=MONTH($BK13),MONTH(BG$3)&lt;=MONTH($BL13)),$BS13/(MONTH($BL13)-MONTH($BK13)+1),"")</f>
        <v/>
      </c>
      <c r="CH13" s="80" t="str">
        <f>IF(AND(UO_List[[#This Row],[Budget Revue]]="x",$BK13&lt;&gt;"",$BL13&lt;&gt;"",YEAR(BH$3)=YEAR($BK13),MONTH(BH$3)&gt;=MONTH($BK13),MONTH(BH$3)&lt;=MONTH($BL13)),$BS13/(MONTH($BL13)-MONTH($BK13)+1),"")</f>
        <v/>
      </c>
      <c r="CI13" s="80" t="str">
        <f>IF(AND(UO_List[[#This Row],[Budget Revue]]="x",$BK13&lt;&gt;"",$BL13&lt;&gt;"",YEAR(BI$3)=YEAR($BK13),MONTH(BI$3)&gt;=MONTH($BK13),MONTH(BI$3)&lt;=MONTH($BL13)),$BS13/(MONTH($BL13)-MONTH($BK13)+1),"")</f>
        <v/>
      </c>
      <c r="CJ13" s="80" t="str">
        <f>IF(AND(UO_List[[#This Row],[Budget Revue]]="x",$BK13&lt;&gt;"",$BL13&lt;&gt;"",YEAR(BJ$3)=YEAR($BK13),MONTH(BJ$3)&gt;=MONTH($BK13),MONTH(BJ$3)&lt;=MONTH($BL13)),$BS13/(MONTH($BL13)-MONTH($BK13)+1),"")</f>
        <v/>
      </c>
      <c r="CK13" s="80" t="str">
        <f>IF(AND(UO_List[[#This Row],[Budget Revue]]="x",$BK13&lt;&gt;"",$BL13&lt;&gt;"",YEAR(BK$3)=YEAR($BK13),MONTH(BK$3)&gt;=MONTH($BK13),MONTH(BK$3)&lt;=MONTH($BL13)),$BS13/(MONTH($BL13)-MONTH($BK13)+1),"")</f>
        <v/>
      </c>
      <c r="CL13" s="80" t="str">
        <f>IF(AND(UO_List[[#This Row],[Budget Revue]]="x",$BK13&lt;&gt;"",$BL13&lt;&gt;"",YEAR(BL$3)=YEAR($BK13),MONTH(BL$3)&gt;=MONTH($BK13),MONTH(BL$3)&lt;=MONTH($BL13)),$BS13/(MONTH($BL13)-MONTH($BK13)+1),"")</f>
        <v/>
      </c>
      <c r="CM13" s="80" t="str">
        <f>IF(AND(UO_List[[#This Row],[Budget Revue]]="x",$BK13&lt;&gt;"",$BL13&lt;&gt;"",YEAR(BM$3)=YEAR($BK13),MONTH(BM$3)&gt;=MONTH($BK13),MONTH(BM$3)&lt;=MONTH($BL13)),$BS13/(MONTH($BL13)-MONTH($BK13)+1),"")</f>
        <v/>
      </c>
      <c r="CN13" s="75" t="str">
        <f>IF(UO_List[[#This Row],[Budget Revue]]="x",SUM(UO_List[[#This Row],[JANVIER]:[DECEMBRE]])-UO_List[[#This Row],[Jours Tech]],"")</f>
        <v/>
      </c>
      <c r="CO13" s="348" t="str">
        <f>IF(AND(UO_List[[#This Row],[Budget Revue]]="x",$BK13&lt;&gt;"",$BL13&lt;&gt;"",YEAR(BO$3)=YEAR($BK13),MONTH(BO$3)&gt;=MONTH($BK13),MONTH(BO$3)&lt;=MONTH($BL13)),UO_List[[#This Row],[Montant TOTAL]]/(MONTH($BL13)-MONTH($BK13)+1),"")</f>
        <v/>
      </c>
      <c r="CP13" s="348" t="str">
        <f>IF(AND(UO_List[[#This Row],[Budget Revue]]="x",$BK13&lt;&gt;"",$BL13&lt;&gt;"",YEAR(BP$3)=YEAR($BK13),MONTH(BP$3)&gt;=MONTH($BK13),MONTH(BP$3)&lt;=MONTH($BL13)),UO_List[[#This Row],[Montant TOTAL]]/(MONTH($BL13)-MONTH($BK13)+1),"")</f>
        <v/>
      </c>
      <c r="CQ13" s="348" t="str">
        <f>IF(AND(UO_List[[#This Row],[Budget Revue]]="x",$BK13&lt;&gt;"",$BL13&lt;&gt;"",YEAR(BQ$3)=YEAR($BK13),MONTH(BQ$3)&gt;=MONTH($BK13),MONTH(BQ$3)&lt;=MONTH($BL13)),UO_List[[#This Row],[Montant TOTAL]]/(MONTH($BL13)-MONTH($BK13)+1),"")</f>
        <v/>
      </c>
      <c r="CR13" s="348" t="str">
        <f>IF(AND(UO_List[[#This Row],[Budget Revue]]="x",$BK13&lt;&gt;"",$BL13&lt;&gt;"",YEAR(BR$3)=YEAR($BK13),MONTH(BR$3)&gt;=MONTH($BK13),MONTH(BR$3)&lt;=MONTH($BL13)),UO_List[[#This Row],[Montant TOTAL]]/(MONTH($BL13)-MONTH($BK13)+1),"")</f>
        <v/>
      </c>
      <c r="CS13" s="348" t="str">
        <f>IF(AND(UO_List[[#This Row],[Budget Revue]]="x",$BK13&lt;&gt;"",$BL13&lt;&gt;"",YEAR(BS$3)=YEAR($BK13),MONTH(BS$3)&gt;=MONTH($BK13),MONTH(BS$3)&lt;=MONTH($BL13)),UO_List[[#This Row],[Montant TOTAL]]/(MONTH($BL13)-MONTH($BK13)+1),"")</f>
        <v/>
      </c>
      <c r="CT13" s="348" t="str">
        <f>IF(AND(UO_List[[#This Row],[Budget Revue]]="x",$BK13&lt;&gt;"",$BL13&lt;&gt;"",YEAR(BT$3)=YEAR($BK13),MONTH(BT$3)&gt;=MONTH($BK13),MONTH(BT$3)&lt;=MONTH($BL13)),UO_List[[#This Row],[Montant TOTAL]]/(MONTH($BL13)-MONTH($BK13)+1),"")</f>
        <v/>
      </c>
      <c r="CU13" s="348" t="str">
        <f>IF(AND(UO_List[[#This Row],[Budget Revue]]="x",$BK13&lt;&gt;"",$BL13&lt;&gt;"",YEAR(BU$3)=YEAR($BK13),MONTH(BU$3)&gt;=MONTH($BK13),MONTH(BU$3)&lt;=MONTH($BL13)),UO_List[[#This Row],[Montant TOTAL]]/(MONTH($BL13)-MONTH($BK13)+1),"")</f>
        <v/>
      </c>
      <c r="CV13" s="348" t="str">
        <f>IF(AND(UO_List[[#This Row],[Budget Revue]]="x",$BK13&lt;&gt;"",$BL13&lt;&gt;"",YEAR(BV$3)=YEAR($BK13),MONTH(BV$3)&gt;=MONTH($BK13),MONTH(BV$3)&lt;=MONTH($BL13)),UO_List[[#This Row],[Montant TOTAL]]/(MONTH($BL13)-MONTH($BK13)+1),"")</f>
        <v/>
      </c>
      <c r="CW13" s="348" t="str">
        <f>IF(AND(UO_List[[#This Row],[Budget Revue]]="x",$BK13&lt;&gt;"",$BL13&lt;&gt;"",YEAR(BW$3)=YEAR($BK13),MONTH(BW$3)&gt;=MONTH($BK13),MONTH(BW$3)&lt;=MONTH($BL13)),UO_List[[#This Row],[Montant TOTAL]]/(MONTH($BL13)-MONTH($BK13)+1),"")</f>
        <v/>
      </c>
      <c r="CX13" s="348" t="str">
        <f>IF(AND(UO_List[[#This Row],[Budget Revue]]="x",$BK13&lt;&gt;"",$BL13&lt;&gt;"",YEAR(BX$3)=YEAR($BK13),MONTH(BX$3)&gt;=MONTH($BK13),MONTH(BX$3)&lt;=MONTH($BL13)),UO_List[[#This Row],[Montant TOTAL]]/(MONTH($BL13)-MONTH($BK13)+1),"")</f>
        <v/>
      </c>
      <c r="CY13" s="348" t="str">
        <f>IF(AND(UO_List[[#This Row],[Budget Revue]]="x",$BK13&lt;&gt;"",$BL13&lt;&gt;"",YEAR(BY$3)=YEAR($BK13),MONTH(BY$3)&gt;=MONTH($BK13),MONTH(BY$3)&lt;=MONTH($BL13)),UO_List[[#This Row],[Montant TOTAL]]/(MONTH($BL13)-MONTH($BK13)+1),"")</f>
        <v/>
      </c>
      <c r="CZ13" s="348" t="str">
        <f>IF(AND(UO_List[[#This Row],[Budget Revue]]="x",$BK13&lt;&gt;"",$BL13&lt;&gt;"",YEAR(BY$3)=YEAR($BK13),MONTH(BY$3)&gt;=MONTH($BK13),MONTH(BY$3)&lt;=MONTH($BL13)),UO_List[[#This Row],[Montant TOTAL]]/(MONTH($BL13)-MONTH($BK13)+1),"")</f>
        <v/>
      </c>
      <c r="DA13" s="348" t="str">
        <f>IF(UO_List[[#This Row],[Budget Revue]]="x",SUM(UO_List[[#This Row],[JANVIER2]:[DECEMBRE2]])-UO_List[Montant TOTAL],"")</f>
        <v/>
      </c>
      <c r="DB13" s="83"/>
      <c r="DC13" s="83"/>
      <c r="DD13" s="83"/>
      <c r="DE13" s="83"/>
      <c r="DF13" s="83"/>
      <c r="DG13" s="83"/>
      <c r="DH13" s="83"/>
      <c r="DI13" s="83"/>
      <c r="DJ13" s="83"/>
      <c r="DK13" s="83"/>
      <c r="DL13" s="83"/>
      <c r="DM13" s="83"/>
      <c r="DN13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13" s="76">
        <f>IFERROR(UO_List[[#This Row],[Line Total]]-UO_List[[#This Row],[Montant total réceptionné]],"")</f>
        <v>16800</v>
      </c>
      <c r="DP13" s="76">
        <f>IFERROR(UO_List[[#This Row],[Total item réceptionné]]*UO_List[[#This Row],[Unit Price (calcul)]],0)</f>
        <v>0</v>
      </c>
      <c r="DQ13" s="76">
        <f>UO_List[[#This Row],[Facteur]]-UO_List[[#This Row],[Total item réceptionné]]</f>
        <v>5</v>
      </c>
      <c r="DR13" s="77"/>
      <c r="DS13" s="77"/>
      <c r="DT13" s="158"/>
      <c r="DU13" s="77"/>
    </row>
    <row r="14" spans="14:125" s="74" customFormat="1">
      <c r="AA14" s="204" t="str">
        <f>IFERROR(VLOOKUP(UO_List[[#This Row],[Unique_AIB_ID]],Tableau1[[Unique_AIB_ID]:[Building / Room]],2,FALSE),"")</f>
        <v>C000498080</v>
      </c>
      <c r="AB14" s="205">
        <f>IFERROR(VLOOKUP(UO_List[[#This Row],[Unique_AIB_ID]],UO_Contract!A13:V202,3,TRUE),"")</f>
        <v>0</v>
      </c>
      <c r="AC14" s="204" t="str">
        <f>IFERROR(VLOOKUP(UO_List[[#This Row],[Unique_AIB_ID]],Tableau1[[Unique_AIB_ID]:[Building / Room]],4,FALSE),"")</f>
        <v>WPA - SII - PJOP - Airbus - WD1701094 - Flight and Integration Test CT1705359</v>
      </c>
      <c r="AD14" s="205">
        <f>IFERROR(VLOOKUP(UO_List[[#This Row],[Unique_AIB_ID]],Tableau1[[Unique_AIB_ID]:[Building / Room]],5,FALSE),"")</f>
        <v>0</v>
      </c>
      <c r="AE14" s="205">
        <f>IFERROR(VLOOKUP(UO_List[[#This Row],[Unique_AIB_ID]],Tableau1[[Unique_AIB_ID]:[Building / Room]],6,FALSE),"")</f>
        <v>5</v>
      </c>
      <c r="AF14" s="205" t="str">
        <f>IFERROR(VLOOKUP(UO_List[[#This Row],[Unique_AIB_ID]],Tableau1[[Unique_AIB_ID]:[Building / Room]],7,FALSE),"")</f>
        <v>4 Each of WU_PROP_STD[PJE_SII_EVYP_USD_AIRBUS_FR]</v>
      </c>
      <c r="AG14" s="205">
        <f>IFERROR(VLOOKUP(UO_List[[#This Row],[Unique_AIB_ID]],Tableau1[[Unique_AIB_ID]:[Building / Room]],8,FALSE),"")</f>
        <v>4</v>
      </c>
      <c r="AH14" s="206">
        <f>IFERROR(VALUE(VLOOKUP(UO_List[[#This Row],[Unique_AIB_ID]],Tableau1[[Unique_AIB_ID]:[Building / Room]],9,FALSE)),"")</f>
        <v>40480</v>
      </c>
      <c r="AI14" s="205">
        <f>IFERROR(VLOOKUP(UO_List[[#This Row],[Unique_AIB_ID]],Tableau1[[Unique_AIB_ID]:[Building / Room]],10,TRUE),"")</f>
        <v>0</v>
      </c>
      <c r="AJ14" s="207">
        <f>IFERROR(VLOOKUP(UO_List[[#This Row],[Unique_AIB_ID]],Tableau1[[Unique_AIB_ID]:[Building / Room]],11,FALSE),"")</f>
        <v>0</v>
      </c>
      <c r="AK14" s="205">
        <f>IFERROR(VLOOKUP(UO_List[[#This Row],[Unique_AIB_ID]],Tableau1[[Unique_AIB_ID]:[Building / Room]],12,FALSE),"")</f>
        <v>0</v>
      </c>
      <c r="AL14" s="205">
        <f>IFERROR(VLOOKUP(UO_List[[#This Row],[Unique_AIB_ID]],Tableau1[[Unique_AIB_ID]:[Building / Room]],13,FALSE),"")</f>
        <v>0</v>
      </c>
      <c r="AM14" s="183">
        <f>IFERROR(VLOOKUP(UO_List[[#This Row],[Unique_AIB_ID]],Tableau1[[Unique_AIB_ID]:[Building / Room]],14,FALSE),"")</f>
        <v>0</v>
      </c>
      <c r="AN14" s="183">
        <f>IFERROR(VLOOKUP(UO_List[[#This Row],[Unique_AIB_ID]],Tableau1[[Unique_AIB_ID]:[Building / Room]],15,FALSE),"")</f>
        <v>0</v>
      </c>
      <c r="AO14" s="183">
        <f>IFERROR(VLOOKUP(UO_List[[#This Row],[Unique_AIB_ID]],Tableau1[[Unique_AIB_ID]:[Building / Room]],16,FALSE),"")</f>
        <v>0</v>
      </c>
      <c r="AP14" s="183" t="str">
        <f>IFERROR(VLOOKUP(UO_List[[#This Row],[Unique_AIB_ID]],Tableau1[[Unique_AIB_ID]:[Building / Room]],17,FALSE),"")</f>
        <v>0</v>
      </c>
      <c r="AQ14" s="183">
        <f>IFERROR(VLOOKUP(UO_List[[#This Row],[Unique_AIB_ID]],Tableau1[[Unique_AIB_ID]:[Building / Room]],18,FALSE),"")</f>
        <v>0</v>
      </c>
      <c r="AR14" s="183" t="str">
        <f>IFERROR(VLOOKUP(UO_List[[#This Row],[Unique_AIB_ID]],Tableau1[[Unique_AIB_ID]:[Building / Room]],19,FALSE),"")</f>
        <v>03/25/20</v>
      </c>
      <c r="AS14" s="183">
        <f>IFERROR(VLOOKUP(UO_List[[#This Row],[Unique_AIB_ID]],Tableau1[[Unique_AIB_ID]:[Building / Room]],20,FALSE),"")</f>
        <v>0</v>
      </c>
      <c r="AT14" s="183">
        <f>IFERROR(VLOOKUP(UO_List[[#This Row],[Unique_AIB_ID]],Tableau1[[Unique_AIB_ID]:[Building / Room]],21,FALSE),"")</f>
        <v>0</v>
      </c>
      <c r="AU14" s="183" t="str">
        <f>IFERROR(VLOOKUP(UO_List[[#This Row],[Unique_AIB_ID]],Tableau1[[Unique_AIB_ID]:[Building / Room]],22,FALSE),"")</f>
        <v>M24 / B032</v>
      </c>
      <c r="AV14" s="167" t="str">
        <f>IFERROR(VLOOKUP(UO_List[[#This Row],[Unique_AIB_ID]],Tableau1[[Unique_AIB_ID]:[Currency]],23,FALSE),"")</f>
        <v>Q 1 / Major mod EEC EC2</v>
      </c>
      <c r="AW14" s="167">
        <f>IFERROR(IF(ISBLANK(UO_List[[#This Row],[PO Number (Header)]]),"",UO_List[[#This Row],[Line Total]]/UO_List[[#This Row],[Total Item Quantity]]),"")</f>
        <v>10120</v>
      </c>
      <c r="AX14" s="498" t="s">
        <v>868</v>
      </c>
      <c r="AY14" s="167"/>
      <c r="AZ14" s="78" t="s">
        <v>844</v>
      </c>
      <c r="BA14" s="78"/>
      <c r="BB14" s="78"/>
      <c r="BC14" s="78" t="s">
        <v>695</v>
      </c>
      <c r="BD14" s="70" t="s">
        <v>687</v>
      </c>
      <c r="BE14" s="78" t="s">
        <v>687</v>
      </c>
      <c r="BF14" s="78" t="s">
        <v>191</v>
      </c>
      <c r="BG14" s="78"/>
      <c r="BH14" s="78" t="s">
        <v>1011</v>
      </c>
      <c r="BI14" s="558" t="s">
        <v>1012</v>
      </c>
      <c r="BJ14" s="79"/>
      <c r="BK14" s="79">
        <v>43831</v>
      </c>
      <c r="BL14" s="79">
        <v>43921</v>
      </c>
      <c r="BM14" s="71">
        <v>4</v>
      </c>
      <c r="BN14" s="71">
        <f>IFERROR(UO_List[[#This Row],[Total Item Quantity]]-UO_List[[#This Row],[Facteur]],"")</f>
        <v>0</v>
      </c>
      <c r="BO14" s="349">
        <f>IFERROR(IF(ISBLANK(UO_List[[#This Row],[Id_UO]]),"",SUMPRODUCT(1*(EXACT(UO_List[[#This Row],[Id_UO]],CATALOGUE[Id_WU]))*CATALOGUE[Price $])),"")</f>
        <v>10120</v>
      </c>
      <c r="BP14" s="350">
        <f>IFERROR(UO_List[[#This Row],[Prix unitaire]]*UO_List[[#This Row],[Facteur]],"")</f>
        <v>40480</v>
      </c>
      <c r="BQ14" s="100">
        <f>IFERROR(SUMPRODUCT(1*(EXACT(UO_List[[#This Row],[Id_UO]],CATALOGUE[Id_WU]))*CATALOGUE[Global_Workload_PM_(d)]*UO_List[[#This Row],[Facteur]]),"")</f>
        <v>11.04</v>
      </c>
      <c r="BR14" s="286">
        <f>UO_List[[#This Row],[Jours GP]]/jours_an</f>
        <v>5.1111111111111107E-2</v>
      </c>
      <c r="BS14" s="72">
        <f>IFERROR(SUMPRODUCT(1*(EXACT(UO_List[[#This Row],[Id_UO]],CATALOGUE[Id_WU]))*CATALOGUE[Global_Workload_Tech_(d)]*UO_List[[#This Row],[Facteur]]),"")</f>
        <v>62.559999999999995</v>
      </c>
      <c r="BT14" s="286">
        <f>UO_List[[#This Row],[Jours Tech]]/jours_an</f>
        <v>0.28962962962962963</v>
      </c>
      <c r="BU14" s="72">
        <f>UO_List[[#This Row],[Jours GP]]+UO_List[[#This Row],[Jours Tech]]</f>
        <v>73.599999999999994</v>
      </c>
      <c r="BV14" s="286">
        <f>UO_List[[#This Row],[ETP GP]]+UO_List[[#This Row],[ETP Tech]]</f>
        <v>0.34074074074074073</v>
      </c>
      <c r="BW14" s="73" t="s">
        <v>209</v>
      </c>
      <c r="BX14" s="515" t="s">
        <v>203</v>
      </c>
      <c r="BY14" s="462">
        <f>IF(UO_List[[#This Row],[Budget Revue]]="x",UO_List[[#This Row],[Montant TOTAL]],0)</f>
        <v>40480</v>
      </c>
      <c r="BZ14" s="80">
        <f>IF(UO_List[[#This Row],[Budget Revue]]="x",UO_List[[#This Row],[Jours Tech]],0)</f>
        <v>62.559999999999995</v>
      </c>
      <c r="CA14" s="80">
        <f>IF(UO_List[[#This Row],[Budget Revue]]="x",UO_List[[#This Row],[Jours GP]],0)</f>
        <v>11.04</v>
      </c>
      <c r="CB14" s="516">
        <f>IF(AND(UO_List[[#This Row],[Budget Revue]]="x",$BK14&lt;&gt;"",$BL14&lt;&gt;"",YEAR(BB$3)=YEAR($BK14),MONTH(BB$3)&gt;=MONTH($BK14),MONTH(BB$3)&lt;=MONTH($BL14)),$BS14/(MONTH($BL14)-MONTH($BK14)+1),"")</f>
        <v>20.853333333333332</v>
      </c>
      <c r="CC14" s="80">
        <f>IF(AND(UO_List[[#This Row],[Budget Revue]]="x",$BK14&lt;&gt;"",$BL14&lt;&gt;"",YEAR(BC$3)=YEAR($BK14),MONTH(BC$3)&gt;=MONTH($BK14),MONTH(BC$3)&lt;=MONTH($BL14)),$BS14/(MONTH($BL14)-MONTH($BK14)+1),"")</f>
        <v>20.853333333333332</v>
      </c>
      <c r="CD14" s="80">
        <f>IF(AND(UO_List[[#This Row],[Budget Revue]]="x",$BK14&lt;&gt;"",$BL14&lt;&gt;"",YEAR(BD$3)=YEAR($BK14),MONTH(BD$3)&gt;=MONTH($BK14),MONTH(BD$3)&lt;=MONTH($BL14)),$BS14/(MONTH($BL14)-MONTH($BK14)+1),"")</f>
        <v>20.853333333333332</v>
      </c>
      <c r="CE14" s="80" t="str">
        <f>IF(AND(UO_List[[#This Row],[Budget Revue]]="x",$BK14&lt;&gt;"",$BL14&lt;&gt;"",YEAR(BE$3)=YEAR($BK14),MONTH(BE$3)&gt;=MONTH($BK14),MONTH(BE$3)&lt;=MONTH($BL14)),$BS14/(MONTH($BL14)-MONTH($BK14)+1),"")</f>
        <v/>
      </c>
      <c r="CF14" s="80" t="str">
        <f>IF(AND(UO_List[[#This Row],[Budget Revue]]="x",$BK14&lt;&gt;"",$BL14&lt;&gt;"",YEAR(BF$3)=YEAR($BK14),MONTH(BF$3)&gt;=MONTH($BK14),MONTH(BF$3)&lt;=MONTH($BL14)),$BS14/(MONTH($BL14)-MONTH($BK14)+1),"")</f>
        <v/>
      </c>
      <c r="CG14" s="80" t="str">
        <f>IF(AND(UO_List[[#This Row],[Budget Revue]]="x",$BK14&lt;&gt;"",$BL14&lt;&gt;"",YEAR(BG$3)=YEAR($BK14),MONTH(BG$3)&gt;=MONTH($BK14),MONTH(BG$3)&lt;=MONTH($BL14)),$BS14/(MONTH($BL14)-MONTH($BK14)+1),"")</f>
        <v/>
      </c>
      <c r="CH14" s="80" t="str">
        <f>IF(AND(UO_List[[#This Row],[Budget Revue]]="x",$BK14&lt;&gt;"",$BL14&lt;&gt;"",YEAR(BH$3)=YEAR($BK14),MONTH(BH$3)&gt;=MONTH($BK14),MONTH(BH$3)&lt;=MONTH($BL14)),$BS14/(MONTH($BL14)-MONTH($BK14)+1),"")</f>
        <v/>
      </c>
      <c r="CI14" s="80" t="str">
        <f>IF(AND(UO_List[[#This Row],[Budget Revue]]="x",$BK14&lt;&gt;"",$BL14&lt;&gt;"",YEAR(BI$3)=YEAR($BK14),MONTH(BI$3)&gt;=MONTH($BK14),MONTH(BI$3)&lt;=MONTH($BL14)),$BS14/(MONTH($BL14)-MONTH($BK14)+1),"")</f>
        <v/>
      </c>
      <c r="CJ14" s="80" t="str">
        <f>IF(AND(UO_List[[#This Row],[Budget Revue]]="x",$BK14&lt;&gt;"",$BL14&lt;&gt;"",YEAR(BJ$3)=YEAR($BK14),MONTH(BJ$3)&gt;=MONTH($BK14),MONTH(BJ$3)&lt;=MONTH($BL14)),$BS14/(MONTH($BL14)-MONTH($BK14)+1),"")</f>
        <v/>
      </c>
      <c r="CK14" s="80" t="str">
        <f>IF(AND(UO_List[[#This Row],[Budget Revue]]="x",$BK14&lt;&gt;"",$BL14&lt;&gt;"",YEAR(BK$3)=YEAR($BK14),MONTH(BK$3)&gt;=MONTH($BK14),MONTH(BK$3)&lt;=MONTH($BL14)),$BS14/(MONTH($BL14)-MONTH($BK14)+1),"")</f>
        <v/>
      </c>
      <c r="CL14" s="80" t="str">
        <f>IF(AND(UO_List[[#This Row],[Budget Revue]]="x",$BK14&lt;&gt;"",$BL14&lt;&gt;"",YEAR(BL$3)=YEAR($BK14),MONTH(BL$3)&gt;=MONTH($BK14),MONTH(BL$3)&lt;=MONTH($BL14)),$BS14/(MONTH($BL14)-MONTH($BK14)+1),"")</f>
        <v/>
      </c>
      <c r="CM14" s="80" t="str">
        <f>IF(AND(UO_List[[#This Row],[Budget Revue]]="x",$BK14&lt;&gt;"",$BL14&lt;&gt;"",YEAR(BM$3)=YEAR($BK14),MONTH(BM$3)&gt;=MONTH($BK14),MONTH(BM$3)&lt;=MONTH($BL14)),$BS14/(MONTH($BL14)-MONTH($BK14)+1),"")</f>
        <v/>
      </c>
      <c r="CN14" s="75">
        <f>IF(UO_List[[#This Row],[Budget Revue]]="x",SUM(UO_List[[#This Row],[JANVIER]:[DECEMBRE]])-UO_List[[#This Row],[Jours Tech]],"")</f>
        <v>0</v>
      </c>
      <c r="CO14" s="348">
        <f>IF(AND(UO_List[[#This Row],[Budget Revue]]="x",$BK14&lt;&gt;"",$BL14&lt;&gt;"",YEAR(BO$3)=YEAR($BK14),MONTH(BO$3)&gt;=MONTH($BK14),MONTH(BO$3)&lt;=MONTH($BL14)),UO_List[[#This Row],[Montant TOTAL]]/(MONTH($BL14)-MONTH($BK14)+1),"")</f>
        <v>13493.333333333334</v>
      </c>
      <c r="CP14" s="348">
        <f>IF(AND(UO_List[[#This Row],[Budget Revue]]="x",$BK14&lt;&gt;"",$BL14&lt;&gt;"",YEAR(BP$3)=YEAR($BK14),MONTH(BP$3)&gt;=MONTH($BK14),MONTH(BP$3)&lt;=MONTH($BL14)),UO_List[[#This Row],[Montant TOTAL]]/(MONTH($BL14)-MONTH($BK14)+1),"")</f>
        <v>13493.333333333334</v>
      </c>
      <c r="CQ14" s="348">
        <f>IF(AND(UO_List[[#This Row],[Budget Revue]]="x",$BK14&lt;&gt;"",$BL14&lt;&gt;"",YEAR(BQ$3)=YEAR($BK14),MONTH(BQ$3)&gt;=MONTH($BK14),MONTH(BQ$3)&lt;=MONTH($BL14)),UO_List[[#This Row],[Montant TOTAL]]/(MONTH($BL14)-MONTH($BK14)+1),"")</f>
        <v>13493.333333333334</v>
      </c>
      <c r="CR14" s="348" t="str">
        <f>IF(AND(UO_List[[#This Row],[Budget Revue]]="x",$BK14&lt;&gt;"",$BL14&lt;&gt;"",YEAR(BR$3)=YEAR($BK14),MONTH(BR$3)&gt;=MONTH($BK14),MONTH(BR$3)&lt;=MONTH($BL14)),UO_List[[#This Row],[Montant TOTAL]]/(MONTH($BL14)-MONTH($BK14)+1),"")</f>
        <v/>
      </c>
      <c r="CS14" s="348" t="str">
        <f>IF(AND(UO_List[[#This Row],[Budget Revue]]="x",$BK14&lt;&gt;"",$BL14&lt;&gt;"",YEAR(BS$3)=YEAR($BK14),MONTH(BS$3)&gt;=MONTH($BK14),MONTH(BS$3)&lt;=MONTH($BL14)),UO_List[[#This Row],[Montant TOTAL]]/(MONTH($BL14)-MONTH($BK14)+1),"")</f>
        <v/>
      </c>
      <c r="CT14" s="348" t="str">
        <f>IF(AND(UO_List[[#This Row],[Budget Revue]]="x",$BK14&lt;&gt;"",$BL14&lt;&gt;"",YEAR(BT$3)=YEAR($BK14),MONTH(BT$3)&gt;=MONTH($BK14),MONTH(BT$3)&lt;=MONTH($BL14)),UO_List[[#This Row],[Montant TOTAL]]/(MONTH($BL14)-MONTH($BK14)+1),"")</f>
        <v/>
      </c>
      <c r="CU14" s="348" t="str">
        <f>IF(AND(UO_List[[#This Row],[Budget Revue]]="x",$BK14&lt;&gt;"",$BL14&lt;&gt;"",YEAR(BU$3)=YEAR($BK14),MONTH(BU$3)&gt;=MONTH($BK14),MONTH(BU$3)&lt;=MONTH($BL14)),UO_List[[#This Row],[Montant TOTAL]]/(MONTH($BL14)-MONTH($BK14)+1),"")</f>
        <v/>
      </c>
      <c r="CV14" s="348" t="str">
        <f>IF(AND(UO_List[[#This Row],[Budget Revue]]="x",$BK14&lt;&gt;"",$BL14&lt;&gt;"",YEAR(BV$3)=YEAR($BK14),MONTH(BV$3)&gt;=MONTH($BK14),MONTH(BV$3)&lt;=MONTH($BL14)),UO_List[[#This Row],[Montant TOTAL]]/(MONTH($BL14)-MONTH($BK14)+1),"")</f>
        <v/>
      </c>
      <c r="CW14" s="348" t="str">
        <f>IF(AND(UO_List[[#This Row],[Budget Revue]]="x",$BK14&lt;&gt;"",$BL14&lt;&gt;"",YEAR(BW$3)=YEAR($BK14),MONTH(BW$3)&gt;=MONTH($BK14),MONTH(BW$3)&lt;=MONTH($BL14)),UO_List[[#This Row],[Montant TOTAL]]/(MONTH($BL14)-MONTH($BK14)+1),"")</f>
        <v/>
      </c>
      <c r="CX14" s="348" t="str">
        <f>IF(AND(UO_List[[#This Row],[Budget Revue]]="x",$BK14&lt;&gt;"",$BL14&lt;&gt;"",YEAR(BX$3)=YEAR($BK14),MONTH(BX$3)&gt;=MONTH($BK14),MONTH(BX$3)&lt;=MONTH($BL14)),UO_List[[#This Row],[Montant TOTAL]]/(MONTH($BL14)-MONTH($BK14)+1),"")</f>
        <v/>
      </c>
      <c r="CY14" s="348" t="str">
        <f>IF(AND(UO_List[[#This Row],[Budget Revue]]="x",$BK14&lt;&gt;"",$BL14&lt;&gt;"",YEAR(BY$3)=YEAR($BK14),MONTH(BY$3)&gt;=MONTH($BK14),MONTH(BY$3)&lt;=MONTH($BL14)),UO_List[[#This Row],[Montant TOTAL]]/(MONTH($BL14)-MONTH($BK14)+1),"")</f>
        <v/>
      </c>
      <c r="CZ14" s="348" t="str">
        <f>IF(AND(UO_List[[#This Row],[Budget Revue]]="x",$BK14&lt;&gt;"",$BL14&lt;&gt;"",YEAR(BY$3)=YEAR($BK14),MONTH(BY$3)&gt;=MONTH($BK14),MONTH(BY$3)&lt;=MONTH($BL14)),UO_List[[#This Row],[Montant TOTAL]]/(MONTH($BL14)-MONTH($BK14)+1),"")</f>
        <v/>
      </c>
      <c r="DA14" s="348">
        <f>IF(UO_List[[#This Row],[Budget Revue]]="x",SUM(UO_List[[#This Row],[JANVIER2]:[DECEMBRE2]])-UO_List[Montant TOTAL],"")</f>
        <v>0</v>
      </c>
      <c r="DB14" s="517">
        <v>1</v>
      </c>
      <c r="DC14" s="83"/>
      <c r="DD14" s="83"/>
      <c r="DE14" s="83"/>
      <c r="DF14" s="83"/>
      <c r="DG14" s="83"/>
      <c r="DH14" s="83"/>
      <c r="DI14" s="83"/>
      <c r="DJ14" s="83"/>
      <c r="DK14" s="83"/>
      <c r="DL14" s="83"/>
      <c r="DM14" s="83"/>
      <c r="DN14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14" s="76">
        <f>IFERROR(UO_List[[#This Row],[Line Total]]-UO_List[[#This Row],[Montant total réceptionné]],"")</f>
        <v>30360</v>
      </c>
      <c r="DP14" s="76">
        <f>IFERROR(UO_List[[#This Row],[Total item réceptionné]]*UO_List[[#This Row],[Unit Price (calcul)]],0)</f>
        <v>10120</v>
      </c>
      <c r="DQ14" s="76">
        <f>UO_List[[#This Row],[Facteur]]-UO_List[[#This Row],[Total item réceptionné]]</f>
        <v>3</v>
      </c>
      <c r="DR14" s="77"/>
      <c r="DS14" s="77"/>
      <c r="DT14" s="158"/>
      <c r="DU14" s="77"/>
    </row>
    <row r="15" spans="14:125" s="74" customFormat="1">
      <c r="AA15" s="192" t="str">
        <f>IFERROR(VLOOKUP(UO_List[[#This Row],[Unique_AIB_ID]],Tableau1[[Unique_AIB_ID]:[Building / Room]],2,FALSE),"")</f>
        <v>C000498080</v>
      </c>
      <c r="AB15" s="189">
        <f>IFERROR(VLOOKUP(UO_List[[#This Row],[Unique_AIB_ID]],UO_Contract!A14:V203,3,TRUE),"")</f>
        <v>0</v>
      </c>
      <c r="AC15" s="188" t="str">
        <f>IFERROR(VLOOKUP(UO_List[[#This Row],[Unique_AIB_ID]],Tableau1[[Unique_AIB_ID]:[Building / Room]],4,FALSE),"")</f>
        <v>WPA - SII - PJOP - Airbus - WD1701094 - Flight and Integration Test CT1705359</v>
      </c>
      <c r="AD15" s="189">
        <f>IFERROR(VLOOKUP(UO_List[[#This Row],[Unique_AIB_ID]],Tableau1[[Unique_AIB_ID]:[Building / Room]],5,FALSE),"")</f>
        <v>0</v>
      </c>
      <c r="AE15" s="189">
        <f>IFERROR(VLOOKUP(UO_List[[#This Row],[Unique_AIB_ID]],Tableau1[[Unique_AIB_ID]:[Building / Room]],6,FALSE),"")</f>
        <v>6</v>
      </c>
      <c r="AF15" s="189" t="str">
        <f>IFERROR(VLOOKUP(UO_List[[#This Row],[Unique_AIB_ID]],Tableau1[[Unique_AIB_ID]:[Building / Room]],7,FALSE),"")</f>
        <v>2 Each of WU_PROP_STD[PJE_SII_EVYP_USD_AIRBUS_FR]</v>
      </c>
      <c r="AG15" s="189">
        <f>IFERROR(VLOOKUP(UO_List[[#This Row],[Unique_AIB_ID]],Tableau1[[Unique_AIB_ID]:[Building / Room]],8,FALSE),"")</f>
        <v>2</v>
      </c>
      <c r="AH15" s="190">
        <f>IFERROR(VALUE(VLOOKUP(UO_List[[#This Row],[Unique_AIB_ID]],Tableau1[[Unique_AIB_ID]:[Building / Room]],9,FALSE)),"")</f>
        <v>20240</v>
      </c>
      <c r="AI15" s="189">
        <f>IFERROR(VLOOKUP(UO_List[[#This Row],[Unique_AIB_ID]],Tableau1[[Unique_AIB_ID]:[Building / Room]],10,TRUE),"")</f>
        <v>0</v>
      </c>
      <c r="AJ15" s="191">
        <f>IFERROR(VLOOKUP(UO_List[[#This Row],[Unique_AIB_ID]],Tableau1[[Unique_AIB_ID]:[Building / Room]],11,FALSE),"")</f>
        <v>0</v>
      </c>
      <c r="AK15" s="189">
        <f>IFERROR(VLOOKUP(UO_List[[#This Row],[Unique_AIB_ID]],Tableau1[[Unique_AIB_ID]:[Building / Room]],12,FALSE),"")</f>
        <v>0</v>
      </c>
      <c r="AL15" s="189">
        <f>IFERROR(VLOOKUP(UO_List[[#This Row],[Unique_AIB_ID]],Tableau1[[Unique_AIB_ID]:[Building / Room]],13,FALSE),"")</f>
        <v>0</v>
      </c>
      <c r="AM15" s="183">
        <f>IFERROR(VLOOKUP(UO_List[[#This Row],[Unique_AIB_ID]],Tableau1[[Unique_AIB_ID]:[Building / Room]],14,FALSE),"")</f>
        <v>0</v>
      </c>
      <c r="AN15" s="183">
        <f>IFERROR(VLOOKUP(UO_List[[#This Row],[Unique_AIB_ID]],Tableau1[[Unique_AIB_ID]:[Building / Room]],15,FALSE),"")</f>
        <v>0</v>
      </c>
      <c r="AO15" s="183">
        <f>IFERROR(VLOOKUP(UO_List[[#This Row],[Unique_AIB_ID]],Tableau1[[Unique_AIB_ID]:[Building / Room]],16,FALSE),"")</f>
        <v>0</v>
      </c>
      <c r="AP15" s="183" t="str">
        <f>IFERROR(VLOOKUP(UO_List[[#This Row],[Unique_AIB_ID]],Tableau1[[Unique_AIB_ID]:[Building / Room]],17,FALSE),"")</f>
        <v>0</v>
      </c>
      <c r="AQ15" s="183">
        <f>IFERROR(VLOOKUP(UO_List[[#This Row],[Unique_AIB_ID]],Tableau1[[Unique_AIB_ID]:[Building / Room]],18,FALSE),"")</f>
        <v>0</v>
      </c>
      <c r="AR15" s="183" t="str">
        <f>IFERROR(VLOOKUP(UO_List[[#This Row],[Unique_AIB_ID]],Tableau1[[Unique_AIB_ID]:[Building / Room]],19,FALSE),"")</f>
        <v>03/25/20</v>
      </c>
      <c r="AS15" s="183">
        <f>IFERROR(VLOOKUP(UO_List[[#This Row],[Unique_AIB_ID]],Tableau1[[Unique_AIB_ID]:[Building / Room]],20,FALSE),"")</f>
        <v>0</v>
      </c>
      <c r="AT15" s="183">
        <f>IFERROR(VLOOKUP(UO_List[[#This Row],[Unique_AIB_ID]],Tableau1[[Unique_AIB_ID]:[Building / Room]],21,FALSE),"")</f>
        <v>0</v>
      </c>
      <c r="AU15" s="183" t="str">
        <f>IFERROR(VLOOKUP(UO_List[[#This Row],[Unique_AIB_ID]],Tableau1[[Unique_AIB_ID]:[Building / Room]],22,FALSE),"")</f>
        <v>M24 / B032</v>
      </c>
      <c r="AV15" s="167" t="str">
        <f>IFERROR(VLOOKUP(UO_List[[#This Row],[Unique_AIB_ID]],Tableau1[[Unique_AIB_ID]:[Currency]],23,FALSE),"")</f>
        <v>Q 1 / E-FanX FT prepa</v>
      </c>
      <c r="AW15" s="167">
        <f>IFERROR(IF(ISBLANK(UO_List[[#This Row],[PO Number (Header)]]),"",UO_List[[#This Row],[Line Total]]/UO_List[[#This Row],[Total Item Quantity]]),"")</f>
        <v>10120</v>
      </c>
      <c r="AX15" s="498" t="s">
        <v>869</v>
      </c>
      <c r="AY15" s="167"/>
      <c r="AZ15" s="78" t="s">
        <v>844</v>
      </c>
      <c r="BA15" s="78"/>
      <c r="BB15" s="78"/>
      <c r="BC15" s="78" t="s">
        <v>695</v>
      </c>
      <c r="BD15" s="70" t="s">
        <v>687</v>
      </c>
      <c r="BE15" s="78" t="s">
        <v>687</v>
      </c>
      <c r="BF15" s="78" t="s">
        <v>197</v>
      </c>
      <c r="BG15" s="78"/>
      <c r="BH15" s="78" t="s">
        <v>840</v>
      </c>
      <c r="BI15" s="78"/>
      <c r="BJ15" s="79"/>
      <c r="BK15" s="79">
        <v>43831</v>
      </c>
      <c r="BL15" s="79">
        <v>43921</v>
      </c>
      <c r="BM15" s="71">
        <v>2</v>
      </c>
      <c r="BN15" s="71">
        <f>IFERROR(UO_List[[#This Row],[Total Item Quantity]]-UO_List[[#This Row],[Facteur]],"")</f>
        <v>0</v>
      </c>
      <c r="BO15" s="349">
        <f>IFERROR(IF(ISBLANK(UO_List[[#This Row],[Id_UO]]),"",SUMPRODUCT(1*(EXACT(UO_List[[#This Row],[Id_UO]],CATALOGUE[Id_WU]))*CATALOGUE[Price $])),"")</f>
        <v>10120</v>
      </c>
      <c r="BP15" s="350">
        <f>IFERROR(UO_List[[#This Row],[Prix unitaire]]*UO_List[[#This Row],[Facteur]],"")</f>
        <v>20240</v>
      </c>
      <c r="BQ15" s="100">
        <f>IFERROR(SUMPRODUCT(1*(EXACT(UO_List[[#This Row],[Id_UO]],CATALOGUE[Id_WU]))*CATALOGUE[Global_Workload_PM_(d)]*UO_List[[#This Row],[Facteur]]),"")</f>
        <v>5.52</v>
      </c>
      <c r="BR15" s="286">
        <f>UO_List[[#This Row],[Jours GP]]/jours_an</f>
        <v>2.5555555555555554E-2</v>
      </c>
      <c r="BS15" s="72">
        <f>IFERROR(SUMPRODUCT(1*(EXACT(UO_List[[#This Row],[Id_UO]],CATALOGUE[Id_WU]))*CATALOGUE[Global_Workload_Tech_(d)]*UO_List[[#This Row],[Facteur]]),"")</f>
        <v>31.279999999999998</v>
      </c>
      <c r="BT15" s="286">
        <f>UO_List[[#This Row],[Jours Tech]]/jours_an</f>
        <v>0.14481481481481481</v>
      </c>
      <c r="BU15" s="72">
        <f>UO_List[[#This Row],[Jours GP]]+UO_List[[#This Row],[Jours Tech]]</f>
        <v>36.799999999999997</v>
      </c>
      <c r="BV15" s="286">
        <f>UO_List[[#This Row],[ETP GP]]+UO_List[[#This Row],[ETP Tech]]</f>
        <v>0.17037037037037037</v>
      </c>
      <c r="BW15" s="73" t="s">
        <v>209</v>
      </c>
      <c r="BX15" s="515" t="s">
        <v>203</v>
      </c>
      <c r="BY15" s="462">
        <f>IF(UO_List[[#This Row],[Budget Revue]]="x",UO_List[[#This Row],[Montant TOTAL]],0)</f>
        <v>20240</v>
      </c>
      <c r="BZ15" s="80">
        <f>IF(UO_List[[#This Row],[Budget Revue]]="x",UO_List[[#This Row],[Jours Tech]],0)</f>
        <v>31.279999999999998</v>
      </c>
      <c r="CA15" s="80">
        <f>IF(UO_List[[#This Row],[Budget Revue]]="x",UO_List[[#This Row],[Jours GP]],0)</f>
        <v>5.52</v>
      </c>
      <c r="CB15" s="516">
        <f>IF(AND(UO_List[[#This Row],[Budget Revue]]="x",$BK15&lt;&gt;"",$BL15&lt;&gt;"",YEAR(BB$3)=YEAR($BK15),MONTH(BB$3)&gt;=MONTH($BK15),MONTH(BB$3)&lt;=MONTH($BL15)),$BS15/(MONTH($BL15)-MONTH($BK15)+1),"")</f>
        <v>10.426666666666666</v>
      </c>
      <c r="CC15" s="80">
        <f>IF(AND(UO_List[[#This Row],[Budget Revue]]="x",$BK15&lt;&gt;"",$BL15&lt;&gt;"",YEAR(BC$3)=YEAR($BK15),MONTH(BC$3)&gt;=MONTH($BK15),MONTH(BC$3)&lt;=MONTH($BL15)),$BS15/(MONTH($BL15)-MONTH($BK15)+1),"")</f>
        <v>10.426666666666666</v>
      </c>
      <c r="CD15" s="80">
        <f>IF(AND(UO_List[[#This Row],[Budget Revue]]="x",$BK15&lt;&gt;"",$BL15&lt;&gt;"",YEAR(BD$3)=YEAR($BK15),MONTH(BD$3)&gt;=MONTH($BK15),MONTH(BD$3)&lt;=MONTH($BL15)),$BS15/(MONTH($BL15)-MONTH($BK15)+1),"")</f>
        <v>10.426666666666666</v>
      </c>
      <c r="CE15" s="80" t="str">
        <f>IF(AND(UO_List[[#This Row],[Budget Revue]]="x",$BK15&lt;&gt;"",$BL15&lt;&gt;"",YEAR(BE$3)=YEAR($BK15),MONTH(BE$3)&gt;=MONTH($BK15),MONTH(BE$3)&lt;=MONTH($BL15)),$BS15/(MONTH($BL15)-MONTH($BK15)+1),"")</f>
        <v/>
      </c>
      <c r="CF15" s="80" t="str">
        <f>IF(AND(UO_List[[#This Row],[Budget Revue]]="x",$BK15&lt;&gt;"",$BL15&lt;&gt;"",YEAR(BF$3)=YEAR($BK15),MONTH(BF$3)&gt;=MONTH($BK15),MONTH(BF$3)&lt;=MONTH($BL15)),$BS15/(MONTH($BL15)-MONTH($BK15)+1),"")</f>
        <v/>
      </c>
      <c r="CG15" s="80" t="str">
        <f>IF(AND(UO_List[[#This Row],[Budget Revue]]="x",$BK15&lt;&gt;"",$BL15&lt;&gt;"",YEAR(BG$3)=YEAR($BK15),MONTH(BG$3)&gt;=MONTH($BK15),MONTH(BG$3)&lt;=MONTH($BL15)),$BS15/(MONTH($BL15)-MONTH($BK15)+1),"")</f>
        <v/>
      </c>
      <c r="CH15" s="80" t="str">
        <f>IF(AND(UO_List[[#This Row],[Budget Revue]]="x",$BK15&lt;&gt;"",$BL15&lt;&gt;"",YEAR(BH$3)=YEAR($BK15),MONTH(BH$3)&gt;=MONTH($BK15),MONTH(BH$3)&lt;=MONTH($BL15)),$BS15/(MONTH($BL15)-MONTH($BK15)+1),"")</f>
        <v/>
      </c>
      <c r="CI15" s="80" t="str">
        <f>IF(AND(UO_List[[#This Row],[Budget Revue]]="x",$BK15&lt;&gt;"",$BL15&lt;&gt;"",YEAR(BI$3)=YEAR($BK15),MONTH(BI$3)&gt;=MONTH($BK15),MONTH(BI$3)&lt;=MONTH($BL15)),$BS15/(MONTH($BL15)-MONTH($BK15)+1),"")</f>
        <v/>
      </c>
      <c r="CJ15" s="80" t="str">
        <f>IF(AND(UO_List[[#This Row],[Budget Revue]]="x",$BK15&lt;&gt;"",$BL15&lt;&gt;"",YEAR(BJ$3)=YEAR($BK15),MONTH(BJ$3)&gt;=MONTH($BK15),MONTH(BJ$3)&lt;=MONTH($BL15)),$BS15/(MONTH($BL15)-MONTH($BK15)+1),"")</f>
        <v/>
      </c>
      <c r="CK15" s="80" t="str">
        <f>IF(AND(UO_List[[#This Row],[Budget Revue]]="x",$BK15&lt;&gt;"",$BL15&lt;&gt;"",YEAR(BK$3)=YEAR($BK15),MONTH(BK$3)&gt;=MONTH($BK15),MONTH(BK$3)&lt;=MONTH($BL15)),$BS15/(MONTH($BL15)-MONTH($BK15)+1),"")</f>
        <v/>
      </c>
      <c r="CL15" s="80" t="str">
        <f>IF(AND(UO_List[[#This Row],[Budget Revue]]="x",$BK15&lt;&gt;"",$BL15&lt;&gt;"",YEAR(BL$3)=YEAR($BK15),MONTH(BL$3)&gt;=MONTH($BK15),MONTH(BL$3)&lt;=MONTH($BL15)),$BS15/(MONTH($BL15)-MONTH($BK15)+1),"")</f>
        <v/>
      </c>
      <c r="CM15" s="80" t="str">
        <f>IF(AND(UO_List[[#This Row],[Budget Revue]]="x",$BK15&lt;&gt;"",$BL15&lt;&gt;"",YEAR(BM$3)=YEAR($BK15),MONTH(BM$3)&gt;=MONTH($BK15),MONTH(BM$3)&lt;=MONTH($BL15)),$BS15/(MONTH($BL15)-MONTH($BK15)+1),"")</f>
        <v/>
      </c>
      <c r="CN15" s="75">
        <f>IF(UO_List[[#This Row],[Budget Revue]]="x",SUM(UO_List[[#This Row],[JANVIER]:[DECEMBRE]])-UO_List[[#This Row],[Jours Tech]],"")</f>
        <v>0</v>
      </c>
      <c r="CO15" s="348">
        <f>IF(AND(UO_List[[#This Row],[Budget Revue]]="x",$BK15&lt;&gt;"",$BL15&lt;&gt;"",YEAR(BO$3)=YEAR($BK15),MONTH(BO$3)&gt;=MONTH($BK15),MONTH(BO$3)&lt;=MONTH($BL15)),UO_List[[#This Row],[Montant TOTAL]]/(MONTH($BL15)-MONTH($BK15)+1),"")</f>
        <v>6746.666666666667</v>
      </c>
      <c r="CP15" s="348">
        <f>IF(AND(UO_List[[#This Row],[Budget Revue]]="x",$BK15&lt;&gt;"",$BL15&lt;&gt;"",YEAR(BP$3)=YEAR($BK15),MONTH(BP$3)&gt;=MONTH($BK15),MONTH(BP$3)&lt;=MONTH($BL15)),UO_List[[#This Row],[Montant TOTAL]]/(MONTH($BL15)-MONTH($BK15)+1),"")</f>
        <v>6746.666666666667</v>
      </c>
      <c r="CQ15" s="348">
        <f>IF(AND(UO_List[[#This Row],[Budget Revue]]="x",$BK15&lt;&gt;"",$BL15&lt;&gt;"",YEAR(BQ$3)=YEAR($BK15),MONTH(BQ$3)&gt;=MONTH($BK15),MONTH(BQ$3)&lt;=MONTH($BL15)),UO_List[[#This Row],[Montant TOTAL]]/(MONTH($BL15)-MONTH($BK15)+1),"")</f>
        <v>6746.666666666667</v>
      </c>
      <c r="CR15" s="348" t="str">
        <f>IF(AND(UO_List[[#This Row],[Budget Revue]]="x",$BK15&lt;&gt;"",$BL15&lt;&gt;"",YEAR(BR$3)=YEAR($BK15),MONTH(BR$3)&gt;=MONTH($BK15),MONTH(BR$3)&lt;=MONTH($BL15)),UO_List[[#This Row],[Montant TOTAL]]/(MONTH($BL15)-MONTH($BK15)+1),"")</f>
        <v/>
      </c>
      <c r="CS15" s="348" t="str">
        <f>IF(AND(UO_List[[#This Row],[Budget Revue]]="x",$BK15&lt;&gt;"",$BL15&lt;&gt;"",YEAR(BS$3)=YEAR($BK15),MONTH(BS$3)&gt;=MONTH($BK15),MONTH(BS$3)&lt;=MONTH($BL15)),UO_List[[#This Row],[Montant TOTAL]]/(MONTH($BL15)-MONTH($BK15)+1),"")</f>
        <v/>
      </c>
      <c r="CT15" s="348" t="str">
        <f>IF(AND(UO_List[[#This Row],[Budget Revue]]="x",$BK15&lt;&gt;"",$BL15&lt;&gt;"",YEAR(BT$3)=YEAR($BK15),MONTH(BT$3)&gt;=MONTH($BK15),MONTH(BT$3)&lt;=MONTH($BL15)),UO_List[[#This Row],[Montant TOTAL]]/(MONTH($BL15)-MONTH($BK15)+1),"")</f>
        <v/>
      </c>
      <c r="CU15" s="348" t="str">
        <f>IF(AND(UO_List[[#This Row],[Budget Revue]]="x",$BK15&lt;&gt;"",$BL15&lt;&gt;"",YEAR(BU$3)=YEAR($BK15),MONTH(BU$3)&gt;=MONTH($BK15),MONTH(BU$3)&lt;=MONTH($BL15)),UO_List[[#This Row],[Montant TOTAL]]/(MONTH($BL15)-MONTH($BK15)+1),"")</f>
        <v/>
      </c>
      <c r="CV15" s="348" t="str">
        <f>IF(AND(UO_List[[#This Row],[Budget Revue]]="x",$BK15&lt;&gt;"",$BL15&lt;&gt;"",YEAR(BV$3)=YEAR($BK15),MONTH(BV$3)&gt;=MONTH($BK15),MONTH(BV$3)&lt;=MONTH($BL15)),UO_List[[#This Row],[Montant TOTAL]]/(MONTH($BL15)-MONTH($BK15)+1),"")</f>
        <v/>
      </c>
      <c r="CW15" s="348" t="str">
        <f>IF(AND(UO_List[[#This Row],[Budget Revue]]="x",$BK15&lt;&gt;"",$BL15&lt;&gt;"",YEAR(BW$3)=YEAR($BK15),MONTH(BW$3)&gt;=MONTH($BK15),MONTH(BW$3)&lt;=MONTH($BL15)),UO_List[[#This Row],[Montant TOTAL]]/(MONTH($BL15)-MONTH($BK15)+1),"")</f>
        <v/>
      </c>
      <c r="CX15" s="348" t="str">
        <f>IF(AND(UO_List[[#This Row],[Budget Revue]]="x",$BK15&lt;&gt;"",$BL15&lt;&gt;"",YEAR(BX$3)=YEAR($BK15),MONTH(BX$3)&gt;=MONTH($BK15),MONTH(BX$3)&lt;=MONTH($BL15)),UO_List[[#This Row],[Montant TOTAL]]/(MONTH($BL15)-MONTH($BK15)+1),"")</f>
        <v/>
      </c>
      <c r="CY15" s="348" t="str">
        <f>IF(AND(UO_List[[#This Row],[Budget Revue]]="x",$BK15&lt;&gt;"",$BL15&lt;&gt;"",YEAR(BY$3)=YEAR($BK15),MONTH(BY$3)&gt;=MONTH($BK15),MONTH(BY$3)&lt;=MONTH($BL15)),UO_List[[#This Row],[Montant TOTAL]]/(MONTH($BL15)-MONTH($BK15)+1),"")</f>
        <v/>
      </c>
      <c r="CZ15" s="348" t="str">
        <f>IF(AND(UO_List[[#This Row],[Budget Revue]]="x",$BK15&lt;&gt;"",$BL15&lt;&gt;"",YEAR(BY$3)=YEAR($BK15),MONTH(BY$3)&gt;=MONTH($BK15),MONTH(BY$3)&lt;=MONTH($BL15)),UO_List[[#This Row],[Montant TOTAL]]/(MONTH($BL15)-MONTH($BK15)+1),"")</f>
        <v/>
      </c>
      <c r="DA15" s="348">
        <f>IF(UO_List[[#This Row],[Budget Revue]]="x",SUM(UO_List[[#This Row],[JANVIER2]:[DECEMBRE2]])-UO_List[Montant TOTAL],"")</f>
        <v>0</v>
      </c>
      <c r="DB15" s="517">
        <v>1</v>
      </c>
      <c r="DC15" s="83"/>
      <c r="DD15" s="83"/>
      <c r="DE15" s="83"/>
      <c r="DF15" s="83"/>
      <c r="DG15" s="83"/>
      <c r="DH15" s="83"/>
      <c r="DI15" s="83"/>
      <c r="DJ15" s="83"/>
      <c r="DK15" s="83"/>
      <c r="DL15" s="83"/>
      <c r="DM15" s="83"/>
      <c r="DN15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15" s="76">
        <f>IFERROR(UO_List[[#This Row],[Line Total]]-UO_List[[#This Row],[Montant total réceptionné]],"")</f>
        <v>10120</v>
      </c>
      <c r="DP15" s="76">
        <f>IFERROR(UO_List[[#This Row],[Total item réceptionné]]*UO_List[[#This Row],[Unit Price (calcul)]],0)</f>
        <v>10120</v>
      </c>
      <c r="DQ15" s="76">
        <f>UO_List[[#This Row],[Facteur]]-UO_List[[#This Row],[Total item réceptionné]]</f>
        <v>1</v>
      </c>
      <c r="DR15" s="77"/>
      <c r="DS15" s="77"/>
      <c r="DT15" s="158"/>
      <c r="DU15" s="77"/>
    </row>
    <row r="16" spans="14:125" s="107" customFormat="1">
      <c r="AA16" s="188" t="str">
        <f>IFERROR(VLOOKUP(UO_List[[#This Row],[Unique_AIB_ID]],Tableau1[[Unique_AIB_ID]:[Building / Room]],2,FALSE),"")</f>
        <v>C000482017</v>
      </c>
      <c r="AB16" s="188">
        <f>IFERROR(VLOOKUP(UO_List[[#This Row],[Unique_AIB_ID]],UO_Contract!A19:V208,3,TRUE),"")</f>
        <v>0</v>
      </c>
      <c r="AC16" s="188" t="str">
        <f>IFERROR(VLOOKUP(UO_List[[#This Row],[Unique_AIB_ID]],Tableau1[[Unique_AIB_ID]:[Building / Room]],4,FALSE),"")</f>
        <v>WPA - SII - PJOP - Airbus - WD1701094 - Flight and Integration Test CT1705359</v>
      </c>
      <c r="AD16" s="188">
        <f>IFERROR(VLOOKUP(UO_List[[#This Row],[Unique_AIB_ID]],Tableau1[[Unique_AIB_ID]:[Building / Room]],5,FALSE),"")</f>
        <v>0</v>
      </c>
      <c r="AE16" s="188">
        <f>IFERROR(VLOOKUP(UO_List[[#This Row],[Unique_AIB_ID]],Tableau1[[Unique_AIB_ID]:[Building / Room]],6,FALSE),"")</f>
        <v>1</v>
      </c>
      <c r="AF16" s="188" t="str">
        <f>IFERROR(VLOOKUP(UO_List[[#This Row],[Unique_AIB_ID]],Tableau1[[Unique_AIB_ID]:[Building / Room]],7,FALSE),"")</f>
        <v>5 Each of WU_PROP_S[PJE_SII_EVYP_USD_AIRBUS_FR]</v>
      </c>
      <c r="AG16" s="188">
        <f>IFERROR(VLOOKUP(UO_List[[#This Row],[Unique_AIB_ID]],Tableau1[[Unique_AIB_ID]:[Building / Room]],8,FALSE),"")</f>
        <v>5</v>
      </c>
      <c r="AH16" s="190">
        <f>IFERROR(VALUE(VLOOKUP(UO_List[[#This Row],[Unique_AIB_ID]],Tableau1[[Unique_AIB_ID]:[Building / Room]],9,FALSE)),"")</f>
        <v>16800</v>
      </c>
      <c r="AI16" s="188">
        <f>IFERROR(VLOOKUP(UO_List[[#This Row],[Unique_AIB_ID]],Tableau1[[Unique_AIB_ID]:[Building / Room]],10,TRUE),"")</f>
        <v>0</v>
      </c>
      <c r="AJ16" s="188">
        <f>IFERROR(VLOOKUP(UO_List[[#This Row],[Unique_AIB_ID]],Tableau1[[Unique_AIB_ID]:[Building / Room]],11,FALSE),"")</f>
        <v>0</v>
      </c>
      <c r="AK16" s="188">
        <f>IFERROR(VLOOKUP(UO_List[[#This Row],[Unique_AIB_ID]],Tableau1[[Unique_AIB_ID]:[Building / Room]],12,FALSE),"")</f>
        <v>0</v>
      </c>
      <c r="AL16" s="188">
        <f>IFERROR(VLOOKUP(UO_List[[#This Row],[Unique_AIB_ID]],Tableau1[[Unique_AIB_ID]:[Building / Room]],13,FALSE),"")</f>
        <v>0</v>
      </c>
      <c r="AM16" s="182">
        <f>IFERROR(VLOOKUP(UO_List[[#This Row],[Unique_AIB_ID]],Tableau1[[Unique_AIB_ID]:[Building / Room]],14,FALSE),"")</f>
        <v>0</v>
      </c>
      <c r="AN16" s="182">
        <f>IFERROR(VLOOKUP(UO_List[[#This Row],[Unique_AIB_ID]],Tableau1[[Unique_AIB_ID]:[Building / Room]],15,FALSE),"")</f>
        <v>0</v>
      </c>
      <c r="AO16" s="182">
        <f>IFERROR(VLOOKUP(UO_List[[#This Row],[Unique_AIB_ID]],Tableau1[[Unique_AIB_ID]:[Building / Room]],16,FALSE),"")</f>
        <v>0</v>
      </c>
      <c r="AP16" s="182" t="str">
        <f>IFERROR(VLOOKUP(UO_List[[#This Row],[Unique_AIB_ID]],Tableau1[[Unique_AIB_ID]:[Building / Room]],17,FALSE),"")</f>
        <v>0</v>
      </c>
      <c r="AQ16" s="182">
        <f>IFERROR(VLOOKUP(UO_List[[#This Row],[Unique_AIB_ID]],Tableau1[[Unique_AIB_ID]:[Building / Room]],18,FALSE),"")</f>
        <v>0</v>
      </c>
      <c r="AR16" s="182" t="str">
        <f>IFERROR(VLOOKUP(UO_List[[#This Row],[Unique_AIB_ID]],Tableau1[[Unique_AIB_ID]:[Building / Room]],19,FALSE),"")</f>
        <v>03/25/20</v>
      </c>
      <c r="AS16" s="182">
        <f>IFERROR(VLOOKUP(UO_List[[#This Row],[Unique_AIB_ID]],Tableau1[[Unique_AIB_ID]:[Building / Room]],20,FALSE),"")</f>
        <v>0</v>
      </c>
      <c r="AT16" s="182">
        <f>IFERROR(VLOOKUP(UO_List[[#This Row],[Unique_AIB_ID]],Tableau1[[Unique_AIB_ID]:[Building / Room]],21,FALSE),"")</f>
        <v>0</v>
      </c>
      <c r="AU16" s="182" t="str">
        <f>IFERROR(VLOOKUP(UO_List[[#This Row],[Unique_AIB_ID]],Tableau1[[Unique_AIB_ID]:[Building / Room]],22,FALSE),"")</f>
        <v>M24 / B032</v>
      </c>
      <c r="AV16" s="171" t="str">
        <f>IFERROR(VLOOKUP(UO_List[[#This Row],[Unique_AIB_ID]],Tableau1[[Unique_AIB_ID]:[Currency]],23,FALSE),"")</f>
        <v>Q 1 / Flow activities - Fixed part</v>
      </c>
      <c r="AW16" s="171">
        <f>IFERROR(IF(ISBLANK(UO_List[[#This Row],[PO Number (Header)]]),"",UO_List[[#This Row],[Line Total]]/UO_List[[#This Row],[Total Item Quantity]]),"")</f>
        <v>3360</v>
      </c>
      <c r="AX16" s="498" t="s">
        <v>870</v>
      </c>
      <c r="AY16" s="171" t="str">
        <f>IFERROR(VLOOKUP(UO_List[[#This Row],[Unique_AIB_ID]],Tableau1[[Unique_AIB_ID]:[Currency]],26,FALSE),"")</f>
        <v>VRAI</v>
      </c>
      <c r="AZ16" s="82" t="s">
        <v>844</v>
      </c>
      <c r="BA16" s="82"/>
      <c r="BB16" s="82"/>
      <c r="BC16" s="78" t="s">
        <v>696</v>
      </c>
      <c r="BD16" s="70" t="s">
        <v>687</v>
      </c>
      <c r="BE16" s="78" t="s">
        <v>687</v>
      </c>
      <c r="BF16" s="78" t="s">
        <v>191</v>
      </c>
      <c r="BG16" s="78"/>
      <c r="BH16" s="78" t="s">
        <v>859</v>
      </c>
      <c r="BI16" s="78" t="s">
        <v>1014</v>
      </c>
      <c r="BJ16" s="79"/>
      <c r="BK16" s="79">
        <v>43831</v>
      </c>
      <c r="BL16" s="79">
        <v>43921</v>
      </c>
      <c r="BM16" s="71">
        <v>1</v>
      </c>
      <c r="BN16" s="555">
        <f>IFERROR(UO_List[[#This Row],[Total Item Quantity]]-UO_List[[#This Row],[Facteur]],"")</f>
        <v>4</v>
      </c>
      <c r="BO16" s="349">
        <f>IFERROR(IF(ISBLANK(UO_List[[#This Row],[Id_UO]]),"",SUMPRODUCT(1*(EXACT(UO_List[[#This Row],[Id_UO]],CATALOGUE[Id_WU]))*CATALOGUE[Price $])),"")</f>
        <v>3360</v>
      </c>
      <c r="BP16" s="350">
        <f>IFERROR(UO_List[[#This Row],[Prix unitaire]]*UO_List[[#This Row],[Facteur]],"")</f>
        <v>3360</v>
      </c>
      <c r="BQ16" s="100">
        <f>IFERROR(SUMPRODUCT(1*(EXACT(UO_List[[#This Row],[Id_UO]],CATALOGUE[Id_WU]))*CATALOGUE[Global_Workload_PM_(d)]*UO_List[[#This Row],[Facteur]]),"")</f>
        <v>0.90000000000000036</v>
      </c>
      <c r="BR16" s="286">
        <f>UO_List[[#This Row],[Jours GP]]/jours_an</f>
        <v>4.1666666666666683E-3</v>
      </c>
      <c r="BS16" s="72">
        <f>IFERROR(SUMPRODUCT(1*(EXACT(UO_List[[#This Row],[Id_UO]],CATALOGUE[Id_WU]))*CATALOGUE[Global_Workload_Tech_(d)]*UO_List[[#This Row],[Facteur]]),"")</f>
        <v>5.0999999999999996</v>
      </c>
      <c r="BT16" s="286">
        <f>UO_List[[#This Row],[Jours Tech]]/jours_an</f>
        <v>2.361111111111111E-2</v>
      </c>
      <c r="BU16" s="72">
        <f>UO_List[[#This Row],[Jours GP]]+UO_List[[#This Row],[Jours Tech]]</f>
        <v>6</v>
      </c>
      <c r="BV16" s="286">
        <f>UO_List[[#This Row],[ETP GP]]+UO_List[[#This Row],[ETP Tech]]</f>
        <v>2.777777777777778E-2</v>
      </c>
      <c r="BW16" s="73" t="s">
        <v>210</v>
      </c>
      <c r="BX16" s="80" t="s">
        <v>203</v>
      </c>
      <c r="BY16" s="462">
        <f>IF(UO_List[[#This Row],[Budget Revue]]="x",UO_List[[#This Row],[Montant TOTAL]],0)</f>
        <v>3360</v>
      </c>
      <c r="BZ16" s="80">
        <f>IF(UO_List[[#This Row],[Budget Revue]]="x",UO_List[[#This Row],[Jours Tech]],0)</f>
        <v>5.0999999999999996</v>
      </c>
      <c r="CA16" s="80">
        <f>IF(UO_List[[#This Row],[Budget Revue]]="x",UO_List[[#This Row],[Jours GP]],0)</f>
        <v>0.90000000000000036</v>
      </c>
      <c r="CB16" s="73">
        <f>IF(AND(UO_List[[#This Row],[Budget Revue]]="x",$BK16&lt;&gt;"",$BL16&lt;&gt;"",YEAR(BB$3)=YEAR($BK16),MONTH(BB$3)&gt;=MONTH($BK16),MONTH(BB$3)&lt;=MONTH($BL16)),$BS16/(MONTH($BL16)-MONTH($BK16)+1),"")</f>
        <v>1.7</v>
      </c>
      <c r="CC16" s="80">
        <f>IF(AND(UO_List[[#This Row],[Budget Revue]]="x",$BK16&lt;&gt;"",$BL16&lt;&gt;"",YEAR(BC$3)=YEAR($BK16),MONTH(BC$3)&gt;=MONTH($BK16),MONTH(BC$3)&lt;=MONTH($BL16)),$BS16/(MONTH($BL16)-MONTH($BK16)+1),"")</f>
        <v>1.7</v>
      </c>
      <c r="CD16" s="80">
        <f>IF(AND(UO_List[[#This Row],[Budget Revue]]="x",$BK16&lt;&gt;"",$BL16&lt;&gt;"",YEAR(BD$3)=YEAR($BK16),MONTH(BD$3)&gt;=MONTH($BK16),MONTH(BD$3)&lt;=MONTH($BL16)),$BS16/(MONTH($BL16)-MONTH($BK16)+1),"")</f>
        <v>1.7</v>
      </c>
      <c r="CE16" s="80" t="str">
        <f>IF(AND(UO_List[[#This Row],[Budget Revue]]="x",$BK16&lt;&gt;"",$BL16&lt;&gt;"",YEAR(BE$3)=YEAR($BK16),MONTH(BE$3)&gt;=MONTH($BK16),MONTH(BE$3)&lt;=MONTH($BL16)),$BS16/(MONTH($BL16)-MONTH($BK16)+1),"")</f>
        <v/>
      </c>
      <c r="CF16" s="80" t="str">
        <f>IF(AND(UO_List[[#This Row],[Budget Revue]]="x",$BK16&lt;&gt;"",$BL16&lt;&gt;"",YEAR(BF$3)=YEAR($BK16),MONTH(BF$3)&gt;=MONTH($BK16),MONTH(BF$3)&lt;=MONTH($BL16)),$BS16/(MONTH($BL16)-MONTH($BK16)+1),"")</f>
        <v/>
      </c>
      <c r="CG16" s="80" t="str">
        <f>IF(AND(UO_List[[#This Row],[Budget Revue]]="x",$BK16&lt;&gt;"",$BL16&lt;&gt;"",YEAR(BG$3)=YEAR($BK16),MONTH(BG$3)&gt;=MONTH($BK16),MONTH(BG$3)&lt;=MONTH($BL16)),$BS16/(MONTH($BL16)-MONTH($BK16)+1),"")</f>
        <v/>
      </c>
      <c r="CH16" s="80" t="str">
        <f>IF(AND(UO_List[[#This Row],[Budget Revue]]="x",$BK16&lt;&gt;"",$BL16&lt;&gt;"",YEAR(BH$3)=YEAR($BK16),MONTH(BH$3)&gt;=MONTH($BK16),MONTH(BH$3)&lt;=MONTH($BL16)),$BS16/(MONTH($BL16)-MONTH($BK16)+1),"")</f>
        <v/>
      </c>
      <c r="CI16" s="80" t="str">
        <f>IF(AND(UO_List[[#This Row],[Budget Revue]]="x",$BK16&lt;&gt;"",$BL16&lt;&gt;"",YEAR(BI$3)=YEAR($BK16),MONTH(BI$3)&gt;=MONTH($BK16),MONTH(BI$3)&lt;=MONTH($BL16)),$BS16/(MONTH($BL16)-MONTH($BK16)+1),"")</f>
        <v/>
      </c>
      <c r="CJ16" s="80" t="str">
        <f>IF(AND(UO_List[[#This Row],[Budget Revue]]="x",$BK16&lt;&gt;"",$BL16&lt;&gt;"",YEAR(BJ$3)=YEAR($BK16),MONTH(BJ$3)&gt;=MONTH($BK16),MONTH(BJ$3)&lt;=MONTH($BL16)),$BS16/(MONTH($BL16)-MONTH($BK16)+1),"")</f>
        <v/>
      </c>
      <c r="CK16" s="80" t="str">
        <f>IF(AND(UO_List[[#This Row],[Budget Revue]]="x",$BK16&lt;&gt;"",$BL16&lt;&gt;"",YEAR(BK$3)=YEAR($BK16),MONTH(BK$3)&gt;=MONTH($BK16),MONTH(BK$3)&lt;=MONTH($BL16)),$BS16/(MONTH($BL16)-MONTH($BK16)+1),"")</f>
        <v/>
      </c>
      <c r="CL16" s="80" t="str">
        <f>IF(AND(UO_List[[#This Row],[Budget Revue]]="x",$BK16&lt;&gt;"",$BL16&lt;&gt;"",YEAR(BL$3)=YEAR($BK16),MONTH(BL$3)&gt;=MONTH($BK16),MONTH(BL$3)&lt;=MONTH($BL16)),$BS16/(MONTH($BL16)-MONTH($BK16)+1),"")</f>
        <v/>
      </c>
      <c r="CM16" s="80" t="str">
        <f>IF(AND(UO_List[[#This Row],[Budget Revue]]="x",$BK16&lt;&gt;"",$BL16&lt;&gt;"",YEAR(BM$3)=YEAR($BK16),MONTH(BM$3)&gt;=MONTH($BK16),MONTH(BM$3)&lt;=MONTH($BL16)),$BS16/(MONTH($BL16)-MONTH($BK16)+1),"")</f>
        <v/>
      </c>
      <c r="CN16" s="75">
        <f>IF(UO_List[[#This Row],[Budget Revue]]="x",SUM(UO_List[[#This Row],[JANVIER]:[DECEMBRE]])-UO_List[[#This Row],[Jours Tech]],"")</f>
        <v>0</v>
      </c>
      <c r="CO16" s="348">
        <f>IF(AND(UO_List[[#This Row],[Budget Revue]]="x",$BK16&lt;&gt;"",$BL16&lt;&gt;"",YEAR(BO$3)=YEAR($BK16),MONTH(BO$3)&gt;=MONTH($BK16),MONTH(BO$3)&lt;=MONTH($BL16)),UO_List[[#This Row],[Montant TOTAL]]/(MONTH($BL16)-MONTH($BK16)+1),"")</f>
        <v>1120</v>
      </c>
      <c r="CP16" s="348">
        <f>IF(AND(UO_List[[#This Row],[Budget Revue]]="x",$BK16&lt;&gt;"",$BL16&lt;&gt;"",YEAR(BP$3)=YEAR($BK16),MONTH(BP$3)&gt;=MONTH($BK16),MONTH(BP$3)&lt;=MONTH($BL16)),UO_List[[#This Row],[Montant TOTAL]]/(MONTH($BL16)-MONTH($BK16)+1),"")</f>
        <v>1120</v>
      </c>
      <c r="CQ16" s="348">
        <f>IF(AND(UO_List[[#This Row],[Budget Revue]]="x",$BK16&lt;&gt;"",$BL16&lt;&gt;"",YEAR(BQ$3)=YEAR($BK16),MONTH(BQ$3)&gt;=MONTH($BK16),MONTH(BQ$3)&lt;=MONTH($BL16)),UO_List[[#This Row],[Montant TOTAL]]/(MONTH($BL16)-MONTH($BK16)+1),"")</f>
        <v>1120</v>
      </c>
      <c r="CR16" s="348" t="str">
        <f>IF(AND(UO_List[[#This Row],[Budget Revue]]="x",$BK16&lt;&gt;"",$BL16&lt;&gt;"",YEAR(BR$3)=YEAR($BK16),MONTH(BR$3)&gt;=MONTH($BK16),MONTH(BR$3)&lt;=MONTH($BL16)),UO_List[[#This Row],[Montant TOTAL]]/(MONTH($BL16)-MONTH($BK16)+1),"")</f>
        <v/>
      </c>
      <c r="CS16" s="348" t="str">
        <f>IF(AND(UO_List[[#This Row],[Budget Revue]]="x",$BK16&lt;&gt;"",$BL16&lt;&gt;"",YEAR(BS$3)=YEAR($BK16),MONTH(BS$3)&gt;=MONTH($BK16),MONTH(BS$3)&lt;=MONTH($BL16)),UO_List[[#This Row],[Montant TOTAL]]/(MONTH($BL16)-MONTH($BK16)+1),"")</f>
        <v/>
      </c>
      <c r="CT16" s="348" t="str">
        <f>IF(AND(UO_List[[#This Row],[Budget Revue]]="x",$BK16&lt;&gt;"",$BL16&lt;&gt;"",YEAR(BT$3)=YEAR($BK16),MONTH(BT$3)&gt;=MONTH($BK16),MONTH(BT$3)&lt;=MONTH($BL16)),UO_List[[#This Row],[Montant TOTAL]]/(MONTH($BL16)-MONTH($BK16)+1),"")</f>
        <v/>
      </c>
      <c r="CU16" s="348" t="str">
        <f>IF(AND(UO_List[[#This Row],[Budget Revue]]="x",$BK16&lt;&gt;"",$BL16&lt;&gt;"",YEAR(BU$3)=YEAR($BK16),MONTH(BU$3)&gt;=MONTH($BK16),MONTH(BU$3)&lt;=MONTH($BL16)),UO_List[[#This Row],[Montant TOTAL]]/(MONTH($BL16)-MONTH($BK16)+1),"")</f>
        <v/>
      </c>
      <c r="CV16" s="348" t="str">
        <f>IF(AND(UO_List[[#This Row],[Budget Revue]]="x",$BK16&lt;&gt;"",$BL16&lt;&gt;"",YEAR(BV$3)=YEAR($BK16),MONTH(BV$3)&gt;=MONTH($BK16),MONTH(BV$3)&lt;=MONTH($BL16)),UO_List[[#This Row],[Montant TOTAL]]/(MONTH($BL16)-MONTH($BK16)+1),"")</f>
        <v/>
      </c>
      <c r="CW16" s="348" t="str">
        <f>IF(AND(UO_List[[#This Row],[Budget Revue]]="x",$BK16&lt;&gt;"",$BL16&lt;&gt;"",YEAR(BW$3)=YEAR($BK16),MONTH(BW$3)&gt;=MONTH($BK16),MONTH(BW$3)&lt;=MONTH($BL16)),UO_List[[#This Row],[Montant TOTAL]]/(MONTH($BL16)-MONTH($BK16)+1),"")</f>
        <v/>
      </c>
      <c r="CX16" s="348" t="str">
        <f>IF(AND(UO_List[[#This Row],[Budget Revue]]="x",$BK16&lt;&gt;"",$BL16&lt;&gt;"",YEAR(BX$3)=YEAR($BK16),MONTH(BX$3)&gt;=MONTH($BK16),MONTH(BX$3)&lt;=MONTH($BL16)),UO_List[[#This Row],[Montant TOTAL]]/(MONTH($BL16)-MONTH($BK16)+1),"")</f>
        <v/>
      </c>
      <c r="CY16" s="348" t="str">
        <f>IF(AND(UO_List[[#This Row],[Budget Revue]]="x",$BK16&lt;&gt;"",$BL16&lt;&gt;"",YEAR(BY$3)=YEAR($BK16),MONTH(BY$3)&gt;=MONTH($BK16),MONTH(BY$3)&lt;=MONTH($BL16)),UO_List[[#This Row],[Montant TOTAL]]/(MONTH($BL16)-MONTH($BK16)+1),"")</f>
        <v/>
      </c>
      <c r="CZ16" s="348" t="str">
        <f>IF(AND(UO_List[[#This Row],[Budget Revue]]="x",$BK16&lt;&gt;"",$BL16&lt;&gt;"",YEAR(BY$3)=YEAR($BK16),MONTH(BY$3)&gt;=MONTH($BK16),MONTH(BY$3)&lt;=MONTH($BL16)),UO_List[[#This Row],[Montant TOTAL]]/(MONTH($BL16)-MONTH($BK16)+1),"")</f>
        <v/>
      </c>
      <c r="DA16" s="381">
        <f>IF(UO_List[[#This Row],[Budget Revue]]="x",SUM(UO_List[[#This Row],[JANVIER2]:[DECEMBRE2]])-UO_List[Montant TOTAL],"")</f>
        <v>0</v>
      </c>
      <c r="DB16" s="556"/>
      <c r="DC16" s="556"/>
      <c r="DD16" s="556"/>
      <c r="DE16" s="557"/>
      <c r="DF16" s="556"/>
      <c r="DG16" s="556"/>
      <c r="DH16" s="556"/>
      <c r="DI16" s="556"/>
      <c r="DJ16" s="556"/>
      <c r="DK16" s="556"/>
      <c r="DL16" s="557"/>
      <c r="DM16" s="83"/>
      <c r="DN16" s="340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16" s="340">
        <f>IFERROR(UO_List[[#This Row],[Line Total]]-UO_List[[#This Row],[Montant total réceptionné]],"")</f>
        <v>16800</v>
      </c>
      <c r="DP16" s="340">
        <f>IFERROR(UO_List[[#This Row],[Total item réceptionné]]*UO_List[[#This Row],[Unit Price (calcul)]],0)</f>
        <v>0</v>
      </c>
      <c r="DQ16" s="340">
        <f>UO_List[[#This Row],[Facteur]]-UO_List[[#This Row],[Total item réceptionné]]</f>
        <v>1</v>
      </c>
      <c r="DR16" s="77"/>
      <c r="DS16" s="77"/>
      <c r="DT16" s="493"/>
      <c r="DU16" s="77"/>
    </row>
    <row r="17" spans="27:125" s="107" customFormat="1">
      <c r="AA17" s="194" t="str">
        <f>IFERROR(VLOOKUP(UO_List[[#This Row],[Unique_AIB_ID]],Tableau1[[Unique_AIB_ID]:[Building / Room]],2,FALSE),"")</f>
        <v>C000482017</v>
      </c>
      <c r="AB17" s="193">
        <f>IFERROR(VLOOKUP(UO_List[[#This Row],[Unique_AIB_ID]],UO_Contract!A16:V205,3,TRUE),"")</f>
        <v>0</v>
      </c>
      <c r="AC17" s="194" t="str">
        <f>IFERROR(VLOOKUP(UO_List[[#This Row],[Unique_AIB_ID]],Tableau1[[Unique_AIB_ID]:[Building / Room]],4,FALSE),"")</f>
        <v>WPA - SII - PJOP - Airbus - WD1701094 - Flight and Integration Test CT1705359</v>
      </c>
      <c r="AD17" s="193">
        <f>IFERROR(VLOOKUP(UO_List[[#This Row],[Unique_AIB_ID]],Tableau1[[Unique_AIB_ID]:[Building / Room]],5,FALSE),"")</f>
        <v>0</v>
      </c>
      <c r="AE17" s="193">
        <f>IFERROR(VLOOKUP(UO_List[[#This Row],[Unique_AIB_ID]],Tableau1[[Unique_AIB_ID]:[Building / Room]],6,FALSE),"")</f>
        <v>1</v>
      </c>
      <c r="AF17" s="193" t="str">
        <f>IFERROR(VLOOKUP(UO_List[[#This Row],[Unique_AIB_ID]],Tableau1[[Unique_AIB_ID]:[Building / Room]],7,FALSE),"")</f>
        <v>5 Each of WU_PROP_S[PJE_SII_EVYP_USD_AIRBUS_FR]</v>
      </c>
      <c r="AG17" s="193">
        <f>IFERROR(VLOOKUP(UO_List[[#This Row],[Unique_AIB_ID]],Tableau1[[Unique_AIB_ID]:[Building / Room]],8,FALSE),"")</f>
        <v>5</v>
      </c>
      <c r="AH17" s="195">
        <f>IFERROR(VALUE(VLOOKUP(UO_List[[#This Row],[Unique_AIB_ID]],Tableau1[[Unique_AIB_ID]:[Building / Room]],9,FALSE)),"")</f>
        <v>16800</v>
      </c>
      <c r="AI17" s="193">
        <f>IFERROR(VLOOKUP(UO_List[[#This Row],[Unique_AIB_ID]],Tableau1[[Unique_AIB_ID]:[Building / Room]],10,TRUE),"")</f>
        <v>0</v>
      </c>
      <c r="AJ17" s="196">
        <f>IFERROR(VLOOKUP(UO_List[[#This Row],[Unique_AIB_ID]],Tableau1[[Unique_AIB_ID]:[Building / Room]],11,FALSE),"")</f>
        <v>0</v>
      </c>
      <c r="AK17" s="193">
        <f>IFERROR(VLOOKUP(UO_List[[#This Row],[Unique_AIB_ID]],Tableau1[[Unique_AIB_ID]:[Building / Room]],12,FALSE),"")</f>
        <v>0</v>
      </c>
      <c r="AL17" s="189">
        <f>IFERROR(VLOOKUP(UO_List[[#This Row],[Unique_AIB_ID]],Tableau1[[Unique_AIB_ID]:[Building / Room]],13,FALSE),"")</f>
        <v>0</v>
      </c>
      <c r="AM17" s="183">
        <f>IFERROR(VLOOKUP(UO_List[[#This Row],[Unique_AIB_ID]],Tableau1[[Unique_AIB_ID]:[Building / Room]],14,FALSE),"")</f>
        <v>0</v>
      </c>
      <c r="AN17" s="183">
        <f>IFERROR(VLOOKUP(UO_List[[#This Row],[Unique_AIB_ID]],Tableau1[[Unique_AIB_ID]:[Building / Room]],15,FALSE),"")</f>
        <v>0</v>
      </c>
      <c r="AO17" s="183">
        <f>IFERROR(VLOOKUP(UO_List[[#This Row],[Unique_AIB_ID]],Tableau1[[Unique_AIB_ID]:[Building / Room]],16,FALSE),"")</f>
        <v>0</v>
      </c>
      <c r="AP17" s="183" t="str">
        <f>IFERROR(VLOOKUP(UO_List[[#This Row],[Unique_AIB_ID]],Tableau1[[Unique_AIB_ID]:[Building / Room]],17,FALSE),"")</f>
        <v>0</v>
      </c>
      <c r="AQ17" s="183">
        <f>IFERROR(VLOOKUP(UO_List[[#This Row],[Unique_AIB_ID]],Tableau1[[Unique_AIB_ID]:[Building / Room]],18,FALSE),"")</f>
        <v>0</v>
      </c>
      <c r="AR17" s="183" t="str">
        <f>IFERROR(VLOOKUP(UO_List[[#This Row],[Unique_AIB_ID]],Tableau1[[Unique_AIB_ID]:[Building / Room]],19,FALSE),"")</f>
        <v>03/25/20</v>
      </c>
      <c r="AS17" s="183">
        <f>IFERROR(VLOOKUP(UO_List[[#This Row],[Unique_AIB_ID]],Tableau1[[Unique_AIB_ID]:[Building / Room]],20,FALSE),"")</f>
        <v>0</v>
      </c>
      <c r="AT17" s="183">
        <f>IFERROR(VLOOKUP(UO_List[[#This Row],[Unique_AIB_ID]],Tableau1[[Unique_AIB_ID]:[Building / Room]],21,FALSE),"")</f>
        <v>0</v>
      </c>
      <c r="AU17" s="183" t="str">
        <f>IFERROR(VLOOKUP(UO_List[[#This Row],[Unique_AIB_ID]],Tableau1[[Unique_AIB_ID]:[Building / Room]],22,FALSE),"")</f>
        <v>M24 / B032</v>
      </c>
      <c r="AV17" s="167" t="str">
        <f>IFERROR(VLOOKUP(UO_List[[#This Row],[Unique_AIB_ID]],Tableau1[[Unique_AIB_ID]:[Currency]],23,FALSE),"")</f>
        <v>Q 1 / Flow activities - Fixed part</v>
      </c>
      <c r="AW17" s="167">
        <f>IFERROR(IF(ISBLANK(UO_List[[#This Row],[PO Number (Header)]]),"",UO_List[[#This Row],[Line Total]]/UO_List[[#This Row],[Total Item Quantity]]),"")</f>
        <v>3360</v>
      </c>
      <c r="AX17" s="498" t="s">
        <v>870</v>
      </c>
      <c r="AY17" s="167"/>
      <c r="AZ17" s="78" t="s">
        <v>844</v>
      </c>
      <c r="BA17" s="78"/>
      <c r="BB17" s="78"/>
      <c r="BC17" s="78" t="s">
        <v>696</v>
      </c>
      <c r="BD17" s="70" t="s">
        <v>687</v>
      </c>
      <c r="BE17" s="78" t="s">
        <v>687</v>
      </c>
      <c r="BF17" s="78" t="s">
        <v>191</v>
      </c>
      <c r="BG17" s="78"/>
      <c r="BH17" s="551" t="s">
        <v>859</v>
      </c>
      <c r="BI17" s="78"/>
      <c r="BJ17" s="79"/>
      <c r="BK17" s="79">
        <v>43922</v>
      </c>
      <c r="BL17" s="79">
        <v>44012</v>
      </c>
      <c r="BM17" s="71">
        <v>3</v>
      </c>
      <c r="BN17" s="71">
        <f>IFERROR(UO_List[[#This Row],[Total Item Quantity]]-UO_List[[#This Row],[Facteur]],"")</f>
        <v>2</v>
      </c>
      <c r="BO17" s="349">
        <f>IFERROR(IF(ISBLANK(UO_List[[#This Row],[Id_UO]]),"",SUMPRODUCT(1*(EXACT(UO_List[[#This Row],[Id_UO]],CATALOGUE[Id_WU]))*CATALOGUE[Price $])),"")</f>
        <v>3360</v>
      </c>
      <c r="BP17" s="350">
        <f>IFERROR(UO_List[[#This Row],[Prix unitaire]]*UO_List[[#This Row],[Facteur]],"")</f>
        <v>10080</v>
      </c>
      <c r="BQ17" s="100">
        <f>IFERROR(SUMPRODUCT(1*(EXACT(UO_List[[#This Row],[Id_UO]],CATALOGUE[Id_WU]))*CATALOGUE[Global_Workload_PM_(d)]*UO_List[[#This Row],[Facteur]]),"")</f>
        <v>2.7000000000000011</v>
      </c>
      <c r="BR17" s="286">
        <f>UO_List[[#This Row],[Jours GP]]/jours_an</f>
        <v>1.2500000000000004E-2</v>
      </c>
      <c r="BS17" s="72">
        <f>IFERROR(SUMPRODUCT(1*(EXACT(UO_List[[#This Row],[Id_UO]],CATALOGUE[Id_WU]))*CATALOGUE[Global_Workload_Tech_(d)]*UO_List[[#This Row],[Facteur]]),"")</f>
        <v>15.299999999999999</v>
      </c>
      <c r="BT17" s="286">
        <f>UO_List[[#This Row],[Jours Tech]]/jours_an</f>
        <v>7.0833333333333331E-2</v>
      </c>
      <c r="BU17" s="72">
        <f>UO_List[[#This Row],[Jours GP]]+UO_List[[#This Row],[Jours Tech]]</f>
        <v>18</v>
      </c>
      <c r="BV17" s="286">
        <f>UO_List[[#This Row],[ETP GP]]+UO_List[[#This Row],[ETP Tech]]</f>
        <v>8.3333333333333343E-2</v>
      </c>
      <c r="BW17" s="73"/>
      <c r="BX17" s="80" t="s">
        <v>203</v>
      </c>
      <c r="BY17" s="462">
        <f>IF(UO_List[[#This Row],[Budget Revue]]="x",UO_List[[#This Row],[Montant TOTAL]],0)</f>
        <v>10080</v>
      </c>
      <c r="BZ17" s="80">
        <f>IF(UO_List[[#This Row],[Budget Revue]]="x",UO_List[[#This Row],[Jours Tech]],0)</f>
        <v>15.299999999999999</v>
      </c>
      <c r="CA17" s="80">
        <f>IF(UO_List[[#This Row],[Budget Revue]]="x",UO_List[[#This Row],[Jours GP]],0)</f>
        <v>2.7000000000000011</v>
      </c>
      <c r="CB17" s="516" t="str">
        <f>IF(AND(UO_List[[#This Row],[Budget Revue]]="x",$BK17&lt;&gt;"",$BL17&lt;&gt;"",YEAR(BB$3)=YEAR($BK17),MONTH(BB$3)&gt;=MONTH($BK17),MONTH(BB$3)&lt;=MONTH($BL17)),$BS17/(MONTH($BL17)-MONTH($BK17)+1),"")</f>
        <v/>
      </c>
      <c r="CC17" s="80" t="str">
        <f>IF(AND(UO_List[[#This Row],[Budget Revue]]="x",$BK17&lt;&gt;"",$BL17&lt;&gt;"",YEAR(BC$3)=YEAR($BK17),MONTH(BC$3)&gt;=MONTH($BK17),MONTH(BC$3)&lt;=MONTH($BL17)),$BS17/(MONTH($BL17)-MONTH($BK17)+1),"")</f>
        <v/>
      </c>
      <c r="CD17" s="80" t="str">
        <f>IF(AND(UO_List[[#This Row],[Budget Revue]]="x",$BK17&lt;&gt;"",$BL17&lt;&gt;"",YEAR(BD$3)=YEAR($BK17),MONTH(BD$3)&gt;=MONTH($BK17),MONTH(BD$3)&lt;=MONTH($BL17)),$BS17/(MONTH($BL17)-MONTH($BK17)+1),"")</f>
        <v/>
      </c>
      <c r="CE17" s="80">
        <f>IF(AND(UO_List[[#This Row],[Budget Revue]]="x",$BK17&lt;&gt;"",$BL17&lt;&gt;"",YEAR(BE$3)=YEAR($BK17),MONTH(BE$3)&gt;=MONTH($BK17),MONTH(BE$3)&lt;=MONTH($BL17)),$BS17/(MONTH($BL17)-MONTH($BK17)+1),"")</f>
        <v>5.0999999999999996</v>
      </c>
      <c r="CF17" s="80">
        <f>IF(AND(UO_List[[#This Row],[Budget Revue]]="x",$BK17&lt;&gt;"",$BL17&lt;&gt;"",YEAR(BF$3)=YEAR($BK17),MONTH(BF$3)&gt;=MONTH($BK17),MONTH(BF$3)&lt;=MONTH($BL17)),$BS17/(MONTH($BL17)-MONTH($BK17)+1),"")</f>
        <v>5.0999999999999996</v>
      </c>
      <c r="CG17" s="80">
        <f>IF(AND(UO_List[[#This Row],[Budget Revue]]="x",$BK17&lt;&gt;"",$BL17&lt;&gt;"",YEAR(BG$3)=YEAR($BK17),MONTH(BG$3)&gt;=MONTH($BK17),MONTH(BG$3)&lt;=MONTH($BL17)),$BS17/(MONTH($BL17)-MONTH($BK17)+1),"")</f>
        <v>5.0999999999999996</v>
      </c>
      <c r="CH17" s="80" t="str">
        <f>IF(AND(UO_List[[#This Row],[Budget Revue]]="x",$BK17&lt;&gt;"",$BL17&lt;&gt;"",YEAR(BH$3)=YEAR($BK17),MONTH(BH$3)&gt;=MONTH($BK17),MONTH(BH$3)&lt;=MONTH($BL17)),$BS17/(MONTH($BL17)-MONTH($BK17)+1),"")</f>
        <v/>
      </c>
      <c r="CI17" s="80" t="str">
        <f>IF(AND(UO_List[[#This Row],[Budget Revue]]="x",$BK17&lt;&gt;"",$BL17&lt;&gt;"",YEAR(BI$3)=YEAR($BK17),MONTH(BI$3)&gt;=MONTH($BK17),MONTH(BI$3)&lt;=MONTH($BL17)),$BS17/(MONTH($BL17)-MONTH($BK17)+1),"")</f>
        <v/>
      </c>
      <c r="CJ17" s="80" t="str">
        <f>IF(AND(UO_List[[#This Row],[Budget Revue]]="x",$BK17&lt;&gt;"",$BL17&lt;&gt;"",YEAR(BJ$3)=YEAR($BK17),MONTH(BJ$3)&gt;=MONTH($BK17),MONTH(BJ$3)&lt;=MONTH($BL17)),$BS17/(MONTH($BL17)-MONTH($BK17)+1),"")</f>
        <v/>
      </c>
      <c r="CK17" s="80" t="str">
        <f>IF(AND(UO_List[[#This Row],[Budget Revue]]="x",$BK17&lt;&gt;"",$BL17&lt;&gt;"",YEAR(BK$3)=YEAR($BK17),MONTH(BK$3)&gt;=MONTH($BK17),MONTH(BK$3)&lt;=MONTH($BL17)),$BS17/(MONTH($BL17)-MONTH($BK17)+1),"")</f>
        <v/>
      </c>
      <c r="CL17" s="80" t="str">
        <f>IF(AND(UO_List[[#This Row],[Budget Revue]]="x",$BK17&lt;&gt;"",$BL17&lt;&gt;"",YEAR(BL$3)=YEAR($BK17),MONTH(BL$3)&gt;=MONTH($BK17),MONTH(BL$3)&lt;=MONTH($BL17)),$BS17/(MONTH($BL17)-MONTH($BK17)+1),"")</f>
        <v/>
      </c>
      <c r="CM17" s="80" t="str">
        <f>IF(AND(UO_List[[#This Row],[Budget Revue]]="x",$BK17&lt;&gt;"",$BL17&lt;&gt;"",YEAR(BM$3)=YEAR($BK17),MONTH(BM$3)&gt;=MONTH($BK17),MONTH(BM$3)&lt;=MONTH($BL17)),$BS17/(MONTH($BL17)-MONTH($BK17)+1),"")</f>
        <v/>
      </c>
      <c r="CN17" s="75">
        <f>IF(UO_List[[#This Row],[Budget Revue]]="x",SUM(UO_List[[#This Row],[JANVIER]:[DECEMBRE]])-UO_List[[#This Row],[Jours Tech]],"")</f>
        <v>0</v>
      </c>
      <c r="CO17" s="348" t="str">
        <f>IF(AND(UO_List[[#This Row],[Budget Revue]]="x",$BK17&lt;&gt;"",$BL17&lt;&gt;"",YEAR(BO$3)=YEAR($BK17),MONTH(BO$3)&gt;=MONTH($BK17),MONTH(BO$3)&lt;=MONTH($BL17)),UO_List[[#This Row],[Montant TOTAL]]/(MONTH($BL17)-MONTH($BK17)+1),"")</f>
        <v/>
      </c>
      <c r="CP17" s="348" t="str">
        <f>IF(AND(UO_List[[#This Row],[Budget Revue]]="x",$BK17&lt;&gt;"",$BL17&lt;&gt;"",YEAR(BP$3)=YEAR($BK17),MONTH(BP$3)&gt;=MONTH($BK17),MONTH(BP$3)&lt;=MONTH($BL17)),UO_List[[#This Row],[Montant TOTAL]]/(MONTH($BL17)-MONTH($BK17)+1),"")</f>
        <v/>
      </c>
      <c r="CQ17" s="348" t="str">
        <f>IF(AND(UO_List[[#This Row],[Budget Revue]]="x",$BK17&lt;&gt;"",$BL17&lt;&gt;"",YEAR(BQ$3)=YEAR($BK17),MONTH(BQ$3)&gt;=MONTH($BK17),MONTH(BQ$3)&lt;=MONTH($BL17)),UO_List[[#This Row],[Montant TOTAL]]/(MONTH($BL17)-MONTH($BK17)+1),"")</f>
        <v/>
      </c>
      <c r="CR17" s="348">
        <f>IF(AND(UO_List[[#This Row],[Budget Revue]]="x",$BK17&lt;&gt;"",$BL17&lt;&gt;"",YEAR(BR$3)=YEAR($BK17),MONTH(BR$3)&gt;=MONTH($BK17),MONTH(BR$3)&lt;=MONTH($BL17)),UO_List[[#This Row],[Montant TOTAL]]/(MONTH($BL17)-MONTH($BK17)+1),"")</f>
        <v>3360</v>
      </c>
      <c r="CS17" s="348">
        <f>IF(AND(UO_List[[#This Row],[Budget Revue]]="x",$BK17&lt;&gt;"",$BL17&lt;&gt;"",YEAR(BS$3)=YEAR($BK17),MONTH(BS$3)&gt;=MONTH($BK17),MONTH(BS$3)&lt;=MONTH($BL17)),UO_List[[#This Row],[Montant TOTAL]]/(MONTH($BL17)-MONTH($BK17)+1),"")</f>
        <v>3360</v>
      </c>
      <c r="CT17" s="348">
        <f>IF(AND(UO_List[[#This Row],[Budget Revue]]="x",$BK17&lt;&gt;"",$BL17&lt;&gt;"",YEAR(BT$3)=YEAR($BK17),MONTH(BT$3)&gt;=MONTH($BK17),MONTH(BT$3)&lt;=MONTH($BL17)),UO_List[[#This Row],[Montant TOTAL]]/(MONTH($BL17)-MONTH($BK17)+1),"")</f>
        <v>3360</v>
      </c>
      <c r="CU17" s="348" t="str">
        <f>IF(AND(UO_List[[#This Row],[Budget Revue]]="x",$BK17&lt;&gt;"",$BL17&lt;&gt;"",YEAR(BU$3)=YEAR($BK17),MONTH(BU$3)&gt;=MONTH($BK17),MONTH(BU$3)&lt;=MONTH($BL17)),UO_List[[#This Row],[Montant TOTAL]]/(MONTH($BL17)-MONTH($BK17)+1),"")</f>
        <v/>
      </c>
      <c r="CV17" s="348" t="str">
        <f>IF(AND(UO_List[[#This Row],[Budget Revue]]="x",$BK17&lt;&gt;"",$BL17&lt;&gt;"",YEAR(BV$3)=YEAR($BK17),MONTH(BV$3)&gt;=MONTH($BK17),MONTH(BV$3)&lt;=MONTH($BL17)),UO_List[[#This Row],[Montant TOTAL]]/(MONTH($BL17)-MONTH($BK17)+1),"")</f>
        <v/>
      </c>
      <c r="CW17" s="348" t="str">
        <f>IF(AND(UO_List[[#This Row],[Budget Revue]]="x",$BK17&lt;&gt;"",$BL17&lt;&gt;"",YEAR(BW$3)=YEAR($BK17),MONTH(BW$3)&gt;=MONTH($BK17),MONTH(BW$3)&lt;=MONTH($BL17)),UO_List[[#This Row],[Montant TOTAL]]/(MONTH($BL17)-MONTH($BK17)+1),"")</f>
        <v/>
      </c>
      <c r="CX17" s="348" t="str">
        <f>IF(AND(UO_List[[#This Row],[Budget Revue]]="x",$BK17&lt;&gt;"",$BL17&lt;&gt;"",YEAR(BX$3)=YEAR($BK17),MONTH(BX$3)&gt;=MONTH($BK17),MONTH(BX$3)&lt;=MONTH($BL17)),UO_List[[#This Row],[Montant TOTAL]]/(MONTH($BL17)-MONTH($BK17)+1),"")</f>
        <v/>
      </c>
      <c r="CY17" s="348" t="str">
        <f>IF(AND(UO_List[[#This Row],[Budget Revue]]="x",$BK17&lt;&gt;"",$BL17&lt;&gt;"",YEAR(BY$3)=YEAR($BK17),MONTH(BY$3)&gt;=MONTH($BK17),MONTH(BY$3)&lt;=MONTH($BL17)),UO_List[[#This Row],[Montant TOTAL]]/(MONTH($BL17)-MONTH($BK17)+1),"")</f>
        <v/>
      </c>
      <c r="CZ17" s="348" t="str">
        <f>IF(AND(UO_List[[#This Row],[Budget Revue]]="x",$BK17&lt;&gt;"",$BL17&lt;&gt;"",YEAR(BY$3)=YEAR($BK17),MONTH(BY$3)&gt;=MONTH($BK17),MONTH(BY$3)&lt;=MONTH($BL17)),UO_List[[#This Row],[Montant TOTAL]]/(MONTH($BL17)-MONTH($BK17)+1),"")</f>
        <v/>
      </c>
      <c r="DA17" s="348">
        <f>IF(UO_List[[#This Row],[Budget Revue]]="x",SUM(UO_List[[#This Row],[JANVIER2]:[DECEMBRE2]])-UO_List[Montant TOTAL],"")</f>
        <v>0</v>
      </c>
      <c r="DB17" s="83"/>
      <c r="DC17" s="83"/>
      <c r="DD17" s="83"/>
      <c r="DE17" s="83"/>
      <c r="DF17" s="83"/>
      <c r="DG17" s="83"/>
      <c r="DH17" s="83"/>
      <c r="DI17" s="83"/>
      <c r="DJ17" s="83"/>
      <c r="DK17" s="83"/>
      <c r="DL17" s="83"/>
      <c r="DM17" s="83"/>
      <c r="DN17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17" s="76">
        <f>IFERROR(UO_List[[#This Row],[Line Total]]-UO_List[[#This Row],[Montant total réceptionné]],"")</f>
        <v>16800</v>
      </c>
      <c r="DP17" s="76">
        <f>IFERROR(UO_List[[#This Row],[Total item réceptionné]]*UO_List[[#This Row],[Unit Price (calcul)]],0)</f>
        <v>0</v>
      </c>
      <c r="DQ17" s="76">
        <f>UO_List[[#This Row],[Facteur]]-UO_List[[#This Row],[Total item réceptionné]]</f>
        <v>3</v>
      </c>
      <c r="DR17" s="77"/>
      <c r="DS17" s="77"/>
      <c r="DT17" s="158"/>
      <c r="DU17" s="77"/>
    </row>
    <row r="18" spans="27:125" s="107" customFormat="1">
      <c r="AA18" s="188" t="str">
        <f>IFERROR(VLOOKUP(UO_List[[#This Row],[Unique_AIB_ID]],Tableau1[[Unique_AIB_ID]:[Building / Room]],2,FALSE),"")</f>
        <v>D000466460</v>
      </c>
      <c r="AB18" s="188">
        <f>IFERROR(VLOOKUP(UO_List[[#This Row],[Unique_AIB_ID]],UO_Contract!A18:V207,3,TRUE),"")</f>
        <v>0</v>
      </c>
      <c r="AC18" s="188" t="str">
        <f>IFERROR(VLOOKUP(UO_List[[#This Row],[Unique_AIB_ID]],Tableau1[[Unique_AIB_ID]:[Building / Room]],4,FALSE),"")</f>
        <v>WPA - SII - PJOP - Airbus - WD1701094 - Flight and Integration Test CT1705359</v>
      </c>
      <c r="AD18" s="188">
        <f>IFERROR(VLOOKUP(UO_List[[#This Row],[Unique_AIB_ID]],Tableau1[[Unique_AIB_ID]:[Building / Room]],5,FALSE),"")</f>
        <v>0</v>
      </c>
      <c r="AE18" s="188">
        <f>IFERROR(VLOOKUP(UO_List[[#This Row],[Unique_AIB_ID]],Tableau1[[Unique_AIB_ID]:[Building / Room]],6,FALSE),"")</f>
        <v>1</v>
      </c>
      <c r="AF18" s="188" t="str">
        <f>IFERROR(VLOOKUP(UO_List[[#This Row],[Unique_AIB_ID]],Tableau1[[Unique_AIB_ID]:[Building / Room]],7,FALSE),"")</f>
        <v>5 Each of WU_F&amp;LG_TLS_T_2 TESTS SUPPORT In Toulouse [PJE_SII_EVYP_USD_AIRBUS_FR]</v>
      </c>
      <c r="AG18" s="188">
        <f>IFERROR(VLOOKUP(UO_List[[#This Row],[Unique_AIB_ID]],Tableau1[[Unique_AIB_ID]:[Building / Room]],8,FALSE),"")</f>
        <v>5</v>
      </c>
      <c r="AH18" s="190">
        <f>IFERROR(VALUE(VLOOKUP(UO_List[[#This Row],[Unique_AIB_ID]],Tableau1[[Unique_AIB_ID]:[Building / Room]],9,FALSE)),"")</f>
        <v>2900</v>
      </c>
      <c r="AI18" s="188">
        <f>IFERROR(VLOOKUP(UO_List[[#This Row],[Unique_AIB_ID]],Tableau1[[Unique_AIB_ID]:[Building / Room]],10,TRUE),"")</f>
        <v>0</v>
      </c>
      <c r="AJ18" s="188">
        <f>IFERROR(VLOOKUP(UO_List[[#This Row],[Unique_AIB_ID]],Tableau1[[Unique_AIB_ID]:[Building / Room]],11,FALSE),"")</f>
        <v>0</v>
      </c>
      <c r="AK18" s="188">
        <f>IFERROR(VLOOKUP(UO_List[[#This Row],[Unique_AIB_ID]],Tableau1[[Unique_AIB_ID]:[Building / Room]],12,FALSE),"")</f>
        <v>0</v>
      </c>
      <c r="AL18" s="188">
        <f>IFERROR(VLOOKUP(UO_List[[#This Row],[Unique_AIB_ID]],Tableau1[[Unique_AIB_ID]:[Building / Room]],13,FALSE),"")</f>
        <v>0</v>
      </c>
      <c r="AM18" s="182">
        <f>IFERROR(VLOOKUP(UO_List[[#This Row],[Unique_AIB_ID]],Tableau1[[Unique_AIB_ID]:[Building / Room]],14,FALSE),"")</f>
        <v>0</v>
      </c>
      <c r="AN18" s="182">
        <f>IFERROR(VLOOKUP(UO_List[[#This Row],[Unique_AIB_ID]],Tableau1[[Unique_AIB_ID]:[Building / Room]],15,FALSE),"")</f>
        <v>0</v>
      </c>
      <c r="AO18" s="182">
        <f>IFERROR(VLOOKUP(UO_List[[#This Row],[Unique_AIB_ID]],Tableau1[[Unique_AIB_ID]:[Building / Room]],16,FALSE),"")</f>
        <v>0</v>
      </c>
      <c r="AP18" s="182" t="str">
        <f>IFERROR(VLOOKUP(UO_List[[#This Row],[Unique_AIB_ID]],Tableau1[[Unique_AIB_ID]:[Building / Room]],17,FALSE),"")</f>
        <v>0</v>
      </c>
      <c r="AQ18" s="182">
        <f>IFERROR(VLOOKUP(UO_List[[#This Row],[Unique_AIB_ID]],Tableau1[[Unique_AIB_ID]:[Building / Room]],18,FALSE),"")</f>
        <v>0</v>
      </c>
      <c r="AR18" s="182" t="str">
        <f>IFERROR(VLOOKUP(UO_List[[#This Row],[Unique_AIB_ID]],Tableau1[[Unique_AIB_ID]:[Building / Room]],19,FALSE),"")</f>
        <v>06/30/20</v>
      </c>
      <c r="AS18" s="182">
        <f>IFERROR(VLOOKUP(UO_List[[#This Row],[Unique_AIB_ID]],Tableau1[[Unique_AIB_ID]:[Building / Room]],20,FALSE),"")</f>
        <v>0</v>
      </c>
      <c r="AT18" s="182">
        <f>IFERROR(VLOOKUP(UO_List[[#This Row],[Unique_AIB_ID]],Tableau1[[Unique_AIB_ID]:[Building / Room]],21,FALSE),"")</f>
        <v>0</v>
      </c>
      <c r="AU18" s="182" t="str">
        <f>IFERROR(VLOOKUP(UO_List[[#This Row],[Unique_AIB_ID]],Tableau1[[Unique_AIB_ID]:[Building / Room]],22,FALSE),"")</f>
        <v>10W / RATA</v>
      </c>
      <c r="AV18" s="171">
        <f>IFERROR(VLOOKUP(UO_List[[#This Row],[Unique_AIB_ID]],Tableau1[[Unique_AIB_ID]:[Currency]],23,FALSE),"")</f>
        <v>0</v>
      </c>
      <c r="AW18" s="171">
        <f>IFERROR(IF(ISBLANK(UO_List[[#This Row],[PO Number (Header)]]),"",UO_List[[#This Row],[Line Total]]/UO_List[[#This Row],[Total Item Quantity]]),"")</f>
        <v>580</v>
      </c>
      <c r="AX18" s="498" t="s">
        <v>948</v>
      </c>
      <c r="AY18" s="171"/>
      <c r="AZ18" s="78" t="s">
        <v>843</v>
      </c>
      <c r="BA18" s="82"/>
      <c r="BB18" s="82"/>
      <c r="BC18" s="78" t="s">
        <v>701</v>
      </c>
      <c r="BD18" s="70" t="s">
        <v>686</v>
      </c>
      <c r="BE18" s="78"/>
      <c r="BF18" s="78" t="s">
        <v>193</v>
      </c>
      <c r="BG18" s="78"/>
      <c r="BH18" s="78" t="s">
        <v>880</v>
      </c>
      <c r="BI18" s="78" t="s">
        <v>983</v>
      </c>
      <c r="BJ18" s="493"/>
      <c r="BK18" s="79">
        <v>43831</v>
      </c>
      <c r="BL18" s="79">
        <v>43921</v>
      </c>
      <c r="BM18" s="550">
        <v>5</v>
      </c>
      <c r="BN18" s="71">
        <f>IFERROR(UO_List[[#This Row],[Total Item Quantity]]-UO_List[[#This Row],[Facteur]],"")</f>
        <v>0</v>
      </c>
      <c r="BO18" s="349">
        <f>IFERROR(IF(ISBLANK(UO_List[[#This Row],[Id_UO]]),"",SUMPRODUCT(1*(EXACT(UO_List[[#This Row],[Id_UO]],CATALOGUE[Id_WU]))*CATALOGUE[Price $])),"")</f>
        <v>580</v>
      </c>
      <c r="BP18" s="350">
        <f>IFERROR(UO_List[[#This Row],[Prix unitaire]]*UO_List[[#This Row],[Facteur]],"")</f>
        <v>2900</v>
      </c>
      <c r="BQ18" s="100">
        <f>IFERROR(SUMPRODUCT(1*(EXACT(UO_List[[#This Row],[Id_UO]],CATALOGUE[Id_WU]))*CATALOGUE[Global_Workload_PM_(d)]*UO_List[[#This Row],[Facteur]]),"")</f>
        <v>0.75000000000000011</v>
      </c>
      <c r="BR18" s="286">
        <f>UO_List[[#This Row],[Jours GP]]/jours_an</f>
        <v>3.4722222222222229E-3</v>
      </c>
      <c r="BS18" s="72">
        <f>IFERROR(SUMPRODUCT(1*(EXACT(UO_List[[#This Row],[Id_UO]],CATALOGUE[Id_WU]))*CATALOGUE[Global_Workload_Tech_(d)]*UO_List[[#This Row],[Facteur]]),"")</f>
        <v>4.25</v>
      </c>
      <c r="BT18" s="286">
        <f>UO_List[[#This Row],[Jours Tech]]/jours_an</f>
        <v>1.9675925925925927E-2</v>
      </c>
      <c r="BU18" s="72">
        <f>UO_List[[#This Row],[Jours GP]]+UO_List[[#This Row],[Jours Tech]]</f>
        <v>5</v>
      </c>
      <c r="BV18" s="286">
        <f>UO_List[[#This Row],[ETP GP]]+UO_List[[#This Row],[ETP Tech]]</f>
        <v>2.314814814814815E-2</v>
      </c>
      <c r="BW18" s="73" t="s">
        <v>209</v>
      </c>
      <c r="BX18" s="515" t="s">
        <v>203</v>
      </c>
      <c r="BY18" s="462">
        <f>IF(UO_List[[#This Row],[Budget Revue]]="x",UO_List[[#This Row],[Montant TOTAL]],0)</f>
        <v>2900</v>
      </c>
      <c r="BZ18" s="80">
        <f>IF(UO_List[[#This Row],[Budget Revue]]="x",UO_List[[#This Row],[Jours Tech]],0)</f>
        <v>4.25</v>
      </c>
      <c r="CA18" s="80">
        <f>IF(UO_List[[#This Row],[Budget Revue]]="x",UO_List[[#This Row],[Jours GP]],0)</f>
        <v>0.75000000000000011</v>
      </c>
      <c r="CB18" s="516">
        <f>IF(AND(UO_List[[#This Row],[Budget Revue]]="x",$BK18&lt;&gt;"",$BL18&lt;&gt;"",YEAR(BB$3)=YEAR($BK18),MONTH(BB$3)&gt;=MONTH($BK18),MONTH(BB$3)&lt;=MONTH($BL18)),$BS18/(MONTH($BL18)-MONTH($BK18)+1),"")</f>
        <v>1.4166666666666667</v>
      </c>
      <c r="CC18" s="80">
        <f>IF(AND(UO_List[[#This Row],[Budget Revue]]="x",$BK18&lt;&gt;"",$BL18&lt;&gt;"",YEAR(BC$3)=YEAR($BK18),MONTH(BC$3)&gt;=MONTH($BK18),MONTH(BC$3)&lt;=MONTH($BL18)),$BS18/(MONTH($BL18)-MONTH($BK18)+1),"")</f>
        <v>1.4166666666666667</v>
      </c>
      <c r="CD18" s="80">
        <f>IF(AND(UO_List[[#This Row],[Budget Revue]]="x",$BK18&lt;&gt;"",$BL18&lt;&gt;"",YEAR(BD$3)=YEAR($BK18),MONTH(BD$3)&gt;=MONTH($BK18),MONTH(BD$3)&lt;=MONTH($BL18)),$BS18/(MONTH($BL18)-MONTH($BK18)+1),"")</f>
        <v>1.4166666666666667</v>
      </c>
      <c r="CE18" s="80" t="str">
        <f>IF(AND(UO_List[[#This Row],[Budget Revue]]="x",$BK18&lt;&gt;"",$BL18&lt;&gt;"",YEAR(BE$3)=YEAR($BK18),MONTH(BE$3)&gt;=MONTH($BK18),MONTH(BE$3)&lt;=MONTH($BL18)),$BS18/(MONTH($BL18)-MONTH($BK18)+1),"")</f>
        <v/>
      </c>
      <c r="CF18" s="80" t="str">
        <f>IF(AND(UO_List[[#This Row],[Budget Revue]]="x",$BK18&lt;&gt;"",$BL18&lt;&gt;"",YEAR(BF$3)=YEAR($BK18),MONTH(BF$3)&gt;=MONTH($BK18),MONTH(BF$3)&lt;=MONTH($BL18)),$BS18/(MONTH($BL18)-MONTH($BK18)+1),"")</f>
        <v/>
      </c>
      <c r="CG18" s="80" t="str">
        <f>IF(AND(UO_List[[#This Row],[Budget Revue]]="x",$BK18&lt;&gt;"",$BL18&lt;&gt;"",YEAR(BG$3)=YEAR($BK18),MONTH(BG$3)&gt;=MONTH($BK18),MONTH(BG$3)&lt;=MONTH($BL18)),$BS18/(MONTH($BL18)-MONTH($BK18)+1),"")</f>
        <v/>
      </c>
      <c r="CH18" s="80" t="str">
        <f>IF(AND(UO_List[[#This Row],[Budget Revue]]="x",$BK18&lt;&gt;"",$BL18&lt;&gt;"",YEAR(BH$3)=YEAR($BK18),MONTH(BH$3)&gt;=MONTH($BK18),MONTH(BH$3)&lt;=MONTH($BL18)),$BS18/(MONTH($BL18)-MONTH($BK18)+1),"")</f>
        <v/>
      </c>
      <c r="CI18" s="80" t="str">
        <f>IF(AND(UO_List[[#This Row],[Budget Revue]]="x",$BK18&lt;&gt;"",$BL18&lt;&gt;"",YEAR(BI$3)=YEAR($BK18),MONTH(BI$3)&gt;=MONTH($BK18),MONTH(BI$3)&lt;=MONTH($BL18)),$BS18/(MONTH($BL18)-MONTH($BK18)+1),"")</f>
        <v/>
      </c>
      <c r="CJ18" s="80" t="str">
        <f>IF(AND(UO_List[[#This Row],[Budget Revue]]="x",$BK18&lt;&gt;"",$BL18&lt;&gt;"",YEAR(BJ$3)=YEAR($BK18),MONTH(BJ$3)&gt;=MONTH($BK18),MONTH(BJ$3)&lt;=MONTH($BL18)),$BS18/(MONTH($BL18)-MONTH($BK18)+1),"")</f>
        <v/>
      </c>
      <c r="CK18" s="80" t="str">
        <f>IF(AND(UO_List[[#This Row],[Budget Revue]]="x",$BK18&lt;&gt;"",$BL18&lt;&gt;"",YEAR(BK$3)=YEAR($BK18),MONTH(BK$3)&gt;=MONTH($BK18),MONTH(BK$3)&lt;=MONTH($BL18)),$BS18/(MONTH($BL18)-MONTH($BK18)+1),"")</f>
        <v/>
      </c>
      <c r="CL18" s="80" t="str">
        <f>IF(AND(UO_List[[#This Row],[Budget Revue]]="x",$BK18&lt;&gt;"",$BL18&lt;&gt;"",YEAR(BL$3)=YEAR($BK18),MONTH(BL$3)&gt;=MONTH($BK18),MONTH(BL$3)&lt;=MONTH($BL18)),$BS18/(MONTH($BL18)-MONTH($BK18)+1),"")</f>
        <v/>
      </c>
      <c r="CM18" s="80" t="str">
        <f>IF(AND(UO_List[[#This Row],[Budget Revue]]="x",$BK18&lt;&gt;"",$BL18&lt;&gt;"",YEAR(BM$3)=YEAR($BK18),MONTH(BM$3)&gt;=MONTH($BK18),MONTH(BM$3)&lt;=MONTH($BL18)),$BS18/(MONTH($BL18)-MONTH($BK18)+1),"")</f>
        <v/>
      </c>
      <c r="CN18" s="75">
        <f>IF(UO_List[[#This Row],[Budget Revue]]="x",SUM(UO_List[[#This Row],[JANVIER]:[DECEMBRE]])-UO_List[[#This Row],[Jours Tech]],"")</f>
        <v>0</v>
      </c>
      <c r="CO18" s="348">
        <f>IF(AND(UO_List[[#This Row],[Budget Revue]]="x",$BK18&lt;&gt;"",$BL18&lt;&gt;"",YEAR(BO$3)=YEAR($BK18),MONTH(BO$3)&gt;=MONTH($BK18),MONTH(BO$3)&lt;=MONTH($BL18)),UO_List[[#This Row],[Montant TOTAL]]/(MONTH($BL18)-MONTH($BK18)+1),"")</f>
        <v>966.66666666666663</v>
      </c>
      <c r="CP18" s="348">
        <f>IF(AND(UO_List[[#This Row],[Budget Revue]]="x",$BK18&lt;&gt;"",$BL18&lt;&gt;"",YEAR(BP$3)=YEAR($BK18),MONTH(BP$3)&gt;=MONTH($BK18),MONTH(BP$3)&lt;=MONTH($BL18)),UO_List[[#This Row],[Montant TOTAL]]/(MONTH($BL18)-MONTH($BK18)+1),"")</f>
        <v>966.66666666666663</v>
      </c>
      <c r="CQ18" s="348">
        <f>IF(AND(UO_List[[#This Row],[Budget Revue]]="x",$BK18&lt;&gt;"",$BL18&lt;&gt;"",YEAR(BQ$3)=YEAR($BK18),MONTH(BQ$3)&gt;=MONTH($BK18),MONTH(BQ$3)&lt;=MONTH($BL18)),UO_List[[#This Row],[Montant TOTAL]]/(MONTH($BL18)-MONTH($BK18)+1),"")</f>
        <v>966.66666666666663</v>
      </c>
      <c r="CR18" s="348" t="str">
        <f>IF(AND(UO_List[[#This Row],[Budget Revue]]="x",$BK18&lt;&gt;"",$BL18&lt;&gt;"",YEAR(BR$3)=YEAR($BK18),MONTH(BR$3)&gt;=MONTH($BK18),MONTH(BR$3)&lt;=MONTH($BL18)),UO_List[[#This Row],[Montant TOTAL]]/(MONTH($BL18)-MONTH($BK18)+1),"")</f>
        <v/>
      </c>
      <c r="CS18" s="348" t="str">
        <f>IF(AND(UO_List[[#This Row],[Budget Revue]]="x",$BK18&lt;&gt;"",$BL18&lt;&gt;"",YEAR(BS$3)=YEAR($BK18),MONTH(BS$3)&gt;=MONTH($BK18),MONTH(BS$3)&lt;=MONTH($BL18)),UO_List[[#This Row],[Montant TOTAL]]/(MONTH($BL18)-MONTH($BK18)+1),"")</f>
        <v/>
      </c>
      <c r="CT18" s="348" t="str">
        <f>IF(AND(UO_List[[#This Row],[Budget Revue]]="x",$BK18&lt;&gt;"",$BL18&lt;&gt;"",YEAR(BT$3)=YEAR($BK18),MONTH(BT$3)&gt;=MONTH($BK18),MONTH(BT$3)&lt;=MONTH($BL18)),UO_List[[#This Row],[Montant TOTAL]]/(MONTH($BL18)-MONTH($BK18)+1),"")</f>
        <v/>
      </c>
      <c r="CU18" s="348" t="str">
        <f>IF(AND(UO_List[[#This Row],[Budget Revue]]="x",$BK18&lt;&gt;"",$BL18&lt;&gt;"",YEAR(BU$3)=YEAR($BK18),MONTH(BU$3)&gt;=MONTH($BK18),MONTH(BU$3)&lt;=MONTH($BL18)),UO_List[[#This Row],[Montant TOTAL]]/(MONTH($BL18)-MONTH($BK18)+1),"")</f>
        <v/>
      </c>
      <c r="CV18" s="348" t="str">
        <f>IF(AND(UO_List[[#This Row],[Budget Revue]]="x",$BK18&lt;&gt;"",$BL18&lt;&gt;"",YEAR(BV$3)=YEAR($BK18),MONTH(BV$3)&gt;=MONTH($BK18),MONTH(BV$3)&lt;=MONTH($BL18)),UO_List[[#This Row],[Montant TOTAL]]/(MONTH($BL18)-MONTH($BK18)+1),"")</f>
        <v/>
      </c>
      <c r="CW18" s="348" t="str">
        <f>IF(AND(UO_List[[#This Row],[Budget Revue]]="x",$BK18&lt;&gt;"",$BL18&lt;&gt;"",YEAR(BW$3)=YEAR($BK18),MONTH(BW$3)&gt;=MONTH($BK18),MONTH(BW$3)&lt;=MONTH($BL18)),UO_List[[#This Row],[Montant TOTAL]]/(MONTH($BL18)-MONTH($BK18)+1),"")</f>
        <v/>
      </c>
      <c r="CX18" s="348" t="str">
        <f>IF(AND(UO_List[[#This Row],[Budget Revue]]="x",$BK18&lt;&gt;"",$BL18&lt;&gt;"",YEAR(BX$3)=YEAR($BK18),MONTH(BX$3)&gt;=MONTH($BK18),MONTH(BX$3)&lt;=MONTH($BL18)),UO_List[[#This Row],[Montant TOTAL]]/(MONTH($BL18)-MONTH($BK18)+1),"")</f>
        <v/>
      </c>
      <c r="CY18" s="348" t="str">
        <f>IF(AND(UO_List[[#This Row],[Budget Revue]]="x",$BK18&lt;&gt;"",$BL18&lt;&gt;"",YEAR(BY$3)=YEAR($BK18),MONTH(BY$3)&gt;=MONTH($BK18),MONTH(BY$3)&lt;=MONTH($BL18)),UO_List[[#This Row],[Montant TOTAL]]/(MONTH($BL18)-MONTH($BK18)+1),"")</f>
        <v/>
      </c>
      <c r="CZ18" s="348" t="str">
        <f>IF(AND(UO_List[[#This Row],[Budget Revue]]="x",$BK18&lt;&gt;"",$BL18&lt;&gt;"",YEAR(BY$3)=YEAR($BK18),MONTH(BY$3)&gt;=MONTH($BK18),MONTH(BY$3)&lt;=MONTH($BL18)),UO_List[[#This Row],[Montant TOTAL]]/(MONTH($BL18)-MONTH($BK18)+1),"")</f>
        <v/>
      </c>
      <c r="DA18" s="348">
        <f>IF(UO_List[[#This Row],[Budget Revue]]="x",SUM(UO_List[[#This Row],[JANVIER2]:[DECEMBRE2]])-UO_List[Montant TOTAL],"")</f>
        <v>0</v>
      </c>
      <c r="DB18" s="517">
        <v>5</v>
      </c>
      <c r="DC18" s="83"/>
      <c r="DD18" s="83"/>
      <c r="DE18" s="504"/>
      <c r="DF18" s="83"/>
      <c r="DG18" s="83"/>
      <c r="DH18" s="83"/>
      <c r="DI18" s="83"/>
      <c r="DJ18" s="83"/>
      <c r="DK18" s="83"/>
      <c r="DL18" s="83"/>
      <c r="DM18" s="83"/>
      <c r="DN18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5</v>
      </c>
      <c r="DO18" s="76">
        <f>IFERROR(UO_List[[#This Row],[Line Total]]-UO_List[[#This Row],[Montant total réceptionné]],"")</f>
        <v>0</v>
      </c>
      <c r="DP18" s="76">
        <f>IFERROR(UO_List[[#This Row],[Total item réceptionné]]*UO_List[[#This Row],[Unit Price (calcul)]],0)</f>
        <v>2900</v>
      </c>
      <c r="DQ18" s="76">
        <f>UO_List[[#This Row],[Facteur]]-UO_List[[#This Row],[Total item réceptionné]]</f>
        <v>0</v>
      </c>
      <c r="DR18" s="77"/>
      <c r="DS18" s="77"/>
      <c r="DT18" s="158"/>
      <c r="DU18" s="77"/>
    </row>
    <row r="19" spans="27:125" s="74" customFormat="1" ht="33.75" customHeight="1">
      <c r="AA19" s="188" t="str">
        <f>IFERROR(VLOOKUP(UO_List[[#This Row],[Unique_AIB_ID]],Tableau1[[Unique_AIB_ID]:[Building / Room]],2,FALSE),"")</f>
        <v>D000466461</v>
      </c>
      <c r="AB19" s="208">
        <f>IFERROR(VLOOKUP(UO_List[[#This Row],[Unique_AIB_ID]],UO_Contract!A18:V207,3,TRUE),"")</f>
        <v>0</v>
      </c>
      <c r="AC19" s="194" t="str">
        <f>IFERROR(VLOOKUP(UO_List[[#This Row],[Unique_AIB_ID]],Tableau1[[Unique_AIB_ID]:[Building / Room]],4,FALSE),"")</f>
        <v>WPA - SII - PJOP - Airbus - WD1701094 - Flight and Integration Test CT1705359</v>
      </c>
      <c r="AD19" s="193">
        <f>IFERROR(VLOOKUP(UO_List[[#This Row],[Unique_AIB_ID]],Tableau1[[Unique_AIB_ID]:[Building / Room]],5,FALSE),"")</f>
        <v>0</v>
      </c>
      <c r="AE19" s="193">
        <f>IFERROR(VLOOKUP(UO_List[[#This Row],[Unique_AIB_ID]],Tableau1[[Unique_AIB_ID]:[Building / Room]],6,FALSE),"")</f>
        <v>1</v>
      </c>
      <c r="AF19" s="193" t="str">
        <f>IFERROR(VLOOKUP(UO_List[[#This Row],[Unique_AIB_ID]],Tableau1[[Unique_AIB_ID]:[Building / Room]],7,FALSE),"")</f>
        <v>5 Each of WU_F&amp;LG_TLS_T_2 TESTS SUPPORT In Toulouse [PJE_SII_EVYP_USD_AIRBUS_FR]</v>
      </c>
      <c r="AG19" s="193">
        <f>IFERROR(VLOOKUP(UO_List[[#This Row],[Unique_AIB_ID]],Tableau1[[Unique_AIB_ID]:[Building / Room]],8,FALSE),"")</f>
        <v>5</v>
      </c>
      <c r="AH19" s="195">
        <f>IFERROR(VALUE(VLOOKUP(UO_List[[#This Row],[Unique_AIB_ID]],Tableau1[[Unique_AIB_ID]:[Building / Room]],9,FALSE)),"")</f>
        <v>2900</v>
      </c>
      <c r="AI19" s="193">
        <f>IFERROR(VLOOKUP(UO_List[[#This Row],[Unique_AIB_ID]],Tableau1[[Unique_AIB_ID]:[Building / Room]],10,TRUE),"")</f>
        <v>0</v>
      </c>
      <c r="AJ19" s="209">
        <f>IFERROR(VLOOKUP(UO_List[[#This Row],[Unique_AIB_ID]],Tableau1[[Unique_AIB_ID]:[Building / Room]],11,FALSE),"")</f>
        <v>0</v>
      </c>
      <c r="AK19" s="193">
        <f>IFERROR(VLOOKUP(UO_List[[#This Row],[Unique_AIB_ID]],Tableau1[[Unique_AIB_ID]:[Building / Room]],12,FALSE),"")</f>
        <v>0</v>
      </c>
      <c r="AL19" s="193">
        <f>IFERROR(VLOOKUP(UO_List[[#This Row],[Unique_AIB_ID]],Tableau1[[Unique_AIB_ID]:[Building / Room]],13,FALSE),"")</f>
        <v>0</v>
      </c>
      <c r="AM19" s="183">
        <f>IFERROR(VLOOKUP(UO_List[[#This Row],[Unique_AIB_ID]],Tableau1[[Unique_AIB_ID]:[Building / Room]],14,FALSE),"")</f>
        <v>0</v>
      </c>
      <c r="AN19" s="183">
        <f>IFERROR(VLOOKUP(UO_List[[#This Row],[Unique_AIB_ID]],Tableau1[[Unique_AIB_ID]:[Building / Room]],15,FALSE),"")</f>
        <v>0</v>
      </c>
      <c r="AO19" s="183">
        <f>IFERROR(VLOOKUP(UO_List[[#This Row],[Unique_AIB_ID]],Tableau1[[Unique_AIB_ID]:[Building / Room]],16,FALSE),"")</f>
        <v>0</v>
      </c>
      <c r="AP19" s="183" t="str">
        <f>IFERROR(VLOOKUP(UO_List[[#This Row],[Unique_AIB_ID]],Tableau1[[Unique_AIB_ID]:[Building / Room]],17,FALSE),"")</f>
        <v>0</v>
      </c>
      <c r="AQ19" s="183">
        <f>IFERROR(VLOOKUP(UO_List[[#This Row],[Unique_AIB_ID]],Tableau1[[Unique_AIB_ID]:[Building / Room]],18,FALSE),"")</f>
        <v>0</v>
      </c>
      <c r="AR19" s="183" t="str">
        <f>IFERROR(VLOOKUP(UO_List[[#This Row],[Unique_AIB_ID]],Tableau1[[Unique_AIB_ID]:[Building / Room]],19,FALSE),"")</f>
        <v>06/30/20</v>
      </c>
      <c r="AS19" s="183">
        <f>IFERROR(VLOOKUP(UO_List[[#This Row],[Unique_AIB_ID]],Tableau1[[Unique_AIB_ID]:[Building / Room]],20,FALSE),"")</f>
        <v>0</v>
      </c>
      <c r="AT19" s="183">
        <f>IFERROR(VLOOKUP(UO_List[[#This Row],[Unique_AIB_ID]],Tableau1[[Unique_AIB_ID]:[Building / Room]],21,FALSE),"")</f>
        <v>0</v>
      </c>
      <c r="AU19" s="183" t="str">
        <f>IFERROR(VLOOKUP(UO_List[[#This Row],[Unique_AIB_ID]],Tableau1[[Unique_AIB_ID]:[Building / Room]],22,FALSE),"")</f>
        <v>10W / RATA</v>
      </c>
      <c r="AV19" s="167">
        <f>IFERROR(VLOOKUP(UO_List[[#This Row],[Unique_AIB_ID]],Tableau1[[Unique_AIB_ID]:[Currency]],23,FALSE),"")</f>
        <v>0</v>
      </c>
      <c r="AW19" s="167">
        <f>IFERROR(IF(ISBLANK(UO_List[[#This Row],[PO Number (Header)]]),"",UO_List[[#This Row],[Line Total]]/UO_List[[#This Row],[Total Item Quantity]]),"")</f>
        <v>580</v>
      </c>
      <c r="AX19" s="498" t="s">
        <v>949</v>
      </c>
      <c r="AY19" s="167"/>
      <c r="AZ19" s="78" t="s">
        <v>843</v>
      </c>
      <c r="BA19" s="82"/>
      <c r="BB19" s="78"/>
      <c r="BC19" s="78" t="s">
        <v>701</v>
      </c>
      <c r="BD19" s="70" t="s">
        <v>686</v>
      </c>
      <c r="BE19" s="78"/>
      <c r="BF19" s="78" t="s">
        <v>193</v>
      </c>
      <c r="BG19" s="78"/>
      <c r="BH19" s="78" t="s">
        <v>881</v>
      </c>
      <c r="BI19" s="78" t="s">
        <v>830</v>
      </c>
      <c r="BJ19" s="493"/>
      <c r="BK19" s="79">
        <v>43831</v>
      </c>
      <c r="BL19" s="79">
        <v>43921</v>
      </c>
      <c r="BM19" s="71">
        <v>5</v>
      </c>
      <c r="BN19" s="71">
        <f>IFERROR(UO_List[[#This Row],[Total Item Quantity]]-UO_List[[#This Row],[Facteur]],"")</f>
        <v>0</v>
      </c>
      <c r="BO19" s="349">
        <f>IFERROR(IF(ISBLANK(UO_List[[#This Row],[Id_UO]]),"",SUMPRODUCT(1*(EXACT(UO_List[[#This Row],[Id_UO]],CATALOGUE[Id_WU]))*CATALOGUE[Price $])),"")</f>
        <v>580</v>
      </c>
      <c r="BP19" s="350">
        <f>IFERROR(UO_List[[#This Row],[Prix unitaire]]*UO_List[[#This Row],[Facteur]],"")</f>
        <v>2900</v>
      </c>
      <c r="BQ19" s="100">
        <f>IFERROR(SUMPRODUCT(1*(EXACT(UO_List[[#This Row],[Id_UO]],CATALOGUE[Id_WU]))*CATALOGUE[Global_Workload_PM_(d)]*UO_List[[#This Row],[Facteur]]),"")</f>
        <v>0.75000000000000011</v>
      </c>
      <c r="BR19" s="286">
        <f>UO_List[[#This Row],[Jours GP]]/jours_an</f>
        <v>3.4722222222222229E-3</v>
      </c>
      <c r="BS19" s="72">
        <f>IFERROR(SUMPRODUCT(1*(EXACT(UO_List[[#This Row],[Id_UO]],CATALOGUE[Id_WU]))*CATALOGUE[Global_Workload_Tech_(d)]*UO_List[[#This Row],[Facteur]]),"")</f>
        <v>4.25</v>
      </c>
      <c r="BT19" s="286">
        <f>UO_List[[#This Row],[Jours Tech]]/jours_an</f>
        <v>1.9675925925925927E-2</v>
      </c>
      <c r="BU19" s="72">
        <f>UO_List[[#This Row],[Jours GP]]+UO_List[[#This Row],[Jours Tech]]</f>
        <v>5</v>
      </c>
      <c r="BV19" s="286">
        <f>UO_List[[#This Row],[ETP GP]]+UO_List[[#This Row],[ETP Tech]]</f>
        <v>2.314814814814815E-2</v>
      </c>
      <c r="BW19" s="73" t="s">
        <v>210</v>
      </c>
      <c r="BX19" s="515" t="s">
        <v>203</v>
      </c>
      <c r="BY19" s="462">
        <f>IF(UO_List[[#This Row],[Budget Revue]]="x",UO_List[[#This Row],[Montant TOTAL]],0)</f>
        <v>2900</v>
      </c>
      <c r="BZ19" s="80">
        <f>IF(UO_List[[#This Row],[Budget Revue]]="x",UO_List[[#This Row],[Jours Tech]],0)</f>
        <v>4.25</v>
      </c>
      <c r="CA19" s="80">
        <f>IF(UO_List[[#This Row],[Budget Revue]]="x",UO_List[[#This Row],[Jours GP]],0)</f>
        <v>0.75000000000000011</v>
      </c>
      <c r="CB19" s="516">
        <f>IF(AND(UO_List[[#This Row],[Budget Revue]]="x",$BK19&lt;&gt;"",$BL19&lt;&gt;"",YEAR(BB$3)=YEAR($BK19),MONTH(BB$3)&gt;=MONTH($BK19),MONTH(BB$3)&lt;=MONTH($BL19)),$BS19/(MONTH($BL19)-MONTH($BK19)+1),"")</f>
        <v>1.4166666666666667</v>
      </c>
      <c r="CC19" s="80">
        <f>IF(AND(UO_List[[#This Row],[Budget Revue]]="x",$BK19&lt;&gt;"",$BL19&lt;&gt;"",YEAR(BC$3)=YEAR($BK19),MONTH(BC$3)&gt;=MONTH($BK19),MONTH(BC$3)&lt;=MONTH($BL19)),$BS19/(MONTH($BL19)-MONTH($BK19)+1),"")</f>
        <v>1.4166666666666667</v>
      </c>
      <c r="CD19" s="80">
        <f>IF(AND(UO_List[[#This Row],[Budget Revue]]="x",$BK19&lt;&gt;"",$BL19&lt;&gt;"",YEAR(BD$3)=YEAR($BK19),MONTH(BD$3)&gt;=MONTH($BK19),MONTH(BD$3)&lt;=MONTH($BL19)),$BS19/(MONTH($BL19)-MONTH($BK19)+1),"")</f>
        <v>1.4166666666666667</v>
      </c>
      <c r="CE19" s="80" t="str">
        <f>IF(AND(UO_List[[#This Row],[Budget Revue]]="x",$BK19&lt;&gt;"",$BL19&lt;&gt;"",YEAR(BE$3)=YEAR($BK19),MONTH(BE$3)&gt;=MONTH($BK19),MONTH(BE$3)&lt;=MONTH($BL19)),$BS19/(MONTH($BL19)-MONTH($BK19)+1),"")</f>
        <v/>
      </c>
      <c r="CF19" s="80" t="str">
        <f>IF(AND(UO_List[[#This Row],[Budget Revue]]="x",$BK19&lt;&gt;"",$BL19&lt;&gt;"",YEAR(BF$3)=YEAR($BK19),MONTH(BF$3)&gt;=MONTH($BK19),MONTH(BF$3)&lt;=MONTH($BL19)),$BS19/(MONTH($BL19)-MONTH($BK19)+1),"")</f>
        <v/>
      </c>
      <c r="CG19" s="80" t="str">
        <f>IF(AND(UO_List[[#This Row],[Budget Revue]]="x",$BK19&lt;&gt;"",$BL19&lt;&gt;"",YEAR(BG$3)=YEAR($BK19),MONTH(BG$3)&gt;=MONTH($BK19),MONTH(BG$3)&lt;=MONTH($BL19)),$BS19/(MONTH($BL19)-MONTH($BK19)+1),"")</f>
        <v/>
      </c>
      <c r="CH19" s="80" t="str">
        <f>IF(AND(UO_List[[#This Row],[Budget Revue]]="x",$BK19&lt;&gt;"",$BL19&lt;&gt;"",YEAR(BH$3)=YEAR($BK19),MONTH(BH$3)&gt;=MONTH($BK19),MONTH(BH$3)&lt;=MONTH($BL19)),$BS19/(MONTH($BL19)-MONTH($BK19)+1),"")</f>
        <v/>
      </c>
      <c r="CI19" s="80" t="str">
        <f>IF(AND(UO_List[[#This Row],[Budget Revue]]="x",$BK19&lt;&gt;"",$BL19&lt;&gt;"",YEAR(BI$3)=YEAR($BK19),MONTH(BI$3)&gt;=MONTH($BK19),MONTH(BI$3)&lt;=MONTH($BL19)),$BS19/(MONTH($BL19)-MONTH($BK19)+1),"")</f>
        <v/>
      </c>
      <c r="CJ19" s="80" t="str">
        <f>IF(AND(UO_List[[#This Row],[Budget Revue]]="x",$BK19&lt;&gt;"",$BL19&lt;&gt;"",YEAR(BJ$3)=YEAR($BK19),MONTH(BJ$3)&gt;=MONTH($BK19),MONTH(BJ$3)&lt;=MONTH($BL19)),$BS19/(MONTH($BL19)-MONTH($BK19)+1),"")</f>
        <v/>
      </c>
      <c r="CK19" s="80" t="str">
        <f>IF(AND(UO_List[[#This Row],[Budget Revue]]="x",$BK19&lt;&gt;"",$BL19&lt;&gt;"",YEAR(BK$3)=YEAR($BK19),MONTH(BK$3)&gt;=MONTH($BK19),MONTH(BK$3)&lt;=MONTH($BL19)),$BS19/(MONTH($BL19)-MONTH($BK19)+1),"")</f>
        <v/>
      </c>
      <c r="CL19" s="80" t="str">
        <f>IF(AND(UO_List[[#This Row],[Budget Revue]]="x",$BK19&lt;&gt;"",$BL19&lt;&gt;"",YEAR(BL$3)=YEAR($BK19),MONTH(BL$3)&gt;=MONTH($BK19),MONTH(BL$3)&lt;=MONTH($BL19)),$BS19/(MONTH($BL19)-MONTH($BK19)+1),"")</f>
        <v/>
      </c>
      <c r="CM19" s="80" t="str">
        <f>IF(AND(UO_List[[#This Row],[Budget Revue]]="x",$BK19&lt;&gt;"",$BL19&lt;&gt;"",YEAR(BM$3)=YEAR($BK19),MONTH(BM$3)&gt;=MONTH($BK19),MONTH(BM$3)&lt;=MONTH($BL19)),$BS19/(MONTH($BL19)-MONTH($BK19)+1),"")</f>
        <v/>
      </c>
      <c r="CN19" s="75">
        <f>IF(UO_List[[#This Row],[Budget Revue]]="x",SUM(UO_List[[#This Row],[JANVIER]:[DECEMBRE]])-UO_List[[#This Row],[Jours Tech]],"")</f>
        <v>0</v>
      </c>
      <c r="CO19" s="348">
        <f>IF(AND(UO_List[[#This Row],[Budget Revue]]="x",$BK19&lt;&gt;"",$BL19&lt;&gt;"",YEAR(BO$3)=YEAR($BK19),MONTH(BO$3)&gt;=MONTH($BK19),MONTH(BO$3)&lt;=MONTH($BL19)),UO_List[[#This Row],[Montant TOTAL]]/(MONTH($BL19)-MONTH($BK19)+1),"")</f>
        <v>966.66666666666663</v>
      </c>
      <c r="CP19" s="348">
        <f>IF(AND(UO_List[[#This Row],[Budget Revue]]="x",$BK19&lt;&gt;"",$BL19&lt;&gt;"",YEAR(BP$3)=YEAR($BK19),MONTH(BP$3)&gt;=MONTH($BK19),MONTH(BP$3)&lt;=MONTH($BL19)),UO_List[[#This Row],[Montant TOTAL]]/(MONTH($BL19)-MONTH($BK19)+1),"")</f>
        <v>966.66666666666663</v>
      </c>
      <c r="CQ19" s="348">
        <f>IF(AND(UO_List[[#This Row],[Budget Revue]]="x",$BK19&lt;&gt;"",$BL19&lt;&gt;"",YEAR(BQ$3)=YEAR($BK19),MONTH(BQ$3)&gt;=MONTH($BK19),MONTH(BQ$3)&lt;=MONTH($BL19)),UO_List[[#This Row],[Montant TOTAL]]/(MONTH($BL19)-MONTH($BK19)+1),"")</f>
        <v>966.66666666666663</v>
      </c>
      <c r="CR19" s="348" t="str">
        <f>IF(AND(UO_List[[#This Row],[Budget Revue]]="x",$BK19&lt;&gt;"",$BL19&lt;&gt;"",YEAR(BR$3)=YEAR($BK19),MONTH(BR$3)&gt;=MONTH($BK19),MONTH(BR$3)&lt;=MONTH($BL19)),UO_List[[#This Row],[Montant TOTAL]]/(MONTH($BL19)-MONTH($BK19)+1),"")</f>
        <v/>
      </c>
      <c r="CS19" s="348" t="str">
        <f>IF(AND(UO_List[[#This Row],[Budget Revue]]="x",$BK19&lt;&gt;"",$BL19&lt;&gt;"",YEAR(BS$3)=YEAR($BK19),MONTH(BS$3)&gt;=MONTH($BK19),MONTH(BS$3)&lt;=MONTH($BL19)),UO_List[[#This Row],[Montant TOTAL]]/(MONTH($BL19)-MONTH($BK19)+1),"")</f>
        <v/>
      </c>
      <c r="CT19" s="348" t="str">
        <f>IF(AND(UO_List[[#This Row],[Budget Revue]]="x",$BK19&lt;&gt;"",$BL19&lt;&gt;"",YEAR(BT$3)=YEAR($BK19),MONTH(BT$3)&gt;=MONTH($BK19),MONTH(BT$3)&lt;=MONTH($BL19)),UO_List[[#This Row],[Montant TOTAL]]/(MONTH($BL19)-MONTH($BK19)+1),"")</f>
        <v/>
      </c>
      <c r="CU19" s="348" t="str">
        <f>IF(AND(UO_List[[#This Row],[Budget Revue]]="x",$BK19&lt;&gt;"",$BL19&lt;&gt;"",YEAR(BU$3)=YEAR($BK19),MONTH(BU$3)&gt;=MONTH($BK19),MONTH(BU$3)&lt;=MONTH($BL19)),UO_List[[#This Row],[Montant TOTAL]]/(MONTH($BL19)-MONTH($BK19)+1),"")</f>
        <v/>
      </c>
      <c r="CV19" s="348" t="str">
        <f>IF(AND(UO_List[[#This Row],[Budget Revue]]="x",$BK19&lt;&gt;"",$BL19&lt;&gt;"",YEAR(BV$3)=YEAR($BK19),MONTH(BV$3)&gt;=MONTH($BK19),MONTH(BV$3)&lt;=MONTH($BL19)),UO_List[[#This Row],[Montant TOTAL]]/(MONTH($BL19)-MONTH($BK19)+1),"")</f>
        <v/>
      </c>
      <c r="CW19" s="348" t="str">
        <f>IF(AND(UO_List[[#This Row],[Budget Revue]]="x",$BK19&lt;&gt;"",$BL19&lt;&gt;"",YEAR(BW$3)=YEAR($BK19),MONTH(BW$3)&gt;=MONTH($BK19),MONTH(BW$3)&lt;=MONTH($BL19)),UO_List[[#This Row],[Montant TOTAL]]/(MONTH($BL19)-MONTH($BK19)+1),"")</f>
        <v/>
      </c>
      <c r="CX19" s="348" t="str">
        <f>IF(AND(UO_List[[#This Row],[Budget Revue]]="x",$BK19&lt;&gt;"",$BL19&lt;&gt;"",YEAR(BX$3)=YEAR($BK19),MONTH(BX$3)&gt;=MONTH($BK19),MONTH(BX$3)&lt;=MONTH($BL19)),UO_List[[#This Row],[Montant TOTAL]]/(MONTH($BL19)-MONTH($BK19)+1),"")</f>
        <v/>
      </c>
      <c r="CY19" s="348" t="str">
        <f>IF(AND(UO_List[[#This Row],[Budget Revue]]="x",$BK19&lt;&gt;"",$BL19&lt;&gt;"",YEAR(BY$3)=YEAR($BK19),MONTH(BY$3)&gt;=MONTH($BK19),MONTH(BY$3)&lt;=MONTH($BL19)),UO_List[[#This Row],[Montant TOTAL]]/(MONTH($BL19)-MONTH($BK19)+1),"")</f>
        <v/>
      </c>
      <c r="CZ19" s="348" t="str">
        <f>IF(AND(UO_List[[#This Row],[Budget Revue]]="x",$BK19&lt;&gt;"",$BL19&lt;&gt;"",YEAR(BY$3)=YEAR($BK19),MONTH(BY$3)&gt;=MONTH($BK19),MONTH(BY$3)&lt;=MONTH($BL19)),UO_List[[#This Row],[Montant TOTAL]]/(MONTH($BL19)-MONTH($BK19)+1),"")</f>
        <v/>
      </c>
      <c r="DA19" s="348">
        <f>IF(UO_List[[#This Row],[Budget Revue]]="x",SUM(UO_List[[#This Row],[JANVIER2]:[DECEMBRE2]])-UO_List[Montant TOTAL],"")</f>
        <v>0</v>
      </c>
      <c r="DB19" s="83"/>
      <c r="DC19" s="83"/>
      <c r="DD19" s="83"/>
      <c r="DE19" s="559"/>
      <c r="DF19" s="560"/>
      <c r="DG19" s="560"/>
      <c r="DH19" s="83">
        <v>2</v>
      </c>
      <c r="DI19" s="83">
        <v>3</v>
      </c>
      <c r="DJ19" s="83"/>
      <c r="DK19" s="83"/>
      <c r="DL19" s="83"/>
      <c r="DM19" s="83"/>
      <c r="DN19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5</v>
      </c>
      <c r="DO19" s="76">
        <f>IFERROR(UO_List[[#This Row],[Line Total]]-UO_List[[#This Row],[Montant total réceptionné]],"")</f>
        <v>0</v>
      </c>
      <c r="DP19" s="76">
        <f>IFERROR(UO_List[[#This Row],[Total item réceptionné]]*UO_List[[#This Row],[Unit Price (calcul)]],0)</f>
        <v>2900</v>
      </c>
      <c r="DQ19" s="76">
        <f>UO_List[[#This Row],[Facteur]]-UO_List[[#This Row],[Total item réceptionné]]</f>
        <v>0</v>
      </c>
      <c r="DR19" s="77"/>
      <c r="DS19" s="77"/>
      <c r="DT19" s="8" t="s">
        <v>1020</v>
      </c>
      <c r="DU19" s="77"/>
    </row>
    <row r="20" spans="27:125" s="74" customFormat="1">
      <c r="AA20" s="188" t="str">
        <f>IFERROR(VLOOKUP(UO_List[[#This Row],[Unique_AIB_ID]],Tableau1[[Unique_AIB_ID]:[Building / Room]],2,FALSE),"")</f>
        <v>D000480993</v>
      </c>
      <c r="AB20" s="189">
        <f>IFERROR(VLOOKUP(UO_List[[#This Row],[Unique_AIB_ID]],UO_Contract!A19:V208,3,TRUE),"")</f>
        <v>0</v>
      </c>
      <c r="AC20" s="188" t="str">
        <f>IFERROR(VLOOKUP(UO_List[[#This Row],[Unique_AIB_ID]],Tableau1[[Unique_AIB_ID]:[Building / Room]],4,FALSE),"")</f>
        <v>WPA - SII - PJOP - Airbus - WD1701094 - Flight and Integration Test CT1705359</v>
      </c>
      <c r="AD20" s="189">
        <f>IFERROR(VLOOKUP(UO_List[[#This Row],[Unique_AIB_ID]],Tableau1[[Unique_AIB_ID]:[Building / Room]],5,FALSE),"")</f>
        <v>0</v>
      </c>
      <c r="AE20" s="189">
        <f>IFERROR(VLOOKUP(UO_List[[#This Row],[Unique_AIB_ID]],Tableau1[[Unique_AIB_ID]:[Building / Room]],6,FALSE),"")</f>
        <v>1</v>
      </c>
      <c r="AF20" s="189" t="str">
        <f>IFERROR(VLOOKUP(UO_List[[#This Row],[Unique_AIB_ID]],Tableau1[[Unique_AIB_ID]:[Building / Room]],7,FALSE),"")</f>
        <v>15 Each of WU_F&amp;LG_TLS_T_2 TESTS SUPPORT In Toulouse [PJE_SII_EVYP_USD_AIRBUS_FR]</v>
      </c>
      <c r="AG20" s="189">
        <f>IFERROR(VLOOKUP(UO_List[[#This Row],[Unique_AIB_ID]],Tableau1[[Unique_AIB_ID]:[Building / Room]],8,FALSE),"")</f>
        <v>15</v>
      </c>
      <c r="AH20" s="190">
        <f>IFERROR(VALUE(VLOOKUP(UO_List[[#This Row],[Unique_AIB_ID]],Tableau1[[Unique_AIB_ID]:[Building / Room]],9,FALSE)),"")</f>
        <v>8700</v>
      </c>
      <c r="AI20" s="189">
        <f>IFERROR(VLOOKUP(UO_List[[#This Row],[Unique_AIB_ID]],Tableau1[[Unique_AIB_ID]:[Building / Room]],10,TRUE),"")</f>
        <v>0</v>
      </c>
      <c r="AJ20" s="191">
        <f>IFERROR(VLOOKUP(UO_List[[#This Row],[Unique_AIB_ID]],Tableau1[[Unique_AIB_ID]:[Building / Room]],11,FALSE),"")</f>
        <v>0</v>
      </c>
      <c r="AK20" s="189">
        <f>IFERROR(VLOOKUP(UO_List[[#This Row],[Unique_AIB_ID]],Tableau1[[Unique_AIB_ID]:[Building / Room]],12,FALSE),"")</f>
        <v>0</v>
      </c>
      <c r="AL20" s="189">
        <f>IFERROR(VLOOKUP(UO_List[[#This Row],[Unique_AIB_ID]],Tableau1[[Unique_AIB_ID]:[Building / Room]],13,FALSE),"")</f>
        <v>0</v>
      </c>
      <c r="AM20" s="183">
        <f>IFERROR(VLOOKUP(UO_List[[#This Row],[Unique_AIB_ID]],Tableau1[[Unique_AIB_ID]:[Building / Room]],14,FALSE),"")</f>
        <v>0</v>
      </c>
      <c r="AN20" s="183">
        <f>IFERROR(VLOOKUP(UO_List[[#This Row],[Unique_AIB_ID]],Tableau1[[Unique_AIB_ID]:[Building / Room]],15,FALSE),"")</f>
        <v>0</v>
      </c>
      <c r="AO20" s="183">
        <f>IFERROR(VLOOKUP(UO_List[[#This Row],[Unique_AIB_ID]],Tableau1[[Unique_AIB_ID]:[Building / Room]],16,FALSE),"")</f>
        <v>0</v>
      </c>
      <c r="AP20" s="183" t="str">
        <f>IFERROR(VLOOKUP(UO_List[[#This Row],[Unique_AIB_ID]],Tableau1[[Unique_AIB_ID]:[Building / Room]],17,FALSE),"")</f>
        <v>0</v>
      </c>
      <c r="AQ20" s="183">
        <f>IFERROR(VLOOKUP(UO_List[[#This Row],[Unique_AIB_ID]],Tableau1[[Unique_AIB_ID]:[Building / Room]],18,FALSE),"")</f>
        <v>0</v>
      </c>
      <c r="AR20" s="183" t="str">
        <f>IFERROR(VLOOKUP(UO_List[[#This Row],[Unique_AIB_ID]],Tableau1[[Unique_AIB_ID]:[Building / Room]],19,FALSE),"")</f>
        <v>07/03/20</v>
      </c>
      <c r="AS20" s="183">
        <f>IFERROR(VLOOKUP(UO_List[[#This Row],[Unique_AIB_ID]],Tableau1[[Unique_AIB_ID]:[Building / Room]],20,FALSE),"")</f>
        <v>0</v>
      </c>
      <c r="AT20" s="183">
        <f>IFERROR(VLOOKUP(UO_List[[#This Row],[Unique_AIB_ID]],Tableau1[[Unique_AIB_ID]:[Building / Room]],21,FALSE),"")</f>
        <v>0</v>
      </c>
      <c r="AU20" s="183" t="str">
        <f>IFERROR(VLOOKUP(UO_List[[#This Row],[Unique_AIB_ID]],Tableau1[[Unique_AIB_ID]:[Building / Room]],22,FALSE),"")</f>
        <v>10W / 1st Floor</v>
      </c>
      <c r="AV20" s="167">
        <f>IFERROR(VLOOKUP(UO_List[[#This Row],[Unique_AIB_ID]],Tableau1[[Unique_AIB_ID]:[Currency]],23,FALSE),"")</f>
        <v>0</v>
      </c>
      <c r="AW20" s="167">
        <f>IFERROR(IF(ISBLANK(UO_List[[#This Row],[PO Number (Header)]]),"",UO_List[[#This Row],[Line Total]]/UO_List[[#This Row],[Total Item Quantity]]),"")</f>
        <v>580</v>
      </c>
      <c r="AX20" s="498" t="s">
        <v>950</v>
      </c>
      <c r="AY20" s="167"/>
      <c r="AZ20" s="78" t="s">
        <v>843</v>
      </c>
      <c r="BA20" s="82"/>
      <c r="BB20" s="78"/>
      <c r="BC20" s="78" t="s">
        <v>701</v>
      </c>
      <c r="BD20" s="70" t="s">
        <v>686</v>
      </c>
      <c r="BE20" s="78"/>
      <c r="BF20" s="78" t="s">
        <v>8</v>
      </c>
      <c r="BG20" s="78"/>
      <c r="BH20" s="78" t="s">
        <v>882</v>
      </c>
      <c r="BI20" s="78" t="s">
        <v>875</v>
      </c>
      <c r="BJ20" s="493"/>
      <c r="BK20" s="79"/>
      <c r="BL20" s="79"/>
      <c r="BM20" s="71">
        <v>15</v>
      </c>
      <c r="BN20" s="71">
        <f>IFERROR(UO_List[[#This Row],[Total Item Quantity]]-UO_List[[#This Row],[Facteur]],"")</f>
        <v>0</v>
      </c>
      <c r="BO20" s="349">
        <f>IFERROR(IF(ISBLANK(UO_List[[#This Row],[Id_UO]]),"",SUMPRODUCT(1*(EXACT(UO_List[[#This Row],[Id_UO]],CATALOGUE[Id_WU]))*CATALOGUE[Price $])),"")</f>
        <v>580</v>
      </c>
      <c r="BP20" s="350">
        <f>IFERROR(UO_List[[#This Row],[Prix unitaire]]*UO_List[[#This Row],[Facteur]],"")</f>
        <v>8700</v>
      </c>
      <c r="BQ20" s="100">
        <f>IFERROR(SUMPRODUCT(1*(EXACT(UO_List[[#This Row],[Id_UO]],CATALOGUE[Id_WU]))*CATALOGUE[Global_Workload_PM_(d)]*UO_List[[#This Row],[Facteur]]),"")</f>
        <v>2.2500000000000004</v>
      </c>
      <c r="BR20" s="286">
        <f>UO_List[[#This Row],[Jours GP]]/jours_an</f>
        <v>1.041666666666667E-2</v>
      </c>
      <c r="BS20" s="72">
        <f>IFERROR(SUMPRODUCT(1*(EXACT(UO_List[[#This Row],[Id_UO]],CATALOGUE[Id_WU]))*CATALOGUE[Global_Workload_Tech_(d)]*UO_List[[#This Row],[Facteur]]),"")</f>
        <v>12.75</v>
      </c>
      <c r="BT20" s="286">
        <f>UO_List[[#This Row],[Jours Tech]]/jours_an</f>
        <v>5.9027777777777776E-2</v>
      </c>
      <c r="BU20" s="72">
        <f>UO_List[[#This Row],[Jours GP]]+UO_List[[#This Row],[Jours Tech]]</f>
        <v>15</v>
      </c>
      <c r="BV20" s="286">
        <f>UO_List[[#This Row],[ETP GP]]+UO_List[[#This Row],[ETP Tech]]</f>
        <v>6.9444444444444448E-2</v>
      </c>
      <c r="BW20" s="73"/>
      <c r="BX20" s="515" t="s">
        <v>961</v>
      </c>
      <c r="BY20" s="462">
        <f>IF(UO_List[[#This Row],[Budget Revue]]="x",UO_List[[#This Row],[Montant TOTAL]],0)</f>
        <v>8700</v>
      </c>
      <c r="BZ20" s="80">
        <f>IF(UO_List[[#This Row],[Budget Revue]]="x",UO_List[[#This Row],[Jours Tech]],0)</f>
        <v>12.75</v>
      </c>
      <c r="CA20" s="80">
        <f>IF(UO_List[[#This Row],[Budget Revue]]="x",UO_List[[#This Row],[Jours GP]],0)</f>
        <v>2.2500000000000004</v>
      </c>
      <c r="CB20" s="516" t="str">
        <f>IF(AND(UO_List[[#This Row],[Budget Revue]]="x",$BK20&lt;&gt;"",$BL20&lt;&gt;"",YEAR(BB$3)=YEAR($BK20),MONTH(BB$3)&gt;=MONTH($BK20),MONTH(BB$3)&lt;=MONTH($BL20)),$BS20/(MONTH($BL20)-MONTH($BK20)+1),"")</f>
        <v/>
      </c>
      <c r="CC20" s="80" t="str">
        <f>IF(AND(UO_List[[#This Row],[Budget Revue]]="x",$BK20&lt;&gt;"",$BL20&lt;&gt;"",YEAR(BC$3)=YEAR($BK20),MONTH(BC$3)&gt;=MONTH($BK20),MONTH(BC$3)&lt;=MONTH($BL20)),$BS20/(MONTH($BL20)-MONTH($BK20)+1),"")</f>
        <v/>
      </c>
      <c r="CD20" s="80" t="str">
        <f>IF(AND(UO_List[[#This Row],[Budget Revue]]="x",$BK20&lt;&gt;"",$BL20&lt;&gt;"",YEAR(BD$3)=YEAR($BK20),MONTH(BD$3)&gt;=MONTH($BK20),MONTH(BD$3)&lt;=MONTH($BL20)),$BS20/(MONTH($BL20)-MONTH($BK20)+1),"")</f>
        <v/>
      </c>
      <c r="CE20" s="80" t="str">
        <f>IF(AND(UO_List[[#This Row],[Budget Revue]]="x",$BK20&lt;&gt;"",$BL20&lt;&gt;"",YEAR(BE$3)=YEAR($BK20),MONTH(BE$3)&gt;=MONTH($BK20),MONTH(BE$3)&lt;=MONTH($BL20)),$BS20/(MONTH($BL20)-MONTH($BK20)+1),"")</f>
        <v/>
      </c>
      <c r="CF20" s="80" t="str">
        <f>IF(AND(UO_List[[#This Row],[Budget Revue]]="x",$BK20&lt;&gt;"",$BL20&lt;&gt;"",YEAR(BF$3)=YEAR($BK20),MONTH(BF$3)&gt;=MONTH($BK20),MONTH(BF$3)&lt;=MONTH($BL20)),$BS20/(MONTH($BL20)-MONTH($BK20)+1),"")</f>
        <v/>
      </c>
      <c r="CG20" s="80" t="str">
        <f>IF(AND(UO_List[[#This Row],[Budget Revue]]="x",$BK20&lt;&gt;"",$BL20&lt;&gt;"",YEAR(BG$3)=YEAR($BK20),MONTH(BG$3)&gt;=MONTH($BK20),MONTH(BG$3)&lt;=MONTH($BL20)),$BS20/(MONTH($BL20)-MONTH($BK20)+1),"")</f>
        <v/>
      </c>
      <c r="CH20" s="80" t="str">
        <f>IF(AND(UO_List[[#This Row],[Budget Revue]]="x",$BK20&lt;&gt;"",$BL20&lt;&gt;"",YEAR(BH$3)=YEAR($BK20),MONTH(BH$3)&gt;=MONTH($BK20),MONTH(BH$3)&lt;=MONTH($BL20)),$BS20/(MONTH($BL20)-MONTH($BK20)+1),"")</f>
        <v/>
      </c>
      <c r="CI20" s="80" t="str">
        <f>IF(AND(UO_List[[#This Row],[Budget Revue]]="x",$BK20&lt;&gt;"",$BL20&lt;&gt;"",YEAR(BI$3)=YEAR($BK20),MONTH(BI$3)&gt;=MONTH($BK20),MONTH(BI$3)&lt;=MONTH($BL20)),$BS20/(MONTH($BL20)-MONTH($BK20)+1),"")</f>
        <v/>
      </c>
      <c r="CJ20" s="80" t="str">
        <f>IF(AND(UO_List[[#This Row],[Budget Revue]]="x",$BK20&lt;&gt;"",$BL20&lt;&gt;"",YEAR(BJ$3)=YEAR($BK20),MONTH(BJ$3)&gt;=MONTH($BK20),MONTH(BJ$3)&lt;=MONTH($BL20)),$BS20/(MONTH($BL20)-MONTH($BK20)+1),"")</f>
        <v/>
      </c>
      <c r="CK20" s="80" t="str">
        <f>IF(AND(UO_List[[#This Row],[Budget Revue]]="x",$BK20&lt;&gt;"",$BL20&lt;&gt;"",YEAR(BK$3)=YEAR($BK20),MONTH(BK$3)&gt;=MONTH($BK20),MONTH(BK$3)&lt;=MONTH($BL20)),$BS20/(MONTH($BL20)-MONTH($BK20)+1),"")</f>
        <v/>
      </c>
      <c r="CL20" s="80" t="str">
        <f>IF(AND(UO_List[[#This Row],[Budget Revue]]="x",$BK20&lt;&gt;"",$BL20&lt;&gt;"",YEAR(BL$3)=YEAR($BK20),MONTH(BL$3)&gt;=MONTH($BK20),MONTH(BL$3)&lt;=MONTH($BL20)),$BS20/(MONTH($BL20)-MONTH($BK20)+1),"")</f>
        <v/>
      </c>
      <c r="CM20" s="80" t="str">
        <f>IF(AND(UO_List[[#This Row],[Budget Revue]]="x",$BK20&lt;&gt;"",$BL20&lt;&gt;"",YEAR(BM$3)=YEAR($BK20),MONTH(BM$3)&gt;=MONTH($BK20),MONTH(BM$3)&lt;=MONTH($BL20)),$BS20/(MONTH($BL20)-MONTH($BK20)+1),"")</f>
        <v/>
      </c>
      <c r="CN20" s="75">
        <f>IF(UO_List[[#This Row],[Budget Revue]]="x",SUM(UO_List[[#This Row],[JANVIER]:[DECEMBRE]])-UO_List[[#This Row],[Jours Tech]],"")</f>
        <v>-12.75</v>
      </c>
      <c r="CO20" s="348" t="str">
        <f>IF(AND(UO_List[[#This Row],[Budget Revue]]="x",$BK20&lt;&gt;"",$BL20&lt;&gt;"",YEAR(BO$3)=YEAR($BK20),MONTH(BO$3)&gt;=MONTH($BK20),MONTH(BO$3)&lt;=MONTH($BL20)),UO_List[[#This Row],[Montant TOTAL]]/(MONTH($BL20)-MONTH($BK20)+1),"")</f>
        <v/>
      </c>
      <c r="CP20" s="348" t="str">
        <f>IF(AND(UO_List[[#This Row],[Budget Revue]]="x",$BK20&lt;&gt;"",$BL20&lt;&gt;"",YEAR(BP$3)=YEAR($BK20),MONTH(BP$3)&gt;=MONTH($BK20),MONTH(BP$3)&lt;=MONTH($BL20)),UO_List[[#This Row],[Montant TOTAL]]/(MONTH($BL20)-MONTH($BK20)+1),"")</f>
        <v/>
      </c>
      <c r="CQ20" s="348" t="str">
        <f>IF(AND(UO_List[[#This Row],[Budget Revue]]="x",$BK20&lt;&gt;"",$BL20&lt;&gt;"",YEAR(BQ$3)=YEAR($BK20),MONTH(BQ$3)&gt;=MONTH($BK20),MONTH(BQ$3)&lt;=MONTH($BL20)),UO_List[[#This Row],[Montant TOTAL]]/(MONTH($BL20)-MONTH($BK20)+1),"")</f>
        <v/>
      </c>
      <c r="CR20" s="348" t="str">
        <f>IF(AND(UO_List[[#This Row],[Budget Revue]]="x",$BK20&lt;&gt;"",$BL20&lt;&gt;"",YEAR(BR$3)=YEAR($BK20),MONTH(BR$3)&gt;=MONTH($BK20),MONTH(BR$3)&lt;=MONTH($BL20)),UO_List[[#This Row],[Montant TOTAL]]/(MONTH($BL20)-MONTH($BK20)+1),"")</f>
        <v/>
      </c>
      <c r="CS20" s="348" t="str">
        <f>IF(AND(UO_List[[#This Row],[Budget Revue]]="x",$BK20&lt;&gt;"",$BL20&lt;&gt;"",YEAR(BS$3)=YEAR($BK20),MONTH(BS$3)&gt;=MONTH($BK20),MONTH(BS$3)&lt;=MONTH($BL20)),UO_List[[#This Row],[Montant TOTAL]]/(MONTH($BL20)-MONTH($BK20)+1),"")</f>
        <v/>
      </c>
      <c r="CT20" s="348" t="str">
        <f>IF(AND(UO_List[[#This Row],[Budget Revue]]="x",$BK20&lt;&gt;"",$BL20&lt;&gt;"",YEAR(BT$3)=YEAR($BK20),MONTH(BT$3)&gt;=MONTH($BK20),MONTH(BT$3)&lt;=MONTH($BL20)),UO_List[[#This Row],[Montant TOTAL]]/(MONTH($BL20)-MONTH($BK20)+1),"")</f>
        <v/>
      </c>
      <c r="CU20" s="348" t="str">
        <f>IF(AND(UO_List[[#This Row],[Budget Revue]]="x",$BK20&lt;&gt;"",$BL20&lt;&gt;"",YEAR(BU$3)=YEAR($BK20),MONTH(BU$3)&gt;=MONTH($BK20),MONTH(BU$3)&lt;=MONTH($BL20)),UO_List[[#This Row],[Montant TOTAL]]/(MONTH($BL20)-MONTH($BK20)+1),"")</f>
        <v/>
      </c>
      <c r="CV20" s="348" t="str">
        <f>IF(AND(UO_List[[#This Row],[Budget Revue]]="x",$BK20&lt;&gt;"",$BL20&lt;&gt;"",YEAR(BV$3)=YEAR($BK20),MONTH(BV$3)&gt;=MONTH($BK20),MONTH(BV$3)&lt;=MONTH($BL20)),UO_List[[#This Row],[Montant TOTAL]]/(MONTH($BL20)-MONTH($BK20)+1),"")</f>
        <v/>
      </c>
      <c r="CW20" s="348" t="str">
        <f>IF(AND(UO_List[[#This Row],[Budget Revue]]="x",$BK20&lt;&gt;"",$BL20&lt;&gt;"",YEAR(BW$3)=YEAR($BK20),MONTH(BW$3)&gt;=MONTH($BK20),MONTH(BW$3)&lt;=MONTH($BL20)),UO_List[[#This Row],[Montant TOTAL]]/(MONTH($BL20)-MONTH($BK20)+1),"")</f>
        <v/>
      </c>
      <c r="CX20" s="348" t="str">
        <f>IF(AND(UO_List[[#This Row],[Budget Revue]]="x",$BK20&lt;&gt;"",$BL20&lt;&gt;"",YEAR(BX$3)=YEAR($BK20),MONTH(BX$3)&gt;=MONTH($BK20),MONTH(BX$3)&lt;=MONTH($BL20)),UO_List[[#This Row],[Montant TOTAL]]/(MONTH($BL20)-MONTH($BK20)+1),"")</f>
        <v/>
      </c>
      <c r="CY20" s="348" t="str">
        <f>IF(AND(UO_List[[#This Row],[Budget Revue]]="x",$BK20&lt;&gt;"",$BL20&lt;&gt;"",YEAR(BY$3)=YEAR($BK20),MONTH(BY$3)&gt;=MONTH($BK20),MONTH(BY$3)&lt;=MONTH($BL20)),UO_List[[#This Row],[Montant TOTAL]]/(MONTH($BL20)-MONTH($BK20)+1),"")</f>
        <v/>
      </c>
      <c r="CZ20" s="348" t="str">
        <f>IF(AND(UO_List[[#This Row],[Budget Revue]]="x",$BK20&lt;&gt;"",$BL20&lt;&gt;"",YEAR(BY$3)=YEAR($BK20),MONTH(BY$3)&gt;=MONTH($BK20),MONTH(BY$3)&lt;=MONTH($BL20)),UO_List[[#This Row],[Montant TOTAL]]/(MONTH($BL20)-MONTH($BK20)+1),"")</f>
        <v/>
      </c>
      <c r="DA20" s="348">
        <f>IF(UO_List[[#This Row],[Budget Revue]]="x",SUM(UO_List[[#This Row],[JANVIER2]:[DECEMBRE2]])-UO_List[Montant TOTAL],"")</f>
        <v>-8700</v>
      </c>
      <c r="DB20" s="517">
        <v>2</v>
      </c>
      <c r="DC20" s="83"/>
      <c r="DD20" s="83"/>
      <c r="DE20" s="559"/>
      <c r="DF20" s="560"/>
      <c r="DG20" s="560"/>
      <c r="DH20" s="83"/>
      <c r="DI20" s="83">
        <v>2</v>
      </c>
      <c r="DJ20" s="83"/>
      <c r="DK20" s="83"/>
      <c r="DL20" s="83"/>
      <c r="DM20" s="83"/>
      <c r="DN20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4</v>
      </c>
      <c r="DO20" s="76">
        <f>IFERROR(UO_List[[#This Row],[Line Total]]-UO_List[[#This Row],[Montant total réceptionné]],"")</f>
        <v>6380</v>
      </c>
      <c r="DP20" s="76">
        <f>IFERROR(UO_List[[#This Row],[Total item réceptionné]]*UO_List[[#This Row],[Unit Price (calcul)]],0)</f>
        <v>2320</v>
      </c>
      <c r="DQ20" s="76">
        <f>UO_List[[#This Row],[Facteur]]-UO_List[[#This Row],[Total item réceptionné]]</f>
        <v>11</v>
      </c>
      <c r="DR20" s="77"/>
      <c r="DS20" s="77"/>
      <c r="DT20" s="158" t="s">
        <v>1022</v>
      </c>
      <c r="DU20" s="77"/>
    </row>
    <row r="21" spans="27:125" s="74" customFormat="1" ht="37.5" customHeight="1">
      <c r="AA21" s="192" t="str">
        <f>IFERROR(VLOOKUP(UO_List[[#This Row],[Unique_AIB_ID]],Tableau1[[Unique_AIB_ID]:[Building / Room]],2,FALSE),"")</f>
        <v>D000481021</v>
      </c>
      <c r="AB21" s="189">
        <f>IFERROR(VLOOKUP(UO_List[[#This Row],[Unique_AIB_ID]],UO_Contract!A20:V209,3,TRUE),"")</f>
        <v>0</v>
      </c>
      <c r="AC21" s="188" t="str">
        <f>IFERROR(VLOOKUP(UO_List[[#This Row],[Unique_AIB_ID]],Tableau1[[Unique_AIB_ID]:[Building / Room]],4,FALSE),"")</f>
        <v>WPA - SII - PJOP - Airbus - WD1701094 - Flight and Integration Test CT1705359</v>
      </c>
      <c r="AD21" s="189">
        <f>IFERROR(VLOOKUP(UO_List[[#This Row],[Unique_AIB_ID]],Tableau1[[Unique_AIB_ID]:[Building / Room]],5,FALSE),"")</f>
        <v>0</v>
      </c>
      <c r="AE21" s="189">
        <f>IFERROR(VLOOKUP(UO_List[[#This Row],[Unique_AIB_ID]],Tableau1[[Unique_AIB_ID]:[Building / Room]],6,FALSE),"")</f>
        <v>1</v>
      </c>
      <c r="AF21" s="189" t="str">
        <f>IFERROR(VLOOKUP(UO_List[[#This Row],[Unique_AIB_ID]],Tableau1[[Unique_AIB_ID]:[Building / Room]],7,FALSE),"")</f>
        <v>5 Each of WU_F&amp;LG_TLS_T_1[PJE_SII_EVYP_USD_AIRBUS_FR]</v>
      </c>
      <c r="AG21" s="189">
        <f>IFERROR(VLOOKUP(UO_List[[#This Row],[Unique_AIB_ID]],Tableau1[[Unique_AIB_ID]:[Building / Room]],8,FALSE),"")</f>
        <v>5</v>
      </c>
      <c r="AH21" s="190">
        <f>IFERROR(VALUE(VLOOKUP(UO_List[[#This Row],[Unique_AIB_ID]],Tableau1[[Unique_AIB_ID]:[Building / Room]],9,FALSE)),"")</f>
        <v>14000</v>
      </c>
      <c r="AI21" s="189">
        <f>IFERROR(VLOOKUP(UO_List[[#This Row],[Unique_AIB_ID]],Tableau1[[Unique_AIB_ID]:[Building / Room]],10,TRUE),"")</f>
        <v>0</v>
      </c>
      <c r="AJ21" s="191">
        <f>IFERROR(VLOOKUP(UO_List[[#This Row],[Unique_AIB_ID]],Tableau1[[Unique_AIB_ID]:[Building / Room]],11,FALSE),"")</f>
        <v>0</v>
      </c>
      <c r="AK21" s="189">
        <f>IFERROR(VLOOKUP(UO_List[[#This Row],[Unique_AIB_ID]],Tableau1[[Unique_AIB_ID]:[Building / Room]],12,FALSE),"")</f>
        <v>0</v>
      </c>
      <c r="AL21" s="189">
        <f>IFERROR(VLOOKUP(UO_List[[#This Row],[Unique_AIB_ID]],Tableau1[[Unique_AIB_ID]:[Building / Room]],13,FALSE),"")</f>
        <v>0</v>
      </c>
      <c r="AM21" s="183">
        <f>IFERROR(VLOOKUP(UO_List[[#This Row],[Unique_AIB_ID]],Tableau1[[Unique_AIB_ID]:[Building / Room]],14,FALSE),"")</f>
        <v>0</v>
      </c>
      <c r="AN21" s="183">
        <f>IFERROR(VLOOKUP(UO_List[[#This Row],[Unique_AIB_ID]],Tableau1[[Unique_AIB_ID]:[Building / Room]],15,FALSE),"")</f>
        <v>0</v>
      </c>
      <c r="AO21" s="183">
        <f>IFERROR(VLOOKUP(UO_List[[#This Row],[Unique_AIB_ID]],Tableau1[[Unique_AIB_ID]:[Building / Room]],16,FALSE),"")</f>
        <v>0</v>
      </c>
      <c r="AP21" s="183" t="str">
        <f>IFERROR(VLOOKUP(UO_List[[#This Row],[Unique_AIB_ID]],Tableau1[[Unique_AIB_ID]:[Building / Room]],17,FALSE),"")</f>
        <v>0</v>
      </c>
      <c r="AQ21" s="183">
        <f>IFERROR(VLOOKUP(UO_List[[#This Row],[Unique_AIB_ID]],Tableau1[[Unique_AIB_ID]:[Building / Room]],18,FALSE),"")</f>
        <v>0</v>
      </c>
      <c r="AR21" s="183" t="str">
        <f>IFERROR(VLOOKUP(UO_List[[#This Row],[Unique_AIB_ID]],Tableau1[[Unique_AIB_ID]:[Building / Room]],19,FALSE),"")</f>
        <v>03/31/20</v>
      </c>
      <c r="AS21" s="183">
        <f>IFERROR(VLOOKUP(UO_List[[#This Row],[Unique_AIB_ID]],Tableau1[[Unique_AIB_ID]:[Building / Room]],20,FALSE),"")</f>
        <v>0</v>
      </c>
      <c r="AT21" s="183">
        <f>IFERROR(VLOOKUP(UO_List[[#This Row],[Unique_AIB_ID]],Tableau1[[Unique_AIB_ID]:[Building / Room]],21,FALSE),"")</f>
        <v>0</v>
      </c>
      <c r="AU21" s="183" t="str">
        <f>IFERROR(VLOOKUP(UO_List[[#This Row],[Unique_AIB_ID]],Tableau1[[Unique_AIB_ID]:[Building / Room]],22,FALSE),"")</f>
        <v>10W / 1st Floor</v>
      </c>
      <c r="AV21" s="167">
        <f>IFERROR(VLOOKUP(UO_List[[#This Row],[Unique_AIB_ID]],Tableau1[[Unique_AIB_ID]:[Currency]],23,FALSE),"")</f>
        <v>0</v>
      </c>
      <c r="AW21" s="167">
        <f>IFERROR(IF(ISBLANK(UO_List[[#This Row],[PO Number (Header)]]),"",UO_List[[#This Row],[Line Total]]/UO_List[[#This Row],[Total Item Quantity]]),"")</f>
        <v>2800</v>
      </c>
      <c r="AX21" s="499" t="s">
        <v>951</v>
      </c>
      <c r="AY21" s="167"/>
      <c r="AZ21" s="78" t="s">
        <v>843</v>
      </c>
      <c r="BA21" s="82"/>
      <c r="BB21" s="78"/>
      <c r="BC21" s="78" t="s">
        <v>700</v>
      </c>
      <c r="BD21" s="70" t="s">
        <v>686</v>
      </c>
      <c r="BE21" s="78" t="s">
        <v>801</v>
      </c>
      <c r="BF21" s="78" t="s">
        <v>195</v>
      </c>
      <c r="BG21" s="78"/>
      <c r="BH21" s="78" t="s">
        <v>883</v>
      </c>
      <c r="BI21" s="78" t="s">
        <v>963</v>
      </c>
      <c r="BJ21" s="493"/>
      <c r="BK21" s="79"/>
      <c r="BL21" s="79"/>
      <c r="BM21" s="71">
        <v>5</v>
      </c>
      <c r="BN21" s="71">
        <f>IFERROR(UO_List[[#This Row],[Total Item Quantity]]-UO_List[[#This Row],[Facteur]],"")</f>
        <v>0</v>
      </c>
      <c r="BO21" s="349">
        <f>IFERROR(IF(ISBLANK(UO_List[[#This Row],[Id_UO]]),"",SUMPRODUCT(1*(EXACT(UO_List[[#This Row],[Id_UO]],CATALOGUE[Id_WU]))*CATALOGUE[Price $])),"")</f>
        <v>2800</v>
      </c>
      <c r="BP21" s="350">
        <f>IFERROR(UO_List[[#This Row],[Prix unitaire]]*UO_List[[#This Row],[Facteur]],"")</f>
        <v>14000</v>
      </c>
      <c r="BQ21" s="100">
        <f>IFERROR(SUMPRODUCT(1*(EXACT(UO_List[[#This Row],[Id_UO]],CATALOGUE[Id_WU]))*CATALOGUE[Global_Workload_PM_(d)]*UO_List[[#This Row],[Facteur]]),"")</f>
        <v>3.75</v>
      </c>
      <c r="BR21" s="286">
        <f>UO_List[[#This Row],[Jours GP]]/jours_an</f>
        <v>1.7361111111111112E-2</v>
      </c>
      <c r="BS21" s="72">
        <f>IFERROR(SUMPRODUCT(1*(EXACT(UO_List[[#This Row],[Id_UO]],CATALOGUE[Id_WU]))*CATALOGUE[Global_Workload_Tech_(d)]*UO_List[[#This Row],[Facteur]]),"")</f>
        <v>21.25</v>
      </c>
      <c r="BT21" s="286">
        <f>UO_List[[#This Row],[Jours Tech]]/jours_an</f>
        <v>9.8379629629629636E-2</v>
      </c>
      <c r="BU21" s="72">
        <f>UO_List[[#This Row],[Jours GP]]+UO_List[[#This Row],[Jours Tech]]</f>
        <v>25</v>
      </c>
      <c r="BV21" s="286">
        <f>UO_List[[#This Row],[ETP GP]]+UO_List[[#This Row],[ETP Tech]]</f>
        <v>0.11574074074074076</v>
      </c>
      <c r="BW21" s="73" t="s">
        <v>210</v>
      </c>
      <c r="BX21" s="515" t="s">
        <v>203</v>
      </c>
      <c r="BY21" s="462">
        <f>IF(UO_List[[#This Row],[Budget Revue]]="x",UO_List[[#This Row],[Montant TOTAL]],0)</f>
        <v>14000</v>
      </c>
      <c r="BZ21" s="80">
        <f>IF(UO_List[[#This Row],[Budget Revue]]="x",UO_List[[#This Row],[Jours Tech]],0)</f>
        <v>21.25</v>
      </c>
      <c r="CA21" s="80">
        <f>IF(UO_List[[#This Row],[Budget Revue]]="x",UO_List[[#This Row],[Jours GP]],0)</f>
        <v>3.75</v>
      </c>
      <c r="CB21" s="516" t="str">
        <f>IF(AND(UO_List[[#This Row],[Budget Revue]]="x",$BK21&lt;&gt;"",$BL21&lt;&gt;"",YEAR(BB$3)=YEAR($BK21),MONTH(BB$3)&gt;=MONTH($BK21),MONTH(BB$3)&lt;=MONTH($BL21)),$BS21/(MONTH($BL21)-MONTH($BK21)+1),"")</f>
        <v/>
      </c>
      <c r="CC21" s="80" t="str">
        <f>IF(AND(UO_List[[#This Row],[Budget Revue]]="x",$BK21&lt;&gt;"",$BL21&lt;&gt;"",YEAR(BC$3)=YEAR($BK21),MONTH(BC$3)&gt;=MONTH($BK21),MONTH(BC$3)&lt;=MONTH($BL21)),$BS21/(MONTH($BL21)-MONTH($BK21)+1),"")</f>
        <v/>
      </c>
      <c r="CD21" s="80" t="str">
        <f>IF(AND(UO_List[[#This Row],[Budget Revue]]="x",$BK21&lt;&gt;"",$BL21&lt;&gt;"",YEAR(BD$3)=YEAR($BK21),MONTH(BD$3)&gt;=MONTH($BK21),MONTH(BD$3)&lt;=MONTH($BL21)),$BS21/(MONTH($BL21)-MONTH($BK21)+1),"")</f>
        <v/>
      </c>
      <c r="CE21" s="80" t="str">
        <f>IF(AND(UO_List[[#This Row],[Budget Revue]]="x",$BK21&lt;&gt;"",$BL21&lt;&gt;"",YEAR(BE$3)=YEAR($BK21),MONTH(BE$3)&gt;=MONTH($BK21),MONTH(BE$3)&lt;=MONTH($BL21)),$BS21/(MONTH($BL21)-MONTH($BK21)+1),"")</f>
        <v/>
      </c>
      <c r="CF21" s="80" t="str">
        <f>IF(AND(UO_List[[#This Row],[Budget Revue]]="x",$BK21&lt;&gt;"",$BL21&lt;&gt;"",YEAR(BF$3)=YEAR($BK21),MONTH(BF$3)&gt;=MONTH($BK21),MONTH(BF$3)&lt;=MONTH($BL21)),$BS21/(MONTH($BL21)-MONTH($BK21)+1),"")</f>
        <v/>
      </c>
      <c r="CG21" s="80" t="str">
        <f>IF(AND(UO_List[[#This Row],[Budget Revue]]="x",$BK21&lt;&gt;"",$BL21&lt;&gt;"",YEAR(BG$3)=YEAR($BK21),MONTH(BG$3)&gt;=MONTH($BK21),MONTH(BG$3)&lt;=MONTH($BL21)),$BS21/(MONTH($BL21)-MONTH($BK21)+1),"")</f>
        <v/>
      </c>
      <c r="CH21" s="80" t="str">
        <f>IF(AND(UO_List[[#This Row],[Budget Revue]]="x",$BK21&lt;&gt;"",$BL21&lt;&gt;"",YEAR(BH$3)=YEAR($BK21),MONTH(BH$3)&gt;=MONTH($BK21),MONTH(BH$3)&lt;=MONTH($BL21)),$BS21/(MONTH($BL21)-MONTH($BK21)+1),"")</f>
        <v/>
      </c>
      <c r="CI21" s="80" t="str">
        <f>IF(AND(UO_List[[#This Row],[Budget Revue]]="x",$BK21&lt;&gt;"",$BL21&lt;&gt;"",YEAR(BI$3)=YEAR($BK21),MONTH(BI$3)&gt;=MONTH($BK21),MONTH(BI$3)&lt;=MONTH($BL21)),$BS21/(MONTH($BL21)-MONTH($BK21)+1),"")</f>
        <v/>
      </c>
      <c r="CJ21" s="80" t="str">
        <f>IF(AND(UO_List[[#This Row],[Budget Revue]]="x",$BK21&lt;&gt;"",$BL21&lt;&gt;"",YEAR(BJ$3)=YEAR($BK21),MONTH(BJ$3)&gt;=MONTH($BK21),MONTH(BJ$3)&lt;=MONTH($BL21)),$BS21/(MONTH($BL21)-MONTH($BK21)+1),"")</f>
        <v/>
      </c>
      <c r="CK21" s="80" t="str">
        <f>IF(AND(UO_List[[#This Row],[Budget Revue]]="x",$BK21&lt;&gt;"",$BL21&lt;&gt;"",YEAR(BK$3)=YEAR($BK21),MONTH(BK$3)&gt;=MONTH($BK21),MONTH(BK$3)&lt;=MONTH($BL21)),$BS21/(MONTH($BL21)-MONTH($BK21)+1),"")</f>
        <v/>
      </c>
      <c r="CL21" s="80" t="str">
        <f>IF(AND(UO_List[[#This Row],[Budget Revue]]="x",$BK21&lt;&gt;"",$BL21&lt;&gt;"",YEAR(BL$3)=YEAR($BK21),MONTH(BL$3)&gt;=MONTH($BK21),MONTH(BL$3)&lt;=MONTH($BL21)),$BS21/(MONTH($BL21)-MONTH($BK21)+1),"")</f>
        <v/>
      </c>
      <c r="CM21" s="80" t="str">
        <f>IF(AND(UO_List[[#This Row],[Budget Revue]]="x",$BK21&lt;&gt;"",$BL21&lt;&gt;"",YEAR(BM$3)=YEAR($BK21),MONTH(BM$3)&gt;=MONTH($BK21),MONTH(BM$3)&lt;=MONTH($BL21)),$BS21/(MONTH($BL21)-MONTH($BK21)+1),"")</f>
        <v/>
      </c>
      <c r="CN21" s="75">
        <f>IF(UO_List[[#This Row],[Budget Revue]]="x",SUM(UO_List[[#This Row],[JANVIER]:[DECEMBRE]])-UO_List[[#This Row],[Jours Tech]],"")</f>
        <v>-21.25</v>
      </c>
      <c r="CO21" s="348" t="str">
        <f>IF(AND(UO_List[[#This Row],[Budget Revue]]="x",$BK21&lt;&gt;"",$BL21&lt;&gt;"",YEAR(BO$3)=YEAR($BK21),MONTH(BO$3)&gt;=MONTH($BK21),MONTH(BO$3)&lt;=MONTH($BL21)),UO_List[[#This Row],[Montant TOTAL]]/(MONTH($BL21)-MONTH($BK21)+1),"")</f>
        <v/>
      </c>
      <c r="CP21" s="348" t="str">
        <f>IF(AND(UO_List[[#This Row],[Budget Revue]]="x",$BK21&lt;&gt;"",$BL21&lt;&gt;"",YEAR(BP$3)=YEAR($BK21),MONTH(BP$3)&gt;=MONTH($BK21),MONTH(BP$3)&lt;=MONTH($BL21)),UO_List[[#This Row],[Montant TOTAL]]/(MONTH($BL21)-MONTH($BK21)+1),"")</f>
        <v/>
      </c>
      <c r="CQ21" s="348" t="str">
        <f>IF(AND(UO_List[[#This Row],[Budget Revue]]="x",$BK21&lt;&gt;"",$BL21&lt;&gt;"",YEAR(BQ$3)=YEAR($BK21),MONTH(BQ$3)&gt;=MONTH($BK21),MONTH(BQ$3)&lt;=MONTH($BL21)),UO_List[[#This Row],[Montant TOTAL]]/(MONTH($BL21)-MONTH($BK21)+1),"")</f>
        <v/>
      </c>
      <c r="CR21" s="348" t="str">
        <f>IF(AND(UO_List[[#This Row],[Budget Revue]]="x",$BK21&lt;&gt;"",$BL21&lt;&gt;"",YEAR(BR$3)=YEAR($BK21),MONTH(BR$3)&gt;=MONTH($BK21),MONTH(BR$3)&lt;=MONTH($BL21)),UO_List[[#This Row],[Montant TOTAL]]/(MONTH($BL21)-MONTH($BK21)+1),"")</f>
        <v/>
      </c>
      <c r="CS21" s="348" t="str">
        <f>IF(AND(UO_List[[#This Row],[Budget Revue]]="x",$BK21&lt;&gt;"",$BL21&lt;&gt;"",YEAR(BS$3)=YEAR($BK21),MONTH(BS$3)&gt;=MONTH($BK21),MONTH(BS$3)&lt;=MONTH($BL21)),UO_List[[#This Row],[Montant TOTAL]]/(MONTH($BL21)-MONTH($BK21)+1),"")</f>
        <v/>
      </c>
      <c r="CT21" s="348" t="str">
        <f>IF(AND(UO_List[[#This Row],[Budget Revue]]="x",$BK21&lt;&gt;"",$BL21&lt;&gt;"",YEAR(BT$3)=YEAR($BK21),MONTH(BT$3)&gt;=MONTH($BK21),MONTH(BT$3)&lt;=MONTH($BL21)),UO_List[[#This Row],[Montant TOTAL]]/(MONTH($BL21)-MONTH($BK21)+1),"")</f>
        <v/>
      </c>
      <c r="CU21" s="348" t="str">
        <f>IF(AND(UO_List[[#This Row],[Budget Revue]]="x",$BK21&lt;&gt;"",$BL21&lt;&gt;"",YEAR(BU$3)=YEAR($BK21),MONTH(BU$3)&gt;=MONTH($BK21),MONTH(BU$3)&lt;=MONTH($BL21)),UO_List[[#This Row],[Montant TOTAL]]/(MONTH($BL21)-MONTH($BK21)+1),"")</f>
        <v/>
      </c>
      <c r="CV21" s="348" t="str">
        <f>IF(AND(UO_List[[#This Row],[Budget Revue]]="x",$BK21&lt;&gt;"",$BL21&lt;&gt;"",YEAR(BV$3)=YEAR($BK21),MONTH(BV$3)&gt;=MONTH($BK21),MONTH(BV$3)&lt;=MONTH($BL21)),UO_List[[#This Row],[Montant TOTAL]]/(MONTH($BL21)-MONTH($BK21)+1),"")</f>
        <v/>
      </c>
      <c r="CW21" s="348" t="str">
        <f>IF(AND(UO_List[[#This Row],[Budget Revue]]="x",$BK21&lt;&gt;"",$BL21&lt;&gt;"",YEAR(BW$3)=YEAR($BK21),MONTH(BW$3)&gt;=MONTH($BK21),MONTH(BW$3)&lt;=MONTH($BL21)),UO_List[[#This Row],[Montant TOTAL]]/(MONTH($BL21)-MONTH($BK21)+1),"")</f>
        <v/>
      </c>
      <c r="CX21" s="348" t="str">
        <f>IF(AND(UO_List[[#This Row],[Budget Revue]]="x",$BK21&lt;&gt;"",$BL21&lt;&gt;"",YEAR(BX$3)=YEAR($BK21),MONTH(BX$3)&gt;=MONTH($BK21),MONTH(BX$3)&lt;=MONTH($BL21)),UO_List[[#This Row],[Montant TOTAL]]/(MONTH($BL21)-MONTH($BK21)+1),"")</f>
        <v/>
      </c>
      <c r="CY21" s="348" t="str">
        <f>IF(AND(UO_List[[#This Row],[Budget Revue]]="x",$BK21&lt;&gt;"",$BL21&lt;&gt;"",YEAR(BY$3)=YEAR($BK21),MONTH(BY$3)&gt;=MONTH($BK21),MONTH(BY$3)&lt;=MONTH($BL21)),UO_List[[#This Row],[Montant TOTAL]]/(MONTH($BL21)-MONTH($BK21)+1),"")</f>
        <v/>
      </c>
      <c r="CZ21" s="348" t="str">
        <f>IF(AND(UO_List[[#This Row],[Budget Revue]]="x",$BK21&lt;&gt;"",$BL21&lt;&gt;"",YEAR(BY$3)=YEAR($BK21),MONTH(BY$3)&gt;=MONTH($BK21),MONTH(BY$3)&lt;=MONTH($BL21)),UO_List[[#This Row],[Montant TOTAL]]/(MONTH($BL21)-MONTH($BK21)+1),"")</f>
        <v/>
      </c>
      <c r="DA21" s="348">
        <f>IF(UO_List[[#This Row],[Budget Revue]]="x",SUM(UO_List[[#This Row],[JANVIER2]:[DECEMBRE2]])-UO_List[Montant TOTAL],"")</f>
        <v>-14000</v>
      </c>
      <c r="DB21" s="517">
        <v>1.2</v>
      </c>
      <c r="DC21" s="83"/>
      <c r="DD21" s="83"/>
      <c r="DE21" s="559"/>
      <c r="DF21" s="560"/>
      <c r="DG21" s="560"/>
      <c r="DH21" s="83"/>
      <c r="DI21" s="83">
        <v>2</v>
      </c>
      <c r="DJ21" s="83"/>
      <c r="DK21" s="83"/>
      <c r="DL21" s="83"/>
      <c r="DM21" s="83"/>
      <c r="DN21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3.2</v>
      </c>
      <c r="DO21" s="76">
        <f>IFERROR(UO_List[[#This Row],[Line Total]]-UO_List[[#This Row],[Montant total réceptionné]],"")</f>
        <v>5040</v>
      </c>
      <c r="DP21" s="76">
        <f>IFERROR(UO_List[[#This Row],[Total item réceptionné]]*UO_List[[#This Row],[Unit Price (calcul)]],0)</f>
        <v>8960</v>
      </c>
      <c r="DQ21" s="76">
        <f>UO_List[[#This Row],[Facteur]]-UO_List[[#This Row],[Total item réceptionné]]</f>
        <v>1.7999999999999998</v>
      </c>
      <c r="DR21" s="77"/>
      <c r="DS21" s="77"/>
      <c r="DT21" s="8" t="s">
        <v>1018</v>
      </c>
      <c r="DU21" s="77"/>
    </row>
    <row r="22" spans="27:125" s="74" customFormat="1" ht="41.25" customHeight="1">
      <c r="AA22" s="210" t="str">
        <f>IFERROR(VLOOKUP(UO_List[[#This Row],[Unique_AIB_ID]],Tableau1[[Unique_AIB_ID]:[Building / Room]],2,FALSE),"")</f>
        <v>D000481021</v>
      </c>
      <c r="AB22" s="193">
        <f>IFERROR(VLOOKUP(UO_List[[#This Row],[Unique_AIB_ID]],UO_Contract!A21:V210,3,TRUE),"")</f>
        <v>0</v>
      </c>
      <c r="AC22" s="194" t="str">
        <f>IFERROR(VLOOKUP(UO_List[[#This Row],[Unique_AIB_ID]],Tableau1[[Unique_AIB_ID]:[Building / Room]],4,FALSE),"")</f>
        <v>WPA - SII - PJOP - Airbus - WD1701094 - Flight and Integration Test CT1705359</v>
      </c>
      <c r="AD22" s="193">
        <f>IFERROR(VLOOKUP(UO_List[[#This Row],[Unique_AIB_ID]],Tableau1[[Unique_AIB_ID]:[Building / Room]],5,FALSE),"")</f>
        <v>0</v>
      </c>
      <c r="AE22" s="193">
        <f>IFERROR(VLOOKUP(UO_List[[#This Row],[Unique_AIB_ID]],Tableau1[[Unique_AIB_ID]:[Building / Room]],6,FALSE),"")</f>
        <v>2</v>
      </c>
      <c r="AF22" s="193" t="str">
        <f>IFERROR(VLOOKUP(UO_List[[#This Row],[Unique_AIB_ID]],Tableau1[[Unique_AIB_ID]:[Building / Room]],7,FALSE),"")</f>
        <v>1 Each of WU_F&amp;LG_TLS_T_2 TESTS in TLS [PJE_SII_EVYP_USD_AIRBUS_FR]</v>
      </c>
      <c r="AG22" s="193">
        <f>IFERROR(VLOOKUP(UO_List[[#This Row],[Unique_AIB_ID]],Tableau1[[Unique_AIB_ID]:[Building / Room]],8,FALSE),"")</f>
        <v>1</v>
      </c>
      <c r="AH22" s="195">
        <f>IFERROR(VALUE(VLOOKUP(UO_List[[#This Row],[Unique_AIB_ID]],Tableau1[[Unique_AIB_ID]:[Building / Room]],9,FALSE)),"")</f>
        <v>580</v>
      </c>
      <c r="AI22" s="193">
        <f>IFERROR(VLOOKUP(UO_List[[#This Row],[Unique_AIB_ID]],Tableau1[[Unique_AIB_ID]:[Building / Room]],10,TRUE),"")</f>
        <v>0</v>
      </c>
      <c r="AJ22" s="196">
        <f>IFERROR(VLOOKUP(UO_List[[#This Row],[Unique_AIB_ID]],Tableau1[[Unique_AIB_ID]:[Building / Room]],11,FALSE),"")</f>
        <v>0</v>
      </c>
      <c r="AK22" s="193">
        <f>IFERROR(VLOOKUP(UO_List[[#This Row],[Unique_AIB_ID]],Tableau1[[Unique_AIB_ID]:[Building / Room]],12,FALSE),"")</f>
        <v>0</v>
      </c>
      <c r="AL22" s="193">
        <f>IFERROR(VLOOKUP(UO_List[[#This Row],[Unique_AIB_ID]],Tableau1[[Unique_AIB_ID]:[Building / Room]],13,FALSE),"")</f>
        <v>0</v>
      </c>
      <c r="AM22" s="183">
        <f>IFERROR(VLOOKUP(UO_List[[#This Row],[Unique_AIB_ID]],Tableau1[[Unique_AIB_ID]:[Building / Room]],14,FALSE),"")</f>
        <v>0</v>
      </c>
      <c r="AN22" s="183">
        <f>IFERROR(VLOOKUP(UO_List[[#This Row],[Unique_AIB_ID]],Tableau1[[Unique_AIB_ID]:[Building / Room]],15,FALSE),"")</f>
        <v>0</v>
      </c>
      <c r="AO22" s="183">
        <f>IFERROR(VLOOKUP(UO_List[[#This Row],[Unique_AIB_ID]],Tableau1[[Unique_AIB_ID]:[Building / Room]],16,FALSE),"")</f>
        <v>0</v>
      </c>
      <c r="AP22" s="183" t="str">
        <f>IFERROR(VLOOKUP(UO_List[[#This Row],[Unique_AIB_ID]],Tableau1[[Unique_AIB_ID]:[Building / Room]],17,FALSE),"")</f>
        <v>0</v>
      </c>
      <c r="AQ22" s="183">
        <f>IFERROR(VLOOKUP(UO_List[[#This Row],[Unique_AIB_ID]],Tableau1[[Unique_AIB_ID]:[Building / Room]],18,FALSE),"")</f>
        <v>0</v>
      </c>
      <c r="AR22" s="183" t="str">
        <f>IFERROR(VLOOKUP(UO_List[[#This Row],[Unique_AIB_ID]],Tableau1[[Unique_AIB_ID]:[Building / Room]],19,FALSE),"")</f>
        <v>03/31/20</v>
      </c>
      <c r="AS22" s="183">
        <f>IFERROR(VLOOKUP(UO_List[[#This Row],[Unique_AIB_ID]],Tableau1[[Unique_AIB_ID]:[Building / Room]],20,FALSE),"")</f>
        <v>0</v>
      </c>
      <c r="AT22" s="183">
        <f>IFERROR(VLOOKUP(UO_List[[#This Row],[Unique_AIB_ID]],Tableau1[[Unique_AIB_ID]:[Building / Room]],21,FALSE),"")</f>
        <v>0</v>
      </c>
      <c r="AU22" s="183" t="str">
        <f>IFERROR(VLOOKUP(UO_List[[#This Row],[Unique_AIB_ID]],Tableau1[[Unique_AIB_ID]:[Building / Room]],22,FALSE),"")</f>
        <v>10W / 1st Floor</v>
      </c>
      <c r="AV22" s="167">
        <f>IFERROR(VLOOKUP(UO_List[[#This Row],[Unique_AIB_ID]],Tableau1[[Unique_AIB_ID]:[Currency]],23,FALSE),"")</f>
        <v>0</v>
      </c>
      <c r="AW22" s="167">
        <f>IFERROR(IF(ISBLANK(UO_List[[#This Row],[PO Number (Header)]]),"",UO_List[[#This Row],[Line Total]]/UO_List[[#This Row],[Total Item Quantity]]),"")</f>
        <v>580</v>
      </c>
      <c r="AX22" s="499" t="s">
        <v>952</v>
      </c>
      <c r="AY22" s="167"/>
      <c r="AZ22" s="78" t="s">
        <v>843</v>
      </c>
      <c r="BA22" s="82"/>
      <c r="BB22" s="78"/>
      <c r="BC22" s="78" t="s">
        <v>701</v>
      </c>
      <c r="BD22" s="70" t="s">
        <v>686</v>
      </c>
      <c r="BE22" s="78" t="s">
        <v>801</v>
      </c>
      <c r="BF22" s="78" t="s">
        <v>195</v>
      </c>
      <c r="BG22" s="78"/>
      <c r="BH22" s="78" t="s">
        <v>883</v>
      </c>
      <c r="BI22" s="78" t="s">
        <v>962</v>
      </c>
      <c r="BJ22" s="493"/>
      <c r="BK22" s="79"/>
      <c r="BL22" s="79"/>
      <c r="BM22" s="71">
        <v>1</v>
      </c>
      <c r="BN22" s="71">
        <f>IFERROR(UO_List[[#This Row],[Total Item Quantity]]-UO_List[[#This Row],[Facteur]],"")</f>
        <v>0</v>
      </c>
      <c r="BO22" s="349">
        <f>IFERROR(IF(ISBLANK(UO_List[[#This Row],[Id_UO]]),"",SUMPRODUCT(1*(EXACT(UO_List[[#This Row],[Id_UO]],CATALOGUE[Id_WU]))*CATALOGUE[Price $])),"")</f>
        <v>580</v>
      </c>
      <c r="BP22" s="350">
        <f>IFERROR(UO_List[[#This Row],[Prix unitaire]]*UO_List[[#This Row],[Facteur]],"")</f>
        <v>580</v>
      </c>
      <c r="BQ22" s="100">
        <f>IFERROR(SUMPRODUCT(1*(EXACT(UO_List[[#This Row],[Id_UO]],CATALOGUE[Id_WU]))*CATALOGUE[Global_Workload_PM_(d)]*UO_List[[#This Row],[Facteur]]),"")</f>
        <v>0.15000000000000002</v>
      </c>
      <c r="BR22" s="286">
        <f>UO_List[[#This Row],[Jours GP]]/jours_an</f>
        <v>6.9444444444444458E-4</v>
      </c>
      <c r="BS22" s="72">
        <f>IFERROR(SUMPRODUCT(1*(EXACT(UO_List[[#This Row],[Id_UO]],CATALOGUE[Id_WU]))*CATALOGUE[Global_Workload_Tech_(d)]*UO_List[[#This Row],[Facteur]]),"")</f>
        <v>0.85</v>
      </c>
      <c r="BT22" s="286">
        <f>UO_List[[#This Row],[Jours Tech]]/jours_an</f>
        <v>3.9351851851851848E-3</v>
      </c>
      <c r="BU22" s="72">
        <f>UO_List[[#This Row],[Jours GP]]+UO_List[[#This Row],[Jours Tech]]</f>
        <v>1</v>
      </c>
      <c r="BV22" s="286">
        <f>UO_List[[#This Row],[ETP GP]]+UO_List[[#This Row],[ETP Tech]]</f>
        <v>4.6296296296296294E-3</v>
      </c>
      <c r="BW22" s="73" t="s">
        <v>210</v>
      </c>
      <c r="BX22" s="515" t="s">
        <v>203</v>
      </c>
      <c r="BY22" s="462">
        <f>IF(UO_List[[#This Row],[Budget Revue]]="x",UO_List[[#This Row],[Montant TOTAL]],0)</f>
        <v>580</v>
      </c>
      <c r="BZ22" s="80">
        <f>IF(UO_List[[#This Row],[Budget Revue]]="x",UO_List[[#This Row],[Jours Tech]],0)</f>
        <v>0.85</v>
      </c>
      <c r="CA22" s="80">
        <f>IF(UO_List[[#This Row],[Budget Revue]]="x",UO_List[[#This Row],[Jours GP]],0)</f>
        <v>0.15000000000000002</v>
      </c>
      <c r="CB22" s="516" t="str">
        <f>IF(AND(UO_List[[#This Row],[Budget Revue]]="x",$BK22&lt;&gt;"",$BL22&lt;&gt;"",YEAR(BB$3)=YEAR($BK22),MONTH(BB$3)&gt;=MONTH($BK22),MONTH(BB$3)&lt;=MONTH($BL22)),$BS22/(MONTH($BL22)-MONTH($BK22)+1),"")</f>
        <v/>
      </c>
      <c r="CC22" s="80" t="str">
        <f>IF(AND(UO_List[[#This Row],[Budget Revue]]="x",$BK22&lt;&gt;"",$BL22&lt;&gt;"",YEAR(BC$3)=YEAR($BK22),MONTH(BC$3)&gt;=MONTH($BK22),MONTH(BC$3)&lt;=MONTH($BL22)),$BS22/(MONTH($BL22)-MONTH($BK22)+1),"")</f>
        <v/>
      </c>
      <c r="CD22" s="80" t="str">
        <f>IF(AND(UO_List[[#This Row],[Budget Revue]]="x",$BK22&lt;&gt;"",$BL22&lt;&gt;"",YEAR(BD$3)=YEAR($BK22),MONTH(BD$3)&gt;=MONTH($BK22),MONTH(BD$3)&lt;=MONTH($BL22)),$BS22/(MONTH($BL22)-MONTH($BK22)+1),"")</f>
        <v/>
      </c>
      <c r="CE22" s="80" t="str">
        <f>IF(AND(UO_List[[#This Row],[Budget Revue]]="x",$BK22&lt;&gt;"",$BL22&lt;&gt;"",YEAR(BE$3)=YEAR($BK22),MONTH(BE$3)&gt;=MONTH($BK22),MONTH(BE$3)&lt;=MONTH($BL22)),$BS22/(MONTH($BL22)-MONTH($BK22)+1),"")</f>
        <v/>
      </c>
      <c r="CF22" s="80" t="str">
        <f>IF(AND(UO_List[[#This Row],[Budget Revue]]="x",$BK22&lt;&gt;"",$BL22&lt;&gt;"",YEAR(BF$3)=YEAR($BK22),MONTH(BF$3)&gt;=MONTH($BK22),MONTH(BF$3)&lt;=MONTH($BL22)),$BS22/(MONTH($BL22)-MONTH($BK22)+1),"")</f>
        <v/>
      </c>
      <c r="CG22" s="80" t="str">
        <f>IF(AND(UO_List[[#This Row],[Budget Revue]]="x",$BK22&lt;&gt;"",$BL22&lt;&gt;"",YEAR(BG$3)=YEAR($BK22),MONTH(BG$3)&gt;=MONTH($BK22),MONTH(BG$3)&lt;=MONTH($BL22)),$BS22/(MONTH($BL22)-MONTH($BK22)+1),"")</f>
        <v/>
      </c>
      <c r="CH22" s="80" t="str">
        <f>IF(AND(UO_List[[#This Row],[Budget Revue]]="x",$BK22&lt;&gt;"",$BL22&lt;&gt;"",YEAR(BH$3)=YEAR($BK22),MONTH(BH$3)&gt;=MONTH($BK22),MONTH(BH$3)&lt;=MONTH($BL22)),$BS22/(MONTH($BL22)-MONTH($BK22)+1),"")</f>
        <v/>
      </c>
      <c r="CI22" s="80" t="str">
        <f>IF(AND(UO_List[[#This Row],[Budget Revue]]="x",$BK22&lt;&gt;"",$BL22&lt;&gt;"",YEAR(BI$3)=YEAR($BK22),MONTH(BI$3)&gt;=MONTH($BK22),MONTH(BI$3)&lt;=MONTH($BL22)),$BS22/(MONTH($BL22)-MONTH($BK22)+1),"")</f>
        <v/>
      </c>
      <c r="CJ22" s="80" t="str">
        <f>IF(AND(UO_List[[#This Row],[Budget Revue]]="x",$BK22&lt;&gt;"",$BL22&lt;&gt;"",YEAR(BJ$3)=YEAR($BK22),MONTH(BJ$3)&gt;=MONTH($BK22),MONTH(BJ$3)&lt;=MONTH($BL22)),$BS22/(MONTH($BL22)-MONTH($BK22)+1),"")</f>
        <v/>
      </c>
      <c r="CK22" s="80" t="str">
        <f>IF(AND(UO_List[[#This Row],[Budget Revue]]="x",$BK22&lt;&gt;"",$BL22&lt;&gt;"",YEAR(BK$3)=YEAR($BK22),MONTH(BK$3)&gt;=MONTH($BK22),MONTH(BK$3)&lt;=MONTH($BL22)),$BS22/(MONTH($BL22)-MONTH($BK22)+1),"")</f>
        <v/>
      </c>
      <c r="CL22" s="80" t="str">
        <f>IF(AND(UO_List[[#This Row],[Budget Revue]]="x",$BK22&lt;&gt;"",$BL22&lt;&gt;"",YEAR(BL$3)=YEAR($BK22),MONTH(BL$3)&gt;=MONTH($BK22),MONTH(BL$3)&lt;=MONTH($BL22)),$BS22/(MONTH($BL22)-MONTH($BK22)+1),"")</f>
        <v/>
      </c>
      <c r="CM22" s="80" t="str">
        <f>IF(AND(UO_List[[#This Row],[Budget Revue]]="x",$BK22&lt;&gt;"",$BL22&lt;&gt;"",YEAR(BM$3)=YEAR($BK22),MONTH(BM$3)&gt;=MONTH($BK22),MONTH(BM$3)&lt;=MONTH($BL22)),$BS22/(MONTH($BL22)-MONTH($BK22)+1),"")</f>
        <v/>
      </c>
      <c r="CN22" s="75">
        <f>IF(UO_List[[#This Row],[Budget Revue]]="x",SUM(UO_List[[#This Row],[JANVIER]:[DECEMBRE]])-UO_List[[#This Row],[Jours Tech]],"")</f>
        <v>-0.85</v>
      </c>
      <c r="CO22" s="348" t="str">
        <f>IF(AND(UO_List[[#This Row],[Budget Revue]]="x",$BK22&lt;&gt;"",$BL22&lt;&gt;"",YEAR(BO$3)=YEAR($BK22),MONTH(BO$3)&gt;=MONTH($BK22),MONTH(BO$3)&lt;=MONTH($BL22)),UO_List[[#This Row],[Montant TOTAL]]/(MONTH($BL22)-MONTH($BK22)+1),"")</f>
        <v/>
      </c>
      <c r="CP22" s="348" t="str">
        <f>IF(AND(UO_List[[#This Row],[Budget Revue]]="x",$BK22&lt;&gt;"",$BL22&lt;&gt;"",YEAR(BP$3)=YEAR($BK22),MONTH(BP$3)&gt;=MONTH($BK22),MONTH(BP$3)&lt;=MONTH($BL22)),UO_List[[#This Row],[Montant TOTAL]]/(MONTH($BL22)-MONTH($BK22)+1),"")</f>
        <v/>
      </c>
      <c r="CQ22" s="348" t="str">
        <f>IF(AND(UO_List[[#This Row],[Budget Revue]]="x",$BK22&lt;&gt;"",$BL22&lt;&gt;"",YEAR(BQ$3)=YEAR($BK22),MONTH(BQ$3)&gt;=MONTH($BK22),MONTH(BQ$3)&lt;=MONTH($BL22)),UO_List[[#This Row],[Montant TOTAL]]/(MONTH($BL22)-MONTH($BK22)+1),"")</f>
        <v/>
      </c>
      <c r="CR22" s="348" t="str">
        <f>IF(AND(UO_List[[#This Row],[Budget Revue]]="x",$BK22&lt;&gt;"",$BL22&lt;&gt;"",YEAR(BR$3)=YEAR($BK22),MONTH(BR$3)&gt;=MONTH($BK22),MONTH(BR$3)&lt;=MONTH($BL22)),UO_List[[#This Row],[Montant TOTAL]]/(MONTH($BL22)-MONTH($BK22)+1),"")</f>
        <v/>
      </c>
      <c r="CS22" s="348" t="str">
        <f>IF(AND(UO_List[[#This Row],[Budget Revue]]="x",$BK22&lt;&gt;"",$BL22&lt;&gt;"",YEAR(BS$3)=YEAR($BK22),MONTH(BS$3)&gt;=MONTH($BK22),MONTH(BS$3)&lt;=MONTH($BL22)),UO_List[[#This Row],[Montant TOTAL]]/(MONTH($BL22)-MONTH($BK22)+1),"")</f>
        <v/>
      </c>
      <c r="CT22" s="348" t="str">
        <f>IF(AND(UO_List[[#This Row],[Budget Revue]]="x",$BK22&lt;&gt;"",$BL22&lt;&gt;"",YEAR(BT$3)=YEAR($BK22),MONTH(BT$3)&gt;=MONTH($BK22),MONTH(BT$3)&lt;=MONTH($BL22)),UO_List[[#This Row],[Montant TOTAL]]/(MONTH($BL22)-MONTH($BK22)+1),"")</f>
        <v/>
      </c>
      <c r="CU22" s="348" t="str">
        <f>IF(AND(UO_List[[#This Row],[Budget Revue]]="x",$BK22&lt;&gt;"",$BL22&lt;&gt;"",YEAR(BU$3)=YEAR($BK22),MONTH(BU$3)&gt;=MONTH($BK22),MONTH(BU$3)&lt;=MONTH($BL22)),UO_List[[#This Row],[Montant TOTAL]]/(MONTH($BL22)-MONTH($BK22)+1),"")</f>
        <v/>
      </c>
      <c r="CV22" s="348" t="str">
        <f>IF(AND(UO_List[[#This Row],[Budget Revue]]="x",$BK22&lt;&gt;"",$BL22&lt;&gt;"",YEAR(BV$3)=YEAR($BK22),MONTH(BV$3)&gt;=MONTH($BK22),MONTH(BV$3)&lt;=MONTH($BL22)),UO_List[[#This Row],[Montant TOTAL]]/(MONTH($BL22)-MONTH($BK22)+1),"")</f>
        <v/>
      </c>
      <c r="CW22" s="348" t="str">
        <f>IF(AND(UO_List[[#This Row],[Budget Revue]]="x",$BK22&lt;&gt;"",$BL22&lt;&gt;"",YEAR(BW$3)=YEAR($BK22),MONTH(BW$3)&gt;=MONTH($BK22),MONTH(BW$3)&lt;=MONTH($BL22)),UO_List[[#This Row],[Montant TOTAL]]/(MONTH($BL22)-MONTH($BK22)+1),"")</f>
        <v/>
      </c>
      <c r="CX22" s="348" t="str">
        <f>IF(AND(UO_List[[#This Row],[Budget Revue]]="x",$BK22&lt;&gt;"",$BL22&lt;&gt;"",YEAR(BX$3)=YEAR($BK22),MONTH(BX$3)&gt;=MONTH($BK22),MONTH(BX$3)&lt;=MONTH($BL22)),UO_List[[#This Row],[Montant TOTAL]]/(MONTH($BL22)-MONTH($BK22)+1),"")</f>
        <v/>
      </c>
      <c r="CY22" s="348" t="str">
        <f>IF(AND(UO_List[[#This Row],[Budget Revue]]="x",$BK22&lt;&gt;"",$BL22&lt;&gt;"",YEAR(BY$3)=YEAR($BK22),MONTH(BY$3)&gt;=MONTH($BK22),MONTH(BY$3)&lt;=MONTH($BL22)),UO_List[[#This Row],[Montant TOTAL]]/(MONTH($BL22)-MONTH($BK22)+1),"")</f>
        <v/>
      </c>
      <c r="CZ22" s="348" t="str">
        <f>IF(AND(UO_List[[#This Row],[Budget Revue]]="x",$BK22&lt;&gt;"",$BL22&lt;&gt;"",YEAR(BY$3)=YEAR($BK22),MONTH(BY$3)&gt;=MONTH($BK22),MONTH(BY$3)&lt;=MONTH($BL22)),UO_List[[#This Row],[Montant TOTAL]]/(MONTH($BL22)-MONTH($BK22)+1),"")</f>
        <v/>
      </c>
      <c r="DA22" s="348">
        <f>IF(UO_List[[#This Row],[Budget Revue]]="x",SUM(UO_List[[#This Row],[JANVIER2]:[DECEMBRE2]])-UO_List[Montant TOTAL],"")</f>
        <v>-580</v>
      </c>
      <c r="DB22" s="517">
        <v>1</v>
      </c>
      <c r="DC22" s="83"/>
      <c r="DD22" s="83"/>
      <c r="DE22" s="559"/>
      <c r="DF22" s="560"/>
      <c r="DG22" s="560"/>
      <c r="DH22" s="83"/>
      <c r="DI22" s="83"/>
      <c r="DJ22" s="83"/>
      <c r="DK22" s="83"/>
      <c r="DL22" s="83"/>
      <c r="DM22" s="83"/>
      <c r="DN22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22" s="76">
        <f>IFERROR(UO_List[[#This Row],[Line Total]]-UO_List[[#This Row],[Montant total réceptionné]],"")</f>
        <v>0</v>
      </c>
      <c r="DP22" s="76">
        <f>IFERROR(UO_List[[#This Row],[Total item réceptionné]]*UO_List[[#This Row],[Unit Price (calcul)]],0)</f>
        <v>580</v>
      </c>
      <c r="DQ22" s="76">
        <f>UO_List[[#This Row],[Facteur]]-UO_List[[#This Row],[Total item réceptionné]]</f>
        <v>0</v>
      </c>
      <c r="DR22" s="77"/>
      <c r="DS22" s="77"/>
      <c r="DT22" s="8" t="s">
        <v>1018</v>
      </c>
      <c r="DU22" s="77"/>
    </row>
    <row r="23" spans="27:125" s="125" customFormat="1" ht="16.5" customHeight="1">
      <c r="AA23" s="188" t="str">
        <f>IFERROR(VLOOKUP(UO_List[[#This Row],[Unique_AIB_ID]],Tableau1[[Unique_AIB_ID]:[Building / Room]],2,FALSE),"")</f>
        <v>D000481022</v>
      </c>
      <c r="AB23" s="211">
        <f>IFERROR(VLOOKUP(UO_List[[#This Row],[Unique_AIB_ID]],UO_Contract!A22:V211,3,TRUE),"")</f>
        <v>0</v>
      </c>
      <c r="AC23" s="212" t="str">
        <f>IFERROR(VLOOKUP(UO_List[[#This Row],[Unique_AIB_ID]],Tableau1[[Unique_AIB_ID]:[Building / Room]],4,FALSE),"")</f>
        <v>WPA - SII - PJOP - Airbus - WD1701094 - Flight and Integration Test CT1705359</v>
      </c>
      <c r="AD23" s="211">
        <f>IFERROR(VLOOKUP(UO_List[[#This Row],[Unique_AIB_ID]],Tableau1[[Unique_AIB_ID]:[Building / Room]],5,FALSE),"")</f>
        <v>0</v>
      </c>
      <c r="AE23" s="211">
        <f>IFERROR(VLOOKUP(UO_List[[#This Row],[Unique_AIB_ID]],Tableau1[[Unique_AIB_ID]:[Building / Room]],6,FALSE),"")</f>
        <v>1</v>
      </c>
      <c r="AF23" s="211" t="str">
        <f>IFERROR(VLOOKUP(UO_List[[#This Row],[Unique_AIB_ID]],Tableau1[[Unique_AIB_ID]:[Building / Room]],7,FALSE),"")</f>
        <v>3 Each of WU_F&amp;LG_TLS_T_1[PJE_SII_EVYP_USD_AIRBUS_FR]</v>
      </c>
      <c r="AG23" s="211">
        <f>IFERROR(VLOOKUP(UO_List[[#This Row],[Unique_AIB_ID]],Tableau1[[Unique_AIB_ID]:[Building / Room]],8,FALSE),"")</f>
        <v>3</v>
      </c>
      <c r="AH23" s="213">
        <f>IFERROR(VALUE(VLOOKUP(UO_List[[#This Row],[Unique_AIB_ID]],Tableau1[[Unique_AIB_ID]:[Building / Room]],9,FALSE)),"")</f>
        <v>8400</v>
      </c>
      <c r="AI23" s="211">
        <f>IFERROR(VLOOKUP(UO_List[[#This Row],[Unique_AIB_ID]],Tableau1[[Unique_AIB_ID]:[Building / Room]],10,TRUE),"")</f>
        <v>0</v>
      </c>
      <c r="AJ23" s="214">
        <f>IFERROR(VLOOKUP(UO_List[[#This Row],[Unique_AIB_ID]],Tableau1[[Unique_AIB_ID]:[Building / Room]],11,FALSE),"")</f>
        <v>0</v>
      </c>
      <c r="AK23" s="211">
        <f>IFERROR(VLOOKUP(UO_List[[#This Row],[Unique_AIB_ID]],Tableau1[[Unique_AIB_ID]:[Building / Room]],12,FALSE),"")</f>
        <v>0</v>
      </c>
      <c r="AL23" s="211">
        <f>IFERROR(VLOOKUP(UO_List[[#This Row],[Unique_AIB_ID]],Tableau1[[Unique_AIB_ID]:[Building / Room]],13,FALSE),"")</f>
        <v>0</v>
      </c>
      <c r="AM23" s="215">
        <f>IFERROR(VLOOKUP(UO_List[[#This Row],[Unique_AIB_ID]],Tableau1[[Unique_AIB_ID]:[Building / Room]],14,FALSE),"")</f>
        <v>0</v>
      </c>
      <c r="AN23" s="215">
        <f>IFERROR(VLOOKUP(UO_List[[#This Row],[Unique_AIB_ID]],Tableau1[[Unique_AIB_ID]:[Building / Room]],15,FALSE),"")</f>
        <v>0</v>
      </c>
      <c r="AO23" s="215">
        <f>IFERROR(VLOOKUP(UO_List[[#This Row],[Unique_AIB_ID]],Tableau1[[Unique_AIB_ID]:[Building / Room]],16,FALSE),"")</f>
        <v>0</v>
      </c>
      <c r="AP23" s="215" t="str">
        <f>IFERROR(VLOOKUP(UO_List[[#This Row],[Unique_AIB_ID]],Tableau1[[Unique_AIB_ID]:[Building / Room]],17,FALSE),"")</f>
        <v>0</v>
      </c>
      <c r="AQ23" s="215">
        <f>IFERROR(VLOOKUP(UO_List[[#This Row],[Unique_AIB_ID]],Tableau1[[Unique_AIB_ID]:[Building / Room]],18,FALSE),"")</f>
        <v>0</v>
      </c>
      <c r="AR23" s="215" t="str">
        <f>IFERROR(VLOOKUP(UO_List[[#This Row],[Unique_AIB_ID]],Tableau1[[Unique_AIB_ID]:[Building / Room]],19,FALSE),"")</f>
        <v>03/31/20</v>
      </c>
      <c r="AS23" s="215">
        <f>IFERROR(VLOOKUP(UO_List[[#This Row],[Unique_AIB_ID]],Tableau1[[Unique_AIB_ID]:[Building / Room]],20,FALSE),"")</f>
        <v>0</v>
      </c>
      <c r="AT23" s="215">
        <f>IFERROR(VLOOKUP(UO_List[[#This Row],[Unique_AIB_ID]],Tableau1[[Unique_AIB_ID]:[Building / Room]],21,FALSE),"")</f>
        <v>0</v>
      </c>
      <c r="AU23" s="215" t="str">
        <f>IFERROR(VLOOKUP(UO_List[[#This Row],[Unique_AIB_ID]],Tableau1[[Unique_AIB_ID]:[Building / Room]],22,FALSE),"")</f>
        <v>10W / 1st Floor</v>
      </c>
      <c r="AV23" s="168">
        <f>IFERROR(VLOOKUP(UO_List[[#This Row],[Unique_AIB_ID]],Tableau1[[Unique_AIB_ID]:[Currency]],23,FALSE),"")</f>
        <v>0</v>
      </c>
      <c r="AW23" s="168">
        <f>IFERROR(IF(ISBLANK(UO_List[[#This Row],[PO Number (Header)]]),"",UO_List[[#This Row],[Line Total]]/UO_List[[#This Row],[Total Item Quantity]]),"")</f>
        <v>2800</v>
      </c>
      <c r="AX23" s="499" t="s">
        <v>953</v>
      </c>
      <c r="AY23" s="168"/>
      <c r="AZ23" s="78" t="s">
        <v>843</v>
      </c>
      <c r="BA23" s="82"/>
      <c r="BB23" s="78"/>
      <c r="BC23" s="78" t="s">
        <v>700</v>
      </c>
      <c r="BD23" s="70" t="s">
        <v>686</v>
      </c>
      <c r="BE23" s="78" t="s">
        <v>799</v>
      </c>
      <c r="BF23" s="78" t="s">
        <v>195</v>
      </c>
      <c r="BG23" s="78"/>
      <c r="BH23" s="78" t="s">
        <v>884</v>
      </c>
      <c r="BI23" s="78" t="s">
        <v>876</v>
      </c>
      <c r="BJ23" s="493"/>
      <c r="BK23" s="79">
        <v>43831</v>
      </c>
      <c r="BL23" s="79">
        <v>43921</v>
      </c>
      <c r="BM23" s="71">
        <v>3</v>
      </c>
      <c r="BN23" s="71">
        <f>IFERROR(UO_List[[#This Row],[Total Item Quantity]]-UO_List[[#This Row],[Facteur]],"")</f>
        <v>0</v>
      </c>
      <c r="BO23" s="349">
        <f>IFERROR(IF(ISBLANK(UO_List[[#This Row],[Id_UO]]),"",SUMPRODUCT(1*(EXACT(UO_List[[#This Row],[Id_UO]],CATALOGUE[Id_WU]))*CATALOGUE[Price $])),"")</f>
        <v>2800</v>
      </c>
      <c r="BP23" s="350">
        <f>IFERROR(UO_List[[#This Row],[Prix unitaire]]*UO_List[[#This Row],[Facteur]],"")</f>
        <v>8400</v>
      </c>
      <c r="BQ23" s="100">
        <f>IFERROR(SUMPRODUCT(1*(EXACT(UO_List[[#This Row],[Id_UO]],CATALOGUE[Id_WU]))*CATALOGUE[Global_Workload_PM_(d)]*UO_List[[#This Row],[Facteur]]),"")</f>
        <v>2.25</v>
      </c>
      <c r="BR23" s="286">
        <f>UO_List[[#This Row],[Jours GP]]/jours_an</f>
        <v>1.0416666666666666E-2</v>
      </c>
      <c r="BS23" s="72">
        <f>IFERROR(SUMPRODUCT(1*(EXACT(UO_List[[#This Row],[Id_UO]],CATALOGUE[Id_WU]))*CATALOGUE[Global_Workload_Tech_(d)]*UO_List[[#This Row],[Facteur]]),"")</f>
        <v>12.75</v>
      </c>
      <c r="BT23" s="286">
        <f>UO_List[[#This Row],[Jours Tech]]/jours_an</f>
        <v>5.9027777777777776E-2</v>
      </c>
      <c r="BU23" s="72">
        <f>UO_List[[#This Row],[Jours GP]]+UO_List[[#This Row],[Jours Tech]]</f>
        <v>15</v>
      </c>
      <c r="BV23" s="286">
        <f>UO_List[[#This Row],[ETP GP]]+UO_List[[#This Row],[ETP Tech]]</f>
        <v>6.9444444444444448E-2</v>
      </c>
      <c r="BW23" s="73" t="s">
        <v>209</v>
      </c>
      <c r="BX23" s="80" t="s">
        <v>203</v>
      </c>
      <c r="BY23" s="462">
        <f>IF(UO_List[[#This Row],[Budget Revue]]="x",UO_List[[#This Row],[Montant TOTAL]],0)</f>
        <v>8400</v>
      </c>
      <c r="BZ23" s="80">
        <f>IF(UO_List[[#This Row],[Budget Revue]]="x",UO_List[[#This Row],[Jours Tech]],0)</f>
        <v>12.75</v>
      </c>
      <c r="CA23" s="80">
        <f>IF(UO_List[[#This Row],[Budget Revue]]="x",UO_List[[#This Row],[Jours GP]],0)</f>
        <v>2.25</v>
      </c>
      <c r="CB23" s="516">
        <f>IF(AND(UO_List[[#This Row],[Budget Revue]]="x",$BK23&lt;&gt;"",$BL23&lt;&gt;"",YEAR(BB$3)=YEAR($BK23),MONTH(BB$3)&gt;=MONTH($BK23),MONTH(BB$3)&lt;=MONTH($BL23)),$BS23/(MONTH($BL23)-MONTH($BK23)+1),"")</f>
        <v>4.25</v>
      </c>
      <c r="CC23" s="80">
        <f>IF(AND(UO_List[[#This Row],[Budget Revue]]="x",$BK23&lt;&gt;"",$BL23&lt;&gt;"",YEAR(BC$3)=YEAR($BK23),MONTH(BC$3)&gt;=MONTH($BK23),MONTH(BC$3)&lt;=MONTH($BL23)),$BS23/(MONTH($BL23)-MONTH($BK23)+1),"")</f>
        <v>4.25</v>
      </c>
      <c r="CD23" s="80">
        <f>IF(AND(UO_List[[#This Row],[Budget Revue]]="x",$BK23&lt;&gt;"",$BL23&lt;&gt;"",YEAR(BD$3)=YEAR($BK23),MONTH(BD$3)&gt;=MONTH($BK23),MONTH(BD$3)&lt;=MONTH($BL23)),$BS23/(MONTH($BL23)-MONTH($BK23)+1),"")</f>
        <v>4.25</v>
      </c>
      <c r="CE23" s="80" t="str">
        <f>IF(AND(UO_List[[#This Row],[Budget Revue]]="x",$BK23&lt;&gt;"",$BL23&lt;&gt;"",YEAR(BE$3)=YEAR($BK23),MONTH(BE$3)&gt;=MONTH($BK23),MONTH(BE$3)&lt;=MONTH($BL23)),$BS23/(MONTH($BL23)-MONTH($BK23)+1),"")</f>
        <v/>
      </c>
      <c r="CF23" s="80" t="str">
        <f>IF(AND(UO_List[[#This Row],[Budget Revue]]="x",$BK23&lt;&gt;"",$BL23&lt;&gt;"",YEAR(BF$3)=YEAR($BK23),MONTH(BF$3)&gt;=MONTH($BK23),MONTH(BF$3)&lt;=MONTH($BL23)),$BS23/(MONTH($BL23)-MONTH($BK23)+1),"")</f>
        <v/>
      </c>
      <c r="CG23" s="80" t="str">
        <f>IF(AND(UO_List[[#This Row],[Budget Revue]]="x",$BK23&lt;&gt;"",$BL23&lt;&gt;"",YEAR(BG$3)=YEAR($BK23),MONTH(BG$3)&gt;=MONTH($BK23),MONTH(BG$3)&lt;=MONTH($BL23)),$BS23/(MONTH($BL23)-MONTH($BK23)+1),"")</f>
        <v/>
      </c>
      <c r="CH23" s="80" t="str">
        <f>IF(AND(UO_List[[#This Row],[Budget Revue]]="x",$BK23&lt;&gt;"",$BL23&lt;&gt;"",YEAR(BH$3)=YEAR($BK23),MONTH(BH$3)&gt;=MONTH($BK23),MONTH(BH$3)&lt;=MONTH($BL23)),$BS23/(MONTH($BL23)-MONTH($BK23)+1),"")</f>
        <v/>
      </c>
      <c r="CI23" s="80" t="str">
        <f>IF(AND(UO_List[[#This Row],[Budget Revue]]="x",$BK23&lt;&gt;"",$BL23&lt;&gt;"",YEAR(BI$3)=YEAR($BK23),MONTH(BI$3)&gt;=MONTH($BK23),MONTH(BI$3)&lt;=MONTH($BL23)),$BS23/(MONTH($BL23)-MONTH($BK23)+1),"")</f>
        <v/>
      </c>
      <c r="CJ23" s="80" t="str">
        <f>IF(AND(UO_List[[#This Row],[Budget Revue]]="x",$BK23&lt;&gt;"",$BL23&lt;&gt;"",YEAR(BJ$3)=YEAR($BK23),MONTH(BJ$3)&gt;=MONTH($BK23),MONTH(BJ$3)&lt;=MONTH($BL23)),$BS23/(MONTH($BL23)-MONTH($BK23)+1),"")</f>
        <v/>
      </c>
      <c r="CK23" s="80" t="str">
        <f>IF(AND(UO_List[[#This Row],[Budget Revue]]="x",$BK23&lt;&gt;"",$BL23&lt;&gt;"",YEAR(BK$3)=YEAR($BK23),MONTH(BK$3)&gt;=MONTH($BK23),MONTH(BK$3)&lt;=MONTH($BL23)),$BS23/(MONTH($BL23)-MONTH($BK23)+1),"")</f>
        <v/>
      </c>
      <c r="CL23" s="80" t="str">
        <f>IF(AND(UO_List[[#This Row],[Budget Revue]]="x",$BK23&lt;&gt;"",$BL23&lt;&gt;"",YEAR(BL$3)=YEAR($BK23),MONTH(BL$3)&gt;=MONTH($BK23),MONTH(BL$3)&lt;=MONTH($BL23)),$BS23/(MONTH($BL23)-MONTH($BK23)+1),"")</f>
        <v/>
      </c>
      <c r="CM23" s="80" t="str">
        <f>IF(AND(UO_List[[#This Row],[Budget Revue]]="x",$BK23&lt;&gt;"",$BL23&lt;&gt;"",YEAR(BM$3)=YEAR($BK23),MONTH(BM$3)&gt;=MONTH($BK23),MONTH(BM$3)&lt;=MONTH($BL23)),$BS23/(MONTH($BL23)-MONTH($BK23)+1),"")</f>
        <v/>
      </c>
      <c r="CN23" s="75">
        <f>IF(UO_List[[#This Row],[Budget Revue]]="x",SUM(UO_List[[#This Row],[JANVIER]:[DECEMBRE]])-UO_List[[#This Row],[Jours Tech]],"")</f>
        <v>0</v>
      </c>
      <c r="CO23" s="348">
        <f>IF(AND(UO_List[[#This Row],[Budget Revue]]="x",$BK23&lt;&gt;"",$BL23&lt;&gt;"",YEAR(BO$3)=YEAR($BK23),MONTH(BO$3)&gt;=MONTH($BK23),MONTH(BO$3)&lt;=MONTH($BL23)),UO_List[[#This Row],[Montant TOTAL]]/(MONTH($BL23)-MONTH($BK23)+1),"")</f>
        <v>2800</v>
      </c>
      <c r="CP23" s="348">
        <f>IF(AND(UO_List[[#This Row],[Budget Revue]]="x",$BK23&lt;&gt;"",$BL23&lt;&gt;"",YEAR(BP$3)=YEAR($BK23),MONTH(BP$3)&gt;=MONTH($BK23),MONTH(BP$3)&lt;=MONTH($BL23)),UO_List[[#This Row],[Montant TOTAL]]/(MONTH($BL23)-MONTH($BK23)+1),"")</f>
        <v>2800</v>
      </c>
      <c r="CQ23" s="348">
        <f>IF(AND(UO_List[[#This Row],[Budget Revue]]="x",$BK23&lt;&gt;"",$BL23&lt;&gt;"",YEAR(BQ$3)=YEAR($BK23),MONTH(BQ$3)&gt;=MONTH($BK23),MONTH(BQ$3)&lt;=MONTH($BL23)),UO_List[[#This Row],[Montant TOTAL]]/(MONTH($BL23)-MONTH($BK23)+1),"")</f>
        <v>2800</v>
      </c>
      <c r="CR23" s="348" t="str">
        <f>IF(AND(UO_List[[#This Row],[Budget Revue]]="x",$BK23&lt;&gt;"",$BL23&lt;&gt;"",YEAR(BR$3)=YEAR($BK23),MONTH(BR$3)&gt;=MONTH($BK23),MONTH(BR$3)&lt;=MONTH($BL23)),UO_List[[#This Row],[Montant TOTAL]]/(MONTH($BL23)-MONTH($BK23)+1),"")</f>
        <v/>
      </c>
      <c r="CS23" s="348" t="str">
        <f>IF(AND(UO_List[[#This Row],[Budget Revue]]="x",$BK23&lt;&gt;"",$BL23&lt;&gt;"",YEAR(BS$3)=YEAR($BK23),MONTH(BS$3)&gt;=MONTH($BK23),MONTH(BS$3)&lt;=MONTH($BL23)),UO_List[[#This Row],[Montant TOTAL]]/(MONTH($BL23)-MONTH($BK23)+1),"")</f>
        <v/>
      </c>
      <c r="CT23" s="348" t="str">
        <f>IF(AND(UO_List[[#This Row],[Budget Revue]]="x",$BK23&lt;&gt;"",$BL23&lt;&gt;"",YEAR(BT$3)=YEAR($BK23),MONTH(BT$3)&gt;=MONTH($BK23),MONTH(BT$3)&lt;=MONTH($BL23)),UO_List[[#This Row],[Montant TOTAL]]/(MONTH($BL23)-MONTH($BK23)+1),"")</f>
        <v/>
      </c>
      <c r="CU23" s="348" t="str">
        <f>IF(AND(UO_List[[#This Row],[Budget Revue]]="x",$BK23&lt;&gt;"",$BL23&lt;&gt;"",YEAR(BU$3)=YEAR($BK23),MONTH(BU$3)&gt;=MONTH($BK23),MONTH(BU$3)&lt;=MONTH($BL23)),UO_List[[#This Row],[Montant TOTAL]]/(MONTH($BL23)-MONTH($BK23)+1),"")</f>
        <v/>
      </c>
      <c r="CV23" s="348" t="str">
        <f>IF(AND(UO_List[[#This Row],[Budget Revue]]="x",$BK23&lt;&gt;"",$BL23&lt;&gt;"",YEAR(BV$3)=YEAR($BK23),MONTH(BV$3)&gt;=MONTH($BK23),MONTH(BV$3)&lt;=MONTH($BL23)),UO_List[[#This Row],[Montant TOTAL]]/(MONTH($BL23)-MONTH($BK23)+1),"")</f>
        <v/>
      </c>
      <c r="CW23" s="348" t="str">
        <f>IF(AND(UO_List[[#This Row],[Budget Revue]]="x",$BK23&lt;&gt;"",$BL23&lt;&gt;"",YEAR(BW$3)=YEAR($BK23),MONTH(BW$3)&gt;=MONTH($BK23),MONTH(BW$3)&lt;=MONTH($BL23)),UO_List[[#This Row],[Montant TOTAL]]/(MONTH($BL23)-MONTH($BK23)+1),"")</f>
        <v/>
      </c>
      <c r="CX23" s="348" t="str">
        <f>IF(AND(UO_List[[#This Row],[Budget Revue]]="x",$BK23&lt;&gt;"",$BL23&lt;&gt;"",YEAR(BX$3)=YEAR($BK23),MONTH(BX$3)&gt;=MONTH($BK23),MONTH(BX$3)&lt;=MONTH($BL23)),UO_List[[#This Row],[Montant TOTAL]]/(MONTH($BL23)-MONTH($BK23)+1),"")</f>
        <v/>
      </c>
      <c r="CY23" s="348" t="str">
        <f>IF(AND(UO_List[[#This Row],[Budget Revue]]="x",$BK23&lt;&gt;"",$BL23&lt;&gt;"",YEAR(BY$3)=YEAR($BK23),MONTH(BY$3)&gt;=MONTH($BK23),MONTH(BY$3)&lt;=MONTH($BL23)),UO_List[[#This Row],[Montant TOTAL]]/(MONTH($BL23)-MONTH($BK23)+1),"")</f>
        <v/>
      </c>
      <c r="CZ23" s="348" t="str">
        <f>IF(AND(UO_List[[#This Row],[Budget Revue]]="x",$BK23&lt;&gt;"",$BL23&lt;&gt;"",YEAR(BY$3)=YEAR($BK23),MONTH(BY$3)&gt;=MONTH($BK23),MONTH(BY$3)&lt;=MONTH($BL23)),UO_List[[#This Row],[Montant TOTAL]]/(MONTH($BL23)-MONTH($BK23)+1),"")</f>
        <v/>
      </c>
      <c r="DA23" s="348">
        <f>IF(UO_List[[#This Row],[Budget Revue]]="x",SUM(UO_List[[#This Row],[JANVIER2]:[DECEMBRE2]])-UO_List[Montant TOTAL],"")</f>
        <v>0</v>
      </c>
      <c r="DB23" s="83"/>
      <c r="DC23" s="83"/>
      <c r="DD23" s="83"/>
      <c r="DE23" s="559"/>
      <c r="DF23" s="560"/>
      <c r="DG23" s="560"/>
      <c r="DH23" s="83"/>
      <c r="DI23" s="83"/>
      <c r="DJ23" s="83"/>
      <c r="DK23" s="83"/>
      <c r="DL23" s="83"/>
      <c r="DM23" s="83"/>
      <c r="DN23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23" s="76">
        <f>IFERROR(UO_List[[#This Row],[Line Total]]-UO_List[[#This Row],[Montant total réceptionné]],"")</f>
        <v>8400</v>
      </c>
      <c r="DP23" s="76">
        <f>IFERROR(UO_List[[#This Row],[Total item réceptionné]]*UO_List[[#This Row],[Unit Price (calcul)]],0)</f>
        <v>0</v>
      </c>
      <c r="DQ23" s="76">
        <f>UO_List[[#This Row],[Facteur]]-UO_List[[#This Row],[Total item réceptionné]]</f>
        <v>3</v>
      </c>
      <c r="DR23" s="77"/>
      <c r="DS23" s="77"/>
      <c r="DT23" s="158"/>
      <c r="DU23" s="77"/>
    </row>
    <row r="24" spans="27:125" s="125" customFormat="1">
      <c r="AA24" s="216" t="str">
        <f>IFERROR(VLOOKUP(UO_List[[#This Row],[Unique_AIB_ID]],Tableau1[[Unique_AIB_ID]:[Building / Room]],2,FALSE),"")</f>
        <v>D000481022</v>
      </c>
      <c r="AB24" s="217">
        <f>IFERROR(VLOOKUP(UO_List[[#This Row],[Unique_AIB_ID]],UO_Contract!A23:V212,3,TRUE),"")</f>
        <v>0</v>
      </c>
      <c r="AC24" s="218" t="str">
        <f>IFERROR(VLOOKUP(UO_List[[#This Row],[Unique_AIB_ID]],Tableau1[[Unique_AIB_ID]:[Building / Room]],4,FALSE),"")</f>
        <v>WPA - SII - PJOP - Airbus - WD1701094 - Flight and Integration Test CT1705359</v>
      </c>
      <c r="AD24" s="217">
        <f>IFERROR(VLOOKUP(UO_List[[#This Row],[Unique_AIB_ID]],Tableau1[[Unique_AIB_ID]:[Building / Room]],5,FALSE),"")</f>
        <v>0</v>
      </c>
      <c r="AE24" s="217">
        <f>IFERROR(VLOOKUP(UO_List[[#This Row],[Unique_AIB_ID]],Tableau1[[Unique_AIB_ID]:[Building / Room]],6,FALSE),"")</f>
        <v>2</v>
      </c>
      <c r="AF24" s="217" t="str">
        <f>IFERROR(VLOOKUP(UO_List[[#This Row],[Unique_AIB_ID]],Tableau1[[Unique_AIB_ID]:[Building / Room]],7,FALSE),"")</f>
        <v>1 Each of WU_F&amp;LG_TLS_T_2 TESTS in TLS [PJE_SII_EVYP_USD_AIRBUS_FR]</v>
      </c>
      <c r="AG24" s="217">
        <f>IFERROR(VLOOKUP(UO_List[[#This Row],[Unique_AIB_ID]],Tableau1[[Unique_AIB_ID]:[Building / Room]],8,FALSE),"")</f>
        <v>1</v>
      </c>
      <c r="AH24" s="219">
        <f>IFERROR(VALUE(VLOOKUP(UO_List[[#This Row],[Unique_AIB_ID]],Tableau1[[Unique_AIB_ID]:[Building / Room]],9,FALSE)),"")</f>
        <v>580</v>
      </c>
      <c r="AI24" s="217">
        <f>IFERROR(VLOOKUP(UO_List[[#This Row],[Unique_AIB_ID]],Tableau1[[Unique_AIB_ID]:[Building / Room]],10,TRUE),"")</f>
        <v>0</v>
      </c>
      <c r="AJ24" s="220">
        <f>IFERROR(VLOOKUP(UO_List[[#This Row],[Unique_AIB_ID]],Tableau1[[Unique_AIB_ID]:[Building / Room]],11,FALSE),"")</f>
        <v>0</v>
      </c>
      <c r="AK24" s="217">
        <f>IFERROR(VLOOKUP(UO_List[[#This Row],[Unique_AIB_ID]],Tableau1[[Unique_AIB_ID]:[Building / Room]],12,FALSE),"")</f>
        <v>0</v>
      </c>
      <c r="AL24" s="217">
        <f>IFERROR(VLOOKUP(UO_List[[#This Row],[Unique_AIB_ID]],Tableau1[[Unique_AIB_ID]:[Building / Room]],13,FALSE),"")</f>
        <v>0</v>
      </c>
      <c r="AM24" s="215">
        <f>IFERROR(VLOOKUP(UO_List[[#This Row],[Unique_AIB_ID]],Tableau1[[Unique_AIB_ID]:[Building / Room]],14,FALSE),"")</f>
        <v>0</v>
      </c>
      <c r="AN24" s="215">
        <f>IFERROR(VLOOKUP(UO_List[[#This Row],[Unique_AIB_ID]],Tableau1[[Unique_AIB_ID]:[Building / Room]],15,FALSE),"")</f>
        <v>0</v>
      </c>
      <c r="AO24" s="215">
        <f>IFERROR(VLOOKUP(UO_List[[#This Row],[Unique_AIB_ID]],Tableau1[[Unique_AIB_ID]:[Building / Room]],16,FALSE),"")</f>
        <v>0</v>
      </c>
      <c r="AP24" s="215" t="str">
        <f>IFERROR(VLOOKUP(UO_List[[#This Row],[Unique_AIB_ID]],Tableau1[[Unique_AIB_ID]:[Building / Room]],17,FALSE),"")</f>
        <v>0</v>
      </c>
      <c r="AQ24" s="215">
        <f>IFERROR(VLOOKUP(UO_List[[#This Row],[Unique_AIB_ID]],Tableau1[[Unique_AIB_ID]:[Building / Room]],18,FALSE),"")</f>
        <v>0</v>
      </c>
      <c r="AR24" s="215" t="str">
        <f>IFERROR(VLOOKUP(UO_List[[#This Row],[Unique_AIB_ID]],Tableau1[[Unique_AIB_ID]:[Building / Room]],19,FALSE),"")</f>
        <v>03/31/20</v>
      </c>
      <c r="AS24" s="215">
        <f>IFERROR(VLOOKUP(UO_List[[#This Row],[Unique_AIB_ID]],Tableau1[[Unique_AIB_ID]:[Building / Room]],20,FALSE),"")</f>
        <v>0</v>
      </c>
      <c r="AT24" s="215">
        <f>IFERROR(VLOOKUP(UO_List[[#This Row],[Unique_AIB_ID]],Tableau1[[Unique_AIB_ID]:[Building / Room]],21,FALSE),"")</f>
        <v>0</v>
      </c>
      <c r="AU24" s="215" t="str">
        <f>IFERROR(VLOOKUP(UO_List[[#This Row],[Unique_AIB_ID]],Tableau1[[Unique_AIB_ID]:[Building / Room]],22,FALSE),"")</f>
        <v>10W / 1st Floor</v>
      </c>
      <c r="AV24" s="168">
        <f>IFERROR(VLOOKUP(UO_List[[#This Row],[Unique_AIB_ID]],Tableau1[[Unique_AIB_ID]:[Currency]],23,FALSE),"")</f>
        <v>0</v>
      </c>
      <c r="AW24" s="168">
        <f>IFERROR(IF(ISBLANK(UO_List[[#This Row],[PO Number (Header)]]),"",UO_List[[#This Row],[Line Total]]/UO_List[[#This Row],[Total Item Quantity]]),"")</f>
        <v>580</v>
      </c>
      <c r="AX24" s="499" t="s">
        <v>954</v>
      </c>
      <c r="AY24" s="168"/>
      <c r="AZ24" s="78" t="s">
        <v>843</v>
      </c>
      <c r="BA24" s="82"/>
      <c r="BB24" s="78"/>
      <c r="BC24" s="78" t="s">
        <v>701</v>
      </c>
      <c r="BD24" s="70" t="s">
        <v>686</v>
      </c>
      <c r="BE24" s="78" t="s">
        <v>799</v>
      </c>
      <c r="BF24" s="78" t="s">
        <v>195</v>
      </c>
      <c r="BG24" s="78"/>
      <c r="BH24" s="78" t="s">
        <v>884</v>
      </c>
      <c r="BI24" s="78" t="s">
        <v>876</v>
      </c>
      <c r="BJ24" s="493"/>
      <c r="BK24" s="79">
        <v>43831</v>
      </c>
      <c r="BL24" s="79">
        <v>43921</v>
      </c>
      <c r="BM24" s="550">
        <v>1</v>
      </c>
      <c r="BN24" s="71">
        <f>IFERROR(UO_List[[#This Row],[Total Item Quantity]]-UO_List[[#This Row],[Facteur]],"")</f>
        <v>0</v>
      </c>
      <c r="BO24" s="349">
        <f>IFERROR(IF(ISBLANK(UO_List[[#This Row],[Id_UO]]),"",SUMPRODUCT(1*(EXACT(UO_List[[#This Row],[Id_UO]],CATALOGUE[Id_WU]))*CATALOGUE[Price $])),"")</f>
        <v>580</v>
      </c>
      <c r="BP24" s="350">
        <f>IFERROR(UO_List[[#This Row],[Prix unitaire]]*UO_List[[#This Row],[Facteur]],"")</f>
        <v>580</v>
      </c>
      <c r="BQ24" s="100">
        <f>IFERROR(SUMPRODUCT(1*(EXACT(UO_List[[#This Row],[Id_UO]],CATALOGUE[Id_WU]))*CATALOGUE[Global_Workload_PM_(d)]*UO_List[[#This Row],[Facteur]]),"")</f>
        <v>0.15000000000000002</v>
      </c>
      <c r="BR24" s="286">
        <f>UO_List[[#This Row],[Jours GP]]/jours_an</f>
        <v>6.9444444444444458E-4</v>
      </c>
      <c r="BS24" s="72">
        <f>IFERROR(SUMPRODUCT(1*(EXACT(UO_List[[#This Row],[Id_UO]],CATALOGUE[Id_WU]))*CATALOGUE[Global_Workload_Tech_(d)]*UO_List[[#This Row],[Facteur]]),"")</f>
        <v>0.85</v>
      </c>
      <c r="BT24" s="286">
        <f>UO_List[[#This Row],[Jours Tech]]/jours_an</f>
        <v>3.9351851851851848E-3</v>
      </c>
      <c r="BU24" s="72">
        <f>UO_List[[#This Row],[Jours GP]]+UO_List[[#This Row],[Jours Tech]]</f>
        <v>1</v>
      </c>
      <c r="BV24" s="286">
        <f>UO_List[[#This Row],[ETP GP]]+UO_List[[#This Row],[ETP Tech]]</f>
        <v>4.6296296296296294E-3</v>
      </c>
      <c r="BW24" s="73" t="s">
        <v>209</v>
      </c>
      <c r="BX24" s="80" t="s">
        <v>203</v>
      </c>
      <c r="BY24" s="462">
        <f>IF(UO_List[[#This Row],[Budget Revue]]="x",UO_List[[#This Row],[Montant TOTAL]],0)</f>
        <v>580</v>
      </c>
      <c r="BZ24" s="80">
        <f>IF(UO_List[[#This Row],[Budget Revue]]="x",UO_List[[#This Row],[Jours Tech]],0)</f>
        <v>0.85</v>
      </c>
      <c r="CA24" s="80">
        <f>IF(UO_List[[#This Row],[Budget Revue]]="x",UO_List[[#This Row],[Jours GP]],0)</f>
        <v>0.15000000000000002</v>
      </c>
      <c r="CB24" s="516">
        <f>IF(AND(UO_List[[#This Row],[Budget Revue]]="x",$BK24&lt;&gt;"",$BL24&lt;&gt;"",YEAR(BB$3)=YEAR($BK24),MONTH(BB$3)&gt;=MONTH($BK24),MONTH(BB$3)&lt;=MONTH($BL24)),$BS24/(MONTH($BL24)-MONTH($BK24)+1),"")</f>
        <v>0.28333333333333333</v>
      </c>
      <c r="CC24" s="80">
        <f>IF(AND(UO_List[[#This Row],[Budget Revue]]="x",$BK24&lt;&gt;"",$BL24&lt;&gt;"",YEAR(BC$3)=YEAR($BK24),MONTH(BC$3)&gt;=MONTH($BK24),MONTH(BC$3)&lt;=MONTH($BL24)),$BS24/(MONTH($BL24)-MONTH($BK24)+1),"")</f>
        <v>0.28333333333333333</v>
      </c>
      <c r="CD24" s="80">
        <f>IF(AND(UO_List[[#This Row],[Budget Revue]]="x",$BK24&lt;&gt;"",$BL24&lt;&gt;"",YEAR(BD$3)=YEAR($BK24),MONTH(BD$3)&gt;=MONTH($BK24),MONTH(BD$3)&lt;=MONTH($BL24)),$BS24/(MONTH($BL24)-MONTH($BK24)+1),"")</f>
        <v>0.28333333333333333</v>
      </c>
      <c r="CE24" s="80" t="str">
        <f>IF(AND(UO_List[[#This Row],[Budget Revue]]="x",$BK24&lt;&gt;"",$BL24&lt;&gt;"",YEAR(BE$3)=YEAR($BK24),MONTH(BE$3)&gt;=MONTH($BK24),MONTH(BE$3)&lt;=MONTH($BL24)),$BS24/(MONTH($BL24)-MONTH($BK24)+1),"")</f>
        <v/>
      </c>
      <c r="CF24" s="80" t="str">
        <f>IF(AND(UO_List[[#This Row],[Budget Revue]]="x",$BK24&lt;&gt;"",$BL24&lt;&gt;"",YEAR(BF$3)=YEAR($BK24),MONTH(BF$3)&gt;=MONTH($BK24),MONTH(BF$3)&lt;=MONTH($BL24)),$BS24/(MONTH($BL24)-MONTH($BK24)+1),"")</f>
        <v/>
      </c>
      <c r="CG24" s="80" t="str">
        <f>IF(AND(UO_List[[#This Row],[Budget Revue]]="x",$BK24&lt;&gt;"",$BL24&lt;&gt;"",YEAR(BG$3)=YEAR($BK24),MONTH(BG$3)&gt;=MONTH($BK24),MONTH(BG$3)&lt;=MONTH($BL24)),$BS24/(MONTH($BL24)-MONTH($BK24)+1),"")</f>
        <v/>
      </c>
      <c r="CH24" s="80" t="str">
        <f>IF(AND(UO_List[[#This Row],[Budget Revue]]="x",$BK24&lt;&gt;"",$BL24&lt;&gt;"",YEAR(BH$3)=YEAR($BK24),MONTH(BH$3)&gt;=MONTH($BK24),MONTH(BH$3)&lt;=MONTH($BL24)),$BS24/(MONTH($BL24)-MONTH($BK24)+1),"")</f>
        <v/>
      </c>
      <c r="CI24" s="80" t="str">
        <f>IF(AND(UO_List[[#This Row],[Budget Revue]]="x",$BK24&lt;&gt;"",$BL24&lt;&gt;"",YEAR(BI$3)=YEAR($BK24),MONTH(BI$3)&gt;=MONTH($BK24),MONTH(BI$3)&lt;=MONTH($BL24)),$BS24/(MONTH($BL24)-MONTH($BK24)+1),"")</f>
        <v/>
      </c>
      <c r="CJ24" s="80" t="str">
        <f>IF(AND(UO_List[[#This Row],[Budget Revue]]="x",$BK24&lt;&gt;"",$BL24&lt;&gt;"",YEAR(BJ$3)=YEAR($BK24),MONTH(BJ$3)&gt;=MONTH($BK24),MONTH(BJ$3)&lt;=MONTH($BL24)),$BS24/(MONTH($BL24)-MONTH($BK24)+1),"")</f>
        <v/>
      </c>
      <c r="CK24" s="80" t="str">
        <f>IF(AND(UO_List[[#This Row],[Budget Revue]]="x",$BK24&lt;&gt;"",$BL24&lt;&gt;"",YEAR(BK$3)=YEAR($BK24),MONTH(BK$3)&gt;=MONTH($BK24),MONTH(BK$3)&lt;=MONTH($BL24)),$BS24/(MONTH($BL24)-MONTH($BK24)+1),"")</f>
        <v/>
      </c>
      <c r="CL24" s="80" t="str">
        <f>IF(AND(UO_List[[#This Row],[Budget Revue]]="x",$BK24&lt;&gt;"",$BL24&lt;&gt;"",YEAR(BL$3)=YEAR($BK24),MONTH(BL$3)&gt;=MONTH($BK24),MONTH(BL$3)&lt;=MONTH($BL24)),$BS24/(MONTH($BL24)-MONTH($BK24)+1),"")</f>
        <v/>
      </c>
      <c r="CM24" s="80" t="str">
        <f>IF(AND(UO_List[[#This Row],[Budget Revue]]="x",$BK24&lt;&gt;"",$BL24&lt;&gt;"",YEAR(BM$3)=YEAR($BK24),MONTH(BM$3)&gt;=MONTH($BK24),MONTH(BM$3)&lt;=MONTH($BL24)),$BS24/(MONTH($BL24)-MONTH($BK24)+1),"")</f>
        <v/>
      </c>
      <c r="CN24" s="75">
        <f>IF(UO_List[[#This Row],[Budget Revue]]="x",SUM(UO_List[[#This Row],[JANVIER]:[DECEMBRE]])-UO_List[[#This Row],[Jours Tech]],"")</f>
        <v>0</v>
      </c>
      <c r="CO24" s="348">
        <f>IF(AND(UO_List[[#This Row],[Budget Revue]]="x",$BK24&lt;&gt;"",$BL24&lt;&gt;"",YEAR(BO$3)=YEAR($BK24),MONTH(BO$3)&gt;=MONTH($BK24),MONTH(BO$3)&lt;=MONTH($BL24)),UO_List[[#This Row],[Montant TOTAL]]/(MONTH($BL24)-MONTH($BK24)+1),"")</f>
        <v>193.33333333333334</v>
      </c>
      <c r="CP24" s="348">
        <f>IF(AND(UO_List[[#This Row],[Budget Revue]]="x",$BK24&lt;&gt;"",$BL24&lt;&gt;"",YEAR(BP$3)=YEAR($BK24),MONTH(BP$3)&gt;=MONTH($BK24),MONTH(BP$3)&lt;=MONTH($BL24)),UO_List[[#This Row],[Montant TOTAL]]/(MONTH($BL24)-MONTH($BK24)+1),"")</f>
        <v>193.33333333333334</v>
      </c>
      <c r="CQ24" s="348">
        <f>IF(AND(UO_List[[#This Row],[Budget Revue]]="x",$BK24&lt;&gt;"",$BL24&lt;&gt;"",YEAR(BQ$3)=YEAR($BK24),MONTH(BQ$3)&gt;=MONTH($BK24),MONTH(BQ$3)&lt;=MONTH($BL24)),UO_List[[#This Row],[Montant TOTAL]]/(MONTH($BL24)-MONTH($BK24)+1),"")</f>
        <v>193.33333333333334</v>
      </c>
      <c r="CR24" s="348" t="str">
        <f>IF(AND(UO_List[[#This Row],[Budget Revue]]="x",$BK24&lt;&gt;"",$BL24&lt;&gt;"",YEAR(BR$3)=YEAR($BK24),MONTH(BR$3)&gt;=MONTH($BK24),MONTH(BR$3)&lt;=MONTH($BL24)),UO_List[[#This Row],[Montant TOTAL]]/(MONTH($BL24)-MONTH($BK24)+1),"")</f>
        <v/>
      </c>
      <c r="CS24" s="348" t="str">
        <f>IF(AND(UO_List[[#This Row],[Budget Revue]]="x",$BK24&lt;&gt;"",$BL24&lt;&gt;"",YEAR(BS$3)=YEAR($BK24),MONTH(BS$3)&gt;=MONTH($BK24),MONTH(BS$3)&lt;=MONTH($BL24)),UO_List[[#This Row],[Montant TOTAL]]/(MONTH($BL24)-MONTH($BK24)+1),"")</f>
        <v/>
      </c>
      <c r="CT24" s="348" t="str">
        <f>IF(AND(UO_List[[#This Row],[Budget Revue]]="x",$BK24&lt;&gt;"",$BL24&lt;&gt;"",YEAR(BT$3)=YEAR($BK24),MONTH(BT$3)&gt;=MONTH($BK24),MONTH(BT$3)&lt;=MONTH($BL24)),UO_List[[#This Row],[Montant TOTAL]]/(MONTH($BL24)-MONTH($BK24)+1),"")</f>
        <v/>
      </c>
      <c r="CU24" s="348" t="str">
        <f>IF(AND(UO_List[[#This Row],[Budget Revue]]="x",$BK24&lt;&gt;"",$BL24&lt;&gt;"",YEAR(BU$3)=YEAR($BK24),MONTH(BU$3)&gt;=MONTH($BK24),MONTH(BU$3)&lt;=MONTH($BL24)),UO_List[[#This Row],[Montant TOTAL]]/(MONTH($BL24)-MONTH($BK24)+1),"")</f>
        <v/>
      </c>
      <c r="CV24" s="348" t="str">
        <f>IF(AND(UO_List[[#This Row],[Budget Revue]]="x",$BK24&lt;&gt;"",$BL24&lt;&gt;"",YEAR(BV$3)=YEAR($BK24),MONTH(BV$3)&gt;=MONTH($BK24),MONTH(BV$3)&lt;=MONTH($BL24)),UO_List[[#This Row],[Montant TOTAL]]/(MONTH($BL24)-MONTH($BK24)+1),"")</f>
        <v/>
      </c>
      <c r="CW24" s="348" t="str">
        <f>IF(AND(UO_List[[#This Row],[Budget Revue]]="x",$BK24&lt;&gt;"",$BL24&lt;&gt;"",YEAR(BW$3)=YEAR($BK24),MONTH(BW$3)&gt;=MONTH($BK24),MONTH(BW$3)&lt;=MONTH($BL24)),UO_List[[#This Row],[Montant TOTAL]]/(MONTH($BL24)-MONTH($BK24)+1),"")</f>
        <v/>
      </c>
      <c r="CX24" s="348" t="str">
        <f>IF(AND(UO_List[[#This Row],[Budget Revue]]="x",$BK24&lt;&gt;"",$BL24&lt;&gt;"",YEAR(BX$3)=YEAR($BK24),MONTH(BX$3)&gt;=MONTH($BK24),MONTH(BX$3)&lt;=MONTH($BL24)),UO_List[[#This Row],[Montant TOTAL]]/(MONTH($BL24)-MONTH($BK24)+1),"")</f>
        <v/>
      </c>
      <c r="CY24" s="348" t="str">
        <f>IF(AND(UO_List[[#This Row],[Budget Revue]]="x",$BK24&lt;&gt;"",$BL24&lt;&gt;"",YEAR(BY$3)=YEAR($BK24),MONTH(BY$3)&gt;=MONTH($BK24),MONTH(BY$3)&lt;=MONTH($BL24)),UO_List[[#This Row],[Montant TOTAL]]/(MONTH($BL24)-MONTH($BK24)+1),"")</f>
        <v/>
      </c>
      <c r="CZ24" s="348" t="str">
        <f>IF(AND(UO_List[[#This Row],[Budget Revue]]="x",$BK24&lt;&gt;"",$BL24&lt;&gt;"",YEAR(BY$3)=YEAR($BK24),MONTH(BY$3)&gt;=MONTH($BK24),MONTH(BY$3)&lt;=MONTH($BL24)),UO_List[[#This Row],[Montant TOTAL]]/(MONTH($BL24)-MONTH($BK24)+1),"")</f>
        <v/>
      </c>
      <c r="DA24" s="348">
        <f>IF(UO_List[[#This Row],[Budget Revue]]="x",SUM(UO_List[[#This Row],[JANVIER2]:[DECEMBRE2]])-UO_List[Montant TOTAL],"")</f>
        <v>0</v>
      </c>
      <c r="DB24" s="517">
        <v>1</v>
      </c>
      <c r="DC24" s="83"/>
      <c r="DD24" s="83"/>
      <c r="DE24" s="559"/>
      <c r="DF24" s="560"/>
      <c r="DG24" s="560"/>
      <c r="DH24" s="83"/>
      <c r="DI24" s="83"/>
      <c r="DJ24" s="83"/>
      <c r="DK24" s="83"/>
      <c r="DL24" s="83"/>
      <c r="DM24" s="83"/>
      <c r="DN24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24" s="76">
        <f>IFERROR(UO_List[[#This Row],[Line Total]]-UO_List[[#This Row],[Montant total réceptionné]],"")</f>
        <v>0</v>
      </c>
      <c r="DP24" s="76">
        <f>IFERROR(UO_List[[#This Row],[Total item réceptionné]]*UO_List[[#This Row],[Unit Price (calcul)]],0)</f>
        <v>580</v>
      </c>
      <c r="DQ24" s="76">
        <f>UO_List[[#This Row],[Facteur]]-UO_List[[#This Row],[Total item réceptionné]]</f>
        <v>0</v>
      </c>
      <c r="DR24" s="77"/>
      <c r="DS24" s="77"/>
      <c r="DT24" s="158"/>
      <c r="DU24" s="77"/>
    </row>
    <row r="25" spans="27:125" s="125" customFormat="1">
      <c r="AA25" s="552" t="str">
        <f>IFERROR(VLOOKUP(UO_List[[#This Row],[Unique_AIB_ID]],Tableau1[[Unique_AIB_ID]:[Building / Room]],2,FALSE),"")</f>
        <v>D000481023</v>
      </c>
      <c r="AB25" s="553">
        <f>IFERROR(VLOOKUP(UO_List[[#This Row],[Unique_AIB_ID]],UO_Contract!A27:V216,3,TRUE),"")</f>
        <v>0</v>
      </c>
      <c r="AC25" s="553" t="str">
        <f>IFERROR(VLOOKUP(UO_List[[#This Row],[Unique_AIB_ID]],Tableau1[[Unique_AIB_ID]:[Building / Room]],4,FALSE),"")</f>
        <v>WPA - SII - PJOP - Airbus - WD1701094 - Flight and Integration Test CT1705359</v>
      </c>
      <c r="AD25" s="553">
        <f>IFERROR(VLOOKUP(UO_List[[#This Row],[Unique_AIB_ID]],Tableau1[[Unique_AIB_ID]:[Building / Room]],5,FALSE),"")</f>
        <v>0</v>
      </c>
      <c r="AE25" s="553">
        <f>IFERROR(VLOOKUP(UO_List[[#This Row],[Unique_AIB_ID]],Tableau1[[Unique_AIB_ID]:[Building / Room]],6,FALSE),"")</f>
        <v>1</v>
      </c>
      <c r="AF25" s="553" t="str">
        <f>IFERROR(VLOOKUP(UO_List[[#This Row],[Unique_AIB_ID]],Tableau1[[Unique_AIB_ID]:[Building / Room]],7,FALSE),"")</f>
        <v>31 Each of WU_F&amp;LG_TLS_T_1[PJE_SII_EVYP_USD_AIRBUS_FR]</v>
      </c>
      <c r="AG25" s="553">
        <f>IFERROR(VLOOKUP(UO_List[[#This Row],[Unique_AIB_ID]],Tableau1[[Unique_AIB_ID]:[Building / Room]],8,FALSE),"")</f>
        <v>31</v>
      </c>
      <c r="AH25" s="554">
        <f>IFERROR(VALUE(VLOOKUP(UO_List[[#This Row],[Unique_AIB_ID]],Tableau1[[Unique_AIB_ID]:[Building / Room]],9,FALSE)),"")</f>
        <v>86800</v>
      </c>
      <c r="AI25" s="553">
        <f>IFERROR(VLOOKUP(UO_List[[#This Row],[Unique_AIB_ID]],Tableau1[[Unique_AIB_ID]:[Building / Room]],10,TRUE),"")</f>
        <v>0</v>
      </c>
      <c r="AJ25" s="553">
        <f>IFERROR(VLOOKUP(UO_List[[#This Row],[Unique_AIB_ID]],Tableau1[[Unique_AIB_ID]:[Building / Room]],11,FALSE),"")</f>
        <v>0</v>
      </c>
      <c r="AK25" s="553">
        <f>IFERROR(VLOOKUP(UO_List[[#This Row],[Unique_AIB_ID]],Tableau1[[Unique_AIB_ID]:[Building / Room]],12,FALSE),"")</f>
        <v>0</v>
      </c>
      <c r="AL25" s="553">
        <f>IFERROR(VLOOKUP(UO_List[[#This Row],[Unique_AIB_ID]],Tableau1[[Unique_AIB_ID]:[Building / Room]],13,FALSE),"")</f>
        <v>0</v>
      </c>
      <c r="AM25" s="182">
        <f>IFERROR(VLOOKUP(UO_List[[#This Row],[Unique_AIB_ID]],Tableau1[[Unique_AIB_ID]:[Building / Room]],14,FALSE),"")</f>
        <v>0</v>
      </c>
      <c r="AN25" s="182">
        <f>IFERROR(VLOOKUP(UO_List[[#This Row],[Unique_AIB_ID]],Tableau1[[Unique_AIB_ID]:[Building / Room]],15,FALSE),"")</f>
        <v>0</v>
      </c>
      <c r="AO25" s="182">
        <f>IFERROR(VLOOKUP(UO_List[[#This Row],[Unique_AIB_ID]],Tableau1[[Unique_AIB_ID]:[Building / Room]],16,FALSE),"")</f>
        <v>0</v>
      </c>
      <c r="AP25" s="182" t="str">
        <f>IFERROR(VLOOKUP(UO_List[[#This Row],[Unique_AIB_ID]],Tableau1[[Unique_AIB_ID]:[Building / Room]],17,FALSE),"")</f>
        <v>0</v>
      </c>
      <c r="AQ25" s="182">
        <f>IFERROR(VLOOKUP(UO_List[[#This Row],[Unique_AIB_ID]],Tableau1[[Unique_AIB_ID]:[Building / Room]],18,FALSE),"")</f>
        <v>0</v>
      </c>
      <c r="AR25" s="182" t="str">
        <f>IFERROR(VLOOKUP(UO_List[[#This Row],[Unique_AIB_ID]],Tableau1[[Unique_AIB_ID]:[Building / Room]],19,FALSE),"")</f>
        <v>03/31/20</v>
      </c>
      <c r="AS25" s="182">
        <f>IFERROR(VLOOKUP(UO_List[[#This Row],[Unique_AIB_ID]],Tableau1[[Unique_AIB_ID]:[Building / Room]],20,FALSE),"")</f>
        <v>0</v>
      </c>
      <c r="AT25" s="182">
        <f>IFERROR(VLOOKUP(UO_List[[#This Row],[Unique_AIB_ID]],Tableau1[[Unique_AIB_ID]:[Building / Room]],21,FALSE),"")</f>
        <v>0</v>
      </c>
      <c r="AU25" s="182" t="str">
        <f>IFERROR(VLOOKUP(UO_List[[#This Row],[Unique_AIB_ID]],Tableau1[[Unique_AIB_ID]:[Building / Room]],22,FALSE),"")</f>
        <v>10W / 1st Floor</v>
      </c>
      <c r="AV25" s="171">
        <f>IFERROR(VLOOKUP(UO_List[[#This Row],[Unique_AIB_ID]],Tableau1[[Unique_AIB_ID]:[Currency]],23,FALSE),"")</f>
        <v>0</v>
      </c>
      <c r="AW25" s="171">
        <f>IFERROR(IF(ISBLANK(UO_List[[#This Row],[PO Number (Header)]]),"",UO_List[[#This Row],[Line Total]]/UO_List[[#This Row],[Total Item Quantity]]),"")</f>
        <v>2800</v>
      </c>
      <c r="AX25" s="499" t="s">
        <v>955</v>
      </c>
      <c r="AY25" s="171" t="str">
        <f>IFERROR(VLOOKUP(UO_List[[#This Row],[Unique_AIB_ID]],Tableau1[[Unique_AIB_ID]:[Currency]],26,FALSE),"")</f>
        <v>VRAI</v>
      </c>
      <c r="AZ25" s="78" t="s">
        <v>843</v>
      </c>
      <c r="BA25" s="82"/>
      <c r="BB25" s="82"/>
      <c r="BC25" s="78" t="s">
        <v>700</v>
      </c>
      <c r="BD25" s="70" t="s">
        <v>686</v>
      </c>
      <c r="BE25" s="78" t="s">
        <v>798</v>
      </c>
      <c r="BF25" s="78" t="s">
        <v>195</v>
      </c>
      <c r="BG25" s="551" t="s">
        <v>885</v>
      </c>
      <c r="BH25" s="78" t="s">
        <v>885</v>
      </c>
      <c r="BI25" s="78" t="s">
        <v>877</v>
      </c>
      <c r="BJ25" s="78"/>
      <c r="BK25" s="79">
        <v>43922</v>
      </c>
      <c r="BL25" s="79">
        <v>44012</v>
      </c>
      <c r="BM25" s="71">
        <v>5</v>
      </c>
      <c r="BN25" s="555">
        <f>IFERROR(UO_List[[#This Row],[Total Item Quantity]]-UO_List[[#This Row],[Facteur]],"")</f>
        <v>26</v>
      </c>
      <c r="BO25" s="349">
        <f>IFERROR(IF(ISBLANK(UO_List[[#This Row],[Id_UO]]),"",SUMPRODUCT(1*(EXACT(UO_List[[#This Row],[Id_UO]],CATALOGUE[Id_WU]))*CATALOGUE[Price $])),"")</f>
        <v>2800</v>
      </c>
      <c r="BP25" s="350">
        <f>IFERROR(UO_List[[#This Row],[Prix unitaire]]*UO_List[[#This Row],[Facteur]],"")</f>
        <v>14000</v>
      </c>
      <c r="BQ25" s="100">
        <f>IFERROR(SUMPRODUCT(1*(EXACT(UO_List[[#This Row],[Id_UO]],CATALOGUE[Id_WU]))*CATALOGUE[Global_Workload_PM_(d)]*UO_List[[#This Row],[Facteur]]),"")</f>
        <v>3.75</v>
      </c>
      <c r="BR25" s="286">
        <f>UO_List[[#This Row],[Jours GP]]/jours_an</f>
        <v>1.7361111111111112E-2</v>
      </c>
      <c r="BS25" s="72">
        <f>IFERROR(SUMPRODUCT(1*(EXACT(UO_List[[#This Row],[Id_UO]],CATALOGUE[Id_WU]))*CATALOGUE[Global_Workload_Tech_(d)]*UO_List[[#This Row],[Facteur]]),"")</f>
        <v>21.25</v>
      </c>
      <c r="BT25" s="286">
        <f>UO_List[[#This Row],[Jours Tech]]/jours_an</f>
        <v>9.8379629629629636E-2</v>
      </c>
      <c r="BU25" s="72">
        <f>UO_List[[#This Row],[Jours GP]]+UO_List[[#This Row],[Jours Tech]]</f>
        <v>25</v>
      </c>
      <c r="BV25" s="286">
        <f>UO_List[[#This Row],[ETP GP]]+UO_List[[#This Row],[ETP Tech]]</f>
        <v>0.11574074074074076</v>
      </c>
      <c r="BW25" s="73" t="s">
        <v>209</v>
      </c>
      <c r="BX25" s="80" t="s">
        <v>203</v>
      </c>
      <c r="BY25" s="462">
        <f>IF(UO_List[[#This Row],[Budget Revue]]="x",UO_List[[#This Row],[Montant TOTAL]],0)</f>
        <v>14000</v>
      </c>
      <c r="BZ25" s="80">
        <f>IF(UO_List[[#This Row],[Budget Revue]]="x",UO_List[[#This Row],[Jours Tech]],0)</f>
        <v>21.25</v>
      </c>
      <c r="CA25" s="80">
        <f>IF(UO_List[[#This Row],[Budget Revue]]="x",UO_List[[#This Row],[Jours GP]],0)</f>
        <v>3.75</v>
      </c>
      <c r="CB25" s="516" t="str">
        <f>IF(AND(UO_List[[#This Row],[Budget Revue]]="x",$BK25&lt;&gt;"",$BL25&lt;&gt;"",YEAR(BB$3)=YEAR($BK25),MONTH(BB$3)&gt;=MONTH($BK25),MONTH(BB$3)&lt;=MONTH($BL25)),$BS25/(MONTH($BL25)-MONTH($BK25)+1),"")</f>
        <v/>
      </c>
      <c r="CC25" s="80" t="str">
        <f>IF(AND(UO_List[[#This Row],[Budget Revue]]="x",$BK25&lt;&gt;"",$BL25&lt;&gt;"",YEAR(BC$3)=YEAR($BK25),MONTH(BC$3)&gt;=MONTH($BK25),MONTH(BC$3)&lt;=MONTH($BL25)),$BS25/(MONTH($BL25)-MONTH($BK25)+1),"")</f>
        <v/>
      </c>
      <c r="CD25" s="80" t="str">
        <f>IF(AND(UO_List[[#This Row],[Budget Revue]]="x",$BK25&lt;&gt;"",$BL25&lt;&gt;"",YEAR(BD$3)=YEAR($BK25),MONTH(BD$3)&gt;=MONTH($BK25),MONTH(BD$3)&lt;=MONTH($BL25)),$BS25/(MONTH($BL25)-MONTH($BK25)+1),"")</f>
        <v/>
      </c>
      <c r="CE25" s="80">
        <f>IF(AND(UO_List[[#This Row],[Budget Revue]]="x",$BK25&lt;&gt;"",$BL25&lt;&gt;"",YEAR(BE$3)=YEAR($BK25),MONTH(BE$3)&gt;=MONTH($BK25),MONTH(BE$3)&lt;=MONTH($BL25)),$BS25/(MONTH($BL25)-MONTH($BK25)+1),"")</f>
        <v>7.083333333333333</v>
      </c>
      <c r="CF25" s="80">
        <f>IF(AND(UO_List[[#This Row],[Budget Revue]]="x",$BK25&lt;&gt;"",$BL25&lt;&gt;"",YEAR(BF$3)=YEAR($BK25),MONTH(BF$3)&gt;=MONTH($BK25),MONTH(BF$3)&lt;=MONTH($BL25)),$BS25/(MONTH($BL25)-MONTH($BK25)+1),"")</f>
        <v>7.083333333333333</v>
      </c>
      <c r="CG25" s="80">
        <f>IF(AND(UO_List[[#This Row],[Budget Revue]]="x",$BK25&lt;&gt;"",$BL25&lt;&gt;"",YEAR(BG$3)=YEAR($BK25),MONTH(BG$3)&gt;=MONTH($BK25),MONTH(BG$3)&lt;=MONTH($BL25)),$BS25/(MONTH($BL25)-MONTH($BK25)+1),"")</f>
        <v>7.083333333333333</v>
      </c>
      <c r="CH25" s="80" t="str">
        <f>IF(AND(UO_List[[#This Row],[Budget Revue]]="x",$BK25&lt;&gt;"",$BL25&lt;&gt;"",YEAR(BH$3)=YEAR($BK25),MONTH(BH$3)&gt;=MONTH($BK25),MONTH(BH$3)&lt;=MONTH($BL25)),$BS25/(MONTH($BL25)-MONTH($BK25)+1),"")</f>
        <v/>
      </c>
      <c r="CI25" s="80" t="str">
        <f>IF(AND(UO_List[[#This Row],[Budget Revue]]="x",$BK25&lt;&gt;"",$BL25&lt;&gt;"",YEAR(BI$3)=YEAR($BK25),MONTH(BI$3)&gt;=MONTH($BK25),MONTH(BI$3)&lt;=MONTH($BL25)),$BS25/(MONTH($BL25)-MONTH($BK25)+1),"")</f>
        <v/>
      </c>
      <c r="CJ25" s="80" t="str">
        <f>IF(AND(UO_List[[#This Row],[Budget Revue]]="x",$BK25&lt;&gt;"",$BL25&lt;&gt;"",YEAR(BJ$3)=YEAR($BK25),MONTH(BJ$3)&gt;=MONTH($BK25),MONTH(BJ$3)&lt;=MONTH($BL25)),$BS25/(MONTH($BL25)-MONTH($BK25)+1),"")</f>
        <v/>
      </c>
      <c r="CK25" s="80" t="str">
        <f>IF(AND(UO_List[[#This Row],[Budget Revue]]="x",$BK25&lt;&gt;"",$BL25&lt;&gt;"",YEAR(BK$3)=YEAR($BK25),MONTH(BK$3)&gt;=MONTH($BK25),MONTH(BK$3)&lt;=MONTH($BL25)),$BS25/(MONTH($BL25)-MONTH($BK25)+1),"")</f>
        <v/>
      </c>
      <c r="CL25" s="80" t="str">
        <f>IF(AND(UO_List[[#This Row],[Budget Revue]]="x",$BK25&lt;&gt;"",$BL25&lt;&gt;"",YEAR(BL$3)=YEAR($BK25),MONTH(BL$3)&gt;=MONTH($BK25),MONTH(BL$3)&lt;=MONTH($BL25)),$BS25/(MONTH($BL25)-MONTH($BK25)+1),"")</f>
        <v/>
      </c>
      <c r="CM25" s="80" t="str">
        <f>IF(AND(UO_List[[#This Row],[Budget Revue]]="x",$BK25&lt;&gt;"",$BL25&lt;&gt;"",YEAR(BM$3)=YEAR($BK25),MONTH(BM$3)&gt;=MONTH($BK25),MONTH(BM$3)&lt;=MONTH($BL25)),$BS25/(MONTH($BL25)-MONTH($BK25)+1),"")</f>
        <v/>
      </c>
      <c r="CN25" s="75">
        <f>IF(UO_List[[#This Row],[Budget Revue]]="x",SUM(UO_List[[#This Row],[JANVIER]:[DECEMBRE]])-UO_List[[#This Row],[Jours Tech]],"")</f>
        <v>0</v>
      </c>
      <c r="CO25" s="348" t="str">
        <f>IF(AND(UO_List[[#This Row],[Budget Revue]]="x",$BK25&lt;&gt;"",$BL25&lt;&gt;"",YEAR(BO$3)=YEAR($BK25),MONTH(BO$3)&gt;=MONTH($BK25),MONTH(BO$3)&lt;=MONTH($BL25)),UO_List[[#This Row],[Montant TOTAL]]/(MONTH($BL25)-MONTH($BK25)+1),"")</f>
        <v/>
      </c>
      <c r="CP25" s="348" t="str">
        <f>IF(AND(UO_List[[#This Row],[Budget Revue]]="x",$BK25&lt;&gt;"",$BL25&lt;&gt;"",YEAR(BP$3)=YEAR($BK25),MONTH(BP$3)&gt;=MONTH($BK25),MONTH(BP$3)&lt;=MONTH($BL25)),UO_List[[#This Row],[Montant TOTAL]]/(MONTH($BL25)-MONTH($BK25)+1),"")</f>
        <v/>
      </c>
      <c r="CQ25" s="348" t="str">
        <f>IF(AND(UO_List[[#This Row],[Budget Revue]]="x",$BK25&lt;&gt;"",$BL25&lt;&gt;"",YEAR(BQ$3)=YEAR($BK25),MONTH(BQ$3)&gt;=MONTH($BK25),MONTH(BQ$3)&lt;=MONTH($BL25)),UO_List[[#This Row],[Montant TOTAL]]/(MONTH($BL25)-MONTH($BK25)+1),"")</f>
        <v/>
      </c>
      <c r="CR25" s="348">
        <f>IF(AND(UO_List[[#This Row],[Budget Revue]]="x",$BK25&lt;&gt;"",$BL25&lt;&gt;"",YEAR(BR$3)=YEAR($BK25),MONTH(BR$3)&gt;=MONTH($BK25),MONTH(BR$3)&lt;=MONTH($BL25)),UO_List[[#This Row],[Montant TOTAL]]/(MONTH($BL25)-MONTH($BK25)+1),"")</f>
        <v>4666.666666666667</v>
      </c>
      <c r="CS25" s="348">
        <f>IF(AND(UO_List[[#This Row],[Budget Revue]]="x",$BK25&lt;&gt;"",$BL25&lt;&gt;"",YEAR(BS$3)=YEAR($BK25),MONTH(BS$3)&gt;=MONTH($BK25),MONTH(BS$3)&lt;=MONTH($BL25)),UO_List[[#This Row],[Montant TOTAL]]/(MONTH($BL25)-MONTH($BK25)+1),"")</f>
        <v>4666.666666666667</v>
      </c>
      <c r="CT25" s="348">
        <f>IF(AND(UO_List[[#This Row],[Budget Revue]]="x",$BK25&lt;&gt;"",$BL25&lt;&gt;"",YEAR(BT$3)=YEAR($BK25),MONTH(BT$3)&gt;=MONTH($BK25),MONTH(BT$3)&lt;=MONTH($BL25)),UO_List[[#This Row],[Montant TOTAL]]/(MONTH($BL25)-MONTH($BK25)+1),"")</f>
        <v>4666.666666666667</v>
      </c>
      <c r="CU25" s="348" t="str">
        <f>IF(AND(UO_List[[#This Row],[Budget Revue]]="x",$BK25&lt;&gt;"",$BL25&lt;&gt;"",YEAR(BU$3)=YEAR($BK25),MONTH(BU$3)&gt;=MONTH($BK25),MONTH(BU$3)&lt;=MONTH($BL25)),UO_List[[#This Row],[Montant TOTAL]]/(MONTH($BL25)-MONTH($BK25)+1),"")</f>
        <v/>
      </c>
      <c r="CV25" s="348" t="str">
        <f>IF(AND(UO_List[[#This Row],[Budget Revue]]="x",$BK25&lt;&gt;"",$BL25&lt;&gt;"",YEAR(BV$3)=YEAR($BK25),MONTH(BV$3)&gt;=MONTH($BK25),MONTH(BV$3)&lt;=MONTH($BL25)),UO_List[[#This Row],[Montant TOTAL]]/(MONTH($BL25)-MONTH($BK25)+1),"")</f>
        <v/>
      </c>
      <c r="CW25" s="348" t="str">
        <f>IF(AND(UO_List[[#This Row],[Budget Revue]]="x",$BK25&lt;&gt;"",$BL25&lt;&gt;"",YEAR(BW$3)=YEAR($BK25),MONTH(BW$3)&gt;=MONTH($BK25),MONTH(BW$3)&lt;=MONTH($BL25)),UO_List[[#This Row],[Montant TOTAL]]/(MONTH($BL25)-MONTH($BK25)+1),"")</f>
        <v/>
      </c>
      <c r="CX25" s="348" t="str">
        <f>IF(AND(UO_List[[#This Row],[Budget Revue]]="x",$BK25&lt;&gt;"",$BL25&lt;&gt;"",YEAR(BX$3)=YEAR($BK25),MONTH(BX$3)&gt;=MONTH($BK25),MONTH(BX$3)&lt;=MONTH($BL25)),UO_List[[#This Row],[Montant TOTAL]]/(MONTH($BL25)-MONTH($BK25)+1),"")</f>
        <v/>
      </c>
      <c r="CY25" s="348" t="str">
        <f>IF(AND(UO_List[[#This Row],[Budget Revue]]="x",$BK25&lt;&gt;"",$BL25&lt;&gt;"",YEAR(BY$3)=YEAR($BK25),MONTH(BY$3)&gt;=MONTH($BK25),MONTH(BY$3)&lt;=MONTH($BL25)),UO_List[[#This Row],[Montant TOTAL]]/(MONTH($BL25)-MONTH($BK25)+1),"")</f>
        <v/>
      </c>
      <c r="CZ25" s="348" t="str">
        <f>IF(AND(UO_List[[#This Row],[Budget Revue]]="x",$BK25&lt;&gt;"",$BL25&lt;&gt;"",YEAR(BY$3)=YEAR($BK25),MONTH(BY$3)&gt;=MONTH($BK25),MONTH(BY$3)&lt;=MONTH($BL25)),UO_List[[#This Row],[Montant TOTAL]]/(MONTH($BL25)-MONTH($BK25)+1),"")</f>
        <v/>
      </c>
      <c r="DA25" s="381">
        <f>IF(UO_List[[#This Row],[Budget Revue]]="x",SUM(UO_List[[#This Row],[JANVIER2]:[DECEMBRE2]])-UO_List[Montant TOTAL],"")</f>
        <v>0</v>
      </c>
      <c r="DB25" s="556"/>
      <c r="DC25" s="556"/>
      <c r="DD25" s="556"/>
      <c r="DE25" s="559"/>
      <c r="DF25" s="560"/>
      <c r="DG25" s="560"/>
      <c r="DH25" s="557"/>
      <c r="DI25" s="556">
        <v>2</v>
      </c>
      <c r="DJ25" s="556"/>
      <c r="DK25" s="556"/>
      <c r="DL25" s="557"/>
      <c r="DM25" s="83"/>
      <c r="DN25" s="340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2</v>
      </c>
      <c r="DO25" s="340">
        <f>IFERROR(UO_List[[#This Row],[Line Total]]-UO_List[[#This Row],[Montant total réceptionné]],"")</f>
        <v>81200</v>
      </c>
      <c r="DP25" s="340">
        <f>IFERROR(UO_List[[#This Row],[Total item réceptionné]]*UO_List[[#This Row],[Unit Price (calcul)]],0)</f>
        <v>5600</v>
      </c>
      <c r="DQ25" s="340">
        <f>UO_List[[#This Row],[Facteur]]-UO_List[[#This Row],[Total item réceptionné]]</f>
        <v>3</v>
      </c>
      <c r="DR25" s="77"/>
      <c r="DS25" s="77"/>
      <c r="DT25" s="493"/>
      <c r="DU25" s="77"/>
    </row>
    <row r="26" spans="27:125" s="125" customFormat="1" ht="33.75" customHeight="1">
      <c r="AA26" s="221" t="str">
        <f>IFERROR(VLOOKUP(UO_List[[#This Row],[Unique_AIB_ID]],Tableau1[[Unique_AIB_ID]:[Building / Room]],2,FALSE),"")</f>
        <v>D000481023</v>
      </c>
      <c r="AB26" s="222">
        <f>IFERROR(VLOOKUP(UO_List[[#This Row],[Unique_AIB_ID]],UO_Contract!A24:V213,3,TRUE),"")</f>
        <v>0</v>
      </c>
      <c r="AC26" s="223" t="str">
        <f>IFERROR(VLOOKUP(UO_List[[#This Row],[Unique_AIB_ID]],Tableau1[[Unique_AIB_ID]:[Building / Room]],4,FALSE),"")</f>
        <v>WPA - SII - PJOP - Airbus - WD1701094 - Flight and Integration Test CT1705359</v>
      </c>
      <c r="AD26" s="222">
        <f>IFERROR(VLOOKUP(UO_List[[#This Row],[Unique_AIB_ID]],Tableau1[[Unique_AIB_ID]:[Building / Room]],5,FALSE),"")</f>
        <v>0</v>
      </c>
      <c r="AE26" s="222">
        <f>IFERROR(VLOOKUP(UO_List[[#This Row],[Unique_AIB_ID]],Tableau1[[Unique_AIB_ID]:[Building / Room]],6,FALSE),"")</f>
        <v>1</v>
      </c>
      <c r="AF26" s="222" t="str">
        <f>IFERROR(VLOOKUP(UO_List[[#This Row],[Unique_AIB_ID]],Tableau1[[Unique_AIB_ID]:[Building / Room]],7,FALSE),"")</f>
        <v>31 Each of WU_F&amp;LG_TLS_T_1[PJE_SII_EVYP_USD_AIRBUS_FR]</v>
      </c>
      <c r="AG26" s="224">
        <f>IFERROR(VLOOKUP(UO_List[[#This Row],[Unique_AIB_ID]],Tableau1[[Unique_AIB_ID]:[Building / Room]],8,FALSE),"")</f>
        <v>31</v>
      </c>
      <c r="AH26" s="225">
        <f>IFERROR(VALUE(VLOOKUP(UO_List[[#This Row],[Unique_AIB_ID]],Tableau1[[Unique_AIB_ID]:[Building / Room]],9,FALSE)),"")</f>
        <v>86800</v>
      </c>
      <c r="AI26" s="224">
        <f>IFERROR(VLOOKUP(UO_List[[#This Row],[Unique_AIB_ID]],Tableau1[[Unique_AIB_ID]:[Building / Room]],10,TRUE),"")</f>
        <v>0</v>
      </c>
      <c r="AJ26" s="226">
        <f>IFERROR(VLOOKUP(UO_List[[#This Row],[Unique_AIB_ID]],Tableau1[[Unique_AIB_ID]:[Building / Room]],11,FALSE),"")</f>
        <v>0</v>
      </c>
      <c r="AK26" s="227">
        <f>IFERROR(VLOOKUP(UO_List[[#This Row],[Unique_AIB_ID]],Tableau1[[Unique_AIB_ID]:[Building / Room]],12,FALSE),"")</f>
        <v>0</v>
      </c>
      <c r="AL26" s="224">
        <f>IFERROR(VLOOKUP(UO_List[[#This Row],[Unique_AIB_ID]],Tableau1[[Unique_AIB_ID]:[Building / Room]],13,FALSE),"")</f>
        <v>0</v>
      </c>
      <c r="AM26" s="215">
        <f>IFERROR(VLOOKUP(UO_List[[#This Row],[Unique_AIB_ID]],Tableau1[[Unique_AIB_ID]:[Building / Room]],14,FALSE),"")</f>
        <v>0</v>
      </c>
      <c r="AN26" s="215">
        <f>IFERROR(VLOOKUP(UO_List[[#This Row],[Unique_AIB_ID]],Tableau1[[Unique_AIB_ID]:[Building / Room]],15,FALSE),"")</f>
        <v>0</v>
      </c>
      <c r="AO26" s="215">
        <f>IFERROR(VLOOKUP(UO_List[[#This Row],[Unique_AIB_ID]],Tableau1[[Unique_AIB_ID]:[Building / Room]],16,FALSE),"")</f>
        <v>0</v>
      </c>
      <c r="AP26" s="215" t="str">
        <f>IFERROR(VLOOKUP(UO_List[[#This Row],[Unique_AIB_ID]],Tableau1[[Unique_AIB_ID]:[Building / Room]],17,FALSE),"")</f>
        <v>0</v>
      </c>
      <c r="AQ26" s="215">
        <f>IFERROR(VLOOKUP(UO_List[[#This Row],[Unique_AIB_ID]],Tableau1[[Unique_AIB_ID]:[Building / Room]],18,FALSE),"")</f>
        <v>0</v>
      </c>
      <c r="AR26" s="215" t="str">
        <f>IFERROR(VLOOKUP(UO_List[[#This Row],[Unique_AIB_ID]],Tableau1[[Unique_AIB_ID]:[Building / Room]],19,FALSE),"")</f>
        <v>03/31/20</v>
      </c>
      <c r="AS26" s="215">
        <f>IFERROR(VLOOKUP(UO_List[[#This Row],[Unique_AIB_ID]],Tableau1[[Unique_AIB_ID]:[Building / Room]],20,FALSE),"")</f>
        <v>0</v>
      </c>
      <c r="AT26" s="215">
        <f>IFERROR(VLOOKUP(UO_List[[#This Row],[Unique_AIB_ID]],Tableau1[[Unique_AIB_ID]:[Building / Room]],21,FALSE),"")</f>
        <v>0</v>
      </c>
      <c r="AU26" s="215" t="str">
        <f>IFERROR(VLOOKUP(UO_List[[#This Row],[Unique_AIB_ID]],Tableau1[[Unique_AIB_ID]:[Building / Room]],22,FALSE),"")</f>
        <v>10W / 1st Floor</v>
      </c>
      <c r="AV26" s="168">
        <f>IFERROR(VLOOKUP(UO_List[[#This Row],[Unique_AIB_ID]],Tableau1[[Unique_AIB_ID]:[Currency]],23,FALSE),"")</f>
        <v>0</v>
      </c>
      <c r="AW26" s="168">
        <f>IFERROR(IF(ISBLANK(UO_List[[#This Row],[PO Number (Header)]]),"",UO_List[[#This Row],[Line Total]]/UO_List[[#This Row],[Total Item Quantity]]),"")</f>
        <v>2800</v>
      </c>
      <c r="AX26" s="499" t="s">
        <v>955</v>
      </c>
      <c r="AY26" s="168"/>
      <c r="AZ26" s="78" t="s">
        <v>843</v>
      </c>
      <c r="BA26" s="82"/>
      <c r="BB26" s="78"/>
      <c r="BC26" s="78" t="s">
        <v>700</v>
      </c>
      <c r="BD26" s="70" t="s">
        <v>686</v>
      </c>
      <c r="BE26" s="78" t="s">
        <v>798</v>
      </c>
      <c r="BF26" s="78" t="s">
        <v>195</v>
      </c>
      <c r="BG26" s="78"/>
      <c r="BH26" s="78" t="s">
        <v>885</v>
      </c>
      <c r="BI26" s="78" t="s">
        <v>877</v>
      </c>
      <c r="BJ26" s="493"/>
      <c r="BK26" s="79">
        <v>43831</v>
      </c>
      <c r="BL26" s="79">
        <v>43921</v>
      </c>
      <c r="BM26" s="550">
        <v>26</v>
      </c>
      <c r="BN26" s="71">
        <f>IFERROR(UO_List[[#This Row],[Total Item Quantity]]-UO_List[[#This Row],[Facteur]],"")</f>
        <v>5</v>
      </c>
      <c r="BO26" s="349">
        <f>IFERROR(IF(ISBLANK(UO_List[[#This Row],[Id_UO]]),"",SUMPRODUCT(1*(EXACT(UO_List[[#This Row],[Id_UO]],CATALOGUE[Id_WU]))*CATALOGUE[Price $])),"")</f>
        <v>2800</v>
      </c>
      <c r="BP26" s="350">
        <f>IFERROR(UO_List[[#This Row],[Prix unitaire]]*UO_List[[#This Row],[Facteur]],"")</f>
        <v>72800</v>
      </c>
      <c r="BQ26" s="100">
        <f>IFERROR(SUMPRODUCT(1*(EXACT(UO_List[[#This Row],[Id_UO]],CATALOGUE[Id_WU]))*CATALOGUE[Global_Workload_PM_(d)]*UO_List[[#This Row],[Facteur]]),"")</f>
        <v>19.5</v>
      </c>
      <c r="BR26" s="286">
        <f>UO_List[[#This Row],[Jours GP]]/jours_an</f>
        <v>9.0277777777777776E-2</v>
      </c>
      <c r="BS26" s="72">
        <f>IFERROR(SUMPRODUCT(1*(EXACT(UO_List[[#This Row],[Id_UO]],CATALOGUE[Id_WU]))*CATALOGUE[Global_Workload_Tech_(d)]*UO_List[[#This Row],[Facteur]]),"")</f>
        <v>110.5</v>
      </c>
      <c r="BT26" s="286">
        <f>UO_List[[#This Row],[Jours Tech]]/jours_an</f>
        <v>0.51157407407407407</v>
      </c>
      <c r="BU26" s="72">
        <f>UO_List[[#This Row],[Jours GP]]+UO_List[[#This Row],[Jours Tech]]</f>
        <v>130</v>
      </c>
      <c r="BV26" s="286">
        <f>UO_List[[#This Row],[ETP GP]]+UO_List[[#This Row],[ETP Tech]]</f>
        <v>0.60185185185185186</v>
      </c>
      <c r="BW26" s="73" t="s">
        <v>209</v>
      </c>
      <c r="BX26" s="80" t="s">
        <v>203</v>
      </c>
      <c r="BY26" s="462">
        <f>IF(UO_List[[#This Row],[Budget Revue]]="x",UO_List[[#This Row],[Montant TOTAL]],0)</f>
        <v>72800</v>
      </c>
      <c r="BZ26" s="80">
        <f>IF(UO_List[[#This Row],[Budget Revue]]="x",UO_List[[#This Row],[Jours Tech]],0)</f>
        <v>110.5</v>
      </c>
      <c r="CA26" s="80">
        <f>IF(UO_List[[#This Row],[Budget Revue]]="x",UO_List[[#This Row],[Jours GP]],0)</f>
        <v>19.5</v>
      </c>
      <c r="CB26" s="516">
        <f>IF(AND(UO_List[[#This Row],[Budget Revue]]="x",$BK26&lt;&gt;"",$BL26&lt;&gt;"",YEAR(BB$3)=YEAR($BK26),MONTH(BB$3)&gt;=MONTH($BK26),MONTH(BB$3)&lt;=MONTH($BL26)),$BS26/(MONTH($BL26)-MONTH($BK26)+1),"")</f>
        <v>36.833333333333336</v>
      </c>
      <c r="CC26" s="80">
        <f>IF(AND(UO_List[[#This Row],[Budget Revue]]="x",$BK26&lt;&gt;"",$BL26&lt;&gt;"",YEAR(BC$3)=YEAR($BK26),MONTH(BC$3)&gt;=MONTH($BK26),MONTH(BC$3)&lt;=MONTH($BL26)),$BS26/(MONTH($BL26)-MONTH($BK26)+1),"")</f>
        <v>36.833333333333336</v>
      </c>
      <c r="CD26" s="80">
        <f>IF(AND(UO_List[[#This Row],[Budget Revue]]="x",$BK26&lt;&gt;"",$BL26&lt;&gt;"",YEAR(BD$3)=YEAR($BK26),MONTH(BD$3)&gt;=MONTH($BK26),MONTH(BD$3)&lt;=MONTH($BL26)),$BS26/(MONTH($BL26)-MONTH($BK26)+1),"")</f>
        <v>36.833333333333336</v>
      </c>
      <c r="CE26" s="80" t="str">
        <f>IF(AND(UO_List[[#This Row],[Budget Revue]]="x",$BK26&lt;&gt;"",$BL26&lt;&gt;"",YEAR(BE$3)=YEAR($BK26),MONTH(BE$3)&gt;=MONTH($BK26),MONTH(BE$3)&lt;=MONTH($BL26)),$BS26/(MONTH($BL26)-MONTH($BK26)+1),"")</f>
        <v/>
      </c>
      <c r="CF26" s="80" t="str">
        <f>IF(AND(UO_List[[#This Row],[Budget Revue]]="x",$BK26&lt;&gt;"",$BL26&lt;&gt;"",YEAR(BF$3)=YEAR($BK26),MONTH(BF$3)&gt;=MONTH($BK26),MONTH(BF$3)&lt;=MONTH($BL26)),$BS26/(MONTH($BL26)-MONTH($BK26)+1),"")</f>
        <v/>
      </c>
      <c r="CG26" s="80" t="str">
        <f>IF(AND(UO_List[[#This Row],[Budget Revue]]="x",$BK26&lt;&gt;"",$BL26&lt;&gt;"",YEAR(BG$3)=YEAR($BK26),MONTH(BG$3)&gt;=MONTH($BK26),MONTH(BG$3)&lt;=MONTH($BL26)),$BS26/(MONTH($BL26)-MONTH($BK26)+1),"")</f>
        <v/>
      </c>
      <c r="CH26" s="80" t="str">
        <f>IF(AND(UO_List[[#This Row],[Budget Revue]]="x",$BK26&lt;&gt;"",$BL26&lt;&gt;"",YEAR(BH$3)=YEAR($BK26),MONTH(BH$3)&gt;=MONTH($BK26),MONTH(BH$3)&lt;=MONTH($BL26)),$BS26/(MONTH($BL26)-MONTH($BK26)+1),"")</f>
        <v/>
      </c>
      <c r="CI26" s="80" t="str">
        <f>IF(AND(UO_List[[#This Row],[Budget Revue]]="x",$BK26&lt;&gt;"",$BL26&lt;&gt;"",YEAR(BI$3)=YEAR($BK26),MONTH(BI$3)&gt;=MONTH($BK26),MONTH(BI$3)&lt;=MONTH($BL26)),$BS26/(MONTH($BL26)-MONTH($BK26)+1),"")</f>
        <v/>
      </c>
      <c r="CJ26" s="80" t="str">
        <f>IF(AND(UO_List[[#This Row],[Budget Revue]]="x",$BK26&lt;&gt;"",$BL26&lt;&gt;"",YEAR(BJ$3)=YEAR($BK26),MONTH(BJ$3)&gt;=MONTH($BK26),MONTH(BJ$3)&lt;=MONTH($BL26)),$BS26/(MONTH($BL26)-MONTH($BK26)+1),"")</f>
        <v/>
      </c>
      <c r="CK26" s="80" t="str">
        <f>IF(AND(UO_List[[#This Row],[Budget Revue]]="x",$BK26&lt;&gt;"",$BL26&lt;&gt;"",YEAR(BK$3)=YEAR($BK26),MONTH(BK$3)&gt;=MONTH($BK26),MONTH(BK$3)&lt;=MONTH($BL26)),$BS26/(MONTH($BL26)-MONTH($BK26)+1),"")</f>
        <v/>
      </c>
      <c r="CL26" s="80" t="str">
        <f>IF(AND(UO_List[[#This Row],[Budget Revue]]="x",$BK26&lt;&gt;"",$BL26&lt;&gt;"",YEAR(BL$3)=YEAR($BK26),MONTH(BL$3)&gt;=MONTH($BK26),MONTH(BL$3)&lt;=MONTH($BL26)),$BS26/(MONTH($BL26)-MONTH($BK26)+1),"")</f>
        <v/>
      </c>
      <c r="CM26" s="80" t="str">
        <f>IF(AND(UO_List[[#This Row],[Budget Revue]]="x",$BK26&lt;&gt;"",$BL26&lt;&gt;"",YEAR(BM$3)=YEAR($BK26),MONTH(BM$3)&gt;=MONTH($BK26),MONTH(BM$3)&lt;=MONTH($BL26)),$BS26/(MONTH($BL26)-MONTH($BK26)+1),"")</f>
        <v/>
      </c>
      <c r="CN26" s="75">
        <f>IF(UO_List[[#This Row],[Budget Revue]]="x",SUM(UO_List[[#This Row],[JANVIER]:[DECEMBRE]])-UO_List[[#This Row],[Jours Tech]],"")</f>
        <v>0</v>
      </c>
      <c r="CO26" s="348">
        <f>IF(AND(UO_List[[#This Row],[Budget Revue]]="x",$BK26&lt;&gt;"",$BL26&lt;&gt;"",YEAR(BO$3)=YEAR($BK26),MONTH(BO$3)&gt;=MONTH($BK26),MONTH(BO$3)&lt;=MONTH($BL26)),UO_List[[#This Row],[Montant TOTAL]]/(MONTH($BL26)-MONTH($BK26)+1),"")</f>
        <v>24266.666666666668</v>
      </c>
      <c r="CP26" s="348">
        <f>IF(AND(UO_List[[#This Row],[Budget Revue]]="x",$BK26&lt;&gt;"",$BL26&lt;&gt;"",YEAR(BP$3)=YEAR($BK26),MONTH(BP$3)&gt;=MONTH($BK26),MONTH(BP$3)&lt;=MONTH($BL26)),UO_List[[#This Row],[Montant TOTAL]]/(MONTH($BL26)-MONTH($BK26)+1),"")</f>
        <v>24266.666666666668</v>
      </c>
      <c r="CQ26" s="348">
        <f>IF(AND(UO_List[[#This Row],[Budget Revue]]="x",$BK26&lt;&gt;"",$BL26&lt;&gt;"",YEAR(BQ$3)=YEAR($BK26),MONTH(BQ$3)&gt;=MONTH($BK26),MONTH(BQ$3)&lt;=MONTH($BL26)),UO_List[[#This Row],[Montant TOTAL]]/(MONTH($BL26)-MONTH($BK26)+1),"")</f>
        <v>24266.666666666668</v>
      </c>
      <c r="CR26" s="348" t="str">
        <f>IF(AND(UO_List[[#This Row],[Budget Revue]]="x",$BK26&lt;&gt;"",$BL26&lt;&gt;"",YEAR(BR$3)=YEAR($BK26),MONTH(BR$3)&gt;=MONTH($BK26),MONTH(BR$3)&lt;=MONTH($BL26)),UO_List[[#This Row],[Montant TOTAL]]/(MONTH($BL26)-MONTH($BK26)+1),"")</f>
        <v/>
      </c>
      <c r="CS26" s="348" t="str">
        <f>IF(AND(UO_List[[#This Row],[Budget Revue]]="x",$BK26&lt;&gt;"",$BL26&lt;&gt;"",YEAR(BS$3)=YEAR($BK26),MONTH(BS$3)&gt;=MONTH($BK26),MONTH(BS$3)&lt;=MONTH($BL26)),UO_List[[#This Row],[Montant TOTAL]]/(MONTH($BL26)-MONTH($BK26)+1),"")</f>
        <v/>
      </c>
      <c r="CT26" s="348" t="str">
        <f>IF(AND(UO_List[[#This Row],[Budget Revue]]="x",$BK26&lt;&gt;"",$BL26&lt;&gt;"",YEAR(BT$3)=YEAR($BK26),MONTH(BT$3)&gt;=MONTH($BK26),MONTH(BT$3)&lt;=MONTH($BL26)),UO_List[[#This Row],[Montant TOTAL]]/(MONTH($BL26)-MONTH($BK26)+1),"")</f>
        <v/>
      </c>
      <c r="CU26" s="348" t="str">
        <f>IF(AND(UO_List[[#This Row],[Budget Revue]]="x",$BK26&lt;&gt;"",$BL26&lt;&gt;"",YEAR(BU$3)=YEAR($BK26),MONTH(BU$3)&gt;=MONTH($BK26),MONTH(BU$3)&lt;=MONTH($BL26)),UO_List[[#This Row],[Montant TOTAL]]/(MONTH($BL26)-MONTH($BK26)+1),"")</f>
        <v/>
      </c>
      <c r="CV26" s="348" t="str">
        <f>IF(AND(UO_List[[#This Row],[Budget Revue]]="x",$BK26&lt;&gt;"",$BL26&lt;&gt;"",YEAR(BV$3)=YEAR($BK26),MONTH(BV$3)&gt;=MONTH($BK26),MONTH(BV$3)&lt;=MONTH($BL26)),UO_List[[#This Row],[Montant TOTAL]]/(MONTH($BL26)-MONTH($BK26)+1),"")</f>
        <v/>
      </c>
      <c r="CW26" s="348" t="str">
        <f>IF(AND(UO_List[[#This Row],[Budget Revue]]="x",$BK26&lt;&gt;"",$BL26&lt;&gt;"",YEAR(BW$3)=YEAR($BK26),MONTH(BW$3)&gt;=MONTH($BK26),MONTH(BW$3)&lt;=MONTH($BL26)),UO_List[[#This Row],[Montant TOTAL]]/(MONTH($BL26)-MONTH($BK26)+1),"")</f>
        <v/>
      </c>
      <c r="CX26" s="348" t="str">
        <f>IF(AND(UO_List[[#This Row],[Budget Revue]]="x",$BK26&lt;&gt;"",$BL26&lt;&gt;"",YEAR(BX$3)=YEAR($BK26),MONTH(BX$3)&gt;=MONTH($BK26),MONTH(BX$3)&lt;=MONTH($BL26)),UO_List[[#This Row],[Montant TOTAL]]/(MONTH($BL26)-MONTH($BK26)+1),"")</f>
        <v/>
      </c>
      <c r="CY26" s="348" t="str">
        <f>IF(AND(UO_List[[#This Row],[Budget Revue]]="x",$BK26&lt;&gt;"",$BL26&lt;&gt;"",YEAR(BY$3)=YEAR($BK26),MONTH(BY$3)&gt;=MONTH($BK26),MONTH(BY$3)&lt;=MONTH($BL26)),UO_List[[#This Row],[Montant TOTAL]]/(MONTH($BL26)-MONTH($BK26)+1),"")</f>
        <v/>
      </c>
      <c r="CZ26" s="348" t="str">
        <f>IF(AND(UO_List[[#This Row],[Budget Revue]]="x",$BK26&lt;&gt;"",$BL26&lt;&gt;"",YEAR(BY$3)=YEAR($BK26),MONTH(BY$3)&gt;=MONTH($BK26),MONTH(BY$3)&lt;=MONTH($BL26)),UO_List[[#This Row],[Montant TOTAL]]/(MONTH($BL26)-MONTH($BK26)+1),"")</f>
        <v/>
      </c>
      <c r="DA26" s="348">
        <f>IF(UO_List[[#This Row],[Budget Revue]]="x",SUM(UO_List[[#This Row],[JANVIER2]:[DECEMBRE2]])-UO_List[Montant TOTAL],"")</f>
        <v>0</v>
      </c>
      <c r="DB26" s="517">
        <v>4</v>
      </c>
      <c r="DC26" s="83"/>
      <c r="DD26" s="83"/>
      <c r="DE26" s="559"/>
      <c r="DF26" s="560"/>
      <c r="DG26" s="560"/>
      <c r="DH26" s="83">
        <v>1</v>
      </c>
      <c r="DI26" s="83">
        <v>2</v>
      </c>
      <c r="DJ26" s="83"/>
      <c r="DK26" s="83"/>
      <c r="DL26" s="83"/>
      <c r="DM26" s="83"/>
      <c r="DN26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7</v>
      </c>
      <c r="DO26" s="76">
        <f>IFERROR(UO_List[[#This Row],[Line Total]]-UO_List[[#This Row],[Montant total réceptionné]],"")</f>
        <v>67200</v>
      </c>
      <c r="DP26" s="76">
        <f>IFERROR(UO_List[[#This Row],[Total item réceptionné]]*UO_List[[#This Row],[Unit Price (calcul)]],0)</f>
        <v>19600</v>
      </c>
      <c r="DQ26" s="76">
        <f>UO_List[[#This Row],[Facteur]]-UO_List[[#This Row],[Total item réceptionné]]</f>
        <v>19</v>
      </c>
      <c r="DR26" s="77"/>
      <c r="DS26" s="77"/>
      <c r="DT26" s="8" t="s">
        <v>1019</v>
      </c>
      <c r="DU26" s="77"/>
    </row>
    <row r="27" spans="27:125" s="125" customFormat="1">
      <c r="AA27" s="228" t="str">
        <f>IFERROR(VLOOKUP(UO_List[[#This Row],[Unique_AIB_ID]],Tableau1[[Unique_AIB_ID]:[Building / Room]],2,FALSE),"")</f>
        <v>D000481023</v>
      </c>
      <c r="AB27" s="229">
        <f>IFERROR(VLOOKUP(UO_List[[#This Row],[Unique_AIB_ID]],UO_Contract!A25:V214,3,TRUE),"")</f>
        <v>0</v>
      </c>
      <c r="AC27" s="230" t="str">
        <f>IFERROR(VLOOKUP(UO_List[[#This Row],[Unique_AIB_ID]],Tableau1[[Unique_AIB_ID]:[Building / Room]],4,FALSE),"")</f>
        <v>WPA - SII - PJOP - Airbus - WD1701094 - Flight and Integration Test CT1705359</v>
      </c>
      <c r="AD27" s="229">
        <f>IFERROR(VLOOKUP(UO_List[[#This Row],[Unique_AIB_ID]],Tableau1[[Unique_AIB_ID]:[Building / Room]],5,FALSE),"")</f>
        <v>0</v>
      </c>
      <c r="AE27" s="229">
        <f>IFERROR(VLOOKUP(UO_List[[#This Row],[Unique_AIB_ID]],Tableau1[[Unique_AIB_ID]:[Building / Room]],6,FALSE),"")</f>
        <v>2</v>
      </c>
      <c r="AF27" s="229" t="str">
        <f>IFERROR(VLOOKUP(UO_List[[#This Row],[Unique_AIB_ID]],Tableau1[[Unique_AIB_ID]:[Building / Room]],7,FALSE),"")</f>
        <v>3 Each of WU_F&amp;LG_TLS_T_2 TESTS in TLS [PJE_SII_EVYP_USD_AIRBUS_FR]</v>
      </c>
      <c r="AG27" s="227">
        <f>IFERROR(VLOOKUP(UO_List[[#This Row],[Unique_AIB_ID]],Tableau1[[Unique_AIB_ID]:[Building / Room]],8,FALSE),"")</f>
        <v>3</v>
      </c>
      <c r="AH27" s="231">
        <f>IFERROR(VALUE(VLOOKUP(UO_List[[#This Row],[Unique_AIB_ID]],Tableau1[[Unique_AIB_ID]:[Building / Room]],9,FALSE)),"")</f>
        <v>1740</v>
      </c>
      <c r="AI27" s="227">
        <f>IFERROR(VLOOKUP(UO_List[[#This Row],[Unique_AIB_ID]],Tableau1[[Unique_AIB_ID]:[Building / Room]],10,TRUE),"")</f>
        <v>0</v>
      </c>
      <c r="AJ27" s="226">
        <f>IFERROR(VLOOKUP(UO_List[[#This Row],[Unique_AIB_ID]],Tableau1[[Unique_AIB_ID]:[Building / Room]],11,FALSE),"")</f>
        <v>0</v>
      </c>
      <c r="AK27" s="227">
        <f>IFERROR(VLOOKUP(UO_List[[#This Row],[Unique_AIB_ID]],Tableau1[[Unique_AIB_ID]:[Building / Room]],12,FALSE),"")</f>
        <v>0</v>
      </c>
      <c r="AL27" s="227">
        <f>IFERROR(VLOOKUP(UO_List[[#This Row],[Unique_AIB_ID]],Tableau1[[Unique_AIB_ID]:[Building / Room]],13,FALSE),"")</f>
        <v>0</v>
      </c>
      <c r="AM27" s="215">
        <f>IFERROR(VLOOKUP(UO_List[[#This Row],[Unique_AIB_ID]],Tableau1[[Unique_AIB_ID]:[Building / Room]],14,FALSE),"")</f>
        <v>0</v>
      </c>
      <c r="AN27" s="215">
        <f>IFERROR(VLOOKUP(UO_List[[#This Row],[Unique_AIB_ID]],Tableau1[[Unique_AIB_ID]:[Building / Room]],15,FALSE),"")</f>
        <v>0</v>
      </c>
      <c r="AO27" s="215">
        <f>IFERROR(VLOOKUP(UO_List[[#This Row],[Unique_AIB_ID]],Tableau1[[Unique_AIB_ID]:[Building / Room]],16,FALSE),"")</f>
        <v>0</v>
      </c>
      <c r="AP27" s="215" t="str">
        <f>IFERROR(VLOOKUP(UO_List[[#This Row],[Unique_AIB_ID]],Tableau1[[Unique_AIB_ID]:[Building / Room]],17,FALSE),"")</f>
        <v>0</v>
      </c>
      <c r="AQ27" s="215">
        <f>IFERROR(VLOOKUP(UO_List[[#This Row],[Unique_AIB_ID]],Tableau1[[Unique_AIB_ID]:[Building / Room]],18,FALSE),"")</f>
        <v>0</v>
      </c>
      <c r="AR27" s="215" t="str">
        <f>IFERROR(VLOOKUP(UO_List[[#This Row],[Unique_AIB_ID]],Tableau1[[Unique_AIB_ID]:[Building / Room]],19,FALSE),"")</f>
        <v>03/31/20</v>
      </c>
      <c r="AS27" s="215">
        <f>IFERROR(VLOOKUP(UO_List[[#This Row],[Unique_AIB_ID]],Tableau1[[Unique_AIB_ID]:[Building / Room]],20,FALSE),"")</f>
        <v>0</v>
      </c>
      <c r="AT27" s="215">
        <f>IFERROR(VLOOKUP(UO_List[[#This Row],[Unique_AIB_ID]],Tableau1[[Unique_AIB_ID]:[Building / Room]],21,FALSE),"")</f>
        <v>0</v>
      </c>
      <c r="AU27" s="215" t="str">
        <f>IFERROR(VLOOKUP(UO_List[[#This Row],[Unique_AIB_ID]],Tableau1[[Unique_AIB_ID]:[Building / Room]],22,FALSE),"")</f>
        <v>10W / 1st Floor</v>
      </c>
      <c r="AV27" s="168">
        <f>IFERROR(VLOOKUP(UO_List[[#This Row],[Unique_AIB_ID]],Tableau1[[Unique_AIB_ID]:[Currency]],23,FALSE),"")</f>
        <v>0</v>
      </c>
      <c r="AW27" s="168">
        <f>IFERROR(IF(ISBLANK(UO_List[[#This Row],[PO Number (Header)]]),"",UO_List[[#This Row],[Line Total]]/UO_List[[#This Row],[Total Item Quantity]]),"")</f>
        <v>580</v>
      </c>
      <c r="AX27" s="499" t="s">
        <v>956</v>
      </c>
      <c r="AY27" s="168"/>
      <c r="AZ27" s="78" t="s">
        <v>843</v>
      </c>
      <c r="BA27" s="82"/>
      <c r="BB27" s="78"/>
      <c r="BC27" s="78" t="s">
        <v>701</v>
      </c>
      <c r="BD27" s="70" t="s">
        <v>686</v>
      </c>
      <c r="BE27" s="78" t="s">
        <v>798</v>
      </c>
      <c r="BF27" s="78" t="s">
        <v>195</v>
      </c>
      <c r="BG27" s="78"/>
      <c r="BH27" s="78" t="s">
        <v>885</v>
      </c>
      <c r="BI27" s="78" t="s">
        <v>877</v>
      </c>
      <c r="BJ27" s="493"/>
      <c r="BK27" s="79">
        <v>43831</v>
      </c>
      <c r="BL27" s="79">
        <v>43921</v>
      </c>
      <c r="BM27" s="550">
        <v>3</v>
      </c>
      <c r="BN27" s="71">
        <f>IFERROR(UO_List[[#This Row],[Total Item Quantity]]-UO_List[[#This Row],[Facteur]],"")</f>
        <v>0</v>
      </c>
      <c r="BO27" s="349">
        <f>IFERROR(IF(ISBLANK(UO_List[[#This Row],[Id_UO]]),"",SUMPRODUCT(1*(EXACT(UO_List[[#This Row],[Id_UO]],CATALOGUE[Id_WU]))*CATALOGUE[Price $])),"")</f>
        <v>580</v>
      </c>
      <c r="BP27" s="350">
        <f>IFERROR(UO_List[[#This Row],[Prix unitaire]]*UO_List[[#This Row],[Facteur]],"")</f>
        <v>1740</v>
      </c>
      <c r="BQ27" s="100">
        <f>IFERROR(SUMPRODUCT(1*(EXACT(UO_List[[#This Row],[Id_UO]],CATALOGUE[Id_WU]))*CATALOGUE[Global_Workload_PM_(d)]*UO_List[[#This Row],[Facteur]]),"")</f>
        <v>0.45000000000000007</v>
      </c>
      <c r="BR27" s="286">
        <f>UO_List[[#This Row],[Jours GP]]/jours_an</f>
        <v>2.0833333333333337E-3</v>
      </c>
      <c r="BS27" s="72">
        <f>IFERROR(SUMPRODUCT(1*(EXACT(UO_List[[#This Row],[Id_UO]],CATALOGUE[Id_WU]))*CATALOGUE[Global_Workload_Tech_(d)]*UO_List[[#This Row],[Facteur]]),"")</f>
        <v>2.5499999999999998</v>
      </c>
      <c r="BT27" s="286">
        <f>UO_List[[#This Row],[Jours Tech]]/jours_an</f>
        <v>1.1805555555555555E-2</v>
      </c>
      <c r="BU27" s="72">
        <f>UO_List[[#This Row],[Jours GP]]+UO_List[[#This Row],[Jours Tech]]</f>
        <v>3</v>
      </c>
      <c r="BV27" s="286">
        <f>UO_List[[#This Row],[ETP GP]]+UO_List[[#This Row],[ETP Tech]]</f>
        <v>1.3888888888888888E-2</v>
      </c>
      <c r="BW27" s="73"/>
      <c r="BX27" s="80" t="s">
        <v>203</v>
      </c>
      <c r="BY27" s="462">
        <f>IF(UO_List[[#This Row],[Budget Revue]]="x",UO_List[[#This Row],[Montant TOTAL]],0)</f>
        <v>1740</v>
      </c>
      <c r="BZ27" s="80">
        <f>IF(UO_List[[#This Row],[Budget Revue]]="x",UO_List[[#This Row],[Jours Tech]],0)</f>
        <v>2.5499999999999998</v>
      </c>
      <c r="CA27" s="80">
        <f>IF(UO_List[[#This Row],[Budget Revue]]="x",UO_List[[#This Row],[Jours GP]],0)</f>
        <v>0.45000000000000007</v>
      </c>
      <c r="CB27" s="516">
        <f>IF(AND(UO_List[[#This Row],[Budget Revue]]="x",$BK27&lt;&gt;"",$BL27&lt;&gt;"",YEAR(BB$3)=YEAR($BK27),MONTH(BB$3)&gt;=MONTH($BK27),MONTH(BB$3)&lt;=MONTH($BL27)),$BS27/(MONTH($BL27)-MONTH($BK27)+1),"")</f>
        <v>0.85</v>
      </c>
      <c r="CC27" s="80">
        <f>IF(AND(UO_List[[#This Row],[Budget Revue]]="x",$BK27&lt;&gt;"",$BL27&lt;&gt;"",YEAR(BC$3)=YEAR($BK27),MONTH(BC$3)&gt;=MONTH($BK27),MONTH(BC$3)&lt;=MONTH($BL27)),$BS27/(MONTH($BL27)-MONTH($BK27)+1),"")</f>
        <v>0.85</v>
      </c>
      <c r="CD27" s="80">
        <f>IF(AND(UO_List[[#This Row],[Budget Revue]]="x",$BK27&lt;&gt;"",$BL27&lt;&gt;"",YEAR(BD$3)=YEAR($BK27),MONTH(BD$3)&gt;=MONTH($BK27),MONTH(BD$3)&lt;=MONTH($BL27)),$BS27/(MONTH($BL27)-MONTH($BK27)+1),"")</f>
        <v>0.85</v>
      </c>
      <c r="CE27" s="80" t="str">
        <f>IF(AND(UO_List[[#This Row],[Budget Revue]]="x",$BK27&lt;&gt;"",$BL27&lt;&gt;"",YEAR(BE$3)=YEAR($BK27),MONTH(BE$3)&gt;=MONTH($BK27),MONTH(BE$3)&lt;=MONTH($BL27)),$BS27/(MONTH($BL27)-MONTH($BK27)+1),"")</f>
        <v/>
      </c>
      <c r="CF27" s="80" t="str">
        <f>IF(AND(UO_List[[#This Row],[Budget Revue]]="x",$BK27&lt;&gt;"",$BL27&lt;&gt;"",YEAR(BF$3)=YEAR($BK27),MONTH(BF$3)&gt;=MONTH($BK27),MONTH(BF$3)&lt;=MONTH($BL27)),$BS27/(MONTH($BL27)-MONTH($BK27)+1),"")</f>
        <v/>
      </c>
      <c r="CG27" s="80" t="str">
        <f>IF(AND(UO_List[[#This Row],[Budget Revue]]="x",$BK27&lt;&gt;"",$BL27&lt;&gt;"",YEAR(BG$3)=YEAR($BK27),MONTH(BG$3)&gt;=MONTH($BK27),MONTH(BG$3)&lt;=MONTH($BL27)),$BS27/(MONTH($BL27)-MONTH($BK27)+1),"")</f>
        <v/>
      </c>
      <c r="CH27" s="80" t="str">
        <f>IF(AND(UO_List[[#This Row],[Budget Revue]]="x",$BK27&lt;&gt;"",$BL27&lt;&gt;"",YEAR(BH$3)=YEAR($BK27),MONTH(BH$3)&gt;=MONTH($BK27),MONTH(BH$3)&lt;=MONTH($BL27)),$BS27/(MONTH($BL27)-MONTH($BK27)+1),"")</f>
        <v/>
      </c>
      <c r="CI27" s="80" t="str">
        <f>IF(AND(UO_List[[#This Row],[Budget Revue]]="x",$BK27&lt;&gt;"",$BL27&lt;&gt;"",YEAR(BI$3)=YEAR($BK27),MONTH(BI$3)&gt;=MONTH($BK27),MONTH(BI$3)&lt;=MONTH($BL27)),$BS27/(MONTH($BL27)-MONTH($BK27)+1),"")</f>
        <v/>
      </c>
      <c r="CJ27" s="80" t="str">
        <f>IF(AND(UO_List[[#This Row],[Budget Revue]]="x",$BK27&lt;&gt;"",$BL27&lt;&gt;"",YEAR(BJ$3)=YEAR($BK27),MONTH(BJ$3)&gt;=MONTH($BK27),MONTH(BJ$3)&lt;=MONTH($BL27)),$BS27/(MONTH($BL27)-MONTH($BK27)+1),"")</f>
        <v/>
      </c>
      <c r="CK27" s="80" t="str">
        <f>IF(AND(UO_List[[#This Row],[Budget Revue]]="x",$BK27&lt;&gt;"",$BL27&lt;&gt;"",YEAR(BK$3)=YEAR($BK27),MONTH(BK$3)&gt;=MONTH($BK27),MONTH(BK$3)&lt;=MONTH($BL27)),$BS27/(MONTH($BL27)-MONTH($BK27)+1),"")</f>
        <v/>
      </c>
      <c r="CL27" s="80" t="str">
        <f>IF(AND(UO_List[[#This Row],[Budget Revue]]="x",$BK27&lt;&gt;"",$BL27&lt;&gt;"",YEAR(BL$3)=YEAR($BK27),MONTH(BL$3)&gt;=MONTH($BK27),MONTH(BL$3)&lt;=MONTH($BL27)),$BS27/(MONTH($BL27)-MONTH($BK27)+1),"")</f>
        <v/>
      </c>
      <c r="CM27" s="80" t="str">
        <f>IF(AND(UO_List[[#This Row],[Budget Revue]]="x",$BK27&lt;&gt;"",$BL27&lt;&gt;"",YEAR(BM$3)=YEAR($BK27),MONTH(BM$3)&gt;=MONTH($BK27),MONTH(BM$3)&lt;=MONTH($BL27)),$BS27/(MONTH($BL27)-MONTH($BK27)+1),"")</f>
        <v/>
      </c>
      <c r="CN27" s="75">
        <f>IF(UO_List[[#This Row],[Budget Revue]]="x",SUM(UO_List[[#This Row],[JANVIER]:[DECEMBRE]])-UO_List[[#This Row],[Jours Tech]],"")</f>
        <v>0</v>
      </c>
      <c r="CO27" s="348">
        <f>IF(AND(UO_List[[#This Row],[Budget Revue]]="x",$BK27&lt;&gt;"",$BL27&lt;&gt;"",YEAR(BO$3)=YEAR($BK27),MONTH(BO$3)&gt;=MONTH($BK27),MONTH(BO$3)&lt;=MONTH($BL27)),UO_List[[#This Row],[Montant TOTAL]]/(MONTH($BL27)-MONTH($BK27)+1),"")</f>
        <v>580</v>
      </c>
      <c r="CP27" s="348">
        <f>IF(AND(UO_List[[#This Row],[Budget Revue]]="x",$BK27&lt;&gt;"",$BL27&lt;&gt;"",YEAR(BP$3)=YEAR($BK27),MONTH(BP$3)&gt;=MONTH($BK27),MONTH(BP$3)&lt;=MONTH($BL27)),UO_List[[#This Row],[Montant TOTAL]]/(MONTH($BL27)-MONTH($BK27)+1),"")</f>
        <v>580</v>
      </c>
      <c r="CQ27" s="348">
        <f>IF(AND(UO_List[[#This Row],[Budget Revue]]="x",$BK27&lt;&gt;"",$BL27&lt;&gt;"",YEAR(BQ$3)=YEAR($BK27),MONTH(BQ$3)&gt;=MONTH($BK27),MONTH(BQ$3)&lt;=MONTH($BL27)),UO_List[[#This Row],[Montant TOTAL]]/(MONTH($BL27)-MONTH($BK27)+1),"")</f>
        <v>580</v>
      </c>
      <c r="CR27" s="348" t="str">
        <f>IF(AND(UO_List[[#This Row],[Budget Revue]]="x",$BK27&lt;&gt;"",$BL27&lt;&gt;"",YEAR(BR$3)=YEAR($BK27),MONTH(BR$3)&gt;=MONTH($BK27),MONTH(BR$3)&lt;=MONTH($BL27)),UO_List[[#This Row],[Montant TOTAL]]/(MONTH($BL27)-MONTH($BK27)+1),"")</f>
        <v/>
      </c>
      <c r="CS27" s="348" t="str">
        <f>IF(AND(UO_List[[#This Row],[Budget Revue]]="x",$BK27&lt;&gt;"",$BL27&lt;&gt;"",YEAR(BS$3)=YEAR($BK27),MONTH(BS$3)&gt;=MONTH($BK27),MONTH(BS$3)&lt;=MONTH($BL27)),UO_List[[#This Row],[Montant TOTAL]]/(MONTH($BL27)-MONTH($BK27)+1),"")</f>
        <v/>
      </c>
      <c r="CT27" s="348" t="str">
        <f>IF(AND(UO_List[[#This Row],[Budget Revue]]="x",$BK27&lt;&gt;"",$BL27&lt;&gt;"",YEAR(BT$3)=YEAR($BK27),MONTH(BT$3)&gt;=MONTH($BK27),MONTH(BT$3)&lt;=MONTH($BL27)),UO_List[[#This Row],[Montant TOTAL]]/(MONTH($BL27)-MONTH($BK27)+1),"")</f>
        <v/>
      </c>
      <c r="CU27" s="348" t="str">
        <f>IF(AND(UO_List[[#This Row],[Budget Revue]]="x",$BK27&lt;&gt;"",$BL27&lt;&gt;"",YEAR(BU$3)=YEAR($BK27),MONTH(BU$3)&gt;=MONTH($BK27),MONTH(BU$3)&lt;=MONTH($BL27)),UO_List[[#This Row],[Montant TOTAL]]/(MONTH($BL27)-MONTH($BK27)+1),"")</f>
        <v/>
      </c>
      <c r="CV27" s="348" t="str">
        <f>IF(AND(UO_List[[#This Row],[Budget Revue]]="x",$BK27&lt;&gt;"",$BL27&lt;&gt;"",YEAR(BV$3)=YEAR($BK27),MONTH(BV$3)&gt;=MONTH($BK27),MONTH(BV$3)&lt;=MONTH($BL27)),UO_List[[#This Row],[Montant TOTAL]]/(MONTH($BL27)-MONTH($BK27)+1),"")</f>
        <v/>
      </c>
      <c r="CW27" s="348" t="str">
        <f>IF(AND(UO_List[[#This Row],[Budget Revue]]="x",$BK27&lt;&gt;"",$BL27&lt;&gt;"",YEAR(BW$3)=YEAR($BK27),MONTH(BW$3)&gt;=MONTH($BK27),MONTH(BW$3)&lt;=MONTH($BL27)),UO_List[[#This Row],[Montant TOTAL]]/(MONTH($BL27)-MONTH($BK27)+1),"")</f>
        <v/>
      </c>
      <c r="CX27" s="348" t="str">
        <f>IF(AND(UO_List[[#This Row],[Budget Revue]]="x",$BK27&lt;&gt;"",$BL27&lt;&gt;"",YEAR(BX$3)=YEAR($BK27),MONTH(BX$3)&gt;=MONTH($BK27),MONTH(BX$3)&lt;=MONTH($BL27)),UO_List[[#This Row],[Montant TOTAL]]/(MONTH($BL27)-MONTH($BK27)+1),"")</f>
        <v/>
      </c>
      <c r="CY27" s="348" t="str">
        <f>IF(AND(UO_List[[#This Row],[Budget Revue]]="x",$BK27&lt;&gt;"",$BL27&lt;&gt;"",YEAR(BY$3)=YEAR($BK27),MONTH(BY$3)&gt;=MONTH($BK27),MONTH(BY$3)&lt;=MONTH($BL27)),UO_List[[#This Row],[Montant TOTAL]]/(MONTH($BL27)-MONTH($BK27)+1),"")</f>
        <v/>
      </c>
      <c r="CZ27" s="348" t="str">
        <f>IF(AND(UO_List[[#This Row],[Budget Revue]]="x",$BK27&lt;&gt;"",$BL27&lt;&gt;"",YEAR(BY$3)=YEAR($BK27),MONTH(BY$3)&gt;=MONTH($BK27),MONTH(BY$3)&lt;=MONTH($BL27)),UO_List[[#This Row],[Montant TOTAL]]/(MONTH($BL27)-MONTH($BK27)+1),"")</f>
        <v/>
      </c>
      <c r="DA27" s="348">
        <f>IF(UO_List[[#This Row],[Budget Revue]]="x",SUM(UO_List[[#This Row],[JANVIER2]:[DECEMBRE2]])-UO_List[Montant TOTAL],"")</f>
        <v>0</v>
      </c>
      <c r="DB27" s="517">
        <v>3</v>
      </c>
      <c r="DC27" s="83"/>
      <c r="DD27" s="83"/>
      <c r="DE27" s="559"/>
      <c r="DF27" s="560"/>
      <c r="DG27" s="560"/>
      <c r="DH27" s="83"/>
      <c r="DI27" s="83"/>
      <c r="DJ27" s="83"/>
      <c r="DK27" s="83"/>
      <c r="DL27" s="83"/>
      <c r="DM27" s="83"/>
      <c r="DN27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3</v>
      </c>
      <c r="DO27" s="76">
        <f>IFERROR(UO_List[[#This Row],[Line Total]]-UO_List[[#This Row],[Montant total réceptionné]],"")</f>
        <v>0</v>
      </c>
      <c r="DP27" s="76">
        <f>IFERROR(UO_List[[#This Row],[Total item réceptionné]]*UO_List[[#This Row],[Unit Price (calcul)]],0)</f>
        <v>1740</v>
      </c>
      <c r="DQ27" s="76">
        <f>UO_List[[#This Row],[Facteur]]-UO_List[[#This Row],[Total item réceptionné]]</f>
        <v>0</v>
      </c>
      <c r="DR27" s="77"/>
      <c r="DS27" s="77"/>
      <c r="DT27" s="158"/>
      <c r="DU27" s="77"/>
    </row>
    <row r="28" spans="27:125" s="125" customFormat="1">
      <c r="AA28" s="232" t="str">
        <f>IFERROR(VLOOKUP(UO_List[[#This Row],[Unique_AIB_ID]],Tableau1[[Unique_AIB_ID]:[Building / Room]],2,FALSE),"")</f>
        <v>D000486419</v>
      </c>
      <c r="AB28" s="229">
        <f>IFERROR(VLOOKUP(UO_List[[#This Row],[Unique_AIB_ID]],UO_Contract!A26:V215,3,TRUE),"")</f>
        <v>0</v>
      </c>
      <c r="AC28" s="230" t="str">
        <f>IFERROR(VLOOKUP(UO_List[[#This Row],[Unique_AIB_ID]],Tableau1[[Unique_AIB_ID]:[Building / Room]],4,FALSE),"")</f>
        <v>WPA - SII - PJOP - Airbus - WD1701094 - Flight and Integration Test CT1705359</v>
      </c>
      <c r="AD28" s="229">
        <f>IFERROR(VLOOKUP(UO_List[[#This Row],[Unique_AIB_ID]],Tableau1[[Unique_AIB_ID]:[Building / Room]],5,FALSE),"")</f>
        <v>0</v>
      </c>
      <c r="AE28" s="229">
        <f>IFERROR(VLOOKUP(UO_List[[#This Row],[Unique_AIB_ID]],Tableau1[[Unique_AIB_ID]:[Building / Room]],6,FALSE),"")</f>
        <v>1</v>
      </c>
      <c r="AF28" s="229" t="str">
        <f>IFERROR(VLOOKUP(UO_List[[#This Row],[Unique_AIB_ID]],Tableau1[[Unique_AIB_ID]:[Building / Room]],7,FALSE),"")</f>
        <v>3 Each of WU_F&amp;LG_TLS_T_2 TESTS SUPPORT In Toulouse [PJE_SII_EVYP_USD_AIRBUS_FR]</v>
      </c>
      <c r="AG28" s="227">
        <f>IFERROR(VLOOKUP(UO_List[[#This Row],[Unique_AIB_ID]],Tableau1[[Unique_AIB_ID]:[Building / Room]],8,FALSE),"")</f>
        <v>3</v>
      </c>
      <c r="AH28" s="231">
        <f>IFERROR(VALUE(VLOOKUP(UO_List[[#This Row],[Unique_AIB_ID]],Tableau1[[Unique_AIB_ID]:[Building / Room]],9,FALSE)),"")</f>
        <v>1740</v>
      </c>
      <c r="AI28" s="227">
        <f>IFERROR(VLOOKUP(UO_List[[#This Row],[Unique_AIB_ID]],Tableau1[[Unique_AIB_ID]:[Building / Room]],10,TRUE),"")</f>
        <v>0</v>
      </c>
      <c r="AJ28" s="226">
        <f>IFERROR(VLOOKUP(UO_List[[#This Row],[Unique_AIB_ID]],Tableau1[[Unique_AIB_ID]:[Building / Room]],11,FALSE),"")</f>
        <v>0</v>
      </c>
      <c r="AK28" s="227">
        <f>IFERROR(VLOOKUP(UO_List[[#This Row],[Unique_AIB_ID]],Tableau1[[Unique_AIB_ID]:[Building / Room]],12,FALSE),"")</f>
        <v>0</v>
      </c>
      <c r="AL28" s="227">
        <f>IFERROR(VLOOKUP(UO_List[[#This Row],[Unique_AIB_ID]],Tableau1[[Unique_AIB_ID]:[Building / Room]],13,FALSE),"")</f>
        <v>0</v>
      </c>
      <c r="AM28" s="215">
        <f>IFERROR(VLOOKUP(UO_List[[#This Row],[Unique_AIB_ID]],Tableau1[[Unique_AIB_ID]:[Building / Room]],14,FALSE),"")</f>
        <v>0</v>
      </c>
      <c r="AN28" s="215">
        <f>IFERROR(VLOOKUP(UO_List[[#This Row],[Unique_AIB_ID]],Tableau1[[Unique_AIB_ID]:[Building / Room]],15,FALSE),"")</f>
        <v>0</v>
      </c>
      <c r="AO28" s="215">
        <f>IFERROR(VLOOKUP(UO_List[[#This Row],[Unique_AIB_ID]],Tableau1[[Unique_AIB_ID]:[Building / Room]],16,FALSE),"")</f>
        <v>0</v>
      </c>
      <c r="AP28" s="215" t="str">
        <f>IFERROR(VLOOKUP(UO_List[[#This Row],[Unique_AIB_ID]],Tableau1[[Unique_AIB_ID]:[Building / Room]],17,FALSE),"")</f>
        <v>0</v>
      </c>
      <c r="AQ28" s="215">
        <f>IFERROR(VLOOKUP(UO_List[[#This Row],[Unique_AIB_ID]],Tableau1[[Unique_AIB_ID]:[Building / Room]],18,FALSE),"")</f>
        <v>0</v>
      </c>
      <c r="AR28" s="215" t="str">
        <f>IFERROR(VLOOKUP(UO_List[[#This Row],[Unique_AIB_ID]],Tableau1[[Unique_AIB_ID]:[Building / Room]],19,FALSE),"")</f>
        <v>03/31/20</v>
      </c>
      <c r="AS28" s="215">
        <f>IFERROR(VLOOKUP(UO_List[[#This Row],[Unique_AIB_ID]],Tableau1[[Unique_AIB_ID]:[Building / Room]],20,FALSE),"")</f>
        <v>0</v>
      </c>
      <c r="AT28" s="215">
        <f>IFERROR(VLOOKUP(UO_List[[#This Row],[Unique_AIB_ID]],Tableau1[[Unique_AIB_ID]:[Building / Room]],21,FALSE),"")</f>
        <v>0</v>
      </c>
      <c r="AU28" s="215" t="str">
        <f>IFERROR(VLOOKUP(UO_List[[#This Row],[Unique_AIB_ID]],Tableau1[[Unique_AIB_ID]:[Building / Room]],22,FALSE),"")</f>
        <v>10W / 1st Floor</v>
      </c>
      <c r="AV28" s="168">
        <f>IFERROR(VLOOKUP(UO_List[[#This Row],[Unique_AIB_ID]],Tableau1[[Unique_AIB_ID]:[Currency]],23,FALSE),"")</f>
        <v>0</v>
      </c>
      <c r="AW28" s="168">
        <f>IFERROR(IF(ISBLANK(UO_List[[#This Row],[PO Number (Header)]]),"",UO_List[[#This Row],[Line Total]]/UO_List[[#This Row],[Total Item Quantity]]),"")</f>
        <v>580</v>
      </c>
      <c r="AX28" s="499" t="s">
        <v>957</v>
      </c>
      <c r="AY28" s="168"/>
      <c r="AZ28" s="78" t="s">
        <v>843</v>
      </c>
      <c r="BA28" s="82"/>
      <c r="BB28" s="78"/>
      <c r="BC28" s="78" t="s">
        <v>701</v>
      </c>
      <c r="BD28" s="70" t="s">
        <v>686</v>
      </c>
      <c r="BE28" s="78" t="s">
        <v>797</v>
      </c>
      <c r="BF28" s="78" t="s">
        <v>195</v>
      </c>
      <c r="BG28" s="78"/>
      <c r="BH28" s="78" t="s">
        <v>886</v>
      </c>
      <c r="BI28" s="78" t="s">
        <v>878</v>
      </c>
      <c r="BJ28" s="493"/>
      <c r="BK28" s="79">
        <v>43831</v>
      </c>
      <c r="BL28" s="79">
        <v>43921</v>
      </c>
      <c r="BM28" s="71">
        <v>3</v>
      </c>
      <c r="BN28" s="71">
        <f>IFERROR(UO_List[[#This Row],[Total Item Quantity]]-UO_List[[#This Row],[Facteur]],"")</f>
        <v>0</v>
      </c>
      <c r="BO28" s="349">
        <f>IFERROR(IF(ISBLANK(UO_List[[#This Row],[Id_UO]]),"",SUMPRODUCT(1*(EXACT(UO_List[[#This Row],[Id_UO]],CATALOGUE[Id_WU]))*CATALOGUE[Price $])),"")</f>
        <v>580</v>
      </c>
      <c r="BP28" s="350">
        <f>IFERROR(UO_List[[#This Row],[Prix unitaire]]*UO_List[[#This Row],[Facteur]],"")</f>
        <v>1740</v>
      </c>
      <c r="BQ28" s="100">
        <f>IFERROR(SUMPRODUCT(1*(EXACT(UO_List[[#This Row],[Id_UO]],CATALOGUE[Id_WU]))*CATALOGUE[Global_Workload_PM_(d)]*UO_List[[#This Row],[Facteur]]),"")</f>
        <v>0.45000000000000007</v>
      </c>
      <c r="BR28" s="286">
        <f>UO_List[[#This Row],[Jours GP]]/jours_an</f>
        <v>2.0833333333333337E-3</v>
      </c>
      <c r="BS28" s="72">
        <f>IFERROR(SUMPRODUCT(1*(EXACT(UO_List[[#This Row],[Id_UO]],CATALOGUE[Id_WU]))*CATALOGUE[Global_Workload_Tech_(d)]*UO_List[[#This Row],[Facteur]]),"")</f>
        <v>2.5499999999999998</v>
      </c>
      <c r="BT28" s="286">
        <f>UO_List[[#This Row],[Jours Tech]]/jours_an</f>
        <v>1.1805555555555555E-2</v>
      </c>
      <c r="BU28" s="72">
        <f>UO_List[[#This Row],[Jours GP]]+UO_List[[#This Row],[Jours Tech]]</f>
        <v>3</v>
      </c>
      <c r="BV28" s="286">
        <f>UO_List[[#This Row],[ETP GP]]+UO_List[[#This Row],[ETP Tech]]</f>
        <v>1.3888888888888888E-2</v>
      </c>
      <c r="BW28" s="73" t="s">
        <v>211</v>
      </c>
      <c r="BX28" s="80" t="s">
        <v>203</v>
      </c>
      <c r="BY28" s="462">
        <f>IF(UO_List[[#This Row],[Budget Revue]]="x",UO_List[[#This Row],[Montant TOTAL]],0)</f>
        <v>1740</v>
      </c>
      <c r="BZ28" s="80">
        <f>IF(UO_List[[#This Row],[Budget Revue]]="x",UO_List[[#This Row],[Jours Tech]],0)</f>
        <v>2.5499999999999998</v>
      </c>
      <c r="CA28" s="80">
        <f>IF(UO_List[[#This Row],[Budget Revue]]="x",UO_List[[#This Row],[Jours GP]],0)</f>
        <v>0.45000000000000007</v>
      </c>
      <c r="CB28" s="516">
        <f>IF(AND(UO_List[[#This Row],[Budget Revue]]="x",$BK28&lt;&gt;"",$BL28&lt;&gt;"",YEAR(BB$3)=YEAR($BK28),MONTH(BB$3)&gt;=MONTH($BK28),MONTH(BB$3)&lt;=MONTH($BL28)),$BS28/(MONTH($BL28)-MONTH($BK28)+1),"")</f>
        <v>0.85</v>
      </c>
      <c r="CC28" s="80">
        <f>IF(AND(UO_List[[#This Row],[Budget Revue]]="x",$BK28&lt;&gt;"",$BL28&lt;&gt;"",YEAR(BC$3)=YEAR($BK28),MONTH(BC$3)&gt;=MONTH($BK28),MONTH(BC$3)&lt;=MONTH($BL28)),$BS28/(MONTH($BL28)-MONTH($BK28)+1),"")</f>
        <v>0.85</v>
      </c>
      <c r="CD28" s="80">
        <f>IF(AND(UO_List[[#This Row],[Budget Revue]]="x",$BK28&lt;&gt;"",$BL28&lt;&gt;"",YEAR(BD$3)=YEAR($BK28),MONTH(BD$3)&gt;=MONTH($BK28),MONTH(BD$3)&lt;=MONTH($BL28)),$BS28/(MONTH($BL28)-MONTH($BK28)+1),"")</f>
        <v>0.85</v>
      </c>
      <c r="CE28" s="80" t="str">
        <f>IF(AND(UO_List[[#This Row],[Budget Revue]]="x",$BK28&lt;&gt;"",$BL28&lt;&gt;"",YEAR(BE$3)=YEAR($BK28),MONTH(BE$3)&gt;=MONTH($BK28),MONTH(BE$3)&lt;=MONTH($BL28)),$BS28/(MONTH($BL28)-MONTH($BK28)+1),"")</f>
        <v/>
      </c>
      <c r="CF28" s="80" t="str">
        <f>IF(AND(UO_List[[#This Row],[Budget Revue]]="x",$BK28&lt;&gt;"",$BL28&lt;&gt;"",YEAR(BF$3)=YEAR($BK28),MONTH(BF$3)&gt;=MONTH($BK28),MONTH(BF$3)&lt;=MONTH($BL28)),$BS28/(MONTH($BL28)-MONTH($BK28)+1),"")</f>
        <v/>
      </c>
      <c r="CG28" s="80" t="str">
        <f>IF(AND(UO_List[[#This Row],[Budget Revue]]="x",$BK28&lt;&gt;"",$BL28&lt;&gt;"",YEAR(BG$3)=YEAR($BK28),MONTH(BG$3)&gt;=MONTH($BK28),MONTH(BG$3)&lt;=MONTH($BL28)),$BS28/(MONTH($BL28)-MONTH($BK28)+1),"")</f>
        <v/>
      </c>
      <c r="CH28" s="80" t="str">
        <f>IF(AND(UO_List[[#This Row],[Budget Revue]]="x",$BK28&lt;&gt;"",$BL28&lt;&gt;"",YEAR(BH$3)=YEAR($BK28),MONTH(BH$3)&gt;=MONTH($BK28),MONTH(BH$3)&lt;=MONTH($BL28)),$BS28/(MONTH($BL28)-MONTH($BK28)+1),"")</f>
        <v/>
      </c>
      <c r="CI28" s="80" t="str">
        <f>IF(AND(UO_List[[#This Row],[Budget Revue]]="x",$BK28&lt;&gt;"",$BL28&lt;&gt;"",YEAR(BI$3)=YEAR($BK28),MONTH(BI$3)&gt;=MONTH($BK28),MONTH(BI$3)&lt;=MONTH($BL28)),$BS28/(MONTH($BL28)-MONTH($BK28)+1),"")</f>
        <v/>
      </c>
      <c r="CJ28" s="80" t="str">
        <f>IF(AND(UO_List[[#This Row],[Budget Revue]]="x",$BK28&lt;&gt;"",$BL28&lt;&gt;"",YEAR(BJ$3)=YEAR($BK28),MONTH(BJ$3)&gt;=MONTH($BK28),MONTH(BJ$3)&lt;=MONTH($BL28)),$BS28/(MONTH($BL28)-MONTH($BK28)+1),"")</f>
        <v/>
      </c>
      <c r="CK28" s="80" t="str">
        <f>IF(AND(UO_List[[#This Row],[Budget Revue]]="x",$BK28&lt;&gt;"",$BL28&lt;&gt;"",YEAR(BK$3)=YEAR($BK28),MONTH(BK$3)&gt;=MONTH($BK28),MONTH(BK$3)&lt;=MONTH($BL28)),$BS28/(MONTH($BL28)-MONTH($BK28)+1),"")</f>
        <v/>
      </c>
      <c r="CL28" s="80" t="str">
        <f>IF(AND(UO_List[[#This Row],[Budget Revue]]="x",$BK28&lt;&gt;"",$BL28&lt;&gt;"",YEAR(BL$3)=YEAR($BK28),MONTH(BL$3)&gt;=MONTH($BK28),MONTH(BL$3)&lt;=MONTH($BL28)),$BS28/(MONTH($BL28)-MONTH($BK28)+1),"")</f>
        <v/>
      </c>
      <c r="CM28" s="80" t="str">
        <f>IF(AND(UO_List[[#This Row],[Budget Revue]]="x",$BK28&lt;&gt;"",$BL28&lt;&gt;"",YEAR(BM$3)=YEAR($BK28),MONTH(BM$3)&gt;=MONTH($BK28),MONTH(BM$3)&lt;=MONTH($BL28)),$BS28/(MONTH($BL28)-MONTH($BK28)+1),"")</f>
        <v/>
      </c>
      <c r="CN28" s="75">
        <f>IF(UO_List[[#This Row],[Budget Revue]]="x",SUM(UO_List[[#This Row],[JANVIER]:[DECEMBRE]])-UO_List[[#This Row],[Jours Tech]],"")</f>
        <v>0</v>
      </c>
      <c r="CO28" s="348">
        <f>IF(AND(UO_List[[#This Row],[Budget Revue]]="x",$BK28&lt;&gt;"",$BL28&lt;&gt;"",YEAR(BO$3)=YEAR($BK28),MONTH(BO$3)&gt;=MONTH($BK28),MONTH(BO$3)&lt;=MONTH($BL28)),UO_List[[#This Row],[Montant TOTAL]]/(MONTH($BL28)-MONTH($BK28)+1),"")</f>
        <v>580</v>
      </c>
      <c r="CP28" s="348">
        <f>IF(AND(UO_List[[#This Row],[Budget Revue]]="x",$BK28&lt;&gt;"",$BL28&lt;&gt;"",YEAR(BP$3)=YEAR($BK28),MONTH(BP$3)&gt;=MONTH($BK28),MONTH(BP$3)&lt;=MONTH($BL28)),UO_List[[#This Row],[Montant TOTAL]]/(MONTH($BL28)-MONTH($BK28)+1),"")</f>
        <v>580</v>
      </c>
      <c r="CQ28" s="348">
        <f>IF(AND(UO_List[[#This Row],[Budget Revue]]="x",$BK28&lt;&gt;"",$BL28&lt;&gt;"",YEAR(BQ$3)=YEAR($BK28),MONTH(BQ$3)&gt;=MONTH($BK28),MONTH(BQ$3)&lt;=MONTH($BL28)),UO_List[[#This Row],[Montant TOTAL]]/(MONTH($BL28)-MONTH($BK28)+1),"")</f>
        <v>580</v>
      </c>
      <c r="CR28" s="348" t="str">
        <f>IF(AND(UO_List[[#This Row],[Budget Revue]]="x",$BK28&lt;&gt;"",$BL28&lt;&gt;"",YEAR(BR$3)=YEAR($BK28),MONTH(BR$3)&gt;=MONTH($BK28),MONTH(BR$3)&lt;=MONTH($BL28)),UO_List[[#This Row],[Montant TOTAL]]/(MONTH($BL28)-MONTH($BK28)+1),"")</f>
        <v/>
      </c>
      <c r="CS28" s="348" t="str">
        <f>IF(AND(UO_List[[#This Row],[Budget Revue]]="x",$BK28&lt;&gt;"",$BL28&lt;&gt;"",YEAR(BS$3)=YEAR($BK28),MONTH(BS$3)&gt;=MONTH($BK28),MONTH(BS$3)&lt;=MONTH($BL28)),UO_List[[#This Row],[Montant TOTAL]]/(MONTH($BL28)-MONTH($BK28)+1),"")</f>
        <v/>
      </c>
      <c r="CT28" s="348" t="str">
        <f>IF(AND(UO_List[[#This Row],[Budget Revue]]="x",$BK28&lt;&gt;"",$BL28&lt;&gt;"",YEAR(BT$3)=YEAR($BK28),MONTH(BT$3)&gt;=MONTH($BK28),MONTH(BT$3)&lt;=MONTH($BL28)),UO_List[[#This Row],[Montant TOTAL]]/(MONTH($BL28)-MONTH($BK28)+1),"")</f>
        <v/>
      </c>
      <c r="CU28" s="348" t="str">
        <f>IF(AND(UO_List[[#This Row],[Budget Revue]]="x",$BK28&lt;&gt;"",$BL28&lt;&gt;"",YEAR(BU$3)=YEAR($BK28),MONTH(BU$3)&gt;=MONTH($BK28),MONTH(BU$3)&lt;=MONTH($BL28)),UO_List[[#This Row],[Montant TOTAL]]/(MONTH($BL28)-MONTH($BK28)+1),"")</f>
        <v/>
      </c>
      <c r="CV28" s="348" t="str">
        <f>IF(AND(UO_List[[#This Row],[Budget Revue]]="x",$BK28&lt;&gt;"",$BL28&lt;&gt;"",YEAR(BV$3)=YEAR($BK28),MONTH(BV$3)&gt;=MONTH($BK28),MONTH(BV$3)&lt;=MONTH($BL28)),UO_List[[#This Row],[Montant TOTAL]]/(MONTH($BL28)-MONTH($BK28)+1),"")</f>
        <v/>
      </c>
      <c r="CW28" s="348" t="str">
        <f>IF(AND(UO_List[[#This Row],[Budget Revue]]="x",$BK28&lt;&gt;"",$BL28&lt;&gt;"",YEAR(BW$3)=YEAR($BK28),MONTH(BW$3)&gt;=MONTH($BK28),MONTH(BW$3)&lt;=MONTH($BL28)),UO_List[[#This Row],[Montant TOTAL]]/(MONTH($BL28)-MONTH($BK28)+1),"")</f>
        <v/>
      </c>
      <c r="CX28" s="348" t="str">
        <f>IF(AND(UO_List[[#This Row],[Budget Revue]]="x",$BK28&lt;&gt;"",$BL28&lt;&gt;"",YEAR(BX$3)=YEAR($BK28),MONTH(BX$3)&gt;=MONTH($BK28),MONTH(BX$3)&lt;=MONTH($BL28)),UO_List[[#This Row],[Montant TOTAL]]/(MONTH($BL28)-MONTH($BK28)+1),"")</f>
        <v/>
      </c>
      <c r="CY28" s="348" t="str">
        <f>IF(AND(UO_List[[#This Row],[Budget Revue]]="x",$BK28&lt;&gt;"",$BL28&lt;&gt;"",YEAR(BY$3)=YEAR($BK28),MONTH(BY$3)&gt;=MONTH($BK28),MONTH(BY$3)&lt;=MONTH($BL28)),UO_List[[#This Row],[Montant TOTAL]]/(MONTH($BL28)-MONTH($BK28)+1),"")</f>
        <v/>
      </c>
      <c r="CZ28" s="348" t="str">
        <f>IF(AND(UO_List[[#This Row],[Budget Revue]]="x",$BK28&lt;&gt;"",$BL28&lt;&gt;"",YEAR(BY$3)=YEAR($BK28),MONTH(BY$3)&gt;=MONTH($BK28),MONTH(BY$3)&lt;=MONTH($BL28)),UO_List[[#This Row],[Montant TOTAL]]/(MONTH($BL28)-MONTH($BK28)+1),"")</f>
        <v/>
      </c>
      <c r="DA28" s="348">
        <f>IF(UO_List[[#This Row],[Budget Revue]]="x",SUM(UO_List[[#This Row],[JANVIER2]:[DECEMBRE2]])-UO_List[Montant TOTAL],"")</f>
        <v>0</v>
      </c>
      <c r="DB28" s="83"/>
      <c r="DC28" s="83"/>
      <c r="DD28" s="83"/>
      <c r="DE28" s="559"/>
      <c r="DF28" s="560"/>
      <c r="DG28" s="560"/>
      <c r="DH28" s="83"/>
      <c r="DI28" s="83"/>
      <c r="DJ28" s="83"/>
      <c r="DK28" s="83"/>
      <c r="DL28" s="83"/>
      <c r="DM28" s="83"/>
      <c r="DN28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28" s="76">
        <f>IFERROR(UO_List[[#This Row],[Line Total]]-UO_List[[#This Row],[Montant total réceptionné]],"")</f>
        <v>1740</v>
      </c>
      <c r="DP28" s="76">
        <f>IFERROR(UO_List[[#This Row],[Total item réceptionné]]*UO_List[[#This Row],[Unit Price (calcul)]],0)</f>
        <v>0</v>
      </c>
      <c r="DQ28" s="76">
        <f>UO_List[[#This Row],[Facteur]]-UO_List[[#This Row],[Total item réceptionné]]</f>
        <v>3</v>
      </c>
      <c r="DR28" s="77"/>
      <c r="DS28" s="77"/>
      <c r="DT28" s="158"/>
      <c r="DU28" s="77"/>
    </row>
    <row r="29" spans="27:125" s="125" customFormat="1">
      <c r="AA29" s="221" t="str">
        <f>IFERROR(VLOOKUP(UO_List[[#This Row],[Unique_AIB_ID]],Tableau1[[Unique_AIB_ID]:[Building / Room]],2,FALSE),"")</f>
        <v>D000489232</v>
      </c>
      <c r="AB29" s="233">
        <f>IFERROR(VLOOKUP(UO_List[[#This Row],[Unique_AIB_ID]],UO_Contract!A27:V216,3,TRUE),"")</f>
        <v>0</v>
      </c>
      <c r="AC29" s="221" t="str">
        <f>IFERROR(VLOOKUP(UO_List[[#This Row],[Unique_AIB_ID]],Tableau1[[Unique_AIB_ID]:[Building / Room]],4,FALSE),"")</f>
        <v>WPA - SII - PJOP - Airbus - WD1701094 - Flight and Integration Test CT1705359</v>
      </c>
      <c r="AD29" s="233">
        <f>IFERROR(VLOOKUP(UO_List[[#This Row],[Unique_AIB_ID]],Tableau1[[Unique_AIB_ID]:[Building / Room]],5,FALSE),"")</f>
        <v>0</v>
      </c>
      <c r="AE29" s="233">
        <f>IFERROR(VLOOKUP(UO_List[[#This Row],[Unique_AIB_ID]],Tableau1[[Unique_AIB_ID]:[Building / Room]],6,FALSE),"")</f>
        <v>1</v>
      </c>
      <c r="AF29" s="233" t="str">
        <f>IFERROR(VLOOKUP(UO_List[[#This Row],[Unique_AIB_ID]],Tableau1[[Unique_AIB_ID]:[Building / Room]],7,FALSE),"")</f>
        <v>15 Each of WU_F&amp;LG_TLS_T_2 TESTS SUPPORT In Toulouse [PJE_SII_EVYP_USD_AIRBUS_FR]</v>
      </c>
      <c r="AG29" s="233">
        <f>IFERROR(VLOOKUP(UO_List[[#This Row],[Unique_AIB_ID]],Tableau1[[Unique_AIB_ID]:[Building / Room]],8,FALSE),"")</f>
        <v>15</v>
      </c>
      <c r="AH29" s="234">
        <f>IFERROR(VALUE(VLOOKUP(UO_List[[#This Row],[Unique_AIB_ID]],Tableau1[[Unique_AIB_ID]:[Building / Room]],9,FALSE)),"")</f>
        <v>8700</v>
      </c>
      <c r="AI29" s="233">
        <f>IFERROR(VLOOKUP(UO_List[[#This Row],[Unique_AIB_ID]],Tableau1[[Unique_AIB_ID]:[Building / Room]],10,TRUE),"")</f>
        <v>0</v>
      </c>
      <c r="AJ29" s="235">
        <f>IFERROR(VLOOKUP(UO_List[[#This Row],[Unique_AIB_ID]],Tableau1[[Unique_AIB_ID]:[Building / Room]],11,FALSE),"")</f>
        <v>0</v>
      </c>
      <c r="AK29" s="233">
        <f>IFERROR(VLOOKUP(UO_List[[#This Row],[Unique_AIB_ID]],Tableau1[[Unique_AIB_ID]:[Building / Room]],12,FALSE),"")</f>
        <v>0</v>
      </c>
      <c r="AL29" s="233">
        <f>IFERROR(VLOOKUP(UO_List[[#This Row],[Unique_AIB_ID]],Tableau1[[Unique_AIB_ID]:[Building / Room]],13,FALSE),"")</f>
        <v>0</v>
      </c>
      <c r="AM29" s="215">
        <f>IFERROR(VLOOKUP(UO_List[[#This Row],[Unique_AIB_ID]],Tableau1[[Unique_AIB_ID]:[Building / Room]],14,FALSE),"")</f>
        <v>0</v>
      </c>
      <c r="AN29" s="215">
        <f>IFERROR(VLOOKUP(UO_List[[#This Row],[Unique_AIB_ID]],Tableau1[[Unique_AIB_ID]:[Building / Room]],15,FALSE),"")</f>
        <v>0</v>
      </c>
      <c r="AO29" s="215">
        <f>IFERROR(VLOOKUP(UO_List[[#This Row],[Unique_AIB_ID]],Tableau1[[Unique_AIB_ID]:[Building / Room]],16,FALSE),"")</f>
        <v>0</v>
      </c>
      <c r="AP29" s="215" t="str">
        <f>IFERROR(VLOOKUP(UO_List[[#This Row],[Unique_AIB_ID]],Tableau1[[Unique_AIB_ID]:[Building / Room]],17,FALSE),"")</f>
        <v>7</v>
      </c>
      <c r="AQ29" s="215">
        <f>IFERROR(VLOOKUP(UO_List[[#This Row],[Unique_AIB_ID]],Tableau1[[Unique_AIB_ID]:[Building / Room]],18,FALSE),"")</f>
        <v>0</v>
      </c>
      <c r="AR29" s="215" t="str">
        <f>IFERROR(VLOOKUP(UO_List[[#This Row],[Unique_AIB_ID]],Tableau1[[Unique_AIB_ID]:[Building / Room]],19,FALSE),"")</f>
        <v>02/28/20</v>
      </c>
      <c r="AS29" s="215">
        <f>IFERROR(VLOOKUP(UO_List[[#This Row],[Unique_AIB_ID]],Tableau1[[Unique_AIB_ID]:[Building / Room]],20,FALSE),"")</f>
        <v>0</v>
      </c>
      <c r="AT29" s="215">
        <f>IFERROR(VLOOKUP(UO_List[[#This Row],[Unique_AIB_ID]],Tableau1[[Unique_AIB_ID]:[Building / Room]],21,FALSE),"")</f>
        <v>0</v>
      </c>
      <c r="AU29" s="215" t="str">
        <f>IFERROR(VLOOKUP(UO_List[[#This Row],[Unique_AIB_ID]],Tableau1[[Unique_AIB_ID]:[Building / Room]],22,FALSE),"")</f>
        <v>10W / 1st Floor</v>
      </c>
      <c r="AV29" s="168">
        <f>IFERROR(VLOOKUP(UO_List[[#This Row],[Unique_AIB_ID]],Tableau1[[Unique_AIB_ID]:[Currency]],23,FALSE),"")</f>
        <v>0</v>
      </c>
      <c r="AW29" s="168">
        <f>IFERROR(IF(ISBLANK(UO_List[[#This Row],[PO Number (Header)]]),"",UO_List[[#This Row],[Line Total]]/UO_List[[#This Row],[Total Item Quantity]]),"")</f>
        <v>580</v>
      </c>
      <c r="AX29" s="499" t="s">
        <v>958</v>
      </c>
      <c r="AY29" s="168"/>
      <c r="AZ29" s="78" t="s">
        <v>843</v>
      </c>
      <c r="BA29" s="82"/>
      <c r="BB29" s="78"/>
      <c r="BC29" s="78" t="s">
        <v>701</v>
      </c>
      <c r="BD29" s="70" t="s">
        <v>686</v>
      </c>
      <c r="BE29" s="78"/>
      <c r="BF29" s="78" t="s">
        <v>197</v>
      </c>
      <c r="BG29" s="78"/>
      <c r="BH29" s="78" t="s">
        <v>887</v>
      </c>
      <c r="BI29" s="78" t="s">
        <v>960</v>
      </c>
      <c r="BJ29" s="493"/>
      <c r="BK29" s="79">
        <v>43831</v>
      </c>
      <c r="BL29" s="79">
        <v>43921</v>
      </c>
      <c r="BM29" s="550">
        <v>8</v>
      </c>
      <c r="BN29" s="71">
        <f>IFERROR(UO_List[[#This Row],[Total Item Quantity]]-UO_List[[#This Row],[Facteur]],"")</f>
        <v>7</v>
      </c>
      <c r="BO29" s="349">
        <f>IFERROR(IF(ISBLANK(UO_List[[#This Row],[Id_UO]]),"",SUMPRODUCT(1*(EXACT(UO_List[[#This Row],[Id_UO]],CATALOGUE[Id_WU]))*CATALOGUE[Price $])),"")</f>
        <v>580</v>
      </c>
      <c r="BP29" s="350">
        <f>IFERROR(UO_List[[#This Row],[Prix unitaire]]*UO_List[[#This Row],[Facteur]],"")</f>
        <v>4640</v>
      </c>
      <c r="BQ29" s="100">
        <f>IFERROR(SUMPRODUCT(1*(EXACT(UO_List[[#This Row],[Id_UO]],CATALOGUE[Id_WU]))*CATALOGUE[Global_Workload_PM_(d)]*UO_List[[#This Row],[Facteur]]),"")</f>
        <v>1.2000000000000002</v>
      </c>
      <c r="BR29" s="286">
        <f>UO_List[[#This Row],[Jours GP]]/jours_an</f>
        <v>5.5555555555555566E-3</v>
      </c>
      <c r="BS29" s="72">
        <f>IFERROR(SUMPRODUCT(1*(EXACT(UO_List[[#This Row],[Id_UO]],CATALOGUE[Id_WU]))*CATALOGUE[Global_Workload_Tech_(d)]*UO_List[[#This Row],[Facteur]]),"")</f>
        <v>6.8</v>
      </c>
      <c r="BT29" s="286">
        <f>UO_List[[#This Row],[Jours Tech]]/jours_an</f>
        <v>3.1481481481481478E-2</v>
      </c>
      <c r="BU29" s="72">
        <f>UO_List[[#This Row],[Jours GP]]+UO_List[[#This Row],[Jours Tech]]</f>
        <v>8</v>
      </c>
      <c r="BV29" s="286">
        <f>UO_List[[#This Row],[ETP GP]]+UO_List[[#This Row],[ETP Tech]]</f>
        <v>3.7037037037037035E-2</v>
      </c>
      <c r="BW29" s="73" t="s">
        <v>209</v>
      </c>
      <c r="BX29" s="515" t="s">
        <v>203</v>
      </c>
      <c r="BY29" s="462">
        <f>IF(UO_List[[#This Row],[Budget Revue]]="x",UO_List[[#This Row],[Montant TOTAL]],0)</f>
        <v>4640</v>
      </c>
      <c r="BZ29" s="80">
        <f>IF(UO_List[[#This Row],[Budget Revue]]="x",UO_List[[#This Row],[Jours Tech]],0)</f>
        <v>6.8</v>
      </c>
      <c r="CA29" s="80">
        <f>IF(UO_List[[#This Row],[Budget Revue]]="x",UO_List[[#This Row],[Jours GP]],0)</f>
        <v>1.2000000000000002</v>
      </c>
      <c r="CB29" s="516">
        <f>IF(AND(UO_List[[#This Row],[Budget Revue]]="x",$BK29&lt;&gt;"",$BL29&lt;&gt;"",YEAR(BB$3)=YEAR($BK29),MONTH(BB$3)&gt;=MONTH($BK29),MONTH(BB$3)&lt;=MONTH($BL29)),$BS29/(MONTH($BL29)-MONTH($BK29)+1),"")</f>
        <v>2.2666666666666666</v>
      </c>
      <c r="CC29" s="80">
        <f>IF(AND(UO_List[[#This Row],[Budget Revue]]="x",$BK29&lt;&gt;"",$BL29&lt;&gt;"",YEAR(BC$3)=YEAR($BK29),MONTH(BC$3)&gt;=MONTH($BK29),MONTH(BC$3)&lt;=MONTH($BL29)),$BS29/(MONTH($BL29)-MONTH($BK29)+1),"")</f>
        <v>2.2666666666666666</v>
      </c>
      <c r="CD29" s="80">
        <f>IF(AND(UO_List[[#This Row],[Budget Revue]]="x",$BK29&lt;&gt;"",$BL29&lt;&gt;"",YEAR(BD$3)=YEAR($BK29),MONTH(BD$3)&gt;=MONTH($BK29),MONTH(BD$3)&lt;=MONTH($BL29)),$BS29/(MONTH($BL29)-MONTH($BK29)+1),"")</f>
        <v>2.2666666666666666</v>
      </c>
      <c r="CE29" s="80" t="str">
        <f>IF(AND(UO_List[[#This Row],[Budget Revue]]="x",$BK29&lt;&gt;"",$BL29&lt;&gt;"",YEAR(BE$3)=YEAR($BK29),MONTH(BE$3)&gt;=MONTH($BK29),MONTH(BE$3)&lt;=MONTH($BL29)),$BS29/(MONTH($BL29)-MONTH($BK29)+1),"")</f>
        <v/>
      </c>
      <c r="CF29" s="80" t="str">
        <f>IF(AND(UO_List[[#This Row],[Budget Revue]]="x",$BK29&lt;&gt;"",$BL29&lt;&gt;"",YEAR(BF$3)=YEAR($BK29),MONTH(BF$3)&gt;=MONTH($BK29),MONTH(BF$3)&lt;=MONTH($BL29)),$BS29/(MONTH($BL29)-MONTH($BK29)+1),"")</f>
        <v/>
      </c>
      <c r="CG29" s="80" t="str">
        <f>IF(AND(UO_List[[#This Row],[Budget Revue]]="x",$BK29&lt;&gt;"",$BL29&lt;&gt;"",YEAR(BG$3)=YEAR($BK29),MONTH(BG$3)&gt;=MONTH($BK29),MONTH(BG$3)&lt;=MONTH($BL29)),$BS29/(MONTH($BL29)-MONTH($BK29)+1),"")</f>
        <v/>
      </c>
      <c r="CH29" s="80" t="str">
        <f>IF(AND(UO_List[[#This Row],[Budget Revue]]="x",$BK29&lt;&gt;"",$BL29&lt;&gt;"",YEAR(BH$3)=YEAR($BK29),MONTH(BH$3)&gt;=MONTH($BK29),MONTH(BH$3)&lt;=MONTH($BL29)),$BS29/(MONTH($BL29)-MONTH($BK29)+1),"")</f>
        <v/>
      </c>
      <c r="CI29" s="80" t="str">
        <f>IF(AND(UO_List[[#This Row],[Budget Revue]]="x",$BK29&lt;&gt;"",$BL29&lt;&gt;"",YEAR(BI$3)=YEAR($BK29),MONTH(BI$3)&gt;=MONTH($BK29),MONTH(BI$3)&lt;=MONTH($BL29)),$BS29/(MONTH($BL29)-MONTH($BK29)+1),"")</f>
        <v/>
      </c>
      <c r="CJ29" s="80" t="str">
        <f>IF(AND(UO_List[[#This Row],[Budget Revue]]="x",$BK29&lt;&gt;"",$BL29&lt;&gt;"",YEAR(BJ$3)=YEAR($BK29),MONTH(BJ$3)&gt;=MONTH($BK29),MONTH(BJ$3)&lt;=MONTH($BL29)),$BS29/(MONTH($BL29)-MONTH($BK29)+1),"")</f>
        <v/>
      </c>
      <c r="CK29" s="80" t="str">
        <f>IF(AND(UO_List[[#This Row],[Budget Revue]]="x",$BK29&lt;&gt;"",$BL29&lt;&gt;"",YEAR(BK$3)=YEAR($BK29),MONTH(BK$3)&gt;=MONTH($BK29),MONTH(BK$3)&lt;=MONTH($BL29)),$BS29/(MONTH($BL29)-MONTH($BK29)+1),"")</f>
        <v/>
      </c>
      <c r="CL29" s="80" t="str">
        <f>IF(AND(UO_List[[#This Row],[Budget Revue]]="x",$BK29&lt;&gt;"",$BL29&lt;&gt;"",YEAR(BL$3)=YEAR($BK29),MONTH(BL$3)&gt;=MONTH($BK29),MONTH(BL$3)&lt;=MONTH($BL29)),$BS29/(MONTH($BL29)-MONTH($BK29)+1),"")</f>
        <v/>
      </c>
      <c r="CM29" s="80" t="str">
        <f>IF(AND(UO_List[[#This Row],[Budget Revue]]="x",$BK29&lt;&gt;"",$BL29&lt;&gt;"",YEAR(BM$3)=YEAR($BK29),MONTH(BM$3)&gt;=MONTH($BK29),MONTH(BM$3)&lt;=MONTH($BL29)),$BS29/(MONTH($BL29)-MONTH($BK29)+1),"")</f>
        <v/>
      </c>
      <c r="CN29" s="75">
        <f>IF(UO_List[[#This Row],[Budget Revue]]="x",SUM(UO_List[[#This Row],[JANVIER]:[DECEMBRE]])-UO_List[[#This Row],[Jours Tech]],"")</f>
        <v>0</v>
      </c>
      <c r="CO29" s="348">
        <f>IF(AND(UO_List[[#This Row],[Budget Revue]]="x",$BK29&lt;&gt;"",$BL29&lt;&gt;"",YEAR(BO$3)=YEAR($BK29),MONTH(BO$3)&gt;=MONTH($BK29),MONTH(BO$3)&lt;=MONTH($BL29)),UO_List[[#This Row],[Montant TOTAL]]/(MONTH($BL29)-MONTH($BK29)+1),"")</f>
        <v>1546.6666666666667</v>
      </c>
      <c r="CP29" s="348">
        <f>IF(AND(UO_List[[#This Row],[Budget Revue]]="x",$BK29&lt;&gt;"",$BL29&lt;&gt;"",YEAR(BP$3)=YEAR($BK29),MONTH(BP$3)&gt;=MONTH($BK29),MONTH(BP$3)&lt;=MONTH($BL29)),UO_List[[#This Row],[Montant TOTAL]]/(MONTH($BL29)-MONTH($BK29)+1),"")</f>
        <v>1546.6666666666667</v>
      </c>
      <c r="CQ29" s="348">
        <f>IF(AND(UO_List[[#This Row],[Budget Revue]]="x",$BK29&lt;&gt;"",$BL29&lt;&gt;"",YEAR(BQ$3)=YEAR($BK29),MONTH(BQ$3)&gt;=MONTH($BK29),MONTH(BQ$3)&lt;=MONTH($BL29)),UO_List[[#This Row],[Montant TOTAL]]/(MONTH($BL29)-MONTH($BK29)+1),"")</f>
        <v>1546.6666666666667</v>
      </c>
      <c r="CR29" s="348" t="str">
        <f>IF(AND(UO_List[[#This Row],[Budget Revue]]="x",$BK29&lt;&gt;"",$BL29&lt;&gt;"",YEAR(BR$3)=YEAR($BK29),MONTH(BR$3)&gt;=MONTH($BK29),MONTH(BR$3)&lt;=MONTH($BL29)),UO_List[[#This Row],[Montant TOTAL]]/(MONTH($BL29)-MONTH($BK29)+1),"")</f>
        <v/>
      </c>
      <c r="CS29" s="348" t="str">
        <f>IF(AND(UO_List[[#This Row],[Budget Revue]]="x",$BK29&lt;&gt;"",$BL29&lt;&gt;"",YEAR(BS$3)=YEAR($BK29),MONTH(BS$3)&gt;=MONTH($BK29),MONTH(BS$3)&lt;=MONTH($BL29)),UO_List[[#This Row],[Montant TOTAL]]/(MONTH($BL29)-MONTH($BK29)+1),"")</f>
        <v/>
      </c>
      <c r="CT29" s="348" t="str">
        <f>IF(AND(UO_List[[#This Row],[Budget Revue]]="x",$BK29&lt;&gt;"",$BL29&lt;&gt;"",YEAR(BT$3)=YEAR($BK29),MONTH(BT$3)&gt;=MONTH($BK29),MONTH(BT$3)&lt;=MONTH($BL29)),UO_List[[#This Row],[Montant TOTAL]]/(MONTH($BL29)-MONTH($BK29)+1),"")</f>
        <v/>
      </c>
      <c r="CU29" s="348" t="str">
        <f>IF(AND(UO_List[[#This Row],[Budget Revue]]="x",$BK29&lt;&gt;"",$BL29&lt;&gt;"",YEAR(BU$3)=YEAR($BK29),MONTH(BU$3)&gt;=MONTH($BK29),MONTH(BU$3)&lt;=MONTH($BL29)),UO_List[[#This Row],[Montant TOTAL]]/(MONTH($BL29)-MONTH($BK29)+1),"")</f>
        <v/>
      </c>
      <c r="CV29" s="348" t="str">
        <f>IF(AND(UO_List[[#This Row],[Budget Revue]]="x",$BK29&lt;&gt;"",$BL29&lt;&gt;"",YEAR(BV$3)=YEAR($BK29),MONTH(BV$3)&gt;=MONTH($BK29),MONTH(BV$3)&lt;=MONTH($BL29)),UO_List[[#This Row],[Montant TOTAL]]/(MONTH($BL29)-MONTH($BK29)+1),"")</f>
        <v/>
      </c>
      <c r="CW29" s="348" t="str">
        <f>IF(AND(UO_List[[#This Row],[Budget Revue]]="x",$BK29&lt;&gt;"",$BL29&lt;&gt;"",YEAR(BW$3)=YEAR($BK29),MONTH(BW$3)&gt;=MONTH($BK29),MONTH(BW$3)&lt;=MONTH($BL29)),UO_List[[#This Row],[Montant TOTAL]]/(MONTH($BL29)-MONTH($BK29)+1),"")</f>
        <v/>
      </c>
      <c r="CX29" s="348" t="str">
        <f>IF(AND(UO_List[[#This Row],[Budget Revue]]="x",$BK29&lt;&gt;"",$BL29&lt;&gt;"",YEAR(BX$3)=YEAR($BK29),MONTH(BX$3)&gt;=MONTH($BK29),MONTH(BX$3)&lt;=MONTH($BL29)),UO_List[[#This Row],[Montant TOTAL]]/(MONTH($BL29)-MONTH($BK29)+1),"")</f>
        <v/>
      </c>
      <c r="CY29" s="348" t="str">
        <f>IF(AND(UO_List[[#This Row],[Budget Revue]]="x",$BK29&lt;&gt;"",$BL29&lt;&gt;"",YEAR(BY$3)=YEAR($BK29),MONTH(BY$3)&gt;=MONTH($BK29),MONTH(BY$3)&lt;=MONTH($BL29)),UO_List[[#This Row],[Montant TOTAL]]/(MONTH($BL29)-MONTH($BK29)+1),"")</f>
        <v/>
      </c>
      <c r="CZ29" s="348" t="str">
        <f>IF(AND(UO_List[[#This Row],[Budget Revue]]="x",$BK29&lt;&gt;"",$BL29&lt;&gt;"",YEAR(BY$3)=YEAR($BK29),MONTH(BY$3)&gt;=MONTH($BK29),MONTH(BY$3)&lt;=MONTH($BL29)),UO_List[[#This Row],[Montant TOTAL]]/(MONTH($BL29)-MONTH($BK29)+1),"")</f>
        <v/>
      </c>
      <c r="DA29" s="348">
        <f>IF(UO_List[[#This Row],[Budget Revue]]="x",SUM(UO_List[[#This Row],[JANVIER2]:[DECEMBRE2]])-UO_List[Montant TOTAL],"")</f>
        <v>0</v>
      </c>
      <c r="DB29" s="517">
        <v>6</v>
      </c>
      <c r="DC29" s="83"/>
      <c r="DD29" s="83"/>
      <c r="DE29" s="559"/>
      <c r="DF29" s="560"/>
      <c r="DG29" s="560"/>
      <c r="DH29" s="83"/>
      <c r="DI29" s="83">
        <v>2</v>
      </c>
      <c r="DJ29" s="83"/>
      <c r="DK29" s="83"/>
      <c r="DL29" s="83"/>
      <c r="DM29" s="83"/>
      <c r="DN29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8</v>
      </c>
      <c r="DO29" s="76">
        <f>IFERROR(UO_List[[#This Row],[Line Total]]-UO_List[[#This Row],[Montant total réceptionné]],"")</f>
        <v>4060</v>
      </c>
      <c r="DP29" s="76">
        <f>IFERROR(UO_List[[#This Row],[Total item réceptionné]]*UO_List[[#This Row],[Unit Price (calcul)]],0)</f>
        <v>4640</v>
      </c>
      <c r="DQ29" s="76">
        <f>UO_List[[#This Row],[Facteur]]-UO_List[[#This Row],[Total item réceptionné]]</f>
        <v>0</v>
      </c>
      <c r="DR29" s="77"/>
      <c r="DS29" s="77"/>
      <c r="DT29" s="158" t="s">
        <v>1023</v>
      </c>
      <c r="DU29" s="77"/>
    </row>
    <row r="30" spans="27:125" s="125" customFormat="1">
      <c r="AA30" s="188" t="str">
        <f>IFERROR(VLOOKUP(UO_List[[#This Row],[Unique_AIB_ID]],Tableau1[[Unique_AIB_ID]:[Building / Room]],2,FALSE),"")</f>
        <v>D000474275</v>
      </c>
      <c r="AB30" s="233">
        <f>IFERROR(VLOOKUP(UO_List[[#This Row],[Unique_AIB_ID]],UO_Contract!A30:V219,3,TRUE),"")</f>
        <v>0</v>
      </c>
      <c r="AC30" s="221" t="str">
        <f>IFERROR(VLOOKUP(UO_List[[#This Row],[Unique_AIB_ID]],Tableau1[[Unique_AIB_ID]:[Building / Room]],4,FALSE),"")</f>
        <v>WPA - SII - PJOP - Airbus - WD1701094 - Flight and Integration Test CT1705359</v>
      </c>
      <c r="AD30" s="233">
        <f>IFERROR(VLOOKUP(UO_List[[#This Row],[Unique_AIB_ID]],Tableau1[[Unique_AIB_ID]:[Building / Room]],5,FALSE),"")</f>
        <v>0</v>
      </c>
      <c r="AE30" s="233">
        <f>IFERROR(VLOOKUP(UO_List[[#This Row],[Unique_AIB_ID]],Tableau1[[Unique_AIB_ID]:[Building / Room]],6,FALSE),"")</f>
        <v>1</v>
      </c>
      <c r="AF30" s="233" t="str">
        <f>IFERROR(VLOOKUP(UO_List[[#This Row],[Unique_AIB_ID]],Tableau1[[Unique_AIB_ID]:[Building / Room]],7,FALSE),"")</f>
        <v>20 Each of WU_F&amp;LG_TLS_T_2 TESTS SUPPORT In Toulouse [PJE_SII_EVYP_USD_AIRBUS_FR]</v>
      </c>
      <c r="AG30" s="233">
        <f>IFERROR(VLOOKUP(UO_List[[#This Row],[Unique_AIB_ID]],Tableau1[[Unique_AIB_ID]:[Building / Room]],8,FALSE),"")</f>
        <v>20</v>
      </c>
      <c r="AH30" s="234">
        <f>IFERROR(VALUE(VLOOKUP(UO_List[[#This Row],[Unique_AIB_ID]],Tableau1[[Unique_AIB_ID]:[Building / Room]],9,FALSE)),"")</f>
        <v>11600</v>
      </c>
      <c r="AI30" s="233">
        <f>IFERROR(VLOOKUP(UO_List[[#This Row],[Unique_AIB_ID]],Tableau1[[Unique_AIB_ID]:[Building / Room]],10,TRUE),"")</f>
        <v>0</v>
      </c>
      <c r="AJ30" s="235">
        <f>IFERROR(VLOOKUP(UO_List[[#This Row],[Unique_AIB_ID]],Tableau1[[Unique_AIB_ID]:[Building / Room]],11,FALSE),"")</f>
        <v>0</v>
      </c>
      <c r="AK30" s="233">
        <f>IFERROR(VLOOKUP(UO_List[[#This Row],[Unique_AIB_ID]],Tableau1[[Unique_AIB_ID]:[Building / Room]],12,FALSE),"")</f>
        <v>0</v>
      </c>
      <c r="AL30" s="233">
        <f>IFERROR(VLOOKUP(UO_List[[#This Row],[Unique_AIB_ID]],Tableau1[[Unique_AIB_ID]:[Building / Room]],13,FALSE),"")</f>
        <v>0</v>
      </c>
      <c r="AM30" s="215">
        <f>IFERROR(VLOOKUP(UO_List[[#This Row],[Unique_AIB_ID]],Tableau1[[Unique_AIB_ID]:[Building / Room]],14,FALSE),"")</f>
        <v>0</v>
      </c>
      <c r="AN30" s="215">
        <f>IFERROR(VLOOKUP(UO_List[[#This Row],[Unique_AIB_ID]],Tableau1[[Unique_AIB_ID]:[Building / Room]],15,FALSE),"")</f>
        <v>0</v>
      </c>
      <c r="AO30" s="215">
        <f>IFERROR(VLOOKUP(UO_List[[#This Row],[Unique_AIB_ID]],Tableau1[[Unique_AIB_ID]:[Building / Room]],16,FALSE),"")</f>
        <v>0</v>
      </c>
      <c r="AP30" s="215" t="str">
        <f>IFERROR(VLOOKUP(UO_List[[#This Row],[Unique_AIB_ID]],Tableau1[[Unique_AIB_ID]:[Building / Room]],17,FALSE),"")</f>
        <v>0</v>
      </c>
      <c r="AQ30" s="215">
        <f>IFERROR(VLOOKUP(UO_List[[#This Row],[Unique_AIB_ID]],Tableau1[[Unique_AIB_ID]:[Building / Room]],18,FALSE),"")</f>
        <v>0</v>
      </c>
      <c r="AR30" s="215" t="str">
        <f>IFERROR(VLOOKUP(UO_List[[#This Row],[Unique_AIB_ID]],Tableau1[[Unique_AIB_ID]:[Building / Room]],19,FALSE),"")</f>
        <v>05/29/20</v>
      </c>
      <c r="AS30" s="215">
        <f>IFERROR(VLOOKUP(UO_List[[#This Row],[Unique_AIB_ID]],Tableau1[[Unique_AIB_ID]:[Building / Room]],20,FALSE),"")</f>
        <v>0</v>
      </c>
      <c r="AT30" s="215">
        <f>IFERROR(VLOOKUP(UO_List[[#This Row],[Unique_AIB_ID]],Tableau1[[Unique_AIB_ID]:[Building / Room]],21,FALSE),"")</f>
        <v>0</v>
      </c>
      <c r="AU30" s="215" t="str">
        <f>IFERROR(VLOOKUP(UO_List[[#This Row],[Unique_AIB_ID]],Tableau1[[Unique_AIB_ID]:[Building / Room]],22,FALSE),"")</f>
        <v>10W / RATA</v>
      </c>
      <c r="AV30" s="168">
        <f>IFERROR(VLOOKUP(UO_List[[#This Row],[Unique_AIB_ID]],Tableau1[[Unique_AIB_ID]:[Currency]],23,FALSE),"")</f>
        <v>0</v>
      </c>
      <c r="AW30" s="168">
        <f>IFERROR(IF(ISBLANK(UO_List[[#This Row],[PO Number (Header)]]),"",UO_List[[#This Row],[Line Total]]/UO_List[[#This Row],[Total Item Quantity]]),"")</f>
        <v>580</v>
      </c>
      <c r="AX30" s="499" t="s">
        <v>959</v>
      </c>
      <c r="AY30" s="168"/>
      <c r="AZ30" s="78" t="s">
        <v>843</v>
      </c>
      <c r="BA30" s="82"/>
      <c r="BB30" s="78"/>
      <c r="BC30" s="78" t="s">
        <v>701</v>
      </c>
      <c r="BD30" s="70" t="s">
        <v>686</v>
      </c>
      <c r="BE30" s="78"/>
      <c r="BF30" s="78" t="s">
        <v>193</v>
      </c>
      <c r="BG30" s="78"/>
      <c r="BH30" s="78" t="s">
        <v>888</v>
      </c>
      <c r="BI30" s="78" t="s">
        <v>831</v>
      </c>
      <c r="BJ30" s="78"/>
      <c r="BK30" s="79">
        <v>43831</v>
      </c>
      <c r="BL30" s="79">
        <v>43921</v>
      </c>
      <c r="BM30" s="71">
        <v>20</v>
      </c>
      <c r="BN30" s="71">
        <f>IFERROR(UO_List[[#This Row],[Total Item Quantity]]-UO_List[[#This Row],[Facteur]],"")</f>
        <v>0</v>
      </c>
      <c r="BO30" s="349">
        <f>IFERROR(IF(ISBLANK(UO_List[[#This Row],[Id_UO]]),"",SUMPRODUCT(1*(EXACT(UO_List[[#This Row],[Id_UO]],CATALOGUE[Id_WU]))*CATALOGUE[Price $])),"")</f>
        <v>580</v>
      </c>
      <c r="BP30" s="350">
        <f>IFERROR(UO_List[[#This Row],[Prix unitaire]]*UO_List[[#This Row],[Facteur]],"")</f>
        <v>11600</v>
      </c>
      <c r="BQ30" s="100">
        <f>IFERROR(SUMPRODUCT(1*(EXACT(UO_List[[#This Row],[Id_UO]],CATALOGUE[Id_WU]))*CATALOGUE[Global_Workload_PM_(d)]*UO_List[[#This Row],[Facteur]]),"")</f>
        <v>3.0000000000000004</v>
      </c>
      <c r="BR30" s="286">
        <f>UO_List[[#This Row],[Jours GP]]/jours_an</f>
        <v>1.3888888888888892E-2</v>
      </c>
      <c r="BS30" s="72">
        <f>IFERROR(SUMPRODUCT(1*(EXACT(UO_List[[#This Row],[Id_UO]],CATALOGUE[Id_WU]))*CATALOGUE[Global_Workload_Tech_(d)]*UO_List[[#This Row],[Facteur]]),"")</f>
        <v>17</v>
      </c>
      <c r="BT30" s="286">
        <f>UO_List[[#This Row],[Jours Tech]]/jours_an</f>
        <v>7.8703703703703706E-2</v>
      </c>
      <c r="BU30" s="72">
        <f>UO_List[[#This Row],[Jours GP]]+UO_List[[#This Row],[Jours Tech]]</f>
        <v>20</v>
      </c>
      <c r="BV30" s="286">
        <f>UO_List[[#This Row],[ETP GP]]+UO_List[[#This Row],[ETP Tech]]</f>
        <v>9.2592592592592601E-2</v>
      </c>
      <c r="BW30" s="73" t="s">
        <v>210</v>
      </c>
      <c r="BX30" s="515" t="s">
        <v>203</v>
      </c>
      <c r="BY30" s="462">
        <f>IF(UO_List[[#This Row],[Budget Revue]]="x",UO_List[[#This Row],[Montant TOTAL]],0)</f>
        <v>11600</v>
      </c>
      <c r="BZ30" s="80">
        <f>IF(UO_List[[#This Row],[Budget Revue]]="x",UO_List[[#This Row],[Jours Tech]],0)</f>
        <v>17</v>
      </c>
      <c r="CA30" s="80">
        <f>IF(UO_List[[#This Row],[Budget Revue]]="x",UO_List[[#This Row],[Jours GP]],0)</f>
        <v>3.0000000000000004</v>
      </c>
      <c r="CB30" s="516">
        <f>IF(AND(UO_List[[#This Row],[Budget Revue]]="x",$BK30&lt;&gt;"",$BL30&lt;&gt;"",YEAR(BB$3)=YEAR($BK30),MONTH(BB$3)&gt;=MONTH($BK30),MONTH(BB$3)&lt;=MONTH($BL30)),$BS30/(MONTH($BL30)-MONTH($BK30)+1),"")</f>
        <v>5.666666666666667</v>
      </c>
      <c r="CC30" s="80">
        <f>IF(AND(UO_List[[#This Row],[Budget Revue]]="x",$BK30&lt;&gt;"",$BL30&lt;&gt;"",YEAR(BC$3)=YEAR($BK30),MONTH(BC$3)&gt;=MONTH($BK30),MONTH(BC$3)&lt;=MONTH($BL30)),$BS30/(MONTH($BL30)-MONTH($BK30)+1),"")</f>
        <v>5.666666666666667</v>
      </c>
      <c r="CD30" s="80">
        <f>IF(AND(UO_List[[#This Row],[Budget Revue]]="x",$BK30&lt;&gt;"",$BL30&lt;&gt;"",YEAR(BD$3)=YEAR($BK30),MONTH(BD$3)&gt;=MONTH($BK30),MONTH(BD$3)&lt;=MONTH($BL30)),$BS30/(MONTH($BL30)-MONTH($BK30)+1),"")</f>
        <v>5.666666666666667</v>
      </c>
      <c r="CE30" s="80" t="str">
        <f>IF(AND(UO_List[[#This Row],[Budget Revue]]="x",$BK30&lt;&gt;"",$BL30&lt;&gt;"",YEAR(BE$3)=YEAR($BK30),MONTH(BE$3)&gt;=MONTH($BK30),MONTH(BE$3)&lt;=MONTH($BL30)),$BS30/(MONTH($BL30)-MONTH($BK30)+1),"")</f>
        <v/>
      </c>
      <c r="CF30" s="80" t="str">
        <f>IF(AND(UO_List[[#This Row],[Budget Revue]]="x",$BK30&lt;&gt;"",$BL30&lt;&gt;"",YEAR(BF$3)=YEAR($BK30),MONTH(BF$3)&gt;=MONTH($BK30),MONTH(BF$3)&lt;=MONTH($BL30)),$BS30/(MONTH($BL30)-MONTH($BK30)+1),"")</f>
        <v/>
      </c>
      <c r="CG30" s="80" t="str">
        <f>IF(AND(UO_List[[#This Row],[Budget Revue]]="x",$BK30&lt;&gt;"",$BL30&lt;&gt;"",YEAR(BG$3)=YEAR($BK30),MONTH(BG$3)&gt;=MONTH($BK30),MONTH(BG$3)&lt;=MONTH($BL30)),$BS30/(MONTH($BL30)-MONTH($BK30)+1),"")</f>
        <v/>
      </c>
      <c r="CH30" s="80" t="str">
        <f>IF(AND(UO_List[[#This Row],[Budget Revue]]="x",$BK30&lt;&gt;"",$BL30&lt;&gt;"",YEAR(BH$3)=YEAR($BK30),MONTH(BH$3)&gt;=MONTH($BK30),MONTH(BH$3)&lt;=MONTH($BL30)),$BS30/(MONTH($BL30)-MONTH($BK30)+1),"")</f>
        <v/>
      </c>
      <c r="CI30" s="80" t="str">
        <f>IF(AND(UO_List[[#This Row],[Budget Revue]]="x",$BK30&lt;&gt;"",$BL30&lt;&gt;"",YEAR(BI$3)=YEAR($BK30),MONTH(BI$3)&gt;=MONTH($BK30),MONTH(BI$3)&lt;=MONTH($BL30)),$BS30/(MONTH($BL30)-MONTH($BK30)+1),"")</f>
        <v/>
      </c>
      <c r="CJ30" s="80" t="str">
        <f>IF(AND(UO_List[[#This Row],[Budget Revue]]="x",$BK30&lt;&gt;"",$BL30&lt;&gt;"",YEAR(BJ$3)=YEAR($BK30),MONTH(BJ$3)&gt;=MONTH($BK30),MONTH(BJ$3)&lt;=MONTH($BL30)),$BS30/(MONTH($BL30)-MONTH($BK30)+1),"")</f>
        <v/>
      </c>
      <c r="CK30" s="80" t="str">
        <f>IF(AND(UO_List[[#This Row],[Budget Revue]]="x",$BK30&lt;&gt;"",$BL30&lt;&gt;"",YEAR(BK$3)=YEAR($BK30),MONTH(BK$3)&gt;=MONTH($BK30),MONTH(BK$3)&lt;=MONTH($BL30)),$BS30/(MONTH($BL30)-MONTH($BK30)+1),"")</f>
        <v/>
      </c>
      <c r="CL30" s="80" t="str">
        <f>IF(AND(UO_List[[#This Row],[Budget Revue]]="x",$BK30&lt;&gt;"",$BL30&lt;&gt;"",YEAR(BL$3)=YEAR($BK30),MONTH(BL$3)&gt;=MONTH($BK30),MONTH(BL$3)&lt;=MONTH($BL30)),$BS30/(MONTH($BL30)-MONTH($BK30)+1),"")</f>
        <v/>
      </c>
      <c r="CM30" s="80" t="str">
        <f>IF(AND(UO_List[[#This Row],[Budget Revue]]="x",$BK30&lt;&gt;"",$BL30&lt;&gt;"",YEAR(BM$3)=YEAR($BK30),MONTH(BM$3)&gt;=MONTH($BK30),MONTH(BM$3)&lt;=MONTH($BL30)),$BS30/(MONTH($BL30)-MONTH($BK30)+1),"")</f>
        <v/>
      </c>
      <c r="CN30" s="75">
        <f>IF(UO_List[[#This Row],[Budget Revue]]="x",SUM(UO_List[[#This Row],[JANVIER]:[DECEMBRE]])-UO_List[[#This Row],[Jours Tech]],"")</f>
        <v>0</v>
      </c>
      <c r="CO30" s="348">
        <f>IF(AND(UO_List[[#This Row],[Budget Revue]]="x",$BK30&lt;&gt;"",$BL30&lt;&gt;"",YEAR(BO$3)=YEAR($BK30),MONTH(BO$3)&gt;=MONTH($BK30),MONTH(BO$3)&lt;=MONTH($BL30)),UO_List[[#This Row],[Montant TOTAL]]/(MONTH($BL30)-MONTH($BK30)+1),"")</f>
        <v>3866.6666666666665</v>
      </c>
      <c r="CP30" s="348">
        <f>IF(AND(UO_List[[#This Row],[Budget Revue]]="x",$BK30&lt;&gt;"",$BL30&lt;&gt;"",YEAR(BP$3)=YEAR($BK30),MONTH(BP$3)&gt;=MONTH($BK30),MONTH(BP$3)&lt;=MONTH($BL30)),UO_List[[#This Row],[Montant TOTAL]]/(MONTH($BL30)-MONTH($BK30)+1),"")</f>
        <v>3866.6666666666665</v>
      </c>
      <c r="CQ30" s="348">
        <f>IF(AND(UO_List[[#This Row],[Budget Revue]]="x",$BK30&lt;&gt;"",$BL30&lt;&gt;"",YEAR(BQ$3)=YEAR($BK30),MONTH(BQ$3)&gt;=MONTH($BK30),MONTH(BQ$3)&lt;=MONTH($BL30)),UO_List[[#This Row],[Montant TOTAL]]/(MONTH($BL30)-MONTH($BK30)+1),"")</f>
        <v>3866.6666666666665</v>
      </c>
      <c r="CR30" s="348" t="str">
        <f>IF(AND(UO_List[[#This Row],[Budget Revue]]="x",$BK30&lt;&gt;"",$BL30&lt;&gt;"",YEAR(BR$3)=YEAR($BK30),MONTH(BR$3)&gt;=MONTH($BK30),MONTH(BR$3)&lt;=MONTH($BL30)),UO_List[[#This Row],[Montant TOTAL]]/(MONTH($BL30)-MONTH($BK30)+1),"")</f>
        <v/>
      </c>
      <c r="CS30" s="348" t="str">
        <f>IF(AND(UO_List[[#This Row],[Budget Revue]]="x",$BK30&lt;&gt;"",$BL30&lt;&gt;"",YEAR(BS$3)=YEAR($BK30),MONTH(BS$3)&gt;=MONTH($BK30),MONTH(BS$3)&lt;=MONTH($BL30)),UO_List[[#This Row],[Montant TOTAL]]/(MONTH($BL30)-MONTH($BK30)+1),"")</f>
        <v/>
      </c>
      <c r="CT30" s="348" t="str">
        <f>IF(AND(UO_List[[#This Row],[Budget Revue]]="x",$BK30&lt;&gt;"",$BL30&lt;&gt;"",YEAR(BT$3)=YEAR($BK30),MONTH(BT$3)&gt;=MONTH($BK30),MONTH(BT$3)&lt;=MONTH($BL30)),UO_List[[#This Row],[Montant TOTAL]]/(MONTH($BL30)-MONTH($BK30)+1),"")</f>
        <v/>
      </c>
      <c r="CU30" s="348" t="str">
        <f>IF(AND(UO_List[[#This Row],[Budget Revue]]="x",$BK30&lt;&gt;"",$BL30&lt;&gt;"",YEAR(BU$3)=YEAR($BK30),MONTH(BU$3)&gt;=MONTH($BK30),MONTH(BU$3)&lt;=MONTH($BL30)),UO_List[[#This Row],[Montant TOTAL]]/(MONTH($BL30)-MONTH($BK30)+1),"")</f>
        <v/>
      </c>
      <c r="CV30" s="348" t="str">
        <f>IF(AND(UO_List[[#This Row],[Budget Revue]]="x",$BK30&lt;&gt;"",$BL30&lt;&gt;"",YEAR(BV$3)=YEAR($BK30),MONTH(BV$3)&gt;=MONTH($BK30),MONTH(BV$3)&lt;=MONTH($BL30)),UO_List[[#This Row],[Montant TOTAL]]/(MONTH($BL30)-MONTH($BK30)+1),"")</f>
        <v/>
      </c>
      <c r="CW30" s="348" t="str">
        <f>IF(AND(UO_List[[#This Row],[Budget Revue]]="x",$BK30&lt;&gt;"",$BL30&lt;&gt;"",YEAR(BW$3)=YEAR($BK30),MONTH(BW$3)&gt;=MONTH($BK30),MONTH(BW$3)&lt;=MONTH($BL30)),UO_List[[#This Row],[Montant TOTAL]]/(MONTH($BL30)-MONTH($BK30)+1),"")</f>
        <v/>
      </c>
      <c r="CX30" s="348" t="str">
        <f>IF(AND(UO_List[[#This Row],[Budget Revue]]="x",$BK30&lt;&gt;"",$BL30&lt;&gt;"",YEAR(BX$3)=YEAR($BK30),MONTH(BX$3)&gt;=MONTH($BK30),MONTH(BX$3)&lt;=MONTH($BL30)),UO_List[[#This Row],[Montant TOTAL]]/(MONTH($BL30)-MONTH($BK30)+1),"")</f>
        <v/>
      </c>
      <c r="CY30" s="348" t="str">
        <f>IF(AND(UO_List[[#This Row],[Budget Revue]]="x",$BK30&lt;&gt;"",$BL30&lt;&gt;"",YEAR(BY$3)=YEAR($BK30),MONTH(BY$3)&gt;=MONTH($BK30),MONTH(BY$3)&lt;=MONTH($BL30)),UO_List[[#This Row],[Montant TOTAL]]/(MONTH($BL30)-MONTH($BK30)+1),"")</f>
        <v/>
      </c>
      <c r="CZ30" s="348" t="str">
        <f>IF(AND(UO_List[[#This Row],[Budget Revue]]="x",$BK30&lt;&gt;"",$BL30&lt;&gt;"",YEAR(BY$3)=YEAR($BK30),MONTH(BY$3)&gt;=MONTH($BK30),MONTH(BY$3)&lt;=MONTH($BL30)),UO_List[[#This Row],[Montant TOTAL]]/(MONTH($BL30)-MONTH($BK30)+1),"")</f>
        <v/>
      </c>
      <c r="DA30" s="348">
        <f>IF(UO_List[[#This Row],[Budget Revue]]="x",SUM(UO_List[[#This Row],[JANVIER2]:[DECEMBRE2]])-UO_List[Montant TOTAL],"")</f>
        <v>0</v>
      </c>
      <c r="DB30" s="83"/>
      <c r="DC30" s="83"/>
      <c r="DD30" s="83"/>
      <c r="DE30" s="559"/>
      <c r="DF30" s="560"/>
      <c r="DG30" s="560"/>
      <c r="DH30" s="83">
        <v>2</v>
      </c>
      <c r="DI30" s="83">
        <v>2</v>
      </c>
      <c r="DJ30" s="83"/>
      <c r="DK30" s="83"/>
      <c r="DL30" s="83"/>
      <c r="DM30" s="83"/>
      <c r="DN30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4</v>
      </c>
      <c r="DO30" s="76">
        <f>IFERROR(UO_List[[#This Row],[Line Total]]-UO_List[[#This Row],[Montant total réceptionné]],"")</f>
        <v>9280</v>
      </c>
      <c r="DP30" s="76">
        <f>IFERROR(UO_List[[#This Row],[Total item réceptionné]]*UO_List[[#This Row],[Unit Price (calcul)]],0)</f>
        <v>2320</v>
      </c>
      <c r="DQ30" s="76">
        <f>UO_List[[#This Row],[Facteur]]-UO_List[[#This Row],[Total item réceptionné]]</f>
        <v>16</v>
      </c>
      <c r="DR30" s="77"/>
      <c r="DS30" s="77"/>
      <c r="DT30" s="158" t="s">
        <v>1021</v>
      </c>
      <c r="DU30" s="77"/>
    </row>
    <row r="31" spans="27:125" s="116" customFormat="1">
      <c r="AA31" s="210" t="str">
        <f>IFERROR(VLOOKUP(UO_List[[#This Row],[Unique_AIB_ID]],Tableau1[[Unique_AIB_ID]:[Building / Room]],2,FALSE),"")</f>
        <v>C000489704</v>
      </c>
      <c r="AB31" s="237">
        <f>IFERROR(VLOOKUP(UO_List[[#This Row],[Unique_AIB_ID]],UO_Contract!A39:V228,3,TRUE),"")</f>
        <v>0</v>
      </c>
      <c r="AC31" s="238" t="str">
        <f>IFERROR(VLOOKUP(UO_List[[#This Row],[Unique_AIB_ID]],Tableau1[[Unique_AIB_ID]:[Building / Room]],4,FALSE),"")</f>
        <v>WPA - SII - PJOP - Airbus - WD1701094 - Flight and Integration Test CT1705359</v>
      </c>
      <c r="AD31" s="237">
        <f>IFERROR(VLOOKUP(UO_List[[#This Row],[Unique_AIB_ID]],Tableau1[[Unique_AIB_ID]:[Building / Room]],5,FALSE),"")</f>
        <v>0</v>
      </c>
      <c r="AE31" s="237">
        <f>IFERROR(VLOOKUP(UO_List[[#This Row],[Unique_AIB_ID]],Tableau1[[Unique_AIB_ID]:[Building / Room]],6,FALSE),"")</f>
        <v>1</v>
      </c>
      <c r="AF31" s="237" t="str">
        <f>IFERROR(VLOOKUP(UO_List[[#This Row],[Unique_AIB_ID]],Tableau1[[Unique_AIB_ID]:[Building / Room]],7,FALSE),"")</f>
        <v>4 Each of WU_ELEC_1[PJE_SII_EVYP_USD_AIRBUS_FR]</v>
      </c>
      <c r="AG31" s="237">
        <f>IFERROR(VLOOKUP(UO_List[[#This Row],[Unique_AIB_ID]],Tableau1[[Unique_AIB_ID]:[Building / Room]],8,FALSE),"")</f>
        <v>4</v>
      </c>
      <c r="AH31" s="239">
        <f>IFERROR(VALUE(VLOOKUP(UO_List[[#This Row],[Unique_AIB_ID]],Tableau1[[Unique_AIB_ID]:[Building / Room]],9,FALSE)),"")</f>
        <v>6740</v>
      </c>
      <c r="AI31" s="239">
        <f>IFERROR(VLOOKUP(UO_List[[#This Row],[Unique_AIB_ID]],Tableau1[[Unique_AIB_ID]:[Building / Room]],10,TRUE),"")</f>
        <v>0</v>
      </c>
      <c r="AJ31" s="240">
        <f>IFERROR(VLOOKUP(UO_List[[#This Row],[Unique_AIB_ID]],Tableau1[[Unique_AIB_ID]:[Building / Room]],11,FALSE),"")</f>
        <v>0</v>
      </c>
      <c r="AK31" s="237">
        <f>IFERROR(VLOOKUP(UO_List[[#This Row],[Unique_AIB_ID]],Tableau1[[Unique_AIB_ID]:[Building / Room]],12,FALSE),"")</f>
        <v>0</v>
      </c>
      <c r="AL31" s="237">
        <f>IFERROR(VLOOKUP(UO_List[[#This Row],[Unique_AIB_ID]],Tableau1[[Unique_AIB_ID]:[Building / Room]],13,FALSE),"")</f>
        <v>0</v>
      </c>
      <c r="AM31" s="236">
        <f>IFERROR(VLOOKUP(UO_List[[#This Row],[Unique_AIB_ID]],Tableau1[[Unique_AIB_ID]:[Building / Room]],14,FALSE),"")</f>
        <v>0</v>
      </c>
      <c r="AN31" s="236">
        <f>IFERROR(VLOOKUP(UO_List[[#This Row],[Unique_AIB_ID]],Tableau1[[Unique_AIB_ID]:[Building / Room]],15,FALSE),"")</f>
        <v>0</v>
      </c>
      <c r="AO31" s="236">
        <f>IFERROR(VLOOKUP(UO_List[[#This Row],[Unique_AIB_ID]],Tableau1[[Unique_AIB_ID]:[Building / Room]],16,FALSE),"")</f>
        <v>0</v>
      </c>
      <c r="AP31" s="236" t="str">
        <f>IFERROR(VLOOKUP(UO_List[[#This Row],[Unique_AIB_ID]],Tableau1[[Unique_AIB_ID]:[Building / Room]],17,FALSE),"")</f>
        <v>0</v>
      </c>
      <c r="AQ31" s="236">
        <f>IFERROR(VLOOKUP(UO_List[[#This Row],[Unique_AIB_ID]],Tableau1[[Unique_AIB_ID]:[Building / Room]],18,FALSE),"")</f>
        <v>0</v>
      </c>
      <c r="AR31" s="236" t="str">
        <f>IFERROR(VLOOKUP(UO_List[[#This Row],[Unique_AIB_ID]],Tableau1[[Unique_AIB_ID]:[Building / Room]],19,FALSE),"")</f>
        <v>03/25/20</v>
      </c>
      <c r="AS31" s="236">
        <f>IFERROR(VLOOKUP(UO_List[[#This Row],[Unique_AIB_ID]],Tableau1[[Unique_AIB_ID]:[Building / Room]],20,FALSE),"")</f>
        <v>0</v>
      </c>
      <c r="AT31" s="236">
        <f>IFERROR(VLOOKUP(UO_List[[#This Row],[Unique_AIB_ID]],Tableau1[[Unique_AIB_ID]:[Building / Room]],21,FALSE),"")</f>
        <v>0</v>
      </c>
      <c r="AU31" s="236" t="str">
        <f>IFERROR(VLOOKUP(UO_List[[#This Row],[Unique_AIB_ID]],Tableau1[[Unique_AIB_ID]:[Building / Room]],22,FALSE),"")</f>
        <v>M24 / A559</v>
      </c>
      <c r="AV31" s="169" t="str">
        <f>IFERROR(VLOOKUP(UO_List[[#This Row],[Unique_AIB_ID]],Tableau1[[Unique_AIB_ID]:[Currency]],23,FALSE),"")</f>
        <v>Q 1 / 36 - UPS Cockpit Upgrade</v>
      </c>
      <c r="AW31" s="169">
        <f>IFERROR(IF(ISBLANK(UO_List[[#This Row],[PO Number (Header)]]),"",UO_List[[#This Row],[Line Total]]/UO_List[[#This Row],[Total Item Quantity]]),"")</f>
        <v>1685</v>
      </c>
      <c r="AX31" s="499" t="s">
        <v>964</v>
      </c>
      <c r="AY31" s="169"/>
      <c r="AZ31" s="78" t="s">
        <v>842</v>
      </c>
      <c r="BA31" s="82"/>
      <c r="BB31" s="114"/>
      <c r="BC31" s="78" t="s">
        <v>697</v>
      </c>
      <c r="BD31" s="70" t="s">
        <v>685</v>
      </c>
      <c r="BE31" s="78" t="s">
        <v>685</v>
      </c>
      <c r="BF31" s="78"/>
      <c r="BG31" s="114"/>
      <c r="BH31" s="78" t="s">
        <v>914</v>
      </c>
      <c r="BI31" s="78"/>
      <c r="BJ31" s="114"/>
      <c r="BK31" s="79">
        <v>43831</v>
      </c>
      <c r="BL31" s="79">
        <v>43921</v>
      </c>
      <c r="BM31" s="71">
        <v>4</v>
      </c>
      <c r="BN31" s="71">
        <f>IFERROR(UO_List[[#This Row],[Total Item Quantity]]-UO_List[[#This Row],[Facteur]],"")</f>
        <v>0</v>
      </c>
      <c r="BO31" s="349">
        <f>IFERROR(IF(ISBLANK(UO_List[[#This Row],[Id_UO]]),"",SUMPRODUCT(1*(EXACT(UO_List[[#This Row],[Id_UO]],CATALOGUE[Id_WU]))*CATALOGUE[Price $])),"")</f>
        <v>1685</v>
      </c>
      <c r="BP31" s="527">
        <f>IFERROR(UO_List[[#This Row],[Prix unitaire]]*UO_List[[#This Row],[Facteur]],"")</f>
        <v>6740</v>
      </c>
      <c r="BQ31" s="100">
        <f>IFERROR(SUMPRODUCT(1*(EXACT(UO_List[[#This Row],[Id_UO]],CATALOGUE[Id_WU]))*CATALOGUE[Global_Workload_PM_(d)]*UO_List[[#This Row],[Facteur]]),"")</f>
        <v>1.8000000000000007</v>
      </c>
      <c r="BR31" s="286">
        <f>UO_List[[#This Row],[Jours GP]]/jours_an</f>
        <v>8.3333333333333367E-3</v>
      </c>
      <c r="BS31" s="72">
        <f>IFERROR(SUMPRODUCT(1*(EXACT(UO_List[[#This Row],[Id_UO]],CATALOGUE[Id_WU]))*CATALOGUE[Global_Workload_Tech_(d)]*UO_List[[#This Row],[Facteur]]),"")</f>
        <v>10.199999999999999</v>
      </c>
      <c r="BT31" s="286">
        <f>UO_List[[#This Row],[Jours Tech]]/jours_an</f>
        <v>4.7222222222222221E-2</v>
      </c>
      <c r="BU31" s="72">
        <f>UO_List[[#This Row],[Jours GP]]+UO_List[[#This Row],[Jours Tech]]</f>
        <v>12</v>
      </c>
      <c r="BV31" s="286">
        <f>UO_List[[#This Row],[ETP GP]]+UO_List[[#This Row],[ETP Tech]]</f>
        <v>5.5555555555555559E-2</v>
      </c>
      <c r="BW31" s="73"/>
      <c r="BX31" s="80" t="s">
        <v>203</v>
      </c>
      <c r="BY31" s="462">
        <f>IF(UO_List[[#This Row],[Budget Revue]]="x",UO_List[[#This Row],[Montant TOTAL]],0)</f>
        <v>6740</v>
      </c>
      <c r="BZ31" s="80">
        <f>IF(UO_List[[#This Row],[Budget Revue]]="x",UO_List[[#This Row],[Jours Tech]],0)</f>
        <v>10.199999999999999</v>
      </c>
      <c r="CA31" s="80">
        <f>IF(UO_List[[#This Row],[Budget Revue]]="x",UO_List[[#This Row],[Jours GP]],0)</f>
        <v>1.8000000000000007</v>
      </c>
      <c r="CB31" s="516">
        <f>IF(AND(UO_List[[#This Row],[Budget Revue]]="x",$BK31&lt;&gt;"",$BL31&lt;&gt;"",YEAR(BB$3)=YEAR($BK31),MONTH(BB$3)&gt;=MONTH($BK31),MONTH(BB$3)&lt;=MONTH($BL31)),$BS31/(MONTH($BL31)-MONTH($BK31)+1),"")</f>
        <v>3.4</v>
      </c>
      <c r="CC31" s="80">
        <f>IF(AND(UO_List[[#This Row],[Budget Revue]]="x",$BK31&lt;&gt;"",$BL31&lt;&gt;"",YEAR(BC$3)=YEAR($BK31),MONTH(BC$3)&gt;=MONTH($BK31),MONTH(BC$3)&lt;=MONTH($BL31)),$BS31/(MONTH($BL31)-MONTH($BK31)+1),"")</f>
        <v>3.4</v>
      </c>
      <c r="CD31" s="80">
        <f>IF(AND(UO_List[[#This Row],[Budget Revue]]="x",$BK31&lt;&gt;"",$BL31&lt;&gt;"",YEAR(BD$3)=YEAR($BK31),MONTH(BD$3)&gt;=MONTH($BK31),MONTH(BD$3)&lt;=MONTH($BL31)),$BS31/(MONTH($BL31)-MONTH($BK31)+1),"")</f>
        <v>3.4</v>
      </c>
      <c r="CE31" s="80" t="str">
        <f>IF(AND(UO_List[[#This Row],[Budget Revue]]="x",$BK31&lt;&gt;"",$BL31&lt;&gt;"",YEAR(BE$3)=YEAR($BK31),MONTH(BE$3)&gt;=MONTH($BK31),MONTH(BE$3)&lt;=MONTH($BL31)),$BS31/(MONTH($BL31)-MONTH($BK31)+1),"")</f>
        <v/>
      </c>
      <c r="CF31" s="80" t="str">
        <f>IF(AND(UO_List[[#This Row],[Budget Revue]]="x",$BK31&lt;&gt;"",$BL31&lt;&gt;"",YEAR(BF$3)=YEAR($BK31),MONTH(BF$3)&gt;=MONTH($BK31),MONTH(BF$3)&lt;=MONTH($BL31)),$BS31/(MONTH($BL31)-MONTH($BK31)+1),"")</f>
        <v/>
      </c>
      <c r="CG31" s="80" t="str">
        <f>IF(AND(UO_List[[#This Row],[Budget Revue]]="x",$BK31&lt;&gt;"",$BL31&lt;&gt;"",YEAR(BG$3)=YEAR($BK31),MONTH(BG$3)&gt;=MONTH($BK31),MONTH(BG$3)&lt;=MONTH($BL31)),$BS31/(MONTH($BL31)-MONTH($BK31)+1),"")</f>
        <v/>
      </c>
      <c r="CH31" s="80" t="str">
        <f>IF(AND(UO_List[[#This Row],[Budget Revue]]="x",$BK31&lt;&gt;"",$BL31&lt;&gt;"",YEAR(BH$3)=YEAR($BK31),MONTH(BH$3)&gt;=MONTH($BK31),MONTH(BH$3)&lt;=MONTH($BL31)),$BS31/(MONTH($BL31)-MONTH($BK31)+1),"")</f>
        <v/>
      </c>
      <c r="CI31" s="80" t="str">
        <f>IF(AND(UO_List[[#This Row],[Budget Revue]]="x",$BK31&lt;&gt;"",$BL31&lt;&gt;"",YEAR(BI$3)=YEAR($BK31),MONTH(BI$3)&gt;=MONTH($BK31),MONTH(BI$3)&lt;=MONTH($BL31)),$BS31/(MONTH($BL31)-MONTH($BK31)+1),"")</f>
        <v/>
      </c>
      <c r="CJ31" s="80" t="str">
        <f>IF(AND(UO_List[[#This Row],[Budget Revue]]="x",$BK31&lt;&gt;"",$BL31&lt;&gt;"",YEAR(BJ$3)=YEAR($BK31),MONTH(BJ$3)&gt;=MONTH($BK31),MONTH(BJ$3)&lt;=MONTH($BL31)),$BS31/(MONTH($BL31)-MONTH($BK31)+1),"")</f>
        <v/>
      </c>
      <c r="CK31" s="80" t="str">
        <f>IF(AND(UO_List[[#This Row],[Budget Revue]]="x",$BK31&lt;&gt;"",$BL31&lt;&gt;"",YEAR(BK$3)=YEAR($BK31),MONTH(BK$3)&gt;=MONTH($BK31),MONTH(BK$3)&lt;=MONTH($BL31)),$BS31/(MONTH($BL31)-MONTH($BK31)+1),"")</f>
        <v/>
      </c>
      <c r="CL31" s="80" t="str">
        <f>IF(AND(UO_List[[#This Row],[Budget Revue]]="x",$BK31&lt;&gt;"",$BL31&lt;&gt;"",YEAR(BL$3)=YEAR($BK31),MONTH(BL$3)&gt;=MONTH($BK31),MONTH(BL$3)&lt;=MONTH($BL31)),$BS31/(MONTH($BL31)-MONTH($BK31)+1),"")</f>
        <v/>
      </c>
      <c r="CM31" s="80" t="str">
        <f>IF(AND(UO_List[[#This Row],[Budget Revue]]="x",$BK31&lt;&gt;"",$BL31&lt;&gt;"",YEAR(BM$3)=YEAR($BK31),MONTH(BM$3)&gt;=MONTH($BK31),MONTH(BM$3)&lt;=MONTH($BL31)),$BS31/(MONTH($BL31)-MONTH($BK31)+1),"")</f>
        <v/>
      </c>
      <c r="CN31" s="75">
        <f>IF(UO_List[[#This Row],[Budget Revue]]="x",SUM(UO_List[[#This Row],[JANVIER]:[DECEMBRE]])-UO_List[[#This Row],[Jours Tech]],"")</f>
        <v>0</v>
      </c>
      <c r="CO31" s="348">
        <f>IF(AND(UO_List[[#This Row],[Budget Revue]]="x",$BK31&lt;&gt;"",$BL31&lt;&gt;"",YEAR(BO$3)=YEAR($BK31),MONTH(BO$3)&gt;=MONTH($BK31),MONTH(BO$3)&lt;=MONTH($BL31)),UO_List[[#This Row],[Montant TOTAL]]/(MONTH($BL31)-MONTH($BK31)+1),"")</f>
        <v>2246.6666666666665</v>
      </c>
      <c r="CP31" s="348">
        <f>IF(AND(UO_List[[#This Row],[Budget Revue]]="x",$BK31&lt;&gt;"",$BL31&lt;&gt;"",YEAR(BP$3)=YEAR($BK31),MONTH(BP$3)&gt;=MONTH($BK31),MONTH(BP$3)&lt;=MONTH($BL31)),UO_List[[#This Row],[Montant TOTAL]]/(MONTH($BL31)-MONTH($BK31)+1),"")</f>
        <v>2246.6666666666665</v>
      </c>
      <c r="CQ31" s="348">
        <f>IF(AND(UO_List[[#This Row],[Budget Revue]]="x",$BK31&lt;&gt;"",$BL31&lt;&gt;"",YEAR(BQ$3)=YEAR($BK31),MONTH(BQ$3)&gt;=MONTH($BK31),MONTH(BQ$3)&lt;=MONTH($BL31)),UO_List[[#This Row],[Montant TOTAL]]/(MONTH($BL31)-MONTH($BK31)+1),"")</f>
        <v>2246.6666666666665</v>
      </c>
      <c r="CR31" s="348" t="str">
        <f>IF(AND(UO_List[[#This Row],[Budget Revue]]="x",$BK31&lt;&gt;"",$BL31&lt;&gt;"",YEAR(BR$3)=YEAR($BK31),MONTH(BR$3)&gt;=MONTH($BK31),MONTH(BR$3)&lt;=MONTH($BL31)),UO_List[[#This Row],[Montant TOTAL]]/(MONTH($BL31)-MONTH($BK31)+1),"")</f>
        <v/>
      </c>
      <c r="CS31" s="348" t="str">
        <f>IF(AND(UO_List[[#This Row],[Budget Revue]]="x",$BK31&lt;&gt;"",$BL31&lt;&gt;"",YEAR(BS$3)=YEAR($BK31),MONTH(BS$3)&gt;=MONTH($BK31),MONTH(BS$3)&lt;=MONTH($BL31)),UO_List[[#This Row],[Montant TOTAL]]/(MONTH($BL31)-MONTH($BK31)+1),"")</f>
        <v/>
      </c>
      <c r="CT31" s="348" t="str">
        <f>IF(AND(UO_List[[#This Row],[Budget Revue]]="x",$BK31&lt;&gt;"",$BL31&lt;&gt;"",YEAR(BT$3)=YEAR($BK31),MONTH(BT$3)&gt;=MONTH($BK31),MONTH(BT$3)&lt;=MONTH($BL31)),UO_List[[#This Row],[Montant TOTAL]]/(MONTH($BL31)-MONTH($BK31)+1),"")</f>
        <v/>
      </c>
      <c r="CU31" s="348" t="str">
        <f>IF(AND(UO_List[[#This Row],[Budget Revue]]="x",$BK31&lt;&gt;"",$BL31&lt;&gt;"",YEAR(BU$3)=YEAR($BK31),MONTH(BU$3)&gt;=MONTH($BK31),MONTH(BU$3)&lt;=MONTH($BL31)),UO_List[[#This Row],[Montant TOTAL]]/(MONTH($BL31)-MONTH($BK31)+1),"")</f>
        <v/>
      </c>
      <c r="CV31" s="348" t="str">
        <f>IF(AND(UO_List[[#This Row],[Budget Revue]]="x",$BK31&lt;&gt;"",$BL31&lt;&gt;"",YEAR(BV$3)=YEAR($BK31),MONTH(BV$3)&gt;=MONTH($BK31),MONTH(BV$3)&lt;=MONTH($BL31)),UO_List[[#This Row],[Montant TOTAL]]/(MONTH($BL31)-MONTH($BK31)+1),"")</f>
        <v/>
      </c>
      <c r="CW31" s="348" t="str">
        <f>IF(AND(UO_List[[#This Row],[Budget Revue]]="x",$BK31&lt;&gt;"",$BL31&lt;&gt;"",YEAR(BW$3)=YEAR($BK31),MONTH(BW$3)&gt;=MONTH($BK31),MONTH(BW$3)&lt;=MONTH($BL31)),UO_List[[#This Row],[Montant TOTAL]]/(MONTH($BL31)-MONTH($BK31)+1),"")</f>
        <v/>
      </c>
      <c r="CX31" s="348" t="str">
        <f>IF(AND(UO_List[[#This Row],[Budget Revue]]="x",$BK31&lt;&gt;"",$BL31&lt;&gt;"",YEAR(BX$3)=YEAR($BK31),MONTH(BX$3)&gt;=MONTH($BK31),MONTH(BX$3)&lt;=MONTH($BL31)),UO_List[[#This Row],[Montant TOTAL]]/(MONTH($BL31)-MONTH($BK31)+1),"")</f>
        <v/>
      </c>
      <c r="CY31" s="348" t="str">
        <f>IF(AND(UO_List[[#This Row],[Budget Revue]]="x",$BK31&lt;&gt;"",$BL31&lt;&gt;"",YEAR(BY$3)=YEAR($BK31),MONTH(BY$3)&gt;=MONTH($BK31),MONTH(BY$3)&lt;=MONTH($BL31)),UO_List[[#This Row],[Montant TOTAL]]/(MONTH($BL31)-MONTH($BK31)+1),"")</f>
        <v/>
      </c>
      <c r="CZ31" s="348" t="str">
        <f>IF(AND(UO_List[[#This Row],[Budget Revue]]="x",$BK31&lt;&gt;"",$BL31&lt;&gt;"",YEAR(BY$3)=YEAR($BK31),MONTH(BY$3)&gt;=MONTH($BK31),MONTH(BY$3)&lt;=MONTH($BL31)),UO_List[[#This Row],[Montant TOTAL]]/(MONTH($BL31)-MONTH($BK31)+1),"")</f>
        <v/>
      </c>
      <c r="DA31" s="348">
        <f>IF(UO_List[[#This Row],[Budget Revue]]="x",SUM(UO_List[[#This Row],[JANVIER2]:[DECEMBRE2]])-UO_List[Montant TOTAL],"")</f>
        <v>0</v>
      </c>
      <c r="DB31" s="517">
        <v>4</v>
      </c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4</v>
      </c>
      <c r="DO31" s="76">
        <f>IFERROR(UO_List[[#This Row],[Line Total]]-UO_List[[#This Row],[Montant total réceptionné]],"")</f>
        <v>0</v>
      </c>
      <c r="DP31" s="76">
        <f>IFERROR(UO_List[[#This Row],[Total item réceptionné]]*UO_List[[#This Row],[Unit Price (calcul)]],0)</f>
        <v>6740</v>
      </c>
      <c r="DQ31" s="76">
        <f>UO_List[[#This Row],[Facteur]]-UO_List[[#This Row],[Total item réceptionné]]</f>
        <v>0</v>
      </c>
      <c r="DR31" s="77"/>
      <c r="DS31" s="77"/>
      <c r="DT31" s="158"/>
      <c r="DU31" s="77"/>
    </row>
    <row r="32" spans="27:125" s="116" customFormat="1">
      <c r="AA32" s="241" t="str">
        <f>IFERROR(VLOOKUP(UO_List[[#This Row],[Unique_AIB_ID]],Tableau1[[Unique_AIB_ID]:[Building / Room]],2,FALSE),"")</f>
        <v>C000489704</v>
      </c>
      <c r="AB32" s="242">
        <f>IFERROR(VLOOKUP(UO_List[[#This Row],[Unique_AIB_ID]],UO_Contract!A40:V229,3,TRUE),"")</f>
        <v>0</v>
      </c>
      <c r="AC32" s="243" t="str">
        <f>IFERROR(VLOOKUP(UO_List[[#This Row],[Unique_AIB_ID]],Tableau1[[Unique_AIB_ID]:[Building / Room]],4,FALSE),"")</f>
        <v>WPA - SII - PJOP - Airbus - WD1701094 - Flight and Integration Test CT1705359</v>
      </c>
      <c r="AD32" s="242">
        <f>IFERROR(VLOOKUP(UO_List[[#This Row],[Unique_AIB_ID]],Tableau1[[Unique_AIB_ID]:[Building / Room]],5,FALSE),"")</f>
        <v>0</v>
      </c>
      <c r="AE32" s="242">
        <f>IFERROR(VLOOKUP(UO_List[[#This Row],[Unique_AIB_ID]],Tableau1[[Unique_AIB_ID]:[Building / Room]],6,FALSE),"")</f>
        <v>2</v>
      </c>
      <c r="AF32" s="242" t="str">
        <f>IFERROR(VLOOKUP(UO_List[[#This Row],[Unique_AIB_ID]],Tableau1[[Unique_AIB_ID]:[Building / Room]],7,FALSE),"")</f>
        <v>2 Each of WU_ELEC_1[PJE_SII_EVYP_USD_AIRBUS_FR]</v>
      </c>
      <c r="AG32" s="242">
        <f>IFERROR(VLOOKUP(UO_List[[#This Row],[Unique_AIB_ID]],Tableau1[[Unique_AIB_ID]:[Building / Room]],8,FALSE),"")</f>
        <v>2</v>
      </c>
      <c r="AH32" s="244">
        <f>IFERROR(VALUE(VLOOKUP(UO_List[[#This Row],[Unique_AIB_ID]],Tableau1[[Unique_AIB_ID]:[Building / Room]],9,FALSE)),"")</f>
        <v>3370</v>
      </c>
      <c r="AI32" s="245">
        <f>IFERROR(VLOOKUP(UO_List[[#This Row],[Unique_AIB_ID]],Tableau1[[Unique_AIB_ID]:[Building / Room]],10,TRUE),"")</f>
        <v>0</v>
      </c>
      <c r="AJ32" s="246">
        <f>IFERROR(VLOOKUP(UO_List[[#This Row],[Unique_AIB_ID]],Tableau1[[Unique_AIB_ID]:[Building / Room]],11,FALSE),"")</f>
        <v>0</v>
      </c>
      <c r="AK32" s="247">
        <f>IFERROR(VLOOKUP(UO_List[[#This Row],[Unique_AIB_ID]],Tableau1[[Unique_AIB_ID]:[Building / Room]],12,FALSE),"")</f>
        <v>0</v>
      </c>
      <c r="AL32" s="242">
        <f>IFERROR(VLOOKUP(UO_List[[#This Row],[Unique_AIB_ID]],Tableau1[[Unique_AIB_ID]:[Building / Room]],13,FALSE),"")</f>
        <v>0</v>
      </c>
      <c r="AM32" s="236">
        <f>IFERROR(VLOOKUP(UO_List[[#This Row],[Unique_AIB_ID]],Tableau1[[Unique_AIB_ID]:[Building / Room]],14,FALSE),"")</f>
        <v>0</v>
      </c>
      <c r="AN32" s="236">
        <f>IFERROR(VLOOKUP(UO_List[[#This Row],[Unique_AIB_ID]],Tableau1[[Unique_AIB_ID]:[Building / Room]],15,FALSE),"")</f>
        <v>0</v>
      </c>
      <c r="AO32" s="236">
        <f>IFERROR(VLOOKUP(UO_List[[#This Row],[Unique_AIB_ID]],Tableau1[[Unique_AIB_ID]:[Building / Room]],16,FALSE),"")</f>
        <v>0</v>
      </c>
      <c r="AP32" s="236" t="str">
        <f>IFERROR(VLOOKUP(UO_List[[#This Row],[Unique_AIB_ID]],Tableau1[[Unique_AIB_ID]:[Building / Room]],17,FALSE),"")</f>
        <v>0</v>
      </c>
      <c r="AQ32" s="236">
        <f>IFERROR(VLOOKUP(UO_List[[#This Row],[Unique_AIB_ID]],Tableau1[[Unique_AIB_ID]:[Building / Room]],18,FALSE),"")</f>
        <v>0</v>
      </c>
      <c r="AR32" s="236" t="str">
        <f>IFERROR(VLOOKUP(UO_List[[#This Row],[Unique_AIB_ID]],Tableau1[[Unique_AIB_ID]:[Building / Room]],19,FALSE),"")</f>
        <v>03/25/20</v>
      </c>
      <c r="AS32" s="236">
        <f>IFERROR(VLOOKUP(UO_List[[#This Row],[Unique_AIB_ID]],Tableau1[[Unique_AIB_ID]:[Building / Room]],20,FALSE),"")</f>
        <v>0</v>
      </c>
      <c r="AT32" s="236">
        <f>IFERROR(VLOOKUP(UO_List[[#This Row],[Unique_AIB_ID]],Tableau1[[Unique_AIB_ID]:[Building / Room]],21,FALSE),"")</f>
        <v>0</v>
      </c>
      <c r="AU32" s="236" t="str">
        <f>IFERROR(VLOOKUP(UO_List[[#This Row],[Unique_AIB_ID]],Tableau1[[Unique_AIB_ID]:[Building / Room]],22,FALSE),"")</f>
        <v>M24 / A559</v>
      </c>
      <c r="AV32" s="169" t="str">
        <f>IFERROR(VLOOKUP(UO_List[[#This Row],[Unique_AIB_ID]],Tableau1[[Unique_AIB_ID]:[Currency]],23,FALSE),"")</f>
        <v>Q 1 / 9 - A380 Flow</v>
      </c>
      <c r="AW32" s="169">
        <f>IFERROR(IF(ISBLANK(UO_List[[#This Row],[PO Number (Header)]]),"",UO_List[[#This Row],[Line Total]]/UO_List[[#This Row],[Total Item Quantity]]),"")</f>
        <v>1685</v>
      </c>
      <c r="AX32" s="499" t="s">
        <v>966</v>
      </c>
      <c r="AY32" s="169"/>
      <c r="AZ32" s="78" t="s">
        <v>842</v>
      </c>
      <c r="BA32" s="82"/>
      <c r="BB32" s="114"/>
      <c r="BC32" s="78" t="s">
        <v>697</v>
      </c>
      <c r="BD32" s="70" t="s">
        <v>685</v>
      </c>
      <c r="BE32" s="78" t="s">
        <v>685</v>
      </c>
      <c r="BF32" s="78"/>
      <c r="BG32" s="114"/>
      <c r="BH32" s="78" t="s">
        <v>917</v>
      </c>
      <c r="BI32" s="114"/>
      <c r="BJ32" s="114"/>
      <c r="BK32" s="79">
        <v>43831</v>
      </c>
      <c r="BL32" s="79">
        <v>43921</v>
      </c>
      <c r="BM32" s="115">
        <v>2</v>
      </c>
      <c r="BN32" s="71">
        <f>IFERROR(UO_List[[#This Row],[Total Item Quantity]]-UO_List[[#This Row],[Facteur]],"")</f>
        <v>0</v>
      </c>
      <c r="BO32" s="349">
        <f>IFERROR(IF(ISBLANK(UO_List[[#This Row],[Id_UO]]),"",SUMPRODUCT(1*(EXACT(UO_List[[#This Row],[Id_UO]],CATALOGUE[Id_WU]))*CATALOGUE[Price $])),"")</f>
        <v>1685</v>
      </c>
      <c r="BP32" s="527">
        <f>IFERROR(UO_List[[#This Row],[Prix unitaire]]*UO_List[[#This Row],[Facteur]],"")</f>
        <v>3370</v>
      </c>
      <c r="BQ32" s="100">
        <f>IFERROR(SUMPRODUCT(1*(EXACT(UO_List[[#This Row],[Id_UO]],CATALOGUE[Id_WU]))*CATALOGUE[Global_Workload_PM_(d)]*UO_List[[#This Row],[Facteur]]),"")</f>
        <v>0.90000000000000036</v>
      </c>
      <c r="BR32" s="286">
        <f>UO_List[[#This Row],[Jours GP]]/jours_an</f>
        <v>4.1666666666666683E-3</v>
      </c>
      <c r="BS32" s="72">
        <f>IFERROR(SUMPRODUCT(1*(EXACT(UO_List[[#This Row],[Id_UO]],CATALOGUE[Id_WU]))*CATALOGUE[Global_Workload_Tech_(d)]*UO_List[[#This Row],[Facteur]]),"")</f>
        <v>5.0999999999999996</v>
      </c>
      <c r="BT32" s="286">
        <f>UO_List[[#This Row],[Jours Tech]]/jours_an</f>
        <v>2.361111111111111E-2</v>
      </c>
      <c r="BU32" s="72">
        <f>UO_List[[#This Row],[Jours GP]]+UO_List[[#This Row],[Jours Tech]]</f>
        <v>6</v>
      </c>
      <c r="BV32" s="286">
        <f>UO_List[[#This Row],[ETP GP]]+UO_List[[#This Row],[ETP Tech]]</f>
        <v>2.777777777777778E-2</v>
      </c>
      <c r="BW32" s="73"/>
      <c r="BX32" s="80" t="s">
        <v>203</v>
      </c>
      <c r="BY32" s="462">
        <f>IF(UO_List[[#This Row],[Budget Revue]]="x",UO_List[[#This Row],[Montant TOTAL]],0)</f>
        <v>3370</v>
      </c>
      <c r="BZ32" s="80">
        <f>IF(UO_List[[#This Row],[Budget Revue]]="x",UO_List[[#This Row],[Jours Tech]],0)</f>
        <v>5.0999999999999996</v>
      </c>
      <c r="CA32" s="80">
        <f>IF(UO_List[[#This Row],[Budget Revue]]="x",UO_List[[#This Row],[Jours GP]],0)</f>
        <v>0.90000000000000036</v>
      </c>
      <c r="CB32" s="516">
        <f>IF(AND(UO_List[[#This Row],[Budget Revue]]="x",$BK32&lt;&gt;"",$BL32&lt;&gt;"",YEAR(BB$3)=YEAR($BK32),MONTH(BB$3)&gt;=MONTH($BK32),MONTH(BB$3)&lt;=MONTH($BL32)),$BS32/(MONTH($BL32)-MONTH($BK32)+1),"")</f>
        <v>1.7</v>
      </c>
      <c r="CC32" s="80">
        <f>IF(AND(UO_List[[#This Row],[Budget Revue]]="x",$BK32&lt;&gt;"",$BL32&lt;&gt;"",YEAR(BC$3)=YEAR($BK32),MONTH(BC$3)&gt;=MONTH($BK32),MONTH(BC$3)&lt;=MONTH($BL32)),$BS32/(MONTH($BL32)-MONTH($BK32)+1),"")</f>
        <v>1.7</v>
      </c>
      <c r="CD32" s="80">
        <f>IF(AND(UO_List[[#This Row],[Budget Revue]]="x",$BK32&lt;&gt;"",$BL32&lt;&gt;"",YEAR(BD$3)=YEAR($BK32),MONTH(BD$3)&gt;=MONTH($BK32),MONTH(BD$3)&lt;=MONTH($BL32)),$BS32/(MONTH($BL32)-MONTH($BK32)+1),"")</f>
        <v>1.7</v>
      </c>
      <c r="CE32" s="80" t="str">
        <f>IF(AND(UO_List[[#This Row],[Budget Revue]]="x",$BK32&lt;&gt;"",$BL32&lt;&gt;"",YEAR(BE$3)=YEAR($BK32),MONTH(BE$3)&gt;=MONTH($BK32),MONTH(BE$3)&lt;=MONTH($BL32)),$BS32/(MONTH($BL32)-MONTH($BK32)+1),"")</f>
        <v/>
      </c>
      <c r="CF32" s="80" t="str">
        <f>IF(AND(UO_List[[#This Row],[Budget Revue]]="x",$BK32&lt;&gt;"",$BL32&lt;&gt;"",YEAR(BF$3)=YEAR($BK32),MONTH(BF$3)&gt;=MONTH($BK32),MONTH(BF$3)&lt;=MONTH($BL32)),$BS32/(MONTH($BL32)-MONTH($BK32)+1),"")</f>
        <v/>
      </c>
      <c r="CG32" s="80" t="str">
        <f>IF(AND(UO_List[[#This Row],[Budget Revue]]="x",$BK32&lt;&gt;"",$BL32&lt;&gt;"",YEAR(BG$3)=YEAR($BK32),MONTH(BG$3)&gt;=MONTH($BK32),MONTH(BG$3)&lt;=MONTH($BL32)),$BS32/(MONTH($BL32)-MONTH($BK32)+1),"")</f>
        <v/>
      </c>
      <c r="CH32" s="80" t="str">
        <f>IF(AND(UO_List[[#This Row],[Budget Revue]]="x",$BK32&lt;&gt;"",$BL32&lt;&gt;"",YEAR(BH$3)=YEAR($BK32),MONTH(BH$3)&gt;=MONTH($BK32),MONTH(BH$3)&lt;=MONTH($BL32)),$BS32/(MONTH($BL32)-MONTH($BK32)+1),"")</f>
        <v/>
      </c>
      <c r="CI32" s="80" t="str">
        <f>IF(AND(UO_List[[#This Row],[Budget Revue]]="x",$BK32&lt;&gt;"",$BL32&lt;&gt;"",YEAR(BI$3)=YEAR($BK32),MONTH(BI$3)&gt;=MONTH($BK32),MONTH(BI$3)&lt;=MONTH($BL32)),$BS32/(MONTH($BL32)-MONTH($BK32)+1),"")</f>
        <v/>
      </c>
      <c r="CJ32" s="80" t="str">
        <f>IF(AND(UO_List[[#This Row],[Budget Revue]]="x",$BK32&lt;&gt;"",$BL32&lt;&gt;"",YEAR(BJ$3)=YEAR($BK32),MONTH(BJ$3)&gt;=MONTH($BK32),MONTH(BJ$3)&lt;=MONTH($BL32)),$BS32/(MONTH($BL32)-MONTH($BK32)+1),"")</f>
        <v/>
      </c>
      <c r="CK32" s="80" t="str">
        <f>IF(AND(UO_List[[#This Row],[Budget Revue]]="x",$BK32&lt;&gt;"",$BL32&lt;&gt;"",YEAR(BK$3)=YEAR($BK32),MONTH(BK$3)&gt;=MONTH($BK32),MONTH(BK$3)&lt;=MONTH($BL32)),$BS32/(MONTH($BL32)-MONTH($BK32)+1),"")</f>
        <v/>
      </c>
      <c r="CL32" s="80" t="str">
        <f>IF(AND(UO_List[[#This Row],[Budget Revue]]="x",$BK32&lt;&gt;"",$BL32&lt;&gt;"",YEAR(BL$3)=YEAR($BK32),MONTH(BL$3)&gt;=MONTH($BK32),MONTH(BL$3)&lt;=MONTH($BL32)),$BS32/(MONTH($BL32)-MONTH($BK32)+1),"")</f>
        <v/>
      </c>
      <c r="CM32" s="80" t="str">
        <f>IF(AND(UO_List[[#This Row],[Budget Revue]]="x",$BK32&lt;&gt;"",$BL32&lt;&gt;"",YEAR(BM$3)=YEAR($BK32),MONTH(BM$3)&gt;=MONTH($BK32),MONTH(BM$3)&lt;=MONTH($BL32)),$BS32/(MONTH($BL32)-MONTH($BK32)+1),"")</f>
        <v/>
      </c>
      <c r="CN32" s="75">
        <f>IF(UO_List[[#This Row],[Budget Revue]]="x",SUM(UO_List[[#This Row],[JANVIER]:[DECEMBRE]])-UO_List[[#This Row],[Jours Tech]],"")</f>
        <v>0</v>
      </c>
      <c r="CO32" s="348">
        <f>IF(AND(UO_List[[#This Row],[Budget Revue]]="x",$BK32&lt;&gt;"",$BL32&lt;&gt;"",YEAR(BO$3)=YEAR($BK32),MONTH(BO$3)&gt;=MONTH($BK32),MONTH(BO$3)&lt;=MONTH($BL32)),UO_List[[#This Row],[Montant TOTAL]]/(MONTH($BL32)-MONTH($BK32)+1),"")</f>
        <v>1123.3333333333333</v>
      </c>
      <c r="CP32" s="348">
        <f>IF(AND(UO_List[[#This Row],[Budget Revue]]="x",$BK32&lt;&gt;"",$BL32&lt;&gt;"",YEAR(BP$3)=YEAR($BK32),MONTH(BP$3)&gt;=MONTH($BK32),MONTH(BP$3)&lt;=MONTH($BL32)),UO_List[[#This Row],[Montant TOTAL]]/(MONTH($BL32)-MONTH($BK32)+1),"")</f>
        <v>1123.3333333333333</v>
      </c>
      <c r="CQ32" s="348">
        <f>IF(AND(UO_List[[#This Row],[Budget Revue]]="x",$BK32&lt;&gt;"",$BL32&lt;&gt;"",YEAR(BQ$3)=YEAR($BK32),MONTH(BQ$3)&gt;=MONTH($BK32),MONTH(BQ$3)&lt;=MONTH($BL32)),UO_List[[#This Row],[Montant TOTAL]]/(MONTH($BL32)-MONTH($BK32)+1),"")</f>
        <v>1123.3333333333333</v>
      </c>
      <c r="CR32" s="348" t="str">
        <f>IF(AND(UO_List[[#This Row],[Budget Revue]]="x",$BK32&lt;&gt;"",$BL32&lt;&gt;"",YEAR(BR$3)=YEAR($BK32),MONTH(BR$3)&gt;=MONTH($BK32),MONTH(BR$3)&lt;=MONTH($BL32)),UO_List[[#This Row],[Montant TOTAL]]/(MONTH($BL32)-MONTH($BK32)+1),"")</f>
        <v/>
      </c>
      <c r="CS32" s="348" t="str">
        <f>IF(AND(UO_List[[#This Row],[Budget Revue]]="x",$BK32&lt;&gt;"",$BL32&lt;&gt;"",YEAR(BS$3)=YEAR($BK32),MONTH(BS$3)&gt;=MONTH($BK32),MONTH(BS$3)&lt;=MONTH($BL32)),UO_List[[#This Row],[Montant TOTAL]]/(MONTH($BL32)-MONTH($BK32)+1),"")</f>
        <v/>
      </c>
      <c r="CT32" s="348" t="str">
        <f>IF(AND(UO_List[[#This Row],[Budget Revue]]="x",$BK32&lt;&gt;"",$BL32&lt;&gt;"",YEAR(BT$3)=YEAR($BK32),MONTH(BT$3)&gt;=MONTH($BK32),MONTH(BT$3)&lt;=MONTH($BL32)),UO_List[[#This Row],[Montant TOTAL]]/(MONTH($BL32)-MONTH($BK32)+1),"")</f>
        <v/>
      </c>
      <c r="CU32" s="348" t="str">
        <f>IF(AND(UO_List[[#This Row],[Budget Revue]]="x",$BK32&lt;&gt;"",$BL32&lt;&gt;"",YEAR(BU$3)=YEAR($BK32),MONTH(BU$3)&gt;=MONTH($BK32),MONTH(BU$3)&lt;=MONTH($BL32)),UO_List[[#This Row],[Montant TOTAL]]/(MONTH($BL32)-MONTH($BK32)+1),"")</f>
        <v/>
      </c>
      <c r="CV32" s="348" t="str">
        <f>IF(AND(UO_List[[#This Row],[Budget Revue]]="x",$BK32&lt;&gt;"",$BL32&lt;&gt;"",YEAR(BV$3)=YEAR($BK32),MONTH(BV$3)&gt;=MONTH($BK32),MONTH(BV$3)&lt;=MONTH($BL32)),UO_List[[#This Row],[Montant TOTAL]]/(MONTH($BL32)-MONTH($BK32)+1),"")</f>
        <v/>
      </c>
      <c r="CW32" s="348" t="str">
        <f>IF(AND(UO_List[[#This Row],[Budget Revue]]="x",$BK32&lt;&gt;"",$BL32&lt;&gt;"",YEAR(BW$3)=YEAR($BK32),MONTH(BW$3)&gt;=MONTH($BK32),MONTH(BW$3)&lt;=MONTH($BL32)),UO_List[[#This Row],[Montant TOTAL]]/(MONTH($BL32)-MONTH($BK32)+1),"")</f>
        <v/>
      </c>
      <c r="CX32" s="348" t="str">
        <f>IF(AND(UO_List[[#This Row],[Budget Revue]]="x",$BK32&lt;&gt;"",$BL32&lt;&gt;"",YEAR(BX$3)=YEAR($BK32),MONTH(BX$3)&gt;=MONTH($BK32),MONTH(BX$3)&lt;=MONTH($BL32)),UO_List[[#This Row],[Montant TOTAL]]/(MONTH($BL32)-MONTH($BK32)+1),"")</f>
        <v/>
      </c>
      <c r="CY32" s="348" t="str">
        <f>IF(AND(UO_List[[#This Row],[Budget Revue]]="x",$BK32&lt;&gt;"",$BL32&lt;&gt;"",YEAR(BY$3)=YEAR($BK32),MONTH(BY$3)&gt;=MONTH($BK32),MONTH(BY$3)&lt;=MONTH($BL32)),UO_List[[#This Row],[Montant TOTAL]]/(MONTH($BL32)-MONTH($BK32)+1),"")</f>
        <v/>
      </c>
      <c r="CZ32" s="348" t="str">
        <f>IF(AND(UO_List[[#This Row],[Budget Revue]]="x",$BK32&lt;&gt;"",$BL32&lt;&gt;"",YEAR(BY$3)=YEAR($BK32),MONTH(BY$3)&gt;=MONTH($BK32),MONTH(BY$3)&lt;=MONTH($BL32)),UO_List[[#This Row],[Montant TOTAL]]/(MONTH($BL32)-MONTH($BK32)+1),"")</f>
        <v/>
      </c>
      <c r="DA32" s="348">
        <f>IF(UO_List[[#This Row],[Budget Revue]]="x",SUM(UO_List[[#This Row],[JANVIER2]:[DECEMBRE2]])-UO_List[Montant TOTAL],"")</f>
        <v>0</v>
      </c>
      <c r="DB32" s="517">
        <v>1</v>
      </c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32" s="76">
        <f>IFERROR(UO_List[[#This Row],[Line Total]]-UO_List[[#This Row],[Montant total réceptionné]],"")</f>
        <v>1685</v>
      </c>
      <c r="DP32" s="76">
        <f>IFERROR(UO_List[[#This Row],[Total item réceptionné]]*UO_List[[#This Row],[Unit Price (calcul)]],0)</f>
        <v>1685</v>
      </c>
      <c r="DQ32" s="76">
        <f>UO_List[[#This Row],[Facteur]]-UO_List[[#This Row],[Total item réceptionné]]</f>
        <v>1</v>
      </c>
      <c r="DR32" s="77"/>
      <c r="DS32" s="77"/>
      <c r="DT32" s="158"/>
      <c r="DU32" s="77"/>
    </row>
    <row r="33" spans="27:125" s="116" customFormat="1">
      <c r="AA33" s="458" t="str">
        <f>IFERROR(VLOOKUP(UO_List[[#This Row],[Unique_AIB_ID]],Tableau1[[Unique_AIB_ID]:[Building / Room]],2,FALSE),"")</f>
        <v>C000489704</v>
      </c>
      <c r="AB33" s="459">
        <f>IFERROR(VLOOKUP(UO_List[[#This Row],[Unique_AIB_ID]],UO_Contract!A45:V234,3,TRUE),"")</f>
        <v>0</v>
      </c>
      <c r="AC33" s="459" t="str">
        <f>IFERROR(VLOOKUP(UO_List[[#This Row],[Unique_AIB_ID]],Tableau1[[Unique_AIB_ID]:[Building / Room]],4,FALSE),"")</f>
        <v>WPA - SII - PJOP - Airbus - WD1701094 - Flight and Integration Test CT1705359</v>
      </c>
      <c r="AD33" s="459">
        <f>IFERROR(VLOOKUP(UO_List[[#This Row],[Unique_AIB_ID]],Tableau1[[Unique_AIB_ID]:[Building / Room]],5,FALSE),"")</f>
        <v>0</v>
      </c>
      <c r="AE33" s="459">
        <f>IFERROR(VLOOKUP(UO_List[[#This Row],[Unique_AIB_ID]],Tableau1[[Unique_AIB_ID]:[Building / Room]],6,FALSE),"")</f>
        <v>3</v>
      </c>
      <c r="AF33" s="459" t="str">
        <f>IFERROR(VLOOKUP(UO_List[[#This Row],[Unique_AIB_ID]],Tableau1[[Unique_AIB_ID]:[Building / Room]],7,FALSE),"")</f>
        <v>6 Each of WU_ELEC_2[PJE_SII_EVYP_USD_AIRBUS_FR]</v>
      </c>
      <c r="AG33" s="459">
        <f>IFERROR(VLOOKUP(UO_List[[#This Row],[Unique_AIB_ID]],Tableau1[[Unique_AIB_ID]:[Building / Room]],8,FALSE),"")</f>
        <v>6</v>
      </c>
      <c r="AH33" s="460">
        <f>IFERROR(VALUE(VLOOKUP(UO_List[[#This Row],[Unique_AIB_ID]],Tableau1[[Unique_AIB_ID]:[Building / Room]],9,FALSE)),"")</f>
        <v>3360</v>
      </c>
      <c r="AI33" s="461">
        <f>IFERROR(VLOOKUP(UO_List[[#This Row],[Unique_AIB_ID]],Tableau1[[Unique_AIB_ID]:[Building / Room]],10,TRUE),"")</f>
        <v>0</v>
      </c>
      <c r="AJ33" s="459">
        <f>IFERROR(VLOOKUP(UO_List[[#This Row],[Unique_AIB_ID]],Tableau1[[Unique_AIB_ID]:[Building / Room]],11,FALSE),"")</f>
        <v>0</v>
      </c>
      <c r="AK33" s="459">
        <f>IFERROR(VLOOKUP(UO_List[[#This Row],[Unique_AIB_ID]],Tableau1[[Unique_AIB_ID]:[Building / Room]],12,FALSE),"")</f>
        <v>0</v>
      </c>
      <c r="AL33" s="459">
        <f>IFERROR(VLOOKUP(UO_List[[#This Row],[Unique_AIB_ID]],Tableau1[[Unique_AIB_ID]:[Building / Room]],13,FALSE),"")</f>
        <v>0</v>
      </c>
      <c r="AM33" s="182">
        <f>IFERROR(VLOOKUP(UO_List[[#This Row],[Unique_AIB_ID]],Tableau1[[Unique_AIB_ID]:[Building / Room]],14,FALSE),"")</f>
        <v>0</v>
      </c>
      <c r="AN33" s="182">
        <f>IFERROR(VLOOKUP(UO_List[[#This Row],[Unique_AIB_ID]],Tableau1[[Unique_AIB_ID]:[Building / Room]],15,FALSE),"")</f>
        <v>0</v>
      </c>
      <c r="AO33" s="182">
        <f>IFERROR(VLOOKUP(UO_List[[#This Row],[Unique_AIB_ID]],Tableau1[[Unique_AIB_ID]:[Building / Room]],16,FALSE),"")</f>
        <v>0</v>
      </c>
      <c r="AP33" s="182" t="str">
        <f>IFERROR(VLOOKUP(UO_List[[#This Row],[Unique_AIB_ID]],Tableau1[[Unique_AIB_ID]:[Building / Room]],17,FALSE),"")</f>
        <v>0</v>
      </c>
      <c r="AQ33" s="182">
        <f>IFERROR(VLOOKUP(UO_List[[#This Row],[Unique_AIB_ID]],Tableau1[[Unique_AIB_ID]:[Building / Room]],18,FALSE),"")</f>
        <v>0</v>
      </c>
      <c r="AR33" s="182" t="str">
        <f>IFERROR(VLOOKUP(UO_List[[#This Row],[Unique_AIB_ID]],Tableau1[[Unique_AIB_ID]:[Building / Room]],19,FALSE),"")</f>
        <v>03/25/20</v>
      </c>
      <c r="AS33" s="182">
        <f>IFERROR(VLOOKUP(UO_List[[#This Row],[Unique_AIB_ID]],Tableau1[[Unique_AIB_ID]:[Building / Room]],20,FALSE),"")</f>
        <v>0</v>
      </c>
      <c r="AT33" s="182">
        <f>IFERROR(VLOOKUP(UO_List[[#This Row],[Unique_AIB_ID]],Tableau1[[Unique_AIB_ID]:[Building / Room]],21,FALSE),"")</f>
        <v>0</v>
      </c>
      <c r="AU33" s="182" t="str">
        <f>IFERROR(VLOOKUP(UO_List[[#This Row],[Unique_AIB_ID]],Tableau1[[Unique_AIB_ID]:[Building / Room]],22,FALSE),"")</f>
        <v>M24 / A559</v>
      </c>
      <c r="AV33" s="171" t="str">
        <f>IFERROR(VLOOKUP(UO_List[[#This Row],[Unique_AIB_ID]],Tableau1[[Unique_AIB_ID]:[Currency]],23,FALSE),"")</f>
        <v>Q 1 / 11 - A380 MCO</v>
      </c>
      <c r="AW33" s="171">
        <f>IFERROR(IF(ISBLANK(UO_List[[#This Row],[PO Number (Header)]]),"",UO_List[[#This Row],[Line Total]]/UO_List[[#This Row],[Total Item Quantity]]),"")</f>
        <v>560</v>
      </c>
      <c r="AX33" s="499" t="s">
        <v>967</v>
      </c>
      <c r="AY33" s="171"/>
      <c r="AZ33" s="78" t="s">
        <v>842</v>
      </c>
      <c r="BA33" s="82"/>
      <c r="BB33" s="82"/>
      <c r="BC33" s="78" t="s">
        <v>698</v>
      </c>
      <c r="BD33" s="70" t="s">
        <v>685</v>
      </c>
      <c r="BE33" s="78" t="s">
        <v>685</v>
      </c>
      <c r="BF33" s="78"/>
      <c r="BG33" s="78"/>
      <c r="BH33" s="78" t="s">
        <v>919</v>
      </c>
      <c r="BI33" s="78"/>
      <c r="BJ33" s="78"/>
      <c r="BK33" s="79">
        <v>43831</v>
      </c>
      <c r="BL33" s="79">
        <v>43921</v>
      </c>
      <c r="BM33" s="71">
        <v>6</v>
      </c>
      <c r="BN33" s="71">
        <f>IFERROR(UO_List[[#This Row],[Total Item Quantity]]-UO_List[[#This Row],[Facteur]],"")</f>
        <v>0</v>
      </c>
      <c r="BO33" s="349">
        <f>IFERROR(IF(ISBLANK(UO_List[[#This Row],[Id_UO]]),"",SUMPRODUCT(1*(EXACT(UO_List[[#This Row],[Id_UO]],CATALOGUE[Id_WU]))*CATALOGUE[Price $])),"")</f>
        <v>560</v>
      </c>
      <c r="BP33" s="527">
        <f>IFERROR(UO_List[[#This Row],[Prix unitaire]]*UO_List[[#This Row],[Facteur]],"")</f>
        <v>3360</v>
      </c>
      <c r="BQ33" s="100">
        <f>IFERROR(SUMPRODUCT(1*(EXACT(UO_List[[#This Row],[Id_UO]],CATALOGUE[Id_WU]))*CATALOGUE[Global_Workload_PM_(d)]*UO_List[[#This Row],[Facteur]]),"")</f>
        <v>0.90000000000000013</v>
      </c>
      <c r="BR33" s="286">
        <f>UO_List[[#This Row],[Jours GP]]/jours_an</f>
        <v>4.1666666666666675E-3</v>
      </c>
      <c r="BS33" s="72">
        <f>IFERROR(SUMPRODUCT(1*(EXACT(UO_List[[#This Row],[Id_UO]],CATALOGUE[Id_WU]))*CATALOGUE[Global_Workload_Tech_(d)]*UO_List[[#This Row],[Facteur]]),"")</f>
        <v>5.0999999999999996</v>
      </c>
      <c r="BT33" s="286">
        <f>UO_List[[#This Row],[Jours Tech]]/jours_an</f>
        <v>2.361111111111111E-2</v>
      </c>
      <c r="BU33" s="72">
        <f>UO_List[[#This Row],[Jours GP]]+UO_List[[#This Row],[Jours Tech]]</f>
        <v>6</v>
      </c>
      <c r="BV33" s="286">
        <f>UO_List[[#This Row],[ETP GP]]+UO_List[[#This Row],[ETP Tech]]</f>
        <v>2.7777777777777776E-2</v>
      </c>
      <c r="BW33" s="80"/>
      <c r="BX33" s="80" t="s">
        <v>203</v>
      </c>
      <c r="BY33" s="462">
        <f>IF(UO_List[[#This Row],[Budget Revue]]="x",UO_List[[#This Row],[Montant TOTAL]],0)</f>
        <v>3360</v>
      </c>
      <c r="BZ33" s="80">
        <f>IF(UO_List[[#This Row],[Budget Revue]]="x",UO_List[[#This Row],[Jours Tech]],0)</f>
        <v>5.0999999999999996</v>
      </c>
      <c r="CA33" s="80">
        <f>IF(UO_List[[#This Row],[Budget Revue]]="x",UO_List[[#This Row],[Jours GP]],0)</f>
        <v>0.90000000000000013</v>
      </c>
      <c r="CB33" s="516">
        <f>IF(AND(UO_List[[#This Row],[Budget Revue]]="x",$BK33&lt;&gt;"",$BL33&lt;&gt;"",YEAR(BB$3)=YEAR($BK33),MONTH(BB$3)&gt;=MONTH($BK33),MONTH(BB$3)&lt;=MONTH($BL33)),$BS33/(MONTH($BL33)-MONTH($BK33)+1),"")</f>
        <v>1.7</v>
      </c>
      <c r="CC33" s="80">
        <f>IF(AND(UO_List[[#This Row],[Budget Revue]]="x",$BK33&lt;&gt;"",$BL33&lt;&gt;"",YEAR(BC$3)=YEAR($BK33),MONTH(BC$3)&gt;=MONTH($BK33),MONTH(BC$3)&lt;=MONTH($BL33)),$BS33/(MONTH($BL33)-MONTH($BK33)+1),"")</f>
        <v>1.7</v>
      </c>
      <c r="CD33" s="80">
        <f>IF(AND(UO_List[[#This Row],[Budget Revue]]="x",$BK33&lt;&gt;"",$BL33&lt;&gt;"",YEAR(BD$3)=YEAR($BK33),MONTH(BD$3)&gt;=MONTH($BK33),MONTH(BD$3)&lt;=MONTH($BL33)),$BS33/(MONTH($BL33)-MONTH($BK33)+1),"")</f>
        <v>1.7</v>
      </c>
      <c r="CE33" s="80" t="str">
        <f>IF(AND(UO_List[[#This Row],[Budget Revue]]="x",$BK33&lt;&gt;"",$BL33&lt;&gt;"",YEAR(BE$3)=YEAR($BK33),MONTH(BE$3)&gt;=MONTH($BK33),MONTH(BE$3)&lt;=MONTH($BL33)),$BS33/(MONTH($BL33)-MONTH($BK33)+1),"")</f>
        <v/>
      </c>
      <c r="CF33" s="80" t="str">
        <f>IF(AND(UO_List[[#This Row],[Budget Revue]]="x",$BK33&lt;&gt;"",$BL33&lt;&gt;"",YEAR(BF$3)=YEAR($BK33),MONTH(BF$3)&gt;=MONTH($BK33),MONTH(BF$3)&lt;=MONTH($BL33)),$BS33/(MONTH($BL33)-MONTH($BK33)+1),"")</f>
        <v/>
      </c>
      <c r="CG33" s="80" t="str">
        <f>IF(AND(UO_List[[#This Row],[Budget Revue]]="x",$BK33&lt;&gt;"",$BL33&lt;&gt;"",YEAR(BG$3)=YEAR($BK33),MONTH(BG$3)&gt;=MONTH($BK33),MONTH(BG$3)&lt;=MONTH($BL33)),$BS33/(MONTH($BL33)-MONTH($BK33)+1),"")</f>
        <v/>
      </c>
      <c r="CH33" s="80" t="str">
        <f>IF(AND(UO_List[[#This Row],[Budget Revue]]="x",$BK33&lt;&gt;"",$BL33&lt;&gt;"",YEAR(BH$3)=YEAR($BK33),MONTH(BH$3)&gt;=MONTH($BK33),MONTH(BH$3)&lt;=MONTH($BL33)),$BS33/(MONTH($BL33)-MONTH($BK33)+1),"")</f>
        <v/>
      </c>
      <c r="CI33" s="80" t="str">
        <f>IF(AND(UO_List[[#This Row],[Budget Revue]]="x",$BK33&lt;&gt;"",$BL33&lt;&gt;"",YEAR(BI$3)=YEAR($BK33),MONTH(BI$3)&gt;=MONTH($BK33),MONTH(BI$3)&lt;=MONTH($BL33)),$BS33/(MONTH($BL33)-MONTH($BK33)+1),"")</f>
        <v/>
      </c>
      <c r="CJ33" s="80" t="str">
        <f>IF(AND(UO_List[[#This Row],[Budget Revue]]="x",$BK33&lt;&gt;"",$BL33&lt;&gt;"",YEAR(BJ$3)=YEAR($BK33),MONTH(BJ$3)&gt;=MONTH($BK33),MONTH(BJ$3)&lt;=MONTH($BL33)),$BS33/(MONTH($BL33)-MONTH($BK33)+1),"")</f>
        <v/>
      </c>
      <c r="CK33" s="80" t="str">
        <f>IF(AND(UO_List[[#This Row],[Budget Revue]]="x",$BK33&lt;&gt;"",$BL33&lt;&gt;"",YEAR(BK$3)=YEAR($BK33),MONTH(BK$3)&gt;=MONTH($BK33),MONTH(BK$3)&lt;=MONTH($BL33)),$BS33/(MONTH($BL33)-MONTH($BK33)+1),"")</f>
        <v/>
      </c>
      <c r="CL33" s="80" t="str">
        <f>IF(AND(UO_List[[#This Row],[Budget Revue]]="x",$BK33&lt;&gt;"",$BL33&lt;&gt;"",YEAR(BL$3)=YEAR($BK33),MONTH(BL$3)&gt;=MONTH($BK33),MONTH(BL$3)&lt;=MONTH($BL33)),$BS33/(MONTH($BL33)-MONTH($BK33)+1),"")</f>
        <v/>
      </c>
      <c r="CM33" s="80" t="str">
        <f>IF(AND(UO_List[[#This Row],[Budget Revue]]="x",$BK33&lt;&gt;"",$BL33&lt;&gt;"",YEAR(BM$3)=YEAR($BK33),MONTH(BM$3)&gt;=MONTH($BK33),MONTH(BM$3)&lt;=MONTH($BL33)),$BS33/(MONTH($BL33)-MONTH($BK33)+1),"")</f>
        <v/>
      </c>
      <c r="CN33" s="75">
        <f>IF(UO_List[[#This Row],[Budget Revue]]="x",SUM(UO_List[[#This Row],[JANVIER]:[DECEMBRE]])-UO_List[[#This Row],[Jours Tech]],"")</f>
        <v>0</v>
      </c>
      <c r="CO33" s="348">
        <f>IF(AND(UO_List[[#This Row],[Budget Revue]]="x",$BK33&lt;&gt;"",$BL33&lt;&gt;"",YEAR(BO$3)=YEAR($BK33),MONTH(BO$3)&gt;=MONTH($BK33),MONTH(BO$3)&lt;=MONTH($BL33)),UO_List[[#This Row],[Montant TOTAL]]/(MONTH($BL33)-MONTH($BK33)+1),"")</f>
        <v>1120</v>
      </c>
      <c r="CP33" s="348">
        <f>IF(AND(UO_List[[#This Row],[Budget Revue]]="x",$BK33&lt;&gt;"",$BL33&lt;&gt;"",YEAR(BP$3)=YEAR($BK33),MONTH(BP$3)&gt;=MONTH($BK33),MONTH(BP$3)&lt;=MONTH($BL33)),UO_List[[#This Row],[Montant TOTAL]]/(MONTH($BL33)-MONTH($BK33)+1),"")</f>
        <v>1120</v>
      </c>
      <c r="CQ33" s="348">
        <f>IF(AND(UO_List[[#This Row],[Budget Revue]]="x",$BK33&lt;&gt;"",$BL33&lt;&gt;"",YEAR(BQ$3)=YEAR($BK33),MONTH(BQ$3)&gt;=MONTH($BK33),MONTH(BQ$3)&lt;=MONTH($BL33)),UO_List[[#This Row],[Montant TOTAL]]/(MONTH($BL33)-MONTH($BK33)+1),"")</f>
        <v>1120</v>
      </c>
      <c r="CR33" s="348" t="str">
        <f>IF(AND(UO_List[[#This Row],[Budget Revue]]="x",$BK33&lt;&gt;"",$BL33&lt;&gt;"",YEAR(BR$3)=YEAR($BK33),MONTH(BR$3)&gt;=MONTH($BK33),MONTH(BR$3)&lt;=MONTH($BL33)),UO_List[[#This Row],[Montant TOTAL]]/(MONTH($BL33)-MONTH($BK33)+1),"")</f>
        <v/>
      </c>
      <c r="CS33" s="348" t="str">
        <f>IF(AND(UO_List[[#This Row],[Budget Revue]]="x",$BK33&lt;&gt;"",$BL33&lt;&gt;"",YEAR(BS$3)=YEAR($BK33),MONTH(BS$3)&gt;=MONTH($BK33),MONTH(BS$3)&lt;=MONTH($BL33)),UO_List[[#This Row],[Montant TOTAL]]/(MONTH($BL33)-MONTH($BK33)+1),"")</f>
        <v/>
      </c>
      <c r="CT33" s="348" t="str">
        <f>IF(AND(UO_List[[#This Row],[Budget Revue]]="x",$BK33&lt;&gt;"",$BL33&lt;&gt;"",YEAR(BT$3)=YEAR($BK33),MONTH(BT$3)&gt;=MONTH($BK33),MONTH(BT$3)&lt;=MONTH($BL33)),UO_List[[#This Row],[Montant TOTAL]]/(MONTH($BL33)-MONTH($BK33)+1),"")</f>
        <v/>
      </c>
      <c r="CU33" s="348" t="str">
        <f>IF(AND(UO_List[[#This Row],[Budget Revue]]="x",$BK33&lt;&gt;"",$BL33&lt;&gt;"",YEAR(BU$3)=YEAR($BK33),MONTH(BU$3)&gt;=MONTH($BK33),MONTH(BU$3)&lt;=MONTH($BL33)),UO_List[[#This Row],[Montant TOTAL]]/(MONTH($BL33)-MONTH($BK33)+1),"")</f>
        <v/>
      </c>
      <c r="CV33" s="348" t="str">
        <f>IF(AND(UO_List[[#This Row],[Budget Revue]]="x",$BK33&lt;&gt;"",$BL33&lt;&gt;"",YEAR(BV$3)=YEAR($BK33),MONTH(BV$3)&gt;=MONTH($BK33),MONTH(BV$3)&lt;=MONTH($BL33)),UO_List[[#This Row],[Montant TOTAL]]/(MONTH($BL33)-MONTH($BK33)+1),"")</f>
        <v/>
      </c>
      <c r="CW33" s="348" t="str">
        <f>IF(AND(UO_List[[#This Row],[Budget Revue]]="x",$BK33&lt;&gt;"",$BL33&lt;&gt;"",YEAR(BW$3)=YEAR($BK33),MONTH(BW$3)&gt;=MONTH($BK33),MONTH(BW$3)&lt;=MONTH($BL33)),UO_List[[#This Row],[Montant TOTAL]]/(MONTH($BL33)-MONTH($BK33)+1),"")</f>
        <v/>
      </c>
      <c r="CX33" s="348" t="str">
        <f>IF(AND(UO_List[[#This Row],[Budget Revue]]="x",$BK33&lt;&gt;"",$BL33&lt;&gt;"",YEAR(BX$3)=YEAR($BK33),MONTH(BX$3)&gt;=MONTH($BK33),MONTH(BX$3)&lt;=MONTH($BL33)),UO_List[[#This Row],[Montant TOTAL]]/(MONTH($BL33)-MONTH($BK33)+1),"")</f>
        <v/>
      </c>
      <c r="CY33" s="348" t="str">
        <f>IF(AND(UO_List[[#This Row],[Budget Revue]]="x",$BK33&lt;&gt;"",$BL33&lt;&gt;"",YEAR(BY$3)=YEAR($BK33),MONTH(BY$3)&gt;=MONTH($BK33),MONTH(BY$3)&lt;=MONTH($BL33)),UO_List[[#This Row],[Montant TOTAL]]/(MONTH($BL33)-MONTH($BK33)+1),"")</f>
        <v/>
      </c>
      <c r="CZ33" s="348" t="str">
        <f>IF(AND(UO_List[[#This Row],[Budget Revue]]="x",$BK33&lt;&gt;"",$BL33&lt;&gt;"",YEAR(BY$3)=YEAR($BK33),MONTH(BY$3)&gt;=MONTH($BK33),MONTH(BY$3)&lt;=MONTH($BL33)),UO_List[[#This Row],[Montant TOTAL]]/(MONTH($BL33)-MONTH($BK33)+1),"")</f>
        <v/>
      </c>
      <c r="DA33" s="348">
        <f>IF(UO_List[[#This Row],[Budget Revue]]="x",SUM(UO_List[[#This Row],[JANVIER2]:[DECEMBRE2]])-UO_List[Montant TOTAL],"")</f>
        <v>0</v>
      </c>
      <c r="DB33" s="517">
        <v>3</v>
      </c>
      <c r="DC33" s="83"/>
      <c r="DD33" s="83"/>
      <c r="DE33" s="504"/>
      <c r="DF33" s="83"/>
      <c r="DG33" s="83"/>
      <c r="DH33" s="83"/>
      <c r="DI33" s="83"/>
      <c r="DJ33" s="83"/>
      <c r="DK33" s="83"/>
      <c r="DL33" s="83"/>
      <c r="DM33" s="83"/>
      <c r="DN33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3</v>
      </c>
      <c r="DO33" s="76">
        <f>IFERROR(UO_List[[#This Row],[Line Total]]-UO_List[[#This Row],[Montant total réceptionné]],"")</f>
        <v>1680</v>
      </c>
      <c r="DP33" s="76">
        <f>IFERROR(UO_List[[#This Row],[Total item réceptionné]]*UO_List[[#This Row],[Unit Price (calcul)]],0)</f>
        <v>1680</v>
      </c>
      <c r="DQ33" s="76">
        <f>UO_List[[#This Row],[Facteur]]-UO_List[[#This Row],[Total item réceptionné]]</f>
        <v>3</v>
      </c>
      <c r="DR33" s="77"/>
      <c r="DS33" s="77"/>
      <c r="DT33" s="158"/>
      <c r="DU33" s="77"/>
    </row>
    <row r="34" spans="27:125" s="74" customFormat="1">
      <c r="AA34" s="204" t="str">
        <f>IFERROR(VLOOKUP(UO_List[[#This Row],[Unique_AIB_ID]],Tableau1[[Unique_AIB_ID]:[Building / Room]],2,FALSE),"")</f>
        <v>C000489704</v>
      </c>
      <c r="AB34" s="189">
        <f>IFERROR(VLOOKUP(UO_List[[#This Row],[Unique_AIB_ID]],UO_Contract!A44:V233,3,TRUE),"")</f>
        <v>0</v>
      </c>
      <c r="AC34" s="188" t="str">
        <f>IFERROR(VLOOKUP(UO_List[[#This Row],[Unique_AIB_ID]],Tableau1[[Unique_AIB_ID]:[Building / Room]],4,FALSE),"")</f>
        <v>WPA - SII - PJOP - Airbus - WD1701094 - Flight and Integration Test CT1705359</v>
      </c>
      <c r="AD34" s="189">
        <f>IFERROR(VLOOKUP(UO_List[[#This Row],[Unique_AIB_ID]],Tableau1[[Unique_AIB_ID]:[Building / Room]],5,FALSE),"")</f>
        <v>0</v>
      </c>
      <c r="AE34" s="189">
        <f>IFERROR(VLOOKUP(UO_List[[#This Row],[Unique_AIB_ID]],Tableau1[[Unique_AIB_ID]:[Building / Room]],6,FALSE),"")</f>
        <v>4</v>
      </c>
      <c r="AF34" s="189" t="str">
        <f>IFERROR(VLOOKUP(UO_List[[#This Row],[Unique_AIB_ID]],Tableau1[[Unique_AIB_ID]:[Building / Room]],7,FALSE),"")</f>
        <v>2 Each of WU_ELEC_1[PJE_SII_EVYP_USD_AIRBUS_FR]</v>
      </c>
      <c r="AG34" s="189">
        <f>IFERROR(VLOOKUP(UO_List[[#This Row],[Unique_AIB_ID]],Tableau1[[Unique_AIB_ID]:[Building / Room]],8,FALSE),"")</f>
        <v>2</v>
      </c>
      <c r="AH34" s="190">
        <f>IFERROR(VALUE(VLOOKUP(UO_List[[#This Row],[Unique_AIB_ID]],Tableau1[[Unique_AIB_ID]:[Building / Room]],9,FALSE)),"")</f>
        <v>3370</v>
      </c>
      <c r="AI34" s="189">
        <f>IFERROR(VLOOKUP(UO_List[[#This Row],[Unique_AIB_ID]],Tableau1[[Unique_AIB_ID]:[Building / Room]],10,TRUE),"")</f>
        <v>0</v>
      </c>
      <c r="AJ34" s="191">
        <f>IFERROR(VLOOKUP(UO_List[[#This Row],[Unique_AIB_ID]],Tableau1[[Unique_AIB_ID]:[Building / Room]],11,FALSE),"")</f>
        <v>0</v>
      </c>
      <c r="AK34" s="189">
        <f>IFERROR(VLOOKUP(UO_List[[#This Row],[Unique_AIB_ID]],Tableau1[[Unique_AIB_ID]:[Building / Room]],12,FALSE),"")</f>
        <v>0</v>
      </c>
      <c r="AL34" s="189">
        <f>IFERROR(VLOOKUP(UO_List[[#This Row],[Unique_AIB_ID]],Tableau1[[Unique_AIB_ID]:[Building / Room]],13,FALSE),"")</f>
        <v>0</v>
      </c>
      <c r="AM34" s="183">
        <f>IFERROR(VLOOKUP(UO_List[[#This Row],[Unique_AIB_ID]],Tableau1[[Unique_AIB_ID]:[Building / Room]],14,FALSE),"")</f>
        <v>0</v>
      </c>
      <c r="AN34" s="183">
        <f>IFERROR(VLOOKUP(UO_List[[#This Row],[Unique_AIB_ID]],Tableau1[[Unique_AIB_ID]:[Building / Room]],15,FALSE),"")</f>
        <v>0</v>
      </c>
      <c r="AO34" s="183">
        <f>IFERROR(VLOOKUP(UO_List[[#This Row],[Unique_AIB_ID]],Tableau1[[Unique_AIB_ID]:[Building / Room]],16,FALSE),"")</f>
        <v>0</v>
      </c>
      <c r="AP34" s="183" t="str">
        <f>IFERROR(VLOOKUP(UO_List[[#This Row],[Unique_AIB_ID]],Tableau1[[Unique_AIB_ID]:[Building / Room]],17,FALSE),"")</f>
        <v>0</v>
      </c>
      <c r="AQ34" s="183">
        <f>IFERROR(VLOOKUP(UO_List[[#This Row],[Unique_AIB_ID]],Tableau1[[Unique_AIB_ID]:[Building / Room]],18,FALSE),"")</f>
        <v>0</v>
      </c>
      <c r="AR34" s="183" t="str">
        <f>IFERROR(VLOOKUP(UO_List[[#This Row],[Unique_AIB_ID]],Tableau1[[Unique_AIB_ID]:[Building / Room]],19,FALSE),"")</f>
        <v>03/25/20</v>
      </c>
      <c r="AS34" s="183">
        <f>IFERROR(VLOOKUP(UO_List[[#This Row],[Unique_AIB_ID]],Tableau1[[Unique_AIB_ID]:[Building / Room]],20,FALSE),"")</f>
        <v>0</v>
      </c>
      <c r="AT34" s="183">
        <f>IFERROR(VLOOKUP(UO_List[[#This Row],[Unique_AIB_ID]],Tableau1[[Unique_AIB_ID]:[Building / Room]],21,FALSE),"")</f>
        <v>0</v>
      </c>
      <c r="AU34" s="183" t="str">
        <f>IFERROR(VLOOKUP(UO_List[[#This Row],[Unique_AIB_ID]],Tableau1[[Unique_AIB_ID]:[Building / Room]],22,FALSE),"")</f>
        <v>M24 / A559</v>
      </c>
      <c r="AV34" s="167" t="str">
        <f>IFERROR(VLOOKUP(UO_List[[#This Row],[Unique_AIB_ID]],Tableau1[[Unique_AIB_ID]:[Currency]],23,FALSE),"")</f>
        <v>Q 1 / 1 - SA CEO</v>
      </c>
      <c r="AW34" s="167">
        <f>IFERROR(IF(ISBLANK(UO_List[[#This Row],[PO Number (Header)]]),"",UO_List[[#This Row],[Line Total]]/UO_List[[#This Row],[Total Item Quantity]]),"")</f>
        <v>1685</v>
      </c>
      <c r="AX34" s="499" t="s">
        <v>968</v>
      </c>
      <c r="AY34" s="167"/>
      <c r="AZ34" s="78" t="s">
        <v>842</v>
      </c>
      <c r="BA34" s="82"/>
      <c r="BB34" s="78"/>
      <c r="BC34" s="78" t="s">
        <v>697</v>
      </c>
      <c r="BD34" s="70" t="s">
        <v>685</v>
      </c>
      <c r="BE34" s="78" t="s">
        <v>685</v>
      </c>
      <c r="BF34" s="78"/>
      <c r="BG34" s="78"/>
      <c r="BH34" s="78" t="s">
        <v>920</v>
      </c>
      <c r="BI34" s="78"/>
      <c r="BJ34" s="78"/>
      <c r="BK34" s="79">
        <v>43831</v>
      </c>
      <c r="BL34" s="79">
        <v>43921</v>
      </c>
      <c r="BM34" s="71">
        <v>2</v>
      </c>
      <c r="BN34" s="71">
        <f>IFERROR(UO_List[[#This Row],[Total Item Quantity]]-UO_List[[#This Row],[Facteur]],"")</f>
        <v>0</v>
      </c>
      <c r="BO34" s="349">
        <f>IFERROR(IF(ISBLANK(UO_List[[#This Row],[Id_UO]]),"",SUMPRODUCT(1*(EXACT(UO_List[[#This Row],[Id_UO]],CATALOGUE[Id_WU]))*CATALOGUE[Price $])),"")</f>
        <v>1685</v>
      </c>
      <c r="BP34" s="527">
        <f>IFERROR(UO_List[[#This Row],[Prix unitaire]]*UO_List[[#This Row],[Facteur]],"")</f>
        <v>3370</v>
      </c>
      <c r="BQ34" s="100">
        <f>IFERROR(SUMPRODUCT(1*(EXACT(UO_List[[#This Row],[Id_UO]],CATALOGUE[Id_WU]))*CATALOGUE[Global_Workload_PM_(d)]*UO_List[[#This Row],[Facteur]]),"")</f>
        <v>0.90000000000000036</v>
      </c>
      <c r="BR34" s="286">
        <f>UO_List[[#This Row],[Jours GP]]/jours_an</f>
        <v>4.1666666666666683E-3</v>
      </c>
      <c r="BS34" s="72">
        <f>IFERROR(SUMPRODUCT(1*(EXACT(UO_List[[#This Row],[Id_UO]],CATALOGUE[Id_WU]))*CATALOGUE[Global_Workload_Tech_(d)]*UO_List[[#This Row],[Facteur]]),"")</f>
        <v>5.0999999999999996</v>
      </c>
      <c r="BT34" s="286">
        <f>UO_List[[#This Row],[Jours Tech]]/jours_an</f>
        <v>2.361111111111111E-2</v>
      </c>
      <c r="BU34" s="72">
        <f>UO_List[[#This Row],[Jours GP]]+UO_List[[#This Row],[Jours Tech]]</f>
        <v>6</v>
      </c>
      <c r="BV34" s="286">
        <f>UO_List[[#This Row],[ETP GP]]+UO_List[[#This Row],[ETP Tech]]</f>
        <v>2.777777777777778E-2</v>
      </c>
      <c r="BW34" s="80"/>
      <c r="BX34" s="80" t="s">
        <v>203</v>
      </c>
      <c r="BY34" s="462">
        <f>IF(UO_List[[#This Row],[Budget Revue]]="x",UO_List[[#This Row],[Montant TOTAL]],0)</f>
        <v>3370</v>
      </c>
      <c r="BZ34" s="80">
        <f>IF(UO_List[[#This Row],[Budget Revue]]="x",UO_List[[#This Row],[Jours Tech]],0)</f>
        <v>5.0999999999999996</v>
      </c>
      <c r="CA34" s="80">
        <f>IF(UO_List[[#This Row],[Budget Revue]]="x",UO_List[[#This Row],[Jours GP]],0)</f>
        <v>0.90000000000000036</v>
      </c>
      <c r="CB34" s="516">
        <f>IF(AND(UO_List[[#This Row],[Budget Revue]]="x",$BK34&lt;&gt;"",$BL34&lt;&gt;"",YEAR(BB$3)=YEAR($BK34),MONTH(BB$3)&gt;=MONTH($BK34),MONTH(BB$3)&lt;=MONTH($BL34)),$BS34/(MONTH($BL34)-MONTH($BK34)+1),"")</f>
        <v>1.7</v>
      </c>
      <c r="CC34" s="80">
        <f>IF(AND(UO_List[[#This Row],[Budget Revue]]="x",$BK34&lt;&gt;"",$BL34&lt;&gt;"",YEAR(BC$3)=YEAR($BK34),MONTH(BC$3)&gt;=MONTH($BK34),MONTH(BC$3)&lt;=MONTH($BL34)),$BS34/(MONTH($BL34)-MONTH($BK34)+1),"")</f>
        <v>1.7</v>
      </c>
      <c r="CD34" s="80">
        <f>IF(AND(UO_List[[#This Row],[Budget Revue]]="x",$BK34&lt;&gt;"",$BL34&lt;&gt;"",YEAR(BD$3)=YEAR($BK34),MONTH(BD$3)&gt;=MONTH($BK34),MONTH(BD$3)&lt;=MONTH($BL34)),$BS34/(MONTH($BL34)-MONTH($BK34)+1),"")</f>
        <v>1.7</v>
      </c>
      <c r="CE34" s="80" t="str">
        <f>IF(AND(UO_List[[#This Row],[Budget Revue]]="x",$BK34&lt;&gt;"",$BL34&lt;&gt;"",YEAR(BE$3)=YEAR($BK34),MONTH(BE$3)&gt;=MONTH($BK34),MONTH(BE$3)&lt;=MONTH($BL34)),$BS34/(MONTH($BL34)-MONTH($BK34)+1),"")</f>
        <v/>
      </c>
      <c r="CF34" s="80" t="str">
        <f>IF(AND(UO_List[[#This Row],[Budget Revue]]="x",$BK34&lt;&gt;"",$BL34&lt;&gt;"",YEAR(BF$3)=YEAR($BK34),MONTH(BF$3)&gt;=MONTH($BK34),MONTH(BF$3)&lt;=MONTH($BL34)),$BS34/(MONTH($BL34)-MONTH($BK34)+1),"")</f>
        <v/>
      </c>
      <c r="CG34" s="80" t="str">
        <f>IF(AND(UO_List[[#This Row],[Budget Revue]]="x",$BK34&lt;&gt;"",$BL34&lt;&gt;"",YEAR(BG$3)=YEAR($BK34),MONTH(BG$3)&gt;=MONTH($BK34),MONTH(BG$3)&lt;=MONTH($BL34)),$BS34/(MONTH($BL34)-MONTH($BK34)+1),"")</f>
        <v/>
      </c>
      <c r="CH34" s="80" t="str">
        <f>IF(AND(UO_List[[#This Row],[Budget Revue]]="x",$BK34&lt;&gt;"",$BL34&lt;&gt;"",YEAR(BH$3)=YEAR($BK34),MONTH(BH$3)&gt;=MONTH($BK34),MONTH(BH$3)&lt;=MONTH($BL34)),$BS34/(MONTH($BL34)-MONTH($BK34)+1),"")</f>
        <v/>
      </c>
      <c r="CI34" s="80" t="str">
        <f>IF(AND(UO_List[[#This Row],[Budget Revue]]="x",$BK34&lt;&gt;"",$BL34&lt;&gt;"",YEAR(BI$3)=YEAR($BK34),MONTH(BI$3)&gt;=MONTH($BK34),MONTH(BI$3)&lt;=MONTH($BL34)),$BS34/(MONTH($BL34)-MONTH($BK34)+1),"")</f>
        <v/>
      </c>
      <c r="CJ34" s="80" t="str">
        <f>IF(AND(UO_List[[#This Row],[Budget Revue]]="x",$BK34&lt;&gt;"",$BL34&lt;&gt;"",YEAR(BJ$3)=YEAR($BK34),MONTH(BJ$3)&gt;=MONTH($BK34),MONTH(BJ$3)&lt;=MONTH($BL34)),$BS34/(MONTH($BL34)-MONTH($BK34)+1),"")</f>
        <v/>
      </c>
      <c r="CK34" s="80" t="str">
        <f>IF(AND(UO_List[[#This Row],[Budget Revue]]="x",$BK34&lt;&gt;"",$BL34&lt;&gt;"",YEAR(BK$3)=YEAR($BK34),MONTH(BK$3)&gt;=MONTH($BK34),MONTH(BK$3)&lt;=MONTH($BL34)),$BS34/(MONTH($BL34)-MONTH($BK34)+1),"")</f>
        <v/>
      </c>
      <c r="CL34" s="80" t="str">
        <f>IF(AND(UO_List[[#This Row],[Budget Revue]]="x",$BK34&lt;&gt;"",$BL34&lt;&gt;"",YEAR(BL$3)=YEAR($BK34),MONTH(BL$3)&gt;=MONTH($BK34),MONTH(BL$3)&lt;=MONTH($BL34)),$BS34/(MONTH($BL34)-MONTH($BK34)+1),"")</f>
        <v/>
      </c>
      <c r="CM34" s="80" t="str">
        <f>IF(AND(UO_List[[#This Row],[Budget Revue]]="x",$BK34&lt;&gt;"",$BL34&lt;&gt;"",YEAR(BM$3)=YEAR($BK34),MONTH(BM$3)&gt;=MONTH($BK34),MONTH(BM$3)&lt;=MONTH($BL34)),$BS34/(MONTH($BL34)-MONTH($BK34)+1),"")</f>
        <v/>
      </c>
      <c r="CN34" s="75">
        <f>IF(UO_List[[#This Row],[Budget Revue]]="x",SUM(UO_List[[#This Row],[JANVIER]:[DECEMBRE]])-UO_List[[#This Row],[Jours Tech]],"")</f>
        <v>0</v>
      </c>
      <c r="CO34" s="348">
        <f>IF(AND(UO_List[[#This Row],[Budget Revue]]="x",$BK34&lt;&gt;"",$BL34&lt;&gt;"",YEAR(BO$3)=YEAR($BK34),MONTH(BO$3)&gt;=MONTH($BK34),MONTH(BO$3)&lt;=MONTH($BL34)),UO_List[[#This Row],[Montant TOTAL]]/(MONTH($BL34)-MONTH($BK34)+1),"")</f>
        <v>1123.3333333333333</v>
      </c>
      <c r="CP34" s="348">
        <f>IF(AND(UO_List[[#This Row],[Budget Revue]]="x",$BK34&lt;&gt;"",$BL34&lt;&gt;"",YEAR(BP$3)=YEAR($BK34),MONTH(BP$3)&gt;=MONTH($BK34),MONTH(BP$3)&lt;=MONTH($BL34)),UO_List[[#This Row],[Montant TOTAL]]/(MONTH($BL34)-MONTH($BK34)+1),"")</f>
        <v>1123.3333333333333</v>
      </c>
      <c r="CQ34" s="348">
        <f>IF(AND(UO_List[[#This Row],[Budget Revue]]="x",$BK34&lt;&gt;"",$BL34&lt;&gt;"",YEAR(BQ$3)=YEAR($BK34),MONTH(BQ$3)&gt;=MONTH($BK34),MONTH(BQ$3)&lt;=MONTH($BL34)),UO_List[[#This Row],[Montant TOTAL]]/(MONTH($BL34)-MONTH($BK34)+1),"")</f>
        <v>1123.3333333333333</v>
      </c>
      <c r="CR34" s="348" t="str">
        <f>IF(AND(UO_List[[#This Row],[Budget Revue]]="x",$BK34&lt;&gt;"",$BL34&lt;&gt;"",YEAR(BR$3)=YEAR($BK34),MONTH(BR$3)&gt;=MONTH($BK34),MONTH(BR$3)&lt;=MONTH($BL34)),UO_List[[#This Row],[Montant TOTAL]]/(MONTH($BL34)-MONTH($BK34)+1),"")</f>
        <v/>
      </c>
      <c r="CS34" s="348" t="str">
        <f>IF(AND(UO_List[[#This Row],[Budget Revue]]="x",$BK34&lt;&gt;"",$BL34&lt;&gt;"",YEAR(BS$3)=YEAR($BK34),MONTH(BS$3)&gt;=MONTH($BK34),MONTH(BS$3)&lt;=MONTH($BL34)),UO_List[[#This Row],[Montant TOTAL]]/(MONTH($BL34)-MONTH($BK34)+1),"")</f>
        <v/>
      </c>
      <c r="CT34" s="348" t="str">
        <f>IF(AND(UO_List[[#This Row],[Budget Revue]]="x",$BK34&lt;&gt;"",$BL34&lt;&gt;"",YEAR(BT$3)=YEAR($BK34),MONTH(BT$3)&gt;=MONTH($BK34),MONTH(BT$3)&lt;=MONTH($BL34)),UO_List[[#This Row],[Montant TOTAL]]/(MONTH($BL34)-MONTH($BK34)+1),"")</f>
        <v/>
      </c>
      <c r="CU34" s="348" t="str">
        <f>IF(AND(UO_List[[#This Row],[Budget Revue]]="x",$BK34&lt;&gt;"",$BL34&lt;&gt;"",YEAR(BU$3)=YEAR($BK34),MONTH(BU$3)&gt;=MONTH($BK34),MONTH(BU$3)&lt;=MONTH($BL34)),UO_List[[#This Row],[Montant TOTAL]]/(MONTH($BL34)-MONTH($BK34)+1),"")</f>
        <v/>
      </c>
      <c r="CV34" s="348" t="str">
        <f>IF(AND(UO_List[[#This Row],[Budget Revue]]="x",$BK34&lt;&gt;"",$BL34&lt;&gt;"",YEAR(BV$3)=YEAR($BK34),MONTH(BV$3)&gt;=MONTH($BK34),MONTH(BV$3)&lt;=MONTH($BL34)),UO_List[[#This Row],[Montant TOTAL]]/(MONTH($BL34)-MONTH($BK34)+1),"")</f>
        <v/>
      </c>
      <c r="CW34" s="348" t="str">
        <f>IF(AND(UO_List[[#This Row],[Budget Revue]]="x",$BK34&lt;&gt;"",$BL34&lt;&gt;"",YEAR(BW$3)=YEAR($BK34),MONTH(BW$3)&gt;=MONTH($BK34),MONTH(BW$3)&lt;=MONTH($BL34)),UO_List[[#This Row],[Montant TOTAL]]/(MONTH($BL34)-MONTH($BK34)+1),"")</f>
        <v/>
      </c>
      <c r="CX34" s="348" t="str">
        <f>IF(AND(UO_List[[#This Row],[Budget Revue]]="x",$BK34&lt;&gt;"",$BL34&lt;&gt;"",YEAR(BX$3)=YEAR($BK34),MONTH(BX$3)&gt;=MONTH($BK34),MONTH(BX$3)&lt;=MONTH($BL34)),UO_List[[#This Row],[Montant TOTAL]]/(MONTH($BL34)-MONTH($BK34)+1),"")</f>
        <v/>
      </c>
      <c r="CY34" s="348" t="str">
        <f>IF(AND(UO_List[[#This Row],[Budget Revue]]="x",$BK34&lt;&gt;"",$BL34&lt;&gt;"",YEAR(BY$3)=YEAR($BK34),MONTH(BY$3)&gt;=MONTH($BK34),MONTH(BY$3)&lt;=MONTH($BL34)),UO_List[[#This Row],[Montant TOTAL]]/(MONTH($BL34)-MONTH($BK34)+1),"")</f>
        <v/>
      </c>
      <c r="CZ34" s="348" t="str">
        <f>IF(AND(UO_List[[#This Row],[Budget Revue]]="x",$BK34&lt;&gt;"",$BL34&lt;&gt;"",YEAR(BY$3)=YEAR($BK34),MONTH(BY$3)&gt;=MONTH($BK34),MONTH(BY$3)&lt;=MONTH($BL34)),UO_List[[#This Row],[Montant TOTAL]]/(MONTH($BL34)-MONTH($BK34)+1),"")</f>
        <v/>
      </c>
      <c r="DA34" s="348">
        <f>IF(UO_List[[#This Row],[Budget Revue]]="x",SUM(UO_List[[#This Row],[JANVIER2]:[DECEMBRE2]])-UO_List[Montant TOTAL],"")</f>
        <v>0</v>
      </c>
      <c r="DB34" s="83"/>
      <c r="DC34" s="83"/>
      <c r="DD34" s="83"/>
      <c r="DE34" s="83"/>
      <c r="DF34" s="83"/>
      <c r="DG34" s="83"/>
      <c r="DH34" s="83"/>
      <c r="DI34" s="83"/>
      <c r="DJ34" s="83"/>
      <c r="DK34" s="83"/>
      <c r="DL34" s="83"/>
      <c r="DM34" s="83"/>
      <c r="DN34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34" s="76">
        <f>IFERROR(UO_List[[#This Row],[Line Total]]-UO_List[[#This Row],[Montant total réceptionné]],"")</f>
        <v>3370</v>
      </c>
      <c r="DP34" s="76">
        <f>IFERROR(UO_List[[#This Row],[Total item réceptionné]]*UO_List[[#This Row],[Unit Price (calcul)]],0)</f>
        <v>0</v>
      </c>
      <c r="DQ34" s="76">
        <f>UO_List[[#This Row],[Facteur]]-UO_List[[#This Row],[Total item réceptionné]]</f>
        <v>2</v>
      </c>
      <c r="DR34" s="77"/>
      <c r="DS34" s="77"/>
      <c r="DT34" s="158"/>
      <c r="DU34" s="77"/>
    </row>
    <row r="35" spans="27:125" s="74" customFormat="1">
      <c r="AA35" s="204" t="str">
        <f>IFERROR(VLOOKUP(UO_List[[#This Row],[Unique_AIB_ID]],Tableau1[[Unique_AIB_ID]:[Building / Room]],2,FALSE),"")</f>
        <v>C000489704</v>
      </c>
      <c r="AB35" s="248">
        <f>IFERROR(VLOOKUP(UO_List[[#This Row],[Unique_AIB_ID]],UO_Contract!A46:V235,3,TRUE),"")</f>
        <v>0</v>
      </c>
      <c r="AC35" s="249" t="str">
        <f>IFERROR(VLOOKUP(UO_List[[#This Row],[Unique_AIB_ID]],Tableau1[[Unique_AIB_ID]:[Building / Room]],4,FALSE),"")</f>
        <v>WPA - SII - PJOP - Airbus - WD1701094 - Flight and Integration Test CT1705359</v>
      </c>
      <c r="AD35" s="248">
        <f>IFERROR(VLOOKUP(UO_List[[#This Row],[Unique_AIB_ID]],Tableau1[[Unique_AIB_ID]:[Building / Room]],5,FALSE),"")</f>
        <v>0</v>
      </c>
      <c r="AE35" s="248">
        <f>IFERROR(VLOOKUP(UO_List[[#This Row],[Unique_AIB_ID]],Tableau1[[Unique_AIB_ID]:[Building / Room]],6,FALSE),"")</f>
        <v>5</v>
      </c>
      <c r="AF35" s="248" t="str">
        <f>IFERROR(VLOOKUP(UO_List[[#This Row],[Unique_AIB_ID]],Tableau1[[Unique_AIB_ID]:[Building / Room]],7,FALSE),"")</f>
        <v>6 Each of WU_ELEC_2[PJE_SII_EVYP_USD_AIRBUS_FR]</v>
      </c>
      <c r="AG35" s="248">
        <f>IFERROR(VLOOKUP(UO_List[[#This Row],[Unique_AIB_ID]],Tableau1[[Unique_AIB_ID]:[Building / Room]],8,FALSE),"")</f>
        <v>6</v>
      </c>
      <c r="AH35" s="250">
        <f>IFERROR(VALUE(VLOOKUP(UO_List[[#This Row],[Unique_AIB_ID]],Tableau1[[Unique_AIB_ID]:[Building / Room]],9,FALSE)),"")</f>
        <v>3360</v>
      </c>
      <c r="AI35" s="248">
        <f>IFERROR(VLOOKUP(UO_List[[#This Row],[Unique_AIB_ID]],Tableau1[[Unique_AIB_ID]:[Building / Room]],10,TRUE),"")</f>
        <v>0</v>
      </c>
      <c r="AJ35" s="251">
        <f>IFERROR(VLOOKUP(UO_List[[#This Row],[Unique_AIB_ID]],Tableau1[[Unique_AIB_ID]:[Building / Room]],11,FALSE),"")</f>
        <v>0</v>
      </c>
      <c r="AK35" s="248">
        <f>IFERROR(VLOOKUP(UO_List[[#This Row],[Unique_AIB_ID]],Tableau1[[Unique_AIB_ID]:[Building / Room]],12,FALSE),"")</f>
        <v>0</v>
      </c>
      <c r="AL35" s="248">
        <f>IFERROR(VLOOKUP(UO_List[[#This Row],[Unique_AIB_ID]],Tableau1[[Unique_AIB_ID]:[Building / Room]],13,FALSE),"")</f>
        <v>0</v>
      </c>
      <c r="AM35" s="183">
        <f>IFERROR(VLOOKUP(UO_List[[#This Row],[Unique_AIB_ID]],Tableau1[[Unique_AIB_ID]:[Building / Room]],14,FALSE),"")</f>
        <v>0</v>
      </c>
      <c r="AN35" s="183">
        <f>IFERROR(VLOOKUP(UO_List[[#This Row],[Unique_AIB_ID]],Tableau1[[Unique_AIB_ID]:[Building / Room]],15,FALSE),"")</f>
        <v>0</v>
      </c>
      <c r="AO35" s="183">
        <f>IFERROR(VLOOKUP(UO_List[[#This Row],[Unique_AIB_ID]],Tableau1[[Unique_AIB_ID]:[Building / Room]],16,FALSE),"")</f>
        <v>0</v>
      </c>
      <c r="AP35" s="183" t="str">
        <f>IFERROR(VLOOKUP(UO_List[[#This Row],[Unique_AIB_ID]],Tableau1[[Unique_AIB_ID]:[Building / Room]],17,FALSE),"")</f>
        <v>0</v>
      </c>
      <c r="AQ35" s="183">
        <f>IFERROR(VLOOKUP(UO_List[[#This Row],[Unique_AIB_ID]],Tableau1[[Unique_AIB_ID]:[Building / Room]],18,FALSE),"")</f>
        <v>0</v>
      </c>
      <c r="AR35" s="183" t="str">
        <f>IFERROR(VLOOKUP(UO_List[[#This Row],[Unique_AIB_ID]],Tableau1[[Unique_AIB_ID]:[Building / Room]],19,FALSE),"")</f>
        <v>03/25/20</v>
      </c>
      <c r="AS35" s="183">
        <f>IFERROR(VLOOKUP(UO_List[[#This Row],[Unique_AIB_ID]],Tableau1[[Unique_AIB_ID]:[Building / Room]],20,FALSE),"")</f>
        <v>0</v>
      </c>
      <c r="AT35" s="183">
        <f>IFERROR(VLOOKUP(UO_List[[#This Row],[Unique_AIB_ID]],Tableau1[[Unique_AIB_ID]:[Building / Room]],21,FALSE),"")</f>
        <v>0</v>
      </c>
      <c r="AU35" s="183" t="str">
        <f>IFERROR(VLOOKUP(UO_List[[#This Row],[Unique_AIB_ID]],Tableau1[[Unique_AIB_ID]:[Building / Room]],22,FALSE),"")</f>
        <v>M24 / A559</v>
      </c>
      <c r="AV35" s="167" t="str">
        <f>IFERROR(VLOOKUP(UO_List[[#This Row],[Unique_AIB_ID]],Tableau1[[Unique_AIB_ID]:[Currency]],23,FALSE),"")</f>
        <v>Q 1 / 2 - SA MCO</v>
      </c>
      <c r="AW35" s="167">
        <f>IFERROR(IF(ISBLANK(UO_List[[#This Row],[PO Number (Header)]]),"",UO_List[[#This Row],[Line Total]]/UO_List[[#This Row],[Total Item Quantity]]),"")</f>
        <v>560</v>
      </c>
      <c r="AX35" s="499" t="s">
        <v>969</v>
      </c>
      <c r="AY35" s="167"/>
      <c r="AZ35" s="78" t="s">
        <v>842</v>
      </c>
      <c r="BA35" s="82"/>
      <c r="BB35" s="78"/>
      <c r="BC35" s="78" t="s">
        <v>698</v>
      </c>
      <c r="BD35" s="70" t="s">
        <v>685</v>
      </c>
      <c r="BE35" s="78" t="s">
        <v>685</v>
      </c>
      <c r="BF35" s="78"/>
      <c r="BG35" s="78"/>
      <c r="BH35" s="78" t="s">
        <v>921</v>
      </c>
      <c r="BI35" s="78"/>
      <c r="BJ35" s="78"/>
      <c r="BK35" s="79">
        <v>43922</v>
      </c>
      <c r="BL35" s="79">
        <v>44012</v>
      </c>
      <c r="BM35" s="71">
        <v>6</v>
      </c>
      <c r="BN35" s="71">
        <f>IFERROR(UO_List[[#This Row],[Total Item Quantity]]-UO_List[[#This Row],[Facteur]],"")</f>
        <v>0</v>
      </c>
      <c r="BO35" s="349">
        <f>IFERROR(IF(ISBLANK(UO_List[[#This Row],[Id_UO]]),"",SUMPRODUCT(1*(EXACT(UO_List[[#This Row],[Id_UO]],CATALOGUE[Id_WU]))*CATALOGUE[Price $])),"")</f>
        <v>560</v>
      </c>
      <c r="BP35" s="350">
        <f>IFERROR(UO_List[[#This Row],[Prix unitaire]]*UO_List[[#This Row],[Facteur]],"")</f>
        <v>3360</v>
      </c>
      <c r="BQ35" s="100">
        <f>IFERROR(SUMPRODUCT(1*(EXACT(UO_List[[#This Row],[Id_UO]],CATALOGUE[Id_WU]))*CATALOGUE[Global_Workload_PM_(d)]*UO_List[[#This Row],[Facteur]]),"")</f>
        <v>0.90000000000000013</v>
      </c>
      <c r="BR35" s="286">
        <f>UO_List[[#This Row],[Jours GP]]/jours_an</f>
        <v>4.1666666666666675E-3</v>
      </c>
      <c r="BS35" s="72">
        <f>IFERROR(SUMPRODUCT(1*(EXACT(UO_List[[#This Row],[Id_UO]],CATALOGUE[Id_WU]))*CATALOGUE[Global_Workload_Tech_(d)]*UO_List[[#This Row],[Facteur]]),"")</f>
        <v>5.0999999999999996</v>
      </c>
      <c r="BT35" s="286">
        <f>UO_List[[#This Row],[Jours Tech]]/jours_an</f>
        <v>2.361111111111111E-2</v>
      </c>
      <c r="BU35" s="72">
        <f>UO_List[[#This Row],[Jours GP]]+UO_List[[#This Row],[Jours Tech]]</f>
        <v>6</v>
      </c>
      <c r="BV35" s="286">
        <f>UO_List[[#This Row],[ETP GP]]+UO_List[[#This Row],[ETP Tech]]</f>
        <v>2.7777777777777776E-2</v>
      </c>
      <c r="BW35" s="73"/>
      <c r="BX35" s="80" t="s">
        <v>203</v>
      </c>
      <c r="BY35" s="462">
        <f>IF(UO_List[[#This Row],[Budget Revue]]="x",UO_List[[#This Row],[Montant TOTAL]],0)</f>
        <v>3360</v>
      </c>
      <c r="BZ35" s="80">
        <f>IF(UO_List[[#This Row],[Budget Revue]]="x",UO_List[[#This Row],[Jours Tech]],0)</f>
        <v>5.0999999999999996</v>
      </c>
      <c r="CA35" s="80">
        <f>IF(UO_List[[#This Row],[Budget Revue]]="x",UO_List[[#This Row],[Jours GP]],0)</f>
        <v>0.90000000000000013</v>
      </c>
      <c r="CB35" s="516" t="str">
        <f>IF(AND(UO_List[[#This Row],[Budget Revue]]="x",$BK35&lt;&gt;"",$BL35&lt;&gt;"",YEAR(BB$3)=YEAR($BK35),MONTH(BB$3)&gt;=MONTH($BK35),MONTH(BB$3)&lt;=MONTH($BL35)),$BS35/(MONTH($BL35)-MONTH($BK35)+1),"")</f>
        <v/>
      </c>
      <c r="CC35" s="80" t="str">
        <f>IF(AND(UO_List[[#This Row],[Budget Revue]]="x",$BK35&lt;&gt;"",$BL35&lt;&gt;"",YEAR(BC$3)=YEAR($BK35),MONTH(BC$3)&gt;=MONTH($BK35),MONTH(BC$3)&lt;=MONTH($BL35)),$BS35/(MONTH($BL35)-MONTH($BK35)+1),"")</f>
        <v/>
      </c>
      <c r="CD35" s="80" t="str">
        <f>IF(AND(UO_List[[#This Row],[Budget Revue]]="x",$BK35&lt;&gt;"",$BL35&lt;&gt;"",YEAR(BD$3)=YEAR($BK35),MONTH(BD$3)&gt;=MONTH($BK35),MONTH(BD$3)&lt;=MONTH($BL35)),$BS35/(MONTH($BL35)-MONTH($BK35)+1),"")</f>
        <v/>
      </c>
      <c r="CE35" s="80">
        <f>IF(AND(UO_List[[#This Row],[Budget Revue]]="x",$BK35&lt;&gt;"",$BL35&lt;&gt;"",YEAR(BE$3)=YEAR($BK35),MONTH(BE$3)&gt;=MONTH($BK35),MONTH(BE$3)&lt;=MONTH($BL35)),$BS35/(MONTH($BL35)-MONTH($BK35)+1),"")</f>
        <v>1.7</v>
      </c>
      <c r="CF35" s="80">
        <f>IF(AND(UO_List[[#This Row],[Budget Revue]]="x",$BK35&lt;&gt;"",$BL35&lt;&gt;"",YEAR(BF$3)=YEAR($BK35),MONTH(BF$3)&gt;=MONTH($BK35),MONTH(BF$3)&lt;=MONTH($BL35)),$BS35/(MONTH($BL35)-MONTH($BK35)+1),"")</f>
        <v>1.7</v>
      </c>
      <c r="CG35" s="80">
        <f>IF(AND(UO_List[[#This Row],[Budget Revue]]="x",$BK35&lt;&gt;"",$BL35&lt;&gt;"",YEAR(BG$3)=YEAR($BK35),MONTH(BG$3)&gt;=MONTH($BK35),MONTH(BG$3)&lt;=MONTH($BL35)),$BS35/(MONTH($BL35)-MONTH($BK35)+1),"")</f>
        <v>1.7</v>
      </c>
      <c r="CH35" s="80" t="str">
        <f>IF(AND(UO_List[[#This Row],[Budget Revue]]="x",$BK35&lt;&gt;"",$BL35&lt;&gt;"",YEAR(BH$3)=YEAR($BK35),MONTH(BH$3)&gt;=MONTH($BK35),MONTH(BH$3)&lt;=MONTH($BL35)),$BS35/(MONTH($BL35)-MONTH($BK35)+1),"")</f>
        <v/>
      </c>
      <c r="CI35" s="80" t="str">
        <f>IF(AND(UO_List[[#This Row],[Budget Revue]]="x",$BK35&lt;&gt;"",$BL35&lt;&gt;"",YEAR(BI$3)=YEAR($BK35),MONTH(BI$3)&gt;=MONTH($BK35),MONTH(BI$3)&lt;=MONTH($BL35)),$BS35/(MONTH($BL35)-MONTH($BK35)+1),"")</f>
        <v/>
      </c>
      <c r="CJ35" s="80" t="str">
        <f>IF(AND(UO_List[[#This Row],[Budget Revue]]="x",$BK35&lt;&gt;"",$BL35&lt;&gt;"",YEAR(BJ$3)=YEAR($BK35),MONTH(BJ$3)&gt;=MONTH($BK35),MONTH(BJ$3)&lt;=MONTH($BL35)),$BS35/(MONTH($BL35)-MONTH($BK35)+1),"")</f>
        <v/>
      </c>
      <c r="CK35" s="80" t="str">
        <f>IF(AND(UO_List[[#This Row],[Budget Revue]]="x",$BK35&lt;&gt;"",$BL35&lt;&gt;"",YEAR(BK$3)=YEAR($BK35),MONTH(BK$3)&gt;=MONTH($BK35),MONTH(BK$3)&lt;=MONTH($BL35)),$BS35/(MONTH($BL35)-MONTH($BK35)+1),"")</f>
        <v/>
      </c>
      <c r="CL35" s="80" t="str">
        <f>IF(AND(UO_List[[#This Row],[Budget Revue]]="x",$BK35&lt;&gt;"",$BL35&lt;&gt;"",YEAR(BL$3)=YEAR($BK35),MONTH(BL$3)&gt;=MONTH($BK35),MONTH(BL$3)&lt;=MONTH($BL35)),$BS35/(MONTH($BL35)-MONTH($BK35)+1),"")</f>
        <v/>
      </c>
      <c r="CM35" s="80" t="str">
        <f>IF(AND(UO_List[[#This Row],[Budget Revue]]="x",$BK35&lt;&gt;"",$BL35&lt;&gt;"",YEAR(BM$3)=YEAR($BK35),MONTH(BM$3)&gt;=MONTH($BK35),MONTH(BM$3)&lt;=MONTH($BL35)),$BS35/(MONTH($BL35)-MONTH($BK35)+1),"")</f>
        <v/>
      </c>
      <c r="CN35" s="75">
        <f>IF(UO_List[[#This Row],[Budget Revue]]="x",SUM(UO_List[[#This Row],[JANVIER]:[DECEMBRE]])-UO_List[[#This Row],[Jours Tech]],"")</f>
        <v>0</v>
      </c>
      <c r="CO35" s="348" t="str">
        <f>IF(AND(UO_List[[#This Row],[Budget Revue]]="x",$BK35&lt;&gt;"",$BL35&lt;&gt;"",YEAR(BO$3)=YEAR($BK35),MONTH(BO$3)&gt;=MONTH($BK35),MONTH(BO$3)&lt;=MONTH($BL35)),UO_List[[#This Row],[Montant TOTAL]]/(MONTH($BL35)-MONTH($BK35)+1),"")</f>
        <v/>
      </c>
      <c r="CP35" s="348" t="str">
        <f>IF(AND(UO_List[[#This Row],[Budget Revue]]="x",$BK35&lt;&gt;"",$BL35&lt;&gt;"",YEAR(BP$3)=YEAR($BK35),MONTH(BP$3)&gt;=MONTH($BK35),MONTH(BP$3)&lt;=MONTH($BL35)),UO_List[[#This Row],[Montant TOTAL]]/(MONTH($BL35)-MONTH($BK35)+1),"")</f>
        <v/>
      </c>
      <c r="CQ35" s="348" t="str">
        <f>IF(AND(UO_List[[#This Row],[Budget Revue]]="x",$BK35&lt;&gt;"",$BL35&lt;&gt;"",YEAR(BQ$3)=YEAR($BK35),MONTH(BQ$3)&gt;=MONTH($BK35),MONTH(BQ$3)&lt;=MONTH($BL35)),UO_List[[#This Row],[Montant TOTAL]]/(MONTH($BL35)-MONTH($BK35)+1),"")</f>
        <v/>
      </c>
      <c r="CR35" s="348">
        <f>IF(AND(UO_List[[#This Row],[Budget Revue]]="x",$BK35&lt;&gt;"",$BL35&lt;&gt;"",YEAR(BR$3)=YEAR($BK35),MONTH(BR$3)&gt;=MONTH($BK35),MONTH(BR$3)&lt;=MONTH($BL35)),UO_List[[#This Row],[Montant TOTAL]]/(MONTH($BL35)-MONTH($BK35)+1),"")</f>
        <v>1120</v>
      </c>
      <c r="CS35" s="348">
        <f>IF(AND(UO_List[[#This Row],[Budget Revue]]="x",$BK35&lt;&gt;"",$BL35&lt;&gt;"",YEAR(BS$3)=YEAR($BK35),MONTH(BS$3)&gt;=MONTH($BK35),MONTH(BS$3)&lt;=MONTH($BL35)),UO_List[[#This Row],[Montant TOTAL]]/(MONTH($BL35)-MONTH($BK35)+1),"")</f>
        <v>1120</v>
      </c>
      <c r="CT35" s="348">
        <f>IF(AND(UO_List[[#This Row],[Budget Revue]]="x",$BK35&lt;&gt;"",$BL35&lt;&gt;"",YEAR(BT$3)=YEAR($BK35),MONTH(BT$3)&gt;=MONTH($BK35),MONTH(BT$3)&lt;=MONTH($BL35)),UO_List[[#This Row],[Montant TOTAL]]/(MONTH($BL35)-MONTH($BK35)+1),"")</f>
        <v>1120</v>
      </c>
      <c r="CU35" s="348" t="str">
        <f>IF(AND(UO_List[[#This Row],[Budget Revue]]="x",$BK35&lt;&gt;"",$BL35&lt;&gt;"",YEAR(BU$3)=YEAR($BK35),MONTH(BU$3)&gt;=MONTH($BK35),MONTH(BU$3)&lt;=MONTH($BL35)),UO_List[[#This Row],[Montant TOTAL]]/(MONTH($BL35)-MONTH($BK35)+1),"")</f>
        <v/>
      </c>
      <c r="CV35" s="348" t="str">
        <f>IF(AND(UO_List[[#This Row],[Budget Revue]]="x",$BK35&lt;&gt;"",$BL35&lt;&gt;"",YEAR(BV$3)=YEAR($BK35),MONTH(BV$3)&gt;=MONTH($BK35),MONTH(BV$3)&lt;=MONTH($BL35)),UO_List[[#This Row],[Montant TOTAL]]/(MONTH($BL35)-MONTH($BK35)+1),"")</f>
        <v/>
      </c>
      <c r="CW35" s="348" t="str">
        <f>IF(AND(UO_List[[#This Row],[Budget Revue]]="x",$BK35&lt;&gt;"",$BL35&lt;&gt;"",YEAR(BW$3)=YEAR($BK35),MONTH(BW$3)&gt;=MONTH($BK35),MONTH(BW$3)&lt;=MONTH($BL35)),UO_List[[#This Row],[Montant TOTAL]]/(MONTH($BL35)-MONTH($BK35)+1),"")</f>
        <v/>
      </c>
      <c r="CX35" s="348" t="str">
        <f>IF(AND(UO_List[[#This Row],[Budget Revue]]="x",$BK35&lt;&gt;"",$BL35&lt;&gt;"",YEAR(BX$3)=YEAR($BK35),MONTH(BX$3)&gt;=MONTH($BK35),MONTH(BX$3)&lt;=MONTH($BL35)),UO_List[[#This Row],[Montant TOTAL]]/(MONTH($BL35)-MONTH($BK35)+1),"")</f>
        <v/>
      </c>
      <c r="CY35" s="348" t="str">
        <f>IF(AND(UO_List[[#This Row],[Budget Revue]]="x",$BK35&lt;&gt;"",$BL35&lt;&gt;"",YEAR(BY$3)=YEAR($BK35),MONTH(BY$3)&gt;=MONTH($BK35),MONTH(BY$3)&lt;=MONTH($BL35)),UO_List[[#This Row],[Montant TOTAL]]/(MONTH($BL35)-MONTH($BK35)+1),"")</f>
        <v/>
      </c>
      <c r="CZ35" s="348" t="str">
        <f>IF(AND(UO_List[[#This Row],[Budget Revue]]="x",$BK35&lt;&gt;"",$BL35&lt;&gt;"",YEAR(BY$3)=YEAR($BK35),MONTH(BY$3)&gt;=MONTH($BK35),MONTH(BY$3)&lt;=MONTH($BL35)),UO_List[[#This Row],[Montant TOTAL]]/(MONTH($BL35)-MONTH($BK35)+1),"")</f>
        <v/>
      </c>
      <c r="DA35" s="348">
        <f>IF(UO_List[[#This Row],[Budget Revue]]="x",SUM(UO_List[[#This Row],[JANVIER2]:[DECEMBRE2]])-UO_List[Montant TOTAL],"")</f>
        <v>0</v>
      </c>
      <c r="DB35" s="517">
        <v>2</v>
      </c>
      <c r="DC35" s="83"/>
      <c r="DD35" s="83"/>
      <c r="DE35" s="83"/>
      <c r="DF35" s="83"/>
      <c r="DG35" s="83"/>
      <c r="DH35" s="83"/>
      <c r="DI35" s="83"/>
      <c r="DJ35" s="83"/>
      <c r="DK35" s="83"/>
      <c r="DL35" s="83"/>
      <c r="DM35" s="83"/>
      <c r="DN35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2</v>
      </c>
      <c r="DO35" s="76">
        <f>IFERROR(UO_List[[#This Row],[Line Total]]-UO_List[[#This Row],[Montant total réceptionné]],"")</f>
        <v>2240</v>
      </c>
      <c r="DP35" s="76">
        <f>IFERROR(UO_List[[#This Row],[Total item réceptionné]]*UO_List[[#This Row],[Unit Price (calcul)]],0)</f>
        <v>1120</v>
      </c>
      <c r="DQ35" s="76">
        <f>UO_List[[#This Row],[Facteur]]-UO_List[[#This Row],[Total item réceptionné]]</f>
        <v>4</v>
      </c>
      <c r="DR35" s="77"/>
      <c r="DS35" s="77"/>
      <c r="DT35" s="158"/>
      <c r="DU35" s="77"/>
    </row>
    <row r="36" spans="27:125" s="74" customFormat="1">
      <c r="AA36" s="192" t="str">
        <f>IFERROR(VLOOKUP(UO_List[[#This Row],[Unique_AIB_ID]],Tableau1[[Unique_AIB_ID]:[Building / Room]],2,FALSE),"")</f>
        <v>C000489704</v>
      </c>
      <c r="AB36" s="189">
        <f>IFERROR(VLOOKUP(UO_List[[#This Row],[Unique_AIB_ID]],UO_Contract!A47:V236,3,TRUE),"")</f>
        <v>0</v>
      </c>
      <c r="AC36" s="188" t="str">
        <f>IFERROR(VLOOKUP(UO_List[[#This Row],[Unique_AIB_ID]],Tableau1[[Unique_AIB_ID]:[Building / Room]],4,FALSE),"")</f>
        <v>WPA - SII - PJOP - Airbus - WD1701094 - Flight and Integration Test CT1705359</v>
      </c>
      <c r="AD36" s="189">
        <f>IFERROR(VLOOKUP(UO_List[[#This Row],[Unique_AIB_ID]],Tableau1[[Unique_AIB_ID]:[Building / Room]],5,FALSE),"")</f>
        <v>0</v>
      </c>
      <c r="AE36" s="189">
        <f>IFERROR(VLOOKUP(UO_List[[#This Row],[Unique_AIB_ID]],Tableau1[[Unique_AIB_ID]:[Building / Room]],6,FALSE),"")</f>
        <v>6</v>
      </c>
      <c r="AF36" s="189" t="str">
        <f>IFERROR(VLOOKUP(UO_List[[#This Row],[Unique_AIB_ID]],Tableau1[[Unique_AIB_ID]:[Building / Room]],7,FALSE),"")</f>
        <v>2 Each of WU_ELEC_1[PJE_SII_EVYP_USD_AIRBUS_FR]</v>
      </c>
      <c r="AG36" s="189">
        <f>IFERROR(VLOOKUP(UO_List[[#This Row],[Unique_AIB_ID]],Tableau1[[Unique_AIB_ID]:[Building / Room]],8,FALSE),"")</f>
        <v>2</v>
      </c>
      <c r="AH36" s="190">
        <f>IFERROR(VALUE(VLOOKUP(UO_List[[#This Row],[Unique_AIB_ID]],Tableau1[[Unique_AIB_ID]:[Building / Room]],9,FALSE)),"")</f>
        <v>3370</v>
      </c>
      <c r="AI36" s="189">
        <f>IFERROR(VLOOKUP(UO_List[[#This Row],[Unique_AIB_ID]],Tableau1[[Unique_AIB_ID]:[Building / Room]],10,TRUE),"")</f>
        <v>0</v>
      </c>
      <c r="AJ36" s="191">
        <f>IFERROR(VLOOKUP(UO_List[[#This Row],[Unique_AIB_ID]],Tableau1[[Unique_AIB_ID]:[Building / Room]],11,FALSE),"")</f>
        <v>0</v>
      </c>
      <c r="AK36" s="189">
        <f>IFERROR(VLOOKUP(UO_List[[#This Row],[Unique_AIB_ID]],Tableau1[[Unique_AIB_ID]:[Building / Room]],12,FALSE),"")</f>
        <v>0</v>
      </c>
      <c r="AL36" s="189">
        <f>IFERROR(VLOOKUP(UO_List[[#This Row],[Unique_AIB_ID]],Tableau1[[Unique_AIB_ID]:[Building / Room]],13,FALSE),"")</f>
        <v>0</v>
      </c>
      <c r="AM36" s="183">
        <f>IFERROR(VLOOKUP(UO_List[[#This Row],[Unique_AIB_ID]],Tableau1[[Unique_AIB_ID]:[Building / Room]],14,FALSE),"")</f>
        <v>0</v>
      </c>
      <c r="AN36" s="183">
        <f>IFERROR(VLOOKUP(UO_List[[#This Row],[Unique_AIB_ID]],Tableau1[[Unique_AIB_ID]:[Building / Room]],15,FALSE),"")</f>
        <v>0</v>
      </c>
      <c r="AO36" s="183">
        <f>IFERROR(VLOOKUP(UO_List[[#This Row],[Unique_AIB_ID]],Tableau1[[Unique_AIB_ID]:[Building / Room]],16,FALSE),"")</f>
        <v>0</v>
      </c>
      <c r="AP36" s="183" t="str">
        <f>IFERROR(VLOOKUP(UO_List[[#This Row],[Unique_AIB_ID]],Tableau1[[Unique_AIB_ID]:[Building / Room]],17,FALSE),"")</f>
        <v>0</v>
      </c>
      <c r="AQ36" s="183">
        <f>IFERROR(VLOOKUP(UO_List[[#This Row],[Unique_AIB_ID]],Tableau1[[Unique_AIB_ID]:[Building / Room]],18,FALSE),"")</f>
        <v>0</v>
      </c>
      <c r="AR36" s="183" t="str">
        <f>IFERROR(VLOOKUP(UO_List[[#This Row],[Unique_AIB_ID]],Tableau1[[Unique_AIB_ID]:[Building / Room]],19,FALSE),"")</f>
        <v>03/25/20</v>
      </c>
      <c r="AS36" s="183">
        <f>IFERROR(VLOOKUP(UO_List[[#This Row],[Unique_AIB_ID]],Tableau1[[Unique_AIB_ID]:[Building / Room]],20,FALSE),"")</f>
        <v>0</v>
      </c>
      <c r="AT36" s="183">
        <f>IFERROR(VLOOKUP(UO_List[[#This Row],[Unique_AIB_ID]],Tableau1[[Unique_AIB_ID]:[Building / Room]],21,FALSE),"")</f>
        <v>0</v>
      </c>
      <c r="AU36" s="183" t="str">
        <f>IFERROR(VLOOKUP(UO_List[[#This Row],[Unique_AIB_ID]],Tableau1[[Unique_AIB_ID]:[Building / Room]],22,FALSE),"")</f>
        <v>M24 / A559</v>
      </c>
      <c r="AV36" s="167" t="str">
        <f>IFERROR(VLOOKUP(UO_List[[#This Row],[Unique_AIB_ID]],Tableau1[[Unique_AIB_ID]:[Currency]],23,FALSE),"")</f>
        <v>Q 1 / 3 - SA Tech Sup</v>
      </c>
      <c r="AW36" s="167">
        <f>IFERROR(IF(ISBLANK(UO_List[[#This Row],[PO Number (Header)]]),"",UO_List[[#This Row],[Line Total]]/UO_List[[#This Row],[Total Item Quantity]]),"")</f>
        <v>1685</v>
      </c>
      <c r="AX36" s="499" t="s">
        <v>970</v>
      </c>
      <c r="AY36" s="167"/>
      <c r="AZ36" s="78" t="s">
        <v>842</v>
      </c>
      <c r="BA36" s="82"/>
      <c r="BB36" s="78"/>
      <c r="BC36" s="78" t="s">
        <v>697</v>
      </c>
      <c r="BD36" s="70" t="s">
        <v>685</v>
      </c>
      <c r="BE36" s="78" t="s">
        <v>685</v>
      </c>
      <c r="BF36" s="78"/>
      <c r="BG36" s="78"/>
      <c r="BH36" s="78" t="s">
        <v>922</v>
      </c>
      <c r="BI36" s="78"/>
      <c r="BJ36" s="78"/>
      <c r="BK36" s="79">
        <v>43922</v>
      </c>
      <c r="BL36" s="79">
        <v>44012</v>
      </c>
      <c r="BM36" s="71">
        <v>2</v>
      </c>
      <c r="BN36" s="71">
        <f>IFERROR(UO_List[[#This Row],[Total Item Quantity]]-UO_List[[#This Row],[Facteur]],"")</f>
        <v>0</v>
      </c>
      <c r="BO36" s="349">
        <f>IFERROR(IF(ISBLANK(UO_List[[#This Row],[Id_UO]]),"",SUMPRODUCT(1*(EXACT(UO_List[[#This Row],[Id_UO]],CATALOGUE[Id_WU]))*CATALOGUE[Price $])),"")</f>
        <v>1685</v>
      </c>
      <c r="BP36" s="350">
        <f>IFERROR(UO_List[[#This Row],[Prix unitaire]]*UO_List[[#This Row],[Facteur]],"")</f>
        <v>3370</v>
      </c>
      <c r="BQ36" s="100">
        <f>IFERROR(SUMPRODUCT(1*(EXACT(UO_List[[#This Row],[Id_UO]],CATALOGUE[Id_WU]))*CATALOGUE[Global_Workload_PM_(d)]*UO_List[[#This Row],[Facteur]]),"")</f>
        <v>0.90000000000000036</v>
      </c>
      <c r="BR36" s="286">
        <f>UO_List[[#This Row],[Jours GP]]/jours_an</f>
        <v>4.1666666666666683E-3</v>
      </c>
      <c r="BS36" s="72">
        <f>IFERROR(SUMPRODUCT(1*(EXACT(UO_List[[#This Row],[Id_UO]],CATALOGUE[Id_WU]))*CATALOGUE[Global_Workload_Tech_(d)]*UO_List[[#This Row],[Facteur]]),"")</f>
        <v>5.0999999999999996</v>
      </c>
      <c r="BT36" s="286">
        <f>UO_List[[#This Row],[Jours Tech]]/jours_an</f>
        <v>2.361111111111111E-2</v>
      </c>
      <c r="BU36" s="72">
        <f>UO_List[[#This Row],[Jours GP]]+UO_List[[#This Row],[Jours Tech]]</f>
        <v>6</v>
      </c>
      <c r="BV36" s="286">
        <f>UO_List[[#This Row],[ETP GP]]+UO_List[[#This Row],[ETP Tech]]</f>
        <v>2.777777777777778E-2</v>
      </c>
      <c r="BW36" s="73"/>
      <c r="BX36" s="80" t="s">
        <v>203</v>
      </c>
      <c r="BY36" s="462">
        <f>IF(UO_List[[#This Row],[Budget Revue]]="x",UO_List[[#This Row],[Montant TOTAL]],0)</f>
        <v>3370</v>
      </c>
      <c r="BZ36" s="80">
        <f>IF(UO_List[[#This Row],[Budget Revue]]="x",UO_List[[#This Row],[Jours Tech]],0)</f>
        <v>5.0999999999999996</v>
      </c>
      <c r="CA36" s="80">
        <f>IF(UO_List[[#This Row],[Budget Revue]]="x",UO_List[[#This Row],[Jours GP]],0)</f>
        <v>0.90000000000000036</v>
      </c>
      <c r="CB36" s="516" t="str">
        <f>IF(AND(UO_List[[#This Row],[Budget Revue]]="x",$BK36&lt;&gt;"",$BL36&lt;&gt;"",YEAR(BB$3)=YEAR($BK36),MONTH(BB$3)&gt;=MONTH($BK36),MONTH(BB$3)&lt;=MONTH($BL36)),$BS36/(MONTH($BL36)-MONTH($BK36)+1),"")</f>
        <v/>
      </c>
      <c r="CC36" s="80" t="str">
        <f>IF(AND(UO_List[[#This Row],[Budget Revue]]="x",$BK36&lt;&gt;"",$BL36&lt;&gt;"",YEAR(BC$3)=YEAR($BK36),MONTH(BC$3)&gt;=MONTH($BK36),MONTH(BC$3)&lt;=MONTH($BL36)),$BS36/(MONTH($BL36)-MONTH($BK36)+1),"")</f>
        <v/>
      </c>
      <c r="CD36" s="80" t="str">
        <f>IF(AND(UO_List[[#This Row],[Budget Revue]]="x",$BK36&lt;&gt;"",$BL36&lt;&gt;"",YEAR(BD$3)=YEAR($BK36),MONTH(BD$3)&gt;=MONTH($BK36),MONTH(BD$3)&lt;=MONTH($BL36)),$BS36/(MONTH($BL36)-MONTH($BK36)+1),"")</f>
        <v/>
      </c>
      <c r="CE36" s="80">
        <f>IF(AND(UO_List[[#This Row],[Budget Revue]]="x",$BK36&lt;&gt;"",$BL36&lt;&gt;"",YEAR(BE$3)=YEAR($BK36),MONTH(BE$3)&gt;=MONTH($BK36),MONTH(BE$3)&lt;=MONTH($BL36)),$BS36/(MONTH($BL36)-MONTH($BK36)+1),"")</f>
        <v>1.7</v>
      </c>
      <c r="CF36" s="80">
        <f>IF(AND(UO_List[[#This Row],[Budget Revue]]="x",$BK36&lt;&gt;"",$BL36&lt;&gt;"",YEAR(BF$3)=YEAR($BK36),MONTH(BF$3)&gt;=MONTH($BK36),MONTH(BF$3)&lt;=MONTH($BL36)),$BS36/(MONTH($BL36)-MONTH($BK36)+1),"")</f>
        <v>1.7</v>
      </c>
      <c r="CG36" s="80">
        <f>IF(AND(UO_List[[#This Row],[Budget Revue]]="x",$BK36&lt;&gt;"",$BL36&lt;&gt;"",YEAR(BG$3)=YEAR($BK36),MONTH(BG$3)&gt;=MONTH($BK36),MONTH(BG$3)&lt;=MONTH($BL36)),$BS36/(MONTH($BL36)-MONTH($BK36)+1),"")</f>
        <v>1.7</v>
      </c>
      <c r="CH36" s="80" t="str">
        <f>IF(AND(UO_List[[#This Row],[Budget Revue]]="x",$BK36&lt;&gt;"",$BL36&lt;&gt;"",YEAR(BH$3)=YEAR($BK36),MONTH(BH$3)&gt;=MONTH($BK36),MONTH(BH$3)&lt;=MONTH($BL36)),$BS36/(MONTH($BL36)-MONTH($BK36)+1),"")</f>
        <v/>
      </c>
      <c r="CI36" s="80" t="str">
        <f>IF(AND(UO_List[[#This Row],[Budget Revue]]="x",$BK36&lt;&gt;"",$BL36&lt;&gt;"",YEAR(BI$3)=YEAR($BK36),MONTH(BI$3)&gt;=MONTH($BK36),MONTH(BI$3)&lt;=MONTH($BL36)),$BS36/(MONTH($BL36)-MONTH($BK36)+1),"")</f>
        <v/>
      </c>
      <c r="CJ36" s="80" t="str">
        <f>IF(AND(UO_List[[#This Row],[Budget Revue]]="x",$BK36&lt;&gt;"",$BL36&lt;&gt;"",YEAR(BJ$3)=YEAR($BK36),MONTH(BJ$3)&gt;=MONTH($BK36),MONTH(BJ$3)&lt;=MONTH($BL36)),$BS36/(MONTH($BL36)-MONTH($BK36)+1),"")</f>
        <v/>
      </c>
      <c r="CK36" s="80" t="str">
        <f>IF(AND(UO_List[[#This Row],[Budget Revue]]="x",$BK36&lt;&gt;"",$BL36&lt;&gt;"",YEAR(BK$3)=YEAR($BK36),MONTH(BK$3)&gt;=MONTH($BK36),MONTH(BK$3)&lt;=MONTH($BL36)),$BS36/(MONTH($BL36)-MONTH($BK36)+1),"")</f>
        <v/>
      </c>
      <c r="CL36" s="80" t="str">
        <f>IF(AND(UO_List[[#This Row],[Budget Revue]]="x",$BK36&lt;&gt;"",$BL36&lt;&gt;"",YEAR(BL$3)=YEAR($BK36),MONTH(BL$3)&gt;=MONTH($BK36),MONTH(BL$3)&lt;=MONTH($BL36)),$BS36/(MONTH($BL36)-MONTH($BK36)+1),"")</f>
        <v/>
      </c>
      <c r="CM36" s="80" t="str">
        <f>IF(AND(UO_List[[#This Row],[Budget Revue]]="x",$BK36&lt;&gt;"",$BL36&lt;&gt;"",YEAR(BM$3)=YEAR($BK36),MONTH(BM$3)&gt;=MONTH($BK36),MONTH(BM$3)&lt;=MONTH($BL36)),$BS36/(MONTH($BL36)-MONTH($BK36)+1),"")</f>
        <v/>
      </c>
      <c r="CN36" s="75">
        <f>IF(UO_List[[#This Row],[Budget Revue]]="x",SUM(UO_List[[#This Row],[JANVIER]:[DECEMBRE]])-UO_List[[#This Row],[Jours Tech]],"")</f>
        <v>0</v>
      </c>
      <c r="CO36" s="348" t="str">
        <f>IF(AND(UO_List[[#This Row],[Budget Revue]]="x",$BK36&lt;&gt;"",$BL36&lt;&gt;"",YEAR(BO$3)=YEAR($BK36),MONTH(BO$3)&gt;=MONTH($BK36),MONTH(BO$3)&lt;=MONTH($BL36)),UO_List[[#This Row],[Montant TOTAL]]/(MONTH($BL36)-MONTH($BK36)+1),"")</f>
        <v/>
      </c>
      <c r="CP36" s="348" t="str">
        <f>IF(AND(UO_List[[#This Row],[Budget Revue]]="x",$BK36&lt;&gt;"",$BL36&lt;&gt;"",YEAR(BP$3)=YEAR($BK36),MONTH(BP$3)&gt;=MONTH($BK36),MONTH(BP$3)&lt;=MONTH($BL36)),UO_List[[#This Row],[Montant TOTAL]]/(MONTH($BL36)-MONTH($BK36)+1),"")</f>
        <v/>
      </c>
      <c r="CQ36" s="348" t="str">
        <f>IF(AND(UO_List[[#This Row],[Budget Revue]]="x",$BK36&lt;&gt;"",$BL36&lt;&gt;"",YEAR(BQ$3)=YEAR($BK36),MONTH(BQ$3)&gt;=MONTH($BK36),MONTH(BQ$3)&lt;=MONTH($BL36)),UO_List[[#This Row],[Montant TOTAL]]/(MONTH($BL36)-MONTH($BK36)+1),"")</f>
        <v/>
      </c>
      <c r="CR36" s="348">
        <f>IF(AND(UO_List[[#This Row],[Budget Revue]]="x",$BK36&lt;&gt;"",$BL36&lt;&gt;"",YEAR(BR$3)=YEAR($BK36),MONTH(BR$3)&gt;=MONTH($BK36),MONTH(BR$3)&lt;=MONTH($BL36)),UO_List[[#This Row],[Montant TOTAL]]/(MONTH($BL36)-MONTH($BK36)+1),"")</f>
        <v>1123.3333333333333</v>
      </c>
      <c r="CS36" s="348">
        <f>IF(AND(UO_List[[#This Row],[Budget Revue]]="x",$BK36&lt;&gt;"",$BL36&lt;&gt;"",YEAR(BS$3)=YEAR($BK36),MONTH(BS$3)&gt;=MONTH($BK36),MONTH(BS$3)&lt;=MONTH($BL36)),UO_List[[#This Row],[Montant TOTAL]]/(MONTH($BL36)-MONTH($BK36)+1),"")</f>
        <v>1123.3333333333333</v>
      </c>
      <c r="CT36" s="348">
        <f>IF(AND(UO_List[[#This Row],[Budget Revue]]="x",$BK36&lt;&gt;"",$BL36&lt;&gt;"",YEAR(BT$3)=YEAR($BK36),MONTH(BT$3)&gt;=MONTH($BK36),MONTH(BT$3)&lt;=MONTH($BL36)),UO_List[[#This Row],[Montant TOTAL]]/(MONTH($BL36)-MONTH($BK36)+1),"")</f>
        <v>1123.3333333333333</v>
      </c>
      <c r="CU36" s="348" t="str">
        <f>IF(AND(UO_List[[#This Row],[Budget Revue]]="x",$BK36&lt;&gt;"",$BL36&lt;&gt;"",YEAR(BU$3)=YEAR($BK36),MONTH(BU$3)&gt;=MONTH($BK36),MONTH(BU$3)&lt;=MONTH($BL36)),UO_List[[#This Row],[Montant TOTAL]]/(MONTH($BL36)-MONTH($BK36)+1),"")</f>
        <v/>
      </c>
      <c r="CV36" s="348" t="str">
        <f>IF(AND(UO_List[[#This Row],[Budget Revue]]="x",$BK36&lt;&gt;"",$BL36&lt;&gt;"",YEAR(BV$3)=YEAR($BK36),MONTH(BV$3)&gt;=MONTH($BK36),MONTH(BV$3)&lt;=MONTH($BL36)),UO_List[[#This Row],[Montant TOTAL]]/(MONTH($BL36)-MONTH($BK36)+1),"")</f>
        <v/>
      </c>
      <c r="CW36" s="348" t="str">
        <f>IF(AND(UO_List[[#This Row],[Budget Revue]]="x",$BK36&lt;&gt;"",$BL36&lt;&gt;"",YEAR(BW$3)=YEAR($BK36),MONTH(BW$3)&gt;=MONTH($BK36),MONTH(BW$3)&lt;=MONTH($BL36)),UO_List[[#This Row],[Montant TOTAL]]/(MONTH($BL36)-MONTH($BK36)+1),"")</f>
        <v/>
      </c>
      <c r="CX36" s="348" t="str">
        <f>IF(AND(UO_List[[#This Row],[Budget Revue]]="x",$BK36&lt;&gt;"",$BL36&lt;&gt;"",YEAR(BX$3)=YEAR($BK36),MONTH(BX$3)&gt;=MONTH($BK36),MONTH(BX$3)&lt;=MONTH($BL36)),UO_List[[#This Row],[Montant TOTAL]]/(MONTH($BL36)-MONTH($BK36)+1),"")</f>
        <v/>
      </c>
      <c r="CY36" s="348" t="str">
        <f>IF(AND(UO_List[[#This Row],[Budget Revue]]="x",$BK36&lt;&gt;"",$BL36&lt;&gt;"",YEAR(BY$3)=YEAR($BK36),MONTH(BY$3)&gt;=MONTH($BK36),MONTH(BY$3)&lt;=MONTH($BL36)),UO_List[[#This Row],[Montant TOTAL]]/(MONTH($BL36)-MONTH($BK36)+1),"")</f>
        <v/>
      </c>
      <c r="CZ36" s="348" t="str">
        <f>IF(AND(UO_List[[#This Row],[Budget Revue]]="x",$BK36&lt;&gt;"",$BL36&lt;&gt;"",YEAR(BY$3)=YEAR($BK36),MONTH(BY$3)&gt;=MONTH($BK36),MONTH(BY$3)&lt;=MONTH($BL36)),UO_List[[#This Row],[Montant TOTAL]]/(MONTH($BL36)-MONTH($BK36)+1),"")</f>
        <v/>
      </c>
      <c r="DA36" s="348">
        <f>IF(UO_List[[#This Row],[Budget Revue]]="x",SUM(UO_List[[#This Row],[JANVIER2]:[DECEMBRE2]])-UO_List[Montant TOTAL],"")</f>
        <v>0</v>
      </c>
      <c r="DB36" s="517">
        <v>1</v>
      </c>
      <c r="DC36" s="83"/>
      <c r="DD36" s="83"/>
      <c r="DE36" s="83"/>
      <c r="DF36" s="83"/>
      <c r="DG36" s="83"/>
      <c r="DH36" s="83"/>
      <c r="DI36" s="83"/>
      <c r="DJ36" s="83"/>
      <c r="DK36" s="83"/>
      <c r="DL36" s="83"/>
      <c r="DM36" s="83"/>
      <c r="DN36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36" s="76">
        <f>IFERROR(UO_List[[#This Row],[Line Total]]-UO_List[[#This Row],[Montant total réceptionné]],"")</f>
        <v>1685</v>
      </c>
      <c r="DP36" s="76">
        <f>IFERROR(UO_List[[#This Row],[Total item réceptionné]]*UO_List[[#This Row],[Unit Price (calcul)]],0)</f>
        <v>1685</v>
      </c>
      <c r="DQ36" s="76">
        <f>UO_List[[#This Row],[Facteur]]-UO_List[[#This Row],[Total item réceptionné]]</f>
        <v>1</v>
      </c>
      <c r="DR36" s="77"/>
      <c r="DS36" s="77"/>
      <c r="DT36" s="158"/>
      <c r="DU36" s="77"/>
    </row>
    <row r="37" spans="27:125" s="74" customFormat="1">
      <c r="AA37" s="192" t="str">
        <f>IFERROR(VLOOKUP(UO_List[[#This Row],[Unique_AIB_ID]],Tableau1[[Unique_AIB_ID]:[Building / Room]],2,FALSE),"")</f>
        <v>C000489704</v>
      </c>
      <c r="AB37" s="193">
        <f>IFERROR(VLOOKUP(UO_List[[#This Row],[Unique_AIB_ID]],UO_Contract!A48:V237,3,TRUE),"")</f>
        <v>0</v>
      </c>
      <c r="AC37" s="194" t="str">
        <f>IFERROR(VLOOKUP(UO_List[[#This Row],[Unique_AIB_ID]],Tableau1[[Unique_AIB_ID]:[Building / Room]],4,FALSE),"")</f>
        <v>WPA - SII - PJOP - Airbus - WD1701094 - Flight and Integration Test CT1705359</v>
      </c>
      <c r="AD37" s="193">
        <f>IFERROR(VLOOKUP(UO_List[[#This Row],[Unique_AIB_ID]],Tableau1[[Unique_AIB_ID]:[Building / Room]],5,FALSE),"")</f>
        <v>0</v>
      </c>
      <c r="AE37" s="193">
        <f>IFERROR(VLOOKUP(UO_List[[#This Row],[Unique_AIB_ID]],Tableau1[[Unique_AIB_ID]:[Building / Room]],6,FALSE),"")</f>
        <v>7</v>
      </c>
      <c r="AF37" s="193" t="str">
        <f>IFERROR(VLOOKUP(UO_List[[#This Row],[Unique_AIB_ID]],Tableau1[[Unique_AIB_ID]:[Building / Room]],7,FALSE),"")</f>
        <v>20 Each of WU_ELEC_1[PJE_SII_EVYP_USD_AIRBUS_FR]</v>
      </c>
      <c r="AG37" s="193">
        <f>IFERROR(VLOOKUP(UO_List[[#This Row],[Unique_AIB_ID]],Tableau1[[Unique_AIB_ID]:[Building / Room]],8,FALSE),"")</f>
        <v>20</v>
      </c>
      <c r="AH37" s="195">
        <f>IFERROR(VALUE(VLOOKUP(UO_List[[#This Row],[Unique_AIB_ID]],Tableau1[[Unique_AIB_ID]:[Building / Room]],9,FALSE)),"")</f>
        <v>33700</v>
      </c>
      <c r="AI37" s="193">
        <f>IFERROR(VLOOKUP(UO_List[[#This Row],[Unique_AIB_ID]],Tableau1[[Unique_AIB_ID]:[Building / Room]],10,TRUE),"")</f>
        <v>0</v>
      </c>
      <c r="AJ37" s="196">
        <f>IFERROR(VLOOKUP(UO_List[[#This Row],[Unique_AIB_ID]],Tableau1[[Unique_AIB_ID]:[Building / Room]],11,FALSE),"")</f>
        <v>0</v>
      </c>
      <c r="AK37" s="193">
        <f>IFERROR(VLOOKUP(UO_List[[#This Row],[Unique_AIB_ID]],Tableau1[[Unique_AIB_ID]:[Building / Room]],12,FALSE),"")</f>
        <v>0</v>
      </c>
      <c r="AL37" s="193">
        <f>IFERROR(VLOOKUP(UO_List[[#This Row],[Unique_AIB_ID]],Tableau1[[Unique_AIB_ID]:[Building / Room]],13,FALSE),"")</f>
        <v>0</v>
      </c>
      <c r="AM37" s="183">
        <f>IFERROR(VLOOKUP(UO_List[[#This Row],[Unique_AIB_ID]],Tableau1[[Unique_AIB_ID]:[Building / Room]],14,FALSE),"")</f>
        <v>0</v>
      </c>
      <c r="AN37" s="183">
        <f>IFERROR(VLOOKUP(UO_List[[#This Row],[Unique_AIB_ID]],Tableau1[[Unique_AIB_ID]:[Building / Room]],15,FALSE),"")</f>
        <v>0</v>
      </c>
      <c r="AO37" s="183">
        <f>IFERROR(VLOOKUP(UO_List[[#This Row],[Unique_AIB_ID]],Tableau1[[Unique_AIB_ID]:[Building / Room]],16,FALSE),"")</f>
        <v>0</v>
      </c>
      <c r="AP37" s="183" t="str">
        <f>IFERROR(VLOOKUP(UO_List[[#This Row],[Unique_AIB_ID]],Tableau1[[Unique_AIB_ID]:[Building / Room]],17,FALSE),"")</f>
        <v>0</v>
      </c>
      <c r="AQ37" s="183">
        <f>IFERROR(VLOOKUP(UO_List[[#This Row],[Unique_AIB_ID]],Tableau1[[Unique_AIB_ID]:[Building / Room]],18,FALSE),"")</f>
        <v>0</v>
      </c>
      <c r="AR37" s="183" t="str">
        <f>IFERROR(VLOOKUP(UO_List[[#This Row],[Unique_AIB_ID]],Tableau1[[Unique_AIB_ID]:[Building / Room]],19,FALSE),"")</f>
        <v>03/25/20</v>
      </c>
      <c r="AS37" s="183">
        <f>IFERROR(VLOOKUP(UO_List[[#This Row],[Unique_AIB_ID]],Tableau1[[Unique_AIB_ID]:[Building / Room]],20,FALSE),"")</f>
        <v>0</v>
      </c>
      <c r="AT37" s="183">
        <f>IFERROR(VLOOKUP(UO_List[[#This Row],[Unique_AIB_ID]],Tableau1[[Unique_AIB_ID]:[Building / Room]],21,FALSE),"")</f>
        <v>0</v>
      </c>
      <c r="AU37" s="183" t="str">
        <f>IFERROR(VLOOKUP(UO_List[[#This Row],[Unique_AIB_ID]],Tableau1[[Unique_AIB_ID]:[Building / Room]],22,FALSE),"")</f>
        <v>M24 / A559</v>
      </c>
      <c r="AV37" s="167" t="str">
        <f>IFERROR(VLOOKUP(UO_List[[#This Row],[Unique_AIB_ID]],Tableau1[[Unique_AIB_ID]:[Currency]],23,FALSE),"")</f>
        <v>Q 1 / 30 - eFANX</v>
      </c>
      <c r="AW37" s="167">
        <f>IFERROR(IF(ISBLANK(UO_List[[#This Row],[PO Number (Header)]]),"",UO_List[[#This Row],[Line Total]]/UO_List[[#This Row],[Total Item Quantity]]),"")</f>
        <v>1685</v>
      </c>
      <c r="AX37" s="499" t="s">
        <v>971</v>
      </c>
      <c r="AY37" s="167"/>
      <c r="AZ37" s="78" t="s">
        <v>842</v>
      </c>
      <c r="BA37" s="82"/>
      <c r="BB37" s="78"/>
      <c r="BC37" s="78" t="s">
        <v>697</v>
      </c>
      <c r="BD37" s="70" t="s">
        <v>685</v>
      </c>
      <c r="BE37" s="78" t="s">
        <v>685</v>
      </c>
      <c r="BF37" s="78"/>
      <c r="BG37" s="78"/>
      <c r="BH37" s="78" t="s">
        <v>924</v>
      </c>
      <c r="BI37" s="78"/>
      <c r="BJ37" s="78"/>
      <c r="BK37" s="79">
        <v>43922</v>
      </c>
      <c r="BL37" s="79">
        <v>44012</v>
      </c>
      <c r="BM37" s="71">
        <v>20</v>
      </c>
      <c r="BN37" s="71">
        <f>IFERROR(UO_List[[#This Row],[Total Item Quantity]]-UO_List[[#This Row],[Facteur]],"")</f>
        <v>0</v>
      </c>
      <c r="BO37" s="349">
        <f>IFERROR(IF(ISBLANK(UO_List[[#This Row],[Id_UO]]),"",SUMPRODUCT(1*(EXACT(UO_List[[#This Row],[Id_UO]],CATALOGUE[Id_WU]))*CATALOGUE[Price $])),"")</f>
        <v>1685</v>
      </c>
      <c r="BP37" s="350">
        <f>IFERROR(UO_List[[#This Row],[Prix unitaire]]*UO_List[[#This Row],[Facteur]],"")</f>
        <v>33700</v>
      </c>
      <c r="BQ37" s="100">
        <f>IFERROR(SUMPRODUCT(1*(EXACT(UO_List[[#This Row],[Id_UO]],CATALOGUE[Id_WU]))*CATALOGUE[Global_Workload_PM_(d)]*UO_List[[#This Row],[Facteur]]),"")</f>
        <v>9.0000000000000036</v>
      </c>
      <c r="BR37" s="286">
        <f>UO_List[[#This Row],[Jours GP]]/jours_an</f>
        <v>4.1666666666666685E-2</v>
      </c>
      <c r="BS37" s="72">
        <f>IFERROR(SUMPRODUCT(1*(EXACT(UO_List[[#This Row],[Id_UO]],CATALOGUE[Id_WU]))*CATALOGUE[Global_Workload_Tech_(d)]*UO_List[[#This Row],[Facteur]]),"")</f>
        <v>51</v>
      </c>
      <c r="BT37" s="286">
        <f>UO_List[[#This Row],[Jours Tech]]/jours_an</f>
        <v>0.2361111111111111</v>
      </c>
      <c r="BU37" s="72">
        <f>UO_List[[#This Row],[Jours GP]]+UO_List[[#This Row],[Jours Tech]]</f>
        <v>60</v>
      </c>
      <c r="BV37" s="286">
        <f>UO_List[[#This Row],[ETP GP]]+UO_List[[#This Row],[ETP Tech]]</f>
        <v>0.27777777777777779</v>
      </c>
      <c r="BW37" s="73"/>
      <c r="BX37" s="80" t="s">
        <v>203</v>
      </c>
      <c r="BY37" s="462">
        <f>IF(UO_List[[#This Row],[Budget Revue]]="x",UO_List[[#This Row],[Montant TOTAL]],0)</f>
        <v>33700</v>
      </c>
      <c r="BZ37" s="80">
        <f>IF(UO_List[[#This Row],[Budget Revue]]="x",UO_List[[#This Row],[Jours Tech]],0)</f>
        <v>51</v>
      </c>
      <c r="CA37" s="80">
        <f>IF(UO_List[[#This Row],[Budget Revue]]="x",UO_List[[#This Row],[Jours GP]],0)</f>
        <v>9.0000000000000036</v>
      </c>
      <c r="CB37" s="516" t="str">
        <f>IF(AND(UO_List[[#This Row],[Budget Revue]]="x",$BK37&lt;&gt;"",$BL37&lt;&gt;"",YEAR(BB$3)=YEAR($BK37),MONTH(BB$3)&gt;=MONTH($BK37),MONTH(BB$3)&lt;=MONTH($BL37)),$BS37/(MONTH($BL37)-MONTH($BK37)+1),"")</f>
        <v/>
      </c>
      <c r="CC37" s="80" t="str">
        <f>IF(AND(UO_List[[#This Row],[Budget Revue]]="x",$BK37&lt;&gt;"",$BL37&lt;&gt;"",YEAR(BC$3)=YEAR($BK37),MONTH(BC$3)&gt;=MONTH($BK37),MONTH(BC$3)&lt;=MONTH($BL37)),$BS37/(MONTH($BL37)-MONTH($BK37)+1),"")</f>
        <v/>
      </c>
      <c r="CD37" s="80" t="str">
        <f>IF(AND(UO_List[[#This Row],[Budget Revue]]="x",$BK37&lt;&gt;"",$BL37&lt;&gt;"",YEAR(BD$3)=YEAR($BK37),MONTH(BD$3)&gt;=MONTH($BK37),MONTH(BD$3)&lt;=MONTH($BL37)),$BS37/(MONTH($BL37)-MONTH($BK37)+1),"")</f>
        <v/>
      </c>
      <c r="CE37" s="80">
        <f>IF(AND(UO_List[[#This Row],[Budget Revue]]="x",$BK37&lt;&gt;"",$BL37&lt;&gt;"",YEAR(BE$3)=YEAR($BK37),MONTH(BE$3)&gt;=MONTH($BK37),MONTH(BE$3)&lt;=MONTH($BL37)),$BS37/(MONTH($BL37)-MONTH($BK37)+1),"")</f>
        <v>17</v>
      </c>
      <c r="CF37" s="80">
        <f>IF(AND(UO_List[[#This Row],[Budget Revue]]="x",$BK37&lt;&gt;"",$BL37&lt;&gt;"",YEAR(BF$3)=YEAR($BK37),MONTH(BF$3)&gt;=MONTH($BK37),MONTH(BF$3)&lt;=MONTH($BL37)),$BS37/(MONTH($BL37)-MONTH($BK37)+1),"")</f>
        <v>17</v>
      </c>
      <c r="CG37" s="80">
        <f>IF(AND(UO_List[[#This Row],[Budget Revue]]="x",$BK37&lt;&gt;"",$BL37&lt;&gt;"",YEAR(BG$3)=YEAR($BK37),MONTH(BG$3)&gt;=MONTH($BK37),MONTH(BG$3)&lt;=MONTH($BL37)),$BS37/(MONTH($BL37)-MONTH($BK37)+1),"")</f>
        <v>17</v>
      </c>
      <c r="CH37" s="80" t="str">
        <f>IF(AND(UO_List[[#This Row],[Budget Revue]]="x",$BK37&lt;&gt;"",$BL37&lt;&gt;"",YEAR(BH$3)=YEAR($BK37),MONTH(BH$3)&gt;=MONTH($BK37),MONTH(BH$3)&lt;=MONTH($BL37)),$BS37/(MONTH($BL37)-MONTH($BK37)+1),"")</f>
        <v/>
      </c>
      <c r="CI37" s="80" t="str">
        <f>IF(AND(UO_List[[#This Row],[Budget Revue]]="x",$BK37&lt;&gt;"",$BL37&lt;&gt;"",YEAR(BI$3)=YEAR($BK37),MONTH(BI$3)&gt;=MONTH($BK37),MONTH(BI$3)&lt;=MONTH($BL37)),$BS37/(MONTH($BL37)-MONTH($BK37)+1),"")</f>
        <v/>
      </c>
      <c r="CJ37" s="80" t="str">
        <f>IF(AND(UO_List[[#This Row],[Budget Revue]]="x",$BK37&lt;&gt;"",$BL37&lt;&gt;"",YEAR(BJ$3)=YEAR($BK37),MONTH(BJ$3)&gt;=MONTH($BK37),MONTH(BJ$3)&lt;=MONTH($BL37)),$BS37/(MONTH($BL37)-MONTH($BK37)+1),"")</f>
        <v/>
      </c>
      <c r="CK37" s="80" t="str">
        <f>IF(AND(UO_List[[#This Row],[Budget Revue]]="x",$BK37&lt;&gt;"",$BL37&lt;&gt;"",YEAR(BK$3)=YEAR($BK37),MONTH(BK$3)&gt;=MONTH($BK37),MONTH(BK$3)&lt;=MONTH($BL37)),$BS37/(MONTH($BL37)-MONTH($BK37)+1),"")</f>
        <v/>
      </c>
      <c r="CL37" s="80" t="str">
        <f>IF(AND(UO_List[[#This Row],[Budget Revue]]="x",$BK37&lt;&gt;"",$BL37&lt;&gt;"",YEAR(BL$3)=YEAR($BK37),MONTH(BL$3)&gt;=MONTH($BK37),MONTH(BL$3)&lt;=MONTH($BL37)),$BS37/(MONTH($BL37)-MONTH($BK37)+1),"")</f>
        <v/>
      </c>
      <c r="CM37" s="80" t="str">
        <f>IF(AND(UO_List[[#This Row],[Budget Revue]]="x",$BK37&lt;&gt;"",$BL37&lt;&gt;"",YEAR(BM$3)=YEAR($BK37),MONTH(BM$3)&gt;=MONTH($BK37),MONTH(BM$3)&lt;=MONTH($BL37)),$BS37/(MONTH($BL37)-MONTH($BK37)+1),"")</f>
        <v/>
      </c>
      <c r="CN37" s="75">
        <f>IF(UO_List[[#This Row],[Budget Revue]]="x",SUM(UO_List[[#This Row],[JANVIER]:[DECEMBRE]])-UO_List[[#This Row],[Jours Tech]],"")</f>
        <v>0</v>
      </c>
      <c r="CO37" s="348" t="str">
        <f>IF(AND(UO_List[[#This Row],[Budget Revue]]="x",$BK37&lt;&gt;"",$BL37&lt;&gt;"",YEAR(BO$3)=YEAR($BK37),MONTH(BO$3)&gt;=MONTH($BK37),MONTH(BO$3)&lt;=MONTH($BL37)),UO_List[[#This Row],[Montant TOTAL]]/(MONTH($BL37)-MONTH($BK37)+1),"")</f>
        <v/>
      </c>
      <c r="CP37" s="348" t="str">
        <f>IF(AND(UO_List[[#This Row],[Budget Revue]]="x",$BK37&lt;&gt;"",$BL37&lt;&gt;"",YEAR(BP$3)=YEAR($BK37),MONTH(BP$3)&gt;=MONTH($BK37),MONTH(BP$3)&lt;=MONTH($BL37)),UO_List[[#This Row],[Montant TOTAL]]/(MONTH($BL37)-MONTH($BK37)+1),"")</f>
        <v/>
      </c>
      <c r="CQ37" s="348" t="str">
        <f>IF(AND(UO_List[[#This Row],[Budget Revue]]="x",$BK37&lt;&gt;"",$BL37&lt;&gt;"",YEAR(BQ$3)=YEAR($BK37),MONTH(BQ$3)&gt;=MONTH($BK37),MONTH(BQ$3)&lt;=MONTH($BL37)),UO_List[[#This Row],[Montant TOTAL]]/(MONTH($BL37)-MONTH($BK37)+1),"")</f>
        <v/>
      </c>
      <c r="CR37" s="348">
        <f>IF(AND(UO_List[[#This Row],[Budget Revue]]="x",$BK37&lt;&gt;"",$BL37&lt;&gt;"",YEAR(BR$3)=YEAR($BK37),MONTH(BR$3)&gt;=MONTH($BK37),MONTH(BR$3)&lt;=MONTH($BL37)),UO_List[[#This Row],[Montant TOTAL]]/(MONTH($BL37)-MONTH($BK37)+1),"")</f>
        <v>11233.333333333334</v>
      </c>
      <c r="CS37" s="348">
        <f>IF(AND(UO_List[[#This Row],[Budget Revue]]="x",$BK37&lt;&gt;"",$BL37&lt;&gt;"",YEAR(BS$3)=YEAR($BK37),MONTH(BS$3)&gt;=MONTH($BK37),MONTH(BS$3)&lt;=MONTH($BL37)),UO_List[[#This Row],[Montant TOTAL]]/(MONTH($BL37)-MONTH($BK37)+1),"")</f>
        <v>11233.333333333334</v>
      </c>
      <c r="CT37" s="348">
        <f>IF(AND(UO_List[[#This Row],[Budget Revue]]="x",$BK37&lt;&gt;"",$BL37&lt;&gt;"",YEAR(BT$3)=YEAR($BK37),MONTH(BT$3)&gt;=MONTH($BK37),MONTH(BT$3)&lt;=MONTH($BL37)),UO_List[[#This Row],[Montant TOTAL]]/(MONTH($BL37)-MONTH($BK37)+1),"")</f>
        <v>11233.333333333334</v>
      </c>
      <c r="CU37" s="348" t="str">
        <f>IF(AND(UO_List[[#This Row],[Budget Revue]]="x",$BK37&lt;&gt;"",$BL37&lt;&gt;"",YEAR(BU$3)=YEAR($BK37),MONTH(BU$3)&gt;=MONTH($BK37),MONTH(BU$3)&lt;=MONTH($BL37)),UO_List[[#This Row],[Montant TOTAL]]/(MONTH($BL37)-MONTH($BK37)+1),"")</f>
        <v/>
      </c>
      <c r="CV37" s="348" t="str">
        <f>IF(AND(UO_List[[#This Row],[Budget Revue]]="x",$BK37&lt;&gt;"",$BL37&lt;&gt;"",YEAR(BV$3)=YEAR($BK37),MONTH(BV$3)&gt;=MONTH($BK37),MONTH(BV$3)&lt;=MONTH($BL37)),UO_List[[#This Row],[Montant TOTAL]]/(MONTH($BL37)-MONTH($BK37)+1),"")</f>
        <v/>
      </c>
      <c r="CW37" s="348" t="str">
        <f>IF(AND(UO_List[[#This Row],[Budget Revue]]="x",$BK37&lt;&gt;"",$BL37&lt;&gt;"",YEAR(BW$3)=YEAR($BK37),MONTH(BW$3)&gt;=MONTH($BK37),MONTH(BW$3)&lt;=MONTH($BL37)),UO_List[[#This Row],[Montant TOTAL]]/(MONTH($BL37)-MONTH($BK37)+1),"")</f>
        <v/>
      </c>
      <c r="CX37" s="348" t="str">
        <f>IF(AND(UO_List[[#This Row],[Budget Revue]]="x",$BK37&lt;&gt;"",$BL37&lt;&gt;"",YEAR(BX$3)=YEAR($BK37),MONTH(BX$3)&gt;=MONTH($BK37),MONTH(BX$3)&lt;=MONTH($BL37)),UO_List[[#This Row],[Montant TOTAL]]/(MONTH($BL37)-MONTH($BK37)+1),"")</f>
        <v/>
      </c>
      <c r="CY37" s="348" t="str">
        <f>IF(AND(UO_List[[#This Row],[Budget Revue]]="x",$BK37&lt;&gt;"",$BL37&lt;&gt;"",YEAR(BY$3)=YEAR($BK37),MONTH(BY$3)&gt;=MONTH($BK37),MONTH(BY$3)&lt;=MONTH($BL37)),UO_List[[#This Row],[Montant TOTAL]]/(MONTH($BL37)-MONTH($BK37)+1),"")</f>
        <v/>
      </c>
      <c r="CZ37" s="348" t="str">
        <f>IF(AND(UO_List[[#This Row],[Budget Revue]]="x",$BK37&lt;&gt;"",$BL37&lt;&gt;"",YEAR(BY$3)=YEAR($BK37),MONTH(BY$3)&gt;=MONTH($BK37),MONTH(BY$3)&lt;=MONTH($BL37)),UO_List[[#This Row],[Montant TOTAL]]/(MONTH($BL37)-MONTH($BK37)+1),"")</f>
        <v/>
      </c>
      <c r="DA37" s="348">
        <f>IF(UO_List[[#This Row],[Budget Revue]]="x",SUM(UO_List[[#This Row],[JANVIER2]:[DECEMBRE2]])-UO_List[Montant TOTAL],"")</f>
        <v>0</v>
      </c>
      <c r="DB37" s="517">
        <v>8</v>
      </c>
      <c r="DC37" s="83"/>
      <c r="DD37" s="83"/>
      <c r="DE37" s="83"/>
      <c r="DF37" s="83"/>
      <c r="DG37" s="83"/>
      <c r="DH37" s="83"/>
      <c r="DI37" s="83"/>
      <c r="DJ37" s="83"/>
      <c r="DK37" s="83"/>
      <c r="DL37" s="83"/>
      <c r="DM37" s="83"/>
      <c r="DN37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8</v>
      </c>
      <c r="DO37" s="76">
        <f>IFERROR(UO_List[[#This Row],[Line Total]]-UO_List[[#This Row],[Montant total réceptionné]],"")</f>
        <v>20220</v>
      </c>
      <c r="DP37" s="76">
        <f>IFERROR(UO_List[[#This Row],[Total item réceptionné]]*UO_List[[#This Row],[Unit Price (calcul)]],0)</f>
        <v>13480</v>
      </c>
      <c r="DQ37" s="76">
        <f>UO_List[[#This Row],[Facteur]]-UO_List[[#This Row],[Total item réceptionné]]</f>
        <v>12</v>
      </c>
      <c r="DR37" s="77"/>
      <c r="DS37" s="77"/>
      <c r="DT37" s="158"/>
      <c r="DU37" s="77"/>
    </row>
    <row r="38" spans="27:125" s="74" customFormat="1">
      <c r="AA38" s="188" t="str">
        <f>IFERROR(VLOOKUP(UO_List[[#This Row],[Unique_AIB_ID]],Tableau1[[Unique_AIB_ID]:[Building / Room]],2,FALSE),"")</f>
        <v>C000489704</v>
      </c>
      <c r="AB38" s="189">
        <f>IFERROR(VLOOKUP(UO_List[[#This Row],[Unique_AIB_ID]],UO_Contract!A49:V238,3,TRUE),"")</f>
        <v>0</v>
      </c>
      <c r="AC38" s="188" t="str">
        <f>IFERROR(VLOOKUP(UO_List[[#This Row],[Unique_AIB_ID]],Tableau1[[Unique_AIB_ID]:[Building / Room]],4,FALSE),"")</f>
        <v>WPA - SII - PJOP - Airbus - WD1701094 - Flight and Integration Test CT1705359</v>
      </c>
      <c r="AD38" s="189">
        <f>IFERROR(VLOOKUP(UO_List[[#This Row],[Unique_AIB_ID]],Tableau1[[Unique_AIB_ID]:[Building / Room]],5,FALSE),"")</f>
        <v>0</v>
      </c>
      <c r="AE38" s="189">
        <f>IFERROR(VLOOKUP(UO_List[[#This Row],[Unique_AIB_ID]],Tableau1[[Unique_AIB_ID]:[Building / Room]],6,FALSE),"")</f>
        <v>8</v>
      </c>
      <c r="AF38" s="189" t="str">
        <f>IFERROR(VLOOKUP(UO_List[[#This Row],[Unique_AIB_ID]],Tableau1[[Unique_AIB_ID]:[Building / Room]],7,FALSE),"")</f>
        <v>30 Each of WU_ELEC_1[PJE_SII_EVYP_USD_AIRBUS_FR]</v>
      </c>
      <c r="AG38" s="189">
        <f>IFERROR(VLOOKUP(UO_List[[#This Row],[Unique_AIB_ID]],Tableau1[[Unique_AIB_ID]:[Building / Room]],8,FALSE),"")</f>
        <v>30</v>
      </c>
      <c r="AH38" s="190">
        <f>IFERROR(VALUE(VLOOKUP(UO_List[[#This Row],[Unique_AIB_ID]],Tableau1[[Unique_AIB_ID]:[Building / Room]],9,FALSE)),"")</f>
        <v>50550</v>
      </c>
      <c r="AI38" s="189">
        <f>IFERROR(VLOOKUP(UO_List[[#This Row],[Unique_AIB_ID]],Tableau1[[Unique_AIB_ID]:[Building / Room]],10,TRUE),"")</f>
        <v>0</v>
      </c>
      <c r="AJ38" s="191">
        <f>IFERROR(VLOOKUP(UO_List[[#This Row],[Unique_AIB_ID]],Tableau1[[Unique_AIB_ID]:[Building / Room]],11,FALSE),"")</f>
        <v>0</v>
      </c>
      <c r="AK38" s="189">
        <f>IFERROR(VLOOKUP(UO_List[[#This Row],[Unique_AIB_ID]],Tableau1[[Unique_AIB_ID]:[Building / Room]],12,FALSE),"")</f>
        <v>0</v>
      </c>
      <c r="AL38" s="189">
        <f>IFERROR(VLOOKUP(UO_List[[#This Row],[Unique_AIB_ID]],Tableau1[[Unique_AIB_ID]:[Building / Room]],13,FALSE),"")</f>
        <v>0</v>
      </c>
      <c r="AM38" s="183">
        <f>IFERROR(VLOOKUP(UO_List[[#This Row],[Unique_AIB_ID]],Tableau1[[Unique_AIB_ID]:[Building / Room]],14,FALSE),"")</f>
        <v>0</v>
      </c>
      <c r="AN38" s="183">
        <f>IFERROR(VLOOKUP(UO_List[[#This Row],[Unique_AIB_ID]],Tableau1[[Unique_AIB_ID]:[Building / Room]],15,FALSE),"")</f>
        <v>0</v>
      </c>
      <c r="AO38" s="183">
        <f>IFERROR(VLOOKUP(UO_List[[#This Row],[Unique_AIB_ID]],Tableau1[[Unique_AIB_ID]:[Building / Room]],16,FALSE),"")</f>
        <v>0</v>
      </c>
      <c r="AP38" s="183" t="str">
        <f>IFERROR(VLOOKUP(UO_List[[#This Row],[Unique_AIB_ID]],Tableau1[[Unique_AIB_ID]:[Building / Room]],17,FALSE),"")</f>
        <v>0</v>
      </c>
      <c r="AQ38" s="183">
        <f>IFERROR(VLOOKUP(UO_List[[#This Row],[Unique_AIB_ID]],Tableau1[[Unique_AIB_ID]:[Building / Room]],18,FALSE),"")</f>
        <v>0</v>
      </c>
      <c r="AR38" s="183" t="str">
        <f>IFERROR(VLOOKUP(UO_List[[#This Row],[Unique_AIB_ID]],Tableau1[[Unique_AIB_ID]:[Building / Room]],19,FALSE),"")</f>
        <v>03/25/20</v>
      </c>
      <c r="AS38" s="183">
        <f>IFERROR(VLOOKUP(UO_List[[#This Row],[Unique_AIB_ID]],Tableau1[[Unique_AIB_ID]:[Building / Room]],20,FALSE),"")</f>
        <v>0</v>
      </c>
      <c r="AT38" s="183">
        <f>IFERROR(VLOOKUP(UO_List[[#This Row],[Unique_AIB_ID]],Tableau1[[Unique_AIB_ID]:[Building / Room]],21,FALSE),"")</f>
        <v>0</v>
      </c>
      <c r="AU38" s="183" t="str">
        <f>IFERROR(VLOOKUP(UO_List[[#This Row],[Unique_AIB_ID]],Tableau1[[Unique_AIB_ID]:[Building / Room]],22,FALSE),"")</f>
        <v>M24 / A559</v>
      </c>
      <c r="AV38" s="167" t="str">
        <f>IFERROR(VLOOKUP(UO_List[[#This Row],[Unique_AIB_ID]],Tableau1[[Unique_AIB_ID]:[Currency]],23,FALSE),"")</f>
        <v>Q 1 / 22 - Arc Tracking ARROW</v>
      </c>
      <c r="AW38" s="167">
        <f>IFERROR(IF(ISBLANK(UO_List[[#This Row],[PO Number (Header)]]),"",UO_List[[#This Row],[Line Total]]/UO_List[[#This Row],[Total Item Quantity]]),"")</f>
        <v>1685</v>
      </c>
      <c r="AX38" s="499" t="s">
        <v>972</v>
      </c>
      <c r="AY38" s="167"/>
      <c r="AZ38" s="78" t="s">
        <v>842</v>
      </c>
      <c r="BA38" s="82"/>
      <c r="BB38" s="78"/>
      <c r="BC38" s="78" t="s">
        <v>697</v>
      </c>
      <c r="BD38" s="70" t="s">
        <v>685</v>
      </c>
      <c r="BE38" s="78" t="s">
        <v>685</v>
      </c>
      <c r="BF38" s="78"/>
      <c r="BG38" s="78"/>
      <c r="BH38" s="78" t="s">
        <v>925</v>
      </c>
      <c r="BI38" s="78"/>
      <c r="BJ38" s="78"/>
      <c r="BK38" s="79">
        <v>43922</v>
      </c>
      <c r="BL38" s="79">
        <v>44012</v>
      </c>
      <c r="BM38" s="71">
        <v>30</v>
      </c>
      <c r="BN38" s="71">
        <f>IFERROR(UO_List[[#This Row],[Total Item Quantity]]-UO_List[[#This Row],[Facteur]],"")</f>
        <v>0</v>
      </c>
      <c r="BO38" s="349">
        <f>IFERROR(IF(ISBLANK(UO_List[[#This Row],[Id_UO]]),"",SUMPRODUCT(1*(EXACT(UO_List[[#This Row],[Id_UO]],CATALOGUE[Id_WU]))*CATALOGUE[Price $])),"")</f>
        <v>1685</v>
      </c>
      <c r="BP38" s="350">
        <f>IFERROR(UO_List[[#This Row],[Prix unitaire]]*UO_List[[#This Row],[Facteur]],"")</f>
        <v>50550</v>
      </c>
      <c r="BQ38" s="100">
        <f>IFERROR(SUMPRODUCT(1*(EXACT(UO_List[[#This Row],[Id_UO]],CATALOGUE[Id_WU]))*CATALOGUE[Global_Workload_PM_(d)]*UO_List[[#This Row],[Facteur]]),"")</f>
        <v>13.500000000000005</v>
      </c>
      <c r="BR38" s="286">
        <f>UO_List[[#This Row],[Jours GP]]/jours_an</f>
        <v>6.2500000000000028E-2</v>
      </c>
      <c r="BS38" s="72">
        <f>IFERROR(SUMPRODUCT(1*(EXACT(UO_List[[#This Row],[Id_UO]],CATALOGUE[Id_WU]))*CATALOGUE[Global_Workload_Tech_(d)]*UO_List[[#This Row],[Facteur]]),"")</f>
        <v>76.5</v>
      </c>
      <c r="BT38" s="286">
        <f>UO_List[[#This Row],[Jours Tech]]/jours_an</f>
        <v>0.35416666666666669</v>
      </c>
      <c r="BU38" s="72">
        <f>UO_List[[#This Row],[Jours GP]]+UO_List[[#This Row],[Jours Tech]]</f>
        <v>90</v>
      </c>
      <c r="BV38" s="286">
        <f>UO_List[[#This Row],[ETP GP]]+UO_List[[#This Row],[ETP Tech]]</f>
        <v>0.41666666666666674</v>
      </c>
      <c r="BW38" s="73"/>
      <c r="BX38" s="80" t="s">
        <v>203</v>
      </c>
      <c r="BY38" s="462">
        <f>IF(UO_List[[#This Row],[Budget Revue]]="x",UO_List[[#This Row],[Montant TOTAL]],0)</f>
        <v>50550</v>
      </c>
      <c r="BZ38" s="80">
        <f>IF(UO_List[[#This Row],[Budget Revue]]="x",UO_List[[#This Row],[Jours Tech]],0)</f>
        <v>76.5</v>
      </c>
      <c r="CA38" s="80">
        <f>IF(UO_List[[#This Row],[Budget Revue]]="x",UO_List[[#This Row],[Jours GP]],0)</f>
        <v>13.500000000000005</v>
      </c>
      <c r="CB38" s="516" t="str">
        <f>IF(AND(UO_List[[#This Row],[Budget Revue]]="x",$BK38&lt;&gt;"",$BL38&lt;&gt;"",YEAR(BB$3)=YEAR($BK38),MONTH(BB$3)&gt;=MONTH($BK38),MONTH(BB$3)&lt;=MONTH($BL38)),$BS38/(MONTH($BL38)-MONTH($BK38)+1),"")</f>
        <v/>
      </c>
      <c r="CC38" s="80" t="str">
        <f>IF(AND(UO_List[[#This Row],[Budget Revue]]="x",$BK38&lt;&gt;"",$BL38&lt;&gt;"",YEAR(BC$3)=YEAR($BK38),MONTH(BC$3)&gt;=MONTH($BK38),MONTH(BC$3)&lt;=MONTH($BL38)),$BS38/(MONTH($BL38)-MONTH($BK38)+1),"")</f>
        <v/>
      </c>
      <c r="CD38" s="80" t="str">
        <f>IF(AND(UO_List[[#This Row],[Budget Revue]]="x",$BK38&lt;&gt;"",$BL38&lt;&gt;"",YEAR(BD$3)=YEAR($BK38),MONTH(BD$3)&gt;=MONTH($BK38),MONTH(BD$3)&lt;=MONTH($BL38)),$BS38/(MONTH($BL38)-MONTH($BK38)+1),"")</f>
        <v/>
      </c>
      <c r="CE38" s="80">
        <f>IF(AND(UO_List[[#This Row],[Budget Revue]]="x",$BK38&lt;&gt;"",$BL38&lt;&gt;"",YEAR(BE$3)=YEAR($BK38),MONTH(BE$3)&gt;=MONTH($BK38),MONTH(BE$3)&lt;=MONTH($BL38)),$BS38/(MONTH($BL38)-MONTH($BK38)+1),"")</f>
        <v>25.5</v>
      </c>
      <c r="CF38" s="80">
        <f>IF(AND(UO_List[[#This Row],[Budget Revue]]="x",$BK38&lt;&gt;"",$BL38&lt;&gt;"",YEAR(BF$3)=YEAR($BK38),MONTH(BF$3)&gt;=MONTH($BK38),MONTH(BF$3)&lt;=MONTH($BL38)),$BS38/(MONTH($BL38)-MONTH($BK38)+1),"")</f>
        <v>25.5</v>
      </c>
      <c r="CG38" s="80">
        <f>IF(AND(UO_List[[#This Row],[Budget Revue]]="x",$BK38&lt;&gt;"",$BL38&lt;&gt;"",YEAR(BG$3)=YEAR($BK38),MONTH(BG$3)&gt;=MONTH($BK38),MONTH(BG$3)&lt;=MONTH($BL38)),$BS38/(MONTH($BL38)-MONTH($BK38)+1),"")</f>
        <v>25.5</v>
      </c>
      <c r="CH38" s="80" t="str">
        <f>IF(AND(UO_List[[#This Row],[Budget Revue]]="x",$BK38&lt;&gt;"",$BL38&lt;&gt;"",YEAR(BH$3)=YEAR($BK38),MONTH(BH$3)&gt;=MONTH($BK38),MONTH(BH$3)&lt;=MONTH($BL38)),$BS38/(MONTH($BL38)-MONTH($BK38)+1),"")</f>
        <v/>
      </c>
      <c r="CI38" s="80" t="str">
        <f>IF(AND(UO_List[[#This Row],[Budget Revue]]="x",$BK38&lt;&gt;"",$BL38&lt;&gt;"",YEAR(BI$3)=YEAR($BK38),MONTH(BI$3)&gt;=MONTH($BK38),MONTH(BI$3)&lt;=MONTH($BL38)),$BS38/(MONTH($BL38)-MONTH($BK38)+1),"")</f>
        <v/>
      </c>
      <c r="CJ38" s="80" t="str">
        <f>IF(AND(UO_List[[#This Row],[Budget Revue]]="x",$BK38&lt;&gt;"",$BL38&lt;&gt;"",YEAR(BJ$3)=YEAR($BK38),MONTH(BJ$3)&gt;=MONTH($BK38),MONTH(BJ$3)&lt;=MONTH($BL38)),$BS38/(MONTH($BL38)-MONTH($BK38)+1),"")</f>
        <v/>
      </c>
      <c r="CK38" s="80" t="str">
        <f>IF(AND(UO_List[[#This Row],[Budget Revue]]="x",$BK38&lt;&gt;"",$BL38&lt;&gt;"",YEAR(BK$3)=YEAR($BK38),MONTH(BK$3)&gt;=MONTH($BK38),MONTH(BK$3)&lt;=MONTH($BL38)),$BS38/(MONTH($BL38)-MONTH($BK38)+1),"")</f>
        <v/>
      </c>
      <c r="CL38" s="80" t="str">
        <f>IF(AND(UO_List[[#This Row],[Budget Revue]]="x",$BK38&lt;&gt;"",$BL38&lt;&gt;"",YEAR(BL$3)=YEAR($BK38),MONTH(BL$3)&gt;=MONTH($BK38),MONTH(BL$3)&lt;=MONTH($BL38)),$BS38/(MONTH($BL38)-MONTH($BK38)+1),"")</f>
        <v/>
      </c>
      <c r="CM38" s="80" t="str">
        <f>IF(AND(UO_List[[#This Row],[Budget Revue]]="x",$BK38&lt;&gt;"",$BL38&lt;&gt;"",YEAR(BM$3)=YEAR($BK38),MONTH(BM$3)&gt;=MONTH($BK38),MONTH(BM$3)&lt;=MONTH($BL38)),$BS38/(MONTH($BL38)-MONTH($BK38)+1),"")</f>
        <v/>
      </c>
      <c r="CN38" s="75">
        <f>IF(UO_List[[#This Row],[Budget Revue]]="x",SUM(UO_List[[#This Row],[JANVIER]:[DECEMBRE]])-UO_List[[#This Row],[Jours Tech]],"")</f>
        <v>0</v>
      </c>
      <c r="CO38" s="348" t="str">
        <f>IF(AND(UO_List[[#This Row],[Budget Revue]]="x",$BK38&lt;&gt;"",$BL38&lt;&gt;"",YEAR(BO$3)=YEAR($BK38),MONTH(BO$3)&gt;=MONTH($BK38),MONTH(BO$3)&lt;=MONTH($BL38)),UO_List[[#This Row],[Montant TOTAL]]/(MONTH($BL38)-MONTH($BK38)+1),"")</f>
        <v/>
      </c>
      <c r="CP38" s="348" t="str">
        <f>IF(AND(UO_List[[#This Row],[Budget Revue]]="x",$BK38&lt;&gt;"",$BL38&lt;&gt;"",YEAR(BP$3)=YEAR($BK38),MONTH(BP$3)&gt;=MONTH($BK38),MONTH(BP$3)&lt;=MONTH($BL38)),UO_List[[#This Row],[Montant TOTAL]]/(MONTH($BL38)-MONTH($BK38)+1),"")</f>
        <v/>
      </c>
      <c r="CQ38" s="348" t="str">
        <f>IF(AND(UO_List[[#This Row],[Budget Revue]]="x",$BK38&lt;&gt;"",$BL38&lt;&gt;"",YEAR(BQ$3)=YEAR($BK38),MONTH(BQ$3)&gt;=MONTH($BK38),MONTH(BQ$3)&lt;=MONTH($BL38)),UO_List[[#This Row],[Montant TOTAL]]/(MONTH($BL38)-MONTH($BK38)+1),"")</f>
        <v/>
      </c>
      <c r="CR38" s="348">
        <f>IF(AND(UO_List[[#This Row],[Budget Revue]]="x",$BK38&lt;&gt;"",$BL38&lt;&gt;"",YEAR(BR$3)=YEAR($BK38),MONTH(BR$3)&gt;=MONTH($BK38),MONTH(BR$3)&lt;=MONTH($BL38)),UO_List[[#This Row],[Montant TOTAL]]/(MONTH($BL38)-MONTH($BK38)+1),"")</f>
        <v>16850</v>
      </c>
      <c r="CS38" s="348">
        <f>IF(AND(UO_List[[#This Row],[Budget Revue]]="x",$BK38&lt;&gt;"",$BL38&lt;&gt;"",YEAR(BS$3)=YEAR($BK38),MONTH(BS$3)&gt;=MONTH($BK38),MONTH(BS$3)&lt;=MONTH($BL38)),UO_List[[#This Row],[Montant TOTAL]]/(MONTH($BL38)-MONTH($BK38)+1),"")</f>
        <v>16850</v>
      </c>
      <c r="CT38" s="348">
        <f>IF(AND(UO_List[[#This Row],[Budget Revue]]="x",$BK38&lt;&gt;"",$BL38&lt;&gt;"",YEAR(BT$3)=YEAR($BK38),MONTH(BT$3)&gt;=MONTH($BK38),MONTH(BT$3)&lt;=MONTH($BL38)),UO_List[[#This Row],[Montant TOTAL]]/(MONTH($BL38)-MONTH($BK38)+1),"")</f>
        <v>16850</v>
      </c>
      <c r="CU38" s="348" t="str">
        <f>IF(AND(UO_List[[#This Row],[Budget Revue]]="x",$BK38&lt;&gt;"",$BL38&lt;&gt;"",YEAR(BU$3)=YEAR($BK38),MONTH(BU$3)&gt;=MONTH($BK38),MONTH(BU$3)&lt;=MONTH($BL38)),UO_List[[#This Row],[Montant TOTAL]]/(MONTH($BL38)-MONTH($BK38)+1),"")</f>
        <v/>
      </c>
      <c r="CV38" s="348" t="str">
        <f>IF(AND(UO_List[[#This Row],[Budget Revue]]="x",$BK38&lt;&gt;"",$BL38&lt;&gt;"",YEAR(BV$3)=YEAR($BK38),MONTH(BV$3)&gt;=MONTH($BK38),MONTH(BV$3)&lt;=MONTH($BL38)),UO_List[[#This Row],[Montant TOTAL]]/(MONTH($BL38)-MONTH($BK38)+1),"")</f>
        <v/>
      </c>
      <c r="CW38" s="348" t="str">
        <f>IF(AND(UO_List[[#This Row],[Budget Revue]]="x",$BK38&lt;&gt;"",$BL38&lt;&gt;"",YEAR(BW$3)=YEAR($BK38),MONTH(BW$3)&gt;=MONTH($BK38),MONTH(BW$3)&lt;=MONTH($BL38)),UO_List[[#This Row],[Montant TOTAL]]/(MONTH($BL38)-MONTH($BK38)+1),"")</f>
        <v/>
      </c>
      <c r="CX38" s="348" t="str">
        <f>IF(AND(UO_List[[#This Row],[Budget Revue]]="x",$BK38&lt;&gt;"",$BL38&lt;&gt;"",YEAR(BX$3)=YEAR($BK38),MONTH(BX$3)&gt;=MONTH($BK38),MONTH(BX$3)&lt;=MONTH($BL38)),UO_List[[#This Row],[Montant TOTAL]]/(MONTH($BL38)-MONTH($BK38)+1),"")</f>
        <v/>
      </c>
      <c r="CY38" s="348" t="str">
        <f>IF(AND(UO_List[[#This Row],[Budget Revue]]="x",$BK38&lt;&gt;"",$BL38&lt;&gt;"",YEAR(BY$3)=YEAR($BK38),MONTH(BY$3)&gt;=MONTH($BK38),MONTH(BY$3)&lt;=MONTH($BL38)),UO_List[[#This Row],[Montant TOTAL]]/(MONTH($BL38)-MONTH($BK38)+1),"")</f>
        <v/>
      </c>
      <c r="CZ38" s="348" t="str">
        <f>IF(AND(UO_List[[#This Row],[Budget Revue]]="x",$BK38&lt;&gt;"",$BL38&lt;&gt;"",YEAR(BY$3)=YEAR($BK38),MONTH(BY$3)&gt;=MONTH($BK38),MONTH(BY$3)&lt;=MONTH($BL38)),UO_List[[#This Row],[Montant TOTAL]]/(MONTH($BL38)-MONTH($BK38)+1),"")</f>
        <v/>
      </c>
      <c r="DA38" s="348">
        <f>IF(UO_List[[#This Row],[Budget Revue]]="x",SUM(UO_List[[#This Row],[JANVIER2]:[DECEMBRE2]])-UO_List[Montant TOTAL],"")</f>
        <v>0</v>
      </c>
      <c r="DB38" s="517">
        <v>8</v>
      </c>
      <c r="DC38" s="83"/>
      <c r="DD38" s="83"/>
      <c r="DE38" s="83"/>
      <c r="DF38" s="83"/>
      <c r="DG38" s="83"/>
      <c r="DH38" s="83"/>
      <c r="DI38" s="83"/>
      <c r="DJ38" s="83"/>
      <c r="DK38" s="83"/>
      <c r="DL38" s="83"/>
      <c r="DM38" s="83"/>
      <c r="DN38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8</v>
      </c>
      <c r="DO38" s="76">
        <f>IFERROR(UO_List[[#This Row],[Line Total]]-UO_List[[#This Row],[Montant total réceptionné]],"")</f>
        <v>37070</v>
      </c>
      <c r="DP38" s="76">
        <f>IFERROR(UO_List[[#This Row],[Total item réceptionné]]*UO_List[[#This Row],[Unit Price (calcul)]],0)</f>
        <v>13480</v>
      </c>
      <c r="DQ38" s="76">
        <f>UO_List[[#This Row],[Facteur]]-UO_List[[#This Row],[Total item réceptionné]]</f>
        <v>22</v>
      </c>
      <c r="DR38" s="77"/>
      <c r="DS38" s="77"/>
      <c r="DT38" s="158"/>
      <c r="DU38" s="77"/>
    </row>
    <row r="39" spans="27:125" s="74" customFormat="1">
      <c r="AA39" s="188" t="str">
        <f>IFERROR(VLOOKUP(UO_List[[#This Row],[Unique_AIB_ID]],Tableau1[[Unique_AIB_ID]:[Building / Room]],2,FALSE),"")</f>
        <v>C000489704</v>
      </c>
      <c r="AB39" s="189">
        <f>IFERROR(VLOOKUP(UO_List[[#This Row],[Unique_AIB_ID]],UO_Contract!A50:V239,3,TRUE),"")</f>
        <v>0</v>
      </c>
      <c r="AC39" s="188" t="str">
        <f>IFERROR(VLOOKUP(UO_List[[#This Row],[Unique_AIB_ID]],Tableau1[[Unique_AIB_ID]:[Building / Room]],4,FALSE),"")</f>
        <v>WPA - SII - PJOP - Airbus - WD1701094 - Flight and Integration Test CT1705359</v>
      </c>
      <c r="AD39" s="189">
        <f>IFERROR(VLOOKUP(UO_List[[#This Row],[Unique_AIB_ID]],Tableau1[[Unique_AIB_ID]:[Building / Room]],5,FALSE),"")</f>
        <v>0</v>
      </c>
      <c r="AE39" s="189">
        <f>IFERROR(VLOOKUP(UO_List[[#This Row],[Unique_AIB_ID]],Tableau1[[Unique_AIB_ID]:[Building / Room]],6,FALSE),"")</f>
        <v>9</v>
      </c>
      <c r="AF39" s="189" t="str">
        <f>IFERROR(VLOOKUP(UO_List[[#This Row],[Unique_AIB_ID]],Tableau1[[Unique_AIB_ID]:[Building / Room]],7,FALSE),"")</f>
        <v>20 Each of WU_ELEC_1[PJE_SII_EVYP_USD_AIRBUS_FR]</v>
      </c>
      <c r="AG39" s="189">
        <f>IFERROR(VLOOKUP(UO_List[[#This Row],[Unique_AIB_ID]],Tableau1[[Unique_AIB_ID]:[Building / Room]],8,FALSE),"")</f>
        <v>20</v>
      </c>
      <c r="AH39" s="190">
        <f>IFERROR(VALUE(VLOOKUP(UO_List[[#This Row],[Unique_AIB_ID]],Tableau1[[Unique_AIB_ID]:[Building / Room]],9,FALSE)),"")</f>
        <v>33700</v>
      </c>
      <c r="AI39" s="189">
        <f>IFERROR(VLOOKUP(UO_List[[#This Row],[Unique_AIB_ID]],Tableau1[[Unique_AIB_ID]:[Building / Room]],10,TRUE),"")</f>
        <v>0</v>
      </c>
      <c r="AJ39" s="191">
        <f>IFERROR(VLOOKUP(UO_List[[#This Row],[Unique_AIB_ID]],Tableau1[[Unique_AIB_ID]:[Building / Room]],11,FALSE),"")</f>
        <v>0</v>
      </c>
      <c r="AK39" s="189">
        <f>IFERROR(VLOOKUP(UO_List[[#This Row],[Unique_AIB_ID]],Tableau1[[Unique_AIB_ID]:[Building / Room]],12,FALSE),"")</f>
        <v>0</v>
      </c>
      <c r="AL39" s="189">
        <f>IFERROR(VLOOKUP(UO_List[[#This Row],[Unique_AIB_ID]],Tableau1[[Unique_AIB_ID]:[Building / Room]],13,FALSE),"")</f>
        <v>0</v>
      </c>
      <c r="AM39" s="183">
        <f>IFERROR(VLOOKUP(UO_List[[#This Row],[Unique_AIB_ID]],Tableau1[[Unique_AIB_ID]:[Building / Room]],14,FALSE),"")</f>
        <v>0</v>
      </c>
      <c r="AN39" s="183">
        <f>IFERROR(VLOOKUP(UO_List[[#This Row],[Unique_AIB_ID]],Tableau1[[Unique_AIB_ID]:[Building / Room]],15,FALSE),"")</f>
        <v>0</v>
      </c>
      <c r="AO39" s="183">
        <f>IFERROR(VLOOKUP(UO_List[[#This Row],[Unique_AIB_ID]],Tableau1[[Unique_AIB_ID]:[Building / Room]],16,FALSE),"")</f>
        <v>0</v>
      </c>
      <c r="AP39" s="183" t="str">
        <f>IFERROR(VLOOKUP(UO_List[[#This Row],[Unique_AIB_ID]],Tableau1[[Unique_AIB_ID]:[Building / Room]],17,FALSE),"")</f>
        <v>0</v>
      </c>
      <c r="AQ39" s="183">
        <f>IFERROR(VLOOKUP(UO_List[[#This Row],[Unique_AIB_ID]],Tableau1[[Unique_AIB_ID]:[Building / Room]],18,FALSE),"")</f>
        <v>0</v>
      </c>
      <c r="AR39" s="183" t="str">
        <f>IFERROR(VLOOKUP(UO_List[[#This Row],[Unique_AIB_ID]],Tableau1[[Unique_AIB_ID]:[Building / Room]],19,FALSE),"")</f>
        <v>03/25/20</v>
      </c>
      <c r="AS39" s="183">
        <f>IFERROR(VLOOKUP(UO_List[[#This Row],[Unique_AIB_ID]],Tableau1[[Unique_AIB_ID]:[Building / Room]],20,FALSE),"")</f>
        <v>0</v>
      </c>
      <c r="AT39" s="183">
        <f>IFERROR(VLOOKUP(UO_List[[#This Row],[Unique_AIB_ID]],Tableau1[[Unique_AIB_ID]:[Building / Room]],21,FALSE),"")</f>
        <v>0</v>
      </c>
      <c r="AU39" s="183" t="str">
        <f>IFERROR(VLOOKUP(UO_List[[#This Row],[Unique_AIB_ID]],Tableau1[[Unique_AIB_ID]:[Building / Room]],22,FALSE),"")</f>
        <v>M24 / A559</v>
      </c>
      <c r="AV39" s="167" t="str">
        <f>IFERROR(VLOOKUP(UO_List[[#This Row],[Unique_AIB_ID]],Tableau1[[Unique_AIB_ID]:[Currency]],23,FALSE),"")</f>
        <v>Q 1 / 25 - DEWIS</v>
      </c>
      <c r="AW39" s="167">
        <f>IFERROR(IF(ISBLANK(UO_List[[#This Row],[PO Number (Header)]]),"",UO_List[[#This Row],[Line Total]]/UO_List[[#This Row],[Total Item Quantity]]),"")</f>
        <v>1685</v>
      </c>
      <c r="AX39" s="499" t="s">
        <v>973</v>
      </c>
      <c r="AY39" s="171"/>
      <c r="AZ39" s="78" t="s">
        <v>842</v>
      </c>
      <c r="BA39" s="82"/>
      <c r="BB39" s="78"/>
      <c r="BC39" s="78" t="s">
        <v>697</v>
      </c>
      <c r="BD39" s="70" t="s">
        <v>685</v>
      </c>
      <c r="BE39" s="78" t="s">
        <v>685</v>
      </c>
      <c r="BF39" s="78"/>
      <c r="BG39" s="78"/>
      <c r="BH39" s="78" t="s">
        <v>926</v>
      </c>
      <c r="BI39" s="78"/>
      <c r="BJ39" s="78"/>
      <c r="BK39" s="79">
        <v>43922</v>
      </c>
      <c r="BL39" s="79">
        <v>44012</v>
      </c>
      <c r="BM39" s="71">
        <v>20</v>
      </c>
      <c r="BN39" s="71">
        <f>IFERROR(UO_List[[#This Row],[Total Item Quantity]]-UO_List[[#This Row],[Facteur]],"")</f>
        <v>0</v>
      </c>
      <c r="BO39" s="349">
        <f>IFERROR(IF(ISBLANK(UO_List[[#This Row],[Id_UO]]),"",SUMPRODUCT(1*(EXACT(UO_List[[#This Row],[Id_UO]],CATALOGUE[Id_WU]))*CATALOGUE[Price $])),"")</f>
        <v>1685</v>
      </c>
      <c r="BP39" s="350">
        <f>IFERROR(UO_List[[#This Row],[Prix unitaire]]*UO_List[[#This Row],[Facteur]],"")</f>
        <v>33700</v>
      </c>
      <c r="BQ39" s="100">
        <f>IFERROR(SUMPRODUCT(1*(EXACT(UO_List[[#This Row],[Id_UO]],CATALOGUE[Id_WU]))*CATALOGUE[Global_Workload_PM_(d)]*UO_List[[#This Row],[Facteur]]),"")</f>
        <v>9.0000000000000036</v>
      </c>
      <c r="BR39" s="286">
        <f>UO_List[[#This Row],[Jours GP]]/jours_an</f>
        <v>4.1666666666666685E-2</v>
      </c>
      <c r="BS39" s="72">
        <f>IFERROR(SUMPRODUCT(1*(EXACT(UO_List[[#This Row],[Id_UO]],CATALOGUE[Id_WU]))*CATALOGUE[Global_Workload_Tech_(d)]*UO_List[[#This Row],[Facteur]]),"")</f>
        <v>51</v>
      </c>
      <c r="BT39" s="286">
        <f>UO_List[[#This Row],[Jours Tech]]/jours_an</f>
        <v>0.2361111111111111</v>
      </c>
      <c r="BU39" s="72">
        <f>UO_List[[#This Row],[Jours GP]]+UO_List[[#This Row],[Jours Tech]]</f>
        <v>60</v>
      </c>
      <c r="BV39" s="286">
        <f>UO_List[[#This Row],[ETP GP]]+UO_List[[#This Row],[ETP Tech]]</f>
        <v>0.27777777777777779</v>
      </c>
      <c r="BW39" s="73"/>
      <c r="BX39" s="80" t="s">
        <v>203</v>
      </c>
      <c r="BY39" s="462">
        <f>IF(UO_List[[#This Row],[Budget Revue]]="x",UO_List[[#This Row],[Montant TOTAL]],0)</f>
        <v>33700</v>
      </c>
      <c r="BZ39" s="80">
        <f>IF(UO_List[[#This Row],[Budget Revue]]="x",UO_List[[#This Row],[Jours Tech]],0)</f>
        <v>51</v>
      </c>
      <c r="CA39" s="80">
        <f>IF(UO_List[[#This Row],[Budget Revue]]="x",UO_List[[#This Row],[Jours GP]],0)</f>
        <v>9.0000000000000036</v>
      </c>
      <c r="CB39" s="516" t="str">
        <f>IF(AND(UO_List[[#This Row],[Budget Revue]]="x",$BK39&lt;&gt;"",$BL39&lt;&gt;"",YEAR(BB$3)=YEAR($BK39),MONTH(BB$3)&gt;=MONTH($BK39),MONTH(BB$3)&lt;=MONTH($BL39)),$BS39/(MONTH($BL39)-MONTH($BK39)+1),"")</f>
        <v/>
      </c>
      <c r="CC39" s="80" t="str">
        <f>IF(AND(UO_List[[#This Row],[Budget Revue]]="x",$BK39&lt;&gt;"",$BL39&lt;&gt;"",YEAR(BC$3)=YEAR($BK39),MONTH(BC$3)&gt;=MONTH($BK39),MONTH(BC$3)&lt;=MONTH($BL39)),$BS39/(MONTH($BL39)-MONTH($BK39)+1),"")</f>
        <v/>
      </c>
      <c r="CD39" s="80" t="str">
        <f>IF(AND(UO_List[[#This Row],[Budget Revue]]="x",$BK39&lt;&gt;"",$BL39&lt;&gt;"",YEAR(BD$3)=YEAR($BK39),MONTH(BD$3)&gt;=MONTH($BK39),MONTH(BD$3)&lt;=MONTH($BL39)),$BS39/(MONTH($BL39)-MONTH($BK39)+1),"")</f>
        <v/>
      </c>
      <c r="CE39" s="80">
        <f>IF(AND(UO_List[[#This Row],[Budget Revue]]="x",$BK39&lt;&gt;"",$BL39&lt;&gt;"",YEAR(BE$3)=YEAR($BK39),MONTH(BE$3)&gt;=MONTH($BK39),MONTH(BE$3)&lt;=MONTH($BL39)),$BS39/(MONTH($BL39)-MONTH($BK39)+1),"")</f>
        <v>17</v>
      </c>
      <c r="CF39" s="80">
        <f>IF(AND(UO_List[[#This Row],[Budget Revue]]="x",$BK39&lt;&gt;"",$BL39&lt;&gt;"",YEAR(BF$3)=YEAR($BK39),MONTH(BF$3)&gt;=MONTH($BK39),MONTH(BF$3)&lt;=MONTH($BL39)),$BS39/(MONTH($BL39)-MONTH($BK39)+1),"")</f>
        <v>17</v>
      </c>
      <c r="CG39" s="80">
        <f>IF(AND(UO_List[[#This Row],[Budget Revue]]="x",$BK39&lt;&gt;"",$BL39&lt;&gt;"",YEAR(BG$3)=YEAR($BK39),MONTH(BG$3)&gt;=MONTH($BK39),MONTH(BG$3)&lt;=MONTH($BL39)),$BS39/(MONTH($BL39)-MONTH($BK39)+1),"")</f>
        <v>17</v>
      </c>
      <c r="CH39" s="80" t="str">
        <f>IF(AND(UO_List[[#This Row],[Budget Revue]]="x",$BK39&lt;&gt;"",$BL39&lt;&gt;"",YEAR(BH$3)=YEAR($BK39),MONTH(BH$3)&gt;=MONTH($BK39),MONTH(BH$3)&lt;=MONTH($BL39)),$BS39/(MONTH($BL39)-MONTH($BK39)+1),"")</f>
        <v/>
      </c>
      <c r="CI39" s="80" t="str">
        <f>IF(AND(UO_List[[#This Row],[Budget Revue]]="x",$BK39&lt;&gt;"",$BL39&lt;&gt;"",YEAR(BI$3)=YEAR($BK39),MONTH(BI$3)&gt;=MONTH($BK39),MONTH(BI$3)&lt;=MONTH($BL39)),$BS39/(MONTH($BL39)-MONTH($BK39)+1),"")</f>
        <v/>
      </c>
      <c r="CJ39" s="80" t="str">
        <f>IF(AND(UO_List[[#This Row],[Budget Revue]]="x",$BK39&lt;&gt;"",$BL39&lt;&gt;"",YEAR(BJ$3)=YEAR($BK39),MONTH(BJ$3)&gt;=MONTH($BK39),MONTH(BJ$3)&lt;=MONTH($BL39)),$BS39/(MONTH($BL39)-MONTH($BK39)+1),"")</f>
        <v/>
      </c>
      <c r="CK39" s="80" t="str">
        <f>IF(AND(UO_List[[#This Row],[Budget Revue]]="x",$BK39&lt;&gt;"",$BL39&lt;&gt;"",YEAR(BK$3)=YEAR($BK39),MONTH(BK$3)&gt;=MONTH($BK39),MONTH(BK$3)&lt;=MONTH($BL39)),$BS39/(MONTH($BL39)-MONTH($BK39)+1),"")</f>
        <v/>
      </c>
      <c r="CL39" s="80" t="str">
        <f>IF(AND(UO_List[[#This Row],[Budget Revue]]="x",$BK39&lt;&gt;"",$BL39&lt;&gt;"",YEAR(BL$3)=YEAR($BK39),MONTH(BL$3)&gt;=MONTH($BK39),MONTH(BL$3)&lt;=MONTH($BL39)),$BS39/(MONTH($BL39)-MONTH($BK39)+1),"")</f>
        <v/>
      </c>
      <c r="CM39" s="80" t="str">
        <f>IF(AND(UO_List[[#This Row],[Budget Revue]]="x",$BK39&lt;&gt;"",$BL39&lt;&gt;"",YEAR(BM$3)=YEAR($BK39),MONTH(BM$3)&gt;=MONTH($BK39),MONTH(BM$3)&lt;=MONTH($BL39)),$BS39/(MONTH($BL39)-MONTH($BK39)+1),"")</f>
        <v/>
      </c>
      <c r="CN39" s="75">
        <f>IF(UO_List[[#This Row],[Budget Revue]]="x",SUM(UO_List[[#This Row],[JANVIER]:[DECEMBRE]])-UO_List[[#This Row],[Jours Tech]],"")</f>
        <v>0</v>
      </c>
      <c r="CO39" s="348" t="str">
        <f>IF(AND(UO_List[[#This Row],[Budget Revue]]="x",$BK39&lt;&gt;"",$BL39&lt;&gt;"",YEAR(BO$3)=YEAR($BK39),MONTH(BO$3)&gt;=MONTH($BK39),MONTH(BO$3)&lt;=MONTH($BL39)),UO_List[[#This Row],[Montant TOTAL]]/(MONTH($BL39)-MONTH($BK39)+1),"")</f>
        <v/>
      </c>
      <c r="CP39" s="348" t="str">
        <f>IF(AND(UO_List[[#This Row],[Budget Revue]]="x",$BK39&lt;&gt;"",$BL39&lt;&gt;"",YEAR(BP$3)=YEAR($BK39),MONTH(BP$3)&gt;=MONTH($BK39),MONTH(BP$3)&lt;=MONTH($BL39)),UO_List[[#This Row],[Montant TOTAL]]/(MONTH($BL39)-MONTH($BK39)+1),"")</f>
        <v/>
      </c>
      <c r="CQ39" s="348" t="str">
        <f>IF(AND(UO_List[[#This Row],[Budget Revue]]="x",$BK39&lt;&gt;"",$BL39&lt;&gt;"",YEAR(BQ$3)=YEAR($BK39),MONTH(BQ$3)&gt;=MONTH($BK39),MONTH(BQ$3)&lt;=MONTH($BL39)),UO_List[[#This Row],[Montant TOTAL]]/(MONTH($BL39)-MONTH($BK39)+1),"")</f>
        <v/>
      </c>
      <c r="CR39" s="348">
        <f>IF(AND(UO_List[[#This Row],[Budget Revue]]="x",$BK39&lt;&gt;"",$BL39&lt;&gt;"",YEAR(BR$3)=YEAR($BK39),MONTH(BR$3)&gt;=MONTH($BK39),MONTH(BR$3)&lt;=MONTH($BL39)),UO_List[[#This Row],[Montant TOTAL]]/(MONTH($BL39)-MONTH($BK39)+1),"")</f>
        <v>11233.333333333334</v>
      </c>
      <c r="CS39" s="348">
        <f>IF(AND(UO_List[[#This Row],[Budget Revue]]="x",$BK39&lt;&gt;"",$BL39&lt;&gt;"",YEAR(BS$3)=YEAR($BK39),MONTH(BS$3)&gt;=MONTH($BK39),MONTH(BS$3)&lt;=MONTH($BL39)),UO_List[[#This Row],[Montant TOTAL]]/(MONTH($BL39)-MONTH($BK39)+1),"")</f>
        <v>11233.333333333334</v>
      </c>
      <c r="CT39" s="348">
        <f>IF(AND(UO_List[[#This Row],[Budget Revue]]="x",$BK39&lt;&gt;"",$BL39&lt;&gt;"",YEAR(BT$3)=YEAR($BK39),MONTH(BT$3)&gt;=MONTH($BK39),MONTH(BT$3)&lt;=MONTH($BL39)),UO_List[[#This Row],[Montant TOTAL]]/(MONTH($BL39)-MONTH($BK39)+1),"")</f>
        <v>11233.333333333334</v>
      </c>
      <c r="CU39" s="348" t="str">
        <f>IF(AND(UO_List[[#This Row],[Budget Revue]]="x",$BK39&lt;&gt;"",$BL39&lt;&gt;"",YEAR(BU$3)=YEAR($BK39),MONTH(BU$3)&gt;=MONTH($BK39),MONTH(BU$3)&lt;=MONTH($BL39)),UO_List[[#This Row],[Montant TOTAL]]/(MONTH($BL39)-MONTH($BK39)+1),"")</f>
        <v/>
      </c>
      <c r="CV39" s="348" t="str">
        <f>IF(AND(UO_List[[#This Row],[Budget Revue]]="x",$BK39&lt;&gt;"",$BL39&lt;&gt;"",YEAR(BV$3)=YEAR($BK39),MONTH(BV$3)&gt;=MONTH($BK39),MONTH(BV$3)&lt;=MONTH($BL39)),UO_List[[#This Row],[Montant TOTAL]]/(MONTH($BL39)-MONTH($BK39)+1),"")</f>
        <v/>
      </c>
      <c r="CW39" s="348" t="str">
        <f>IF(AND(UO_List[[#This Row],[Budget Revue]]="x",$BK39&lt;&gt;"",$BL39&lt;&gt;"",YEAR(BW$3)=YEAR($BK39),MONTH(BW$3)&gt;=MONTH($BK39),MONTH(BW$3)&lt;=MONTH($BL39)),UO_List[[#This Row],[Montant TOTAL]]/(MONTH($BL39)-MONTH($BK39)+1),"")</f>
        <v/>
      </c>
      <c r="CX39" s="348" t="str">
        <f>IF(AND(UO_List[[#This Row],[Budget Revue]]="x",$BK39&lt;&gt;"",$BL39&lt;&gt;"",YEAR(BX$3)=YEAR($BK39),MONTH(BX$3)&gt;=MONTH($BK39),MONTH(BX$3)&lt;=MONTH($BL39)),UO_List[[#This Row],[Montant TOTAL]]/(MONTH($BL39)-MONTH($BK39)+1),"")</f>
        <v/>
      </c>
      <c r="CY39" s="348" t="str">
        <f>IF(AND(UO_List[[#This Row],[Budget Revue]]="x",$BK39&lt;&gt;"",$BL39&lt;&gt;"",YEAR(BY$3)=YEAR($BK39),MONTH(BY$3)&gt;=MONTH($BK39),MONTH(BY$3)&lt;=MONTH($BL39)),UO_List[[#This Row],[Montant TOTAL]]/(MONTH($BL39)-MONTH($BK39)+1),"")</f>
        <v/>
      </c>
      <c r="CZ39" s="348" t="str">
        <f>IF(AND(UO_List[[#This Row],[Budget Revue]]="x",$BK39&lt;&gt;"",$BL39&lt;&gt;"",YEAR(BY$3)=YEAR($BK39),MONTH(BY$3)&gt;=MONTH($BK39),MONTH(BY$3)&lt;=MONTH($BL39)),UO_List[[#This Row],[Montant TOTAL]]/(MONTH($BL39)-MONTH($BK39)+1),"")</f>
        <v/>
      </c>
      <c r="DA39" s="348">
        <f>IF(UO_List[[#This Row],[Budget Revue]]="x",SUM(UO_List[[#This Row],[JANVIER2]:[DECEMBRE2]])-UO_List[Montant TOTAL],"")</f>
        <v>0</v>
      </c>
      <c r="DB39" s="517">
        <v>7</v>
      </c>
      <c r="DC39" s="83"/>
      <c r="DD39" s="83"/>
      <c r="DE39" s="83"/>
      <c r="DF39" s="83"/>
      <c r="DG39" s="83"/>
      <c r="DH39" s="83"/>
      <c r="DI39" s="83"/>
      <c r="DJ39" s="83"/>
      <c r="DK39" s="83"/>
      <c r="DL39" s="83"/>
      <c r="DM39" s="83"/>
      <c r="DN39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7</v>
      </c>
      <c r="DO39" s="76">
        <f>IFERROR(UO_List[[#This Row],[Line Total]]-UO_List[[#This Row],[Montant total réceptionné]],"")</f>
        <v>21905</v>
      </c>
      <c r="DP39" s="76">
        <f>IFERROR(UO_List[[#This Row],[Total item réceptionné]]*UO_List[[#This Row],[Unit Price (calcul)]],0)</f>
        <v>11795</v>
      </c>
      <c r="DQ39" s="76">
        <f>UO_List[[#This Row],[Facteur]]-UO_List[[#This Row],[Total item réceptionné]]</f>
        <v>13</v>
      </c>
      <c r="DR39" s="77"/>
      <c r="DS39" s="77"/>
      <c r="DT39" s="158"/>
      <c r="DU39" s="77"/>
    </row>
    <row r="40" spans="27:125" s="74" customFormat="1">
      <c r="AA40" s="188" t="str">
        <f>IFERROR(VLOOKUP(UO_List[[#This Row],[Unique_AIB_ID]],Tableau1[[Unique_AIB_ID]:[Building / Room]],2,FALSE),"")</f>
        <v>C000489704</v>
      </c>
      <c r="AB40" s="189">
        <f>IFERROR(VLOOKUP(UO_List[[#This Row],[Unique_AIB_ID]],UO_Contract!A50:V239,3,TRUE),"")</f>
        <v>0</v>
      </c>
      <c r="AC40" s="188" t="str">
        <f>IFERROR(VLOOKUP(UO_List[[#This Row],[Unique_AIB_ID]],Tableau1[[Unique_AIB_ID]:[Building / Room]],4,FALSE),"")</f>
        <v>WPA - SII - PJOP - Airbus - WD1701094 - Flight and Integration Test CT1705359</v>
      </c>
      <c r="AD40" s="189">
        <f>IFERROR(VLOOKUP(UO_List[[#This Row],[Unique_AIB_ID]],Tableau1[[Unique_AIB_ID]:[Building / Room]],5,FALSE),"")</f>
        <v>0</v>
      </c>
      <c r="AE40" s="189">
        <f>IFERROR(VLOOKUP(UO_List[[#This Row],[Unique_AIB_ID]],Tableau1[[Unique_AIB_ID]:[Building / Room]],6,FALSE),"")</f>
        <v>10</v>
      </c>
      <c r="AF40" s="189" t="str">
        <f>IFERROR(VLOOKUP(UO_List[[#This Row],[Unique_AIB_ID]],Tableau1[[Unique_AIB_ID]:[Building / Room]],7,FALSE),"")</f>
        <v>40 Each of WU_ELEC_1[PJE_SII_EVYP_USD_AIRBUS_FR]</v>
      </c>
      <c r="AG40" s="189">
        <f>IFERROR(VLOOKUP(UO_List[[#This Row],[Unique_AIB_ID]],Tableau1[[Unique_AIB_ID]:[Building / Room]],8,FALSE),"")</f>
        <v>40</v>
      </c>
      <c r="AH40" s="190">
        <f>IFERROR(VALUE(VLOOKUP(UO_List[[#This Row],[Unique_AIB_ID]],Tableau1[[Unique_AIB_ID]:[Building / Room]],9,FALSE)),"")</f>
        <v>67400</v>
      </c>
      <c r="AI40" s="189">
        <f>IFERROR(VLOOKUP(UO_List[[#This Row],[Unique_AIB_ID]],Tableau1[[Unique_AIB_ID]:[Building / Room]],10,TRUE),"")</f>
        <v>0</v>
      </c>
      <c r="AJ40" s="191">
        <f>IFERROR(VLOOKUP(UO_List[[#This Row],[Unique_AIB_ID]],Tableau1[[Unique_AIB_ID]:[Building / Room]],11,FALSE),"")</f>
        <v>0</v>
      </c>
      <c r="AK40" s="189">
        <f>IFERROR(VLOOKUP(UO_List[[#This Row],[Unique_AIB_ID]],Tableau1[[Unique_AIB_ID]:[Building / Room]],12,FALSE),"")</f>
        <v>0</v>
      </c>
      <c r="AL40" s="189">
        <f>IFERROR(VLOOKUP(UO_List[[#This Row],[Unique_AIB_ID]],Tableau1[[Unique_AIB_ID]:[Building / Room]],13,FALSE),"")</f>
        <v>0</v>
      </c>
      <c r="AM40" s="183">
        <f>IFERROR(VLOOKUP(UO_List[[#This Row],[Unique_AIB_ID]],Tableau1[[Unique_AIB_ID]:[Building / Room]],14,FALSE),"")</f>
        <v>0</v>
      </c>
      <c r="AN40" s="183">
        <f>IFERROR(VLOOKUP(UO_List[[#This Row],[Unique_AIB_ID]],Tableau1[[Unique_AIB_ID]:[Building / Room]],15,FALSE),"")</f>
        <v>0</v>
      </c>
      <c r="AO40" s="183">
        <f>IFERROR(VLOOKUP(UO_List[[#This Row],[Unique_AIB_ID]],Tableau1[[Unique_AIB_ID]:[Building / Room]],16,FALSE),"")</f>
        <v>0</v>
      </c>
      <c r="AP40" s="183" t="str">
        <f>IFERROR(VLOOKUP(UO_List[[#This Row],[Unique_AIB_ID]],Tableau1[[Unique_AIB_ID]:[Building / Room]],17,FALSE),"")</f>
        <v>0</v>
      </c>
      <c r="AQ40" s="183">
        <f>IFERROR(VLOOKUP(UO_List[[#This Row],[Unique_AIB_ID]],Tableau1[[Unique_AIB_ID]:[Building / Room]],18,FALSE),"")</f>
        <v>0</v>
      </c>
      <c r="AR40" s="183" t="str">
        <f>IFERROR(VLOOKUP(UO_List[[#This Row],[Unique_AIB_ID]],Tableau1[[Unique_AIB_ID]:[Building / Room]],19,FALSE),"")</f>
        <v>03/25/20</v>
      </c>
      <c r="AS40" s="183">
        <f>IFERROR(VLOOKUP(UO_List[[#This Row],[Unique_AIB_ID]],Tableau1[[Unique_AIB_ID]:[Building / Room]],20,FALSE),"")</f>
        <v>0</v>
      </c>
      <c r="AT40" s="183">
        <f>IFERROR(VLOOKUP(UO_List[[#This Row],[Unique_AIB_ID]],Tableau1[[Unique_AIB_ID]:[Building / Room]],21,FALSE),"")</f>
        <v>0</v>
      </c>
      <c r="AU40" s="183" t="str">
        <f>IFERROR(VLOOKUP(UO_List[[#This Row],[Unique_AIB_ID]],Tableau1[[Unique_AIB_ID]:[Building / Room]],22,FALSE),"")</f>
        <v>M24 / A559</v>
      </c>
      <c r="AV40" s="167" t="str">
        <f>IFERROR(VLOOKUP(UO_List[[#This Row],[Unique_AIB_ID]],Tableau1[[Unique_AIB_ID]:[Currency]],23,FALSE),"")</f>
        <v>Q 1 / 40 - ALIZE Tests &amp; HEFEL</v>
      </c>
      <c r="AW40" s="167">
        <f>IFERROR(IF(ISBLANK(UO_List[[#This Row],[PO Number (Header)]]),"",UO_List[[#This Row],[Line Total]]/UO_List[[#This Row],[Total Item Quantity]]),"")</f>
        <v>1685</v>
      </c>
      <c r="AX40" s="499" t="s">
        <v>974</v>
      </c>
      <c r="AY40" s="167"/>
      <c r="AZ40" s="78" t="s">
        <v>842</v>
      </c>
      <c r="BA40" s="82"/>
      <c r="BB40" s="78"/>
      <c r="BC40" s="78" t="s">
        <v>697</v>
      </c>
      <c r="BD40" s="70" t="s">
        <v>685</v>
      </c>
      <c r="BE40" s="78" t="s">
        <v>685</v>
      </c>
      <c r="BF40" s="78"/>
      <c r="BG40" s="78"/>
      <c r="BH40" s="373" t="s">
        <v>927</v>
      </c>
      <c r="BI40" s="78"/>
      <c r="BJ40" s="78"/>
      <c r="BK40" s="79">
        <v>43922</v>
      </c>
      <c r="BL40" s="79">
        <v>44012</v>
      </c>
      <c r="BM40" s="71">
        <v>40</v>
      </c>
      <c r="BN40" s="71">
        <f>IFERROR(UO_List[[#This Row],[Total Item Quantity]]-UO_List[[#This Row],[Facteur]],"")</f>
        <v>0</v>
      </c>
      <c r="BO40" s="349">
        <f>IFERROR(IF(ISBLANK(UO_List[[#This Row],[Id_UO]]),"",SUMPRODUCT(1*(EXACT(UO_List[[#This Row],[Id_UO]],CATALOGUE[Id_WU]))*CATALOGUE[Price $])),"")</f>
        <v>1685</v>
      </c>
      <c r="BP40" s="350">
        <f>IFERROR(UO_List[[#This Row],[Prix unitaire]]*UO_List[[#This Row],[Facteur]],"")</f>
        <v>67400</v>
      </c>
      <c r="BQ40" s="100">
        <f>IFERROR(SUMPRODUCT(1*(EXACT(UO_List[[#This Row],[Id_UO]],CATALOGUE[Id_WU]))*CATALOGUE[Global_Workload_PM_(d)]*UO_List[[#This Row],[Facteur]]),"")</f>
        <v>18.000000000000007</v>
      </c>
      <c r="BR40" s="286">
        <f>UO_List[[#This Row],[Jours GP]]/jours_an</f>
        <v>8.333333333333337E-2</v>
      </c>
      <c r="BS40" s="72">
        <f>IFERROR(SUMPRODUCT(1*(EXACT(UO_List[[#This Row],[Id_UO]],CATALOGUE[Id_WU]))*CATALOGUE[Global_Workload_Tech_(d)]*UO_List[[#This Row],[Facteur]]),"")</f>
        <v>102</v>
      </c>
      <c r="BT40" s="286">
        <f>UO_List[[#This Row],[Jours Tech]]/jours_an</f>
        <v>0.47222222222222221</v>
      </c>
      <c r="BU40" s="72">
        <f>UO_List[[#This Row],[Jours GP]]+UO_List[[#This Row],[Jours Tech]]</f>
        <v>120</v>
      </c>
      <c r="BV40" s="286">
        <f>UO_List[[#This Row],[ETP GP]]+UO_List[[#This Row],[ETP Tech]]</f>
        <v>0.55555555555555558</v>
      </c>
      <c r="BW40" s="73"/>
      <c r="BX40" s="80" t="s">
        <v>203</v>
      </c>
      <c r="BY40" s="462">
        <f>IF(UO_List[[#This Row],[Budget Revue]]="x",UO_List[[#This Row],[Montant TOTAL]],0)</f>
        <v>67400</v>
      </c>
      <c r="BZ40" s="80">
        <f>IF(UO_List[[#This Row],[Budget Revue]]="x",UO_List[[#This Row],[Jours Tech]],0)</f>
        <v>102</v>
      </c>
      <c r="CA40" s="80">
        <f>IF(UO_List[[#This Row],[Budget Revue]]="x",UO_List[[#This Row],[Jours GP]],0)</f>
        <v>18.000000000000007</v>
      </c>
      <c r="CB40" s="516" t="str">
        <f>IF(AND(UO_List[[#This Row],[Budget Revue]]="x",$BK40&lt;&gt;"",$BL40&lt;&gt;"",YEAR(BB$3)=YEAR($BK40),MONTH(BB$3)&gt;=MONTH($BK40),MONTH(BB$3)&lt;=MONTH($BL40)),$BS40/(MONTH($BL40)-MONTH($BK40)+1),"")</f>
        <v/>
      </c>
      <c r="CC40" s="80" t="str">
        <f>IF(AND(UO_List[[#This Row],[Budget Revue]]="x",$BK40&lt;&gt;"",$BL40&lt;&gt;"",YEAR(BC$3)=YEAR($BK40),MONTH(BC$3)&gt;=MONTH($BK40),MONTH(BC$3)&lt;=MONTH($BL40)),$BS40/(MONTH($BL40)-MONTH($BK40)+1),"")</f>
        <v/>
      </c>
      <c r="CD40" s="80" t="str">
        <f>IF(AND(UO_List[[#This Row],[Budget Revue]]="x",$BK40&lt;&gt;"",$BL40&lt;&gt;"",YEAR(BD$3)=YEAR($BK40),MONTH(BD$3)&gt;=MONTH($BK40),MONTH(BD$3)&lt;=MONTH($BL40)),$BS40/(MONTH($BL40)-MONTH($BK40)+1),"")</f>
        <v/>
      </c>
      <c r="CE40" s="80">
        <f>IF(AND(UO_List[[#This Row],[Budget Revue]]="x",$BK40&lt;&gt;"",$BL40&lt;&gt;"",YEAR(BE$3)=YEAR($BK40),MONTH(BE$3)&gt;=MONTH($BK40),MONTH(BE$3)&lt;=MONTH($BL40)),$BS40/(MONTH($BL40)-MONTH($BK40)+1),"")</f>
        <v>34</v>
      </c>
      <c r="CF40" s="80">
        <f>IF(AND(UO_List[[#This Row],[Budget Revue]]="x",$BK40&lt;&gt;"",$BL40&lt;&gt;"",YEAR(BF$3)=YEAR($BK40),MONTH(BF$3)&gt;=MONTH($BK40),MONTH(BF$3)&lt;=MONTH($BL40)),$BS40/(MONTH($BL40)-MONTH($BK40)+1),"")</f>
        <v>34</v>
      </c>
      <c r="CG40" s="80">
        <f>IF(AND(UO_List[[#This Row],[Budget Revue]]="x",$BK40&lt;&gt;"",$BL40&lt;&gt;"",YEAR(BG$3)=YEAR($BK40),MONTH(BG$3)&gt;=MONTH($BK40),MONTH(BG$3)&lt;=MONTH($BL40)),$BS40/(MONTH($BL40)-MONTH($BK40)+1),"")</f>
        <v>34</v>
      </c>
      <c r="CH40" s="80" t="str">
        <f>IF(AND(UO_List[[#This Row],[Budget Revue]]="x",$BK40&lt;&gt;"",$BL40&lt;&gt;"",YEAR(BH$3)=YEAR($BK40),MONTH(BH$3)&gt;=MONTH($BK40),MONTH(BH$3)&lt;=MONTH($BL40)),$BS40/(MONTH($BL40)-MONTH($BK40)+1),"")</f>
        <v/>
      </c>
      <c r="CI40" s="80" t="str">
        <f>IF(AND(UO_List[[#This Row],[Budget Revue]]="x",$BK40&lt;&gt;"",$BL40&lt;&gt;"",YEAR(BI$3)=YEAR($BK40),MONTH(BI$3)&gt;=MONTH($BK40),MONTH(BI$3)&lt;=MONTH($BL40)),$BS40/(MONTH($BL40)-MONTH($BK40)+1),"")</f>
        <v/>
      </c>
      <c r="CJ40" s="80" t="str">
        <f>IF(AND(UO_List[[#This Row],[Budget Revue]]="x",$BK40&lt;&gt;"",$BL40&lt;&gt;"",YEAR(BJ$3)=YEAR($BK40),MONTH(BJ$3)&gt;=MONTH($BK40),MONTH(BJ$3)&lt;=MONTH($BL40)),$BS40/(MONTH($BL40)-MONTH($BK40)+1),"")</f>
        <v/>
      </c>
      <c r="CK40" s="80" t="str">
        <f>IF(AND(UO_List[[#This Row],[Budget Revue]]="x",$BK40&lt;&gt;"",$BL40&lt;&gt;"",YEAR(BK$3)=YEAR($BK40),MONTH(BK$3)&gt;=MONTH($BK40),MONTH(BK$3)&lt;=MONTH($BL40)),$BS40/(MONTH($BL40)-MONTH($BK40)+1),"")</f>
        <v/>
      </c>
      <c r="CL40" s="80" t="str">
        <f>IF(AND(UO_List[[#This Row],[Budget Revue]]="x",$BK40&lt;&gt;"",$BL40&lt;&gt;"",YEAR(BL$3)=YEAR($BK40),MONTH(BL$3)&gt;=MONTH($BK40),MONTH(BL$3)&lt;=MONTH($BL40)),$BS40/(MONTH($BL40)-MONTH($BK40)+1),"")</f>
        <v/>
      </c>
      <c r="CM40" s="80" t="str">
        <f>IF(AND(UO_List[[#This Row],[Budget Revue]]="x",$BK40&lt;&gt;"",$BL40&lt;&gt;"",YEAR(BM$3)=YEAR($BK40),MONTH(BM$3)&gt;=MONTH($BK40),MONTH(BM$3)&lt;=MONTH($BL40)),$BS40/(MONTH($BL40)-MONTH($BK40)+1),"")</f>
        <v/>
      </c>
      <c r="CN40" s="75">
        <f>IF(UO_List[[#This Row],[Budget Revue]]="x",SUM(UO_List[[#This Row],[JANVIER]:[DECEMBRE]])-UO_List[[#This Row],[Jours Tech]],"")</f>
        <v>0</v>
      </c>
      <c r="CO40" s="348" t="str">
        <f>IF(AND(UO_List[[#This Row],[Budget Revue]]="x",$BK40&lt;&gt;"",$BL40&lt;&gt;"",YEAR(BO$3)=YEAR($BK40),MONTH(BO$3)&gt;=MONTH($BK40),MONTH(BO$3)&lt;=MONTH($BL40)),UO_List[[#This Row],[Montant TOTAL]]/(MONTH($BL40)-MONTH($BK40)+1),"")</f>
        <v/>
      </c>
      <c r="CP40" s="348" t="str">
        <f>IF(AND(UO_List[[#This Row],[Budget Revue]]="x",$BK40&lt;&gt;"",$BL40&lt;&gt;"",YEAR(BP$3)=YEAR($BK40),MONTH(BP$3)&gt;=MONTH($BK40),MONTH(BP$3)&lt;=MONTH($BL40)),UO_List[[#This Row],[Montant TOTAL]]/(MONTH($BL40)-MONTH($BK40)+1),"")</f>
        <v/>
      </c>
      <c r="CQ40" s="348" t="str">
        <f>IF(AND(UO_List[[#This Row],[Budget Revue]]="x",$BK40&lt;&gt;"",$BL40&lt;&gt;"",YEAR(BQ$3)=YEAR($BK40),MONTH(BQ$3)&gt;=MONTH($BK40),MONTH(BQ$3)&lt;=MONTH($BL40)),UO_List[[#This Row],[Montant TOTAL]]/(MONTH($BL40)-MONTH($BK40)+1),"")</f>
        <v/>
      </c>
      <c r="CR40" s="348">
        <f>IF(AND(UO_List[[#This Row],[Budget Revue]]="x",$BK40&lt;&gt;"",$BL40&lt;&gt;"",YEAR(BR$3)=YEAR($BK40),MONTH(BR$3)&gt;=MONTH($BK40),MONTH(BR$3)&lt;=MONTH($BL40)),UO_List[[#This Row],[Montant TOTAL]]/(MONTH($BL40)-MONTH($BK40)+1),"")</f>
        <v>22466.666666666668</v>
      </c>
      <c r="CS40" s="348">
        <f>IF(AND(UO_List[[#This Row],[Budget Revue]]="x",$BK40&lt;&gt;"",$BL40&lt;&gt;"",YEAR(BS$3)=YEAR($BK40),MONTH(BS$3)&gt;=MONTH($BK40),MONTH(BS$3)&lt;=MONTH($BL40)),UO_List[[#This Row],[Montant TOTAL]]/(MONTH($BL40)-MONTH($BK40)+1),"")</f>
        <v>22466.666666666668</v>
      </c>
      <c r="CT40" s="348">
        <f>IF(AND(UO_List[[#This Row],[Budget Revue]]="x",$BK40&lt;&gt;"",$BL40&lt;&gt;"",YEAR(BT$3)=YEAR($BK40),MONTH(BT$3)&gt;=MONTH($BK40),MONTH(BT$3)&lt;=MONTH($BL40)),UO_List[[#This Row],[Montant TOTAL]]/(MONTH($BL40)-MONTH($BK40)+1),"")</f>
        <v>22466.666666666668</v>
      </c>
      <c r="CU40" s="348" t="str">
        <f>IF(AND(UO_List[[#This Row],[Budget Revue]]="x",$BK40&lt;&gt;"",$BL40&lt;&gt;"",YEAR(BU$3)=YEAR($BK40),MONTH(BU$3)&gt;=MONTH($BK40),MONTH(BU$3)&lt;=MONTH($BL40)),UO_List[[#This Row],[Montant TOTAL]]/(MONTH($BL40)-MONTH($BK40)+1),"")</f>
        <v/>
      </c>
      <c r="CV40" s="348" t="str">
        <f>IF(AND(UO_List[[#This Row],[Budget Revue]]="x",$BK40&lt;&gt;"",$BL40&lt;&gt;"",YEAR(BV$3)=YEAR($BK40),MONTH(BV$3)&gt;=MONTH($BK40),MONTH(BV$3)&lt;=MONTH($BL40)),UO_List[[#This Row],[Montant TOTAL]]/(MONTH($BL40)-MONTH($BK40)+1),"")</f>
        <v/>
      </c>
      <c r="CW40" s="348" t="str">
        <f>IF(AND(UO_List[[#This Row],[Budget Revue]]="x",$BK40&lt;&gt;"",$BL40&lt;&gt;"",YEAR(BW$3)=YEAR($BK40),MONTH(BW$3)&gt;=MONTH($BK40),MONTH(BW$3)&lt;=MONTH($BL40)),UO_List[[#This Row],[Montant TOTAL]]/(MONTH($BL40)-MONTH($BK40)+1),"")</f>
        <v/>
      </c>
      <c r="CX40" s="348" t="str">
        <f>IF(AND(UO_List[[#This Row],[Budget Revue]]="x",$BK40&lt;&gt;"",$BL40&lt;&gt;"",YEAR(BX$3)=YEAR($BK40),MONTH(BX$3)&gt;=MONTH($BK40),MONTH(BX$3)&lt;=MONTH($BL40)),UO_List[[#This Row],[Montant TOTAL]]/(MONTH($BL40)-MONTH($BK40)+1),"")</f>
        <v/>
      </c>
      <c r="CY40" s="348" t="str">
        <f>IF(AND(UO_List[[#This Row],[Budget Revue]]="x",$BK40&lt;&gt;"",$BL40&lt;&gt;"",YEAR(BY$3)=YEAR($BK40),MONTH(BY$3)&gt;=MONTH($BK40),MONTH(BY$3)&lt;=MONTH($BL40)),UO_List[[#This Row],[Montant TOTAL]]/(MONTH($BL40)-MONTH($BK40)+1),"")</f>
        <v/>
      </c>
      <c r="CZ40" s="348" t="str">
        <f>IF(AND(UO_List[[#This Row],[Budget Revue]]="x",$BK40&lt;&gt;"",$BL40&lt;&gt;"",YEAR(BY$3)=YEAR($BK40),MONTH(BY$3)&gt;=MONTH($BK40),MONTH(BY$3)&lt;=MONTH($BL40)),UO_List[[#This Row],[Montant TOTAL]]/(MONTH($BL40)-MONTH($BK40)+1),"")</f>
        <v/>
      </c>
      <c r="DA40" s="348">
        <f>IF(UO_List[[#This Row],[Budget Revue]]="x",SUM(UO_List[[#This Row],[JANVIER2]:[DECEMBRE2]])-UO_List[Montant TOTAL],"")</f>
        <v>0</v>
      </c>
      <c r="DB40" s="517">
        <v>10</v>
      </c>
      <c r="DC40" s="83"/>
      <c r="DD40" s="83"/>
      <c r="DE40" s="83"/>
      <c r="DF40" s="83"/>
      <c r="DG40" s="83"/>
      <c r="DH40" s="83"/>
      <c r="DI40" s="83"/>
      <c r="DJ40" s="83"/>
      <c r="DK40" s="83"/>
      <c r="DL40" s="83"/>
      <c r="DM40" s="83"/>
      <c r="DN40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10</v>
      </c>
      <c r="DO40" s="76">
        <f>IFERROR(UO_List[[#This Row],[Line Total]]-UO_List[[#This Row],[Montant total réceptionné]],"")</f>
        <v>50550</v>
      </c>
      <c r="DP40" s="76">
        <f>IFERROR(UO_List[[#This Row],[Total item réceptionné]]*UO_List[[#This Row],[Unit Price (calcul)]],0)</f>
        <v>16850</v>
      </c>
      <c r="DQ40" s="76">
        <f>UO_List[[#This Row],[Facteur]]-UO_List[[#This Row],[Total item réceptionné]]</f>
        <v>30</v>
      </c>
      <c r="DR40" s="77"/>
      <c r="DS40" s="77"/>
      <c r="DT40" s="158"/>
      <c r="DU40" s="77"/>
    </row>
    <row r="41" spans="27:125" s="74" customFormat="1">
      <c r="AA41" s="188" t="str">
        <f>IFERROR(VLOOKUP(UO_List[[#This Row],[Unique_AIB_ID]],Tableau1[[Unique_AIB_ID]:[Building / Room]],2,FALSE),"")</f>
        <v>C000489704</v>
      </c>
      <c r="AB41" s="183">
        <f>IFERROR(VLOOKUP(UO_List[[#This Row],[Unique_AIB_ID]],UO_Contract!A51:V240,3,TRUE),"")</f>
        <v>0</v>
      </c>
      <c r="AC41" s="183" t="str">
        <f>IFERROR(VLOOKUP(UO_List[[#This Row],[Unique_AIB_ID]],Tableau1[[Unique_AIB_ID]:[Building / Room]],4,FALSE),"")</f>
        <v>WPA - SII - PJOP - Airbus - WD1701094 - Flight and Integration Test CT1705359</v>
      </c>
      <c r="AD41" s="183">
        <f>IFERROR(VLOOKUP(UO_List[[#This Row],[Unique_AIB_ID]],Tableau1[[Unique_AIB_ID]:[Building / Room]],5,FALSE),"")</f>
        <v>0</v>
      </c>
      <c r="AE41" s="183">
        <f>IFERROR(VLOOKUP(UO_List[[#This Row],[Unique_AIB_ID]],Tableau1[[Unique_AIB_ID]:[Building / Room]],6,FALSE),"")</f>
        <v>11</v>
      </c>
      <c r="AF41" s="183" t="str">
        <f>IFERROR(VLOOKUP(UO_List[[#This Row],[Unique_AIB_ID]],Tableau1[[Unique_AIB_ID]:[Building / Room]],7,FALSE),"")</f>
        <v>20 Each of WU_ELEC_1[PJE_SII_EVYP_USD_AIRBUS_FR]</v>
      </c>
      <c r="AG41" s="183">
        <f>IFERROR(VLOOKUP(UO_List[[#This Row],[Unique_AIB_ID]],Tableau1[[Unique_AIB_ID]:[Building / Room]],8,FALSE),"")</f>
        <v>20</v>
      </c>
      <c r="AH41" s="252">
        <f>IFERROR(VALUE(VLOOKUP(UO_List[[#This Row],[Unique_AIB_ID]],Tableau1[[Unique_AIB_ID]:[Building / Room]],9,FALSE)),"")</f>
        <v>33700</v>
      </c>
      <c r="AI41" s="183">
        <f>IFERROR(VLOOKUP(UO_List[[#This Row],[Unique_AIB_ID]],Tableau1[[Unique_AIB_ID]:[Building / Room]],10,TRUE),"")</f>
        <v>0</v>
      </c>
      <c r="AJ41" s="183">
        <f>IFERROR(VLOOKUP(UO_List[[#This Row],[Unique_AIB_ID]],Tableau1[[Unique_AIB_ID]:[Building / Room]],11,FALSE),"")</f>
        <v>0</v>
      </c>
      <c r="AK41" s="183">
        <f>IFERROR(VLOOKUP(UO_List[[#This Row],[Unique_AIB_ID]],Tableau1[[Unique_AIB_ID]:[Building / Room]],12,FALSE),"")</f>
        <v>0</v>
      </c>
      <c r="AL41" s="183">
        <f>IFERROR(VLOOKUP(UO_List[[#This Row],[Unique_AIB_ID]],Tableau1[[Unique_AIB_ID]:[Building / Room]],13,FALSE),"")</f>
        <v>0</v>
      </c>
      <c r="AM41" s="183">
        <f>IFERROR(VLOOKUP(UO_List[[#This Row],[Unique_AIB_ID]],Tableau1[[Unique_AIB_ID]:[Building / Room]],14,FALSE),"")</f>
        <v>0</v>
      </c>
      <c r="AN41" s="183">
        <f>IFERROR(VLOOKUP(UO_List[[#This Row],[Unique_AIB_ID]],Tableau1[[Unique_AIB_ID]:[Building / Room]],15,FALSE),"")</f>
        <v>0</v>
      </c>
      <c r="AO41" s="183">
        <f>IFERROR(VLOOKUP(UO_List[[#This Row],[Unique_AIB_ID]],Tableau1[[Unique_AIB_ID]:[Building / Room]],16,FALSE),"")</f>
        <v>0</v>
      </c>
      <c r="AP41" s="183" t="str">
        <f>IFERROR(VLOOKUP(UO_List[[#This Row],[Unique_AIB_ID]],Tableau1[[Unique_AIB_ID]:[Building / Room]],17,FALSE),"")</f>
        <v>0</v>
      </c>
      <c r="AQ41" s="183">
        <f>IFERROR(VLOOKUP(UO_List[[#This Row],[Unique_AIB_ID]],Tableau1[[Unique_AIB_ID]:[Building / Room]],18,FALSE),"")</f>
        <v>0</v>
      </c>
      <c r="AR41" s="183" t="str">
        <f>IFERROR(VLOOKUP(UO_List[[#This Row],[Unique_AIB_ID]],Tableau1[[Unique_AIB_ID]:[Building / Room]],19,FALSE),"")</f>
        <v>03/25/20</v>
      </c>
      <c r="AS41" s="183">
        <f>IFERROR(VLOOKUP(UO_List[[#This Row],[Unique_AIB_ID]],Tableau1[[Unique_AIB_ID]:[Building / Room]],20,FALSE),"")</f>
        <v>0</v>
      </c>
      <c r="AT41" s="183">
        <f>IFERROR(VLOOKUP(UO_List[[#This Row],[Unique_AIB_ID]],Tableau1[[Unique_AIB_ID]:[Building / Room]],21,FALSE),"")</f>
        <v>0</v>
      </c>
      <c r="AU41" s="183" t="str">
        <f>IFERROR(VLOOKUP(UO_List[[#This Row],[Unique_AIB_ID]],Tableau1[[Unique_AIB_ID]:[Building / Room]],22,FALSE),"")</f>
        <v>M24 / A559</v>
      </c>
      <c r="AV41" s="167" t="str">
        <f>IFERROR(VLOOKUP(UO_List[[#This Row],[Unique_AIB_ID]],Tableau1[[Unique_AIB_ID]:[Currency]],23,FALSE),"")</f>
        <v>Q 1 / 47 - ALIZE EDB</v>
      </c>
      <c r="AW41" s="167">
        <f>IFERROR(IF(ISBLANK(UO_List[[#This Row],[PO Number (Header)]]),"",UO_List[[#This Row],[Line Total]]/UO_List[[#This Row],[Total Item Quantity]]),"")</f>
        <v>1685</v>
      </c>
      <c r="AX41" s="499" t="s">
        <v>975</v>
      </c>
      <c r="AY41" s="167"/>
      <c r="AZ41" s="78" t="s">
        <v>842</v>
      </c>
      <c r="BA41" s="82"/>
      <c r="BB41" s="78"/>
      <c r="BC41" s="78" t="s">
        <v>697</v>
      </c>
      <c r="BD41" s="70" t="s">
        <v>685</v>
      </c>
      <c r="BE41" s="78" t="s">
        <v>685</v>
      </c>
      <c r="BF41" s="78"/>
      <c r="BG41" s="78"/>
      <c r="BH41" s="78" t="s">
        <v>928</v>
      </c>
      <c r="BI41" s="78"/>
      <c r="BJ41" s="78"/>
      <c r="BK41" s="79">
        <v>43922</v>
      </c>
      <c r="BL41" s="79">
        <v>44012</v>
      </c>
      <c r="BM41" s="71">
        <v>20</v>
      </c>
      <c r="BN41" s="71">
        <f>IFERROR(UO_List[[#This Row],[Total Item Quantity]]-UO_List[[#This Row],[Facteur]],"")</f>
        <v>0</v>
      </c>
      <c r="BO41" s="349">
        <f>IFERROR(IF(ISBLANK(UO_List[[#This Row],[Id_UO]]),"",SUMPRODUCT(1*(EXACT(UO_List[[#This Row],[Id_UO]],CATALOGUE[Id_WU]))*CATALOGUE[Price $])),"")</f>
        <v>1685</v>
      </c>
      <c r="BP41" s="350">
        <f>IFERROR(UO_List[[#This Row],[Prix unitaire]]*UO_List[[#This Row],[Facteur]],"")</f>
        <v>33700</v>
      </c>
      <c r="BQ41" s="100">
        <f>IFERROR(SUMPRODUCT(1*(EXACT(UO_List[[#This Row],[Id_UO]],CATALOGUE[Id_WU]))*CATALOGUE[Global_Workload_PM_(d)]*UO_List[[#This Row],[Facteur]]),"")</f>
        <v>9.0000000000000036</v>
      </c>
      <c r="BR41" s="286">
        <f>UO_List[[#This Row],[Jours GP]]/jours_an</f>
        <v>4.1666666666666685E-2</v>
      </c>
      <c r="BS41" s="72">
        <f>IFERROR(SUMPRODUCT(1*(EXACT(UO_List[[#This Row],[Id_UO]],CATALOGUE[Id_WU]))*CATALOGUE[Global_Workload_Tech_(d)]*UO_List[[#This Row],[Facteur]]),"")</f>
        <v>51</v>
      </c>
      <c r="BT41" s="286">
        <f>UO_List[[#This Row],[Jours Tech]]/jours_an</f>
        <v>0.2361111111111111</v>
      </c>
      <c r="BU41" s="72">
        <f>UO_List[[#This Row],[Jours GP]]+UO_List[[#This Row],[Jours Tech]]</f>
        <v>60</v>
      </c>
      <c r="BV41" s="286">
        <f>UO_List[[#This Row],[ETP GP]]+UO_List[[#This Row],[ETP Tech]]</f>
        <v>0.27777777777777779</v>
      </c>
      <c r="BW41" s="73"/>
      <c r="BX41" s="80" t="s">
        <v>203</v>
      </c>
      <c r="BY41" s="462">
        <f>IF(UO_List[[#This Row],[Budget Revue]]="x",UO_List[[#This Row],[Montant TOTAL]],0)</f>
        <v>33700</v>
      </c>
      <c r="BZ41" s="80">
        <f>IF(UO_List[[#This Row],[Budget Revue]]="x",UO_List[[#This Row],[Jours Tech]],0)</f>
        <v>51</v>
      </c>
      <c r="CA41" s="80">
        <f>IF(UO_List[[#This Row],[Budget Revue]]="x",UO_List[[#This Row],[Jours GP]],0)</f>
        <v>9.0000000000000036</v>
      </c>
      <c r="CB41" s="516" t="str">
        <f>IF(AND(UO_List[[#This Row],[Budget Revue]]="x",$BK41&lt;&gt;"",$BL41&lt;&gt;"",YEAR(BB$3)=YEAR($BK41),MONTH(BB$3)&gt;=MONTH($BK41),MONTH(BB$3)&lt;=MONTH($BL41)),$BS41/(MONTH($BL41)-MONTH($BK41)+1),"")</f>
        <v/>
      </c>
      <c r="CC41" s="80" t="str">
        <f>IF(AND(UO_List[[#This Row],[Budget Revue]]="x",$BK41&lt;&gt;"",$BL41&lt;&gt;"",YEAR(BC$3)=YEAR($BK41),MONTH(BC$3)&gt;=MONTH($BK41),MONTH(BC$3)&lt;=MONTH($BL41)),$BS41/(MONTH($BL41)-MONTH($BK41)+1),"")</f>
        <v/>
      </c>
      <c r="CD41" s="80" t="str">
        <f>IF(AND(UO_List[[#This Row],[Budget Revue]]="x",$BK41&lt;&gt;"",$BL41&lt;&gt;"",YEAR(BD$3)=YEAR($BK41),MONTH(BD$3)&gt;=MONTH($BK41),MONTH(BD$3)&lt;=MONTH($BL41)),$BS41/(MONTH($BL41)-MONTH($BK41)+1),"")</f>
        <v/>
      </c>
      <c r="CE41" s="80">
        <f>IF(AND(UO_List[[#This Row],[Budget Revue]]="x",$BK41&lt;&gt;"",$BL41&lt;&gt;"",YEAR(BE$3)=YEAR($BK41),MONTH(BE$3)&gt;=MONTH($BK41),MONTH(BE$3)&lt;=MONTH($BL41)),$BS41/(MONTH($BL41)-MONTH($BK41)+1),"")</f>
        <v>17</v>
      </c>
      <c r="CF41" s="80">
        <f>IF(AND(UO_List[[#This Row],[Budget Revue]]="x",$BK41&lt;&gt;"",$BL41&lt;&gt;"",YEAR(BF$3)=YEAR($BK41),MONTH(BF$3)&gt;=MONTH($BK41),MONTH(BF$3)&lt;=MONTH($BL41)),$BS41/(MONTH($BL41)-MONTH($BK41)+1),"")</f>
        <v>17</v>
      </c>
      <c r="CG41" s="80">
        <f>IF(AND(UO_List[[#This Row],[Budget Revue]]="x",$BK41&lt;&gt;"",$BL41&lt;&gt;"",YEAR(BG$3)=YEAR($BK41),MONTH(BG$3)&gt;=MONTH($BK41),MONTH(BG$3)&lt;=MONTH($BL41)),$BS41/(MONTH($BL41)-MONTH($BK41)+1),"")</f>
        <v>17</v>
      </c>
      <c r="CH41" s="80" t="str">
        <f>IF(AND(UO_List[[#This Row],[Budget Revue]]="x",$BK41&lt;&gt;"",$BL41&lt;&gt;"",YEAR(BH$3)=YEAR($BK41),MONTH(BH$3)&gt;=MONTH($BK41),MONTH(BH$3)&lt;=MONTH($BL41)),$BS41/(MONTH($BL41)-MONTH($BK41)+1),"")</f>
        <v/>
      </c>
      <c r="CI41" s="80" t="str">
        <f>IF(AND(UO_List[[#This Row],[Budget Revue]]="x",$BK41&lt;&gt;"",$BL41&lt;&gt;"",YEAR(BI$3)=YEAR($BK41),MONTH(BI$3)&gt;=MONTH($BK41),MONTH(BI$3)&lt;=MONTH($BL41)),$BS41/(MONTH($BL41)-MONTH($BK41)+1),"")</f>
        <v/>
      </c>
      <c r="CJ41" s="80" t="str">
        <f>IF(AND(UO_List[[#This Row],[Budget Revue]]="x",$BK41&lt;&gt;"",$BL41&lt;&gt;"",YEAR(BJ$3)=YEAR($BK41),MONTH(BJ$3)&gt;=MONTH($BK41),MONTH(BJ$3)&lt;=MONTH($BL41)),$BS41/(MONTH($BL41)-MONTH($BK41)+1),"")</f>
        <v/>
      </c>
      <c r="CK41" s="80" t="str">
        <f>IF(AND(UO_List[[#This Row],[Budget Revue]]="x",$BK41&lt;&gt;"",$BL41&lt;&gt;"",YEAR(BK$3)=YEAR($BK41),MONTH(BK$3)&gt;=MONTH($BK41),MONTH(BK$3)&lt;=MONTH($BL41)),$BS41/(MONTH($BL41)-MONTH($BK41)+1),"")</f>
        <v/>
      </c>
      <c r="CL41" s="80" t="str">
        <f>IF(AND(UO_List[[#This Row],[Budget Revue]]="x",$BK41&lt;&gt;"",$BL41&lt;&gt;"",YEAR(BL$3)=YEAR($BK41),MONTH(BL$3)&gt;=MONTH($BK41),MONTH(BL$3)&lt;=MONTH($BL41)),$BS41/(MONTH($BL41)-MONTH($BK41)+1),"")</f>
        <v/>
      </c>
      <c r="CM41" s="80" t="str">
        <f>IF(AND(UO_List[[#This Row],[Budget Revue]]="x",$BK41&lt;&gt;"",$BL41&lt;&gt;"",YEAR(BM$3)=YEAR($BK41),MONTH(BM$3)&gt;=MONTH($BK41),MONTH(BM$3)&lt;=MONTH($BL41)),$BS41/(MONTH($BL41)-MONTH($BK41)+1),"")</f>
        <v/>
      </c>
      <c r="CN41" s="75">
        <f>IF(UO_List[[#This Row],[Budget Revue]]="x",SUM(UO_List[[#This Row],[JANVIER]:[DECEMBRE]])-UO_List[[#This Row],[Jours Tech]],"")</f>
        <v>0</v>
      </c>
      <c r="CO41" s="348" t="str">
        <f>IF(AND(UO_List[[#This Row],[Budget Revue]]="x",$BK41&lt;&gt;"",$BL41&lt;&gt;"",YEAR(BO$3)=YEAR($BK41),MONTH(BO$3)&gt;=MONTH($BK41),MONTH(BO$3)&lt;=MONTH($BL41)),UO_List[[#This Row],[Montant TOTAL]]/(MONTH($BL41)-MONTH($BK41)+1),"")</f>
        <v/>
      </c>
      <c r="CP41" s="348" t="str">
        <f>IF(AND(UO_List[[#This Row],[Budget Revue]]="x",$BK41&lt;&gt;"",$BL41&lt;&gt;"",YEAR(BP$3)=YEAR($BK41),MONTH(BP$3)&gt;=MONTH($BK41),MONTH(BP$3)&lt;=MONTH($BL41)),UO_List[[#This Row],[Montant TOTAL]]/(MONTH($BL41)-MONTH($BK41)+1),"")</f>
        <v/>
      </c>
      <c r="CQ41" s="348" t="str">
        <f>IF(AND(UO_List[[#This Row],[Budget Revue]]="x",$BK41&lt;&gt;"",$BL41&lt;&gt;"",YEAR(BQ$3)=YEAR($BK41),MONTH(BQ$3)&gt;=MONTH($BK41),MONTH(BQ$3)&lt;=MONTH($BL41)),UO_List[[#This Row],[Montant TOTAL]]/(MONTH($BL41)-MONTH($BK41)+1),"")</f>
        <v/>
      </c>
      <c r="CR41" s="348">
        <f>IF(AND(UO_List[[#This Row],[Budget Revue]]="x",$BK41&lt;&gt;"",$BL41&lt;&gt;"",YEAR(BR$3)=YEAR($BK41),MONTH(BR$3)&gt;=MONTH($BK41),MONTH(BR$3)&lt;=MONTH($BL41)),UO_List[[#This Row],[Montant TOTAL]]/(MONTH($BL41)-MONTH($BK41)+1),"")</f>
        <v>11233.333333333334</v>
      </c>
      <c r="CS41" s="348">
        <f>IF(AND(UO_List[[#This Row],[Budget Revue]]="x",$BK41&lt;&gt;"",$BL41&lt;&gt;"",YEAR(BS$3)=YEAR($BK41),MONTH(BS$3)&gt;=MONTH($BK41),MONTH(BS$3)&lt;=MONTH($BL41)),UO_List[[#This Row],[Montant TOTAL]]/(MONTH($BL41)-MONTH($BK41)+1),"")</f>
        <v>11233.333333333334</v>
      </c>
      <c r="CT41" s="348">
        <f>IF(AND(UO_List[[#This Row],[Budget Revue]]="x",$BK41&lt;&gt;"",$BL41&lt;&gt;"",YEAR(BT$3)=YEAR($BK41),MONTH(BT$3)&gt;=MONTH($BK41),MONTH(BT$3)&lt;=MONTH($BL41)),UO_List[[#This Row],[Montant TOTAL]]/(MONTH($BL41)-MONTH($BK41)+1),"")</f>
        <v>11233.333333333334</v>
      </c>
      <c r="CU41" s="348" t="str">
        <f>IF(AND(UO_List[[#This Row],[Budget Revue]]="x",$BK41&lt;&gt;"",$BL41&lt;&gt;"",YEAR(BU$3)=YEAR($BK41),MONTH(BU$3)&gt;=MONTH($BK41),MONTH(BU$3)&lt;=MONTH($BL41)),UO_List[[#This Row],[Montant TOTAL]]/(MONTH($BL41)-MONTH($BK41)+1),"")</f>
        <v/>
      </c>
      <c r="CV41" s="348" t="str">
        <f>IF(AND(UO_List[[#This Row],[Budget Revue]]="x",$BK41&lt;&gt;"",$BL41&lt;&gt;"",YEAR(BV$3)=YEAR($BK41),MONTH(BV$3)&gt;=MONTH($BK41),MONTH(BV$3)&lt;=MONTH($BL41)),UO_List[[#This Row],[Montant TOTAL]]/(MONTH($BL41)-MONTH($BK41)+1),"")</f>
        <v/>
      </c>
      <c r="CW41" s="348" t="str">
        <f>IF(AND(UO_List[[#This Row],[Budget Revue]]="x",$BK41&lt;&gt;"",$BL41&lt;&gt;"",YEAR(BW$3)=YEAR($BK41),MONTH(BW$3)&gt;=MONTH($BK41),MONTH(BW$3)&lt;=MONTH($BL41)),UO_List[[#This Row],[Montant TOTAL]]/(MONTH($BL41)-MONTH($BK41)+1),"")</f>
        <v/>
      </c>
      <c r="CX41" s="348" t="str">
        <f>IF(AND(UO_List[[#This Row],[Budget Revue]]="x",$BK41&lt;&gt;"",$BL41&lt;&gt;"",YEAR(BX$3)=YEAR($BK41),MONTH(BX$3)&gt;=MONTH($BK41),MONTH(BX$3)&lt;=MONTH($BL41)),UO_List[[#This Row],[Montant TOTAL]]/(MONTH($BL41)-MONTH($BK41)+1),"")</f>
        <v/>
      </c>
      <c r="CY41" s="348" t="str">
        <f>IF(AND(UO_List[[#This Row],[Budget Revue]]="x",$BK41&lt;&gt;"",$BL41&lt;&gt;"",YEAR(BY$3)=YEAR($BK41),MONTH(BY$3)&gt;=MONTH($BK41),MONTH(BY$3)&lt;=MONTH($BL41)),UO_List[[#This Row],[Montant TOTAL]]/(MONTH($BL41)-MONTH($BK41)+1),"")</f>
        <v/>
      </c>
      <c r="CZ41" s="348" t="str">
        <f>IF(AND(UO_List[[#This Row],[Budget Revue]]="x",$BK41&lt;&gt;"",$BL41&lt;&gt;"",YEAR(BY$3)=YEAR($BK41),MONTH(BY$3)&gt;=MONTH($BK41),MONTH(BY$3)&lt;=MONTH($BL41)),UO_List[[#This Row],[Montant TOTAL]]/(MONTH($BL41)-MONTH($BK41)+1),"")</f>
        <v/>
      </c>
      <c r="DA41" s="348">
        <f>IF(UO_List[[#This Row],[Budget Revue]]="x",SUM(UO_List[[#This Row],[JANVIER2]:[DECEMBRE2]])-UO_List[Montant TOTAL],"")</f>
        <v>0</v>
      </c>
      <c r="DB41" s="517">
        <v>5</v>
      </c>
      <c r="DC41" s="83"/>
      <c r="DD41" s="83"/>
      <c r="DE41" s="83"/>
      <c r="DF41" s="83"/>
      <c r="DG41" s="83"/>
      <c r="DH41" s="83"/>
      <c r="DI41" s="83"/>
      <c r="DJ41" s="83"/>
      <c r="DK41" s="83"/>
      <c r="DL41" s="83"/>
      <c r="DM41" s="83"/>
      <c r="DN41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5</v>
      </c>
      <c r="DO41" s="76">
        <f>IFERROR(UO_List[[#This Row],[Line Total]]-UO_List[[#This Row],[Montant total réceptionné]],"")</f>
        <v>25275</v>
      </c>
      <c r="DP41" s="76">
        <f>IFERROR(UO_List[[#This Row],[Total item réceptionné]]*UO_List[[#This Row],[Unit Price (calcul)]],0)</f>
        <v>8425</v>
      </c>
      <c r="DQ41" s="76">
        <f>UO_List[[#This Row],[Facteur]]-UO_List[[#This Row],[Total item réceptionné]]</f>
        <v>15</v>
      </c>
      <c r="DR41" s="77"/>
      <c r="DS41" s="77"/>
      <c r="DT41" s="158"/>
      <c r="DU41" s="77"/>
    </row>
    <row r="42" spans="27:125" s="74" customFormat="1">
      <c r="AA42" s="204" t="str">
        <f>IFERROR(VLOOKUP(UO_List[[#This Row],[Unique_AIB_ID]],Tableau1[[Unique_AIB_ID]:[Building / Room]],2,FALSE),"")</f>
        <v>C000489704</v>
      </c>
      <c r="AB42" s="253">
        <f>IFERROR(VLOOKUP(UO_List[[#This Row],[Unique_AIB_ID]],UO_Contract!A52:V241,3,TRUE),"")</f>
        <v>0</v>
      </c>
      <c r="AC42" s="254" t="str">
        <f>IFERROR(VLOOKUP(UO_List[[#This Row],[Unique_AIB_ID]],Tableau1[[Unique_AIB_ID]:[Building / Room]],4,FALSE),"")</f>
        <v>WPA - SII - PJOP - Airbus - WD1701094 - Flight and Integration Test CT1705359</v>
      </c>
      <c r="AD42" s="253">
        <f>IFERROR(VLOOKUP(UO_List[[#This Row],[Unique_AIB_ID]],Tableau1[[Unique_AIB_ID]:[Building / Room]],5,FALSE),"")</f>
        <v>0</v>
      </c>
      <c r="AE42" s="253">
        <f>IFERROR(VLOOKUP(UO_List[[#This Row],[Unique_AIB_ID]],Tableau1[[Unique_AIB_ID]:[Building / Room]],6,FALSE),"")</f>
        <v>12</v>
      </c>
      <c r="AF42" s="253" t="str">
        <f>IFERROR(VLOOKUP(UO_List[[#This Row],[Unique_AIB_ID]],Tableau1[[Unique_AIB_ID]:[Building / Room]],7,FALSE),"")</f>
        <v>20 Each of WU_ELEC_1[PJE_SII_EVYP_USD_AIRBUS_FR]</v>
      </c>
      <c r="AG42" s="253">
        <f>IFERROR(VLOOKUP(UO_List[[#This Row],[Unique_AIB_ID]],Tableau1[[Unique_AIB_ID]:[Building / Room]],8,FALSE),"")</f>
        <v>20</v>
      </c>
      <c r="AH42" s="255">
        <f>IFERROR(VALUE(VLOOKUP(UO_List[[#This Row],[Unique_AIB_ID]],Tableau1[[Unique_AIB_ID]:[Building / Room]],9,FALSE)),"")</f>
        <v>33700</v>
      </c>
      <c r="AI42" s="253">
        <f>IFERROR(VLOOKUP(UO_List[[#This Row],[Unique_AIB_ID]],Tableau1[[Unique_AIB_ID]:[Building / Room]],10,TRUE),"")</f>
        <v>0</v>
      </c>
      <c r="AJ42" s="256">
        <f>IFERROR(VLOOKUP(UO_List[[#This Row],[Unique_AIB_ID]],Tableau1[[Unique_AIB_ID]:[Building / Room]],11,FALSE),"")</f>
        <v>0</v>
      </c>
      <c r="AK42" s="253">
        <f>IFERROR(VLOOKUP(UO_List[[#This Row],[Unique_AIB_ID]],Tableau1[[Unique_AIB_ID]:[Building / Room]],12,FALSE),"")</f>
        <v>0</v>
      </c>
      <c r="AL42" s="183">
        <f>IFERROR(VLOOKUP(UO_List[[#This Row],[Unique_AIB_ID]],Tableau1[[Unique_AIB_ID]:[Building / Room]],13,FALSE),"")</f>
        <v>0</v>
      </c>
      <c r="AM42" s="183">
        <f>IFERROR(VLOOKUP(UO_List[[#This Row],[Unique_AIB_ID]],Tableau1[[Unique_AIB_ID]:[Building / Room]],14,FALSE),"")</f>
        <v>0</v>
      </c>
      <c r="AN42" s="183">
        <f>IFERROR(VLOOKUP(UO_List[[#This Row],[Unique_AIB_ID]],Tableau1[[Unique_AIB_ID]:[Building / Room]],15,FALSE),"")</f>
        <v>0</v>
      </c>
      <c r="AO42" s="183">
        <f>IFERROR(VLOOKUP(UO_List[[#This Row],[Unique_AIB_ID]],Tableau1[[Unique_AIB_ID]:[Building / Room]],16,FALSE),"")</f>
        <v>0</v>
      </c>
      <c r="AP42" s="183" t="str">
        <f>IFERROR(VLOOKUP(UO_List[[#This Row],[Unique_AIB_ID]],Tableau1[[Unique_AIB_ID]:[Building / Room]],17,FALSE),"")</f>
        <v>0</v>
      </c>
      <c r="AQ42" s="183">
        <f>IFERROR(VLOOKUP(UO_List[[#This Row],[Unique_AIB_ID]],Tableau1[[Unique_AIB_ID]:[Building / Room]],18,FALSE),"")</f>
        <v>0</v>
      </c>
      <c r="AR42" s="183" t="str">
        <f>IFERROR(VLOOKUP(UO_List[[#This Row],[Unique_AIB_ID]],Tableau1[[Unique_AIB_ID]:[Building / Room]],19,FALSE),"")</f>
        <v>03/25/20</v>
      </c>
      <c r="AS42" s="183">
        <f>IFERROR(VLOOKUP(UO_List[[#This Row],[Unique_AIB_ID]],Tableau1[[Unique_AIB_ID]:[Building / Room]],20,FALSE),"")</f>
        <v>0</v>
      </c>
      <c r="AT42" s="183">
        <f>IFERROR(VLOOKUP(UO_List[[#This Row],[Unique_AIB_ID]],Tableau1[[Unique_AIB_ID]:[Building / Room]],21,FALSE),"")</f>
        <v>0</v>
      </c>
      <c r="AU42" s="183" t="str">
        <f>IFERROR(VLOOKUP(UO_List[[#This Row],[Unique_AIB_ID]],Tableau1[[Unique_AIB_ID]:[Building / Room]],22,FALSE),"")</f>
        <v>M24 / A559</v>
      </c>
      <c r="AV42" s="167" t="str">
        <f>IFERROR(VLOOKUP(UO_List[[#This Row],[Unique_AIB_ID]],Tableau1[[Unique_AIB_ID]:[Currency]],23,FALSE),"")</f>
        <v>Q 1 / 33 - Genome</v>
      </c>
      <c r="AW42" s="167">
        <f>IFERROR(IF(ISBLANK(UO_List[[#This Row],[PO Number (Header)]]),"",UO_List[[#This Row],[Line Total]]/UO_List[[#This Row],[Total Item Quantity]]),"")</f>
        <v>1685</v>
      </c>
      <c r="AX42" s="499" t="s">
        <v>976</v>
      </c>
      <c r="AY42" s="167"/>
      <c r="AZ42" s="78" t="s">
        <v>842</v>
      </c>
      <c r="BA42" s="82"/>
      <c r="BB42" s="78"/>
      <c r="BC42" s="78" t="s">
        <v>697</v>
      </c>
      <c r="BD42" s="70" t="s">
        <v>685</v>
      </c>
      <c r="BE42" s="78" t="s">
        <v>685</v>
      </c>
      <c r="BF42" s="78"/>
      <c r="BG42" s="78"/>
      <c r="BH42" s="58" t="s">
        <v>929</v>
      </c>
      <c r="BI42" s="78"/>
      <c r="BJ42" s="78"/>
      <c r="BK42" s="79">
        <v>43922</v>
      </c>
      <c r="BL42" s="79">
        <v>44012</v>
      </c>
      <c r="BM42" s="71">
        <v>20</v>
      </c>
      <c r="BN42" s="71">
        <f>IFERROR(UO_List[[#This Row],[Total Item Quantity]]-UO_List[[#This Row],[Facteur]],"")</f>
        <v>0</v>
      </c>
      <c r="BO42" s="349">
        <f>IFERROR(IF(ISBLANK(UO_List[[#This Row],[Id_UO]]),"",SUMPRODUCT(1*(EXACT(UO_List[[#This Row],[Id_UO]],CATALOGUE[Id_WU]))*CATALOGUE[Price $])),"")</f>
        <v>1685</v>
      </c>
      <c r="BP42" s="350">
        <f>IFERROR(UO_List[[#This Row],[Prix unitaire]]*UO_List[[#This Row],[Facteur]],"")</f>
        <v>33700</v>
      </c>
      <c r="BQ42" s="100">
        <f>IFERROR(SUMPRODUCT(1*(EXACT(UO_List[[#This Row],[Id_UO]],CATALOGUE[Id_WU]))*CATALOGUE[Global_Workload_PM_(d)]*UO_List[[#This Row],[Facteur]]),"")</f>
        <v>9.0000000000000036</v>
      </c>
      <c r="BR42" s="286">
        <f>UO_List[[#This Row],[Jours GP]]/jours_an</f>
        <v>4.1666666666666685E-2</v>
      </c>
      <c r="BS42" s="72">
        <f>IFERROR(SUMPRODUCT(1*(EXACT(UO_List[[#This Row],[Id_UO]],CATALOGUE[Id_WU]))*CATALOGUE[Global_Workload_Tech_(d)]*UO_List[[#This Row],[Facteur]]),"")</f>
        <v>51</v>
      </c>
      <c r="BT42" s="286">
        <f>UO_List[[#This Row],[Jours Tech]]/jours_an</f>
        <v>0.2361111111111111</v>
      </c>
      <c r="BU42" s="72">
        <f>UO_List[[#This Row],[Jours GP]]+UO_List[[#This Row],[Jours Tech]]</f>
        <v>60</v>
      </c>
      <c r="BV42" s="286">
        <f>UO_List[[#This Row],[ETP GP]]+UO_List[[#This Row],[ETP Tech]]</f>
        <v>0.27777777777777779</v>
      </c>
      <c r="BW42" s="73"/>
      <c r="BX42" s="80" t="s">
        <v>203</v>
      </c>
      <c r="BY42" s="462">
        <f>IF(UO_List[[#This Row],[Budget Revue]]="x",UO_List[[#This Row],[Montant TOTAL]],0)</f>
        <v>33700</v>
      </c>
      <c r="BZ42" s="80">
        <f>IF(UO_List[[#This Row],[Budget Revue]]="x",UO_List[[#This Row],[Jours Tech]],0)</f>
        <v>51</v>
      </c>
      <c r="CA42" s="80">
        <f>IF(UO_List[[#This Row],[Budget Revue]]="x",UO_List[[#This Row],[Jours GP]],0)</f>
        <v>9.0000000000000036</v>
      </c>
      <c r="CB42" s="516" t="str">
        <f>IF(AND(UO_List[[#This Row],[Budget Revue]]="x",$BK42&lt;&gt;"",$BL42&lt;&gt;"",YEAR(BB$3)=YEAR($BK42),MONTH(BB$3)&gt;=MONTH($BK42),MONTH(BB$3)&lt;=MONTH($BL42)),$BS42/(MONTH($BL42)-MONTH($BK42)+1),"")</f>
        <v/>
      </c>
      <c r="CC42" s="80" t="str">
        <f>IF(AND(UO_List[[#This Row],[Budget Revue]]="x",$BK42&lt;&gt;"",$BL42&lt;&gt;"",YEAR(BC$3)=YEAR($BK42),MONTH(BC$3)&gt;=MONTH($BK42),MONTH(BC$3)&lt;=MONTH($BL42)),$BS42/(MONTH($BL42)-MONTH($BK42)+1),"")</f>
        <v/>
      </c>
      <c r="CD42" s="80" t="str">
        <f>IF(AND(UO_List[[#This Row],[Budget Revue]]="x",$BK42&lt;&gt;"",$BL42&lt;&gt;"",YEAR(BD$3)=YEAR($BK42),MONTH(BD$3)&gt;=MONTH($BK42),MONTH(BD$3)&lt;=MONTH($BL42)),$BS42/(MONTH($BL42)-MONTH($BK42)+1),"")</f>
        <v/>
      </c>
      <c r="CE42" s="80">
        <f>IF(AND(UO_List[[#This Row],[Budget Revue]]="x",$BK42&lt;&gt;"",$BL42&lt;&gt;"",YEAR(BE$3)=YEAR($BK42),MONTH(BE$3)&gt;=MONTH($BK42),MONTH(BE$3)&lt;=MONTH($BL42)),$BS42/(MONTH($BL42)-MONTH($BK42)+1),"")</f>
        <v>17</v>
      </c>
      <c r="CF42" s="80">
        <f>IF(AND(UO_List[[#This Row],[Budget Revue]]="x",$BK42&lt;&gt;"",$BL42&lt;&gt;"",YEAR(BF$3)=YEAR($BK42),MONTH(BF$3)&gt;=MONTH($BK42),MONTH(BF$3)&lt;=MONTH($BL42)),$BS42/(MONTH($BL42)-MONTH($BK42)+1),"")</f>
        <v>17</v>
      </c>
      <c r="CG42" s="80">
        <f>IF(AND(UO_List[[#This Row],[Budget Revue]]="x",$BK42&lt;&gt;"",$BL42&lt;&gt;"",YEAR(BG$3)=YEAR($BK42),MONTH(BG$3)&gt;=MONTH($BK42),MONTH(BG$3)&lt;=MONTH($BL42)),$BS42/(MONTH($BL42)-MONTH($BK42)+1),"")</f>
        <v>17</v>
      </c>
      <c r="CH42" s="80" t="str">
        <f>IF(AND(UO_List[[#This Row],[Budget Revue]]="x",$BK42&lt;&gt;"",$BL42&lt;&gt;"",YEAR(BH$3)=YEAR($BK42),MONTH(BH$3)&gt;=MONTH($BK42),MONTH(BH$3)&lt;=MONTH($BL42)),$BS42/(MONTH($BL42)-MONTH($BK42)+1),"")</f>
        <v/>
      </c>
      <c r="CI42" s="80" t="str">
        <f>IF(AND(UO_List[[#This Row],[Budget Revue]]="x",$BK42&lt;&gt;"",$BL42&lt;&gt;"",YEAR(BI$3)=YEAR($BK42),MONTH(BI$3)&gt;=MONTH($BK42),MONTH(BI$3)&lt;=MONTH($BL42)),$BS42/(MONTH($BL42)-MONTH($BK42)+1),"")</f>
        <v/>
      </c>
      <c r="CJ42" s="80" t="str">
        <f>IF(AND(UO_List[[#This Row],[Budget Revue]]="x",$BK42&lt;&gt;"",$BL42&lt;&gt;"",YEAR(BJ$3)=YEAR($BK42),MONTH(BJ$3)&gt;=MONTH($BK42),MONTH(BJ$3)&lt;=MONTH($BL42)),$BS42/(MONTH($BL42)-MONTH($BK42)+1),"")</f>
        <v/>
      </c>
      <c r="CK42" s="80" t="str">
        <f>IF(AND(UO_List[[#This Row],[Budget Revue]]="x",$BK42&lt;&gt;"",$BL42&lt;&gt;"",YEAR(BK$3)=YEAR($BK42),MONTH(BK$3)&gt;=MONTH($BK42),MONTH(BK$3)&lt;=MONTH($BL42)),$BS42/(MONTH($BL42)-MONTH($BK42)+1),"")</f>
        <v/>
      </c>
      <c r="CL42" s="80" t="str">
        <f>IF(AND(UO_List[[#This Row],[Budget Revue]]="x",$BK42&lt;&gt;"",$BL42&lt;&gt;"",YEAR(BL$3)=YEAR($BK42),MONTH(BL$3)&gt;=MONTH($BK42),MONTH(BL$3)&lt;=MONTH($BL42)),$BS42/(MONTH($BL42)-MONTH($BK42)+1),"")</f>
        <v/>
      </c>
      <c r="CM42" s="80" t="str">
        <f>IF(AND(UO_List[[#This Row],[Budget Revue]]="x",$BK42&lt;&gt;"",$BL42&lt;&gt;"",YEAR(BM$3)=YEAR($BK42),MONTH(BM$3)&gt;=MONTH($BK42),MONTH(BM$3)&lt;=MONTH($BL42)),$BS42/(MONTH($BL42)-MONTH($BK42)+1),"")</f>
        <v/>
      </c>
      <c r="CN42" s="75">
        <f>IF(UO_List[[#This Row],[Budget Revue]]="x",SUM(UO_List[[#This Row],[JANVIER]:[DECEMBRE]])-UO_List[[#This Row],[Jours Tech]],"")</f>
        <v>0</v>
      </c>
      <c r="CO42" s="348" t="str">
        <f>IF(AND(UO_List[[#This Row],[Budget Revue]]="x",$BK42&lt;&gt;"",$BL42&lt;&gt;"",YEAR(BO$3)=YEAR($BK42),MONTH(BO$3)&gt;=MONTH($BK42),MONTH(BO$3)&lt;=MONTH($BL42)),UO_List[[#This Row],[Montant TOTAL]]/(MONTH($BL42)-MONTH($BK42)+1),"")</f>
        <v/>
      </c>
      <c r="CP42" s="348" t="str">
        <f>IF(AND(UO_List[[#This Row],[Budget Revue]]="x",$BK42&lt;&gt;"",$BL42&lt;&gt;"",YEAR(BP$3)=YEAR($BK42),MONTH(BP$3)&gt;=MONTH($BK42),MONTH(BP$3)&lt;=MONTH($BL42)),UO_List[[#This Row],[Montant TOTAL]]/(MONTH($BL42)-MONTH($BK42)+1),"")</f>
        <v/>
      </c>
      <c r="CQ42" s="348" t="str">
        <f>IF(AND(UO_List[[#This Row],[Budget Revue]]="x",$BK42&lt;&gt;"",$BL42&lt;&gt;"",YEAR(BQ$3)=YEAR($BK42),MONTH(BQ$3)&gt;=MONTH($BK42),MONTH(BQ$3)&lt;=MONTH($BL42)),UO_List[[#This Row],[Montant TOTAL]]/(MONTH($BL42)-MONTH($BK42)+1),"")</f>
        <v/>
      </c>
      <c r="CR42" s="348">
        <f>IF(AND(UO_List[[#This Row],[Budget Revue]]="x",$BK42&lt;&gt;"",$BL42&lt;&gt;"",YEAR(BR$3)=YEAR($BK42),MONTH(BR$3)&gt;=MONTH($BK42),MONTH(BR$3)&lt;=MONTH($BL42)),UO_List[[#This Row],[Montant TOTAL]]/(MONTH($BL42)-MONTH($BK42)+1),"")</f>
        <v>11233.333333333334</v>
      </c>
      <c r="CS42" s="348">
        <f>IF(AND(UO_List[[#This Row],[Budget Revue]]="x",$BK42&lt;&gt;"",$BL42&lt;&gt;"",YEAR(BS$3)=YEAR($BK42),MONTH(BS$3)&gt;=MONTH($BK42),MONTH(BS$3)&lt;=MONTH($BL42)),UO_List[[#This Row],[Montant TOTAL]]/(MONTH($BL42)-MONTH($BK42)+1),"")</f>
        <v>11233.333333333334</v>
      </c>
      <c r="CT42" s="348">
        <f>IF(AND(UO_List[[#This Row],[Budget Revue]]="x",$BK42&lt;&gt;"",$BL42&lt;&gt;"",YEAR(BT$3)=YEAR($BK42),MONTH(BT$3)&gt;=MONTH($BK42),MONTH(BT$3)&lt;=MONTH($BL42)),UO_List[[#This Row],[Montant TOTAL]]/(MONTH($BL42)-MONTH($BK42)+1),"")</f>
        <v>11233.333333333334</v>
      </c>
      <c r="CU42" s="348" t="str">
        <f>IF(AND(UO_List[[#This Row],[Budget Revue]]="x",$BK42&lt;&gt;"",$BL42&lt;&gt;"",YEAR(BU$3)=YEAR($BK42),MONTH(BU$3)&gt;=MONTH($BK42),MONTH(BU$3)&lt;=MONTH($BL42)),UO_List[[#This Row],[Montant TOTAL]]/(MONTH($BL42)-MONTH($BK42)+1),"")</f>
        <v/>
      </c>
      <c r="CV42" s="348" t="str">
        <f>IF(AND(UO_List[[#This Row],[Budget Revue]]="x",$BK42&lt;&gt;"",$BL42&lt;&gt;"",YEAR(BV$3)=YEAR($BK42),MONTH(BV$3)&gt;=MONTH($BK42),MONTH(BV$3)&lt;=MONTH($BL42)),UO_List[[#This Row],[Montant TOTAL]]/(MONTH($BL42)-MONTH($BK42)+1),"")</f>
        <v/>
      </c>
      <c r="CW42" s="348" t="str">
        <f>IF(AND(UO_List[[#This Row],[Budget Revue]]="x",$BK42&lt;&gt;"",$BL42&lt;&gt;"",YEAR(BW$3)=YEAR($BK42),MONTH(BW$3)&gt;=MONTH($BK42),MONTH(BW$3)&lt;=MONTH($BL42)),UO_List[[#This Row],[Montant TOTAL]]/(MONTH($BL42)-MONTH($BK42)+1),"")</f>
        <v/>
      </c>
      <c r="CX42" s="348" t="str">
        <f>IF(AND(UO_List[[#This Row],[Budget Revue]]="x",$BK42&lt;&gt;"",$BL42&lt;&gt;"",YEAR(BX$3)=YEAR($BK42),MONTH(BX$3)&gt;=MONTH($BK42),MONTH(BX$3)&lt;=MONTH($BL42)),UO_List[[#This Row],[Montant TOTAL]]/(MONTH($BL42)-MONTH($BK42)+1),"")</f>
        <v/>
      </c>
      <c r="CY42" s="348" t="str">
        <f>IF(AND(UO_List[[#This Row],[Budget Revue]]="x",$BK42&lt;&gt;"",$BL42&lt;&gt;"",YEAR(BY$3)=YEAR($BK42),MONTH(BY$3)&gt;=MONTH($BK42),MONTH(BY$3)&lt;=MONTH($BL42)),UO_List[[#This Row],[Montant TOTAL]]/(MONTH($BL42)-MONTH($BK42)+1),"")</f>
        <v/>
      </c>
      <c r="CZ42" s="348" t="str">
        <f>IF(AND(UO_List[[#This Row],[Budget Revue]]="x",$BK42&lt;&gt;"",$BL42&lt;&gt;"",YEAR(BY$3)=YEAR($BK42),MONTH(BY$3)&gt;=MONTH($BK42),MONTH(BY$3)&lt;=MONTH($BL42)),UO_List[[#This Row],[Montant TOTAL]]/(MONTH($BL42)-MONTH($BK42)+1),"")</f>
        <v/>
      </c>
      <c r="DA42" s="348">
        <f>IF(UO_List[[#This Row],[Budget Revue]]="x",SUM(UO_List[[#This Row],[JANVIER2]:[DECEMBRE2]])-UO_List[Montant TOTAL],"")</f>
        <v>0</v>
      </c>
      <c r="DB42" s="517">
        <v>7</v>
      </c>
      <c r="DC42" s="83"/>
      <c r="DD42" s="83"/>
      <c r="DE42" s="83"/>
      <c r="DF42" s="83"/>
      <c r="DG42" s="83"/>
      <c r="DH42" s="83"/>
      <c r="DI42" s="83"/>
      <c r="DJ42" s="83"/>
      <c r="DK42" s="83"/>
      <c r="DL42" s="83"/>
      <c r="DM42" s="83"/>
      <c r="DN42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7</v>
      </c>
      <c r="DO42" s="76">
        <f>IFERROR(UO_List[[#This Row],[Line Total]]-UO_List[[#This Row],[Montant total réceptionné]],"")</f>
        <v>21905</v>
      </c>
      <c r="DP42" s="76">
        <f>IFERROR(UO_List[[#This Row],[Total item réceptionné]]*UO_List[[#This Row],[Unit Price (calcul)]],0)</f>
        <v>11795</v>
      </c>
      <c r="DQ42" s="76">
        <f>UO_List[[#This Row],[Facteur]]-UO_List[[#This Row],[Total item réceptionné]]</f>
        <v>13</v>
      </c>
      <c r="DR42" s="77"/>
      <c r="DS42" s="77"/>
      <c r="DT42" s="158"/>
      <c r="DU42" s="77"/>
    </row>
    <row r="43" spans="27:125" s="74" customFormat="1">
      <c r="AA43" s="188" t="str">
        <f>IFERROR(VLOOKUP(UO_List[[#This Row],[Unique_AIB_ID]],Tableau1[[Unique_AIB_ID]:[Building / Room]],2,FALSE),"")</f>
        <v>C000489704</v>
      </c>
      <c r="AB43" s="257">
        <f>IFERROR(VLOOKUP(UO_List[[#This Row],[Unique_AIB_ID]],UO_Contract!A53:V242,3,TRUE),"")</f>
        <v>0</v>
      </c>
      <c r="AC43" s="258" t="str">
        <f>IFERROR(VLOOKUP(UO_List[[#This Row],[Unique_AIB_ID]],Tableau1[[Unique_AIB_ID]:[Building / Room]],4,FALSE),"")</f>
        <v>WPA - SII - PJOP - Airbus - WD1701094 - Flight and Integration Test CT1705359</v>
      </c>
      <c r="AD43" s="257">
        <f>IFERROR(VLOOKUP(UO_List[[#This Row],[Unique_AIB_ID]],Tableau1[[Unique_AIB_ID]:[Building / Room]],5,FALSE),"")</f>
        <v>0</v>
      </c>
      <c r="AE43" s="257">
        <f>IFERROR(VLOOKUP(UO_List[[#This Row],[Unique_AIB_ID]],Tableau1[[Unique_AIB_ID]:[Building / Room]],6,FALSE),"")</f>
        <v>13</v>
      </c>
      <c r="AF43" s="257" t="str">
        <f>IFERROR(VLOOKUP(UO_List[[#This Row],[Unique_AIB_ID]],Tableau1[[Unique_AIB_ID]:[Building / Room]],7,FALSE),"")</f>
        <v>30 Each of WU_ELEC_1[PJE_SII_EVYP_USD_AIRBUS_FR]</v>
      </c>
      <c r="AG43" s="257">
        <f>IFERROR(VLOOKUP(UO_List[[#This Row],[Unique_AIB_ID]],Tableau1[[Unique_AIB_ID]:[Building / Room]],8,FALSE),"")</f>
        <v>30</v>
      </c>
      <c r="AH43" s="259">
        <f>IFERROR(VALUE(VLOOKUP(UO_List[[#This Row],[Unique_AIB_ID]],Tableau1[[Unique_AIB_ID]:[Building / Room]],9,FALSE)),"")</f>
        <v>50550</v>
      </c>
      <c r="AI43" s="257">
        <f>IFERROR(VLOOKUP(UO_List[[#This Row],[Unique_AIB_ID]],Tableau1[[Unique_AIB_ID]:[Building / Room]],10,TRUE),"")</f>
        <v>0</v>
      </c>
      <c r="AJ43" s="260">
        <f>IFERROR(VLOOKUP(UO_List[[#This Row],[Unique_AIB_ID]],Tableau1[[Unique_AIB_ID]:[Building / Room]],11,FALSE),"")</f>
        <v>0</v>
      </c>
      <c r="AK43" s="257">
        <f>IFERROR(VLOOKUP(UO_List[[#This Row],[Unique_AIB_ID]],Tableau1[[Unique_AIB_ID]:[Building / Room]],12,FALSE),"")</f>
        <v>0</v>
      </c>
      <c r="AL43" s="183">
        <f>IFERROR(VLOOKUP(UO_List[[#This Row],[Unique_AIB_ID]],Tableau1[[Unique_AIB_ID]:[Building / Room]],13,FALSE),"")</f>
        <v>0</v>
      </c>
      <c r="AM43" s="183">
        <f>IFERROR(VLOOKUP(UO_List[[#This Row],[Unique_AIB_ID]],Tableau1[[Unique_AIB_ID]:[Building / Room]],14,FALSE),"")</f>
        <v>0</v>
      </c>
      <c r="AN43" s="183">
        <f>IFERROR(VLOOKUP(UO_List[[#This Row],[Unique_AIB_ID]],Tableau1[[Unique_AIB_ID]:[Building / Room]],15,FALSE),"")</f>
        <v>0</v>
      </c>
      <c r="AO43" s="183">
        <f>IFERROR(VLOOKUP(UO_List[[#This Row],[Unique_AIB_ID]],Tableau1[[Unique_AIB_ID]:[Building / Room]],16,FALSE),"")</f>
        <v>0</v>
      </c>
      <c r="AP43" s="183" t="str">
        <f>IFERROR(VLOOKUP(UO_List[[#This Row],[Unique_AIB_ID]],Tableau1[[Unique_AIB_ID]:[Building / Room]],17,FALSE),"")</f>
        <v>0</v>
      </c>
      <c r="AQ43" s="183">
        <f>IFERROR(VLOOKUP(UO_List[[#This Row],[Unique_AIB_ID]],Tableau1[[Unique_AIB_ID]:[Building / Room]],18,FALSE),"")</f>
        <v>0</v>
      </c>
      <c r="AR43" s="183" t="str">
        <f>IFERROR(VLOOKUP(UO_List[[#This Row],[Unique_AIB_ID]],Tableau1[[Unique_AIB_ID]:[Building / Room]],19,FALSE),"")</f>
        <v>03/25/20</v>
      </c>
      <c r="AS43" s="183">
        <f>IFERROR(VLOOKUP(UO_List[[#This Row],[Unique_AIB_ID]],Tableau1[[Unique_AIB_ID]:[Building / Room]],20,FALSE),"")</f>
        <v>0</v>
      </c>
      <c r="AT43" s="183">
        <f>IFERROR(VLOOKUP(UO_List[[#This Row],[Unique_AIB_ID]],Tableau1[[Unique_AIB_ID]:[Building / Room]],21,FALSE),"")</f>
        <v>0</v>
      </c>
      <c r="AU43" s="183" t="str">
        <f>IFERROR(VLOOKUP(UO_List[[#This Row],[Unique_AIB_ID]],Tableau1[[Unique_AIB_ID]:[Building / Room]],22,FALSE),"")</f>
        <v>M24 / A559</v>
      </c>
      <c r="AV43" s="167" t="str">
        <f>IFERROR(VLOOKUP(UO_List[[#This Row],[Unique_AIB_ID]],Tableau1[[Unique_AIB_ID]:[Currency]],23,FALSE),"")</f>
        <v>Q 1 / 34 - MEAP Tests</v>
      </c>
      <c r="AW43" s="167">
        <f>IFERROR(IF(ISBLANK(UO_List[[#This Row],[PO Number (Header)]]),"",UO_List[[#This Row],[Line Total]]/UO_List[[#This Row],[Total Item Quantity]]),"")</f>
        <v>1685</v>
      </c>
      <c r="AX43" s="499" t="s">
        <v>965</v>
      </c>
      <c r="AY43" s="167"/>
      <c r="AZ43" s="78" t="s">
        <v>842</v>
      </c>
      <c r="BA43" s="82"/>
      <c r="BB43" s="78"/>
      <c r="BC43" s="78" t="s">
        <v>697</v>
      </c>
      <c r="BD43" s="70" t="s">
        <v>685</v>
      </c>
      <c r="BE43" s="78" t="s">
        <v>685</v>
      </c>
      <c r="BF43" s="78"/>
      <c r="BG43" s="78"/>
      <c r="BH43" s="58" t="s">
        <v>930</v>
      </c>
      <c r="BI43" s="78"/>
      <c r="BJ43" s="78"/>
      <c r="BK43" s="79">
        <v>43922</v>
      </c>
      <c r="BL43" s="79">
        <v>44012</v>
      </c>
      <c r="BM43" s="71">
        <v>30</v>
      </c>
      <c r="BN43" s="71">
        <f>IFERROR(UO_List[[#This Row],[Total Item Quantity]]-UO_List[[#This Row],[Facteur]],"")</f>
        <v>0</v>
      </c>
      <c r="BO43" s="349">
        <f>IFERROR(IF(ISBLANK(UO_List[[#This Row],[Id_UO]]),"",SUMPRODUCT(1*(EXACT(UO_List[[#This Row],[Id_UO]],CATALOGUE[Id_WU]))*CATALOGUE[Price $])),"")</f>
        <v>1685</v>
      </c>
      <c r="BP43" s="350">
        <f>IFERROR(UO_List[[#This Row],[Prix unitaire]]*UO_List[[#This Row],[Facteur]],"")</f>
        <v>50550</v>
      </c>
      <c r="BQ43" s="100">
        <f>IFERROR(SUMPRODUCT(1*(EXACT(UO_List[[#This Row],[Id_UO]],CATALOGUE[Id_WU]))*CATALOGUE[Global_Workload_PM_(d)]*UO_List[[#This Row],[Facteur]]),"")</f>
        <v>13.500000000000005</v>
      </c>
      <c r="BR43" s="286">
        <f>UO_List[[#This Row],[Jours GP]]/jours_an</f>
        <v>6.2500000000000028E-2</v>
      </c>
      <c r="BS43" s="72">
        <f>IFERROR(SUMPRODUCT(1*(EXACT(UO_List[[#This Row],[Id_UO]],CATALOGUE[Id_WU]))*CATALOGUE[Global_Workload_Tech_(d)]*UO_List[[#This Row],[Facteur]]),"")</f>
        <v>76.5</v>
      </c>
      <c r="BT43" s="286">
        <f>UO_List[[#This Row],[Jours Tech]]/jours_an</f>
        <v>0.35416666666666669</v>
      </c>
      <c r="BU43" s="72">
        <f>UO_List[[#This Row],[Jours GP]]+UO_List[[#This Row],[Jours Tech]]</f>
        <v>90</v>
      </c>
      <c r="BV43" s="286">
        <f>UO_List[[#This Row],[ETP GP]]+UO_List[[#This Row],[ETP Tech]]</f>
        <v>0.41666666666666674</v>
      </c>
      <c r="BW43" s="73"/>
      <c r="BX43" s="80" t="s">
        <v>203</v>
      </c>
      <c r="BY43" s="462">
        <f>IF(UO_List[[#This Row],[Budget Revue]]="x",UO_List[[#This Row],[Montant TOTAL]],0)</f>
        <v>50550</v>
      </c>
      <c r="BZ43" s="80">
        <f>IF(UO_List[[#This Row],[Budget Revue]]="x",UO_List[[#This Row],[Jours Tech]],0)</f>
        <v>76.5</v>
      </c>
      <c r="CA43" s="80">
        <f>IF(UO_List[[#This Row],[Budget Revue]]="x",UO_List[[#This Row],[Jours GP]],0)</f>
        <v>13.500000000000005</v>
      </c>
      <c r="CB43" s="516" t="str">
        <f>IF(AND(UO_List[[#This Row],[Budget Revue]]="x",$BK43&lt;&gt;"",$BL43&lt;&gt;"",YEAR(BB$3)=YEAR($BK43),MONTH(BB$3)&gt;=MONTH($BK43),MONTH(BB$3)&lt;=MONTH($BL43)),$BS43/(MONTH($BL43)-MONTH($BK43)+1),"")</f>
        <v/>
      </c>
      <c r="CC43" s="80" t="str">
        <f>IF(AND(UO_List[[#This Row],[Budget Revue]]="x",$BK43&lt;&gt;"",$BL43&lt;&gt;"",YEAR(BC$3)=YEAR($BK43),MONTH(BC$3)&gt;=MONTH($BK43),MONTH(BC$3)&lt;=MONTH($BL43)),$BS43/(MONTH($BL43)-MONTH($BK43)+1),"")</f>
        <v/>
      </c>
      <c r="CD43" s="80" t="str">
        <f>IF(AND(UO_List[[#This Row],[Budget Revue]]="x",$BK43&lt;&gt;"",$BL43&lt;&gt;"",YEAR(BD$3)=YEAR($BK43),MONTH(BD$3)&gt;=MONTH($BK43),MONTH(BD$3)&lt;=MONTH($BL43)),$BS43/(MONTH($BL43)-MONTH($BK43)+1),"")</f>
        <v/>
      </c>
      <c r="CE43" s="80">
        <f>IF(AND(UO_List[[#This Row],[Budget Revue]]="x",$BK43&lt;&gt;"",$BL43&lt;&gt;"",YEAR(BE$3)=YEAR($BK43),MONTH(BE$3)&gt;=MONTH($BK43),MONTH(BE$3)&lt;=MONTH($BL43)),$BS43/(MONTH($BL43)-MONTH($BK43)+1),"")</f>
        <v>25.5</v>
      </c>
      <c r="CF43" s="80">
        <f>IF(AND(UO_List[[#This Row],[Budget Revue]]="x",$BK43&lt;&gt;"",$BL43&lt;&gt;"",YEAR(BF$3)=YEAR($BK43),MONTH(BF$3)&gt;=MONTH($BK43),MONTH(BF$3)&lt;=MONTH($BL43)),$BS43/(MONTH($BL43)-MONTH($BK43)+1),"")</f>
        <v>25.5</v>
      </c>
      <c r="CG43" s="80">
        <f>IF(AND(UO_List[[#This Row],[Budget Revue]]="x",$BK43&lt;&gt;"",$BL43&lt;&gt;"",YEAR(BG$3)=YEAR($BK43),MONTH(BG$3)&gt;=MONTH($BK43),MONTH(BG$3)&lt;=MONTH($BL43)),$BS43/(MONTH($BL43)-MONTH($BK43)+1),"")</f>
        <v>25.5</v>
      </c>
      <c r="CH43" s="80" t="str">
        <f>IF(AND(UO_List[[#This Row],[Budget Revue]]="x",$BK43&lt;&gt;"",$BL43&lt;&gt;"",YEAR(BH$3)=YEAR($BK43),MONTH(BH$3)&gt;=MONTH($BK43),MONTH(BH$3)&lt;=MONTH($BL43)),$BS43/(MONTH($BL43)-MONTH($BK43)+1),"")</f>
        <v/>
      </c>
      <c r="CI43" s="80" t="str">
        <f>IF(AND(UO_List[[#This Row],[Budget Revue]]="x",$BK43&lt;&gt;"",$BL43&lt;&gt;"",YEAR(BI$3)=YEAR($BK43),MONTH(BI$3)&gt;=MONTH($BK43),MONTH(BI$3)&lt;=MONTH($BL43)),$BS43/(MONTH($BL43)-MONTH($BK43)+1),"")</f>
        <v/>
      </c>
      <c r="CJ43" s="80" t="str">
        <f>IF(AND(UO_List[[#This Row],[Budget Revue]]="x",$BK43&lt;&gt;"",$BL43&lt;&gt;"",YEAR(BJ$3)=YEAR($BK43),MONTH(BJ$3)&gt;=MONTH($BK43),MONTH(BJ$3)&lt;=MONTH($BL43)),$BS43/(MONTH($BL43)-MONTH($BK43)+1),"")</f>
        <v/>
      </c>
      <c r="CK43" s="80" t="str">
        <f>IF(AND(UO_List[[#This Row],[Budget Revue]]="x",$BK43&lt;&gt;"",$BL43&lt;&gt;"",YEAR(BK$3)=YEAR($BK43),MONTH(BK$3)&gt;=MONTH($BK43),MONTH(BK$3)&lt;=MONTH($BL43)),$BS43/(MONTH($BL43)-MONTH($BK43)+1),"")</f>
        <v/>
      </c>
      <c r="CL43" s="80" t="str">
        <f>IF(AND(UO_List[[#This Row],[Budget Revue]]="x",$BK43&lt;&gt;"",$BL43&lt;&gt;"",YEAR(BL$3)=YEAR($BK43),MONTH(BL$3)&gt;=MONTH($BK43),MONTH(BL$3)&lt;=MONTH($BL43)),$BS43/(MONTH($BL43)-MONTH($BK43)+1),"")</f>
        <v/>
      </c>
      <c r="CM43" s="80" t="str">
        <f>IF(AND(UO_List[[#This Row],[Budget Revue]]="x",$BK43&lt;&gt;"",$BL43&lt;&gt;"",YEAR(BM$3)=YEAR($BK43),MONTH(BM$3)&gt;=MONTH($BK43),MONTH(BM$3)&lt;=MONTH($BL43)),$BS43/(MONTH($BL43)-MONTH($BK43)+1),"")</f>
        <v/>
      </c>
      <c r="CN43" s="75">
        <f>IF(UO_List[[#This Row],[Budget Revue]]="x",SUM(UO_List[[#This Row],[JANVIER]:[DECEMBRE]])-UO_List[[#This Row],[Jours Tech]],"")</f>
        <v>0</v>
      </c>
      <c r="CO43" s="348" t="str">
        <f>IF(AND(UO_List[[#This Row],[Budget Revue]]="x",$BK43&lt;&gt;"",$BL43&lt;&gt;"",YEAR(BO$3)=YEAR($BK43),MONTH(BO$3)&gt;=MONTH($BK43),MONTH(BO$3)&lt;=MONTH($BL43)),UO_List[[#This Row],[Montant TOTAL]]/(MONTH($BL43)-MONTH($BK43)+1),"")</f>
        <v/>
      </c>
      <c r="CP43" s="348" t="str">
        <f>IF(AND(UO_List[[#This Row],[Budget Revue]]="x",$BK43&lt;&gt;"",$BL43&lt;&gt;"",YEAR(BP$3)=YEAR($BK43),MONTH(BP$3)&gt;=MONTH($BK43),MONTH(BP$3)&lt;=MONTH($BL43)),UO_List[[#This Row],[Montant TOTAL]]/(MONTH($BL43)-MONTH($BK43)+1),"")</f>
        <v/>
      </c>
      <c r="CQ43" s="348" t="str">
        <f>IF(AND(UO_List[[#This Row],[Budget Revue]]="x",$BK43&lt;&gt;"",$BL43&lt;&gt;"",YEAR(BQ$3)=YEAR($BK43),MONTH(BQ$3)&gt;=MONTH($BK43),MONTH(BQ$3)&lt;=MONTH($BL43)),UO_List[[#This Row],[Montant TOTAL]]/(MONTH($BL43)-MONTH($BK43)+1),"")</f>
        <v/>
      </c>
      <c r="CR43" s="348">
        <f>IF(AND(UO_List[[#This Row],[Budget Revue]]="x",$BK43&lt;&gt;"",$BL43&lt;&gt;"",YEAR(BR$3)=YEAR($BK43),MONTH(BR$3)&gt;=MONTH($BK43),MONTH(BR$3)&lt;=MONTH($BL43)),UO_List[[#This Row],[Montant TOTAL]]/(MONTH($BL43)-MONTH($BK43)+1),"")</f>
        <v>16850</v>
      </c>
      <c r="CS43" s="348">
        <f>IF(AND(UO_List[[#This Row],[Budget Revue]]="x",$BK43&lt;&gt;"",$BL43&lt;&gt;"",YEAR(BS$3)=YEAR($BK43),MONTH(BS$3)&gt;=MONTH($BK43),MONTH(BS$3)&lt;=MONTH($BL43)),UO_List[[#This Row],[Montant TOTAL]]/(MONTH($BL43)-MONTH($BK43)+1),"")</f>
        <v>16850</v>
      </c>
      <c r="CT43" s="348">
        <f>IF(AND(UO_List[[#This Row],[Budget Revue]]="x",$BK43&lt;&gt;"",$BL43&lt;&gt;"",YEAR(BT$3)=YEAR($BK43),MONTH(BT$3)&gt;=MONTH($BK43),MONTH(BT$3)&lt;=MONTH($BL43)),UO_List[[#This Row],[Montant TOTAL]]/(MONTH($BL43)-MONTH($BK43)+1),"")</f>
        <v>16850</v>
      </c>
      <c r="CU43" s="348" t="str">
        <f>IF(AND(UO_List[[#This Row],[Budget Revue]]="x",$BK43&lt;&gt;"",$BL43&lt;&gt;"",YEAR(BU$3)=YEAR($BK43),MONTH(BU$3)&gt;=MONTH($BK43),MONTH(BU$3)&lt;=MONTH($BL43)),UO_List[[#This Row],[Montant TOTAL]]/(MONTH($BL43)-MONTH($BK43)+1),"")</f>
        <v/>
      </c>
      <c r="CV43" s="348" t="str">
        <f>IF(AND(UO_List[[#This Row],[Budget Revue]]="x",$BK43&lt;&gt;"",$BL43&lt;&gt;"",YEAR(BV$3)=YEAR($BK43),MONTH(BV$3)&gt;=MONTH($BK43),MONTH(BV$3)&lt;=MONTH($BL43)),UO_List[[#This Row],[Montant TOTAL]]/(MONTH($BL43)-MONTH($BK43)+1),"")</f>
        <v/>
      </c>
      <c r="CW43" s="348" t="str">
        <f>IF(AND(UO_List[[#This Row],[Budget Revue]]="x",$BK43&lt;&gt;"",$BL43&lt;&gt;"",YEAR(BW$3)=YEAR($BK43),MONTH(BW$3)&gt;=MONTH($BK43),MONTH(BW$3)&lt;=MONTH($BL43)),UO_List[[#This Row],[Montant TOTAL]]/(MONTH($BL43)-MONTH($BK43)+1),"")</f>
        <v/>
      </c>
      <c r="CX43" s="348" t="str">
        <f>IF(AND(UO_List[[#This Row],[Budget Revue]]="x",$BK43&lt;&gt;"",$BL43&lt;&gt;"",YEAR(BX$3)=YEAR($BK43),MONTH(BX$3)&gt;=MONTH($BK43),MONTH(BX$3)&lt;=MONTH($BL43)),UO_List[[#This Row],[Montant TOTAL]]/(MONTH($BL43)-MONTH($BK43)+1),"")</f>
        <v/>
      </c>
      <c r="CY43" s="348" t="str">
        <f>IF(AND(UO_List[[#This Row],[Budget Revue]]="x",$BK43&lt;&gt;"",$BL43&lt;&gt;"",YEAR(BY$3)=YEAR($BK43),MONTH(BY$3)&gt;=MONTH($BK43),MONTH(BY$3)&lt;=MONTH($BL43)),UO_List[[#This Row],[Montant TOTAL]]/(MONTH($BL43)-MONTH($BK43)+1),"")</f>
        <v/>
      </c>
      <c r="CZ43" s="348" t="str">
        <f>IF(AND(UO_List[[#This Row],[Budget Revue]]="x",$BK43&lt;&gt;"",$BL43&lt;&gt;"",YEAR(BY$3)=YEAR($BK43),MONTH(BY$3)&gt;=MONTH($BK43),MONTH(BY$3)&lt;=MONTH($BL43)),UO_List[[#This Row],[Montant TOTAL]]/(MONTH($BL43)-MONTH($BK43)+1),"")</f>
        <v/>
      </c>
      <c r="DA43" s="348">
        <f>IF(UO_List[[#This Row],[Budget Revue]]="x",SUM(UO_List[[#This Row],[JANVIER2]:[DECEMBRE2]])-UO_List[Montant TOTAL],"")</f>
        <v>0</v>
      </c>
      <c r="DB43" s="517">
        <v>12</v>
      </c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12</v>
      </c>
      <c r="DO43" s="76">
        <f>IFERROR(UO_List[[#This Row],[Line Total]]-UO_List[[#This Row],[Montant total réceptionné]],"")</f>
        <v>30330</v>
      </c>
      <c r="DP43" s="76">
        <f>IFERROR(UO_List[[#This Row],[Total item réceptionné]]*UO_List[[#This Row],[Unit Price (calcul)]],0)</f>
        <v>20220</v>
      </c>
      <c r="DQ43" s="76">
        <f>UO_List[[#This Row],[Facteur]]-UO_List[[#This Row],[Total item réceptionné]]</f>
        <v>18</v>
      </c>
      <c r="DR43" s="77"/>
      <c r="DS43" s="77"/>
      <c r="DT43" s="158"/>
      <c r="DU43" s="77"/>
    </row>
    <row r="44" spans="27:125" s="74" customFormat="1">
      <c r="AA44" s="204" t="str">
        <f>IFERROR(VLOOKUP(UO_List[[#This Row],[Unique_AIB_ID]],Tableau1[[Unique_AIB_ID]:[Building / Room]],2,FALSE),"")</f>
        <v>C000489704</v>
      </c>
      <c r="AB44" s="189">
        <f>IFERROR(VLOOKUP(UO_List[[#This Row],[Unique_AIB_ID]],UO_Contract!A54:V243,3,TRUE),"")</f>
        <v>0</v>
      </c>
      <c r="AC44" s="188" t="str">
        <f>IFERROR(VLOOKUP(UO_List[[#This Row],[Unique_AIB_ID]],Tableau1[[Unique_AIB_ID]:[Building / Room]],4,FALSE),"")</f>
        <v>WPA - SII - PJOP - Airbus - WD1701094 - Flight and Integration Test CT1705359</v>
      </c>
      <c r="AD44" s="189">
        <f>IFERROR(VLOOKUP(UO_List[[#This Row],[Unique_AIB_ID]],Tableau1[[Unique_AIB_ID]:[Building / Room]],5,FALSE),"")</f>
        <v>0</v>
      </c>
      <c r="AE44" s="189">
        <f>IFERROR(VLOOKUP(UO_List[[#This Row],[Unique_AIB_ID]],Tableau1[[Unique_AIB_ID]:[Building / Room]],6,FALSE),"")</f>
        <v>14</v>
      </c>
      <c r="AF44" s="189" t="str">
        <f>IFERROR(VLOOKUP(UO_List[[#This Row],[Unique_AIB_ID]],Tableau1[[Unique_AIB_ID]:[Building / Room]],7,FALSE),"")</f>
        <v>20 Each of WU_ELEC_2[PJE_SII_EVYP_USD_AIRBUS_FR]</v>
      </c>
      <c r="AG44" s="189">
        <f>IFERROR(VLOOKUP(UO_List[[#This Row],[Unique_AIB_ID]],Tableau1[[Unique_AIB_ID]:[Building / Room]],8,FALSE),"")</f>
        <v>20</v>
      </c>
      <c r="AH44" s="190">
        <f>IFERROR(VALUE(VLOOKUP(UO_List[[#This Row],[Unique_AIB_ID]],Tableau1[[Unique_AIB_ID]:[Building / Room]],9,FALSE)),"")</f>
        <v>11200</v>
      </c>
      <c r="AI44" s="189">
        <f>IFERROR(VLOOKUP(UO_List[[#This Row],[Unique_AIB_ID]],Tableau1[[Unique_AIB_ID]:[Building / Room]],10,TRUE),"")</f>
        <v>0</v>
      </c>
      <c r="AJ44" s="191">
        <f>IFERROR(VLOOKUP(UO_List[[#This Row],[Unique_AIB_ID]],Tableau1[[Unique_AIB_ID]:[Building / Room]],11,FALSE),"")</f>
        <v>0</v>
      </c>
      <c r="AK44" s="189">
        <f>IFERROR(VLOOKUP(UO_List[[#This Row],[Unique_AIB_ID]],Tableau1[[Unique_AIB_ID]:[Building / Room]],12,FALSE),"")</f>
        <v>0</v>
      </c>
      <c r="AL44" s="189">
        <f>IFERROR(VLOOKUP(UO_List[[#This Row],[Unique_AIB_ID]],Tableau1[[Unique_AIB_ID]:[Building / Room]],13,FALSE),"")</f>
        <v>0</v>
      </c>
      <c r="AM44" s="183">
        <f>IFERROR(VLOOKUP(UO_List[[#This Row],[Unique_AIB_ID]],Tableau1[[Unique_AIB_ID]:[Building / Room]],14,FALSE),"")</f>
        <v>0</v>
      </c>
      <c r="AN44" s="183">
        <f>IFERROR(VLOOKUP(UO_List[[#This Row],[Unique_AIB_ID]],Tableau1[[Unique_AIB_ID]:[Building / Room]],15,FALSE),"")</f>
        <v>0</v>
      </c>
      <c r="AO44" s="183">
        <f>IFERROR(VLOOKUP(UO_List[[#This Row],[Unique_AIB_ID]],Tableau1[[Unique_AIB_ID]:[Building / Room]],16,FALSE),"")</f>
        <v>0</v>
      </c>
      <c r="AP44" s="183" t="str">
        <f>IFERROR(VLOOKUP(UO_List[[#This Row],[Unique_AIB_ID]],Tableau1[[Unique_AIB_ID]:[Building / Room]],17,FALSE),"")</f>
        <v>0</v>
      </c>
      <c r="AQ44" s="183">
        <f>IFERROR(VLOOKUP(UO_List[[#This Row],[Unique_AIB_ID]],Tableau1[[Unique_AIB_ID]:[Building / Room]],18,FALSE),"")</f>
        <v>0</v>
      </c>
      <c r="AR44" s="183" t="str">
        <f>IFERROR(VLOOKUP(UO_List[[#This Row],[Unique_AIB_ID]],Tableau1[[Unique_AIB_ID]:[Building / Room]],19,FALSE),"")</f>
        <v>03/25/20</v>
      </c>
      <c r="AS44" s="183">
        <f>IFERROR(VLOOKUP(UO_List[[#This Row],[Unique_AIB_ID]],Tableau1[[Unique_AIB_ID]:[Building / Room]],20,FALSE),"")</f>
        <v>0</v>
      </c>
      <c r="AT44" s="183">
        <f>IFERROR(VLOOKUP(UO_List[[#This Row],[Unique_AIB_ID]],Tableau1[[Unique_AIB_ID]:[Building / Room]],21,FALSE),"")</f>
        <v>0</v>
      </c>
      <c r="AU44" s="183" t="str">
        <f>IFERROR(VLOOKUP(UO_List[[#This Row],[Unique_AIB_ID]],Tableau1[[Unique_AIB_ID]:[Building / Room]],22,FALSE),"")</f>
        <v>M24 / A559</v>
      </c>
      <c r="AV44" s="167" t="str">
        <f>IFERROR(VLOOKUP(UO_List[[#This Row],[Unique_AIB_ID]],Tableau1[[Unique_AIB_ID]:[Currency]],23,FALSE),"")</f>
        <v>Q 1 / 16 - EFIB MCO</v>
      </c>
      <c r="AW44" s="167">
        <f>IFERROR(IF(ISBLANK(UO_List[[#This Row],[PO Number (Header)]]),"",UO_List[[#This Row],[Line Total]]/UO_List[[#This Row],[Total Item Quantity]]),"")</f>
        <v>560</v>
      </c>
      <c r="AX44" s="499" t="s">
        <v>977</v>
      </c>
      <c r="AY44" s="167"/>
      <c r="AZ44" s="78" t="s">
        <v>842</v>
      </c>
      <c r="BA44" s="82"/>
      <c r="BB44" s="78"/>
      <c r="BC44" s="78" t="s">
        <v>698</v>
      </c>
      <c r="BD44" s="70" t="s">
        <v>685</v>
      </c>
      <c r="BE44" s="78" t="s">
        <v>685</v>
      </c>
      <c r="BF44" s="78"/>
      <c r="BG44" s="78"/>
      <c r="BH44" s="78" t="s">
        <v>932</v>
      </c>
      <c r="BI44" s="78"/>
      <c r="BJ44" s="78"/>
      <c r="BK44" s="79">
        <v>43831</v>
      </c>
      <c r="BL44" s="79">
        <v>43921</v>
      </c>
      <c r="BM44" s="71">
        <v>20</v>
      </c>
      <c r="BN44" s="71">
        <f>IFERROR(UO_List[[#This Row],[Total Item Quantity]]-UO_List[[#This Row],[Facteur]],"")</f>
        <v>0</v>
      </c>
      <c r="BO44" s="349">
        <f>IFERROR(IF(ISBLANK(UO_List[[#This Row],[Id_UO]]),"",SUMPRODUCT(1*(EXACT(UO_List[[#This Row],[Id_UO]],CATALOGUE[Id_WU]))*CATALOGUE[Price $])),"")</f>
        <v>560</v>
      </c>
      <c r="BP44" s="527">
        <f>IFERROR(UO_List[[#This Row],[Prix unitaire]]*UO_List[[#This Row],[Facteur]],"")</f>
        <v>11200</v>
      </c>
      <c r="BQ44" s="100">
        <f>IFERROR(SUMPRODUCT(1*(EXACT(UO_List[[#This Row],[Id_UO]],CATALOGUE[Id_WU]))*CATALOGUE[Global_Workload_PM_(d)]*UO_List[[#This Row],[Facteur]]),"")</f>
        <v>3.0000000000000004</v>
      </c>
      <c r="BR44" s="286">
        <f>UO_List[[#This Row],[Jours GP]]/jours_an</f>
        <v>1.3888888888888892E-2</v>
      </c>
      <c r="BS44" s="72">
        <f>IFERROR(SUMPRODUCT(1*(EXACT(UO_List[[#This Row],[Id_UO]],CATALOGUE[Id_WU]))*CATALOGUE[Global_Workload_Tech_(d)]*UO_List[[#This Row],[Facteur]]),"")</f>
        <v>17</v>
      </c>
      <c r="BT44" s="286">
        <f>UO_List[[#This Row],[Jours Tech]]/jours_an</f>
        <v>7.8703703703703706E-2</v>
      </c>
      <c r="BU44" s="72">
        <f>UO_List[[#This Row],[Jours GP]]+UO_List[[#This Row],[Jours Tech]]</f>
        <v>20</v>
      </c>
      <c r="BV44" s="286">
        <f>UO_List[[#This Row],[ETP GP]]+UO_List[[#This Row],[ETP Tech]]</f>
        <v>9.2592592592592601E-2</v>
      </c>
      <c r="BW44" s="73"/>
      <c r="BX44" s="80" t="s">
        <v>203</v>
      </c>
      <c r="BY44" s="462">
        <f>IF(UO_List[[#This Row],[Budget Revue]]="x",UO_List[[#This Row],[Montant TOTAL]],0)</f>
        <v>11200</v>
      </c>
      <c r="BZ44" s="80">
        <f>IF(UO_List[[#This Row],[Budget Revue]]="x",UO_List[[#This Row],[Jours Tech]],0)</f>
        <v>17</v>
      </c>
      <c r="CA44" s="80">
        <f>IF(UO_List[[#This Row],[Budget Revue]]="x",UO_List[[#This Row],[Jours GP]],0)</f>
        <v>3.0000000000000004</v>
      </c>
      <c r="CB44" s="516">
        <f>IF(AND(UO_List[[#This Row],[Budget Revue]]="x",$BK44&lt;&gt;"",$BL44&lt;&gt;"",YEAR(BB$3)=YEAR($BK44),MONTH(BB$3)&gt;=MONTH($BK44),MONTH(BB$3)&lt;=MONTH($BL44)),$BS44/(MONTH($BL44)-MONTH($BK44)+1),"")</f>
        <v>5.666666666666667</v>
      </c>
      <c r="CC44" s="80">
        <f>IF(AND(UO_List[[#This Row],[Budget Revue]]="x",$BK44&lt;&gt;"",$BL44&lt;&gt;"",YEAR(BC$3)=YEAR($BK44),MONTH(BC$3)&gt;=MONTH($BK44),MONTH(BC$3)&lt;=MONTH($BL44)),$BS44/(MONTH($BL44)-MONTH($BK44)+1),"")</f>
        <v>5.666666666666667</v>
      </c>
      <c r="CD44" s="80">
        <f>IF(AND(UO_List[[#This Row],[Budget Revue]]="x",$BK44&lt;&gt;"",$BL44&lt;&gt;"",YEAR(BD$3)=YEAR($BK44),MONTH(BD$3)&gt;=MONTH($BK44),MONTH(BD$3)&lt;=MONTH($BL44)),$BS44/(MONTH($BL44)-MONTH($BK44)+1),"")</f>
        <v>5.666666666666667</v>
      </c>
      <c r="CE44" s="80" t="str">
        <f>IF(AND(UO_List[[#This Row],[Budget Revue]]="x",$BK44&lt;&gt;"",$BL44&lt;&gt;"",YEAR(BE$3)=YEAR($BK44),MONTH(BE$3)&gt;=MONTH($BK44),MONTH(BE$3)&lt;=MONTH($BL44)),$BS44/(MONTH($BL44)-MONTH($BK44)+1),"")</f>
        <v/>
      </c>
      <c r="CF44" s="80" t="str">
        <f>IF(AND(UO_List[[#This Row],[Budget Revue]]="x",$BK44&lt;&gt;"",$BL44&lt;&gt;"",YEAR(BF$3)=YEAR($BK44),MONTH(BF$3)&gt;=MONTH($BK44),MONTH(BF$3)&lt;=MONTH($BL44)),$BS44/(MONTH($BL44)-MONTH($BK44)+1),"")</f>
        <v/>
      </c>
      <c r="CG44" s="80" t="str">
        <f>IF(AND(UO_List[[#This Row],[Budget Revue]]="x",$BK44&lt;&gt;"",$BL44&lt;&gt;"",YEAR(BG$3)=YEAR($BK44),MONTH(BG$3)&gt;=MONTH($BK44),MONTH(BG$3)&lt;=MONTH($BL44)),$BS44/(MONTH($BL44)-MONTH($BK44)+1),"")</f>
        <v/>
      </c>
      <c r="CH44" s="80" t="str">
        <f>IF(AND(UO_List[[#This Row],[Budget Revue]]="x",$BK44&lt;&gt;"",$BL44&lt;&gt;"",YEAR(BH$3)=YEAR($BK44),MONTH(BH$3)&gt;=MONTH($BK44),MONTH(BH$3)&lt;=MONTH($BL44)),$BS44/(MONTH($BL44)-MONTH($BK44)+1),"")</f>
        <v/>
      </c>
      <c r="CI44" s="80" t="str">
        <f>IF(AND(UO_List[[#This Row],[Budget Revue]]="x",$BK44&lt;&gt;"",$BL44&lt;&gt;"",YEAR(BI$3)=YEAR($BK44),MONTH(BI$3)&gt;=MONTH($BK44),MONTH(BI$3)&lt;=MONTH($BL44)),$BS44/(MONTH($BL44)-MONTH($BK44)+1),"")</f>
        <v/>
      </c>
      <c r="CJ44" s="80" t="str">
        <f>IF(AND(UO_List[[#This Row],[Budget Revue]]="x",$BK44&lt;&gt;"",$BL44&lt;&gt;"",YEAR(BJ$3)=YEAR($BK44),MONTH(BJ$3)&gt;=MONTH($BK44),MONTH(BJ$3)&lt;=MONTH($BL44)),$BS44/(MONTH($BL44)-MONTH($BK44)+1),"")</f>
        <v/>
      </c>
      <c r="CK44" s="80" t="str">
        <f>IF(AND(UO_List[[#This Row],[Budget Revue]]="x",$BK44&lt;&gt;"",$BL44&lt;&gt;"",YEAR(BK$3)=YEAR($BK44),MONTH(BK$3)&gt;=MONTH($BK44),MONTH(BK$3)&lt;=MONTH($BL44)),$BS44/(MONTH($BL44)-MONTH($BK44)+1),"")</f>
        <v/>
      </c>
      <c r="CL44" s="80" t="str">
        <f>IF(AND(UO_List[[#This Row],[Budget Revue]]="x",$BK44&lt;&gt;"",$BL44&lt;&gt;"",YEAR(BL$3)=YEAR($BK44),MONTH(BL$3)&gt;=MONTH($BK44),MONTH(BL$3)&lt;=MONTH($BL44)),$BS44/(MONTH($BL44)-MONTH($BK44)+1),"")</f>
        <v/>
      </c>
      <c r="CM44" s="80" t="str">
        <f>IF(AND(UO_List[[#This Row],[Budget Revue]]="x",$BK44&lt;&gt;"",$BL44&lt;&gt;"",YEAR(BM$3)=YEAR($BK44),MONTH(BM$3)&gt;=MONTH($BK44),MONTH(BM$3)&lt;=MONTH($BL44)),$BS44/(MONTH($BL44)-MONTH($BK44)+1),"")</f>
        <v/>
      </c>
      <c r="CN44" s="75">
        <f>IF(UO_List[[#This Row],[Budget Revue]]="x",SUM(UO_List[[#This Row],[JANVIER]:[DECEMBRE]])-UO_List[[#This Row],[Jours Tech]],"")</f>
        <v>0</v>
      </c>
      <c r="CO44" s="348">
        <f>IF(AND(UO_List[[#This Row],[Budget Revue]]="x",$BK44&lt;&gt;"",$BL44&lt;&gt;"",YEAR(BO$3)=YEAR($BK44),MONTH(BO$3)&gt;=MONTH($BK44),MONTH(BO$3)&lt;=MONTH($BL44)),UO_List[[#This Row],[Montant TOTAL]]/(MONTH($BL44)-MONTH($BK44)+1),"")</f>
        <v>3733.3333333333335</v>
      </c>
      <c r="CP44" s="348">
        <f>IF(AND(UO_List[[#This Row],[Budget Revue]]="x",$BK44&lt;&gt;"",$BL44&lt;&gt;"",YEAR(BP$3)=YEAR($BK44),MONTH(BP$3)&gt;=MONTH($BK44),MONTH(BP$3)&lt;=MONTH($BL44)),UO_List[[#This Row],[Montant TOTAL]]/(MONTH($BL44)-MONTH($BK44)+1),"")</f>
        <v>3733.3333333333335</v>
      </c>
      <c r="CQ44" s="348">
        <f>IF(AND(UO_List[[#This Row],[Budget Revue]]="x",$BK44&lt;&gt;"",$BL44&lt;&gt;"",YEAR(BQ$3)=YEAR($BK44),MONTH(BQ$3)&gt;=MONTH($BK44),MONTH(BQ$3)&lt;=MONTH($BL44)),UO_List[[#This Row],[Montant TOTAL]]/(MONTH($BL44)-MONTH($BK44)+1),"")</f>
        <v>3733.3333333333335</v>
      </c>
      <c r="CR44" s="348" t="str">
        <f>IF(AND(UO_List[[#This Row],[Budget Revue]]="x",$BK44&lt;&gt;"",$BL44&lt;&gt;"",YEAR(BR$3)=YEAR($BK44),MONTH(BR$3)&gt;=MONTH($BK44),MONTH(BR$3)&lt;=MONTH($BL44)),UO_List[[#This Row],[Montant TOTAL]]/(MONTH($BL44)-MONTH($BK44)+1),"")</f>
        <v/>
      </c>
      <c r="CS44" s="348" t="str">
        <f>IF(AND(UO_List[[#This Row],[Budget Revue]]="x",$BK44&lt;&gt;"",$BL44&lt;&gt;"",YEAR(BS$3)=YEAR($BK44),MONTH(BS$3)&gt;=MONTH($BK44),MONTH(BS$3)&lt;=MONTH($BL44)),UO_List[[#This Row],[Montant TOTAL]]/(MONTH($BL44)-MONTH($BK44)+1),"")</f>
        <v/>
      </c>
      <c r="CT44" s="348" t="str">
        <f>IF(AND(UO_List[[#This Row],[Budget Revue]]="x",$BK44&lt;&gt;"",$BL44&lt;&gt;"",YEAR(BT$3)=YEAR($BK44),MONTH(BT$3)&gt;=MONTH($BK44),MONTH(BT$3)&lt;=MONTH($BL44)),UO_List[[#This Row],[Montant TOTAL]]/(MONTH($BL44)-MONTH($BK44)+1),"")</f>
        <v/>
      </c>
      <c r="CU44" s="348" t="str">
        <f>IF(AND(UO_List[[#This Row],[Budget Revue]]="x",$BK44&lt;&gt;"",$BL44&lt;&gt;"",YEAR(BU$3)=YEAR($BK44),MONTH(BU$3)&gt;=MONTH($BK44),MONTH(BU$3)&lt;=MONTH($BL44)),UO_List[[#This Row],[Montant TOTAL]]/(MONTH($BL44)-MONTH($BK44)+1),"")</f>
        <v/>
      </c>
      <c r="CV44" s="348" t="str">
        <f>IF(AND(UO_List[[#This Row],[Budget Revue]]="x",$BK44&lt;&gt;"",$BL44&lt;&gt;"",YEAR(BV$3)=YEAR($BK44),MONTH(BV$3)&gt;=MONTH($BK44),MONTH(BV$3)&lt;=MONTH($BL44)),UO_List[[#This Row],[Montant TOTAL]]/(MONTH($BL44)-MONTH($BK44)+1),"")</f>
        <v/>
      </c>
      <c r="CW44" s="348" t="str">
        <f>IF(AND(UO_List[[#This Row],[Budget Revue]]="x",$BK44&lt;&gt;"",$BL44&lt;&gt;"",YEAR(BW$3)=YEAR($BK44),MONTH(BW$3)&gt;=MONTH($BK44),MONTH(BW$3)&lt;=MONTH($BL44)),UO_List[[#This Row],[Montant TOTAL]]/(MONTH($BL44)-MONTH($BK44)+1),"")</f>
        <v/>
      </c>
      <c r="CX44" s="348" t="str">
        <f>IF(AND(UO_List[[#This Row],[Budget Revue]]="x",$BK44&lt;&gt;"",$BL44&lt;&gt;"",YEAR(BX$3)=YEAR($BK44),MONTH(BX$3)&gt;=MONTH($BK44),MONTH(BX$3)&lt;=MONTH($BL44)),UO_List[[#This Row],[Montant TOTAL]]/(MONTH($BL44)-MONTH($BK44)+1),"")</f>
        <v/>
      </c>
      <c r="CY44" s="348" t="str">
        <f>IF(AND(UO_List[[#This Row],[Budget Revue]]="x",$BK44&lt;&gt;"",$BL44&lt;&gt;"",YEAR(BY$3)=YEAR($BK44),MONTH(BY$3)&gt;=MONTH($BK44),MONTH(BY$3)&lt;=MONTH($BL44)),UO_List[[#This Row],[Montant TOTAL]]/(MONTH($BL44)-MONTH($BK44)+1),"")</f>
        <v/>
      </c>
      <c r="CZ44" s="348" t="str">
        <f>IF(AND(UO_List[[#This Row],[Budget Revue]]="x",$BK44&lt;&gt;"",$BL44&lt;&gt;"",YEAR(BY$3)=YEAR($BK44),MONTH(BY$3)&gt;=MONTH($BK44),MONTH(BY$3)&lt;=MONTH($BL44)),UO_List[[#This Row],[Montant TOTAL]]/(MONTH($BL44)-MONTH($BK44)+1),"")</f>
        <v/>
      </c>
      <c r="DA44" s="348">
        <f>IF(UO_List[[#This Row],[Budget Revue]]="x",SUM(UO_List[[#This Row],[JANVIER2]:[DECEMBRE2]])-UO_List[Montant TOTAL],"")</f>
        <v>0</v>
      </c>
      <c r="DB44" s="517">
        <v>5</v>
      </c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5</v>
      </c>
      <c r="DO44" s="76">
        <f>IFERROR(UO_List[[#This Row],[Line Total]]-UO_List[[#This Row],[Montant total réceptionné]],"")</f>
        <v>8400</v>
      </c>
      <c r="DP44" s="76">
        <f>IFERROR(UO_List[[#This Row],[Total item réceptionné]]*UO_List[[#This Row],[Unit Price (calcul)]],0)</f>
        <v>2800</v>
      </c>
      <c r="DQ44" s="76">
        <f>UO_List[[#This Row],[Facteur]]-UO_List[[#This Row],[Total item réceptionné]]</f>
        <v>15</v>
      </c>
      <c r="DR44" s="77"/>
      <c r="DS44" s="77"/>
      <c r="DT44" s="158"/>
      <c r="DU44" s="77"/>
    </row>
    <row r="45" spans="27:125" s="74" customFormat="1">
      <c r="AA45" s="188" t="str">
        <f>IFERROR(VLOOKUP(UO_List[[#This Row],[Unique_AIB_ID]],Tableau1[[Unique_AIB_ID]:[Building / Room]],2,FALSE),"")</f>
        <v>C000489704</v>
      </c>
      <c r="AB45" s="189">
        <f>IFERROR(VLOOKUP(UO_List[[#This Row],[Unique_AIB_ID]],UO_Contract!A55:V244,3,TRUE),"")</f>
        <v>0</v>
      </c>
      <c r="AC45" s="188" t="str">
        <f>IFERROR(VLOOKUP(UO_List[[#This Row],[Unique_AIB_ID]],Tableau1[[Unique_AIB_ID]:[Building / Room]],4,FALSE),"")</f>
        <v>WPA - SII - PJOP - Airbus - WD1701094 - Flight and Integration Test CT1705359</v>
      </c>
      <c r="AD45" s="189">
        <f>IFERROR(VLOOKUP(UO_List[[#This Row],[Unique_AIB_ID]],Tableau1[[Unique_AIB_ID]:[Building / Room]],5,FALSE),"")</f>
        <v>0</v>
      </c>
      <c r="AE45" s="189">
        <f>IFERROR(VLOOKUP(UO_List[[#This Row],[Unique_AIB_ID]],Tableau1[[Unique_AIB_ID]:[Building / Room]],6,FALSE),"")</f>
        <v>15</v>
      </c>
      <c r="AF45" s="189" t="str">
        <f>IFERROR(VLOOKUP(UO_List[[#This Row],[Unique_AIB_ID]],Tableau1[[Unique_AIB_ID]:[Building / Room]],7,FALSE),"")</f>
        <v>2 Each of WU_ELEC_1[PJE_SII_EVYP_USD_AIRBUS_FR]</v>
      </c>
      <c r="AG45" s="189">
        <f>IFERROR(VLOOKUP(UO_List[[#This Row],[Unique_AIB_ID]],Tableau1[[Unique_AIB_ID]:[Building / Room]],8,FALSE),"")</f>
        <v>2</v>
      </c>
      <c r="AH45" s="190">
        <f>IFERROR(VALUE(VLOOKUP(UO_List[[#This Row],[Unique_AIB_ID]],Tableau1[[Unique_AIB_ID]:[Building / Room]],9,FALSE)),"")</f>
        <v>3370</v>
      </c>
      <c r="AI45" s="189">
        <f>IFERROR(VLOOKUP(UO_List[[#This Row],[Unique_AIB_ID]],Tableau1[[Unique_AIB_ID]:[Building / Room]],10,TRUE),"")</f>
        <v>0</v>
      </c>
      <c r="AJ45" s="191">
        <f>IFERROR(VLOOKUP(UO_List[[#This Row],[Unique_AIB_ID]],Tableau1[[Unique_AIB_ID]:[Building / Room]],11,FALSE),"")</f>
        <v>0</v>
      </c>
      <c r="AK45" s="189">
        <f>IFERROR(VLOOKUP(UO_List[[#This Row],[Unique_AIB_ID]],Tableau1[[Unique_AIB_ID]:[Building / Room]],12,FALSE),"")</f>
        <v>0</v>
      </c>
      <c r="AL45" s="189">
        <f>IFERROR(VLOOKUP(UO_List[[#This Row],[Unique_AIB_ID]],Tableau1[[Unique_AIB_ID]:[Building / Room]],13,FALSE),"")</f>
        <v>0</v>
      </c>
      <c r="AM45" s="183">
        <f>IFERROR(VLOOKUP(UO_List[[#This Row],[Unique_AIB_ID]],Tableau1[[Unique_AIB_ID]:[Building / Room]],14,FALSE),"")</f>
        <v>0</v>
      </c>
      <c r="AN45" s="183">
        <f>IFERROR(VLOOKUP(UO_List[[#This Row],[Unique_AIB_ID]],Tableau1[[Unique_AIB_ID]:[Building / Room]],15,FALSE),"")</f>
        <v>0</v>
      </c>
      <c r="AO45" s="183">
        <f>IFERROR(VLOOKUP(UO_List[[#This Row],[Unique_AIB_ID]],Tableau1[[Unique_AIB_ID]:[Building / Room]],16,FALSE),"")</f>
        <v>0</v>
      </c>
      <c r="AP45" s="183" t="str">
        <f>IFERROR(VLOOKUP(UO_List[[#This Row],[Unique_AIB_ID]],Tableau1[[Unique_AIB_ID]:[Building / Room]],17,FALSE),"")</f>
        <v>0</v>
      </c>
      <c r="AQ45" s="183">
        <f>IFERROR(VLOOKUP(UO_List[[#This Row],[Unique_AIB_ID]],Tableau1[[Unique_AIB_ID]:[Building / Room]],18,FALSE),"")</f>
        <v>0</v>
      </c>
      <c r="AR45" s="183" t="str">
        <f>IFERROR(VLOOKUP(UO_List[[#This Row],[Unique_AIB_ID]],Tableau1[[Unique_AIB_ID]:[Building / Room]],19,FALSE),"")</f>
        <v>03/25/20</v>
      </c>
      <c r="AS45" s="183">
        <f>IFERROR(VLOOKUP(UO_List[[#This Row],[Unique_AIB_ID]],Tableau1[[Unique_AIB_ID]:[Building / Room]],20,FALSE),"")</f>
        <v>0</v>
      </c>
      <c r="AT45" s="183">
        <f>IFERROR(VLOOKUP(UO_List[[#This Row],[Unique_AIB_ID]],Tableau1[[Unique_AIB_ID]:[Building / Room]],21,FALSE),"")</f>
        <v>0</v>
      </c>
      <c r="AU45" s="183" t="str">
        <f>IFERROR(VLOOKUP(UO_List[[#This Row],[Unique_AIB_ID]],Tableau1[[Unique_AIB_ID]:[Building / Room]],22,FALSE),"")</f>
        <v>M24 / A559</v>
      </c>
      <c r="AV45" s="167" t="str">
        <f>IFERROR(VLOOKUP(UO_List[[#This Row],[Unique_AIB_ID]],Tableau1[[Unique_AIB_ID]:[Currency]],23,FALSE),"")</f>
        <v>Q 1 / 16 - Metrology A350</v>
      </c>
      <c r="AW45" s="167">
        <f>IFERROR(IF(ISBLANK(UO_List[[#This Row],[PO Number (Header)]]),"",UO_List[[#This Row],[Line Total]]/UO_List[[#This Row],[Total Item Quantity]]),"")</f>
        <v>1685</v>
      </c>
      <c r="AX45" s="499" t="s">
        <v>978</v>
      </c>
      <c r="AY45" s="167"/>
      <c r="AZ45" s="78" t="s">
        <v>842</v>
      </c>
      <c r="BA45" s="82"/>
      <c r="BB45" s="78"/>
      <c r="BC45" s="78" t="s">
        <v>697</v>
      </c>
      <c r="BD45" s="70" t="s">
        <v>685</v>
      </c>
      <c r="BE45" s="78" t="s">
        <v>685</v>
      </c>
      <c r="BF45" s="78"/>
      <c r="BG45" s="78"/>
      <c r="BH45" s="78" t="s">
        <v>933</v>
      </c>
      <c r="BI45" s="78"/>
      <c r="BJ45" s="78"/>
      <c r="BK45" s="79">
        <v>43922</v>
      </c>
      <c r="BL45" s="79">
        <v>44012</v>
      </c>
      <c r="BM45" s="71">
        <v>2</v>
      </c>
      <c r="BN45" s="71">
        <f>IFERROR(UO_List[[#This Row],[Total Item Quantity]]-UO_List[[#This Row],[Facteur]],"")</f>
        <v>0</v>
      </c>
      <c r="BO45" s="349">
        <f>IFERROR(IF(ISBLANK(UO_List[[#This Row],[Id_UO]]),"",SUMPRODUCT(1*(EXACT(UO_List[[#This Row],[Id_UO]],CATALOGUE[Id_WU]))*CATALOGUE[Price $])),"")</f>
        <v>1685</v>
      </c>
      <c r="BP45" s="350">
        <f>IFERROR(UO_List[[#This Row],[Prix unitaire]]*UO_List[[#This Row],[Facteur]],"")</f>
        <v>3370</v>
      </c>
      <c r="BQ45" s="100">
        <f>IFERROR(SUMPRODUCT(1*(EXACT(UO_List[[#This Row],[Id_UO]],CATALOGUE[Id_WU]))*CATALOGUE[Global_Workload_PM_(d)]*UO_List[[#This Row],[Facteur]]),"")</f>
        <v>0.90000000000000036</v>
      </c>
      <c r="BR45" s="286">
        <f>UO_List[[#This Row],[Jours GP]]/jours_an</f>
        <v>4.1666666666666683E-3</v>
      </c>
      <c r="BS45" s="72">
        <f>IFERROR(SUMPRODUCT(1*(EXACT(UO_List[[#This Row],[Id_UO]],CATALOGUE[Id_WU]))*CATALOGUE[Global_Workload_Tech_(d)]*UO_List[[#This Row],[Facteur]]),"")</f>
        <v>5.0999999999999996</v>
      </c>
      <c r="BT45" s="286">
        <f>UO_List[[#This Row],[Jours Tech]]/jours_an</f>
        <v>2.361111111111111E-2</v>
      </c>
      <c r="BU45" s="72">
        <f>UO_List[[#This Row],[Jours GP]]+UO_List[[#This Row],[Jours Tech]]</f>
        <v>6</v>
      </c>
      <c r="BV45" s="286">
        <f>UO_List[[#This Row],[ETP GP]]+UO_List[[#This Row],[ETP Tech]]</f>
        <v>2.777777777777778E-2</v>
      </c>
      <c r="BW45" s="73"/>
      <c r="BX45" s="80" t="s">
        <v>203</v>
      </c>
      <c r="BY45" s="462">
        <f>IF(UO_List[[#This Row],[Budget Revue]]="x",UO_List[[#This Row],[Montant TOTAL]],0)</f>
        <v>3370</v>
      </c>
      <c r="BZ45" s="80">
        <f>IF(UO_List[[#This Row],[Budget Revue]]="x",UO_List[[#This Row],[Jours Tech]],0)</f>
        <v>5.0999999999999996</v>
      </c>
      <c r="CA45" s="80">
        <f>IF(UO_List[[#This Row],[Budget Revue]]="x",UO_List[[#This Row],[Jours GP]],0)</f>
        <v>0.90000000000000036</v>
      </c>
      <c r="CB45" s="516" t="str">
        <f>IF(AND(UO_List[[#This Row],[Budget Revue]]="x",$BK45&lt;&gt;"",$BL45&lt;&gt;"",YEAR(BB$3)=YEAR($BK45),MONTH(BB$3)&gt;=MONTH($BK45),MONTH(BB$3)&lt;=MONTH($BL45)),$BS45/(MONTH($BL45)-MONTH($BK45)+1),"")</f>
        <v/>
      </c>
      <c r="CC45" s="80" t="str">
        <f>IF(AND(UO_List[[#This Row],[Budget Revue]]="x",$BK45&lt;&gt;"",$BL45&lt;&gt;"",YEAR(BC$3)=YEAR($BK45),MONTH(BC$3)&gt;=MONTH($BK45),MONTH(BC$3)&lt;=MONTH($BL45)),$BS45/(MONTH($BL45)-MONTH($BK45)+1),"")</f>
        <v/>
      </c>
      <c r="CD45" s="80" t="str">
        <f>IF(AND(UO_List[[#This Row],[Budget Revue]]="x",$BK45&lt;&gt;"",$BL45&lt;&gt;"",YEAR(BD$3)=YEAR($BK45),MONTH(BD$3)&gt;=MONTH($BK45),MONTH(BD$3)&lt;=MONTH($BL45)),$BS45/(MONTH($BL45)-MONTH($BK45)+1),"")</f>
        <v/>
      </c>
      <c r="CE45" s="80">
        <f>IF(AND(UO_List[[#This Row],[Budget Revue]]="x",$BK45&lt;&gt;"",$BL45&lt;&gt;"",YEAR(BE$3)=YEAR($BK45),MONTH(BE$3)&gt;=MONTH($BK45),MONTH(BE$3)&lt;=MONTH($BL45)),$BS45/(MONTH($BL45)-MONTH($BK45)+1),"")</f>
        <v>1.7</v>
      </c>
      <c r="CF45" s="80">
        <f>IF(AND(UO_List[[#This Row],[Budget Revue]]="x",$BK45&lt;&gt;"",$BL45&lt;&gt;"",YEAR(BF$3)=YEAR($BK45),MONTH(BF$3)&gt;=MONTH($BK45),MONTH(BF$3)&lt;=MONTH($BL45)),$BS45/(MONTH($BL45)-MONTH($BK45)+1),"")</f>
        <v>1.7</v>
      </c>
      <c r="CG45" s="80">
        <f>IF(AND(UO_List[[#This Row],[Budget Revue]]="x",$BK45&lt;&gt;"",$BL45&lt;&gt;"",YEAR(BG$3)=YEAR($BK45),MONTH(BG$3)&gt;=MONTH($BK45),MONTH(BG$3)&lt;=MONTH($BL45)),$BS45/(MONTH($BL45)-MONTH($BK45)+1),"")</f>
        <v>1.7</v>
      </c>
      <c r="CH45" s="80" t="str">
        <f>IF(AND(UO_List[[#This Row],[Budget Revue]]="x",$BK45&lt;&gt;"",$BL45&lt;&gt;"",YEAR(BH$3)=YEAR($BK45),MONTH(BH$3)&gt;=MONTH($BK45),MONTH(BH$3)&lt;=MONTH($BL45)),$BS45/(MONTH($BL45)-MONTH($BK45)+1),"")</f>
        <v/>
      </c>
      <c r="CI45" s="80" t="str">
        <f>IF(AND(UO_List[[#This Row],[Budget Revue]]="x",$BK45&lt;&gt;"",$BL45&lt;&gt;"",YEAR(BI$3)=YEAR($BK45),MONTH(BI$3)&gt;=MONTH($BK45),MONTH(BI$3)&lt;=MONTH($BL45)),$BS45/(MONTH($BL45)-MONTH($BK45)+1),"")</f>
        <v/>
      </c>
      <c r="CJ45" s="80" t="str">
        <f>IF(AND(UO_List[[#This Row],[Budget Revue]]="x",$BK45&lt;&gt;"",$BL45&lt;&gt;"",YEAR(BJ$3)=YEAR($BK45),MONTH(BJ$3)&gt;=MONTH($BK45),MONTH(BJ$3)&lt;=MONTH($BL45)),$BS45/(MONTH($BL45)-MONTH($BK45)+1),"")</f>
        <v/>
      </c>
      <c r="CK45" s="80" t="str">
        <f>IF(AND(UO_List[[#This Row],[Budget Revue]]="x",$BK45&lt;&gt;"",$BL45&lt;&gt;"",YEAR(BK$3)=YEAR($BK45),MONTH(BK$3)&gt;=MONTH($BK45),MONTH(BK$3)&lt;=MONTH($BL45)),$BS45/(MONTH($BL45)-MONTH($BK45)+1),"")</f>
        <v/>
      </c>
      <c r="CL45" s="80" t="str">
        <f>IF(AND(UO_List[[#This Row],[Budget Revue]]="x",$BK45&lt;&gt;"",$BL45&lt;&gt;"",YEAR(BL$3)=YEAR($BK45),MONTH(BL$3)&gt;=MONTH($BK45),MONTH(BL$3)&lt;=MONTH($BL45)),$BS45/(MONTH($BL45)-MONTH($BK45)+1),"")</f>
        <v/>
      </c>
      <c r="CM45" s="80" t="str">
        <f>IF(AND(UO_List[[#This Row],[Budget Revue]]="x",$BK45&lt;&gt;"",$BL45&lt;&gt;"",YEAR(BM$3)=YEAR($BK45),MONTH(BM$3)&gt;=MONTH($BK45),MONTH(BM$3)&lt;=MONTH($BL45)),$BS45/(MONTH($BL45)-MONTH($BK45)+1),"")</f>
        <v/>
      </c>
      <c r="CN45" s="75">
        <f>IF(UO_List[[#This Row],[Budget Revue]]="x",SUM(UO_List[[#This Row],[JANVIER]:[DECEMBRE]])-UO_List[[#This Row],[Jours Tech]],"")</f>
        <v>0</v>
      </c>
      <c r="CO45" s="348" t="str">
        <f>IF(AND(UO_List[[#This Row],[Budget Revue]]="x",$BK45&lt;&gt;"",$BL45&lt;&gt;"",YEAR(BO$3)=YEAR($BK45),MONTH(BO$3)&gt;=MONTH($BK45),MONTH(BO$3)&lt;=MONTH($BL45)),UO_List[[#This Row],[Montant TOTAL]]/(MONTH($BL45)-MONTH($BK45)+1),"")</f>
        <v/>
      </c>
      <c r="CP45" s="348" t="str">
        <f>IF(AND(UO_List[[#This Row],[Budget Revue]]="x",$BK45&lt;&gt;"",$BL45&lt;&gt;"",YEAR(BP$3)=YEAR($BK45),MONTH(BP$3)&gt;=MONTH($BK45),MONTH(BP$3)&lt;=MONTH($BL45)),UO_List[[#This Row],[Montant TOTAL]]/(MONTH($BL45)-MONTH($BK45)+1),"")</f>
        <v/>
      </c>
      <c r="CQ45" s="348" t="str">
        <f>IF(AND(UO_List[[#This Row],[Budget Revue]]="x",$BK45&lt;&gt;"",$BL45&lt;&gt;"",YEAR(BQ$3)=YEAR($BK45),MONTH(BQ$3)&gt;=MONTH($BK45),MONTH(BQ$3)&lt;=MONTH($BL45)),UO_List[[#This Row],[Montant TOTAL]]/(MONTH($BL45)-MONTH($BK45)+1),"")</f>
        <v/>
      </c>
      <c r="CR45" s="348">
        <f>IF(AND(UO_List[[#This Row],[Budget Revue]]="x",$BK45&lt;&gt;"",$BL45&lt;&gt;"",YEAR(BR$3)=YEAR($BK45),MONTH(BR$3)&gt;=MONTH($BK45),MONTH(BR$3)&lt;=MONTH($BL45)),UO_List[[#This Row],[Montant TOTAL]]/(MONTH($BL45)-MONTH($BK45)+1),"")</f>
        <v>1123.3333333333333</v>
      </c>
      <c r="CS45" s="348">
        <f>IF(AND(UO_List[[#This Row],[Budget Revue]]="x",$BK45&lt;&gt;"",$BL45&lt;&gt;"",YEAR(BS$3)=YEAR($BK45),MONTH(BS$3)&gt;=MONTH($BK45),MONTH(BS$3)&lt;=MONTH($BL45)),UO_List[[#This Row],[Montant TOTAL]]/(MONTH($BL45)-MONTH($BK45)+1),"")</f>
        <v>1123.3333333333333</v>
      </c>
      <c r="CT45" s="348">
        <f>IF(AND(UO_List[[#This Row],[Budget Revue]]="x",$BK45&lt;&gt;"",$BL45&lt;&gt;"",YEAR(BT$3)=YEAR($BK45),MONTH(BT$3)&gt;=MONTH($BK45),MONTH(BT$3)&lt;=MONTH($BL45)),UO_List[[#This Row],[Montant TOTAL]]/(MONTH($BL45)-MONTH($BK45)+1),"")</f>
        <v>1123.3333333333333</v>
      </c>
      <c r="CU45" s="348" t="str">
        <f>IF(AND(UO_List[[#This Row],[Budget Revue]]="x",$BK45&lt;&gt;"",$BL45&lt;&gt;"",YEAR(BU$3)=YEAR($BK45),MONTH(BU$3)&gt;=MONTH($BK45),MONTH(BU$3)&lt;=MONTH($BL45)),UO_List[[#This Row],[Montant TOTAL]]/(MONTH($BL45)-MONTH($BK45)+1),"")</f>
        <v/>
      </c>
      <c r="CV45" s="348" t="str">
        <f>IF(AND(UO_List[[#This Row],[Budget Revue]]="x",$BK45&lt;&gt;"",$BL45&lt;&gt;"",YEAR(BV$3)=YEAR($BK45),MONTH(BV$3)&gt;=MONTH($BK45),MONTH(BV$3)&lt;=MONTH($BL45)),UO_List[[#This Row],[Montant TOTAL]]/(MONTH($BL45)-MONTH($BK45)+1),"")</f>
        <v/>
      </c>
      <c r="CW45" s="348" t="str">
        <f>IF(AND(UO_List[[#This Row],[Budget Revue]]="x",$BK45&lt;&gt;"",$BL45&lt;&gt;"",YEAR(BW$3)=YEAR($BK45),MONTH(BW$3)&gt;=MONTH($BK45),MONTH(BW$3)&lt;=MONTH($BL45)),UO_List[[#This Row],[Montant TOTAL]]/(MONTH($BL45)-MONTH($BK45)+1),"")</f>
        <v/>
      </c>
      <c r="CX45" s="348" t="str">
        <f>IF(AND(UO_List[[#This Row],[Budget Revue]]="x",$BK45&lt;&gt;"",$BL45&lt;&gt;"",YEAR(BX$3)=YEAR($BK45),MONTH(BX$3)&gt;=MONTH($BK45),MONTH(BX$3)&lt;=MONTH($BL45)),UO_List[[#This Row],[Montant TOTAL]]/(MONTH($BL45)-MONTH($BK45)+1),"")</f>
        <v/>
      </c>
      <c r="CY45" s="348" t="str">
        <f>IF(AND(UO_List[[#This Row],[Budget Revue]]="x",$BK45&lt;&gt;"",$BL45&lt;&gt;"",YEAR(BY$3)=YEAR($BK45),MONTH(BY$3)&gt;=MONTH($BK45),MONTH(BY$3)&lt;=MONTH($BL45)),UO_List[[#This Row],[Montant TOTAL]]/(MONTH($BL45)-MONTH($BK45)+1),"")</f>
        <v/>
      </c>
      <c r="CZ45" s="348" t="str">
        <f>IF(AND(UO_List[[#This Row],[Budget Revue]]="x",$BK45&lt;&gt;"",$BL45&lt;&gt;"",YEAR(BY$3)=YEAR($BK45),MONTH(BY$3)&gt;=MONTH($BK45),MONTH(BY$3)&lt;=MONTH($BL45)),UO_List[[#This Row],[Montant TOTAL]]/(MONTH($BL45)-MONTH($BK45)+1),"")</f>
        <v/>
      </c>
      <c r="DA45" s="348">
        <f>IF(UO_List[[#This Row],[Budget Revue]]="x",SUM(UO_List[[#This Row],[JANVIER2]:[DECEMBRE2]])-UO_List[Montant TOTAL],"")</f>
        <v>0</v>
      </c>
      <c r="DB45" s="517">
        <v>1</v>
      </c>
      <c r="DC45" s="83"/>
      <c r="DD45" s="83"/>
      <c r="DE45" s="83"/>
      <c r="DF45" s="83"/>
      <c r="DG45" s="83"/>
      <c r="DH45" s="83"/>
      <c r="DI45" s="83"/>
      <c r="DJ45" s="83"/>
      <c r="DK45" s="83"/>
      <c r="DL45" s="83"/>
      <c r="DM45" s="83"/>
      <c r="DN45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45" s="76">
        <f>IFERROR(UO_List[[#This Row],[Line Total]]-UO_List[[#This Row],[Montant total réceptionné]],"")</f>
        <v>1685</v>
      </c>
      <c r="DP45" s="76">
        <f>IFERROR(UO_List[[#This Row],[Total item réceptionné]]*UO_List[[#This Row],[Unit Price (calcul)]],0)</f>
        <v>1685</v>
      </c>
      <c r="DQ45" s="76">
        <f>UO_List[[#This Row],[Facteur]]-UO_List[[#This Row],[Total item réceptionné]]</f>
        <v>1</v>
      </c>
      <c r="DR45" s="77"/>
      <c r="DS45" s="77"/>
      <c r="DT45" s="158"/>
      <c r="DU45" s="77"/>
    </row>
    <row r="46" spans="27:125" s="74" customFormat="1">
      <c r="AA46" s="204" t="str">
        <f>IFERROR(VLOOKUP(UO_List[[#This Row],[Unique_AIB_ID]],Tableau1[[Unique_AIB_ID]:[Building / Room]],2,FALSE),"")</f>
        <v>C000489704</v>
      </c>
      <c r="AB46" s="261">
        <f>IFERROR(VLOOKUP(UO_List[[#This Row],[Unique_AIB_ID]],UO_Contract!A56:V245,3,TRUE),"")</f>
        <v>0</v>
      </c>
      <c r="AC46" s="262" t="str">
        <f>IFERROR(VLOOKUP(UO_List[[#This Row],[Unique_AIB_ID]],Tableau1[[Unique_AIB_ID]:[Building / Room]],4,FALSE),"")</f>
        <v>WPA - SII - PJOP - Airbus - WD1701094 - Flight and Integration Test CT1705359</v>
      </c>
      <c r="AD46" s="261">
        <f>IFERROR(VLOOKUP(UO_List[[#This Row],[Unique_AIB_ID]],Tableau1[[Unique_AIB_ID]:[Building / Room]],5,FALSE),"")</f>
        <v>0</v>
      </c>
      <c r="AE46" s="261">
        <f>IFERROR(VLOOKUP(UO_List[[#This Row],[Unique_AIB_ID]],Tableau1[[Unique_AIB_ID]:[Building / Room]],6,FALSE),"")</f>
        <v>16</v>
      </c>
      <c r="AF46" s="261" t="str">
        <f>IFERROR(VLOOKUP(UO_List[[#This Row],[Unique_AIB_ID]],Tableau1[[Unique_AIB_ID]:[Building / Room]],7,FALSE),"")</f>
        <v>30 Each of WU_ELEC_2[PJE_SII_EVYP_USD_AIRBUS_FR]</v>
      </c>
      <c r="AG46" s="261">
        <f>IFERROR(VLOOKUP(UO_List[[#This Row],[Unique_AIB_ID]],Tableau1[[Unique_AIB_ID]:[Building / Room]],8,FALSE),"")</f>
        <v>30</v>
      </c>
      <c r="AH46" s="263">
        <f>IFERROR(VALUE(VLOOKUP(UO_List[[#This Row],[Unique_AIB_ID]],Tableau1[[Unique_AIB_ID]:[Building / Room]],9,FALSE)),"")</f>
        <v>16800</v>
      </c>
      <c r="AI46" s="261">
        <f>IFERROR(VLOOKUP(UO_List[[#This Row],[Unique_AIB_ID]],Tableau1[[Unique_AIB_ID]:[Building / Room]],10,TRUE),"")</f>
        <v>0</v>
      </c>
      <c r="AJ46" s="264">
        <f>IFERROR(VLOOKUP(UO_List[[#This Row],[Unique_AIB_ID]],Tableau1[[Unique_AIB_ID]:[Building / Room]],11,FALSE),"")</f>
        <v>0</v>
      </c>
      <c r="AK46" s="261">
        <f>IFERROR(VLOOKUP(UO_List[[#This Row],[Unique_AIB_ID]],Tableau1[[Unique_AIB_ID]:[Building / Room]],12,FALSE),"")</f>
        <v>0</v>
      </c>
      <c r="AL46" s="261">
        <f>IFERROR(VLOOKUP(UO_List[[#This Row],[Unique_AIB_ID]],Tableau1[[Unique_AIB_ID]:[Building / Room]],13,FALSE),"")</f>
        <v>0</v>
      </c>
      <c r="AM46" s="183">
        <f>IFERROR(VLOOKUP(UO_List[[#This Row],[Unique_AIB_ID]],Tableau1[[Unique_AIB_ID]:[Building / Room]],14,FALSE),"")</f>
        <v>0</v>
      </c>
      <c r="AN46" s="183">
        <f>IFERROR(VLOOKUP(UO_List[[#This Row],[Unique_AIB_ID]],Tableau1[[Unique_AIB_ID]:[Building / Room]],15,FALSE),"")</f>
        <v>0</v>
      </c>
      <c r="AO46" s="183">
        <f>IFERROR(VLOOKUP(UO_List[[#This Row],[Unique_AIB_ID]],Tableau1[[Unique_AIB_ID]:[Building / Room]],16,FALSE),"")</f>
        <v>0</v>
      </c>
      <c r="AP46" s="183" t="str">
        <f>IFERROR(VLOOKUP(UO_List[[#This Row],[Unique_AIB_ID]],Tableau1[[Unique_AIB_ID]:[Building / Room]],17,FALSE),"")</f>
        <v>0</v>
      </c>
      <c r="AQ46" s="183">
        <f>IFERROR(VLOOKUP(UO_List[[#This Row],[Unique_AIB_ID]],Tableau1[[Unique_AIB_ID]:[Building / Room]],18,FALSE),"")</f>
        <v>0</v>
      </c>
      <c r="AR46" s="183" t="str">
        <f>IFERROR(VLOOKUP(UO_List[[#This Row],[Unique_AIB_ID]],Tableau1[[Unique_AIB_ID]:[Building / Room]],19,FALSE),"")</f>
        <v>03/25/20</v>
      </c>
      <c r="AS46" s="183">
        <f>IFERROR(VLOOKUP(UO_List[[#This Row],[Unique_AIB_ID]],Tableau1[[Unique_AIB_ID]:[Building / Room]],20,FALSE),"")</f>
        <v>0</v>
      </c>
      <c r="AT46" s="183">
        <f>IFERROR(VLOOKUP(UO_List[[#This Row],[Unique_AIB_ID]],Tableau1[[Unique_AIB_ID]:[Building / Room]],21,FALSE),"")</f>
        <v>0</v>
      </c>
      <c r="AU46" s="183" t="str">
        <f>IFERROR(VLOOKUP(UO_List[[#This Row],[Unique_AIB_ID]],Tableau1[[Unique_AIB_ID]:[Building / Room]],22,FALSE),"")</f>
        <v>M24 / A559</v>
      </c>
      <c r="AV46" s="167" t="str">
        <f>IFERROR(VLOOKUP(UO_List[[#This Row],[Unique_AIB_ID]],Tableau1[[Unique_AIB_ID]:[Currency]],23,FALSE),"")</f>
        <v>Q 1 / 16 - Testing support &amp; investigation</v>
      </c>
      <c r="AW46" s="167">
        <f>IFERROR(IF(ISBLANK(UO_List[[#This Row],[PO Number (Header)]]),"",UO_List[[#This Row],[Line Total]]/UO_List[[#This Row],[Total Item Quantity]]),"")</f>
        <v>560</v>
      </c>
      <c r="AX46" s="499" t="s">
        <v>979</v>
      </c>
      <c r="AY46" s="167"/>
      <c r="AZ46" s="78" t="s">
        <v>842</v>
      </c>
      <c r="BA46" s="82"/>
      <c r="BB46" s="78"/>
      <c r="BC46" s="78" t="s">
        <v>698</v>
      </c>
      <c r="BD46" s="70" t="s">
        <v>685</v>
      </c>
      <c r="BE46" s="78" t="s">
        <v>685</v>
      </c>
      <c r="BF46" s="78"/>
      <c r="BG46" s="78"/>
      <c r="BH46" s="373" t="s">
        <v>935</v>
      </c>
      <c r="BI46" s="78"/>
      <c r="BJ46" s="78"/>
      <c r="BK46" s="79">
        <v>43922</v>
      </c>
      <c r="BL46" s="79">
        <v>44012</v>
      </c>
      <c r="BM46" s="71">
        <v>30</v>
      </c>
      <c r="BN46" s="71">
        <f>IFERROR(UO_List[[#This Row],[Total Item Quantity]]-UO_List[[#This Row],[Facteur]],"")</f>
        <v>0</v>
      </c>
      <c r="BO46" s="349">
        <f>IFERROR(IF(ISBLANK(UO_List[[#This Row],[Id_UO]]),"",SUMPRODUCT(1*(EXACT(UO_List[[#This Row],[Id_UO]],CATALOGUE[Id_WU]))*CATALOGUE[Price $])),"")</f>
        <v>560</v>
      </c>
      <c r="BP46" s="350">
        <f>IFERROR(UO_List[[#This Row],[Prix unitaire]]*UO_List[[#This Row],[Facteur]],"")</f>
        <v>16800</v>
      </c>
      <c r="BQ46" s="100">
        <f>IFERROR(SUMPRODUCT(1*(EXACT(UO_List[[#This Row],[Id_UO]],CATALOGUE[Id_WU]))*CATALOGUE[Global_Workload_PM_(d)]*UO_List[[#This Row],[Facteur]]),"")</f>
        <v>4.5000000000000009</v>
      </c>
      <c r="BR46" s="286">
        <f>UO_List[[#This Row],[Jours GP]]/jours_an</f>
        <v>2.0833333333333339E-2</v>
      </c>
      <c r="BS46" s="72">
        <f>IFERROR(SUMPRODUCT(1*(EXACT(UO_List[[#This Row],[Id_UO]],CATALOGUE[Id_WU]))*CATALOGUE[Global_Workload_Tech_(d)]*UO_List[[#This Row],[Facteur]]),"")</f>
        <v>25.5</v>
      </c>
      <c r="BT46" s="286">
        <f>UO_List[[#This Row],[Jours Tech]]/jours_an</f>
        <v>0.11805555555555555</v>
      </c>
      <c r="BU46" s="72">
        <f>UO_List[[#This Row],[Jours GP]]+UO_List[[#This Row],[Jours Tech]]</f>
        <v>30</v>
      </c>
      <c r="BV46" s="286">
        <f>UO_List[[#This Row],[ETP GP]]+UO_List[[#This Row],[ETP Tech]]</f>
        <v>0.1388888888888889</v>
      </c>
      <c r="BW46" s="73"/>
      <c r="BX46" s="80" t="s">
        <v>203</v>
      </c>
      <c r="BY46" s="462">
        <f>IF(UO_List[[#This Row],[Budget Revue]]="x",UO_List[[#This Row],[Montant TOTAL]],0)</f>
        <v>16800</v>
      </c>
      <c r="BZ46" s="80">
        <f>IF(UO_List[[#This Row],[Budget Revue]]="x",UO_List[[#This Row],[Jours Tech]],0)</f>
        <v>25.5</v>
      </c>
      <c r="CA46" s="80">
        <f>IF(UO_List[[#This Row],[Budget Revue]]="x",UO_List[[#This Row],[Jours GP]],0)</f>
        <v>4.5000000000000009</v>
      </c>
      <c r="CB46" s="516" t="str">
        <f>IF(AND(UO_List[[#This Row],[Budget Revue]]="x",$BK46&lt;&gt;"",$BL46&lt;&gt;"",YEAR(BB$3)=YEAR($BK46),MONTH(BB$3)&gt;=MONTH($BK46),MONTH(BB$3)&lt;=MONTH($BL46)),$BS46/(MONTH($BL46)-MONTH($BK46)+1),"")</f>
        <v/>
      </c>
      <c r="CC46" s="80" t="str">
        <f>IF(AND(UO_List[[#This Row],[Budget Revue]]="x",$BK46&lt;&gt;"",$BL46&lt;&gt;"",YEAR(BC$3)=YEAR($BK46),MONTH(BC$3)&gt;=MONTH($BK46),MONTH(BC$3)&lt;=MONTH($BL46)),$BS46/(MONTH($BL46)-MONTH($BK46)+1),"")</f>
        <v/>
      </c>
      <c r="CD46" s="80" t="str">
        <f>IF(AND(UO_List[[#This Row],[Budget Revue]]="x",$BK46&lt;&gt;"",$BL46&lt;&gt;"",YEAR(BD$3)=YEAR($BK46),MONTH(BD$3)&gt;=MONTH($BK46),MONTH(BD$3)&lt;=MONTH($BL46)),$BS46/(MONTH($BL46)-MONTH($BK46)+1),"")</f>
        <v/>
      </c>
      <c r="CE46" s="80">
        <f>IF(AND(UO_List[[#This Row],[Budget Revue]]="x",$BK46&lt;&gt;"",$BL46&lt;&gt;"",YEAR(BE$3)=YEAR($BK46),MONTH(BE$3)&gt;=MONTH($BK46),MONTH(BE$3)&lt;=MONTH($BL46)),$BS46/(MONTH($BL46)-MONTH($BK46)+1),"")</f>
        <v>8.5</v>
      </c>
      <c r="CF46" s="80">
        <f>IF(AND(UO_List[[#This Row],[Budget Revue]]="x",$BK46&lt;&gt;"",$BL46&lt;&gt;"",YEAR(BF$3)=YEAR($BK46),MONTH(BF$3)&gt;=MONTH($BK46),MONTH(BF$3)&lt;=MONTH($BL46)),$BS46/(MONTH($BL46)-MONTH($BK46)+1),"")</f>
        <v>8.5</v>
      </c>
      <c r="CG46" s="80">
        <f>IF(AND(UO_List[[#This Row],[Budget Revue]]="x",$BK46&lt;&gt;"",$BL46&lt;&gt;"",YEAR(BG$3)=YEAR($BK46),MONTH(BG$3)&gt;=MONTH($BK46),MONTH(BG$3)&lt;=MONTH($BL46)),$BS46/(MONTH($BL46)-MONTH($BK46)+1),"")</f>
        <v>8.5</v>
      </c>
      <c r="CH46" s="80" t="str">
        <f>IF(AND(UO_List[[#This Row],[Budget Revue]]="x",$BK46&lt;&gt;"",$BL46&lt;&gt;"",YEAR(BH$3)=YEAR($BK46),MONTH(BH$3)&gt;=MONTH($BK46),MONTH(BH$3)&lt;=MONTH($BL46)),$BS46/(MONTH($BL46)-MONTH($BK46)+1),"")</f>
        <v/>
      </c>
      <c r="CI46" s="80" t="str">
        <f>IF(AND(UO_List[[#This Row],[Budget Revue]]="x",$BK46&lt;&gt;"",$BL46&lt;&gt;"",YEAR(BI$3)=YEAR($BK46),MONTH(BI$3)&gt;=MONTH($BK46),MONTH(BI$3)&lt;=MONTH($BL46)),$BS46/(MONTH($BL46)-MONTH($BK46)+1),"")</f>
        <v/>
      </c>
      <c r="CJ46" s="80" t="str">
        <f>IF(AND(UO_List[[#This Row],[Budget Revue]]="x",$BK46&lt;&gt;"",$BL46&lt;&gt;"",YEAR(BJ$3)=YEAR($BK46),MONTH(BJ$3)&gt;=MONTH($BK46),MONTH(BJ$3)&lt;=MONTH($BL46)),$BS46/(MONTH($BL46)-MONTH($BK46)+1),"")</f>
        <v/>
      </c>
      <c r="CK46" s="80" t="str">
        <f>IF(AND(UO_List[[#This Row],[Budget Revue]]="x",$BK46&lt;&gt;"",$BL46&lt;&gt;"",YEAR(BK$3)=YEAR($BK46),MONTH(BK$3)&gt;=MONTH($BK46),MONTH(BK$3)&lt;=MONTH($BL46)),$BS46/(MONTH($BL46)-MONTH($BK46)+1),"")</f>
        <v/>
      </c>
      <c r="CL46" s="80" t="str">
        <f>IF(AND(UO_List[[#This Row],[Budget Revue]]="x",$BK46&lt;&gt;"",$BL46&lt;&gt;"",YEAR(BL$3)=YEAR($BK46),MONTH(BL$3)&gt;=MONTH($BK46),MONTH(BL$3)&lt;=MONTH($BL46)),$BS46/(MONTH($BL46)-MONTH($BK46)+1),"")</f>
        <v/>
      </c>
      <c r="CM46" s="80" t="str">
        <f>IF(AND(UO_List[[#This Row],[Budget Revue]]="x",$BK46&lt;&gt;"",$BL46&lt;&gt;"",YEAR(BM$3)=YEAR($BK46),MONTH(BM$3)&gt;=MONTH($BK46),MONTH(BM$3)&lt;=MONTH($BL46)),$BS46/(MONTH($BL46)-MONTH($BK46)+1),"")</f>
        <v/>
      </c>
      <c r="CN46" s="75">
        <f>IF(UO_List[[#This Row],[Budget Revue]]="x",SUM(UO_List[[#This Row],[JANVIER]:[DECEMBRE]])-UO_List[[#This Row],[Jours Tech]],"")</f>
        <v>0</v>
      </c>
      <c r="CO46" s="348" t="str">
        <f>IF(AND(UO_List[[#This Row],[Budget Revue]]="x",$BK46&lt;&gt;"",$BL46&lt;&gt;"",YEAR(BO$3)=YEAR($BK46),MONTH(BO$3)&gt;=MONTH($BK46),MONTH(BO$3)&lt;=MONTH($BL46)),UO_List[[#This Row],[Montant TOTAL]]/(MONTH($BL46)-MONTH($BK46)+1),"")</f>
        <v/>
      </c>
      <c r="CP46" s="348" t="str">
        <f>IF(AND(UO_List[[#This Row],[Budget Revue]]="x",$BK46&lt;&gt;"",$BL46&lt;&gt;"",YEAR(BP$3)=YEAR($BK46),MONTH(BP$3)&gt;=MONTH($BK46),MONTH(BP$3)&lt;=MONTH($BL46)),UO_List[[#This Row],[Montant TOTAL]]/(MONTH($BL46)-MONTH($BK46)+1),"")</f>
        <v/>
      </c>
      <c r="CQ46" s="348" t="str">
        <f>IF(AND(UO_List[[#This Row],[Budget Revue]]="x",$BK46&lt;&gt;"",$BL46&lt;&gt;"",YEAR(BQ$3)=YEAR($BK46),MONTH(BQ$3)&gt;=MONTH($BK46),MONTH(BQ$3)&lt;=MONTH($BL46)),UO_List[[#This Row],[Montant TOTAL]]/(MONTH($BL46)-MONTH($BK46)+1),"")</f>
        <v/>
      </c>
      <c r="CR46" s="348">
        <f>IF(AND(UO_List[[#This Row],[Budget Revue]]="x",$BK46&lt;&gt;"",$BL46&lt;&gt;"",YEAR(BR$3)=YEAR($BK46),MONTH(BR$3)&gt;=MONTH($BK46),MONTH(BR$3)&lt;=MONTH($BL46)),UO_List[[#This Row],[Montant TOTAL]]/(MONTH($BL46)-MONTH($BK46)+1),"")</f>
        <v>5600</v>
      </c>
      <c r="CS46" s="348">
        <f>IF(AND(UO_List[[#This Row],[Budget Revue]]="x",$BK46&lt;&gt;"",$BL46&lt;&gt;"",YEAR(BS$3)=YEAR($BK46),MONTH(BS$3)&gt;=MONTH($BK46),MONTH(BS$3)&lt;=MONTH($BL46)),UO_List[[#This Row],[Montant TOTAL]]/(MONTH($BL46)-MONTH($BK46)+1),"")</f>
        <v>5600</v>
      </c>
      <c r="CT46" s="348">
        <f>IF(AND(UO_List[[#This Row],[Budget Revue]]="x",$BK46&lt;&gt;"",$BL46&lt;&gt;"",YEAR(BT$3)=YEAR($BK46),MONTH(BT$3)&gt;=MONTH($BK46),MONTH(BT$3)&lt;=MONTH($BL46)),UO_List[[#This Row],[Montant TOTAL]]/(MONTH($BL46)-MONTH($BK46)+1),"")</f>
        <v>5600</v>
      </c>
      <c r="CU46" s="348" t="str">
        <f>IF(AND(UO_List[[#This Row],[Budget Revue]]="x",$BK46&lt;&gt;"",$BL46&lt;&gt;"",YEAR(BU$3)=YEAR($BK46),MONTH(BU$3)&gt;=MONTH($BK46),MONTH(BU$3)&lt;=MONTH($BL46)),UO_List[[#This Row],[Montant TOTAL]]/(MONTH($BL46)-MONTH($BK46)+1),"")</f>
        <v/>
      </c>
      <c r="CV46" s="348" t="str">
        <f>IF(AND(UO_List[[#This Row],[Budget Revue]]="x",$BK46&lt;&gt;"",$BL46&lt;&gt;"",YEAR(BV$3)=YEAR($BK46),MONTH(BV$3)&gt;=MONTH($BK46),MONTH(BV$3)&lt;=MONTH($BL46)),UO_List[[#This Row],[Montant TOTAL]]/(MONTH($BL46)-MONTH($BK46)+1),"")</f>
        <v/>
      </c>
      <c r="CW46" s="348" t="str">
        <f>IF(AND(UO_List[[#This Row],[Budget Revue]]="x",$BK46&lt;&gt;"",$BL46&lt;&gt;"",YEAR(BW$3)=YEAR($BK46),MONTH(BW$3)&gt;=MONTH($BK46),MONTH(BW$3)&lt;=MONTH($BL46)),UO_List[[#This Row],[Montant TOTAL]]/(MONTH($BL46)-MONTH($BK46)+1),"")</f>
        <v/>
      </c>
      <c r="CX46" s="348" t="str">
        <f>IF(AND(UO_List[[#This Row],[Budget Revue]]="x",$BK46&lt;&gt;"",$BL46&lt;&gt;"",YEAR(BX$3)=YEAR($BK46),MONTH(BX$3)&gt;=MONTH($BK46),MONTH(BX$3)&lt;=MONTH($BL46)),UO_List[[#This Row],[Montant TOTAL]]/(MONTH($BL46)-MONTH($BK46)+1),"")</f>
        <v/>
      </c>
      <c r="CY46" s="348" t="str">
        <f>IF(AND(UO_List[[#This Row],[Budget Revue]]="x",$BK46&lt;&gt;"",$BL46&lt;&gt;"",YEAR(BY$3)=YEAR($BK46),MONTH(BY$3)&gt;=MONTH($BK46),MONTH(BY$3)&lt;=MONTH($BL46)),UO_List[[#This Row],[Montant TOTAL]]/(MONTH($BL46)-MONTH($BK46)+1),"")</f>
        <v/>
      </c>
      <c r="CZ46" s="348" t="str">
        <f>IF(AND(UO_List[[#This Row],[Budget Revue]]="x",$BK46&lt;&gt;"",$BL46&lt;&gt;"",YEAR(BY$3)=YEAR($BK46),MONTH(BY$3)&gt;=MONTH($BK46),MONTH(BY$3)&lt;=MONTH($BL46)),UO_List[[#This Row],[Montant TOTAL]]/(MONTH($BL46)-MONTH($BK46)+1),"")</f>
        <v/>
      </c>
      <c r="DA46" s="348">
        <f>IF(UO_List[[#This Row],[Budget Revue]]="x",SUM(UO_List[[#This Row],[JANVIER2]:[DECEMBRE2]])-UO_List[Montant TOTAL],"")</f>
        <v>0</v>
      </c>
      <c r="DB46" s="517">
        <v>8</v>
      </c>
      <c r="DC46" s="83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8</v>
      </c>
      <c r="DO46" s="76">
        <f>IFERROR(UO_List[[#This Row],[Line Total]]-UO_List[[#This Row],[Montant total réceptionné]],"")</f>
        <v>12320</v>
      </c>
      <c r="DP46" s="76">
        <f>IFERROR(UO_List[[#This Row],[Total item réceptionné]]*UO_List[[#This Row],[Unit Price (calcul)]],0)</f>
        <v>4480</v>
      </c>
      <c r="DQ46" s="76">
        <f>UO_List[[#This Row],[Facteur]]-UO_List[[#This Row],[Total item réceptionné]]</f>
        <v>22</v>
      </c>
      <c r="DR46" s="77"/>
      <c r="DS46" s="77"/>
      <c r="DT46" s="158"/>
      <c r="DU46" s="77"/>
    </row>
    <row r="47" spans="27:125" s="74" customFormat="1">
      <c r="AA47" s="188" t="str">
        <f>IFERROR(VLOOKUP(UO_List[[#This Row],[Unique_AIB_ID]],Tableau1[[Unique_AIB_ID]:[Building / Room]],2,FALSE),"")</f>
        <v>C000489704</v>
      </c>
      <c r="AB47" s="265">
        <f>IFERROR(VLOOKUP(UO_List[[#This Row],[Unique_AIB_ID]],UO_Contract!A57:V246,3,TRUE),"")</f>
        <v>0</v>
      </c>
      <c r="AC47" s="266" t="str">
        <f>IFERROR(VLOOKUP(UO_List[[#This Row],[Unique_AIB_ID]],Tableau1[[Unique_AIB_ID]:[Building / Room]],4,FALSE),"")</f>
        <v>WPA - SII - PJOP - Airbus - WD1701094 - Flight and Integration Test CT1705359</v>
      </c>
      <c r="AD47" s="265">
        <f>IFERROR(VLOOKUP(UO_List[[#This Row],[Unique_AIB_ID]],Tableau1[[Unique_AIB_ID]:[Building / Room]],5,FALSE),"")</f>
        <v>0</v>
      </c>
      <c r="AE47" s="265">
        <f>IFERROR(VLOOKUP(UO_List[[#This Row],[Unique_AIB_ID]],Tableau1[[Unique_AIB_ID]:[Building / Room]],6,FALSE),"")</f>
        <v>17</v>
      </c>
      <c r="AF47" s="265" t="str">
        <f>IFERROR(VLOOKUP(UO_List[[#This Row],[Unique_AIB_ID]],Tableau1[[Unique_AIB_ID]:[Building / Room]],7,FALSE),"")</f>
        <v>20 Each of WU_ELEC_1[PJE_SII_EVYP_USD_AIRBUS_FR]</v>
      </c>
      <c r="AG47" s="265">
        <f>IFERROR(VLOOKUP(UO_List[[#This Row],[Unique_AIB_ID]],Tableau1[[Unique_AIB_ID]:[Building / Room]],8,FALSE),"")</f>
        <v>20</v>
      </c>
      <c r="AH47" s="267">
        <f>IFERROR(VALUE(VLOOKUP(UO_List[[#This Row],[Unique_AIB_ID]],Tableau1[[Unique_AIB_ID]:[Building / Room]],9,FALSE)),"")</f>
        <v>33700</v>
      </c>
      <c r="AI47" s="265">
        <f>IFERROR(VLOOKUP(UO_List[[#This Row],[Unique_AIB_ID]],Tableau1[[Unique_AIB_ID]:[Building / Room]],10,TRUE),"")</f>
        <v>0</v>
      </c>
      <c r="AJ47" s="268">
        <f>IFERROR(VLOOKUP(UO_List[[#This Row],[Unique_AIB_ID]],Tableau1[[Unique_AIB_ID]:[Building / Room]],11,FALSE),"")</f>
        <v>0</v>
      </c>
      <c r="AK47" s="265">
        <f>IFERROR(VLOOKUP(UO_List[[#This Row],[Unique_AIB_ID]],Tableau1[[Unique_AIB_ID]:[Building / Room]],12,FALSE),"")</f>
        <v>0</v>
      </c>
      <c r="AL47" s="265">
        <f>IFERROR(VLOOKUP(UO_List[[#This Row],[Unique_AIB_ID]],Tableau1[[Unique_AIB_ID]:[Building / Room]],13,FALSE),"")</f>
        <v>0</v>
      </c>
      <c r="AM47" s="183">
        <f>IFERROR(VLOOKUP(UO_List[[#This Row],[Unique_AIB_ID]],Tableau1[[Unique_AIB_ID]:[Building / Room]],14,FALSE),"")</f>
        <v>0</v>
      </c>
      <c r="AN47" s="183">
        <f>IFERROR(VLOOKUP(UO_List[[#This Row],[Unique_AIB_ID]],Tableau1[[Unique_AIB_ID]:[Building / Room]],15,FALSE),"")</f>
        <v>0</v>
      </c>
      <c r="AO47" s="183">
        <f>IFERROR(VLOOKUP(UO_List[[#This Row],[Unique_AIB_ID]],Tableau1[[Unique_AIB_ID]:[Building / Room]],16,FALSE),"")</f>
        <v>0</v>
      </c>
      <c r="AP47" s="183" t="str">
        <f>IFERROR(VLOOKUP(UO_List[[#This Row],[Unique_AIB_ID]],Tableau1[[Unique_AIB_ID]:[Building / Room]],17,FALSE),"")</f>
        <v>0</v>
      </c>
      <c r="AQ47" s="183">
        <f>IFERROR(VLOOKUP(UO_List[[#This Row],[Unique_AIB_ID]],Tableau1[[Unique_AIB_ID]:[Building / Room]],18,FALSE),"")</f>
        <v>0</v>
      </c>
      <c r="AR47" s="183" t="str">
        <f>IFERROR(VLOOKUP(UO_List[[#This Row],[Unique_AIB_ID]],Tableau1[[Unique_AIB_ID]:[Building / Room]],19,FALSE),"")</f>
        <v>03/25/20</v>
      </c>
      <c r="AS47" s="183">
        <f>IFERROR(VLOOKUP(UO_List[[#This Row],[Unique_AIB_ID]],Tableau1[[Unique_AIB_ID]:[Building / Room]],20,FALSE),"")</f>
        <v>0</v>
      </c>
      <c r="AT47" s="183">
        <f>IFERROR(VLOOKUP(UO_List[[#This Row],[Unique_AIB_ID]],Tableau1[[Unique_AIB_ID]:[Building / Room]],21,FALSE),"")</f>
        <v>0</v>
      </c>
      <c r="AU47" s="183" t="str">
        <f>IFERROR(VLOOKUP(UO_List[[#This Row],[Unique_AIB_ID]],Tableau1[[Unique_AIB_ID]:[Building / Room]],22,FALSE),"")</f>
        <v>M24 / A559</v>
      </c>
      <c r="AV47" s="167" t="str">
        <f>IFERROR(VLOOKUP(UO_List[[#This Row],[Unique_AIB_ID]],Tableau1[[Unique_AIB_ID]:[Currency]],23,FALSE),"")</f>
        <v>Q 1 / 18 - GCU VFG S6</v>
      </c>
      <c r="AW47" s="167">
        <f>IFERROR(IF(ISBLANK(UO_List[[#This Row],[PO Number (Header)]]),"",UO_List[[#This Row],[Line Total]]/UO_List[[#This Row],[Total Item Quantity]]),"")</f>
        <v>1685</v>
      </c>
      <c r="AX47" s="499" t="s">
        <v>980</v>
      </c>
      <c r="AY47" s="167"/>
      <c r="AZ47" s="78" t="s">
        <v>842</v>
      </c>
      <c r="BA47" s="82"/>
      <c r="BB47" s="78"/>
      <c r="BC47" s="78" t="s">
        <v>697</v>
      </c>
      <c r="BD47" s="70" t="s">
        <v>685</v>
      </c>
      <c r="BE47" s="78" t="s">
        <v>685</v>
      </c>
      <c r="BF47" s="78"/>
      <c r="BG47" s="78"/>
      <c r="BH47" s="78" t="s">
        <v>936</v>
      </c>
      <c r="BI47" s="78"/>
      <c r="BJ47" s="78"/>
      <c r="BK47" s="79">
        <v>43922</v>
      </c>
      <c r="BL47" s="79">
        <v>44012</v>
      </c>
      <c r="BM47" s="71">
        <v>20</v>
      </c>
      <c r="BN47" s="71">
        <f>IFERROR(UO_List[[#This Row],[Total Item Quantity]]-UO_List[[#This Row],[Facteur]],"")</f>
        <v>0</v>
      </c>
      <c r="BO47" s="349">
        <f>IFERROR(IF(ISBLANK(UO_List[[#This Row],[Id_UO]]),"",SUMPRODUCT(1*(EXACT(UO_List[[#This Row],[Id_UO]],CATALOGUE[Id_WU]))*CATALOGUE[Price $])),"")</f>
        <v>1685</v>
      </c>
      <c r="BP47" s="350">
        <f>IFERROR(UO_List[[#This Row],[Prix unitaire]]*UO_List[[#This Row],[Facteur]],"")</f>
        <v>33700</v>
      </c>
      <c r="BQ47" s="100">
        <f>IFERROR(SUMPRODUCT(1*(EXACT(UO_List[[#This Row],[Id_UO]],CATALOGUE[Id_WU]))*CATALOGUE[Global_Workload_PM_(d)]*UO_List[[#This Row],[Facteur]]),"")</f>
        <v>9.0000000000000036</v>
      </c>
      <c r="BR47" s="286">
        <f>UO_List[[#This Row],[Jours GP]]/jours_an</f>
        <v>4.1666666666666685E-2</v>
      </c>
      <c r="BS47" s="72">
        <f>IFERROR(SUMPRODUCT(1*(EXACT(UO_List[[#This Row],[Id_UO]],CATALOGUE[Id_WU]))*CATALOGUE[Global_Workload_Tech_(d)]*UO_List[[#This Row],[Facteur]]),"")</f>
        <v>51</v>
      </c>
      <c r="BT47" s="286">
        <f>UO_List[[#This Row],[Jours Tech]]/jours_an</f>
        <v>0.2361111111111111</v>
      </c>
      <c r="BU47" s="72">
        <f>UO_List[[#This Row],[Jours GP]]+UO_List[[#This Row],[Jours Tech]]</f>
        <v>60</v>
      </c>
      <c r="BV47" s="286">
        <f>UO_List[[#This Row],[ETP GP]]+UO_List[[#This Row],[ETP Tech]]</f>
        <v>0.27777777777777779</v>
      </c>
      <c r="BW47" s="73"/>
      <c r="BX47" s="80" t="s">
        <v>203</v>
      </c>
      <c r="BY47" s="462">
        <f>IF(UO_List[[#This Row],[Budget Revue]]="x",UO_List[[#This Row],[Montant TOTAL]],0)</f>
        <v>33700</v>
      </c>
      <c r="BZ47" s="80">
        <f>IF(UO_List[[#This Row],[Budget Revue]]="x",UO_List[[#This Row],[Jours Tech]],0)</f>
        <v>51</v>
      </c>
      <c r="CA47" s="80">
        <f>IF(UO_List[[#This Row],[Budget Revue]]="x",UO_List[[#This Row],[Jours GP]],0)</f>
        <v>9.0000000000000036</v>
      </c>
      <c r="CB47" s="516" t="str">
        <f>IF(AND(UO_List[[#This Row],[Budget Revue]]="x",$BK47&lt;&gt;"",$BL47&lt;&gt;"",YEAR(BB$3)=YEAR($BK47),MONTH(BB$3)&gt;=MONTH($BK47),MONTH(BB$3)&lt;=MONTH($BL47)),$BS47/(MONTH($BL47)-MONTH($BK47)+1),"")</f>
        <v/>
      </c>
      <c r="CC47" s="80" t="str">
        <f>IF(AND(UO_List[[#This Row],[Budget Revue]]="x",$BK47&lt;&gt;"",$BL47&lt;&gt;"",YEAR(BC$3)=YEAR($BK47),MONTH(BC$3)&gt;=MONTH($BK47),MONTH(BC$3)&lt;=MONTH($BL47)),$BS47/(MONTH($BL47)-MONTH($BK47)+1),"")</f>
        <v/>
      </c>
      <c r="CD47" s="80" t="str">
        <f>IF(AND(UO_List[[#This Row],[Budget Revue]]="x",$BK47&lt;&gt;"",$BL47&lt;&gt;"",YEAR(BD$3)=YEAR($BK47),MONTH(BD$3)&gt;=MONTH($BK47),MONTH(BD$3)&lt;=MONTH($BL47)),$BS47/(MONTH($BL47)-MONTH($BK47)+1),"")</f>
        <v/>
      </c>
      <c r="CE47" s="80">
        <f>IF(AND(UO_List[[#This Row],[Budget Revue]]="x",$BK47&lt;&gt;"",$BL47&lt;&gt;"",YEAR(BE$3)=YEAR($BK47),MONTH(BE$3)&gt;=MONTH($BK47),MONTH(BE$3)&lt;=MONTH($BL47)),$BS47/(MONTH($BL47)-MONTH($BK47)+1),"")</f>
        <v>17</v>
      </c>
      <c r="CF47" s="80">
        <f>IF(AND(UO_List[[#This Row],[Budget Revue]]="x",$BK47&lt;&gt;"",$BL47&lt;&gt;"",YEAR(BF$3)=YEAR($BK47),MONTH(BF$3)&gt;=MONTH($BK47),MONTH(BF$3)&lt;=MONTH($BL47)),$BS47/(MONTH($BL47)-MONTH($BK47)+1),"")</f>
        <v>17</v>
      </c>
      <c r="CG47" s="80">
        <f>IF(AND(UO_List[[#This Row],[Budget Revue]]="x",$BK47&lt;&gt;"",$BL47&lt;&gt;"",YEAR(BG$3)=YEAR($BK47),MONTH(BG$3)&gt;=MONTH($BK47),MONTH(BG$3)&lt;=MONTH($BL47)),$BS47/(MONTH($BL47)-MONTH($BK47)+1),"")</f>
        <v>17</v>
      </c>
      <c r="CH47" s="80" t="str">
        <f>IF(AND(UO_List[[#This Row],[Budget Revue]]="x",$BK47&lt;&gt;"",$BL47&lt;&gt;"",YEAR(BH$3)=YEAR($BK47),MONTH(BH$3)&gt;=MONTH($BK47),MONTH(BH$3)&lt;=MONTH($BL47)),$BS47/(MONTH($BL47)-MONTH($BK47)+1),"")</f>
        <v/>
      </c>
      <c r="CI47" s="80" t="str">
        <f>IF(AND(UO_List[[#This Row],[Budget Revue]]="x",$BK47&lt;&gt;"",$BL47&lt;&gt;"",YEAR(BI$3)=YEAR($BK47),MONTH(BI$3)&gt;=MONTH($BK47),MONTH(BI$3)&lt;=MONTH($BL47)),$BS47/(MONTH($BL47)-MONTH($BK47)+1),"")</f>
        <v/>
      </c>
      <c r="CJ47" s="80" t="str">
        <f>IF(AND(UO_List[[#This Row],[Budget Revue]]="x",$BK47&lt;&gt;"",$BL47&lt;&gt;"",YEAR(BJ$3)=YEAR($BK47),MONTH(BJ$3)&gt;=MONTH($BK47),MONTH(BJ$3)&lt;=MONTH($BL47)),$BS47/(MONTH($BL47)-MONTH($BK47)+1),"")</f>
        <v/>
      </c>
      <c r="CK47" s="80" t="str">
        <f>IF(AND(UO_List[[#This Row],[Budget Revue]]="x",$BK47&lt;&gt;"",$BL47&lt;&gt;"",YEAR(BK$3)=YEAR($BK47),MONTH(BK$3)&gt;=MONTH($BK47),MONTH(BK$3)&lt;=MONTH($BL47)),$BS47/(MONTH($BL47)-MONTH($BK47)+1),"")</f>
        <v/>
      </c>
      <c r="CL47" s="80" t="str">
        <f>IF(AND(UO_List[[#This Row],[Budget Revue]]="x",$BK47&lt;&gt;"",$BL47&lt;&gt;"",YEAR(BL$3)=YEAR($BK47),MONTH(BL$3)&gt;=MONTH($BK47),MONTH(BL$3)&lt;=MONTH($BL47)),$BS47/(MONTH($BL47)-MONTH($BK47)+1),"")</f>
        <v/>
      </c>
      <c r="CM47" s="80" t="str">
        <f>IF(AND(UO_List[[#This Row],[Budget Revue]]="x",$BK47&lt;&gt;"",$BL47&lt;&gt;"",YEAR(BM$3)=YEAR($BK47),MONTH(BM$3)&gt;=MONTH($BK47),MONTH(BM$3)&lt;=MONTH($BL47)),$BS47/(MONTH($BL47)-MONTH($BK47)+1),"")</f>
        <v/>
      </c>
      <c r="CN47" s="75">
        <f>IF(UO_List[[#This Row],[Budget Revue]]="x",SUM(UO_List[[#This Row],[JANVIER]:[DECEMBRE]])-UO_List[[#This Row],[Jours Tech]],"")</f>
        <v>0</v>
      </c>
      <c r="CO47" s="348" t="str">
        <f>IF(AND(UO_List[[#This Row],[Budget Revue]]="x",$BK47&lt;&gt;"",$BL47&lt;&gt;"",YEAR(BO$3)=YEAR($BK47),MONTH(BO$3)&gt;=MONTH($BK47),MONTH(BO$3)&lt;=MONTH($BL47)),UO_List[[#This Row],[Montant TOTAL]]/(MONTH($BL47)-MONTH($BK47)+1),"")</f>
        <v/>
      </c>
      <c r="CP47" s="348" t="str">
        <f>IF(AND(UO_List[[#This Row],[Budget Revue]]="x",$BK47&lt;&gt;"",$BL47&lt;&gt;"",YEAR(BP$3)=YEAR($BK47),MONTH(BP$3)&gt;=MONTH($BK47),MONTH(BP$3)&lt;=MONTH($BL47)),UO_List[[#This Row],[Montant TOTAL]]/(MONTH($BL47)-MONTH($BK47)+1),"")</f>
        <v/>
      </c>
      <c r="CQ47" s="348" t="str">
        <f>IF(AND(UO_List[[#This Row],[Budget Revue]]="x",$BK47&lt;&gt;"",$BL47&lt;&gt;"",YEAR(BQ$3)=YEAR($BK47),MONTH(BQ$3)&gt;=MONTH($BK47),MONTH(BQ$3)&lt;=MONTH($BL47)),UO_List[[#This Row],[Montant TOTAL]]/(MONTH($BL47)-MONTH($BK47)+1),"")</f>
        <v/>
      </c>
      <c r="CR47" s="348">
        <f>IF(AND(UO_List[[#This Row],[Budget Revue]]="x",$BK47&lt;&gt;"",$BL47&lt;&gt;"",YEAR(BR$3)=YEAR($BK47),MONTH(BR$3)&gt;=MONTH($BK47),MONTH(BR$3)&lt;=MONTH($BL47)),UO_List[[#This Row],[Montant TOTAL]]/(MONTH($BL47)-MONTH($BK47)+1),"")</f>
        <v>11233.333333333334</v>
      </c>
      <c r="CS47" s="348">
        <f>IF(AND(UO_List[[#This Row],[Budget Revue]]="x",$BK47&lt;&gt;"",$BL47&lt;&gt;"",YEAR(BS$3)=YEAR($BK47),MONTH(BS$3)&gt;=MONTH($BK47),MONTH(BS$3)&lt;=MONTH($BL47)),UO_List[[#This Row],[Montant TOTAL]]/(MONTH($BL47)-MONTH($BK47)+1),"")</f>
        <v>11233.333333333334</v>
      </c>
      <c r="CT47" s="348">
        <f>IF(AND(UO_List[[#This Row],[Budget Revue]]="x",$BK47&lt;&gt;"",$BL47&lt;&gt;"",YEAR(BT$3)=YEAR($BK47),MONTH(BT$3)&gt;=MONTH($BK47),MONTH(BT$3)&lt;=MONTH($BL47)),UO_List[[#This Row],[Montant TOTAL]]/(MONTH($BL47)-MONTH($BK47)+1),"")</f>
        <v>11233.333333333334</v>
      </c>
      <c r="CU47" s="348" t="str">
        <f>IF(AND(UO_List[[#This Row],[Budget Revue]]="x",$BK47&lt;&gt;"",$BL47&lt;&gt;"",YEAR(BU$3)=YEAR($BK47),MONTH(BU$3)&gt;=MONTH($BK47),MONTH(BU$3)&lt;=MONTH($BL47)),UO_List[[#This Row],[Montant TOTAL]]/(MONTH($BL47)-MONTH($BK47)+1),"")</f>
        <v/>
      </c>
      <c r="CV47" s="348" t="str">
        <f>IF(AND(UO_List[[#This Row],[Budget Revue]]="x",$BK47&lt;&gt;"",$BL47&lt;&gt;"",YEAR(BV$3)=YEAR($BK47),MONTH(BV$3)&gt;=MONTH($BK47),MONTH(BV$3)&lt;=MONTH($BL47)),UO_List[[#This Row],[Montant TOTAL]]/(MONTH($BL47)-MONTH($BK47)+1),"")</f>
        <v/>
      </c>
      <c r="CW47" s="348" t="str">
        <f>IF(AND(UO_List[[#This Row],[Budget Revue]]="x",$BK47&lt;&gt;"",$BL47&lt;&gt;"",YEAR(BW$3)=YEAR($BK47),MONTH(BW$3)&gt;=MONTH($BK47),MONTH(BW$3)&lt;=MONTH($BL47)),UO_List[[#This Row],[Montant TOTAL]]/(MONTH($BL47)-MONTH($BK47)+1),"")</f>
        <v/>
      </c>
      <c r="CX47" s="348" t="str">
        <f>IF(AND(UO_List[[#This Row],[Budget Revue]]="x",$BK47&lt;&gt;"",$BL47&lt;&gt;"",YEAR(BX$3)=YEAR($BK47),MONTH(BX$3)&gt;=MONTH($BK47),MONTH(BX$3)&lt;=MONTH($BL47)),UO_List[[#This Row],[Montant TOTAL]]/(MONTH($BL47)-MONTH($BK47)+1),"")</f>
        <v/>
      </c>
      <c r="CY47" s="348" t="str">
        <f>IF(AND(UO_List[[#This Row],[Budget Revue]]="x",$BK47&lt;&gt;"",$BL47&lt;&gt;"",YEAR(BY$3)=YEAR($BK47),MONTH(BY$3)&gt;=MONTH($BK47),MONTH(BY$3)&lt;=MONTH($BL47)),UO_List[[#This Row],[Montant TOTAL]]/(MONTH($BL47)-MONTH($BK47)+1),"")</f>
        <v/>
      </c>
      <c r="CZ47" s="348" t="str">
        <f>IF(AND(UO_List[[#This Row],[Budget Revue]]="x",$BK47&lt;&gt;"",$BL47&lt;&gt;"",YEAR(BY$3)=YEAR($BK47),MONTH(BY$3)&gt;=MONTH($BK47),MONTH(BY$3)&lt;=MONTH($BL47)),UO_List[[#This Row],[Montant TOTAL]]/(MONTH($BL47)-MONTH($BK47)+1),"")</f>
        <v/>
      </c>
      <c r="DA47" s="348">
        <f>IF(UO_List[[#This Row],[Budget Revue]]="x",SUM(UO_List[[#This Row],[JANVIER2]:[DECEMBRE2]])-UO_List[Montant TOTAL],"")</f>
        <v>0</v>
      </c>
      <c r="DB47" s="517">
        <v>0</v>
      </c>
      <c r="DC47" s="83"/>
      <c r="DD47" s="83"/>
      <c r="DE47" s="83"/>
      <c r="DF47" s="83"/>
      <c r="DG47" s="83"/>
      <c r="DH47" s="83"/>
      <c r="DI47" s="83"/>
      <c r="DJ47" s="83"/>
      <c r="DK47" s="83"/>
      <c r="DL47" s="83"/>
      <c r="DM47" s="83"/>
      <c r="DN47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47" s="76">
        <f>IFERROR(UO_List[[#This Row],[Line Total]]-UO_List[[#This Row],[Montant total réceptionné]],"")</f>
        <v>33700</v>
      </c>
      <c r="DP47" s="76">
        <f>IFERROR(UO_List[[#This Row],[Total item réceptionné]]*UO_List[[#This Row],[Unit Price (calcul)]],0)</f>
        <v>0</v>
      </c>
      <c r="DQ47" s="76">
        <f>UO_List[[#This Row],[Facteur]]-UO_List[[#This Row],[Total item réceptionné]]</f>
        <v>20</v>
      </c>
      <c r="DR47" s="77"/>
      <c r="DS47" s="77"/>
      <c r="DT47" s="158"/>
      <c r="DU47" s="77"/>
    </row>
    <row r="48" spans="27:125" s="74" customFormat="1">
      <c r="AA48" s="204" t="str">
        <f>IFERROR(VLOOKUP(UO_List[[#This Row],[Unique_AIB_ID]],Tableau1[[Unique_AIB_ID]:[Building / Room]],2,FALSE),"")</f>
        <v>C000489704</v>
      </c>
      <c r="AB48" s="269">
        <f>IFERROR(VLOOKUP(UO_List[[#This Row],[Unique_AIB_ID]],UO_Contract!A58:V247,3,TRUE),"")</f>
        <v>0</v>
      </c>
      <c r="AC48" s="270" t="str">
        <f>IFERROR(VLOOKUP(UO_List[[#This Row],[Unique_AIB_ID]],Tableau1[[Unique_AIB_ID]:[Building / Room]],4,FALSE),"")</f>
        <v>WPA - SII - PJOP - Airbus - WD1701094 - Flight and Integration Test CT1705359</v>
      </c>
      <c r="AD48" s="269">
        <f>IFERROR(VLOOKUP(UO_List[[#This Row],[Unique_AIB_ID]],Tableau1[[Unique_AIB_ID]:[Building / Room]],5,FALSE),"")</f>
        <v>0</v>
      </c>
      <c r="AE48" s="269">
        <f>IFERROR(VLOOKUP(UO_List[[#This Row],[Unique_AIB_ID]],Tableau1[[Unique_AIB_ID]:[Building / Room]],6,FALSE),"")</f>
        <v>18</v>
      </c>
      <c r="AF48" s="269" t="str">
        <f>IFERROR(VLOOKUP(UO_List[[#This Row],[Unique_AIB_ID]],Tableau1[[Unique_AIB_ID]:[Building / Room]],7,FALSE),"")</f>
        <v>2 Each of WU_ELEC_1[PJE_SII_EVYP_USD_AIRBUS_FR]</v>
      </c>
      <c r="AG48" s="269">
        <f>IFERROR(VLOOKUP(UO_List[[#This Row],[Unique_AIB_ID]],Tableau1[[Unique_AIB_ID]:[Building / Room]],8,FALSE),"")</f>
        <v>2</v>
      </c>
      <c r="AH48" s="271">
        <f>IFERROR(VALUE(VLOOKUP(UO_List[[#This Row],[Unique_AIB_ID]],Tableau1[[Unique_AIB_ID]:[Building / Room]],9,FALSE)),"")</f>
        <v>3370</v>
      </c>
      <c r="AI48" s="269">
        <f>IFERROR(VLOOKUP(UO_List[[#This Row],[Unique_AIB_ID]],Tableau1[[Unique_AIB_ID]:[Building / Room]],10,TRUE),"")</f>
        <v>0</v>
      </c>
      <c r="AJ48" s="272">
        <f>IFERROR(VLOOKUP(UO_List[[#This Row],[Unique_AIB_ID]],Tableau1[[Unique_AIB_ID]:[Building / Room]],11,FALSE),"")</f>
        <v>0</v>
      </c>
      <c r="AK48" s="269">
        <f>IFERROR(VLOOKUP(UO_List[[#This Row],[Unique_AIB_ID]],Tableau1[[Unique_AIB_ID]:[Building / Room]],12,FALSE),"")</f>
        <v>0</v>
      </c>
      <c r="AL48" s="269">
        <f>IFERROR(VLOOKUP(UO_List[[#This Row],[Unique_AIB_ID]],Tableau1[[Unique_AIB_ID]:[Building / Room]],13,FALSE),"")</f>
        <v>0</v>
      </c>
      <c r="AM48" s="183">
        <f>IFERROR(VLOOKUP(UO_List[[#This Row],[Unique_AIB_ID]],Tableau1[[Unique_AIB_ID]:[Building / Room]],14,FALSE),"")</f>
        <v>0</v>
      </c>
      <c r="AN48" s="183">
        <f>IFERROR(VLOOKUP(UO_List[[#This Row],[Unique_AIB_ID]],Tableau1[[Unique_AIB_ID]:[Building / Room]],15,FALSE),"")</f>
        <v>0</v>
      </c>
      <c r="AO48" s="183">
        <f>IFERROR(VLOOKUP(UO_List[[#This Row],[Unique_AIB_ID]],Tableau1[[Unique_AIB_ID]:[Building / Room]],16,FALSE),"")</f>
        <v>0</v>
      </c>
      <c r="AP48" s="183" t="str">
        <f>IFERROR(VLOOKUP(UO_List[[#This Row],[Unique_AIB_ID]],Tableau1[[Unique_AIB_ID]:[Building / Room]],17,FALSE),"")</f>
        <v>0</v>
      </c>
      <c r="AQ48" s="183">
        <f>IFERROR(VLOOKUP(UO_List[[#This Row],[Unique_AIB_ID]],Tableau1[[Unique_AIB_ID]:[Building / Room]],18,FALSE),"")</f>
        <v>0</v>
      </c>
      <c r="AR48" s="183" t="str">
        <f>IFERROR(VLOOKUP(UO_List[[#This Row],[Unique_AIB_ID]],Tableau1[[Unique_AIB_ID]:[Building / Room]],19,FALSE),"")</f>
        <v>03/25/20</v>
      </c>
      <c r="AS48" s="183">
        <f>IFERROR(VLOOKUP(UO_List[[#This Row],[Unique_AIB_ID]],Tableau1[[Unique_AIB_ID]:[Building / Room]],20,FALSE),"")</f>
        <v>0</v>
      </c>
      <c r="AT48" s="183">
        <f>IFERROR(VLOOKUP(UO_List[[#This Row],[Unique_AIB_ID]],Tableau1[[Unique_AIB_ID]:[Building / Room]],21,FALSE),"")</f>
        <v>0</v>
      </c>
      <c r="AU48" s="183" t="str">
        <f>IFERROR(VLOOKUP(UO_List[[#This Row],[Unique_AIB_ID]],Tableau1[[Unique_AIB_ID]:[Building / Room]],22,FALSE),"")</f>
        <v>M24 / A559</v>
      </c>
      <c r="AV48" s="167" t="str">
        <f>IFERROR(VLOOKUP(UO_List[[#This Row],[Unique_AIB_ID]],Tableau1[[Unique_AIB_ID]:[Currency]],23,FALSE),"")</f>
        <v>Q 1 / 21 - A350 Cont sup</v>
      </c>
      <c r="AW48" s="167">
        <f>IFERROR(IF(ISBLANK(UO_List[[#This Row],[PO Number (Header)]]),"",UO_List[[#This Row],[Line Total]]/UO_List[[#This Row],[Total Item Quantity]]),"")</f>
        <v>1685</v>
      </c>
      <c r="AX48" s="499" t="s">
        <v>981</v>
      </c>
      <c r="AY48" s="167"/>
      <c r="AZ48" s="78" t="s">
        <v>842</v>
      </c>
      <c r="BA48" s="78"/>
      <c r="BB48" s="78"/>
      <c r="BC48" s="78" t="s">
        <v>697</v>
      </c>
      <c r="BD48" s="70" t="s">
        <v>685</v>
      </c>
      <c r="BE48" s="78" t="s">
        <v>685</v>
      </c>
      <c r="BF48" s="78"/>
      <c r="BG48" s="78"/>
      <c r="BH48" s="78" t="s">
        <v>937</v>
      </c>
      <c r="BI48" s="78"/>
      <c r="BJ48" s="78"/>
      <c r="BK48" s="79">
        <v>43922</v>
      </c>
      <c r="BL48" s="79">
        <v>44012</v>
      </c>
      <c r="BM48" s="71">
        <v>2</v>
      </c>
      <c r="BN48" s="71">
        <f>IFERROR(UO_List[[#This Row],[Total Item Quantity]]-UO_List[[#This Row],[Facteur]],"")</f>
        <v>0</v>
      </c>
      <c r="BO48" s="349">
        <f>IFERROR(IF(ISBLANK(UO_List[[#This Row],[Id_UO]]),"",SUMPRODUCT(1*(EXACT(UO_List[[#This Row],[Id_UO]],CATALOGUE[Id_WU]))*CATALOGUE[Price $])),"")</f>
        <v>1685</v>
      </c>
      <c r="BP48" s="350">
        <f>IFERROR(UO_List[[#This Row],[Prix unitaire]]*UO_List[[#This Row],[Facteur]],"")</f>
        <v>3370</v>
      </c>
      <c r="BQ48" s="100">
        <f>IFERROR(SUMPRODUCT(1*(EXACT(UO_List[[#This Row],[Id_UO]],CATALOGUE[Id_WU]))*CATALOGUE[Global_Workload_PM_(d)]*UO_List[[#This Row],[Facteur]]),"")</f>
        <v>0.90000000000000036</v>
      </c>
      <c r="BR48" s="286">
        <f>UO_List[[#This Row],[Jours GP]]/jours_an</f>
        <v>4.1666666666666683E-3</v>
      </c>
      <c r="BS48" s="72">
        <f>IFERROR(SUMPRODUCT(1*(EXACT(UO_List[[#This Row],[Id_UO]],CATALOGUE[Id_WU]))*CATALOGUE[Global_Workload_Tech_(d)]*UO_List[[#This Row],[Facteur]]),"")</f>
        <v>5.0999999999999996</v>
      </c>
      <c r="BT48" s="286">
        <f>UO_List[[#This Row],[Jours Tech]]/jours_an</f>
        <v>2.361111111111111E-2</v>
      </c>
      <c r="BU48" s="72">
        <f>UO_List[[#This Row],[Jours GP]]+UO_List[[#This Row],[Jours Tech]]</f>
        <v>6</v>
      </c>
      <c r="BV48" s="286">
        <f>UO_List[[#This Row],[ETP GP]]+UO_List[[#This Row],[ETP Tech]]</f>
        <v>2.777777777777778E-2</v>
      </c>
      <c r="BW48" s="73"/>
      <c r="BX48" s="80" t="s">
        <v>203</v>
      </c>
      <c r="BY48" s="462">
        <f>IF(UO_List[[#This Row],[Budget Revue]]="x",UO_List[[#This Row],[Montant TOTAL]],0)</f>
        <v>3370</v>
      </c>
      <c r="BZ48" s="80">
        <f>IF(UO_List[[#This Row],[Budget Revue]]="x",UO_List[[#This Row],[Jours Tech]],0)</f>
        <v>5.0999999999999996</v>
      </c>
      <c r="CA48" s="80">
        <f>IF(UO_List[[#This Row],[Budget Revue]]="x",UO_List[[#This Row],[Jours GP]],0)</f>
        <v>0.90000000000000036</v>
      </c>
      <c r="CB48" s="516" t="str">
        <f>IF(AND(UO_List[[#This Row],[Budget Revue]]="x",$BK48&lt;&gt;"",$BL48&lt;&gt;"",YEAR(BB$3)=YEAR($BK48),MONTH(BB$3)&gt;=MONTH($BK48),MONTH(BB$3)&lt;=MONTH($BL48)),$BS48/(MONTH($BL48)-MONTH($BK48)+1),"")</f>
        <v/>
      </c>
      <c r="CC48" s="80" t="str">
        <f>IF(AND(UO_List[[#This Row],[Budget Revue]]="x",$BK48&lt;&gt;"",$BL48&lt;&gt;"",YEAR(BC$3)=YEAR($BK48),MONTH(BC$3)&gt;=MONTH($BK48),MONTH(BC$3)&lt;=MONTH($BL48)),$BS48/(MONTH($BL48)-MONTH($BK48)+1),"")</f>
        <v/>
      </c>
      <c r="CD48" s="80" t="str">
        <f>IF(AND(UO_List[[#This Row],[Budget Revue]]="x",$BK48&lt;&gt;"",$BL48&lt;&gt;"",YEAR(BD$3)=YEAR($BK48),MONTH(BD$3)&gt;=MONTH($BK48),MONTH(BD$3)&lt;=MONTH($BL48)),$BS48/(MONTH($BL48)-MONTH($BK48)+1),"")</f>
        <v/>
      </c>
      <c r="CE48" s="80">
        <f>IF(AND(UO_List[[#This Row],[Budget Revue]]="x",$BK48&lt;&gt;"",$BL48&lt;&gt;"",YEAR(BE$3)=YEAR($BK48),MONTH(BE$3)&gt;=MONTH($BK48),MONTH(BE$3)&lt;=MONTH($BL48)),$BS48/(MONTH($BL48)-MONTH($BK48)+1),"")</f>
        <v>1.7</v>
      </c>
      <c r="CF48" s="80">
        <f>IF(AND(UO_List[[#This Row],[Budget Revue]]="x",$BK48&lt;&gt;"",$BL48&lt;&gt;"",YEAR(BF$3)=YEAR($BK48),MONTH(BF$3)&gt;=MONTH($BK48),MONTH(BF$3)&lt;=MONTH($BL48)),$BS48/(MONTH($BL48)-MONTH($BK48)+1),"")</f>
        <v>1.7</v>
      </c>
      <c r="CG48" s="80">
        <f>IF(AND(UO_List[[#This Row],[Budget Revue]]="x",$BK48&lt;&gt;"",$BL48&lt;&gt;"",YEAR(BG$3)=YEAR($BK48),MONTH(BG$3)&gt;=MONTH($BK48),MONTH(BG$3)&lt;=MONTH($BL48)),$BS48/(MONTH($BL48)-MONTH($BK48)+1),"")</f>
        <v>1.7</v>
      </c>
      <c r="CH48" s="80" t="str">
        <f>IF(AND(UO_List[[#This Row],[Budget Revue]]="x",$BK48&lt;&gt;"",$BL48&lt;&gt;"",YEAR(BH$3)=YEAR($BK48),MONTH(BH$3)&gt;=MONTH($BK48),MONTH(BH$3)&lt;=MONTH($BL48)),$BS48/(MONTH($BL48)-MONTH($BK48)+1),"")</f>
        <v/>
      </c>
      <c r="CI48" s="80" t="str">
        <f>IF(AND(UO_List[[#This Row],[Budget Revue]]="x",$BK48&lt;&gt;"",$BL48&lt;&gt;"",YEAR(BI$3)=YEAR($BK48),MONTH(BI$3)&gt;=MONTH($BK48),MONTH(BI$3)&lt;=MONTH($BL48)),$BS48/(MONTH($BL48)-MONTH($BK48)+1),"")</f>
        <v/>
      </c>
      <c r="CJ48" s="80" t="str">
        <f>IF(AND(UO_List[[#This Row],[Budget Revue]]="x",$BK48&lt;&gt;"",$BL48&lt;&gt;"",YEAR(BJ$3)=YEAR($BK48),MONTH(BJ$3)&gt;=MONTH($BK48),MONTH(BJ$3)&lt;=MONTH($BL48)),$BS48/(MONTH($BL48)-MONTH($BK48)+1),"")</f>
        <v/>
      </c>
      <c r="CK48" s="80" t="str">
        <f>IF(AND(UO_List[[#This Row],[Budget Revue]]="x",$BK48&lt;&gt;"",$BL48&lt;&gt;"",YEAR(BK$3)=YEAR($BK48),MONTH(BK$3)&gt;=MONTH($BK48),MONTH(BK$3)&lt;=MONTH($BL48)),$BS48/(MONTH($BL48)-MONTH($BK48)+1),"")</f>
        <v/>
      </c>
      <c r="CL48" s="80" t="str">
        <f>IF(AND(UO_List[[#This Row],[Budget Revue]]="x",$BK48&lt;&gt;"",$BL48&lt;&gt;"",YEAR(BL$3)=YEAR($BK48),MONTH(BL$3)&gt;=MONTH($BK48),MONTH(BL$3)&lt;=MONTH($BL48)),$BS48/(MONTH($BL48)-MONTH($BK48)+1),"")</f>
        <v/>
      </c>
      <c r="CM48" s="80" t="str">
        <f>IF(AND(UO_List[[#This Row],[Budget Revue]]="x",$BK48&lt;&gt;"",$BL48&lt;&gt;"",YEAR(BM$3)=YEAR($BK48),MONTH(BM$3)&gt;=MONTH($BK48),MONTH(BM$3)&lt;=MONTH($BL48)),$BS48/(MONTH($BL48)-MONTH($BK48)+1),"")</f>
        <v/>
      </c>
      <c r="CN48" s="75">
        <f>IF(UO_List[[#This Row],[Budget Revue]]="x",SUM(UO_List[[#This Row],[JANVIER]:[DECEMBRE]])-UO_List[[#This Row],[Jours Tech]],"")</f>
        <v>0</v>
      </c>
      <c r="CO48" s="348" t="str">
        <f>IF(AND(UO_List[[#This Row],[Budget Revue]]="x",$BK48&lt;&gt;"",$BL48&lt;&gt;"",YEAR(BO$3)=YEAR($BK48),MONTH(BO$3)&gt;=MONTH($BK48),MONTH(BO$3)&lt;=MONTH($BL48)),UO_List[[#This Row],[Montant TOTAL]]/(MONTH($BL48)-MONTH($BK48)+1),"")</f>
        <v/>
      </c>
      <c r="CP48" s="348" t="str">
        <f>IF(AND(UO_List[[#This Row],[Budget Revue]]="x",$BK48&lt;&gt;"",$BL48&lt;&gt;"",YEAR(BP$3)=YEAR($BK48),MONTH(BP$3)&gt;=MONTH($BK48),MONTH(BP$3)&lt;=MONTH($BL48)),UO_List[[#This Row],[Montant TOTAL]]/(MONTH($BL48)-MONTH($BK48)+1),"")</f>
        <v/>
      </c>
      <c r="CQ48" s="348" t="str">
        <f>IF(AND(UO_List[[#This Row],[Budget Revue]]="x",$BK48&lt;&gt;"",$BL48&lt;&gt;"",YEAR(BQ$3)=YEAR($BK48),MONTH(BQ$3)&gt;=MONTH($BK48),MONTH(BQ$3)&lt;=MONTH($BL48)),UO_List[[#This Row],[Montant TOTAL]]/(MONTH($BL48)-MONTH($BK48)+1),"")</f>
        <v/>
      </c>
      <c r="CR48" s="348">
        <f>IF(AND(UO_List[[#This Row],[Budget Revue]]="x",$BK48&lt;&gt;"",$BL48&lt;&gt;"",YEAR(BR$3)=YEAR($BK48),MONTH(BR$3)&gt;=MONTH($BK48),MONTH(BR$3)&lt;=MONTH($BL48)),UO_List[[#This Row],[Montant TOTAL]]/(MONTH($BL48)-MONTH($BK48)+1),"")</f>
        <v>1123.3333333333333</v>
      </c>
      <c r="CS48" s="348">
        <f>IF(AND(UO_List[[#This Row],[Budget Revue]]="x",$BK48&lt;&gt;"",$BL48&lt;&gt;"",YEAR(BS$3)=YEAR($BK48),MONTH(BS$3)&gt;=MONTH($BK48),MONTH(BS$3)&lt;=MONTH($BL48)),UO_List[[#This Row],[Montant TOTAL]]/(MONTH($BL48)-MONTH($BK48)+1),"")</f>
        <v>1123.3333333333333</v>
      </c>
      <c r="CT48" s="348">
        <f>IF(AND(UO_List[[#This Row],[Budget Revue]]="x",$BK48&lt;&gt;"",$BL48&lt;&gt;"",YEAR(BT$3)=YEAR($BK48),MONTH(BT$3)&gt;=MONTH($BK48),MONTH(BT$3)&lt;=MONTH($BL48)),UO_List[[#This Row],[Montant TOTAL]]/(MONTH($BL48)-MONTH($BK48)+1),"")</f>
        <v>1123.3333333333333</v>
      </c>
      <c r="CU48" s="348" t="str">
        <f>IF(AND(UO_List[[#This Row],[Budget Revue]]="x",$BK48&lt;&gt;"",$BL48&lt;&gt;"",YEAR(BU$3)=YEAR($BK48),MONTH(BU$3)&gt;=MONTH($BK48),MONTH(BU$3)&lt;=MONTH($BL48)),UO_List[[#This Row],[Montant TOTAL]]/(MONTH($BL48)-MONTH($BK48)+1),"")</f>
        <v/>
      </c>
      <c r="CV48" s="348" t="str">
        <f>IF(AND(UO_List[[#This Row],[Budget Revue]]="x",$BK48&lt;&gt;"",$BL48&lt;&gt;"",YEAR(BV$3)=YEAR($BK48),MONTH(BV$3)&gt;=MONTH($BK48),MONTH(BV$3)&lt;=MONTH($BL48)),UO_List[[#This Row],[Montant TOTAL]]/(MONTH($BL48)-MONTH($BK48)+1),"")</f>
        <v/>
      </c>
      <c r="CW48" s="348" t="str">
        <f>IF(AND(UO_List[[#This Row],[Budget Revue]]="x",$BK48&lt;&gt;"",$BL48&lt;&gt;"",YEAR(BW$3)=YEAR($BK48),MONTH(BW$3)&gt;=MONTH($BK48),MONTH(BW$3)&lt;=MONTH($BL48)),UO_List[[#This Row],[Montant TOTAL]]/(MONTH($BL48)-MONTH($BK48)+1),"")</f>
        <v/>
      </c>
      <c r="CX48" s="348" t="str">
        <f>IF(AND(UO_List[[#This Row],[Budget Revue]]="x",$BK48&lt;&gt;"",$BL48&lt;&gt;"",YEAR(BX$3)=YEAR($BK48),MONTH(BX$3)&gt;=MONTH($BK48),MONTH(BX$3)&lt;=MONTH($BL48)),UO_List[[#This Row],[Montant TOTAL]]/(MONTH($BL48)-MONTH($BK48)+1),"")</f>
        <v/>
      </c>
      <c r="CY48" s="348" t="str">
        <f>IF(AND(UO_List[[#This Row],[Budget Revue]]="x",$BK48&lt;&gt;"",$BL48&lt;&gt;"",YEAR(BY$3)=YEAR($BK48),MONTH(BY$3)&gt;=MONTH($BK48),MONTH(BY$3)&lt;=MONTH($BL48)),UO_List[[#This Row],[Montant TOTAL]]/(MONTH($BL48)-MONTH($BK48)+1),"")</f>
        <v/>
      </c>
      <c r="CZ48" s="348" t="str">
        <f>IF(AND(UO_List[[#This Row],[Budget Revue]]="x",$BK48&lt;&gt;"",$BL48&lt;&gt;"",YEAR(BY$3)=YEAR($BK48),MONTH(BY$3)&gt;=MONTH($BK48),MONTH(BY$3)&lt;=MONTH($BL48)),UO_List[[#This Row],[Montant TOTAL]]/(MONTH($BL48)-MONTH($BK48)+1),"")</f>
        <v/>
      </c>
      <c r="DA48" s="348">
        <f>IF(UO_List[[#This Row],[Budget Revue]]="x",SUM(UO_List[[#This Row],[JANVIER2]:[DECEMBRE2]])-UO_List[Montant TOTAL],"")</f>
        <v>0</v>
      </c>
      <c r="DB48" s="517">
        <v>1</v>
      </c>
      <c r="DC48" s="83"/>
      <c r="DD48" s="83"/>
      <c r="DE48" s="83"/>
      <c r="DF48" s="83"/>
      <c r="DG48" s="83"/>
      <c r="DH48" s="83"/>
      <c r="DI48" s="83"/>
      <c r="DJ48" s="83"/>
      <c r="DK48" s="83"/>
      <c r="DL48" s="83"/>
      <c r="DM48" s="83"/>
      <c r="DN48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1</v>
      </c>
      <c r="DO48" s="76">
        <f>IFERROR(UO_List[[#This Row],[Line Total]]-UO_List[[#This Row],[Montant total réceptionné]],"")</f>
        <v>1685</v>
      </c>
      <c r="DP48" s="76">
        <f>IFERROR(UO_List[[#This Row],[Total item réceptionné]]*UO_List[[#This Row],[Unit Price (calcul)]],0)</f>
        <v>1685</v>
      </c>
      <c r="DQ48" s="76">
        <f>UO_List[[#This Row],[Facteur]]-UO_List[[#This Row],[Total item réceptionné]]</f>
        <v>1</v>
      </c>
      <c r="DR48" s="77"/>
      <c r="DS48" s="77"/>
      <c r="DT48" s="158"/>
      <c r="DU48" s="77"/>
    </row>
    <row r="49" spans="27:125" s="74" customFormat="1">
      <c r="AA49" s="192" t="str">
        <f>IFERROR(VLOOKUP(UO_List[[#This Row],[Unique_AIB_ID]],Tableau1[[Unique_AIB_ID]:[Building / Room]],2,FALSE),"")</f>
        <v>C000482017</v>
      </c>
      <c r="AB49" s="189">
        <f>IFERROR(VLOOKUP(UO_List[[#This Row],[Unique_AIB_ID]],UO_Contract!A60:V249,3,TRUE),"")</f>
        <v>0</v>
      </c>
      <c r="AC49" s="188" t="str">
        <f>IFERROR(VLOOKUP(UO_List[[#This Row],[Unique_AIB_ID]],Tableau1[[Unique_AIB_ID]:[Building / Room]],4,FALSE),"")</f>
        <v>WPA - SII - PJOP - Airbus - WD1701094 - Flight and Integration Test CT1705359</v>
      </c>
      <c r="AD49" s="189">
        <f>IFERROR(VLOOKUP(UO_List[[#This Row],[Unique_AIB_ID]],Tableau1[[Unique_AIB_ID]:[Building / Room]],5,FALSE),"")</f>
        <v>0</v>
      </c>
      <c r="AE49" s="189">
        <f>IFERROR(VLOOKUP(UO_List[[#This Row],[Unique_AIB_ID]],Tableau1[[Unique_AIB_ID]:[Building / Room]],6,FALSE),"")</f>
        <v>3</v>
      </c>
      <c r="AF49" s="189" t="str">
        <f>IFERROR(VLOOKUP(UO_List[[#This Row],[Unique_AIB_ID]],Tableau1[[Unique_AIB_ID]:[Building / Room]],7,FALSE),"")</f>
        <v>9 Each of WU_PROP_S[PJE_SII_EVYP_USD_AIRBUS_FR]</v>
      </c>
      <c r="AG49" s="189">
        <f>IFERROR(VLOOKUP(UO_List[[#This Row],[Unique_AIB_ID]],Tableau1[[Unique_AIB_ID]:[Building / Room]],8,FALSE),"")</f>
        <v>9</v>
      </c>
      <c r="AH49" s="190">
        <f>IFERROR(VALUE(VLOOKUP(UO_List[[#This Row],[Unique_AIB_ID]],Tableau1[[Unique_AIB_ID]:[Building / Room]],9,FALSE)),"")</f>
        <v>30240</v>
      </c>
      <c r="AI49" s="189">
        <f>IFERROR(VLOOKUP(UO_List[[#This Row],[Unique_AIB_ID]],Tableau1[[Unique_AIB_ID]:[Building / Room]],10,TRUE),"")</f>
        <v>0</v>
      </c>
      <c r="AJ49" s="191">
        <f>IFERROR(VLOOKUP(UO_List[[#This Row],[Unique_AIB_ID]],Tableau1[[Unique_AIB_ID]:[Building / Room]],11,FALSE),"")</f>
        <v>0</v>
      </c>
      <c r="AK49" s="189">
        <f>IFERROR(VLOOKUP(UO_List[[#This Row],[Unique_AIB_ID]],Tableau1[[Unique_AIB_ID]:[Building / Room]],12,FALSE),"")</f>
        <v>0</v>
      </c>
      <c r="AL49" s="189">
        <f>IFERROR(VLOOKUP(UO_List[[#This Row],[Unique_AIB_ID]],Tableau1[[Unique_AIB_ID]:[Building / Room]],13,FALSE),"")</f>
        <v>0</v>
      </c>
      <c r="AM49" s="183">
        <f>IFERROR(VLOOKUP(UO_List[[#This Row],[Unique_AIB_ID]],Tableau1[[Unique_AIB_ID]:[Building / Room]],14,FALSE),"")</f>
        <v>0</v>
      </c>
      <c r="AN49" s="183">
        <f>IFERROR(VLOOKUP(UO_List[[#This Row],[Unique_AIB_ID]],Tableau1[[Unique_AIB_ID]:[Building / Room]],15,FALSE),"")</f>
        <v>0</v>
      </c>
      <c r="AO49" s="183">
        <f>IFERROR(VLOOKUP(UO_List[[#This Row],[Unique_AIB_ID]],Tableau1[[Unique_AIB_ID]:[Building / Room]],16,FALSE),"")</f>
        <v>0</v>
      </c>
      <c r="AP49" s="183" t="str">
        <f>IFERROR(VLOOKUP(UO_List[[#This Row],[Unique_AIB_ID]],Tableau1[[Unique_AIB_ID]:[Building / Room]],17,FALSE),"")</f>
        <v>0</v>
      </c>
      <c r="AQ49" s="183">
        <f>IFERROR(VLOOKUP(UO_List[[#This Row],[Unique_AIB_ID]],Tableau1[[Unique_AIB_ID]:[Building / Room]],18,FALSE),"")</f>
        <v>0</v>
      </c>
      <c r="AR49" s="183" t="str">
        <f>IFERROR(VLOOKUP(UO_List[[#This Row],[Unique_AIB_ID]],Tableau1[[Unique_AIB_ID]:[Building / Room]],19,FALSE),"")</f>
        <v>03/25/20</v>
      </c>
      <c r="AS49" s="183">
        <f>IFERROR(VLOOKUP(UO_List[[#This Row],[Unique_AIB_ID]],Tableau1[[Unique_AIB_ID]:[Building / Room]],20,FALSE),"")</f>
        <v>0</v>
      </c>
      <c r="AT49" s="183">
        <f>IFERROR(VLOOKUP(UO_List[[#This Row],[Unique_AIB_ID]],Tableau1[[Unique_AIB_ID]:[Building / Room]],21,FALSE),"")</f>
        <v>0</v>
      </c>
      <c r="AU49" s="183" t="str">
        <f>IFERROR(VLOOKUP(UO_List[[#This Row],[Unique_AIB_ID]],Tableau1[[Unique_AIB_ID]:[Building / Room]],22,FALSE),"")</f>
        <v>M24 / B032</v>
      </c>
      <c r="AV49" s="167" t="str">
        <f>IFERROR(VLOOKUP(UO_List[[#This Row],[Unique_AIB_ID]],Tableau1[[Unique_AIB_ID]:[Currency]],23,FALSE),"")</f>
        <v>Q 1 / DD: Current flow - A380</v>
      </c>
      <c r="AW49" s="167">
        <f>IFERROR(IF(ISBLANK(UO_List[[#This Row],[PO Number (Header)]]),"",UO_List[[#This Row],[Line Total]]/UO_List[[#This Row],[Total Item Quantity]]),"")</f>
        <v>3360</v>
      </c>
      <c r="AX49" s="498" t="s">
        <v>872</v>
      </c>
      <c r="AY49" s="167"/>
      <c r="AZ49" s="78" t="s">
        <v>844</v>
      </c>
      <c r="BA49" s="78"/>
      <c r="BB49" s="78"/>
      <c r="BC49" s="78" t="s">
        <v>696</v>
      </c>
      <c r="BD49" s="70" t="s">
        <v>687</v>
      </c>
      <c r="BE49" s="78" t="s">
        <v>687</v>
      </c>
      <c r="BF49" s="106" t="s">
        <v>193</v>
      </c>
      <c r="BG49" s="78"/>
      <c r="BH49" s="78" t="s">
        <v>859</v>
      </c>
      <c r="BI49" s="78"/>
      <c r="BJ49" s="79"/>
      <c r="BK49" s="79"/>
      <c r="BL49" s="79"/>
      <c r="BM49" s="71">
        <v>5</v>
      </c>
      <c r="BN49" s="71">
        <f>IFERROR(UO_List[[#This Row],[Total Item Quantity]]-UO_List[[#This Row],[Facteur]],"")</f>
        <v>4</v>
      </c>
      <c r="BO49" s="349">
        <f>IFERROR(IF(ISBLANK(UO_List[[#This Row],[Id_UO]]),"",SUMPRODUCT(1*(EXACT(UO_List[[#This Row],[Id_UO]],CATALOGUE[Id_WU]))*CATALOGUE[Price $])),"")</f>
        <v>3360</v>
      </c>
      <c r="BP49" s="350">
        <f>IFERROR(UO_List[[#This Row],[Prix unitaire]]*UO_List[[#This Row],[Facteur]],"")</f>
        <v>16800</v>
      </c>
      <c r="BQ49" s="100">
        <f>IFERROR(SUMPRODUCT(1*(EXACT(UO_List[[#This Row],[Id_UO]],CATALOGUE[Id_WU]))*CATALOGUE[Global_Workload_PM_(d)]*UO_List[[#This Row],[Facteur]]),"")</f>
        <v>4.5000000000000018</v>
      </c>
      <c r="BR49" s="286">
        <f>UO_List[[#This Row],[Jours GP]]/jours_an</f>
        <v>2.0833333333333343E-2</v>
      </c>
      <c r="BS49" s="72">
        <f>IFERROR(SUMPRODUCT(1*(EXACT(UO_List[[#This Row],[Id_UO]],CATALOGUE[Id_WU]))*CATALOGUE[Global_Workload_Tech_(d)]*UO_List[[#This Row],[Facteur]]),"")</f>
        <v>25.5</v>
      </c>
      <c r="BT49" s="286">
        <f>UO_List[[#This Row],[Jours Tech]]/jours_an</f>
        <v>0.11805555555555555</v>
      </c>
      <c r="BU49" s="72">
        <f>UO_List[[#This Row],[Jours GP]]+UO_List[[#This Row],[Jours Tech]]</f>
        <v>30</v>
      </c>
      <c r="BV49" s="286">
        <f>UO_List[[#This Row],[ETP GP]]+UO_List[[#This Row],[ETP Tech]]</f>
        <v>0.1388888888888889</v>
      </c>
      <c r="BW49" s="73"/>
      <c r="BX49" s="80"/>
      <c r="BY49" s="462">
        <f>IF(UO_List[[#This Row],[Budget Revue]]="x",UO_List[[#This Row],[Montant TOTAL]],0)</f>
        <v>0</v>
      </c>
      <c r="BZ49" s="80">
        <f>IF(UO_List[[#This Row],[Budget Revue]]="x",UO_List[[#This Row],[Jours Tech]],0)</f>
        <v>0</v>
      </c>
      <c r="CA49" s="80">
        <f>IF(UO_List[[#This Row],[Budget Revue]]="x",UO_List[[#This Row],[Jours GP]],0)</f>
        <v>0</v>
      </c>
      <c r="CB49" s="516" t="str">
        <f>IF(AND(UO_List[[#This Row],[Budget Revue]]="x",$BK49&lt;&gt;"",$BL49&lt;&gt;"",YEAR(BB$3)=YEAR($BK49),MONTH(BB$3)&gt;=MONTH($BK49),MONTH(BB$3)&lt;=MONTH($BL49)),$BS49/(MONTH($BL49)-MONTH($BK49)+1),"")</f>
        <v/>
      </c>
      <c r="CC49" s="80" t="str">
        <f>IF(AND(UO_List[[#This Row],[Budget Revue]]="x",$BK49&lt;&gt;"",$BL49&lt;&gt;"",YEAR(BC$3)=YEAR($BK49),MONTH(BC$3)&gt;=MONTH($BK49),MONTH(BC$3)&lt;=MONTH($BL49)),$BS49/(MONTH($BL49)-MONTH($BK49)+1),"")</f>
        <v/>
      </c>
      <c r="CD49" s="80" t="str">
        <f>IF(AND(UO_List[[#This Row],[Budget Revue]]="x",$BK49&lt;&gt;"",$BL49&lt;&gt;"",YEAR(BD$3)=YEAR($BK49),MONTH(BD$3)&gt;=MONTH($BK49),MONTH(BD$3)&lt;=MONTH($BL49)),$BS49/(MONTH($BL49)-MONTH($BK49)+1),"")</f>
        <v/>
      </c>
      <c r="CE49" s="80" t="str">
        <f>IF(AND(UO_List[[#This Row],[Budget Revue]]="x",$BK49&lt;&gt;"",$BL49&lt;&gt;"",YEAR(BE$3)=YEAR($BK49),MONTH(BE$3)&gt;=MONTH($BK49),MONTH(BE$3)&lt;=MONTH($BL49)),$BS49/(MONTH($BL49)-MONTH($BK49)+1),"")</f>
        <v/>
      </c>
      <c r="CF49" s="80" t="str">
        <f>IF(AND(UO_List[[#This Row],[Budget Revue]]="x",$BK49&lt;&gt;"",$BL49&lt;&gt;"",YEAR(BF$3)=YEAR($BK49),MONTH(BF$3)&gt;=MONTH($BK49),MONTH(BF$3)&lt;=MONTH($BL49)),$BS49/(MONTH($BL49)-MONTH($BK49)+1),"")</f>
        <v/>
      </c>
      <c r="CG49" s="80" t="str">
        <f>IF(AND(UO_List[[#This Row],[Budget Revue]]="x",$BK49&lt;&gt;"",$BL49&lt;&gt;"",YEAR(BG$3)=YEAR($BK49),MONTH(BG$3)&gt;=MONTH($BK49),MONTH(BG$3)&lt;=MONTH($BL49)),$BS49/(MONTH($BL49)-MONTH($BK49)+1),"")</f>
        <v/>
      </c>
      <c r="CH49" s="80" t="str">
        <f>IF(AND(UO_List[[#This Row],[Budget Revue]]="x",$BK49&lt;&gt;"",$BL49&lt;&gt;"",YEAR(BH$3)=YEAR($BK49),MONTH(BH$3)&gt;=MONTH($BK49),MONTH(BH$3)&lt;=MONTH($BL49)),$BS49/(MONTH($BL49)-MONTH($BK49)+1),"")</f>
        <v/>
      </c>
      <c r="CI49" s="80" t="str">
        <f>IF(AND(UO_List[[#This Row],[Budget Revue]]="x",$BK49&lt;&gt;"",$BL49&lt;&gt;"",YEAR(BI$3)=YEAR($BK49),MONTH(BI$3)&gt;=MONTH($BK49),MONTH(BI$3)&lt;=MONTH($BL49)),$BS49/(MONTH($BL49)-MONTH($BK49)+1),"")</f>
        <v/>
      </c>
      <c r="CJ49" s="80" t="str">
        <f>IF(AND(UO_List[[#This Row],[Budget Revue]]="x",$BK49&lt;&gt;"",$BL49&lt;&gt;"",YEAR(BJ$3)=YEAR($BK49),MONTH(BJ$3)&gt;=MONTH($BK49),MONTH(BJ$3)&lt;=MONTH($BL49)),$BS49/(MONTH($BL49)-MONTH($BK49)+1),"")</f>
        <v/>
      </c>
      <c r="CK49" s="80" t="str">
        <f>IF(AND(UO_List[[#This Row],[Budget Revue]]="x",$BK49&lt;&gt;"",$BL49&lt;&gt;"",YEAR(BK$3)=YEAR($BK49),MONTH(BK$3)&gt;=MONTH($BK49),MONTH(BK$3)&lt;=MONTH($BL49)),$BS49/(MONTH($BL49)-MONTH($BK49)+1),"")</f>
        <v/>
      </c>
      <c r="CL49" s="80" t="str">
        <f>IF(AND(UO_List[[#This Row],[Budget Revue]]="x",$BK49&lt;&gt;"",$BL49&lt;&gt;"",YEAR(BL$3)=YEAR($BK49),MONTH(BL$3)&gt;=MONTH($BK49),MONTH(BL$3)&lt;=MONTH($BL49)),$BS49/(MONTH($BL49)-MONTH($BK49)+1),"")</f>
        <v/>
      </c>
      <c r="CM49" s="80" t="str">
        <f>IF(AND(UO_List[[#This Row],[Budget Revue]]="x",$BK49&lt;&gt;"",$BL49&lt;&gt;"",YEAR(BM$3)=YEAR($BK49),MONTH(BM$3)&gt;=MONTH($BK49),MONTH(BM$3)&lt;=MONTH($BL49)),$BS49/(MONTH($BL49)-MONTH($BK49)+1),"")</f>
        <v/>
      </c>
      <c r="CN49" s="75" t="str">
        <f>IF(UO_List[[#This Row],[Budget Revue]]="x",SUM(UO_List[[#This Row],[JANVIER]:[DECEMBRE]])-UO_List[[#This Row],[Jours Tech]],"")</f>
        <v/>
      </c>
      <c r="CO49" s="348" t="str">
        <f>IF(AND(UO_List[[#This Row],[Budget Revue]]="x",$BK49&lt;&gt;"",$BL49&lt;&gt;"",YEAR(BO$3)=YEAR($BK49),MONTH(BO$3)&gt;=MONTH($BK49),MONTH(BO$3)&lt;=MONTH($BL49)),UO_List[[#This Row],[Montant TOTAL]]/(MONTH($BL49)-MONTH($BK49)+1),"")</f>
        <v/>
      </c>
      <c r="CP49" s="348" t="str">
        <f>IF(AND(UO_List[[#This Row],[Budget Revue]]="x",$BK49&lt;&gt;"",$BL49&lt;&gt;"",YEAR(BP$3)=YEAR($BK49),MONTH(BP$3)&gt;=MONTH($BK49),MONTH(BP$3)&lt;=MONTH($BL49)),UO_List[[#This Row],[Montant TOTAL]]/(MONTH($BL49)-MONTH($BK49)+1),"")</f>
        <v/>
      </c>
      <c r="CQ49" s="348" t="str">
        <f>IF(AND(UO_List[[#This Row],[Budget Revue]]="x",$BK49&lt;&gt;"",$BL49&lt;&gt;"",YEAR(BQ$3)=YEAR($BK49),MONTH(BQ$3)&gt;=MONTH($BK49),MONTH(BQ$3)&lt;=MONTH($BL49)),UO_List[[#This Row],[Montant TOTAL]]/(MONTH($BL49)-MONTH($BK49)+1),"")</f>
        <v/>
      </c>
      <c r="CR49" s="348" t="str">
        <f>IF(AND(UO_List[[#This Row],[Budget Revue]]="x",$BK49&lt;&gt;"",$BL49&lt;&gt;"",YEAR(BR$3)=YEAR($BK49),MONTH(BR$3)&gt;=MONTH($BK49),MONTH(BR$3)&lt;=MONTH($BL49)),UO_List[[#This Row],[Montant TOTAL]]/(MONTH($BL49)-MONTH($BK49)+1),"")</f>
        <v/>
      </c>
      <c r="CS49" s="348" t="str">
        <f>IF(AND(UO_List[[#This Row],[Budget Revue]]="x",$BK49&lt;&gt;"",$BL49&lt;&gt;"",YEAR(BS$3)=YEAR($BK49),MONTH(BS$3)&gt;=MONTH($BK49),MONTH(BS$3)&lt;=MONTH($BL49)),UO_List[[#This Row],[Montant TOTAL]]/(MONTH($BL49)-MONTH($BK49)+1),"")</f>
        <v/>
      </c>
      <c r="CT49" s="348" t="str">
        <f>IF(AND(UO_List[[#This Row],[Budget Revue]]="x",$BK49&lt;&gt;"",$BL49&lt;&gt;"",YEAR(BT$3)=YEAR($BK49),MONTH(BT$3)&gt;=MONTH($BK49),MONTH(BT$3)&lt;=MONTH($BL49)),UO_List[[#This Row],[Montant TOTAL]]/(MONTH($BL49)-MONTH($BK49)+1),"")</f>
        <v/>
      </c>
      <c r="CU49" s="348" t="str">
        <f>IF(AND(UO_List[[#This Row],[Budget Revue]]="x",$BK49&lt;&gt;"",$BL49&lt;&gt;"",YEAR(BU$3)=YEAR($BK49),MONTH(BU$3)&gt;=MONTH($BK49),MONTH(BU$3)&lt;=MONTH($BL49)),UO_List[[#This Row],[Montant TOTAL]]/(MONTH($BL49)-MONTH($BK49)+1),"")</f>
        <v/>
      </c>
      <c r="CV49" s="348" t="str">
        <f>IF(AND(UO_List[[#This Row],[Budget Revue]]="x",$BK49&lt;&gt;"",$BL49&lt;&gt;"",YEAR(BV$3)=YEAR($BK49),MONTH(BV$3)&gt;=MONTH($BK49),MONTH(BV$3)&lt;=MONTH($BL49)),UO_List[[#This Row],[Montant TOTAL]]/(MONTH($BL49)-MONTH($BK49)+1),"")</f>
        <v/>
      </c>
      <c r="CW49" s="348" t="str">
        <f>IF(AND(UO_List[[#This Row],[Budget Revue]]="x",$BK49&lt;&gt;"",$BL49&lt;&gt;"",YEAR(BW$3)=YEAR($BK49),MONTH(BW$3)&gt;=MONTH($BK49),MONTH(BW$3)&lt;=MONTH($BL49)),UO_List[[#This Row],[Montant TOTAL]]/(MONTH($BL49)-MONTH($BK49)+1),"")</f>
        <v/>
      </c>
      <c r="CX49" s="348" t="str">
        <f>IF(AND(UO_List[[#This Row],[Budget Revue]]="x",$BK49&lt;&gt;"",$BL49&lt;&gt;"",YEAR(BX$3)=YEAR($BK49),MONTH(BX$3)&gt;=MONTH($BK49),MONTH(BX$3)&lt;=MONTH($BL49)),UO_List[[#This Row],[Montant TOTAL]]/(MONTH($BL49)-MONTH($BK49)+1),"")</f>
        <v/>
      </c>
      <c r="CY49" s="348" t="str">
        <f>IF(AND(UO_List[[#This Row],[Budget Revue]]="x",$BK49&lt;&gt;"",$BL49&lt;&gt;"",YEAR(BY$3)=YEAR($BK49),MONTH(BY$3)&gt;=MONTH($BK49),MONTH(BY$3)&lt;=MONTH($BL49)),UO_List[[#This Row],[Montant TOTAL]]/(MONTH($BL49)-MONTH($BK49)+1),"")</f>
        <v/>
      </c>
      <c r="CZ49" s="348" t="str">
        <f>IF(AND(UO_List[[#This Row],[Budget Revue]]="x",$BK49&lt;&gt;"",$BL49&lt;&gt;"",YEAR(BY$3)=YEAR($BK49),MONTH(BY$3)&gt;=MONTH($BK49),MONTH(BY$3)&lt;=MONTH($BL49)),UO_List[[#This Row],[Montant TOTAL]]/(MONTH($BL49)-MONTH($BK49)+1),"")</f>
        <v/>
      </c>
      <c r="DA49" s="348" t="str">
        <f>IF(UO_List[[#This Row],[Budget Revue]]="x",SUM(UO_List[[#This Row],[JANVIER2]:[DECEMBRE2]])-UO_List[Montant TOTAL],"")</f>
        <v/>
      </c>
      <c r="DB49" s="83"/>
      <c r="DC49" s="83"/>
      <c r="DD49" s="83"/>
      <c r="DE49" s="83"/>
      <c r="DF49" s="83"/>
      <c r="DG49" s="83"/>
      <c r="DH49" s="83"/>
      <c r="DI49" s="83"/>
      <c r="DJ49" s="83"/>
      <c r="DK49" s="83"/>
      <c r="DL49" s="83"/>
      <c r="DM49" s="83"/>
      <c r="DN49" s="76">
        <f>UO_List[[#This Row],[Qté Réception 03/2020]]+UO_List[[#This Row],[Qté Réception 02/2020]]+UO_List[[#This Row],[Qté Réception 00/2020]]+UO_List[[#This Row],[Qté Réception 04/2020]]+UO_List[[#This Row],[Qté Réception 05/2020]]+UO_List[[#This Row],[Qté Réception 06/2020]]+UO_List[[#This Row],[Qté Réception 07/2020]]+UO_List[[#This Row],[Qté Réception 08/2020]]+UO_List[[#This Row],[Qté Réception 09/2020]]+UO_List[[#This Row],[Qté Réception 10/2020]]+UO_List[[#This Row],[Qté Réception 11/2020]]+UO_List[[#This Row],[Qté Réception 12/2020]]</f>
        <v>0</v>
      </c>
      <c r="DO49" s="76">
        <f>IFERROR(UO_List[[#This Row],[Line Total]]-UO_List[[#This Row],[Montant total réceptionné]],"")</f>
        <v>30240</v>
      </c>
      <c r="DP49" s="76">
        <f>IFERROR(UO_List[[#This Row],[Total item réceptionné]]*UO_List[[#This Row],[Unit Price (calcul)]],0)</f>
        <v>0</v>
      </c>
      <c r="DQ49" s="76">
        <f>UO_List[[#This Row],[Facteur]]-UO_List[[#This Row],[Total item réceptionné]]</f>
        <v>5</v>
      </c>
      <c r="DR49" s="77"/>
      <c r="DS49" s="77"/>
      <c r="DT49" s="158"/>
      <c r="DU49" s="77"/>
    </row>
    <row r="50" spans="27:125">
      <c r="AA50" s="77" t="s">
        <v>2</v>
      </c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167"/>
      <c r="AW50" s="167"/>
      <c r="AX50" s="499"/>
      <c r="AY50" s="167"/>
      <c r="AZ50" s="82"/>
      <c r="BA50" s="82"/>
      <c r="BB50" s="82"/>
      <c r="BC50" s="78"/>
      <c r="BD50" s="70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349"/>
      <c r="BP50" s="348">
        <f>SUBTOTAL(9,UO_List[Montant TOTAL])</f>
        <v>751850</v>
      </c>
      <c r="BQ50" s="77">
        <f>SUBTOTAL(9,UO_List[Jours GP])</f>
        <v>201.12000000000006</v>
      </c>
      <c r="BR50" s="77">
        <f>SUBTOTAL(9,UO_List[ETP GP])</f>
        <v>0.93111111111111111</v>
      </c>
      <c r="BS50" s="77">
        <f>SUBTOTAL(9,UO_List[Jours Tech])</f>
        <v>1139.68</v>
      </c>
      <c r="BT50" s="77">
        <f>SUBTOTAL(9,UO_List[ETP Tech])</f>
        <v>5.2762962962962954</v>
      </c>
      <c r="BU50" s="77">
        <f>SUBTOTAL(9,UO_List[Total jour])</f>
        <v>1340.8</v>
      </c>
      <c r="BV50" s="77">
        <f>SUBTOTAL(9,UO_List[ETP Tot])</f>
        <v>6.2074074074074064</v>
      </c>
      <c r="BW50" s="77">
        <f>SUBTOTAL(9,UO_List[Risque])</f>
        <v>0</v>
      </c>
      <c r="BX50" s="77">
        <f>SUBTOTAL(9,UO_List[Budget Revue])</f>
        <v>0</v>
      </c>
      <c r="BY50" s="77">
        <f>SUBTOTAL(9,UO_List[Montant Revue])</f>
        <v>684650</v>
      </c>
      <c r="BZ50" s="77">
        <f>SUBTOTAL(9,UO_List[jrs technique revue])</f>
        <v>1037.68</v>
      </c>
      <c r="CA50" s="77">
        <f>SUBTOTAL(9,UO_List[jrs GP revue])</f>
        <v>183.12000000000006</v>
      </c>
      <c r="CB50" s="77">
        <f>SUBTOTAL(9,UO_List[JANVIER])</f>
        <v>136.79333333333332</v>
      </c>
      <c r="CC50" s="77">
        <f>SUBTOTAL(9,UO_List[FEVRIER])</f>
        <v>136.79333333333332</v>
      </c>
      <c r="CD50" s="77">
        <f>SUBTOTAL(9,UO_List[MARS])</f>
        <v>136.79333333333332</v>
      </c>
      <c r="CE50" s="77">
        <f>SUBTOTAL(9,UO_List[AVRIL])</f>
        <v>197.48333333333329</v>
      </c>
      <c r="CF50" s="77">
        <f>SUBTOTAL(9,UO_List[MAI])</f>
        <v>197.48333333333329</v>
      </c>
      <c r="CG50" s="77">
        <f>SUBTOTAL(9,UO_List[JUIN])</f>
        <v>197.48333333333329</v>
      </c>
      <c r="CH50" s="77">
        <f>SUBTOTAL(9,UO_List[JUILLET])</f>
        <v>0</v>
      </c>
      <c r="CI50" s="77">
        <f>SUBTOTAL(9,UO_List[AOUT])</f>
        <v>0</v>
      </c>
      <c r="CJ50" s="77">
        <f>SUBTOTAL(9,UO_List[SEPTEMBRE])</f>
        <v>0</v>
      </c>
      <c r="CK50" s="77">
        <f>SUBTOTAL(9,UO_List[OCTOBRE])</f>
        <v>0</v>
      </c>
      <c r="CL50" s="77">
        <f>SUBTOTAL(9,UO_List[NOVEMBRE])</f>
        <v>0</v>
      </c>
      <c r="CM50" s="77">
        <f>SUBTOTAL(9,UO_List[DECEMBRE])</f>
        <v>0</v>
      </c>
      <c r="CN50" s="77">
        <f>SUBTOTAL(9,UO_List[verif])</f>
        <v>-34.85</v>
      </c>
      <c r="CO50" s="348">
        <f>SUBTOTAL(9,UO_List[JANVIER2])</f>
        <v>90006.666666666657</v>
      </c>
      <c r="CP50" s="348">
        <f>SUBTOTAL(9,UO_List[FEVRIER2])</f>
        <v>90006.666666666657</v>
      </c>
      <c r="CQ50" s="348">
        <f>SUBTOTAL(9,UO_List[MARS2])</f>
        <v>90006.666666666657</v>
      </c>
      <c r="CR50" s="348">
        <f>SUBTOTAL(9,UO_List[AVRIL2])</f>
        <v>130449.99999999999</v>
      </c>
      <c r="CS50" s="348">
        <f>SUBTOTAL(9,UO_List[MAI2])</f>
        <v>130449.99999999999</v>
      </c>
      <c r="CT50" s="348">
        <f>SUBTOTAL(9,UO_List[JUIN2])</f>
        <v>130449.99999999999</v>
      </c>
      <c r="CU50" s="348">
        <f>SUBTOTAL(9,UO_List[JUILLET2])</f>
        <v>0</v>
      </c>
      <c r="CV50" s="348">
        <f>SUBTOTAL(9,UO_List[AOUT2])</f>
        <v>0</v>
      </c>
      <c r="CW50" s="348">
        <f>SUBTOTAL(9,UO_List[SEPTEMBRE2])</f>
        <v>0</v>
      </c>
      <c r="CX50" s="348">
        <f>SUBTOTAL(9,UO_List[OCTOBRE2])</f>
        <v>0</v>
      </c>
      <c r="CY50" s="348">
        <f>SUBTOTAL(9,UO_List[NOVEMBRE2])</f>
        <v>0</v>
      </c>
      <c r="CZ50" s="348">
        <f>SUBTOTAL(9,UO_List[DECEMBRE2])</f>
        <v>0</v>
      </c>
      <c r="DA50" s="348"/>
      <c r="DB50" s="77">
        <f>SUBTOTAL(9,UO_List[Qté Réception 03/2020])</f>
        <v>112.2</v>
      </c>
      <c r="DC50" s="77">
        <f>SUBTOTAL(9,UO_List[Qté Réception 02/2020])</f>
        <v>0</v>
      </c>
      <c r="DD50" s="77">
        <f>SUBTOTAL(9,UO_List[Qté Réception 00/2020])</f>
        <v>0</v>
      </c>
      <c r="DE50" s="77">
        <f>SUBTOTAL(9,UO_List[Qté Réception 04/2020])</f>
        <v>0</v>
      </c>
      <c r="DF50" s="77">
        <f>SUBTOTAL(9,UO_List[Qté Réception 05/2020])</f>
        <v>0</v>
      </c>
      <c r="DG50" s="77">
        <f>SUBTOTAL(9,UO_List[Qté Réception 06/2020])</f>
        <v>0</v>
      </c>
      <c r="DH50" s="77">
        <f>SUBTOTAL(9,UO_List[Qté Réception 07/2020])</f>
        <v>5</v>
      </c>
      <c r="DI50" s="77">
        <f>SUBTOTAL(9,UO_List[Qté Réception 08/2020])</f>
        <v>15</v>
      </c>
      <c r="DJ50" s="77">
        <f>SUBTOTAL(9,UO_List[Qté Réception 09/2020])</f>
        <v>0</v>
      </c>
      <c r="DK50" s="77">
        <f>SUBTOTAL(9,UO_List[Qté Réception 10/2020])</f>
        <v>0</v>
      </c>
      <c r="DL50" s="77">
        <f>SUBTOTAL(9,UO_List[Qté Réception 11/2020])</f>
        <v>0</v>
      </c>
      <c r="DM50" s="77">
        <f>SUBTOTAL(9,UO_List[Qté Réception 12/2020])</f>
        <v>0</v>
      </c>
      <c r="DN50" s="77">
        <f>SUBTOTAL(9,UO_List[Total item réceptionné])</f>
        <v>132.19999999999999</v>
      </c>
      <c r="DO50" s="77">
        <f>SUBTOTAL(9,UO_List[Montant restant à réceptionner])</f>
        <v>701125</v>
      </c>
      <c r="DP50" s="77">
        <f>SUBTOTAL(9,UO_List[Montant total réceptionné])</f>
        <v>205425</v>
      </c>
      <c r="DQ50" s="77">
        <f>SUBTOTAL(9,UO_List[Total items restant à receptionner])</f>
        <v>292.8</v>
      </c>
      <c r="DR50" s="77"/>
      <c r="DS50" s="77"/>
      <c r="DU50" s="77"/>
    </row>
    <row r="51" spans="27:125">
      <c r="AC51" s="26"/>
      <c r="AV51" s="2"/>
      <c r="AW51" s="13"/>
      <c r="AX51" s="501"/>
      <c r="AY51" s="25"/>
      <c r="AZ51" s="25"/>
      <c r="BA51" s="25"/>
      <c r="BB51" s="13"/>
      <c r="BC51" s="25"/>
      <c r="BG51" s="26"/>
      <c r="BH51" s="26"/>
      <c r="BI51" s="26"/>
      <c r="BJ51" s="26"/>
      <c r="BK51" s="26"/>
      <c r="BL51" s="26"/>
      <c r="BM51" s="26"/>
      <c r="BN51" s="26"/>
      <c r="BY51" s="528">
        <f>UO_List[[#Totals],[Montant Revue]]/1.35</f>
        <v>507148.14814814809</v>
      </c>
      <c r="CB51" s="26"/>
    </row>
    <row r="52" spans="27:125">
      <c r="AQ52" s="25"/>
      <c r="AS52" s="25"/>
    </row>
    <row r="53" spans="27:125">
      <c r="BH53" s="158"/>
    </row>
    <row r="54" spans="27:125">
      <c r="BH54" s="158"/>
      <c r="DN54" t="s">
        <v>1010</v>
      </c>
      <c r="DO54" t="s">
        <v>1008</v>
      </c>
      <c r="DP54">
        <v>119605</v>
      </c>
    </row>
    <row r="55" spans="27:125" s="158" customFormat="1">
      <c r="AC55"/>
      <c r="AD55"/>
      <c r="AE55"/>
      <c r="AF55" s="26"/>
      <c r="AH55"/>
      <c r="AI55" s="26"/>
      <c r="AJ55"/>
      <c r="AK55" s="9"/>
      <c r="AL55" s="9"/>
      <c r="AO55" s="26"/>
      <c r="AP55"/>
      <c r="AQ55"/>
      <c r="AR55"/>
      <c r="AS55"/>
      <c r="AT55"/>
      <c r="AU55" s="23"/>
      <c r="AV55"/>
      <c r="AW55" s="26"/>
      <c r="AX55" s="500"/>
      <c r="AY55" s="26"/>
      <c r="AZ55" s="26"/>
      <c r="BA55" s="26"/>
      <c r="BB55"/>
      <c r="BC55" s="26"/>
      <c r="BD55"/>
      <c r="BE55"/>
      <c r="BF55"/>
      <c r="BG55"/>
      <c r="BI55"/>
      <c r="BJ55"/>
      <c r="BK55"/>
      <c r="BL55"/>
      <c r="BM55"/>
      <c r="BN55"/>
      <c r="CB55"/>
      <c r="CC55"/>
      <c r="CD55"/>
      <c r="CE55"/>
      <c r="CF55"/>
      <c r="CG55"/>
      <c r="CH55"/>
      <c r="CI55"/>
      <c r="CJ55" s="26"/>
      <c r="CK55" s="26"/>
      <c r="CL55" s="26"/>
      <c r="CM55" s="26"/>
      <c r="CN55" s="26"/>
      <c r="CO55" s="26"/>
      <c r="CQ55" s="26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 t="s">
        <v>1010</v>
      </c>
      <c r="DO55" t="s">
        <v>1009</v>
      </c>
      <c r="DP55">
        <f>253810-DP54</f>
        <v>134205</v>
      </c>
      <c r="DQ55"/>
      <c r="DR55"/>
      <c r="DS55"/>
      <c r="DT55"/>
    </row>
    <row r="56" spans="27:125">
      <c r="AC56" s="158"/>
      <c r="AD56" s="158"/>
      <c r="AE56" s="158"/>
      <c r="AF56" s="158"/>
      <c r="AH56" s="158"/>
      <c r="AI56" s="158"/>
      <c r="AJ56" s="158"/>
      <c r="AM56" s="158"/>
      <c r="AO56" s="158"/>
      <c r="AP56" s="158"/>
      <c r="AQ56" s="158"/>
      <c r="AR56" s="158"/>
      <c r="AS56" s="158"/>
      <c r="AT56" s="158"/>
      <c r="AU56" s="158"/>
      <c r="AV56" s="158"/>
      <c r="AW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>
        <v>211960</v>
      </c>
      <c r="BL56" s="493"/>
      <c r="BM56" s="158"/>
      <c r="BN56" s="158"/>
      <c r="CB56" s="158"/>
      <c r="CC56" s="158"/>
      <c r="CD56" s="158"/>
      <c r="CE56" s="158"/>
      <c r="CF56" s="158"/>
      <c r="CG56" s="158"/>
      <c r="CH56" s="158"/>
      <c r="CI56" s="158"/>
      <c r="CJ56" s="158"/>
      <c r="CK56" s="158"/>
      <c r="CL56" s="158"/>
      <c r="CM56" s="158"/>
      <c r="CN56" s="158"/>
      <c r="CO56" s="158"/>
      <c r="CQ56" s="158"/>
      <c r="CR56" s="158"/>
      <c r="CS56" s="158"/>
      <c r="CT56" s="158"/>
      <c r="CU56" s="158"/>
      <c r="CV56" s="158"/>
      <c r="CW56" s="158"/>
      <c r="CX56" s="158"/>
      <c r="CY56" s="158"/>
      <c r="CZ56" s="158"/>
      <c r="DA56" s="158"/>
      <c r="DB56" s="158"/>
      <c r="DC56" s="158"/>
      <c r="DD56" s="158"/>
      <c r="DE56" s="158"/>
      <c r="DF56" s="158"/>
      <c r="DG56" s="158"/>
      <c r="DH56" s="158"/>
      <c r="DI56" s="158"/>
      <c r="DJ56" s="158"/>
      <c r="DK56" s="158"/>
      <c r="DL56" s="158"/>
      <c r="DM56" s="158"/>
      <c r="DN56" s="158" t="s">
        <v>1010</v>
      </c>
      <c r="DO56" s="158" t="s">
        <v>18</v>
      </c>
      <c r="DP56" s="158"/>
      <c r="DQ56" s="158"/>
      <c r="DR56" s="158"/>
      <c r="DS56" s="158"/>
      <c r="DT56" s="158"/>
    </row>
    <row r="57" spans="27:125">
      <c r="AD57" s="158"/>
      <c r="AM57" s="158"/>
      <c r="BH57" s="158"/>
      <c r="BK57" s="158">
        <v>-185080</v>
      </c>
      <c r="BL57" s="493"/>
      <c r="BM57" s="158"/>
    </row>
    <row r="58" spans="27:125">
      <c r="BK58" s="158"/>
      <c r="BL58" s="493"/>
      <c r="BM58" s="158"/>
    </row>
    <row r="59" spans="27:125">
      <c r="AO59" s="158"/>
      <c r="AP59" s="158"/>
      <c r="BK59" s="158"/>
      <c r="BL59" s="158"/>
      <c r="BM59" s="158"/>
    </row>
    <row r="60" spans="27:125">
      <c r="AO60" s="158"/>
      <c r="AP60" s="158"/>
      <c r="BG60" s="158"/>
      <c r="BK60" s="158"/>
      <c r="BL60" s="158"/>
      <c r="BM60" s="158"/>
    </row>
    <row r="61" spans="27:125" s="158" customFormat="1">
      <c r="AC61"/>
      <c r="AD61"/>
      <c r="AE61"/>
      <c r="AF61" s="26"/>
      <c r="AH61"/>
      <c r="AI61" s="26"/>
      <c r="AJ61"/>
      <c r="AK61" s="9"/>
      <c r="AL61" s="9"/>
      <c r="AM61"/>
      <c r="AQ61"/>
      <c r="AR61"/>
      <c r="AS61"/>
      <c r="AT61"/>
      <c r="AU61" s="23"/>
      <c r="AV61"/>
      <c r="AW61" s="26"/>
      <c r="AX61" s="500"/>
      <c r="AY61" s="26"/>
      <c r="AZ61" s="26"/>
      <c r="BA61" s="26"/>
      <c r="BB61"/>
      <c r="BC61" s="26"/>
      <c r="BD61"/>
      <c r="BE61"/>
      <c r="BF61"/>
      <c r="BH61"/>
      <c r="BI61"/>
      <c r="BJ61"/>
      <c r="BN61"/>
      <c r="CB61"/>
      <c r="CC61"/>
      <c r="CD61"/>
      <c r="CE61"/>
      <c r="CF61"/>
      <c r="CG61"/>
      <c r="CH61"/>
      <c r="CI61"/>
      <c r="CJ61" s="26"/>
      <c r="CK61" s="26"/>
      <c r="CL61" s="26"/>
      <c r="CM61" s="26"/>
      <c r="CN61" s="26"/>
      <c r="CO61" s="26"/>
      <c r="CQ61" s="26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</row>
    <row r="62" spans="27:125">
      <c r="AC62" s="158"/>
      <c r="AD62" s="158"/>
      <c r="AE62" s="158"/>
      <c r="AF62" s="158"/>
      <c r="AH62" s="158"/>
      <c r="AI62" s="158"/>
      <c r="AJ62" s="158"/>
      <c r="AM62" s="158"/>
      <c r="AO62" s="158"/>
      <c r="AP62" s="158"/>
      <c r="AQ62" s="158"/>
      <c r="AR62" s="158"/>
      <c r="AS62" s="158"/>
      <c r="AT62" s="158"/>
      <c r="AU62" s="158"/>
      <c r="AV62" s="158"/>
      <c r="AW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Q62" s="158">
        <v>10640</v>
      </c>
      <c r="CB62" s="158"/>
      <c r="CC62" s="158"/>
      <c r="CD62" s="158"/>
      <c r="CE62" s="158"/>
      <c r="CF62" s="158"/>
      <c r="CG62" s="158"/>
      <c r="CH62" s="158"/>
      <c r="CI62" s="158"/>
      <c r="CJ62" s="158"/>
      <c r="CK62" s="158"/>
      <c r="CL62" s="158"/>
      <c r="CM62" s="158"/>
      <c r="CN62" s="158"/>
      <c r="CO62" s="158"/>
      <c r="CQ62" s="158"/>
      <c r="CR62" s="158"/>
      <c r="CS62" s="158"/>
      <c r="CT62" s="158"/>
      <c r="CU62" s="158"/>
      <c r="CV62" s="158"/>
      <c r="CW62" s="158"/>
      <c r="CX62" s="158"/>
      <c r="CY62" s="158"/>
      <c r="CZ62" s="158"/>
      <c r="DA62" s="158"/>
      <c r="DB62" s="158"/>
      <c r="DC62" s="158"/>
      <c r="DD62" s="158"/>
      <c r="DE62" s="158"/>
      <c r="DF62" s="158"/>
      <c r="DG62" s="158"/>
      <c r="DH62" s="158"/>
      <c r="DI62" s="158"/>
      <c r="DJ62" s="158"/>
      <c r="DK62" s="158"/>
      <c r="DL62" s="158"/>
      <c r="DM62" s="158"/>
      <c r="DN62" s="158"/>
      <c r="DO62" s="158"/>
      <c r="DP62" s="158"/>
      <c r="DQ62" s="158"/>
      <c r="DR62" s="158"/>
      <c r="DS62" s="158"/>
      <c r="DT62" s="158"/>
    </row>
    <row r="63" spans="27:125">
      <c r="AO63" s="158"/>
      <c r="AP63" s="158"/>
      <c r="BG63" s="158"/>
      <c r="BK63" s="158"/>
      <c r="BL63" s="158"/>
      <c r="BM63" s="158"/>
      <c r="BQ63" s="158">
        <v>14560</v>
      </c>
    </row>
    <row r="64" spans="27:125">
      <c r="AO64" s="158"/>
      <c r="AP64" s="158"/>
      <c r="BG64" s="158"/>
      <c r="BK64" s="158"/>
      <c r="BL64" s="158"/>
      <c r="BM64" s="158"/>
    </row>
    <row r="65" spans="60:65">
      <c r="BK65" s="158"/>
      <c r="BL65" s="158"/>
      <c r="BM65" s="158"/>
    </row>
    <row r="66" spans="60:65">
      <c r="BH66" s="158"/>
      <c r="BI66" s="158"/>
      <c r="BJ66" s="158"/>
      <c r="BK66" s="158"/>
      <c r="BL66" s="158"/>
      <c r="BM66" s="158"/>
    </row>
    <row r="67" spans="60:65">
      <c r="BK67" s="158"/>
      <c r="BL67" s="158"/>
      <c r="BM67" s="158"/>
    </row>
    <row r="188" spans="5:5"/>
    <row r="205" spans="39:81"/>
    <row r="208" spans="39:81"/>
  </sheetData>
  <conditionalFormatting sqref="CB5:CM49">
    <cfRule type="colorScale" priority="682">
      <colorScale>
        <cfvo type="num" val="0"/>
        <cfvo type="num" val="0"/>
        <color theme="7"/>
        <color theme="7"/>
      </colorScale>
    </cfRule>
  </conditionalFormatting>
  <conditionalFormatting sqref="DO5:DO49">
    <cfRule type="cellIs" dxfId="40" priority="115" operator="lessThan">
      <formula>0</formula>
    </cfRule>
  </conditionalFormatting>
  <conditionalFormatting sqref="BP5:BP49">
    <cfRule type="cellIs" dxfId="39" priority="1175" operator="equal">
      <formula>0</formula>
    </cfRule>
    <cfRule type="cellIs" dxfId="38" priority="1176" operator="notEqual">
      <formula>$AH5</formula>
    </cfRule>
  </conditionalFormatting>
  <conditionalFormatting sqref="BO5:BO49">
    <cfRule type="expression" dxfId="37" priority="1179">
      <formula>AND(NOT(ISBLANK($BO5)),($BO5&lt;&gt;$AW5))</formula>
    </cfRule>
  </conditionalFormatting>
  <conditionalFormatting sqref="DB9:DE10 DG9:DM10 BG18 BA10:BB10 BA14:BB14 BA11:BC13 BF11:BG13 DB11:DM14 DB18:DM18 BA18:BE18 BM18 BG22:BG24 BC19:BD24 BE23:BE24 BW18 BF32:BG33 BF34:BJ48 BO18:BP18 BA32:BE48 BG26:BG29 DB5:DM8 BA5:BG9 BM5:BM14 BW5:BW14 BO5:BP14 AZ5:AZ16 BA22:BB29 BC26:BE29 DB22:DD30 DH22:DM30 BA30:BG31 BA31:BA35 BI22:BJ33 BW22:BW48 BM22:BM48 AZ18:AZ48 BW49:BX49 DB31:DM49 BO22:BP49 BP5:BV49 DN5:DQ49 BN5:BN49 BY5:DA49">
    <cfRule type="expression" dxfId="36" priority="1181">
      <formula>AND(NOT(ISBLANK($BC5)),NOT(EXACT($BA5,"SII")),NOT(ISBLANK($BA5)))</formula>
    </cfRule>
  </conditionalFormatting>
  <conditionalFormatting sqref="BA18 BA5:BA14 BA22:BA48">
    <cfRule type="expression" dxfId="35" priority="1222">
      <formula>AND(ISBLANK($BA5),NOT(ISBLANK($BC5)))</formula>
    </cfRule>
  </conditionalFormatting>
  <conditionalFormatting sqref="BX49">
    <cfRule type="expression" dxfId="34" priority="1223">
      <formula>AND(NOT(EXACT($BA49,"SII")),EXACT($BX49,"x"))</formula>
    </cfRule>
  </conditionalFormatting>
  <conditionalFormatting sqref="DB9:DE10 DG9:DM10 DB5:DM8 DB11:DM18 DB19:DD30 DH19:DM30 DB31:DM49 DN5:DN49">
    <cfRule type="cellIs" dxfId="33" priority="1224" operator="greaterThan">
      <formula>$AG5</formula>
    </cfRule>
  </conditionalFormatting>
  <conditionalFormatting sqref="DP5:DP49">
    <cfRule type="cellIs" dxfId="32" priority="1226" operator="greaterThan">
      <formula>$AH5</formula>
    </cfRule>
  </conditionalFormatting>
  <conditionalFormatting sqref="DF9">
    <cfRule type="expression" dxfId="31" priority="1228">
      <formula>AND(NOT(ISBLANK($BC10)),NOT(EXACT($BA10,"SII")),NOT(ISBLANK($BA10)))</formula>
    </cfRule>
  </conditionalFormatting>
  <conditionalFormatting sqref="DF9">
    <cfRule type="cellIs" dxfId="30" priority="1230" operator="greaterThan">
      <formula>$AG10</formula>
    </cfRule>
  </conditionalFormatting>
  <conditionalFormatting sqref="DF10">
    <cfRule type="expression" dxfId="29" priority="61">
      <formula>AND(NOT(ISBLANK($BC11)),NOT(EXACT($BA11,"SII")),NOT(ISBLANK($BA11)))</formula>
    </cfRule>
  </conditionalFormatting>
  <conditionalFormatting sqref="DF10">
    <cfRule type="cellIs" dxfId="28" priority="62" operator="greaterThan">
      <formula>$AG11</formula>
    </cfRule>
  </conditionalFormatting>
  <conditionalFormatting sqref="BH33">
    <cfRule type="expression" dxfId="27" priority="52">
      <formula>AND(NOT(ISBLANK($BC33)),NOT(EXACT($BA33,"SII")),NOT(ISBLANK($BA33)))</formula>
    </cfRule>
  </conditionalFormatting>
  <conditionalFormatting sqref="BC10:BG10 BD11:BE13">
    <cfRule type="expression" dxfId="26" priority="31">
      <formula>AND(NOT(ISBLANK($BC10)),NOT(EXACT($BA10,"SII")),NOT(ISBLANK($BA10)))</formula>
    </cfRule>
  </conditionalFormatting>
  <conditionalFormatting sqref="BI19:BJ21 BM19:BM21 BA19:BB21 BW19:BW21 BO19:BP21 DB19:DD21 DH19:DM21">
    <cfRule type="expression" dxfId="25" priority="1236">
      <formula>AND(NOT(ISBLANK(#REF!)),NOT(EXACT($BA19,"SII")),NOT(ISBLANK($BA19)))</formula>
    </cfRule>
  </conditionalFormatting>
  <conditionalFormatting sqref="BP37:BP39 BW17 DB17:DM17 BO17:BP17 BM15 BA15:BB15 BW15 DB15:DM15 BO15:BP15">
    <cfRule type="expression" dxfId="24" priority="1238">
      <formula>AND(NOT(ISBLANK($BC19)),NOT(EXACT($BA15,"SII")),NOT(ISBLANK($BA15)))</formula>
    </cfRule>
  </conditionalFormatting>
  <conditionalFormatting sqref="BA19:BA21">
    <cfRule type="expression" dxfId="23" priority="1257">
      <formula>AND(ISBLANK($BA19),NOT(ISBLANK(#REF!)))</formula>
    </cfRule>
  </conditionalFormatting>
  <conditionalFormatting sqref="BG21 BE21:BE22 BC15:BE15 BG19 BE19">
    <cfRule type="expression" dxfId="22" priority="1258">
      <formula>AND(NOT(ISBLANK($BC15)),NOT(EXACT($BA11,"SII")),NOT(ISBLANK($BA11)))</formula>
    </cfRule>
  </conditionalFormatting>
  <conditionalFormatting sqref="BC14:BG14">
    <cfRule type="expression" dxfId="21" priority="30">
      <formula>AND(NOT(ISBLANK($BC14)),NOT(EXACT($BA10,"SII")),NOT(ISBLANK($BA10)))</formula>
    </cfRule>
  </conditionalFormatting>
  <conditionalFormatting sqref="BF15:BG15">
    <cfRule type="expression" dxfId="20" priority="29">
      <formula>AND(NOT(ISBLANK($BC15)),NOT(EXACT($BA11,"SII")),NOT(ISBLANK($BA11)))</formula>
    </cfRule>
  </conditionalFormatting>
  <conditionalFormatting sqref="BM17 AZ17:BG17">
    <cfRule type="expression" dxfId="19" priority="27">
      <formula>AND(NOT(ISBLANK($BC17)),NOT(EXACT($BA17,"SII")),NOT(ISBLANK($BA17)))</formula>
    </cfRule>
  </conditionalFormatting>
  <conditionalFormatting sqref="BA17">
    <cfRule type="expression" dxfId="18" priority="28">
      <formula>AND(ISBLANK($BA17),NOT(ISBLANK($BC17)))</formula>
    </cfRule>
  </conditionalFormatting>
  <conditionalFormatting sqref="BF18:BF24 BF26:BF29">
    <cfRule type="expression" dxfId="17" priority="26">
      <formula>AND(NOT(ISBLANK($BC18)),NOT(EXACT($BA18,"SII")),NOT(ISBLANK($BA18)))</formula>
    </cfRule>
  </conditionalFormatting>
  <conditionalFormatting sqref="BI18">
    <cfRule type="expression" dxfId="16" priority="20">
      <formula>AND(NOT(ISBLANK(#REF!)),NOT(EXACT($BA18,"SII")),NOT(ISBLANK($BA18)))</formula>
    </cfRule>
  </conditionalFormatting>
  <conditionalFormatting sqref="AZ49:BG49 BM49">
    <cfRule type="expression" dxfId="15" priority="12">
      <formula>AND(NOT(ISBLANK($BC49)),NOT(EXACT($BA49,"SII")),NOT(ISBLANK($BA49)))</formula>
    </cfRule>
  </conditionalFormatting>
  <conditionalFormatting sqref="BA49">
    <cfRule type="expression" dxfId="14" priority="13">
      <formula>AND(ISBLANK($BA49),NOT(ISBLANK($BC49)))</formula>
    </cfRule>
  </conditionalFormatting>
  <conditionalFormatting sqref="BF25">
    <cfRule type="expression" dxfId="13" priority="2">
      <formula>AND(NOT(ISBLANK($BC25)),NOT(EXACT($BA25,"SII")),NOT(ISBLANK($BA25)))</formula>
    </cfRule>
  </conditionalFormatting>
  <conditionalFormatting sqref="BC25:BE25">
    <cfRule type="expression" dxfId="12" priority="3">
      <formula>AND(NOT(ISBLANK($BC25)),NOT(EXACT($BA25,"SII")),NOT(ISBLANK($BA25)))</formula>
    </cfRule>
  </conditionalFormatting>
  <conditionalFormatting sqref="BM16 BA16:BB16 BW16 DB16:DM16 BO16:BP16">
    <cfRule type="expression" dxfId="11" priority="1259">
      <formula>AND(NOT(ISBLANK($BC21)),NOT(EXACT($BA16,"SII")),NOT(ISBLANK($BA16)))</formula>
    </cfRule>
  </conditionalFormatting>
  <conditionalFormatting sqref="BA16">
    <cfRule type="expression" dxfId="10" priority="1267">
      <formula>AND(ISBLANK($BA16),NOT(ISBLANK($BC21)))</formula>
    </cfRule>
  </conditionalFormatting>
  <conditionalFormatting sqref="BC16:BF16">
    <cfRule type="expression" dxfId="9" priority="1">
      <formula>AND(NOT(ISBLANK($BC16)),NOT(EXACT($BA16,"SII")),NOT(ISBLANK($BA16)))</formula>
    </cfRule>
  </conditionalFormatting>
  <conditionalFormatting sqref="BA15">
    <cfRule type="expression" dxfId="8" priority="1307">
      <formula>AND(ISBLANK($BA15),NOT(ISBLANK($BC19)))</formula>
    </cfRule>
  </conditionalFormatting>
  <conditionalFormatting sqref="BG20 BE20">
    <cfRule type="expression" dxfId="7" priority="1310">
      <formula>AND(NOT(ISBLANK($BC20)),NOT(EXACT(#REF!,"SII")),NOT(ISBLANK(#REF!)))</formula>
    </cfRule>
  </conditionalFormatting>
  <conditionalFormatting sqref="BP30">
    <cfRule type="expression" dxfId="6" priority="1350">
      <formula>AND(NOT(ISBLANK(#REF!)),NOT(EXACT($BA30,"SII")),NOT(ISBLANK($BA30)))</formula>
    </cfRule>
  </conditionalFormatting>
  <dataValidations count="4">
    <dataValidation showDropDown="1" showInputMessage="1" showErrorMessage="1" sqref="BR4"/>
    <dataValidation type="list" allowBlank="1" showInputMessage="1" showErrorMessage="1" sqref="BU4 BQ4 BS4 BJ19:BJ48">
      <formula1>#REF!</formula1>
    </dataValidation>
    <dataValidation type="list" allowBlank="1" showInputMessage="1" showErrorMessage="1" sqref="DR5:DR49">
      <formula1>"X"</formula1>
    </dataValidation>
    <dataValidation type="list" allowBlank="1" showInputMessage="1" showErrorMessage="1" sqref="BW5:BW49">
      <formula1>"Sure, At Risk, Opportunity, cancelled, reliquat"</formula1>
    </dataValidation>
  </dataValidations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414" r:id="rId4" name="Button 14430">
              <controlPr defaultSize="0" print="0" autoFill="0" autoPict="0" macro="[0]!Lancer_Recherche">
                <anchor moveWithCells="1" sizeWithCells="1">
                  <from>
                    <xdr:col>25</xdr:col>
                    <xdr:colOff>200025</xdr:colOff>
                    <xdr:row>0</xdr:row>
                    <xdr:rowOff>371475</xdr:rowOff>
                  </from>
                  <to>
                    <xdr:col>27</xdr:col>
                    <xdr:colOff>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paramètres!$B$7:$L$7</xm:f>
          </x14:formula1>
          <xm:sqref>AZ49 AZ5:AZ30</xm:sqref>
        </x14:dataValidation>
        <x14:dataValidation type="list" allowBlank="1" showInputMessage="1" showErrorMessage="1">
          <x14:formula1>
            <xm:f>UO_Contract!$A$5:$A$193</xm:f>
          </x14:formula1>
          <xm:sqref>AX5:AX49</xm:sqref>
        </x14:dataValidation>
        <x14:dataValidation type="list" allowBlank="1" showInputMessage="1" showErrorMessage="1">
          <x14:formula1>
            <xm:f>paramètres!$B$9:$P$9</xm:f>
          </x14:formula1>
          <xm:sqref>BG17:BG24 BG5:BG15 BG26:BG49</xm:sqref>
        </x14:dataValidation>
        <x14:dataValidation type="list" allowBlank="1" showInputMessage="1" showErrorMessage="1">
          <x14:formula1>
            <xm:f>Catalogue!$A$2:$A$90</xm:f>
          </x14:formula1>
          <xm:sqref>BC5:BC49</xm:sqref>
        </x14:dataValidation>
        <x14:dataValidation type="list" allowBlank="1" showInputMessage="1" showErrorMessage="1">
          <x14:formula1>
            <xm:f>paramètres!$B$7:$D$7</xm:f>
          </x14:formula1>
          <xm:sqref>AZ31:AZ48</xm:sqref>
        </x14:dataValidation>
        <x14:dataValidation type="list" allowBlank="1" showInputMessage="1" showErrorMessage="1">
          <x14:formula1>
            <xm:f>paramètres!$B$4:$J$4</xm:f>
          </x14:formula1>
          <xm:sqref>BD5:BD49</xm:sqref>
        </x14:dataValidation>
        <x14:dataValidation type="list" allowBlank="1" showInputMessage="1" showErrorMessage="1">
          <x14:formula1>
            <xm:f>paramètres!$B$6:$P$6</xm:f>
          </x14:formula1>
          <xm:sqref>BE5:BE49</xm:sqref>
        </x14:dataValidation>
        <x14:dataValidation type="list" allowBlank="1" showInputMessage="1" showErrorMessage="1">
          <x14:formula1>
            <xm:f>paramètres!$B$5:$P$5</xm:f>
          </x14:formula1>
          <xm:sqref>BF5:BF49</xm:sqref>
        </x14:dataValidation>
        <x14:dataValidation type="list" allowBlank="1" showInputMessage="1" showErrorMessage="1">
          <x14:formula1>
            <xm:f>paramètres!$B$8:$P$8</xm:f>
          </x14:formula1>
          <xm:sqref>BA5:BA49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J50"/>
  <sheetViews>
    <sheetView zoomScale="85" zoomScaleNormal="85" workbookViewId="0">
      <selection activeCell="M16" sqref="M16"/>
    </sheetView>
  </sheetViews>
  <sheetFormatPr baseColWidth="10" defaultRowHeight="15"/>
  <cols>
    <col min="2" max="2" width="23.140625" bestFit="1" customWidth="1"/>
    <col min="3" max="3" width="28.85546875" bestFit="1" customWidth="1"/>
    <col min="8" max="9" width="10.85546875" style="158"/>
    <col min="10" max="10" width="15.42578125" style="4" bestFit="1" customWidth="1"/>
  </cols>
  <sheetData>
    <row r="2" spans="1:9">
      <c r="A2" s="333" t="s">
        <v>728</v>
      </c>
      <c r="B2" s="333" t="s">
        <v>729</v>
      </c>
      <c r="C2" s="333"/>
      <c r="D2" s="333" t="s">
        <v>730</v>
      </c>
      <c r="E2" s="333" t="s">
        <v>14</v>
      </c>
      <c r="F2" s="333" t="s">
        <v>170</v>
      </c>
      <c r="G2" s="333" t="s">
        <v>218</v>
      </c>
      <c r="H2" s="335" t="s">
        <v>648</v>
      </c>
      <c r="I2" s="335" t="s">
        <v>649</v>
      </c>
    </row>
    <row r="3" spans="1:9">
      <c r="A3" s="333" t="s">
        <v>69</v>
      </c>
      <c r="B3" s="333" t="s">
        <v>731</v>
      </c>
      <c r="C3" s="333" t="s">
        <v>732</v>
      </c>
      <c r="D3" s="333" t="s">
        <v>690</v>
      </c>
      <c r="E3" s="333" t="s">
        <v>685</v>
      </c>
      <c r="F3" s="333"/>
      <c r="G3" s="333"/>
      <c r="H3" s="387">
        <v>2340.0599999999995</v>
      </c>
      <c r="I3" s="347">
        <f>SUMIFS(UO_List[jrs technique revue],UO_List[OLGA F6],$D$3,UO_List[WP],$E$3)+SUMIFS(UO_List[jrs GP revue],UO_List[OLGA F6],$D$3,UO_List[WP],$E$3)</f>
        <v>0</v>
      </c>
    </row>
    <row r="4" spans="1:9">
      <c r="A4" s="333" t="s">
        <v>733</v>
      </c>
      <c r="B4" s="333" t="s">
        <v>734</v>
      </c>
      <c r="C4" s="333"/>
      <c r="D4" s="333" t="s">
        <v>690</v>
      </c>
      <c r="E4" s="333" t="s">
        <v>685</v>
      </c>
      <c r="F4" s="333"/>
      <c r="G4" s="333"/>
      <c r="H4" s="387">
        <v>749</v>
      </c>
      <c r="I4" s="347">
        <f>I6+I8</f>
        <v>0</v>
      </c>
    </row>
    <row r="5" spans="1:9">
      <c r="A5" s="333" t="s">
        <v>735</v>
      </c>
      <c r="B5" s="333" t="s">
        <v>736</v>
      </c>
      <c r="C5" s="333" t="s">
        <v>737</v>
      </c>
      <c r="D5" s="333" t="s">
        <v>690</v>
      </c>
      <c r="E5" s="333" t="s">
        <v>685</v>
      </c>
      <c r="F5" s="333"/>
      <c r="G5" s="333"/>
      <c r="H5" s="387">
        <v>2396</v>
      </c>
      <c r="I5" s="347">
        <f>SUMIFS('Capacitaire '!X18:X56,'Capacitaire '!D18:D56,$E$5,'Capacitaire '!H18:H56,$D$5)</f>
        <v>0</v>
      </c>
    </row>
    <row r="6" spans="1:9">
      <c r="A6" s="333" t="s">
        <v>23</v>
      </c>
      <c r="B6" s="333" t="s">
        <v>23</v>
      </c>
      <c r="C6" s="333" t="s">
        <v>738</v>
      </c>
      <c r="D6" s="333" t="s">
        <v>690</v>
      </c>
      <c r="E6" s="333" t="s">
        <v>685</v>
      </c>
      <c r="F6" s="333"/>
      <c r="G6" s="333"/>
      <c r="H6" s="388">
        <v>749</v>
      </c>
      <c r="I6" s="365">
        <f>SUMIFS('Capacitaire '!AB18:AB56,'Capacitaire '!D18:D56,$E$6,'Capacitaire '!H18:H56,$D$6)</f>
        <v>0</v>
      </c>
    </row>
    <row r="7" spans="1:9">
      <c r="A7" s="333" t="s">
        <v>739</v>
      </c>
      <c r="B7" s="333" t="s">
        <v>740</v>
      </c>
      <c r="C7" s="333" t="s">
        <v>741</v>
      </c>
      <c r="D7" s="333" t="s">
        <v>690</v>
      </c>
      <c r="E7" s="333" t="s">
        <v>685</v>
      </c>
      <c r="F7" s="333"/>
      <c r="G7" s="333"/>
      <c r="H7" s="387">
        <v>1591.0599999999995</v>
      </c>
      <c r="I7" s="347">
        <f>I3-I6</f>
        <v>0</v>
      </c>
    </row>
    <row r="8" spans="1:9">
      <c r="A8" s="333" t="s">
        <v>742</v>
      </c>
      <c r="B8" s="333" t="s">
        <v>743</v>
      </c>
      <c r="C8" s="333" t="s">
        <v>744</v>
      </c>
      <c r="D8" s="333" t="s">
        <v>690</v>
      </c>
      <c r="E8" s="333" t="s">
        <v>685</v>
      </c>
      <c r="F8" s="333"/>
      <c r="G8" s="333"/>
      <c r="H8" s="387"/>
      <c r="I8" s="347"/>
    </row>
    <row r="9" spans="1:9">
      <c r="A9" s="333" t="s">
        <v>742</v>
      </c>
      <c r="B9" s="333" t="s">
        <v>745</v>
      </c>
      <c r="C9" s="333"/>
      <c r="D9" s="333" t="s">
        <v>690</v>
      </c>
      <c r="E9" s="333" t="s">
        <v>685</v>
      </c>
      <c r="F9" s="333"/>
      <c r="G9" s="333"/>
      <c r="H9" s="387">
        <v>1647</v>
      </c>
      <c r="I9" s="347">
        <f>SUMIFS('Capacitaire '!Z18:Z56,'Capacitaire '!D18:D56,$E$9,'Capacitaire '!H18:H56,$D$9)</f>
        <v>0</v>
      </c>
    </row>
    <row r="10" spans="1:9">
      <c r="A10" s="333" t="s">
        <v>746</v>
      </c>
      <c r="B10" s="333" t="s">
        <v>747</v>
      </c>
      <c r="C10" s="333" t="s">
        <v>748</v>
      </c>
      <c r="D10" s="333" t="s">
        <v>690</v>
      </c>
      <c r="E10" s="333" t="s">
        <v>685</v>
      </c>
      <c r="F10" s="333"/>
      <c r="G10" s="333"/>
      <c r="H10" s="387">
        <v>2396</v>
      </c>
      <c r="I10" s="347">
        <f>I6+I9</f>
        <v>0</v>
      </c>
    </row>
    <row r="11" spans="1:9">
      <c r="A11" s="334" t="s">
        <v>19</v>
      </c>
      <c r="B11" s="334" t="s">
        <v>749</v>
      </c>
      <c r="C11" s="334" t="s">
        <v>750</v>
      </c>
      <c r="D11" s="334" t="s">
        <v>690</v>
      </c>
      <c r="E11" s="334" t="s">
        <v>685</v>
      </c>
      <c r="F11" s="334"/>
      <c r="G11" s="334"/>
      <c r="H11" s="389">
        <v>-55.940000000000509</v>
      </c>
      <c r="I11" s="334">
        <f>I3-I5</f>
        <v>0</v>
      </c>
    </row>
    <row r="12" spans="1:9">
      <c r="A12" s="334" t="s">
        <v>19</v>
      </c>
      <c r="B12" s="334" t="s">
        <v>751</v>
      </c>
      <c r="C12" s="334"/>
      <c r="D12" s="334" t="s">
        <v>690</v>
      </c>
      <c r="E12" s="334" t="s">
        <v>685</v>
      </c>
      <c r="F12" s="334"/>
      <c r="G12" s="334"/>
      <c r="H12" s="389">
        <v>1591.0599999999995</v>
      </c>
      <c r="I12" s="334">
        <f>I3-I4</f>
        <v>0</v>
      </c>
    </row>
    <row r="13" spans="1:9">
      <c r="A13" s="334" t="s">
        <v>19</v>
      </c>
      <c r="B13" s="334" t="s">
        <v>752</v>
      </c>
      <c r="C13" s="334"/>
      <c r="D13" s="334" t="s">
        <v>690</v>
      </c>
      <c r="E13" s="334" t="s">
        <v>685</v>
      </c>
      <c r="F13" s="334"/>
      <c r="G13" s="334"/>
      <c r="H13" s="389">
        <v>-55.940000000000509</v>
      </c>
      <c r="I13" s="334">
        <f>I3-I10</f>
        <v>0</v>
      </c>
    </row>
    <row r="14" spans="1:9">
      <c r="A14" s="334" t="s">
        <v>19</v>
      </c>
      <c r="B14" s="334" t="s">
        <v>753</v>
      </c>
      <c r="C14" s="334"/>
      <c r="D14" s="334" t="s">
        <v>690</v>
      </c>
      <c r="E14" s="334" t="s">
        <v>685</v>
      </c>
      <c r="F14" s="334"/>
      <c r="G14" s="334"/>
      <c r="H14" s="389">
        <v>1647</v>
      </c>
      <c r="I14" s="334">
        <f>I9-I8</f>
        <v>0</v>
      </c>
    </row>
    <row r="15" spans="1:9">
      <c r="A15" s="333" t="s">
        <v>69</v>
      </c>
      <c r="B15" s="333" t="s">
        <v>731</v>
      </c>
      <c r="C15" s="333" t="s">
        <v>732</v>
      </c>
      <c r="D15" s="333" t="s">
        <v>690</v>
      </c>
      <c r="E15" s="333" t="s">
        <v>686</v>
      </c>
      <c r="F15" s="333" t="s">
        <v>686</v>
      </c>
      <c r="G15" s="333"/>
      <c r="H15" s="387">
        <v>673</v>
      </c>
      <c r="I15" s="347">
        <f>SUMIFS(UO_List[jrs technique revue],UO_List[WP],$E$15,UO_List[Business],$F$15)+SUMIFS(UO_List[jrs GP revue],UO_List[WP],$E$15,UO_List[Business],$F$15)</f>
        <v>0</v>
      </c>
    </row>
    <row r="16" spans="1:9">
      <c r="A16" s="333" t="s">
        <v>733</v>
      </c>
      <c r="B16" s="333" t="s">
        <v>734</v>
      </c>
      <c r="C16" s="333"/>
      <c r="D16" s="333" t="s">
        <v>690</v>
      </c>
      <c r="E16" s="333" t="s">
        <v>686</v>
      </c>
      <c r="F16" s="333" t="s">
        <v>686</v>
      </c>
      <c r="G16" s="333"/>
      <c r="H16" s="387">
        <v>209.5</v>
      </c>
      <c r="I16" s="347">
        <f>I18+I20</f>
        <v>0</v>
      </c>
    </row>
    <row r="17" spans="1:9">
      <c r="A17" s="333" t="s">
        <v>735</v>
      </c>
      <c r="B17" s="333" t="s">
        <v>736</v>
      </c>
      <c r="C17" s="333" t="s">
        <v>737</v>
      </c>
      <c r="D17" s="333" t="s">
        <v>690</v>
      </c>
      <c r="E17" s="333" t="s">
        <v>686</v>
      </c>
      <c r="F17" s="333" t="s">
        <v>686</v>
      </c>
      <c r="G17" s="333"/>
      <c r="H17" s="387">
        <v>682.5</v>
      </c>
      <c r="I17" s="347">
        <v>682.5</v>
      </c>
    </row>
    <row r="18" spans="1:9">
      <c r="A18" s="333" t="s">
        <v>23</v>
      </c>
      <c r="B18" s="333" t="s">
        <v>23</v>
      </c>
      <c r="C18" s="333" t="s">
        <v>738</v>
      </c>
      <c r="D18" s="333" t="s">
        <v>690</v>
      </c>
      <c r="E18" s="333" t="s">
        <v>686</v>
      </c>
      <c r="F18" s="333" t="s">
        <v>686</v>
      </c>
      <c r="G18" s="333"/>
      <c r="H18" s="387">
        <v>209.5</v>
      </c>
      <c r="I18" s="347">
        <f>SUMIFS('Capacitaire '!AB18:AB56,'Capacitaire '!D18:D56,$E$18,'Capacitaire '!H18:H56,$D$18)</f>
        <v>0</v>
      </c>
    </row>
    <row r="19" spans="1:9">
      <c r="A19" s="333" t="s">
        <v>739</v>
      </c>
      <c r="B19" s="333" t="s">
        <v>740</v>
      </c>
      <c r="C19" s="333" t="s">
        <v>741</v>
      </c>
      <c r="D19" s="333" t="s">
        <v>690</v>
      </c>
      <c r="E19" s="333" t="s">
        <v>686</v>
      </c>
      <c r="F19" s="333" t="s">
        <v>686</v>
      </c>
      <c r="G19" s="333"/>
      <c r="H19" s="387">
        <v>463.5</v>
      </c>
      <c r="I19" s="347">
        <f>I15-I18</f>
        <v>0</v>
      </c>
    </row>
    <row r="20" spans="1:9">
      <c r="A20" s="333" t="s">
        <v>742</v>
      </c>
      <c r="B20" s="333" t="s">
        <v>743</v>
      </c>
      <c r="C20" s="333" t="s">
        <v>744</v>
      </c>
      <c r="D20" s="333" t="s">
        <v>690</v>
      </c>
      <c r="E20" s="333" t="s">
        <v>686</v>
      </c>
      <c r="F20" s="333" t="s">
        <v>686</v>
      </c>
      <c r="G20" s="333"/>
      <c r="H20" s="387"/>
      <c r="I20" s="347"/>
    </row>
    <row r="21" spans="1:9">
      <c r="A21" s="333" t="s">
        <v>742</v>
      </c>
      <c r="B21" s="333" t="s">
        <v>745</v>
      </c>
      <c r="C21" s="333"/>
      <c r="D21" s="333" t="s">
        <v>690</v>
      </c>
      <c r="E21" s="333" t="s">
        <v>686</v>
      </c>
      <c r="F21" s="333" t="s">
        <v>686</v>
      </c>
      <c r="G21" s="333"/>
      <c r="H21" s="387">
        <v>395</v>
      </c>
      <c r="I21" s="347">
        <f>SUMIFS('Capacitaire '!Z18:Z56,'Capacitaire '!D18:D56,$E$18,'Capacitaire '!H18:H56,$D$18)</f>
        <v>0</v>
      </c>
    </row>
    <row r="22" spans="1:9">
      <c r="A22" s="333" t="s">
        <v>746</v>
      </c>
      <c r="B22" s="333" t="s">
        <v>747</v>
      </c>
      <c r="C22" s="333" t="s">
        <v>748</v>
      </c>
      <c r="D22" s="333" t="s">
        <v>690</v>
      </c>
      <c r="E22" s="333" t="s">
        <v>686</v>
      </c>
      <c r="F22" s="333" t="s">
        <v>686</v>
      </c>
      <c r="G22" s="333"/>
      <c r="H22" s="387">
        <v>604.5</v>
      </c>
      <c r="I22" s="347">
        <f>I18+I21</f>
        <v>0</v>
      </c>
    </row>
    <row r="23" spans="1:9">
      <c r="A23" s="334" t="s">
        <v>19</v>
      </c>
      <c r="B23" s="334" t="s">
        <v>749</v>
      </c>
      <c r="C23" s="334" t="s">
        <v>750</v>
      </c>
      <c r="D23" s="334" t="s">
        <v>690</v>
      </c>
      <c r="E23" s="334" t="s">
        <v>686</v>
      </c>
      <c r="F23" s="334" t="s">
        <v>686</v>
      </c>
      <c r="G23" s="334"/>
      <c r="H23" s="389">
        <v>-9.5</v>
      </c>
      <c r="I23" s="334">
        <f>I15-I17</f>
        <v>-682.5</v>
      </c>
    </row>
    <row r="24" spans="1:9">
      <c r="A24" s="334" t="s">
        <v>19</v>
      </c>
      <c r="B24" s="334" t="s">
        <v>751</v>
      </c>
      <c r="C24" s="334"/>
      <c r="D24" s="334" t="s">
        <v>690</v>
      </c>
      <c r="E24" s="334" t="s">
        <v>686</v>
      </c>
      <c r="F24" s="334" t="s">
        <v>686</v>
      </c>
      <c r="G24" s="334"/>
      <c r="H24" s="389">
        <v>463.5</v>
      </c>
      <c r="I24" s="334">
        <f>I15-I16</f>
        <v>0</v>
      </c>
    </row>
    <row r="25" spans="1:9">
      <c r="A25" s="334" t="s">
        <v>19</v>
      </c>
      <c r="B25" s="334" t="s">
        <v>752</v>
      </c>
      <c r="C25" s="334"/>
      <c r="D25" s="334" t="s">
        <v>690</v>
      </c>
      <c r="E25" s="334" t="s">
        <v>686</v>
      </c>
      <c r="F25" s="334" t="s">
        <v>686</v>
      </c>
      <c r="G25" s="334"/>
      <c r="H25" s="389">
        <v>68.5</v>
      </c>
      <c r="I25" s="334">
        <f>I15-I22</f>
        <v>0</v>
      </c>
    </row>
    <row r="26" spans="1:9">
      <c r="A26" s="334" t="s">
        <v>19</v>
      </c>
      <c r="B26" s="334" t="s">
        <v>753</v>
      </c>
      <c r="C26" s="334"/>
      <c r="D26" s="334" t="s">
        <v>690</v>
      </c>
      <c r="E26" s="334" t="s">
        <v>686</v>
      </c>
      <c r="F26" s="334" t="s">
        <v>686</v>
      </c>
      <c r="G26" s="334"/>
      <c r="H26" s="389">
        <v>395</v>
      </c>
      <c r="I26" s="334">
        <f>I21-I20</f>
        <v>0</v>
      </c>
    </row>
    <row r="27" spans="1:9">
      <c r="A27" s="333" t="s">
        <v>69</v>
      </c>
      <c r="B27" s="333" t="s">
        <v>731</v>
      </c>
      <c r="C27" s="333" t="s">
        <v>732</v>
      </c>
      <c r="D27" s="333" t="s">
        <v>690</v>
      </c>
      <c r="E27" s="333" t="s">
        <v>2</v>
      </c>
      <c r="F27" s="333"/>
      <c r="G27" s="333"/>
      <c r="H27" s="387">
        <v>3013.059999999999</v>
      </c>
      <c r="I27" s="347">
        <f>SUMIFS(UO_List[jrs technique revue],UO_List[OLGA F6],$D$27)+SUMIFS(UO_List[jrs GP revue],UO_List[OLGA F6],$D$27)</f>
        <v>0</v>
      </c>
    </row>
    <row r="28" spans="1:9">
      <c r="A28" s="333" t="s">
        <v>733</v>
      </c>
      <c r="B28" s="333" t="s">
        <v>734</v>
      </c>
      <c r="C28" s="333"/>
      <c r="D28" s="333" t="s">
        <v>690</v>
      </c>
      <c r="E28" s="333" t="s">
        <v>2</v>
      </c>
      <c r="F28" s="333"/>
      <c r="G28" s="333"/>
      <c r="H28" s="387">
        <v>958.5</v>
      </c>
      <c r="I28" s="347">
        <f>I30+I32</f>
        <v>0</v>
      </c>
    </row>
    <row r="29" spans="1:9">
      <c r="A29" s="333" t="s">
        <v>735</v>
      </c>
      <c r="B29" s="333" t="s">
        <v>736</v>
      </c>
      <c r="C29" s="333" t="s">
        <v>737</v>
      </c>
      <c r="D29" s="333" t="s">
        <v>690</v>
      </c>
      <c r="E29" s="333" t="s">
        <v>2</v>
      </c>
      <c r="F29" s="333"/>
      <c r="G29" s="333"/>
      <c r="H29" s="387">
        <v>3000.5</v>
      </c>
      <c r="I29" s="347">
        <f>SUMIFS('Capacitaire '!X18:X56,'Capacitaire '!H18:H56,D29)</f>
        <v>0</v>
      </c>
    </row>
    <row r="30" spans="1:9">
      <c r="A30" s="333" t="s">
        <v>23</v>
      </c>
      <c r="B30" s="333" t="s">
        <v>23</v>
      </c>
      <c r="C30" s="333" t="s">
        <v>738</v>
      </c>
      <c r="D30" s="333" t="s">
        <v>690</v>
      </c>
      <c r="E30" s="333" t="s">
        <v>2</v>
      </c>
      <c r="F30" s="333"/>
      <c r="G30" s="333"/>
      <c r="H30" s="387">
        <v>958.5</v>
      </c>
      <c r="I30" s="347">
        <f>SUMIFS('Capacitaire '!AB18:AB56,'Capacitaire '!H18:H56,D30)</f>
        <v>0</v>
      </c>
    </row>
    <row r="31" spans="1:9">
      <c r="A31" s="333" t="s">
        <v>739</v>
      </c>
      <c r="B31" s="333" t="s">
        <v>740</v>
      </c>
      <c r="C31" s="333" t="s">
        <v>741</v>
      </c>
      <c r="D31" s="333" t="s">
        <v>690</v>
      </c>
      <c r="E31" s="333" t="s">
        <v>2</v>
      </c>
      <c r="F31" s="333"/>
      <c r="G31" s="333"/>
      <c r="H31" s="387">
        <v>2054.559999999999</v>
      </c>
      <c r="I31" s="347">
        <f>I27-I30</f>
        <v>0</v>
      </c>
    </row>
    <row r="32" spans="1:9">
      <c r="A32" s="333" t="s">
        <v>742</v>
      </c>
      <c r="B32" s="333" t="s">
        <v>743</v>
      </c>
      <c r="C32" s="333" t="s">
        <v>744</v>
      </c>
      <c r="D32" s="333" t="s">
        <v>690</v>
      </c>
      <c r="E32" s="333" t="s">
        <v>2</v>
      </c>
      <c r="F32" s="333"/>
      <c r="G32" s="333"/>
      <c r="H32" s="387"/>
      <c r="I32" s="347"/>
    </row>
    <row r="33" spans="1:10">
      <c r="A33" s="333" t="s">
        <v>742</v>
      </c>
      <c r="B33" s="333" t="s">
        <v>745</v>
      </c>
      <c r="C33" s="333"/>
      <c r="D33" s="333" t="s">
        <v>690</v>
      </c>
      <c r="E33" s="333" t="s">
        <v>2</v>
      </c>
      <c r="F33" s="333"/>
      <c r="G33" s="333"/>
      <c r="H33" s="387">
        <v>2042</v>
      </c>
      <c r="I33" s="347">
        <f>SUMIFS('Capacitaire '!Z18:Z56,'Capacitaire '!H18:H56,D30)</f>
        <v>0</v>
      </c>
    </row>
    <row r="34" spans="1:10">
      <c r="A34" s="333" t="s">
        <v>746</v>
      </c>
      <c r="B34" s="333" t="s">
        <v>747</v>
      </c>
      <c r="C34" s="333" t="s">
        <v>748</v>
      </c>
      <c r="D34" s="333" t="s">
        <v>690</v>
      </c>
      <c r="E34" s="333" t="s">
        <v>2</v>
      </c>
      <c r="F34" s="333"/>
      <c r="G34" s="333"/>
      <c r="H34" s="387"/>
      <c r="I34" s="347"/>
    </row>
    <row r="35" spans="1:10">
      <c r="A35" s="334" t="s">
        <v>19</v>
      </c>
      <c r="B35" s="334" t="s">
        <v>749</v>
      </c>
      <c r="C35" s="334" t="s">
        <v>750</v>
      </c>
      <c r="D35" s="334" t="s">
        <v>690</v>
      </c>
      <c r="E35" s="334" t="s">
        <v>2</v>
      </c>
      <c r="F35" s="334"/>
      <c r="G35" s="334"/>
      <c r="H35" s="389">
        <v>12.559999999999036</v>
      </c>
      <c r="I35" s="334">
        <f>I27-I29</f>
        <v>0</v>
      </c>
    </row>
    <row r="36" spans="1:10">
      <c r="A36" s="334" t="s">
        <v>19</v>
      </c>
      <c r="B36" s="334" t="s">
        <v>751</v>
      </c>
      <c r="C36" s="334"/>
      <c r="D36" s="334" t="s">
        <v>690</v>
      </c>
      <c r="E36" s="334" t="s">
        <v>2</v>
      </c>
      <c r="F36" s="334"/>
      <c r="G36" s="334"/>
      <c r="H36" s="389">
        <v>2054.559999999999</v>
      </c>
      <c r="I36" s="334">
        <f>I27-I28</f>
        <v>0</v>
      </c>
    </row>
    <row r="37" spans="1:10">
      <c r="A37" s="334" t="s">
        <v>19</v>
      </c>
      <c r="B37" s="334" t="s">
        <v>752</v>
      </c>
      <c r="C37" s="334"/>
      <c r="D37" s="334" t="s">
        <v>690</v>
      </c>
      <c r="E37" s="334" t="s">
        <v>2</v>
      </c>
      <c r="F37" s="334"/>
      <c r="G37" s="334"/>
      <c r="H37" s="389">
        <v>3013.059999999999</v>
      </c>
      <c r="I37" s="334">
        <f>I27-I34</f>
        <v>0</v>
      </c>
    </row>
    <row r="38" spans="1:10">
      <c r="A38" s="334" t="s">
        <v>19</v>
      </c>
      <c r="B38" s="334" t="s">
        <v>753</v>
      </c>
      <c r="C38" s="334"/>
      <c r="D38" s="334" t="s">
        <v>690</v>
      </c>
      <c r="E38" s="334" t="s">
        <v>2</v>
      </c>
      <c r="F38" s="334"/>
      <c r="G38" s="334"/>
      <c r="H38" s="389">
        <v>2042</v>
      </c>
      <c r="I38" s="334">
        <f>I33-I32</f>
        <v>0</v>
      </c>
    </row>
    <row r="39" spans="1:10">
      <c r="A39" s="333" t="s">
        <v>69</v>
      </c>
      <c r="B39" s="333" t="s">
        <v>731</v>
      </c>
      <c r="C39" s="333" t="s">
        <v>732</v>
      </c>
      <c r="D39" s="333" t="s">
        <v>691</v>
      </c>
      <c r="E39" s="333"/>
      <c r="F39" s="333"/>
      <c r="G39" s="333"/>
      <c r="H39" s="390">
        <v>1106.5801999999996</v>
      </c>
      <c r="I39" s="347">
        <f>SUMIFS(UO_List[jrs technique revue],UO_List[OLGA F6],$D$39)+SUMIFS(UO_List[jrs GP revue],UO_List[OLGA F6],$D$39)</f>
        <v>0</v>
      </c>
      <c r="J39" s="4" t="s">
        <v>782</v>
      </c>
    </row>
    <row r="40" spans="1:10">
      <c r="A40" s="333" t="s">
        <v>733</v>
      </c>
      <c r="B40" s="333" t="s">
        <v>734</v>
      </c>
      <c r="C40" s="333" t="s">
        <v>754</v>
      </c>
      <c r="D40" s="333" t="s">
        <v>691</v>
      </c>
      <c r="E40" s="333"/>
      <c r="F40" s="333"/>
      <c r="G40" s="333"/>
      <c r="H40" s="387">
        <v>1187</v>
      </c>
      <c r="I40" s="347">
        <f>I42+I44</f>
        <v>709</v>
      </c>
    </row>
    <row r="41" spans="1:10">
      <c r="A41" s="333" t="s">
        <v>735</v>
      </c>
      <c r="B41" s="333" t="s">
        <v>736</v>
      </c>
      <c r="C41" s="333" t="s">
        <v>737</v>
      </c>
      <c r="D41" s="333" t="s">
        <v>691</v>
      </c>
      <c r="E41" s="333"/>
      <c r="F41" s="333"/>
      <c r="G41" s="333"/>
      <c r="H41" s="390">
        <v>1152.5</v>
      </c>
      <c r="I41" s="347">
        <f>SUMIFS('Capacitaire '!X18:X56,'Capacitaire '!H18:H56,D41)</f>
        <v>0</v>
      </c>
      <c r="J41" s="4" t="s">
        <v>782</v>
      </c>
    </row>
    <row r="42" spans="1:10">
      <c r="A42" s="333" t="s">
        <v>23</v>
      </c>
      <c r="B42" s="333" t="s">
        <v>23</v>
      </c>
      <c r="C42" s="333" t="s">
        <v>738</v>
      </c>
      <c r="D42" s="333" t="s">
        <v>691</v>
      </c>
      <c r="E42" s="333"/>
      <c r="F42" s="333"/>
      <c r="G42" s="333"/>
      <c r="H42" s="390">
        <v>478</v>
      </c>
      <c r="I42" s="347">
        <f>SUMIFS('Capacitaire '!AB18:AB56,'Capacitaire '!H18:H56,D42)</f>
        <v>0</v>
      </c>
      <c r="J42" s="4" t="s">
        <v>782</v>
      </c>
    </row>
    <row r="43" spans="1:10">
      <c r="A43" s="333" t="s">
        <v>739</v>
      </c>
      <c r="B43" s="333" t="s">
        <v>740</v>
      </c>
      <c r="C43" s="333" t="s">
        <v>741</v>
      </c>
      <c r="D43" s="333" t="s">
        <v>691</v>
      </c>
      <c r="E43" s="333"/>
      <c r="F43" s="333"/>
      <c r="G43" s="333"/>
      <c r="H43" s="387">
        <v>628.58019999999965</v>
      </c>
      <c r="I43" s="347">
        <f>I39-I42</f>
        <v>0</v>
      </c>
    </row>
    <row r="44" spans="1:10">
      <c r="A44" s="333" t="s">
        <v>742</v>
      </c>
      <c r="B44" s="333" t="s">
        <v>743</v>
      </c>
      <c r="C44" s="333" t="s">
        <v>744</v>
      </c>
      <c r="D44" s="333" t="s">
        <v>691</v>
      </c>
      <c r="E44" s="333"/>
      <c r="F44" s="333"/>
      <c r="G44" s="333"/>
      <c r="H44" s="387">
        <v>709</v>
      </c>
      <c r="I44" s="347">
        <v>709</v>
      </c>
    </row>
    <row r="45" spans="1:10">
      <c r="A45" s="333" t="s">
        <v>742</v>
      </c>
      <c r="B45" s="333" t="s">
        <v>745</v>
      </c>
      <c r="C45" s="333"/>
      <c r="D45" s="333" t="s">
        <v>691</v>
      </c>
      <c r="E45" s="333"/>
      <c r="F45" s="333"/>
      <c r="G45" s="333"/>
      <c r="H45" s="390">
        <v>674.5</v>
      </c>
      <c r="I45" s="347">
        <f>SUMIFS('Capacitaire '!Z18:Z56,'Capacitaire '!H18:H56,D42)</f>
        <v>0</v>
      </c>
      <c r="J45" s="4" t="s">
        <v>782</v>
      </c>
    </row>
    <row r="46" spans="1:10">
      <c r="A46" s="333" t="s">
        <v>746</v>
      </c>
      <c r="B46" s="333" t="s">
        <v>747</v>
      </c>
      <c r="C46" s="333" t="s">
        <v>748</v>
      </c>
      <c r="D46" s="333" t="s">
        <v>691</v>
      </c>
      <c r="E46" s="333"/>
      <c r="F46" s="333"/>
      <c r="G46" s="333"/>
      <c r="H46" s="390">
        <v>1152.5</v>
      </c>
      <c r="I46" s="347">
        <f>I42+I45</f>
        <v>0</v>
      </c>
      <c r="J46" s="4" t="s">
        <v>782</v>
      </c>
    </row>
    <row r="47" spans="1:10">
      <c r="A47" s="334" t="s">
        <v>19</v>
      </c>
      <c r="B47" s="334" t="s">
        <v>749</v>
      </c>
      <c r="C47" s="334" t="s">
        <v>750</v>
      </c>
      <c r="D47" s="334" t="s">
        <v>691</v>
      </c>
      <c r="E47" s="334"/>
      <c r="F47" s="334"/>
      <c r="G47" s="334"/>
      <c r="H47" s="389">
        <v>-45.91980000000035</v>
      </c>
      <c r="I47" s="334">
        <f>I39-I41</f>
        <v>0</v>
      </c>
    </row>
    <row r="48" spans="1:10">
      <c r="A48" s="334" t="s">
        <v>19</v>
      </c>
      <c r="B48" s="334" t="s">
        <v>751</v>
      </c>
      <c r="C48" s="334"/>
      <c r="D48" s="334" t="s">
        <v>691</v>
      </c>
      <c r="E48" s="334"/>
      <c r="F48" s="334"/>
      <c r="G48" s="334"/>
      <c r="H48" s="389">
        <v>-80.41980000000035</v>
      </c>
      <c r="I48" s="334">
        <f>I39-I40</f>
        <v>-709</v>
      </c>
    </row>
    <row r="49" spans="1:9">
      <c r="A49" s="334" t="s">
        <v>19</v>
      </c>
      <c r="B49" s="334" t="s">
        <v>752</v>
      </c>
      <c r="C49" s="334"/>
      <c r="D49" s="334" t="s">
        <v>691</v>
      </c>
      <c r="E49" s="334"/>
      <c r="F49" s="334"/>
      <c r="G49" s="334"/>
      <c r="H49" s="389">
        <v>-45.91980000000035</v>
      </c>
      <c r="I49" s="334">
        <f>I39-I46</f>
        <v>0</v>
      </c>
    </row>
    <row r="50" spans="1:9">
      <c r="A50" s="334" t="s">
        <v>19</v>
      </c>
      <c r="B50" s="334" t="s">
        <v>753</v>
      </c>
      <c r="C50" s="334"/>
      <c r="D50" s="334" t="s">
        <v>691</v>
      </c>
      <c r="E50" s="334"/>
      <c r="F50" s="334"/>
      <c r="G50" s="334"/>
      <c r="H50" s="389">
        <v>-34.5</v>
      </c>
      <c r="I50" s="334">
        <f>I45-I44</f>
        <v>-709</v>
      </c>
    </row>
  </sheetData>
  <autoFilter ref="A2:I50"/>
  <conditionalFormatting sqref="I35:I38 I11:I14 I23:I26 I47:I50">
    <cfRule type="iconSet" priority="6">
      <iconSet iconSet="3TrafficLights2">
        <cfvo type="percent" val="0"/>
        <cfvo type="num" val="-5"/>
        <cfvo type="num" val="10"/>
      </iconSet>
    </cfRule>
  </conditionalFormatting>
  <conditionalFormatting sqref="H35:H38 H11:H14 H23:H26 H47:H50">
    <cfRule type="iconSet" priority="1">
      <iconSet iconSet="3TrafficLights2">
        <cfvo type="percent" val="0"/>
        <cfvo type="num" val="-5"/>
        <cfvo type="num" val="10"/>
      </iconSet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'R:\DO\DELIVERY\2018-2019\AIRBUS\3173 - EVYP - Adrien Lunes\Suivi_Operation\00-travail\[Macro-pilotage  EVYP 2018_v3.1.1_DEUX DEVISES v0.2_12.xlsx]paramètres'!#REF!</xm:f>
          </x14:formula1>
          <xm:sqref>G3:G14</xm:sqref>
        </x14:dataValidation>
        <x14:dataValidation type="list" allowBlank="1" showInputMessage="1" showErrorMessage="1">
          <x14:formula1>
            <xm:f>'R:\DO\DELIVERY\2018-2019\AIRBUS\3173 - EVYP - Adrien Lunes\Suivi_Operation\00-travail\[Macro-pilotage  EVYP 2018_v3.1.1_DEUX DEVISES v0.2_12.xlsx]paramètres'!#REF!</xm:f>
          </x14:formula1>
          <xm:sqref>F3:F26 E3:E38</xm:sqref>
        </x14:dataValidation>
        <x14:dataValidation type="list" allowBlank="1" showInputMessage="1" showErrorMessage="1">
          <x14:formula1>
            <xm:f>paramètres!$B$7:$C$7</xm:f>
          </x14:formula1>
          <xm:sqref>D3:D50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-0.499984740745262"/>
  </sheetPr>
  <dimension ref="B3:R249"/>
  <sheetViews>
    <sheetView topLeftCell="A226" workbookViewId="0">
      <selection activeCell="C22" sqref="C22"/>
    </sheetView>
  </sheetViews>
  <sheetFormatPr baseColWidth="10" defaultRowHeight="15"/>
  <cols>
    <col min="2" max="2" width="26" bestFit="1" customWidth="1"/>
    <col min="3" max="3" width="22.42578125" bestFit="1" customWidth="1"/>
    <col min="4" max="7" width="7" bestFit="1" customWidth="1"/>
    <col min="8" max="8" width="8" bestFit="1" customWidth="1"/>
    <col min="9" max="9" width="11" bestFit="1" customWidth="1"/>
    <col min="10" max="10" width="7" bestFit="1" customWidth="1"/>
    <col min="11" max="11" width="8" bestFit="1" customWidth="1"/>
    <col min="12" max="13" width="7" bestFit="1" customWidth="1"/>
    <col min="14" max="14" width="8" bestFit="1" customWidth="1"/>
    <col min="15" max="17" width="7" bestFit="1" customWidth="1"/>
    <col min="18" max="18" width="12" bestFit="1" customWidth="1"/>
  </cols>
  <sheetData>
    <row r="3" spans="2:18">
      <c r="B3" s="174" t="s">
        <v>623</v>
      </c>
      <c r="C3" s="174" t="s">
        <v>212</v>
      </c>
    </row>
    <row r="4" spans="2:18">
      <c r="B4" s="174" t="s">
        <v>205</v>
      </c>
      <c r="C4" s="158" t="s">
        <v>277</v>
      </c>
      <c r="D4" s="158" t="s">
        <v>251</v>
      </c>
      <c r="E4" s="158" t="s">
        <v>255</v>
      </c>
      <c r="F4" s="158" t="s">
        <v>282</v>
      </c>
      <c r="G4" s="158" t="s">
        <v>281</v>
      </c>
      <c r="H4" s="158" t="s">
        <v>284</v>
      </c>
      <c r="I4" s="158" t="s">
        <v>341</v>
      </c>
      <c r="J4" s="158" t="s">
        <v>313</v>
      </c>
      <c r="K4" s="158" t="s">
        <v>287</v>
      </c>
      <c r="L4" s="158" t="s">
        <v>370</v>
      </c>
      <c r="M4" s="158" t="s">
        <v>290</v>
      </c>
      <c r="N4" s="158" t="s">
        <v>260</v>
      </c>
      <c r="O4" s="158" t="s">
        <v>264</v>
      </c>
      <c r="P4" s="158" t="s">
        <v>299</v>
      </c>
      <c r="Q4" s="158" t="s">
        <v>335</v>
      </c>
      <c r="R4" s="158" t="s">
        <v>207</v>
      </c>
    </row>
    <row r="5" spans="2:18">
      <c r="B5" s="176" t="s">
        <v>582</v>
      </c>
      <c r="C5" s="175"/>
      <c r="D5" s="175"/>
      <c r="E5" s="175"/>
      <c r="F5" s="175"/>
      <c r="G5" s="175"/>
      <c r="H5" s="175">
        <v>4.75</v>
      </c>
      <c r="I5" s="175">
        <v>19</v>
      </c>
      <c r="J5" s="175">
        <v>16.75</v>
      </c>
      <c r="K5" s="175">
        <v>17</v>
      </c>
      <c r="L5" s="175">
        <v>20</v>
      </c>
      <c r="M5" s="175">
        <v>17</v>
      </c>
      <c r="N5" s="175">
        <v>18</v>
      </c>
      <c r="O5" s="175">
        <v>21</v>
      </c>
      <c r="P5" s="175">
        <v>19</v>
      </c>
      <c r="Q5" s="175">
        <v>3</v>
      </c>
      <c r="R5" s="175">
        <v>155.5</v>
      </c>
    </row>
    <row r="6" spans="2:18">
      <c r="B6" s="181" t="s">
        <v>235</v>
      </c>
      <c r="C6" s="175"/>
      <c r="D6" s="175"/>
      <c r="E6" s="175"/>
      <c r="F6" s="175"/>
      <c r="G6" s="175"/>
      <c r="H6" s="175">
        <v>4.75</v>
      </c>
      <c r="I6" s="175">
        <v>19</v>
      </c>
      <c r="J6" s="175">
        <v>16.75</v>
      </c>
      <c r="K6" s="175">
        <v>17</v>
      </c>
      <c r="L6" s="175">
        <v>20</v>
      </c>
      <c r="M6" s="175">
        <v>17</v>
      </c>
      <c r="N6" s="175">
        <v>18</v>
      </c>
      <c r="O6" s="175">
        <v>21</v>
      </c>
      <c r="P6" s="175">
        <v>19</v>
      </c>
      <c r="Q6" s="175">
        <v>3</v>
      </c>
      <c r="R6" s="175">
        <v>155.5</v>
      </c>
    </row>
    <row r="7" spans="2:18">
      <c r="B7" s="176" t="s">
        <v>619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>
        <v>20</v>
      </c>
      <c r="Q7" s="175"/>
      <c r="R7" s="175">
        <v>20</v>
      </c>
    </row>
    <row r="8" spans="2:18">
      <c r="B8" s="181" t="s">
        <v>235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>
        <v>20</v>
      </c>
      <c r="Q8" s="175"/>
      <c r="R8" s="175">
        <v>20</v>
      </c>
    </row>
    <row r="9" spans="2:18">
      <c r="B9" s="176" t="s">
        <v>442</v>
      </c>
      <c r="C9" s="175"/>
      <c r="D9" s="175"/>
      <c r="E9" s="175"/>
      <c r="F9" s="175">
        <v>19.5</v>
      </c>
      <c r="G9" s="175">
        <v>19</v>
      </c>
      <c r="H9" s="175">
        <v>17</v>
      </c>
      <c r="I9" s="175">
        <v>18.95</v>
      </c>
      <c r="J9" s="175">
        <v>17.799999999999997</v>
      </c>
      <c r="K9" s="175">
        <v>19.5</v>
      </c>
      <c r="L9" s="175">
        <v>20</v>
      </c>
      <c r="M9" s="175">
        <v>15</v>
      </c>
      <c r="N9" s="175">
        <v>18.5</v>
      </c>
      <c r="O9" s="175">
        <v>22</v>
      </c>
      <c r="P9" s="175">
        <v>20</v>
      </c>
      <c r="Q9" s="175">
        <v>3</v>
      </c>
      <c r="R9" s="175">
        <v>210.25</v>
      </c>
    </row>
    <row r="10" spans="2:18">
      <c r="B10" s="181" t="s">
        <v>238</v>
      </c>
      <c r="C10" s="175"/>
      <c r="D10" s="175"/>
      <c r="E10" s="175"/>
      <c r="F10" s="175">
        <v>16.8</v>
      </c>
      <c r="G10" s="175">
        <v>19</v>
      </c>
      <c r="H10" s="175">
        <v>16.7</v>
      </c>
      <c r="I10" s="175">
        <v>17.7</v>
      </c>
      <c r="J10" s="175">
        <v>16.899999999999999</v>
      </c>
      <c r="K10" s="175">
        <v>16.75</v>
      </c>
      <c r="L10" s="175">
        <v>18.8</v>
      </c>
      <c r="M10" s="175">
        <v>13.9</v>
      </c>
      <c r="N10" s="175">
        <v>17.649999999999999</v>
      </c>
      <c r="O10" s="175">
        <v>21.6</v>
      </c>
      <c r="P10" s="175">
        <v>18.649999999999999</v>
      </c>
      <c r="Q10" s="175">
        <v>2.9</v>
      </c>
      <c r="R10" s="175">
        <v>197.35</v>
      </c>
    </row>
    <row r="11" spans="2:18">
      <c r="B11" s="181" t="s">
        <v>237</v>
      </c>
      <c r="C11" s="175"/>
      <c r="D11" s="175"/>
      <c r="E11" s="175"/>
      <c r="F11" s="175">
        <v>2.7</v>
      </c>
      <c r="G11" s="175"/>
      <c r="H11" s="175">
        <v>0.3</v>
      </c>
      <c r="I11" s="175">
        <v>1.25</v>
      </c>
      <c r="J11" s="175">
        <v>0.9</v>
      </c>
      <c r="K11" s="175">
        <v>2.75</v>
      </c>
      <c r="L11" s="175">
        <v>1.2</v>
      </c>
      <c r="M11" s="175">
        <v>1.1000000000000001</v>
      </c>
      <c r="N11" s="175">
        <v>0.85</v>
      </c>
      <c r="O11" s="175">
        <v>0.4</v>
      </c>
      <c r="P11" s="175">
        <v>1.35</v>
      </c>
      <c r="Q11" s="175">
        <v>0.1</v>
      </c>
      <c r="R11" s="175">
        <v>12.899999999999999</v>
      </c>
    </row>
    <row r="12" spans="2:18">
      <c r="B12" s="176" t="s">
        <v>586</v>
      </c>
      <c r="C12" s="175"/>
      <c r="D12" s="175"/>
      <c r="E12" s="175"/>
      <c r="F12" s="175"/>
      <c r="G12" s="175"/>
      <c r="H12" s="175"/>
      <c r="I12" s="175"/>
      <c r="J12" s="175">
        <v>19</v>
      </c>
      <c r="K12" s="175">
        <v>20</v>
      </c>
      <c r="L12" s="175">
        <v>21.5</v>
      </c>
      <c r="M12" s="175">
        <v>21.5</v>
      </c>
      <c r="N12" s="175">
        <v>19</v>
      </c>
      <c r="O12" s="175">
        <v>20.399999999999999</v>
      </c>
      <c r="P12" s="175">
        <v>19.55</v>
      </c>
      <c r="Q12" s="175">
        <v>2.74</v>
      </c>
      <c r="R12" s="175">
        <v>143.69000000000003</v>
      </c>
    </row>
    <row r="13" spans="2:18">
      <c r="B13" s="181" t="s">
        <v>238</v>
      </c>
      <c r="C13" s="175"/>
      <c r="D13" s="175"/>
      <c r="E13" s="175"/>
      <c r="F13" s="175"/>
      <c r="G13" s="175"/>
      <c r="H13" s="175"/>
      <c r="I13" s="175"/>
      <c r="J13" s="175">
        <v>19</v>
      </c>
      <c r="K13" s="175">
        <v>20</v>
      </c>
      <c r="L13" s="175">
        <v>16.25</v>
      </c>
      <c r="M13" s="175">
        <v>17.55</v>
      </c>
      <c r="N13" s="175">
        <v>17.600000000000001</v>
      </c>
      <c r="O13" s="175">
        <v>20.2</v>
      </c>
      <c r="P13" s="175">
        <v>19.2</v>
      </c>
      <c r="Q13" s="175">
        <v>2.74</v>
      </c>
      <c r="R13" s="175">
        <v>132.54000000000002</v>
      </c>
    </row>
    <row r="14" spans="2:18">
      <c r="B14" s="181" t="s">
        <v>237</v>
      </c>
      <c r="C14" s="175"/>
      <c r="D14" s="175"/>
      <c r="E14" s="175"/>
      <c r="F14" s="175"/>
      <c r="G14" s="175"/>
      <c r="H14" s="175"/>
      <c r="I14" s="175"/>
      <c r="J14" s="175"/>
      <c r="K14" s="175"/>
      <c r="L14" s="175">
        <v>5.25</v>
      </c>
      <c r="M14" s="175">
        <v>3.95</v>
      </c>
      <c r="N14" s="175">
        <v>1.4</v>
      </c>
      <c r="O14" s="175">
        <v>0.2</v>
      </c>
      <c r="P14" s="175">
        <v>0.35</v>
      </c>
      <c r="Q14" s="175"/>
      <c r="R14" s="175">
        <v>11.149999999999999</v>
      </c>
    </row>
    <row r="15" spans="2:18">
      <c r="B15" s="176" t="s">
        <v>576</v>
      </c>
      <c r="C15" s="175"/>
      <c r="D15" s="175"/>
      <c r="E15" s="175"/>
      <c r="F15" s="175"/>
      <c r="G15" s="175">
        <v>8</v>
      </c>
      <c r="H15" s="175">
        <v>21</v>
      </c>
      <c r="I15" s="175">
        <v>19</v>
      </c>
      <c r="J15" s="175">
        <v>19</v>
      </c>
      <c r="K15" s="175">
        <v>20.75</v>
      </c>
      <c r="L15" s="175">
        <v>22</v>
      </c>
      <c r="M15" s="175">
        <v>12</v>
      </c>
      <c r="N15" s="175">
        <v>18</v>
      </c>
      <c r="O15" s="175">
        <v>10</v>
      </c>
      <c r="P15" s="175">
        <v>13</v>
      </c>
      <c r="Q15" s="175">
        <v>5</v>
      </c>
      <c r="R15" s="175">
        <v>167.75</v>
      </c>
    </row>
    <row r="16" spans="2:18">
      <c r="B16" s="181" t="s">
        <v>235</v>
      </c>
      <c r="C16" s="175"/>
      <c r="D16" s="175"/>
      <c r="E16" s="175"/>
      <c r="F16" s="175"/>
      <c r="G16" s="175">
        <v>8</v>
      </c>
      <c r="H16" s="175">
        <v>21</v>
      </c>
      <c r="I16" s="175">
        <v>19</v>
      </c>
      <c r="J16" s="175">
        <v>19</v>
      </c>
      <c r="K16" s="175">
        <v>20.75</v>
      </c>
      <c r="L16" s="175">
        <v>22</v>
      </c>
      <c r="M16" s="175">
        <v>12</v>
      </c>
      <c r="N16" s="175">
        <v>18</v>
      </c>
      <c r="O16" s="175">
        <v>10</v>
      </c>
      <c r="P16" s="175">
        <v>13</v>
      </c>
      <c r="Q16" s="175">
        <v>5</v>
      </c>
      <c r="R16" s="175">
        <v>167.75</v>
      </c>
    </row>
    <row r="17" spans="2:18">
      <c r="B17" s="176" t="s">
        <v>600</v>
      </c>
      <c r="C17" s="175"/>
      <c r="D17" s="175"/>
      <c r="E17" s="175"/>
      <c r="F17" s="175"/>
      <c r="G17" s="175"/>
      <c r="H17" s="175"/>
      <c r="I17" s="175"/>
      <c r="J17" s="175">
        <v>13</v>
      </c>
      <c r="K17" s="175">
        <v>20.55</v>
      </c>
      <c r="L17" s="175">
        <v>21</v>
      </c>
      <c r="M17" s="175">
        <v>21</v>
      </c>
      <c r="N17" s="175">
        <v>19</v>
      </c>
      <c r="O17" s="175">
        <v>23</v>
      </c>
      <c r="P17" s="175">
        <v>1</v>
      </c>
      <c r="Q17" s="175"/>
      <c r="R17" s="175">
        <v>118.55000000000001</v>
      </c>
    </row>
    <row r="18" spans="2:18">
      <c r="B18" s="181" t="s">
        <v>238</v>
      </c>
      <c r="C18" s="175"/>
      <c r="D18" s="175"/>
      <c r="E18" s="175"/>
      <c r="F18" s="175"/>
      <c r="G18" s="175"/>
      <c r="H18" s="175"/>
      <c r="I18" s="175"/>
      <c r="J18" s="175">
        <v>13</v>
      </c>
      <c r="K18" s="175">
        <v>16.850000000000001</v>
      </c>
      <c r="L18" s="175">
        <v>19.3</v>
      </c>
      <c r="M18" s="175">
        <v>15.15</v>
      </c>
      <c r="N18" s="175">
        <v>18</v>
      </c>
      <c r="O18" s="175">
        <v>20.7</v>
      </c>
      <c r="P18" s="175">
        <v>1</v>
      </c>
      <c r="Q18" s="175"/>
      <c r="R18" s="175">
        <v>104.00000000000001</v>
      </c>
    </row>
    <row r="19" spans="2:18">
      <c r="B19" s="181" t="s">
        <v>237</v>
      </c>
      <c r="C19" s="175"/>
      <c r="D19" s="175"/>
      <c r="E19" s="175"/>
      <c r="F19" s="175"/>
      <c r="G19" s="175"/>
      <c r="H19" s="175"/>
      <c r="I19" s="175"/>
      <c r="J19" s="175"/>
      <c r="K19" s="175">
        <v>3.7</v>
      </c>
      <c r="L19" s="175">
        <v>1.7</v>
      </c>
      <c r="M19" s="175">
        <v>5.85</v>
      </c>
      <c r="N19" s="175">
        <v>1</v>
      </c>
      <c r="O19" s="175">
        <v>2.2999999999999998</v>
      </c>
      <c r="P19" s="175"/>
      <c r="Q19" s="175"/>
      <c r="R19" s="175">
        <v>14.55</v>
      </c>
    </row>
    <row r="20" spans="2:18">
      <c r="B20" s="176" t="s">
        <v>567</v>
      </c>
      <c r="C20" s="175"/>
      <c r="D20" s="175"/>
      <c r="E20" s="175"/>
      <c r="F20" s="175">
        <v>0.5</v>
      </c>
      <c r="G20" s="175">
        <v>0.5</v>
      </c>
      <c r="H20" s="175"/>
      <c r="I20" s="175">
        <v>0.5</v>
      </c>
      <c r="J20" s="175">
        <v>0.5</v>
      </c>
      <c r="K20" s="175">
        <v>2</v>
      </c>
      <c r="L20" s="175"/>
      <c r="M20" s="175"/>
      <c r="N20" s="175"/>
      <c r="O20" s="175"/>
      <c r="P20" s="175">
        <v>2</v>
      </c>
      <c r="Q20" s="175"/>
      <c r="R20" s="175">
        <v>6</v>
      </c>
    </row>
    <row r="21" spans="2:18">
      <c r="B21" s="181" t="s">
        <v>238</v>
      </c>
      <c r="C21" s="175"/>
      <c r="D21" s="175"/>
      <c r="E21" s="175"/>
      <c r="F21" s="175"/>
      <c r="G21" s="175">
        <v>0.5</v>
      </c>
      <c r="H21" s="175"/>
      <c r="I21" s="175"/>
      <c r="J21" s="175"/>
      <c r="K21" s="175">
        <v>2</v>
      </c>
      <c r="L21" s="175"/>
      <c r="M21" s="175"/>
      <c r="N21" s="175"/>
      <c r="O21" s="175"/>
      <c r="P21" s="175"/>
      <c r="Q21" s="175"/>
      <c r="R21" s="175">
        <v>2.5</v>
      </c>
    </row>
    <row r="22" spans="2:18">
      <c r="B22" s="181" t="s">
        <v>235</v>
      </c>
      <c r="C22" s="175"/>
      <c r="D22" s="175"/>
      <c r="E22" s="175"/>
      <c r="F22" s="175">
        <v>0.5</v>
      </c>
      <c r="G22" s="175"/>
      <c r="H22" s="175"/>
      <c r="I22" s="175">
        <v>0.5</v>
      </c>
      <c r="J22" s="175">
        <v>0.5</v>
      </c>
      <c r="K22" s="175"/>
      <c r="L22" s="175"/>
      <c r="M22" s="175"/>
      <c r="N22" s="175"/>
      <c r="O22" s="175"/>
      <c r="P22" s="175">
        <v>2</v>
      </c>
      <c r="Q22" s="175"/>
      <c r="R22" s="175">
        <v>3.5</v>
      </c>
    </row>
    <row r="23" spans="2:18">
      <c r="B23" s="176" t="s">
        <v>447</v>
      </c>
      <c r="C23" s="175"/>
      <c r="D23" s="175"/>
      <c r="E23" s="175"/>
      <c r="F23" s="175">
        <v>20.85</v>
      </c>
      <c r="G23" s="175">
        <v>18.5</v>
      </c>
      <c r="H23" s="175">
        <v>16</v>
      </c>
      <c r="I23" s="175">
        <v>18.799999999999997</v>
      </c>
      <c r="J23" s="175">
        <v>10.75</v>
      </c>
      <c r="K23" s="175">
        <v>5.55</v>
      </c>
      <c r="L23" s="175">
        <v>0.15</v>
      </c>
      <c r="M23" s="175">
        <v>0.2</v>
      </c>
      <c r="N23" s="175"/>
      <c r="O23" s="175"/>
      <c r="P23" s="175"/>
      <c r="Q23" s="175"/>
      <c r="R23" s="175">
        <v>90.799999999999983</v>
      </c>
    </row>
    <row r="24" spans="2:18">
      <c r="B24" s="181" t="s">
        <v>238</v>
      </c>
      <c r="C24" s="175"/>
      <c r="D24" s="175"/>
      <c r="E24" s="175"/>
      <c r="F24" s="175">
        <v>20.55</v>
      </c>
      <c r="G24" s="175">
        <v>18.2</v>
      </c>
      <c r="H24" s="175">
        <v>15.3</v>
      </c>
      <c r="I24" s="175">
        <v>18.399999999999999</v>
      </c>
      <c r="J24" s="175">
        <v>10.1</v>
      </c>
      <c r="K24" s="175">
        <v>5.55</v>
      </c>
      <c r="L24" s="175">
        <v>0.15</v>
      </c>
      <c r="M24" s="175">
        <v>0.2</v>
      </c>
      <c r="N24" s="175"/>
      <c r="O24" s="175"/>
      <c r="P24" s="175"/>
      <c r="Q24" s="175"/>
      <c r="R24" s="175">
        <v>88.449999999999989</v>
      </c>
    </row>
    <row r="25" spans="2:18">
      <c r="B25" s="181" t="s">
        <v>237</v>
      </c>
      <c r="C25" s="175"/>
      <c r="D25" s="175"/>
      <c r="E25" s="175"/>
      <c r="F25" s="175">
        <v>0.3</v>
      </c>
      <c r="G25" s="175">
        <v>0.3</v>
      </c>
      <c r="H25" s="175">
        <v>0.7</v>
      </c>
      <c r="I25" s="175">
        <v>0.4</v>
      </c>
      <c r="J25" s="175">
        <v>0.65</v>
      </c>
      <c r="K25" s="175"/>
      <c r="L25" s="175"/>
      <c r="M25" s="175"/>
      <c r="N25" s="175"/>
      <c r="O25" s="175"/>
      <c r="P25" s="175"/>
      <c r="Q25" s="175"/>
      <c r="R25" s="175">
        <v>2.3499999999999996</v>
      </c>
    </row>
    <row r="26" spans="2:18">
      <c r="B26" s="176" t="s">
        <v>560</v>
      </c>
      <c r="C26" s="175"/>
      <c r="D26" s="175"/>
      <c r="E26" s="175"/>
      <c r="F26" s="175">
        <v>3.5</v>
      </c>
      <c r="G26" s="175">
        <v>17.2</v>
      </c>
      <c r="H26" s="175">
        <v>20.9</v>
      </c>
      <c r="I26" s="175">
        <v>18</v>
      </c>
      <c r="J26" s="175">
        <v>19</v>
      </c>
      <c r="K26" s="175">
        <v>17</v>
      </c>
      <c r="L26" s="175">
        <v>20.5</v>
      </c>
      <c r="M26" s="175">
        <v>17</v>
      </c>
      <c r="N26" s="175">
        <v>18</v>
      </c>
      <c r="O26" s="175">
        <v>22.5</v>
      </c>
      <c r="P26" s="175">
        <v>18.5</v>
      </c>
      <c r="Q26" s="175"/>
      <c r="R26" s="175">
        <v>192.1</v>
      </c>
    </row>
    <row r="27" spans="2:18">
      <c r="B27" s="181" t="s">
        <v>235</v>
      </c>
      <c r="C27" s="175"/>
      <c r="D27" s="175"/>
      <c r="E27" s="175"/>
      <c r="F27" s="175">
        <v>3.5</v>
      </c>
      <c r="G27" s="175">
        <v>17.2</v>
      </c>
      <c r="H27" s="175">
        <v>20.9</v>
      </c>
      <c r="I27" s="175">
        <v>18</v>
      </c>
      <c r="J27" s="175">
        <v>19</v>
      </c>
      <c r="K27" s="175">
        <v>17</v>
      </c>
      <c r="L27" s="175">
        <v>20.5</v>
      </c>
      <c r="M27" s="175">
        <v>17</v>
      </c>
      <c r="N27" s="175">
        <v>18</v>
      </c>
      <c r="O27" s="175">
        <v>22.5</v>
      </c>
      <c r="P27" s="175">
        <v>18.5</v>
      </c>
      <c r="Q27" s="175"/>
      <c r="R27" s="175">
        <v>192.1</v>
      </c>
    </row>
    <row r="28" spans="2:18">
      <c r="B28" s="176" t="s">
        <v>561</v>
      </c>
      <c r="C28" s="175"/>
      <c r="D28" s="175"/>
      <c r="E28" s="175"/>
      <c r="F28" s="175">
        <v>3.5</v>
      </c>
      <c r="G28" s="175">
        <v>18.25</v>
      </c>
      <c r="H28" s="175">
        <v>22</v>
      </c>
      <c r="I28" s="175">
        <v>17</v>
      </c>
      <c r="J28" s="175">
        <v>16</v>
      </c>
      <c r="K28" s="175">
        <v>18</v>
      </c>
      <c r="L28" s="175">
        <v>13.5</v>
      </c>
      <c r="M28" s="175">
        <v>22</v>
      </c>
      <c r="N28" s="175">
        <v>19</v>
      </c>
      <c r="O28" s="175">
        <v>23</v>
      </c>
      <c r="P28" s="175">
        <v>9</v>
      </c>
      <c r="Q28" s="175"/>
      <c r="R28" s="175">
        <v>181.25</v>
      </c>
    </row>
    <row r="29" spans="2:18">
      <c r="B29" s="181" t="s">
        <v>235</v>
      </c>
      <c r="C29" s="175"/>
      <c r="D29" s="175"/>
      <c r="E29" s="175"/>
      <c r="F29" s="175">
        <v>3.5</v>
      </c>
      <c r="G29" s="175">
        <v>18.25</v>
      </c>
      <c r="H29" s="175">
        <v>22</v>
      </c>
      <c r="I29" s="175">
        <v>17</v>
      </c>
      <c r="J29" s="175">
        <v>16</v>
      </c>
      <c r="K29" s="175">
        <v>18</v>
      </c>
      <c r="L29" s="175">
        <v>13.5</v>
      </c>
      <c r="M29" s="175">
        <v>22</v>
      </c>
      <c r="N29" s="175">
        <v>19</v>
      </c>
      <c r="O29" s="175">
        <v>23</v>
      </c>
      <c r="P29" s="175">
        <v>9</v>
      </c>
      <c r="Q29" s="175"/>
      <c r="R29" s="175">
        <v>181.25</v>
      </c>
    </row>
    <row r="30" spans="2:18">
      <c r="B30" s="176" t="s">
        <v>311</v>
      </c>
      <c r="C30" s="175"/>
      <c r="D30" s="175"/>
      <c r="E30" s="175"/>
      <c r="F30" s="175">
        <v>18.97</v>
      </c>
      <c r="G30" s="175">
        <v>18.61</v>
      </c>
      <c r="H30" s="175">
        <v>20.630000000000003</v>
      </c>
      <c r="I30" s="175">
        <v>18.190000000000001</v>
      </c>
      <c r="J30" s="175">
        <v>17</v>
      </c>
      <c r="K30" s="175">
        <v>18.64</v>
      </c>
      <c r="L30" s="175">
        <v>6.83</v>
      </c>
      <c r="M30" s="175">
        <v>22</v>
      </c>
      <c r="N30" s="175">
        <v>10</v>
      </c>
      <c r="O30" s="175"/>
      <c r="P30" s="175"/>
      <c r="Q30" s="175"/>
      <c r="R30" s="175">
        <v>150.87</v>
      </c>
    </row>
    <row r="31" spans="2:18">
      <c r="B31" s="181" t="s">
        <v>238</v>
      </c>
      <c r="C31" s="175"/>
      <c r="D31" s="175"/>
      <c r="E31" s="175"/>
      <c r="F31" s="175">
        <v>15.35</v>
      </c>
      <c r="G31" s="175">
        <v>18.27</v>
      </c>
      <c r="H31" s="175">
        <v>17.14</v>
      </c>
      <c r="I31" s="175">
        <v>12.71</v>
      </c>
      <c r="J31" s="175">
        <v>10.220000000000001</v>
      </c>
      <c r="K31" s="175">
        <v>13.15</v>
      </c>
      <c r="L31" s="175">
        <v>5.13</v>
      </c>
      <c r="M31" s="175">
        <v>12.32</v>
      </c>
      <c r="N31" s="175">
        <v>8.84</v>
      </c>
      <c r="O31" s="175"/>
      <c r="P31" s="175"/>
      <c r="Q31" s="175"/>
      <c r="R31" s="175">
        <v>113.13</v>
      </c>
    </row>
    <row r="32" spans="2:18">
      <c r="B32" s="181" t="s">
        <v>237</v>
      </c>
      <c r="C32" s="175"/>
      <c r="D32" s="175"/>
      <c r="E32" s="175"/>
      <c r="F32" s="175">
        <v>3.62</v>
      </c>
      <c r="G32" s="175">
        <v>0.34</v>
      </c>
      <c r="H32" s="175">
        <v>3.49</v>
      </c>
      <c r="I32" s="175">
        <v>5.48</v>
      </c>
      <c r="J32" s="175">
        <v>6.78</v>
      </c>
      <c r="K32" s="175">
        <v>5.49</v>
      </c>
      <c r="L32" s="175">
        <v>1.7</v>
      </c>
      <c r="M32" s="175">
        <v>9.68</v>
      </c>
      <c r="N32" s="175">
        <v>1.1599999999999999</v>
      </c>
      <c r="O32" s="175"/>
      <c r="P32" s="175"/>
      <c r="Q32" s="175"/>
      <c r="R32" s="175">
        <v>37.739999999999995</v>
      </c>
    </row>
    <row r="33" spans="2:18">
      <c r="B33" s="176" t="s">
        <v>602</v>
      </c>
      <c r="C33" s="175"/>
      <c r="D33" s="175"/>
      <c r="E33" s="175"/>
      <c r="F33" s="175"/>
      <c r="G33" s="175"/>
      <c r="H33" s="175"/>
      <c r="I33" s="175"/>
      <c r="J33" s="175"/>
      <c r="K33" s="175"/>
      <c r="L33" s="175">
        <v>2.5</v>
      </c>
      <c r="M33" s="175">
        <v>9</v>
      </c>
      <c r="N33" s="175">
        <v>20</v>
      </c>
      <c r="O33" s="175">
        <v>23</v>
      </c>
      <c r="P33" s="175">
        <v>19.5</v>
      </c>
      <c r="Q33" s="175">
        <v>5</v>
      </c>
      <c r="R33" s="175">
        <v>79</v>
      </c>
    </row>
    <row r="34" spans="2:18">
      <c r="B34" s="181" t="s">
        <v>236</v>
      </c>
      <c r="C34" s="175"/>
      <c r="D34" s="175"/>
      <c r="E34" s="175"/>
      <c r="F34" s="175"/>
      <c r="G34" s="175"/>
      <c r="H34" s="175"/>
      <c r="I34" s="175"/>
      <c r="J34" s="175"/>
      <c r="K34" s="175"/>
      <c r="L34" s="175">
        <v>2.5</v>
      </c>
      <c r="M34" s="175">
        <v>9</v>
      </c>
      <c r="N34" s="175">
        <v>20</v>
      </c>
      <c r="O34" s="175">
        <v>23</v>
      </c>
      <c r="P34" s="175">
        <v>19.5</v>
      </c>
      <c r="Q34" s="175">
        <v>5</v>
      </c>
      <c r="R34" s="175">
        <v>79</v>
      </c>
    </row>
    <row r="35" spans="2:18">
      <c r="B35" s="176" t="s">
        <v>569</v>
      </c>
      <c r="C35" s="175"/>
      <c r="D35" s="175"/>
      <c r="E35" s="175"/>
      <c r="F35" s="175"/>
      <c r="G35" s="175">
        <v>2</v>
      </c>
      <c r="H35" s="175">
        <v>17.5</v>
      </c>
      <c r="I35" s="175">
        <v>11</v>
      </c>
      <c r="J35" s="175">
        <v>13</v>
      </c>
      <c r="K35" s="175">
        <v>16.5</v>
      </c>
      <c r="L35" s="175">
        <v>15</v>
      </c>
      <c r="M35" s="175">
        <v>5</v>
      </c>
      <c r="N35" s="175">
        <v>19</v>
      </c>
      <c r="O35" s="175">
        <v>21.5</v>
      </c>
      <c r="P35" s="175">
        <v>19.5</v>
      </c>
      <c r="Q35" s="175">
        <v>4.5</v>
      </c>
      <c r="R35" s="175">
        <v>144.5</v>
      </c>
    </row>
    <row r="36" spans="2:18">
      <c r="B36" s="181" t="s">
        <v>235</v>
      </c>
      <c r="C36" s="175"/>
      <c r="D36" s="175"/>
      <c r="E36" s="175"/>
      <c r="F36" s="175"/>
      <c r="G36" s="175">
        <v>2</v>
      </c>
      <c r="H36" s="175">
        <v>17.5</v>
      </c>
      <c r="I36" s="175">
        <v>11</v>
      </c>
      <c r="J36" s="175">
        <v>13</v>
      </c>
      <c r="K36" s="175">
        <v>16.5</v>
      </c>
      <c r="L36" s="175">
        <v>15</v>
      </c>
      <c r="M36" s="175">
        <v>5</v>
      </c>
      <c r="N36" s="175">
        <v>19</v>
      </c>
      <c r="O36" s="175">
        <v>21.5</v>
      </c>
      <c r="P36" s="175">
        <v>19.5</v>
      </c>
      <c r="Q36" s="175">
        <v>4.5</v>
      </c>
      <c r="R36" s="175">
        <v>144.5</v>
      </c>
    </row>
    <row r="37" spans="2:18">
      <c r="B37" s="176" t="s">
        <v>466</v>
      </c>
      <c r="C37" s="175"/>
      <c r="D37" s="175"/>
      <c r="E37" s="175"/>
      <c r="F37" s="175">
        <v>12</v>
      </c>
      <c r="G37" s="175">
        <v>12</v>
      </c>
      <c r="H37" s="175">
        <v>5.7</v>
      </c>
      <c r="I37" s="175"/>
      <c r="J37" s="175"/>
      <c r="K37" s="175"/>
      <c r="L37" s="175"/>
      <c r="M37" s="175"/>
      <c r="N37" s="175"/>
      <c r="O37" s="175"/>
      <c r="P37" s="175"/>
      <c r="Q37" s="175"/>
      <c r="R37" s="175">
        <v>29.7</v>
      </c>
    </row>
    <row r="38" spans="2:18">
      <c r="B38" s="181" t="s">
        <v>238</v>
      </c>
      <c r="C38" s="175"/>
      <c r="D38" s="175"/>
      <c r="E38" s="175"/>
      <c r="F38" s="175">
        <v>12</v>
      </c>
      <c r="G38" s="175">
        <v>10.8</v>
      </c>
      <c r="H38" s="175">
        <v>5.7</v>
      </c>
      <c r="I38" s="175"/>
      <c r="J38" s="175"/>
      <c r="K38" s="175"/>
      <c r="L38" s="175"/>
      <c r="M38" s="175"/>
      <c r="N38" s="175"/>
      <c r="O38" s="175"/>
      <c r="P38" s="175"/>
      <c r="Q38" s="175"/>
      <c r="R38" s="175">
        <v>28.5</v>
      </c>
    </row>
    <row r="39" spans="2:18">
      <c r="B39" s="181" t="s">
        <v>237</v>
      </c>
      <c r="C39" s="175"/>
      <c r="D39" s="175"/>
      <c r="E39" s="175"/>
      <c r="F39" s="175"/>
      <c r="G39" s="175">
        <v>1.2</v>
      </c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>
        <v>1.2</v>
      </c>
    </row>
    <row r="40" spans="2:18">
      <c r="B40" s="176" t="s">
        <v>380</v>
      </c>
      <c r="C40" s="175"/>
      <c r="D40" s="175"/>
      <c r="E40" s="175"/>
      <c r="F40" s="175">
        <v>5.3000000000000007</v>
      </c>
      <c r="G40" s="175">
        <v>17.600000000000001</v>
      </c>
      <c r="H40" s="175">
        <v>20.399999999999999</v>
      </c>
      <c r="I40" s="175">
        <v>12</v>
      </c>
      <c r="J40" s="175">
        <v>12.5</v>
      </c>
      <c r="K40" s="175">
        <v>20</v>
      </c>
      <c r="L40" s="175">
        <v>21</v>
      </c>
      <c r="M40" s="175">
        <v>5</v>
      </c>
      <c r="N40" s="175">
        <v>20</v>
      </c>
      <c r="O40" s="175">
        <v>23</v>
      </c>
      <c r="P40" s="175">
        <v>20</v>
      </c>
      <c r="Q40" s="175"/>
      <c r="R40" s="175">
        <v>176.79999999999998</v>
      </c>
    </row>
    <row r="41" spans="2:18">
      <c r="B41" s="181" t="s">
        <v>238</v>
      </c>
      <c r="C41" s="175"/>
      <c r="D41" s="175"/>
      <c r="E41" s="175"/>
      <c r="F41" s="175">
        <v>4.9000000000000004</v>
      </c>
      <c r="G41" s="175">
        <v>6.9</v>
      </c>
      <c r="H41" s="175">
        <v>6.7</v>
      </c>
      <c r="I41" s="175">
        <v>4.2</v>
      </c>
      <c r="J41" s="175">
        <v>3.6</v>
      </c>
      <c r="K41" s="175">
        <v>6.1</v>
      </c>
      <c r="L41" s="175">
        <v>5.8</v>
      </c>
      <c r="M41" s="175">
        <v>1</v>
      </c>
      <c r="N41" s="175">
        <v>2.9</v>
      </c>
      <c r="O41" s="175">
        <v>11.3</v>
      </c>
      <c r="P41" s="175">
        <v>8.3000000000000007</v>
      </c>
      <c r="Q41" s="175"/>
      <c r="R41" s="175">
        <v>61.699999999999989</v>
      </c>
    </row>
    <row r="42" spans="2:18">
      <c r="B42" s="181" t="s">
        <v>237</v>
      </c>
      <c r="C42" s="175"/>
      <c r="D42" s="175"/>
      <c r="E42" s="175"/>
      <c r="F42" s="175">
        <v>0.4</v>
      </c>
      <c r="G42" s="175">
        <v>10.7</v>
      </c>
      <c r="H42" s="175">
        <v>13.7</v>
      </c>
      <c r="I42" s="175">
        <v>7.8</v>
      </c>
      <c r="J42" s="175">
        <v>8.9</v>
      </c>
      <c r="K42" s="175">
        <v>13.9</v>
      </c>
      <c r="L42" s="175">
        <v>15.2</v>
      </c>
      <c r="M42" s="175">
        <v>4</v>
      </c>
      <c r="N42" s="175">
        <v>17.100000000000001</v>
      </c>
      <c r="O42" s="175">
        <v>11.7</v>
      </c>
      <c r="P42" s="175">
        <v>11.7</v>
      </c>
      <c r="Q42" s="175"/>
      <c r="R42" s="175">
        <v>115.1</v>
      </c>
    </row>
    <row r="43" spans="2:18">
      <c r="B43" s="176" t="s">
        <v>585</v>
      </c>
      <c r="C43" s="175"/>
      <c r="D43" s="175"/>
      <c r="E43" s="175"/>
      <c r="F43" s="175"/>
      <c r="G43" s="175"/>
      <c r="H43" s="175"/>
      <c r="I43" s="175"/>
      <c r="J43" s="175">
        <v>17</v>
      </c>
      <c r="K43" s="175">
        <v>20.5</v>
      </c>
      <c r="L43" s="175">
        <v>20</v>
      </c>
      <c r="M43" s="175">
        <v>22</v>
      </c>
      <c r="N43" s="175">
        <v>19</v>
      </c>
      <c r="O43" s="175">
        <v>22</v>
      </c>
      <c r="P43" s="175">
        <v>8</v>
      </c>
      <c r="Q43" s="175">
        <v>0.75</v>
      </c>
      <c r="R43" s="175">
        <v>129.25</v>
      </c>
    </row>
    <row r="44" spans="2:18">
      <c r="B44" s="181" t="s">
        <v>236</v>
      </c>
      <c r="C44" s="175"/>
      <c r="D44" s="175"/>
      <c r="E44" s="175"/>
      <c r="F44" s="175"/>
      <c r="G44" s="175"/>
      <c r="H44" s="175"/>
      <c r="I44" s="175"/>
      <c r="J44" s="175">
        <v>17</v>
      </c>
      <c r="K44" s="175">
        <v>20.5</v>
      </c>
      <c r="L44" s="175">
        <v>20</v>
      </c>
      <c r="M44" s="175">
        <v>22</v>
      </c>
      <c r="N44" s="175">
        <v>19</v>
      </c>
      <c r="O44" s="175">
        <v>22</v>
      </c>
      <c r="P44" s="175">
        <v>8</v>
      </c>
      <c r="Q44" s="175">
        <v>0.75</v>
      </c>
      <c r="R44" s="175">
        <v>129.25</v>
      </c>
    </row>
    <row r="45" spans="2:18">
      <c r="B45" s="176" t="s">
        <v>573</v>
      </c>
      <c r="C45" s="175"/>
      <c r="D45" s="175"/>
      <c r="E45" s="175"/>
      <c r="F45" s="175">
        <v>16</v>
      </c>
      <c r="G45" s="175">
        <v>20</v>
      </c>
      <c r="H45" s="175">
        <v>22</v>
      </c>
      <c r="I45" s="175">
        <v>19</v>
      </c>
      <c r="J45" s="175">
        <v>12.5</v>
      </c>
      <c r="K45" s="175">
        <v>21</v>
      </c>
      <c r="L45" s="175">
        <v>22</v>
      </c>
      <c r="M45" s="175"/>
      <c r="N45" s="175"/>
      <c r="O45" s="175"/>
      <c r="P45" s="175"/>
      <c r="Q45" s="175"/>
      <c r="R45" s="175">
        <v>132.5</v>
      </c>
    </row>
    <row r="46" spans="2:18">
      <c r="B46" s="181" t="s">
        <v>235</v>
      </c>
      <c r="C46" s="175"/>
      <c r="D46" s="175"/>
      <c r="E46" s="175"/>
      <c r="F46" s="175">
        <v>16</v>
      </c>
      <c r="G46" s="175">
        <v>20</v>
      </c>
      <c r="H46" s="175">
        <v>22</v>
      </c>
      <c r="I46" s="175">
        <v>19</v>
      </c>
      <c r="J46" s="175">
        <v>12.5</v>
      </c>
      <c r="K46" s="175">
        <v>21</v>
      </c>
      <c r="L46" s="175">
        <v>22</v>
      </c>
      <c r="M46" s="175"/>
      <c r="N46" s="175"/>
      <c r="O46" s="175"/>
      <c r="P46" s="175"/>
      <c r="Q46" s="175"/>
      <c r="R46" s="175">
        <v>132.5</v>
      </c>
    </row>
    <row r="47" spans="2:18">
      <c r="B47" s="176" t="s">
        <v>556</v>
      </c>
      <c r="C47" s="175"/>
      <c r="D47" s="175"/>
      <c r="E47" s="175"/>
      <c r="F47" s="175">
        <v>18</v>
      </c>
      <c r="G47" s="175">
        <v>20</v>
      </c>
      <c r="H47" s="175">
        <v>20</v>
      </c>
      <c r="I47" s="175">
        <v>19</v>
      </c>
      <c r="J47" s="175">
        <v>16</v>
      </c>
      <c r="K47" s="175">
        <v>21</v>
      </c>
      <c r="L47" s="175">
        <v>22</v>
      </c>
      <c r="M47" s="175">
        <v>13</v>
      </c>
      <c r="N47" s="175">
        <v>20</v>
      </c>
      <c r="O47" s="175">
        <v>23</v>
      </c>
      <c r="P47" s="175">
        <v>20</v>
      </c>
      <c r="Q47" s="175">
        <v>3</v>
      </c>
      <c r="R47" s="175">
        <v>215</v>
      </c>
    </row>
    <row r="48" spans="2:18">
      <c r="B48" s="181" t="s">
        <v>235</v>
      </c>
      <c r="C48" s="175"/>
      <c r="D48" s="175"/>
      <c r="E48" s="175"/>
      <c r="F48" s="175">
        <v>18</v>
      </c>
      <c r="G48" s="175">
        <v>20</v>
      </c>
      <c r="H48" s="175">
        <v>20</v>
      </c>
      <c r="I48" s="175">
        <v>19</v>
      </c>
      <c r="J48" s="175">
        <v>16</v>
      </c>
      <c r="K48" s="175">
        <v>21</v>
      </c>
      <c r="L48" s="175">
        <v>22</v>
      </c>
      <c r="M48" s="175">
        <v>13</v>
      </c>
      <c r="N48" s="175">
        <v>20</v>
      </c>
      <c r="O48" s="175">
        <v>23</v>
      </c>
      <c r="P48" s="175">
        <v>20</v>
      </c>
      <c r="Q48" s="175">
        <v>3</v>
      </c>
      <c r="R48" s="175">
        <v>215</v>
      </c>
    </row>
    <row r="49" spans="2:18">
      <c r="B49" s="176" t="s">
        <v>554</v>
      </c>
      <c r="C49" s="175"/>
      <c r="D49" s="175"/>
      <c r="E49" s="175"/>
      <c r="F49" s="175">
        <v>21</v>
      </c>
      <c r="G49" s="175">
        <v>17</v>
      </c>
      <c r="H49" s="175">
        <v>19</v>
      </c>
      <c r="I49" s="175">
        <v>17</v>
      </c>
      <c r="J49" s="175">
        <v>12</v>
      </c>
      <c r="K49" s="175">
        <v>11</v>
      </c>
      <c r="L49" s="175"/>
      <c r="M49" s="175"/>
      <c r="N49" s="175"/>
      <c r="O49" s="175"/>
      <c r="P49" s="175"/>
      <c r="Q49" s="175"/>
      <c r="R49" s="175">
        <v>97</v>
      </c>
    </row>
    <row r="50" spans="2:18">
      <c r="B50" s="181" t="s">
        <v>236</v>
      </c>
      <c r="C50" s="175"/>
      <c r="D50" s="175"/>
      <c r="E50" s="175"/>
      <c r="F50" s="175">
        <v>21</v>
      </c>
      <c r="G50" s="175">
        <v>17</v>
      </c>
      <c r="H50" s="175">
        <v>19</v>
      </c>
      <c r="I50" s="175">
        <v>17</v>
      </c>
      <c r="J50" s="175">
        <v>12</v>
      </c>
      <c r="K50" s="175">
        <v>11</v>
      </c>
      <c r="L50" s="175"/>
      <c r="M50" s="175"/>
      <c r="N50" s="175"/>
      <c r="O50" s="175"/>
      <c r="P50" s="175"/>
      <c r="Q50" s="175"/>
      <c r="R50" s="175">
        <v>97</v>
      </c>
    </row>
    <row r="51" spans="2:18">
      <c r="B51" s="176" t="s">
        <v>580</v>
      </c>
      <c r="C51" s="175"/>
      <c r="D51" s="175"/>
      <c r="E51" s="175"/>
      <c r="F51" s="175"/>
      <c r="G51" s="175"/>
      <c r="H51" s="175">
        <v>22</v>
      </c>
      <c r="I51" s="175">
        <v>19</v>
      </c>
      <c r="J51" s="175">
        <v>19</v>
      </c>
      <c r="K51" s="175">
        <v>19</v>
      </c>
      <c r="L51" s="175">
        <v>14</v>
      </c>
      <c r="M51" s="175">
        <v>19.5</v>
      </c>
      <c r="N51" s="175">
        <v>20</v>
      </c>
      <c r="O51" s="175">
        <v>23</v>
      </c>
      <c r="P51" s="175">
        <v>20</v>
      </c>
      <c r="Q51" s="175"/>
      <c r="R51" s="175">
        <v>175.5</v>
      </c>
    </row>
    <row r="52" spans="2:18">
      <c r="B52" s="181" t="s">
        <v>235</v>
      </c>
      <c r="C52" s="175"/>
      <c r="D52" s="175"/>
      <c r="E52" s="175"/>
      <c r="F52" s="175"/>
      <c r="G52" s="175"/>
      <c r="H52" s="175">
        <v>22</v>
      </c>
      <c r="I52" s="175">
        <v>19</v>
      </c>
      <c r="J52" s="175">
        <v>19</v>
      </c>
      <c r="K52" s="175">
        <v>19</v>
      </c>
      <c r="L52" s="175">
        <v>14</v>
      </c>
      <c r="M52" s="175">
        <v>19.5</v>
      </c>
      <c r="N52" s="175">
        <v>20</v>
      </c>
      <c r="O52" s="175">
        <v>23</v>
      </c>
      <c r="P52" s="175">
        <v>20</v>
      </c>
      <c r="Q52" s="175"/>
      <c r="R52" s="175">
        <v>175.5</v>
      </c>
    </row>
    <row r="53" spans="2:18">
      <c r="B53" s="176" t="s">
        <v>550</v>
      </c>
      <c r="C53" s="175"/>
      <c r="D53" s="175"/>
      <c r="E53" s="175"/>
      <c r="F53" s="175">
        <v>8.25</v>
      </c>
      <c r="G53" s="175">
        <v>14.7</v>
      </c>
      <c r="H53" s="175">
        <v>22</v>
      </c>
      <c r="I53" s="175">
        <v>17</v>
      </c>
      <c r="J53" s="175">
        <v>15.5</v>
      </c>
      <c r="K53" s="175">
        <v>18</v>
      </c>
      <c r="L53" s="175">
        <v>20.77</v>
      </c>
      <c r="M53" s="175">
        <v>14.5</v>
      </c>
      <c r="N53" s="175">
        <v>15</v>
      </c>
      <c r="O53" s="175">
        <v>23</v>
      </c>
      <c r="P53" s="175">
        <v>18</v>
      </c>
      <c r="Q53" s="175"/>
      <c r="R53" s="175">
        <v>186.72</v>
      </c>
    </row>
    <row r="54" spans="2:18">
      <c r="B54" s="181" t="s">
        <v>235</v>
      </c>
      <c r="C54" s="175"/>
      <c r="D54" s="175"/>
      <c r="E54" s="175"/>
      <c r="F54" s="175">
        <v>8.25</v>
      </c>
      <c r="G54" s="175">
        <v>14.7</v>
      </c>
      <c r="H54" s="175">
        <v>22</v>
      </c>
      <c r="I54" s="175">
        <v>17</v>
      </c>
      <c r="J54" s="175">
        <v>15.5</v>
      </c>
      <c r="K54" s="175">
        <v>18</v>
      </c>
      <c r="L54" s="175">
        <v>20.77</v>
      </c>
      <c r="M54" s="175">
        <v>14.5</v>
      </c>
      <c r="N54" s="175">
        <v>15</v>
      </c>
      <c r="O54" s="175">
        <v>23</v>
      </c>
      <c r="P54" s="175">
        <v>18</v>
      </c>
      <c r="Q54" s="175"/>
      <c r="R54" s="175">
        <v>186.72</v>
      </c>
    </row>
    <row r="55" spans="2:18">
      <c r="B55" s="176" t="s">
        <v>402</v>
      </c>
      <c r="C55" s="175"/>
      <c r="D55" s="175"/>
      <c r="E55" s="175"/>
      <c r="F55" s="175">
        <v>18</v>
      </c>
      <c r="G55" s="175">
        <v>20</v>
      </c>
      <c r="H55" s="175">
        <v>22</v>
      </c>
      <c r="I55" s="175">
        <v>18</v>
      </c>
      <c r="J55" s="175">
        <v>19</v>
      </c>
      <c r="K55" s="175">
        <v>21</v>
      </c>
      <c r="L55" s="175">
        <v>10</v>
      </c>
      <c r="M55" s="175">
        <v>18.5</v>
      </c>
      <c r="N55" s="175">
        <v>17.5</v>
      </c>
      <c r="O55" s="175">
        <v>20.8</v>
      </c>
      <c r="P55" s="175">
        <v>21</v>
      </c>
      <c r="Q55" s="175"/>
      <c r="R55" s="175">
        <v>205.8</v>
      </c>
    </row>
    <row r="56" spans="2:18">
      <c r="B56" s="181" t="s">
        <v>238</v>
      </c>
      <c r="C56" s="175"/>
      <c r="D56" s="175"/>
      <c r="E56" s="175"/>
      <c r="F56" s="175">
        <v>18</v>
      </c>
      <c r="G56" s="175">
        <v>20</v>
      </c>
      <c r="H56" s="175">
        <v>22</v>
      </c>
      <c r="I56" s="175">
        <v>16.7</v>
      </c>
      <c r="J56" s="175">
        <v>19</v>
      </c>
      <c r="K56" s="175">
        <v>21</v>
      </c>
      <c r="L56" s="175">
        <v>10</v>
      </c>
      <c r="M56" s="175">
        <v>18.5</v>
      </c>
      <c r="N56" s="175">
        <v>17.5</v>
      </c>
      <c r="O56" s="175">
        <v>20.8</v>
      </c>
      <c r="P56" s="175">
        <v>21</v>
      </c>
      <c r="Q56" s="175"/>
      <c r="R56" s="175">
        <v>204.5</v>
      </c>
    </row>
    <row r="57" spans="2:18">
      <c r="B57" s="181" t="s">
        <v>237</v>
      </c>
      <c r="C57" s="175"/>
      <c r="D57" s="175"/>
      <c r="E57" s="175"/>
      <c r="F57" s="175"/>
      <c r="G57" s="175"/>
      <c r="H57" s="175"/>
      <c r="I57" s="175">
        <v>1.3</v>
      </c>
      <c r="J57" s="175"/>
      <c r="K57" s="175"/>
      <c r="L57" s="175"/>
      <c r="M57" s="175"/>
      <c r="N57" s="175"/>
      <c r="O57" s="175"/>
      <c r="P57" s="175"/>
      <c r="Q57" s="175"/>
      <c r="R57" s="175">
        <v>1.3</v>
      </c>
    </row>
    <row r="58" spans="2:18">
      <c r="B58" s="176" t="s">
        <v>555</v>
      </c>
      <c r="C58" s="175"/>
      <c r="D58" s="175"/>
      <c r="E58" s="175"/>
      <c r="F58" s="175">
        <v>18</v>
      </c>
      <c r="G58" s="175">
        <v>17</v>
      </c>
      <c r="H58" s="175">
        <v>22</v>
      </c>
      <c r="I58" s="175">
        <v>19</v>
      </c>
      <c r="J58" s="175">
        <v>9</v>
      </c>
      <c r="K58" s="175">
        <v>21</v>
      </c>
      <c r="L58" s="175">
        <v>20</v>
      </c>
      <c r="M58" s="175">
        <v>5</v>
      </c>
      <c r="N58" s="175">
        <v>19</v>
      </c>
      <c r="O58" s="175">
        <v>22.5</v>
      </c>
      <c r="P58" s="175">
        <v>20</v>
      </c>
      <c r="Q58" s="175"/>
      <c r="R58" s="175">
        <v>192.5</v>
      </c>
    </row>
    <row r="59" spans="2:18">
      <c r="B59" s="181" t="s">
        <v>235</v>
      </c>
      <c r="C59" s="175"/>
      <c r="D59" s="175"/>
      <c r="E59" s="175"/>
      <c r="F59" s="175">
        <v>18</v>
      </c>
      <c r="G59" s="175">
        <v>17</v>
      </c>
      <c r="H59" s="175">
        <v>22</v>
      </c>
      <c r="I59" s="175">
        <v>19</v>
      </c>
      <c r="J59" s="175">
        <v>9</v>
      </c>
      <c r="K59" s="175">
        <v>21</v>
      </c>
      <c r="L59" s="175">
        <v>20</v>
      </c>
      <c r="M59" s="175">
        <v>5</v>
      </c>
      <c r="N59" s="175">
        <v>19</v>
      </c>
      <c r="O59" s="175">
        <v>22.5</v>
      </c>
      <c r="P59" s="175">
        <v>20</v>
      </c>
      <c r="Q59" s="175"/>
      <c r="R59" s="175">
        <v>192.5</v>
      </c>
    </row>
    <row r="60" spans="2:18">
      <c r="B60" s="176" t="s">
        <v>596</v>
      </c>
      <c r="C60" s="175"/>
      <c r="D60" s="175"/>
      <c r="E60" s="175"/>
      <c r="F60" s="175"/>
      <c r="G60" s="175"/>
      <c r="H60" s="175"/>
      <c r="I60" s="175"/>
      <c r="J60" s="175"/>
      <c r="K60" s="175"/>
      <c r="L60" s="175">
        <v>2</v>
      </c>
      <c r="M60" s="175">
        <v>22</v>
      </c>
      <c r="N60" s="175">
        <v>19.25</v>
      </c>
      <c r="O60" s="175">
        <v>23</v>
      </c>
      <c r="P60" s="175">
        <v>21</v>
      </c>
      <c r="Q60" s="175">
        <v>4</v>
      </c>
      <c r="R60" s="175">
        <v>91.25</v>
      </c>
    </row>
    <row r="61" spans="2:18">
      <c r="B61" s="181" t="s">
        <v>235</v>
      </c>
      <c r="C61" s="175"/>
      <c r="D61" s="175"/>
      <c r="E61" s="175"/>
      <c r="F61" s="175"/>
      <c r="G61" s="175"/>
      <c r="H61" s="175"/>
      <c r="I61" s="175"/>
      <c r="J61" s="175"/>
      <c r="K61" s="175"/>
      <c r="L61" s="175">
        <v>2</v>
      </c>
      <c r="M61" s="175">
        <v>22</v>
      </c>
      <c r="N61" s="175">
        <v>19.25</v>
      </c>
      <c r="O61" s="175">
        <v>23</v>
      </c>
      <c r="P61" s="175">
        <v>21</v>
      </c>
      <c r="Q61" s="175">
        <v>4</v>
      </c>
      <c r="R61" s="175">
        <v>91.25</v>
      </c>
    </row>
    <row r="62" spans="2:18">
      <c r="B62" s="176" t="s">
        <v>574</v>
      </c>
      <c r="C62" s="175"/>
      <c r="D62" s="175"/>
      <c r="E62" s="175"/>
      <c r="F62" s="175"/>
      <c r="G62" s="175">
        <v>18</v>
      </c>
      <c r="H62" s="175">
        <v>21</v>
      </c>
      <c r="I62" s="175">
        <v>20</v>
      </c>
      <c r="J62" s="175">
        <v>18</v>
      </c>
      <c r="K62" s="175">
        <v>18</v>
      </c>
      <c r="L62" s="175">
        <v>4</v>
      </c>
      <c r="M62" s="175"/>
      <c r="N62" s="175"/>
      <c r="O62" s="175"/>
      <c r="P62" s="175"/>
      <c r="Q62" s="175"/>
      <c r="R62" s="175">
        <v>99</v>
      </c>
    </row>
    <row r="63" spans="2:18">
      <c r="B63" s="181" t="s">
        <v>235</v>
      </c>
      <c r="C63" s="175"/>
      <c r="D63" s="175"/>
      <c r="E63" s="175"/>
      <c r="F63" s="175"/>
      <c r="G63" s="175">
        <v>16</v>
      </c>
      <c r="H63" s="175">
        <v>9.9</v>
      </c>
      <c r="I63" s="175">
        <v>8.9</v>
      </c>
      <c r="J63" s="175"/>
      <c r="K63" s="175"/>
      <c r="L63" s="175"/>
      <c r="M63" s="175"/>
      <c r="N63" s="175"/>
      <c r="O63" s="175"/>
      <c r="P63" s="175"/>
      <c r="Q63" s="175"/>
      <c r="R63" s="175">
        <v>34.799999999999997</v>
      </c>
    </row>
    <row r="64" spans="2:18">
      <c r="B64" s="181" t="s">
        <v>236</v>
      </c>
      <c r="C64" s="175"/>
      <c r="D64" s="175"/>
      <c r="E64" s="175"/>
      <c r="F64" s="175"/>
      <c r="G64" s="175">
        <v>2</v>
      </c>
      <c r="H64" s="175">
        <v>11.1</v>
      </c>
      <c r="I64" s="175">
        <v>11.1</v>
      </c>
      <c r="J64" s="175">
        <v>18</v>
      </c>
      <c r="K64" s="175">
        <v>18</v>
      </c>
      <c r="L64" s="175">
        <v>4</v>
      </c>
      <c r="M64" s="175"/>
      <c r="N64" s="175"/>
      <c r="O64" s="175"/>
      <c r="P64" s="175"/>
      <c r="Q64" s="175"/>
      <c r="R64" s="175">
        <v>64.2</v>
      </c>
    </row>
    <row r="65" spans="2:18">
      <c r="B65" s="176" t="s">
        <v>575</v>
      </c>
      <c r="C65" s="175"/>
      <c r="D65" s="175"/>
      <c r="E65" s="175"/>
      <c r="F65" s="175"/>
      <c r="G65" s="175">
        <v>11</v>
      </c>
      <c r="H65" s="175">
        <v>22</v>
      </c>
      <c r="I65" s="175">
        <v>20</v>
      </c>
      <c r="J65" s="175">
        <v>17.75</v>
      </c>
      <c r="K65" s="175">
        <v>16.5</v>
      </c>
      <c r="L65" s="175">
        <v>9</v>
      </c>
      <c r="M65" s="175">
        <v>13.15</v>
      </c>
      <c r="N65" s="175">
        <v>10</v>
      </c>
      <c r="O65" s="175">
        <v>12.5</v>
      </c>
      <c r="P65" s="175">
        <v>10</v>
      </c>
      <c r="Q65" s="175">
        <v>1.25</v>
      </c>
      <c r="R65" s="175">
        <v>143.15</v>
      </c>
    </row>
    <row r="66" spans="2:18">
      <c r="B66" s="181" t="s">
        <v>235</v>
      </c>
      <c r="C66" s="175"/>
      <c r="D66" s="175"/>
      <c r="E66" s="175"/>
      <c r="F66" s="175"/>
      <c r="G66" s="175">
        <v>11</v>
      </c>
      <c r="H66" s="175">
        <v>22</v>
      </c>
      <c r="I66" s="175">
        <v>20</v>
      </c>
      <c r="J66" s="175">
        <v>17.75</v>
      </c>
      <c r="K66" s="175">
        <v>16.5</v>
      </c>
      <c r="L66" s="175">
        <v>9</v>
      </c>
      <c r="M66" s="175">
        <v>13.15</v>
      </c>
      <c r="N66" s="175">
        <v>10</v>
      </c>
      <c r="O66" s="175">
        <v>12.5</v>
      </c>
      <c r="P66" s="175">
        <v>10</v>
      </c>
      <c r="Q66" s="175">
        <v>1.25</v>
      </c>
      <c r="R66" s="175">
        <v>143.15</v>
      </c>
    </row>
    <row r="67" spans="2:18">
      <c r="B67" s="176" t="s">
        <v>593</v>
      </c>
      <c r="C67" s="175"/>
      <c r="D67" s="175"/>
      <c r="E67" s="175"/>
      <c r="F67" s="175">
        <v>14</v>
      </c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>
        <v>14</v>
      </c>
    </row>
    <row r="68" spans="2:18">
      <c r="B68" s="181" t="s">
        <v>235</v>
      </c>
      <c r="C68" s="175"/>
      <c r="D68" s="175"/>
      <c r="E68" s="175"/>
      <c r="F68" s="175">
        <v>14</v>
      </c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>
        <v>14</v>
      </c>
    </row>
    <row r="69" spans="2:18">
      <c r="B69" s="176" t="s">
        <v>594</v>
      </c>
      <c r="C69" s="175"/>
      <c r="D69" s="175"/>
      <c r="E69" s="175"/>
      <c r="F69" s="175">
        <v>10.5</v>
      </c>
      <c r="G69" s="175">
        <v>8.5</v>
      </c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>
        <v>19</v>
      </c>
    </row>
    <row r="70" spans="2:18">
      <c r="B70" s="181" t="s">
        <v>235</v>
      </c>
      <c r="C70" s="175"/>
      <c r="D70" s="175"/>
      <c r="E70" s="175"/>
      <c r="F70" s="175">
        <v>10.5</v>
      </c>
      <c r="G70" s="175">
        <v>8.5</v>
      </c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>
        <v>19</v>
      </c>
    </row>
    <row r="71" spans="2:18">
      <c r="B71" s="176" t="s">
        <v>589</v>
      </c>
      <c r="C71" s="175"/>
      <c r="D71" s="175"/>
      <c r="E71" s="175"/>
      <c r="F71" s="175">
        <v>17</v>
      </c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>
        <v>17</v>
      </c>
    </row>
    <row r="72" spans="2:18">
      <c r="B72" s="181" t="s">
        <v>235</v>
      </c>
      <c r="C72" s="175"/>
      <c r="D72" s="175"/>
      <c r="E72" s="175"/>
      <c r="F72" s="175">
        <v>17</v>
      </c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>
        <v>17</v>
      </c>
    </row>
    <row r="73" spans="2:18">
      <c r="B73" s="176" t="s">
        <v>591</v>
      </c>
      <c r="C73" s="175"/>
      <c r="D73" s="175"/>
      <c r="E73" s="175"/>
      <c r="F73" s="175">
        <v>7</v>
      </c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>
        <v>7</v>
      </c>
    </row>
    <row r="74" spans="2:18">
      <c r="B74" s="181" t="s">
        <v>235</v>
      </c>
      <c r="C74" s="175"/>
      <c r="D74" s="175"/>
      <c r="E74" s="175"/>
      <c r="F74" s="175">
        <v>7</v>
      </c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>
        <v>7</v>
      </c>
    </row>
    <row r="75" spans="2:18">
      <c r="B75" s="176" t="s">
        <v>592</v>
      </c>
      <c r="C75" s="175"/>
      <c r="D75" s="175"/>
      <c r="E75" s="175"/>
      <c r="F75" s="175">
        <v>12.5</v>
      </c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>
        <v>12.5</v>
      </c>
    </row>
    <row r="76" spans="2:18">
      <c r="B76" s="181" t="s">
        <v>235</v>
      </c>
      <c r="C76" s="175"/>
      <c r="D76" s="175"/>
      <c r="E76" s="175"/>
      <c r="F76" s="175">
        <v>12.5</v>
      </c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>
        <v>12.5</v>
      </c>
    </row>
    <row r="77" spans="2:18">
      <c r="B77" s="176" t="s">
        <v>595</v>
      </c>
      <c r="C77" s="175"/>
      <c r="D77" s="175"/>
      <c r="E77" s="175"/>
      <c r="F77" s="175">
        <v>12.5</v>
      </c>
      <c r="G77" s="175">
        <v>13.5</v>
      </c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>
        <v>26</v>
      </c>
    </row>
    <row r="78" spans="2:18">
      <c r="B78" s="181" t="s">
        <v>235</v>
      </c>
      <c r="C78" s="175"/>
      <c r="D78" s="175"/>
      <c r="E78" s="175"/>
      <c r="F78" s="175">
        <v>12.5</v>
      </c>
      <c r="G78" s="175">
        <v>13.5</v>
      </c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>
        <v>26</v>
      </c>
    </row>
    <row r="79" spans="2:18">
      <c r="B79" s="176" t="s">
        <v>544</v>
      </c>
      <c r="C79" s="175"/>
      <c r="D79" s="175"/>
      <c r="E79" s="175"/>
      <c r="F79" s="175">
        <v>20.5</v>
      </c>
      <c r="G79" s="175">
        <v>20</v>
      </c>
      <c r="H79" s="175">
        <v>15</v>
      </c>
      <c r="I79" s="175">
        <v>9</v>
      </c>
      <c r="J79" s="175">
        <v>13</v>
      </c>
      <c r="K79" s="175">
        <v>17</v>
      </c>
      <c r="L79" s="175">
        <v>22</v>
      </c>
      <c r="M79" s="175">
        <v>12</v>
      </c>
      <c r="N79" s="175"/>
      <c r="O79" s="175"/>
      <c r="P79" s="175"/>
      <c r="Q79" s="175"/>
      <c r="R79" s="175">
        <v>128.5</v>
      </c>
    </row>
    <row r="80" spans="2:18">
      <c r="B80" s="181" t="s">
        <v>235</v>
      </c>
      <c r="C80" s="175"/>
      <c r="D80" s="175"/>
      <c r="E80" s="175"/>
      <c r="F80" s="175">
        <v>20.5</v>
      </c>
      <c r="G80" s="175">
        <v>20</v>
      </c>
      <c r="H80" s="175">
        <v>15</v>
      </c>
      <c r="I80" s="175">
        <v>9</v>
      </c>
      <c r="J80" s="175">
        <v>13</v>
      </c>
      <c r="K80" s="175">
        <v>17</v>
      </c>
      <c r="L80" s="175">
        <v>22</v>
      </c>
      <c r="M80" s="175">
        <v>12</v>
      </c>
      <c r="N80" s="175"/>
      <c r="O80" s="175"/>
      <c r="P80" s="175"/>
      <c r="Q80" s="175"/>
      <c r="R80" s="175">
        <v>128.5</v>
      </c>
    </row>
    <row r="81" spans="2:18">
      <c r="B81" s="176" t="s">
        <v>614</v>
      </c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>
        <v>18.5</v>
      </c>
      <c r="P81" s="175">
        <v>21</v>
      </c>
      <c r="Q81" s="175"/>
      <c r="R81" s="175">
        <v>39.5</v>
      </c>
    </row>
    <row r="82" spans="2:18">
      <c r="B82" s="181" t="s">
        <v>235</v>
      </c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>
        <v>18.5</v>
      </c>
      <c r="P82" s="175">
        <v>21</v>
      </c>
      <c r="Q82" s="175"/>
      <c r="R82" s="175">
        <v>39.5</v>
      </c>
    </row>
    <row r="83" spans="2:18">
      <c r="B83" s="176" t="s">
        <v>545</v>
      </c>
      <c r="C83" s="175"/>
      <c r="D83" s="175"/>
      <c r="E83" s="175"/>
      <c r="F83" s="175">
        <v>21</v>
      </c>
      <c r="G83" s="175">
        <v>19</v>
      </c>
      <c r="H83" s="175">
        <v>22</v>
      </c>
      <c r="I83" s="175">
        <v>20</v>
      </c>
      <c r="J83" s="175">
        <v>16</v>
      </c>
      <c r="K83" s="175">
        <v>1</v>
      </c>
      <c r="L83" s="175"/>
      <c r="M83" s="175"/>
      <c r="N83" s="175"/>
      <c r="O83" s="175"/>
      <c r="P83" s="175"/>
      <c r="Q83" s="175"/>
      <c r="R83" s="175">
        <v>99</v>
      </c>
    </row>
    <row r="84" spans="2:18">
      <c r="B84" s="181" t="s">
        <v>235</v>
      </c>
      <c r="C84" s="175"/>
      <c r="D84" s="175"/>
      <c r="E84" s="175"/>
      <c r="F84" s="175">
        <v>21</v>
      </c>
      <c r="G84" s="175">
        <v>19</v>
      </c>
      <c r="H84" s="175">
        <v>22</v>
      </c>
      <c r="I84" s="175">
        <v>20</v>
      </c>
      <c r="J84" s="175">
        <v>16</v>
      </c>
      <c r="K84" s="175">
        <v>1</v>
      </c>
      <c r="L84" s="175"/>
      <c r="M84" s="175"/>
      <c r="N84" s="175"/>
      <c r="O84" s="175"/>
      <c r="P84" s="175"/>
      <c r="Q84" s="175"/>
      <c r="R84" s="175">
        <v>99</v>
      </c>
    </row>
    <row r="85" spans="2:18">
      <c r="B85" s="176" t="s">
        <v>558</v>
      </c>
      <c r="C85" s="175"/>
      <c r="D85" s="175"/>
      <c r="E85" s="175"/>
      <c r="F85" s="175">
        <v>13.25</v>
      </c>
      <c r="G85" s="175">
        <v>13.25</v>
      </c>
      <c r="H85" s="175">
        <v>16.5</v>
      </c>
      <c r="I85" s="175">
        <v>11</v>
      </c>
      <c r="J85" s="175">
        <v>12.5</v>
      </c>
      <c r="K85" s="175">
        <v>15.5</v>
      </c>
      <c r="L85" s="175">
        <v>17.75</v>
      </c>
      <c r="M85" s="175">
        <v>6</v>
      </c>
      <c r="N85" s="175">
        <v>16</v>
      </c>
      <c r="O85" s="175">
        <v>18</v>
      </c>
      <c r="P85" s="175">
        <v>12</v>
      </c>
      <c r="Q85" s="175"/>
      <c r="R85" s="175">
        <v>151.75</v>
      </c>
    </row>
    <row r="86" spans="2:18">
      <c r="B86" s="181" t="s">
        <v>235</v>
      </c>
      <c r="C86" s="175"/>
      <c r="D86" s="175"/>
      <c r="E86" s="175"/>
      <c r="F86" s="175">
        <v>13.25</v>
      </c>
      <c r="G86" s="175">
        <v>13.25</v>
      </c>
      <c r="H86" s="175">
        <v>16.5</v>
      </c>
      <c r="I86" s="175">
        <v>11</v>
      </c>
      <c r="J86" s="175">
        <v>12.5</v>
      </c>
      <c r="K86" s="175">
        <v>15.5</v>
      </c>
      <c r="L86" s="175">
        <v>17.75</v>
      </c>
      <c r="M86" s="175">
        <v>6</v>
      </c>
      <c r="N86" s="175">
        <v>16</v>
      </c>
      <c r="O86" s="175">
        <v>18</v>
      </c>
      <c r="P86" s="175">
        <v>12</v>
      </c>
      <c r="Q86" s="175"/>
      <c r="R86" s="175">
        <v>151.75</v>
      </c>
    </row>
    <row r="87" spans="2:18">
      <c r="B87" s="176" t="s">
        <v>618</v>
      </c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>
        <v>8</v>
      </c>
      <c r="P87" s="175">
        <v>21</v>
      </c>
      <c r="Q87" s="175">
        <v>5</v>
      </c>
      <c r="R87" s="175">
        <v>34</v>
      </c>
    </row>
    <row r="88" spans="2:18">
      <c r="B88" s="181" t="s">
        <v>235</v>
      </c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>
        <v>8</v>
      </c>
      <c r="P88" s="175">
        <v>18</v>
      </c>
      <c r="Q88" s="175">
        <v>2</v>
      </c>
      <c r="R88" s="175">
        <v>28</v>
      </c>
    </row>
    <row r="89" spans="2:18">
      <c r="B89" s="181" t="s">
        <v>236</v>
      </c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>
        <v>3</v>
      </c>
      <c r="Q89" s="175">
        <v>3</v>
      </c>
      <c r="R89" s="175">
        <v>6</v>
      </c>
    </row>
    <row r="90" spans="2:18">
      <c r="B90" s="176" t="s">
        <v>407</v>
      </c>
      <c r="C90" s="175"/>
      <c r="D90" s="175"/>
      <c r="E90" s="175"/>
      <c r="F90" s="175">
        <v>19.2</v>
      </c>
      <c r="G90" s="175">
        <v>15.8</v>
      </c>
      <c r="H90" s="175">
        <v>20.200000000000003</v>
      </c>
      <c r="I90" s="175">
        <v>18.399999999999999</v>
      </c>
      <c r="J90" s="175">
        <v>11</v>
      </c>
      <c r="K90" s="175">
        <v>21</v>
      </c>
      <c r="L90" s="175">
        <v>21</v>
      </c>
      <c r="M90" s="175">
        <v>12</v>
      </c>
      <c r="N90" s="175">
        <v>19</v>
      </c>
      <c r="O90" s="175">
        <v>22</v>
      </c>
      <c r="P90" s="175">
        <v>21</v>
      </c>
      <c r="Q90" s="175">
        <v>4</v>
      </c>
      <c r="R90" s="175">
        <v>204.60000000000002</v>
      </c>
    </row>
    <row r="91" spans="2:18">
      <c r="B91" s="181" t="s">
        <v>238</v>
      </c>
      <c r="C91" s="175"/>
      <c r="D91" s="175"/>
      <c r="E91" s="175"/>
      <c r="F91" s="175">
        <v>19.2</v>
      </c>
      <c r="G91" s="175">
        <v>15.8</v>
      </c>
      <c r="H91" s="175">
        <v>19.600000000000001</v>
      </c>
      <c r="I91" s="175">
        <v>18.399999999999999</v>
      </c>
      <c r="J91" s="175">
        <v>11</v>
      </c>
      <c r="K91" s="175">
        <v>21</v>
      </c>
      <c r="L91" s="175">
        <v>21</v>
      </c>
      <c r="M91" s="175">
        <v>12</v>
      </c>
      <c r="N91" s="175">
        <v>8</v>
      </c>
      <c r="O91" s="175"/>
      <c r="P91" s="175">
        <v>0.3</v>
      </c>
      <c r="Q91" s="175"/>
      <c r="R91" s="175">
        <v>146.30000000000001</v>
      </c>
    </row>
    <row r="92" spans="2:18">
      <c r="B92" s="181" t="s">
        <v>237</v>
      </c>
      <c r="C92" s="175"/>
      <c r="D92" s="175"/>
      <c r="E92" s="175"/>
      <c r="F92" s="175"/>
      <c r="G92" s="175"/>
      <c r="H92" s="175">
        <v>0.6</v>
      </c>
      <c r="I92" s="175"/>
      <c r="J92" s="175"/>
      <c r="K92" s="175"/>
      <c r="L92" s="175"/>
      <c r="M92" s="175"/>
      <c r="N92" s="175"/>
      <c r="O92" s="175"/>
      <c r="P92" s="175"/>
      <c r="Q92" s="175"/>
      <c r="R92" s="175">
        <v>0.6</v>
      </c>
    </row>
    <row r="93" spans="2:18">
      <c r="B93" s="181" t="s">
        <v>235</v>
      </c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>
        <v>11</v>
      </c>
      <c r="O93" s="175">
        <v>22</v>
      </c>
      <c r="P93" s="175">
        <v>20.7</v>
      </c>
      <c r="Q93" s="175">
        <v>4</v>
      </c>
      <c r="R93" s="175">
        <v>57.7</v>
      </c>
    </row>
    <row r="94" spans="2:18">
      <c r="B94" s="176" t="s">
        <v>475</v>
      </c>
      <c r="C94" s="175"/>
      <c r="D94" s="175"/>
      <c r="E94" s="175"/>
      <c r="F94" s="175">
        <v>19</v>
      </c>
      <c r="G94" s="175">
        <v>18</v>
      </c>
      <c r="H94" s="175">
        <v>19.5</v>
      </c>
      <c r="I94" s="175">
        <v>20</v>
      </c>
      <c r="J94" s="175">
        <v>18.5</v>
      </c>
      <c r="K94" s="175">
        <v>12.5</v>
      </c>
      <c r="L94" s="175"/>
      <c r="M94" s="175"/>
      <c r="N94" s="175"/>
      <c r="O94" s="175"/>
      <c r="P94" s="175"/>
      <c r="Q94" s="175"/>
      <c r="R94" s="175">
        <v>107.49999999999999</v>
      </c>
    </row>
    <row r="95" spans="2:18">
      <c r="B95" s="181" t="s">
        <v>238</v>
      </c>
      <c r="C95" s="175"/>
      <c r="D95" s="175"/>
      <c r="E95" s="175"/>
      <c r="F95" s="175">
        <v>18.8</v>
      </c>
      <c r="G95" s="175">
        <v>17</v>
      </c>
      <c r="H95" s="175">
        <v>16.5</v>
      </c>
      <c r="I95" s="175">
        <v>18.2</v>
      </c>
      <c r="J95" s="175">
        <v>15.8</v>
      </c>
      <c r="K95" s="175">
        <v>12.1</v>
      </c>
      <c r="L95" s="175"/>
      <c r="M95" s="175"/>
      <c r="N95" s="175"/>
      <c r="O95" s="175"/>
      <c r="P95" s="175"/>
      <c r="Q95" s="175"/>
      <c r="R95" s="175">
        <v>98.399999999999991</v>
      </c>
    </row>
    <row r="96" spans="2:18">
      <c r="B96" s="181" t="s">
        <v>237</v>
      </c>
      <c r="C96" s="175"/>
      <c r="D96" s="175"/>
      <c r="E96" s="175"/>
      <c r="F96" s="175">
        <v>0.2</v>
      </c>
      <c r="G96" s="175">
        <v>1</v>
      </c>
      <c r="H96" s="175">
        <v>3</v>
      </c>
      <c r="I96" s="175">
        <v>1.8</v>
      </c>
      <c r="J96" s="175">
        <v>2.7</v>
      </c>
      <c r="K96" s="175">
        <v>0.4</v>
      </c>
      <c r="L96" s="175"/>
      <c r="M96" s="175"/>
      <c r="N96" s="175"/>
      <c r="O96" s="175"/>
      <c r="P96" s="175"/>
      <c r="Q96" s="175"/>
      <c r="R96" s="175">
        <v>9.1</v>
      </c>
    </row>
    <row r="97" spans="2:18">
      <c r="B97" s="176" t="s">
        <v>557</v>
      </c>
      <c r="C97" s="175"/>
      <c r="D97" s="175"/>
      <c r="E97" s="175"/>
      <c r="F97" s="175">
        <v>13</v>
      </c>
      <c r="G97" s="175">
        <v>16.95</v>
      </c>
      <c r="H97" s="175">
        <v>20.5</v>
      </c>
      <c r="I97" s="175">
        <v>19</v>
      </c>
      <c r="J97" s="175">
        <v>6</v>
      </c>
      <c r="K97" s="175">
        <v>20</v>
      </c>
      <c r="L97" s="175">
        <v>19</v>
      </c>
      <c r="M97" s="175">
        <v>15</v>
      </c>
      <c r="N97" s="175">
        <v>20</v>
      </c>
      <c r="O97" s="175">
        <v>23</v>
      </c>
      <c r="P97" s="175">
        <v>20</v>
      </c>
      <c r="Q97" s="175">
        <v>1</v>
      </c>
      <c r="R97" s="175">
        <v>193.45</v>
      </c>
    </row>
    <row r="98" spans="2:18">
      <c r="B98" s="181" t="s">
        <v>235</v>
      </c>
      <c r="C98" s="175"/>
      <c r="D98" s="175"/>
      <c r="E98" s="175"/>
      <c r="F98" s="175">
        <v>13</v>
      </c>
      <c r="G98" s="175">
        <v>16.95</v>
      </c>
      <c r="H98" s="175">
        <v>20.5</v>
      </c>
      <c r="I98" s="175">
        <v>19</v>
      </c>
      <c r="J98" s="175">
        <v>6</v>
      </c>
      <c r="K98" s="175">
        <v>20</v>
      </c>
      <c r="L98" s="175">
        <v>19</v>
      </c>
      <c r="M98" s="175">
        <v>15</v>
      </c>
      <c r="N98" s="175">
        <v>20</v>
      </c>
      <c r="O98" s="175">
        <v>23</v>
      </c>
      <c r="P98" s="175">
        <v>20</v>
      </c>
      <c r="Q98" s="175">
        <v>1</v>
      </c>
      <c r="R98" s="175">
        <v>193.45</v>
      </c>
    </row>
    <row r="99" spans="2:18">
      <c r="B99" s="176" t="s">
        <v>479</v>
      </c>
      <c r="C99" s="175"/>
      <c r="D99" s="175"/>
      <c r="E99" s="175"/>
      <c r="F99" s="175">
        <v>21</v>
      </c>
      <c r="G99" s="175">
        <v>18.5</v>
      </c>
      <c r="H99" s="175">
        <v>16</v>
      </c>
      <c r="I99" s="175">
        <v>16</v>
      </c>
      <c r="J99" s="175">
        <v>19</v>
      </c>
      <c r="K99" s="175">
        <v>21</v>
      </c>
      <c r="L99" s="175"/>
      <c r="M99" s="175"/>
      <c r="N99" s="175"/>
      <c r="O99" s="175"/>
      <c r="P99" s="175"/>
      <c r="Q99" s="175"/>
      <c r="R99" s="175">
        <v>111.5</v>
      </c>
    </row>
    <row r="100" spans="2:18">
      <c r="B100" s="181" t="s">
        <v>238</v>
      </c>
      <c r="C100" s="175"/>
      <c r="D100" s="175"/>
      <c r="E100" s="175"/>
      <c r="F100" s="175">
        <v>21</v>
      </c>
      <c r="G100" s="175">
        <v>18.5</v>
      </c>
      <c r="H100" s="175">
        <v>16</v>
      </c>
      <c r="I100" s="175">
        <v>16</v>
      </c>
      <c r="J100" s="175">
        <v>14</v>
      </c>
      <c r="K100" s="175">
        <v>21</v>
      </c>
      <c r="L100" s="175"/>
      <c r="M100" s="175"/>
      <c r="N100" s="175"/>
      <c r="O100" s="175"/>
      <c r="P100" s="175"/>
      <c r="Q100" s="175"/>
      <c r="R100" s="175">
        <v>106.5</v>
      </c>
    </row>
    <row r="101" spans="2:18">
      <c r="B101" s="181" t="s">
        <v>237</v>
      </c>
      <c r="C101" s="175"/>
      <c r="D101" s="175"/>
      <c r="E101" s="175"/>
      <c r="F101" s="175"/>
      <c r="G101" s="175"/>
      <c r="H101" s="175"/>
      <c r="I101" s="175"/>
      <c r="J101" s="175">
        <v>5</v>
      </c>
      <c r="K101" s="175"/>
      <c r="L101" s="175"/>
      <c r="M101" s="175"/>
      <c r="N101" s="175"/>
      <c r="O101" s="175"/>
      <c r="P101" s="175"/>
      <c r="Q101" s="175"/>
      <c r="R101" s="175">
        <v>5</v>
      </c>
    </row>
    <row r="102" spans="2:18">
      <c r="B102" s="176" t="s">
        <v>603</v>
      </c>
      <c r="C102" s="175"/>
      <c r="D102" s="175"/>
      <c r="E102" s="175"/>
      <c r="F102" s="175"/>
      <c r="G102" s="175"/>
      <c r="H102" s="175"/>
      <c r="I102" s="175"/>
      <c r="J102" s="175"/>
      <c r="K102" s="175"/>
      <c r="L102" s="175">
        <v>10</v>
      </c>
      <c r="M102" s="175">
        <v>19</v>
      </c>
      <c r="N102" s="175">
        <v>15</v>
      </c>
      <c r="O102" s="175">
        <v>23</v>
      </c>
      <c r="P102" s="175">
        <v>19</v>
      </c>
      <c r="Q102" s="175"/>
      <c r="R102" s="175">
        <v>86</v>
      </c>
    </row>
    <row r="103" spans="2:18">
      <c r="B103" s="181" t="s">
        <v>235</v>
      </c>
      <c r="C103" s="175"/>
      <c r="D103" s="175"/>
      <c r="E103" s="175"/>
      <c r="F103" s="175"/>
      <c r="G103" s="175"/>
      <c r="H103" s="175"/>
      <c r="I103" s="175"/>
      <c r="J103" s="175"/>
      <c r="K103" s="175"/>
      <c r="L103" s="175">
        <v>10</v>
      </c>
      <c r="M103" s="175">
        <v>19</v>
      </c>
      <c r="N103" s="175">
        <v>15</v>
      </c>
      <c r="O103" s="175">
        <v>23</v>
      </c>
      <c r="P103" s="175">
        <v>19</v>
      </c>
      <c r="Q103" s="175"/>
      <c r="R103" s="175">
        <v>86</v>
      </c>
    </row>
    <row r="104" spans="2:18">
      <c r="B104" s="176" t="s">
        <v>308</v>
      </c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>
        <v>3</v>
      </c>
      <c r="P104" s="175"/>
      <c r="Q104" s="175"/>
      <c r="R104" s="175">
        <v>3</v>
      </c>
    </row>
    <row r="105" spans="2:18">
      <c r="B105" s="181" t="s">
        <v>235</v>
      </c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>
        <v>3</v>
      </c>
      <c r="P105" s="175"/>
      <c r="Q105" s="175"/>
      <c r="R105" s="175">
        <v>3</v>
      </c>
    </row>
    <row r="106" spans="2:18">
      <c r="B106" s="176" t="s">
        <v>609</v>
      </c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>
        <v>15</v>
      </c>
      <c r="O106" s="175">
        <v>23</v>
      </c>
      <c r="P106" s="175">
        <v>19.75</v>
      </c>
      <c r="Q106" s="175">
        <v>3</v>
      </c>
      <c r="R106" s="175">
        <v>60.75</v>
      </c>
    </row>
    <row r="107" spans="2:18">
      <c r="B107" s="181" t="s">
        <v>238</v>
      </c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>
        <v>15</v>
      </c>
      <c r="O107" s="175">
        <v>23</v>
      </c>
      <c r="P107" s="175">
        <v>17.350000000000001</v>
      </c>
      <c r="Q107" s="175">
        <v>2.75</v>
      </c>
      <c r="R107" s="175">
        <v>58.1</v>
      </c>
    </row>
    <row r="108" spans="2:18">
      <c r="B108" s="181" t="s">
        <v>237</v>
      </c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>
        <v>2.4</v>
      </c>
      <c r="Q108" s="175">
        <v>0.25</v>
      </c>
      <c r="R108" s="175">
        <v>2.65</v>
      </c>
    </row>
    <row r="109" spans="2:18">
      <c r="B109" s="176" t="s">
        <v>581</v>
      </c>
      <c r="C109" s="175"/>
      <c r="D109" s="175"/>
      <c r="E109" s="175"/>
      <c r="F109" s="175"/>
      <c r="G109" s="175"/>
      <c r="H109" s="175">
        <v>15</v>
      </c>
      <c r="I109" s="175">
        <v>19.997920000000001</v>
      </c>
      <c r="J109" s="175">
        <v>18</v>
      </c>
      <c r="K109" s="175">
        <v>21</v>
      </c>
      <c r="L109" s="175">
        <v>14.5</v>
      </c>
      <c r="M109" s="175"/>
      <c r="N109" s="175"/>
      <c r="O109" s="175"/>
      <c r="P109" s="175"/>
      <c r="Q109" s="175"/>
      <c r="R109" s="175">
        <v>88.497919999999993</v>
      </c>
    </row>
    <row r="110" spans="2:18">
      <c r="B110" s="181" t="s">
        <v>235</v>
      </c>
      <c r="C110" s="175"/>
      <c r="D110" s="175"/>
      <c r="E110" s="175"/>
      <c r="F110" s="175"/>
      <c r="G110" s="175"/>
      <c r="H110" s="175">
        <v>15</v>
      </c>
      <c r="I110" s="175">
        <v>19.997920000000001</v>
      </c>
      <c r="J110" s="175">
        <v>18</v>
      </c>
      <c r="K110" s="175">
        <v>21</v>
      </c>
      <c r="L110" s="175">
        <v>14.5</v>
      </c>
      <c r="M110" s="175"/>
      <c r="N110" s="175"/>
      <c r="O110" s="175"/>
      <c r="P110" s="175"/>
      <c r="Q110" s="175"/>
      <c r="R110" s="175">
        <v>88.497919999999993</v>
      </c>
    </row>
    <row r="111" spans="2:18">
      <c r="B111" s="176" t="s">
        <v>413</v>
      </c>
      <c r="C111" s="175"/>
      <c r="D111" s="175"/>
      <c r="E111" s="175"/>
      <c r="F111" s="175">
        <v>13</v>
      </c>
      <c r="G111" s="175">
        <v>17</v>
      </c>
      <c r="H111" s="175">
        <v>19.5</v>
      </c>
      <c r="I111" s="175">
        <v>13</v>
      </c>
      <c r="J111" s="175">
        <v>14</v>
      </c>
      <c r="K111" s="175">
        <v>20</v>
      </c>
      <c r="L111" s="175">
        <v>19.5</v>
      </c>
      <c r="M111" s="175"/>
      <c r="N111" s="175">
        <v>20</v>
      </c>
      <c r="O111" s="175">
        <v>22</v>
      </c>
      <c r="P111" s="175">
        <v>15</v>
      </c>
      <c r="Q111" s="175">
        <v>4</v>
      </c>
      <c r="R111" s="175">
        <v>177</v>
      </c>
    </row>
    <row r="112" spans="2:18">
      <c r="B112" s="181" t="s">
        <v>238</v>
      </c>
      <c r="C112" s="175"/>
      <c r="D112" s="175"/>
      <c r="E112" s="175"/>
      <c r="F112" s="175">
        <v>12.15</v>
      </c>
      <c r="G112" s="175">
        <v>12.75</v>
      </c>
      <c r="H112" s="175">
        <v>18.2</v>
      </c>
      <c r="I112" s="175">
        <v>10.85</v>
      </c>
      <c r="J112" s="175">
        <v>13.8</v>
      </c>
      <c r="K112" s="175">
        <v>18.5</v>
      </c>
      <c r="L112" s="175">
        <v>16.850000000000001</v>
      </c>
      <c r="M112" s="175"/>
      <c r="N112" s="175">
        <v>18.7</v>
      </c>
      <c r="O112" s="175">
        <v>21.25</v>
      </c>
      <c r="P112" s="175">
        <v>12</v>
      </c>
      <c r="Q112" s="175">
        <v>3.2</v>
      </c>
      <c r="R112" s="175">
        <v>158.25</v>
      </c>
    </row>
    <row r="113" spans="2:18">
      <c r="B113" s="181" t="s">
        <v>237</v>
      </c>
      <c r="C113" s="175"/>
      <c r="D113" s="175"/>
      <c r="E113" s="175"/>
      <c r="F113" s="175">
        <v>0.85</v>
      </c>
      <c r="G113" s="175">
        <v>4.25</v>
      </c>
      <c r="H113" s="175">
        <v>1.3</v>
      </c>
      <c r="I113" s="175">
        <v>2.15</v>
      </c>
      <c r="J113" s="175">
        <v>0.2</v>
      </c>
      <c r="K113" s="175">
        <v>1.5</v>
      </c>
      <c r="L113" s="175">
        <v>2.65</v>
      </c>
      <c r="M113" s="175"/>
      <c r="N113" s="175">
        <v>1.3</v>
      </c>
      <c r="O113" s="175">
        <v>0.75</v>
      </c>
      <c r="P113" s="175">
        <v>3</v>
      </c>
      <c r="Q113" s="175">
        <v>0.8</v>
      </c>
      <c r="R113" s="175">
        <v>18.75</v>
      </c>
    </row>
    <row r="114" spans="2:18">
      <c r="B114" s="176" t="s">
        <v>559</v>
      </c>
      <c r="C114" s="175"/>
      <c r="D114" s="175"/>
      <c r="E114" s="175"/>
      <c r="F114" s="175">
        <v>16.8</v>
      </c>
      <c r="G114" s="175">
        <v>3.5</v>
      </c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>
        <v>20.3</v>
      </c>
    </row>
    <row r="115" spans="2:18">
      <c r="B115" s="181" t="s">
        <v>235</v>
      </c>
      <c r="C115" s="175"/>
      <c r="D115" s="175"/>
      <c r="E115" s="175"/>
      <c r="F115" s="175">
        <v>16.8</v>
      </c>
      <c r="G115" s="175">
        <v>3.5</v>
      </c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>
        <v>20.3</v>
      </c>
    </row>
    <row r="116" spans="2:18">
      <c r="B116" s="176" t="s">
        <v>620</v>
      </c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>
        <v>15</v>
      </c>
      <c r="Q116" s="175">
        <v>1.5</v>
      </c>
      <c r="R116" s="175">
        <v>16.5</v>
      </c>
    </row>
    <row r="117" spans="2:18">
      <c r="B117" s="181" t="s">
        <v>235</v>
      </c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>
        <v>15</v>
      </c>
      <c r="Q117" s="175">
        <v>1.5</v>
      </c>
      <c r="R117" s="175">
        <v>16.5</v>
      </c>
    </row>
    <row r="118" spans="2:18">
      <c r="B118" s="176" t="s">
        <v>577</v>
      </c>
      <c r="C118" s="175"/>
      <c r="D118" s="175"/>
      <c r="E118" s="175"/>
      <c r="F118" s="175"/>
      <c r="G118" s="175">
        <v>6</v>
      </c>
      <c r="H118" s="175">
        <v>21</v>
      </c>
      <c r="I118" s="175">
        <v>20</v>
      </c>
      <c r="J118" s="175">
        <v>19</v>
      </c>
      <c r="K118" s="175">
        <v>18</v>
      </c>
      <c r="L118" s="175">
        <v>20</v>
      </c>
      <c r="M118" s="175">
        <v>17</v>
      </c>
      <c r="N118" s="175">
        <v>17.5</v>
      </c>
      <c r="O118" s="175">
        <v>23</v>
      </c>
      <c r="P118" s="175">
        <v>21</v>
      </c>
      <c r="Q118" s="175"/>
      <c r="R118" s="175">
        <v>182.5</v>
      </c>
    </row>
    <row r="119" spans="2:18">
      <c r="B119" s="181" t="s">
        <v>235</v>
      </c>
      <c r="C119" s="175"/>
      <c r="D119" s="175"/>
      <c r="E119" s="175"/>
      <c r="F119" s="175"/>
      <c r="G119" s="175">
        <v>6</v>
      </c>
      <c r="H119" s="175">
        <v>21</v>
      </c>
      <c r="I119" s="175">
        <v>20</v>
      </c>
      <c r="J119" s="175">
        <v>19</v>
      </c>
      <c r="K119" s="175">
        <v>18</v>
      </c>
      <c r="L119" s="175">
        <v>20</v>
      </c>
      <c r="M119" s="175">
        <v>17</v>
      </c>
      <c r="N119" s="175">
        <v>17.5</v>
      </c>
      <c r="O119" s="175">
        <v>23</v>
      </c>
      <c r="P119" s="175">
        <v>21</v>
      </c>
      <c r="Q119" s="175"/>
      <c r="R119" s="175">
        <v>182.5</v>
      </c>
    </row>
    <row r="120" spans="2:18">
      <c r="B120" s="176" t="s">
        <v>549</v>
      </c>
      <c r="C120" s="175"/>
      <c r="D120" s="175"/>
      <c r="E120" s="175"/>
      <c r="F120" s="175">
        <v>15.15</v>
      </c>
      <c r="G120" s="175">
        <v>19.3</v>
      </c>
      <c r="H120" s="175">
        <v>21.3</v>
      </c>
      <c r="I120" s="175">
        <v>4</v>
      </c>
      <c r="J120" s="175"/>
      <c r="K120" s="175"/>
      <c r="L120" s="175"/>
      <c r="M120" s="175"/>
      <c r="N120" s="175"/>
      <c r="O120" s="175"/>
      <c r="P120" s="175"/>
      <c r="Q120" s="175"/>
      <c r="R120" s="175">
        <v>59.75</v>
      </c>
    </row>
    <row r="121" spans="2:18">
      <c r="B121" s="181" t="s">
        <v>235</v>
      </c>
      <c r="C121" s="175"/>
      <c r="D121" s="175"/>
      <c r="E121" s="175"/>
      <c r="F121" s="175">
        <v>15.15</v>
      </c>
      <c r="G121" s="175">
        <v>19.3</v>
      </c>
      <c r="H121" s="175">
        <v>21.3</v>
      </c>
      <c r="I121" s="175">
        <v>4</v>
      </c>
      <c r="J121" s="175"/>
      <c r="K121" s="175"/>
      <c r="L121" s="175"/>
      <c r="M121" s="175"/>
      <c r="N121" s="175"/>
      <c r="O121" s="175"/>
      <c r="P121" s="175"/>
      <c r="Q121" s="175"/>
      <c r="R121" s="175">
        <v>59.75</v>
      </c>
    </row>
    <row r="122" spans="2:18">
      <c r="B122" s="176" t="s">
        <v>616</v>
      </c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>
        <v>8</v>
      </c>
      <c r="P122" s="175">
        <v>20.5</v>
      </c>
      <c r="Q122" s="175"/>
      <c r="R122" s="175">
        <v>28.5</v>
      </c>
    </row>
    <row r="123" spans="2:18">
      <c r="B123" s="181" t="s">
        <v>235</v>
      </c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>
        <v>8</v>
      </c>
      <c r="P123" s="175">
        <v>20.5</v>
      </c>
      <c r="Q123" s="175"/>
      <c r="R123" s="175">
        <v>28.5</v>
      </c>
    </row>
    <row r="124" spans="2:18">
      <c r="B124" s="176" t="s">
        <v>444</v>
      </c>
      <c r="C124" s="175"/>
      <c r="D124" s="175"/>
      <c r="E124" s="175"/>
      <c r="F124" s="175">
        <v>20</v>
      </c>
      <c r="G124" s="175">
        <v>20</v>
      </c>
      <c r="H124" s="175">
        <v>20.8</v>
      </c>
      <c r="I124" s="175">
        <v>19.5</v>
      </c>
      <c r="J124" s="175">
        <v>19</v>
      </c>
      <c r="K124" s="175">
        <v>20</v>
      </c>
      <c r="L124" s="175">
        <v>18</v>
      </c>
      <c r="M124" s="175">
        <v>20</v>
      </c>
      <c r="N124" s="175">
        <v>15</v>
      </c>
      <c r="O124" s="175">
        <v>21</v>
      </c>
      <c r="P124" s="175">
        <v>20.5</v>
      </c>
      <c r="Q124" s="175"/>
      <c r="R124" s="175">
        <v>213.8</v>
      </c>
    </row>
    <row r="125" spans="2:18">
      <c r="B125" s="181" t="s">
        <v>238</v>
      </c>
      <c r="C125" s="175"/>
      <c r="D125" s="175"/>
      <c r="E125" s="175"/>
      <c r="F125" s="175">
        <v>20</v>
      </c>
      <c r="G125" s="175">
        <v>20</v>
      </c>
      <c r="H125" s="175">
        <v>17.100000000000001</v>
      </c>
      <c r="I125" s="175">
        <v>16.5</v>
      </c>
      <c r="J125" s="175">
        <v>6.3</v>
      </c>
      <c r="K125" s="175">
        <v>12.5</v>
      </c>
      <c r="L125" s="175">
        <v>15.95</v>
      </c>
      <c r="M125" s="175">
        <v>19.399999999999999</v>
      </c>
      <c r="N125" s="175">
        <v>14.6</v>
      </c>
      <c r="O125" s="175">
        <v>15.5</v>
      </c>
      <c r="P125" s="175">
        <v>17.55</v>
      </c>
      <c r="Q125" s="175"/>
      <c r="R125" s="175">
        <v>175.4</v>
      </c>
    </row>
    <row r="126" spans="2:18">
      <c r="B126" s="181" t="s">
        <v>237</v>
      </c>
      <c r="C126" s="175"/>
      <c r="D126" s="175"/>
      <c r="E126" s="175"/>
      <c r="F126" s="175"/>
      <c r="G126" s="175"/>
      <c r="H126" s="175">
        <v>3.7</v>
      </c>
      <c r="I126" s="175">
        <v>3</v>
      </c>
      <c r="J126" s="175">
        <v>12.7</v>
      </c>
      <c r="K126" s="175">
        <v>7.5</v>
      </c>
      <c r="L126" s="175">
        <v>2.0499999999999998</v>
      </c>
      <c r="M126" s="175">
        <v>0.6</v>
      </c>
      <c r="N126" s="175">
        <v>0.4</v>
      </c>
      <c r="O126" s="175">
        <v>5.5</v>
      </c>
      <c r="P126" s="175">
        <v>2.95</v>
      </c>
      <c r="Q126" s="175"/>
      <c r="R126" s="175">
        <v>38.400000000000006</v>
      </c>
    </row>
    <row r="127" spans="2:18">
      <c r="B127" s="176" t="s">
        <v>547</v>
      </c>
      <c r="C127" s="175"/>
      <c r="D127" s="175"/>
      <c r="E127" s="175"/>
      <c r="F127" s="175">
        <v>16</v>
      </c>
      <c r="G127" s="175">
        <v>15</v>
      </c>
      <c r="H127" s="175">
        <v>20</v>
      </c>
      <c r="I127" s="175">
        <v>18</v>
      </c>
      <c r="J127" s="175">
        <v>17</v>
      </c>
      <c r="K127" s="175">
        <v>18</v>
      </c>
      <c r="L127" s="175">
        <v>16</v>
      </c>
      <c r="M127" s="175">
        <v>21</v>
      </c>
      <c r="N127" s="175">
        <v>18</v>
      </c>
      <c r="O127" s="175">
        <v>17</v>
      </c>
      <c r="P127" s="175">
        <v>20</v>
      </c>
      <c r="Q127" s="175">
        <v>5</v>
      </c>
      <c r="R127" s="175">
        <v>201</v>
      </c>
    </row>
    <row r="128" spans="2:18">
      <c r="B128" s="181" t="s">
        <v>235</v>
      </c>
      <c r="C128" s="175"/>
      <c r="D128" s="175"/>
      <c r="E128" s="175"/>
      <c r="F128" s="175">
        <v>16</v>
      </c>
      <c r="G128" s="175">
        <v>15</v>
      </c>
      <c r="H128" s="175">
        <v>20</v>
      </c>
      <c r="I128" s="175">
        <v>18</v>
      </c>
      <c r="J128" s="175">
        <v>17</v>
      </c>
      <c r="K128" s="175">
        <v>18</v>
      </c>
      <c r="L128" s="175">
        <v>16</v>
      </c>
      <c r="M128" s="175">
        <v>21</v>
      </c>
      <c r="N128" s="175">
        <v>18</v>
      </c>
      <c r="O128" s="175">
        <v>17</v>
      </c>
      <c r="P128" s="175">
        <v>20</v>
      </c>
      <c r="Q128" s="175">
        <v>5</v>
      </c>
      <c r="R128" s="175">
        <v>201</v>
      </c>
    </row>
    <row r="129" spans="2:18">
      <c r="B129" s="176" t="s">
        <v>541</v>
      </c>
      <c r="C129" s="175"/>
      <c r="D129" s="175"/>
      <c r="E129" s="175"/>
      <c r="F129" s="175">
        <v>19</v>
      </c>
      <c r="G129" s="175">
        <v>18</v>
      </c>
      <c r="H129" s="175">
        <v>20.5</v>
      </c>
      <c r="I129" s="175">
        <v>17</v>
      </c>
      <c r="J129" s="175">
        <v>10.5</v>
      </c>
      <c r="K129" s="175">
        <v>7</v>
      </c>
      <c r="L129" s="175">
        <v>20</v>
      </c>
      <c r="M129" s="175">
        <v>20</v>
      </c>
      <c r="N129" s="175">
        <v>20</v>
      </c>
      <c r="O129" s="175">
        <v>17</v>
      </c>
      <c r="P129" s="175">
        <v>19</v>
      </c>
      <c r="Q129" s="175"/>
      <c r="R129" s="175">
        <v>188</v>
      </c>
    </row>
    <row r="130" spans="2:18">
      <c r="B130" s="181" t="s">
        <v>235</v>
      </c>
      <c r="C130" s="175"/>
      <c r="D130" s="175"/>
      <c r="E130" s="175"/>
      <c r="F130" s="175">
        <v>19</v>
      </c>
      <c r="G130" s="175">
        <v>16</v>
      </c>
      <c r="H130" s="175">
        <v>16.5</v>
      </c>
      <c r="I130" s="175">
        <v>14.5</v>
      </c>
      <c r="J130" s="175">
        <v>10</v>
      </c>
      <c r="K130" s="175">
        <v>5</v>
      </c>
      <c r="L130" s="175">
        <v>15</v>
      </c>
      <c r="M130" s="175">
        <v>18</v>
      </c>
      <c r="N130" s="175">
        <v>18</v>
      </c>
      <c r="O130" s="175">
        <v>14</v>
      </c>
      <c r="P130" s="175">
        <v>17</v>
      </c>
      <c r="Q130" s="175"/>
      <c r="R130" s="175">
        <v>163</v>
      </c>
    </row>
    <row r="131" spans="2:18">
      <c r="B131" s="181" t="s">
        <v>236</v>
      </c>
      <c r="C131" s="175"/>
      <c r="D131" s="175"/>
      <c r="E131" s="175"/>
      <c r="F131" s="175"/>
      <c r="G131" s="175">
        <v>2</v>
      </c>
      <c r="H131" s="175">
        <v>4</v>
      </c>
      <c r="I131" s="175">
        <v>2.5</v>
      </c>
      <c r="J131" s="175">
        <v>0.5</v>
      </c>
      <c r="K131" s="175">
        <v>2</v>
      </c>
      <c r="L131" s="175">
        <v>5</v>
      </c>
      <c r="M131" s="175">
        <v>2</v>
      </c>
      <c r="N131" s="175">
        <v>2</v>
      </c>
      <c r="O131" s="175">
        <v>3</v>
      </c>
      <c r="P131" s="175">
        <v>2</v>
      </c>
      <c r="Q131" s="175"/>
      <c r="R131" s="175">
        <v>25</v>
      </c>
    </row>
    <row r="132" spans="2:18">
      <c r="B132" s="176" t="s">
        <v>546</v>
      </c>
      <c r="C132" s="175"/>
      <c r="D132" s="175"/>
      <c r="E132" s="175"/>
      <c r="F132" s="175">
        <v>18</v>
      </c>
      <c r="G132" s="175">
        <v>19</v>
      </c>
      <c r="H132" s="175">
        <v>22</v>
      </c>
      <c r="I132" s="175">
        <v>19.5</v>
      </c>
      <c r="J132" s="175">
        <v>12</v>
      </c>
      <c r="K132" s="175">
        <v>20.5</v>
      </c>
      <c r="L132" s="175">
        <v>19.5</v>
      </c>
      <c r="M132" s="175">
        <v>20</v>
      </c>
      <c r="N132" s="175">
        <v>20</v>
      </c>
      <c r="O132" s="175">
        <v>22.75</v>
      </c>
      <c r="P132" s="175">
        <v>20</v>
      </c>
      <c r="Q132" s="175"/>
      <c r="R132" s="175">
        <v>213.25</v>
      </c>
    </row>
    <row r="133" spans="2:18">
      <c r="B133" s="181" t="s">
        <v>235</v>
      </c>
      <c r="C133" s="175"/>
      <c r="D133" s="175"/>
      <c r="E133" s="175"/>
      <c r="F133" s="175">
        <v>18</v>
      </c>
      <c r="G133" s="175">
        <v>19</v>
      </c>
      <c r="H133" s="175">
        <v>22</v>
      </c>
      <c r="I133" s="175">
        <v>19.5</v>
      </c>
      <c r="J133" s="175">
        <v>12</v>
      </c>
      <c r="K133" s="175">
        <v>20.5</v>
      </c>
      <c r="L133" s="175">
        <v>19.5</v>
      </c>
      <c r="M133" s="175">
        <v>20</v>
      </c>
      <c r="N133" s="175">
        <v>20</v>
      </c>
      <c r="O133" s="175">
        <v>22.75</v>
      </c>
      <c r="P133" s="175">
        <v>20</v>
      </c>
      <c r="Q133" s="175"/>
      <c r="R133" s="175">
        <v>213.25</v>
      </c>
    </row>
    <row r="134" spans="2:18">
      <c r="B134" s="176" t="s">
        <v>584</v>
      </c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>
        <v>4</v>
      </c>
      <c r="N134" s="175">
        <v>19.5</v>
      </c>
      <c r="O134" s="175">
        <v>21.5</v>
      </c>
      <c r="P134" s="175">
        <v>20</v>
      </c>
      <c r="Q134" s="175"/>
      <c r="R134" s="175">
        <v>65</v>
      </c>
    </row>
    <row r="135" spans="2:18">
      <c r="B135" s="181" t="s">
        <v>235</v>
      </c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>
        <v>4</v>
      </c>
      <c r="N135" s="175">
        <v>19.5</v>
      </c>
      <c r="O135" s="175">
        <v>21.5</v>
      </c>
      <c r="P135" s="175">
        <v>20</v>
      </c>
      <c r="Q135" s="175"/>
      <c r="R135" s="175">
        <v>65</v>
      </c>
    </row>
    <row r="136" spans="2:18">
      <c r="B136" s="176" t="s">
        <v>621</v>
      </c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>
        <v>15</v>
      </c>
      <c r="Q136" s="175"/>
      <c r="R136" s="175">
        <v>15</v>
      </c>
    </row>
    <row r="137" spans="2:18">
      <c r="B137" s="181" t="s">
        <v>235</v>
      </c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>
        <v>15</v>
      </c>
      <c r="Q137" s="175"/>
      <c r="R137" s="175">
        <v>15</v>
      </c>
    </row>
    <row r="138" spans="2:18">
      <c r="B138" s="176" t="s">
        <v>543</v>
      </c>
      <c r="C138" s="175"/>
      <c r="D138" s="175"/>
      <c r="E138" s="175"/>
      <c r="F138" s="175">
        <v>17</v>
      </c>
      <c r="G138" s="175">
        <v>20</v>
      </c>
      <c r="H138" s="175">
        <v>19.5</v>
      </c>
      <c r="I138" s="175">
        <v>17</v>
      </c>
      <c r="J138" s="175">
        <v>11</v>
      </c>
      <c r="K138" s="175">
        <v>18</v>
      </c>
      <c r="L138" s="175">
        <v>19</v>
      </c>
      <c r="M138" s="175">
        <v>15</v>
      </c>
      <c r="N138" s="175">
        <v>17</v>
      </c>
      <c r="O138" s="175">
        <v>23</v>
      </c>
      <c r="P138" s="175">
        <v>17.5</v>
      </c>
      <c r="Q138" s="175"/>
      <c r="R138" s="175">
        <v>194</v>
      </c>
    </row>
    <row r="139" spans="2:18">
      <c r="B139" s="181" t="s">
        <v>235</v>
      </c>
      <c r="C139" s="175"/>
      <c r="D139" s="175"/>
      <c r="E139" s="175"/>
      <c r="F139" s="175">
        <v>17</v>
      </c>
      <c r="G139" s="175">
        <v>8</v>
      </c>
      <c r="H139" s="175">
        <v>13.5</v>
      </c>
      <c r="I139" s="175">
        <v>11</v>
      </c>
      <c r="J139" s="175">
        <v>6</v>
      </c>
      <c r="K139" s="175">
        <v>12</v>
      </c>
      <c r="L139" s="175">
        <v>8</v>
      </c>
      <c r="M139" s="175">
        <v>9</v>
      </c>
      <c r="N139" s="175">
        <v>15.5</v>
      </c>
      <c r="O139" s="175">
        <v>19</v>
      </c>
      <c r="P139" s="175">
        <v>12.5</v>
      </c>
      <c r="Q139" s="175"/>
      <c r="R139" s="175">
        <v>131.5</v>
      </c>
    </row>
    <row r="140" spans="2:18">
      <c r="B140" s="181" t="s">
        <v>236</v>
      </c>
      <c r="C140" s="175"/>
      <c r="D140" s="175"/>
      <c r="E140" s="175"/>
      <c r="F140" s="175"/>
      <c r="G140" s="175">
        <v>12</v>
      </c>
      <c r="H140" s="175">
        <v>6</v>
      </c>
      <c r="I140" s="175">
        <v>6</v>
      </c>
      <c r="J140" s="175">
        <v>5</v>
      </c>
      <c r="K140" s="175">
        <v>6</v>
      </c>
      <c r="L140" s="175">
        <v>11</v>
      </c>
      <c r="M140" s="175">
        <v>6</v>
      </c>
      <c r="N140" s="175">
        <v>1.5</v>
      </c>
      <c r="O140" s="175">
        <v>4</v>
      </c>
      <c r="P140" s="175">
        <v>5</v>
      </c>
      <c r="Q140" s="175"/>
      <c r="R140" s="175">
        <v>62.5</v>
      </c>
    </row>
    <row r="141" spans="2:18">
      <c r="B141" s="176" t="s">
        <v>612</v>
      </c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>
        <v>10</v>
      </c>
      <c r="O141" s="175">
        <v>23</v>
      </c>
      <c r="P141" s="175">
        <v>20.5</v>
      </c>
      <c r="Q141" s="175"/>
      <c r="R141" s="175">
        <v>53.5</v>
      </c>
    </row>
    <row r="142" spans="2:18">
      <c r="B142" s="181" t="s">
        <v>238</v>
      </c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>
        <v>10</v>
      </c>
      <c r="O142" s="175">
        <v>21.47</v>
      </c>
      <c r="P142" s="175">
        <v>18.46</v>
      </c>
      <c r="Q142" s="175"/>
      <c r="R142" s="175">
        <v>49.93</v>
      </c>
    </row>
    <row r="143" spans="2:18">
      <c r="B143" s="181" t="s">
        <v>237</v>
      </c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>
        <v>1.53</v>
      </c>
      <c r="P143" s="175">
        <v>2.04</v>
      </c>
      <c r="Q143" s="175"/>
      <c r="R143" s="175">
        <v>3.5700000000000003</v>
      </c>
    </row>
    <row r="144" spans="2:18">
      <c r="B144" s="176" t="s">
        <v>570</v>
      </c>
      <c r="C144" s="175"/>
      <c r="D144" s="175"/>
      <c r="E144" s="175"/>
      <c r="F144" s="175">
        <v>16</v>
      </c>
      <c r="G144" s="175">
        <v>20</v>
      </c>
      <c r="H144" s="175">
        <v>22</v>
      </c>
      <c r="I144" s="175">
        <v>17</v>
      </c>
      <c r="J144" s="175">
        <v>15</v>
      </c>
      <c r="K144" s="175">
        <v>4</v>
      </c>
      <c r="L144" s="175">
        <v>15</v>
      </c>
      <c r="M144" s="175">
        <v>13</v>
      </c>
      <c r="N144" s="175">
        <v>20</v>
      </c>
      <c r="O144" s="175">
        <v>22</v>
      </c>
      <c r="P144" s="175">
        <v>9</v>
      </c>
      <c r="Q144" s="175"/>
      <c r="R144" s="175">
        <v>173</v>
      </c>
    </row>
    <row r="145" spans="2:18">
      <c r="B145" s="181" t="s">
        <v>235</v>
      </c>
      <c r="C145" s="175"/>
      <c r="D145" s="175"/>
      <c r="E145" s="175"/>
      <c r="F145" s="175">
        <v>16</v>
      </c>
      <c r="G145" s="175">
        <v>20</v>
      </c>
      <c r="H145" s="175">
        <v>22</v>
      </c>
      <c r="I145" s="175">
        <v>17</v>
      </c>
      <c r="J145" s="175">
        <v>15</v>
      </c>
      <c r="K145" s="175">
        <v>4</v>
      </c>
      <c r="L145" s="175">
        <v>15</v>
      </c>
      <c r="M145" s="175">
        <v>13</v>
      </c>
      <c r="N145" s="175">
        <v>20</v>
      </c>
      <c r="O145" s="175">
        <v>22</v>
      </c>
      <c r="P145" s="175">
        <v>9</v>
      </c>
      <c r="Q145" s="175"/>
      <c r="R145" s="175">
        <v>173</v>
      </c>
    </row>
    <row r="146" spans="2:18">
      <c r="B146" s="176" t="s">
        <v>551</v>
      </c>
      <c r="C146" s="175"/>
      <c r="D146" s="175"/>
      <c r="E146" s="175"/>
      <c r="F146" s="175">
        <v>13</v>
      </c>
      <c r="G146" s="175">
        <v>18</v>
      </c>
      <c r="H146" s="175">
        <v>18.5</v>
      </c>
      <c r="I146" s="175">
        <v>20</v>
      </c>
      <c r="J146" s="175">
        <v>11</v>
      </c>
      <c r="K146" s="175">
        <v>10</v>
      </c>
      <c r="L146" s="175">
        <v>21</v>
      </c>
      <c r="M146" s="175">
        <v>19</v>
      </c>
      <c r="N146" s="175">
        <v>20</v>
      </c>
      <c r="O146" s="175">
        <v>23</v>
      </c>
      <c r="P146" s="175">
        <v>10</v>
      </c>
      <c r="Q146" s="175"/>
      <c r="R146" s="175">
        <v>183.5</v>
      </c>
    </row>
    <row r="147" spans="2:18">
      <c r="B147" s="181" t="s">
        <v>235</v>
      </c>
      <c r="C147" s="175"/>
      <c r="D147" s="175"/>
      <c r="E147" s="175"/>
      <c r="F147" s="175">
        <v>13</v>
      </c>
      <c r="G147" s="175">
        <v>18</v>
      </c>
      <c r="H147" s="175">
        <v>18.5</v>
      </c>
      <c r="I147" s="175">
        <v>20</v>
      </c>
      <c r="J147" s="175">
        <v>11</v>
      </c>
      <c r="K147" s="175">
        <v>10</v>
      </c>
      <c r="L147" s="175">
        <v>21</v>
      </c>
      <c r="M147" s="175">
        <v>19</v>
      </c>
      <c r="N147" s="175">
        <v>20</v>
      </c>
      <c r="O147" s="175">
        <v>23</v>
      </c>
      <c r="P147" s="175">
        <v>10</v>
      </c>
      <c r="Q147" s="175"/>
      <c r="R147" s="175">
        <v>183.5</v>
      </c>
    </row>
    <row r="148" spans="2:18">
      <c r="B148" s="176" t="s">
        <v>410</v>
      </c>
      <c r="C148" s="175"/>
      <c r="D148" s="175"/>
      <c r="E148" s="175"/>
      <c r="F148" s="175">
        <v>17.5</v>
      </c>
      <c r="G148" s="175">
        <v>16.399999999999999</v>
      </c>
      <c r="H148" s="175">
        <v>20</v>
      </c>
      <c r="I148" s="175">
        <v>12</v>
      </c>
      <c r="J148" s="175"/>
      <c r="K148" s="175"/>
      <c r="L148" s="175"/>
      <c r="M148" s="175"/>
      <c r="N148" s="175"/>
      <c r="O148" s="175"/>
      <c r="P148" s="175">
        <v>17</v>
      </c>
      <c r="Q148" s="175">
        <v>2.0499999999999998</v>
      </c>
      <c r="R148" s="175">
        <v>84.949999999999989</v>
      </c>
    </row>
    <row r="149" spans="2:18">
      <c r="B149" s="181" t="s">
        <v>238</v>
      </c>
      <c r="C149" s="175"/>
      <c r="D149" s="175"/>
      <c r="E149" s="175"/>
      <c r="F149" s="175">
        <v>16.05</v>
      </c>
      <c r="G149" s="175">
        <v>16.399999999999999</v>
      </c>
      <c r="H149" s="175">
        <v>18.899999999999999</v>
      </c>
      <c r="I149" s="175">
        <v>12</v>
      </c>
      <c r="J149" s="175"/>
      <c r="K149" s="175"/>
      <c r="L149" s="175"/>
      <c r="M149" s="175"/>
      <c r="N149" s="175"/>
      <c r="O149" s="175"/>
      <c r="P149" s="175">
        <v>17</v>
      </c>
      <c r="Q149" s="175">
        <v>2.0499999999999998</v>
      </c>
      <c r="R149" s="175">
        <v>82.399999999999991</v>
      </c>
    </row>
    <row r="150" spans="2:18">
      <c r="B150" s="181" t="s">
        <v>237</v>
      </c>
      <c r="C150" s="175"/>
      <c r="D150" s="175"/>
      <c r="E150" s="175"/>
      <c r="F150" s="175">
        <v>1.45</v>
      </c>
      <c r="G150" s="175"/>
      <c r="H150" s="175">
        <v>1.1000000000000001</v>
      </c>
      <c r="I150" s="175"/>
      <c r="J150" s="175"/>
      <c r="K150" s="175"/>
      <c r="L150" s="175"/>
      <c r="M150" s="175"/>
      <c r="N150" s="175"/>
      <c r="O150" s="175"/>
      <c r="P150" s="175"/>
      <c r="Q150" s="175"/>
      <c r="R150" s="175">
        <v>2.5499999999999998</v>
      </c>
    </row>
    <row r="151" spans="2:18">
      <c r="B151" s="176" t="s">
        <v>607</v>
      </c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>
        <v>22</v>
      </c>
      <c r="N151" s="175">
        <v>19.5</v>
      </c>
      <c r="O151" s="175">
        <v>18</v>
      </c>
      <c r="P151" s="175">
        <v>20</v>
      </c>
      <c r="Q151" s="175">
        <v>5</v>
      </c>
      <c r="R151" s="175">
        <v>84.5</v>
      </c>
    </row>
    <row r="152" spans="2:18">
      <c r="B152" s="181" t="s">
        <v>235</v>
      </c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>
        <v>22</v>
      </c>
      <c r="N152" s="175">
        <v>19.5</v>
      </c>
      <c r="O152" s="175">
        <v>18</v>
      </c>
      <c r="P152" s="175">
        <v>20</v>
      </c>
      <c r="Q152" s="175">
        <v>5</v>
      </c>
      <c r="R152" s="175">
        <v>84.5</v>
      </c>
    </row>
    <row r="153" spans="2:18">
      <c r="B153" s="176" t="s">
        <v>553</v>
      </c>
      <c r="C153" s="175"/>
      <c r="D153" s="175"/>
      <c r="E153" s="175"/>
      <c r="F153" s="175">
        <v>9.5</v>
      </c>
      <c r="G153" s="175">
        <v>20</v>
      </c>
      <c r="H153" s="175">
        <v>21</v>
      </c>
      <c r="I153" s="175">
        <v>20</v>
      </c>
      <c r="J153" s="175">
        <v>18</v>
      </c>
      <c r="K153" s="175">
        <v>18</v>
      </c>
      <c r="L153" s="175">
        <v>19.5</v>
      </c>
      <c r="M153" s="175">
        <v>15</v>
      </c>
      <c r="N153" s="175">
        <v>10</v>
      </c>
      <c r="O153" s="175">
        <v>23</v>
      </c>
      <c r="P153" s="175">
        <v>21</v>
      </c>
      <c r="Q153" s="175"/>
      <c r="R153" s="175">
        <v>195</v>
      </c>
    </row>
    <row r="154" spans="2:18">
      <c r="B154" s="181" t="s">
        <v>235</v>
      </c>
      <c r="C154" s="175"/>
      <c r="D154" s="175"/>
      <c r="E154" s="175"/>
      <c r="F154" s="175">
        <v>9.5</v>
      </c>
      <c r="G154" s="175">
        <v>20</v>
      </c>
      <c r="H154" s="175">
        <v>21</v>
      </c>
      <c r="I154" s="175">
        <v>20</v>
      </c>
      <c r="J154" s="175">
        <v>18</v>
      </c>
      <c r="K154" s="175">
        <v>18</v>
      </c>
      <c r="L154" s="175">
        <v>19.5</v>
      </c>
      <c r="M154" s="175">
        <v>15</v>
      </c>
      <c r="N154" s="175">
        <v>10</v>
      </c>
      <c r="O154" s="175">
        <v>23</v>
      </c>
      <c r="P154" s="175">
        <v>21</v>
      </c>
      <c r="Q154" s="175"/>
      <c r="R154" s="175">
        <v>195</v>
      </c>
    </row>
    <row r="155" spans="2:18">
      <c r="B155" s="176" t="s">
        <v>443</v>
      </c>
      <c r="C155" s="175"/>
      <c r="D155" s="175"/>
      <c r="E155" s="175"/>
      <c r="F155" s="175">
        <v>21</v>
      </c>
      <c r="G155" s="175">
        <v>20</v>
      </c>
      <c r="H155" s="175">
        <v>22</v>
      </c>
      <c r="I155" s="175">
        <v>18.5</v>
      </c>
      <c r="J155" s="175">
        <v>18</v>
      </c>
      <c r="K155" s="175">
        <v>14</v>
      </c>
      <c r="L155" s="175">
        <v>20</v>
      </c>
      <c r="M155" s="175">
        <v>16</v>
      </c>
      <c r="N155" s="175"/>
      <c r="O155" s="175"/>
      <c r="P155" s="175"/>
      <c r="Q155" s="175"/>
      <c r="R155" s="175">
        <v>149.5</v>
      </c>
    </row>
    <row r="156" spans="2:18">
      <c r="B156" s="181" t="s">
        <v>238</v>
      </c>
      <c r="C156" s="175"/>
      <c r="D156" s="175"/>
      <c r="E156" s="175"/>
      <c r="F156" s="175">
        <v>19.25</v>
      </c>
      <c r="G156" s="175">
        <v>18.3</v>
      </c>
      <c r="H156" s="175">
        <v>21.15</v>
      </c>
      <c r="I156" s="175">
        <v>16.8</v>
      </c>
      <c r="J156" s="175">
        <v>15.15</v>
      </c>
      <c r="K156" s="175">
        <v>13.65</v>
      </c>
      <c r="L156" s="175">
        <v>20</v>
      </c>
      <c r="M156" s="175">
        <v>14.2</v>
      </c>
      <c r="N156" s="175"/>
      <c r="O156" s="175"/>
      <c r="P156" s="175"/>
      <c r="Q156" s="175"/>
      <c r="R156" s="175">
        <v>138.5</v>
      </c>
    </row>
    <row r="157" spans="2:18">
      <c r="B157" s="181" t="s">
        <v>237</v>
      </c>
      <c r="C157" s="175"/>
      <c r="D157" s="175"/>
      <c r="E157" s="175"/>
      <c r="F157" s="175">
        <v>1.75</v>
      </c>
      <c r="G157" s="175">
        <v>1.7</v>
      </c>
      <c r="H157" s="175">
        <v>0.85</v>
      </c>
      <c r="I157" s="175">
        <v>1.7</v>
      </c>
      <c r="J157" s="175">
        <v>2.85</v>
      </c>
      <c r="K157" s="175">
        <v>0.35</v>
      </c>
      <c r="L157" s="175"/>
      <c r="M157" s="175">
        <v>1.8</v>
      </c>
      <c r="N157" s="175"/>
      <c r="O157" s="175"/>
      <c r="P157" s="175"/>
      <c r="Q157" s="175"/>
      <c r="R157" s="175">
        <v>11</v>
      </c>
    </row>
    <row r="158" spans="2:18">
      <c r="B158" s="176" t="s">
        <v>608</v>
      </c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>
        <v>1</v>
      </c>
      <c r="N158" s="175"/>
      <c r="O158" s="175">
        <v>0.5</v>
      </c>
      <c r="P158" s="175"/>
      <c r="Q158" s="175"/>
      <c r="R158" s="175">
        <v>1.5</v>
      </c>
    </row>
    <row r="159" spans="2:18">
      <c r="B159" s="181" t="s">
        <v>235</v>
      </c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>
        <v>1</v>
      </c>
      <c r="N159" s="175"/>
      <c r="O159" s="175">
        <v>0.5</v>
      </c>
      <c r="P159" s="175"/>
      <c r="Q159" s="175"/>
      <c r="R159" s="175">
        <v>1.5</v>
      </c>
    </row>
    <row r="160" spans="2:18">
      <c r="B160" s="176" t="s">
        <v>568</v>
      </c>
      <c r="C160" s="175"/>
      <c r="D160" s="175"/>
      <c r="E160" s="175"/>
      <c r="F160" s="175">
        <v>3</v>
      </c>
      <c r="G160" s="175">
        <v>20</v>
      </c>
      <c r="H160" s="175">
        <v>22</v>
      </c>
      <c r="I160" s="175">
        <v>20</v>
      </c>
      <c r="J160" s="175">
        <v>17.75</v>
      </c>
      <c r="K160" s="175">
        <v>18.5</v>
      </c>
      <c r="L160" s="175">
        <v>17</v>
      </c>
      <c r="M160" s="175">
        <v>22</v>
      </c>
      <c r="N160" s="175">
        <v>18.75</v>
      </c>
      <c r="O160" s="175">
        <v>23</v>
      </c>
      <c r="P160" s="175">
        <v>19.5</v>
      </c>
      <c r="Q160" s="175"/>
      <c r="R160" s="175">
        <v>201.5</v>
      </c>
    </row>
    <row r="161" spans="2:18">
      <c r="B161" s="181" t="s">
        <v>235</v>
      </c>
      <c r="C161" s="175"/>
      <c r="D161" s="175"/>
      <c r="E161" s="175"/>
      <c r="F161" s="175">
        <v>3</v>
      </c>
      <c r="G161" s="175">
        <v>20</v>
      </c>
      <c r="H161" s="175">
        <v>22</v>
      </c>
      <c r="I161" s="175">
        <v>20</v>
      </c>
      <c r="J161" s="175">
        <v>17.75</v>
      </c>
      <c r="K161" s="175">
        <v>18.5</v>
      </c>
      <c r="L161" s="175">
        <v>17</v>
      </c>
      <c r="M161" s="175">
        <v>22</v>
      </c>
      <c r="N161" s="175">
        <v>18.75</v>
      </c>
      <c r="O161" s="175">
        <v>23</v>
      </c>
      <c r="P161" s="175">
        <v>19.5</v>
      </c>
      <c r="Q161" s="175"/>
      <c r="R161" s="175">
        <v>201.5</v>
      </c>
    </row>
    <row r="162" spans="2:18">
      <c r="B162" s="176" t="s">
        <v>274</v>
      </c>
      <c r="C162" s="175">
        <v>2.5</v>
      </c>
      <c r="D162" s="175">
        <v>3.25</v>
      </c>
      <c r="E162" s="175">
        <v>1</v>
      </c>
      <c r="F162" s="175">
        <v>19.75</v>
      </c>
      <c r="G162" s="175">
        <v>19.5</v>
      </c>
      <c r="H162" s="175">
        <v>22</v>
      </c>
      <c r="I162" s="175">
        <v>19</v>
      </c>
      <c r="J162" s="175">
        <v>1.5</v>
      </c>
      <c r="K162" s="175">
        <v>21</v>
      </c>
      <c r="L162" s="175">
        <v>20</v>
      </c>
      <c r="M162" s="175">
        <v>15</v>
      </c>
      <c r="N162" s="175">
        <v>20</v>
      </c>
      <c r="O162" s="175">
        <v>21.5</v>
      </c>
      <c r="P162" s="175">
        <v>19.5</v>
      </c>
      <c r="Q162" s="175"/>
      <c r="R162" s="175">
        <v>205.5</v>
      </c>
    </row>
    <row r="163" spans="2:18">
      <c r="B163" s="181" t="s">
        <v>235</v>
      </c>
      <c r="C163" s="175">
        <v>2.5</v>
      </c>
      <c r="D163" s="175">
        <v>3.25</v>
      </c>
      <c r="E163" s="175">
        <v>1</v>
      </c>
      <c r="F163" s="175">
        <v>19.75</v>
      </c>
      <c r="G163" s="175">
        <v>19.5</v>
      </c>
      <c r="H163" s="175">
        <v>22</v>
      </c>
      <c r="I163" s="175">
        <v>19</v>
      </c>
      <c r="J163" s="175">
        <v>1.5</v>
      </c>
      <c r="K163" s="175">
        <v>21</v>
      </c>
      <c r="L163" s="175">
        <v>20</v>
      </c>
      <c r="M163" s="175">
        <v>15</v>
      </c>
      <c r="N163" s="175">
        <v>20</v>
      </c>
      <c r="O163" s="175">
        <v>21.5</v>
      </c>
      <c r="P163" s="175">
        <v>19.5</v>
      </c>
      <c r="Q163" s="175"/>
      <c r="R163" s="175">
        <v>205.5</v>
      </c>
    </row>
    <row r="164" spans="2:18">
      <c r="B164" s="176" t="s">
        <v>565</v>
      </c>
      <c r="C164" s="175"/>
      <c r="D164" s="175"/>
      <c r="E164" s="175"/>
      <c r="F164" s="175">
        <v>2</v>
      </c>
      <c r="G164" s="175"/>
      <c r="H164" s="175">
        <v>3.5</v>
      </c>
      <c r="I164" s="175"/>
      <c r="J164" s="175"/>
      <c r="K164" s="175"/>
      <c r="L164" s="175"/>
      <c r="M164" s="175"/>
      <c r="N164" s="175"/>
      <c r="O164" s="175"/>
      <c r="P164" s="175"/>
      <c r="Q164" s="175"/>
      <c r="R164" s="175">
        <v>5.5</v>
      </c>
    </row>
    <row r="165" spans="2:18">
      <c r="B165" s="181" t="s">
        <v>235</v>
      </c>
      <c r="C165" s="175"/>
      <c r="D165" s="175"/>
      <c r="E165" s="175"/>
      <c r="F165" s="175">
        <v>2</v>
      </c>
      <c r="G165" s="175"/>
      <c r="H165" s="175">
        <v>3.5</v>
      </c>
      <c r="I165" s="175"/>
      <c r="J165" s="175"/>
      <c r="K165" s="175"/>
      <c r="L165" s="175"/>
      <c r="M165" s="175"/>
      <c r="N165" s="175"/>
      <c r="O165" s="175"/>
      <c r="P165" s="175"/>
      <c r="Q165" s="175"/>
      <c r="R165" s="175">
        <v>5.5</v>
      </c>
    </row>
    <row r="166" spans="2:18">
      <c r="B166" s="176" t="s">
        <v>587</v>
      </c>
      <c r="C166" s="175"/>
      <c r="D166" s="175"/>
      <c r="E166" s="175"/>
      <c r="F166" s="175"/>
      <c r="G166" s="175"/>
      <c r="H166" s="175"/>
      <c r="I166" s="175"/>
      <c r="J166" s="175">
        <v>2.5</v>
      </c>
      <c r="K166" s="175">
        <v>3</v>
      </c>
      <c r="L166" s="175">
        <v>3</v>
      </c>
      <c r="M166" s="175">
        <v>4.5</v>
      </c>
      <c r="N166" s="175">
        <v>2.5</v>
      </c>
      <c r="O166" s="175">
        <v>4</v>
      </c>
      <c r="P166" s="175">
        <v>2</v>
      </c>
      <c r="Q166" s="175"/>
      <c r="R166" s="175">
        <v>21.5</v>
      </c>
    </row>
    <row r="167" spans="2:18">
      <c r="B167" s="181" t="s">
        <v>236</v>
      </c>
      <c r="C167" s="175"/>
      <c r="D167" s="175"/>
      <c r="E167" s="175"/>
      <c r="F167" s="175"/>
      <c r="G167" s="175"/>
      <c r="H167" s="175"/>
      <c r="I167" s="175"/>
      <c r="J167" s="175">
        <v>2.5</v>
      </c>
      <c r="K167" s="175">
        <v>3</v>
      </c>
      <c r="L167" s="175">
        <v>3</v>
      </c>
      <c r="M167" s="175">
        <v>4.5</v>
      </c>
      <c r="N167" s="175">
        <v>2.5</v>
      </c>
      <c r="O167" s="175">
        <v>4</v>
      </c>
      <c r="P167" s="175">
        <v>2</v>
      </c>
      <c r="Q167" s="175"/>
      <c r="R167" s="175">
        <v>21.5</v>
      </c>
    </row>
    <row r="168" spans="2:18">
      <c r="B168" s="176" t="s">
        <v>571</v>
      </c>
      <c r="C168" s="175"/>
      <c r="D168" s="175"/>
      <c r="E168" s="175"/>
      <c r="F168" s="175"/>
      <c r="G168" s="175">
        <v>18</v>
      </c>
      <c r="H168" s="175">
        <v>13.5</v>
      </c>
      <c r="I168" s="175"/>
      <c r="J168" s="175"/>
      <c r="K168" s="175"/>
      <c r="L168" s="175"/>
      <c r="M168" s="175"/>
      <c r="N168" s="175"/>
      <c r="O168" s="175"/>
      <c r="P168" s="175"/>
      <c r="Q168" s="175"/>
      <c r="R168" s="175">
        <v>31.5</v>
      </c>
    </row>
    <row r="169" spans="2:18">
      <c r="B169" s="181" t="s">
        <v>236</v>
      </c>
      <c r="C169" s="175"/>
      <c r="D169" s="175"/>
      <c r="E169" s="175"/>
      <c r="F169" s="175"/>
      <c r="G169" s="175">
        <v>18</v>
      </c>
      <c r="H169" s="175">
        <v>13.5</v>
      </c>
      <c r="I169" s="175"/>
      <c r="J169" s="175"/>
      <c r="K169" s="175"/>
      <c r="L169" s="175"/>
      <c r="M169" s="175"/>
      <c r="N169" s="175"/>
      <c r="O169" s="175"/>
      <c r="P169" s="175"/>
      <c r="Q169" s="175"/>
      <c r="R169" s="175">
        <v>31.5</v>
      </c>
    </row>
    <row r="170" spans="2:18">
      <c r="B170" s="176" t="s">
        <v>428</v>
      </c>
      <c r="C170" s="175"/>
      <c r="D170" s="175"/>
      <c r="E170" s="175"/>
      <c r="F170" s="175">
        <v>15</v>
      </c>
      <c r="G170" s="175">
        <v>17</v>
      </c>
      <c r="H170" s="175">
        <v>20</v>
      </c>
      <c r="I170" s="175">
        <v>14.5</v>
      </c>
      <c r="J170" s="175">
        <v>16</v>
      </c>
      <c r="K170" s="175">
        <v>19</v>
      </c>
      <c r="L170" s="175">
        <v>15.5</v>
      </c>
      <c r="M170" s="175">
        <v>11.5</v>
      </c>
      <c r="N170" s="175">
        <v>19</v>
      </c>
      <c r="O170" s="175">
        <v>18</v>
      </c>
      <c r="P170" s="175">
        <v>21</v>
      </c>
      <c r="Q170" s="175">
        <v>3</v>
      </c>
      <c r="R170" s="175">
        <v>189.5</v>
      </c>
    </row>
    <row r="171" spans="2:18">
      <c r="B171" s="181" t="s">
        <v>238</v>
      </c>
      <c r="C171" s="175"/>
      <c r="D171" s="175"/>
      <c r="E171" s="175"/>
      <c r="F171" s="175">
        <v>15</v>
      </c>
      <c r="G171" s="175">
        <v>17</v>
      </c>
      <c r="H171" s="175">
        <v>20</v>
      </c>
      <c r="I171" s="175">
        <v>14.5</v>
      </c>
      <c r="J171" s="175">
        <v>16</v>
      </c>
      <c r="K171" s="175">
        <v>19</v>
      </c>
      <c r="L171" s="175">
        <v>15.5</v>
      </c>
      <c r="M171" s="175">
        <v>11.5</v>
      </c>
      <c r="N171" s="175">
        <v>19</v>
      </c>
      <c r="O171" s="175">
        <v>17</v>
      </c>
      <c r="P171" s="175">
        <v>19</v>
      </c>
      <c r="Q171" s="175">
        <v>3</v>
      </c>
      <c r="R171" s="175">
        <v>186.5</v>
      </c>
    </row>
    <row r="172" spans="2:18">
      <c r="B172" s="181" t="s">
        <v>237</v>
      </c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>
        <v>1</v>
      </c>
      <c r="P172" s="175">
        <v>2</v>
      </c>
      <c r="Q172" s="175"/>
      <c r="R172" s="175">
        <v>3</v>
      </c>
    </row>
    <row r="173" spans="2:18">
      <c r="B173" s="176" t="s">
        <v>572</v>
      </c>
      <c r="C173" s="175"/>
      <c r="D173" s="175"/>
      <c r="E173" s="175"/>
      <c r="F173" s="175"/>
      <c r="G173" s="175">
        <v>18</v>
      </c>
      <c r="H173" s="175">
        <v>22</v>
      </c>
      <c r="I173" s="175">
        <v>19</v>
      </c>
      <c r="J173" s="175">
        <v>18</v>
      </c>
      <c r="K173" s="175">
        <v>19</v>
      </c>
      <c r="L173" s="175">
        <v>16</v>
      </c>
      <c r="M173" s="175">
        <v>20</v>
      </c>
      <c r="N173" s="175">
        <v>18</v>
      </c>
      <c r="O173" s="175">
        <v>19</v>
      </c>
      <c r="P173" s="175">
        <v>21</v>
      </c>
      <c r="Q173" s="175">
        <v>3.5</v>
      </c>
      <c r="R173" s="175">
        <v>193.5</v>
      </c>
    </row>
    <row r="174" spans="2:18">
      <c r="B174" s="181" t="s">
        <v>236</v>
      </c>
      <c r="C174" s="175"/>
      <c r="D174" s="175"/>
      <c r="E174" s="175"/>
      <c r="F174" s="175"/>
      <c r="G174" s="175">
        <v>18</v>
      </c>
      <c r="H174" s="175">
        <v>22</v>
      </c>
      <c r="I174" s="175">
        <v>19</v>
      </c>
      <c r="J174" s="175">
        <v>18</v>
      </c>
      <c r="K174" s="175">
        <v>19</v>
      </c>
      <c r="L174" s="175">
        <v>16</v>
      </c>
      <c r="M174" s="175">
        <v>20</v>
      </c>
      <c r="N174" s="175">
        <v>18</v>
      </c>
      <c r="O174" s="175">
        <v>19</v>
      </c>
      <c r="P174" s="175">
        <v>21</v>
      </c>
      <c r="Q174" s="175">
        <v>3.5</v>
      </c>
      <c r="R174" s="175">
        <v>193.5</v>
      </c>
    </row>
    <row r="175" spans="2:18">
      <c r="B175" s="176" t="s">
        <v>604</v>
      </c>
      <c r="C175" s="175"/>
      <c r="D175" s="175"/>
      <c r="E175" s="175"/>
      <c r="F175" s="175"/>
      <c r="G175" s="175"/>
      <c r="H175" s="175"/>
      <c r="I175" s="175"/>
      <c r="J175" s="175"/>
      <c r="K175" s="175"/>
      <c r="L175" s="175">
        <v>17</v>
      </c>
      <c r="M175" s="175">
        <v>20</v>
      </c>
      <c r="N175" s="175">
        <v>20</v>
      </c>
      <c r="O175" s="175">
        <v>22</v>
      </c>
      <c r="P175" s="175">
        <v>20</v>
      </c>
      <c r="Q175" s="175"/>
      <c r="R175" s="175">
        <v>99</v>
      </c>
    </row>
    <row r="176" spans="2:18">
      <c r="B176" s="181" t="s">
        <v>235</v>
      </c>
      <c r="C176" s="175"/>
      <c r="D176" s="175"/>
      <c r="E176" s="175"/>
      <c r="F176" s="175"/>
      <c r="G176" s="175"/>
      <c r="H176" s="175"/>
      <c r="I176" s="175"/>
      <c r="J176" s="175"/>
      <c r="K176" s="175"/>
      <c r="L176" s="175">
        <v>17</v>
      </c>
      <c r="M176" s="175">
        <v>20</v>
      </c>
      <c r="N176" s="175">
        <v>20</v>
      </c>
      <c r="O176" s="175">
        <v>22</v>
      </c>
      <c r="P176" s="175">
        <v>20</v>
      </c>
      <c r="Q176" s="175"/>
      <c r="R176" s="175">
        <v>99</v>
      </c>
    </row>
    <row r="177" spans="2:18">
      <c r="B177" s="176" t="s">
        <v>419</v>
      </c>
      <c r="C177" s="175"/>
      <c r="D177" s="175"/>
      <c r="E177" s="175"/>
      <c r="F177" s="175">
        <v>21</v>
      </c>
      <c r="G177" s="175">
        <v>19.5</v>
      </c>
      <c r="H177" s="175">
        <v>20</v>
      </c>
      <c r="I177" s="175">
        <v>9</v>
      </c>
      <c r="J177" s="175">
        <v>9</v>
      </c>
      <c r="K177" s="175">
        <v>20.5</v>
      </c>
      <c r="L177" s="175">
        <v>20</v>
      </c>
      <c r="M177" s="175">
        <v>9</v>
      </c>
      <c r="N177" s="175">
        <v>18</v>
      </c>
      <c r="O177" s="175">
        <v>23</v>
      </c>
      <c r="P177" s="175">
        <v>18</v>
      </c>
      <c r="Q177" s="175"/>
      <c r="R177" s="175">
        <v>187</v>
      </c>
    </row>
    <row r="178" spans="2:18">
      <c r="B178" s="181" t="s">
        <v>238</v>
      </c>
      <c r="C178" s="175"/>
      <c r="D178" s="175"/>
      <c r="E178" s="175"/>
      <c r="F178" s="175">
        <v>20.5</v>
      </c>
      <c r="G178" s="175">
        <v>19.2</v>
      </c>
      <c r="H178" s="175">
        <v>19.3</v>
      </c>
      <c r="I178" s="175">
        <v>7.2</v>
      </c>
      <c r="J178" s="175">
        <v>8.8000000000000007</v>
      </c>
      <c r="K178" s="175">
        <v>20.3</v>
      </c>
      <c r="L178" s="175">
        <v>20</v>
      </c>
      <c r="M178" s="175">
        <v>9</v>
      </c>
      <c r="N178" s="175">
        <v>18</v>
      </c>
      <c r="O178" s="175">
        <v>23</v>
      </c>
      <c r="P178" s="175">
        <v>18</v>
      </c>
      <c r="Q178" s="175"/>
      <c r="R178" s="175">
        <v>183.3</v>
      </c>
    </row>
    <row r="179" spans="2:18">
      <c r="B179" s="181" t="s">
        <v>237</v>
      </c>
      <c r="C179" s="175"/>
      <c r="D179" s="175"/>
      <c r="E179" s="175"/>
      <c r="F179" s="175">
        <v>0.5</v>
      </c>
      <c r="G179" s="175">
        <v>0.3</v>
      </c>
      <c r="H179" s="175">
        <v>0.7</v>
      </c>
      <c r="I179" s="175">
        <v>1.8</v>
      </c>
      <c r="J179" s="175">
        <v>0.2</v>
      </c>
      <c r="K179" s="175">
        <v>0.2</v>
      </c>
      <c r="L179" s="175"/>
      <c r="M179" s="175"/>
      <c r="N179" s="175"/>
      <c r="O179" s="175"/>
      <c r="P179" s="175"/>
      <c r="Q179" s="175"/>
      <c r="R179" s="175">
        <v>3.7</v>
      </c>
    </row>
    <row r="180" spans="2:18">
      <c r="B180" s="176" t="s">
        <v>539</v>
      </c>
      <c r="C180" s="175"/>
      <c r="D180" s="175"/>
      <c r="E180" s="175"/>
      <c r="F180" s="175">
        <v>21</v>
      </c>
      <c r="G180" s="175">
        <v>20</v>
      </c>
      <c r="H180" s="175">
        <v>20.5</v>
      </c>
      <c r="I180" s="175">
        <v>19</v>
      </c>
      <c r="J180" s="175">
        <v>17.5</v>
      </c>
      <c r="K180" s="175">
        <v>18.5</v>
      </c>
      <c r="L180" s="175">
        <v>20</v>
      </c>
      <c r="M180" s="175">
        <v>16</v>
      </c>
      <c r="N180" s="175">
        <v>18</v>
      </c>
      <c r="O180" s="175">
        <v>8</v>
      </c>
      <c r="P180" s="175"/>
      <c r="Q180" s="175"/>
      <c r="R180" s="175">
        <v>178.5</v>
      </c>
    </row>
    <row r="181" spans="2:18">
      <c r="B181" s="181" t="s">
        <v>238</v>
      </c>
      <c r="C181" s="175"/>
      <c r="D181" s="175"/>
      <c r="E181" s="175"/>
      <c r="F181" s="175">
        <v>21</v>
      </c>
      <c r="G181" s="175">
        <v>20</v>
      </c>
      <c r="H181" s="175">
        <v>20.5</v>
      </c>
      <c r="I181" s="175">
        <v>19</v>
      </c>
      <c r="J181" s="175">
        <v>17.5</v>
      </c>
      <c r="K181" s="175">
        <v>18.5</v>
      </c>
      <c r="L181" s="175">
        <v>20</v>
      </c>
      <c r="M181" s="175">
        <v>16</v>
      </c>
      <c r="N181" s="175">
        <v>18</v>
      </c>
      <c r="O181" s="175">
        <v>8</v>
      </c>
      <c r="P181" s="175"/>
      <c r="Q181" s="175"/>
      <c r="R181" s="175">
        <v>178.5</v>
      </c>
    </row>
    <row r="182" spans="2:18">
      <c r="B182" s="176" t="s">
        <v>566</v>
      </c>
      <c r="C182" s="175"/>
      <c r="D182" s="175"/>
      <c r="E182" s="175"/>
      <c r="F182" s="175">
        <v>2.5</v>
      </c>
      <c r="G182" s="175">
        <v>2</v>
      </c>
      <c r="H182" s="175">
        <v>5</v>
      </c>
      <c r="I182" s="175">
        <v>1</v>
      </c>
      <c r="J182" s="175">
        <v>1</v>
      </c>
      <c r="K182" s="175">
        <v>2</v>
      </c>
      <c r="L182" s="175"/>
      <c r="M182" s="175"/>
      <c r="N182" s="175">
        <v>1.5</v>
      </c>
      <c r="O182" s="175">
        <v>3.5</v>
      </c>
      <c r="P182" s="175">
        <v>1.5</v>
      </c>
      <c r="Q182" s="175"/>
      <c r="R182" s="175">
        <v>20</v>
      </c>
    </row>
    <row r="183" spans="2:18">
      <c r="B183" s="181" t="s">
        <v>238</v>
      </c>
      <c r="C183" s="175"/>
      <c r="D183" s="175"/>
      <c r="E183" s="175"/>
      <c r="F183" s="175">
        <v>1</v>
      </c>
      <c r="G183" s="175">
        <v>1</v>
      </c>
      <c r="H183" s="175">
        <v>3</v>
      </c>
      <c r="I183" s="175">
        <v>0.5</v>
      </c>
      <c r="J183" s="175">
        <v>0.5</v>
      </c>
      <c r="K183" s="175">
        <v>2</v>
      </c>
      <c r="L183" s="175"/>
      <c r="M183" s="175"/>
      <c r="N183" s="175"/>
      <c r="O183" s="175"/>
      <c r="P183" s="175">
        <v>1</v>
      </c>
      <c r="Q183" s="175"/>
      <c r="R183" s="175">
        <v>9</v>
      </c>
    </row>
    <row r="184" spans="2:18">
      <c r="B184" s="181" t="s">
        <v>237</v>
      </c>
      <c r="C184" s="175"/>
      <c r="D184" s="175"/>
      <c r="E184" s="175"/>
      <c r="F184" s="175">
        <v>0.5</v>
      </c>
      <c r="G184" s="175"/>
      <c r="H184" s="175"/>
      <c r="I184" s="175"/>
      <c r="J184" s="175"/>
      <c r="K184" s="175"/>
      <c r="L184" s="175"/>
      <c r="M184" s="175"/>
      <c r="N184" s="175">
        <v>1.5</v>
      </c>
      <c r="O184" s="175">
        <v>3.5</v>
      </c>
      <c r="P184" s="175"/>
      <c r="Q184" s="175"/>
      <c r="R184" s="175">
        <v>5.5</v>
      </c>
    </row>
    <row r="185" spans="2:18">
      <c r="B185" s="181" t="s">
        <v>235</v>
      </c>
      <c r="C185" s="175"/>
      <c r="D185" s="175"/>
      <c r="E185" s="175"/>
      <c r="F185" s="175">
        <v>1</v>
      </c>
      <c r="G185" s="175">
        <v>1</v>
      </c>
      <c r="H185" s="175">
        <v>2</v>
      </c>
      <c r="I185" s="175">
        <v>0.5</v>
      </c>
      <c r="J185" s="175">
        <v>0.5</v>
      </c>
      <c r="K185" s="175"/>
      <c r="L185" s="175"/>
      <c r="M185" s="175"/>
      <c r="N185" s="175"/>
      <c r="O185" s="175"/>
      <c r="P185" s="175">
        <v>0.5</v>
      </c>
      <c r="Q185" s="175"/>
      <c r="R185" s="175">
        <v>5.5</v>
      </c>
    </row>
    <row r="186" spans="2:18">
      <c r="B186" s="176" t="s">
        <v>562</v>
      </c>
      <c r="C186" s="175"/>
      <c r="D186" s="175"/>
      <c r="E186" s="175"/>
      <c r="F186" s="175">
        <v>6</v>
      </c>
      <c r="G186" s="175">
        <v>11</v>
      </c>
      <c r="H186" s="175">
        <v>16</v>
      </c>
      <c r="I186" s="175">
        <v>19</v>
      </c>
      <c r="J186" s="175">
        <v>15.5</v>
      </c>
      <c r="K186" s="175">
        <v>20</v>
      </c>
      <c r="L186" s="175">
        <v>22</v>
      </c>
      <c r="M186" s="175">
        <v>22</v>
      </c>
      <c r="N186" s="175">
        <v>10</v>
      </c>
      <c r="O186" s="175">
        <v>21</v>
      </c>
      <c r="P186" s="175">
        <v>20</v>
      </c>
      <c r="Q186" s="175">
        <v>3</v>
      </c>
      <c r="R186" s="175">
        <v>185.5</v>
      </c>
    </row>
    <row r="187" spans="2:18">
      <c r="B187" s="181" t="s">
        <v>235</v>
      </c>
      <c r="C187" s="175"/>
      <c r="D187" s="175"/>
      <c r="E187" s="175"/>
      <c r="F187" s="175">
        <v>6</v>
      </c>
      <c r="G187" s="175">
        <v>11</v>
      </c>
      <c r="H187" s="175">
        <v>16</v>
      </c>
      <c r="I187" s="175">
        <v>19</v>
      </c>
      <c r="J187" s="175">
        <v>15.5</v>
      </c>
      <c r="K187" s="175">
        <v>20</v>
      </c>
      <c r="L187" s="175">
        <v>22</v>
      </c>
      <c r="M187" s="175">
        <v>22</v>
      </c>
      <c r="N187" s="175">
        <v>10</v>
      </c>
      <c r="O187" s="175">
        <v>21</v>
      </c>
      <c r="P187" s="175">
        <v>20</v>
      </c>
      <c r="Q187" s="175">
        <v>3</v>
      </c>
      <c r="R187" s="175">
        <v>185.5</v>
      </c>
    </row>
    <row r="188" spans="2:18">
      <c r="B188" s="176" t="s">
        <v>422</v>
      </c>
      <c r="C188" s="175"/>
      <c r="D188" s="175"/>
      <c r="E188" s="175"/>
      <c r="F188" s="175">
        <v>14</v>
      </c>
      <c r="G188" s="175">
        <v>14</v>
      </c>
      <c r="H188" s="175">
        <v>13</v>
      </c>
      <c r="I188" s="175">
        <v>13</v>
      </c>
      <c r="J188" s="175">
        <v>7</v>
      </c>
      <c r="K188" s="175">
        <v>10</v>
      </c>
      <c r="L188" s="175">
        <v>10</v>
      </c>
      <c r="M188" s="175">
        <v>16</v>
      </c>
      <c r="N188" s="175">
        <v>12</v>
      </c>
      <c r="O188" s="175">
        <v>17</v>
      </c>
      <c r="P188" s="175">
        <v>15</v>
      </c>
      <c r="Q188" s="175"/>
      <c r="R188" s="175">
        <v>141</v>
      </c>
    </row>
    <row r="189" spans="2:18">
      <c r="B189" s="181" t="s">
        <v>238</v>
      </c>
      <c r="C189" s="175"/>
      <c r="D189" s="175"/>
      <c r="E189" s="175"/>
      <c r="F189" s="175">
        <v>14</v>
      </c>
      <c r="G189" s="175">
        <v>14</v>
      </c>
      <c r="H189" s="175">
        <v>13</v>
      </c>
      <c r="I189" s="175">
        <v>13</v>
      </c>
      <c r="J189" s="175">
        <v>7</v>
      </c>
      <c r="K189" s="175">
        <v>10</v>
      </c>
      <c r="L189" s="175">
        <v>10</v>
      </c>
      <c r="M189" s="175">
        <v>16</v>
      </c>
      <c r="N189" s="175">
        <v>12</v>
      </c>
      <c r="O189" s="175">
        <v>17</v>
      </c>
      <c r="P189" s="175">
        <v>15</v>
      </c>
      <c r="Q189" s="175"/>
      <c r="R189" s="175">
        <v>141</v>
      </c>
    </row>
    <row r="190" spans="2:18">
      <c r="B190" s="176" t="s">
        <v>613</v>
      </c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>
        <v>23</v>
      </c>
      <c r="P190" s="175">
        <v>20</v>
      </c>
      <c r="Q190" s="175"/>
      <c r="R190" s="175">
        <v>43</v>
      </c>
    </row>
    <row r="191" spans="2:18">
      <c r="B191" s="181" t="s">
        <v>238</v>
      </c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>
        <v>23</v>
      </c>
      <c r="P191" s="175">
        <v>20</v>
      </c>
      <c r="Q191" s="175"/>
      <c r="R191" s="175">
        <v>43</v>
      </c>
    </row>
    <row r="192" spans="2:18">
      <c r="B192" s="176" t="s">
        <v>611</v>
      </c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>
        <v>0.5</v>
      </c>
      <c r="O192" s="175"/>
      <c r="P192" s="175"/>
      <c r="Q192" s="175"/>
      <c r="R192" s="175">
        <v>0.5</v>
      </c>
    </row>
    <row r="193" spans="2:18">
      <c r="B193" s="181" t="s">
        <v>235</v>
      </c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>
        <v>0.5</v>
      </c>
      <c r="O193" s="175"/>
      <c r="P193" s="175"/>
      <c r="Q193" s="175"/>
      <c r="R193" s="175">
        <v>0.5</v>
      </c>
    </row>
    <row r="194" spans="2:18">
      <c r="B194" s="176" t="s">
        <v>248</v>
      </c>
      <c r="C194" s="175"/>
      <c r="D194" s="175">
        <v>5</v>
      </c>
      <c r="E194" s="175">
        <v>4</v>
      </c>
      <c r="F194" s="175">
        <v>18</v>
      </c>
      <c r="G194" s="175">
        <v>13</v>
      </c>
      <c r="H194" s="175">
        <v>17</v>
      </c>
      <c r="I194" s="175">
        <v>12.5</v>
      </c>
      <c r="J194" s="175">
        <v>17.5</v>
      </c>
      <c r="K194" s="175">
        <v>17.5</v>
      </c>
      <c r="L194" s="175">
        <v>14.5</v>
      </c>
      <c r="M194" s="175">
        <v>17</v>
      </c>
      <c r="N194" s="175">
        <v>17.5</v>
      </c>
      <c r="O194" s="175">
        <v>15.5</v>
      </c>
      <c r="P194" s="175">
        <v>4</v>
      </c>
      <c r="Q194" s="175"/>
      <c r="R194" s="175">
        <v>173</v>
      </c>
    </row>
    <row r="195" spans="2:18">
      <c r="B195" s="181" t="s">
        <v>235</v>
      </c>
      <c r="C195" s="175"/>
      <c r="D195" s="175">
        <v>5</v>
      </c>
      <c r="E195" s="175">
        <v>4</v>
      </c>
      <c r="F195" s="175">
        <v>18</v>
      </c>
      <c r="G195" s="175">
        <v>13</v>
      </c>
      <c r="H195" s="175">
        <v>17</v>
      </c>
      <c r="I195" s="175">
        <v>12.5</v>
      </c>
      <c r="J195" s="175">
        <v>17.5</v>
      </c>
      <c r="K195" s="175">
        <v>17.5</v>
      </c>
      <c r="L195" s="175">
        <v>14.5</v>
      </c>
      <c r="M195" s="175">
        <v>17</v>
      </c>
      <c r="N195" s="175">
        <v>17.5</v>
      </c>
      <c r="O195" s="175">
        <v>15.5</v>
      </c>
      <c r="P195" s="175">
        <v>4</v>
      </c>
      <c r="Q195" s="175"/>
      <c r="R195" s="175">
        <v>173</v>
      </c>
    </row>
    <row r="196" spans="2:18">
      <c r="B196" s="176" t="s">
        <v>564</v>
      </c>
      <c r="C196" s="175"/>
      <c r="D196" s="175"/>
      <c r="E196" s="175"/>
      <c r="F196" s="175">
        <v>2</v>
      </c>
      <c r="G196" s="175">
        <v>1</v>
      </c>
      <c r="H196" s="175">
        <v>16.5</v>
      </c>
      <c r="I196" s="175">
        <v>19</v>
      </c>
      <c r="J196" s="175">
        <v>13</v>
      </c>
      <c r="K196" s="175"/>
      <c r="L196" s="175"/>
      <c r="M196" s="175"/>
      <c r="N196" s="175"/>
      <c r="O196" s="175"/>
      <c r="P196" s="175"/>
      <c r="Q196" s="175"/>
      <c r="R196" s="175">
        <v>51.5</v>
      </c>
    </row>
    <row r="197" spans="2:18">
      <c r="B197" s="181" t="s">
        <v>235</v>
      </c>
      <c r="C197" s="175"/>
      <c r="D197" s="175"/>
      <c r="E197" s="175"/>
      <c r="F197" s="175">
        <v>2</v>
      </c>
      <c r="G197" s="175">
        <v>1</v>
      </c>
      <c r="H197" s="175">
        <v>16.5</v>
      </c>
      <c r="I197" s="175">
        <v>19</v>
      </c>
      <c r="J197" s="175">
        <v>13</v>
      </c>
      <c r="K197" s="175"/>
      <c r="L197" s="175"/>
      <c r="M197" s="175"/>
      <c r="N197" s="175"/>
      <c r="O197" s="175"/>
      <c r="P197" s="175"/>
      <c r="Q197" s="175"/>
      <c r="R197" s="175">
        <v>51.5</v>
      </c>
    </row>
    <row r="198" spans="2:18">
      <c r="B198" s="176" t="s">
        <v>610</v>
      </c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>
        <v>19</v>
      </c>
      <c r="O198" s="175">
        <v>22.5</v>
      </c>
      <c r="P198" s="175">
        <v>21</v>
      </c>
      <c r="Q198" s="175">
        <v>1.85</v>
      </c>
      <c r="R198" s="175">
        <v>64.349999999999994</v>
      </c>
    </row>
    <row r="199" spans="2:18">
      <c r="B199" s="181" t="s">
        <v>235</v>
      </c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>
        <v>19</v>
      </c>
      <c r="O199" s="175">
        <v>22.5</v>
      </c>
      <c r="P199" s="175">
        <v>21</v>
      </c>
      <c r="Q199" s="175">
        <v>1.85</v>
      </c>
      <c r="R199" s="175">
        <v>64.349999999999994</v>
      </c>
    </row>
    <row r="200" spans="2:18">
      <c r="B200" s="176" t="s">
        <v>583</v>
      </c>
      <c r="C200" s="175"/>
      <c r="D200" s="175"/>
      <c r="E200" s="175"/>
      <c r="F200" s="175"/>
      <c r="G200" s="175"/>
      <c r="H200" s="175">
        <v>10</v>
      </c>
      <c r="I200" s="175">
        <v>19.5</v>
      </c>
      <c r="J200" s="175">
        <v>19</v>
      </c>
      <c r="K200" s="175">
        <v>21</v>
      </c>
      <c r="L200" s="175">
        <v>20</v>
      </c>
      <c r="M200" s="175">
        <v>20.5</v>
      </c>
      <c r="N200" s="175">
        <v>17.25</v>
      </c>
      <c r="O200" s="175">
        <v>18.75</v>
      </c>
      <c r="P200" s="175">
        <v>19.5</v>
      </c>
      <c r="Q200" s="175"/>
      <c r="R200" s="175">
        <v>165.5</v>
      </c>
    </row>
    <row r="201" spans="2:18">
      <c r="B201" s="181" t="s">
        <v>235</v>
      </c>
      <c r="C201" s="175"/>
      <c r="D201" s="175"/>
      <c r="E201" s="175"/>
      <c r="F201" s="175"/>
      <c r="G201" s="175"/>
      <c r="H201" s="175">
        <v>10</v>
      </c>
      <c r="I201" s="175">
        <v>19.5</v>
      </c>
      <c r="J201" s="175">
        <v>19</v>
      </c>
      <c r="K201" s="175">
        <v>21</v>
      </c>
      <c r="L201" s="175">
        <v>20</v>
      </c>
      <c r="M201" s="175">
        <v>20.5</v>
      </c>
      <c r="N201" s="175">
        <v>17.25</v>
      </c>
      <c r="O201" s="175">
        <v>18.75</v>
      </c>
      <c r="P201" s="175">
        <v>19.5</v>
      </c>
      <c r="Q201" s="175"/>
      <c r="R201" s="175">
        <v>165.5</v>
      </c>
    </row>
    <row r="202" spans="2:18">
      <c r="B202" s="176" t="s">
        <v>579</v>
      </c>
      <c r="C202" s="175"/>
      <c r="D202" s="175"/>
      <c r="E202" s="175"/>
      <c r="F202" s="175"/>
      <c r="G202" s="175"/>
      <c r="H202" s="175"/>
      <c r="I202" s="175"/>
      <c r="J202" s="175"/>
      <c r="K202" s="175">
        <v>5</v>
      </c>
      <c r="L202" s="175">
        <v>22</v>
      </c>
      <c r="M202" s="175">
        <v>22</v>
      </c>
      <c r="N202" s="175">
        <v>5</v>
      </c>
      <c r="O202" s="175">
        <v>23</v>
      </c>
      <c r="P202" s="175">
        <v>20</v>
      </c>
      <c r="Q202" s="175"/>
      <c r="R202" s="175">
        <v>97</v>
      </c>
    </row>
    <row r="203" spans="2:18">
      <c r="B203" s="181" t="s">
        <v>235</v>
      </c>
      <c r="C203" s="175"/>
      <c r="D203" s="175"/>
      <c r="E203" s="175"/>
      <c r="F203" s="175"/>
      <c r="G203" s="175"/>
      <c r="H203" s="175"/>
      <c r="I203" s="175"/>
      <c r="J203" s="175"/>
      <c r="K203" s="175">
        <v>5</v>
      </c>
      <c r="L203" s="175">
        <v>22</v>
      </c>
      <c r="M203" s="175">
        <v>22</v>
      </c>
      <c r="N203" s="175">
        <v>5</v>
      </c>
      <c r="O203" s="175">
        <v>23</v>
      </c>
      <c r="P203" s="175">
        <v>20</v>
      </c>
      <c r="Q203" s="175"/>
      <c r="R203" s="175">
        <v>97</v>
      </c>
    </row>
    <row r="204" spans="2:18">
      <c r="B204" s="176" t="s">
        <v>578</v>
      </c>
      <c r="C204" s="175"/>
      <c r="D204" s="175"/>
      <c r="E204" s="175"/>
      <c r="F204" s="175"/>
      <c r="G204" s="175">
        <v>2</v>
      </c>
      <c r="H204" s="175">
        <v>11.5</v>
      </c>
      <c r="I204" s="175">
        <v>10.5</v>
      </c>
      <c r="J204" s="175">
        <v>7</v>
      </c>
      <c r="K204" s="175">
        <v>11</v>
      </c>
      <c r="L204" s="175">
        <v>11</v>
      </c>
      <c r="M204" s="175">
        <v>3.5</v>
      </c>
      <c r="N204" s="175">
        <v>9.5</v>
      </c>
      <c r="O204" s="175">
        <v>13</v>
      </c>
      <c r="P204" s="175">
        <v>9</v>
      </c>
      <c r="Q204" s="175"/>
      <c r="R204" s="175">
        <v>88</v>
      </c>
    </row>
    <row r="205" spans="2:18">
      <c r="B205" s="181" t="s">
        <v>238</v>
      </c>
      <c r="C205" s="175"/>
      <c r="D205" s="175"/>
      <c r="E205" s="175"/>
      <c r="F205" s="175"/>
      <c r="G205" s="175">
        <v>2</v>
      </c>
      <c r="H205" s="175">
        <v>11.5</v>
      </c>
      <c r="I205" s="175">
        <v>10.5</v>
      </c>
      <c r="J205" s="175">
        <v>7</v>
      </c>
      <c r="K205" s="175">
        <v>11</v>
      </c>
      <c r="L205" s="175">
        <v>11</v>
      </c>
      <c r="M205" s="175">
        <v>3.5</v>
      </c>
      <c r="N205" s="175">
        <v>9.5</v>
      </c>
      <c r="O205" s="175">
        <v>13</v>
      </c>
      <c r="P205" s="175">
        <v>9</v>
      </c>
      <c r="Q205" s="175"/>
      <c r="R205" s="175">
        <v>88</v>
      </c>
    </row>
    <row r="206" spans="2:18">
      <c r="B206" s="176" t="s">
        <v>588</v>
      </c>
      <c r="C206" s="175"/>
      <c r="D206" s="175"/>
      <c r="E206" s="175"/>
      <c r="F206" s="175"/>
      <c r="G206" s="175"/>
      <c r="H206" s="175"/>
      <c r="I206" s="175"/>
      <c r="J206" s="175">
        <v>0.3</v>
      </c>
      <c r="K206" s="175"/>
      <c r="L206" s="175">
        <v>0.2</v>
      </c>
      <c r="M206" s="175"/>
      <c r="N206" s="175"/>
      <c r="O206" s="175"/>
      <c r="P206" s="175"/>
      <c r="Q206" s="175"/>
      <c r="R206" s="175">
        <v>0.5</v>
      </c>
    </row>
    <row r="207" spans="2:18">
      <c r="B207" s="181" t="s">
        <v>238</v>
      </c>
      <c r="C207" s="175"/>
      <c r="D207" s="175"/>
      <c r="E207" s="175"/>
      <c r="F207" s="175"/>
      <c r="G207" s="175"/>
      <c r="H207" s="175"/>
      <c r="I207" s="175"/>
      <c r="J207" s="175">
        <v>0.3</v>
      </c>
      <c r="K207" s="175"/>
      <c r="L207" s="175">
        <v>0.2</v>
      </c>
      <c r="M207" s="175"/>
      <c r="N207" s="175"/>
      <c r="O207" s="175"/>
      <c r="P207" s="175"/>
      <c r="Q207" s="175"/>
      <c r="R207" s="175">
        <v>0.5</v>
      </c>
    </row>
    <row r="208" spans="2:18">
      <c r="B208" s="176" t="s">
        <v>412</v>
      </c>
      <c r="C208" s="175"/>
      <c r="D208" s="175"/>
      <c r="E208" s="175"/>
      <c r="F208" s="175">
        <v>21</v>
      </c>
      <c r="G208" s="175">
        <v>16.75</v>
      </c>
      <c r="H208" s="175">
        <v>20</v>
      </c>
      <c r="I208" s="175">
        <v>18</v>
      </c>
      <c r="J208" s="175">
        <v>7</v>
      </c>
      <c r="K208" s="175">
        <v>19</v>
      </c>
      <c r="L208" s="175">
        <v>21.5</v>
      </c>
      <c r="M208" s="175">
        <v>22</v>
      </c>
      <c r="N208" s="175">
        <v>12</v>
      </c>
      <c r="O208" s="175">
        <v>20</v>
      </c>
      <c r="P208" s="175">
        <v>20.5</v>
      </c>
      <c r="Q208" s="175"/>
      <c r="R208" s="175">
        <v>197.75000000000003</v>
      </c>
    </row>
    <row r="209" spans="2:18">
      <c r="B209" s="181" t="s">
        <v>238</v>
      </c>
      <c r="C209" s="175"/>
      <c r="D209" s="175"/>
      <c r="E209" s="175"/>
      <c r="F209" s="175">
        <v>18.850000000000001</v>
      </c>
      <c r="G209" s="175">
        <v>16.149999999999999</v>
      </c>
      <c r="H209" s="175">
        <v>15.95</v>
      </c>
      <c r="I209" s="175">
        <v>17.5</v>
      </c>
      <c r="J209" s="175">
        <v>6.1</v>
      </c>
      <c r="K209" s="175">
        <v>17.5</v>
      </c>
      <c r="L209" s="175">
        <v>20</v>
      </c>
      <c r="M209" s="175">
        <v>20.5</v>
      </c>
      <c r="N209" s="175">
        <v>10</v>
      </c>
      <c r="O209" s="175">
        <v>18.899999999999999</v>
      </c>
      <c r="P209" s="175">
        <v>19.05</v>
      </c>
      <c r="Q209" s="175"/>
      <c r="R209" s="175">
        <v>180.50000000000003</v>
      </c>
    </row>
    <row r="210" spans="2:18">
      <c r="B210" s="181" t="s">
        <v>237</v>
      </c>
      <c r="C210" s="175"/>
      <c r="D210" s="175"/>
      <c r="E210" s="175"/>
      <c r="F210" s="175">
        <v>2.15</v>
      </c>
      <c r="G210" s="175">
        <v>0.6</v>
      </c>
      <c r="H210" s="175">
        <v>4.05</v>
      </c>
      <c r="I210" s="175">
        <v>0.5</v>
      </c>
      <c r="J210" s="175">
        <v>0.9</v>
      </c>
      <c r="K210" s="175">
        <v>1.5</v>
      </c>
      <c r="L210" s="175">
        <v>1.5</v>
      </c>
      <c r="M210" s="175">
        <v>1.5</v>
      </c>
      <c r="N210" s="175">
        <v>2</v>
      </c>
      <c r="O210" s="175">
        <v>1.1000000000000001</v>
      </c>
      <c r="P210" s="175">
        <v>1.45</v>
      </c>
      <c r="Q210" s="175"/>
      <c r="R210" s="175">
        <v>17.25</v>
      </c>
    </row>
    <row r="211" spans="2:18">
      <c r="B211" s="176" t="s">
        <v>542</v>
      </c>
      <c r="C211" s="175"/>
      <c r="D211" s="175"/>
      <c r="E211" s="175"/>
      <c r="F211" s="175">
        <v>15</v>
      </c>
      <c r="G211" s="175">
        <v>18</v>
      </c>
      <c r="H211" s="175">
        <v>22</v>
      </c>
      <c r="I211" s="175">
        <v>20</v>
      </c>
      <c r="J211" s="175">
        <v>18</v>
      </c>
      <c r="K211" s="175">
        <v>21</v>
      </c>
      <c r="L211" s="175">
        <v>22</v>
      </c>
      <c r="M211" s="175">
        <v>11</v>
      </c>
      <c r="N211" s="175">
        <v>20</v>
      </c>
      <c r="O211" s="175">
        <v>23</v>
      </c>
      <c r="P211" s="175">
        <v>19.5</v>
      </c>
      <c r="Q211" s="175">
        <v>2</v>
      </c>
      <c r="R211" s="175">
        <v>211.5</v>
      </c>
    </row>
    <row r="212" spans="2:18">
      <c r="B212" s="181" t="s">
        <v>235</v>
      </c>
      <c r="C212" s="175"/>
      <c r="D212" s="175"/>
      <c r="E212" s="175"/>
      <c r="F212" s="175">
        <v>15</v>
      </c>
      <c r="G212" s="175">
        <v>18</v>
      </c>
      <c r="H212" s="175">
        <v>22</v>
      </c>
      <c r="I212" s="175">
        <v>20</v>
      </c>
      <c r="J212" s="175">
        <v>18</v>
      </c>
      <c r="K212" s="175">
        <v>21</v>
      </c>
      <c r="L212" s="175">
        <v>22</v>
      </c>
      <c r="M212" s="175">
        <v>11</v>
      </c>
      <c r="N212" s="175">
        <v>20</v>
      </c>
      <c r="O212" s="175">
        <v>23</v>
      </c>
      <c r="P212" s="175">
        <v>19.5</v>
      </c>
      <c r="Q212" s="175">
        <v>2</v>
      </c>
      <c r="R212" s="175">
        <v>211.5</v>
      </c>
    </row>
    <row r="213" spans="2:18">
      <c r="B213" s="176" t="s">
        <v>606</v>
      </c>
      <c r="C213" s="175"/>
      <c r="D213" s="175"/>
      <c r="E213" s="175"/>
      <c r="F213" s="175"/>
      <c r="G213" s="175"/>
      <c r="H213" s="175"/>
      <c r="I213" s="175"/>
      <c r="J213" s="175"/>
      <c r="K213" s="175"/>
      <c r="L213" s="175">
        <v>7</v>
      </c>
      <c r="M213" s="175">
        <v>20.5</v>
      </c>
      <c r="N213" s="175">
        <v>20</v>
      </c>
      <c r="O213" s="175">
        <v>21</v>
      </c>
      <c r="P213" s="175">
        <v>20</v>
      </c>
      <c r="Q213" s="175"/>
      <c r="R213" s="175">
        <v>88.5</v>
      </c>
    </row>
    <row r="214" spans="2:18">
      <c r="B214" s="181" t="s">
        <v>238</v>
      </c>
      <c r="C214" s="175"/>
      <c r="D214" s="175"/>
      <c r="E214" s="175"/>
      <c r="F214" s="175"/>
      <c r="G214" s="175"/>
      <c r="H214" s="175"/>
      <c r="I214" s="175"/>
      <c r="J214" s="175"/>
      <c r="K214" s="175"/>
      <c r="L214" s="175">
        <v>7</v>
      </c>
      <c r="M214" s="175">
        <v>20.5</v>
      </c>
      <c r="N214" s="175">
        <v>17</v>
      </c>
      <c r="O214" s="175">
        <v>12.75</v>
      </c>
      <c r="P214" s="175">
        <v>14.25</v>
      </c>
      <c r="Q214" s="175"/>
      <c r="R214" s="175">
        <v>71.5</v>
      </c>
    </row>
    <row r="215" spans="2:18">
      <c r="B215" s="181" t="s">
        <v>237</v>
      </c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>
        <v>3</v>
      </c>
      <c r="O215" s="175">
        <v>8.25</v>
      </c>
      <c r="P215" s="175">
        <v>5.75</v>
      </c>
      <c r="Q215" s="175"/>
      <c r="R215" s="175">
        <v>17</v>
      </c>
    </row>
    <row r="216" spans="2:18">
      <c r="B216" s="176" t="s">
        <v>446</v>
      </c>
      <c r="C216" s="175"/>
      <c r="D216" s="175"/>
      <c r="E216" s="175"/>
      <c r="F216" s="175">
        <v>21</v>
      </c>
      <c r="G216" s="175">
        <v>18.849999999999998</v>
      </c>
      <c r="H216" s="175">
        <v>20.5</v>
      </c>
      <c r="I216" s="175">
        <v>17.5</v>
      </c>
      <c r="J216" s="175">
        <v>19</v>
      </c>
      <c r="K216" s="175">
        <v>17</v>
      </c>
      <c r="L216" s="175">
        <v>20</v>
      </c>
      <c r="M216" s="175">
        <v>20.5</v>
      </c>
      <c r="N216" s="175">
        <v>20</v>
      </c>
      <c r="O216" s="175">
        <v>23</v>
      </c>
      <c r="P216" s="175">
        <v>10</v>
      </c>
      <c r="Q216" s="175"/>
      <c r="R216" s="175">
        <v>207.35</v>
      </c>
    </row>
    <row r="217" spans="2:18">
      <c r="B217" s="181" t="s">
        <v>238</v>
      </c>
      <c r="C217" s="175"/>
      <c r="D217" s="175"/>
      <c r="E217" s="175"/>
      <c r="F217" s="175">
        <v>18.7</v>
      </c>
      <c r="G217" s="175">
        <v>17.45</v>
      </c>
      <c r="H217" s="175">
        <v>20.25</v>
      </c>
      <c r="I217" s="175">
        <v>17.5</v>
      </c>
      <c r="J217" s="175">
        <v>18.3</v>
      </c>
      <c r="K217" s="175">
        <v>16</v>
      </c>
      <c r="L217" s="175">
        <v>16.25</v>
      </c>
      <c r="M217" s="175">
        <v>20</v>
      </c>
      <c r="N217" s="175">
        <v>20</v>
      </c>
      <c r="O217" s="175">
        <v>21</v>
      </c>
      <c r="P217" s="175">
        <v>9.25</v>
      </c>
      <c r="Q217" s="175"/>
      <c r="R217" s="175">
        <v>194.7</v>
      </c>
    </row>
    <row r="218" spans="2:18">
      <c r="B218" s="181" t="s">
        <v>237</v>
      </c>
      <c r="C218" s="175"/>
      <c r="D218" s="175"/>
      <c r="E218" s="175"/>
      <c r="F218" s="175">
        <v>2.2999999999999998</v>
      </c>
      <c r="G218" s="175">
        <v>1.4</v>
      </c>
      <c r="H218" s="175">
        <v>0.25</v>
      </c>
      <c r="I218" s="175"/>
      <c r="J218" s="175">
        <v>0.7</v>
      </c>
      <c r="K218" s="175">
        <v>1</v>
      </c>
      <c r="L218" s="175">
        <v>3.75</v>
      </c>
      <c r="M218" s="175">
        <v>0.5</v>
      </c>
      <c r="N218" s="175"/>
      <c r="O218" s="175">
        <v>2</v>
      </c>
      <c r="P218" s="175">
        <v>0.75</v>
      </c>
      <c r="Q218" s="175"/>
      <c r="R218" s="175">
        <v>12.649999999999999</v>
      </c>
    </row>
    <row r="219" spans="2:18">
      <c r="B219" s="176" t="s">
        <v>599</v>
      </c>
      <c r="C219" s="175"/>
      <c r="D219" s="175"/>
      <c r="E219" s="175"/>
      <c r="F219" s="175"/>
      <c r="G219" s="175"/>
      <c r="H219" s="175"/>
      <c r="I219" s="175"/>
      <c r="J219" s="175"/>
      <c r="K219" s="175"/>
      <c r="L219" s="175">
        <v>7</v>
      </c>
      <c r="M219" s="175">
        <v>4</v>
      </c>
      <c r="N219" s="175">
        <v>11</v>
      </c>
      <c r="O219" s="175">
        <v>14</v>
      </c>
      <c r="P219" s="175">
        <v>17</v>
      </c>
      <c r="Q219" s="175"/>
      <c r="R219" s="175">
        <v>53</v>
      </c>
    </row>
    <row r="220" spans="2:18">
      <c r="B220" s="181" t="s">
        <v>235</v>
      </c>
      <c r="C220" s="175"/>
      <c r="D220" s="175"/>
      <c r="E220" s="175"/>
      <c r="F220" s="175"/>
      <c r="G220" s="175"/>
      <c r="H220" s="175"/>
      <c r="I220" s="175"/>
      <c r="J220" s="175"/>
      <c r="K220" s="175"/>
      <c r="L220" s="175">
        <v>7</v>
      </c>
      <c r="M220" s="175">
        <v>4</v>
      </c>
      <c r="N220" s="175">
        <v>11</v>
      </c>
      <c r="O220" s="175">
        <v>14</v>
      </c>
      <c r="P220" s="175">
        <v>17</v>
      </c>
      <c r="Q220" s="175"/>
      <c r="R220" s="175">
        <v>53</v>
      </c>
    </row>
    <row r="221" spans="2:18">
      <c r="B221" s="176" t="s">
        <v>601</v>
      </c>
      <c r="C221" s="175"/>
      <c r="D221" s="175"/>
      <c r="E221" s="175"/>
      <c r="F221" s="175"/>
      <c r="G221" s="175"/>
      <c r="H221" s="175"/>
      <c r="I221" s="175"/>
      <c r="J221" s="175"/>
      <c r="K221" s="175">
        <v>11.5</v>
      </c>
      <c r="L221" s="175">
        <v>12</v>
      </c>
      <c r="M221" s="175">
        <v>11</v>
      </c>
      <c r="N221" s="175">
        <v>19.5</v>
      </c>
      <c r="O221" s="175">
        <v>23</v>
      </c>
      <c r="P221" s="175">
        <v>21</v>
      </c>
      <c r="Q221" s="175"/>
      <c r="R221" s="175">
        <v>98</v>
      </c>
    </row>
    <row r="222" spans="2:18">
      <c r="B222" s="181" t="s">
        <v>235</v>
      </c>
      <c r="C222" s="175"/>
      <c r="D222" s="175"/>
      <c r="E222" s="175"/>
      <c r="F222" s="175"/>
      <c r="G222" s="175"/>
      <c r="H222" s="175"/>
      <c r="I222" s="175"/>
      <c r="J222" s="175"/>
      <c r="K222" s="175">
        <v>11.5</v>
      </c>
      <c r="L222" s="175">
        <v>12</v>
      </c>
      <c r="M222" s="175">
        <v>11</v>
      </c>
      <c r="N222" s="175">
        <v>19.5</v>
      </c>
      <c r="O222" s="175">
        <v>23</v>
      </c>
      <c r="P222" s="175">
        <v>21</v>
      </c>
      <c r="Q222" s="175"/>
      <c r="R222" s="175">
        <v>98</v>
      </c>
    </row>
    <row r="223" spans="2:18">
      <c r="B223" s="176" t="s">
        <v>423</v>
      </c>
      <c r="C223" s="175"/>
      <c r="D223" s="175"/>
      <c r="E223" s="175">
        <v>0.2</v>
      </c>
      <c r="F223" s="175">
        <v>13.9</v>
      </c>
      <c r="G223" s="175">
        <v>15.4</v>
      </c>
      <c r="H223" s="175">
        <v>19.5</v>
      </c>
      <c r="I223" s="175">
        <v>12.5</v>
      </c>
      <c r="J223" s="175">
        <v>11</v>
      </c>
      <c r="K223" s="175">
        <v>19.099999999999998</v>
      </c>
      <c r="L223" s="175">
        <v>16.7</v>
      </c>
      <c r="M223" s="175">
        <v>22</v>
      </c>
      <c r="N223" s="175">
        <v>19.5</v>
      </c>
      <c r="O223" s="175">
        <v>23</v>
      </c>
      <c r="P223" s="175">
        <v>19</v>
      </c>
      <c r="Q223" s="175">
        <v>1</v>
      </c>
      <c r="R223" s="175">
        <v>192.8</v>
      </c>
    </row>
    <row r="224" spans="2:18">
      <c r="B224" s="181" t="s">
        <v>238</v>
      </c>
      <c r="C224" s="175"/>
      <c r="D224" s="175"/>
      <c r="E224" s="175">
        <v>0.2</v>
      </c>
      <c r="F224" s="175">
        <v>13.4</v>
      </c>
      <c r="G224" s="175">
        <v>14.9</v>
      </c>
      <c r="H224" s="175">
        <v>18</v>
      </c>
      <c r="I224" s="175">
        <v>12.5</v>
      </c>
      <c r="J224" s="175">
        <v>11</v>
      </c>
      <c r="K224" s="175">
        <v>17.899999999999999</v>
      </c>
      <c r="L224" s="175">
        <v>16.2</v>
      </c>
      <c r="M224" s="175">
        <v>22</v>
      </c>
      <c r="N224" s="175">
        <v>19.2</v>
      </c>
      <c r="O224" s="175">
        <v>23</v>
      </c>
      <c r="P224" s="175">
        <v>17.399999999999999</v>
      </c>
      <c r="Q224" s="175">
        <v>1</v>
      </c>
      <c r="R224" s="175">
        <v>186.70000000000002</v>
      </c>
    </row>
    <row r="225" spans="2:18">
      <c r="B225" s="181" t="s">
        <v>237</v>
      </c>
      <c r="C225" s="175"/>
      <c r="D225" s="175"/>
      <c r="E225" s="175"/>
      <c r="F225" s="175">
        <v>0.5</v>
      </c>
      <c r="G225" s="175">
        <v>0.5</v>
      </c>
      <c r="H225" s="175">
        <v>1.5</v>
      </c>
      <c r="I225" s="175"/>
      <c r="J225" s="175"/>
      <c r="K225" s="175">
        <v>1.2</v>
      </c>
      <c r="L225" s="175">
        <v>0.5</v>
      </c>
      <c r="M225" s="175"/>
      <c r="N225" s="175">
        <v>0.3</v>
      </c>
      <c r="O225" s="175"/>
      <c r="P225" s="175">
        <v>1.6</v>
      </c>
      <c r="Q225" s="175"/>
      <c r="R225" s="175">
        <v>6.1</v>
      </c>
    </row>
    <row r="226" spans="2:18">
      <c r="B226" s="176" t="s">
        <v>426</v>
      </c>
      <c r="C226" s="175"/>
      <c r="D226" s="175"/>
      <c r="E226" s="175"/>
      <c r="F226" s="175">
        <v>9.5</v>
      </c>
      <c r="G226" s="175">
        <v>18</v>
      </c>
      <c r="H226" s="175">
        <v>22</v>
      </c>
      <c r="I226" s="175">
        <v>19.28</v>
      </c>
      <c r="J226" s="175">
        <v>18</v>
      </c>
      <c r="K226" s="175">
        <v>20</v>
      </c>
      <c r="L226" s="175">
        <v>17</v>
      </c>
      <c r="M226" s="175">
        <v>19</v>
      </c>
      <c r="N226" s="175">
        <v>20</v>
      </c>
      <c r="O226" s="175">
        <v>10</v>
      </c>
      <c r="P226" s="175">
        <v>20</v>
      </c>
      <c r="Q226" s="175"/>
      <c r="R226" s="175">
        <v>192.77999999999997</v>
      </c>
    </row>
    <row r="227" spans="2:18">
      <c r="B227" s="181" t="s">
        <v>238</v>
      </c>
      <c r="C227" s="175"/>
      <c r="D227" s="175"/>
      <c r="E227" s="175"/>
      <c r="F227" s="175">
        <v>8.6999999999999993</v>
      </c>
      <c r="G227" s="175">
        <v>13.9</v>
      </c>
      <c r="H227" s="175">
        <v>21.42</v>
      </c>
      <c r="I227" s="175">
        <v>16.78</v>
      </c>
      <c r="J227" s="175">
        <v>16.2</v>
      </c>
      <c r="K227" s="175">
        <v>18.23</v>
      </c>
      <c r="L227" s="175">
        <v>14.67</v>
      </c>
      <c r="M227" s="175">
        <v>17.29</v>
      </c>
      <c r="N227" s="175">
        <v>19.14</v>
      </c>
      <c r="O227" s="175">
        <v>8.64</v>
      </c>
      <c r="P227" s="175">
        <v>18.32</v>
      </c>
      <c r="Q227" s="175"/>
      <c r="R227" s="175">
        <v>173.28999999999996</v>
      </c>
    </row>
    <row r="228" spans="2:18">
      <c r="B228" s="181" t="s">
        <v>237</v>
      </c>
      <c r="C228" s="175"/>
      <c r="D228" s="175"/>
      <c r="E228" s="175"/>
      <c r="F228" s="175">
        <v>0.8</v>
      </c>
      <c r="G228" s="175">
        <v>4.0999999999999996</v>
      </c>
      <c r="H228" s="175">
        <v>0.57999999999999996</v>
      </c>
      <c r="I228" s="175">
        <v>2.5</v>
      </c>
      <c r="J228" s="175">
        <v>1.8</v>
      </c>
      <c r="K228" s="175">
        <v>1.77</v>
      </c>
      <c r="L228" s="175">
        <v>2.33</v>
      </c>
      <c r="M228" s="175">
        <v>1.71</v>
      </c>
      <c r="N228" s="175">
        <v>0.86</v>
      </c>
      <c r="O228" s="175">
        <v>1.36</v>
      </c>
      <c r="P228" s="175">
        <v>1.68</v>
      </c>
      <c r="Q228" s="175"/>
      <c r="R228" s="175">
        <v>19.489999999999998</v>
      </c>
    </row>
    <row r="229" spans="2:18">
      <c r="B229" s="176" t="s">
        <v>429</v>
      </c>
      <c r="C229" s="175"/>
      <c r="D229" s="175"/>
      <c r="E229" s="175"/>
      <c r="F229" s="175">
        <v>12.3</v>
      </c>
      <c r="G229" s="175">
        <v>16.95</v>
      </c>
      <c r="H229" s="175">
        <v>20.8</v>
      </c>
      <c r="I229" s="175">
        <v>17.2</v>
      </c>
      <c r="J229" s="175">
        <v>18</v>
      </c>
      <c r="K229" s="175">
        <v>21</v>
      </c>
      <c r="L229" s="175">
        <v>16</v>
      </c>
      <c r="M229" s="175">
        <v>18</v>
      </c>
      <c r="N229" s="175">
        <v>18</v>
      </c>
      <c r="O229" s="175">
        <v>22</v>
      </c>
      <c r="P229" s="175">
        <v>11</v>
      </c>
      <c r="Q229" s="175"/>
      <c r="R229" s="175">
        <v>191.25</v>
      </c>
    </row>
    <row r="230" spans="2:18">
      <c r="B230" s="181" t="s">
        <v>238</v>
      </c>
      <c r="C230" s="175"/>
      <c r="D230" s="175"/>
      <c r="E230" s="175"/>
      <c r="F230" s="175">
        <v>12.3</v>
      </c>
      <c r="G230" s="175">
        <v>16.95</v>
      </c>
      <c r="H230" s="175">
        <v>20.8</v>
      </c>
      <c r="I230" s="175">
        <v>17.2</v>
      </c>
      <c r="J230" s="175">
        <v>18</v>
      </c>
      <c r="K230" s="175">
        <v>21</v>
      </c>
      <c r="L230" s="175">
        <v>16</v>
      </c>
      <c r="M230" s="175">
        <v>18</v>
      </c>
      <c r="N230" s="175">
        <v>18</v>
      </c>
      <c r="O230" s="175">
        <v>22</v>
      </c>
      <c r="P230" s="175">
        <v>11</v>
      </c>
      <c r="Q230" s="175"/>
      <c r="R230" s="175">
        <v>191.25</v>
      </c>
    </row>
    <row r="231" spans="2:18">
      <c r="B231" s="176" t="s">
        <v>615</v>
      </c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>
        <v>0.5</v>
      </c>
      <c r="P231" s="175"/>
      <c r="Q231" s="175"/>
      <c r="R231" s="175">
        <v>0.5</v>
      </c>
    </row>
    <row r="232" spans="2:18">
      <c r="B232" s="181" t="s">
        <v>235</v>
      </c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>
        <v>0.5</v>
      </c>
      <c r="P232" s="175"/>
      <c r="Q232" s="175"/>
      <c r="R232" s="175">
        <v>0.5</v>
      </c>
    </row>
    <row r="233" spans="2:18">
      <c r="B233" s="176" t="s">
        <v>605</v>
      </c>
      <c r="C233" s="175"/>
      <c r="D233" s="175"/>
      <c r="E233" s="175"/>
      <c r="F233" s="175"/>
      <c r="G233" s="175"/>
      <c r="H233" s="175"/>
      <c r="I233" s="175"/>
      <c r="J233" s="175"/>
      <c r="K233" s="175"/>
      <c r="L233" s="175">
        <v>21.5</v>
      </c>
      <c r="M233" s="175">
        <v>22</v>
      </c>
      <c r="N233" s="175">
        <v>20</v>
      </c>
      <c r="O233" s="175">
        <v>23</v>
      </c>
      <c r="P233" s="175">
        <v>21</v>
      </c>
      <c r="Q233" s="175"/>
      <c r="R233" s="175">
        <v>107.5</v>
      </c>
    </row>
    <row r="234" spans="2:18">
      <c r="B234" s="181" t="s">
        <v>235</v>
      </c>
      <c r="C234" s="175"/>
      <c r="D234" s="175"/>
      <c r="E234" s="175"/>
      <c r="F234" s="175"/>
      <c r="G234" s="175"/>
      <c r="H234" s="175"/>
      <c r="I234" s="175"/>
      <c r="J234" s="175"/>
      <c r="K234" s="175"/>
      <c r="L234" s="175">
        <v>21.5</v>
      </c>
      <c r="M234" s="175">
        <v>22</v>
      </c>
      <c r="N234" s="175">
        <v>20</v>
      </c>
      <c r="O234" s="175">
        <v>23</v>
      </c>
      <c r="P234" s="175">
        <v>21</v>
      </c>
      <c r="Q234" s="175"/>
      <c r="R234" s="175">
        <v>107.5</v>
      </c>
    </row>
    <row r="235" spans="2:18">
      <c r="B235" s="176" t="s">
        <v>563</v>
      </c>
      <c r="C235" s="175"/>
      <c r="D235" s="175"/>
      <c r="E235" s="175"/>
      <c r="F235" s="175">
        <v>5</v>
      </c>
      <c r="G235" s="175">
        <v>15.75</v>
      </c>
      <c r="H235" s="175">
        <v>22</v>
      </c>
      <c r="I235" s="175">
        <v>20</v>
      </c>
      <c r="J235" s="175">
        <v>16</v>
      </c>
      <c r="K235" s="175">
        <v>20</v>
      </c>
      <c r="L235" s="175">
        <v>21</v>
      </c>
      <c r="M235" s="175">
        <v>11</v>
      </c>
      <c r="N235" s="175">
        <v>20</v>
      </c>
      <c r="O235" s="175">
        <v>21</v>
      </c>
      <c r="P235" s="175">
        <v>20</v>
      </c>
      <c r="Q235" s="175"/>
      <c r="R235" s="175">
        <v>191.75</v>
      </c>
    </row>
    <row r="236" spans="2:18">
      <c r="B236" s="181" t="s">
        <v>235</v>
      </c>
      <c r="C236" s="175"/>
      <c r="D236" s="175"/>
      <c r="E236" s="175"/>
      <c r="F236" s="175">
        <v>5</v>
      </c>
      <c r="G236" s="175">
        <v>15.75</v>
      </c>
      <c r="H236" s="175">
        <v>22</v>
      </c>
      <c r="I236" s="175">
        <v>20</v>
      </c>
      <c r="J236" s="175">
        <v>16</v>
      </c>
      <c r="K236" s="175">
        <v>20</v>
      </c>
      <c r="L236" s="175">
        <v>21</v>
      </c>
      <c r="M236" s="175">
        <v>11</v>
      </c>
      <c r="N236" s="175">
        <v>20</v>
      </c>
      <c r="O236" s="175">
        <v>21</v>
      </c>
      <c r="P236" s="175">
        <v>20</v>
      </c>
      <c r="Q236" s="175"/>
      <c r="R236" s="175">
        <v>191.75</v>
      </c>
    </row>
    <row r="237" spans="2:18">
      <c r="B237" s="176" t="s">
        <v>425</v>
      </c>
      <c r="C237" s="175"/>
      <c r="D237" s="175"/>
      <c r="E237" s="175"/>
      <c r="F237" s="175">
        <v>14</v>
      </c>
      <c r="G237" s="175">
        <v>16</v>
      </c>
      <c r="H237" s="175">
        <v>15</v>
      </c>
      <c r="I237" s="175">
        <v>13.6</v>
      </c>
      <c r="J237" s="175">
        <v>10.5</v>
      </c>
      <c r="K237" s="175">
        <v>15</v>
      </c>
      <c r="L237" s="175">
        <v>18</v>
      </c>
      <c r="M237" s="175">
        <v>6</v>
      </c>
      <c r="N237" s="175">
        <v>15</v>
      </c>
      <c r="O237" s="175">
        <v>15.5</v>
      </c>
      <c r="P237" s="175">
        <v>12.5</v>
      </c>
      <c r="Q237" s="175"/>
      <c r="R237" s="175">
        <v>151.1</v>
      </c>
    </row>
    <row r="238" spans="2:18">
      <c r="B238" s="181" t="s">
        <v>238</v>
      </c>
      <c r="C238" s="175"/>
      <c r="D238" s="175"/>
      <c r="E238" s="175"/>
      <c r="F238" s="175">
        <v>13.45</v>
      </c>
      <c r="G238" s="175">
        <v>13.26</v>
      </c>
      <c r="H238" s="175">
        <v>13.9</v>
      </c>
      <c r="I238" s="175">
        <v>11.87</v>
      </c>
      <c r="J238" s="175">
        <v>10.5</v>
      </c>
      <c r="K238" s="175">
        <v>14.37</v>
      </c>
      <c r="L238" s="175">
        <v>18</v>
      </c>
      <c r="M238" s="175">
        <v>6</v>
      </c>
      <c r="N238" s="175">
        <v>15</v>
      </c>
      <c r="O238" s="175">
        <v>14.77</v>
      </c>
      <c r="P238" s="175">
        <v>11.7</v>
      </c>
      <c r="Q238" s="175"/>
      <c r="R238" s="175">
        <v>142.82</v>
      </c>
    </row>
    <row r="239" spans="2:18">
      <c r="B239" s="181" t="s">
        <v>237</v>
      </c>
      <c r="C239" s="175"/>
      <c r="D239" s="175"/>
      <c r="E239" s="175"/>
      <c r="F239" s="175">
        <v>0.55000000000000004</v>
      </c>
      <c r="G239" s="175">
        <v>2.74</v>
      </c>
      <c r="H239" s="175">
        <v>1.1000000000000001</v>
      </c>
      <c r="I239" s="175">
        <v>1.73</v>
      </c>
      <c r="J239" s="175"/>
      <c r="K239" s="175">
        <v>0.63</v>
      </c>
      <c r="L239" s="175"/>
      <c r="M239" s="175"/>
      <c r="N239" s="175"/>
      <c r="O239" s="175">
        <v>0.73</v>
      </c>
      <c r="P239" s="175">
        <v>0.8</v>
      </c>
      <c r="Q239" s="175"/>
      <c r="R239" s="175">
        <v>8.2800000000000011</v>
      </c>
    </row>
    <row r="240" spans="2:18">
      <c r="B240" s="176" t="s">
        <v>552</v>
      </c>
      <c r="C240" s="175"/>
      <c r="D240" s="175"/>
      <c r="E240" s="175"/>
      <c r="F240" s="175">
        <v>18.8</v>
      </c>
      <c r="G240" s="175">
        <v>19.8</v>
      </c>
      <c r="H240" s="175">
        <v>22</v>
      </c>
      <c r="I240" s="175">
        <v>19</v>
      </c>
      <c r="J240" s="175">
        <v>19</v>
      </c>
      <c r="K240" s="175">
        <v>6</v>
      </c>
      <c r="L240" s="175">
        <v>20</v>
      </c>
      <c r="M240" s="175">
        <v>19</v>
      </c>
      <c r="N240" s="175">
        <v>15</v>
      </c>
      <c r="O240" s="175">
        <v>23</v>
      </c>
      <c r="P240" s="175">
        <v>21</v>
      </c>
      <c r="Q240" s="175"/>
      <c r="R240" s="175">
        <v>202.6</v>
      </c>
    </row>
    <row r="241" spans="2:18">
      <c r="B241" s="181" t="s">
        <v>235</v>
      </c>
      <c r="C241" s="175"/>
      <c r="D241" s="175"/>
      <c r="E241" s="175"/>
      <c r="F241" s="175">
        <v>18.8</v>
      </c>
      <c r="G241" s="175">
        <v>19.8</v>
      </c>
      <c r="H241" s="175">
        <v>22</v>
      </c>
      <c r="I241" s="175">
        <v>19</v>
      </c>
      <c r="J241" s="175">
        <v>19</v>
      </c>
      <c r="K241" s="175">
        <v>6</v>
      </c>
      <c r="L241" s="175">
        <v>20</v>
      </c>
      <c r="M241" s="175">
        <v>19</v>
      </c>
      <c r="N241" s="175">
        <v>15</v>
      </c>
      <c r="O241" s="175">
        <v>23</v>
      </c>
      <c r="P241" s="175">
        <v>21</v>
      </c>
      <c r="Q241" s="175"/>
      <c r="R241" s="175">
        <v>202.6</v>
      </c>
    </row>
    <row r="242" spans="2:18">
      <c r="B242" s="176" t="s">
        <v>617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>
        <v>18</v>
      </c>
      <c r="P242" s="175">
        <v>21</v>
      </c>
      <c r="Q242" s="175">
        <v>3</v>
      </c>
      <c r="R242" s="175">
        <v>42</v>
      </c>
    </row>
    <row r="243" spans="2:18">
      <c r="B243" s="181" t="s">
        <v>238</v>
      </c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>
        <v>18</v>
      </c>
      <c r="P243" s="175">
        <v>21</v>
      </c>
      <c r="Q243" s="175">
        <v>2.2000000000000002</v>
      </c>
      <c r="R243" s="175">
        <v>41.2</v>
      </c>
    </row>
    <row r="244" spans="2:18">
      <c r="B244" s="181" t="s">
        <v>237</v>
      </c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>
        <v>0.8</v>
      </c>
      <c r="R244" s="175">
        <v>0.8</v>
      </c>
    </row>
    <row r="245" spans="2:18">
      <c r="B245" s="176" t="s">
        <v>548</v>
      </c>
      <c r="C245" s="175"/>
      <c r="D245" s="175"/>
      <c r="E245" s="175"/>
      <c r="F245" s="175">
        <v>15.25</v>
      </c>
      <c r="G245" s="175">
        <v>19.25</v>
      </c>
      <c r="H245" s="175">
        <v>21</v>
      </c>
      <c r="I245" s="175">
        <v>20</v>
      </c>
      <c r="J245" s="175">
        <v>6</v>
      </c>
      <c r="K245" s="175"/>
      <c r="L245" s="175"/>
      <c r="M245" s="175"/>
      <c r="N245" s="175">
        <v>9</v>
      </c>
      <c r="O245" s="175">
        <v>23</v>
      </c>
      <c r="P245" s="175">
        <v>20</v>
      </c>
      <c r="Q245" s="175"/>
      <c r="R245" s="175">
        <v>133.5</v>
      </c>
    </row>
    <row r="246" spans="2:18">
      <c r="B246" s="181" t="s">
        <v>235</v>
      </c>
      <c r="C246" s="175"/>
      <c r="D246" s="175"/>
      <c r="E246" s="175"/>
      <c r="F246" s="175">
        <v>15.25</v>
      </c>
      <c r="G246" s="175">
        <v>19.25</v>
      </c>
      <c r="H246" s="175">
        <v>21</v>
      </c>
      <c r="I246" s="175">
        <v>20</v>
      </c>
      <c r="J246" s="175">
        <v>6</v>
      </c>
      <c r="K246" s="175"/>
      <c r="L246" s="175"/>
      <c r="M246" s="175"/>
      <c r="N246" s="175">
        <v>9</v>
      </c>
      <c r="O246" s="175">
        <v>23</v>
      </c>
      <c r="P246" s="175">
        <v>20</v>
      </c>
      <c r="Q246" s="175"/>
      <c r="R246" s="175">
        <v>133.5</v>
      </c>
    </row>
    <row r="247" spans="2:18">
      <c r="B247" s="176" t="s">
        <v>206</v>
      </c>
      <c r="C247" s="175"/>
      <c r="D247" s="175"/>
      <c r="E247" s="175"/>
      <c r="F247" s="175"/>
      <c r="G247" s="175">
        <v>0.2</v>
      </c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>
        <v>0.2</v>
      </c>
    </row>
    <row r="248" spans="2:18">
      <c r="B248" s="181" t="s">
        <v>235</v>
      </c>
      <c r="C248" s="175"/>
      <c r="D248" s="175"/>
      <c r="E248" s="175"/>
      <c r="F248" s="175"/>
      <c r="G248" s="175">
        <v>0.2</v>
      </c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>
        <v>0.2</v>
      </c>
    </row>
    <row r="249" spans="2:18">
      <c r="B249" s="176" t="s">
        <v>207</v>
      </c>
      <c r="C249" s="175">
        <v>2.5</v>
      </c>
      <c r="D249" s="175">
        <v>8.25</v>
      </c>
      <c r="E249" s="175">
        <v>5.2</v>
      </c>
      <c r="F249" s="175">
        <v>865.76999999999987</v>
      </c>
      <c r="G249" s="175">
        <v>995.0100000000001</v>
      </c>
      <c r="H249" s="175">
        <v>1207.98</v>
      </c>
      <c r="I249" s="175">
        <v>1041.4179199999999</v>
      </c>
      <c r="J249" s="175">
        <v>913.59999999999991</v>
      </c>
      <c r="K249" s="175">
        <v>1054.5900000000001</v>
      </c>
      <c r="L249" s="175">
        <v>1087.4000000000001</v>
      </c>
      <c r="M249" s="175">
        <v>986.35</v>
      </c>
      <c r="N249" s="175">
        <v>1115.25</v>
      </c>
      <c r="O249" s="175">
        <v>1401.2</v>
      </c>
      <c r="P249" s="175">
        <v>1278.3</v>
      </c>
      <c r="Q249" s="175">
        <v>80.139999999999986</v>
      </c>
      <c r="R249" s="175">
        <v>12042.957920000003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9" tint="-0.499984740745262"/>
  </sheetPr>
  <dimension ref="B5:N75"/>
  <sheetViews>
    <sheetView workbookViewId="0">
      <selection activeCell="B7" sqref="B7"/>
    </sheetView>
  </sheetViews>
  <sheetFormatPr baseColWidth="10" defaultRowHeight="15"/>
  <cols>
    <col min="2" max="2" width="25.140625" customWidth="1"/>
    <col min="3" max="3" width="3.7109375" customWidth="1"/>
    <col min="4" max="4" width="3.85546875" customWidth="1"/>
    <col min="5" max="5" width="4.42578125" customWidth="1"/>
    <col min="6" max="6" width="3.7109375" customWidth="1"/>
    <col min="7" max="7" width="4.28515625" customWidth="1"/>
    <col min="8" max="8" width="4.42578125" customWidth="1"/>
    <col min="9" max="9" width="3.85546875" customWidth="1"/>
    <col min="10" max="10" width="5" customWidth="1"/>
    <col min="11" max="11" width="4.85546875" customWidth="1"/>
    <col min="12" max="12" width="3.7109375" customWidth="1"/>
    <col min="13" max="13" width="4.28515625" customWidth="1"/>
    <col min="14" max="14" width="4.140625" customWidth="1"/>
    <col min="15" max="15" width="23.42578125" customWidth="1"/>
    <col min="16" max="16" width="23" customWidth="1"/>
    <col min="17" max="17" width="23.140625" customWidth="1"/>
    <col min="18" max="18" width="23.42578125" customWidth="1"/>
    <col min="19" max="19" width="23" customWidth="1"/>
    <col min="20" max="20" width="23.140625" customWidth="1"/>
    <col min="21" max="21" width="22.5703125" bestFit="1" customWidth="1"/>
    <col min="22" max="22" width="22.42578125" bestFit="1" customWidth="1"/>
    <col min="23" max="23" width="22.5703125" bestFit="1" customWidth="1"/>
  </cols>
  <sheetData>
    <row r="5" spans="2:14">
      <c r="B5" s="174" t="s">
        <v>205</v>
      </c>
      <c r="C5" s="493" t="s">
        <v>847</v>
      </c>
      <c r="D5" s="493" t="s">
        <v>848</v>
      </c>
      <c r="E5" s="493" t="s">
        <v>849</v>
      </c>
      <c r="F5" s="493" t="s">
        <v>850</v>
      </c>
      <c r="G5" s="493" t="s">
        <v>851</v>
      </c>
      <c r="H5" s="493" t="s">
        <v>852</v>
      </c>
      <c r="I5" s="493" t="s">
        <v>853</v>
      </c>
      <c r="J5" s="493" t="s">
        <v>854</v>
      </c>
      <c r="K5" s="493" t="s">
        <v>855</v>
      </c>
      <c r="L5" s="493" t="s">
        <v>856</v>
      </c>
      <c r="M5" s="493" t="s">
        <v>857</v>
      </c>
      <c r="N5" s="493" t="s">
        <v>858</v>
      </c>
    </row>
    <row r="6" spans="2:14">
      <c r="B6" s="176" t="s">
        <v>704</v>
      </c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</row>
    <row r="7" spans="2:14">
      <c r="B7" s="181" t="s">
        <v>842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</row>
    <row r="8" spans="2:14">
      <c r="B8" s="181" t="s">
        <v>843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</row>
    <row r="9" spans="2:14">
      <c r="B9" s="181" t="s">
        <v>844</v>
      </c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</row>
    <row r="10" spans="2:14">
      <c r="B10" s="176" t="s">
        <v>705</v>
      </c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</row>
    <row r="11" spans="2:14">
      <c r="B11" s="181" t="s">
        <v>842</v>
      </c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</row>
    <row r="12" spans="2:14">
      <c r="B12" s="176" t="s">
        <v>816</v>
      </c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</row>
    <row r="13" spans="2:14">
      <c r="B13" s="181" t="s">
        <v>842</v>
      </c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</row>
    <row r="14" spans="2:14">
      <c r="B14" s="176" t="s">
        <v>706</v>
      </c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</row>
    <row r="15" spans="2:14">
      <c r="B15" s="181" t="s">
        <v>843</v>
      </c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</row>
    <row r="16" spans="2:14">
      <c r="B16" s="176" t="s">
        <v>707</v>
      </c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</row>
    <row r="17" spans="2:14">
      <c r="B17" s="181" t="s">
        <v>842</v>
      </c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</row>
    <row r="18" spans="2:14">
      <c r="B18" s="176" t="s">
        <v>818</v>
      </c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</row>
    <row r="19" spans="2:14">
      <c r="B19" s="181" t="s">
        <v>844</v>
      </c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</row>
    <row r="20" spans="2:14">
      <c r="B20" s="176" t="s">
        <v>708</v>
      </c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</row>
    <row r="21" spans="2:14">
      <c r="B21" s="181" t="s">
        <v>842</v>
      </c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</row>
    <row r="22" spans="2:14">
      <c r="B22" s="176" t="s">
        <v>709</v>
      </c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</row>
    <row r="23" spans="2:14">
      <c r="B23" s="181" t="s">
        <v>842</v>
      </c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</row>
    <row r="24" spans="2:14">
      <c r="B24" s="176" t="s">
        <v>710</v>
      </c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</row>
    <row r="25" spans="2:14">
      <c r="B25" s="181" t="s">
        <v>842</v>
      </c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</row>
    <row r="26" spans="2:14">
      <c r="B26" s="176" t="s">
        <v>788</v>
      </c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</row>
    <row r="27" spans="2:14">
      <c r="B27" s="181" t="s">
        <v>842</v>
      </c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</row>
    <row r="28" spans="2:14">
      <c r="B28" s="181" t="s">
        <v>844</v>
      </c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</row>
    <row r="29" spans="2:14">
      <c r="B29" s="176" t="s">
        <v>711</v>
      </c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</row>
    <row r="30" spans="2:14">
      <c r="B30" s="181" t="s">
        <v>844</v>
      </c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</row>
    <row r="31" spans="2:14">
      <c r="B31" s="176" t="s">
        <v>835</v>
      </c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</row>
    <row r="32" spans="2:14">
      <c r="B32" s="181" t="s">
        <v>842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</row>
    <row r="33" spans="2:14">
      <c r="B33" s="176" t="s">
        <v>712</v>
      </c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</row>
    <row r="34" spans="2:14">
      <c r="B34" s="181" t="s">
        <v>843</v>
      </c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</row>
    <row r="35" spans="2:14">
      <c r="B35" s="176" t="s">
        <v>713</v>
      </c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</row>
    <row r="36" spans="2:14">
      <c r="B36" s="181" t="s">
        <v>842</v>
      </c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</row>
    <row r="37" spans="2:14">
      <c r="B37" s="176" t="s">
        <v>714</v>
      </c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</row>
    <row r="38" spans="2:14">
      <c r="B38" s="181" t="s">
        <v>842</v>
      </c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</row>
    <row r="39" spans="2:14">
      <c r="B39" s="176" t="s">
        <v>715</v>
      </c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</row>
    <row r="40" spans="2:14">
      <c r="B40" s="181" t="s">
        <v>844</v>
      </c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</row>
    <row r="41" spans="2:14">
      <c r="B41" s="176" t="s">
        <v>716</v>
      </c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</row>
    <row r="42" spans="2:14">
      <c r="B42" s="181" t="s">
        <v>844</v>
      </c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</row>
    <row r="43" spans="2:14">
      <c r="B43" s="176" t="s">
        <v>846</v>
      </c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</row>
    <row r="44" spans="2:14">
      <c r="B44" s="181" t="s">
        <v>844</v>
      </c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</row>
    <row r="45" spans="2:14">
      <c r="B45" s="176" t="s">
        <v>717</v>
      </c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</row>
    <row r="46" spans="2:14">
      <c r="B46" s="181" t="s">
        <v>843</v>
      </c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</row>
    <row r="47" spans="2:14">
      <c r="B47" s="176" t="s">
        <v>718</v>
      </c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</row>
    <row r="48" spans="2:14">
      <c r="B48" s="181" t="s">
        <v>842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</row>
    <row r="49" spans="2:14">
      <c r="B49" s="176" t="s">
        <v>836</v>
      </c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</row>
    <row r="50" spans="2:14">
      <c r="B50" s="181" t="s">
        <v>842</v>
      </c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</row>
    <row r="51" spans="2:14">
      <c r="B51" s="176" t="s">
        <v>719</v>
      </c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</row>
    <row r="52" spans="2:14">
      <c r="B52" s="181" t="s">
        <v>842</v>
      </c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</row>
    <row r="53" spans="2:14">
      <c r="B53" s="176" t="s">
        <v>720</v>
      </c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</row>
    <row r="54" spans="2:14">
      <c r="B54" s="181" t="s">
        <v>842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</row>
    <row r="55" spans="2:14">
      <c r="B55" s="176" t="s">
        <v>721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</row>
    <row r="56" spans="2:14">
      <c r="B56" s="181" t="s">
        <v>842</v>
      </c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</row>
    <row r="57" spans="2:14">
      <c r="B57" s="176" t="s">
        <v>805</v>
      </c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</row>
    <row r="58" spans="2:14">
      <c r="B58" s="181" t="s">
        <v>844</v>
      </c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</row>
    <row r="59" spans="2:14">
      <c r="B59" s="176" t="s">
        <v>834</v>
      </c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</row>
    <row r="60" spans="2:14">
      <c r="B60" s="181" t="s">
        <v>842</v>
      </c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</row>
    <row r="61" spans="2:14">
      <c r="B61" s="176" t="s">
        <v>722</v>
      </c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</row>
    <row r="62" spans="2:14">
      <c r="B62" s="181" t="s">
        <v>844</v>
      </c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</row>
    <row r="63" spans="2:14">
      <c r="B63" s="176" t="s">
        <v>817</v>
      </c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</row>
    <row r="64" spans="2:14">
      <c r="B64" s="181" t="s">
        <v>842</v>
      </c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</row>
    <row r="65" spans="2:14">
      <c r="B65" s="176" t="s">
        <v>756</v>
      </c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</row>
    <row r="66" spans="2:14">
      <c r="B66" s="181" t="s">
        <v>843</v>
      </c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</row>
    <row r="67" spans="2:14">
      <c r="B67" s="176" t="s">
        <v>723</v>
      </c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</row>
    <row r="68" spans="2:14">
      <c r="B68" s="181" t="s">
        <v>842</v>
      </c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</row>
    <row r="69" spans="2:14">
      <c r="B69" s="176" t="s">
        <v>787</v>
      </c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</row>
    <row r="70" spans="2:14">
      <c r="B70" s="181" t="s">
        <v>842</v>
      </c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</row>
    <row r="71" spans="2:14">
      <c r="B71" s="176" t="s">
        <v>724</v>
      </c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</row>
    <row r="72" spans="2:14">
      <c r="B72" s="181" t="s">
        <v>842</v>
      </c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</row>
    <row r="73" spans="2:14">
      <c r="B73" s="176" t="s">
        <v>725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</row>
    <row r="74" spans="2:14">
      <c r="B74" s="181" t="s">
        <v>844</v>
      </c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</row>
    <row r="75" spans="2:14">
      <c r="B75" s="176" t="s">
        <v>207</v>
      </c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4" tint="-0.249977111117893"/>
    <pageSetUpPr fitToPage="1"/>
  </sheetPr>
  <dimension ref="A1:DJ415"/>
  <sheetViews>
    <sheetView zoomScale="70" zoomScaleNormal="70" workbookViewId="0">
      <pane xSplit="14775" topLeftCell="AG1"/>
      <selection activeCell="B4" sqref="B4"/>
      <selection pane="topRight" activeCell="AE16" sqref="AE16"/>
    </sheetView>
  </sheetViews>
  <sheetFormatPr baseColWidth="10" defaultColWidth="11.42578125" defaultRowHeight="15"/>
  <cols>
    <col min="1" max="1" width="14" style="158" customWidth="1"/>
    <col min="2" max="2" width="25.7109375" style="158" customWidth="1"/>
    <col min="3" max="3" width="27.28515625" style="158" customWidth="1"/>
    <col min="4" max="4" width="81.5703125" style="158" customWidth="1"/>
    <col min="5" max="5" width="18.140625" style="158" customWidth="1"/>
    <col min="6" max="6" width="6.140625" style="159" customWidth="1"/>
    <col min="7" max="7" width="22.42578125" style="158" customWidth="1"/>
    <col min="8" max="8" width="10" style="158" customWidth="1"/>
    <col min="9" max="9" width="10.5703125" style="158" customWidth="1"/>
    <col min="10" max="10" width="30.42578125" style="158" customWidth="1"/>
    <col min="11" max="11" width="22.85546875" style="158" customWidth="1"/>
    <col min="12" max="12" width="22.42578125" style="158" customWidth="1"/>
    <col min="13" max="13" width="52.42578125" style="158" customWidth="1"/>
    <col min="14" max="14" width="42.5703125" style="158" customWidth="1"/>
    <col min="15" max="15" width="14.85546875" style="158" customWidth="1"/>
    <col min="16" max="16" width="15" style="158" customWidth="1"/>
    <col min="17" max="17" width="14.140625" style="158" customWidth="1"/>
    <col min="18" max="18" width="13.42578125" style="158" customWidth="1"/>
    <col min="19" max="22" width="24.85546875" style="158" customWidth="1"/>
    <col min="23" max="23" width="61.7109375" customWidth="1"/>
    <col min="24" max="24" width="61.7109375" style="158" customWidth="1"/>
    <col min="25" max="25" width="14.5703125" style="158" bestFit="1" customWidth="1"/>
    <col min="26" max="27" width="24.85546875" style="158" customWidth="1"/>
    <col min="28" max="28" width="10.85546875" style="158" customWidth="1"/>
    <col min="29" max="29" width="9.42578125" style="158" customWidth="1"/>
    <col min="30" max="30" width="24.85546875" style="158" customWidth="1"/>
    <col min="31" max="36" width="19.5703125" style="158" customWidth="1"/>
    <col min="37" max="53" width="18.140625" style="158" customWidth="1"/>
    <col min="54" max="54" width="17.5703125" style="158" customWidth="1"/>
    <col min="55" max="55" width="16" style="158" customWidth="1"/>
    <col min="56" max="68" width="14.5703125" style="158" customWidth="1"/>
    <col min="69" max="71" width="16.42578125" style="158" customWidth="1"/>
    <col min="72" max="72" width="13" style="158" customWidth="1"/>
    <col min="73" max="79" width="14.42578125" style="158" customWidth="1"/>
    <col min="80" max="80" width="13.42578125" style="158" customWidth="1"/>
    <col min="81" max="81" width="10.5703125" style="158" customWidth="1"/>
    <col min="82" max="82" width="15" style="158" customWidth="1"/>
    <col min="83" max="102" width="14.42578125" style="158" customWidth="1"/>
    <col min="103" max="103" width="21.140625" style="158" customWidth="1"/>
    <col min="104" max="104" width="21.42578125" style="158" customWidth="1"/>
    <col min="105" max="105" width="19.140625" style="158" customWidth="1"/>
    <col min="106" max="106" width="21.140625" style="158" customWidth="1"/>
    <col min="107" max="107" width="21.42578125" style="158" customWidth="1"/>
    <col min="108" max="108" width="19.140625" style="158" customWidth="1"/>
    <col min="109" max="109" width="21.140625" style="158" customWidth="1"/>
    <col min="110" max="110" width="21.42578125" style="158" customWidth="1"/>
    <col min="111" max="111" width="35" style="158" bestFit="1" customWidth="1"/>
    <col min="112" max="112" width="11.42578125" style="158"/>
    <col min="113" max="113" width="7.5703125" style="158" customWidth="1"/>
    <col min="114" max="114" width="14.42578125" style="158" bestFit="1" customWidth="1"/>
    <col min="115" max="16384" width="11.42578125" style="158"/>
  </cols>
  <sheetData>
    <row r="1" spans="1:113" s="4" customFormat="1" ht="58.5" customHeight="1">
      <c r="F1" s="5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1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</row>
    <row r="2" spans="1:113" s="74" customFormat="1">
      <c r="F2" s="383"/>
    </row>
    <row r="3" spans="1:113">
      <c r="W3" s="158"/>
      <c r="AD3" s="85"/>
      <c r="AE3" s="86"/>
      <c r="AF3" s="87"/>
      <c r="AG3" s="87"/>
      <c r="AH3" s="354"/>
      <c r="AI3" s="88"/>
      <c r="AJ3" s="85"/>
      <c r="AK3" s="86"/>
      <c r="AL3" s="87"/>
      <c r="AM3" s="87"/>
      <c r="AN3" s="354"/>
      <c r="AO3" s="88"/>
      <c r="AP3" s="85"/>
      <c r="AQ3" s="86"/>
      <c r="AR3" s="87"/>
      <c r="AS3" s="87"/>
      <c r="AT3" s="354"/>
      <c r="AU3" s="88"/>
      <c r="AV3" s="85"/>
      <c r="AW3" s="86"/>
      <c r="AX3" s="87"/>
      <c r="AY3" s="87"/>
      <c r="AZ3" s="354"/>
      <c r="BA3" s="88"/>
      <c r="BB3" s="85"/>
      <c r="BC3" s="86"/>
      <c r="BD3" s="87"/>
      <c r="BE3" s="87"/>
      <c r="BF3" s="354"/>
      <c r="BG3" s="88"/>
      <c r="BH3" s="85"/>
      <c r="BI3" s="86"/>
      <c r="BJ3" s="87"/>
      <c r="BK3" s="87"/>
      <c r="BL3" s="354"/>
      <c r="BM3" s="88"/>
      <c r="BN3" s="85"/>
      <c r="BO3" s="86"/>
      <c r="BP3" s="87"/>
      <c r="BQ3" s="87"/>
      <c r="BR3" s="354"/>
      <c r="BS3" s="88"/>
      <c r="BT3" s="85"/>
      <c r="BU3" s="86"/>
      <c r="BV3" s="87"/>
      <c r="BW3" s="87"/>
      <c r="BX3" s="354"/>
      <c r="BY3" s="88"/>
      <c r="BZ3" s="85"/>
      <c r="CA3" s="86"/>
      <c r="CB3" s="87"/>
      <c r="CC3" s="87"/>
      <c r="CD3" s="354"/>
      <c r="CE3" s="88"/>
      <c r="CF3" s="85"/>
      <c r="CG3" s="86"/>
      <c r="CH3" s="87"/>
      <c r="CI3" s="87"/>
      <c r="CJ3" s="354"/>
      <c r="CK3" s="88"/>
      <c r="CL3" s="85"/>
      <c r="CM3" s="86"/>
      <c r="CN3" s="87"/>
      <c r="CO3" s="87"/>
      <c r="CP3" s="354"/>
      <c r="CQ3" s="88"/>
      <c r="CR3" s="85"/>
      <c r="CS3" s="86"/>
      <c r="CT3" s="87"/>
      <c r="CU3" s="87"/>
      <c r="CV3" s="354"/>
      <c r="CW3" s="88"/>
    </row>
    <row r="4" spans="1:113" s="8" customFormat="1" ht="45">
      <c r="A4" s="157" t="s">
        <v>180</v>
      </c>
      <c r="B4" s="157" t="s">
        <v>150</v>
      </c>
      <c r="C4" s="157" t="s">
        <v>151</v>
      </c>
      <c r="D4" s="157" t="s">
        <v>152</v>
      </c>
      <c r="E4" s="157" t="s">
        <v>153</v>
      </c>
      <c r="F4" s="384" t="s">
        <v>154</v>
      </c>
      <c r="G4" s="157" t="s">
        <v>155</v>
      </c>
      <c r="H4" s="157" t="s">
        <v>156</v>
      </c>
      <c r="I4" s="157" t="s">
        <v>157</v>
      </c>
      <c r="J4" s="157" t="s">
        <v>158</v>
      </c>
      <c r="K4" s="157" t="s">
        <v>159</v>
      </c>
      <c r="L4" s="157" t="s">
        <v>160</v>
      </c>
      <c r="M4" s="157" t="s">
        <v>161</v>
      </c>
      <c r="N4" s="157" t="s">
        <v>162</v>
      </c>
      <c r="O4" s="157" t="s">
        <v>163</v>
      </c>
      <c r="P4" s="157" t="s">
        <v>164</v>
      </c>
      <c r="Q4" s="157" t="s">
        <v>21</v>
      </c>
      <c r="R4" s="157" t="s">
        <v>165</v>
      </c>
      <c r="S4" s="157" t="s">
        <v>166</v>
      </c>
      <c r="T4" s="157" t="s">
        <v>169</v>
      </c>
      <c r="U4" s="157" t="s">
        <v>167</v>
      </c>
      <c r="V4" s="157" t="s">
        <v>168</v>
      </c>
      <c r="W4" s="161" t="s">
        <v>179</v>
      </c>
      <c r="X4" s="161" t="s">
        <v>784</v>
      </c>
      <c r="Y4" s="161" t="s">
        <v>181</v>
      </c>
      <c r="Z4" s="161" t="s">
        <v>183</v>
      </c>
      <c r="AA4" s="161" t="s">
        <v>632</v>
      </c>
      <c r="AB4" s="166" t="s">
        <v>184</v>
      </c>
      <c r="AC4" s="166" t="s">
        <v>186</v>
      </c>
      <c r="AD4" s="89" t="s">
        <v>90</v>
      </c>
      <c r="AE4" s="90" t="s">
        <v>91</v>
      </c>
      <c r="AF4" s="91" t="s">
        <v>92</v>
      </c>
      <c r="AG4" s="91" t="s">
        <v>93</v>
      </c>
      <c r="AH4" s="355" t="s">
        <v>761</v>
      </c>
      <c r="AI4" s="91" t="s">
        <v>94</v>
      </c>
      <c r="AJ4" s="89" t="s">
        <v>95</v>
      </c>
      <c r="AK4" s="90" t="s">
        <v>96</v>
      </c>
      <c r="AL4" s="91" t="s">
        <v>97</v>
      </c>
      <c r="AM4" s="91" t="s">
        <v>98</v>
      </c>
      <c r="AN4" s="355" t="s">
        <v>762</v>
      </c>
      <c r="AO4" s="91" t="s">
        <v>99</v>
      </c>
      <c r="AP4" s="89" t="s">
        <v>100</v>
      </c>
      <c r="AQ4" s="90" t="s">
        <v>101</v>
      </c>
      <c r="AR4" s="91" t="s">
        <v>102</v>
      </c>
      <c r="AS4" s="91" t="s">
        <v>103</v>
      </c>
      <c r="AT4" s="355" t="s">
        <v>763</v>
      </c>
      <c r="AU4" s="91" t="s">
        <v>104</v>
      </c>
      <c r="AV4" s="89" t="s">
        <v>105</v>
      </c>
      <c r="AW4" s="90" t="s">
        <v>106</v>
      </c>
      <c r="AX4" s="91" t="s">
        <v>107</v>
      </c>
      <c r="AY4" s="91" t="s">
        <v>108</v>
      </c>
      <c r="AZ4" s="355" t="s">
        <v>764</v>
      </c>
      <c r="BA4" s="91" t="s">
        <v>109</v>
      </c>
      <c r="BB4" s="89" t="s">
        <v>110</v>
      </c>
      <c r="BC4" s="90" t="s">
        <v>111</v>
      </c>
      <c r="BD4" s="91" t="s">
        <v>112</v>
      </c>
      <c r="BE4" s="91" t="s">
        <v>113</v>
      </c>
      <c r="BF4" s="355" t="s">
        <v>765</v>
      </c>
      <c r="BG4" s="91" t="s">
        <v>114</v>
      </c>
      <c r="BH4" s="89" t="s">
        <v>115</v>
      </c>
      <c r="BI4" s="90" t="s">
        <v>116</v>
      </c>
      <c r="BJ4" s="91" t="s">
        <v>117</v>
      </c>
      <c r="BK4" s="91" t="s">
        <v>118</v>
      </c>
      <c r="BL4" s="355" t="s">
        <v>766</v>
      </c>
      <c r="BM4" s="91" t="s">
        <v>119</v>
      </c>
      <c r="BN4" s="89" t="s">
        <v>120</v>
      </c>
      <c r="BO4" s="90" t="s">
        <v>121</v>
      </c>
      <c r="BP4" s="91" t="s">
        <v>122</v>
      </c>
      <c r="BQ4" s="91" t="s">
        <v>123</v>
      </c>
      <c r="BR4" s="355" t="s">
        <v>767</v>
      </c>
      <c r="BS4" s="91" t="s">
        <v>124</v>
      </c>
      <c r="BT4" s="89" t="s">
        <v>125</v>
      </c>
      <c r="BU4" s="90" t="s">
        <v>126</v>
      </c>
      <c r="BV4" s="91" t="s">
        <v>127</v>
      </c>
      <c r="BW4" s="91" t="s">
        <v>128</v>
      </c>
      <c r="BX4" s="355" t="s">
        <v>768</v>
      </c>
      <c r="BY4" s="91" t="s">
        <v>129</v>
      </c>
      <c r="BZ4" s="89" t="s">
        <v>130</v>
      </c>
      <c r="CA4" s="90" t="s">
        <v>131</v>
      </c>
      <c r="CB4" s="91" t="s">
        <v>132</v>
      </c>
      <c r="CC4" s="91" t="s">
        <v>133</v>
      </c>
      <c r="CD4" s="355" t="s">
        <v>769</v>
      </c>
      <c r="CE4" s="91" t="s">
        <v>134</v>
      </c>
      <c r="CF4" s="89" t="s">
        <v>135</v>
      </c>
      <c r="CG4" s="90" t="s">
        <v>136</v>
      </c>
      <c r="CH4" s="91" t="s">
        <v>137</v>
      </c>
      <c r="CI4" s="91" t="s">
        <v>138</v>
      </c>
      <c r="CJ4" s="355" t="s">
        <v>771</v>
      </c>
      <c r="CK4" s="91" t="s">
        <v>139</v>
      </c>
      <c r="CL4" s="89" t="s">
        <v>140</v>
      </c>
      <c r="CM4" s="90" t="s">
        <v>141</v>
      </c>
      <c r="CN4" s="91" t="s">
        <v>142</v>
      </c>
      <c r="CO4" s="91" t="s">
        <v>143</v>
      </c>
      <c r="CP4" s="355" t="s">
        <v>770</v>
      </c>
      <c r="CQ4" s="91" t="s">
        <v>144</v>
      </c>
      <c r="CR4" s="89" t="s">
        <v>145</v>
      </c>
      <c r="CS4" s="90" t="s">
        <v>146</v>
      </c>
      <c r="CT4" s="91" t="s">
        <v>147</v>
      </c>
      <c r="CU4" s="91" t="s">
        <v>148</v>
      </c>
      <c r="CV4" s="355" t="s">
        <v>772</v>
      </c>
      <c r="CW4" s="91" t="s">
        <v>149</v>
      </c>
      <c r="CX4" s="92" t="s">
        <v>78</v>
      </c>
      <c r="CY4" s="93" t="s">
        <v>75</v>
      </c>
      <c r="CZ4" s="94" t="s">
        <v>80</v>
      </c>
      <c r="DA4" s="92" t="s">
        <v>76</v>
      </c>
      <c r="DB4" s="93" t="s">
        <v>77</v>
      </c>
      <c r="DC4" s="94" t="s">
        <v>79</v>
      </c>
      <c r="DD4" s="92" t="s">
        <v>81</v>
      </c>
      <c r="DE4" s="93" t="s">
        <v>72</v>
      </c>
      <c r="DF4" s="94" t="s">
        <v>82</v>
      </c>
      <c r="DG4" s="92" t="s">
        <v>83</v>
      </c>
      <c r="DH4" s="161" t="s">
        <v>73</v>
      </c>
      <c r="DI4" s="161" t="s">
        <v>74</v>
      </c>
    </row>
    <row r="5" spans="1:113" s="74" customFormat="1">
      <c r="A5" s="77" t="str">
        <f>CONCATENATE(Tableau1[[#This Row],[PO Number (Header)]],"-",Tableau1[[#This Row],[Line]])</f>
        <v>D000466460-1</v>
      </c>
      <c r="B5" s="394" t="s">
        <v>829</v>
      </c>
      <c r="C5" s="113" t="s">
        <v>726</v>
      </c>
      <c r="D5" s="102" t="s">
        <v>802</v>
      </c>
      <c r="E5" s="77"/>
      <c r="F5" s="379">
        <v>1</v>
      </c>
      <c r="G5" s="77" t="s">
        <v>889</v>
      </c>
      <c r="H5" s="332">
        <v>5</v>
      </c>
      <c r="I5" s="383">
        <v>2900</v>
      </c>
      <c r="J5" s="77" t="s">
        <v>629</v>
      </c>
      <c r="K5" s="175">
        <v>0</v>
      </c>
      <c r="L5" s="493"/>
      <c r="M5" s="77"/>
      <c r="N5" s="77"/>
      <c r="O5" s="77"/>
      <c r="P5" s="77"/>
      <c r="Q5" s="395" t="s">
        <v>630</v>
      </c>
      <c r="R5" s="395">
        <v>0</v>
      </c>
      <c r="S5" s="77" t="s">
        <v>827</v>
      </c>
      <c r="T5" s="77"/>
      <c r="U5" s="77"/>
      <c r="V5" s="77" t="s">
        <v>783</v>
      </c>
      <c r="W5" s="167"/>
      <c r="X5" s="167" t="s">
        <v>828</v>
      </c>
      <c r="Y5" s="167">
        <f>IF(ISBLANK(Tableau1[[#This Row],[PO Number (Header)]]),"",Tableau1[[#This Row],[Line Total]]/Tableau1[[#This Row],[Total Item Quantity]])</f>
        <v>580</v>
      </c>
      <c r="Z5" s="167" t="str">
        <f>IF(ISNA(VLOOKUP(Tableau1[[#This Row],[Unique_AIB_ID]],UO_List[Unique_AIB_ID],1,FALSE)),IF(ISBLANK(Tableau1[[#This Row],[PO Number (Header)]]),"","FAUX"),"VRAI")</f>
        <v>VRAI</v>
      </c>
      <c r="AA5" s="167" t="s">
        <v>634</v>
      </c>
      <c r="AB5" s="162" t="str">
        <f>VLOOKUP(Tableau1[[#This Row],[Unique_AIB_ID]],UO_List[[Unique_AIB_ID]:[OLGA F6]],3,FALSE)</f>
        <v>3173-12</v>
      </c>
      <c r="AC5" s="162" t="s">
        <v>986</v>
      </c>
      <c r="AD5" s="83">
        <f>SUMPRODUCT(1*(EXACT(CONCATENATE(Tableau1[[#This Row],[PO Number (Header)]],"-",Tableau1[[#This Row],[Line]]),UO_List[Unique_AIB_ID]))*(UO_List[Qté Réception 03/2020]))</f>
        <v>5</v>
      </c>
      <c r="AE5" s="84">
        <v>5</v>
      </c>
      <c r="AF5" s="84">
        <v>5</v>
      </c>
      <c r="AG5" s="351">
        <f>IFERROR(Tableau1[[#This Row],[Qté Facturé 01/2018]]*Tableau1[[#This Row],[Unit Price (calcul)]],"")</f>
        <v>2900</v>
      </c>
      <c r="AH5" s="356">
        <f>IFERROR(IF(Tableau1[[#This Row],[Montant Facturé 01/2018]]&gt;0,Tableau1[[#This Row],[Montant Facturé 01/2018]]/Taux_Change_SII,""),"")</f>
        <v>2148.1481481481478</v>
      </c>
      <c r="AI5" s="351"/>
      <c r="AJ5" s="83">
        <f>SUMPRODUCT(1*(EXACT(CONCATENATE(Tableau1[[#This Row],[PO Number (Header)]],"-",Tableau1[[#This Row],[Line]]),UO_List[Unique_AIB_ID]))*(UO_List[Qté Réception 02/2020]))</f>
        <v>0</v>
      </c>
      <c r="AK5" s="83">
        <f>SUMPRODUCT(1*(EXACT(CONCATENATE(Tableau1[[#This Row],[PO Number (Header)]],"-",Tableau1[[#This Row],[Line]]),UO_List[Unique_AIB_ID]))*(UO_List[Qté Réception 02/2020]))</f>
        <v>0</v>
      </c>
      <c r="AL5" s="357"/>
      <c r="AM5" s="351">
        <f>IFERROR(Tableau1[[#This Row],[Qté Facturé 02/2018]]*Tableau1[[#This Row],[Unit Price (calcul)]],"")</f>
        <v>0</v>
      </c>
      <c r="AN5" s="351" t="str">
        <f>IFERROR(IF(Tableau1[[#This Row],[Montant Facturé 02/2018]]&gt;0,Tableau1[[#This Row],[Montant Facturé 02/2018]]/Taux_Change_SII,""),"")</f>
        <v/>
      </c>
      <c r="AO5" s="351"/>
      <c r="AP5" s="83">
        <f>SUMPRODUCT(1*(EXACT(CONCATENATE(Tableau1[[#This Row],[PO Number (Header)]],"-",Tableau1[[#This Row],[Line]]),UO_List[Unique_AIB_ID]))*(UO_List[Qté Réception 00/2020]))</f>
        <v>0</v>
      </c>
      <c r="AQ5" s="84"/>
      <c r="AR5" s="357"/>
      <c r="AS5" s="351">
        <f>IFERROR(Tableau1[[#This Row],[Qté Facturé 03/2018]]*Tableau1[[#This Row],[Unit Price (calcul)]],"")</f>
        <v>0</v>
      </c>
      <c r="AT5" s="358" t="str">
        <f>IFERROR(IF(Tableau1[[#This Row],[Montant Facturé 03/2018]]&gt;0,Tableau1[[#This Row],[Montant Facturé 03/2018]]/Taux_Change_SII,""),"")</f>
        <v/>
      </c>
      <c r="AU5" s="351"/>
      <c r="AV5" s="83">
        <f>SUMPRODUCT(1*(EXACT(CONCATENATE(Tableau1[[#This Row],[PO Number (Header)]],"-",Tableau1[[#This Row],[Line]]),UO_List[Unique_AIB_ID]))*(UO_List[Qté Réception 04/2020]))</f>
        <v>0</v>
      </c>
      <c r="AW5" s="84">
        <v>0</v>
      </c>
      <c r="AX5" s="351"/>
      <c r="AY5" s="351">
        <f>IFERROR(Tableau1[[#This Row],[Qté Facturé 04/2018]]*Tableau1[[#This Row],[Unit Price (calcul)]],"")</f>
        <v>0</v>
      </c>
      <c r="AZ5" s="351" t="str">
        <f>IFERROR(IF(Tableau1[[#This Row],[Montant Facturé 04/2018]]&gt;0,Tableau1[[#This Row],[Montant Facturé 04/2018]]/Taux_Change_SII,""),"")</f>
        <v/>
      </c>
      <c r="BA5" s="351"/>
      <c r="BB5" s="83">
        <f>SUMPRODUCT(1*(EXACT(CONCATENATE(Tableau1[[#This Row],[PO Number (Header)]],"-",Tableau1[[#This Row],[Line]]),UO_List[Unique_AIB_ID]))*(UO_List[Qté Réception 05/2020]))</f>
        <v>0</v>
      </c>
      <c r="BC5" s="84">
        <v>0</v>
      </c>
      <c r="BD5" s="351"/>
      <c r="BE5" s="351">
        <f>IFERROR(Tableau1[[#This Row],[Qté Facturé 05/2018]]*Tableau1[[#This Row],[Unit Price (calcul)]],"")</f>
        <v>0</v>
      </c>
      <c r="BF5" s="351" t="str">
        <f>IFERROR(IF(Tableau1[[#This Row],[Montant Facturé 05/2018]]&gt;0,Tableau1[[#This Row],[Montant Facturé 05/2018]]/Taux_Change_SII,""),"")</f>
        <v/>
      </c>
      <c r="BG5" s="351"/>
      <c r="BH5" s="83">
        <f>SUMPRODUCT(1*(EXACT(CONCATENATE(Tableau1[[#This Row],[PO Number (Header)]],"-",Tableau1[[#This Row],[Line]]),UO_List[Unique_AIB_ID]))*(UO_List[Qté Réception 06/2020]))</f>
        <v>0</v>
      </c>
      <c r="BI5" s="84">
        <v>0</v>
      </c>
      <c r="BJ5" s="351"/>
      <c r="BK5" s="351">
        <f>IFERROR(Tableau1[[#This Row],[Qté Facturé 06/2018]]*Tableau1[[#This Row],[Unit Price (calcul)]],"")</f>
        <v>0</v>
      </c>
      <c r="BL5" s="351" t="str">
        <f>IFERROR(IF(Tableau1[[#This Row],[Montant Facturé 06/2018]]&gt;0,Tableau1[[#This Row],[Montant Facturé 06/2018]]/Taux_Change_SII,""),"")</f>
        <v/>
      </c>
      <c r="BM5" s="351"/>
      <c r="BN5" s="83">
        <f>SUMPRODUCT(1*(EXACT(CONCATENATE(Tableau1[[#This Row],[PO Number (Header)]],"-",Tableau1[[#This Row],[Line]]),UO_List[Unique_AIB_ID]))*(UO_List[Qté Réception 07/2020]))</f>
        <v>0</v>
      </c>
      <c r="BO5" s="84">
        <v>0</v>
      </c>
      <c r="BP5" s="351"/>
      <c r="BQ5" s="351">
        <f>IFERROR(Tableau1[[#This Row],[Qté Facturé 07/2018]]*Tableau1[[#This Row],[Unit Price (calcul)]],"")</f>
        <v>0</v>
      </c>
      <c r="BR5" s="351" t="str">
        <f>IFERROR(IF(Tableau1[[#This Row],[Montant Facturé 07/2018]]&gt;0,Tableau1[[#This Row],[Montant Facturé 07/2018]]/Taux_Change_SII,""),"")</f>
        <v/>
      </c>
      <c r="BS5" s="351"/>
      <c r="BT5" s="83">
        <f>SUMPRODUCT(1*(EXACT(CONCATENATE(Tableau1[[#This Row],[PO Number (Header)]],"-",Tableau1[[#This Row],[Line]]),UO_List[Unique_AIB_ID]))*(UO_List[Qté Réception 08/2020]))</f>
        <v>0</v>
      </c>
      <c r="BU5" s="84"/>
      <c r="BV5" s="351"/>
      <c r="BW5" s="351">
        <f>IFERROR(Tableau1[[#This Row],[Qté Facturé 08/2018]]*Tableau1[[#This Row],[Unit Price (calcul)]],"")</f>
        <v>0</v>
      </c>
      <c r="BX5" s="351" t="str">
        <f>IFERROR(IF(Tableau1[[#This Row],[Montant Facturé 08/2018]]&gt;0,Tableau1[[#This Row],[Montant Facturé 08/2018]]/Taux_Change_SII,""),"")</f>
        <v/>
      </c>
      <c r="BY5" s="351"/>
      <c r="BZ5" s="83">
        <f>SUMPRODUCT(1*(EXACT(CONCATENATE(Tableau1[[#This Row],[PO Number (Header)]],"-",Tableau1[[#This Row],[Line]]),UO_List[Unique_AIB_ID]))*(UO_List[Qté Réception 09/2020]))</f>
        <v>0</v>
      </c>
      <c r="CA5" s="84">
        <v>0</v>
      </c>
      <c r="CB5" s="351"/>
      <c r="CC5" s="351">
        <f>IFERROR(Tableau1[[#This Row],[Qté Facturé 09/2018]]*Tableau1[[#This Row],[Unit Price (calcul)]],"")</f>
        <v>0</v>
      </c>
      <c r="CD5" s="351" t="str">
        <f>IFERROR(IF(Tableau1[[#This Row],[Montant Facturé 09/2018]]&gt;0,Tableau1[[#This Row],[Montant Facturé 09/2018]]/Taux_Change_SII,""),"")</f>
        <v/>
      </c>
      <c r="CE5" s="351"/>
      <c r="CF5" s="83">
        <f>SUMPRODUCT(1*(EXACT(CONCATENATE(Tableau1[[#This Row],[PO Number (Header)]],"-",Tableau1[[#This Row],[Line]]),UO_List[Unique_AIB_ID]))*(UO_List[Qté Réception 10/2020]))</f>
        <v>0</v>
      </c>
      <c r="CG5" s="84">
        <v>0</v>
      </c>
      <c r="CH5" s="351"/>
      <c r="CI5" s="351">
        <f>IFERROR(Tableau1[[#This Row],[Qté Facturé 10/2018]]*Tableau1[[#This Row],[Unit Price (calcul)]],"")</f>
        <v>0</v>
      </c>
      <c r="CJ5" s="351" t="str">
        <f>IFERROR(IF(Tableau1[[#This Row],[Montant Facturé 10/2018]]&gt;0,Tableau1[[#This Row],[Montant Facturé 10/2018]]/Taux_Change_SII,""),"")</f>
        <v/>
      </c>
      <c r="CK5" s="351"/>
      <c r="CL5" s="83">
        <f>SUMPRODUCT(1*(EXACT(CONCATENATE(Tableau1[[#This Row],[PO Number (Header)]],"-",Tableau1[[#This Row],[Line]]),UO_List[Unique_AIB_ID]))*(UO_List[Qté Réception 11/2020]))</f>
        <v>0</v>
      </c>
      <c r="CM5" s="84"/>
      <c r="CN5" s="351"/>
      <c r="CO5" s="351">
        <f>IFERROR(Tableau1[[#This Row],[Qté Facturé 11/2018]]*Tableau1[[#This Row],[Unit Price (calcul)]],"")</f>
        <v>0</v>
      </c>
      <c r="CP5" s="351" t="str">
        <f>IFERROR(IF(Tableau1[[#This Row],[Montant Facturé 11/2018]]&gt;0,Tableau1[[#This Row],[Montant Facturé 11/2018]]/Taux_Change_SII,""),"")</f>
        <v/>
      </c>
      <c r="CQ5" s="351"/>
      <c r="CR5" s="83">
        <f>SUMPRODUCT(1*(EXACT(CONCATENATE(Tableau1[[#This Row],[PO Number (Header)]],"-",Tableau1[[#This Row],[Line]]),UO_List[Unique_AIB_ID]))*(UO_List[Qté Réception 12/2020]))</f>
        <v>0</v>
      </c>
      <c r="CS5" s="84">
        <v>0</v>
      </c>
      <c r="CT5" s="351"/>
      <c r="CU5" s="351">
        <f>IFERROR(Tableau1[[#This Row],[Qté Facturé 12/2018]]*Tableau1[[#This Row],[Unit Price (calcul)]],"")</f>
        <v>0</v>
      </c>
      <c r="CV5" s="351" t="str">
        <f>IFERROR(IF(Tableau1[[#This Row],[Montant Facturé 12/2018]]&gt;0,Tableau1[[#This Row],[Montant Facturé 12/2018]]/Taux_Change_SII,""),"")</f>
        <v/>
      </c>
      <c r="CW5" s="351"/>
      <c r="CX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5</v>
      </c>
      <c r="CY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5</v>
      </c>
      <c r="CZ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5</v>
      </c>
      <c r="DA5" s="352">
        <f>IFERROR(Tableau1[[#This Row],[Total item réceptionné]]*Tableau1[[#This Row],[Unit Price (calcul)]],"")</f>
        <v>2900</v>
      </c>
      <c r="DB5" s="352">
        <f>IFERROR(Tableau1[[#This Row],[Total item à Facturer]]*Tableau1[[#This Row],[Unit Price (calcul)]],"")</f>
        <v>2900</v>
      </c>
      <c r="DC5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2900</v>
      </c>
      <c r="DD5" s="352">
        <f>IFERROR(Tableau1[[#This Row],[Line Total]]-Tableau1[[#This Row],[Total Price Réceptionné]],"")</f>
        <v>0</v>
      </c>
      <c r="DE5" s="352">
        <f>IFERROR(Tableau1[[#This Row],[Total Price Réceptionné]]-Tableau1[[#This Row],[Total Price A facturer]],"")</f>
        <v>0</v>
      </c>
      <c r="DF5" s="353">
        <f>IFERROR(Tableau1[[#This Row],[Total Price A facturer]]-Tableau1[[#This Row],[Total Price Facturé]],"")</f>
        <v>0</v>
      </c>
      <c r="DG5" s="76">
        <f>Tableau1[[#This Row],[Total Item Quantity]]-Tableau1[[#This Row],[Total item réceptionné]]</f>
        <v>0</v>
      </c>
      <c r="DH5" s="167"/>
      <c r="DI5" s="167"/>
    </row>
    <row r="6" spans="1:113" s="74" customFormat="1">
      <c r="A6" s="77" t="str">
        <f>CONCATENATE(Tableau1[[#This Row],[PO Number (Header)]],"-",Tableau1[[#This Row],[Line]])</f>
        <v>D000466461-1</v>
      </c>
      <c r="B6" s="396" t="s">
        <v>830</v>
      </c>
      <c r="C6" s="77" t="s">
        <v>726</v>
      </c>
      <c r="D6" s="77" t="s">
        <v>802</v>
      </c>
      <c r="E6" s="77"/>
      <c r="F6" s="379">
        <v>1</v>
      </c>
      <c r="G6" s="77" t="s">
        <v>889</v>
      </c>
      <c r="H6" s="332">
        <v>5</v>
      </c>
      <c r="I6" s="383">
        <v>2900</v>
      </c>
      <c r="J6" s="77" t="s">
        <v>629</v>
      </c>
      <c r="K6" s="379">
        <v>0</v>
      </c>
      <c r="L6" s="77"/>
      <c r="M6" s="77"/>
      <c r="N6" s="77"/>
      <c r="O6" s="77"/>
      <c r="P6" s="77"/>
      <c r="Q6" s="395" t="s">
        <v>630</v>
      </c>
      <c r="R6" s="395">
        <v>0</v>
      </c>
      <c r="S6" s="77" t="s">
        <v>827</v>
      </c>
      <c r="T6" s="77"/>
      <c r="U6" s="77"/>
      <c r="V6" s="77" t="s">
        <v>783</v>
      </c>
      <c r="W6" s="167"/>
      <c r="X6" s="167" t="s">
        <v>828</v>
      </c>
      <c r="Y6" s="167">
        <f>IF(ISBLANK(Tableau1[[#This Row],[PO Number (Header)]]),"",Tableau1[[#This Row],[Line Total]]/Tableau1[[#This Row],[Total Item Quantity]])</f>
        <v>580</v>
      </c>
      <c r="Z6" s="167" t="str">
        <f>IF(ISNA(VLOOKUP(Tableau1[[#This Row],[Unique_AIB_ID]],UO_List[Unique_AIB_ID],1,FALSE)),IF(ISBLANK(Tableau1[[#This Row],[PO Number (Header)]]),"","FAUX"),"VRAI")</f>
        <v>VRAI</v>
      </c>
      <c r="AA6" s="167"/>
      <c r="AB6" s="162" t="str">
        <f>VLOOKUP(Tableau1[[#This Row],[Unique_AIB_ID]],UO_List[[Unique_AIB_ID]:[OLGA F6]],3,FALSE)</f>
        <v>3173-12</v>
      </c>
      <c r="AC6" s="162" t="s">
        <v>773</v>
      </c>
      <c r="AD6" s="83">
        <f>SUMPRODUCT(1*(EXACT(CONCATENATE(Tableau1[[#This Row],[PO Number (Header)]],"-",Tableau1[[#This Row],[Line]]),UO_List[Unique_AIB_ID]))*(UO_List[Qté Réception 03/2020]))</f>
        <v>0</v>
      </c>
      <c r="AE6" s="84">
        <v>0</v>
      </c>
      <c r="AF6" s="357"/>
      <c r="AG6" s="351">
        <f>IFERROR(Tableau1[[#This Row],[Qté Facturé 01/2018]]*Tableau1[[#This Row],[Unit Price (calcul)]],"")</f>
        <v>0</v>
      </c>
      <c r="AH6" s="356" t="str">
        <f>IFERROR(IF(Tableau1[[#This Row],[Montant Facturé 01/2018]]&gt;0,Tableau1[[#This Row],[Montant Facturé 01/2018]]/Taux_Change_SII,""),"")</f>
        <v/>
      </c>
      <c r="AI6" s="351"/>
      <c r="AJ6" s="83">
        <f>SUMPRODUCT(1*(EXACT(CONCATENATE(Tableau1[[#This Row],[PO Number (Header)]],"-",Tableau1[[#This Row],[Line]]),UO_List[Unique_AIB_ID]))*(UO_List[Qté Réception 02/2020]))</f>
        <v>0</v>
      </c>
      <c r="AK6" s="83">
        <f>SUMPRODUCT(1*(EXACT(CONCATENATE(Tableau1[[#This Row],[PO Number (Header)]],"-",Tableau1[[#This Row],[Line]]),UO_List[Unique_AIB_ID]))*(UO_List[Qté Réception 02/2020]))</f>
        <v>0</v>
      </c>
      <c r="AL6" s="357"/>
      <c r="AM6" s="351">
        <f>IFERROR(Tableau1[[#This Row],[Qté Facturé 02/2018]]*Tableau1[[#This Row],[Unit Price (calcul)]],"")</f>
        <v>0</v>
      </c>
      <c r="AN6" s="351" t="str">
        <f>IFERROR(IF(Tableau1[[#This Row],[Montant Facturé 02/2018]]&gt;0,Tableau1[[#This Row],[Montant Facturé 02/2018]]/Taux_Change_SII,""),"")</f>
        <v/>
      </c>
      <c r="AO6" s="351"/>
      <c r="AP6" s="83">
        <f>SUMPRODUCT(1*(EXACT(CONCATENATE(Tableau1[[#This Row],[PO Number (Header)]],"-",Tableau1[[#This Row],[Line]]),UO_List[Unique_AIB_ID]))*(UO_List[Qté Réception 00/2020]))</f>
        <v>0</v>
      </c>
      <c r="AQ6" s="84"/>
      <c r="AR6" s="357"/>
      <c r="AS6" s="351">
        <f>IFERROR(Tableau1[[#This Row],[Qté Facturé 03/2018]]*Tableau1[[#This Row],[Unit Price (calcul)]],"")</f>
        <v>0</v>
      </c>
      <c r="AT6" s="358" t="str">
        <f>IFERROR(IF(Tableau1[[#This Row],[Montant Facturé 03/2018]]&gt;0,Tableau1[[#This Row],[Montant Facturé 03/2018]]/Taux_Change_SII,""),"")</f>
        <v/>
      </c>
      <c r="AU6" s="351"/>
      <c r="AV6" s="83">
        <f>SUMPRODUCT(1*(EXACT(CONCATENATE(Tableau1[[#This Row],[PO Number (Header)]],"-",Tableau1[[#This Row],[Line]]),UO_List[Unique_AIB_ID]))*(UO_List[Qté Réception 04/2020]))</f>
        <v>0</v>
      </c>
      <c r="AW6" s="84">
        <v>0</v>
      </c>
      <c r="AX6" s="351"/>
      <c r="AY6" s="351">
        <f>IFERROR(Tableau1[[#This Row],[Qté Facturé 04/2018]]*Tableau1[[#This Row],[Unit Price (calcul)]],"")</f>
        <v>0</v>
      </c>
      <c r="AZ6" s="351" t="str">
        <f>IFERROR(IF(Tableau1[[#This Row],[Montant Facturé 04/2018]]&gt;0,Tableau1[[#This Row],[Montant Facturé 04/2018]]/Taux_Change_SII,""),"")</f>
        <v/>
      </c>
      <c r="BA6" s="351"/>
      <c r="BB6" s="83">
        <f>SUMPRODUCT(1*(EXACT(CONCATENATE(Tableau1[[#This Row],[PO Number (Header)]],"-",Tableau1[[#This Row],[Line]]),UO_List[Unique_AIB_ID]))*(UO_List[Qté Réception 05/2020]))</f>
        <v>0</v>
      </c>
      <c r="BC6" s="84">
        <v>0</v>
      </c>
      <c r="BD6" s="351"/>
      <c r="BE6" s="351">
        <f>IFERROR(Tableau1[[#This Row],[Qté Facturé 05/2018]]*Tableau1[[#This Row],[Unit Price (calcul)]],"")</f>
        <v>0</v>
      </c>
      <c r="BF6" s="351" t="str">
        <f>IFERROR(IF(Tableau1[[#This Row],[Montant Facturé 05/2018]]&gt;0,Tableau1[[#This Row],[Montant Facturé 05/2018]]/Taux_Change_SII,""),"")</f>
        <v/>
      </c>
      <c r="BG6" s="351"/>
      <c r="BH6" s="83">
        <f>SUMPRODUCT(1*(EXACT(CONCATENATE(Tableau1[[#This Row],[PO Number (Header)]],"-",Tableau1[[#This Row],[Line]]),UO_List[Unique_AIB_ID]))*(UO_List[Qté Réception 06/2020]))</f>
        <v>0</v>
      </c>
      <c r="BI6" s="84">
        <v>0</v>
      </c>
      <c r="BJ6" s="351"/>
      <c r="BK6" s="351">
        <f>IFERROR(Tableau1[[#This Row],[Qté Facturé 06/2018]]*Tableau1[[#This Row],[Unit Price (calcul)]],"")</f>
        <v>0</v>
      </c>
      <c r="BL6" s="351" t="str">
        <f>IFERROR(IF(Tableau1[[#This Row],[Montant Facturé 06/2018]]&gt;0,Tableau1[[#This Row],[Montant Facturé 06/2018]]/Taux_Change_SII,""),"")</f>
        <v/>
      </c>
      <c r="BM6" s="351"/>
      <c r="BN6" s="83">
        <f>SUMPRODUCT(1*(EXACT(CONCATENATE(Tableau1[[#This Row],[PO Number (Header)]],"-",Tableau1[[#This Row],[Line]]),UO_List[Unique_AIB_ID]))*(UO_List[Qté Réception 07/2020]))</f>
        <v>2</v>
      </c>
      <c r="BO6" s="84">
        <v>0</v>
      </c>
      <c r="BP6" s="351"/>
      <c r="BQ6" s="351">
        <f>IFERROR(Tableau1[[#This Row],[Qté Facturé 07/2018]]*Tableau1[[#This Row],[Unit Price (calcul)]],"")</f>
        <v>0</v>
      </c>
      <c r="BR6" s="351" t="str">
        <f>IFERROR(IF(Tableau1[[#This Row],[Montant Facturé 07/2018]]&gt;0,Tableau1[[#This Row],[Montant Facturé 07/2018]]/Taux_Change_SII,""),"")</f>
        <v/>
      </c>
      <c r="BS6" s="351"/>
      <c r="BT6" s="83">
        <f>SUMPRODUCT(1*(EXACT(CONCATENATE(Tableau1[[#This Row],[PO Number (Header)]],"-",Tableau1[[#This Row],[Line]]),UO_List[Unique_AIB_ID]))*(UO_List[Qté Réception 08/2020]))</f>
        <v>3</v>
      </c>
      <c r="BU6" s="84"/>
      <c r="BV6" s="351"/>
      <c r="BW6" s="351">
        <f>IFERROR(Tableau1[[#This Row],[Qté Facturé 08/2018]]*Tableau1[[#This Row],[Unit Price (calcul)]],"")</f>
        <v>0</v>
      </c>
      <c r="BX6" s="351" t="str">
        <f>IFERROR(IF(Tableau1[[#This Row],[Montant Facturé 08/2018]]&gt;0,Tableau1[[#This Row],[Montant Facturé 08/2018]]/Taux_Change_SII,""),"")</f>
        <v/>
      </c>
      <c r="BY6" s="351"/>
      <c r="BZ6" s="83">
        <f>SUMPRODUCT(1*(EXACT(CONCATENATE(Tableau1[[#This Row],[PO Number (Header)]],"-",Tableau1[[#This Row],[Line]]),UO_List[Unique_AIB_ID]))*(UO_List[Qté Réception 09/2020]))</f>
        <v>0</v>
      </c>
      <c r="CA6" s="84">
        <v>0</v>
      </c>
      <c r="CB6" s="351"/>
      <c r="CC6" s="351">
        <f>IFERROR(Tableau1[[#This Row],[Qté Facturé 09/2018]]*Tableau1[[#This Row],[Unit Price (calcul)]],"")</f>
        <v>0</v>
      </c>
      <c r="CD6" s="351" t="str">
        <f>IFERROR(IF(Tableau1[[#This Row],[Montant Facturé 09/2018]]&gt;0,Tableau1[[#This Row],[Montant Facturé 09/2018]]/Taux_Change_SII,""),"")</f>
        <v/>
      </c>
      <c r="CE6" s="351"/>
      <c r="CF6" s="83">
        <f>SUMPRODUCT(1*(EXACT(CONCATENATE(Tableau1[[#This Row],[PO Number (Header)]],"-",Tableau1[[#This Row],[Line]]),UO_List[Unique_AIB_ID]))*(UO_List[Qté Réception 10/2020]))</f>
        <v>0</v>
      </c>
      <c r="CG6" s="84">
        <v>0</v>
      </c>
      <c r="CH6" s="351"/>
      <c r="CI6" s="351">
        <f>IFERROR(Tableau1[[#This Row],[Qté Facturé 10/2018]]*Tableau1[[#This Row],[Unit Price (calcul)]],"")</f>
        <v>0</v>
      </c>
      <c r="CJ6" s="351" t="str">
        <f>IFERROR(IF(Tableau1[[#This Row],[Montant Facturé 10/2018]]&gt;0,Tableau1[[#This Row],[Montant Facturé 10/2018]]/Taux_Change_SII,""),"")</f>
        <v/>
      </c>
      <c r="CK6" s="351"/>
      <c r="CL6" s="83">
        <f>SUMPRODUCT(1*(EXACT(CONCATENATE(Tableau1[[#This Row],[PO Number (Header)]],"-",Tableau1[[#This Row],[Line]]),UO_List[Unique_AIB_ID]))*(UO_List[Qté Réception 11/2020]))</f>
        <v>0</v>
      </c>
      <c r="CM6" s="84"/>
      <c r="CN6" s="351"/>
      <c r="CO6" s="351">
        <f>IFERROR(Tableau1[[#This Row],[Qté Facturé 11/2018]]*Tableau1[[#This Row],[Unit Price (calcul)]],"")</f>
        <v>0</v>
      </c>
      <c r="CP6" s="351" t="str">
        <f>IFERROR(IF(Tableau1[[#This Row],[Montant Facturé 11/2018]]&gt;0,Tableau1[[#This Row],[Montant Facturé 11/2018]]/Taux_Change_SII,""),"")</f>
        <v/>
      </c>
      <c r="CQ6" s="351"/>
      <c r="CR6" s="83">
        <f>SUMPRODUCT(1*(EXACT(CONCATENATE(Tableau1[[#This Row],[PO Number (Header)]],"-",Tableau1[[#This Row],[Line]]),UO_List[Unique_AIB_ID]))*(UO_List[Qté Réception 12/2020]))</f>
        <v>0</v>
      </c>
      <c r="CS6" s="84"/>
      <c r="CT6" s="351"/>
      <c r="CU6" s="351">
        <f>IFERROR(Tableau1[[#This Row],[Qté Facturé 12/2018]]*Tableau1[[#This Row],[Unit Price (calcul)]],"")</f>
        <v>0</v>
      </c>
      <c r="CV6" s="351" t="str">
        <f>IFERROR(IF(Tableau1[[#This Row],[Montant Facturé 12/2018]]&gt;0,Tableau1[[#This Row],[Montant Facturé 12/2018]]/Taux_Change_SII,""),"")</f>
        <v/>
      </c>
      <c r="CW6" s="351"/>
      <c r="CX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5</v>
      </c>
      <c r="CY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" s="352">
        <f>IFERROR(Tableau1[[#This Row],[Total item réceptionné]]*Tableau1[[#This Row],[Unit Price (calcul)]],"")</f>
        <v>2900</v>
      </c>
      <c r="DB6" s="352">
        <f>IFERROR(Tableau1[[#This Row],[Total item à Facturer]]*Tableau1[[#This Row],[Unit Price (calcul)]],"")</f>
        <v>0</v>
      </c>
      <c r="DC6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6" s="352">
        <f>IFERROR(Tableau1[[#This Row],[Line Total]]-Tableau1[[#This Row],[Total Price Réceptionné]],"")</f>
        <v>0</v>
      </c>
      <c r="DE6" s="352">
        <f>IFERROR(Tableau1[[#This Row],[Total Price Réceptionné]]-Tableau1[[#This Row],[Total Price A facturer]],"")</f>
        <v>2900</v>
      </c>
      <c r="DF6" s="353">
        <f>IFERROR(Tableau1[[#This Row],[Total Price A facturer]]-Tableau1[[#This Row],[Total Price Facturé]],"")</f>
        <v>0</v>
      </c>
      <c r="DG6" s="76">
        <f>Tableau1[[#This Row],[Total Item Quantity]]-Tableau1[[#This Row],[Total item réceptionné]]</f>
        <v>0</v>
      </c>
      <c r="DH6" s="167"/>
      <c r="DI6" s="167"/>
    </row>
    <row r="7" spans="1:113" s="74" customFormat="1">
      <c r="A7" s="77" t="str">
        <f>CONCATENATE(Tableau1[[#This Row],[PO Number (Header)]],"-",Tableau1[[#This Row],[Line]])</f>
        <v>D000474275-1</v>
      </c>
      <c r="B7" s="397" t="s">
        <v>831</v>
      </c>
      <c r="C7" s="398" t="s">
        <v>726</v>
      </c>
      <c r="D7" s="399" t="s">
        <v>802</v>
      </c>
      <c r="E7" s="398"/>
      <c r="F7" s="532">
        <v>1</v>
      </c>
      <c r="G7" s="398" t="s">
        <v>890</v>
      </c>
      <c r="H7" s="332">
        <v>20</v>
      </c>
      <c r="I7" s="383">
        <v>11600</v>
      </c>
      <c r="J7" s="400" t="s">
        <v>629</v>
      </c>
      <c r="K7" s="545">
        <v>0</v>
      </c>
      <c r="L7" s="401"/>
      <c r="M7" s="400"/>
      <c r="N7" s="77"/>
      <c r="O7" s="101"/>
      <c r="P7" s="77"/>
      <c r="Q7" s="395" t="s">
        <v>630</v>
      </c>
      <c r="R7" s="395">
        <v>0</v>
      </c>
      <c r="S7" s="77" t="s">
        <v>832</v>
      </c>
      <c r="T7" s="77"/>
      <c r="U7" s="77"/>
      <c r="V7" s="77" t="s">
        <v>783</v>
      </c>
      <c r="W7" s="167"/>
      <c r="X7" s="167" t="s">
        <v>833</v>
      </c>
      <c r="Y7" s="167">
        <f>IF(ISBLANK(Tableau1[[#This Row],[PO Number (Header)]]),"",Tableau1[[#This Row],[Line Total]]/Tableau1[[#This Row],[Total Item Quantity]])</f>
        <v>580</v>
      </c>
      <c r="Z7" s="167" t="str">
        <f>IF(ISNA(VLOOKUP(Tableau1[[#This Row],[Unique_AIB_ID]],UO_List[Unique_AIB_ID],1,FALSE)),IF(ISBLANK(Tableau1[[#This Row],[PO Number (Header)]]),"","FAUX"),"VRAI")</f>
        <v>VRAI</v>
      </c>
      <c r="AA7" s="167"/>
      <c r="AB7" s="162" t="str">
        <f>VLOOKUP(Tableau1[[#This Row],[Unique_AIB_ID]],UO_List[[Unique_AIB_ID]:[OLGA F6]],3,FALSE)</f>
        <v>3173-12</v>
      </c>
      <c r="AC7" s="162" t="s">
        <v>773</v>
      </c>
      <c r="AD7" s="83">
        <f>SUMPRODUCT(1*(EXACT(CONCATENATE(Tableau1[[#This Row],[PO Number (Header)]],"-",Tableau1[[#This Row],[Line]]),UO_List[Unique_AIB_ID]))*(UO_List[Qté Réception 03/2020]))</f>
        <v>0</v>
      </c>
      <c r="AE7" s="84">
        <v>0</v>
      </c>
      <c r="AF7" s="357"/>
      <c r="AG7" s="351">
        <f>IFERROR(Tableau1[[#This Row],[Qté Facturé 01/2018]]*Tableau1[[#This Row],[Unit Price (calcul)]],"")</f>
        <v>0</v>
      </c>
      <c r="AH7" s="356" t="str">
        <f>IFERROR(IF(Tableau1[[#This Row],[Montant Facturé 01/2018]]&gt;0,Tableau1[[#This Row],[Montant Facturé 01/2018]]/Taux_Change_SII,""),"")</f>
        <v/>
      </c>
      <c r="AI7" s="351"/>
      <c r="AJ7" s="83">
        <f>SUMPRODUCT(1*(EXACT(CONCATENATE(Tableau1[[#This Row],[PO Number (Header)]],"-",Tableau1[[#This Row],[Line]]),UO_List[Unique_AIB_ID]))*(UO_List[Qté Réception 02/2020]))</f>
        <v>0</v>
      </c>
      <c r="AK7" s="83">
        <f>SUMPRODUCT(1*(EXACT(CONCATENATE(Tableau1[[#This Row],[PO Number (Header)]],"-",Tableau1[[#This Row],[Line]]),UO_List[Unique_AIB_ID]))*(UO_List[Qté Réception 02/2020]))</f>
        <v>0</v>
      </c>
      <c r="AL7" s="357"/>
      <c r="AM7" s="351">
        <f>IFERROR(Tableau1[[#This Row],[Qté Facturé 02/2018]]*Tableau1[[#This Row],[Unit Price (calcul)]],"")</f>
        <v>0</v>
      </c>
      <c r="AN7" s="351" t="str">
        <f>IFERROR(IF(Tableau1[[#This Row],[Montant Facturé 02/2018]]&gt;0,Tableau1[[#This Row],[Montant Facturé 02/2018]]/Taux_Change_SII,""),"")</f>
        <v/>
      </c>
      <c r="AO7" s="351"/>
      <c r="AP7" s="83">
        <f>SUMPRODUCT(1*(EXACT(CONCATENATE(Tableau1[[#This Row],[PO Number (Header)]],"-",Tableau1[[#This Row],[Line]]),UO_List[Unique_AIB_ID]))*(UO_List[Qté Réception 00/2020]))</f>
        <v>0</v>
      </c>
      <c r="AQ7" s="84"/>
      <c r="AR7" s="357"/>
      <c r="AS7" s="351">
        <f>IFERROR(Tableau1[[#This Row],[Qté Facturé 03/2018]]*Tableau1[[#This Row],[Unit Price (calcul)]],"")</f>
        <v>0</v>
      </c>
      <c r="AT7" s="358" t="str">
        <f>IFERROR(IF(Tableau1[[#This Row],[Montant Facturé 03/2018]]&gt;0,Tableau1[[#This Row],[Montant Facturé 03/2018]]/Taux_Change_SII,""),"")</f>
        <v/>
      </c>
      <c r="AU7" s="351"/>
      <c r="AV7" s="83">
        <f>SUMPRODUCT(1*(EXACT(CONCATENATE(Tableau1[[#This Row],[PO Number (Header)]],"-",Tableau1[[#This Row],[Line]]),UO_List[Unique_AIB_ID]))*(UO_List[Qté Réception 04/2020]))</f>
        <v>0</v>
      </c>
      <c r="AW7" s="84">
        <v>0</v>
      </c>
      <c r="AX7" s="351"/>
      <c r="AY7" s="351">
        <f>IFERROR(Tableau1[[#This Row],[Qté Facturé 04/2018]]*Tableau1[[#This Row],[Unit Price (calcul)]],"")</f>
        <v>0</v>
      </c>
      <c r="AZ7" s="351" t="str">
        <f>IFERROR(IF(Tableau1[[#This Row],[Montant Facturé 04/2018]]&gt;0,Tableau1[[#This Row],[Montant Facturé 04/2018]]/Taux_Change_SII,""),"")</f>
        <v/>
      </c>
      <c r="BA7" s="351"/>
      <c r="BB7" s="83">
        <f>SUMPRODUCT(1*(EXACT(CONCATENATE(Tableau1[[#This Row],[PO Number (Header)]],"-",Tableau1[[#This Row],[Line]]),UO_List[Unique_AIB_ID]))*(UO_List[Qté Réception 05/2020]))</f>
        <v>0</v>
      </c>
      <c r="BC7" s="84">
        <v>0</v>
      </c>
      <c r="BD7" s="351"/>
      <c r="BE7" s="351">
        <f>IFERROR(Tableau1[[#This Row],[Qté Facturé 05/2018]]*Tableau1[[#This Row],[Unit Price (calcul)]],"")</f>
        <v>0</v>
      </c>
      <c r="BF7" s="351" t="str">
        <f>IFERROR(IF(Tableau1[[#This Row],[Montant Facturé 05/2018]]&gt;0,Tableau1[[#This Row],[Montant Facturé 05/2018]]/Taux_Change_SII,""),"")</f>
        <v/>
      </c>
      <c r="BG7" s="351"/>
      <c r="BH7" s="83">
        <f>SUMPRODUCT(1*(EXACT(CONCATENATE(Tableau1[[#This Row],[PO Number (Header)]],"-",Tableau1[[#This Row],[Line]]),UO_List[Unique_AIB_ID]))*(UO_List[Qté Réception 06/2020]))</f>
        <v>0</v>
      </c>
      <c r="BI7" s="84">
        <v>0</v>
      </c>
      <c r="BJ7" s="351"/>
      <c r="BK7" s="351">
        <f>IFERROR(Tableau1[[#This Row],[Qté Facturé 06/2018]]*Tableau1[[#This Row],[Unit Price (calcul)]],"")</f>
        <v>0</v>
      </c>
      <c r="BL7" s="351" t="str">
        <f>IFERROR(IF(Tableau1[[#This Row],[Montant Facturé 06/2018]]&gt;0,Tableau1[[#This Row],[Montant Facturé 06/2018]]/Taux_Change_SII,""),"")</f>
        <v/>
      </c>
      <c r="BM7" s="351"/>
      <c r="BN7" s="83">
        <f>SUMPRODUCT(1*(EXACT(CONCATENATE(Tableau1[[#This Row],[PO Number (Header)]],"-",Tableau1[[#This Row],[Line]]),UO_List[Unique_AIB_ID]))*(UO_List[Qté Réception 07/2020]))</f>
        <v>2</v>
      </c>
      <c r="BO7" s="84">
        <v>0</v>
      </c>
      <c r="BP7" s="351"/>
      <c r="BQ7" s="351">
        <f>IFERROR(Tableau1[[#This Row],[Qté Facturé 07/2018]]*Tableau1[[#This Row],[Unit Price (calcul)]],"")</f>
        <v>0</v>
      </c>
      <c r="BR7" s="351" t="str">
        <f>IFERROR(IF(Tableau1[[#This Row],[Montant Facturé 07/2018]]&gt;0,Tableau1[[#This Row],[Montant Facturé 07/2018]]/Taux_Change_SII,""),"")</f>
        <v/>
      </c>
      <c r="BS7" s="351"/>
      <c r="BT7" s="83">
        <f>SUMPRODUCT(1*(EXACT(CONCATENATE(Tableau1[[#This Row],[PO Number (Header)]],"-",Tableau1[[#This Row],[Line]]),UO_List[Unique_AIB_ID]))*(UO_List[Qté Réception 08/2020]))</f>
        <v>2</v>
      </c>
      <c r="BU7" s="84"/>
      <c r="BV7" s="351"/>
      <c r="BW7" s="351">
        <f>IFERROR(Tableau1[[#This Row],[Qté Facturé 08/2018]]*Tableau1[[#This Row],[Unit Price (calcul)]],"")</f>
        <v>0</v>
      </c>
      <c r="BX7" s="351" t="str">
        <f>IFERROR(IF(Tableau1[[#This Row],[Montant Facturé 08/2018]]&gt;0,Tableau1[[#This Row],[Montant Facturé 08/2018]]/Taux_Change_SII,""),"")</f>
        <v/>
      </c>
      <c r="BY7" s="351"/>
      <c r="BZ7" s="83">
        <f>SUMPRODUCT(1*(EXACT(CONCATENATE(Tableau1[[#This Row],[PO Number (Header)]],"-",Tableau1[[#This Row],[Line]]),UO_List[Unique_AIB_ID]))*(UO_List[Qté Réception 09/2020]))</f>
        <v>0</v>
      </c>
      <c r="CA7" s="84">
        <v>0</v>
      </c>
      <c r="CB7" s="351"/>
      <c r="CC7" s="351">
        <f>IFERROR(Tableau1[[#This Row],[Qté Facturé 09/2018]]*Tableau1[[#This Row],[Unit Price (calcul)]],"")</f>
        <v>0</v>
      </c>
      <c r="CD7" s="351" t="str">
        <f>IFERROR(IF(Tableau1[[#This Row],[Montant Facturé 09/2018]]&gt;0,Tableau1[[#This Row],[Montant Facturé 09/2018]]/Taux_Change_SII,""),"")</f>
        <v/>
      </c>
      <c r="CE7" s="351"/>
      <c r="CF7" s="83">
        <f>SUMPRODUCT(1*(EXACT(CONCATENATE(Tableau1[[#This Row],[PO Number (Header)]],"-",Tableau1[[#This Row],[Line]]),UO_List[Unique_AIB_ID]))*(UO_List[Qté Réception 10/2020]))</f>
        <v>0</v>
      </c>
      <c r="CG7" s="84">
        <v>0</v>
      </c>
      <c r="CH7" s="351"/>
      <c r="CI7" s="351">
        <f>IFERROR(Tableau1[[#This Row],[Qté Facturé 10/2018]]*Tableau1[[#This Row],[Unit Price (calcul)]],"")</f>
        <v>0</v>
      </c>
      <c r="CJ7" s="351" t="str">
        <f>IFERROR(IF(Tableau1[[#This Row],[Montant Facturé 10/2018]]&gt;0,Tableau1[[#This Row],[Montant Facturé 10/2018]]/Taux_Change_SII,""),"")</f>
        <v/>
      </c>
      <c r="CK7" s="351"/>
      <c r="CL7" s="83">
        <f>SUMPRODUCT(1*(EXACT(CONCATENATE(Tableau1[[#This Row],[PO Number (Header)]],"-",Tableau1[[#This Row],[Line]]),UO_List[Unique_AIB_ID]))*(UO_List[Qté Réception 11/2020]))</f>
        <v>0</v>
      </c>
      <c r="CM7" s="84"/>
      <c r="CN7" s="351"/>
      <c r="CO7" s="351">
        <f>IFERROR(Tableau1[[#This Row],[Qté Facturé 11/2018]]*Tableau1[[#This Row],[Unit Price (calcul)]],"")</f>
        <v>0</v>
      </c>
      <c r="CP7" s="351" t="str">
        <f>IFERROR(IF(Tableau1[[#This Row],[Montant Facturé 11/2018]]&gt;0,Tableau1[[#This Row],[Montant Facturé 11/2018]]/Taux_Change_SII,""),"")</f>
        <v/>
      </c>
      <c r="CQ7" s="351"/>
      <c r="CR7" s="83">
        <f>SUMPRODUCT(1*(EXACT(CONCATENATE(Tableau1[[#This Row],[PO Number (Header)]],"-",Tableau1[[#This Row],[Line]]),UO_List[Unique_AIB_ID]))*(UO_List[Qté Réception 12/2020]))</f>
        <v>0</v>
      </c>
      <c r="CS7" s="84"/>
      <c r="CT7" s="351"/>
      <c r="CU7" s="351">
        <f>IFERROR(Tableau1[[#This Row],[Qté Facturé 12/2018]]*Tableau1[[#This Row],[Unit Price (calcul)]],"")</f>
        <v>0</v>
      </c>
      <c r="CV7" s="351" t="str">
        <f>IFERROR(IF(Tableau1[[#This Row],[Montant Facturé 12/2018]]&gt;0,Tableau1[[#This Row],[Montant Facturé 12/2018]]/Taux_Change_SII,""),"")</f>
        <v/>
      </c>
      <c r="CW7" s="351"/>
      <c r="CX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4</v>
      </c>
      <c r="CY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" s="352">
        <f>IFERROR(Tableau1[[#This Row],[Total item réceptionné]]*Tableau1[[#This Row],[Unit Price (calcul)]],"")</f>
        <v>2320</v>
      </c>
      <c r="DB7" s="352">
        <f>IFERROR(Tableau1[[#This Row],[Total item à Facturer]]*Tableau1[[#This Row],[Unit Price (calcul)]],"")</f>
        <v>0</v>
      </c>
      <c r="DC7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7" s="352">
        <f>IFERROR(Tableau1[[#This Row],[Line Total]]-Tableau1[[#This Row],[Total Price Réceptionné]],"")</f>
        <v>9280</v>
      </c>
      <c r="DE7" s="352">
        <f>IFERROR(Tableau1[[#This Row],[Total Price Réceptionné]]-Tableau1[[#This Row],[Total Price A facturer]],"")</f>
        <v>2320</v>
      </c>
      <c r="DF7" s="353">
        <f>IFERROR(Tableau1[[#This Row],[Total Price A facturer]]-Tableau1[[#This Row],[Total Price Facturé]],"")</f>
        <v>0</v>
      </c>
      <c r="DG7" s="76">
        <f>Tableau1[[#This Row],[Total Item Quantity]]-Tableau1[[#This Row],[Total item réceptionné]]</f>
        <v>16</v>
      </c>
      <c r="DH7" s="167"/>
      <c r="DI7" s="167"/>
    </row>
    <row r="8" spans="1:113" s="74" customFormat="1" ht="16.5" customHeight="1">
      <c r="A8" s="77" t="str">
        <f>CONCATENATE(Tableau1[[#This Row],[PO Number (Header)]],"-",Tableau1[[#This Row],[Line]])</f>
        <v>D000480993-1</v>
      </c>
      <c r="B8" s="402" t="s">
        <v>875</v>
      </c>
      <c r="C8" s="403" t="s">
        <v>726</v>
      </c>
      <c r="D8" s="404" t="s">
        <v>802</v>
      </c>
      <c r="E8" s="403"/>
      <c r="F8" s="533">
        <v>1</v>
      </c>
      <c r="G8" s="403" t="s">
        <v>891</v>
      </c>
      <c r="H8" s="332">
        <v>15</v>
      </c>
      <c r="I8" s="383">
        <v>8700</v>
      </c>
      <c r="J8" s="403" t="s">
        <v>629</v>
      </c>
      <c r="K8" s="533">
        <v>0</v>
      </c>
      <c r="L8" s="403"/>
      <c r="M8" s="403"/>
      <c r="N8" s="77"/>
      <c r="O8" s="77"/>
      <c r="P8" s="77"/>
      <c r="Q8" s="395" t="s">
        <v>630</v>
      </c>
      <c r="R8" s="395">
        <v>0</v>
      </c>
      <c r="S8" s="77" t="s">
        <v>892</v>
      </c>
      <c r="T8" s="77"/>
      <c r="U8" s="77"/>
      <c r="V8" s="77" t="s">
        <v>893</v>
      </c>
      <c r="W8" s="167"/>
      <c r="X8" s="167" t="s">
        <v>806</v>
      </c>
      <c r="Y8" s="167">
        <f>IF(ISBLANK(Tableau1[[#This Row],[PO Number (Header)]]),"",Tableau1[[#This Row],[Line Total]]/Tableau1[[#This Row],[Total Item Quantity]])</f>
        <v>580</v>
      </c>
      <c r="Z8" s="167" t="str">
        <f>IF(ISNA(VLOOKUP(Tableau1[[#This Row],[Unique_AIB_ID]],UO_List[Unique_AIB_ID],1,FALSE)),IF(ISBLANK(Tableau1[[#This Row],[PO Number (Header)]]),"","FAUX"),"VRAI")</f>
        <v>VRAI</v>
      </c>
      <c r="AA8" s="167" t="s">
        <v>634</v>
      </c>
      <c r="AB8" s="162" t="str">
        <f>VLOOKUP(Tableau1[[#This Row],[Unique_AIB_ID]],UO_List[[Unique_AIB_ID]:[OLGA F6]],3,FALSE)</f>
        <v>3173-12</v>
      </c>
      <c r="AC8" s="162" t="s">
        <v>987</v>
      </c>
      <c r="AD8" s="83">
        <f>SUMPRODUCT(1*(EXACT(CONCATENATE(Tableau1[[#This Row],[PO Number (Header)]],"-",Tableau1[[#This Row],[Line]]),UO_List[Unique_AIB_ID]))*(UO_List[Qté Réception 03/2020]))</f>
        <v>2</v>
      </c>
      <c r="AE8" s="84">
        <v>2</v>
      </c>
      <c r="AF8" s="84">
        <v>2</v>
      </c>
      <c r="AG8" s="351">
        <f>IFERROR(Tableau1[[#This Row],[Qté Facturé 01/2018]]*Tableau1[[#This Row],[Unit Price (calcul)]],"")</f>
        <v>1160</v>
      </c>
      <c r="AH8" s="356">
        <f>IFERROR(IF(Tableau1[[#This Row],[Montant Facturé 01/2018]]&gt;0,Tableau1[[#This Row],[Montant Facturé 01/2018]]/Taux_Change_SII,""),"")</f>
        <v>859.25925925925924</v>
      </c>
      <c r="AI8" s="351"/>
      <c r="AJ8" s="83">
        <f>SUMPRODUCT(1*(EXACT(CONCATENATE(Tableau1[[#This Row],[PO Number (Header)]],"-",Tableau1[[#This Row],[Line]]),UO_List[Unique_AIB_ID]))*(UO_List[Qté Réception 02/2020]))</f>
        <v>0</v>
      </c>
      <c r="AK8" s="83">
        <f>SUMPRODUCT(1*(EXACT(CONCATENATE(Tableau1[[#This Row],[PO Number (Header)]],"-",Tableau1[[#This Row],[Line]]),UO_List[Unique_AIB_ID]))*(UO_List[Qté Réception 02/2020]))</f>
        <v>0</v>
      </c>
      <c r="AL8" s="357"/>
      <c r="AM8" s="351">
        <f>IFERROR(Tableau1[[#This Row],[Qté Facturé 02/2018]]*Tableau1[[#This Row],[Unit Price (calcul)]],"")</f>
        <v>0</v>
      </c>
      <c r="AN8" s="351" t="str">
        <f>IFERROR(IF(Tableau1[[#This Row],[Montant Facturé 02/2018]]&gt;0,Tableau1[[#This Row],[Montant Facturé 02/2018]]/Taux_Change_SII,""),"")</f>
        <v/>
      </c>
      <c r="AO8" s="351"/>
      <c r="AP8" s="83">
        <f>SUMPRODUCT(1*(EXACT(CONCATENATE(Tableau1[[#This Row],[PO Number (Header)]],"-",Tableau1[[#This Row],[Line]]),UO_List[Unique_AIB_ID]))*(UO_List[Qté Réception 00/2020]))</f>
        <v>0</v>
      </c>
      <c r="AQ8" s="84"/>
      <c r="AR8" s="357"/>
      <c r="AS8" s="351">
        <f>IFERROR(Tableau1[[#This Row],[Qté Facturé 03/2018]]*Tableau1[[#This Row],[Unit Price (calcul)]],"")</f>
        <v>0</v>
      </c>
      <c r="AT8" s="358" t="str">
        <f>IFERROR(IF(Tableau1[[#This Row],[Montant Facturé 03/2018]]&gt;0,Tableau1[[#This Row],[Montant Facturé 03/2018]]/Taux_Change_SII,""),"")</f>
        <v/>
      </c>
      <c r="AU8" s="351"/>
      <c r="AV8" s="83">
        <f>SUMPRODUCT(1*(EXACT(CONCATENATE(Tableau1[[#This Row],[PO Number (Header)]],"-",Tableau1[[#This Row],[Line]]),UO_List[Unique_AIB_ID]))*(UO_List[Qté Réception 04/2020]))</f>
        <v>0</v>
      </c>
      <c r="AW8" s="84">
        <v>0</v>
      </c>
      <c r="AX8" s="351"/>
      <c r="AY8" s="351">
        <f>IFERROR(Tableau1[[#This Row],[Qté Facturé 04/2018]]*Tableau1[[#This Row],[Unit Price (calcul)]],"")</f>
        <v>0</v>
      </c>
      <c r="AZ8" s="351" t="str">
        <f>IFERROR(IF(Tableau1[[#This Row],[Montant Facturé 04/2018]]&gt;0,Tableau1[[#This Row],[Montant Facturé 04/2018]]/Taux_Change_SII,""),"")</f>
        <v/>
      </c>
      <c r="BA8" s="351"/>
      <c r="BB8" s="83">
        <f>SUMPRODUCT(1*(EXACT(CONCATENATE(Tableau1[[#This Row],[PO Number (Header)]],"-",Tableau1[[#This Row],[Line]]),UO_List[Unique_AIB_ID]))*(UO_List[Qté Réception 05/2020]))</f>
        <v>0</v>
      </c>
      <c r="BC8" s="84">
        <v>0</v>
      </c>
      <c r="BD8" s="351"/>
      <c r="BE8" s="351">
        <f>IFERROR(Tableau1[[#This Row],[Qté Facturé 05/2018]]*Tableau1[[#This Row],[Unit Price (calcul)]],"")</f>
        <v>0</v>
      </c>
      <c r="BF8" s="351" t="str">
        <f>IFERROR(IF(Tableau1[[#This Row],[Montant Facturé 05/2018]]&gt;0,Tableau1[[#This Row],[Montant Facturé 05/2018]]/Taux_Change_SII,""),"")</f>
        <v/>
      </c>
      <c r="BG8" s="351"/>
      <c r="BH8" s="83">
        <f>SUMPRODUCT(1*(EXACT(CONCATENATE(Tableau1[[#This Row],[PO Number (Header)]],"-",Tableau1[[#This Row],[Line]]),UO_List[Unique_AIB_ID]))*(UO_List[Qté Réception 06/2020]))</f>
        <v>0</v>
      </c>
      <c r="BI8" s="84">
        <v>0</v>
      </c>
      <c r="BJ8" s="351"/>
      <c r="BK8" s="351">
        <f>IFERROR(Tableau1[[#This Row],[Qté Facturé 06/2018]]*Tableau1[[#This Row],[Unit Price (calcul)]],"")</f>
        <v>0</v>
      </c>
      <c r="BL8" s="351" t="str">
        <f>IFERROR(IF(Tableau1[[#This Row],[Montant Facturé 06/2018]]&gt;0,Tableau1[[#This Row],[Montant Facturé 06/2018]]/Taux_Change_SII,""),"")</f>
        <v/>
      </c>
      <c r="BM8" s="351"/>
      <c r="BN8" s="83">
        <f>SUMPRODUCT(1*(EXACT(CONCATENATE(Tableau1[[#This Row],[PO Number (Header)]],"-",Tableau1[[#This Row],[Line]]),UO_List[Unique_AIB_ID]))*(UO_List[Qté Réception 07/2020]))</f>
        <v>0</v>
      </c>
      <c r="BO8" s="84">
        <v>0</v>
      </c>
      <c r="BP8" s="351"/>
      <c r="BQ8" s="351">
        <f>IFERROR(Tableau1[[#This Row],[Qté Facturé 07/2018]]*Tableau1[[#This Row],[Unit Price (calcul)]],"")</f>
        <v>0</v>
      </c>
      <c r="BR8" s="351" t="str">
        <f>IFERROR(IF(Tableau1[[#This Row],[Montant Facturé 07/2018]]&gt;0,Tableau1[[#This Row],[Montant Facturé 07/2018]]/Taux_Change_SII,""),"")</f>
        <v/>
      </c>
      <c r="BS8" s="351"/>
      <c r="BT8" s="83">
        <f>SUMPRODUCT(1*(EXACT(CONCATENATE(Tableau1[[#This Row],[PO Number (Header)]],"-",Tableau1[[#This Row],[Line]]),UO_List[Unique_AIB_ID]))*(UO_List[Qté Réception 08/2020]))</f>
        <v>2</v>
      </c>
      <c r="BU8" s="84"/>
      <c r="BV8" s="351"/>
      <c r="BW8" s="351">
        <f>IFERROR(Tableau1[[#This Row],[Qté Facturé 08/2018]]*Tableau1[[#This Row],[Unit Price (calcul)]],"")</f>
        <v>0</v>
      </c>
      <c r="BX8" s="351" t="str">
        <f>IFERROR(IF(Tableau1[[#This Row],[Montant Facturé 08/2018]]&gt;0,Tableau1[[#This Row],[Montant Facturé 08/2018]]/Taux_Change_SII,""),"")</f>
        <v/>
      </c>
      <c r="BY8" s="351"/>
      <c r="BZ8" s="83">
        <f>SUMPRODUCT(1*(EXACT(CONCATENATE(Tableau1[[#This Row],[PO Number (Header)]],"-",Tableau1[[#This Row],[Line]]),UO_List[Unique_AIB_ID]))*(UO_List[Qté Réception 09/2020]))</f>
        <v>0</v>
      </c>
      <c r="CA8" s="84">
        <v>0</v>
      </c>
      <c r="CB8" s="351"/>
      <c r="CC8" s="351">
        <f>IFERROR(Tableau1[[#This Row],[Qté Facturé 09/2018]]*Tableau1[[#This Row],[Unit Price (calcul)]],"")</f>
        <v>0</v>
      </c>
      <c r="CD8" s="351" t="str">
        <f>IFERROR(IF(Tableau1[[#This Row],[Montant Facturé 09/2018]]&gt;0,Tableau1[[#This Row],[Montant Facturé 09/2018]]/Taux_Change_SII,""),"")</f>
        <v/>
      </c>
      <c r="CE8" s="351"/>
      <c r="CF8" s="83">
        <f>SUMPRODUCT(1*(EXACT(CONCATENATE(Tableau1[[#This Row],[PO Number (Header)]],"-",Tableau1[[#This Row],[Line]]),UO_List[Unique_AIB_ID]))*(UO_List[Qté Réception 10/2020]))</f>
        <v>0</v>
      </c>
      <c r="CG8" s="84">
        <v>0</v>
      </c>
      <c r="CH8" s="351"/>
      <c r="CI8" s="351">
        <f>IFERROR(Tableau1[[#This Row],[Qté Facturé 10/2018]]*Tableau1[[#This Row],[Unit Price (calcul)]],"")</f>
        <v>0</v>
      </c>
      <c r="CJ8" s="351" t="str">
        <f>IFERROR(IF(Tableau1[[#This Row],[Montant Facturé 10/2018]]&gt;0,Tableau1[[#This Row],[Montant Facturé 10/2018]]/Taux_Change_SII,""),"")</f>
        <v/>
      </c>
      <c r="CK8" s="351"/>
      <c r="CL8" s="83">
        <f>SUMPRODUCT(1*(EXACT(CONCATENATE(Tableau1[[#This Row],[PO Number (Header)]],"-",Tableau1[[#This Row],[Line]]),UO_List[Unique_AIB_ID]))*(UO_List[Qté Réception 11/2020]))</f>
        <v>0</v>
      </c>
      <c r="CM8" s="84"/>
      <c r="CN8" s="351"/>
      <c r="CO8" s="351">
        <f>IFERROR(Tableau1[[#This Row],[Qté Facturé 11/2018]]*Tableau1[[#This Row],[Unit Price (calcul)]],"")</f>
        <v>0</v>
      </c>
      <c r="CP8" s="351" t="str">
        <f>IFERROR(IF(Tableau1[[#This Row],[Montant Facturé 11/2018]]&gt;0,Tableau1[[#This Row],[Montant Facturé 11/2018]]/Taux_Change_SII,""),"")</f>
        <v/>
      </c>
      <c r="CQ8" s="351"/>
      <c r="CR8" s="83">
        <f>SUMPRODUCT(1*(EXACT(CONCATENATE(Tableau1[[#This Row],[PO Number (Header)]],"-",Tableau1[[#This Row],[Line]]),UO_List[Unique_AIB_ID]))*(UO_List[Qté Réception 12/2020]))</f>
        <v>0</v>
      </c>
      <c r="CS8" s="84"/>
      <c r="CT8" s="351"/>
      <c r="CU8" s="351">
        <f>IFERROR(Tableau1[[#This Row],[Qté Facturé 12/2018]]*Tableau1[[#This Row],[Unit Price (calcul)]],"")</f>
        <v>0</v>
      </c>
      <c r="CV8" s="351" t="str">
        <f>IFERROR(IF(Tableau1[[#This Row],[Montant Facturé 12/2018]]&gt;0,Tableau1[[#This Row],[Montant Facturé 12/2018]]/Taux_Change_SII,""),"")</f>
        <v/>
      </c>
      <c r="CW8" s="351"/>
      <c r="CX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4</v>
      </c>
      <c r="CY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2</v>
      </c>
      <c r="CZ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2</v>
      </c>
      <c r="DA8" s="352">
        <f>IFERROR(Tableau1[[#This Row],[Total item réceptionné]]*Tableau1[[#This Row],[Unit Price (calcul)]],"")</f>
        <v>2320</v>
      </c>
      <c r="DB8" s="352">
        <f>IFERROR(Tableau1[[#This Row],[Total item à Facturer]]*Tableau1[[#This Row],[Unit Price (calcul)]],"")</f>
        <v>1160</v>
      </c>
      <c r="DC8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1160</v>
      </c>
      <c r="DD8" s="352">
        <f>IFERROR(Tableau1[[#This Row],[Line Total]]-Tableau1[[#This Row],[Total Price Réceptionné]],"")</f>
        <v>6380</v>
      </c>
      <c r="DE8" s="352">
        <f>IFERROR(Tableau1[[#This Row],[Total Price Réceptionné]]-Tableau1[[#This Row],[Total Price A facturer]],"")</f>
        <v>1160</v>
      </c>
      <c r="DF8" s="353">
        <f>IFERROR(Tableau1[[#This Row],[Total Price A facturer]]-Tableau1[[#This Row],[Total Price Facturé]],"")</f>
        <v>0</v>
      </c>
      <c r="DG8" s="76">
        <f>Tableau1[[#This Row],[Total Item Quantity]]-Tableau1[[#This Row],[Total item réceptionné]]</f>
        <v>11</v>
      </c>
      <c r="DH8" s="167"/>
      <c r="DI8" s="167"/>
    </row>
    <row r="9" spans="1:113" s="74" customFormat="1">
      <c r="A9" s="77" t="str">
        <f>CONCATENATE(Tableau1[[#This Row],[PO Number (Header)]],"-",Tableau1[[#This Row],[Line]])</f>
        <v>D000481021-1</v>
      </c>
      <c r="B9" s="405" t="s">
        <v>894</v>
      </c>
      <c r="C9" s="493" t="s">
        <v>726</v>
      </c>
      <c r="D9" s="397" t="s">
        <v>802</v>
      </c>
      <c r="E9" s="493"/>
      <c r="F9" s="175">
        <v>1</v>
      </c>
      <c r="G9" s="493" t="s">
        <v>895</v>
      </c>
      <c r="H9" s="332">
        <v>5</v>
      </c>
      <c r="I9" s="383">
        <v>14000</v>
      </c>
      <c r="J9" s="493" t="s">
        <v>629</v>
      </c>
      <c r="K9" s="175">
        <v>0</v>
      </c>
      <c r="L9" s="493"/>
      <c r="M9" s="493"/>
      <c r="N9" s="77"/>
      <c r="O9" s="77"/>
      <c r="P9" s="77"/>
      <c r="Q9" s="395" t="s">
        <v>630</v>
      </c>
      <c r="R9" s="395">
        <v>0</v>
      </c>
      <c r="S9" s="77" t="s">
        <v>896</v>
      </c>
      <c r="T9" s="77"/>
      <c r="U9" s="77"/>
      <c r="V9" s="77" t="s">
        <v>893</v>
      </c>
      <c r="W9" s="167"/>
      <c r="X9" s="167" t="s">
        <v>789</v>
      </c>
      <c r="Y9" s="167">
        <f>IF(ISBLANK(Tableau1[[#This Row],[PO Number (Header)]]),"",Tableau1[[#This Row],[Line Total]]/Tableau1[[#This Row],[Total Item Quantity]])</f>
        <v>2800</v>
      </c>
      <c r="Z9" s="167" t="str">
        <f>IF(ISNA(VLOOKUP(Tableau1[[#This Row],[Unique_AIB_ID]],UO_List[Unique_AIB_ID],1,FALSE)),IF(ISBLANK(Tableau1[[#This Row],[PO Number (Header)]]),"","FAUX"),"VRAI")</f>
        <v>VRAI</v>
      </c>
      <c r="AA9" s="167" t="s">
        <v>634</v>
      </c>
      <c r="AB9" s="162" t="str">
        <f>VLOOKUP(Tableau1[[#This Row],[Unique_AIB_ID]],UO_List[[Unique_AIB_ID]:[OLGA F6]],3,FALSE)</f>
        <v>3173-12</v>
      </c>
      <c r="AC9" s="162" t="s">
        <v>988</v>
      </c>
      <c r="AD9" s="83">
        <f>SUMPRODUCT(1*(EXACT(CONCATENATE(Tableau1[[#This Row],[PO Number (Header)]],"-",Tableau1[[#This Row],[Line]]),UO_List[Unique_AIB_ID]))*(UO_List[Qté Réception 03/2020]))</f>
        <v>1.2</v>
      </c>
      <c r="AE9" s="84">
        <v>1.2</v>
      </c>
      <c r="AF9" s="84">
        <v>1.2</v>
      </c>
      <c r="AG9" s="351">
        <f>IFERROR(Tableau1[[#This Row],[Qté Facturé 01/2018]]*Tableau1[[#This Row],[Unit Price (calcul)]],"")</f>
        <v>3360</v>
      </c>
      <c r="AH9" s="356">
        <f>IFERROR(IF(Tableau1[[#This Row],[Montant Facturé 01/2018]]&gt;0,Tableau1[[#This Row],[Montant Facturé 01/2018]]/Taux_Change_SII,""),"")</f>
        <v>2488.8888888888887</v>
      </c>
      <c r="AI9" s="351"/>
      <c r="AJ9" s="83">
        <f>SUMPRODUCT(1*(EXACT(CONCATENATE(Tableau1[[#This Row],[PO Number (Header)]],"-",Tableau1[[#This Row],[Line]]),UO_List[Unique_AIB_ID]))*(UO_List[Qté Réception 02/2020]))</f>
        <v>0</v>
      </c>
      <c r="AK9" s="83">
        <f>SUMPRODUCT(1*(EXACT(CONCATENATE(Tableau1[[#This Row],[PO Number (Header)]],"-",Tableau1[[#This Row],[Line]]),UO_List[Unique_AIB_ID]))*(UO_List[Qté Réception 02/2020]))</f>
        <v>0</v>
      </c>
      <c r="AL9" s="357"/>
      <c r="AM9" s="351">
        <f>IFERROR(Tableau1[[#This Row],[Qté Facturé 02/2018]]*Tableau1[[#This Row],[Unit Price (calcul)]],"")</f>
        <v>0</v>
      </c>
      <c r="AN9" s="351" t="str">
        <f>IFERROR(IF(Tableau1[[#This Row],[Montant Facturé 02/2018]]&gt;0,Tableau1[[#This Row],[Montant Facturé 02/2018]]/Taux_Change_SII,""),"")</f>
        <v/>
      </c>
      <c r="AO9" s="351"/>
      <c r="AP9" s="83">
        <f>SUMPRODUCT(1*(EXACT(CONCATENATE(Tableau1[[#This Row],[PO Number (Header)]],"-",Tableau1[[#This Row],[Line]]),UO_List[Unique_AIB_ID]))*(UO_List[Qté Réception 00/2020]))</f>
        <v>0</v>
      </c>
      <c r="AQ9" s="84"/>
      <c r="AR9" s="357"/>
      <c r="AS9" s="351">
        <f>IFERROR(Tableau1[[#This Row],[Qté Facturé 03/2018]]*Tableau1[[#This Row],[Unit Price (calcul)]],"")</f>
        <v>0</v>
      </c>
      <c r="AT9" s="358" t="str">
        <f>IFERROR(IF(Tableau1[[#This Row],[Montant Facturé 03/2018]]&gt;0,Tableau1[[#This Row],[Montant Facturé 03/2018]]/Taux_Change_SII,""),"")</f>
        <v/>
      </c>
      <c r="AU9" s="351"/>
      <c r="AV9" s="83">
        <f>SUMPRODUCT(1*(EXACT(CONCATENATE(Tableau1[[#This Row],[PO Number (Header)]],"-",Tableau1[[#This Row],[Line]]),UO_List[Unique_AIB_ID]))*(UO_List[Qté Réception 04/2020]))</f>
        <v>0</v>
      </c>
      <c r="AW9" s="84">
        <v>0</v>
      </c>
      <c r="AX9" s="351"/>
      <c r="AY9" s="351">
        <f>IFERROR(Tableau1[[#This Row],[Qté Facturé 04/2018]]*Tableau1[[#This Row],[Unit Price (calcul)]],"")</f>
        <v>0</v>
      </c>
      <c r="AZ9" s="351" t="str">
        <f>IFERROR(IF(Tableau1[[#This Row],[Montant Facturé 04/2018]]&gt;0,Tableau1[[#This Row],[Montant Facturé 04/2018]]/Taux_Change_SII,""),"")</f>
        <v/>
      </c>
      <c r="BA9" s="351"/>
      <c r="BB9" s="83">
        <f>SUMPRODUCT(1*(EXACT(CONCATENATE(Tableau1[[#This Row],[PO Number (Header)]],"-",Tableau1[[#This Row],[Line]]),UO_List[Unique_AIB_ID]))*(UO_List[Qté Réception 05/2020]))</f>
        <v>0</v>
      </c>
      <c r="BC9" s="84">
        <v>0</v>
      </c>
      <c r="BD9" s="351"/>
      <c r="BE9" s="351">
        <f>IFERROR(Tableau1[[#This Row],[Qté Facturé 05/2018]]*Tableau1[[#This Row],[Unit Price (calcul)]],"")</f>
        <v>0</v>
      </c>
      <c r="BF9" s="351" t="str">
        <f>IFERROR(IF(Tableau1[[#This Row],[Montant Facturé 05/2018]]&gt;0,Tableau1[[#This Row],[Montant Facturé 05/2018]]/Taux_Change_SII,""),"")</f>
        <v/>
      </c>
      <c r="BG9" s="351"/>
      <c r="BH9" s="83">
        <f>SUMPRODUCT(1*(EXACT(CONCATENATE(Tableau1[[#This Row],[PO Number (Header)]],"-",Tableau1[[#This Row],[Line]]),UO_List[Unique_AIB_ID]))*(UO_List[Qté Réception 06/2020]))</f>
        <v>0</v>
      </c>
      <c r="BI9" s="84">
        <v>0</v>
      </c>
      <c r="BJ9" s="351"/>
      <c r="BK9" s="351">
        <f>IFERROR(Tableau1[[#This Row],[Qté Facturé 06/2018]]*Tableau1[[#This Row],[Unit Price (calcul)]],"")</f>
        <v>0</v>
      </c>
      <c r="BL9" s="351" t="str">
        <f>IFERROR(IF(Tableau1[[#This Row],[Montant Facturé 06/2018]]&gt;0,Tableau1[[#This Row],[Montant Facturé 06/2018]]/Taux_Change_SII,""),"")</f>
        <v/>
      </c>
      <c r="BM9" s="351"/>
      <c r="BN9" s="83">
        <f>SUMPRODUCT(1*(EXACT(CONCATENATE(Tableau1[[#This Row],[PO Number (Header)]],"-",Tableau1[[#This Row],[Line]]),UO_List[Unique_AIB_ID]))*(UO_List[Qté Réception 07/2020]))</f>
        <v>0</v>
      </c>
      <c r="BO9" s="84">
        <v>0</v>
      </c>
      <c r="BP9" s="351"/>
      <c r="BQ9" s="351">
        <f>IFERROR(Tableau1[[#This Row],[Qté Facturé 07/2018]]*Tableau1[[#This Row],[Unit Price (calcul)]],"")</f>
        <v>0</v>
      </c>
      <c r="BR9" s="351" t="str">
        <f>IFERROR(IF(Tableau1[[#This Row],[Montant Facturé 07/2018]]&gt;0,Tableau1[[#This Row],[Montant Facturé 07/2018]]/Taux_Change_SII,""),"")</f>
        <v/>
      </c>
      <c r="BS9" s="351"/>
      <c r="BT9" s="83">
        <f>SUMPRODUCT(1*(EXACT(CONCATENATE(Tableau1[[#This Row],[PO Number (Header)]],"-",Tableau1[[#This Row],[Line]]),UO_List[Unique_AIB_ID]))*(UO_List[Qté Réception 08/2020]))</f>
        <v>2</v>
      </c>
      <c r="BU9" s="84"/>
      <c r="BV9" s="351"/>
      <c r="BW9" s="351">
        <f>IFERROR(Tableau1[[#This Row],[Qté Facturé 08/2018]]*Tableau1[[#This Row],[Unit Price (calcul)]],"")</f>
        <v>0</v>
      </c>
      <c r="BX9" s="351" t="str">
        <f>IFERROR(IF(Tableau1[[#This Row],[Montant Facturé 08/2018]]&gt;0,Tableau1[[#This Row],[Montant Facturé 08/2018]]/Taux_Change_SII,""),"")</f>
        <v/>
      </c>
      <c r="BY9" s="351"/>
      <c r="BZ9" s="83">
        <f>SUMPRODUCT(1*(EXACT(CONCATENATE(Tableau1[[#This Row],[PO Number (Header)]],"-",Tableau1[[#This Row],[Line]]),UO_List[Unique_AIB_ID]))*(UO_List[Qté Réception 09/2020]))</f>
        <v>0</v>
      </c>
      <c r="CA9" s="84">
        <v>0</v>
      </c>
      <c r="CB9" s="351"/>
      <c r="CC9" s="351">
        <f>IFERROR(Tableau1[[#This Row],[Qté Facturé 09/2018]]*Tableau1[[#This Row],[Unit Price (calcul)]],"")</f>
        <v>0</v>
      </c>
      <c r="CD9" s="351" t="str">
        <f>IFERROR(IF(Tableau1[[#This Row],[Montant Facturé 09/2018]]&gt;0,Tableau1[[#This Row],[Montant Facturé 09/2018]]/Taux_Change_SII,""),"")</f>
        <v/>
      </c>
      <c r="CE9" s="351"/>
      <c r="CF9" s="83">
        <f>SUMPRODUCT(1*(EXACT(CONCATENATE(Tableau1[[#This Row],[PO Number (Header)]],"-",Tableau1[[#This Row],[Line]]),UO_List[Unique_AIB_ID]))*(UO_List[Qté Réception 10/2020]))</f>
        <v>0</v>
      </c>
      <c r="CG9" s="84">
        <v>0</v>
      </c>
      <c r="CH9" s="351"/>
      <c r="CI9" s="351">
        <f>IFERROR(Tableau1[[#This Row],[Qté Facturé 10/2018]]*Tableau1[[#This Row],[Unit Price (calcul)]],"")</f>
        <v>0</v>
      </c>
      <c r="CJ9" s="351" t="str">
        <f>IFERROR(IF(Tableau1[[#This Row],[Montant Facturé 10/2018]]&gt;0,Tableau1[[#This Row],[Montant Facturé 10/2018]]/Taux_Change_SII,""),"")</f>
        <v/>
      </c>
      <c r="CK9" s="351"/>
      <c r="CL9" s="83">
        <f>SUMPRODUCT(1*(EXACT(CONCATENATE(Tableau1[[#This Row],[PO Number (Header)]],"-",Tableau1[[#This Row],[Line]]),UO_List[Unique_AIB_ID]))*(UO_List[Qté Réception 11/2020]))</f>
        <v>0</v>
      </c>
      <c r="CM9" s="84"/>
      <c r="CN9" s="351"/>
      <c r="CO9" s="351">
        <f>IFERROR(Tableau1[[#This Row],[Qté Facturé 11/2018]]*Tableau1[[#This Row],[Unit Price (calcul)]],"")</f>
        <v>0</v>
      </c>
      <c r="CP9" s="351" t="str">
        <f>IFERROR(IF(Tableau1[[#This Row],[Montant Facturé 11/2018]]&gt;0,Tableau1[[#This Row],[Montant Facturé 11/2018]]/Taux_Change_SII,""),"")</f>
        <v/>
      </c>
      <c r="CQ9" s="351"/>
      <c r="CR9" s="83">
        <f>SUMPRODUCT(1*(EXACT(CONCATENATE(Tableau1[[#This Row],[PO Number (Header)]],"-",Tableau1[[#This Row],[Line]]),UO_List[Unique_AIB_ID]))*(UO_List[Qté Réception 12/2020]))</f>
        <v>0</v>
      </c>
      <c r="CS9" s="84"/>
      <c r="CT9" s="351"/>
      <c r="CU9" s="351">
        <f>IFERROR(Tableau1[[#This Row],[Qté Facturé 12/2018]]*Tableau1[[#This Row],[Unit Price (calcul)]],"")</f>
        <v>0</v>
      </c>
      <c r="CV9" s="351" t="str">
        <f>IFERROR(IF(Tableau1[[#This Row],[Montant Facturé 12/2018]]&gt;0,Tableau1[[#This Row],[Montant Facturé 12/2018]]/Taux_Change_SII,""),"")</f>
        <v/>
      </c>
      <c r="CW9" s="351"/>
      <c r="CX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3.2</v>
      </c>
      <c r="CY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1.2</v>
      </c>
      <c r="CZ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1.2</v>
      </c>
      <c r="DA9" s="352">
        <f>IFERROR(Tableau1[[#This Row],[Total item réceptionné]]*Tableau1[[#This Row],[Unit Price (calcul)]],"")</f>
        <v>8960</v>
      </c>
      <c r="DB9" s="352">
        <f>IFERROR(Tableau1[[#This Row],[Total item à Facturer]]*Tableau1[[#This Row],[Unit Price (calcul)]],"")</f>
        <v>3360</v>
      </c>
      <c r="DC9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3360</v>
      </c>
      <c r="DD9" s="352">
        <f>IFERROR(Tableau1[[#This Row],[Line Total]]-Tableau1[[#This Row],[Total Price Réceptionné]],"")</f>
        <v>5040</v>
      </c>
      <c r="DE9" s="352">
        <f>IFERROR(Tableau1[[#This Row],[Total Price Réceptionné]]-Tableau1[[#This Row],[Total Price A facturer]],"")</f>
        <v>5600</v>
      </c>
      <c r="DF9" s="353">
        <f>IFERROR(Tableau1[[#This Row],[Total Price A facturer]]-Tableau1[[#This Row],[Total Price Facturé]],"")</f>
        <v>0</v>
      </c>
      <c r="DG9" s="76">
        <f>Tableau1[[#This Row],[Total Item Quantity]]-Tableau1[[#This Row],[Total item réceptionné]]</f>
        <v>1.7999999999999998</v>
      </c>
      <c r="DH9" s="167"/>
      <c r="DI9" s="167"/>
    </row>
    <row r="10" spans="1:113" s="74" customFormat="1">
      <c r="A10" s="77" t="str">
        <f>CONCATENATE(Tableau1[[#This Row],[PO Number (Header)]],"-",Tableau1[[#This Row],[Line]])</f>
        <v>D000481021-2</v>
      </c>
      <c r="B10" s="405" t="s">
        <v>894</v>
      </c>
      <c r="C10" s="493" t="s">
        <v>726</v>
      </c>
      <c r="D10" s="406" t="s">
        <v>802</v>
      </c>
      <c r="E10" s="493"/>
      <c r="F10" s="175">
        <v>2</v>
      </c>
      <c r="G10" s="493" t="s">
        <v>897</v>
      </c>
      <c r="H10" s="332">
        <v>1</v>
      </c>
      <c r="I10" s="383">
        <v>580</v>
      </c>
      <c r="J10" s="493" t="s">
        <v>629</v>
      </c>
      <c r="K10" s="175">
        <v>0</v>
      </c>
      <c r="L10" s="493"/>
      <c r="M10" s="493"/>
      <c r="N10" s="77"/>
      <c r="O10" s="77"/>
      <c r="P10" s="77"/>
      <c r="Q10" s="395" t="s">
        <v>630</v>
      </c>
      <c r="R10" s="395">
        <v>0</v>
      </c>
      <c r="S10" s="77" t="s">
        <v>896</v>
      </c>
      <c r="T10" s="77"/>
      <c r="U10" s="77"/>
      <c r="V10" s="77" t="s">
        <v>893</v>
      </c>
      <c r="W10" s="167"/>
      <c r="X10" s="167" t="s">
        <v>789</v>
      </c>
      <c r="Y10" s="167">
        <f>IF(ISBLANK(Tableau1[[#This Row],[PO Number (Header)]]),"",Tableau1[[#This Row],[Line Total]]/Tableau1[[#This Row],[Total Item Quantity]])</f>
        <v>580</v>
      </c>
      <c r="Z10" s="167" t="str">
        <f>IF(ISNA(VLOOKUP(Tableau1[[#This Row],[Unique_AIB_ID]],UO_List[Unique_AIB_ID],1,FALSE)),IF(ISBLANK(Tableau1[[#This Row],[PO Number (Header)]]),"","FAUX"),"VRAI")</f>
        <v>VRAI</v>
      </c>
      <c r="AA10" s="167" t="s">
        <v>634</v>
      </c>
      <c r="AB10" s="162" t="str">
        <f>VLOOKUP(Tableau1[[#This Row],[Unique_AIB_ID]],UO_List[[Unique_AIB_ID]:[OLGA F6]],3,FALSE)</f>
        <v>3173-12</v>
      </c>
      <c r="AC10" s="162" t="s">
        <v>988</v>
      </c>
      <c r="AD10" s="83">
        <f>SUMPRODUCT(1*(EXACT(CONCATENATE(Tableau1[[#This Row],[PO Number (Header)]],"-",Tableau1[[#This Row],[Line]]),UO_List[Unique_AIB_ID]))*(UO_List[Qté Réception 03/2020]))</f>
        <v>1</v>
      </c>
      <c r="AE10" s="84">
        <v>1</v>
      </c>
      <c r="AF10" s="84">
        <v>1</v>
      </c>
      <c r="AG10" s="351">
        <f>IFERROR(Tableau1[[#This Row],[Qté Facturé 01/2018]]*Tableau1[[#This Row],[Unit Price (calcul)]],"")</f>
        <v>580</v>
      </c>
      <c r="AH10" s="356">
        <f>IFERROR(IF(Tableau1[[#This Row],[Montant Facturé 01/2018]]&gt;0,Tableau1[[#This Row],[Montant Facturé 01/2018]]/Taux_Change_SII,""),"")</f>
        <v>429.62962962962962</v>
      </c>
      <c r="AI10" s="351"/>
      <c r="AJ10" s="83">
        <f>SUMPRODUCT(1*(EXACT(CONCATENATE(Tableau1[[#This Row],[PO Number (Header)]],"-",Tableau1[[#This Row],[Line]]),UO_List[Unique_AIB_ID]))*(UO_List[Qté Réception 02/2020]))</f>
        <v>0</v>
      </c>
      <c r="AK10" s="83">
        <f>SUMPRODUCT(1*(EXACT(CONCATENATE(Tableau1[[#This Row],[PO Number (Header)]],"-",Tableau1[[#This Row],[Line]]),UO_List[Unique_AIB_ID]))*(UO_List[Qté Réception 02/2020]))</f>
        <v>0</v>
      </c>
      <c r="AL10" s="357"/>
      <c r="AM10" s="351">
        <f>IFERROR(Tableau1[[#This Row],[Qté Facturé 02/2018]]*Tableau1[[#This Row],[Unit Price (calcul)]],"")</f>
        <v>0</v>
      </c>
      <c r="AN10" s="351" t="str">
        <f>IFERROR(IF(Tableau1[[#This Row],[Montant Facturé 02/2018]]&gt;0,Tableau1[[#This Row],[Montant Facturé 02/2018]]/Taux_Change_SII,""),"")</f>
        <v/>
      </c>
      <c r="AO10" s="351"/>
      <c r="AP10" s="83">
        <f>SUMPRODUCT(1*(EXACT(CONCATENATE(Tableau1[[#This Row],[PO Number (Header)]],"-",Tableau1[[#This Row],[Line]]),UO_List[Unique_AIB_ID]))*(UO_List[Qté Réception 00/2020]))</f>
        <v>0</v>
      </c>
      <c r="AQ10" s="84"/>
      <c r="AR10" s="357"/>
      <c r="AS10" s="351">
        <f>IFERROR(Tableau1[[#This Row],[Qté Facturé 03/2018]]*Tableau1[[#This Row],[Unit Price (calcul)]],"")</f>
        <v>0</v>
      </c>
      <c r="AT10" s="358" t="str">
        <f>IFERROR(IF(Tableau1[[#This Row],[Montant Facturé 03/2018]]&gt;0,Tableau1[[#This Row],[Montant Facturé 03/2018]]/Taux_Change_SII,""),"")</f>
        <v/>
      </c>
      <c r="AU10" s="351"/>
      <c r="AV10" s="83">
        <f>SUMPRODUCT(1*(EXACT(CONCATENATE(Tableau1[[#This Row],[PO Number (Header)]],"-",Tableau1[[#This Row],[Line]]),UO_List[Unique_AIB_ID]))*(UO_List[Qté Réception 04/2020]))</f>
        <v>0</v>
      </c>
      <c r="AW10" s="84">
        <v>0</v>
      </c>
      <c r="AX10" s="351"/>
      <c r="AY10" s="351">
        <f>IFERROR(Tableau1[[#This Row],[Qté Facturé 04/2018]]*Tableau1[[#This Row],[Unit Price (calcul)]],"")</f>
        <v>0</v>
      </c>
      <c r="AZ10" s="351" t="str">
        <f>IFERROR(IF(Tableau1[[#This Row],[Montant Facturé 04/2018]]&gt;0,Tableau1[[#This Row],[Montant Facturé 04/2018]]/Taux_Change_SII,""),"")</f>
        <v/>
      </c>
      <c r="BA10" s="351"/>
      <c r="BB10" s="83">
        <f>SUMPRODUCT(1*(EXACT(CONCATENATE(Tableau1[[#This Row],[PO Number (Header)]],"-",Tableau1[[#This Row],[Line]]),UO_List[Unique_AIB_ID]))*(UO_List[Qté Réception 05/2020]))</f>
        <v>0</v>
      </c>
      <c r="BC10" s="84">
        <v>0</v>
      </c>
      <c r="BD10" s="351"/>
      <c r="BE10" s="351">
        <f>IFERROR(Tableau1[[#This Row],[Qté Facturé 05/2018]]*Tableau1[[#This Row],[Unit Price (calcul)]],"")</f>
        <v>0</v>
      </c>
      <c r="BF10" s="351" t="str">
        <f>IFERROR(IF(Tableau1[[#This Row],[Montant Facturé 05/2018]]&gt;0,Tableau1[[#This Row],[Montant Facturé 05/2018]]/Taux_Change_SII,""),"")</f>
        <v/>
      </c>
      <c r="BG10" s="351"/>
      <c r="BH10" s="83">
        <f>SUMPRODUCT(1*(EXACT(CONCATENATE(Tableau1[[#This Row],[PO Number (Header)]],"-",Tableau1[[#This Row],[Line]]),UO_List[Unique_AIB_ID]))*(UO_List[Qté Réception 06/2020]))</f>
        <v>0</v>
      </c>
      <c r="BI10" s="84">
        <v>0</v>
      </c>
      <c r="BJ10" s="351"/>
      <c r="BK10" s="351">
        <f>IFERROR(Tableau1[[#This Row],[Qté Facturé 06/2018]]*Tableau1[[#This Row],[Unit Price (calcul)]],"")</f>
        <v>0</v>
      </c>
      <c r="BL10" s="351" t="str">
        <f>IFERROR(IF(Tableau1[[#This Row],[Montant Facturé 06/2018]]&gt;0,Tableau1[[#This Row],[Montant Facturé 06/2018]]/Taux_Change_SII,""),"")</f>
        <v/>
      </c>
      <c r="BM10" s="351"/>
      <c r="BN10" s="83">
        <f>SUMPRODUCT(1*(EXACT(CONCATENATE(Tableau1[[#This Row],[PO Number (Header)]],"-",Tableau1[[#This Row],[Line]]),UO_List[Unique_AIB_ID]))*(UO_List[Qté Réception 07/2020]))</f>
        <v>0</v>
      </c>
      <c r="BO10" s="84">
        <v>0</v>
      </c>
      <c r="BP10" s="351"/>
      <c r="BQ10" s="351">
        <f>IFERROR(Tableau1[[#This Row],[Qté Facturé 07/2018]]*Tableau1[[#This Row],[Unit Price (calcul)]],"")</f>
        <v>0</v>
      </c>
      <c r="BR10" s="351" t="str">
        <f>IFERROR(IF(Tableau1[[#This Row],[Montant Facturé 07/2018]]&gt;0,Tableau1[[#This Row],[Montant Facturé 07/2018]]/Taux_Change_SII,""),"")</f>
        <v/>
      </c>
      <c r="BS10" s="351"/>
      <c r="BT10" s="83">
        <f>SUMPRODUCT(1*(EXACT(CONCATENATE(Tableau1[[#This Row],[PO Number (Header)]],"-",Tableau1[[#This Row],[Line]]),UO_List[Unique_AIB_ID]))*(UO_List[Qté Réception 08/2020]))</f>
        <v>0</v>
      </c>
      <c r="BU10" s="84"/>
      <c r="BV10" s="351"/>
      <c r="BW10" s="351">
        <f>IFERROR(Tableau1[[#This Row],[Qté Facturé 08/2018]]*Tableau1[[#This Row],[Unit Price (calcul)]],"")</f>
        <v>0</v>
      </c>
      <c r="BX10" s="351" t="str">
        <f>IFERROR(IF(Tableau1[[#This Row],[Montant Facturé 08/2018]]&gt;0,Tableau1[[#This Row],[Montant Facturé 08/2018]]/Taux_Change_SII,""),"")</f>
        <v/>
      </c>
      <c r="BY10" s="351"/>
      <c r="BZ10" s="83">
        <f>SUMPRODUCT(1*(EXACT(CONCATENATE(Tableau1[[#This Row],[PO Number (Header)]],"-",Tableau1[[#This Row],[Line]]),UO_List[Unique_AIB_ID]))*(UO_List[Qté Réception 09/2020]))</f>
        <v>0</v>
      </c>
      <c r="CA10" s="84">
        <v>0</v>
      </c>
      <c r="CB10" s="351"/>
      <c r="CC10" s="351">
        <f>IFERROR(Tableau1[[#This Row],[Qté Facturé 09/2018]]*Tableau1[[#This Row],[Unit Price (calcul)]],"")</f>
        <v>0</v>
      </c>
      <c r="CD10" s="351" t="str">
        <f>IFERROR(IF(Tableau1[[#This Row],[Montant Facturé 09/2018]]&gt;0,Tableau1[[#This Row],[Montant Facturé 09/2018]]/Taux_Change_SII,""),"")</f>
        <v/>
      </c>
      <c r="CE10" s="351"/>
      <c r="CF10" s="83">
        <f>SUMPRODUCT(1*(EXACT(CONCATENATE(Tableau1[[#This Row],[PO Number (Header)]],"-",Tableau1[[#This Row],[Line]]),UO_List[Unique_AIB_ID]))*(UO_List[Qté Réception 10/2020]))</f>
        <v>0</v>
      </c>
      <c r="CG10" s="84">
        <v>0</v>
      </c>
      <c r="CH10" s="351"/>
      <c r="CI10" s="351">
        <f>IFERROR(Tableau1[[#This Row],[Qté Facturé 10/2018]]*Tableau1[[#This Row],[Unit Price (calcul)]],"")</f>
        <v>0</v>
      </c>
      <c r="CJ10" s="351" t="str">
        <f>IFERROR(IF(Tableau1[[#This Row],[Montant Facturé 10/2018]]&gt;0,Tableau1[[#This Row],[Montant Facturé 10/2018]]/Taux_Change_SII,""),"")</f>
        <v/>
      </c>
      <c r="CK10" s="351"/>
      <c r="CL10" s="83">
        <f>SUMPRODUCT(1*(EXACT(CONCATENATE(Tableau1[[#This Row],[PO Number (Header)]],"-",Tableau1[[#This Row],[Line]]),UO_List[Unique_AIB_ID]))*(UO_List[Qté Réception 11/2020]))</f>
        <v>0</v>
      </c>
      <c r="CM10" s="84"/>
      <c r="CN10" s="351"/>
      <c r="CO10" s="351">
        <f>IFERROR(Tableau1[[#This Row],[Qté Facturé 11/2018]]*Tableau1[[#This Row],[Unit Price (calcul)]],"")</f>
        <v>0</v>
      </c>
      <c r="CP10" s="351" t="str">
        <f>IFERROR(IF(Tableau1[[#This Row],[Montant Facturé 11/2018]]&gt;0,Tableau1[[#This Row],[Montant Facturé 11/2018]]/Taux_Change_SII,""),"")</f>
        <v/>
      </c>
      <c r="CQ10" s="351"/>
      <c r="CR10" s="83">
        <f>SUMPRODUCT(1*(EXACT(CONCATENATE(Tableau1[[#This Row],[PO Number (Header)]],"-",Tableau1[[#This Row],[Line]]),UO_List[Unique_AIB_ID]))*(UO_List[Qté Réception 12/2020]))</f>
        <v>0</v>
      </c>
      <c r="CS10" s="84"/>
      <c r="CT10" s="351"/>
      <c r="CU10" s="351">
        <f>IFERROR(Tableau1[[#This Row],[Qté Facturé 12/2018]]*Tableau1[[#This Row],[Unit Price (calcul)]],"")</f>
        <v>0</v>
      </c>
      <c r="CV10" s="351" t="str">
        <f>IFERROR(IF(Tableau1[[#This Row],[Montant Facturé 12/2018]]&gt;0,Tableau1[[#This Row],[Montant Facturé 12/2018]]/Taux_Change_SII,""),"")</f>
        <v/>
      </c>
      <c r="CW10" s="351"/>
      <c r="CX1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1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1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10" s="352">
        <f>IFERROR(Tableau1[[#This Row],[Total item réceptionné]]*Tableau1[[#This Row],[Unit Price (calcul)]],"")</f>
        <v>580</v>
      </c>
      <c r="DB10" s="352">
        <f>IFERROR(Tableau1[[#This Row],[Total item à Facturer]]*Tableau1[[#This Row],[Unit Price (calcul)]],"")</f>
        <v>580</v>
      </c>
      <c r="DC10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580</v>
      </c>
      <c r="DD10" s="352">
        <f>IFERROR(Tableau1[[#This Row],[Line Total]]-Tableau1[[#This Row],[Total Price Réceptionné]],"")</f>
        <v>0</v>
      </c>
      <c r="DE10" s="352">
        <f>IFERROR(Tableau1[[#This Row],[Total Price Réceptionné]]-Tableau1[[#This Row],[Total Price A facturer]],"")</f>
        <v>0</v>
      </c>
      <c r="DF10" s="353">
        <f>IFERROR(Tableau1[[#This Row],[Total Price A facturer]]-Tableau1[[#This Row],[Total Price Facturé]],"")</f>
        <v>0</v>
      </c>
      <c r="DG10" s="76">
        <f>Tableau1[[#This Row],[Total Item Quantity]]-Tableau1[[#This Row],[Total item réceptionné]]</f>
        <v>0</v>
      </c>
      <c r="DH10" s="167"/>
      <c r="DI10" s="167"/>
    </row>
    <row r="11" spans="1:113" s="74" customFormat="1">
      <c r="A11" s="77" t="str">
        <f>CONCATENATE(Tableau1[[#This Row],[PO Number (Header)]],"-",Tableau1[[#This Row],[Line]])</f>
        <v>D000481022-1</v>
      </c>
      <c r="B11" s="407" t="s">
        <v>876</v>
      </c>
      <c r="C11" s="408" t="s">
        <v>726</v>
      </c>
      <c r="D11" s="409" t="s">
        <v>802</v>
      </c>
      <c r="E11" s="408"/>
      <c r="F11" s="534">
        <v>1</v>
      </c>
      <c r="G11" s="408" t="s">
        <v>898</v>
      </c>
      <c r="H11" s="332">
        <v>3</v>
      </c>
      <c r="I11" s="383">
        <v>8400</v>
      </c>
      <c r="J11" s="410" t="s">
        <v>629</v>
      </c>
      <c r="K11" s="546">
        <v>0</v>
      </c>
      <c r="L11" s="411"/>
      <c r="M11" s="410"/>
      <c r="N11" s="77"/>
      <c r="O11" s="77"/>
      <c r="P11" s="77"/>
      <c r="Q11" s="395" t="s">
        <v>630</v>
      </c>
      <c r="R11" s="395">
        <v>0</v>
      </c>
      <c r="S11" s="77" t="s">
        <v>896</v>
      </c>
      <c r="T11" s="77"/>
      <c r="U11" s="77"/>
      <c r="V11" s="77" t="s">
        <v>893</v>
      </c>
      <c r="W11" s="167"/>
      <c r="X11" s="167" t="s">
        <v>789</v>
      </c>
      <c r="Y11" s="167">
        <f>IF(ISBLANK(Tableau1[[#This Row],[PO Number (Header)]]),"",Tableau1[[#This Row],[Line Total]]/Tableau1[[#This Row],[Total Item Quantity]])</f>
        <v>2800</v>
      </c>
      <c r="Z11" s="167" t="str">
        <f>IF(ISNA(VLOOKUP(Tableau1[[#This Row],[Unique_AIB_ID]],UO_List[Unique_AIB_ID],1,FALSE)),IF(ISBLANK(Tableau1[[#This Row],[PO Number (Header)]]),"","FAUX"),"VRAI")</f>
        <v>VRAI</v>
      </c>
      <c r="AA11" s="167"/>
      <c r="AB11" s="162" t="str">
        <f>VLOOKUP(Tableau1[[#This Row],[Unique_AIB_ID]],UO_List[[Unique_AIB_ID]:[OLGA F6]],3,FALSE)</f>
        <v>3173-12</v>
      </c>
      <c r="AC11" s="162" t="s">
        <v>773</v>
      </c>
      <c r="AD11" s="83">
        <f>SUMPRODUCT(1*(EXACT(CONCATENATE(Tableau1[[#This Row],[PO Number (Header)]],"-",Tableau1[[#This Row],[Line]]),UO_List[Unique_AIB_ID]))*(UO_List[Qté Réception 03/2020]))</f>
        <v>0</v>
      </c>
      <c r="AE11" s="84">
        <v>0</v>
      </c>
      <c r="AF11" s="357"/>
      <c r="AG11" s="351">
        <f>IFERROR(Tableau1[[#This Row],[Qté Facturé 01/2018]]*Tableau1[[#This Row],[Unit Price (calcul)]],"")</f>
        <v>0</v>
      </c>
      <c r="AH11" s="356" t="str">
        <f>IFERROR(IF(Tableau1[[#This Row],[Montant Facturé 01/2018]]&gt;0,Tableau1[[#This Row],[Montant Facturé 01/2018]]/Taux_Change_SII,""),"")</f>
        <v/>
      </c>
      <c r="AI11" s="351"/>
      <c r="AJ11" s="83">
        <f>SUMPRODUCT(1*(EXACT(CONCATENATE(Tableau1[[#This Row],[PO Number (Header)]],"-",Tableau1[[#This Row],[Line]]),UO_List[Unique_AIB_ID]))*(UO_List[Qté Réception 02/2020]))</f>
        <v>0</v>
      </c>
      <c r="AK11" s="83">
        <f>SUMPRODUCT(1*(EXACT(CONCATENATE(Tableau1[[#This Row],[PO Number (Header)]],"-",Tableau1[[#This Row],[Line]]),UO_List[Unique_AIB_ID]))*(UO_List[Qté Réception 02/2020]))</f>
        <v>0</v>
      </c>
      <c r="AL11" s="357"/>
      <c r="AM11" s="351">
        <f>IFERROR(Tableau1[[#This Row],[Qté Facturé 02/2018]]*Tableau1[[#This Row],[Unit Price (calcul)]],"")</f>
        <v>0</v>
      </c>
      <c r="AN11" s="351" t="str">
        <f>IFERROR(IF(Tableau1[[#This Row],[Montant Facturé 02/2018]]&gt;0,Tableau1[[#This Row],[Montant Facturé 02/2018]]/Taux_Change_SII,""),"")</f>
        <v/>
      </c>
      <c r="AO11" s="351"/>
      <c r="AP11" s="83">
        <f>SUMPRODUCT(1*(EXACT(CONCATENATE(Tableau1[[#This Row],[PO Number (Header)]],"-",Tableau1[[#This Row],[Line]]),UO_List[Unique_AIB_ID]))*(UO_List[Qté Réception 00/2020]))</f>
        <v>0</v>
      </c>
      <c r="AQ11" s="84"/>
      <c r="AR11" s="357"/>
      <c r="AS11" s="351">
        <f>IFERROR(Tableau1[[#This Row],[Qté Facturé 03/2018]]*Tableau1[[#This Row],[Unit Price (calcul)]],"")</f>
        <v>0</v>
      </c>
      <c r="AT11" s="358" t="str">
        <f>IFERROR(IF(Tableau1[[#This Row],[Montant Facturé 03/2018]]&gt;0,Tableau1[[#This Row],[Montant Facturé 03/2018]]/Taux_Change_SII,""),"")</f>
        <v/>
      </c>
      <c r="AU11" s="351"/>
      <c r="AV11" s="83">
        <f>SUMPRODUCT(1*(EXACT(CONCATENATE(Tableau1[[#This Row],[PO Number (Header)]],"-",Tableau1[[#This Row],[Line]]),UO_List[Unique_AIB_ID]))*(UO_List[Qté Réception 04/2020]))</f>
        <v>0</v>
      </c>
      <c r="AW11" s="84">
        <v>0</v>
      </c>
      <c r="AX11" s="351"/>
      <c r="AY11" s="351">
        <f>IFERROR(Tableau1[[#This Row],[Qté Facturé 04/2018]]*Tableau1[[#This Row],[Unit Price (calcul)]],"")</f>
        <v>0</v>
      </c>
      <c r="AZ11" s="351" t="str">
        <f>IFERROR(IF(Tableau1[[#This Row],[Montant Facturé 04/2018]]&gt;0,Tableau1[[#This Row],[Montant Facturé 04/2018]]/Taux_Change_SII,""),"")</f>
        <v/>
      </c>
      <c r="BA11" s="351"/>
      <c r="BB11" s="83">
        <f>SUMPRODUCT(1*(EXACT(CONCATENATE(Tableau1[[#This Row],[PO Number (Header)]],"-",Tableau1[[#This Row],[Line]]),UO_List[Unique_AIB_ID]))*(UO_List[Qté Réception 05/2020]))</f>
        <v>0</v>
      </c>
      <c r="BC11" s="84">
        <v>0</v>
      </c>
      <c r="BD11" s="351"/>
      <c r="BE11" s="351">
        <f>IFERROR(Tableau1[[#This Row],[Qté Facturé 05/2018]]*Tableau1[[#This Row],[Unit Price (calcul)]],"")</f>
        <v>0</v>
      </c>
      <c r="BF11" s="351" t="str">
        <f>IFERROR(IF(Tableau1[[#This Row],[Montant Facturé 05/2018]]&gt;0,Tableau1[[#This Row],[Montant Facturé 05/2018]]/Taux_Change_SII,""),"")</f>
        <v/>
      </c>
      <c r="BG11" s="351"/>
      <c r="BH11" s="83">
        <f>SUMPRODUCT(1*(EXACT(CONCATENATE(Tableau1[[#This Row],[PO Number (Header)]],"-",Tableau1[[#This Row],[Line]]),UO_List[Unique_AIB_ID]))*(UO_List[Qté Réception 06/2020]))</f>
        <v>0</v>
      </c>
      <c r="BI11" s="84">
        <v>0</v>
      </c>
      <c r="BJ11" s="351"/>
      <c r="BK11" s="351">
        <f>IFERROR(Tableau1[[#This Row],[Qté Facturé 06/2018]]*Tableau1[[#This Row],[Unit Price (calcul)]],"")</f>
        <v>0</v>
      </c>
      <c r="BL11" s="351" t="str">
        <f>IFERROR(IF(Tableau1[[#This Row],[Montant Facturé 06/2018]]&gt;0,Tableau1[[#This Row],[Montant Facturé 06/2018]]/Taux_Change_SII,""),"")</f>
        <v/>
      </c>
      <c r="BM11" s="351"/>
      <c r="BN11" s="83">
        <f>SUMPRODUCT(1*(EXACT(CONCATENATE(Tableau1[[#This Row],[PO Number (Header)]],"-",Tableau1[[#This Row],[Line]]),UO_List[Unique_AIB_ID]))*(UO_List[Qté Réception 07/2020]))</f>
        <v>0</v>
      </c>
      <c r="BO11" s="84">
        <v>0</v>
      </c>
      <c r="BP11" s="351"/>
      <c r="BQ11" s="351">
        <f>IFERROR(Tableau1[[#This Row],[Qté Facturé 07/2018]]*Tableau1[[#This Row],[Unit Price (calcul)]],"")</f>
        <v>0</v>
      </c>
      <c r="BR11" s="351" t="str">
        <f>IFERROR(IF(Tableau1[[#This Row],[Montant Facturé 07/2018]]&gt;0,Tableau1[[#This Row],[Montant Facturé 07/2018]]/Taux_Change_SII,""),"")</f>
        <v/>
      </c>
      <c r="BS11" s="351"/>
      <c r="BT11" s="83">
        <f>SUMPRODUCT(1*(EXACT(CONCATENATE(Tableau1[[#This Row],[PO Number (Header)]],"-",Tableau1[[#This Row],[Line]]),UO_List[Unique_AIB_ID]))*(UO_List[Qté Réception 08/2020]))</f>
        <v>0</v>
      </c>
      <c r="BU11" s="84"/>
      <c r="BV11" s="351"/>
      <c r="BW11" s="351">
        <f>IFERROR(Tableau1[[#This Row],[Qté Facturé 08/2018]]*Tableau1[[#This Row],[Unit Price (calcul)]],"")</f>
        <v>0</v>
      </c>
      <c r="BX11" s="351" t="str">
        <f>IFERROR(IF(Tableau1[[#This Row],[Montant Facturé 08/2018]]&gt;0,Tableau1[[#This Row],[Montant Facturé 08/2018]]/Taux_Change_SII,""),"")</f>
        <v/>
      </c>
      <c r="BY11" s="351"/>
      <c r="BZ11" s="83">
        <f>SUMPRODUCT(1*(EXACT(CONCATENATE(Tableau1[[#This Row],[PO Number (Header)]],"-",Tableau1[[#This Row],[Line]]),UO_List[Unique_AIB_ID]))*(UO_List[Qté Réception 09/2020]))</f>
        <v>0</v>
      </c>
      <c r="CA11" s="84">
        <v>0</v>
      </c>
      <c r="CB11" s="351"/>
      <c r="CC11" s="351">
        <f>IFERROR(Tableau1[[#This Row],[Qté Facturé 09/2018]]*Tableau1[[#This Row],[Unit Price (calcul)]],"")</f>
        <v>0</v>
      </c>
      <c r="CD11" s="351" t="str">
        <f>IFERROR(IF(Tableau1[[#This Row],[Montant Facturé 09/2018]]&gt;0,Tableau1[[#This Row],[Montant Facturé 09/2018]]/Taux_Change_SII,""),"")</f>
        <v/>
      </c>
      <c r="CE11" s="351"/>
      <c r="CF11" s="83">
        <f>SUMPRODUCT(1*(EXACT(CONCATENATE(Tableau1[[#This Row],[PO Number (Header)]],"-",Tableau1[[#This Row],[Line]]),UO_List[Unique_AIB_ID]))*(UO_List[Qté Réception 10/2020]))</f>
        <v>0</v>
      </c>
      <c r="CG11" s="84">
        <v>0</v>
      </c>
      <c r="CH11" s="351"/>
      <c r="CI11" s="351">
        <f>IFERROR(Tableau1[[#This Row],[Qté Facturé 10/2018]]*Tableau1[[#This Row],[Unit Price (calcul)]],"")</f>
        <v>0</v>
      </c>
      <c r="CJ11" s="351" t="str">
        <f>IFERROR(IF(Tableau1[[#This Row],[Montant Facturé 10/2018]]&gt;0,Tableau1[[#This Row],[Montant Facturé 10/2018]]/Taux_Change_SII,""),"")</f>
        <v/>
      </c>
      <c r="CK11" s="351"/>
      <c r="CL11" s="83">
        <f>SUMPRODUCT(1*(EXACT(CONCATENATE(Tableau1[[#This Row],[PO Number (Header)]],"-",Tableau1[[#This Row],[Line]]),UO_List[Unique_AIB_ID]))*(UO_List[Qté Réception 11/2020]))</f>
        <v>0</v>
      </c>
      <c r="CM11" s="84"/>
      <c r="CN11" s="351"/>
      <c r="CO11" s="351">
        <f>IFERROR(Tableau1[[#This Row],[Qté Facturé 11/2018]]*Tableau1[[#This Row],[Unit Price (calcul)]],"")</f>
        <v>0</v>
      </c>
      <c r="CP11" s="351" t="str">
        <f>IFERROR(IF(Tableau1[[#This Row],[Montant Facturé 11/2018]]&gt;0,Tableau1[[#This Row],[Montant Facturé 11/2018]]/Taux_Change_SII,""),"")</f>
        <v/>
      </c>
      <c r="CQ11" s="351"/>
      <c r="CR11" s="83">
        <f>SUMPRODUCT(1*(EXACT(CONCATENATE(Tableau1[[#This Row],[PO Number (Header)]],"-",Tableau1[[#This Row],[Line]]),UO_List[Unique_AIB_ID]))*(UO_List[Qté Réception 12/2020]))</f>
        <v>0</v>
      </c>
      <c r="CS11" s="84"/>
      <c r="CT11" s="351"/>
      <c r="CU11" s="351">
        <f>IFERROR(Tableau1[[#This Row],[Qté Facturé 12/2018]]*Tableau1[[#This Row],[Unit Price (calcul)]],"")</f>
        <v>0</v>
      </c>
      <c r="CV11" s="351" t="str">
        <f>IFERROR(IF(Tableau1[[#This Row],[Montant Facturé 12/2018]]&gt;0,Tableau1[[#This Row],[Montant Facturé 12/2018]]/Taux_Change_SII,""),"")</f>
        <v/>
      </c>
      <c r="CW11" s="351"/>
      <c r="CX1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" s="352">
        <f>IFERROR(Tableau1[[#This Row],[Total item réceptionné]]*Tableau1[[#This Row],[Unit Price (calcul)]],"")</f>
        <v>0</v>
      </c>
      <c r="DB11" s="352">
        <f>IFERROR(Tableau1[[#This Row],[Total item à Facturer]]*Tableau1[[#This Row],[Unit Price (calcul)]],"")</f>
        <v>0</v>
      </c>
      <c r="DC11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11" s="352">
        <f>IFERROR(Tableau1[[#This Row],[Line Total]]-Tableau1[[#This Row],[Total Price Réceptionné]],"")</f>
        <v>8400</v>
      </c>
      <c r="DE11" s="352">
        <f>IFERROR(Tableau1[[#This Row],[Total Price Réceptionné]]-Tableau1[[#This Row],[Total Price A facturer]],"")</f>
        <v>0</v>
      </c>
      <c r="DF11" s="353">
        <f>IFERROR(Tableau1[[#This Row],[Total Price A facturer]]-Tableau1[[#This Row],[Total Price Facturé]],"")</f>
        <v>0</v>
      </c>
      <c r="DG11" s="76">
        <f>Tableau1[[#This Row],[Total Item Quantity]]-Tableau1[[#This Row],[Total item réceptionné]]</f>
        <v>3</v>
      </c>
      <c r="DH11" s="167"/>
      <c r="DI11" s="167"/>
    </row>
    <row r="12" spans="1:113" s="74" customFormat="1">
      <c r="A12" s="77" t="str">
        <f>CONCATENATE(Tableau1[[#This Row],[PO Number (Header)]],"-",Tableau1[[#This Row],[Line]])</f>
        <v>D000481022-2</v>
      </c>
      <c r="B12" s="394" t="s">
        <v>876</v>
      </c>
      <c r="C12" s="493" t="s">
        <v>726</v>
      </c>
      <c r="D12" s="397" t="s">
        <v>802</v>
      </c>
      <c r="E12" s="493"/>
      <c r="F12" s="175">
        <v>2</v>
      </c>
      <c r="G12" s="493" t="s">
        <v>897</v>
      </c>
      <c r="H12" s="332">
        <v>1</v>
      </c>
      <c r="I12" s="383">
        <v>580</v>
      </c>
      <c r="J12" s="493" t="s">
        <v>629</v>
      </c>
      <c r="K12" s="175">
        <v>0</v>
      </c>
      <c r="L12" s="493"/>
      <c r="M12" s="493"/>
      <c r="N12" s="77"/>
      <c r="O12" s="77"/>
      <c r="P12" s="77"/>
      <c r="Q12" s="395" t="s">
        <v>630</v>
      </c>
      <c r="R12" s="395">
        <v>0</v>
      </c>
      <c r="S12" s="77" t="s">
        <v>896</v>
      </c>
      <c r="T12" s="77"/>
      <c r="U12" s="77"/>
      <c r="V12" s="77" t="s">
        <v>893</v>
      </c>
      <c r="W12" s="167"/>
      <c r="X12" s="167" t="s">
        <v>789</v>
      </c>
      <c r="Y12" s="167">
        <f>IF(ISBLANK(Tableau1[[#This Row],[PO Number (Header)]]),"",Tableau1[[#This Row],[Line Total]]/Tableau1[[#This Row],[Total Item Quantity]])</f>
        <v>580</v>
      </c>
      <c r="Z12" s="167" t="str">
        <f>IF(ISNA(VLOOKUP(Tableau1[[#This Row],[Unique_AIB_ID]],UO_List[Unique_AIB_ID],1,FALSE)),IF(ISBLANK(Tableau1[[#This Row],[PO Number (Header)]]),"","FAUX"),"VRAI")</f>
        <v>VRAI</v>
      </c>
      <c r="AA12" s="167" t="s">
        <v>634</v>
      </c>
      <c r="AB12" s="162" t="str">
        <f>VLOOKUP(Tableau1[[#This Row],[Unique_AIB_ID]],UO_List[[Unique_AIB_ID]:[OLGA F6]],3,FALSE)</f>
        <v>3173-12</v>
      </c>
      <c r="AC12" s="162" t="s">
        <v>989</v>
      </c>
      <c r="AD12" s="83">
        <f>SUMPRODUCT(1*(EXACT(CONCATENATE(Tableau1[[#This Row],[PO Number (Header)]],"-",Tableau1[[#This Row],[Line]]),UO_List[Unique_AIB_ID]))*(UO_List[Qté Réception 03/2020]))</f>
        <v>1</v>
      </c>
      <c r="AE12" s="84">
        <v>1</v>
      </c>
      <c r="AF12" s="84">
        <v>1</v>
      </c>
      <c r="AG12" s="351">
        <f>IFERROR(Tableau1[[#This Row],[Qté Facturé 01/2018]]*Tableau1[[#This Row],[Unit Price (calcul)]],"")</f>
        <v>580</v>
      </c>
      <c r="AH12" s="356">
        <f>IFERROR(IF(Tableau1[[#This Row],[Montant Facturé 01/2018]]&gt;0,Tableau1[[#This Row],[Montant Facturé 01/2018]]/Taux_Change_SII,""),"")</f>
        <v>429.62962962962962</v>
      </c>
      <c r="AI12" s="351"/>
      <c r="AJ12" s="83">
        <f>SUMPRODUCT(1*(EXACT(CONCATENATE(Tableau1[[#This Row],[PO Number (Header)]],"-",Tableau1[[#This Row],[Line]]),UO_List[Unique_AIB_ID]))*(UO_List[Qté Réception 02/2020]))</f>
        <v>0</v>
      </c>
      <c r="AK12" s="83">
        <f>SUMPRODUCT(1*(EXACT(CONCATENATE(Tableau1[[#This Row],[PO Number (Header)]],"-",Tableau1[[#This Row],[Line]]),UO_List[Unique_AIB_ID]))*(UO_List[Qté Réception 02/2020]))</f>
        <v>0</v>
      </c>
      <c r="AL12" s="357"/>
      <c r="AM12" s="351">
        <f>IFERROR(Tableau1[[#This Row],[Qté Facturé 02/2018]]*Tableau1[[#This Row],[Unit Price (calcul)]],"")</f>
        <v>0</v>
      </c>
      <c r="AN12" s="351" t="str">
        <f>IFERROR(IF(Tableau1[[#This Row],[Montant Facturé 02/2018]]&gt;0,Tableau1[[#This Row],[Montant Facturé 02/2018]]/Taux_Change_SII,""),"")</f>
        <v/>
      </c>
      <c r="AO12" s="351"/>
      <c r="AP12" s="83">
        <f>SUMPRODUCT(1*(EXACT(CONCATENATE(Tableau1[[#This Row],[PO Number (Header)]],"-",Tableau1[[#This Row],[Line]]),UO_List[Unique_AIB_ID]))*(UO_List[Qté Réception 00/2020]))</f>
        <v>0</v>
      </c>
      <c r="AQ12" s="84"/>
      <c r="AR12" s="357"/>
      <c r="AS12" s="351">
        <f>IFERROR(Tableau1[[#This Row],[Qté Facturé 03/2018]]*Tableau1[[#This Row],[Unit Price (calcul)]],"")</f>
        <v>0</v>
      </c>
      <c r="AT12" s="358" t="str">
        <f>IFERROR(IF(Tableau1[[#This Row],[Montant Facturé 03/2018]]&gt;0,Tableau1[[#This Row],[Montant Facturé 03/2018]]/Taux_Change_SII,""),"")</f>
        <v/>
      </c>
      <c r="AU12" s="351"/>
      <c r="AV12" s="83">
        <f>SUMPRODUCT(1*(EXACT(CONCATENATE(Tableau1[[#This Row],[PO Number (Header)]],"-",Tableau1[[#This Row],[Line]]),UO_List[Unique_AIB_ID]))*(UO_List[Qté Réception 04/2020]))</f>
        <v>0</v>
      </c>
      <c r="AW12" s="84">
        <v>0</v>
      </c>
      <c r="AX12" s="351"/>
      <c r="AY12" s="351">
        <f>IFERROR(Tableau1[[#This Row],[Qté Facturé 04/2018]]*Tableau1[[#This Row],[Unit Price (calcul)]],"")</f>
        <v>0</v>
      </c>
      <c r="AZ12" s="351" t="str">
        <f>IFERROR(IF(Tableau1[[#This Row],[Montant Facturé 04/2018]]&gt;0,Tableau1[[#This Row],[Montant Facturé 04/2018]]/Taux_Change_SII,""),"")</f>
        <v/>
      </c>
      <c r="BA12" s="351"/>
      <c r="BB12" s="83">
        <f>SUMPRODUCT(1*(EXACT(CONCATENATE(Tableau1[[#This Row],[PO Number (Header)]],"-",Tableau1[[#This Row],[Line]]),UO_List[Unique_AIB_ID]))*(UO_List[Qté Réception 05/2020]))</f>
        <v>0</v>
      </c>
      <c r="BC12" s="84">
        <v>0</v>
      </c>
      <c r="BD12" s="351"/>
      <c r="BE12" s="351">
        <f>IFERROR(Tableau1[[#This Row],[Qté Facturé 05/2018]]*Tableau1[[#This Row],[Unit Price (calcul)]],"")</f>
        <v>0</v>
      </c>
      <c r="BF12" s="351" t="str">
        <f>IFERROR(IF(Tableau1[[#This Row],[Montant Facturé 05/2018]]&gt;0,Tableau1[[#This Row],[Montant Facturé 05/2018]]/Taux_Change_SII,""),"")</f>
        <v/>
      </c>
      <c r="BG12" s="351"/>
      <c r="BH12" s="83">
        <f>SUMPRODUCT(1*(EXACT(CONCATENATE(Tableau1[[#This Row],[PO Number (Header)]],"-",Tableau1[[#This Row],[Line]]),UO_List[Unique_AIB_ID]))*(UO_List[Qté Réception 06/2020]))</f>
        <v>0</v>
      </c>
      <c r="BI12" s="84">
        <v>0</v>
      </c>
      <c r="BJ12" s="351"/>
      <c r="BK12" s="351">
        <f>IFERROR(Tableau1[[#This Row],[Qté Facturé 06/2018]]*Tableau1[[#This Row],[Unit Price (calcul)]],"")</f>
        <v>0</v>
      </c>
      <c r="BL12" s="351" t="str">
        <f>IFERROR(IF(Tableau1[[#This Row],[Montant Facturé 06/2018]]&gt;0,Tableau1[[#This Row],[Montant Facturé 06/2018]]/Taux_Change_SII,""),"")</f>
        <v/>
      </c>
      <c r="BM12" s="351"/>
      <c r="BN12" s="83">
        <f>SUMPRODUCT(1*(EXACT(CONCATENATE(Tableau1[[#This Row],[PO Number (Header)]],"-",Tableau1[[#This Row],[Line]]),UO_List[Unique_AIB_ID]))*(UO_List[Qté Réception 07/2020]))</f>
        <v>0</v>
      </c>
      <c r="BO12" s="84">
        <v>0</v>
      </c>
      <c r="BP12" s="351"/>
      <c r="BQ12" s="351">
        <f>IFERROR(Tableau1[[#This Row],[Qté Facturé 07/2018]]*Tableau1[[#This Row],[Unit Price (calcul)]],"")</f>
        <v>0</v>
      </c>
      <c r="BR12" s="351" t="str">
        <f>IFERROR(IF(Tableau1[[#This Row],[Montant Facturé 07/2018]]&gt;0,Tableau1[[#This Row],[Montant Facturé 07/2018]]/Taux_Change_SII,""),"")</f>
        <v/>
      </c>
      <c r="BS12" s="351"/>
      <c r="BT12" s="83">
        <f>SUMPRODUCT(1*(EXACT(CONCATENATE(Tableau1[[#This Row],[PO Number (Header)]],"-",Tableau1[[#This Row],[Line]]),UO_List[Unique_AIB_ID]))*(UO_List[Qté Réception 08/2020]))</f>
        <v>0</v>
      </c>
      <c r="BU12" s="84"/>
      <c r="BV12" s="351"/>
      <c r="BW12" s="351">
        <f>IFERROR(Tableau1[[#This Row],[Qté Facturé 08/2018]]*Tableau1[[#This Row],[Unit Price (calcul)]],"")</f>
        <v>0</v>
      </c>
      <c r="BX12" s="351" t="str">
        <f>IFERROR(IF(Tableau1[[#This Row],[Montant Facturé 08/2018]]&gt;0,Tableau1[[#This Row],[Montant Facturé 08/2018]]/Taux_Change_SII,""),"")</f>
        <v/>
      </c>
      <c r="BY12" s="351"/>
      <c r="BZ12" s="83">
        <f>SUMPRODUCT(1*(EXACT(CONCATENATE(Tableau1[[#This Row],[PO Number (Header)]],"-",Tableau1[[#This Row],[Line]]),UO_List[Unique_AIB_ID]))*(UO_List[Qté Réception 09/2020]))</f>
        <v>0</v>
      </c>
      <c r="CA12" s="84">
        <v>0</v>
      </c>
      <c r="CB12" s="351"/>
      <c r="CC12" s="351">
        <f>IFERROR(Tableau1[[#This Row],[Qté Facturé 09/2018]]*Tableau1[[#This Row],[Unit Price (calcul)]],"")</f>
        <v>0</v>
      </c>
      <c r="CD12" s="351" t="str">
        <f>IFERROR(IF(Tableau1[[#This Row],[Montant Facturé 09/2018]]&gt;0,Tableau1[[#This Row],[Montant Facturé 09/2018]]/Taux_Change_SII,""),"")</f>
        <v/>
      </c>
      <c r="CE12" s="351"/>
      <c r="CF12" s="83">
        <f>SUMPRODUCT(1*(EXACT(CONCATENATE(Tableau1[[#This Row],[PO Number (Header)]],"-",Tableau1[[#This Row],[Line]]),UO_List[Unique_AIB_ID]))*(UO_List[Qté Réception 10/2020]))</f>
        <v>0</v>
      </c>
      <c r="CG12" s="84">
        <v>0</v>
      </c>
      <c r="CH12" s="351"/>
      <c r="CI12" s="351">
        <f>IFERROR(Tableau1[[#This Row],[Qté Facturé 10/2018]]*Tableau1[[#This Row],[Unit Price (calcul)]],"")</f>
        <v>0</v>
      </c>
      <c r="CJ12" s="351" t="str">
        <f>IFERROR(IF(Tableau1[[#This Row],[Montant Facturé 10/2018]]&gt;0,Tableau1[[#This Row],[Montant Facturé 10/2018]]/Taux_Change_SII,""),"")</f>
        <v/>
      </c>
      <c r="CK12" s="351"/>
      <c r="CL12" s="83">
        <f>SUMPRODUCT(1*(EXACT(CONCATENATE(Tableau1[[#This Row],[PO Number (Header)]],"-",Tableau1[[#This Row],[Line]]),UO_List[Unique_AIB_ID]))*(UO_List[Qté Réception 11/2020]))</f>
        <v>0</v>
      </c>
      <c r="CM12" s="84"/>
      <c r="CN12" s="351"/>
      <c r="CO12" s="351">
        <f>IFERROR(Tableau1[[#This Row],[Qté Facturé 11/2018]]*Tableau1[[#This Row],[Unit Price (calcul)]],"")</f>
        <v>0</v>
      </c>
      <c r="CP12" s="351" t="str">
        <f>IFERROR(IF(Tableau1[[#This Row],[Montant Facturé 11/2018]]&gt;0,Tableau1[[#This Row],[Montant Facturé 11/2018]]/Taux_Change_SII,""),"")</f>
        <v/>
      </c>
      <c r="CQ12" s="351"/>
      <c r="CR12" s="83">
        <f>SUMPRODUCT(1*(EXACT(CONCATENATE(Tableau1[[#This Row],[PO Number (Header)]],"-",Tableau1[[#This Row],[Line]]),UO_List[Unique_AIB_ID]))*(UO_List[Qté Réception 12/2020]))</f>
        <v>0</v>
      </c>
      <c r="CS12" s="84"/>
      <c r="CT12" s="351"/>
      <c r="CU12" s="351">
        <f>IFERROR(Tableau1[[#This Row],[Qté Facturé 12/2018]]*Tableau1[[#This Row],[Unit Price (calcul)]],"")</f>
        <v>0</v>
      </c>
      <c r="CV12" s="351" t="str">
        <f>IFERROR(IF(Tableau1[[#This Row],[Montant Facturé 12/2018]]&gt;0,Tableau1[[#This Row],[Montant Facturé 12/2018]]/Taux_Change_SII,""),"")</f>
        <v/>
      </c>
      <c r="CW12" s="351"/>
      <c r="CX1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1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1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12" s="352">
        <f>IFERROR(Tableau1[[#This Row],[Total item réceptionné]]*Tableau1[[#This Row],[Unit Price (calcul)]],"")</f>
        <v>580</v>
      </c>
      <c r="DB12" s="352">
        <f>IFERROR(Tableau1[[#This Row],[Total item à Facturer]]*Tableau1[[#This Row],[Unit Price (calcul)]],"")</f>
        <v>580</v>
      </c>
      <c r="DC12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580</v>
      </c>
      <c r="DD12" s="352">
        <f>IFERROR(Tableau1[[#This Row],[Line Total]]-Tableau1[[#This Row],[Total Price Réceptionné]],"")</f>
        <v>0</v>
      </c>
      <c r="DE12" s="352">
        <f>IFERROR(Tableau1[[#This Row],[Total Price Réceptionné]]-Tableau1[[#This Row],[Total Price A facturer]],"")</f>
        <v>0</v>
      </c>
      <c r="DF12" s="353">
        <f>IFERROR(Tableau1[[#This Row],[Total Price A facturer]]-Tableau1[[#This Row],[Total Price Facturé]],"")</f>
        <v>0</v>
      </c>
      <c r="DG12" s="76">
        <f>Tableau1[[#This Row],[Total Item Quantity]]-Tableau1[[#This Row],[Total item réceptionné]]</f>
        <v>0</v>
      </c>
      <c r="DH12" s="167"/>
      <c r="DI12" s="167"/>
    </row>
    <row r="13" spans="1:113" s="74" customFormat="1">
      <c r="A13" s="77" t="str">
        <f>CONCATENATE(Tableau1[[#This Row],[PO Number (Header)]],"-",Tableau1[[#This Row],[Line]])</f>
        <v>D000481023-1</v>
      </c>
      <c r="B13" s="407" t="s">
        <v>877</v>
      </c>
      <c r="C13" s="412" t="s">
        <v>726</v>
      </c>
      <c r="D13" s="413" t="s">
        <v>802</v>
      </c>
      <c r="E13" s="412"/>
      <c r="F13" s="535">
        <v>1</v>
      </c>
      <c r="G13" s="412" t="s">
        <v>899</v>
      </c>
      <c r="H13" s="332">
        <v>31</v>
      </c>
      <c r="I13" s="383">
        <v>86800</v>
      </c>
      <c r="J13" s="414" t="s">
        <v>629</v>
      </c>
      <c r="K13" s="547">
        <v>0</v>
      </c>
      <c r="L13" s="415"/>
      <c r="M13" s="414"/>
      <c r="N13" s="77"/>
      <c r="O13" s="77"/>
      <c r="P13" s="77"/>
      <c r="Q13" s="395" t="s">
        <v>630</v>
      </c>
      <c r="R13" s="395">
        <v>0</v>
      </c>
      <c r="S13" s="77" t="s">
        <v>896</v>
      </c>
      <c r="T13" s="77"/>
      <c r="U13" s="77"/>
      <c r="V13" s="77" t="s">
        <v>893</v>
      </c>
      <c r="W13" s="167"/>
      <c r="X13" s="167" t="s">
        <v>789</v>
      </c>
      <c r="Y13" s="167">
        <f>IF(ISBLANK(Tableau1[[#This Row],[PO Number (Header)]]),"",Tableau1[[#This Row],[Line Total]]/Tableau1[[#This Row],[Total Item Quantity]])</f>
        <v>2800</v>
      </c>
      <c r="Z13" s="167" t="str">
        <f>IF(ISNA(VLOOKUP(Tableau1[[#This Row],[Unique_AIB_ID]],UO_List[Unique_AIB_ID],1,FALSE)),IF(ISBLANK(Tableau1[[#This Row],[PO Number (Header)]]),"","FAUX"),"VRAI")</f>
        <v>VRAI</v>
      </c>
      <c r="AA13" s="167" t="s">
        <v>634</v>
      </c>
      <c r="AB13" s="162" t="str">
        <f>VLOOKUP(Tableau1[[#This Row],[Unique_AIB_ID]],UO_List[[Unique_AIB_ID]:[OLGA F6]],3,FALSE)</f>
        <v>3173-12</v>
      </c>
      <c r="AC13" s="162" t="s">
        <v>990</v>
      </c>
      <c r="AD13" s="83">
        <f>SUMPRODUCT(1*(EXACT(CONCATENATE(Tableau1[[#This Row],[PO Number (Header)]],"-",Tableau1[[#This Row],[Line]]),UO_List[Unique_AIB_ID]))*(UO_List[Qté Réception 03/2020]))</f>
        <v>4</v>
      </c>
      <c r="AE13" s="84">
        <v>4</v>
      </c>
      <c r="AF13" s="84">
        <v>4</v>
      </c>
      <c r="AG13" s="351">
        <f>IFERROR(Tableau1[[#This Row],[Qté Facturé 01/2018]]*Tableau1[[#This Row],[Unit Price (calcul)]],"")</f>
        <v>11200</v>
      </c>
      <c r="AH13" s="356">
        <f>IFERROR(IF(Tableau1[[#This Row],[Montant Facturé 01/2018]]&gt;0,Tableau1[[#This Row],[Montant Facturé 01/2018]]/Taux_Change_SII,""),"")</f>
        <v>8296.2962962962956</v>
      </c>
      <c r="AI13" s="351"/>
      <c r="AJ13" s="83">
        <f>SUMPRODUCT(1*(EXACT(CONCATENATE(Tableau1[[#This Row],[PO Number (Header)]],"-",Tableau1[[#This Row],[Line]]),UO_List[Unique_AIB_ID]))*(UO_List[Qté Réception 02/2020]))</f>
        <v>0</v>
      </c>
      <c r="AK13" s="83">
        <f>SUMPRODUCT(1*(EXACT(CONCATENATE(Tableau1[[#This Row],[PO Number (Header)]],"-",Tableau1[[#This Row],[Line]]),UO_List[Unique_AIB_ID]))*(UO_List[Qté Réception 02/2020]))</f>
        <v>0</v>
      </c>
      <c r="AL13" s="357"/>
      <c r="AM13" s="351">
        <f>IFERROR(Tableau1[[#This Row],[Qté Facturé 02/2018]]*Tableau1[[#This Row],[Unit Price (calcul)]],"")</f>
        <v>0</v>
      </c>
      <c r="AN13" s="351" t="str">
        <f>IFERROR(IF(Tableau1[[#This Row],[Montant Facturé 02/2018]]&gt;0,Tableau1[[#This Row],[Montant Facturé 02/2018]]/Taux_Change_SII,""),"")</f>
        <v/>
      </c>
      <c r="AO13" s="351"/>
      <c r="AP13" s="83">
        <f>SUMPRODUCT(1*(EXACT(CONCATENATE(Tableau1[[#This Row],[PO Number (Header)]],"-",Tableau1[[#This Row],[Line]]),UO_List[Unique_AIB_ID]))*(UO_List[Qté Réception 00/2020]))</f>
        <v>0</v>
      </c>
      <c r="AQ13" s="84"/>
      <c r="AR13" s="357"/>
      <c r="AS13" s="351">
        <f>IFERROR(Tableau1[[#This Row],[Qté Facturé 03/2018]]*Tableau1[[#This Row],[Unit Price (calcul)]],"")</f>
        <v>0</v>
      </c>
      <c r="AT13" s="358" t="str">
        <f>IFERROR(IF(Tableau1[[#This Row],[Montant Facturé 03/2018]]&gt;0,Tableau1[[#This Row],[Montant Facturé 03/2018]]/Taux_Change_SII,""),"")</f>
        <v/>
      </c>
      <c r="AU13" s="351"/>
      <c r="AV13" s="83">
        <f>SUMPRODUCT(1*(EXACT(CONCATENATE(Tableau1[[#This Row],[PO Number (Header)]],"-",Tableau1[[#This Row],[Line]]),UO_List[Unique_AIB_ID]))*(UO_List[Qté Réception 04/2020]))</f>
        <v>0</v>
      </c>
      <c r="AW13" s="84">
        <v>0</v>
      </c>
      <c r="AX13" s="351"/>
      <c r="AY13" s="351">
        <f>IFERROR(Tableau1[[#This Row],[Qté Facturé 04/2018]]*Tableau1[[#This Row],[Unit Price (calcul)]],"")</f>
        <v>0</v>
      </c>
      <c r="AZ13" s="351" t="str">
        <f>IFERROR(IF(Tableau1[[#This Row],[Montant Facturé 04/2018]]&gt;0,Tableau1[[#This Row],[Montant Facturé 04/2018]]/Taux_Change_SII,""),"")</f>
        <v/>
      </c>
      <c r="BA13" s="351"/>
      <c r="BB13" s="83">
        <f>SUMPRODUCT(1*(EXACT(CONCATENATE(Tableau1[[#This Row],[PO Number (Header)]],"-",Tableau1[[#This Row],[Line]]),UO_List[Unique_AIB_ID]))*(UO_List[Qté Réception 05/2020]))</f>
        <v>0</v>
      </c>
      <c r="BC13" s="84">
        <v>0</v>
      </c>
      <c r="BD13" s="351"/>
      <c r="BE13" s="351">
        <f>IFERROR(Tableau1[[#This Row],[Qté Facturé 05/2018]]*Tableau1[[#This Row],[Unit Price (calcul)]],"")</f>
        <v>0</v>
      </c>
      <c r="BF13" s="351" t="str">
        <f>IFERROR(IF(Tableau1[[#This Row],[Montant Facturé 05/2018]]&gt;0,Tableau1[[#This Row],[Montant Facturé 05/2018]]/Taux_Change_SII,""),"")</f>
        <v/>
      </c>
      <c r="BG13" s="351"/>
      <c r="BH13" s="83">
        <f>SUMPRODUCT(1*(EXACT(CONCATENATE(Tableau1[[#This Row],[PO Number (Header)]],"-",Tableau1[[#This Row],[Line]]),UO_List[Unique_AIB_ID]))*(UO_List[Qté Réception 06/2020]))</f>
        <v>0</v>
      </c>
      <c r="BI13" s="84">
        <v>0</v>
      </c>
      <c r="BJ13" s="351"/>
      <c r="BK13" s="351">
        <f>IFERROR(Tableau1[[#This Row],[Qté Facturé 06/2018]]*Tableau1[[#This Row],[Unit Price (calcul)]],"")</f>
        <v>0</v>
      </c>
      <c r="BL13" s="351" t="str">
        <f>IFERROR(IF(Tableau1[[#This Row],[Montant Facturé 06/2018]]&gt;0,Tableau1[[#This Row],[Montant Facturé 06/2018]]/Taux_Change_SII,""),"")</f>
        <v/>
      </c>
      <c r="BM13" s="351"/>
      <c r="BN13" s="83">
        <f>SUMPRODUCT(1*(EXACT(CONCATENATE(Tableau1[[#This Row],[PO Number (Header)]],"-",Tableau1[[#This Row],[Line]]),UO_List[Unique_AIB_ID]))*(UO_List[Qté Réception 07/2020]))</f>
        <v>1</v>
      </c>
      <c r="BO13" s="84">
        <v>0</v>
      </c>
      <c r="BP13" s="351"/>
      <c r="BQ13" s="351">
        <f>IFERROR(Tableau1[[#This Row],[Qté Facturé 07/2018]]*Tableau1[[#This Row],[Unit Price (calcul)]],"")</f>
        <v>0</v>
      </c>
      <c r="BR13" s="351" t="str">
        <f>IFERROR(IF(Tableau1[[#This Row],[Montant Facturé 07/2018]]&gt;0,Tableau1[[#This Row],[Montant Facturé 07/2018]]/Taux_Change_SII,""),"")</f>
        <v/>
      </c>
      <c r="BS13" s="351"/>
      <c r="BT13" s="83">
        <f>SUMPRODUCT(1*(EXACT(CONCATENATE(Tableau1[[#This Row],[PO Number (Header)]],"-",Tableau1[[#This Row],[Line]]),UO_List[Unique_AIB_ID]))*(UO_List[Qté Réception 08/2020]))</f>
        <v>4</v>
      </c>
      <c r="BU13" s="84"/>
      <c r="BV13" s="351"/>
      <c r="BW13" s="351">
        <f>IFERROR(Tableau1[[#This Row],[Qté Facturé 08/2018]]*Tableau1[[#This Row],[Unit Price (calcul)]],"")</f>
        <v>0</v>
      </c>
      <c r="BX13" s="351" t="str">
        <f>IFERROR(IF(Tableau1[[#This Row],[Montant Facturé 08/2018]]&gt;0,Tableau1[[#This Row],[Montant Facturé 08/2018]]/Taux_Change_SII,""),"")</f>
        <v/>
      </c>
      <c r="BY13" s="351"/>
      <c r="BZ13" s="83">
        <f>SUMPRODUCT(1*(EXACT(CONCATENATE(Tableau1[[#This Row],[PO Number (Header)]],"-",Tableau1[[#This Row],[Line]]),UO_List[Unique_AIB_ID]))*(UO_List[Qté Réception 09/2020]))</f>
        <v>0</v>
      </c>
      <c r="CA13" s="84">
        <v>0</v>
      </c>
      <c r="CB13" s="351"/>
      <c r="CC13" s="351">
        <f>IFERROR(Tableau1[[#This Row],[Qté Facturé 09/2018]]*Tableau1[[#This Row],[Unit Price (calcul)]],"")</f>
        <v>0</v>
      </c>
      <c r="CD13" s="351" t="str">
        <f>IFERROR(IF(Tableau1[[#This Row],[Montant Facturé 09/2018]]&gt;0,Tableau1[[#This Row],[Montant Facturé 09/2018]]/Taux_Change_SII,""),"")</f>
        <v/>
      </c>
      <c r="CE13" s="351"/>
      <c r="CF13" s="83">
        <f>SUMPRODUCT(1*(EXACT(CONCATENATE(Tableau1[[#This Row],[PO Number (Header)]],"-",Tableau1[[#This Row],[Line]]),UO_List[Unique_AIB_ID]))*(UO_List[Qté Réception 10/2020]))</f>
        <v>0</v>
      </c>
      <c r="CG13" s="84">
        <v>0</v>
      </c>
      <c r="CH13" s="351"/>
      <c r="CI13" s="351">
        <f>IFERROR(Tableau1[[#This Row],[Qté Facturé 10/2018]]*Tableau1[[#This Row],[Unit Price (calcul)]],"")</f>
        <v>0</v>
      </c>
      <c r="CJ13" s="351" t="str">
        <f>IFERROR(IF(Tableau1[[#This Row],[Montant Facturé 10/2018]]&gt;0,Tableau1[[#This Row],[Montant Facturé 10/2018]]/Taux_Change_SII,""),"")</f>
        <v/>
      </c>
      <c r="CK13" s="351"/>
      <c r="CL13" s="83">
        <f>SUMPRODUCT(1*(EXACT(CONCATENATE(Tableau1[[#This Row],[PO Number (Header)]],"-",Tableau1[[#This Row],[Line]]),UO_List[Unique_AIB_ID]))*(UO_List[Qté Réception 11/2020]))</f>
        <v>0</v>
      </c>
      <c r="CM13" s="84"/>
      <c r="CN13" s="351"/>
      <c r="CO13" s="351">
        <f>IFERROR(Tableau1[[#This Row],[Qté Facturé 11/2018]]*Tableau1[[#This Row],[Unit Price (calcul)]],"")</f>
        <v>0</v>
      </c>
      <c r="CP13" s="351" t="str">
        <f>IFERROR(IF(Tableau1[[#This Row],[Montant Facturé 11/2018]]&gt;0,Tableau1[[#This Row],[Montant Facturé 11/2018]]/Taux_Change_SII,""),"")</f>
        <v/>
      </c>
      <c r="CQ13" s="351"/>
      <c r="CR13" s="83">
        <f>SUMPRODUCT(1*(EXACT(CONCATENATE(Tableau1[[#This Row],[PO Number (Header)]],"-",Tableau1[[#This Row],[Line]]),UO_List[Unique_AIB_ID]))*(UO_List[Qté Réception 12/2020]))</f>
        <v>0</v>
      </c>
      <c r="CS13" s="84"/>
      <c r="CT13" s="351"/>
      <c r="CU13" s="351">
        <f>IFERROR(Tableau1[[#This Row],[Qté Facturé 12/2018]]*Tableau1[[#This Row],[Unit Price (calcul)]],"")</f>
        <v>0</v>
      </c>
      <c r="CV13" s="351" t="str">
        <f>IFERROR(IF(Tableau1[[#This Row],[Montant Facturé 12/2018]]&gt;0,Tableau1[[#This Row],[Montant Facturé 12/2018]]/Taux_Change_SII,""),"")</f>
        <v/>
      </c>
      <c r="CW13" s="351"/>
      <c r="CX1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9</v>
      </c>
      <c r="CY1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4</v>
      </c>
      <c r="CZ1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4</v>
      </c>
      <c r="DA13" s="352">
        <f>IFERROR(Tableau1[[#This Row],[Total item réceptionné]]*Tableau1[[#This Row],[Unit Price (calcul)]],"")</f>
        <v>25200</v>
      </c>
      <c r="DB13" s="352">
        <f>IFERROR(Tableau1[[#This Row],[Total item à Facturer]]*Tableau1[[#This Row],[Unit Price (calcul)]],"")</f>
        <v>11200</v>
      </c>
      <c r="DC13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11200</v>
      </c>
      <c r="DD13" s="352">
        <f>IFERROR(Tableau1[[#This Row],[Line Total]]-Tableau1[[#This Row],[Total Price Réceptionné]],"")</f>
        <v>61600</v>
      </c>
      <c r="DE13" s="352">
        <f>IFERROR(Tableau1[[#This Row],[Total Price Réceptionné]]-Tableau1[[#This Row],[Total Price A facturer]],"")</f>
        <v>14000</v>
      </c>
      <c r="DF13" s="353">
        <f>IFERROR(Tableau1[[#This Row],[Total Price A facturer]]-Tableau1[[#This Row],[Total Price Facturé]],"")</f>
        <v>0</v>
      </c>
      <c r="DG13" s="76">
        <f>Tableau1[[#This Row],[Total Item Quantity]]-Tableau1[[#This Row],[Total item réceptionné]]</f>
        <v>22</v>
      </c>
      <c r="DH13" s="167"/>
      <c r="DI13" s="167"/>
    </row>
    <row r="14" spans="1:113" s="74" customFormat="1">
      <c r="A14" s="77" t="str">
        <f>CONCATENATE(Tableau1[[#This Row],[PO Number (Header)]],"-",Tableau1[[#This Row],[Line]])</f>
        <v>D000481023-2</v>
      </c>
      <c r="B14" s="394" t="s">
        <v>877</v>
      </c>
      <c r="C14" s="493" t="s">
        <v>726</v>
      </c>
      <c r="D14" s="397" t="s">
        <v>802</v>
      </c>
      <c r="E14" s="493"/>
      <c r="F14" s="175">
        <v>2</v>
      </c>
      <c r="G14" s="493" t="s">
        <v>900</v>
      </c>
      <c r="H14" s="332">
        <v>3</v>
      </c>
      <c r="I14" s="383">
        <v>1740</v>
      </c>
      <c r="J14" s="493" t="s">
        <v>629</v>
      </c>
      <c r="K14" s="175">
        <v>0</v>
      </c>
      <c r="L14" s="493"/>
      <c r="M14" s="493"/>
      <c r="N14" s="77"/>
      <c r="O14" s="77"/>
      <c r="P14" s="77"/>
      <c r="Q14" s="395" t="s">
        <v>630</v>
      </c>
      <c r="R14" s="395">
        <v>0</v>
      </c>
      <c r="S14" s="77" t="s">
        <v>896</v>
      </c>
      <c r="T14" s="77"/>
      <c r="U14" s="77"/>
      <c r="V14" s="77" t="s">
        <v>893</v>
      </c>
      <c r="W14" s="167"/>
      <c r="X14" s="167" t="s">
        <v>789</v>
      </c>
      <c r="Y14" s="167">
        <f>IF(ISBLANK(Tableau1[[#This Row],[PO Number (Header)]]),"",Tableau1[[#This Row],[Line Total]]/Tableau1[[#This Row],[Total Item Quantity]])</f>
        <v>580</v>
      </c>
      <c r="Z14" s="167" t="str">
        <f>IF(ISNA(VLOOKUP(Tableau1[[#This Row],[Unique_AIB_ID]],UO_List[Unique_AIB_ID],1,FALSE)),IF(ISBLANK(Tableau1[[#This Row],[PO Number (Header)]]),"","FAUX"),"VRAI")</f>
        <v>VRAI</v>
      </c>
      <c r="AA14" s="167" t="s">
        <v>634</v>
      </c>
      <c r="AB14" s="162" t="str">
        <f>VLOOKUP(Tableau1[[#This Row],[Unique_AIB_ID]],UO_List[[Unique_AIB_ID]:[OLGA F6]],3,FALSE)</f>
        <v>3173-12</v>
      </c>
      <c r="AC14" s="162" t="s">
        <v>990</v>
      </c>
      <c r="AD14" s="83">
        <f>SUMPRODUCT(1*(EXACT(CONCATENATE(Tableau1[[#This Row],[PO Number (Header)]],"-",Tableau1[[#This Row],[Line]]),UO_List[Unique_AIB_ID]))*(UO_List[Qté Réception 03/2020]))</f>
        <v>3</v>
      </c>
      <c r="AE14" s="84">
        <v>3</v>
      </c>
      <c r="AF14" s="84">
        <v>3</v>
      </c>
      <c r="AG14" s="351">
        <f>IFERROR(Tableau1[[#This Row],[Qté Facturé 01/2018]]*Tableau1[[#This Row],[Unit Price (calcul)]],"")</f>
        <v>1740</v>
      </c>
      <c r="AH14" s="356">
        <f>IFERROR(IF(Tableau1[[#This Row],[Montant Facturé 01/2018]]&gt;0,Tableau1[[#This Row],[Montant Facturé 01/2018]]/Taux_Change_SII,""),"")</f>
        <v>1288.8888888888889</v>
      </c>
      <c r="AI14" s="351"/>
      <c r="AJ14" s="83">
        <f>SUMPRODUCT(1*(EXACT(CONCATENATE(Tableau1[[#This Row],[PO Number (Header)]],"-",Tableau1[[#This Row],[Line]]),UO_List[Unique_AIB_ID]))*(UO_List[Qté Réception 02/2020]))</f>
        <v>0</v>
      </c>
      <c r="AK14" s="83">
        <f>SUMPRODUCT(1*(EXACT(CONCATENATE(Tableau1[[#This Row],[PO Number (Header)]],"-",Tableau1[[#This Row],[Line]]),UO_List[Unique_AIB_ID]))*(UO_List[Qté Réception 02/2020]))</f>
        <v>0</v>
      </c>
      <c r="AL14" s="357"/>
      <c r="AM14" s="351">
        <f>IFERROR(Tableau1[[#This Row],[Qté Facturé 02/2018]]*Tableau1[[#This Row],[Unit Price (calcul)]],"")</f>
        <v>0</v>
      </c>
      <c r="AN14" s="351" t="str">
        <f>IFERROR(IF(Tableau1[[#This Row],[Montant Facturé 02/2018]]&gt;0,Tableau1[[#This Row],[Montant Facturé 02/2018]]/Taux_Change_SII,""),"")</f>
        <v/>
      </c>
      <c r="AO14" s="351"/>
      <c r="AP14" s="83">
        <f>SUMPRODUCT(1*(EXACT(CONCATENATE(Tableau1[[#This Row],[PO Number (Header)]],"-",Tableau1[[#This Row],[Line]]),UO_List[Unique_AIB_ID]))*(UO_List[Qté Réception 00/2020]))</f>
        <v>0</v>
      </c>
      <c r="AQ14" s="84"/>
      <c r="AR14" s="357"/>
      <c r="AS14" s="351">
        <f>IFERROR(Tableau1[[#This Row],[Qté Facturé 03/2018]]*Tableau1[[#This Row],[Unit Price (calcul)]],"")</f>
        <v>0</v>
      </c>
      <c r="AT14" s="358" t="str">
        <f>IFERROR(IF(Tableau1[[#This Row],[Montant Facturé 03/2018]]&gt;0,Tableau1[[#This Row],[Montant Facturé 03/2018]]/Taux_Change_SII,""),"")</f>
        <v/>
      </c>
      <c r="AU14" s="351"/>
      <c r="AV14" s="83">
        <f>SUMPRODUCT(1*(EXACT(CONCATENATE(Tableau1[[#This Row],[PO Number (Header)]],"-",Tableau1[[#This Row],[Line]]),UO_List[Unique_AIB_ID]))*(UO_List[Qté Réception 04/2020]))</f>
        <v>0</v>
      </c>
      <c r="AW14" s="84">
        <v>0</v>
      </c>
      <c r="AX14" s="351"/>
      <c r="AY14" s="351">
        <f>IFERROR(Tableau1[[#This Row],[Qté Facturé 04/2018]]*Tableau1[[#This Row],[Unit Price (calcul)]],"")</f>
        <v>0</v>
      </c>
      <c r="AZ14" s="351" t="str">
        <f>IFERROR(IF(Tableau1[[#This Row],[Montant Facturé 04/2018]]&gt;0,Tableau1[[#This Row],[Montant Facturé 04/2018]]/Taux_Change_SII,""),"")</f>
        <v/>
      </c>
      <c r="BA14" s="351"/>
      <c r="BB14" s="83">
        <f>SUMPRODUCT(1*(EXACT(CONCATENATE(Tableau1[[#This Row],[PO Number (Header)]],"-",Tableau1[[#This Row],[Line]]),UO_List[Unique_AIB_ID]))*(UO_List[Qté Réception 05/2020]))</f>
        <v>0</v>
      </c>
      <c r="BC14" s="84">
        <v>0</v>
      </c>
      <c r="BD14" s="351"/>
      <c r="BE14" s="351">
        <f>IFERROR(Tableau1[[#This Row],[Qté Facturé 05/2018]]*Tableau1[[#This Row],[Unit Price (calcul)]],"")</f>
        <v>0</v>
      </c>
      <c r="BF14" s="351" t="str">
        <f>IFERROR(IF(Tableau1[[#This Row],[Montant Facturé 05/2018]]&gt;0,Tableau1[[#This Row],[Montant Facturé 05/2018]]/Taux_Change_SII,""),"")</f>
        <v/>
      </c>
      <c r="BG14" s="351"/>
      <c r="BH14" s="83">
        <f>SUMPRODUCT(1*(EXACT(CONCATENATE(Tableau1[[#This Row],[PO Number (Header)]],"-",Tableau1[[#This Row],[Line]]),UO_List[Unique_AIB_ID]))*(UO_List[Qté Réception 06/2020]))</f>
        <v>0</v>
      </c>
      <c r="BI14" s="84">
        <v>0</v>
      </c>
      <c r="BJ14" s="351"/>
      <c r="BK14" s="351">
        <f>IFERROR(Tableau1[[#This Row],[Qté Facturé 06/2018]]*Tableau1[[#This Row],[Unit Price (calcul)]],"")</f>
        <v>0</v>
      </c>
      <c r="BL14" s="351" t="str">
        <f>IFERROR(IF(Tableau1[[#This Row],[Montant Facturé 06/2018]]&gt;0,Tableau1[[#This Row],[Montant Facturé 06/2018]]/Taux_Change_SII,""),"")</f>
        <v/>
      </c>
      <c r="BM14" s="351"/>
      <c r="BN14" s="83">
        <f>SUMPRODUCT(1*(EXACT(CONCATENATE(Tableau1[[#This Row],[PO Number (Header)]],"-",Tableau1[[#This Row],[Line]]),UO_List[Unique_AIB_ID]))*(UO_List[Qté Réception 07/2020]))</f>
        <v>0</v>
      </c>
      <c r="BO14" s="84">
        <v>0</v>
      </c>
      <c r="BP14" s="351"/>
      <c r="BQ14" s="351">
        <f>IFERROR(Tableau1[[#This Row],[Qté Facturé 07/2018]]*Tableau1[[#This Row],[Unit Price (calcul)]],"")</f>
        <v>0</v>
      </c>
      <c r="BR14" s="351" t="str">
        <f>IFERROR(IF(Tableau1[[#This Row],[Montant Facturé 07/2018]]&gt;0,Tableau1[[#This Row],[Montant Facturé 07/2018]]/Taux_Change_SII,""),"")</f>
        <v/>
      </c>
      <c r="BS14" s="351"/>
      <c r="BT14" s="83">
        <f>SUMPRODUCT(1*(EXACT(CONCATENATE(Tableau1[[#This Row],[PO Number (Header)]],"-",Tableau1[[#This Row],[Line]]),UO_List[Unique_AIB_ID]))*(UO_List[Qté Réception 08/2020]))</f>
        <v>0</v>
      </c>
      <c r="BU14" s="84"/>
      <c r="BV14" s="351"/>
      <c r="BW14" s="351">
        <f>IFERROR(Tableau1[[#This Row],[Qté Facturé 08/2018]]*Tableau1[[#This Row],[Unit Price (calcul)]],"")</f>
        <v>0</v>
      </c>
      <c r="BX14" s="351" t="str">
        <f>IFERROR(IF(Tableau1[[#This Row],[Montant Facturé 08/2018]]&gt;0,Tableau1[[#This Row],[Montant Facturé 08/2018]]/Taux_Change_SII,""),"")</f>
        <v/>
      </c>
      <c r="BY14" s="351"/>
      <c r="BZ14" s="83">
        <f>SUMPRODUCT(1*(EXACT(CONCATENATE(Tableau1[[#This Row],[PO Number (Header)]],"-",Tableau1[[#This Row],[Line]]),UO_List[Unique_AIB_ID]))*(UO_List[Qté Réception 09/2020]))</f>
        <v>0</v>
      </c>
      <c r="CA14" s="84">
        <v>0</v>
      </c>
      <c r="CB14" s="351"/>
      <c r="CC14" s="351">
        <f>IFERROR(Tableau1[[#This Row],[Qté Facturé 09/2018]]*Tableau1[[#This Row],[Unit Price (calcul)]],"")</f>
        <v>0</v>
      </c>
      <c r="CD14" s="351" t="str">
        <f>IFERROR(IF(Tableau1[[#This Row],[Montant Facturé 09/2018]]&gt;0,Tableau1[[#This Row],[Montant Facturé 09/2018]]/Taux_Change_SII,""),"")</f>
        <v/>
      </c>
      <c r="CE14" s="351"/>
      <c r="CF14" s="83">
        <f>SUMPRODUCT(1*(EXACT(CONCATENATE(Tableau1[[#This Row],[PO Number (Header)]],"-",Tableau1[[#This Row],[Line]]),UO_List[Unique_AIB_ID]))*(UO_List[Qté Réception 10/2020]))</f>
        <v>0</v>
      </c>
      <c r="CG14" s="84">
        <v>0</v>
      </c>
      <c r="CH14" s="351"/>
      <c r="CI14" s="351">
        <f>IFERROR(Tableau1[[#This Row],[Qté Facturé 10/2018]]*Tableau1[[#This Row],[Unit Price (calcul)]],"")</f>
        <v>0</v>
      </c>
      <c r="CJ14" s="351" t="str">
        <f>IFERROR(IF(Tableau1[[#This Row],[Montant Facturé 10/2018]]&gt;0,Tableau1[[#This Row],[Montant Facturé 10/2018]]/Taux_Change_SII,""),"")</f>
        <v/>
      </c>
      <c r="CK14" s="351"/>
      <c r="CL14" s="83">
        <f>SUMPRODUCT(1*(EXACT(CONCATENATE(Tableau1[[#This Row],[PO Number (Header)]],"-",Tableau1[[#This Row],[Line]]),UO_List[Unique_AIB_ID]))*(UO_List[Qté Réception 11/2020]))</f>
        <v>0</v>
      </c>
      <c r="CM14" s="84"/>
      <c r="CN14" s="351"/>
      <c r="CO14" s="351">
        <f>IFERROR(Tableau1[[#This Row],[Qté Facturé 11/2018]]*Tableau1[[#This Row],[Unit Price (calcul)]],"")</f>
        <v>0</v>
      </c>
      <c r="CP14" s="351" t="str">
        <f>IFERROR(IF(Tableau1[[#This Row],[Montant Facturé 11/2018]]&gt;0,Tableau1[[#This Row],[Montant Facturé 11/2018]]/Taux_Change_SII,""),"")</f>
        <v/>
      </c>
      <c r="CQ14" s="351"/>
      <c r="CR14" s="83">
        <f>SUMPRODUCT(1*(EXACT(CONCATENATE(Tableau1[[#This Row],[PO Number (Header)]],"-",Tableau1[[#This Row],[Line]]),UO_List[Unique_AIB_ID]))*(UO_List[Qté Réception 12/2020]))</f>
        <v>0</v>
      </c>
      <c r="CS14" s="84"/>
      <c r="CT14" s="351"/>
      <c r="CU14" s="351">
        <f>IFERROR(Tableau1[[#This Row],[Qté Facturé 12/2018]]*Tableau1[[#This Row],[Unit Price (calcul)]],"")</f>
        <v>0</v>
      </c>
      <c r="CV14" s="351" t="str">
        <f>IFERROR(IF(Tableau1[[#This Row],[Montant Facturé 12/2018]]&gt;0,Tableau1[[#This Row],[Montant Facturé 12/2018]]/Taux_Change_SII,""),"")</f>
        <v/>
      </c>
      <c r="CW14" s="351"/>
      <c r="CX1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3</v>
      </c>
      <c r="CY1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3</v>
      </c>
      <c r="CZ1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3</v>
      </c>
      <c r="DA14" s="352">
        <f>IFERROR(Tableau1[[#This Row],[Total item réceptionné]]*Tableau1[[#This Row],[Unit Price (calcul)]],"")</f>
        <v>1740</v>
      </c>
      <c r="DB14" s="352">
        <f>IFERROR(Tableau1[[#This Row],[Total item à Facturer]]*Tableau1[[#This Row],[Unit Price (calcul)]],"")</f>
        <v>1740</v>
      </c>
      <c r="DC14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1740</v>
      </c>
      <c r="DD14" s="352">
        <f>IFERROR(Tableau1[[#This Row],[Line Total]]-Tableau1[[#This Row],[Total Price Réceptionné]],"")</f>
        <v>0</v>
      </c>
      <c r="DE14" s="352">
        <f>IFERROR(Tableau1[[#This Row],[Total Price Réceptionné]]-Tableau1[[#This Row],[Total Price A facturer]],"")</f>
        <v>0</v>
      </c>
      <c r="DF14" s="353">
        <f>IFERROR(Tableau1[[#This Row],[Total Price A facturer]]-Tableau1[[#This Row],[Total Price Facturé]],"")</f>
        <v>0</v>
      </c>
      <c r="DG14" s="76">
        <f>Tableau1[[#This Row],[Total Item Quantity]]-Tableau1[[#This Row],[Total item réceptionné]]</f>
        <v>0</v>
      </c>
      <c r="DH14" s="167"/>
      <c r="DI14" s="167"/>
    </row>
    <row r="15" spans="1:113" s="107" customFormat="1">
      <c r="A15" s="107" t="str">
        <f>CONCATENATE(Tableau1[[#This Row],[PO Number (Header)]],"-",Tableau1[[#This Row],[Line]])</f>
        <v>C000482017-1</v>
      </c>
      <c r="B15" s="397" t="s">
        <v>901</v>
      </c>
      <c r="C15" s="77" t="s">
        <v>726</v>
      </c>
      <c r="D15" s="102" t="s">
        <v>802</v>
      </c>
      <c r="E15" s="77"/>
      <c r="F15" s="379">
        <v>1</v>
      </c>
      <c r="G15" s="77" t="s">
        <v>810</v>
      </c>
      <c r="H15" s="332">
        <v>5</v>
      </c>
      <c r="I15" s="383">
        <v>16800</v>
      </c>
      <c r="J15" s="77" t="s">
        <v>629</v>
      </c>
      <c r="K15" s="379">
        <v>0</v>
      </c>
      <c r="L15" s="77"/>
      <c r="M15" s="77"/>
      <c r="N15" s="77"/>
      <c r="O15" s="77"/>
      <c r="P15" s="77"/>
      <c r="Q15" s="395" t="s">
        <v>630</v>
      </c>
      <c r="R15" s="395">
        <v>0</v>
      </c>
      <c r="S15" s="77" t="s">
        <v>902</v>
      </c>
      <c r="T15" s="77"/>
      <c r="U15" s="77"/>
      <c r="V15" s="77" t="s">
        <v>903</v>
      </c>
      <c r="W15" s="167" t="s">
        <v>904</v>
      </c>
      <c r="X15" s="167" t="s">
        <v>786</v>
      </c>
      <c r="Y15" s="167">
        <f>IF(ISBLANK(Tableau1[[#This Row],[PO Number (Header)]]),"",Tableau1[[#This Row],[Line Total]]/Tableau1[[#This Row],[Total Item Quantity]])</f>
        <v>3360</v>
      </c>
      <c r="Z15" s="167" t="str">
        <f>IF(ISNA(VLOOKUP(Tableau1[[#This Row],[Unique_AIB_ID]],UO_List[Unique_AIB_ID],1,FALSE)),IF(ISBLANK(Tableau1[[#This Row],[PO Number (Header)]]),"","FAUX"),"VRAI")</f>
        <v>VRAI</v>
      </c>
      <c r="AA15" s="167"/>
      <c r="AB15" s="162" t="str">
        <f>VLOOKUP(Tableau1[[#This Row],[Unique_AIB_ID]],UO_List[[Unique_AIB_ID]:[OLGA F6]],3,FALSE)</f>
        <v>3173-11</v>
      </c>
      <c r="AC15" s="162" t="s">
        <v>773</v>
      </c>
      <c r="AD15" s="83">
        <f>SUMPRODUCT(1*(EXACT(CONCATENATE(Tableau1[[#This Row],[PO Number (Header)]],"-",Tableau1[[#This Row],[Line]]),UO_List[Unique_AIB_ID]))*(UO_List[Qté Réception 03/2020]))</f>
        <v>0</v>
      </c>
      <c r="AE15" s="84">
        <v>0</v>
      </c>
      <c r="AF15" s="357"/>
      <c r="AG15" s="351">
        <f>IFERROR(Tableau1[[#This Row],[Qté Facturé 01/2018]]*Tableau1[[#This Row],[Unit Price (calcul)]],"")</f>
        <v>0</v>
      </c>
      <c r="AH15" s="356" t="str">
        <f>IFERROR(IF(Tableau1[[#This Row],[Montant Facturé 01/2018]]&gt;0,Tableau1[[#This Row],[Montant Facturé 01/2018]]/Taux_Change_SII,""),"")</f>
        <v/>
      </c>
      <c r="AI15" s="351"/>
      <c r="AJ15" s="83">
        <f>SUMPRODUCT(1*(EXACT(CONCATENATE(Tableau1[[#This Row],[PO Number (Header)]],"-",Tableau1[[#This Row],[Line]]),UO_List[Unique_AIB_ID]))*(UO_List[Qté Réception 02/2020]))</f>
        <v>0</v>
      </c>
      <c r="AK15" s="83">
        <f>SUMPRODUCT(1*(EXACT(CONCATENATE(Tableau1[[#This Row],[PO Number (Header)]],"-",Tableau1[[#This Row],[Line]]),UO_List[Unique_AIB_ID]))*(UO_List[Qté Réception 02/2020]))</f>
        <v>0</v>
      </c>
      <c r="AL15" s="357"/>
      <c r="AM15" s="351">
        <f>IFERROR(Tableau1[[#This Row],[Qté Facturé 02/2018]]*Tableau1[[#This Row],[Unit Price (calcul)]],"")</f>
        <v>0</v>
      </c>
      <c r="AN15" s="351" t="str">
        <f>IFERROR(IF(Tableau1[[#This Row],[Montant Facturé 02/2018]]&gt;0,Tableau1[[#This Row],[Montant Facturé 02/2018]]/Taux_Change_SII,""),"")</f>
        <v/>
      </c>
      <c r="AO15" s="351"/>
      <c r="AP15" s="83">
        <f>SUMPRODUCT(1*(EXACT(CONCATENATE(Tableau1[[#This Row],[PO Number (Header)]],"-",Tableau1[[#This Row],[Line]]),UO_List[Unique_AIB_ID]))*(UO_List[Qté Réception 00/2020]))</f>
        <v>0</v>
      </c>
      <c r="AQ15" s="84"/>
      <c r="AR15" s="357"/>
      <c r="AS15" s="351">
        <f>IFERROR(Tableau1[[#This Row],[Qté Facturé 03/2018]]*Tableau1[[#This Row],[Unit Price (calcul)]],"")</f>
        <v>0</v>
      </c>
      <c r="AT15" s="358" t="str">
        <f>IFERROR(IF(Tableau1[[#This Row],[Montant Facturé 03/2018]]&gt;0,Tableau1[[#This Row],[Montant Facturé 03/2018]]/Taux_Change_SII,""),"")</f>
        <v/>
      </c>
      <c r="AU15" s="351"/>
      <c r="AV15" s="83">
        <f>SUMPRODUCT(1*(EXACT(CONCATENATE(Tableau1[[#This Row],[PO Number (Header)]],"-",Tableau1[[#This Row],[Line]]),UO_List[Unique_AIB_ID]))*(UO_List[Qté Réception 04/2020]))</f>
        <v>0</v>
      </c>
      <c r="AW15" s="84">
        <v>0</v>
      </c>
      <c r="AX15" s="351"/>
      <c r="AY15" s="351">
        <f>IFERROR(Tableau1[[#This Row],[Qté Facturé 04/2018]]*Tableau1[[#This Row],[Unit Price (calcul)]],"")</f>
        <v>0</v>
      </c>
      <c r="AZ15" s="351" t="str">
        <f>IFERROR(IF(Tableau1[[#This Row],[Montant Facturé 04/2018]]&gt;0,Tableau1[[#This Row],[Montant Facturé 04/2018]]/Taux_Change_SII,""),"")</f>
        <v/>
      </c>
      <c r="BA15" s="351"/>
      <c r="BB15" s="83">
        <f>SUMPRODUCT(1*(EXACT(CONCATENATE(Tableau1[[#This Row],[PO Number (Header)]],"-",Tableau1[[#This Row],[Line]]),UO_List[Unique_AIB_ID]))*(UO_List[Qté Réception 05/2020]))</f>
        <v>0</v>
      </c>
      <c r="BC15" s="84"/>
      <c r="BD15" s="351"/>
      <c r="BE15" s="351">
        <f>IFERROR(Tableau1[[#This Row],[Qté Facturé 05/2018]]*Tableau1[[#This Row],[Unit Price (calcul)]],"")</f>
        <v>0</v>
      </c>
      <c r="BF15" s="351" t="str">
        <f>IFERROR(IF(Tableau1[[#This Row],[Montant Facturé 05/2018]]&gt;0,Tableau1[[#This Row],[Montant Facturé 05/2018]]/Taux_Change_SII,""),"")</f>
        <v/>
      </c>
      <c r="BG15" s="351"/>
      <c r="BH15" s="83">
        <f>SUMPRODUCT(1*(EXACT(CONCATENATE(Tableau1[[#This Row],[PO Number (Header)]],"-",Tableau1[[#This Row],[Line]]),UO_List[Unique_AIB_ID]))*(UO_List[Qté Réception 06/2020]))</f>
        <v>0</v>
      </c>
      <c r="BI15" s="84">
        <v>0</v>
      </c>
      <c r="BJ15" s="351"/>
      <c r="BK15" s="351">
        <f>IFERROR(Tableau1[[#This Row],[Qté Facturé 06/2018]]*Tableau1[[#This Row],[Unit Price (calcul)]],"")</f>
        <v>0</v>
      </c>
      <c r="BL15" s="351" t="str">
        <f>IFERROR(IF(Tableau1[[#This Row],[Montant Facturé 06/2018]]&gt;0,Tableau1[[#This Row],[Montant Facturé 06/2018]]/Taux_Change_SII,""),"")</f>
        <v/>
      </c>
      <c r="BM15" s="351"/>
      <c r="BN15" s="83">
        <f>SUMPRODUCT(1*(EXACT(CONCATENATE(Tableau1[[#This Row],[PO Number (Header)]],"-",Tableau1[[#This Row],[Line]]),UO_List[Unique_AIB_ID]))*(UO_List[Qté Réception 07/2020]))</f>
        <v>0</v>
      </c>
      <c r="BO15" s="84">
        <v>0</v>
      </c>
      <c r="BP15" s="351"/>
      <c r="BQ15" s="351">
        <f>IFERROR(Tableau1[[#This Row],[Qté Facturé 07/2018]]*Tableau1[[#This Row],[Unit Price (calcul)]],"")</f>
        <v>0</v>
      </c>
      <c r="BR15" s="351" t="str">
        <f>IFERROR(IF(Tableau1[[#This Row],[Montant Facturé 07/2018]]&gt;0,Tableau1[[#This Row],[Montant Facturé 07/2018]]/Taux_Change_SII,""),"")</f>
        <v/>
      </c>
      <c r="BS15" s="351"/>
      <c r="BT15" s="83">
        <f>SUMPRODUCT(1*(EXACT(CONCATENATE(Tableau1[[#This Row],[PO Number (Header)]],"-",Tableau1[[#This Row],[Line]]),UO_List[Unique_AIB_ID]))*(UO_List[Qté Réception 08/2020]))</f>
        <v>0</v>
      </c>
      <c r="BU15" s="84"/>
      <c r="BV15" s="351"/>
      <c r="BW15" s="351">
        <f>IFERROR(Tableau1[[#This Row],[Qté Facturé 08/2018]]*Tableau1[[#This Row],[Unit Price (calcul)]],"")</f>
        <v>0</v>
      </c>
      <c r="BX15" s="351" t="str">
        <f>IFERROR(IF(Tableau1[[#This Row],[Montant Facturé 08/2018]]&gt;0,Tableau1[[#This Row],[Montant Facturé 08/2018]]/Taux_Change_SII,""),"")</f>
        <v/>
      </c>
      <c r="BY15" s="351"/>
      <c r="BZ15" s="83">
        <f>SUMPRODUCT(1*(EXACT(CONCATENATE(Tableau1[[#This Row],[PO Number (Header)]],"-",Tableau1[[#This Row],[Line]]),UO_List[Unique_AIB_ID]))*(UO_List[Qté Réception 09/2020]))</f>
        <v>0</v>
      </c>
      <c r="CA15" s="84">
        <v>0</v>
      </c>
      <c r="CB15" s="351"/>
      <c r="CC15" s="351">
        <f>IFERROR(Tableau1[[#This Row],[Qté Facturé 09/2018]]*Tableau1[[#This Row],[Unit Price (calcul)]],"")</f>
        <v>0</v>
      </c>
      <c r="CD15" s="351" t="str">
        <f>IFERROR(IF(Tableau1[[#This Row],[Montant Facturé 09/2018]]&gt;0,Tableau1[[#This Row],[Montant Facturé 09/2018]]/Taux_Change_SII,""),"")</f>
        <v/>
      </c>
      <c r="CE15" s="351"/>
      <c r="CF15" s="83">
        <f>SUMPRODUCT(1*(EXACT(CONCATENATE(Tableau1[[#This Row],[PO Number (Header)]],"-",Tableau1[[#This Row],[Line]]),UO_List[Unique_AIB_ID]))*(UO_List[Qté Réception 10/2020]))</f>
        <v>0</v>
      </c>
      <c r="CG15" s="84">
        <v>0</v>
      </c>
      <c r="CH15" s="351"/>
      <c r="CI15" s="351">
        <f>IFERROR(Tableau1[[#This Row],[Qté Facturé 10/2018]]*Tableau1[[#This Row],[Unit Price (calcul)]],"")</f>
        <v>0</v>
      </c>
      <c r="CJ15" s="351" t="str">
        <f>IFERROR(IF(Tableau1[[#This Row],[Montant Facturé 10/2018]]&gt;0,Tableau1[[#This Row],[Montant Facturé 10/2018]]/Taux_Change_SII,""),"")</f>
        <v/>
      </c>
      <c r="CK15" s="351"/>
      <c r="CL15" s="83">
        <f>SUMPRODUCT(1*(EXACT(CONCATENATE(Tableau1[[#This Row],[PO Number (Header)]],"-",Tableau1[[#This Row],[Line]]),UO_List[Unique_AIB_ID]))*(UO_List[Qté Réception 11/2020]))</f>
        <v>0</v>
      </c>
      <c r="CM15" s="84"/>
      <c r="CN15" s="351"/>
      <c r="CO15" s="351">
        <f>IFERROR(Tableau1[[#This Row],[Qté Facturé 11/2018]]*Tableau1[[#This Row],[Unit Price (calcul)]],"")</f>
        <v>0</v>
      </c>
      <c r="CP15" s="351" t="str">
        <f>IFERROR(IF(Tableau1[[#This Row],[Montant Facturé 11/2018]]&gt;0,Tableau1[[#This Row],[Montant Facturé 11/2018]]/Taux_Change_SII,""),"")</f>
        <v/>
      </c>
      <c r="CQ15" s="351"/>
      <c r="CR15" s="83">
        <f>SUMPRODUCT(1*(EXACT(CONCATENATE(Tableau1[[#This Row],[PO Number (Header)]],"-",Tableau1[[#This Row],[Line]]),UO_List[Unique_AIB_ID]))*(UO_List[Qté Réception 12/2020]))</f>
        <v>0</v>
      </c>
      <c r="CS15" s="84"/>
      <c r="CT15" s="351"/>
      <c r="CU15" s="351">
        <f>IFERROR(Tableau1[[#This Row],[Qté Facturé 12/2018]]*Tableau1[[#This Row],[Unit Price (calcul)]],"")</f>
        <v>0</v>
      </c>
      <c r="CV15" s="351" t="str">
        <f>IFERROR(IF(Tableau1[[#This Row],[Montant Facturé 12/2018]]&gt;0,Tableau1[[#This Row],[Montant Facturé 12/2018]]/Taux_Change_SII,""),"")</f>
        <v/>
      </c>
      <c r="CW15" s="351"/>
      <c r="CX1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" s="352">
        <f>IFERROR(Tableau1[[#This Row],[Total item réceptionné]]*Tableau1[[#This Row],[Unit Price (calcul)]],"")</f>
        <v>0</v>
      </c>
      <c r="DB15" s="352">
        <f>IFERROR(Tableau1[[#This Row],[Total item à Facturer]]*Tableau1[[#This Row],[Unit Price (calcul)]],"")</f>
        <v>0</v>
      </c>
      <c r="DC15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15" s="352">
        <f>IFERROR(Tableau1[[#This Row],[Line Total]]-Tableau1[[#This Row],[Total Price Réceptionné]],"")</f>
        <v>16800</v>
      </c>
      <c r="DE15" s="352">
        <f>IFERROR(Tableau1[[#This Row],[Total Price Réceptionné]]-Tableau1[[#This Row],[Total Price A facturer]],"")</f>
        <v>0</v>
      </c>
      <c r="DF15" s="353">
        <f>IFERROR(Tableau1[[#This Row],[Total Price A facturer]]-Tableau1[[#This Row],[Total Price Facturé]],"")</f>
        <v>0</v>
      </c>
      <c r="DG15" s="76">
        <f>Tableau1[[#This Row],[Total Item Quantity]]-Tableau1[[#This Row],[Total item réceptionné]]</f>
        <v>5</v>
      </c>
      <c r="DH15" s="167"/>
      <c r="DI15" s="167"/>
    </row>
    <row r="16" spans="1:113" s="107" customFormat="1">
      <c r="A16" s="107" t="str">
        <f>CONCATENATE(Tableau1[[#This Row],[PO Number (Header)]],"-",Tableau1[[#This Row],[Line]])</f>
        <v>C000482017-2</v>
      </c>
      <c r="B16" s="416" t="s">
        <v>901</v>
      </c>
      <c r="C16" s="77" t="s">
        <v>726</v>
      </c>
      <c r="D16" s="77" t="s">
        <v>802</v>
      </c>
      <c r="E16" s="77"/>
      <c r="F16" s="379">
        <v>2</v>
      </c>
      <c r="G16" s="77" t="s">
        <v>812</v>
      </c>
      <c r="H16" s="332">
        <v>3</v>
      </c>
      <c r="I16" s="383">
        <v>10080</v>
      </c>
      <c r="J16" s="77" t="s">
        <v>629</v>
      </c>
      <c r="K16" s="379">
        <v>0</v>
      </c>
      <c r="L16" s="77"/>
      <c r="M16" s="77"/>
      <c r="N16" s="77"/>
      <c r="O16" s="77"/>
      <c r="P16" s="77"/>
      <c r="Q16" s="395" t="s">
        <v>630</v>
      </c>
      <c r="R16" s="395">
        <v>0</v>
      </c>
      <c r="S16" s="77" t="s">
        <v>902</v>
      </c>
      <c r="T16" s="77"/>
      <c r="U16" s="77"/>
      <c r="V16" s="77" t="s">
        <v>903</v>
      </c>
      <c r="W16" s="167" t="s">
        <v>905</v>
      </c>
      <c r="X16" s="167" t="s">
        <v>786</v>
      </c>
      <c r="Y16" s="167">
        <f>IF(ISBLANK(Tableau1[[#This Row],[PO Number (Header)]]),"",Tableau1[[#This Row],[Line Total]]/Tableau1[[#This Row],[Total Item Quantity]])</f>
        <v>3360</v>
      </c>
      <c r="Z16" s="167" t="str">
        <f>IF(ISNA(VLOOKUP(Tableau1[[#This Row],[Unique_AIB_ID]],UO_List[Unique_AIB_ID],1,FALSE)),IF(ISBLANK(Tableau1[[#This Row],[PO Number (Header)]]),"","FAUX"),"VRAI")</f>
        <v>VRAI</v>
      </c>
      <c r="AA16" s="167" t="s">
        <v>634</v>
      </c>
      <c r="AB16" s="162" t="str">
        <f>VLOOKUP(Tableau1[[#This Row],[Unique_AIB_ID]],UO_List[[Unique_AIB_ID]:[OLGA F6]],3,FALSE)</f>
        <v>3173-11</v>
      </c>
      <c r="AC16" s="162" t="s">
        <v>991</v>
      </c>
      <c r="AD16" s="83">
        <f>SUMPRODUCT(1*(EXACT(CONCATENATE(Tableau1[[#This Row],[PO Number (Header)]],"-",Tableau1[[#This Row],[Line]]),UO_List[Unique_AIB_ID]))*(UO_List[Qté Réception 03/2020]))</f>
        <v>1</v>
      </c>
      <c r="AE16" s="84">
        <v>1</v>
      </c>
      <c r="AF16" s="84">
        <v>1</v>
      </c>
      <c r="AG16" s="351">
        <f>IFERROR(Tableau1[[#This Row],[Qté Facturé 01/2018]]*Tableau1[[#This Row],[Unit Price (calcul)]],"")</f>
        <v>3360</v>
      </c>
      <c r="AH16" s="356">
        <f>IFERROR(IF(Tableau1[[#This Row],[Montant Facturé 01/2018]]&gt;0,Tableau1[[#This Row],[Montant Facturé 01/2018]]/Taux_Change_SII,""),"")</f>
        <v>2488.8888888888887</v>
      </c>
      <c r="AI16" s="351"/>
      <c r="AJ16" s="83">
        <f>SUMPRODUCT(1*(EXACT(CONCATENATE(Tableau1[[#This Row],[PO Number (Header)]],"-",Tableau1[[#This Row],[Line]]),UO_List[Unique_AIB_ID]))*(UO_List[Qté Réception 02/2020]))</f>
        <v>0</v>
      </c>
      <c r="AK16" s="83">
        <f>SUMPRODUCT(1*(EXACT(CONCATENATE(Tableau1[[#This Row],[PO Number (Header)]],"-",Tableau1[[#This Row],[Line]]),UO_List[Unique_AIB_ID]))*(UO_List[Qté Réception 02/2020]))</f>
        <v>0</v>
      </c>
      <c r="AL16" s="357"/>
      <c r="AM16" s="351">
        <f>IFERROR(Tableau1[[#This Row],[Qté Facturé 02/2018]]*Tableau1[[#This Row],[Unit Price (calcul)]],"")</f>
        <v>0</v>
      </c>
      <c r="AN16" s="351" t="str">
        <f>IFERROR(IF(Tableau1[[#This Row],[Montant Facturé 02/2018]]&gt;0,Tableau1[[#This Row],[Montant Facturé 02/2018]]/Taux_Change_SII,""),"")</f>
        <v/>
      </c>
      <c r="AO16" s="351"/>
      <c r="AP16" s="83">
        <f>SUMPRODUCT(1*(EXACT(CONCATENATE(Tableau1[[#This Row],[PO Number (Header)]],"-",Tableau1[[#This Row],[Line]]),UO_List[Unique_AIB_ID]))*(UO_List[Qté Réception 00/2020]))</f>
        <v>0</v>
      </c>
      <c r="AQ16" s="84"/>
      <c r="AR16" s="357"/>
      <c r="AS16" s="351">
        <f>IFERROR(Tableau1[[#This Row],[Qté Facturé 03/2018]]*Tableau1[[#This Row],[Unit Price (calcul)]],"")</f>
        <v>0</v>
      </c>
      <c r="AT16" s="358" t="str">
        <f>IFERROR(IF(Tableau1[[#This Row],[Montant Facturé 03/2018]]&gt;0,Tableau1[[#This Row],[Montant Facturé 03/2018]]/Taux_Change_SII,""),"")</f>
        <v/>
      </c>
      <c r="AU16" s="351"/>
      <c r="AV16" s="83">
        <f>SUMPRODUCT(1*(EXACT(CONCATENATE(Tableau1[[#This Row],[PO Number (Header)]],"-",Tableau1[[#This Row],[Line]]),UO_List[Unique_AIB_ID]))*(UO_List[Qté Réception 04/2020]))</f>
        <v>0</v>
      </c>
      <c r="AW16" s="84">
        <v>0</v>
      </c>
      <c r="AX16" s="351"/>
      <c r="AY16" s="351">
        <f>IFERROR(Tableau1[[#This Row],[Qté Facturé 04/2018]]*Tableau1[[#This Row],[Unit Price (calcul)]],"")</f>
        <v>0</v>
      </c>
      <c r="AZ16" s="351" t="str">
        <f>IFERROR(IF(Tableau1[[#This Row],[Montant Facturé 04/2018]]&gt;0,Tableau1[[#This Row],[Montant Facturé 04/2018]]/Taux_Change_SII,""),"")</f>
        <v/>
      </c>
      <c r="BA16" s="351"/>
      <c r="BB16" s="83">
        <f>SUMPRODUCT(1*(EXACT(CONCATENATE(Tableau1[[#This Row],[PO Number (Header)]],"-",Tableau1[[#This Row],[Line]]),UO_List[Unique_AIB_ID]))*(UO_List[Qté Réception 05/2020]))</f>
        <v>0</v>
      </c>
      <c r="BC16" s="84"/>
      <c r="BD16" s="351"/>
      <c r="BE16" s="351">
        <f>IFERROR(Tableau1[[#This Row],[Qté Facturé 05/2018]]*Tableau1[[#This Row],[Unit Price (calcul)]],"")</f>
        <v>0</v>
      </c>
      <c r="BF16" s="351" t="str">
        <f>IFERROR(IF(Tableau1[[#This Row],[Montant Facturé 05/2018]]&gt;0,Tableau1[[#This Row],[Montant Facturé 05/2018]]/Taux_Change_SII,""),"")</f>
        <v/>
      </c>
      <c r="BG16" s="351"/>
      <c r="BH16" s="83">
        <f>SUMPRODUCT(1*(EXACT(CONCATENATE(Tableau1[[#This Row],[PO Number (Header)]],"-",Tableau1[[#This Row],[Line]]),UO_List[Unique_AIB_ID]))*(UO_List[Qté Réception 06/2020]))</f>
        <v>0</v>
      </c>
      <c r="BI16" s="84">
        <v>0</v>
      </c>
      <c r="BJ16" s="351"/>
      <c r="BK16" s="351">
        <f>IFERROR(Tableau1[[#This Row],[Qté Facturé 06/2018]]*Tableau1[[#This Row],[Unit Price (calcul)]],"")</f>
        <v>0</v>
      </c>
      <c r="BL16" s="351" t="str">
        <f>IFERROR(IF(Tableau1[[#This Row],[Montant Facturé 06/2018]]&gt;0,Tableau1[[#This Row],[Montant Facturé 06/2018]]/Taux_Change_SII,""),"")</f>
        <v/>
      </c>
      <c r="BM16" s="351"/>
      <c r="BN16" s="83">
        <f>SUMPRODUCT(1*(EXACT(CONCATENATE(Tableau1[[#This Row],[PO Number (Header)]],"-",Tableau1[[#This Row],[Line]]),UO_List[Unique_AIB_ID]))*(UO_List[Qté Réception 07/2020]))</f>
        <v>0</v>
      </c>
      <c r="BO16" s="84">
        <v>0</v>
      </c>
      <c r="BP16" s="351"/>
      <c r="BQ16" s="351">
        <f>IFERROR(Tableau1[[#This Row],[Qté Facturé 07/2018]]*Tableau1[[#This Row],[Unit Price (calcul)]],"")</f>
        <v>0</v>
      </c>
      <c r="BR16" s="351" t="str">
        <f>IFERROR(IF(Tableau1[[#This Row],[Montant Facturé 07/2018]]&gt;0,Tableau1[[#This Row],[Montant Facturé 07/2018]]/Taux_Change_SII,""),"")</f>
        <v/>
      </c>
      <c r="BS16" s="351"/>
      <c r="BT16" s="83">
        <f>SUMPRODUCT(1*(EXACT(CONCATENATE(Tableau1[[#This Row],[PO Number (Header)]],"-",Tableau1[[#This Row],[Line]]),UO_List[Unique_AIB_ID]))*(UO_List[Qté Réception 08/2020]))</f>
        <v>0</v>
      </c>
      <c r="BU16" s="84"/>
      <c r="BV16" s="351"/>
      <c r="BW16" s="351">
        <f>IFERROR(Tableau1[[#This Row],[Qté Facturé 08/2018]]*Tableau1[[#This Row],[Unit Price (calcul)]],"")</f>
        <v>0</v>
      </c>
      <c r="BX16" s="351" t="str">
        <f>IFERROR(IF(Tableau1[[#This Row],[Montant Facturé 08/2018]]&gt;0,Tableau1[[#This Row],[Montant Facturé 08/2018]]/Taux_Change_SII,""),"")</f>
        <v/>
      </c>
      <c r="BY16" s="351"/>
      <c r="BZ16" s="83">
        <f>SUMPRODUCT(1*(EXACT(CONCATENATE(Tableau1[[#This Row],[PO Number (Header)]],"-",Tableau1[[#This Row],[Line]]),UO_List[Unique_AIB_ID]))*(UO_List[Qté Réception 09/2020]))</f>
        <v>0</v>
      </c>
      <c r="CA16" s="84">
        <v>0</v>
      </c>
      <c r="CB16" s="351"/>
      <c r="CC16" s="351">
        <f>IFERROR(Tableau1[[#This Row],[Qté Facturé 09/2018]]*Tableau1[[#This Row],[Unit Price (calcul)]],"")</f>
        <v>0</v>
      </c>
      <c r="CD16" s="351" t="str">
        <f>IFERROR(IF(Tableau1[[#This Row],[Montant Facturé 09/2018]]&gt;0,Tableau1[[#This Row],[Montant Facturé 09/2018]]/Taux_Change_SII,""),"")</f>
        <v/>
      </c>
      <c r="CE16" s="351"/>
      <c r="CF16" s="83">
        <f>SUMPRODUCT(1*(EXACT(CONCATENATE(Tableau1[[#This Row],[PO Number (Header)]],"-",Tableau1[[#This Row],[Line]]),UO_List[Unique_AIB_ID]))*(UO_List[Qté Réception 10/2020]))</f>
        <v>0</v>
      </c>
      <c r="CG16" s="84">
        <v>0</v>
      </c>
      <c r="CH16" s="351"/>
      <c r="CI16" s="351">
        <f>IFERROR(Tableau1[[#This Row],[Qté Facturé 10/2018]]*Tableau1[[#This Row],[Unit Price (calcul)]],"")</f>
        <v>0</v>
      </c>
      <c r="CJ16" s="351" t="str">
        <f>IFERROR(IF(Tableau1[[#This Row],[Montant Facturé 10/2018]]&gt;0,Tableau1[[#This Row],[Montant Facturé 10/2018]]/Taux_Change_SII,""),"")</f>
        <v/>
      </c>
      <c r="CK16" s="351"/>
      <c r="CL16" s="83">
        <f>SUMPRODUCT(1*(EXACT(CONCATENATE(Tableau1[[#This Row],[PO Number (Header)]],"-",Tableau1[[#This Row],[Line]]),UO_List[Unique_AIB_ID]))*(UO_List[Qté Réception 11/2020]))</f>
        <v>0</v>
      </c>
      <c r="CM16" s="84"/>
      <c r="CN16" s="351"/>
      <c r="CO16" s="351">
        <f>IFERROR(Tableau1[[#This Row],[Qté Facturé 11/2018]]*Tableau1[[#This Row],[Unit Price (calcul)]],"")</f>
        <v>0</v>
      </c>
      <c r="CP16" s="351" t="str">
        <f>IFERROR(IF(Tableau1[[#This Row],[Montant Facturé 11/2018]]&gt;0,Tableau1[[#This Row],[Montant Facturé 11/2018]]/Taux_Change_SII,""),"")</f>
        <v/>
      </c>
      <c r="CQ16" s="351"/>
      <c r="CR16" s="83">
        <f>SUMPRODUCT(1*(EXACT(CONCATENATE(Tableau1[[#This Row],[PO Number (Header)]],"-",Tableau1[[#This Row],[Line]]),UO_List[Unique_AIB_ID]))*(UO_List[Qté Réception 12/2020]))</f>
        <v>0</v>
      </c>
      <c r="CS16" s="84"/>
      <c r="CT16" s="351"/>
      <c r="CU16" s="351">
        <f>IFERROR(Tableau1[[#This Row],[Qté Facturé 12/2018]]*Tableau1[[#This Row],[Unit Price (calcul)]],"")</f>
        <v>0</v>
      </c>
      <c r="CV16" s="351" t="str">
        <f>IFERROR(IF(Tableau1[[#This Row],[Montant Facturé 12/2018]]&gt;0,Tableau1[[#This Row],[Montant Facturé 12/2018]]/Taux_Change_SII,""),"")</f>
        <v/>
      </c>
      <c r="CW16" s="351"/>
      <c r="CX1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1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1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16" s="352">
        <f>IFERROR(Tableau1[[#This Row],[Total item réceptionné]]*Tableau1[[#This Row],[Unit Price (calcul)]],"")</f>
        <v>3360</v>
      </c>
      <c r="DB16" s="352">
        <f>IFERROR(Tableau1[[#This Row],[Total item à Facturer]]*Tableau1[[#This Row],[Unit Price (calcul)]],"")</f>
        <v>3360</v>
      </c>
      <c r="DC16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3360</v>
      </c>
      <c r="DD16" s="352">
        <f>IFERROR(Tableau1[[#This Row],[Line Total]]-Tableau1[[#This Row],[Total Price Réceptionné]],"")</f>
        <v>6720</v>
      </c>
      <c r="DE16" s="352">
        <f>IFERROR(Tableau1[[#This Row],[Total Price Réceptionné]]-Tableau1[[#This Row],[Total Price A facturer]],"")</f>
        <v>0</v>
      </c>
      <c r="DF16" s="353">
        <f>IFERROR(Tableau1[[#This Row],[Total Price A facturer]]-Tableau1[[#This Row],[Total Price Facturé]],"")</f>
        <v>0</v>
      </c>
      <c r="DG16" s="76">
        <f>Tableau1[[#This Row],[Total Item Quantity]]-Tableau1[[#This Row],[Total item réceptionné]]</f>
        <v>2</v>
      </c>
      <c r="DH16" s="167"/>
      <c r="DI16" s="167"/>
    </row>
    <row r="17" spans="1:113" s="107" customFormat="1">
      <c r="A17" s="107" t="str">
        <f>CONCATENATE(Tableau1[[#This Row],[PO Number (Header)]],"-",Tableau1[[#This Row],[Line]])</f>
        <v>C000482017-3</v>
      </c>
      <c r="B17" s="396" t="s">
        <v>901</v>
      </c>
      <c r="C17" s="417" t="s">
        <v>726</v>
      </c>
      <c r="D17" s="418" t="s">
        <v>802</v>
      </c>
      <c r="E17" s="417"/>
      <c r="F17" s="536">
        <v>3</v>
      </c>
      <c r="G17" s="417" t="s">
        <v>906</v>
      </c>
      <c r="H17" s="332">
        <v>9</v>
      </c>
      <c r="I17" s="383">
        <v>30240</v>
      </c>
      <c r="J17" s="419" t="s">
        <v>629</v>
      </c>
      <c r="K17" s="548">
        <v>0</v>
      </c>
      <c r="L17" s="420"/>
      <c r="M17" s="419"/>
      <c r="N17" s="77"/>
      <c r="O17" s="101"/>
      <c r="P17" s="77"/>
      <c r="Q17" s="395" t="s">
        <v>630</v>
      </c>
      <c r="R17" s="395">
        <v>0</v>
      </c>
      <c r="S17" s="77" t="s">
        <v>902</v>
      </c>
      <c r="T17" s="77"/>
      <c r="U17" s="77"/>
      <c r="V17" s="77" t="s">
        <v>903</v>
      </c>
      <c r="W17" s="167" t="s">
        <v>907</v>
      </c>
      <c r="X17" s="167" t="s">
        <v>786</v>
      </c>
      <c r="Y17" s="167">
        <f>IF(ISBLANK(Tableau1[[#This Row],[PO Number (Header)]]),"",Tableau1[[#This Row],[Line Total]]/Tableau1[[#This Row],[Total Item Quantity]])</f>
        <v>3360</v>
      </c>
      <c r="Z17" s="167" t="str">
        <f>IF(ISNA(VLOOKUP(Tableau1[[#This Row],[Unique_AIB_ID]],UO_List[Unique_AIB_ID],1,FALSE)),IF(ISBLANK(Tableau1[[#This Row],[PO Number (Header)]]),"","FAUX"),"VRAI")</f>
        <v>VRAI</v>
      </c>
      <c r="AA17" s="167"/>
      <c r="AB17" s="162" t="str">
        <f>VLOOKUP(Tableau1[[#This Row],[Unique_AIB_ID]],UO_List[[Unique_AIB_ID]:[OLGA F6]],3,FALSE)</f>
        <v>3173-11</v>
      </c>
      <c r="AC17" s="162" t="s">
        <v>773</v>
      </c>
      <c r="AD17" s="83">
        <f>SUMPRODUCT(1*(EXACT(CONCATENATE(Tableau1[[#This Row],[PO Number (Header)]],"-",Tableau1[[#This Row],[Line]]),UO_List[Unique_AIB_ID]))*(UO_List[Qté Réception 03/2020]))</f>
        <v>0</v>
      </c>
      <c r="AE17" s="84">
        <v>0</v>
      </c>
      <c r="AF17" s="357"/>
      <c r="AG17" s="351">
        <f>IFERROR(Tableau1[[#This Row],[Qté Facturé 01/2018]]*Tableau1[[#This Row],[Unit Price (calcul)]],"")</f>
        <v>0</v>
      </c>
      <c r="AH17" s="356" t="str">
        <f>IFERROR(IF(Tableau1[[#This Row],[Montant Facturé 01/2018]]&gt;0,Tableau1[[#This Row],[Montant Facturé 01/2018]]/Taux_Change_SII,""),"")</f>
        <v/>
      </c>
      <c r="AI17" s="351"/>
      <c r="AJ17" s="83">
        <f>SUMPRODUCT(1*(EXACT(CONCATENATE(Tableau1[[#This Row],[PO Number (Header)]],"-",Tableau1[[#This Row],[Line]]),UO_List[Unique_AIB_ID]))*(UO_List[Qté Réception 02/2020]))</f>
        <v>0</v>
      </c>
      <c r="AK17" s="83">
        <f>SUMPRODUCT(1*(EXACT(CONCATENATE(Tableau1[[#This Row],[PO Number (Header)]],"-",Tableau1[[#This Row],[Line]]),UO_List[Unique_AIB_ID]))*(UO_List[Qté Réception 02/2020]))</f>
        <v>0</v>
      </c>
      <c r="AL17" s="357"/>
      <c r="AM17" s="351">
        <f>IFERROR(Tableau1[[#This Row],[Qté Facturé 02/2018]]*Tableau1[[#This Row],[Unit Price (calcul)]],"")</f>
        <v>0</v>
      </c>
      <c r="AN17" s="351" t="str">
        <f>IFERROR(IF(Tableau1[[#This Row],[Montant Facturé 02/2018]]&gt;0,Tableau1[[#This Row],[Montant Facturé 02/2018]]/Taux_Change_SII,""),"")</f>
        <v/>
      </c>
      <c r="AO17" s="351"/>
      <c r="AP17" s="83">
        <f>SUMPRODUCT(1*(EXACT(CONCATENATE(Tableau1[[#This Row],[PO Number (Header)]],"-",Tableau1[[#This Row],[Line]]),UO_List[Unique_AIB_ID]))*(UO_List[Qté Réception 00/2020]))</f>
        <v>0</v>
      </c>
      <c r="AQ17" s="84"/>
      <c r="AR17" s="357"/>
      <c r="AS17" s="351">
        <f>IFERROR(Tableau1[[#This Row],[Qté Facturé 03/2018]]*Tableau1[[#This Row],[Unit Price (calcul)]],"")</f>
        <v>0</v>
      </c>
      <c r="AT17" s="358" t="str">
        <f>IFERROR(IF(Tableau1[[#This Row],[Montant Facturé 03/2018]]&gt;0,Tableau1[[#This Row],[Montant Facturé 03/2018]]/Taux_Change_SII,""),"")</f>
        <v/>
      </c>
      <c r="AU17" s="351"/>
      <c r="AV17" s="83">
        <f>SUMPRODUCT(1*(EXACT(CONCATENATE(Tableau1[[#This Row],[PO Number (Header)]],"-",Tableau1[[#This Row],[Line]]),UO_List[Unique_AIB_ID]))*(UO_List[Qté Réception 04/2020]))</f>
        <v>0</v>
      </c>
      <c r="AW17" s="84">
        <v>0</v>
      </c>
      <c r="AX17" s="351"/>
      <c r="AY17" s="351">
        <f>IFERROR(Tableau1[[#This Row],[Qté Facturé 04/2018]]*Tableau1[[#This Row],[Unit Price (calcul)]],"")</f>
        <v>0</v>
      </c>
      <c r="AZ17" s="351" t="str">
        <f>IFERROR(IF(Tableau1[[#This Row],[Montant Facturé 04/2018]]&gt;0,Tableau1[[#This Row],[Montant Facturé 04/2018]]/Taux_Change_SII,""),"")</f>
        <v/>
      </c>
      <c r="BA17" s="351"/>
      <c r="BB17" s="83">
        <f>SUMPRODUCT(1*(EXACT(CONCATENATE(Tableau1[[#This Row],[PO Number (Header)]],"-",Tableau1[[#This Row],[Line]]),UO_List[Unique_AIB_ID]))*(UO_List[Qté Réception 05/2020]))</f>
        <v>0</v>
      </c>
      <c r="BC17" s="84">
        <v>0</v>
      </c>
      <c r="BD17" s="351"/>
      <c r="BE17" s="351">
        <f>IFERROR(Tableau1[[#This Row],[Qté Facturé 05/2018]]*Tableau1[[#This Row],[Unit Price (calcul)]],"")</f>
        <v>0</v>
      </c>
      <c r="BF17" s="351" t="str">
        <f>IFERROR(IF(Tableau1[[#This Row],[Montant Facturé 05/2018]]&gt;0,Tableau1[[#This Row],[Montant Facturé 05/2018]]/Taux_Change_SII,""),"")</f>
        <v/>
      </c>
      <c r="BG17" s="351"/>
      <c r="BH17" s="83">
        <f>SUMPRODUCT(1*(EXACT(CONCATENATE(Tableau1[[#This Row],[PO Number (Header)]],"-",Tableau1[[#This Row],[Line]]),UO_List[Unique_AIB_ID]))*(UO_List[Qté Réception 06/2020]))</f>
        <v>0</v>
      </c>
      <c r="BI17" s="84">
        <v>0</v>
      </c>
      <c r="BJ17" s="351"/>
      <c r="BK17" s="351">
        <f>IFERROR(Tableau1[[#This Row],[Qté Facturé 06/2018]]*Tableau1[[#This Row],[Unit Price (calcul)]],"")</f>
        <v>0</v>
      </c>
      <c r="BL17" s="351" t="str">
        <f>IFERROR(IF(Tableau1[[#This Row],[Montant Facturé 06/2018]]&gt;0,Tableau1[[#This Row],[Montant Facturé 06/2018]]/Taux_Change_SII,""),"")</f>
        <v/>
      </c>
      <c r="BM17" s="351"/>
      <c r="BN17" s="83">
        <f>SUMPRODUCT(1*(EXACT(CONCATENATE(Tableau1[[#This Row],[PO Number (Header)]],"-",Tableau1[[#This Row],[Line]]),UO_List[Unique_AIB_ID]))*(UO_List[Qté Réception 07/2020]))</f>
        <v>0</v>
      </c>
      <c r="BO17" s="84">
        <v>0</v>
      </c>
      <c r="BP17" s="351"/>
      <c r="BQ17" s="351">
        <f>IFERROR(Tableau1[[#This Row],[Qté Facturé 07/2018]]*Tableau1[[#This Row],[Unit Price (calcul)]],"")</f>
        <v>0</v>
      </c>
      <c r="BR17" s="351" t="str">
        <f>IFERROR(IF(Tableau1[[#This Row],[Montant Facturé 07/2018]]&gt;0,Tableau1[[#This Row],[Montant Facturé 07/2018]]/Taux_Change_SII,""),"")</f>
        <v/>
      </c>
      <c r="BS17" s="351"/>
      <c r="BT17" s="83">
        <f>SUMPRODUCT(1*(EXACT(CONCATENATE(Tableau1[[#This Row],[PO Number (Header)]],"-",Tableau1[[#This Row],[Line]]),UO_List[Unique_AIB_ID]))*(UO_List[Qté Réception 08/2020]))</f>
        <v>0</v>
      </c>
      <c r="BU17" s="84"/>
      <c r="BV17" s="351"/>
      <c r="BW17" s="351">
        <f>IFERROR(Tableau1[[#This Row],[Qté Facturé 08/2018]]*Tableau1[[#This Row],[Unit Price (calcul)]],"")</f>
        <v>0</v>
      </c>
      <c r="BX17" s="351" t="str">
        <f>IFERROR(IF(Tableau1[[#This Row],[Montant Facturé 08/2018]]&gt;0,Tableau1[[#This Row],[Montant Facturé 08/2018]]/Taux_Change_SII,""),"")</f>
        <v/>
      </c>
      <c r="BY17" s="351"/>
      <c r="BZ17" s="83">
        <f>SUMPRODUCT(1*(EXACT(CONCATENATE(Tableau1[[#This Row],[PO Number (Header)]],"-",Tableau1[[#This Row],[Line]]),UO_List[Unique_AIB_ID]))*(UO_List[Qté Réception 09/2020]))</f>
        <v>0</v>
      </c>
      <c r="CA17" s="84">
        <v>0</v>
      </c>
      <c r="CB17" s="351"/>
      <c r="CC17" s="351">
        <f>IFERROR(Tableau1[[#This Row],[Qté Facturé 09/2018]]*Tableau1[[#This Row],[Unit Price (calcul)]],"")</f>
        <v>0</v>
      </c>
      <c r="CD17" s="351" t="str">
        <f>IFERROR(IF(Tableau1[[#This Row],[Montant Facturé 09/2018]]&gt;0,Tableau1[[#This Row],[Montant Facturé 09/2018]]/Taux_Change_SII,""),"")</f>
        <v/>
      </c>
      <c r="CE17" s="351"/>
      <c r="CF17" s="83">
        <f>SUMPRODUCT(1*(EXACT(CONCATENATE(Tableau1[[#This Row],[PO Number (Header)]],"-",Tableau1[[#This Row],[Line]]),UO_List[Unique_AIB_ID]))*(UO_List[Qté Réception 10/2020]))</f>
        <v>0</v>
      </c>
      <c r="CG17" s="84">
        <v>0</v>
      </c>
      <c r="CH17" s="351"/>
      <c r="CI17" s="351">
        <f>IFERROR(Tableau1[[#This Row],[Qté Facturé 10/2018]]*Tableau1[[#This Row],[Unit Price (calcul)]],"")</f>
        <v>0</v>
      </c>
      <c r="CJ17" s="351" t="str">
        <f>IFERROR(IF(Tableau1[[#This Row],[Montant Facturé 10/2018]]&gt;0,Tableau1[[#This Row],[Montant Facturé 10/2018]]/Taux_Change_SII,""),"")</f>
        <v/>
      </c>
      <c r="CK17" s="351"/>
      <c r="CL17" s="83">
        <f>SUMPRODUCT(1*(EXACT(CONCATENATE(Tableau1[[#This Row],[PO Number (Header)]],"-",Tableau1[[#This Row],[Line]]),UO_List[Unique_AIB_ID]))*(UO_List[Qté Réception 11/2020]))</f>
        <v>0</v>
      </c>
      <c r="CM17" s="84"/>
      <c r="CN17" s="351"/>
      <c r="CO17" s="351">
        <f>IFERROR(Tableau1[[#This Row],[Qté Facturé 11/2018]]*Tableau1[[#This Row],[Unit Price (calcul)]],"")</f>
        <v>0</v>
      </c>
      <c r="CP17" s="351" t="str">
        <f>IFERROR(IF(Tableau1[[#This Row],[Montant Facturé 11/2018]]&gt;0,Tableau1[[#This Row],[Montant Facturé 11/2018]]/Taux_Change_SII,""),"")</f>
        <v/>
      </c>
      <c r="CQ17" s="351"/>
      <c r="CR17" s="83">
        <f>SUMPRODUCT(1*(EXACT(CONCATENATE(Tableau1[[#This Row],[PO Number (Header)]],"-",Tableau1[[#This Row],[Line]]),UO_List[Unique_AIB_ID]))*(UO_List[Qté Réception 12/2020]))</f>
        <v>0</v>
      </c>
      <c r="CS17" s="84"/>
      <c r="CT17" s="351"/>
      <c r="CU17" s="351">
        <f>IFERROR(Tableau1[[#This Row],[Qté Facturé 12/2018]]*Tableau1[[#This Row],[Unit Price (calcul)]],"")</f>
        <v>0</v>
      </c>
      <c r="CV17" s="351" t="str">
        <f>IFERROR(IF(Tableau1[[#This Row],[Montant Facturé 12/2018]]&gt;0,Tableau1[[#This Row],[Montant Facturé 12/2018]]/Taux_Change_SII,""),"")</f>
        <v/>
      </c>
      <c r="CW17" s="351"/>
      <c r="CX1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" s="352">
        <f>IFERROR(Tableau1[[#This Row],[Total item réceptionné]]*Tableau1[[#This Row],[Unit Price (calcul)]],"")</f>
        <v>0</v>
      </c>
      <c r="DB17" s="352">
        <f>IFERROR(Tableau1[[#This Row],[Total item à Facturer]]*Tableau1[[#This Row],[Unit Price (calcul)]],"")</f>
        <v>0</v>
      </c>
      <c r="DC17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17" s="352">
        <f>IFERROR(Tableau1[[#This Row],[Line Total]]-Tableau1[[#This Row],[Total Price Réceptionné]],"")</f>
        <v>30240</v>
      </c>
      <c r="DE17" s="352">
        <f>IFERROR(Tableau1[[#This Row],[Total Price Réceptionné]]-Tableau1[[#This Row],[Total Price A facturer]],"")</f>
        <v>0</v>
      </c>
      <c r="DF17" s="353">
        <f>IFERROR(Tableau1[[#This Row],[Total Price A facturer]]-Tableau1[[#This Row],[Total Price Facturé]],"")</f>
        <v>0</v>
      </c>
      <c r="DG17" s="76">
        <f>Tableau1[[#This Row],[Total Item Quantity]]-Tableau1[[#This Row],[Total item réceptionné]]</f>
        <v>9</v>
      </c>
      <c r="DH17" s="167"/>
      <c r="DI17" s="167"/>
    </row>
    <row r="18" spans="1:113" s="74" customFormat="1">
      <c r="A18" s="77" t="str">
        <f>CONCATENATE(Tableau1[[#This Row],[PO Number (Header)]],"-",Tableau1[[#This Row],[Line]])</f>
        <v>C000482017-4</v>
      </c>
      <c r="B18" s="397" t="s">
        <v>901</v>
      </c>
      <c r="C18" s="421" t="s">
        <v>726</v>
      </c>
      <c r="D18" s="422" t="s">
        <v>802</v>
      </c>
      <c r="E18" s="421"/>
      <c r="F18" s="537">
        <v>4</v>
      </c>
      <c r="G18" s="421" t="s">
        <v>908</v>
      </c>
      <c r="H18" s="332">
        <v>6</v>
      </c>
      <c r="I18" s="383">
        <v>20160</v>
      </c>
      <c r="J18" s="421" t="s">
        <v>629</v>
      </c>
      <c r="K18" s="537">
        <v>0</v>
      </c>
      <c r="L18" s="421"/>
      <c r="M18" s="421"/>
      <c r="N18" s="77"/>
      <c r="O18" s="77"/>
      <c r="P18" s="77"/>
      <c r="Q18" s="395" t="s">
        <v>630</v>
      </c>
      <c r="R18" s="395">
        <v>0</v>
      </c>
      <c r="S18" s="77" t="s">
        <v>902</v>
      </c>
      <c r="T18" s="77"/>
      <c r="U18" s="77"/>
      <c r="V18" s="77" t="s">
        <v>903</v>
      </c>
      <c r="W18" s="167" t="s">
        <v>909</v>
      </c>
      <c r="X18" s="167" t="s">
        <v>786</v>
      </c>
      <c r="Y18" s="167">
        <f>IF(ISBLANK(Tableau1[[#This Row],[PO Number (Header)]]),"",Tableau1[[#This Row],[Line Total]]/Tableau1[[#This Row],[Total Item Quantity]])</f>
        <v>3360</v>
      </c>
      <c r="Z18" s="167" t="str">
        <f>IF(ISNA(VLOOKUP(Tableau1[[#This Row],[Unique_AIB_ID]],UO_List[Unique_AIB_ID],1,FALSE)),IF(ISBLANK(Tableau1[[#This Row],[PO Number (Header)]]),"","FAUX"),"VRAI")</f>
        <v>VRAI</v>
      </c>
      <c r="AA18" s="167" t="s">
        <v>634</v>
      </c>
      <c r="AB18" s="162" t="str">
        <f>VLOOKUP(Tableau1[[#This Row],[Unique_AIB_ID]],UO_List[[Unique_AIB_ID]:[OLGA F6]],3,FALSE)</f>
        <v>3173-11</v>
      </c>
      <c r="AC18" s="162" t="s">
        <v>991</v>
      </c>
      <c r="AD18" s="83">
        <f>SUMPRODUCT(1*(EXACT(CONCATENATE(Tableau1[[#This Row],[PO Number (Header)]],"-",Tableau1[[#This Row],[Line]]),UO_List[Unique_AIB_ID]))*(UO_List[Qté Réception 03/2020]))</f>
        <v>2</v>
      </c>
      <c r="AE18" s="84">
        <v>2</v>
      </c>
      <c r="AF18" s="84">
        <v>2</v>
      </c>
      <c r="AG18" s="351">
        <f>IFERROR(Tableau1[[#This Row],[Qté Facturé 01/2018]]*Tableau1[[#This Row],[Unit Price (calcul)]],"")</f>
        <v>6720</v>
      </c>
      <c r="AH18" s="356">
        <f>IFERROR(IF(Tableau1[[#This Row],[Montant Facturé 01/2018]]&gt;0,Tableau1[[#This Row],[Montant Facturé 01/2018]]/Taux_Change_SII,""),"")</f>
        <v>4977.7777777777774</v>
      </c>
      <c r="AI18" s="351"/>
      <c r="AJ18" s="83">
        <f>SUMPRODUCT(1*(EXACT(CONCATENATE(Tableau1[[#This Row],[PO Number (Header)]],"-",Tableau1[[#This Row],[Line]]),UO_List[Unique_AIB_ID]))*(UO_List[Qté Réception 02/2020]))</f>
        <v>0</v>
      </c>
      <c r="AK18" s="83">
        <f>SUMPRODUCT(1*(EXACT(CONCATENATE(Tableau1[[#This Row],[PO Number (Header)]],"-",Tableau1[[#This Row],[Line]]),UO_List[Unique_AIB_ID]))*(UO_List[Qté Réception 02/2020]))</f>
        <v>0</v>
      </c>
      <c r="AL18" s="357"/>
      <c r="AM18" s="351">
        <f>IFERROR(Tableau1[[#This Row],[Qté Facturé 02/2018]]*Tableau1[[#This Row],[Unit Price (calcul)]],"")</f>
        <v>0</v>
      </c>
      <c r="AN18" s="351" t="str">
        <f>IFERROR(IF(Tableau1[[#This Row],[Montant Facturé 02/2018]]&gt;0,Tableau1[[#This Row],[Montant Facturé 02/2018]]/Taux_Change_SII,""),"")</f>
        <v/>
      </c>
      <c r="AO18" s="351"/>
      <c r="AP18" s="83">
        <f>SUMPRODUCT(1*(EXACT(CONCATENATE(Tableau1[[#This Row],[PO Number (Header)]],"-",Tableau1[[#This Row],[Line]]),UO_List[Unique_AIB_ID]))*(UO_List[Qté Réception 00/2020]))</f>
        <v>0</v>
      </c>
      <c r="AQ18" s="84"/>
      <c r="AR18" s="357"/>
      <c r="AS18" s="351">
        <f>IFERROR(Tableau1[[#This Row],[Qté Facturé 03/2018]]*Tableau1[[#This Row],[Unit Price (calcul)]],"")</f>
        <v>0</v>
      </c>
      <c r="AT18" s="358" t="str">
        <f>IFERROR(IF(Tableau1[[#This Row],[Montant Facturé 03/2018]]&gt;0,Tableau1[[#This Row],[Montant Facturé 03/2018]]/Taux_Change_SII,""),"")</f>
        <v/>
      </c>
      <c r="AU18" s="351"/>
      <c r="AV18" s="83">
        <f>SUMPRODUCT(1*(EXACT(CONCATENATE(Tableau1[[#This Row],[PO Number (Header)]],"-",Tableau1[[#This Row],[Line]]),UO_List[Unique_AIB_ID]))*(UO_List[Qté Réception 04/2020]))</f>
        <v>0</v>
      </c>
      <c r="AW18" s="84">
        <v>0</v>
      </c>
      <c r="AX18" s="351"/>
      <c r="AY18" s="351">
        <f>IFERROR(Tableau1[[#This Row],[Qté Facturé 04/2018]]*Tableau1[[#This Row],[Unit Price (calcul)]],"")</f>
        <v>0</v>
      </c>
      <c r="AZ18" s="351" t="str">
        <f>IFERROR(IF(Tableau1[[#This Row],[Montant Facturé 04/2018]]&gt;0,Tableau1[[#This Row],[Montant Facturé 04/2018]]/Taux_Change_SII,""),"")</f>
        <v/>
      </c>
      <c r="BA18" s="351"/>
      <c r="BB18" s="83">
        <f>SUMPRODUCT(1*(EXACT(CONCATENATE(Tableau1[[#This Row],[PO Number (Header)]],"-",Tableau1[[#This Row],[Line]]),UO_List[Unique_AIB_ID]))*(UO_List[Qté Réception 05/2020]))</f>
        <v>0</v>
      </c>
      <c r="BC18" s="84">
        <v>0</v>
      </c>
      <c r="BD18" s="351"/>
      <c r="BE18" s="351">
        <f>IFERROR(Tableau1[[#This Row],[Qté Facturé 05/2018]]*Tableau1[[#This Row],[Unit Price (calcul)]],"")</f>
        <v>0</v>
      </c>
      <c r="BF18" s="351" t="str">
        <f>IFERROR(IF(Tableau1[[#This Row],[Montant Facturé 05/2018]]&gt;0,Tableau1[[#This Row],[Montant Facturé 05/2018]]/Taux_Change_SII,""),"")</f>
        <v/>
      </c>
      <c r="BG18" s="351"/>
      <c r="BH18" s="83">
        <f>SUMPRODUCT(1*(EXACT(CONCATENATE(Tableau1[[#This Row],[PO Number (Header)]],"-",Tableau1[[#This Row],[Line]]),UO_List[Unique_AIB_ID]))*(UO_List[Qté Réception 06/2020]))</f>
        <v>0</v>
      </c>
      <c r="BI18" s="84">
        <v>0</v>
      </c>
      <c r="BJ18" s="351"/>
      <c r="BK18" s="351">
        <f>IFERROR(Tableau1[[#This Row],[Qté Facturé 06/2018]]*Tableau1[[#This Row],[Unit Price (calcul)]],"")</f>
        <v>0</v>
      </c>
      <c r="BL18" s="351" t="str">
        <f>IFERROR(IF(Tableau1[[#This Row],[Montant Facturé 06/2018]]&gt;0,Tableau1[[#This Row],[Montant Facturé 06/2018]]/Taux_Change_SII,""),"")</f>
        <v/>
      </c>
      <c r="BM18" s="351"/>
      <c r="BN18" s="83">
        <f>SUMPRODUCT(1*(EXACT(CONCATENATE(Tableau1[[#This Row],[PO Number (Header)]],"-",Tableau1[[#This Row],[Line]]),UO_List[Unique_AIB_ID]))*(UO_List[Qté Réception 07/2020]))</f>
        <v>0</v>
      </c>
      <c r="BO18" s="84">
        <v>0</v>
      </c>
      <c r="BP18" s="351"/>
      <c r="BQ18" s="351">
        <f>IFERROR(Tableau1[[#This Row],[Qté Facturé 07/2018]]*Tableau1[[#This Row],[Unit Price (calcul)]],"")</f>
        <v>0</v>
      </c>
      <c r="BR18" s="351" t="str">
        <f>IFERROR(IF(Tableau1[[#This Row],[Montant Facturé 07/2018]]&gt;0,Tableau1[[#This Row],[Montant Facturé 07/2018]]/Taux_Change_SII,""),"")</f>
        <v/>
      </c>
      <c r="BS18" s="351"/>
      <c r="BT18" s="83">
        <f>SUMPRODUCT(1*(EXACT(CONCATENATE(Tableau1[[#This Row],[PO Number (Header)]],"-",Tableau1[[#This Row],[Line]]),UO_List[Unique_AIB_ID]))*(UO_List[Qté Réception 08/2020]))</f>
        <v>0</v>
      </c>
      <c r="BU18" s="84"/>
      <c r="BV18" s="351"/>
      <c r="BW18" s="351">
        <f>IFERROR(Tableau1[[#This Row],[Qté Facturé 08/2018]]*Tableau1[[#This Row],[Unit Price (calcul)]],"")</f>
        <v>0</v>
      </c>
      <c r="BX18" s="351" t="str">
        <f>IFERROR(IF(Tableau1[[#This Row],[Montant Facturé 08/2018]]&gt;0,Tableau1[[#This Row],[Montant Facturé 08/2018]]/Taux_Change_SII,""),"")</f>
        <v/>
      </c>
      <c r="BY18" s="351"/>
      <c r="BZ18" s="83">
        <f>SUMPRODUCT(1*(EXACT(CONCATENATE(Tableau1[[#This Row],[PO Number (Header)]],"-",Tableau1[[#This Row],[Line]]),UO_List[Unique_AIB_ID]))*(UO_List[Qté Réception 09/2020]))</f>
        <v>0</v>
      </c>
      <c r="CA18" s="84">
        <v>0</v>
      </c>
      <c r="CB18" s="351"/>
      <c r="CC18" s="351">
        <f>IFERROR(Tableau1[[#This Row],[Qté Facturé 09/2018]]*Tableau1[[#This Row],[Unit Price (calcul)]],"")</f>
        <v>0</v>
      </c>
      <c r="CD18" s="351" t="str">
        <f>IFERROR(IF(Tableau1[[#This Row],[Montant Facturé 09/2018]]&gt;0,Tableau1[[#This Row],[Montant Facturé 09/2018]]/Taux_Change_SII,""),"")</f>
        <v/>
      </c>
      <c r="CE18" s="351"/>
      <c r="CF18" s="83">
        <f>SUMPRODUCT(1*(EXACT(CONCATENATE(Tableau1[[#This Row],[PO Number (Header)]],"-",Tableau1[[#This Row],[Line]]),UO_List[Unique_AIB_ID]))*(UO_List[Qté Réception 10/2020]))</f>
        <v>0</v>
      </c>
      <c r="CG18" s="84">
        <v>0</v>
      </c>
      <c r="CH18" s="351"/>
      <c r="CI18" s="351">
        <f>IFERROR(Tableau1[[#This Row],[Qté Facturé 10/2018]]*Tableau1[[#This Row],[Unit Price (calcul)]],"")</f>
        <v>0</v>
      </c>
      <c r="CJ18" s="351" t="str">
        <f>IFERROR(IF(Tableau1[[#This Row],[Montant Facturé 10/2018]]&gt;0,Tableau1[[#This Row],[Montant Facturé 10/2018]]/Taux_Change_SII,""),"")</f>
        <v/>
      </c>
      <c r="CK18" s="351"/>
      <c r="CL18" s="83">
        <f>SUMPRODUCT(1*(EXACT(CONCATENATE(Tableau1[[#This Row],[PO Number (Header)]],"-",Tableau1[[#This Row],[Line]]),UO_List[Unique_AIB_ID]))*(UO_List[Qté Réception 11/2020]))</f>
        <v>0</v>
      </c>
      <c r="CM18" s="84"/>
      <c r="CN18" s="351"/>
      <c r="CO18" s="351">
        <f>IFERROR(Tableau1[[#This Row],[Qté Facturé 11/2018]]*Tableau1[[#This Row],[Unit Price (calcul)]],"")</f>
        <v>0</v>
      </c>
      <c r="CP18" s="351" t="str">
        <f>IFERROR(IF(Tableau1[[#This Row],[Montant Facturé 11/2018]]&gt;0,Tableau1[[#This Row],[Montant Facturé 11/2018]]/Taux_Change_SII,""),"")</f>
        <v/>
      </c>
      <c r="CQ18" s="351"/>
      <c r="CR18" s="83">
        <f>SUMPRODUCT(1*(EXACT(CONCATENATE(Tableau1[[#This Row],[PO Number (Header)]],"-",Tableau1[[#This Row],[Line]]),UO_List[Unique_AIB_ID]))*(UO_List[Qté Réception 12/2020]))</f>
        <v>0</v>
      </c>
      <c r="CS18" s="84"/>
      <c r="CT18" s="351"/>
      <c r="CU18" s="351">
        <f>IFERROR(Tableau1[[#This Row],[Qté Facturé 12/2018]]*Tableau1[[#This Row],[Unit Price (calcul)]],"")</f>
        <v>0</v>
      </c>
      <c r="CV18" s="351" t="str">
        <f>IFERROR(IF(Tableau1[[#This Row],[Montant Facturé 12/2018]]&gt;0,Tableau1[[#This Row],[Montant Facturé 12/2018]]/Taux_Change_SII,""),"")</f>
        <v/>
      </c>
      <c r="CW18" s="351"/>
      <c r="CX1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2</v>
      </c>
      <c r="CY1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2</v>
      </c>
      <c r="CZ1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2</v>
      </c>
      <c r="DA18" s="352">
        <f>IFERROR(Tableau1[[#This Row],[Total item réceptionné]]*Tableau1[[#This Row],[Unit Price (calcul)]],"")</f>
        <v>6720</v>
      </c>
      <c r="DB18" s="352">
        <f>IFERROR(Tableau1[[#This Row],[Total item à Facturer]]*Tableau1[[#This Row],[Unit Price (calcul)]],"")</f>
        <v>6720</v>
      </c>
      <c r="DC18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6720</v>
      </c>
      <c r="DD18" s="352">
        <f>IFERROR(Tableau1[[#This Row],[Line Total]]-Tableau1[[#This Row],[Total Price Réceptionné]],"")</f>
        <v>13440</v>
      </c>
      <c r="DE18" s="352">
        <f>IFERROR(Tableau1[[#This Row],[Total Price Réceptionné]]-Tableau1[[#This Row],[Total Price A facturer]],"")</f>
        <v>0</v>
      </c>
      <c r="DF18" s="353">
        <f>IFERROR(Tableau1[[#This Row],[Total Price A facturer]]-Tableau1[[#This Row],[Total Price Facturé]],"")</f>
        <v>0</v>
      </c>
      <c r="DG18" s="76">
        <f>Tableau1[[#This Row],[Total Item Quantity]]-Tableau1[[#This Row],[Total item réceptionné]]</f>
        <v>4</v>
      </c>
      <c r="DH18" s="167"/>
      <c r="DI18" s="167"/>
    </row>
    <row r="19" spans="1:113" s="74" customFormat="1">
      <c r="A19" s="77" t="str">
        <f>CONCATENATE(Tableau1[[#This Row],[PO Number (Header)]],"-",Tableau1[[#This Row],[Line]])</f>
        <v>C000482017-5</v>
      </c>
      <c r="B19" s="394" t="s">
        <v>901</v>
      </c>
      <c r="C19" s="423" t="s">
        <v>726</v>
      </c>
      <c r="D19" s="424" t="s">
        <v>802</v>
      </c>
      <c r="E19" s="423"/>
      <c r="F19" s="538">
        <v>5</v>
      </c>
      <c r="G19" s="423" t="s">
        <v>811</v>
      </c>
      <c r="H19" s="332">
        <v>4</v>
      </c>
      <c r="I19" s="383">
        <v>13440</v>
      </c>
      <c r="J19" s="423" t="s">
        <v>629</v>
      </c>
      <c r="K19" s="538">
        <v>0</v>
      </c>
      <c r="L19" s="423"/>
      <c r="M19" s="423"/>
      <c r="N19" s="77"/>
      <c r="O19" s="77"/>
      <c r="P19" s="77"/>
      <c r="Q19" s="395" t="s">
        <v>630</v>
      </c>
      <c r="R19" s="395">
        <v>0</v>
      </c>
      <c r="S19" s="77" t="s">
        <v>902</v>
      </c>
      <c r="T19" s="77"/>
      <c r="U19" s="77"/>
      <c r="V19" s="77" t="s">
        <v>903</v>
      </c>
      <c r="W19" s="167" t="s">
        <v>910</v>
      </c>
      <c r="X19" s="167" t="s">
        <v>786</v>
      </c>
      <c r="Y19" s="167">
        <f>IF(ISBLANK(Tableau1[[#This Row],[PO Number (Header)]]),"",Tableau1[[#This Row],[Line Total]]/Tableau1[[#This Row],[Total Item Quantity]])</f>
        <v>3360</v>
      </c>
      <c r="Z19" s="167" t="str">
        <f>IF(ISNA(VLOOKUP(Tableau1[[#This Row],[Unique_AIB_ID]],UO_List[Unique_AIB_ID],1,FALSE)),IF(ISBLANK(Tableau1[[#This Row],[PO Number (Header)]]),"","FAUX"),"VRAI")</f>
        <v>VRAI</v>
      </c>
      <c r="AA19" s="167" t="s">
        <v>634</v>
      </c>
      <c r="AB19" s="162" t="str">
        <f>VLOOKUP(Tableau1[[#This Row],[Unique_AIB_ID]],UO_List[[Unique_AIB_ID]:[OLGA F6]],3,FALSE)</f>
        <v>3173-11</v>
      </c>
      <c r="AC19" s="162" t="s">
        <v>991</v>
      </c>
      <c r="AD19" s="83">
        <f>SUMPRODUCT(1*(EXACT(CONCATENATE(Tableau1[[#This Row],[PO Number (Header)]],"-",Tableau1[[#This Row],[Line]]),UO_List[Unique_AIB_ID]))*(UO_List[Qté Réception 03/2020]))</f>
        <v>1</v>
      </c>
      <c r="AE19" s="84">
        <v>1</v>
      </c>
      <c r="AF19" s="84">
        <v>1</v>
      </c>
      <c r="AG19" s="351">
        <f>IFERROR(Tableau1[[#This Row],[Qté Facturé 01/2018]]*Tableau1[[#This Row],[Unit Price (calcul)]],"")</f>
        <v>3360</v>
      </c>
      <c r="AH19" s="356">
        <f>IFERROR(IF(Tableau1[[#This Row],[Montant Facturé 01/2018]]&gt;0,Tableau1[[#This Row],[Montant Facturé 01/2018]]/Taux_Change_SII,""),"")</f>
        <v>2488.8888888888887</v>
      </c>
      <c r="AI19" s="351"/>
      <c r="AJ19" s="83">
        <f>SUMPRODUCT(1*(EXACT(CONCATENATE(Tableau1[[#This Row],[PO Number (Header)]],"-",Tableau1[[#This Row],[Line]]),UO_List[Unique_AIB_ID]))*(UO_List[Qté Réception 02/2020]))</f>
        <v>0</v>
      </c>
      <c r="AK19" s="83">
        <f>SUMPRODUCT(1*(EXACT(CONCATENATE(Tableau1[[#This Row],[PO Number (Header)]],"-",Tableau1[[#This Row],[Line]]),UO_List[Unique_AIB_ID]))*(UO_List[Qté Réception 02/2020]))</f>
        <v>0</v>
      </c>
      <c r="AL19" s="357"/>
      <c r="AM19" s="351">
        <f>IFERROR(Tableau1[[#This Row],[Qté Facturé 02/2018]]*Tableau1[[#This Row],[Unit Price (calcul)]],"")</f>
        <v>0</v>
      </c>
      <c r="AN19" s="351" t="str">
        <f>IFERROR(IF(Tableau1[[#This Row],[Montant Facturé 02/2018]]&gt;0,Tableau1[[#This Row],[Montant Facturé 02/2018]]/Taux_Change_SII,""),"")</f>
        <v/>
      </c>
      <c r="AO19" s="351"/>
      <c r="AP19" s="83">
        <f>SUMPRODUCT(1*(EXACT(CONCATENATE(Tableau1[[#This Row],[PO Number (Header)]],"-",Tableau1[[#This Row],[Line]]),UO_List[Unique_AIB_ID]))*(UO_List[Qté Réception 00/2020]))</f>
        <v>0</v>
      </c>
      <c r="AQ19" s="84"/>
      <c r="AR19" s="357"/>
      <c r="AS19" s="351">
        <f>IFERROR(Tableau1[[#This Row],[Qté Facturé 03/2018]]*Tableau1[[#This Row],[Unit Price (calcul)]],"")</f>
        <v>0</v>
      </c>
      <c r="AT19" s="358" t="str">
        <f>IFERROR(IF(Tableau1[[#This Row],[Montant Facturé 03/2018]]&gt;0,Tableau1[[#This Row],[Montant Facturé 03/2018]]/Taux_Change_SII,""),"")</f>
        <v/>
      </c>
      <c r="AU19" s="351"/>
      <c r="AV19" s="83">
        <f>SUMPRODUCT(1*(EXACT(CONCATENATE(Tableau1[[#This Row],[PO Number (Header)]],"-",Tableau1[[#This Row],[Line]]),UO_List[Unique_AIB_ID]))*(UO_List[Qté Réception 04/2020]))</f>
        <v>0</v>
      </c>
      <c r="AW19" s="84">
        <v>0</v>
      </c>
      <c r="AX19" s="351"/>
      <c r="AY19" s="351">
        <f>IFERROR(Tableau1[[#This Row],[Qté Facturé 04/2018]]*Tableau1[[#This Row],[Unit Price (calcul)]],"")</f>
        <v>0</v>
      </c>
      <c r="AZ19" s="351" t="str">
        <f>IFERROR(IF(Tableau1[[#This Row],[Montant Facturé 04/2018]]&gt;0,Tableau1[[#This Row],[Montant Facturé 04/2018]]/Taux_Change_SII,""),"")</f>
        <v/>
      </c>
      <c r="BA19" s="351"/>
      <c r="BB19" s="83">
        <f>SUMPRODUCT(1*(EXACT(CONCATENATE(Tableau1[[#This Row],[PO Number (Header)]],"-",Tableau1[[#This Row],[Line]]),UO_List[Unique_AIB_ID]))*(UO_List[Qté Réception 05/2020]))</f>
        <v>0</v>
      </c>
      <c r="BC19" s="84">
        <v>0</v>
      </c>
      <c r="BD19" s="351"/>
      <c r="BE19" s="351">
        <f>IFERROR(Tableau1[[#This Row],[Qté Facturé 05/2018]]*Tableau1[[#This Row],[Unit Price (calcul)]],"")</f>
        <v>0</v>
      </c>
      <c r="BF19" s="351" t="str">
        <f>IFERROR(IF(Tableau1[[#This Row],[Montant Facturé 05/2018]]&gt;0,Tableau1[[#This Row],[Montant Facturé 05/2018]]/Taux_Change_SII,""),"")</f>
        <v/>
      </c>
      <c r="BG19" s="351"/>
      <c r="BH19" s="83">
        <f>SUMPRODUCT(1*(EXACT(CONCATENATE(Tableau1[[#This Row],[PO Number (Header)]],"-",Tableau1[[#This Row],[Line]]),UO_List[Unique_AIB_ID]))*(UO_List[Qté Réception 06/2020]))</f>
        <v>0</v>
      </c>
      <c r="BI19" s="84">
        <v>0</v>
      </c>
      <c r="BJ19" s="351"/>
      <c r="BK19" s="351">
        <f>IFERROR(Tableau1[[#This Row],[Qté Facturé 06/2018]]*Tableau1[[#This Row],[Unit Price (calcul)]],"")</f>
        <v>0</v>
      </c>
      <c r="BL19" s="351" t="str">
        <f>IFERROR(IF(Tableau1[[#This Row],[Montant Facturé 06/2018]]&gt;0,Tableau1[[#This Row],[Montant Facturé 06/2018]]/Taux_Change_SII,""),"")</f>
        <v/>
      </c>
      <c r="BM19" s="351"/>
      <c r="BN19" s="83">
        <f>SUMPRODUCT(1*(EXACT(CONCATENATE(Tableau1[[#This Row],[PO Number (Header)]],"-",Tableau1[[#This Row],[Line]]),UO_List[Unique_AIB_ID]))*(UO_List[Qté Réception 07/2020]))</f>
        <v>0</v>
      </c>
      <c r="BO19" s="84">
        <v>0</v>
      </c>
      <c r="BP19" s="351"/>
      <c r="BQ19" s="351">
        <f>IFERROR(Tableau1[[#This Row],[Qté Facturé 07/2018]]*Tableau1[[#This Row],[Unit Price (calcul)]],"")</f>
        <v>0</v>
      </c>
      <c r="BR19" s="351" t="str">
        <f>IFERROR(IF(Tableau1[[#This Row],[Montant Facturé 07/2018]]&gt;0,Tableau1[[#This Row],[Montant Facturé 07/2018]]/Taux_Change_SII,""),"")</f>
        <v/>
      </c>
      <c r="BS19" s="351"/>
      <c r="BT19" s="83">
        <f>SUMPRODUCT(1*(EXACT(CONCATENATE(Tableau1[[#This Row],[PO Number (Header)]],"-",Tableau1[[#This Row],[Line]]),UO_List[Unique_AIB_ID]))*(UO_List[Qté Réception 08/2020]))</f>
        <v>0</v>
      </c>
      <c r="BU19" s="84"/>
      <c r="BV19" s="351"/>
      <c r="BW19" s="351">
        <f>IFERROR(Tableau1[[#This Row],[Qté Facturé 08/2018]]*Tableau1[[#This Row],[Unit Price (calcul)]],"")</f>
        <v>0</v>
      </c>
      <c r="BX19" s="351" t="str">
        <f>IFERROR(IF(Tableau1[[#This Row],[Montant Facturé 08/2018]]&gt;0,Tableau1[[#This Row],[Montant Facturé 08/2018]]/Taux_Change_SII,""),"")</f>
        <v/>
      </c>
      <c r="BY19" s="351"/>
      <c r="BZ19" s="83">
        <f>SUMPRODUCT(1*(EXACT(CONCATENATE(Tableau1[[#This Row],[PO Number (Header)]],"-",Tableau1[[#This Row],[Line]]),UO_List[Unique_AIB_ID]))*(UO_List[Qté Réception 09/2020]))</f>
        <v>0</v>
      </c>
      <c r="CA19" s="84">
        <v>0</v>
      </c>
      <c r="CB19" s="351"/>
      <c r="CC19" s="351">
        <f>IFERROR(Tableau1[[#This Row],[Qté Facturé 09/2018]]*Tableau1[[#This Row],[Unit Price (calcul)]],"")</f>
        <v>0</v>
      </c>
      <c r="CD19" s="351" t="str">
        <f>IFERROR(IF(Tableau1[[#This Row],[Montant Facturé 09/2018]]&gt;0,Tableau1[[#This Row],[Montant Facturé 09/2018]]/Taux_Change_SII,""),"")</f>
        <v/>
      </c>
      <c r="CE19" s="351"/>
      <c r="CF19" s="83">
        <f>SUMPRODUCT(1*(EXACT(CONCATENATE(Tableau1[[#This Row],[PO Number (Header)]],"-",Tableau1[[#This Row],[Line]]),UO_List[Unique_AIB_ID]))*(UO_List[Qté Réception 10/2020]))</f>
        <v>0</v>
      </c>
      <c r="CG19" s="84">
        <v>0</v>
      </c>
      <c r="CH19" s="351"/>
      <c r="CI19" s="351">
        <f>IFERROR(Tableau1[[#This Row],[Qté Facturé 10/2018]]*Tableau1[[#This Row],[Unit Price (calcul)]],"")</f>
        <v>0</v>
      </c>
      <c r="CJ19" s="351" t="str">
        <f>IFERROR(IF(Tableau1[[#This Row],[Montant Facturé 10/2018]]&gt;0,Tableau1[[#This Row],[Montant Facturé 10/2018]]/Taux_Change_SII,""),"")</f>
        <v/>
      </c>
      <c r="CK19" s="351"/>
      <c r="CL19" s="83">
        <f>SUMPRODUCT(1*(EXACT(CONCATENATE(Tableau1[[#This Row],[PO Number (Header)]],"-",Tableau1[[#This Row],[Line]]),UO_List[Unique_AIB_ID]))*(UO_List[Qté Réception 11/2020]))</f>
        <v>0</v>
      </c>
      <c r="CM19" s="84"/>
      <c r="CN19" s="351"/>
      <c r="CO19" s="351">
        <f>IFERROR(Tableau1[[#This Row],[Qté Facturé 11/2018]]*Tableau1[[#This Row],[Unit Price (calcul)]],"")</f>
        <v>0</v>
      </c>
      <c r="CP19" s="351" t="str">
        <f>IFERROR(IF(Tableau1[[#This Row],[Montant Facturé 11/2018]]&gt;0,Tableau1[[#This Row],[Montant Facturé 11/2018]]/Taux_Change_SII,""),"")</f>
        <v/>
      </c>
      <c r="CQ19" s="351"/>
      <c r="CR19" s="83">
        <f>SUMPRODUCT(1*(EXACT(CONCATENATE(Tableau1[[#This Row],[PO Number (Header)]],"-",Tableau1[[#This Row],[Line]]),UO_List[Unique_AIB_ID]))*(UO_List[Qté Réception 12/2020]))</f>
        <v>0</v>
      </c>
      <c r="CS19" s="84"/>
      <c r="CT19" s="351"/>
      <c r="CU19" s="351">
        <f>IFERROR(Tableau1[[#This Row],[Qté Facturé 12/2018]]*Tableau1[[#This Row],[Unit Price (calcul)]],"")</f>
        <v>0</v>
      </c>
      <c r="CV19" s="351" t="str">
        <f>IFERROR(IF(Tableau1[[#This Row],[Montant Facturé 12/2018]]&gt;0,Tableau1[[#This Row],[Montant Facturé 12/2018]]/Taux_Change_SII,""),"")</f>
        <v/>
      </c>
      <c r="CW19" s="351"/>
      <c r="CX1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1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1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19" s="352">
        <f>IFERROR(Tableau1[[#This Row],[Total item réceptionné]]*Tableau1[[#This Row],[Unit Price (calcul)]],"")</f>
        <v>3360</v>
      </c>
      <c r="DB19" s="352">
        <f>IFERROR(Tableau1[[#This Row],[Total item à Facturer]]*Tableau1[[#This Row],[Unit Price (calcul)]],"")</f>
        <v>3360</v>
      </c>
      <c r="DC19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3360</v>
      </c>
      <c r="DD19" s="352">
        <f>IFERROR(Tableau1[[#This Row],[Line Total]]-Tableau1[[#This Row],[Total Price Réceptionné]],"")</f>
        <v>10080</v>
      </c>
      <c r="DE19" s="352">
        <f>IFERROR(Tableau1[[#This Row],[Total Price Réceptionné]]-Tableau1[[#This Row],[Total Price A facturer]],"")</f>
        <v>0</v>
      </c>
      <c r="DF19" s="353">
        <f>IFERROR(Tableau1[[#This Row],[Total Price A facturer]]-Tableau1[[#This Row],[Total Price Facturé]],"")</f>
        <v>0</v>
      </c>
      <c r="DG19" s="76">
        <f>Tableau1[[#This Row],[Total Item Quantity]]-Tableau1[[#This Row],[Total item réceptionné]]</f>
        <v>3</v>
      </c>
      <c r="DH19" s="167"/>
      <c r="DI19" s="167"/>
    </row>
    <row r="20" spans="1:113" s="74" customFormat="1">
      <c r="A20" s="77" t="str">
        <f>CONCATENATE(Tableau1[[#This Row],[PO Number (Header)]],"-",Tableau1[[#This Row],[Line]])</f>
        <v>D000486419-1</v>
      </c>
      <c r="B20" s="397" t="s">
        <v>878</v>
      </c>
      <c r="C20" s="425" t="s">
        <v>726</v>
      </c>
      <c r="D20" s="426" t="s">
        <v>802</v>
      </c>
      <c r="E20" s="425"/>
      <c r="F20" s="539">
        <v>1</v>
      </c>
      <c r="G20" s="425" t="s">
        <v>911</v>
      </c>
      <c r="H20" s="332">
        <v>3</v>
      </c>
      <c r="I20" s="383">
        <v>1740</v>
      </c>
      <c r="J20" s="425" t="s">
        <v>629</v>
      </c>
      <c r="K20" s="539">
        <v>0</v>
      </c>
      <c r="L20" s="425"/>
      <c r="M20" s="425"/>
      <c r="N20" s="77"/>
      <c r="O20" s="77"/>
      <c r="P20" s="77"/>
      <c r="Q20" s="395" t="s">
        <v>630</v>
      </c>
      <c r="R20" s="395">
        <v>0</v>
      </c>
      <c r="S20" s="77" t="s">
        <v>896</v>
      </c>
      <c r="T20" s="77"/>
      <c r="U20" s="77"/>
      <c r="V20" s="77" t="s">
        <v>893</v>
      </c>
      <c r="W20" s="167"/>
      <c r="X20" s="167" t="s">
        <v>789</v>
      </c>
      <c r="Y20" s="167">
        <f>IF(ISBLANK(Tableau1[[#This Row],[PO Number (Header)]]),"",Tableau1[[#This Row],[Line Total]]/Tableau1[[#This Row],[Total Item Quantity]])</f>
        <v>580</v>
      </c>
      <c r="Z20" s="167" t="str">
        <f>IF(ISNA(VLOOKUP(Tableau1[[#This Row],[Unique_AIB_ID]],UO_List[Unique_AIB_ID],1,FALSE)),IF(ISBLANK(Tableau1[[#This Row],[PO Number (Header)]]),"","FAUX"),"VRAI")</f>
        <v>VRAI</v>
      </c>
      <c r="AA20" s="167"/>
      <c r="AB20" s="162" t="str">
        <f>VLOOKUP(Tableau1[[#This Row],[Unique_AIB_ID]],UO_List[[Unique_AIB_ID]:[OLGA F6]],3,FALSE)</f>
        <v>3173-12</v>
      </c>
      <c r="AC20" s="162" t="s">
        <v>773</v>
      </c>
      <c r="AD20" s="83">
        <f>SUMPRODUCT(1*(EXACT(CONCATENATE(Tableau1[[#This Row],[PO Number (Header)]],"-",Tableau1[[#This Row],[Line]]),UO_List[Unique_AIB_ID]))*(UO_List[Qté Réception 03/2020]))</f>
        <v>0</v>
      </c>
      <c r="AE20" s="84">
        <v>0</v>
      </c>
      <c r="AF20" s="357"/>
      <c r="AG20" s="351">
        <f>IFERROR(Tableau1[[#This Row],[Qté Facturé 01/2018]]*Tableau1[[#This Row],[Unit Price (calcul)]],"")</f>
        <v>0</v>
      </c>
      <c r="AH20" s="356" t="str">
        <f>IFERROR(IF(Tableau1[[#This Row],[Montant Facturé 01/2018]]&gt;0,Tableau1[[#This Row],[Montant Facturé 01/2018]]/Taux_Change_SII,""),"")</f>
        <v/>
      </c>
      <c r="AI20" s="351"/>
      <c r="AJ20" s="83">
        <f>SUMPRODUCT(1*(EXACT(CONCATENATE(Tableau1[[#This Row],[PO Number (Header)]],"-",Tableau1[[#This Row],[Line]]),UO_List[Unique_AIB_ID]))*(UO_List[Qté Réception 02/2020]))</f>
        <v>0</v>
      </c>
      <c r="AK20" s="83">
        <f>SUMPRODUCT(1*(EXACT(CONCATENATE(Tableau1[[#This Row],[PO Number (Header)]],"-",Tableau1[[#This Row],[Line]]),UO_List[Unique_AIB_ID]))*(UO_List[Qté Réception 02/2020]))</f>
        <v>0</v>
      </c>
      <c r="AL20" s="357"/>
      <c r="AM20" s="351">
        <f>IFERROR(Tableau1[[#This Row],[Qté Facturé 02/2018]]*Tableau1[[#This Row],[Unit Price (calcul)]],"")</f>
        <v>0</v>
      </c>
      <c r="AN20" s="351" t="str">
        <f>IFERROR(IF(Tableau1[[#This Row],[Montant Facturé 02/2018]]&gt;0,Tableau1[[#This Row],[Montant Facturé 02/2018]]/Taux_Change_SII,""),"")</f>
        <v/>
      </c>
      <c r="AO20" s="351"/>
      <c r="AP20" s="83">
        <f>SUMPRODUCT(1*(EXACT(CONCATENATE(Tableau1[[#This Row],[PO Number (Header)]],"-",Tableau1[[#This Row],[Line]]),UO_List[Unique_AIB_ID]))*(UO_List[Qté Réception 00/2020]))</f>
        <v>0</v>
      </c>
      <c r="AQ20" s="84"/>
      <c r="AR20" s="357"/>
      <c r="AS20" s="351">
        <f>IFERROR(Tableau1[[#This Row],[Qté Facturé 03/2018]]*Tableau1[[#This Row],[Unit Price (calcul)]],"")</f>
        <v>0</v>
      </c>
      <c r="AT20" s="358" t="str">
        <f>IFERROR(IF(Tableau1[[#This Row],[Montant Facturé 03/2018]]&gt;0,Tableau1[[#This Row],[Montant Facturé 03/2018]]/Taux_Change_SII,""),"")</f>
        <v/>
      </c>
      <c r="AU20" s="351"/>
      <c r="AV20" s="83">
        <f>SUMPRODUCT(1*(EXACT(CONCATENATE(Tableau1[[#This Row],[PO Number (Header)]],"-",Tableau1[[#This Row],[Line]]),UO_List[Unique_AIB_ID]))*(UO_List[Qté Réception 04/2020]))</f>
        <v>0</v>
      </c>
      <c r="AW20" s="84">
        <v>0</v>
      </c>
      <c r="AX20" s="351"/>
      <c r="AY20" s="351">
        <f>IFERROR(Tableau1[[#This Row],[Qté Facturé 04/2018]]*Tableau1[[#This Row],[Unit Price (calcul)]],"")</f>
        <v>0</v>
      </c>
      <c r="AZ20" s="351" t="str">
        <f>IFERROR(IF(Tableau1[[#This Row],[Montant Facturé 04/2018]]&gt;0,Tableau1[[#This Row],[Montant Facturé 04/2018]]/Taux_Change_SII,""),"")</f>
        <v/>
      </c>
      <c r="BA20" s="351"/>
      <c r="BB20" s="83">
        <f>SUMPRODUCT(1*(EXACT(CONCATENATE(Tableau1[[#This Row],[PO Number (Header)]],"-",Tableau1[[#This Row],[Line]]),UO_List[Unique_AIB_ID]))*(UO_List[Qté Réception 05/2020]))</f>
        <v>0</v>
      </c>
      <c r="BC20" s="84">
        <v>0</v>
      </c>
      <c r="BD20" s="351"/>
      <c r="BE20" s="351">
        <f>IFERROR(Tableau1[[#This Row],[Qté Facturé 05/2018]]*Tableau1[[#This Row],[Unit Price (calcul)]],"")</f>
        <v>0</v>
      </c>
      <c r="BF20" s="351" t="str">
        <f>IFERROR(IF(Tableau1[[#This Row],[Montant Facturé 05/2018]]&gt;0,Tableau1[[#This Row],[Montant Facturé 05/2018]]/Taux_Change_SII,""),"")</f>
        <v/>
      </c>
      <c r="BG20" s="351"/>
      <c r="BH20" s="83">
        <f>SUMPRODUCT(1*(EXACT(CONCATENATE(Tableau1[[#This Row],[PO Number (Header)]],"-",Tableau1[[#This Row],[Line]]),UO_List[Unique_AIB_ID]))*(UO_List[Qté Réception 06/2020]))</f>
        <v>0</v>
      </c>
      <c r="BI20" s="84">
        <v>0</v>
      </c>
      <c r="BJ20" s="351"/>
      <c r="BK20" s="351">
        <f>IFERROR(Tableau1[[#This Row],[Qté Facturé 06/2018]]*Tableau1[[#This Row],[Unit Price (calcul)]],"")</f>
        <v>0</v>
      </c>
      <c r="BL20" s="351" t="str">
        <f>IFERROR(IF(Tableau1[[#This Row],[Montant Facturé 06/2018]]&gt;0,Tableau1[[#This Row],[Montant Facturé 06/2018]]/Taux_Change_SII,""),"")</f>
        <v/>
      </c>
      <c r="BM20" s="351"/>
      <c r="BN20" s="83">
        <f>SUMPRODUCT(1*(EXACT(CONCATENATE(Tableau1[[#This Row],[PO Number (Header)]],"-",Tableau1[[#This Row],[Line]]),UO_List[Unique_AIB_ID]))*(UO_List[Qté Réception 07/2020]))</f>
        <v>0</v>
      </c>
      <c r="BO20" s="84">
        <v>0</v>
      </c>
      <c r="BP20" s="351"/>
      <c r="BQ20" s="351">
        <f>IFERROR(Tableau1[[#This Row],[Qté Facturé 07/2018]]*Tableau1[[#This Row],[Unit Price (calcul)]],"")</f>
        <v>0</v>
      </c>
      <c r="BR20" s="351" t="str">
        <f>IFERROR(IF(Tableau1[[#This Row],[Montant Facturé 07/2018]]&gt;0,Tableau1[[#This Row],[Montant Facturé 07/2018]]/Taux_Change_SII,""),"")</f>
        <v/>
      </c>
      <c r="BS20" s="351"/>
      <c r="BT20" s="83">
        <f>SUMPRODUCT(1*(EXACT(CONCATENATE(Tableau1[[#This Row],[PO Number (Header)]],"-",Tableau1[[#This Row],[Line]]),UO_List[Unique_AIB_ID]))*(UO_List[Qté Réception 08/2020]))</f>
        <v>0</v>
      </c>
      <c r="BU20" s="84"/>
      <c r="BV20" s="351"/>
      <c r="BW20" s="351">
        <f>IFERROR(Tableau1[[#This Row],[Qté Facturé 08/2018]]*Tableau1[[#This Row],[Unit Price (calcul)]],"")</f>
        <v>0</v>
      </c>
      <c r="BX20" s="351" t="str">
        <f>IFERROR(IF(Tableau1[[#This Row],[Montant Facturé 08/2018]]&gt;0,Tableau1[[#This Row],[Montant Facturé 08/2018]]/Taux_Change_SII,""),"")</f>
        <v/>
      </c>
      <c r="BY20" s="351"/>
      <c r="BZ20" s="83">
        <f>SUMPRODUCT(1*(EXACT(CONCATENATE(Tableau1[[#This Row],[PO Number (Header)]],"-",Tableau1[[#This Row],[Line]]),UO_List[Unique_AIB_ID]))*(UO_List[Qté Réception 09/2020]))</f>
        <v>0</v>
      </c>
      <c r="CA20" s="84">
        <v>0</v>
      </c>
      <c r="CB20" s="351"/>
      <c r="CC20" s="351">
        <f>IFERROR(Tableau1[[#This Row],[Qté Facturé 09/2018]]*Tableau1[[#This Row],[Unit Price (calcul)]],"")</f>
        <v>0</v>
      </c>
      <c r="CD20" s="351" t="str">
        <f>IFERROR(IF(Tableau1[[#This Row],[Montant Facturé 09/2018]]&gt;0,Tableau1[[#This Row],[Montant Facturé 09/2018]]/Taux_Change_SII,""),"")</f>
        <v/>
      </c>
      <c r="CE20" s="351"/>
      <c r="CF20" s="83">
        <f>SUMPRODUCT(1*(EXACT(CONCATENATE(Tableau1[[#This Row],[PO Number (Header)]],"-",Tableau1[[#This Row],[Line]]),UO_List[Unique_AIB_ID]))*(UO_List[Qté Réception 10/2020]))</f>
        <v>0</v>
      </c>
      <c r="CG20" s="84">
        <v>0</v>
      </c>
      <c r="CH20" s="351"/>
      <c r="CI20" s="351">
        <f>IFERROR(Tableau1[[#This Row],[Qté Facturé 10/2018]]*Tableau1[[#This Row],[Unit Price (calcul)]],"")</f>
        <v>0</v>
      </c>
      <c r="CJ20" s="351" t="str">
        <f>IFERROR(IF(Tableau1[[#This Row],[Montant Facturé 10/2018]]&gt;0,Tableau1[[#This Row],[Montant Facturé 10/2018]]/Taux_Change_SII,""),"")</f>
        <v/>
      </c>
      <c r="CK20" s="351"/>
      <c r="CL20" s="83">
        <f>SUMPRODUCT(1*(EXACT(CONCATENATE(Tableau1[[#This Row],[PO Number (Header)]],"-",Tableau1[[#This Row],[Line]]),UO_List[Unique_AIB_ID]))*(UO_List[Qté Réception 11/2020]))</f>
        <v>0</v>
      </c>
      <c r="CM20" s="84"/>
      <c r="CN20" s="351"/>
      <c r="CO20" s="351">
        <f>IFERROR(Tableau1[[#This Row],[Qté Facturé 11/2018]]*Tableau1[[#This Row],[Unit Price (calcul)]],"")</f>
        <v>0</v>
      </c>
      <c r="CP20" s="351" t="str">
        <f>IFERROR(IF(Tableau1[[#This Row],[Montant Facturé 11/2018]]&gt;0,Tableau1[[#This Row],[Montant Facturé 11/2018]]/Taux_Change_SII,""),"")</f>
        <v/>
      </c>
      <c r="CQ20" s="351"/>
      <c r="CR20" s="83">
        <f>SUMPRODUCT(1*(EXACT(CONCATENATE(Tableau1[[#This Row],[PO Number (Header)]],"-",Tableau1[[#This Row],[Line]]),UO_List[Unique_AIB_ID]))*(UO_List[Qté Réception 12/2020]))</f>
        <v>0</v>
      </c>
      <c r="CS20" s="84"/>
      <c r="CT20" s="351"/>
      <c r="CU20" s="351">
        <f>IFERROR(Tableau1[[#This Row],[Qté Facturé 12/2018]]*Tableau1[[#This Row],[Unit Price (calcul)]],"")</f>
        <v>0</v>
      </c>
      <c r="CV20" s="351" t="str">
        <f>IFERROR(IF(Tableau1[[#This Row],[Montant Facturé 12/2018]]&gt;0,Tableau1[[#This Row],[Montant Facturé 12/2018]]/Taux_Change_SII,""),"")</f>
        <v/>
      </c>
      <c r="CW20" s="351"/>
      <c r="CX2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2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2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20" s="352">
        <f>IFERROR(Tableau1[[#This Row],[Total item réceptionné]]*Tableau1[[#This Row],[Unit Price (calcul)]],"")</f>
        <v>0</v>
      </c>
      <c r="DB20" s="352">
        <f>IFERROR(Tableau1[[#This Row],[Total item à Facturer]]*Tableau1[[#This Row],[Unit Price (calcul)]],"")</f>
        <v>0</v>
      </c>
      <c r="DC20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20" s="352">
        <f>IFERROR(Tableau1[[#This Row],[Line Total]]-Tableau1[[#This Row],[Total Price Réceptionné]],"")</f>
        <v>1740</v>
      </c>
      <c r="DE20" s="352">
        <f>IFERROR(Tableau1[[#This Row],[Total Price Réceptionné]]-Tableau1[[#This Row],[Total Price A facturer]],"")</f>
        <v>0</v>
      </c>
      <c r="DF20" s="353">
        <f>IFERROR(Tableau1[[#This Row],[Total Price A facturer]]-Tableau1[[#This Row],[Total Price Facturé]],"")</f>
        <v>0</v>
      </c>
      <c r="DG20" s="76">
        <f>Tableau1[[#This Row],[Total Item Quantity]]-Tableau1[[#This Row],[Total item réceptionné]]</f>
        <v>3</v>
      </c>
      <c r="DH20" s="167"/>
      <c r="DI20" s="167"/>
    </row>
    <row r="21" spans="1:113" s="74" customFormat="1">
      <c r="A21" s="77" t="str">
        <f>CONCATENATE(Tableau1[[#This Row],[PO Number (Header)]],"-",Tableau1[[#This Row],[Line]])</f>
        <v>D000489232-1</v>
      </c>
      <c r="B21" s="396" t="s">
        <v>879</v>
      </c>
      <c r="C21" s="427" t="s">
        <v>726</v>
      </c>
      <c r="D21" s="428" t="s">
        <v>802</v>
      </c>
      <c r="E21" s="427"/>
      <c r="F21" s="540">
        <v>1</v>
      </c>
      <c r="G21" s="427" t="s">
        <v>891</v>
      </c>
      <c r="H21" s="332">
        <v>15</v>
      </c>
      <c r="I21" s="383">
        <v>8700</v>
      </c>
      <c r="J21" s="427" t="s">
        <v>629</v>
      </c>
      <c r="K21" s="540">
        <v>0</v>
      </c>
      <c r="L21" s="427"/>
      <c r="M21" s="427"/>
      <c r="N21" s="77"/>
      <c r="O21" s="77"/>
      <c r="P21" s="77"/>
      <c r="Q21" s="395" t="s">
        <v>819</v>
      </c>
      <c r="R21" s="395">
        <v>0</v>
      </c>
      <c r="S21" s="77" t="s">
        <v>912</v>
      </c>
      <c r="T21" s="77"/>
      <c r="U21" s="77"/>
      <c r="V21" s="77" t="s">
        <v>893</v>
      </c>
      <c r="W21" s="167"/>
      <c r="X21" s="167" t="s">
        <v>833</v>
      </c>
      <c r="Y21" s="167">
        <f>IF(ISBLANK(Tableau1[[#This Row],[PO Number (Header)]]),"",Tableau1[[#This Row],[Line Total]]/Tableau1[[#This Row],[Total Item Quantity]])</f>
        <v>580</v>
      </c>
      <c r="Z21" s="167" t="str">
        <f>IF(ISNA(VLOOKUP(Tableau1[[#This Row],[Unique_AIB_ID]],UO_List[Unique_AIB_ID],1,FALSE)),IF(ISBLANK(Tableau1[[#This Row],[PO Number (Header)]]),"","FAUX"),"VRAI")</f>
        <v>VRAI</v>
      </c>
      <c r="AA21" s="167" t="s">
        <v>634</v>
      </c>
      <c r="AB21" s="162" t="str">
        <f>VLOOKUP(Tableau1[[#This Row],[Unique_AIB_ID]],UO_List[[Unique_AIB_ID]:[OLGA F6]],3,FALSE)</f>
        <v>3173-12</v>
      </c>
      <c r="AC21" s="162" t="s">
        <v>992</v>
      </c>
      <c r="AD21" s="83">
        <f>SUMPRODUCT(1*(EXACT(CONCATENATE(Tableau1[[#This Row],[PO Number (Header)]],"-",Tableau1[[#This Row],[Line]]),UO_List[Unique_AIB_ID]))*(UO_List[Qté Réception 03/2020]))</f>
        <v>6</v>
      </c>
      <c r="AE21" s="84">
        <v>6</v>
      </c>
      <c r="AF21" s="84">
        <v>6</v>
      </c>
      <c r="AG21" s="351">
        <f>IFERROR(Tableau1[[#This Row],[Qté Facturé 01/2018]]*Tableau1[[#This Row],[Unit Price (calcul)]],"")</f>
        <v>3480</v>
      </c>
      <c r="AH21" s="356">
        <f>IFERROR(IF(Tableau1[[#This Row],[Montant Facturé 01/2018]]&gt;0,Tableau1[[#This Row],[Montant Facturé 01/2018]]/Taux_Change_SII,""),"")</f>
        <v>2577.7777777777778</v>
      </c>
      <c r="AI21" s="351"/>
      <c r="AJ21" s="83">
        <f>SUMPRODUCT(1*(EXACT(CONCATENATE(Tableau1[[#This Row],[PO Number (Header)]],"-",Tableau1[[#This Row],[Line]]),UO_List[Unique_AIB_ID]))*(UO_List[Qté Réception 02/2020]))</f>
        <v>0</v>
      </c>
      <c r="AK21" s="83">
        <f>SUMPRODUCT(1*(EXACT(CONCATENATE(Tableau1[[#This Row],[PO Number (Header)]],"-",Tableau1[[#This Row],[Line]]),UO_List[Unique_AIB_ID]))*(UO_List[Qté Réception 02/2020]))</f>
        <v>0</v>
      </c>
      <c r="AL21" s="357"/>
      <c r="AM21" s="351">
        <f>IFERROR(Tableau1[[#This Row],[Qté Facturé 02/2018]]*Tableau1[[#This Row],[Unit Price (calcul)]],"")</f>
        <v>0</v>
      </c>
      <c r="AN21" s="351" t="str">
        <f>IFERROR(IF(Tableau1[[#This Row],[Montant Facturé 02/2018]]&gt;0,Tableau1[[#This Row],[Montant Facturé 02/2018]]/Taux_Change_SII,""),"")</f>
        <v/>
      </c>
      <c r="AO21" s="351"/>
      <c r="AP21" s="83">
        <f>SUMPRODUCT(1*(EXACT(CONCATENATE(Tableau1[[#This Row],[PO Number (Header)]],"-",Tableau1[[#This Row],[Line]]),UO_List[Unique_AIB_ID]))*(UO_List[Qté Réception 00/2020]))</f>
        <v>0</v>
      </c>
      <c r="AQ21" s="84"/>
      <c r="AR21" s="357"/>
      <c r="AS21" s="351">
        <f>IFERROR(Tableau1[[#This Row],[Qté Facturé 03/2018]]*Tableau1[[#This Row],[Unit Price (calcul)]],"")</f>
        <v>0</v>
      </c>
      <c r="AT21" s="358" t="str">
        <f>IFERROR(IF(Tableau1[[#This Row],[Montant Facturé 03/2018]]&gt;0,Tableau1[[#This Row],[Montant Facturé 03/2018]]/Taux_Change_SII,""),"")</f>
        <v/>
      </c>
      <c r="AU21" s="351"/>
      <c r="AV21" s="83">
        <f>SUMPRODUCT(1*(EXACT(CONCATENATE(Tableau1[[#This Row],[PO Number (Header)]],"-",Tableau1[[#This Row],[Line]]),UO_List[Unique_AIB_ID]))*(UO_List[Qté Réception 04/2020]))</f>
        <v>0</v>
      </c>
      <c r="AW21" s="84">
        <v>0</v>
      </c>
      <c r="AX21" s="351"/>
      <c r="AY21" s="351">
        <f>IFERROR(Tableau1[[#This Row],[Qté Facturé 04/2018]]*Tableau1[[#This Row],[Unit Price (calcul)]],"")</f>
        <v>0</v>
      </c>
      <c r="AZ21" s="351" t="str">
        <f>IFERROR(IF(Tableau1[[#This Row],[Montant Facturé 04/2018]]&gt;0,Tableau1[[#This Row],[Montant Facturé 04/2018]]/Taux_Change_SII,""),"")</f>
        <v/>
      </c>
      <c r="BA21" s="351"/>
      <c r="BB21" s="83">
        <f>SUMPRODUCT(1*(EXACT(CONCATENATE(Tableau1[[#This Row],[PO Number (Header)]],"-",Tableau1[[#This Row],[Line]]),UO_List[Unique_AIB_ID]))*(UO_List[Qté Réception 05/2020]))</f>
        <v>0</v>
      </c>
      <c r="BC21" s="84">
        <v>0</v>
      </c>
      <c r="BD21" s="351"/>
      <c r="BE21" s="351">
        <f>IFERROR(Tableau1[[#This Row],[Qté Facturé 05/2018]]*Tableau1[[#This Row],[Unit Price (calcul)]],"")</f>
        <v>0</v>
      </c>
      <c r="BF21" s="351" t="str">
        <f>IFERROR(IF(Tableau1[[#This Row],[Montant Facturé 05/2018]]&gt;0,Tableau1[[#This Row],[Montant Facturé 05/2018]]/Taux_Change_SII,""),"")</f>
        <v/>
      </c>
      <c r="BG21" s="351"/>
      <c r="BH21" s="83">
        <f>SUMPRODUCT(1*(EXACT(CONCATENATE(Tableau1[[#This Row],[PO Number (Header)]],"-",Tableau1[[#This Row],[Line]]),UO_List[Unique_AIB_ID]))*(UO_List[Qté Réception 06/2020]))</f>
        <v>0</v>
      </c>
      <c r="BI21" s="84">
        <v>0</v>
      </c>
      <c r="BJ21" s="351"/>
      <c r="BK21" s="351">
        <f>IFERROR(Tableau1[[#This Row],[Qté Facturé 06/2018]]*Tableau1[[#This Row],[Unit Price (calcul)]],"")</f>
        <v>0</v>
      </c>
      <c r="BL21" s="351" t="str">
        <f>IFERROR(IF(Tableau1[[#This Row],[Montant Facturé 06/2018]]&gt;0,Tableau1[[#This Row],[Montant Facturé 06/2018]]/Taux_Change_SII,""),"")</f>
        <v/>
      </c>
      <c r="BM21" s="351"/>
      <c r="BN21" s="83">
        <f>SUMPRODUCT(1*(EXACT(CONCATENATE(Tableau1[[#This Row],[PO Number (Header)]],"-",Tableau1[[#This Row],[Line]]),UO_List[Unique_AIB_ID]))*(UO_List[Qté Réception 07/2020]))</f>
        <v>0</v>
      </c>
      <c r="BO21" s="84">
        <v>0</v>
      </c>
      <c r="BP21" s="351"/>
      <c r="BQ21" s="351">
        <f>IFERROR(Tableau1[[#This Row],[Qté Facturé 07/2018]]*Tableau1[[#This Row],[Unit Price (calcul)]],"")</f>
        <v>0</v>
      </c>
      <c r="BR21" s="351" t="str">
        <f>IFERROR(IF(Tableau1[[#This Row],[Montant Facturé 07/2018]]&gt;0,Tableau1[[#This Row],[Montant Facturé 07/2018]]/Taux_Change_SII,""),"")</f>
        <v/>
      </c>
      <c r="BS21" s="351"/>
      <c r="BT21" s="83">
        <f>SUMPRODUCT(1*(EXACT(CONCATENATE(Tableau1[[#This Row],[PO Number (Header)]],"-",Tableau1[[#This Row],[Line]]),UO_List[Unique_AIB_ID]))*(UO_List[Qté Réception 08/2020]))</f>
        <v>2</v>
      </c>
      <c r="BU21" s="84"/>
      <c r="BV21" s="351"/>
      <c r="BW21" s="351">
        <f>IFERROR(Tableau1[[#This Row],[Qté Facturé 08/2018]]*Tableau1[[#This Row],[Unit Price (calcul)]],"")</f>
        <v>0</v>
      </c>
      <c r="BX21" s="351" t="str">
        <f>IFERROR(IF(Tableau1[[#This Row],[Montant Facturé 08/2018]]&gt;0,Tableau1[[#This Row],[Montant Facturé 08/2018]]/Taux_Change_SII,""),"")</f>
        <v/>
      </c>
      <c r="BY21" s="351"/>
      <c r="BZ21" s="83">
        <f>SUMPRODUCT(1*(EXACT(CONCATENATE(Tableau1[[#This Row],[PO Number (Header)]],"-",Tableau1[[#This Row],[Line]]),UO_List[Unique_AIB_ID]))*(UO_List[Qté Réception 09/2020]))</f>
        <v>0</v>
      </c>
      <c r="CA21" s="84">
        <v>0</v>
      </c>
      <c r="CB21" s="351"/>
      <c r="CC21" s="351">
        <f>IFERROR(Tableau1[[#This Row],[Qté Facturé 09/2018]]*Tableau1[[#This Row],[Unit Price (calcul)]],"")</f>
        <v>0</v>
      </c>
      <c r="CD21" s="351" t="str">
        <f>IFERROR(IF(Tableau1[[#This Row],[Montant Facturé 09/2018]]&gt;0,Tableau1[[#This Row],[Montant Facturé 09/2018]]/Taux_Change_SII,""),"")</f>
        <v/>
      </c>
      <c r="CE21" s="351"/>
      <c r="CF21" s="83">
        <f>SUMPRODUCT(1*(EXACT(CONCATENATE(Tableau1[[#This Row],[PO Number (Header)]],"-",Tableau1[[#This Row],[Line]]),UO_List[Unique_AIB_ID]))*(UO_List[Qté Réception 10/2020]))</f>
        <v>0</v>
      </c>
      <c r="CG21" s="84">
        <v>0</v>
      </c>
      <c r="CH21" s="351"/>
      <c r="CI21" s="351">
        <f>IFERROR(Tableau1[[#This Row],[Qté Facturé 10/2018]]*Tableau1[[#This Row],[Unit Price (calcul)]],"")</f>
        <v>0</v>
      </c>
      <c r="CJ21" s="351" t="str">
        <f>IFERROR(IF(Tableau1[[#This Row],[Montant Facturé 10/2018]]&gt;0,Tableau1[[#This Row],[Montant Facturé 10/2018]]/Taux_Change_SII,""),"")</f>
        <v/>
      </c>
      <c r="CK21" s="351"/>
      <c r="CL21" s="83">
        <f>SUMPRODUCT(1*(EXACT(CONCATENATE(Tableau1[[#This Row],[PO Number (Header)]],"-",Tableau1[[#This Row],[Line]]),UO_List[Unique_AIB_ID]))*(UO_List[Qté Réception 11/2020]))</f>
        <v>0</v>
      </c>
      <c r="CM21" s="84"/>
      <c r="CN21" s="351"/>
      <c r="CO21" s="351">
        <f>IFERROR(Tableau1[[#This Row],[Qté Facturé 11/2018]]*Tableau1[[#This Row],[Unit Price (calcul)]],"")</f>
        <v>0</v>
      </c>
      <c r="CP21" s="351" t="str">
        <f>IFERROR(IF(Tableau1[[#This Row],[Montant Facturé 11/2018]]&gt;0,Tableau1[[#This Row],[Montant Facturé 11/2018]]/Taux_Change_SII,""),"")</f>
        <v/>
      </c>
      <c r="CQ21" s="351"/>
      <c r="CR21" s="83">
        <f>SUMPRODUCT(1*(EXACT(CONCATENATE(Tableau1[[#This Row],[PO Number (Header)]],"-",Tableau1[[#This Row],[Line]]),UO_List[Unique_AIB_ID]))*(UO_List[Qté Réception 12/2020]))</f>
        <v>0</v>
      </c>
      <c r="CS21" s="84"/>
      <c r="CT21" s="351"/>
      <c r="CU21" s="351">
        <f>IFERROR(Tableau1[[#This Row],[Qté Facturé 12/2018]]*Tableau1[[#This Row],[Unit Price (calcul)]],"")</f>
        <v>0</v>
      </c>
      <c r="CV21" s="351" t="str">
        <f>IFERROR(IF(Tableau1[[#This Row],[Montant Facturé 12/2018]]&gt;0,Tableau1[[#This Row],[Montant Facturé 12/2018]]/Taux_Change_SII,""),"")</f>
        <v/>
      </c>
      <c r="CW21" s="351"/>
      <c r="CX2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8</v>
      </c>
      <c r="CY2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6</v>
      </c>
      <c r="CZ2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6</v>
      </c>
      <c r="DA21" s="352">
        <f>IFERROR(Tableau1[[#This Row],[Total item réceptionné]]*Tableau1[[#This Row],[Unit Price (calcul)]],"")</f>
        <v>4640</v>
      </c>
      <c r="DB21" s="352">
        <f>IFERROR(Tableau1[[#This Row],[Total item à Facturer]]*Tableau1[[#This Row],[Unit Price (calcul)]],"")</f>
        <v>3480</v>
      </c>
      <c r="DC21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3480</v>
      </c>
      <c r="DD21" s="352">
        <f>IFERROR(Tableau1[[#This Row],[Line Total]]-Tableau1[[#This Row],[Total Price Réceptionné]],"")</f>
        <v>4060</v>
      </c>
      <c r="DE21" s="352">
        <f>IFERROR(Tableau1[[#This Row],[Total Price Réceptionné]]-Tableau1[[#This Row],[Total Price A facturer]],"")</f>
        <v>1160</v>
      </c>
      <c r="DF21" s="353">
        <f>IFERROR(Tableau1[[#This Row],[Total Price A facturer]]-Tableau1[[#This Row],[Total Price Facturé]],"")</f>
        <v>0</v>
      </c>
      <c r="DG21" s="76">
        <f>Tableau1[[#This Row],[Total Item Quantity]]-Tableau1[[#This Row],[Total item réceptionné]]</f>
        <v>7</v>
      </c>
      <c r="DH21" s="167"/>
      <c r="DI21" s="167"/>
    </row>
    <row r="22" spans="1:113" s="125" customFormat="1" ht="29.25" customHeight="1">
      <c r="A22" s="124" t="str">
        <f>CONCATENATE(Tableau1[[#This Row],[PO Number (Header)]],"-",Tableau1[[#This Row],[Line]])</f>
        <v>C000489704-1</v>
      </c>
      <c r="B22" s="407" t="s">
        <v>913</v>
      </c>
      <c r="C22" s="74" t="s">
        <v>726</v>
      </c>
      <c r="D22" s="397" t="s">
        <v>802</v>
      </c>
      <c r="E22" s="74"/>
      <c r="F22" s="541">
        <v>1</v>
      </c>
      <c r="G22" s="74" t="s">
        <v>803</v>
      </c>
      <c r="H22" s="332">
        <v>4</v>
      </c>
      <c r="I22" s="383">
        <v>6740</v>
      </c>
      <c r="J22" s="74" t="s">
        <v>629</v>
      </c>
      <c r="K22" s="541">
        <v>0</v>
      </c>
      <c r="L22" s="74"/>
      <c r="M22" s="74"/>
      <c r="N22" s="77"/>
      <c r="O22" s="77"/>
      <c r="P22" s="77"/>
      <c r="Q22" s="395" t="s">
        <v>630</v>
      </c>
      <c r="R22" s="395">
        <v>0</v>
      </c>
      <c r="S22" s="77" t="s">
        <v>902</v>
      </c>
      <c r="T22" s="77"/>
      <c r="U22" s="77"/>
      <c r="V22" s="77" t="s">
        <v>727</v>
      </c>
      <c r="W22" s="168" t="s">
        <v>914</v>
      </c>
      <c r="X22" s="168" t="s">
        <v>915</v>
      </c>
      <c r="Y22" s="167">
        <f>IF(ISBLANK(Tableau1[[#This Row],[PO Number (Header)]]),"",Tableau1[[#This Row],[Line Total]]/Tableau1[[#This Row],[Total Item Quantity]])</f>
        <v>1685</v>
      </c>
      <c r="Z22" s="168" t="str">
        <f>IF(ISNA(VLOOKUP(Tableau1[[#This Row],[Unique_AIB_ID]],UO_List[Unique_AIB_ID],1,FALSE)),IF(ISBLANK(Tableau1[[#This Row],[PO Number (Header)]]),"","FAUX"),"VRAI")</f>
        <v>VRAI</v>
      </c>
      <c r="AA22" s="167" t="s">
        <v>634</v>
      </c>
      <c r="AB22" s="163" t="str">
        <f>VLOOKUP(Tableau1[[#This Row],[Unique_AIB_ID]],UO_List[[Unique_AIB_ID]:[OLGA F6]],3,FALSE)</f>
        <v>3173-10</v>
      </c>
      <c r="AC22" s="162" t="s">
        <v>993</v>
      </c>
      <c r="AD22" s="83">
        <f>SUMPRODUCT(1*(EXACT(CONCATENATE(Tableau1[[#This Row],[PO Number (Header)]],"-",Tableau1[[#This Row],[Line]]),UO_List[Unique_AIB_ID]))*(UO_List[Qté Réception 03/2020]))</f>
        <v>4</v>
      </c>
      <c r="AE22" s="84">
        <v>4</v>
      </c>
      <c r="AF22" s="84">
        <v>4</v>
      </c>
      <c r="AG22" s="351">
        <f>IFERROR(Tableau1[[#This Row],[Qté Facturé 01/2018]]*Tableau1[[#This Row],[Unit Price (calcul)]],"")</f>
        <v>6740</v>
      </c>
      <c r="AH22" s="356">
        <f>IFERROR(IF(Tableau1[[#This Row],[Montant Facturé 01/2018]]&gt;0,Tableau1[[#This Row],[Montant Facturé 01/2018]]/Taux_Change_SII,""),"")</f>
        <v>4992.5925925925922</v>
      </c>
      <c r="AI22" s="351"/>
      <c r="AJ22" s="83">
        <f>SUMPRODUCT(1*(EXACT(CONCATENATE(Tableau1[[#This Row],[PO Number (Header)]],"-",Tableau1[[#This Row],[Line]]),UO_List[Unique_AIB_ID]))*(UO_List[Qté Réception 02/2020]))</f>
        <v>0</v>
      </c>
      <c r="AK22" s="83">
        <f>SUMPRODUCT(1*(EXACT(CONCATENATE(Tableau1[[#This Row],[PO Number (Header)]],"-",Tableau1[[#This Row],[Line]]),UO_List[Unique_AIB_ID]))*(UO_List[Qté Réception 02/2020]))</f>
        <v>0</v>
      </c>
      <c r="AL22" s="357"/>
      <c r="AM22" s="351">
        <f>IFERROR(Tableau1[[#This Row],[Qté Facturé 02/2018]]*Tableau1[[#This Row],[Unit Price (calcul)]],"")</f>
        <v>0</v>
      </c>
      <c r="AN22" s="351" t="str">
        <f>IFERROR(IF(Tableau1[[#This Row],[Montant Facturé 02/2018]]&gt;0,Tableau1[[#This Row],[Montant Facturé 02/2018]]/Taux_Change_SII,""),"")</f>
        <v/>
      </c>
      <c r="AO22" s="351"/>
      <c r="AP22" s="83">
        <f>SUMPRODUCT(1*(EXACT(CONCATENATE(Tableau1[[#This Row],[PO Number (Header)]],"-",Tableau1[[#This Row],[Line]]),UO_List[Unique_AIB_ID]))*(UO_List[Qté Réception 00/2020]))</f>
        <v>0</v>
      </c>
      <c r="AQ22" s="84"/>
      <c r="AR22" s="357"/>
      <c r="AS22" s="351">
        <f>IFERROR(Tableau1[[#This Row],[Qté Facturé 03/2018]]*Tableau1[[#This Row],[Unit Price (calcul)]],"")</f>
        <v>0</v>
      </c>
      <c r="AT22" s="358" t="str">
        <f>IFERROR(IF(Tableau1[[#This Row],[Montant Facturé 03/2018]]&gt;0,Tableau1[[#This Row],[Montant Facturé 03/2018]]/Taux_Change_SII,""),"")</f>
        <v/>
      </c>
      <c r="AU22" s="351"/>
      <c r="AV22" s="83">
        <f>SUMPRODUCT(1*(EXACT(CONCATENATE(Tableau1[[#This Row],[PO Number (Header)]],"-",Tableau1[[#This Row],[Line]]),UO_List[Unique_AIB_ID]))*(UO_List[Qté Réception 04/2020]))</f>
        <v>0</v>
      </c>
      <c r="AW22" s="84">
        <v>0</v>
      </c>
      <c r="AX22" s="351"/>
      <c r="AY22" s="351">
        <f>IFERROR(Tableau1[[#This Row],[Qté Facturé 04/2018]]*Tableau1[[#This Row],[Unit Price (calcul)]],"")</f>
        <v>0</v>
      </c>
      <c r="AZ22" s="351" t="str">
        <f>IFERROR(IF(Tableau1[[#This Row],[Montant Facturé 04/2018]]&gt;0,Tableau1[[#This Row],[Montant Facturé 04/2018]]/Taux_Change_SII,""),"")</f>
        <v/>
      </c>
      <c r="BA22" s="351"/>
      <c r="BB22" s="83">
        <f>SUMPRODUCT(1*(EXACT(CONCATENATE(Tableau1[[#This Row],[PO Number (Header)]],"-",Tableau1[[#This Row],[Line]]),UO_List[Unique_AIB_ID]))*(UO_List[Qté Réception 05/2020]))</f>
        <v>0</v>
      </c>
      <c r="BC22" s="84">
        <v>0</v>
      </c>
      <c r="BD22" s="351"/>
      <c r="BE22" s="351">
        <f>IFERROR(Tableau1[[#This Row],[Qté Facturé 05/2018]]*Tableau1[[#This Row],[Unit Price (calcul)]],"")</f>
        <v>0</v>
      </c>
      <c r="BF22" s="351" t="str">
        <f>IFERROR(IF(Tableau1[[#This Row],[Montant Facturé 05/2018]]&gt;0,Tableau1[[#This Row],[Montant Facturé 05/2018]]/Taux_Change_SII,""),"")</f>
        <v/>
      </c>
      <c r="BG22" s="351"/>
      <c r="BH22" s="83">
        <f>SUMPRODUCT(1*(EXACT(CONCATENATE(Tableau1[[#This Row],[PO Number (Header)]],"-",Tableau1[[#This Row],[Line]]),UO_List[Unique_AIB_ID]))*(UO_List[Qté Réception 06/2020]))</f>
        <v>0</v>
      </c>
      <c r="BI22" s="84">
        <v>0</v>
      </c>
      <c r="BJ22" s="351"/>
      <c r="BK22" s="351">
        <f>IFERROR(Tableau1[[#This Row],[Qté Facturé 06/2018]]*Tableau1[[#This Row],[Unit Price (calcul)]],"")</f>
        <v>0</v>
      </c>
      <c r="BL22" s="351" t="str">
        <f>IFERROR(IF(Tableau1[[#This Row],[Montant Facturé 06/2018]]&gt;0,Tableau1[[#This Row],[Montant Facturé 06/2018]]/Taux_Change_SII,""),"")</f>
        <v/>
      </c>
      <c r="BM22" s="351"/>
      <c r="BN22" s="83">
        <f>SUMPRODUCT(1*(EXACT(CONCATENATE(Tableau1[[#This Row],[PO Number (Header)]],"-",Tableau1[[#This Row],[Line]]),UO_List[Unique_AIB_ID]))*(UO_List[Qté Réception 07/2020]))</f>
        <v>0</v>
      </c>
      <c r="BO22" s="84">
        <v>0</v>
      </c>
      <c r="BP22" s="351"/>
      <c r="BQ22" s="351">
        <f>IFERROR(Tableau1[[#This Row],[Qté Facturé 07/2018]]*Tableau1[[#This Row],[Unit Price (calcul)]],"")</f>
        <v>0</v>
      </c>
      <c r="BR22" s="351" t="str">
        <f>IFERROR(IF(Tableau1[[#This Row],[Montant Facturé 07/2018]]&gt;0,Tableau1[[#This Row],[Montant Facturé 07/2018]]/Taux_Change_SII,""),"")</f>
        <v/>
      </c>
      <c r="BS22" s="351"/>
      <c r="BT22" s="83">
        <f>SUMPRODUCT(1*(EXACT(CONCATENATE(Tableau1[[#This Row],[PO Number (Header)]],"-",Tableau1[[#This Row],[Line]]),UO_List[Unique_AIB_ID]))*(UO_List[Qté Réception 08/2020]))</f>
        <v>0</v>
      </c>
      <c r="BU22" s="84"/>
      <c r="BV22" s="351"/>
      <c r="BW22" s="351">
        <f>IFERROR(Tableau1[[#This Row],[Qté Facturé 08/2018]]*Tableau1[[#This Row],[Unit Price (calcul)]],"")</f>
        <v>0</v>
      </c>
      <c r="BX22" s="351" t="str">
        <f>IFERROR(IF(Tableau1[[#This Row],[Montant Facturé 08/2018]]&gt;0,Tableau1[[#This Row],[Montant Facturé 08/2018]]/Taux_Change_SII,""),"")</f>
        <v/>
      </c>
      <c r="BY22" s="351"/>
      <c r="BZ22" s="83">
        <f>SUMPRODUCT(1*(EXACT(CONCATENATE(Tableau1[[#This Row],[PO Number (Header)]],"-",Tableau1[[#This Row],[Line]]),UO_List[Unique_AIB_ID]))*(UO_List[Qté Réception 09/2020]))</f>
        <v>0</v>
      </c>
      <c r="CA22" s="84">
        <v>0</v>
      </c>
      <c r="CB22" s="351"/>
      <c r="CC22" s="351">
        <f>IFERROR(Tableau1[[#This Row],[Qté Facturé 09/2018]]*Tableau1[[#This Row],[Unit Price (calcul)]],"")</f>
        <v>0</v>
      </c>
      <c r="CD22" s="351" t="str">
        <f>IFERROR(IF(Tableau1[[#This Row],[Montant Facturé 09/2018]]&gt;0,Tableau1[[#This Row],[Montant Facturé 09/2018]]/Taux_Change_SII,""),"")</f>
        <v/>
      </c>
      <c r="CE22" s="351"/>
      <c r="CF22" s="83">
        <f>SUMPRODUCT(1*(EXACT(CONCATENATE(Tableau1[[#This Row],[PO Number (Header)]],"-",Tableau1[[#This Row],[Line]]),UO_List[Unique_AIB_ID]))*(UO_List[Qté Réception 10/2020]))</f>
        <v>0</v>
      </c>
      <c r="CG22" s="84">
        <v>0</v>
      </c>
      <c r="CH22" s="351"/>
      <c r="CI22" s="351">
        <f>IFERROR(Tableau1[[#This Row],[Qté Facturé 10/2018]]*Tableau1[[#This Row],[Unit Price (calcul)]],"")</f>
        <v>0</v>
      </c>
      <c r="CJ22" s="351" t="str">
        <f>IFERROR(IF(Tableau1[[#This Row],[Montant Facturé 10/2018]]&gt;0,Tableau1[[#This Row],[Montant Facturé 10/2018]]/Taux_Change_SII,""),"")</f>
        <v/>
      </c>
      <c r="CK22" s="351"/>
      <c r="CL22" s="83">
        <f>SUMPRODUCT(1*(EXACT(CONCATENATE(Tableau1[[#This Row],[PO Number (Header)]],"-",Tableau1[[#This Row],[Line]]),UO_List[Unique_AIB_ID]))*(UO_List[Qté Réception 11/2020]))</f>
        <v>0</v>
      </c>
      <c r="CM22" s="84"/>
      <c r="CN22" s="351"/>
      <c r="CO22" s="351">
        <f>IFERROR(Tableau1[[#This Row],[Qté Facturé 11/2018]]*Tableau1[[#This Row],[Unit Price (calcul)]],"")</f>
        <v>0</v>
      </c>
      <c r="CP22" s="351" t="str">
        <f>IFERROR(IF(Tableau1[[#This Row],[Montant Facturé 11/2018]]&gt;0,Tableau1[[#This Row],[Montant Facturé 11/2018]]/Taux_Change_SII,""),"")</f>
        <v/>
      </c>
      <c r="CQ22" s="351"/>
      <c r="CR22" s="83">
        <f>SUMPRODUCT(1*(EXACT(CONCATENATE(Tableau1[[#This Row],[PO Number (Header)]],"-",Tableau1[[#This Row],[Line]]),UO_List[Unique_AIB_ID]))*(UO_List[Qté Réception 12/2020]))</f>
        <v>0</v>
      </c>
      <c r="CS22" s="84"/>
      <c r="CT22" s="351"/>
      <c r="CU22" s="351">
        <f>IFERROR(Tableau1[[#This Row],[Qté Facturé 12/2018]]*Tableau1[[#This Row],[Unit Price (calcul)]],"")</f>
        <v>0</v>
      </c>
      <c r="CV22" s="351" t="str">
        <f>IFERROR(IF(Tableau1[[#This Row],[Montant Facturé 12/2018]]&gt;0,Tableau1[[#This Row],[Montant Facturé 12/2018]]/Taux_Change_SII,""),"")</f>
        <v/>
      </c>
      <c r="CW22" s="351"/>
      <c r="CX2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4</v>
      </c>
      <c r="CY2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4</v>
      </c>
      <c r="CZ2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4</v>
      </c>
      <c r="DA22" s="352">
        <f>IFERROR(Tableau1[[#This Row],[Total item réceptionné]]*Tableau1[[#This Row],[Unit Price (calcul)]],"")</f>
        <v>6740</v>
      </c>
      <c r="DB22" s="352">
        <f>IFERROR(Tableau1[[#This Row],[Total item à Facturer]]*Tableau1[[#This Row],[Unit Price (calcul)]],"")</f>
        <v>6740</v>
      </c>
      <c r="DC22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6740</v>
      </c>
      <c r="DD22" s="352">
        <f>IFERROR(Tableau1[[#This Row],[Line Total]]-Tableau1[[#This Row],[Total Price Réceptionné]],"")</f>
        <v>0</v>
      </c>
      <c r="DE22" s="352">
        <f>IFERROR(Tableau1[[#This Row],[Total Price Réceptionné]]-Tableau1[[#This Row],[Total Price A facturer]],"")</f>
        <v>0</v>
      </c>
      <c r="DF22" s="353">
        <f>IFERROR(Tableau1[[#This Row],[Total Price A facturer]]-Tableau1[[#This Row],[Total Price Facturé]],"")</f>
        <v>0</v>
      </c>
      <c r="DG22" s="76">
        <f>Tableau1[[#This Row],[Total Item Quantity]]-Tableau1[[#This Row],[Total item réceptionné]]</f>
        <v>0</v>
      </c>
      <c r="DH22" s="168"/>
      <c r="DI22" s="167"/>
    </row>
    <row r="23" spans="1:113" s="125" customFormat="1">
      <c r="A23" s="124" t="str">
        <f>CONCATENATE(Tableau1[[#This Row],[PO Number (Header)]],"-",Tableau1[[#This Row],[Line]])</f>
        <v>C000489704-2</v>
      </c>
      <c r="B23" s="394" t="s">
        <v>913</v>
      </c>
      <c r="C23" s="74" t="s">
        <v>726</v>
      </c>
      <c r="D23" s="397" t="s">
        <v>802</v>
      </c>
      <c r="E23" s="74"/>
      <c r="F23" s="541">
        <v>2</v>
      </c>
      <c r="G23" s="74" t="s">
        <v>916</v>
      </c>
      <c r="H23" s="332">
        <v>2</v>
      </c>
      <c r="I23" s="383">
        <v>3370</v>
      </c>
      <c r="J23" s="74" t="s">
        <v>629</v>
      </c>
      <c r="K23" s="541">
        <v>0</v>
      </c>
      <c r="L23" s="74"/>
      <c r="M23" s="74"/>
      <c r="N23" s="77"/>
      <c r="O23" s="77"/>
      <c r="P23" s="77"/>
      <c r="Q23" s="395" t="s">
        <v>630</v>
      </c>
      <c r="R23" s="395">
        <v>0</v>
      </c>
      <c r="S23" s="77" t="s">
        <v>902</v>
      </c>
      <c r="T23" s="77"/>
      <c r="U23" s="77"/>
      <c r="V23" s="77" t="s">
        <v>727</v>
      </c>
      <c r="W23" s="168" t="s">
        <v>917</v>
      </c>
      <c r="X23" s="168" t="s">
        <v>915</v>
      </c>
      <c r="Y23" s="167">
        <f>IF(ISBLANK(Tableau1[[#This Row],[PO Number (Header)]]),"",Tableau1[[#This Row],[Line Total]]/Tableau1[[#This Row],[Total Item Quantity]])</f>
        <v>1685</v>
      </c>
      <c r="Z23" s="168" t="str">
        <f>IF(ISNA(VLOOKUP(Tableau1[[#This Row],[Unique_AIB_ID]],UO_List[Unique_AIB_ID],1,FALSE)),IF(ISBLANK(Tableau1[[#This Row],[PO Number (Header)]]),"","FAUX"),"VRAI")</f>
        <v>VRAI</v>
      </c>
      <c r="AA23" s="167" t="s">
        <v>634</v>
      </c>
      <c r="AB23" s="163" t="str">
        <f>VLOOKUP(Tableau1[[#This Row],[Unique_AIB_ID]],UO_List[[Unique_AIB_ID]:[OLGA F6]],3,FALSE)</f>
        <v>3173-10</v>
      </c>
      <c r="AC23" s="162" t="s">
        <v>993</v>
      </c>
      <c r="AD23" s="83">
        <f>SUMPRODUCT(1*(EXACT(CONCATENATE(Tableau1[[#This Row],[PO Number (Header)]],"-",Tableau1[[#This Row],[Line]]),UO_List[Unique_AIB_ID]))*(UO_List[Qté Réception 03/2020]))</f>
        <v>1</v>
      </c>
      <c r="AE23" s="84">
        <v>1</v>
      </c>
      <c r="AF23" s="84">
        <v>1</v>
      </c>
      <c r="AG23" s="351">
        <f>IFERROR(Tableau1[[#This Row],[Qté Facturé 01/2018]]*Tableau1[[#This Row],[Unit Price (calcul)]],"")</f>
        <v>1685</v>
      </c>
      <c r="AH23" s="356">
        <f>IFERROR(IF(Tableau1[[#This Row],[Montant Facturé 01/2018]]&gt;0,Tableau1[[#This Row],[Montant Facturé 01/2018]]/Taux_Change_SII,""),"")</f>
        <v>1248.148148148148</v>
      </c>
      <c r="AI23" s="351"/>
      <c r="AJ23" s="83">
        <f>SUMPRODUCT(1*(EXACT(CONCATENATE(Tableau1[[#This Row],[PO Number (Header)]],"-",Tableau1[[#This Row],[Line]]),UO_List[Unique_AIB_ID]))*(UO_List[Qté Réception 02/2020]))</f>
        <v>0</v>
      </c>
      <c r="AK23" s="83">
        <f>SUMPRODUCT(1*(EXACT(CONCATENATE(Tableau1[[#This Row],[PO Number (Header)]],"-",Tableau1[[#This Row],[Line]]),UO_List[Unique_AIB_ID]))*(UO_List[Qté Réception 02/2020]))</f>
        <v>0</v>
      </c>
      <c r="AL23" s="357"/>
      <c r="AM23" s="351">
        <f>IFERROR(Tableau1[[#This Row],[Qté Facturé 02/2018]]*Tableau1[[#This Row],[Unit Price (calcul)]],"")</f>
        <v>0</v>
      </c>
      <c r="AN23" s="351" t="str">
        <f>IFERROR(IF(Tableau1[[#This Row],[Montant Facturé 02/2018]]&gt;0,Tableau1[[#This Row],[Montant Facturé 02/2018]]/Taux_Change_SII,""),"")</f>
        <v/>
      </c>
      <c r="AO23" s="351"/>
      <c r="AP23" s="83">
        <f>SUMPRODUCT(1*(EXACT(CONCATENATE(Tableau1[[#This Row],[PO Number (Header)]],"-",Tableau1[[#This Row],[Line]]),UO_List[Unique_AIB_ID]))*(UO_List[Qté Réception 00/2020]))</f>
        <v>0</v>
      </c>
      <c r="AQ23" s="84">
        <v>0</v>
      </c>
      <c r="AR23" s="357"/>
      <c r="AS23" s="357">
        <f>IFERROR(Tableau1[[#This Row],[Qté Facturé 03/2018]]*Tableau1[[#This Row],[Unit Price (calcul)]],"")</f>
        <v>0</v>
      </c>
      <c r="AT23" s="358" t="str">
        <f>IFERROR(IF(Tableau1[[#This Row],[Montant Facturé 03/2018]]&gt;0,Tableau1[[#This Row],[Montant Facturé 03/2018]]/Taux_Change_SII,""),"")</f>
        <v/>
      </c>
      <c r="AU23" s="351"/>
      <c r="AV23" s="83">
        <f>SUMPRODUCT(1*(EXACT(CONCATENATE(Tableau1[[#This Row],[PO Number (Header)]],"-",Tableau1[[#This Row],[Line]]),UO_List[Unique_AIB_ID]))*(UO_List[Qté Réception 04/2020]))</f>
        <v>0</v>
      </c>
      <c r="AW23" s="84"/>
      <c r="AX23" s="351"/>
      <c r="AY23" s="351">
        <f>IFERROR(Tableau1[[#This Row],[Qté Facturé 04/2018]]*Tableau1[[#This Row],[Unit Price (calcul)]],"")</f>
        <v>0</v>
      </c>
      <c r="AZ23" s="351" t="str">
        <f>IFERROR(IF(Tableau1[[#This Row],[Montant Facturé 04/2018]]&gt;0,Tableau1[[#This Row],[Montant Facturé 04/2018]]/Taux_Change_SII,""),"")</f>
        <v/>
      </c>
      <c r="BA23" s="351"/>
      <c r="BB23" s="83">
        <f>SUMPRODUCT(1*(EXACT(CONCATENATE(Tableau1[[#This Row],[PO Number (Header)]],"-",Tableau1[[#This Row],[Line]]),UO_List[Unique_AIB_ID]))*(UO_List[Qté Réception 05/2020]))</f>
        <v>0</v>
      </c>
      <c r="BC23" s="84">
        <v>0</v>
      </c>
      <c r="BD23" s="351"/>
      <c r="BE23" s="351">
        <f>IFERROR(Tableau1[[#This Row],[Qté Facturé 05/2018]]*Tableau1[[#This Row],[Unit Price (calcul)]],"")</f>
        <v>0</v>
      </c>
      <c r="BF23" s="351" t="str">
        <f>IFERROR(IF(Tableau1[[#This Row],[Montant Facturé 05/2018]]&gt;0,Tableau1[[#This Row],[Montant Facturé 05/2018]]/Taux_Change_SII,""),"")</f>
        <v/>
      </c>
      <c r="BG23" s="351"/>
      <c r="BH23" s="83">
        <f>SUMPRODUCT(1*(EXACT(CONCATENATE(Tableau1[[#This Row],[PO Number (Header)]],"-",Tableau1[[#This Row],[Line]]),UO_List[Unique_AIB_ID]))*(UO_List[Qté Réception 06/2020]))</f>
        <v>0</v>
      </c>
      <c r="BI23" s="84">
        <v>0</v>
      </c>
      <c r="BJ23" s="351"/>
      <c r="BK23" s="351">
        <f>IFERROR(Tableau1[[#This Row],[Qté Facturé 06/2018]]*Tableau1[[#This Row],[Unit Price (calcul)]],"")</f>
        <v>0</v>
      </c>
      <c r="BL23" s="351" t="str">
        <f>IFERROR(IF(Tableau1[[#This Row],[Montant Facturé 06/2018]]&gt;0,Tableau1[[#This Row],[Montant Facturé 06/2018]]/Taux_Change_SII,""),"")</f>
        <v/>
      </c>
      <c r="BM23" s="351"/>
      <c r="BN23" s="83">
        <f>SUMPRODUCT(1*(EXACT(CONCATENATE(Tableau1[[#This Row],[PO Number (Header)]],"-",Tableau1[[#This Row],[Line]]),UO_List[Unique_AIB_ID]))*(UO_List[Qté Réception 07/2020]))</f>
        <v>0</v>
      </c>
      <c r="BO23" s="84">
        <v>0</v>
      </c>
      <c r="BP23" s="351"/>
      <c r="BQ23" s="351">
        <f>IFERROR(Tableau1[[#This Row],[Qté Facturé 07/2018]]*Tableau1[[#This Row],[Unit Price (calcul)]],"")</f>
        <v>0</v>
      </c>
      <c r="BR23" s="351" t="str">
        <f>IFERROR(IF(Tableau1[[#This Row],[Montant Facturé 07/2018]]&gt;0,Tableau1[[#This Row],[Montant Facturé 07/2018]]/Taux_Change_SII,""),"")</f>
        <v/>
      </c>
      <c r="BS23" s="351"/>
      <c r="BT23" s="83">
        <f>SUMPRODUCT(1*(EXACT(CONCATENATE(Tableau1[[#This Row],[PO Number (Header)]],"-",Tableau1[[#This Row],[Line]]),UO_List[Unique_AIB_ID]))*(UO_List[Qté Réception 08/2020]))</f>
        <v>0</v>
      </c>
      <c r="BU23" s="84"/>
      <c r="BV23" s="351"/>
      <c r="BW23" s="351">
        <f>IFERROR(Tableau1[[#This Row],[Qté Facturé 08/2018]]*Tableau1[[#This Row],[Unit Price (calcul)]],"")</f>
        <v>0</v>
      </c>
      <c r="BX23" s="351" t="str">
        <f>IFERROR(IF(Tableau1[[#This Row],[Montant Facturé 08/2018]]&gt;0,Tableau1[[#This Row],[Montant Facturé 08/2018]]/Taux_Change_SII,""),"")</f>
        <v/>
      </c>
      <c r="BY23" s="351"/>
      <c r="BZ23" s="83">
        <f>SUMPRODUCT(1*(EXACT(CONCATENATE(Tableau1[[#This Row],[PO Number (Header)]],"-",Tableau1[[#This Row],[Line]]),UO_List[Unique_AIB_ID]))*(UO_List[Qté Réception 09/2020]))</f>
        <v>0</v>
      </c>
      <c r="CA23" s="84">
        <v>0</v>
      </c>
      <c r="CB23" s="351"/>
      <c r="CC23" s="351">
        <f>IFERROR(Tableau1[[#This Row],[Qté Facturé 09/2018]]*Tableau1[[#This Row],[Unit Price (calcul)]],"")</f>
        <v>0</v>
      </c>
      <c r="CD23" s="351" t="str">
        <f>IFERROR(IF(Tableau1[[#This Row],[Montant Facturé 09/2018]]&gt;0,Tableau1[[#This Row],[Montant Facturé 09/2018]]/Taux_Change_SII,""),"")</f>
        <v/>
      </c>
      <c r="CE23" s="351"/>
      <c r="CF23" s="83">
        <f>SUMPRODUCT(1*(EXACT(CONCATENATE(Tableau1[[#This Row],[PO Number (Header)]],"-",Tableau1[[#This Row],[Line]]),UO_List[Unique_AIB_ID]))*(UO_List[Qté Réception 10/2020]))</f>
        <v>0</v>
      </c>
      <c r="CG23" s="84">
        <v>0</v>
      </c>
      <c r="CH23" s="351"/>
      <c r="CI23" s="351">
        <f>IFERROR(Tableau1[[#This Row],[Qté Facturé 10/2018]]*Tableau1[[#This Row],[Unit Price (calcul)]],"")</f>
        <v>0</v>
      </c>
      <c r="CJ23" s="351" t="str">
        <f>IFERROR(IF(Tableau1[[#This Row],[Montant Facturé 10/2018]]&gt;0,Tableau1[[#This Row],[Montant Facturé 10/2018]]/Taux_Change_SII,""),"")</f>
        <v/>
      </c>
      <c r="CK23" s="351"/>
      <c r="CL23" s="83">
        <f>SUMPRODUCT(1*(EXACT(CONCATENATE(Tableau1[[#This Row],[PO Number (Header)]],"-",Tableau1[[#This Row],[Line]]),UO_List[Unique_AIB_ID]))*(UO_List[Qté Réception 11/2020]))</f>
        <v>0</v>
      </c>
      <c r="CM23" s="84"/>
      <c r="CN23" s="351"/>
      <c r="CO23" s="351">
        <f>IFERROR(Tableau1[[#This Row],[Qté Facturé 11/2018]]*Tableau1[[#This Row],[Unit Price (calcul)]],"")</f>
        <v>0</v>
      </c>
      <c r="CP23" s="351" t="str">
        <f>IFERROR(IF(Tableau1[[#This Row],[Montant Facturé 11/2018]]&gt;0,Tableau1[[#This Row],[Montant Facturé 11/2018]]/Taux_Change_SII,""),"")</f>
        <v/>
      </c>
      <c r="CQ23" s="351"/>
      <c r="CR23" s="83">
        <f>SUMPRODUCT(1*(EXACT(CONCATENATE(Tableau1[[#This Row],[PO Number (Header)]],"-",Tableau1[[#This Row],[Line]]),UO_List[Unique_AIB_ID]))*(UO_List[Qté Réception 12/2020]))</f>
        <v>0</v>
      </c>
      <c r="CS23" s="84"/>
      <c r="CT23" s="351"/>
      <c r="CU23" s="351">
        <f>IFERROR(Tableau1[[#This Row],[Qté Facturé 12/2018]]*Tableau1[[#This Row],[Unit Price (calcul)]],"")</f>
        <v>0</v>
      </c>
      <c r="CV23" s="351" t="str">
        <f>IFERROR(IF(Tableau1[[#This Row],[Montant Facturé 12/2018]]&gt;0,Tableau1[[#This Row],[Montant Facturé 12/2018]]/Taux_Change_SII,""),"")</f>
        <v/>
      </c>
      <c r="CW23" s="351"/>
      <c r="CX2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2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2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23" s="352">
        <f>IFERROR(Tableau1[[#This Row],[Total item réceptionné]]*Tableau1[[#This Row],[Unit Price (calcul)]],"")</f>
        <v>1685</v>
      </c>
      <c r="DB23" s="352">
        <f>IFERROR(Tableau1[[#This Row],[Total item à Facturer]]*Tableau1[[#This Row],[Unit Price (calcul)]],"")</f>
        <v>1685</v>
      </c>
      <c r="DC23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1685</v>
      </c>
      <c r="DD23" s="352">
        <f>IFERROR(Tableau1[[#This Row],[Line Total]]-Tableau1[[#This Row],[Total Price Réceptionné]],"")</f>
        <v>1685</v>
      </c>
      <c r="DE23" s="352">
        <f>IFERROR(Tableau1[[#This Row],[Total Price Réceptionné]]-Tableau1[[#This Row],[Total Price A facturer]],"")</f>
        <v>0</v>
      </c>
      <c r="DF23" s="353">
        <f>IFERROR(Tableau1[[#This Row],[Total Price A facturer]]-Tableau1[[#This Row],[Total Price Facturé]],"")</f>
        <v>0</v>
      </c>
      <c r="DG23" s="76">
        <f>Tableau1[[#This Row],[Total Item Quantity]]-Tableau1[[#This Row],[Total item réceptionné]]</f>
        <v>1</v>
      </c>
      <c r="DH23" s="168"/>
      <c r="DI23" s="167"/>
    </row>
    <row r="24" spans="1:113" s="125" customFormat="1">
      <c r="A24" s="124" t="str">
        <f>CONCATENATE(Tableau1[[#This Row],[PO Number (Header)]],"-",Tableau1[[#This Row],[Line]])</f>
        <v>C000489704-3</v>
      </c>
      <c r="B24" s="397" t="s">
        <v>913</v>
      </c>
      <c r="C24" s="74" t="s">
        <v>726</v>
      </c>
      <c r="D24" s="397" t="s">
        <v>802</v>
      </c>
      <c r="E24" s="74"/>
      <c r="F24" s="541">
        <v>3</v>
      </c>
      <c r="G24" s="74" t="s">
        <v>918</v>
      </c>
      <c r="H24" s="332">
        <v>6</v>
      </c>
      <c r="I24" s="383">
        <v>3360</v>
      </c>
      <c r="J24" s="74" t="s">
        <v>629</v>
      </c>
      <c r="K24" s="541">
        <v>0</v>
      </c>
      <c r="L24" s="74"/>
      <c r="M24" s="74"/>
      <c r="N24" s="77"/>
      <c r="O24" s="77"/>
      <c r="P24" s="77"/>
      <c r="Q24" s="395" t="s">
        <v>630</v>
      </c>
      <c r="R24" s="395">
        <v>0</v>
      </c>
      <c r="S24" s="77" t="s">
        <v>902</v>
      </c>
      <c r="T24" s="77"/>
      <c r="U24" s="77"/>
      <c r="V24" s="77" t="s">
        <v>727</v>
      </c>
      <c r="W24" s="168" t="s">
        <v>919</v>
      </c>
      <c r="X24" s="168" t="s">
        <v>915</v>
      </c>
      <c r="Y24" s="167">
        <f>IF(ISBLANK(Tableau1[[#This Row],[PO Number (Header)]]),"",Tableau1[[#This Row],[Line Total]]/Tableau1[[#This Row],[Total Item Quantity]])</f>
        <v>560</v>
      </c>
      <c r="Z24" s="168" t="str">
        <f>IF(ISNA(VLOOKUP(Tableau1[[#This Row],[Unique_AIB_ID]],UO_List[Unique_AIB_ID],1,FALSE)),IF(ISBLANK(Tableau1[[#This Row],[PO Number (Header)]]),"","FAUX"),"VRAI")</f>
        <v>VRAI</v>
      </c>
      <c r="AA24" s="167" t="s">
        <v>634</v>
      </c>
      <c r="AB24" s="163" t="str">
        <f>VLOOKUP(Tableau1[[#This Row],[Unique_AIB_ID]],UO_List[[Unique_AIB_ID]:[OLGA F6]],3,FALSE)</f>
        <v>3173-10</v>
      </c>
      <c r="AC24" s="162" t="s">
        <v>993</v>
      </c>
      <c r="AD24" s="83">
        <f>SUMPRODUCT(1*(EXACT(CONCATENATE(Tableau1[[#This Row],[PO Number (Header)]],"-",Tableau1[[#This Row],[Line]]),UO_List[Unique_AIB_ID]))*(UO_List[Qté Réception 03/2020]))</f>
        <v>3</v>
      </c>
      <c r="AE24" s="84">
        <v>3</v>
      </c>
      <c r="AF24" s="84">
        <v>3</v>
      </c>
      <c r="AG24" s="351">
        <f>IFERROR(Tableau1[[#This Row],[Qté Facturé 01/2018]]*Tableau1[[#This Row],[Unit Price (calcul)]],"")</f>
        <v>1680</v>
      </c>
      <c r="AH24" s="356">
        <f>IFERROR(IF(Tableau1[[#This Row],[Montant Facturé 01/2018]]&gt;0,Tableau1[[#This Row],[Montant Facturé 01/2018]]/Taux_Change_SII,""),"")</f>
        <v>1244.4444444444443</v>
      </c>
      <c r="AI24" s="351"/>
      <c r="AJ24" s="83">
        <f>SUMPRODUCT(1*(EXACT(CONCATENATE(Tableau1[[#This Row],[PO Number (Header)]],"-",Tableau1[[#This Row],[Line]]),UO_List[Unique_AIB_ID]))*(UO_List[Qté Réception 02/2020]))</f>
        <v>0</v>
      </c>
      <c r="AK24" s="83">
        <f>SUMPRODUCT(1*(EXACT(CONCATENATE(Tableau1[[#This Row],[PO Number (Header)]],"-",Tableau1[[#This Row],[Line]]),UO_List[Unique_AIB_ID]))*(UO_List[Qté Réception 02/2020]))</f>
        <v>0</v>
      </c>
      <c r="AL24" s="357"/>
      <c r="AM24" s="351">
        <f>IFERROR(Tableau1[[#This Row],[Qté Facturé 02/2018]]*Tableau1[[#This Row],[Unit Price (calcul)]],"")</f>
        <v>0</v>
      </c>
      <c r="AN24" s="351" t="str">
        <f>IFERROR(IF(Tableau1[[#This Row],[Montant Facturé 02/2018]]&gt;0,Tableau1[[#This Row],[Montant Facturé 02/2018]]/Taux_Change_SII,""),"")</f>
        <v/>
      </c>
      <c r="AO24" s="351"/>
      <c r="AP24" s="83">
        <f>SUMPRODUCT(1*(EXACT(CONCATENATE(Tableau1[[#This Row],[PO Number (Header)]],"-",Tableau1[[#This Row],[Line]]),UO_List[Unique_AIB_ID]))*(UO_List[Qté Réception 00/2020]))</f>
        <v>0</v>
      </c>
      <c r="AQ24" s="84">
        <v>0</v>
      </c>
      <c r="AR24" s="357"/>
      <c r="AS24" s="357">
        <f>IFERROR(Tableau1[[#This Row],[Qté Facturé 03/2018]]*Tableau1[[#This Row],[Unit Price (calcul)]],"")</f>
        <v>0</v>
      </c>
      <c r="AT24" s="358" t="str">
        <f>IFERROR(IF(Tableau1[[#This Row],[Montant Facturé 03/2018]]&gt;0,Tableau1[[#This Row],[Montant Facturé 03/2018]]/Taux_Change_SII,""),"")</f>
        <v/>
      </c>
      <c r="AU24" s="351"/>
      <c r="AV24" s="83">
        <f>SUMPRODUCT(1*(EXACT(CONCATENATE(Tableau1[[#This Row],[PO Number (Header)]],"-",Tableau1[[#This Row],[Line]]),UO_List[Unique_AIB_ID]))*(UO_List[Qté Réception 04/2020]))</f>
        <v>0</v>
      </c>
      <c r="AW24" s="84">
        <v>0</v>
      </c>
      <c r="AX24" s="351"/>
      <c r="AY24" s="351">
        <f>IFERROR(Tableau1[[#This Row],[Qté Facturé 04/2018]]*Tableau1[[#This Row],[Unit Price (calcul)]],"")</f>
        <v>0</v>
      </c>
      <c r="AZ24" s="351" t="str">
        <f>IFERROR(IF(Tableau1[[#This Row],[Montant Facturé 04/2018]]&gt;0,Tableau1[[#This Row],[Montant Facturé 04/2018]]/Taux_Change_SII,""),"")</f>
        <v/>
      </c>
      <c r="BA24" s="351"/>
      <c r="BB24" s="83">
        <f>SUMPRODUCT(1*(EXACT(CONCATENATE(Tableau1[[#This Row],[PO Number (Header)]],"-",Tableau1[[#This Row],[Line]]),UO_List[Unique_AIB_ID]))*(UO_List[Qté Réception 05/2020]))</f>
        <v>0</v>
      </c>
      <c r="BC24" s="84">
        <v>0</v>
      </c>
      <c r="BD24" s="351"/>
      <c r="BE24" s="351">
        <f>IFERROR(Tableau1[[#This Row],[Qté Facturé 05/2018]]*Tableau1[[#This Row],[Unit Price (calcul)]],"")</f>
        <v>0</v>
      </c>
      <c r="BF24" s="351" t="str">
        <f>IFERROR(IF(Tableau1[[#This Row],[Montant Facturé 05/2018]]&gt;0,Tableau1[[#This Row],[Montant Facturé 05/2018]]/Taux_Change_SII,""),"")</f>
        <v/>
      </c>
      <c r="BG24" s="351"/>
      <c r="BH24" s="83">
        <f>SUMPRODUCT(1*(EXACT(CONCATENATE(Tableau1[[#This Row],[PO Number (Header)]],"-",Tableau1[[#This Row],[Line]]),UO_List[Unique_AIB_ID]))*(UO_List[Qté Réception 06/2020]))</f>
        <v>0</v>
      </c>
      <c r="BI24" s="84"/>
      <c r="BJ24" s="351"/>
      <c r="BK24" s="351">
        <f>IFERROR(Tableau1[[#This Row],[Qté Facturé 06/2018]]*Tableau1[[#This Row],[Unit Price (calcul)]],"")</f>
        <v>0</v>
      </c>
      <c r="BL24" s="351" t="str">
        <f>IFERROR(IF(Tableau1[[#This Row],[Montant Facturé 06/2018]]&gt;0,Tableau1[[#This Row],[Montant Facturé 06/2018]]/Taux_Change_SII,""),"")</f>
        <v/>
      </c>
      <c r="BM24" s="351"/>
      <c r="BN24" s="83">
        <f>SUMPRODUCT(1*(EXACT(CONCATENATE(Tableau1[[#This Row],[PO Number (Header)]],"-",Tableau1[[#This Row],[Line]]),UO_List[Unique_AIB_ID]))*(UO_List[Qté Réception 07/2020]))</f>
        <v>0</v>
      </c>
      <c r="BO24" s="84"/>
      <c r="BP24" s="351"/>
      <c r="BQ24" s="351">
        <f>IFERROR(Tableau1[[#This Row],[Qté Facturé 07/2018]]*Tableau1[[#This Row],[Unit Price (calcul)]],"")</f>
        <v>0</v>
      </c>
      <c r="BR24" s="351" t="str">
        <f>IFERROR(IF(Tableau1[[#This Row],[Montant Facturé 07/2018]]&gt;0,Tableau1[[#This Row],[Montant Facturé 07/2018]]/Taux_Change_SII,""),"")</f>
        <v/>
      </c>
      <c r="BS24" s="351"/>
      <c r="BT24" s="83">
        <f>SUMPRODUCT(1*(EXACT(CONCATENATE(Tableau1[[#This Row],[PO Number (Header)]],"-",Tableau1[[#This Row],[Line]]),UO_List[Unique_AIB_ID]))*(UO_List[Qté Réception 08/2020]))</f>
        <v>0</v>
      </c>
      <c r="BU24" s="84"/>
      <c r="BV24" s="351"/>
      <c r="BW24" s="351">
        <f>IFERROR(Tableau1[[#This Row],[Qté Facturé 08/2018]]*Tableau1[[#This Row],[Unit Price (calcul)]],"")</f>
        <v>0</v>
      </c>
      <c r="BX24" s="351" t="str">
        <f>IFERROR(IF(Tableau1[[#This Row],[Montant Facturé 08/2018]]&gt;0,Tableau1[[#This Row],[Montant Facturé 08/2018]]/Taux_Change_SII,""),"")</f>
        <v/>
      </c>
      <c r="BY24" s="351"/>
      <c r="BZ24" s="83">
        <f>SUMPRODUCT(1*(EXACT(CONCATENATE(Tableau1[[#This Row],[PO Number (Header)]],"-",Tableau1[[#This Row],[Line]]),UO_List[Unique_AIB_ID]))*(UO_List[Qté Réception 09/2020]))</f>
        <v>0</v>
      </c>
      <c r="CA24" s="84">
        <v>0</v>
      </c>
      <c r="CB24" s="351"/>
      <c r="CC24" s="351">
        <f>IFERROR(Tableau1[[#This Row],[Qté Facturé 09/2018]]*Tableau1[[#This Row],[Unit Price (calcul)]],"")</f>
        <v>0</v>
      </c>
      <c r="CD24" s="351" t="str">
        <f>IFERROR(IF(Tableau1[[#This Row],[Montant Facturé 09/2018]]&gt;0,Tableau1[[#This Row],[Montant Facturé 09/2018]]/Taux_Change_SII,""),"")</f>
        <v/>
      </c>
      <c r="CE24" s="351"/>
      <c r="CF24" s="83">
        <f>SUMPRODUCT(1*(EXACT(CONCATENATE(Tableau1[[#This Row],[PO Number (Header)]],"-",Tableau1[[#This Row],[Line]]),UO_List[Unique_AIB_ID]))*(UO_List[Qté Réception 10/2020]))</f>
        <v>0</v>
      </c>
      <c r="CG24" s="84">
        <v>0</v>
      </c>
      <c r="CH24" s="351"/>
      <c r="CI24" s="351">
        <f>IFERROR(Tableau1[[#This Row],[Qté Facturé 10/2018]]*Tableau1[[#This Row],[Unit Price (calcul)]],"")</f>
        <v>0</v>
      </c>
      <c r="CJ24" s="351" t="str">
        <f>IFERROR(IF(Tableau1[[#This Row],[Montant Facturé 10/2018]]&gt;0,Tableau1[[#This Row],[Montant Facturé 10/2018]]/Taux_Change_SII,""),"")</f>
        <v/>
      </c>
      <c r="CK24" s="351"/>
      <c r="CL24" s="83">
        <f>SUMPRODUCT(1*(EXACT(CONCATENATE(Tableau1[[#This Row],[PO Number (Header)]],"-",Tableau1[[#This Row],[Line]]),UO_List[Unique_AIB_ID]))*(UO_List[Qté Réception 11/2020]))</f>
        <v>0</v>
      </c>
      <c r="CM24" s="84"/>
      <c r="CN24" s="351"/>
      <c r="CO24" s="351">
        <f>IFERROR(Tableau1[[#This Row],[Qté Facturé 11/2018]]*Tableau1[[#This Row],[Unit Price (calcul)]],"")</f>
        <v>0</v>
      </c>
      <c r="CP24" s="351" t="str">
        <f>IFERROR(IF(Tableau1[[#This Row],[Montant Facturé 11/2018]]&gt;0,Tableau1[[#This Row],[Montant Facturé 11/2018]]/Taux_Change_SII,""),"")</f>
        <v/>
      </c>
      <c r="CQ24" s="351"/>
      <c r="CR24" s="83">
        <f>SUMPRODUCT(1*(EXACT(CONCATENATE(Tableau1[[#This Row],[PO Number (Header)]],"-",Tableau1[[#This Row],[Line]]),UO_List[Unique_AIB_ID]))*(UO_List[Qté Réception 12/2020]))</f>
        <v>0</v>
      </c>
      <c r="CS24" s="84"/>
      <c r="CT24" s="351"/>
      <c r="CU24" s="351">
        <f>IFERROR(Tableau1[[#This Row],[Qté Facturé 12/2018]]*Tableau1[[#This Row],[Unit Price (calcul)]],"")</f>
        <v>0</v>
      </c>
      <c r="CV24" s="351" t="str">
        <f>IFERROR(IF(Tableau1[[#This Row],[Montant Facturé 12/2018]]&gt;0,Tableau1[[#This Row],[Montant Facturé 12/2018]]/Taux_Change_SII,""),"")</f>
        <v/>
      </c>
      <c r="CW24" s="351"/>
      <c r="CX2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3</v>
      </c>
      <c r="CY2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3</v>
      </c>
      <c r="CZ2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3</v>
      </c>
      <c r="DA24" s="352">
        <f>IFERROR(Tableau1[[#This Row],[Total item réceptionné]]*Tableau1[[#This Row],[Unit Price (calcul)]],"")</f>
        <v>1680</v>
      </c>
      <c r="DB24" s="352">
        <f>IFERROR(Tableau1[[#This Row],[Total item à Facturer]]*Tableau1[[#This Row],[Unit Price (calcul)]],"")</f>
        <v>1680</v>
      </c>
      <c r="DC24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1680</v>
      </c>
      <c r="DD24" s="352">
        <f>IFERROR(Tableau1[[#This Row],[Line Total]]-Tableau1[[#This Row],[Total Price Réceptionné]],"")</f>
        <v>1680</v>
      </c>
      <c r="DE24" s="352">
        <f>IFERROR(Tableau1[[#This Row],[Total Price Réceptionné]]-Tableau1[[#This Row],[Total Price A facturer]],"")</f>
        <v>0</v>
      </c>
      <c r="DF24" s="353">
        <f>IFERROR(Tableau1[[#This Row],[Total Price A facturer]]-Tableau1[[#This Row],[Total Price Facturé]],"")</f>
        <v>0</v>
      </c>
      <c r="DG24" s="76">
        <f>Tableau1[[#This Row],[Total Item Quantity]]-Tableau1[[#This Row],[Total item réceptionné]]</f>
        <v>3</v>
      </c>
      <c r="DH24" s="168"/>
      <c r="DI24" s="167"/>
    </row>
    <row r="25" spans="1:113" s="125" customFormat="1">
      <c r="A25" s="124" t="str">
        <f>CONCATENATE(Tableau1[[#This Row],[PO Number (Header)]],"-",Tableau1[[#This Row],[Line]])</f>
        <v>C000489704-4</v>
      </c>
      <c r="B25" s="429" t="s">
        <v>913</v>
      </c>
      <c r="C25" s="493" t="s">
        <v>726</v>
      </c>
      <c r="D25" s="406" t="s">
        <v>802</v>
      </c>
      <c r="E25" s="493"/>
      <c r="F25" s="175">
        <v>4</v>
      </c>
      <c r="G25" s="493" t="s">
        <v>916</v>
      </c>
      <c r="H25" s="332">
        <v>2</v>
      </c>
      <c r="I25" s="383">
        <v>3370</v>
      </c>
      <c r="J25" s="493" t="s">
        <v>629</v>
      </c>
      <c r="K25" s="175">
        <v>0</v>
      </c>
      <c r="L25" s="493"/>
      <c r="M25" s="493"/>
      <c r="N25" s="77"/>
      <c r="O25" s="77"/>
      <c r="P25" s="77"/>
      <c r="Q25" s="395" t="s">
        <v>630</v>
      </c>
      <c r="R25" s="395">
        <v>0</v>
      </c>
      <c r="S25" s="77" t="s">
        <v>902</v>
      </c>
      <c r="T25" s="77"/>
      <c r="U25" s="77"/>
      <c r="V25" s="77" t="s">
        <v>727</v>
      </c>
      <c r="W25" s="168" t="s">
        <v>920</v>
      </c>
      <c r="X25" s="168" t="s">
        <v>915</v>
      </c>
      <c r="Y25" s="167">
        <f>IF(ISBLANK(Tableau1[[#This Row],[PO Number (Header)]]),"",Tableau1[[#This Row],[Line Total]]/Tableau1[[#This Row],[Total Item Quantity]])</f>
        <v>1685</v>
      </c>
      <c r="Z25" s="168" t="str">
        <f>IF(ISNA(VLOOKUP(Tableau1[[#This Row],[Unique_AIB_ID]],UO_List[Unique_AIB_ID],1,FALSE)),IF(ISBLANK(Tableau1[[#This Row],[PO Number (Header)]]),"","FAUX"),"VRAI")</f>
        <v>VRAI</v>
      </c>
      <c r="AA25" s="168"/>
      <c r="AB25" s="163" t="str">
        <f>VLOOKUP(Tableau1[[#This Row],[Unique_AIB_ID]],UO_List[[Unique_AIB_ID]:[OLGA F6]],3,FALSE)</f>
        <v>3173-10</v>
      </c>
      <c r="AC25" s="162" t="s">
        <v>758</v>
      </c>
      <c r="AD25" s="83">
        <f>SUMPRODUCT(1*(EXACT(CONCATENATE(Tableau1[[#This Row],[PO Number (Header)]],"-",Tableau1[[#This Row],[Line]]),UO_List[Unique_AIB_ID]))*(UO_List[Qté Réception 03/2020]))</f>
        <v>0</v>
      </c>
      <c r="AE25" s="84">
        <v>0</v>
      </c>
      <c r="AF25" s="357"/>
      <c r="AG25" s="351">
        <f>IFERROR(Tableau1[[#This Row],[Qté Facturé 01/2018]]*Tableau1[[#This Row],[Unit Price (calcul)]],"")</f>
        <v>0</v>
      </c>
      <c r="AH25" s="356" t="str">
        <f>IFERROR(IF(Tableau1[[#This Row],[Montant Facturé 01/2018]]&gt;0,Tableau1[[#This Row],[Montant Facturé 01/2018]]/Taux_Change_SII,""),"")</f>
        <v/>
      </c>
      <c r="AI25" s="351"/>
      <c r="AJ25" s="83">
        <f>SUMPRODUCT(1*(EXACT(CONCATENATE(Tableau1[[#This Row],[PO Number (Header)]],"-",Tableau1[[#This Row],[Line]]),UO_List[Unique_AIB_ID]))*(UO_List[Qté Réception 02/2020]))</f>
        <v>0</v>
      </c>
      <c r="AK25" s="83">
        <f>SUMPRODUCT(1*(EXACT(CONCATENATE(Tableau1[[#This Row],[PO Number (Header)]],"-",Tableau1[[#This Row],[Line]]),UO_List[Unique_AIB_ID]))*(UO_List[Qté Réception 02/2020]))</f>
        <v>0</v>
      </c>
      <c r="AL25" s="357"/>
      <c r="AM25" s="351">
        <f>IFERROR(Tableau1[[#This Row],[Qté Facturé 02/2018]]*Tableau1[[#This Row],[Unit Price (calcul)]],"")</f>
        <v>0</v>
      </c>
      <c r="AN25" s="351" t="str">
        <f>IFERROR(IF(Tableau1[[#This Row],[Montant Facturé 02/2018]]&gt;0,Tableau1[[#This Row],[Montant Facturé 02/2018]]/Taux_Change_SII,""),"")</f>
        <v/>
      </c>
      <c r="AO25" s="351"/>
      <c r="AP25" s="83">
        <f>SUMPRODUCT(1*(EXACT(CONCATENATE(Tableau1[[#This Row],[PO Number (Header)]],"-",Tableau1[[#This Row],[Line]]),UO_List[Unique_AIB_ID]))*(UO_List[Qté Réception 00/2020]))</f>
        <v>0</v>
      </c>
      <c r="AQ25" s="84">
        <v>0</v>
      </c>
      <c r="AR25" s="357"/>
      <c r="AS25" s="357">
        <f>IFERROR(Tableau1[[#This Row],[Qté Facturé 03/2018]]*Tableau1[[#This Row],[Unit Price (calcul)]],"")</f>
        <v>0</v>
      </c>
      <c r="AT25" s="358" t="str">
        <f>IFERROR(IF(Tableau1[[#This Row],[Montant Facturé 03/2018]]&gt;0,Tableau1[[#This Row],[Montant Facturé 03/2018]]/Taux_Change_SII,""),"")</f>
        <v/>
      </c>
      <c r="AU25" s="351"/>
      <c r="AV25" s="83">
        <f>SUMPRODUCT(1*(EXACT(CONCATENATE(Tableau1[[#This Row],[PO Number (Header)]],"-",Tableau1[[#This Row],[Line]]),UO_List[Unique_AIB_ID]))*(UO_List[Qté Réception 04/2020]))</f>
        <v>0</v>
      </c>
      <c r="AW25" s="84"/>
      <c r="AX25" s="351"/>
      <c r="AY25" s="351">
        <f>IFERROR(Tableau1[[#This Row],[Qté Facturé 04/2018]]*Tableau1[[#This Row],[Unit Price (calcul)]],"")</f>
        <v>0</v>
      </c>
      <c r="AZ25" s="351" t="str">
        <f>IFERROR(IF(Tableau1[[#This Row],[Montant Facturé 04/2018]]&gt;0,Tableau1[[#This Row],[Montant Facturé 04/2018]]/Taux_Change_SII,""),"")</f>
        <v/>
      </c>
      <c r="BA25" s="351"/>
      <c r="BB25" s="83">
        <f>SUMPRODUCT(1*(EXACT(CONCATENATE(Tableau1[[#This Row],[PO Number (Header)]],"-",Tableau1[[#This Row],[Line]]),UO_List[Unique_AIB_ID]))*(UO_List[Qté Réception 05/2020]))</f>
        <v>0</v>
      </c>
      <c r="BC25" s="84">
        <v>0</v>
      </c>
      <c r="BD25" s="351"/>
      <c r="BE25" s="351">
        <f>IFERROR(Tableau1[[#This Row],[Qté Facturé 05/2018]]*Tableau1[[#This Row],[Unit Price (calcul)]],"")</f>
        <v>0</v>
      </c>
      <c r="BF25" s="351" t="str">
        <f>IFERROR(IF(Tableau1[[#This Row],[Montant Facturé 05/2018]]&gt;0,Tableau1[[#This Row],[Montant Facturé 05/2018]]/Taux_Change_SII,""),"")</f>
        <v/>
      </c>
      <c r="BG25" s="351"/>
      <c r="BH25" s="83">
        <f>SUMPRODUCT(1*(EXACT(CONCATENATE(Tableau1[[#This Row],[PO Number (Header)]],"-",Tableau1[[#This Row],[Line]]),UO_List[Unique_AIB_ID]))*(UO_List[Qté Réception 06/2020]))</f>
        <v>0</v>
      </c>
      <c r="BI25" s="84">
        <v>0</v>
      </c>
      <c r="BJ25" s="351"/>
      <c r="BK25" s="351">
        <f>IFERROR(Tableau1[[#This Row],[Qté Facturé 06/2018]]*Tableau1[[#This Row],[Unit Price (calcul)]],"")</f>
        <v>0</v>
      </c>
      <c r="BL25" s="351" t="str">
        <f>IFERROR(IF(Tableau1[[#This Row],[Montant Facturé 06/2018]]&gt;0,Tableau1[[#This Row],[Montant Facturé 06/2018]]/Taux_Change_SII,""),"")</f>
        <v/>
      </c>
      <c r="BM25" s="351"/>
      <c r="BN25" s="83">
        <f>SUMPRODUCT(1*(EXACT(CONCATENATE(Tableau1[[#This Row],[PO Number (Header)]],"-",Tableau1[[#This Row],[Line]]),UO_List[Unique_AIB_ID]))*(UO_List[Qté Réception 07/2020]))</f>
        <v>0</v>
      </c>
      <c r="BO25" s="84">
        <v>0</v>
      </c>
      <c r="BP25" s="351"/>
      <c r="BQ25" s="351">
        <f>IFERROR(Tableau1[[#This Row],[Qté Facturé 07/2018]]*Tableau1[[#This Row],[Unit Price (calcul)]],"")</f>
        <v>0</v>
      </c>
      <c r="BR25" s="351" t="str">
        <f>IFERROR(IF(Tableau1[[#This Row],[Montant Facturé 07/2018]]&gt;0,Tableau1[[#This Row],[Montant Facturé 07/2018]]/Taux_Change_SII,""),"")</f>
        <v/>
      </c>
      <c r="BS25" s="351"/>
      <c r="BT25" s="83">
        <f>SUMPRODUCT(1*(EXACT(CONCATENATE(Tableau1[[#This Row],[PO Number (Header)]],"-",Tableau1[[#This Row],[Line]]),UO_List[Unique_AIB_ID]))*(UO_List[Qté Réception 08/2020]))</f>
        <v>0</v>
      </c>
      <c r="BU25" s="84"/>
      <c r="BV25" s="351"/>
      <c r="BW25" s="351">
        <f>IFERROR(Tableau1[[#This Row],[Qté Facturé 08/2018]]*Tableau1[[#This Row],[Unit Price (calcul)]],"")</f>
        <v>0</v>
      </c>
      <c r="BX25" s="351" t="str">
        <f>IFERROR(IF(Tableau1[[#This Row],[Montant Facturé 08/2018]]&gt;0,Tableau1[[#This Row],[Montant Facturé 08/2018]]/Taux_Change_SII,""),"")</f>
        <v/>
      </c>
      <c r="BY25" s="351"/>
      <c r="BZ25" s="83">
        <f>SUMPRODUCT(1*(EXACT(CONCATENATE(Tableau1[[#This Row],[PO Number (Header)]],"-",Tableau1[[#This Row],[Line]]),UO_List[Unique_AIB_ID]))*(UO_List[Qté Réception 09/2020]))</f>
        <v>0</v>
      </c>
      <c r="CA25" s="84">
        <v>0</v>
      </c>
      <c r="CB25" s="351"/>
      <c r="CC25" s="351">
        <f>IFERROR(Tableau1[[#This Row],[Qté Facturé 09/2018]]*Tableau1[[#This Row],[Unit Price (calcul)]],"")</f>
        <v>0</v>
      </c>
      <c r="CD25" s="351" t="str">
        <f>IFERROR(IF(Tableau1[[#This Row],[Montant Facturé 09/2018]]&gt;0,Tableau1[[#This Row],[Montant Facturé 09/2018]]/Taux_Change_SII,""),"")</f>
        <v/>
      </c>
      <c r="CE25" s="351"/>
      <c r="CF25" s="83">
        <f>SUMPRODUCT(1*(EXACT(CONCATENATE(Tableau1[[#This Row],[PO Number (Header)]],"-",Tableau1[[#This Row],[Line]]),UO_List[Unique_AIB_ID]))*(UO_List[Qté Réception 10/2020]))</f>
        <v>0</v>
      </c>
      <c r="CG25" s="84">
        <v>0</v>
      </c>
      <c r="CH25" s="351"/>
      <c r="CI25" s="351">
        <f>IFERROR(Tableau1[[#This Row],[Qté Facturé 10/2018]]*Tableau1[[#This Row],[Unit Price (calcul)]],"")</f>
        <v>0</v>
      </c>
      <c r="CJ25" s="351" t="str">
        <f>IFERROR(IF(Tableau1[[#This Row],[Montant Facturé 10/2018]]&gt;0,Tableau1[[#This Row],[Montant Facturé 10/2018]]/Taux_Change_SII,""),"")</f>
        <v/>
      </c>
      <c r="CK25" s="351"/>
      <c r="CL25" s="83">
        <f>SUMPRODUCT(1*(EXACT(CONCATENATE(Tableau1[[#This Row],[PO Number (Header)]],"-",Tableau1[[#This Row],[Line]]),UO_List[Unique_AIB_ID]))*(UO_List[Qté Réception 11/2020]))</f>
        <v>0</v>
      </c>
      <c r="CM25" s="84"/>
      <c r="CN25" s="351"/>
      <c r="CO25" s="351">
        <f>IFERROR(Tableau1[[#This Row],[Qté Facturé 11/2018]]*Tableau1[[#This Row],[Unit Price (calcul)]],"")</f>
        <v>0</v>
      </c>
      <c r="CP25" s="351" t="str">
        <f>IFERROR(IF(Tableau1[[#This Row],[Montant Facturé 11/2018]]&gt;0,Tableau1[[#This Row],[Montant Facturé 11/2018]]/Taux_Change_SII,""),"")</f>
        <v/>
      </c>
      <c r="CQ25" s="351"/>
      <c r="CR25" s="83">
        <f>SUMPRODUCT(1*(EXACT(CONCATENATE(Tableau1[[#This Row],[PO Number (Header)]],"-",Tableau1[[#This Row],[Line]]),UO_List[Unique_AIB_ID]))*(UO_List[Qté Réception 12/2020]))</f>
        <v>0</v>
      </c>
      <c r="CS25" s="84"/>
      <c r="CT25" s="351"/>
      <c r="CU25" s="351">
        <f>IFERROR(Tableau1[[#This Row],[Qté Facturé 12/2018]]*Tableau1[[#This Row],[Unit Price (calcul)]],"")</f>
        <v>0</v>
      </c>
      <c r="CV25" s="351" t="str">
        <f>IFERROR(IF(Tableau1[[#This Row],[Montant Facturé 12/2018]]&gt;0,Tableau1[[#This Row],[Montant Facturé 12/2018]]/Taux_Change_SII,""),"")</f>
        <v/>
      </c>
      <c r="CW25" s="351"/>
      <c r="CX2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2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2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25" s="352">
        <f>IFERROR(Tableau1[[#This Row],[Total item réceptionné]]*Tableau1[[#This Row],[Unit Price (calcul)]],"")</f>
        <v>0</v>
      </c>
      <c r="DB25" s="352">
        <f>IFERROR(Tableau1[[#This Row],[Total item à Facturer]]*Tableau1[[#This Row],[Unit Price (calcul)]],"")</f>
        <v>0</v>
      </c>
      <c r="DC25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25" s="352">
        <f>IFERROR(Tableau1[[#This Row],[Line Total]]-Tableau1[[#This Row],[Total Price Réceptionné]],"")</f>
        <v>3370</v>
      </c>
      <c r="DE25" s="352">
        <f>IFERROR(Tableau1[[#This Row],[Total Price Réceptionné]]-Tableau1[[#This Row],[Total Price A facturer]],"")</f>
        <v>0</v>
      </c>
      <c r="DF25" s="353">
        <f>IFERROR(Tableau1[[#This Row],[Total Price A facturer]]-Tableau1[[#This Row],[Total Price Facturé]],"")</f>
        <v>0</v>
      </c>
      <c r="DG25" s="76">
        <f>Tableau1[[#This Row],[Total Item Quantity]]-Tableau1[[#This Row],[Total item réceptionné]]</f>
        <v>2</v>
      </c>
      <c r="DH25" s="168"/>
      <c r="DI25" s="167"/>
    </row>
    <row r="26" spans="1:113" s="125" customFormat="1">
      <c r="A26" s="124" t="str">
        <f>CONCATENATE(Tableau1[[#This Row],[PO Number (Header)]],"-",Tableau1[[#This Row],[Line]])</f>
        <v>C000489704-5</v>
      </c>
      <c r="B26" s="429" t="s">
        <v>913</v>
      </c>
      <c r="C26" s="493" t="s">
        <v>726</v>
      </c>
      <c r="D26" s="406" t="s">
        <v>802</v>
      </c>
      <c r="E26" s="493"/>
      <c r="F26" s="175">
        <v>5</v>
      </c>
      <c r="G26" s="493" t="s">
        <v>918</v>
      </c>
      <c r="H26" s="332">
        <v>6</v>
      </c>
      <c r="I26" s="383">
        <v>3360</v>
      </c>
      <c r="J26" s="493" t="s">
        <v>629</v>
      </c>
      <c r="K26" s="175">
        <v>0</v>
      </c>
      <c r="L26" s="493"/>
      <c r="M26" s="493"/>
      <c r="N26" s="77"/>
      <c r="O26" s="77"/>
      <c r="P26" s="77"/>
      <c r="Q26" s="395" t="s">
        <v>630</v>
      </c>
      <c r="R26" s="395">
        <v>0</v>
      </c>
      <c r="S26" s="77" t="s">
        <v>902</v>
      </c>
      <c r="T26" s="77"/>
      <c r="U26" s="77"/>
      <c r="V26" s="77" t="s">
        <v>727</v>
      </c>
      <c r="W26" s="168" t="s">
        <v>921</v>
      </c>
      <c r="X26" s="168" t="s">
        <v>915</v>
      </c>
      <c r="Y26" s="167">
        <f>IF(ISBLANK(Tableau1[[#This Row],[PO Number (Header)]]),"",Tableau1[[#This Row],[Line Total]]/Tableau1[[#This Row],[Total Item Quantity]])</f>
        <v>560</v>
      </c>
      <c r="Z26" s="168" t="str">
        <f>IF(ISNA(VLOOKUP(Tableau1[[#This Row],[Unique_AIB_ID]],UO_List[Unique_AIB_ID],1,FALSE)),IF(ISBLANK(Tableau1[[#This Row],[PO Number (Header)]]),"","FAUX"),"VRAI")</f>
        <v>VRAI</v>
      </c>
      <c r="AA26" s="167" t="s">
        <v>634</v>
      </c>
      <c r="AB26" s="163" t="str">
        <f>VLOOKUP(Tableau1[[#This Row],[Unique_AIB_ID]],UO_List[[Unique_AIB_ID]:[OLGA F6]],3,FALSE)</f>
        <v>3173-10</v>
      </c>
      <c r="AC26" s="162" t="s">
        <v>993</v>
      </c>
      <c r="AD26" s="83">
        <f>SUMPRODUCT(1*(EXACT(CONCATENATE(Tableau1[[#This Row],[PO Number (Header)]],"-",Tableau1[[#This Row],[Line]]),UO_List[Unique_AIB_ID]))*(UO_List[Qté Réception 03/2020]))</f>
        <v>2</v>
      </c>
      <c r="AE26" s="84">
        <v>2</v>
      </c>
      <c r="AF26" s="84">
        <v>2</v>
      </c>
      <c r="AG26" s="351">
        <f>IFERROR(Tableau1[[#This Row],[Qté Facturé 01/2018]]*Tableau1[[#This Row],[Unit Price (calcul)]],"")</f>
        <v>1120</v>
      </c>
      <c r="AH26" s="356">
        <f>IFERROR(IF(Tableau1[[#This Row],[Montant Facturé 01/2018]]&gt;0,Tableau1[[#This Row],[Montant Facturé 01/2018]]/Taux_Change_SII,""),"")</f>
        <v>829.62962962962956</v>
      </c>
      <c r="AI26" s="351"/>
      <c r="AJ26" s="83">
        <f>SUMPRODUCT(1*(EXACT(CONCATENATE(Tableau1[[#This Row],[PO Number (Header)]],"-",Tableau1[[#This Row],[Line]]),UO_List[Unique_AIB_ID]))*(UO_List[Qté Réception 02/2020]))</f>
        <v>0</v>
      </c>
      <c r="AK26" s="83">
        <f>SUMPRODUCT(1*(EXACT(CONCATENATE(Tableau1[[#This Row],[PO Number (Header)]],"-",Tableau1[[#This Row],[Line]]),UO_List[Unique_AIB_ID]))*(UO_List[Qté Réception 02/2020]))</f>
        <v>0</v>
      </c>
      <c r="AL26" s="357"/>
      <c r="AM26" s="351">
        <f>IFERROR(Tableau1[[#This Row],[Qté Facturé 02/2018]]*Tableau1[[#This Row],[Unit Price (calcul)]],"")</f>
        <v>0</v>
      </c>
      <c r="AN26" s="351" t="str">
        <f>IFERROR(IF(Tableau1[[#This Row],[Montant Facturé 02/2018]]&gt;0,Tableau1[[#This Row],[Montant Facturé 02/2018]]/Taux_Change_SII,""),"")</f>
        <v/>
      </c>
      <c r="AO26" s="351"/>
      <c r="AP26" s="83">
        <f>SUMPRODUCT(1*(EXACT(CONCATENATE(Tableau1[[#This Row],[PO Number (Header)]],"-",Tableau1[[#This Row],[Line]]),UO_List[Unique_AIB_ID]))*(UO_List[Qté Réception 00/2020]))</f>
        <v>0</v>
      </c>
      <c r="AQ26" s="84">
        <v>0</v>
      </c>
      <c r="AR26" s="357"/>
      <c r="AS26" s="357">
        <f>IFERROR(Tableau1[[#This Row],[Qté Facturé 03/2018]]*Tableau1[[#This Row],[Unit Price (calcul)]],"")</f>
        <v>0</v>
      </c>
      <c r="AT26" s="358" t="str">
        <f>IFERROR(IF(Tableau1[[#This Row],[Montant Facturé 03/2018]]&gt;0,Tableau1[[#This Row],[Montant Facturé 03/2018]]/Taux_Change_SII,""),"")</f>
        <v/>
      </c>
      <c r="AU26" s="351"/>
      <c r="AV26" s="83">
        <f>SUMPRODUCT(1*(EXACT(CONCATENATE(Tableau1[[#This Row],[PO Number (Header)]],"-",Tableau1[[#This Row],[Line]]),UO_List[Unique_AIB_ID]))*(UO_List[Qté Réception 04/2020]))</f>
        <v>0</v>
      </c>
      <c r="AW26" s="84">
        <v>0</v>
      </c>
      <c r="AX26" s="351"/>
      <c r="AY26" s="351">
        <f>IFERROR(Tableau1[[#This Row],[Qté Facturé 04/2018]]*Tableau1[[#This Row],[Unit Price (calcul)]],"")</f>
        <v>0</v>
      </c>
      <c r="AZ26" s="351" t="str">
        <f>IFERROR(IF(Tableau1[[#This Row],[Montant Facturé 04/2018]]&gt;0,Tableau1[[#This Row],[Montant Facturé 04/2018]]/Taux_Change_SII,""),"")</f>
        <v/>
      </c>
      <c r="BA26" s="351"/>
      <c r="BB26" s="83">
        <f>SUMPRODUCT(1*(EXACT(CONCATENATE(Tableau1[[#This Row],[PO Number (Header)]],"-",Tableau1[[#This Row],[Line]]),UO_List[Unique_AIB_ID]))*(UO_List[Qté Réception 05/2020]))</f>
        <v>0</v>
      </c>
      <c r="BC26" s="84">
        <v>0</v>
      </c>
      <c r="BD26" s="351"/>
      <c r="BE26" s="351">
        <f>IFERROR(Tableau1[[#This Row],[Qté Facturé 05/2018]]*Tableau1[[#This Row],[Unit Price (calcul)]],"")</f>
        <v>0</v>
      </c>
      <c r="BF26" s="351" t="str">
        <f>IFERROR(IF(Tableau1[[#This Row],[Montant Facturé 05/2018]]&gt;0,Tableau1[[#This Row],[Montant Facturé 05/2018]]/Taux_Change_SII,""),"")</f>
        <v/>
      </c>
      <c r="BG26" s="351"/>
      <c r="BH26" s="83">
        <f>SUMPRODUCT(1*(EXACT(CONCATENATE(Tableau1[[#This Row],[PO Number (Header)]],"-",Tableau1[[#This Row],[Line]]),UO_List[Unique_AIB_ID]))*(UO_List[Qté Réception 06/2020]))</f>
        <v>0</v>
      </c>
      <c r="BI26" s="84">
        <v>0</v>
      </c>
      <c r="BJ26" s="351"/>
      <c r="BK26" s="351">
        <f>IFERROR(Tableau1[[#This Row],[Qté Facturé 06/2018]]*Tableau1[[#This Row],[Unit Price (calcul)]],"")</f>
        <v>0</v>
      </c>
      <c r="BL26" s="351" t="str">
        <f>IFERROR(IF(Tableau1[[#This Row],[Montant Facturé 06/2018]]&gt;0,Tableau1[[#This Row],[Montant Facturé 06/2018]]/Taux_Change_SII,""),"")</f>
        <v/>
      </c>
      <c r="BM26" s="351"/>
      <c r="BN26" s="83">
        <f>SUMPRODUCT(1*(EXACT(CONCATENATE(Tableau1[[#This Row],[PO Number (Header)]],"-",Tableau1[[#This Row],[Line]]),UO_List[Unique_AIB_ID]))*(UO_List[Qté Réception 07/2020]))</f>
        <v>0</v>
      </c>
      <c r="BO26" s="84">
        <v>0</v>
      </c>
      <c r="BP26" s="351"/>
      <c r="BQ26" s="351">
        <f>IFERROR(Tableau1[[#This Row],[Qté Facturé 07/2018]]*Tableau1[[#This Row],[Unit Price (calcul)]],"")</f>
        <v>0</v>
      </c>
      <c r="BR26" s="351" t="str">
        <f>IFERROR(IF(Tableau1[[#This Row],[Montant Facturé 07/2018]]&gt;0,Tableau1[[#This Row],[Montant Facturé 07/2018]]/Taux_Change_SII,""),"")</f>
        <v/>
      </c>
      <c r="BS26" s="351"/>
      <c r="BT26" s="83">
        <f>SUMPRODUCT(1*(EXACT(CONCATENATE(Tableau1[[#This Row],[PO Number (Header)]],"-",Tableau1[[#This Row],[Line]]),UO_List[Unique_AIB_ID]))*(UO_List[Qté Réception 08/2020]))</f>
        <v>0</v>
      </c>
      <c r="BU26" s="84"/>
      <c r="BV26" s="351"/>
      <c r="BW26" s="351">
        <f>IFERROR(Tableau1[[#This Row],[Qté Facturé 08/2018]]*Tableau1[[#This Row],[Unit Price (calcul)]],"")</f>
        <v>0</v>
      </c>
      <c r="BX26" s="351" t="str">
        <f>IFERROR(IF(Tableau1[[#This Row],[Montant Facturé 08/2018]]&gt;0,Tableau1[[#This Row],[Montant Facturé 08/2018]]/Taux_Change_SII,""),"")</f>
        <v/>
      </c>
      <c r="BY26" s="351"/>
      <c r="BZ26" s="83">
        <f>SUMPRODUCT(1*(EXACT(CONCATENATE(Tableau1[[#This Row],[PO Number (Header)]],"-",Tableau1[[#This Row],[Line]]),UO_List[Unique_AIB_ID]))*(UO_List[Qté Réception 09/2020]))</f>
        <v>0</v>
      </c>
      <c r="CA26" s="84">
        <v>0</v>
      </c>
      <c r="CB26" s="351"/>
      <c r="CC26" s="351">
        <f>IFERROR(Tableau1[[#This Row],[Qté Facturé 09/2018]]*Tableau1[[#This Row],[Unit Price (calcul)]],"")</f>
        <v>0</v>
      </c>
      <c r="CD26" s="351" t="str">
        <f>IFERROR(IF(Tableau1[[#This Row],[Montant Facturé 09/2018]]&gt;0,Tableau1[[#This Row],[Montant Facturé 09/2018]]/Taux_Change_SII,""),"")</f>
        <v/>
      </c>
      <c r="CE26" s="351"/>
      <c r="CF26" s="83">
        <f>SUMPRODUCT(1*(EXACT(CONCATENATE(Tableau1[[#This Row],[PO Number (Header)]],"-",Tableau1[[#This Row],[Line]]),UO_List[Unique_AIB_ID]))*(UO_List[Qté Réception 10/2020]))</f>
        <v>0</v>
      </c>
      <c r="CG26" s="84">
        <v>0</v>
      </c>
      <c r="CH26" s="351"/>
      <c r="CI26" s="351">
        <f>IFERROR(Tableau1[[#This Row],[Qté Facturé 10/2018]]*Tableau1[[#This Row],[Unit Price (calcul)]],"")</f>
        <v>0</v>
      </c>
      <c r="CJ26" s="351" t="str">
        <f>IFERROR(IF(Tableau1[[#This Row],[Montant Facturé 10/2018]]&gt;0,Tableau1[[#This Row],[Montant Facturé 10/2018]]/Taux_Change_SII,""),"")</f>
        <v/>
      </c>
      <c r="CK26" s="351"/>
      <c r="CL26" s="83">
        <f>SUMPRODUCT(1*(EXACT(CONCATENATE(Tableau1[[#This Row],[PO Number (Header)]],"-",Tableau1[[#This Row],[Line]]),UO_List[Unique_AIB_ID]))*(UO_List[Qté Réception 11/2020]))</f>
        <v>0</v>
      </c>
      <c r="CM26" s="84"/>
      <c r="CN26" s="351"/>
      <c r="CO26" s="351">
        <f>IFERROR(Tableau1[[#This Row],[Qté Facturé 11/2018]]*Tableau1[[#This Row],[Unit Price (calcul)]],"")</f>
        <v>0</v>
      </c>
      <c r="CP26" s="351" t="str">
        <f>IFERROR(IF(Tableau1[[#This Row],[Montant Facturé 11/2018]]&gt;0,Tableau1[[#This Row],[Montant Facturé 11/2018]]/Taux_Change_SII,""),"")</f>
        <v/>
      </c>
      <c r="CQ26" s="351"/>
      <c r="CR26" s="83">
        <f>SUMPRODUCT(1*(EXACT(CONCATENATE(Tableau1[[#This Row],[PO Number (Header)]],"-",Tableau1[[#This Row],[Line]]),UO_List[Unique_AIB_ID]))*(UO_List[Qté Réception 12/2020]))</f>
        <v>0</v>
      </c>
      <c r="CS26" s="84"/>
      <c r="CT26" s="351"/>
      <c r="CU26" s="351">
        <f>IFERROR(Tableau1[[#This Row],[Qté Facturé 12/2018]]*Tableau1[[#This Row],[Unit Price (calcul)]],"")</f>
        <v>0</v>
      </c>
      <c r="CV26" s="351" t="str">
        <f>IFERROR(IF(Tableau1[[#This Row],[Montant Facturé 12/2018]]&gt;0,Tableau1[[#This Row],[Montant Facturé 12/2018]]/Taux_Change_SII,""),"")</f>
        <v/>
      </c>
      <c r="CW26" s="351"/>
      <c r="CX2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2</v>
      </c>
      <c r="CY2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2</v>
      </c>
      <c r="CZ2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2</v>
      </c>
      <c r="DA26" s="352">
        <f>IFERROR(Tableau1[[#This Row],[Total item réceptionné]]*Tableau1[[#This Row],[Unit Price (calcul)]],"")</f>
        <v>1120</v>
      </c>
      <c r="DB26" s="352">
        <f>IFERROR(Tableau1[[#This Row],[Total item à Facturer]]*Tableau1[[#This Row],[Unit Price (calcul)]],"")</f>
        <v>1120</v>
      </c>
      <c r="DC26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1120</v>
      </c>
      <c r="DD26" s="352">
        <f>IFERROR(Tableau1[[#This Row],[Line Total]]-Tableau1[[#This Row],[Total Price Réceptionné]],"")</f>
        <v>2240</v>
      </c>
      <c r="DE26" s="352">
        <f>IFERROR(Tableau1[[#This Row],[Total Price Réceptionné]]-Tableau1[[#This Row],[Total Price A facturer]],"")</f>
        <v>0</v>
      </c>
      <c r="DF26" s="353">
        <f>IFERROR(Tableau1[[#This Row],[Total Price A facturer]]-Tableau1[[#This Row],[Total Price Facturé]],"")</f>
        <v>0</v>
      </c>
      <c r="DG26" s="76">
        <f>Tableau1[[#This Row],[Total Item Quantity]]-Tableau1[[#This Row],[Total item réceptionné]]</f>
        <v>4</v>
      </c>
      <c r="DH26" s="168"/>
      <c r="DI26" s="167"/>
    </row>
    <row r="27" spans="1:113" s="125" customFormat="1">
      <c r="A27" s="124" t="str">
        <f>CONCATENATE(Tableau1[[#This Row],[PO Number (Header)]],"-",Tableau1[[#This Row],[Line]])</f>
        <v>C000489704-6</v>
      </c>
      <c r="B27" s="397" t="s">
        <v>913</v>
      </c>
      <c r="C27" s="493" t="s">
        <v>726</v>
      </c>
      <c r="D27" s="406" t="s">
        <v>802</v>
      </c>
      <c r="E27" s="493"/>
      <c r="F27" s="175">
        <v>6</v>
      </c>
      <c r="G27" s="493" t="s">
        <v>916</v>
      </c>
      <c r="H27" s="332">
        <v>2</v>
      </c>
      <c r="I27" s="383">
        <v>3370</v>
      </c>
      <c r="J27" s="493" t="s">
        <v>629</v>
      </c>
      <c r="K27" s="175">
        <v>0</v>
      </c>
      <c r="L27" s="493"/>
      <c r="M27" s="493"/>
      <c r="N27" s="77"/>
      <c r="O27" s="77"/>
      <c r="P27" s="77"/>
      <c r="Q27" s="395" t="s">
        <v>630</v>
      </c>
      <c r="R27" s="395">
        <v>0</v>
      </c>
      <c r="S27" s="77" t="s">
        <v>902</v>
      </c>
      <c r="T27" s="77"/>
      <c r="U27" s="77"/>
      <c r="V27" s="77" t="s">
        <v>727</v>
      </c>
      <c r="W27" s="168" t="s">
        <v>922</v>
      </c>
      <c r="X27" s="168" t="s">
        <v>915</v>
      </c>
      <c r="Y27" s="167">
        <f>IF(ISBLANK(Tableau1[[#This Row],[PO Number (Header)]]),"",Tableau1[[#This Row],[Line Total]]/Tableau1[[#This Row],[Total Item Quantity]])</f>
        <v>1685</v>
      </c>
      <c r="Z27" s="168" t="str">
        <f>IF(ISNA(VLOOKUP(Tableau1[[#This Row],[Unique_AIB_ID]],UO_List[Unique_AIB_ID],1,FALSE)),IF(ISBLANK(Tableau1[[#This Row],[PO Number (Header)]]),"","FAUX"),"VRAI")</f>
        <v>VRAI</v>
      </c>
      <c r="AA27" s="167" t="s">
        <v>634</v>
      </c>
      <c r="AB27" s="163" t="str">
        <f>VLOOKUP(Tableau1[[#This Row],[Unique_AIB_ID]],UO_List[[Unique_AIB_ID]:[OLGA F6]],3,FALSE)</f>
        <v>3173-10</v>
      </c>
      <c r="AC27" s="162" t="s">
        <v>993</v>
      </c>
      <c r="AD27" s="83">
        <f>SUMPRODUCT(1*(EXACT(CONCATENATE(Tableau1[[#This Row],[PO Number (Header)]],"-",Tableau1[[#This Row],[Line]]),UO_List[Unique_AIB_ID]))*(UO_List[Qté Réception 03/2020]))</f>
        <v>1</v>
      </c>
      <c r="AE27" s="84">
        <v>1</v>
      </c>
      <c r="AF27" s="84">
        <v>1</v>
      </c>
      <c r="AG27" s="351">
        <f>IFERROR(Tableau1[[#This Row],[Qté Facturé 01/2018]]*Tableau1[[#This Row],[Unit Price (calcul)]],"")</f>
        <v>1685</v>
      </c>
      <c r="AH27" s="356">
        <f>IFERROR(IF(Tableau1[[#This Row],[Montant Facturé 01/2018]]&gt;0,Tableau1[[#This Row],[Montant Facturé 01/2018]]/Taux_Change_SII,""),"")</f>
        <v>1248.148148148148</v>
      </c>
      <c r="AI27" s="351"/>
      <c r="AJ27" s="83">
        <f>SUMPRODUCT(1*(EXACT(CONCATENATE(Tableau1[[#This Row],[PO Number (Header)]],"-",Tableau1[[#This Row],[Line]]),UO_List[Unique_AIB_ID]))*(UO_List[Qté Réception 02/2020]))</f>
        <v>0</v>
      </c>
      <c r="AK27" s="83">
        <f>SUMPRODUCT(1*(EXACT(CONCATENATE(Tableau1[[#This Row],[PO Number (Header)]],"-",Tableau1[[#This Row],[Line]]),UO_List[Unique_AIB_ID]))*(UO_List[Qté Réception 02/2020]))</f>
        <v>0</v>
      </c>
      <c r="AL27" s="357"/>
      <c r="AM27" s="351">
        <f>IFERROR(Tableau1[[#This Row],[Qté Facturé 02/2018]]*Tableau1[[#This Row],[Unit Price (calcul)]],"")</f>
        <v>0</v>
      </c>
      <c r="AN27" s="351" t="str">
        <f>IFERROR(IF(Tableau1[[#This Row],[Montant Facturé 02/2018]]&gt;0,Tableau1[[#This Row],[Montant Facturé 02/2018]]/Taux_Change_SII,""),"")</f>
        <v/>
      </c>
      <c r="AO27" s="351"/>
      <c r="AP27" s="83">
        <f>SUMPRODUCT(1*(EXACT(CONCATENATE(Tableau1[[#This Row],[PO Number (Header)]],"-",Tableau1[[#This Row],[Line]]),UO_List[Unique_AIB_ID]))*(UO_List[Qté Réception 00/2020]))</f>
        <v>0</v>
      </c>
      <c r="AQ27" s="84"/>
      <c r="AR27" s="357"/>
      <c r="AS27" s="351">
        <f>IFERROR(Tableau1[[#This Row],[Qté Facturé 03/2018]]*Tableau1[[#This Row],[Unit Price (calcul)]],"")</f>
        <v>0</v>
      </c>
      <c r="AT27" s="358" t="str">
        <f>IFERROR(IF(Tableau1[[#This Row],[Montant Facturé 03/2018]]&gt;0,Tableau1[[#This Row],[Montant Facturé 03/2018]]/Taux_Change_SII,""),"")</f>
        <v/>
      </c>
      <c r="AU27" s="351"/>
      <c r="AV27" s="83">
        <f>SUMPRODUCT(1*(EXACT(CONCATENATE(Tableau1[[#This Row],[PO Number (Header)]],"-",Tableau1[[#This Row],[Line]]),UO_List[Unique_AIB_ID]))*(UO_List[Qté Réception 04/2020]))</f>
        <v>0</v>
      </c>
      <c r="AW27" s="84">
        <v>0</v>
      </c>
      <c r="AX27" s="351"/>
      <c r="AY27" s="351">
        <f>IFERROR(Tableau1[[#This Row],[Qté Facturé 04/2018]]*Tableau1[[#This Row],[Unit Price (calcul)]],"")</f>
        <v>0</v>
      </c>
      <c r="AZ27" s="351" t="str">
        <f>IFERROR(IF(Tableau1[[#This Row],[Montant Facturé 04/2018]]&gt;0,Tableau1[[#This Row],[Montant Facturé 04/2018]]/Taux_Change_SII,""),"")</f>
        <v/>
      </c>
      <c r="BA27" s="351"/>
      <c r="BB27" s="83">
        <f>SUMPRODUCT(1*(EXACT(CONCATENATE(Tableau1[[#This Row],[PO Number (Header)]],"-",Tableau1[[#This Row],[Line]]),UO_List[Unique_AIB_ID]))*(UO_List[Qté Réception 05/2020]))</f>
        <v>0</v>
      </c>
      <c r="BC27" s="84">
        <v>0</v>
      </c>
      <c r="BD27" s="351"/>
      <c r="BE27" s="351">
        <f>IFERROR(Tableau1[[#This Row],[Qté Facturé 05/2018]]*Tableau1[[#This Row],[Unit Price (calcul)]],"")</f>
        <v>0</v>
      </c>
      <c r="BF27" s="351" t="str">
        <f>IFERROR(IF(Tableau1[[#This Row],[Montant Facturé 05/2018]]&gt;0,Tableau1[[#This Row],[Montant Facturé 05/2018]]/Taux_Change_SII,""),"")</f>
        <v/>
      </c>
      <c r="BG27" s="351"/>
      <c r="BH27" s="83">
        <f>SUMPRODUCT(1*(EXACT(CONCATENATE(Tableau1[[#This Row],[PO Number (Header)]],"-",Tableau1[[#This Row],[Line]]),UO_List[Unique_AIB_ID]))*(UO_List[Qté Réception 06/2020]))</f>
        <v>0</v>
      </c>
      <c r="BI27" s="84">
        <v>0</v>
      </c>
      <c r="BJ27" s="351"/>
      <c r="BK27" s="351">
        <f>IFERROR(Tableau1[[#This Row],[Qté Facturé 06/2018]]*Tableau1[[#This Row],[Unit Price (calcul)]],"")</f>
        <v>0</v>
      </c>
      <c r="BL27" s="351" t="str">
        <f>IFERROR(IF(Tableau1[[#This Row],[Montant Facturé 06/2018]]&gt;0,Tableau1[[#This Row],[Montant Facturé 06/2018]]/Taux_Change_SII,""),"")</f>
        <v/>
      </c>
      <c r="BM27" s="351"/>
      <c r="BN27" s="83">
        <f>SUMPRODUCT(1*(EXACT(CONCATENATE(Tableau1[[#This Row],[PO Number (Header)]],"-",Tableau1[[#This Row],[Line]]),UO_List[Unique_AIB_ID]))*(UO_List[Qté Réception 07/2020]))</f>
        <v>0</v>
      </c>
      <c r="BO27" s="84">
        <v>0</v>
      </c>
      <c r="BP27" s="351"/>
      <c r="BQ27" s="351">
        <f>IFERROR(Tableau1[[#This Row],[Qté Facturé 07/2018]]*Tableau1[[#This Row],[Unit Price (calcul)]],"")</f>
        <v>0</v>
      </c>
      <c r="BR27" s="351" t="str">
        <f>IFERROR(IF(Tableau1[[#This Row],[Montant Facturé 07/2018]]&gt;0,Tableau1[[#This Row],[Montant Facturé 07/2018]]/Taux_Change_SII,""),"")</f>
        <v/>
      </c>
      <c r="BS27" s="351"/>
      <c r="BT27" s="83">
        <f>SUMPRODUCT(1*(EXACT(CONCATENATE(Tableau1[[#This Row],[PO Number (Header)]],"-",Tableau1[[#This Row],[Line]]),UO_List[Unique_AIB_ID]))*(UO_List[Qté Réception 08/2020]))</f>
        <v>0</v>
      </c>
      <c r="BU27" s="84"/>
      <c r="BV27" s="351"/>
      <c r="BW27" s="351">
        <f>IFERROR(Tableau1[[#This Row],[Qté Facturé 08/2018]]*Tableau1[[#This Row],[Unit Price (calcul)]],"")</f>
        <v>0</v>
      </c>
      <c r="BX27" s="351" t="str">
        <f>IFERROR(IF(Tableau1[[#This Row],[Montant Facturé 08/2018]]&gt;0,Tableau1[[#This Row],[Montant Facturé 08/2018]]/Taux_Change_SII,""),"")</f>
        <v/>
      </c>
      <c r="BY27" s="351"/>
      <c r="BZ27" s="83">
        <f>SUMPRODUCT(1*(EXACT(CONCATENATE(Tableau1[[#This Row],[PO Number (Header)]],"-",Tableau1[[#This Row],[Line]]),UO_List[Unique_AIB_ID]))*(UO_List[Qté Réception 09/2020]))</f>
        <v>0</v>
      </c>
      <c r="CA27" s="84">
        <v>0</v>
      </c>
      <c r="CB27" s="351"/>
      <c r="CC27" s="351">
        <f>IFERROR(Tableau1[[#This Row],[Qté Facturé 09/2018]]*Tableau1[[#This Row],[Unit Price (calcul)]],"")</f>
        <v>0</v>
      </c>
      <c r="CD27" s="351" t="str">
        <f>IFERROR(IF(Tableau1[[#This Row],[Montant Facturé 09/2018]]&gt;0,Tableau1[[#This Row],[Montant Facturé 09/2018]]/Taux_Change_SII,""),"")</f>
        <v/>
      </c>
      <c r="CE27" s="351"/>
      <c r="CF27" s="83">
        <f>SUMPRODUCT(1*(EXACT(CONCATENATE(Tableau1[[#This Row],[PO Number (Header)]],"-",Tableau1[[#This Row],[Line]]),UO_List[Unique_AIB_ID]))*(UO_List[Qté Réception 10/2020]))</f>
        <v>0</v>
      </c>
      <c r="CG27" s="84">
        <v>0</v>
      </c>
      <c r="CH27" s="351"/>
      <c r="CI27" s="351">
        <f>IFERROR(Tableau1[[#This Row],[Qté Facturé 10/2018]]*Tableau1[[#This Row],[Unit Price (calcul)]],"")</f>
        <v>0</v>
      </c>
      <c r="CJ27" s="351" t="str">
        <f>IFERROR(IF(Tableau1[[#This Row],[Montant Facturé 10/2018]]&gt;0,Tableau1[[#This Row],[Montant Facturé 10/2018]]/Taux_Change_SII,""),"")</f>
        <v/>
      </c>
      <c r="CK27" s="351"/>
      <c r="CL27" s="83">
        <f>SUMPRODUCT(1*(EXACT(CONCATENATE(Tableau1[[#This Row],[PO Number (Header)]],"-",Tableau1[[#This Row],[Line]]),UO_List[Unique_AIB_ID]))*(UO_List[Qté Réception 11/2020]))</f>
        <v>0</v>
      </c>
      <c r="CM27" s="84"/>
      <c r="CN27" s="351"/>
      <c r="CO27" s="351">
        <f>IFERROR(Tableau1[[#This Row],[Qté Facturé 11/2018]]*Tableau1[[#This Row],[Unit Price (calcul)]],"")</f>
        <v>0</v>
      </c>
      <c r="CP27" s="351" t="str">
        <f>IFERROR(IF(Tableau1[[#This Row],[Montant Facturé 11/2018]]&gt;0,Tableau1[[#This Row],[Montant Facturé 11/2018]]/Taux_Change_SII,""),"")</f>
        <v/>
      </c>
      <c r="CQ27" s="351"/>
      <c r="CR27" s="83">
        <f>SUMPRODUCT(1*(EXACT(CONCATENATE(Tableau1[[#This Row],[PO Number (Header)]],"-",Tableau1[[#This Row],[Line]]),UO_List[Unique_AIB_ID]))*(UO_List[Qté Réception 12/2020]))</f>
        <v>0</v>
      </c>
      <c r="CS27" s="84"/>
      <c r="CT27" s="351"/>
      <c r="CU27" s="351">
        <f>IFERROR(Tableau1[[#This Row],[Qté Facturé 12/2018]]*Tableau1[[#This Row],[Unit Price (calcul)]],"")</f>
        <v>0</v>
      </c>
      <c r="CV27" s="351" t="str">
        <f>IFERROR(IF(Tableau1[[#This Row],[Montant Facturé 12/2018]]&gt;0,Tableau1[[#This Row],[Montant Facturé 12/2018]]/Taux_Change_SII,""),"")</f>
        <v/>
      </c>
      <c r="CW27" s="351"/>
      <c r="CX2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2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2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27" s="352">
        <f>IFERROR(Tableau1[[#This Row],[Total item réceptionné]]*Tableau1[[#This Row],[Unit Price (calcul)]],"")</f>
        <v>1685</v>
      </c>
      <c r="DB27" s="352">
        <f>IFERROR(Tableau1[[#This Row],[Total item à Facturer]]*Tableau1[[#This Row],[Unit Price (calcul)]],"")</f>
        <v>1685</v>
      </c>
      <c r="DC27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1685</v>
      </c>
      <c r="DD27" s="352">
        <f>IFERROR(Tableau1[[#This Row],[Line Total]]-Tableau1[[#This Row],[Total Price Réceptionné]],"")</f>
        <v>1685</v>
      </c>
      <c r="DE27" s="352">
        <f>IFERROR(Tableau1[[#This Row],[Total Price Réceptionné]]-Tableau1[[#This Row],[Total Price A facturer]],"")</f>
        <v>0</v>
      </c>
      <c r="DF27" s="353">
        <f>IFERROR(Tableau1[[#This Row],[Total Price A facturer]]-Tableau1[[#This Row],[Total Price Facturé]],"")</f>
        <v>0</v>
      </c>
      <c r="DG27" s="76">
        <f>Tableau1[[#This Row],[Total Item Quantity]]-Tableau1[[#This Row],[Total item réceptionné]]</f>
        <v>1</v>
      </c>
      <c r="DH27" s="168"/>
      <c r="DI27" s="167"/>
    </row>
    <row r="28" spans="1:113" s="125" customFormat="1">
      <c r="A28" s="124" t="str">
        <f>CONCATENATE(Tableau1[[#This Row],[PO Number (Header)]],"-",Tableau1[[#This Row],[Line]])</f>
        <v>C000489704-7</v>
      </c>
      <c r="B28" s="397" t="s">
        <v>913</v>
      </c>
      <c r="C28" s="430" t="s">
        <v>726</v>
      </c>
      <c r="D28" s="431" t="s">
        <v>802</v>
      </c>
      <c r="E28" s="430"/>
      <c r="F28" s="542">
        <v>7</v>
      </c>
      <c r="G28" s="430" t="s">
        <v>923</v>
      </c>
      <c r="H28" s="332">
        <v>20</v>
      </c>
      <c r="I28" s="383">
        <v>33700</v>
      </c>
      <c r="J28" s="432" t="s">
        <v>629</v>
      </c>
      <c r="K28" s="549">
        <v>0</v>
      </c>
      <c r="L28" s="433"/>
      <c r="M28" s="432"/>
      <c r="N28" s="77"/>
      <c r="O28" s="101"/>
      <c r="P28" s="77"/>
      <c r="Q28" s="395" t="s">
        <v>630</v>
      </c>
      <c r="R28" s="395">
        <v>0</v>
      </c>
      <c r="S28" s="77" t="s">
        <v>902</v>
      </c>
      <c r="T28" s="77"/>
      <c r="U28" s="77"/>
      <c r="V28" s="77" t="s">
        <v>727</v>
      </c>
      <c r="W28" s="168" t="s">
        <v>924</v>
      </c>
      <c r="X28" s="168" t="s">
        <v>915</v>
      </c>
      <c r="Y28" s="167">
        <f>IF(ISBLANK(Tableau1[[#This Row],[PO Number (Header)]]),"",Tableau1[[#This Row],[Line Total]]/Tableau1[[#This Row],[Total Item Quantity]])</f>
        <v>1685</v>
      </c>
      <c r="Z28" s="168" t="str">
        <f>IF(ISNA(VLOOKUP(Tableau1[[#This Row],[Unique_AIB_ID]],UO_List[Unique_AIB_ID],1,FALSE)),IF(ISBLANK(Tableau1[[#This Row],[PO Number (Header)]]),"","FAUX"),"VRAI")</f>
        <v>VRAI</v>
      </c>
      <c r="AA28" s="167" t="s">
        <v>634</v>
      </c>
      <c r="AB28" s="163" t="str">
        <f>VLOOKUP(Tableau1[[#This Row],[Unique_AIB_ID]],UO_List[[Unique_AIB_ID]:[OLGA F6]],3,FALSE)</f>
        <v>3173-10</v>
      </c>
      <c r="AC28" s="162" t="s">
        <v>993</v>
      </c>
      <c r="AD28" s="83">
        <f>SUMPRODUCT(1*(EXACT(CONCATENATE(Tableau1[[#This Row],[PO Number (Header)]],"-",Tableau1[[#This Row],[Line]]),UO_List[Unique_AIB_ID]))*(UO_List[Qté Réception 03/2020]))</f>
        <v>8</v>
      </c>
      <c r="AE28" s="84">
        <v>8</v>
      </c>
      <c r="AF28" s="84">
        <v>8</v>
      </c>
      <c r="AG28" s="351">
        <f>IFERROR(Tableau1[[#This Row],[Qté Facturé 01/2018]]*Tableau1[[#This Row],[Unit Price (calcul)]],"")</f>
        <v>13480</v>
      </c>
      <c r="AH28" s="356">
        <f>IFERROR(IF(Tableau1[[#This Row],[Montant Facturé 01/2018]]&gt;0,Tableau1[[#This Row],[Montant Facturé 01/2018]]/Taux_Change_SII,""),"")</f>
        <v>9985.1851851851843</v>
      </c>
      <c r="AI28" s="351"/>
      <c r="AJ28" s="83">
        <f>SUMPRODUCT(1*(EXACT(CONCATENATE(Tableau1[[#This Row],[PO Number (Header)]],"-",Tableau1[[#This Row],[Line]]),UO_List[Unique_AIB_ID]))*(UO_List[Qté Réception 02/2020]))</f>
        <v>0</v>
      </c>
      <c r="AK28" s="83">
        <f>SUMPRODUCT(1*(EXACT(CONCATENATE(Tableau1[[#This Row],[PO Number (Header)]],"-",Tableau1[[#This Row],[Line]]),UO_List[Unique_AIB_ID]))*(UO_List[Qté Réception 02/2020]))</f>
        <v>0</v>
      </c>
      <c r="AL28" s="357"/>
      <c r="AM28" s="351">
        <f>IFERROR(Tableau1[[#This Row],[Qté Facturé 02/2018]]*Tableau1[[#This Row],[Unit Price (calcul)]],"")</f>
        <v>0</v>
      </c>
      <c r="AN28" s="351" t="str">
        <f>IFERROR(IF(Tableau1[[#This Row],[Montant Facturé 02/2018]]&gt;0,Tableau1[[#This Row],[Montant Facturé 02/2018]]/Taux_Change_SII,""),"")</f>
        <v/>
      </c>
      <c r="AO28" s="351"/>
      <c r="AP28" s="83">
        <f>SUMPRODUCT(1*(EXACT(CONCATENATE(Tableau1[[#This Row],[PO Number (Header)]],"-",Tableau1[[#This Row],[Line]]),UO_List[Unique_AIB_ID]))*(UO_List[Qté Réception 00/2020]))</f>
        <v>0</v>
      </c>
      <c r="AQ28" s="84"/>
      <c r="AR28" s="357"/>
      <c r="AS28" s="351">
        <f>IFERROR(Tableau1[[#This Row],[Qté Facturé 03/2018]]*Tableau1[[#This Row],[Unit Price (calcul)]],"")</f>
        <v>0</v>
      </c>
      <c r="AT28" s="358" t="str">
        <f>IFERROR(IF(Tableau1[[#This Row],[Montant Facturé 03/2018]]&gt;0,Tableau1[[#This Row],[Montant Facturé 03/2018]]/Taux_Change_SII,""),"")</f>
        <v/>
      </c>
      <c r="AU28" s="351"/>
      <c r="AV28" s="83">
        <f>SUMPRODUCT(1*(EXACT(CONCATENATE(Tableau1[[#This Row],[PO Number (Header)]],"-",Tableau1[[#This Row],[Line]]),UO_List[Unique_AIB_ID]))*(UO_List[Qté Réception 04/2020]))</f>
        <v>0</v>
      </c>
      <c r="AW28" s="84">
        <v>0</v>
      </c>
      <c r="AX28" s="351"/>
      <c r="AY28" s="351">
        <f>IFERROR(Tableau1[[#This Row],[Qté Facturé 04/2018]]*Tableau1[[#This Row],[Unit Price (calcul)]],"")</f>
        <v>0</v>
      </c>
      <c r="AZ28" s="351" t="str">
        <f>IFERROR(IF(Tableau1[[#This Row],[Montant Facturé 04/2018]]&gt;0,Tableau1[[#This Row],[Montant Facturé 04/2018]]/Taux_Change_SII,""),"")</f>
        <v/>
      </c>
      <c r="BA28" s="351"/>
      <c r="BB28" s="83">
        <f>SUMPRODUCT(1*(EXACT(CONCATENATE(Tableau1[[#This Row],[PO Number (Header)]],"-",Tableau1[[#This Row],[Line]]),UO_List[Unique_AIB_ID]))*(UO_List[Qté Réception 05/2020]))</f>
        <v>0</v>
      </c>
      <c r="BC28" s="84">
        <v>0</v>
      </c>
      <c r="BD28" s="351"/>
      <c r="BE28" s="351">
        <f>IFERROR(Tableau1[[#This Row],[Qté Facturé 05/2018]]*Tableau1[[#This Row],[Unit Price (calcul)]],"")</f>
        <v>0</v>
      </c>
      <c r="BF28" s="351" t="str">
        <f>IFERROR(IF(Tableau1[[#This Row],[Montant Facturé 05/2018]]&gt;0,Tableau1[[#This Row],[Montant Facturé 05/2018]]/Taux_Change_SII,""),"")</f>
        <v/>
      </c>
      <c r="BG28" s="351"/>
      <c r="BH28" s="83">
        <f>SUMPRODUCT(1*(EXACT(CONCATENATE(Tableau1[[#This Row],[PO Number (Header)]],"-",Tableau1[[#This Row],[Line]]),UO_List[Unique_AIB_ID]))*(UO_List[Qté Réception 06/2020]))</f>
        <v>0</v>
      </c>
      <c r="BI28" s="84">
        <v>0</v>
      </c>
      <c r="BJ28" s="351"/>
      <c r="BK28" s="351">
        <f>IFERROR(Tableau1[[#This Row],[Qté Facturé 06/2018]]*Tableau1[[#This Row],[Unit Price (calcul)]],"")</f>
        <v>0</v>
      </c>
      <c r="BL28" s="351" t="str">
        <f>IFERROR(IF(Tableau1[[#This Row],[Montant Facturé 06/2018]]&gt;0,Tableau1[[#This Row],[Montant Facturé 06/2018]]/Taux_Change_SII,""),"")</f>
        <v/>
      </c>
      <c r="BM28" s="351"/>
      <c r="BN28" s="83">
        <f>SUMPRODUCT(1*(EXACT(CONCATENATE(Tableau1[[#This Row],[PO Number (Header)]],"-",Tableau1[[#This Row],[Line]]),UO_List[Unique_AIB_ID]))*(UO_List[Qté Réception 07/2020]))</f>
        <v>0</v>
      </c>
      <c r="BO28" s="84">
        <v>0</v>
      </c>
      <c r="BP28" s="351"/>
      <c r="BQ28" s="351">
        <f>IFERROR(Tableau1[[#This Row],[Qté Facturé 07/2018]]*Tableau1[[#This Row],[Unit Price (calcul)]],"")</f>
        <v>0</v>
      </c>
      <c r="BR28" s="351" t="str">
        <f>IFERROR(IF(Tableau1[[#This Row],[Montant Facturé 07/2018]]&gt;0,Tableau1[[#This Row],[Montant Facturé 07/2018]]/Taux_Change_SII,""),"")</f>
        <v/>
      </c>
      <c r="BS28" s="351"/>
      <c r="BT28" s="83">
        <f>SUMPRODUCT(1*(EXACT(CONCATENATE(Tableau1[[#This Row],[PO Number (Header)]],"-",Tableau1[[#This Row],[Line]]),UO_List[Unique_AIB_ID]))*(UO_List[Qté Réception 08/2020]))</f>
        <v>0</v>
      </c>
      <c r="BU28" s="84"/>
      <c r="BV28" s="351"/>
      <c r="BW28" s="351">
        <f>IFERROR(Tableau1[[#This Row],[Qté Facturé 08/2018]]*Tableau1[[#This Row],[Unit Price (calcul)]],"")</f>
        <v>0</v>
      </c>
      <c r="BX28" s="351" t="str">
        <f>IFERROR(IF(Tableau1[[#This Row],[Montant Facturé 08/2018]]&gt;0,Tableau1[[#This Row],[Montant Facturé 08/2018]]/Taux_Change_SII,""),"")</f>
        <v/>
      </c>
      <c r="BY28" s="351"/>
      <c r="BZ28" s="83">
        <f>SUMPRODUCT(1*(EXACT(CONCATENATE(Tableau1[[#This Row],[PO Number (Header)]],"-",Tableau1[[#This Row],[Line]]),UO_List[Unique_AIB_ID]))*(UO_List[Qté Réception 09/2020]))</f>
        <v>0</v>
      </c>
      <c r="CA28" s="84">
        <v>0</v>
      </c>
      <c r="CB28" s="351"/>
      <c r="CC28" s="351">
        <f>IFERROR(Tableau1[[#This Row],[Qté Facturé 09/2018]]*Tableau1[[#This Row],[Unit Price (calcul)]],"")</f>
        <v>0</v>
      </c>
      <c r="CD28" s="351" t="str">
        <f>IFERROR(IF(Tableau1[[#This Row],[Montant Facturé 09/2018]]&gt;0,Tableau1[[#This Row],[Montant Facturé 09/2018]]/Taux_Change_SII,""),"")</f>
        <v/>
      </c>
      <c r="CE28" s="351"/>
      <c r="CF28" s="83">
        <f>SUMPRODUCT(1*(EXACT(CONCATENATE(Tableau1[[#This Row],[PO Number (Header)]],"-",Tableau1[[#This Row],[Line]]),UO_List[Unique_AIB_ID]))*(UO_List[Qté Réception 10/2020]))</f>
        <v>0</v>
      </c>
      <c r="CG28" s="84">
        <v>0</v>
      </c>
      <c r="CH28" s="351"/>
      <c r="CI28" s="351">
        <f>IFERROR(Tableau1[[#This Row],[Qté Facturé 10/2018]]*Tableau1[[#This Row],[Unit Price (calcul)]],"")</f>
        <v>0</v>
      </c>
      <c r="CJ28" s="351" t="str">
        <f>IFERROR(IF(Tableau1[[#This Row],[Montant Facturé 10/2018]]&gt;0,Tableau1[[#This Row],[Montant Facturé 10/2018]]/Taux_Change_SII,""),"")</f>
        <v/>
      </c>
      <c r="CK28" s="351"/>
      <c r="CL28" s="83">
        <f>SUMPRODUCT(1*(EXACT(CONCATENATE(Tableau1[[#This Row],[PO Number (Header)]],"-",Tableau1[[#This Row],[Line]]),UO_List[Unique_AIB_ID]))*(UO_List[Qté Réception 11/2020]))</f>
        <v>0</v>
      </c>
      <c r="CM28" s="84"/>
      <c r="CN28" s="351"/>
      <c r="CO28" s="351">
        <f>IFERROR(Tableau1[[#This Row],[Qté Facturé 11/2018]]*Tableau1[[#This Row],[Unit Price (calcul)]],"")</f>
        <v>0</v>
      </c>
      <c r="CP28" s="351" t="str">
        <f>IFERROR(IF(Tableau1[[#This Row],[Montant Facturé 11/2018]]&gt;0,Tableau1[[#This Row],[Montant Facturé 11/2018]]/Taux_Change_SII,""),"")</f>
        <v/>
      </c>
      <c r="CQ28" s="351"/>
      <c r="CR28" s="83">
        <f>SUMPRODUCT(1*(EXACT(CONCATENATE(Tableau1[[#This Row],[PO Number (Header)]],"-",Tableau1[[#This Row],[Line]]),UO_List[Unique_AIB_ID]))*(UO_List[Qté Réception 12/2020]))</f>
        <v>0</v>
      </c>
      <c r="CS28" s="84"/>
      <c r="CT28" s="351"/>
      <c r="CU28" s="351">
        <f>IFERROR(Tableau1[[#This Row],[Qté Facturé 12/2018]]*Tableau1[[#This Row],[Unit Price (calcul)]],"")</f>
        <v>0</v>
      </c>
      <c r="CV28" s="351" t="str">
        <f>IFERROR(IF(Tableau1[[#This Row],[Montant Facturé 12/2018]]&gt;0,Tableau1[[#This Row],[Montant Facturé 12/2018]]/Taux_Change_SII,""),"")</f>
        <v/>
      </c>
      <c r="CW28" s="351"/>
      <c r="CX2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8</v>
      </c>
      <c r="CY2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8</v>
      </c>
      <c r="CZ2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8</v>
      </c>
      <c r="DA28" s="352">
        <f>IFERROR(Tableau1[[#This Row],[Total item réceptionné]]*Tableau1[[#This Row],[Unit Price (calcul)]],"")</f>
        <v>13480</v>
      </c>
      <c r="DB28" s="352">
        <f>IFERROR(Tableau1[[#This Row],[Total item à Facturer]]*Tableau1[[#This Row],[Unit Price (calcul)]],"")</f>
        <v>13480</v>
      </c>
      <c r="DC28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13480</v>
      </c>
      <c r="DD28" s="352">
        <f>IFERROR(Tableau1[[#This Row],[Line Total]]-Tableau1[[#This Row],[Total Price Réceptionné]],"")</f>
        <v>20220</v>
      </c>
      <c r="DE28" s="352">
        <f>IFERROR(Tableau1[[#This Row],[Total Price Réceptionné]]-Tableau1[[#This Row],[Total Price A facturer]],"")</f>
        <v>0</v>
      </c>
      <c r="DF28" s="353">
        <f>IFERROR(Tableau1[[#This Row],[Total Price A facturer]]-Tableau1[[#This Row],[Total Price Facturé]],"")</f>
        <v>0</v>
      </c>
      <c r="DG28" s="76">
        <f>Tableau1[[#This Row],[Total Item Quantity]]-Tableau1[[#This Row],[Total item réceptionné]]</f>
        <v>12</v>
      </c>
      <c r="DH28" s="168"/>
      <c r="DI28" s="167"/>
    </row>
    <row r="29" spans="1:113" s="125" customFormat="1">
      <c r="A29" s="124" t="str">
        <f>CONCATENATE(Tableau1[[#This Row],[PO Number (Header)]],"-",Tableau1[[#This Row],[Line]])</f>
        <v>C000489704-8</v>
      </c>
      <c r="B29" s="402" t="s">
        <v>913</v>
      </c>
      <c r="C29" s="434" t="s">
        <v>726</v>
      </c>
      <c r="D29" s="435" t="s">
        <v>802</v>
      </c>
      <c r="E29" s="434"/>
      <c r="F29" s="543">
        <v>8</v>
      </c>
      <c r="G29" s="434" t="s">
        <v>826</v>
      </c>
      <c r="H29" s="332">
        <v>30</v>
      </c>
      <c r="I29" s="383">
        <v>50550</v>
      </c>
      <c r="J29" s="434" t="s">
        <v>629</v>
      </c>
      <c r="K29" s="543">
        <v>0</v>
      </c>
      <c r="L29" s="434"/>
      <c r="M29" s="434"/>
      <c r="N29" s="77"/>
      <c r="O29" s="77"/>
      <c r="P29" s="77"/>
      <c r="Q29" s="395" t="s">
        <v>630</v>
      </c>
      <c r="R29" s="395">
        <v>0</v>
      </c>
      <c r="S29" s="77" t="s">
        <v>902</v>
      </c>
      <c r="T29" s="77"/>
      <c r="U29" s="77"/>
      <c r="V29" s="77" t="s">
        <v>727</v>
      </c>
      <c r="W29" s="436" t="s">
        <v>925</v>
      </c>
      <c r="X29" s="436" t="s">
        <v>915</v>
      </c>
      <c r="Y29" s="167">
        <f>IF(ISBLANK(Tableau1[[#This Row],[PO Number (Header)]]),"",Tableau1[[#This Row],[Line Total]]/Tableau1[[#This Row],[Total Item Quantity]])</f>
        <v>1685</v>
      </c>
      <c r="Z29" s="168" t="str">
        <f>IF(ISNA(VLOOKUP(Tableau1[[#This Row],[Unique_AIB_ID]],UO_List[Unique_AIB_ID],1,FALSE)),IF(ISBLANK(Tableau1[[#This Row],[PO Number (Header)]]),"","FAUX"),"VRAI")</f>
        <v>VRAI</v>
      </c>
      <c r="AA29" s="167" t="s">
        <v>634</v>
      </c>
      <c r="AB29" s="163" t="str">
        <f>VLOOKUP(Tableau1[[#This Row],[Unique_AIB_ID]],UO_List[[Unique_AIB_ID]:[OLGA F6]],3,FALSE)</f>
        <v>3173-10</v>
      </c>
      <c r="AC29" s="162" t="s">
        <v>993</v>
      </c>
      <c r="AD29" s="83">
        <f>SUMPRODUCT(1*(EXACT(CONCATENATE(Tableau1[[#This Row],[PO Number (Header)]],"-",Tableau1[[#This Row],[Line]]),UO_List[Unique_AIB_ID]))*(UO_List[Qté Réception 03/2020]))</f>
        <v>8</v>
      </c>
      <c r="AE29" s="84">
        <v>8</v>
      </c>
      <c r="AF29" s="84">
        <v>8</v>
      </c>
      <c r="AG29" s="351">
        <f>IFERROR(Tableau1[[#This Row],[Qté Facturé 01/2018]]*Tableau1[[#This Row],[Unit Price (calcul)]],"")</f>
        <v>13480</v>
      </c>
      <c r="AH29" s="356">
        <f>IFERROR(IF(Tableau1[[#This Row],[Montant Facturé 01/2018]]&gt;0,Tableau1[[#This Row],[Montant Facturé 01/2018]]/Taux_Change_SII,""),"")</f>
        <v>9985.1851851851843</v>
      </c>
      <c r="AI29" s="351"/>
      <c r="AJ29" s="83">
        <f>SUMPRODUCT(1*(EXACT(CONCATENATE(Tableau1[[#This Row],[PO Number (Header)]],"-",Tableau1[[#This Row],[Line]]),UO_List[Unique_AIB_ID]))*(UO_List[Qté Réception 02/2020]))</f>
        <v>0</v>
      </c>
      <c r="AK29" s="83">
        <f>SUMPRODUCT(1*(EXACT(CONCATENATE(Tableau1[[#This Row],[PO Number (Header)]],"-",Tableau1[[#This Row],[Line]]),UO_List[Unique_AIB_ID]))*(UO_List[Qté Réception 02/2020]))</f>
        <v>0</v>
      </c>
      <c r="AL29" s="357"/>
      <c r="AM29" s="351">
        <f>IFERROR(Tableau1[[#This Row],[Qté Facturé 02/2018]]*Tableau1[[#This Row],[Unit Price (calcul)]],"")</f>
        <v>0</v>
      </c>
      <c r="AN29" s="351" t="str">
        <f>IFERROR(IF(Tableau1[[#This Row],[Montant Facturé 02/2018]]&gt;0,Tableau1[[#This Row],[Montant Facturé 02/2018]]/Taux_Change_SII,""),"")</f>
        <v/>
      </c>
      <c r="AO29" s="351"/>
      <c r="AP29" s="83">
        <f>SUMPRODUCT(1*(EXACT(CONCATENATE(Tableau1[[#This Row],[PO Number (Header)]],"-",Tableau1[[#This Row],[Line]]),UO_List[Unique_AIB_ID]))*(UO_List[Qté Réception 00/2020]))</f>
        <v>0</v>
      </c>
      <c r="AQ29" s="84"/>
      <c r="AR29" s="357"/>
      <c r="AS29" s="351">
        <f>IFERROR(Tableau1[[#This Row],[Qté Facturé 03/2018]]*Tableau1[[#This Row],[Unit Price (calcul)]],"")</f>
        <v>0</v>
      </c>
      <c r="AT29" s="358" t="str">
        <f>IFERROR(IF(Tableau1[[#This Row],[Montant Facturé 03/2018]]&gt;0,Tableau1[[#This Row],[Montant Facturé 03/2018]]/Taux_Change_SII,""),"")</f>
        <v/>
      </c>
      <c r="AU29" s="351"/>
      <c r="AV29" s="83">
        <f>SUMPRODUCT(1*(EXACT(CONCATENATE(Tableau1[[#This Row],[PO Number (Header)]],"-",Tableau1[[#This Row],[Line]]),UO_List[Unique_AIB_ID]))*(UO_List[Qté Réception 04/2020]))</f>
        <v>0</v>
      </c>
      <c r="AW29" s="84">
        <v>0</v>
      </c>
      <c r="AX29" s="351"/>
      <c r="AY29" s="351">
        <f>IFERROR(Tableau1[[#This Row],[Qté Facturé 04/2018]]*Tableau1[[#This Row],[Unit Price (calcul)]],"")</f>
        <v>0</v>
      </c>
      <c r="AZ29" s="351" t="str">
        <f>IFERROR(IF(Tableau1[[#This Row],[Montant Facturé 04/2018]]&gt;0,Tableau1[[#This Row],[Montant Facturé 04/2018]]/Taux_Change_SII,""),"")</f>
        <v/>
      </c>
      <c r="BA29" s="351"/>
      <c r="BB29" s="83">
        <f>SUMPRODUCT(1*(EXACT(CONCATENATE(Tableau1[[#This Row],[PO Number (Header)]],"-",Tableau1[[#This Row],[Line]]),UO_List[Unique_AIB_ID]))*(UO_List[Qté Réception 05/2020]))</f>
        <v>0</v>
      </c>
      <c r="BC29" s="84">
        <v>0</v>
      </c>
      <c r="BD29" s="351"/>
      <c r="BE29" s="351">
        <f>IFERROR(Tableau1[[#This Row],[Qté Facturé 05/2018]]*Tableau1[[#This Row],[Unit Price (calcul)]],"")</f>
        <v>0</v>
      </c>
      <c r="BF29" s="351" t="str">
        <f>IFERROR(IF(Tableau1[[#This Row],[Montant Facturé 05/2018]]&gt;0,Tableau1[[#This Row],[Montant Facturé 05/2018]]/Taux_Change_SII,""),"")</f>
        <v/>
      </c>
      <c r="BG29" s="351"/>
      <c r="BH29" s="83">
        <f>SUMPRODUCT(1*(EXACT(CONCATENATE(Tableau1[[#This Row],[PO Number (Header)]],"-",Tableau1[[#This Row],[Line]]),UO_List[Unique_AIB_ID]))*(UO_List[Qté Réception 06/2020]))</f>
        <v>0</v>
      </c>
      <c r="BI29" s="84">
        <v>0</v>
      </c>
      <c r="BJ29" s="351"/>
      <c r="BK29" s="351">
        <f>IFERROR(Tableau1[[#This Row],[Qté Facturé 06/2018]]*Tableau1[[#This Row],[Unit Price (calcul)]],"")</f>
        <v>0</v>
      </c>
      <c r="BL29" s="351" t="str">
        <f>IFERROR(IF(Tableau1[[#This Row],[Montant Facturé 06/2018]]&gt;0,Tableau1[[#This Row],[Montant Facturé 06/2018]]/Taux_Change_SII,""),"")</f>
        <v/>
      </c>
      <c r="BM29" s="351"/>
      <c r="BN29" s="83">
        <f>SUMPRODUCT(1*(EXACT(CONCATENATE(Tableau1[[#This Row],[PO Number (Header)]],"-",Tableau1[[#This Row],[Line]]),UO_List[Unique_AIB_ID]))*(UO_List[Qté Réception 07/2020]))</f>
        <v>0</v>
      </c>
      <c r="BO29" s="84">
        <v>0</v>
      </c>
      <c r="BP29" s="351"/>
      <c r="BQ29" s="351">
        <f>IFERROR(Tableau1[[#This Row],[Qté Facturé 07/2018]]*Tableau1[[#This Row],[Unit Price (calcul)]],"")</f>
        <v>0</v>
      </c>
      <c r="BR29" s="351" t="str">
        <f>IFERROR(IF(Tableau1[[#This Row],[Montant Facturé 07/2018]]&gt;0,Tableau1[[#This Row],[Montant Facturé 07/2018]]/Taux_Change_SII,""),"")</f>
        <v/>
      </c>
      <c r="BS29" s="351"/>
      <c r="BT29" s="83">
        <f>SUMPRODUCT(1*(EXACT(CONCATENATE(Tableau1[[#This Row],[PO Number (Header)]],"-",Tableau1[[#This Row],[Line]]),UO_List[Unique_AIB_ID]))*(UO_List[Qté Réception 08/2020]))</f>
        <v>0</v>
      </c>
      <c r="BU29" s="84"/>
      <c r="BV29" s="351"/>
      <c r="BW29" s="351">
        <f>IFERROR(Tableau1[[#This Row],[Qté Facturé 08/2018]]*Tableau1[[#This Row],[Unit Price (calcul)]],"")</f>
        <v>0</v>
      </c>
      <c r="BX29" s="351" t="str">
        <f>IFERROR(IF(Tableau1[[#This Row],[Montant Facturé 08/2018]]&gt;0,Tableau1[[#This Row],[Montant Facturé 08/2018]]/Taux_Change_SII,""),"")</f>
        <v/>
      </c>
      <c r="BY29" s="351"/>
      <c r="BZ29" s="83">
        <f>SUMPRODUCT(1*(EXACT(CONCATENATE(Tableau1[[#This Row],[PO Number (Header)]],"-",Tableau1[[#This Row],[Line]]),UO_List[Unique_AIB_ID]))*(UO_List[Qté Réception 09/2020]))</f>
        <v>0</v>
      </c>
      <c r="CA29" s="84">
        <v>0</v>
      </c>
      <c r="CB29" s="351"/>
      <c r="CC29" s="351">
        <f>IFERROR(Tableau1[[#This Row],[Qté Facturé 09/2018]]*Tableau1[[#This Row],[Unit Price (calcul)]],"")</f>
        <v>0</v>
      </c>
      <c r="CD29" s="351" t="str">
        <f>IFERROR(IF(Tableau1[[#This Row],[Montant Facturé 09/2018]]&gt;0,Tableau1[[#This Row],[Montant Facturé 09/2018]]/Taux_Change_SII,""),"")</f>
        <v/>
      </c>
      <c r="CE29" s="351"/>
      <c r="CF29" s="83">
        <f>SUMPRODUCT(1*(EXACT(CONCATENATE(Tableau1[[#This Row],[PO Number (Header)]],"-",Tableau1[[#This Row],[Line]]),UO_List[Unique_AIB_ID]))*(UO_List[Qté Réception 10/2020]))</f>
        <v>0</v>
      </c>
      <c r="CG29" s="84">
        <v>0</v>
      </c>
      <c r="CH29" s="351"/>
      <c r="CI29" s="351">
        <f>IFERROR(Tableau1[[#This Row],[Qté Facturé 10/2018]]*Tableau1[[#This Row],[Unit Price (calcul)]],"")</f>
        <v>0</v>
      </c>
      <c r="CJ29" s="351" t="str">
        <f>IFERROR(IF(Tableau1[[#This Row],[Montant Facturé 10/2018]]&gt;0,Tableau1[[#This Row],[Montant Facturé 10/2018]]/Taux_Change_SII,""),"")</f>
        <v/>
      </c>
      <c r="CK29" s="351"/>
      <c r="CL29" s="83">
        <f>SUMPRODUCT(1*(EXACT(CONCATENATE(Tableau1[[#This Row],[PO Number (Header)]],"-",Tableau1[[#This Row],[Line]]),UO_List[Unique_AIB_ID]))*(UO_List[Qté Réception 11/2020]))</f>
        <v>0</v>
      </c>
      <c r="CM29" s="84"/>
      <c r="CN29" s="351"/>
      <c r="CO29" s="351">
        <f>IFERROR(Tableau1[[#This Row],[Qté Facturé 11/2018]]*Tableau1[[#This Row],[Unit Price (calcul)]],"")</f>
        <v>0</v>
      </c>
      <c r="CP29" s="351" t="str">
        <f>IFERROR(IF(Tableau1[[#This Row],[Montant Facturé 11/2018]]&gt;0,Tableau1[[#This Row],[Montant Facturé 11/2018]]/Taux_Change_SII,""),"")</f>
        <v/>
      </c>
      <c r="CQ29" s="351"/>
      <c r="CR29" s="83">
        <f>SUMPRODUCT(1*(EXACT(CONCATENATE(Tableau1[[#This Row],[PO Number (Header)]],"-",Tableau1[[#This Row],[Line]]),UO_List[Unique_AIB_ID]))*(UO_List[Qté Réception 12/2020]))</f>
        <v>0</v>
      </c>
      <c r="CS29" s="84"/>
      <c r="CT29" s="351"/>
      <c r="CU29" s="351">
        <f>IFERROR(Tableau1[[#This Row],[Qté Facturé 12/2018]]*Tableau1[[#This Row],[Unit Price (calcul)]],"")</f>
        <v>0</v>
      </c>
      <c r="CV29" s="351" t="str">
        <f>IFERROR(IF(Tableau1[[#This Row],[Montant Facturé 12/2018]]&gt;0,Tableau1[[#This Row],[Montant Facturé 12/2018]]/Taux_Change_SII,""),"")</f>
        <v/>
      </c>
      <c r="CW29" s="351"/>
      <c r="CX2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8</v>
      </c>
      <c r="CY2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8</v>
      </c>
      <c r="CZ2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8</v>
      </c>
      <c r="DA29" s="352">
        <f>IFERROR(Tableau1[[#This Row],[Total item réceptionné]]*Tableau1[[#This Row],[Unit Price (calcul)]],"")</f>
        <v>13480</v>
      </c>
      <c r="DB29" s="352">
        <f>IFERROR(Tableau1[[#This Row],[Total item à Facturer]]*Tableau1[[#This Row],[Unit Price (calcul)]],"")</f>
        <v>13480</v>
      </c>
      <c r="DC29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13480</v>
      </c>
      <c r="DD29" s="352">
        <f>IFERROR(Tableau1[[#This Row],[Line Total]]-Tableau1[[#This Row],[Total Price Réceptionné]],"")</f>
        <v>37070</v>
      </c>
      <c r="DE29" s="352">
        <f>IFERROR(Tableau1[[#This Row],[Total Price Réceptionné]]-Tableau1[[#This Row],[Total Price A facturer]],"")</f>
        <v>0</v>
      </c>
      <c r="DF29" s="353">
        <f>IFERROR(Tableau1[[#This Row],[Total Price A facturer]]-Tableau1[[#This Row],[Total Price Facturé]],"")</f>
        <v>0</v>
      </c>
      <c r="DG29" s="76">
        <f>Tableau1[[#This Row],[Total Item Quantity]]-Tableau1[[#This Row],[Total item réceptionné]]</f>
        <v>22</v>
      </c>
      <c r="DH29" s="168"/>
      <c r="DI29" s="167"/>
    </row>
    <row r="30" spans="1:113" s="125" customFormat="1">
      <c r="A30" s="124" t="str">
        <f>CONCATENATE(Tableau1[[#This Row],[PO Number (Header)]],"-",Tableau1[[#This Row],[Line]])</f>
        <v>C000489704-9</v>
      </c>
      <c r="B30" s="437" t="s">
        <v>913</v>
      </c>
      <c r="C30" s="437" t="s">
        <v>726</v>
      </c>
      <c r="D30" s="437" t="s">
        <v>802</v>
      </c>
      <c r="E30" s="437"/>
      <c r="F30" s="544">
        <v>9</v>
      </c>
      <c r="G30" s="437" t="s">
        <v>923</v>
      </c>
      <c r="H30" s="332">
        <v>20</v>
      </c>
      <c r="I30" s="383">
        <v>33700</v>
      </c>
      <c r="J30" s="437" t="s">
        <v>629</v>
      </c>
      <c r="K30" s="544">
        <v>0</v>
      </c>
      <c r="L30" s="437"/>
      <c r="M30" s="437"/>
      <c r="N30" s="437"/>
      <c r="O30" s="437"/>
      <c r="P30" s="438"/>
      <c r="Q30" s="479" t="s">
        <v>630</v>
      </c>
      <c r="R30" s="395">
        <v>0</v>
      </c>
      <c r="S30" s="437" t="s">
        <v>902</v>
      </c>
      <c r="T30" s="437"/>
      <c r="U30" s="437"/>
      <c r="V30" s="437" t="s">
        <v>727</v>
      </c>
      <c r="W30" s="168" t="s">
        <v>926</v>
      </c>
      <c r="X30" s="168" t="s">
        <v>915</v>
      </c>
      <c r="Y30" s="167">
        <f>IF(ISBLANK(Tableau1[[#This Row],[PO Number (Header)]]),"",Tableau1[[#This Row],[Line Total]]/Tableau1[[#This Row],[Total Item Quantity]])</f>
        <v>1685</v>
      </c>
      <c r="Z30" s="168" t="str">
        <f>IF(ISNA(VLOOKUP(Tableau1[[#This Row],[Unique_AIB_ID]],UO_List[Unique_AIB_ID],1,FALSE)),IF(ISBLANK(Tableau1[[#This Row],[PO Number (Header)]]),"","FAUX"),"VRAI")</f>
        <v>VRAI</v>
      </c>
      <c r="AA30" s="167" t="s">
        <v>634</v>
      </c>
      <c r="AB30" s="163" t="str">
        <f>VLOOKUP(Tableau1[[#This Row],[Unique_AIB_ID]],UO_List[[Unique_AIB_ID]:[OLGA F6]],3,FALSE)</f>
        <v>3173-10</v>
      </c>
      <c r="AC30" s="162" t="s">
        <v>993</v>
      </c>
      <c r="AD30" s="83">
        <f>SUMPRODUCT(1*(EXACT(CONCATENATE(Tableau1[[#This Row],[PO Number (Header)]],"-",Tableau1[[#This Row],[Line]]),UO_List[Unique_AIB_ID]))*(UO_List[Qté Réception 03/2020]))</f>
        <v>7</v>
      </c>
      <c r="AE30" s="84">
        <v>7</v>
      </c>
      <c r="AF30" s="84">
        <v>7</v>
      </c>
      <c r="AG30" s="351">
        <f>IFERROR(Tableau1[[#This Row],[Qté Facturé 01/2018]]*Tableau1[[#This Row],[Unit Price (calcul)]],"")</f>
        <v>11795</v>
      </c>
      <c r="AH30" s="356">
        <f>IFERROR(IF(Tableau1[[#This Row],[Montant Facturé 01/2018]]&gt;0,Tableau1[[#This Row],[Montant Facturé 01/2018]]/Taux_Change_SII,""),"")</f>
        <v>8737.0370370370365</v>
      </c>
      <c r="AI30" s="351"/>
      <c r="AJ30" s="83">
        <f>SUMPRODUCT(1*(EXACT(CONCATENATE(Tableau1[[#This Row],[PO Number (Header)]],"-",Tableau1[[#This Row],[Line]]),UO_List[Unique_AIB_ID]))*(UO_List[Qté Réception 02/2020]))</f>
        <v>0</v>
      </c>
      <c r="AK30" s="83">
        <f>SUMPRODUCT(1*(EXACT(CONCATENATE(Tableau1[[#This Row],[PO Number (Header)]],"-",Tableau1[[#This Row],[Line]]),UO_List[Unique_AIB_ID]))*(UO_List[Qté Réception 02/2020]))</f>
        <v>0</v>
      </c>
      <c r="AL30" s="357"/>
      <c r="AM30" s="351">
        <f>IFERROR(Tableau1[[#This Row],[Qté Facturé 02/2018]]*Tableau1[[#This Row],[Unit Price (calcul)]],"")</f>
        <v>0</v>
      </c>
      <c r="AN30" s="351" t="str">
        <f>IFERROR(IF(Tableau1[[#This Row],[Montant Facturé 02/2018]]&gt;0,Tableau1[[#This Row],[Montant Facturé 02/2018]]/Taux_Change_SII,""),"")</f>
        <v/>
      </c>
      <c r="AO30" s="351"/>
      <c r="AP30" s="83">
        <f>SUMPRODUCT(1*(EXACT(CONCATENATE(Tableau1[[#This Row],[PO Number (Header)]],"-",Tableau1[[#This Row],[Line]]),UO_List[Unique_AIB_ID]))*(UO_List[Qté Réception 00/2020]))</f>
        <v>0</v>
      </c>
      <c r="AQ30" s="84"/>
      <c r="AR30" s="357"/>
      <c r="AS30" s="351">
        <f>IFERROR(Tableau1[[#This Row],[Qté Facturé 03/2018]]*Tableau1[[#This Row],[Unit Price (calcul)]],"")</f>
        <v>0</v>
      </c>
      <c r="AT30" s="358" t="str">
        <f>IFERROR(IF(Tableau1[[#This Row],[Montant Facturé 03/2018]]&gt;0,Tableau1[[#This Row],[Montant Facturé 03/2018]]/Taux_Change_SII,""),"")</f>
        <v/>
      </c>
      <c r="AU30" s="351"/>
      <c r="AV30" s="83">
        <f>SUMPRODUCT(1*(EXACT(CONCATENATE(Tableau1[[#This Row],[PO Number (Header)]],"-",Tableau1[[#This Row],[Line]]),UO_List[Unique_AIB_ID]))*(UO_List[Qté Réception 04/2020]))</f>
        <v>0</v>
      </c>
      <c r="AW30" s="84">
        <v>0</v>
      </c>
      <c r="AX30" s="351"/>
      <c r="AY30" s="351">
        <f>IFERROR(Tableau1[[#This Row],[Qté Facturé 04/2018]]*Tableau1[[#This Row],[Unit Price (calcul)]],"")</f>
        <v>0</v>
      </c>
      <c r="AZ30" s="351" t="str">
        <f>IFERROR(IF(Tableau1[[#This Row],[Montant Facturé 04/2018]]&gt;0,Tableau1[[#This Row],[Montant Facturé 04/2018]]/Taux_Change_SII,""),"")</f>
        <v/>
      </c>
      <c r="BA30" s="351"/>
      <c r="BB30" s="83">
        <f>SUMPRODUCT(1*(EXACT(CONCATENATE(Tableau1[[#This Row],[PO Number (Header)]],"-",Tableau1[[#This Row],[Line]]),UO_List[Unique_AIB_ID]))*(UO_List[Qté Réception 05/2020]))</f>
        <v>0</v>
      </c>
      <c r="BC30" s="84">
        <v>0</v>
      </c>
      <c r="BD30" s="351"/>
      <c r="BE30" s="351">
        <f>IFERROR(Tableau1[[#This Row],[Qté Facturé 05/2018]]*Tableau1[[#This Row],[Unit Price (calcul)]],"")</f>
        <v>0</v>
      </c>
      <c r="BF30" s="351" t="str">
        <f>IFERROR(IF(Tableau1[[#This Row],[Montant Facturé 05/2018]]&gt;0,Tableau1[[#This Row],[Montant Facturé 05/2018]]/Taux_Change_SII,""),"")</f>
        <v/>
      </c>
      <c r="BG30" s="351"/>
      <c r="BH30" s="83">
        <f>SUMPRODUCT(1*(EXACT(CONCATENATE(Tableau1[[#This Row],[PO Number (Header)]],"-",Tableau1[[#This Row],[Line]]),UO_List[Unique_AIB_ID]))*(UO_List[Qté Réception 06/2020]))</f>
        <v>0</v>
      </c>
      <c r="BI30" s="84">
        <v>0</v>
      </c>
      <c r="BJ30" s="351"/>
      <c r="BK30" s="351">
        <f>IFERROR(Tableau1[[#This Row],[Qté Facturé 06/2018]]*Tableau1[[#This Row],[Unit Price (calcul)]],"")</f>
        <v>0</v>
      </c>
      <c r="BL30" s="351" t="str">
        <f>IFERROR(IF(Tableau1[[#This Row],[Montant Facturé 06/2018]]&gt;0,Tableau1[[#This Row],[Montant Facturé 06/2018]]/Taux_Change_SII,""),"")</f>
        <v/>
      </c>
      <c r="BM30" s="351"/>
      <c r="BN30" s="83">
        <f>SUMPRODUCT(1*(EXACT(CONCATENATE(Tableau1[[#This Row],[PO Number (Header)]],"-",Tableau1[[#This Row],[Line]]),UO_List[Unique_AIB_ID]))*(UO_List[Qté Réception 07/2020]))</f>
        <v>0</v>
      </c>
      <c r="BO30" s="84">
        <v>0</v>
      </c>
      <c r="BP30" s="351"/>
      <c r="BQ30" s="351">
        <f>IFERROR(Tableau1[[#This Row],[Qté Facturé 07/2018]]*Tableau1[[#This Row],[Unit Price (calcul)]],"")</f>
        <v>0</v>
      </c>
      <c r="BR30" s="351" t="str">
        <f>IFERROR(IF(Tableau1[[#This Row],[Montant Facturé 07/2018]]&gt;0,Tableau1[[#This Row],[Montant Facturé 07/2018]]/Taux_Change_SII,""),"")</f>
        <v/>
      </c>
      <c r="BS30" s="351"/>
      <c r="BT30" s="83">
        <f>SUMPRODUCT(1*(EXACT(CONCATENATE(Tableau1[[#This Row],[PO Number (Header)]],"-",Tableau1[[#This Row],[Line]]),UO_List[Unique_AIB_ID]))*(UO_List[Qté Réception 08/2020]))</f>
        <v>0</v>
      </c>
      <c r="BU30" s="84"/>
      <c r="BV30" s="351"/>
      <c r="BW30" s="351">
        <f>IFERROR(Tableau1[[#This Row],[Qté Facturé 08/2018]]*Tableau1[[#This Row],[Unit Price (calcul)]],"")</f>
        <v>0</v>
      </c>
      <c r="BX30" s="351" t="str">
        <f>IFERROR(IF(Tableau1[[#This Row],[Montant Facturé 08/2018]]&gt;0,Tableau1[[#This Row],[Montant Facturé 08/2018]]/Taux_Change_SII,""),"")</f>
        <v/>
      </c>
      <c r="BY30" s="351"/>
      <c r="BZ30" s="83">
        <f>SUMPRODUCT(1*(EXACT(CONCATENATE(Tableau1[[#This Row],[PO Number (Header)]],"-",Tableau1[[#This Row],[Line]]),UO_List[Unique_AIB_ID]))*(UO_List[Qté Réception 09/2020]))</f>
        <v>0</v>
      </c>
      <c r="CA30" s="84">
        <v>0</v>
      </c>
      <c r="CB30" s="351"/>
      <c r="CC30" s="351">
        <f>IFERROR(Tableau1[[#This Row],[Qté Facturé 09/2018]]*Tableau1[[#This Row],[Unit Price (calcul)]],"")</f>
        <v>0</v>
      </c>
      <c r="CD30" s="351" t="str">
        <f>IFERROR(IF(Tableau1[[#This Row],[Montant Facturé 09/2018]]&gt;0,Tableau1[[#This Row],[Montant Facturé 09/2018]]/Taux_Change_SII,""),"")</f>
        <v/>
      </c>
      <c r="CE30" s="351"/>
      <c r="CF30" s="83">
        <f>SUMPRODUCT(1*(EXACT(CONCATENATE(Tableau1[[#This Row],[PO Number (Header)]],"-",Tableau1[[#This Row],[Line]]),UO_List[Unique_AIB_ID]))*(UO_List[Qté Réception 10/2020]))</f>
        <v>0</v>
      </c>
      <c r="CG30" s="84">
        <v>0</v>
      </c>
      <c r="CH30" s="351"/>
      <c r="CI30" s="351">
        <f>IFERROR(Tableau1[[#This Row],[Qté Facturé 10/2018]]*Tableau1[[#This Row],[Unit Price (calcul)]],"")</f>
        <v>0</v>
      </c>
      <c r="CJ30" s="351" t="str">
        <f>IFERROR(IF(Tableau1[[#This Row],[Montant Facturé 10/2018]]&gt;0,Tableau1[[#This Row],[Montant Facturé 10/2018]]/Taux_Change_SII,""),"")</f>
        <v/>
      </c>
      <c r="CK30" s="351"/>
      <c r="CL30" s="83">
        <f>SUMPRODUCT(1*(EXACT(CONCATENATE(Tableau1[[#This Row],[PO Number (Header)]],"-",Tableau1[[#This Row],[Line]]),UO_List[Unique_AIB_ID]))*(UO_List[Qté Réception 11/2020]))</f>
        <v>0</v>
      </c>
      <c r="CM30" s="84"/>
      <c r="CN30" s="351"/>
      <c r="CO30" s="351">
        <f>IFERROR(Tableau1[[#This Row],[Qté Facturé 11/2018]]*Tableau1[[#This Row],[Unit Price (calcul)]],"")</f>
        <v>0</v>
      </c>
      <c r="CP30" s="351" t="str">
        <f>IFERROR(IF(Tableau1[[#This Row],[Montant Facturé 11/2018]]&gt;0,Tableau1[[#This Row],[Montant Facturé 11/2018]]/Taux_Change_SII,""),"")</f>
        <v/>
      </c>
      <c r="CQ30" s="351"/>
      <c r="CR30" s="83">
        <f>SUMPRODUCT(1*(EXACT(CONCATENATE(Tableau1[[#This Row],[PO Number (Header)]],"-",Tableau1[[#This Row],[Line]]),UO_List[Unique_AIB_ID]))*(UO_List[Qté Réception 12/2020]))</f>
        <v>0</v>
      </c>
      <c r="CS30" s="84"/>
      <c r="CT30" s="351"/>
      <c r="CU30" s="351">
        <f>IFERROR(Tableau1[[#This Row],[Qté Facturé 12/2018]]*Tableau1[[#This Row],[Unit Price (calcul)]],"")</f>
        <v>0</v>
      </c>
      <c r="CV30" s="351" t="str">
        <f>IFERROR(IF(Tableau1[[#This Row],[Montant Facturé 12/2018]]&gt;0,Tableau1[[#This Row],[Montant Facturé 12/2018]]/Taux_Change_SII,""),"")</f>
        <v/>
      </c>
      <c r="CW30" s="351"/>
      <c r="CX3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7</v>
      </c>
      <c r="CY3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7</v>
      </c>
      <c r="CZ3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7</v>
      </c>
      <c r="DA30" s="352">
        <f>IFERROR(Tableau1[[#This Row],[Total item réceptionné]]*Tableau1[[#This Row],[Unit Price (calcul)]],"")</f>
        <v>11795</v>
      </c>
      <c r="DB30" s="352">
        <f>IFERROR(Tableau1[[#This Row],[Total item à Facturer]]*Tableau1[[#This Row],[Unit Price (calcul)]],"")</f>
        <v>11795</v>
      </c>
      <c r="DC30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11795</v>
      </c>
      <c r="DD30" s="352">
        <f>IFERROR(Tableau1[[#This Row],[Line Total]]-Tableau1[[#This Row],[Total Price Réceptionné]],"")</f>
        <v>21905</v>
      </c>
      <c r="DE30" s="352">
        <f>IFERROR(Tableau1[[#This Row],[Total Price Réceptionné]]-Tableau1[[#This Row],[Total Price A facturer]],"")</f>
        <v>0</v>
      </c>
      <c r="DF30" s="353">
        <f>IFERROR(Tableau1[[#This Row],[Total Price A facturer]]-Tableau1[[#This Row],[Total Price Facturé]],"")</f>
        <v>0</v>
      </c>
      <c r="DG30" s="76">
        <f>Tableau1[[#This Row],[Total Item Quantity]]-Tableau1[[#This Row],[Total item réceptionné]]</f>
        <v>13</v>
      </c>
      <c r="DH30" s="168"/>
      <c r="DI30" s="167"/>
    </row>
    <row r="31" spans="1:113" s="116" customFormat="1">
      <c r="A31" s="160" t="str">
        <f>CONCATENATE(Tableau1[[#This Row],[PO Number (Header)]],"-",Tableau1[[#This Row],[Line]])</f>
        <v>C000489704-10</v>
      </c>
      <c r="B31" s="437" t="s">
        <v>913</v>
      </c>
      <c r="C31" s="437" t="s">
        <v>726</v>
      </c>
      <c r="D31" s="437" t="s">
        <v>802</v>
      </c>
      <c r="E31" s="437"/>
      <c r="F31" s="544">
        <v>10</v>
      </c>
      <c r="G31" s="437" t="s">
        <v>804</v>
      </c>
      <c r="H31" s="332">
        <v>40</v>
      </c>
      <c r="I31" s="383">
        <v>67400</v>
      </c>
      <c r="J31" s="437" t="s">
        <v>629</v>
      </c>
      <c r="K31" s="544">
        <v>0</v>
      </c>
      <c r="L31" s="437"/>
      <c r="M31" s="437"/>
      <c r="N31" s="437"/>
      <c r="O31" s="437"/>
      <c r="P31" s="438"/>
      <c r="Q31" s="479" t="s">
        <v>630</v>
      </c>
      <c r="R31" s="395">
        <v>0</v>
      </c>
      <c r="S31" s="437" t="s">
        <v>902</v>
      </c>
      <c r="T31" s="437"/>
      <c r="U31" s="437"/>
      <c r="V31" s="437" t="s">
        <v>727</v>
      </c>
      <c r="W31" s="436" t="s">
        <v>927</v>
      </c>
      <c r="X31" s="436" t="s">
        <v>915</v>
      </c>
      <c r="Y31" s="167">
        <f>IF(ISBLANK(Tableau1[[#This Row],[PO Number (Header)]]),"",Tableau1[[#This Row],[Line Total]]/Tableau1[[#This Row],[Total Item Quantity]])</f>
        <v>1685</v>
      </c>
      <c r="Z31" s="169" t="str">
        <f>IF(ISNA(VLOOKUP(Tableau1[[#This Row],[Unique_AIB_ID]],UO_List[Unique_AIB_ID],1,FALSE)),IF(ISBLANK(Tableau1[[#This Row],[PO Number (Header)]]),"","FAUX"),"VRAI")</f>
        <v>VRAI</v>
      </c>
      <c r="AA31" s="167" t="s">
        <v>634</v>
      </c>
      <c r="AB31" s="164" t="str">
        <f>VLOOKUP(Tableau1[[#This Row],[Unique_AIB_ID]],UO_List[[Unique_AIB_ID]:[OLGA F6]],3,FALSE)</f>
        <v>3173-10</v>
      </c>
      <c r="AC31" s="162" t="s">
        <v>993</v>
      </c>
      <c r="AD31" s="83">
        <f>SUMPRODUCT(1*(EXACT(CONCATENATE(Tableau1[[#This Row],[PO Number (Header)]],"-",Tableau1[[#This Row],[Line]]),UO_List[Unique_AIB_ID]))*(UO_List[Qté Réception 03/2020]))</f>
        <v>10</v>
      </c>
      <c r="AE31" s="84">
        <v>10</v>
      </c>
      <c r="AF31" s="84">
        <v>10</v>
      </c>
      <c r="AG31" s="351">
        <f>IFERROR(Tableau1[[#This Row],[Qté Facturé 01/2018]]*Tableau1[[#This Row],[Unit Price (calcul)]],"")</f>
        <v>16850</v>
      </c>
      <c r="AH31" s="356">
        <f>IFERROR(IF(Tableau1[[#This Row],[Montant Facturé 01/2018]]&gt;0,Tableau1[[#This Row],[Montant Facturé 01/2018]]/Taux_Change_SII,""),"")</f>
        <v>12481.48148148148</v>
      </c>
      <c r="AI31" s="351"/>
      <c r="AJ31" s="83">
        <f>SUMPRODUCT(1*(EXACT(CONCATENATE(Tableau1[[#This Row],[PO Number (Header)]],"-",Tableau1[[#This Row],[Line]]),UO_List[Unique_AIB_ID]))*(UO_List[Qté Réception 02/2020]))</f>
        <v>0</v>
      </c>
      <c r="AK31" s="83">
        <f>SUMPRODUCT(1*(EXACT(CONCATENATE(Tableau1[[#This Row],[PO Number (Header)]],"-",Tableau1[[#This Row],[Line]]),UO_List[Unique_AIB_ID]))*(UO_List[Qté Réception 02/2020]))</f>
        <v>0</v>
      </c>
      <c r="AL31" s="357"/>
      <c r="AM31" s="351">
        <f>IFERROR(Tableau1[[#This Row],[Qté Facturé 02/2018]]*Tableau1[[#This Row],[Unit Price (calcul)]],"")</f>
        <v>0</v>
      </c>
      <c r="AN31" s="351" t="str">
        <f>IFERROR(IF(Tableau1[[#This Row],[Montant Facturé 02/2018]]&gt;0,Tableau1[[#This Row],[Montant Facturé 02/2018]]/Taux_Change_SII,""),"")</f>
        <v/>
      </c>
      <c r="AO31" s="351"/>
      <c r="AP31" s="83">
        <f>SUMPRODUCT(1*(EXACT(CONCATENATE(Tableau1[[#This Row],[PO Number (Header)]],"-",Tableau1[[#This Row],[Line]]),UO_List[Unique_AIB_ID]))*(UO_List[Qté Réception 00/2020]))</f>
        <v>0</v>
      </c>
      <c r="AQ31" s="84"/>
      <c r="AR31" s="357"/>
      <c r="AS31" s="351">
        <f>IFERROR(Tableau1[[#This Row],[Qté Facturé 03/2018]]*Tableau1[[#This Row],[Unit Price (calcul)]],"")</f>
        <v>0</v>
      </c>
      <c r="AT31" s="358" t="str">
        <f>IFERROR(IF(Tableau1[[#This Row],[Montant Facturé 03/2018]]&gt;0,Tableau1[[#This Row],[Montant Facturé 03/2018]]/Taux_Change_SII,""),"")</f>
        <v/>
      </c>
      <c r="AU31" s="351"/>
      <c r="AV31" s="83">
        <f>SUMPRODUCT(1*(EXACT(CONCATENATE(Tableau1[[#This Row],[PO Number (Header)]],"-",Tableau1[[#This Row],[Line]]),UO_List[Unique_AIB_ID]))*(UO_List[Qté Réception 04/2020]))</f>
        <v>0</v>
      </c>
      <c r="AW31" s="84">
        <v>0</v>
      </c>
      <c r="AX31" s="351"/>
      <c r="AY31" s="351">
        <f>IFERROR(Tableau1[[#This Row],[Qté Facturé 04/2018]]*Tableau1[[#This Row],[Unit Price (calcul)]],"")</f>
        <v>0</v>
      </c>
      <c r="AZ31" s="351" t="str">
        <f>IFERROR(IF(Tableau1[[#This Row],[Montant Facturé 04/2018]]&gt;0,Tableau1[[#This Row],[Montant Facturé 04/2018]]/Taux_Change_SII,""),"")</f>
        <v/>
      </c>
      <c r="BA31" s="351"/>
      <c r="BB31" s="83">
        <f>SUMPRODUCT(1*(EXACT(CONCATENATE(Tableau1[[#This Row],[PO Number (Header)]],"-",Tableau1[[#This Row],[Line]]),UO_List[Unique_AIB_ID]))*(UO_List[Qté Réception 05/2020]))</f>
        <v>0</v>
      </c>
      <c r="BC31" s="84">
        <v>0</v>
      </c>
      <c r="BD31" s="351"/>
      <c r="BE31" s="351">
        <f>IFERROR(Tableau1[[#This Row],[Qté Facturé 05/2018]]*Tableau1[[#This Row],[Unit Price (calcul)]],"")</f>
        <v>0</v>
      </c>
      <c r="BF31" s="351" t="str">
        <f>IFERROR(IF(Tableau1[[#This Row],[Montant Facturé 05/2018]]&gt;0,Tableau1[[#This Row],[Montant Facturé 05/2018]]/Taux_Change_SII,""),"")</f>
        <v/>
      </c>
      <c r="BG31" s="351"/>
      <c r="BH31" s="83">
        <f>SUMPRODUCT(1*(EXACT(CONCATENATE(Tableau1[[#This Row],[PO Number (Header)]],"-",Tableau1[[#This Row],[Line]]),UO_List[Unique_AIB_ID]))*(UO_List[Qté Réception 06/2020]))</f>
        <v>0</v>
      </c>
      <c r="BI31" s="84">
        <v>0</v>
      </c>
      <c r="BJ31" s="351"/>
      <c r="BK31" s="351">
        <f>IFERROR(Tableau1[[#This Row],[Qté Facturé 06/2018]]*Tableau1[[#This Row],[Unit Price (calcul)]],"")</f>
        <v>0</v>
      </c>
      <c r="BL31" s="351" t="str">
        <f>IFERROR(IF(Tableau1[[#This Row],[Montant Facturé 06/2018]]&gt;0,Tableau1[[#This Row],[Montant Facturé 06/2018]]/Taux_Change_SII,""),"")</f>
        <v/>
      </c>
      <c r="BM31" s="351"/>
      <c r="BN31" s="83">
        <f>SUMPRODUCT(1*(EXACT(CONCATENATE(Tableau1[[#This Row],[PO Number (Header)]],"-",Tableau1[[#This Row],[Line]]),UO_List[Unique_AIB_ID]))*(UO_List[Qté Réception 07/2020]))</f>
        <v>0</v>
      </c>
      <c r="BO31" s="84">
        <v>0</v>
      </c>
      <c r="BP31" s="351"/>
      <c r="BQ31" s="351">
        <f>IFERROR(Tableau1[[#This Row],[Qté Facturé 07/2018]]*Tableau1[[#This Row],[Unit Price (calcul)]],"")</f>
        <v>0</v>
      </c>
      <c r="BR31" s="351" t="str">
        <f>IFERROR(IF(Tableau1[[#This Row],[Montant Facturé 07/2018]]&gt;0,Tableau1[[#This Row],[Montant Facturé 07/2018]]/Taux_Change_SII,""),"")</f>
        <v/>
      </c>
      <c r="BS31" s="351"/>
      <c r="BT31" s="83">
        <f>SUMPRODUCT(1*(EXACT(CONCATENATE(Tableau1[[#This Row],[PO Number (Header)]],"-",Tableau1[[#This Row],[Line]]),UO_List[Unique_AIB_ID]))*(UO_List[Qté Réception 08/2020]))</f>
        <v>0</v>
      </c>
      <c r="BU31" s="84"/>
      <c r="BV31" s="351"/>
      <c r="BW31" s="351">
        <f>IFERROR(Tableau1[[#This Row],[Qté Facturé 08/2018]]*Tableau1[[#This Row],[Unit Price (calcul)]],"")</f>
        <v>0</v>
      </c>
      <c r="BX31" s="351" t="str">
        <f>IFERROR(IF(Tableau1[[#This Row],[Montant Facturé 08/2018]]&gt;0,Tableau1[[#This Row],[Montant Facturé 08/2018]]/Taux_Change_SII,""),"")</f>
        <v/>
      </c>
      <c r="BY31" s="351"/>
      <c r="BZ31" s="83">
        <f>SUMPRODUCT(1*(EXACT(CONCATENATE(Tableau1[[#This Row],[PO Number (Header)]],"-",Tableau1[[#This Row],[Line]]),UO_List[Unique_AIB_ID]))*(UO_List[Qté Réception 09/2020]))</f>
        <v>0</v>
      </c>
      <c r="CA31" s="84">
        <v>0</v>
      </c>
      <c r="CB31" s="351"/>
      <c r="CC31" s="351">
        <f>IFERROR(Tableau1[[#This Row],[Qté Facturé 09/2018]]*Tableau1[[#This Row],[Unit Price (calcul)]],"")</f>
        <v>0</v>
      </c>
      <c r="CD31" s="351" t="str">
        <f>IFERROR(IF(Tableau1[[#This Row],[Montant Facturé 09/2018]]&gt;0,Tableau1[[#This Row],[Montant Facturé 09/2018]]/Taux_Change_SII,""),"")</f>
        <v/>
      </c>
      <c r="CE31" s="351"/>
      <c r="CF31" s="83">
        <f>SUMPRODUCT(1*(EXACT(CONCATENATE(Tableau1[[#This Row],[PO Number (Header)]],"-",Tableau1[[#This Row],[Line]]),UO_List[Unique_AIB_ID]))*(UO_List[Qté Réception 10/2020]))</f>
        <v>0</v>
      </c>
      <c r="CG31" s="84">
        <v>0</v>
      </c>
      <c r="CH31" s="351"/>
      <c r="CI31" s="351">
        <f>IFERROR(Tableau1[[#This Row],[Qté Facturé 10/2018]]*Tableau1[[#This Row],[Unit Price (calcul)]],"")</f>
        <v>0</v>
      </c>
      <c r="CJ31" s="351" t="str">
        <f>IFERROR(IF(Tableau1[[#This Row],[Montant Facturé 10/2018]]&gt;0,Tableau1[[#This Row],[Montant Facturé 10/2018]]/Taux_Change_SII,""),"")</f>
        <v/>
      </c>
      <c r="CK31" s="351"/>
      <c r="CL31" s="83">
        <f>SUMPRODUCT(1*(EXACT(CONCATENATE(Tableau1[[#This Row],[PO Number (Header)]],"-",Tableau1[[#This Row],[Line]]),UO_List[Unique_AIB_ID]))*(UO_List[Qté Réception 11/2020]))</f>
        <v>0</v>
      </c>
      <c r="CM31" s="84"/>
      <c r="CN31" s="351"/>
      <c r="CO31" s="351">
        <f>IFERROR(Tableau1[[#This Row],[Qté Facturé 11/2018]]*Tableau1[[#This Row],[Unit Price (calcul)]],"")</f>
        <v>0</v>
      </c>
      <c r="CP31" s="351" t="str">
        <f>IFERROR(IF(Tableau1[[#This Row],[Montant Facturé 11/2018]]&gt;0,Tableau1[[#This Row],[Montant Facturé 11/2018]]/Taux_Change_SII,""),"")</f>
        <v/>
      </c>
      <c r="CQ31" s="351"/>
      <c r="CR31" s="83">
        <f>SUMPRODUCT(1*(EXACT(CONCATENATE(Tableau1[[#This Row],[PO Number (Header)]],"-",Tableau1[[#This Row],[Line]]),UO_List[Unique_AIB_ID]))*(UO_List[Qté Réception 12/2020]))</f>
        <v>0</v>
      </c>
      <c r="CS31" s="84"/>
      <c r="CT31" s="351"/>
      <c r="CU31" s="351">
        <f>IFERROR(Tableau1[[#This Row],[Qté Facturé 12/2018]]*Tableau1[[#This Row],[Unit Price (calcul)]],"")</f>
        <v>0</v>
      </c>
      <c r="CV31" s="351" t="str">
        <f>IFERROR(IF(Tableau1[[#This Row],[Montant Facturé 12/2018]]&gt;0,Tableau1[[#This Row],[Montant Facturé 12/2018]]/Taux_Change_SII,""),"")</f>
        <v/>
      </c>
      <c r="CW31" s="351"/>
      <c r="CX3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10</v>
      </c>
      <c r="CY3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10</v>
      </c>
      <c r="CZ3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10</v>
      </c>
      <c r="DA31" s="352">
        <f>IFERROR(Tableau1[[#This Row],[Total item réceptionné]]*Tableau1[[#This Row],[Unit Price (calcul)]],"")</f>
        <v>16850</v>
      </c>
      <c r="DB31" s="352">
        <f>IFERROR(Tableau1[[#This Row],[Total item à Facturer]]*Tableau1[[#This Row],[Unit Price (calcul)]],"")</f>
        <v>16850</v>
      </c>
      <c r="DC31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16850</v>
      </c>
      <c r="DD31" s="352">
        <f>IFERROR(Tableau1[[#This Row],[Line Total]]-Tableau1[[#This Row],[Total Price Réceptionné]],"")</f>
        <v>50550</v>
      </c>
      <c r="DE31" s="352">
        <f>IFERROR(Tableau1[[#This Row],[Total Price Réceptionné]]-Tableau1[[#This Row],[Total Price A facturer]],"")</f>
        <v>0</v>
      </c>
      <c r="DF31" s="353">
        <f>IFERROR(Tableau1[[#This Row],[Total Price A facturer]]-Tableau1[[#This Row],[Total Price Facturé]],"")</f>
        <v>0</v>
      </c>
      <c r="DG31" s="76">
        <f>Tableau1[[#This Row],[Total Item Quantity]]-Tableau1[[#This Row],[Total item réceptionné]]</f>
        <v>30</v>
      </c>
      <c r="DH31" s="169"/>
      <c r="DI31" s="167"/>
    </row>
    <row r="32" spans="1:113" s="116" customFormat="1">
      <c r="A32" s="160" t="str">
        <f>CONCATENATE(Tableau1[[#This Row],[PO Number (Header)]],"-",Tableau1[[#This Row],[Line]])</f>
        <v>C000489704-11</v>
      </c>
      <c r="B32" s="437" t="s">
        <v>913</v>
      </c>
      <c r="C32" s="437" t="s">
        <v>726</v>
      </c>
      <c r="D32" s="437" t="s">
        <v>802</v>
      </c>
      <c r="E32" s="437"/>
      <c r="F32" s="544">
        <v>11</v>
      </c>
      <c r="G32" s="437" t="s">
        <v>923</v>
      </c>
      <c r="H32" s="332">
        <v>20</v>
      </c>
      <c r="I32" s="383">
        <v>33700</v>
      </c>
      <c r="J32" s="437" t="s">
        <v>629</v>
      </c>
      <c r="K32" s="544">
        <v>0</v>
      </c>
      <c r="L32" s="437"/>
      <c r="M32" s="437"/>
      <c r="N32" s="437"/>
      <c r="O32" s="437"/>
      <c r="P32" s="438"/>
      <c r="Q32" s="479" t="s">
        <v>630</v>
      </c>
      <c r="R32" s="395">
        <v>0</v>
      </c>
      <c r="S32" s="437" t="s">
        <v>902</v>
      </c>
      <c r="T32" s="437"/>
      <c r="U32" s="437"/>
      <c r="V32" s="437" t="s">
        <v>727</v>
      </c>
      <c r="W32" s="436" t="s">
        <v>928</v>
      </c>
      <c r="X32" s="436" t="s">
        <v>915</v>
      </c>
      <c r="Y32" s="167">
        <f>IF(ISBLANK(Tableau1[[#This Row],[PO Number (Header)]]),"",Tableau1[[#This Row],[Line Total]]/Tableau1[[#This Row],[Total Item Quantity]])</f>
        <v>1685</v>
      </c>
      <c r="Z32" s="169" t="str">
        <f>IF(ISNA(VLOOKUP(Tableau1[[#This Row],[Unique_AIB_ID]],UO_List[Unique_AIB_ID],1,FALSE)),IF(ISBLANK(Tableau1[[#This Row],[PO Number (Header)]]),"","FAUX"),"VRAI")</f>
        <v>VRAI</v>
      </c>
      <c r="AA32" s="167" t="s">
        <v>634</v>
      </c>
      <c r="AB32" s="164" t="str">
        <f>VLOOKUP(Tableau1[[#This Row],[Unique_AIB_ID]],UO_List[[Unique_AIB_ID]:[OLGA F6]],3,FALSE)</f>
        <v>3173-10</v>
      </c>
      <c r="AC32" s="162" t="s">
        <v>993</v>
      </c>
      <c r="AD32" s="83">
        <f>SUMPRODUCT(1*(EXACT(CONCATENATE(Tableau1[[#This Row],[PO Number (Header)]],"-",Tableau1[[#This Row],[Line]]),UO_List[Unique_AIB_ID]))*(UO_List[Qté Réception 03/2020]))</f>
        <v>5</v>
      </c>
      <c r="AE32" s="84">
        <v>5</v>
      </c>
      <c r="AF32" s="84">
        <v>5</v>
      </c>
      <c r="AG32" s="351">
        <f>IFERROR(Tableau1[[#This Row],[Qté Facturé 01/2018]]*Tableau1[[#This Row],[Unit Price (calcul)]],"")</f>
        <v>8425</v>
      </c>
      <c r="AH32" s="356">
        <f>IFERROR(IF(Tableau1[[#This Row],[Montant Facturé 01/2018]]&gt;0,Tableau1[[#This Row],[Montant Facturé 01/2018]]/Taux_Change_SII,""),"")</f>
        <v>6240.74074074074</v>
      </c>
      <c r="AI32" s="351"/>
      <c r="AJ32" s="83">
        <f>SUMPRODUCT(1*(EXACT(CONCATENATE(Tableau1[[#This Row],[PO Number (Header)]],"-",Tableau1[[#This Row],[Line]]),UO_List[Unique_AIB_ID]))*(UO_List[Qté Réception 02/2020]))</f>
        <v>0</v>
      </c>
      <c r="AK32" s="83">
        <f>SUMPRODUCT(1*(EXACT(CONCATENATE(Tableau1[[#This Row],[PO Number (Header)]],"-",Tableau1[[#This Row],[Line]]),UO_List[Unique_AIB_ID]))*(UO_List[Qté Réception 02/2020]))</f>
        <v>0</v>
      </c>
      <c r="AL32" s="357"/>
      <c r="AM32" s="351">
        <f>IFERROR(Tableau1[[#This Row],[Qté Facturé 02/2018]]*Tableau1[[#This Row],[Unit Price (calcul)]],"")</f>
        <v>0</v>
      </c>
      <c r="AN32" s="351" t="str">
        <f>IFERROR(IF(Tableau1[[#This Row],[Montant Facturé 02/2018]]&gt;0,Tableau1[[#This Row],[Montant Facturé 02/2018]]/Taux_Change_SII,""),"")</f>
        <v/>
      </c>
      <c r="AO32" s="351"/>
      <c r="AP32" s="83">
        <f>SUMPRODUCT(1*(EXACT(CONCATENATE(Tableau1[[#This Row],[PO Number (Header)]],"-",Tableau1[[#This Row],[Line]]),UO_List[Unique_AIB_ID]))*(UO_List[Qté Réception 00/2020]))</f>
        <v>0</v>
      </c>
      <c r="AQ32" s="84"/>
      <c r="AR32" s="357"/>
      <c r="AS32" s="351">
        <f>IFERROR(Tableau1[[#This Row],[Qté Facturé 03/2018]]*Tableau1[[#This Row],[Unit Price (calcul)]],"")</f>
        <v>0</v>
      </c>
      <c r="AT32" s="358" t="str">
        <f>IFERROR(IF(Tableau1[[#This Row],[Montant Facturé 03/2018]]&gt;0,Tableau1[[#This Row],[Montant Facturé 03/2018]]/Taux_Change_SII,""),"")</f>
        <v/>
      </c>
      <c r="AU32" s="351"/>
      <c r="AV32" s="83">
        <f>SUMPRODUCT(1*(EXACT(CONCATENATE(Tableau1[[#This Row],[PO Number (Header)]],"-",Tableau1[[#This Row],[Line]]),UO_List[Unique_AIB_ID]))*(UO_List[Qté Réception 04/2020]))</f>
        <v>0</v>
      </c>
      <c r="AW32" s="84">
        <v>0</v>
      </c>
      <c r="AX32" s="351"/>
      <c r="AY32" s="351">
        <f>IFERROR(Tableau1[[#This Row],[Qté Facturé 04/2018]]*Tableau1[[#This Row],[Unit Price (calcul)]],"")</f>
        <v>0</v>
      </c>
      <c r="AZ32" s="351" t="str">
        <f>IFERROR(IF(Tableau1[[#This Row],[Montant Facturé 04/2018]]&gt;0,Tableau1[[#This Row],[Montant Facturé 04/2018]]/Taux_Change_SII,""),"")</f>
        <v/>
      </c>
      <c r="BA32" s="351"/>
      <c r="BB32" s="83">
        <f>SUMPRODUCT(1*(EXACT(CONCATENATE(Tableau1[[#This Row],[PO Number (Header)]],"-",Tableau1[[#This Row],[Line]]),UO_List[Unique_AIB_ID]))*(UO_List[Qté Réception 05/2020]))</f>
        <v>0</v>
      </c>
      <c r="BC32" s="84">
        <v>0</v>
      </c>
      <c r="BD32" s="351"/>
      <c r="BE32" s="351">
        <f>IFERROR(Tableau1[[#This Row],[Qté Facturé 05/2018]]*Tableau1[[#This Row],[Unit Price (calcul)]],"")</f>
        <v>0</v>
      </c>
      <c r="BF32" s="351" t="str">
        <f>IFERROR(IF(Tableau1[[#This Row],[Montant Facturé 05/2018]]&gt;0,Tableau1[[#This Row],[Montant Facturé 05/2018]]/Taux_Change_SII,""),"")</f>
        <v/>
      </c>
      <c r="BG32" s="351"/>
      <c r="BH32" s="83">
        <f>SUMPRODUCT(1*(EXACT(CONCATENATE(Tableau1[[#This Row],[PO Number (Header)]],"-",Tableau1[[#This Row],[Line]]),UO_List[Unique_AIB_ID]))*(UO_List[Qté Réception 06/2020]))</f>
        <v>0</v>
      </c>
      <c r="BI32" s="84">
        <v>0</v>
      </c>
      <c r="BJ32" s="351"/>
      <c r="BK32" s="351">
        <f>IFERROR(Tableau1[[#This Row],[Qté Facturé 06/2018]]*Tableau1[[#This Row],[Unit Price (calcul)]],"")</f>
        <v>0</v>
      </c>
      <c r="BL32" s="351" t="str">
        <f>IFERROR(IF(Tableau1[[#This Row],[Montant Facturé 06/2018]]&gt;0,Tableau1[[#This Row],[Montant Facturé 06/2018]]/Taux_Change_SII,""),"")</f>
        <v/>
      </c>
      <c r="BM32" s="351"/>
      <c r="BN32" s="83">
        <f>SUMPRODUCT(1*(EXACT(CONCATENATE(Tableau1[[#This Row],[PO Number (Header)]],"-",Tableau1[[#This Row],[Line]]),UO_List[Unique_AIB_ID]))*(UO_List[Qté Réception 07/2020]))</f>
        <v>0</v>
      </c>
      <c r="BO32" s="84">
        <v>0</v>
      </c>
      <c r="BP32" s="351"/>
      <c r="BQ32" s="351">
        <f>IFERROR(Tableau1[[#This Row],[Qté Facturé 07/2018]]*Tableau1[[#This Row],[Unit Price (calcul)]],"")</f>
        <v>0</v>
      </c>
      <c r="BR32" s="351" t="str">
        <f>IFERROR(IF(Tableau1[[#This Row],[Montant Facturé 07/2018]]&gt;0,Tableau1[[#This Row],[Montant Facturé 07/2018]]/Taux_Change_SII,""),"")</f>
        <v/>
      </c>
      <c r="BS32" s="351"/>
      <c r="BT32" s="83">
        <f>SUMPRODUCT(1*(EXACT(CONCATENATE(Tableau1[[#This Row],[PO Number (Header)]],"-",Tableau1[[#This Row],[Line]]),UO_List[Unique_AIB_ID]))*(UO_List[Qté Réception 08/2020]))</f>
        <v>0</v>
      </c>
      <c r="BU32" s="84"/>
      <c r="BV32" s="351"/>
      <c r="BW32" s="351">
        <f>IFERROR(Tableau1[[#This Row],[Qté Facturé 08/2018]]*Tableau1[[#This Row],[Unit Price (calcul)]],"")</f>
        <v>0</v>
      </c>
      <c r="BX32" s="351" t="str">
        <f>IFERROR(IF(Tableau1[[#This Row],[Montant Facturé 08/2018]]&gt;0,Tableau1[[#This Row],[Montant Facturé 08/2018]]/Taux_Change_SII,""),"")</f>
        <v/>
      </c>
      <c r="BY32" s="351"/>
      <c r="BZ32" s="83">
        <f>SUMPRODUCT(1*(EXACT(CONCATENATE(Tableau1[[#This Row],[PO Number (Header)]],"-",Tableau1[[#This Row],[Line]]),UO_List[Unique_AIB_ID]))*(UO_List[Qté Réception 09/2020]))</f>
        <v>0</v>
      </c>
      <c r="CA32" s="84">
        <v>0</v>
      </c>
      <c r="CB32" s="351"/>
      <c r="CC32" s="351">
        <f>IFERROR(Tableau1[[#This Row],[Qté Facturé 09/2018]]*Tableau1[[#This Row],[Unit Price (calcul)]],"")</f>
        <v>0</v>
      </c>
      <c r="CD32" s="351" t="str">
        <f>IFERROR(IF(Tableau1[[#This Row],[Montant Facturé 09/2018]]&gt;0,Tableau1[[#This Row],[Montant Facturé 09/2018]]/Taux_Change_SII,""),"")</f>
        <v/>
      </c>
      <c r="CE32" s="351"/>
      <c r="CF32" s="83">
        <f>SUMPRODUCT(1*(EXACT(CONCATENATE(Tableau1[[#This Row],[PO Number (Header)]],"-",Tableau1[[#This Row],[Line]]),UO_List[Unique_AIB_ID]))*(UO_List[Qté Réception 10/2020]))</f>
        <v>0</v>
      </c>
      <c r="CG32" s="84">
        <v>0</v>
      </c>
      <c r="CH32" s="351"/>
      <c r="CI32" s="351">
        <f>IFERROR(Tableau1[[#This Row],[Qté Facturé 10/2018]]*Tableau1[[#This Row],[Unit Price (calcul)]],"")</f>
        <v>0</v>
      </c>
      <c r="CJ32" s="351" t="str">
        <f>IFERROR(IF(Tableau1[[#This Row],[Montant Facturé 10/2018]]&gt;0,Tableau1[[#This Row],[Montant Facturé 10/2018]]/Taux_Change_SII,""),"")</f>
        <v/>
      </c>
      <c r="CK32" s="351"/>
      <c r="CL32" s="83">
        <f>SUMPRODUCT(1*(EXACT(CONCATENATE(Tableau1[[#This Row],[PO Number (Header)]],"-",Tableau1[[#This Row],[Line]]),UO_List[Unique_AIB_ID]))*(UO_List[Qté Réception 11/2020]))</f>
        <v>0</v>
      </c>
      <c r="CM32" s="84"/>
      <c r="CN32" s="351"/>
      <c r="CO32" s="351">
        <f>IFERROR(Tableau1[[#This Row],[Qté Facturé 11/2018]]*Tableau1[[#This Row],[Unit Price (calcul)]],"")</f>
        <v>0</v>
      </c>
      <c r="CP32" s="351" t="str">
        <f>IFERROR(IF(Tableau1[[#This Row],[Montant Facturé 11/2018]]&gt;0,Tableau1[[#This Row],[Montant Facturé 11/2018]]/Taux_Change_SII,""),"")</f>
        <v/>
      </c>
      <c r="CQ32" s="351"/>
      <c r="CR32" s="83">
        <f>SUMPRODUCT(1*(EXACT(CONCATENATE(Tableau1[[#This Row],[PO Number (Header)]],"-",Tableau1[[#This Row],[Line]]),UO_List[Unique_AIB_ID]))*(UO_List[Qté Réception 12/2020]))</f>
        <v>0</v>
      </c>
      <c r="CS32" s="84"/>
      <c r="CT32" s="351"/>
      <c r="CU32" s="351">
        <f>IFERROR(Tableau1[[#This Row],[Qté Facturé 12/2018]]*Tableau1[[#This Row],[Unit Price (calcul)]],"")</f>
        <v>0</v>
      </c>
      <c r="CV32" s="351" t="str">
        <f>IFERROR(IF(Tableau1[[#This Row],[Montant Facturé 12/2018]]&gt;0,Tableau1[[#This Row],[Montant Facturé 12/2018]]/Taux_Change_SII,""),"")</f>
        <v/>
      </c>
      <c r="CW32" s="351"/>
      <c r="CX3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5</v>
      </c>
      <c r="CY3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5</v>
      </c>
      <c r="CZ3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5</v>
      </c>
      <c r="DA32" s="352">
        <f>IFERROR(Tableau1[[#This Row],[Total item réceptionné]]*Tableau1[[#This Row],[Unit Price (calcul)]],"")</f>
        <v>8425</v>
      </c>
      <c r="DB32" s="352">
        <f>IFERROR(Tableau1[[#This Row],[Total item à Facturer]]*Tableau1[[#This Row],[Unit Price (calcul)]],"")</f>
        <v>8425</v>
      </c>
      <c r="DC32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8425</v>
      </c>
      <c r="DD32" s="352">
        <f>IFERROR(Tableau1[[#This Row],[Line Total]]-Tableau1[[#This Row],[Total Price Réceptionné]],"")</f>
        <v>25275</v>
      </c>
      <c r="DE32" s="352">
        <f>IFERROR(Tableau1[[#This Row],[Total Price Réceptionné]]-Tableau1[[#This Row],[Total Price A facturer]],"")</f>
        <v>0</v>
      </c>
      <c r="DF32" s="353">
        <f>IFERROR(Tableau1[[#This Row],[Total Price A facturer]]-Tableau1[[#This Row],[Total Price Facturé]],"")</f>
        <v>0</v>
      </c>
      <c r="DG32" s="76">
        <f>Tableau1[[#This Row],[Total Item Quantity]]-Tableau1[[#This Row],[Total item réceptionné]]</f>
        <v>15</v>
      </c>
      <c r="DH32" s="169"/>
      <c r="DI32" s="167"/>
    </row>
    <row r="33" spans="1:113" s="116" customFormat="1">
      <c r="A33" s="160" t="str">
        <f>CONCATENATE(Tableau1[[#This Row],[PO Number (Header)]],"-",Tableau1[[#This Row],[Line]])</f>
        <v>C000489704-12</v>
      </c>
      <c r="B33" s="437" t="s">
        <v>913</v>
      </c>
      <c r="C33" s="437" t="s">
        <v>726</v>
      </c>
      <c r="D33" s="437" t="s">
        <v>802</v>
      </c>
      <c r="E33" s="437"/>
      <c r="F33" s="544">
        <v>12</v>
      </c>
      <c r="G33" s="437" t="s">
        <v>923</v>
      </c>
      <c r="H33" s="332">
        <v>20</v>
      </c>
      <c r="I33" s="383">
        <v>33700</v>
      </c>
      <c r="J33" s="437" t="s">
        <v>629</v>
      </c>
      <c r="K33" s="544">
        <v>0</v>
      </c>
      <c r="L33" s="437"/>
      <c r="M33" s="437"/>
      <c r="N33" s="437"/>
      <c r="O33" s="437"/>
      <c r="P33" s="438"/>
      <c r="Q33" s="479" t="s">
        <v>630</v>
      </c>
      <c r="R33" s="395">
        <v>0</v>
      </c>
      <c r="S33" s="437" t="s">
        <v>902</v>
      </c>
      <c r="T33" s="437"/>
      <c r="U33" s="437"/>
      <c r="V33" s="437" t="s">
        <v>727</v>
      </c>
      <c r="W33" s="436" t="s">
        <v>929</v>
      </c>
      <c r="X33" s="436" t="s">
        <v>915</v>
      </c>
      <c r="Y33" s="167">
        <f>IF(ISBLANK(Tableau1[[#This Row],[PO Number (Header)]]),"",Tableau1[[#This Row],[Line Total]]/Tableau1[[#This Row],[Total Item Quantity]])</f>
        <v>1685</v>
      </c>
      <c r="Z33" s="169" t="str">
        <f>IF(ISNA(VLOOKUP(Tableau1[[#This Row],[Unique_AIB_ID]],UO_List[Unique_AIB_ID],1,FALSE)),IF(ISBLANK(Tableau1[[#This Row],[PO Number (Header)]]),"","FAUX"),"VRAI")</f>
        <v>VRAI</v>
      </c>
      <c r="AA33" s="167" t="s">
        <v>634</v>
      </c>
      <c r="AB33" s="164" t="str">
        <f>VLOOKUP(Tableau1[[#This Row],[Unique_AIB_ID]],UO_List[[Unique_AIB_ID]:[OLGA F6]],3,FALSE)</f>
        <v>3173-10</v>
      </c>
      <c r="AC33" s="162" t="s">
        <v>993</v>
      </c>
      <c r="AD33" s="83">
        <f>SUMPRODUCT(1*(EXACT(CONCATENATE(Tableau1[[#This Row],[PO Number (Header)]],"-",Tableau1[[#This Row],[Line]]),UO_List[Unique_AIB_ID]))*(UO_List[Qté Réception 03/2020]))</f>
        <v>7</v>
      </c>
      <c r="AE33" s="84">
        <v>7</v>
      </c>
      <c r="AF33" s="84">
        <v>7</v>
      </c>
      <c r="AG33" s="351">
        <f>IFERROR(Tableau1[[#This Row],[Qté Facturé 01/2018]]*Tableau1[[#This Row],[Unit Price (calcul)]],"")</f>
        <v>11795</v>
      </c>
      <c r="AH33" s="356">
        <f>IFERROR(IF(Tableau1[[#This Row],[Montant Facturé 01/2018]]&gt;0,Tableau1[[#This Row],[Montant Facturé 01/2018]]/Taux_Change_SII,""),"")</f>
        <v>8737.0370370370365</v>
      </c>
      <c r="AI33" s="351"/>
      <c r="AJ33" s="83">
        <f>SUMPRODUCT(1*(EXACT(CONCATENATE(Tableau1[[#This Row],[PO Number (Header)]],"-",Tableau1[[#This Row],[Line]]),UO_List[Unique_AIB_ID]))*(UO_List[Qté Réception 02/2020]))</f>
        <v>0</v>
      </c>
      <c r="AK33" s="83">
        <f>SUMPRODUCT(1*(EXACT(CONCATENATE(Tableau1[[#This Row],[PO Number (Header)]],"-",Tableau1[[#This Row],[Line]]),UO_List[Unique_AIB_ID]))*(UO_List[Qté Réception 02/2020]))</f>
        <v>0</v>
      </c>
      <c r="AL33" s="357"/>
      <c r="AM33" s="351">
        <f>IFERROR(Tableau1[[#This Row],[Qté Facturé 02/2018]]*Tableau1[[#This Row],[Unit Price (calcul)]],"")</f>
        <v>0</v>
      </c>
      <c r="AN33" s="351" t="str">
        <f>IFERROR(IF(Tableau1[[#This Row],[Montant Facturé 02/2018]]&gt;0,Tableau1[[#This Row],[Montant Facturé 02/2018]]/Taux_Change_SII,""),"")</f>
        <v/>
      </c>
      <c r="AO33" s="351"/>
      <c r="AP33" s="83">
        <f>SUMPRODUCT(1*(EXACT(CONCATENATE(Tableau1[[#This Row],[PO Number (Header)]],"-",Tableau1[[#This Row],[Line]]),UO_List[Unique_AIB_ID]))*(UO_List[Qté Réception 00/2020]))</f>
        <v>0</v>
      </c>
      <c r="AQ33" s="84"/>
      <c r="AR33" s="357"/>
      <c r="AS33" s="351">
        <f>IFERROR(Tableau1[[#This Row],[Qté Facturé 03/2018]]*Tableau1[[#This Row],[Unit Price (calcul)]],"")</f>
        <v>0</v>
      </c>
      <c r="AT33" s="358" t="str">
        <f>IFERROR(IF(Tableau1[[#This Row],[Montant Facturé 03/2018]]&gt;0,Tableau1[[#This Row],[Montant Facturé 03/2018]]/Taux_Change_SII,""),"")</f>
        <v/>
      </c>
      <c r="AU33" s="351"/>
      <c r="AV33" s="83">
        <f>SUMPRODUCT(1*(EXACT(CONCATENATE(Tableau1[[#This Row],[PO Number (Header)]],"-",Tableau1[[#This Row],[Line]]),UO_List[Unique_AIB_ID]))*(UO_List[Qté Réception 04/2020]))</f>
        <v>0</v>
      </c>
      <c r="AW33" s="84">
        <v>0</v>
      </c>
      <c r="AX33" s="351"/>
      <c r="AY33" s="351">
        <f>IFERROR(Tableau1[[#This Row],[Qté Facturé 04/2018]]*Tableau1[[#This Row],[Unit Price (calcul)]],"")</f>
        <v>0</v>
      </c>
      <c r="AZ33" s="351" t="str">
        <f>IFERROR(IF(Tableau1[[#This Row],[Montant Facturé 04/2018]]&gt;0,Tableau1[[#This Row],[Montant Facturé 04/2018]]/Taux_Change_SII,""),"")</f>
        <v/>
      </c>
      <c r="BA33" s="351"/>
      <c r="BB33" s="83">
        <f>SUMPRODUCT(1*(EXACT(CONCATENATE(Tableau1[[#This Row],[PO Number (Header)]],"-",Tableau1[[#This Row],[Line]]),UO_List[Unique_AIB_ID]))*(UO_List[Qté Réception 05/2020]))</f>
        <v>0</v>
      </c>
      <c r="BC33" s="84">
        <v>0</v>
      </c>
      <c r="BD33" s="351"/>
      <c r="BE33" s="351">
        <f>IFERROR(Tableau1[[#This Row],[Qté Facturé 05/2018]]*Tableau1[[#This Row],[Unit Price (calcul)]],"")</f>
        <v>0</v>
      </c>
      <c r="BF33" s="351" t="str">
        <f>IFERROR(IF(Tableau1[[#This Row],[Montant Facturé 05/2018]]&gt;0,Tableau1[[#This Row],[Montant Facturé 05/2018]]/Taux_Change_SII,""),"")</f>
        <v/>
      </c>
      <c r="BG33" s="351"/>
      <c r="BH33" s="83">
        <f>SUMPRODUCT(1*(EXACT(CONCATENATE(Tableau1[[#This Row],[PO Number (Header)]],"-",Tableau1[[#This Row],[Line]]),UO_List[Unique_AIB_ID]))*(UO_List[Qté Réception 06/2020]))</f>
        <v>0</v>
      </c>
      <c r="BI33" s="84">
        <v>0</v>
      </c>
      <c r="BJ33" s="351"/>
      <c r="BK33" s="351">
        <f>IFERROR(Tableau1[[#This Row],[Qté Facturé 06/2018]]*Tableau1[[#This Row],[Unit Price (calcul)]],"")</f>
        <v>0</v>
      </c>
      <c r="BL33" s="351" t="str">
        <f>IFERROR(IF(Tableau1[[#This Row],[Montant Facturé 06/2018]]&gt;0,Tableau1[[#This Row],[Montant Facturé 06/2018]]/Taux_Change_SII,""),"")</f>
        <v/>
      </c>
      <c r="BM33" s="351"/>
      <c r="BN33" s="83">
        <f>SUMPRODUCT(1*(EXACT(CONCATENATE(Tableau1[[#This Row],[PO Number (Header)]],"-",Tableau1[[#This Row],[Line]]),UO_List[Unique_AIB_ID]))*(UO_List[Qté Réception 07/2020]))</f>
        <v>0</v>
      </c>
      <c r="BO33" s="84">
        <v>0</v>
      </c>
      <c r="BP33" s="351"/>
      <c r="BQ33" s="351">
        <f>IFERROR(Tableau1[[#This Row],[Qté Facturé 07/2018]]*Tableau1[[#This Row],[Unit Price (calcul)]],"")</f>
        <v>0</v>
      </c>
      <c r="BR33" s="351" t="str">
        <f>IFERROR(IF(Tableau1[[#This Row],[Montant Facturé 07/2018]]&gt;0,Tableau1[[#This Row],[Montant Facturé 07/2018]]/Taux_Change_SII,""),"")</f>
        <v/>
      </c>
      <c r="BS33" s="351"/>
      <c r="BT33" s="83">
        <f>SUMPRODUCT(1*(EXACT(CONCATENATE(Tableau1[[#This Row],[PO Number (Header)]],"-",Tableau1[[#This Row],[Line]]),UO_List[Unique_AIB_ID]))*(UO_List[Qté Réception 08/2020]))</f>
        <v>0</v>
      </c>
      <c r="BU33" s="84"/>
      <c r="BV33" s="351"/>
      <c r="BW33" s="351">
        <f>IFERROR(Tableau1[[#This Row],[Qté Facturé 08/2018]]*Tableau1[[#This Row],[Unit Price (calcul)]],"")</f>
        <v>0</v>
      </c>
      <c r="BX33" s="351" t="str">
        <f>IFERROR(IF(Tableau1[[#This Row],[Montant Facturé 08/2018]]&gt;0,Tableau1[[#This Row],[Montant Facturé 08/2018]]/Taux_Change_SII,""),"")</f>
        <v/>
      </c>
      <c r="BY33" s="351"/>
      <c r="BZ33" s="83">
        <f>SUMPRODUCT(1*(EXACT(CONCATENATE(Tableau1[[#This Row],[PO Number (Header)]],"-",Tableau1[[#This Row],[Line]]),UO_List[Unique_AIB_ID]))*(UO_List[Qté Réception 09/2020]))</f>
        <v>0</v>
      </c>
      <c r="CA33" s="84">
        <v>0</v>
      </c>
      <c r="CB33" s="351"/>
      <c r="CC33" s="351">
        <f>IFERROR(Tableau1[[#This Row],[Qté Facturé 09/2018]]*Tableau1[[#This Row],[Unit Price (calcul)]],"")</f>
        <v>0</v>
      </c>
      <c r="CD33" s="351" t="str">
        <f>IFERROR(IF(Tableau1[[#This Row],[Montant Facturé 09/2018]]&gt;0,Tableau1[[#This Row],[Montant Facturé 09/2018]]/Taux_Change_SII,""),"")</f>
        <v/>
      </c>
      <c r="CE33" s="351"/>
      <c r="CF33" s="83">
        <f>SUMPRODUCT(1*(EXACT(CONCATENATE(Tableau1[[#This Row],[PO Number (Header)]],"-",Tableau1[[#This Row],[Line]]),UO_List[Unique_AIB_ID]))*(UO_List[Qté Réception 10/2020]))</f>
        <v>0</v>
      </c>
      <c r="CG33" s="84">
        <v>0</v>
      </c>
      <c r="CH33" s="351"/>
      <c r="CI33" s="351">
        <f>IFERROR(Tableau1[[#This Row],[Qté Facturé 10/2018]]*Tableau1[[#This Row],[Unit Price (calcul)]],"")</f>
        <v>0</v>
      </c>
      <c r="CJ33" s="351" t="str">
        <f>IFERROR(IF(Tableau1[[#This Row],[Montant Facturé 10/2018]]&gt;0,Tableau1[[#This Row],[Montant Facturé 10/2018]]/Taux_Change_SII,""),"")</f>
        <v/>
      </c>
      <c r="CK33" s="351"/>
      <c r="CL33" s="83">
        <f>SUMPRODUCT(1*(EXACT(CONCATENATE(Tableau1[[#This Row],[PO Number (Header)]],"-",Tableau1[[#This Row],[Line]]),UO_List[Unique_AIB_ID]))*(UO_List[Qté Réception 11/2020]))</f>
        <v>0</v>
      </c>
      <c r="CM33" s="84"/>
      <c r="CN33" s="351"/>
      <c r="CO33" s="351">
        <f>IFERROR(Tableau1[[#This Row],[Qté Facturé 11/2018]]*Tableau1[[#This Row],[Unit Price (calcul)]],"")</f>
        <v>0</v>
      </c>
      <c r="CP33" s="351" t="str">
        <f>IFERROR(IF(Tableau1[[#This Row],[Montant Facturé 11/2018]]&gt;0,Tableau1[[#This Row],[Montant Facturé 11/2018]]/Taux_Change_SII,""),"")</f>
        <v/>
      </c>
      <c r="CQ33" s="351"/>
      <c r="CR33" s="83">
        <f>SUMPRODUCT(1*(EXACT(CONCATENATE(Tableau1[[#This Row],[PO Number (Header)]],"-",Tableau1[[#This Row],[Line]]),UO_List[Unique_AIB_ID]))*(UO_List[Qté Réception 12/2020]))</f>
        <v>0</v>
      </c>
      <c r="CS33" s="84"/>
      <c r="CT33" s="351"/>
      <c r="CU33" s="351">
        <f>IFERROR(Tableau1[[#This Row],[Qté Facturé 12/2018]]*Tableau1[[#This Row],[Unit Price (calcul)]],"")</f>
        <v>0</v>
      </c>
      <c r="CV33" s="351" t="str">
        <f>IFERROR(IF(Tableau1[[#This Row],[Montant Facturé 12/2018]]&gt;0,Tableau1[[#This Row],[Montant Facturé 12/2018]]/Taux_Change_SII,""),"")</f>
        <v/>
      </c>
      <c r="CW33" s="351"/>
      <c r="CX3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7</v>
      </c>
      <c r="CY3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7</v>
      </c>
      <c r="CZ3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7</v>
      </c>
      <c r="DA33" s="352">
        <f>IFERROR(Tableau1[[#This Row],[Total item réceptionné]]*Tableau1[[#This Row],[Unit Price (calcul)]],"")</f>
        <v>11795</v>
      </c>
      <c r="DB33" s="352">
        <f>IFERROR(Tableau1[[#This Row],[Total item à Facturer]]*Tableau1[[#This Row],[Unit Price (calcul)]],"")</f>
        <v>11795</v>
      </c>
      <c r="DC33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11795</v>
      </c>
      <c r="DD33" s="352">
        <f>IFERROR(Tableau1[[#This Row],[Line Total]]-Tableau1[[#This Row],[Total Price Réceptionné]],"")</f>
        <v>21905</v>
      </c>
      <c r="DE33" s="352">
        <f>IFERROR(Tableau1[[#This Row],[Total Price Réceptionné]]-Tableau1[[#This Row],[Total Price A facturer]],"")</f>
        <v>0</v>
      </c>
      <c r="DF33" s="353">
        <f>IFERROR(Tableau1[[#This Row],[Total Price A facturer]]-Tableau1[[#This Row],[Total Price Facturé]],"")</f>
        <v>0</v>
      </c>
      <c r="DG33" s="76">
        <f>Tableau1[[#This Row],[Total Item Quantity]]-Tableau1[[#This Row],[Total item réceptionné]]</f>
        <v>13</v>
      </c>
      <c r="DH33" s="169"/>
      <c r="DI33" s="167"/>
    </row>
    <row r="34" spans="1:113" s="116" customFormat="1">
      <c r="A34" s="160" t="str">
        <f>CONCATENATE(Tableau1[[#This Row],[PO Number (Header)]],"-",Tableau1[[#This Row],[Line]])</f>
        <v>C000489704-13</v>
      </c>
      <c r="B34" s="437" t="s">
        <v>913</v>
      </c>
      <c r="C34" s="437" t="s">
        <v>726</v>
      </c>
      <c r="D34" s="437" t="s">
        <v>802</v>
      </c>
      <c r="E34" s="437"/>
      <c r="F34" s="544">
        <v>13</v>
      </c>
      <c r="G34" s="437" t="s">
        <v>826</v>
      </c>
      <c r="H34" s="332">
        <v>30</v>
      </c>
      <c r="I34" s="383">
        <v>50550</v>
      </c>
      <c r="J34" s="437" t="s">
        <v>629</v>
      </c>
      <c r="K34" s="544">
        <v>0</v>
      </c>
      <c r="L34" s="437"/>
      <c r="M34" s="437"/>
      <c r="N34" s="437"/>
      <c r="O34" s="437"/>
      <c r="P34" s="438"/>
      <c r="Q34" s="479" t="s">
        <v>630</v>
      </c>
      <c r="R34" s="395">
        <v>0</v>
      </c>
      <c r="S34" s="437" t="s">
        <v>902</v>
      </c>
      <c r="T34" s="437"/>
      <c r="U34" s="437"/>
      <c r="V34" s="437" t="s">
        <v>727</v>
      </c>
      <c r="W34" s="436" t="s">
        <v>930</v>
      </c>
      <c r="X34" s="436" t="s">
        <v>915</v>
      </c>
      <c r="Y34" s="167">
        <f>IF(ISBLANK(Tableau1[[#This Row],[PO Number (Header)]]),"",Tableau1[[#This Row],[Line Total]]/Tableau1[[#This Row],[Total Item Quantity]])</f>
        <v>1685</v>
      </c>
      <c r="Z34" s="169" t="str">
        <f>IF(ISNA(VLOOKUP(Tableau1[[#This Row],[Unique_AIB_ID]],UO_List[Unique_AIB_ID],1,FALSE)),IF(ISBLANK(Tableau1[[#This Row],[PO Number (Header)]]),"","FAUX"),"VRAI")</f>
        <v>VRAI</v>
      </c>
      <c r="AA34" s="167" t="s">
        <v>634</v>
      </c>
      <c r="AB34" s="164" t="str">
        <f>VLOOKUP(Tableau1[[#This Row],[Unique_AIB_ID]],UO_List[[Unique_AIB_ID]:[OLGA F6]],3,FALSE)</f>
        <v>3173-10</v>
      </c>
      <c r="AC34" s="162" t="s">
        <v>993</v>
      </c>
      <c r="AD34" s="83">
        <f>SUMPRODUCT(1*(EXACT(CONCATENATE(Tableau1[[#This Row],[PO Number (Header)]],"-",Tableau1[[#This Row],[Line]]),UO_List[Unique_AIB_ID]))*(UO_List[Qté Réception 03/2020]))</f>
        <v>12</v>
      </c>
      <c r="AE34" s="84">
        <v>12</v>
      </c>
      <c r="AF34" s="84">
        <v>12</v>
      </c>
      <c r="AG34" s="351">
        <f>IFERROR(Tableau1[[#This Row],[Qté Facturé 01/2018]]*Tableau1[[#This Row],[Unit Price (calcul)]],"")</f>
        <v>20220</v>
      </c>
      <c r="AH34" s="356">
        <f>IFERROR(IF(Tableau1[[#This Row],[Montant Facturé 01/2018]]&gt;0,Tableau1[[#This Row],[Montant Facturé 01/2018]]/Taux_Change_SII,""),"")</f>
        <v>14977.777777777777</v>
      </c>
      <c r="AI34" s="351"/>
      <c r="AJ34" s="83">
        <f>SUMPRODUCT(1*(EXACT(CONCATENATE(Tableau1[[#This Row],[PO Number (Header)]],"-",Tableau1[[#This Row],[Line]]),UO_List[Unique_AIB_ID]))*(UO_List[Qté Réception 02/2020]))</f>
        <v>0</v>
      </c>
      <c r="AK34" s="83">
        <f>SUMPRODUCT(1*(EXACT(CONCATENATE(Tableau1[[#This Row],[PO Number (Header)]],"-",Tableau1[[#This Row],[Line]]),UO_List[Unique_AIB_ID]))*(UO_List[Qté Réception 02/2020]))</f>
        <v>0</v>
      </c>
      <c r="AL34" s="357"/>
      <c r="AM34" s="351">
        <f>IFERROR(Tableau1[[#This Row],[Qté Facturé 02/2018]]*Tableau1[[#This Row],[Unit Price (calcul)]],"")</f>
        <v>0</v>
      </c>
      <c r="AN34" s="351" t="str">
        <f>IFERROR(IF(Tableau1[[#This Row],[Montant Facturé 02/2018]]&gt;0,Tableau1[[#This Row],[Montant Facturé 02/2018]]/Taux_Change_SII,""),"")</f>
        <v/>
      </c>
      <c r="AO34" s="351"/>
      <c r="AP34" s="83">
        <f>SUMPRODUCT(1*(EXACT(CONCATENATE(Tableau1[[#This Row],[PO Number (Header)]],"-",Tableau1[[#This Row],[Line]]),UO_List[Unique_AIB_ID]))*(UO_List[Qté Réception 00/2020]))</f>
        <v>0</v>
      </c>
      <c r="AQ34" s="84"/>
      <c r="AR34" s="357"/>
      <c r="AS34" s="351">
        <f>IFERROR(Tableau1[[#This Row],[Qté Facturé 03/2018]]*Tableau1[[#This Row],[Unit Price (calcul)]],"")</f>
        <v>0</v>
      </c>
      <c r="AT34" s="358" t="str">
        <f>IFERROR(IF(Tableau1[[#This Row],[Montant Facturé 03/2018]]&gt;0,Tableau1[[#This Row],[Montant Facturé 03/2018]]/Taux_Change_SII,""),"")</f>
        <v/>
      </c>
      <c r="AU34" s="351"/>
      <c r="AV34" s="83">
        <f>SUMPRODUCT(1*(EXACT(CONCATENATE(Tableau1[[#This Row],[PO Number (Header)]],"-",Tableau1[[#This Row],[Line]]),UO_List[Unique_AIB_ID]))*(UO_List[Qté Réception 04/2020]))</f>
        <v>0</v>
      </c>
      <c r="AW34" s="84">
        <v>0</v>
      </c>
      <c r="AX34" s="351"/>
      <c r="AY34" s="351">
        <f>IFERROR(Tableau1[[#This Row],[Qté Facturé 04/2018]]*Tableau1[[#This Row],[Unit Price (calcul)]],"")</f>
        <v>0</v>
      </c>
      <c r="AZ34" s="351" t="str">
        <f>IFERROR(IF(Tableau1[[#This Row],[Montant Facturé 04/2018]]&gt;0,Tableau1[[#This Row],[Montant Facturé 04/2018]]/Taux_Change_SII,""),"")</f>
        <v/>
      </c>
      <c r="BA34" s="351"/>
      <c r="BB34" s="83">
        <f>SUMPRODUCT(1*(EXACT(CONCATENATE(Tableau1[[#This Row],[PO Number (Header)]],"-",Tableau1[[#This Row],[Line]]),UO_List[Unique_AIB_ID]))*(UO_List[Qté Réception 05/2020]))</f>
        <v>0</v>
      </c>
      <c r="BC34" s="84">
        <v>0</v>
      </c>
      <c r="BD34" s="351"/>
      <c r="BE34" s="351">
        <f>IFERROR(Tableau1[[#This Row],[Qté Facturé 05/2018]]*Tableau1[[#This Row],[Unit Price (calcul)]],"")</f>
        <v>0</v>
      </c>
      <c r="BF34" s="351" t="str">
        <f>IFERROR(IF(Tableau1[[#This Row],[Montant Facturé 05/2018]]&gt;0,Tableau1[[#This Row],[Montant Facturé 05/2018]]/Taux_Change_SII,""),"")</f>
        <v/>
      </c>
      <c r="BG34" s="351"/>
      <c r="BH34" s="83">
        <f>SUMPRODUCT(1*(EXACT(CONCATENATE(Tableau1[[#This Row],[PO Number (Header)]],"-",Tableau1[[#This Row],[Line]]),UO_List[Unique_AIB_ID]))*(UO_List[Qté Réception 06/2020]))</f>
        <v>0</v>
      </c>
      <c r="BI34" s="84">
        <v>0</v>
      </c>
      <c r="BJ34" s="351"/>
      <c r="BK34" s="351">
        <f>IFERROR(Tableau1[[#This Row],[Qté Facturé 06/2018]]*Tableau1[[#This Row],[Unit Price (calcul)]],"")</f>
        <v>0</v>
      </c>
      <c r="BL34" s="351" t="str">
        <f>IFERROR(IF(Tableau1[[#This Row],[Montant Facturé 06/2018]]&gt;0,Tableau1[[#This Row],[Montant Facturé 06/2018]]/Taux_Change_SII,""),"")</f>
        <v/>
      </c>
      <c r="BM34" s="351"/>
      <c r="BN34" s="83">
        <f>SUMPRODUCT(1*(EXACT(CONCATENATE(Tableau1[[#This Row],[PO Number (Header)]],"-",Tableau1[[#This Row],[Line]]),UO_List[Unique_AIB_ID]))*(UO_List[Qté Réception 07/2020]))</f>
        <v>0</v>
      </c>
      <c r="BO34" s="84">
        <v>0</v>
      </c>
      <c r="BP34" s="351"/>
      <c r="BQ34" s="351">
        <f>IFERROR(Tableau1[[#This Row],[Qté Facturé 07/2018]]*Tableau1[[#This Row],[Unit Price (calcul)]],"")</f>
        <v>0</v>
      </c>
      <c r="BR34" s="351" t="str">
        <f>IFERROR(IF(Tableau1[[#This Row],[Montant Facturé 07/2018]]&gt;0,Tableau1[[#This Row],[Montant Facturé 07/2018]]/Taux_Change_SII,""),"")</f>
        <v/>
      </c>
      <c r="BS34" s="351"/>
      <c r="BT34" s="83">
        <f>SUMPRODUCT(1*(EXACT(CONCATENATE(Tableau1[[#This Row],[PO Number (Header)]],"-",Tableau1[[#This Row],[Line]]),UO_List[Unique_AIB_ID]))*(UO_List[Qté Réception 08/2020]))</f>
        <v>0</v>
      </c>
      <c r="BU34" s="84"/>
      <c r="BV34" s="351"/>
      <c r="BW34" s="351">
        <f>IFERROR(Tableau1[[#This Row],[Qté Facturé 08/2018]]*Tableau1[[#This Row],[Unit Price (calcul)]],"")</f>
        <v>0</v>
      </c>
      <c r="BX34" s="351" t="str">
        <f>IFERROR(IF(Tableau1[[#This Row],[Montant Facturé 08/2018]]&gt;0,Tableau1[[#This Row],[Montant Facturé 08/2018]]/Taux_Change_SII,""),"")</f>
        <v/>
      </c>
      <c r="BY34" s="351"/>
      <c r="BZ34" s="83">
        <f>SUMPRODUCT(1*(EXACT(CONCATENATE(Tableau1[[#This Row],[PO Number (Header)]],"-",Tableau1[[#This Row],[Line]]),UO_List[Unique_AIB_ID]))*(UO_List[Qté Réception 09/2020]))</f>
        <v>0</v>
      </c>
      <c r="CA34" s="84">
        <v>0</v>
      </c>
      <c r="CB34" s="351"/>
      <c r="CC34" s="351">
        <f>IFERROR(Tableau1[[#This Row],[Qté Facturé 09/2018]]*Tableau1[[#This Row],[Unit Price (calcul)]],"")</f>
        <v>0</v>
      </c>
      <c r="CD34" s="351" t="str">
        <f>IFERROR(IF(Tableau1[[#This Row],[Montant Facturé 09/2018]]&gt;0,Tableau1[[#This Row],[Montant Facturé 09/2018]]/Taux_Change_SII,""),"")</f>
        <v/>
      </c>
      <c r="CE34" s="351"/>
      <c r="CF34" s="83">
        <f>SUMPRODUCT(1*(EXACT(CONCATENATE(Tableau1[[#This Row],[PO Number (Header)]],"-",Tableau1[[#This Row],[Line]]),UO_List[Unique_AIB_ID]))*(UO_List[Qté Réception 10/2020]))</f>
        <v>0</v>
      </c>
      <c r="CG34" s="84">
        <v>0</v>
      </c>
      <c r="CH34" s="351"/>
      <c r="CI34" s="351">
        <f>IFERROR(Tableau1[[#This Row],[Qté Facturé 10/2018]]*Tableau1[[#This Row],[Unit Price (calcul)]],"")</f>
        <v>0</v>
      </c>
      <c r="CJ34" s="351" t="str">
        <f>IFERROR(IF(Tableau1[[#This Row],[Montant Facturé 10/2018]]&gt;0,Tableau1[[#This Row],[Montant Facturé 10/2018]]/Taux_Change_SII,""),"")</f>
        <v/>
      </c>
      <c r="CK34" s="351"/>
      <c r="CL34" s="83">
        <f>SUMPRODUCT(1*(EXACT(CONCATENATE(Tableau1[[#This Row],[PO Number (Header)]],"-",Tableau1[[#This Row],[Line]]),UO_List[Unique_AIB_ID]))*(UO_List[Qté Réception 11/2020]))</f>
        <v>0</v>
      </c>
      <c r="CM34" s="84"/>
      <c r="CN34" s="351"/>
      <c r="CO34" s="351">
        <f>IFERROR(Tableau1[[#This Row],[Qté Facturé 11/2018]]*Tableau1[[#This Row],[Unit Price (calcul)]],"")</f>
        <v>0</v>
      </c>
      <c r="CP34" s="351" t="str">
        <f>IFERROR(IF(Tableau1[[#This Row],[Montant Facturé 11/2018]]&gt;0,Tableau1[[#This Row],[Montant Facturé 11/2018]]/Taux_Change_SII,""),"")</f>
        <v/>
      </c>
      <c r="CQ34" s="351"/>
      <c r="CR34" s="83">
        <f>SUMPRODUCT(1*(EXACT(CONCATENATE(Tableau1[[#This Row],[PO Number (Header)]],"-",Tableau1[[#This Row],[Line]]),UO_List[Unique_AIB_ID]))*(UO_List[Qté Réception 12/2020]))</f>
        <v>0</v>
      </c>
      <c r="CS34" s="84"/>
      <c r="CT34" s="351"/>
      <c r="CU34" s="351">
        <f>IFERROR(Tableau1[[#This Row],[Qté Facturé 12/2018]]*Tableau1[[#This Row],[Unit Price (calcul)]],"")</f>
        <v>0</v>
      </c>
      <c r="CV34" s="351" t="str">
        <f>IFERROR(IF(Tableau1[[#This Row],[Montant Facturé 12/2018]]&gt;0,Tableau1[[#This Row],[Montant Facturé 12/2018]]/Taux_Change_SII,""),"")</f>
        <v/>
      </c>
      <c r="CW34" s="351"/>
      <c r="CX3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12</v>
      </c>
      <c r="CY3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12</v>
      </c>
      <c r="CZ3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12</v>
      </c>
      <c r="DA34" s="352">
        <f>IFERROR(Tableau1[[#This Row],[Total item réceptionné]]*Tableau1[[#This Row],[Unit Price (calcul)]],"")</f>
        <v>20220</v>
      </c>
      <c r="DB34" s="352">
        <f>IFERROR(Tableau1[[#This Row],[Total item à Facturer]]*Tableau1[[#This Row],[Unit Price (calcul)]],"")</f>
        <v>20220</v>
      </c>
      <c r="DC34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20220</v>
      </c>
      <c r="DD34" s="352">
        <f>IFERROR(Tableau1[[#This Row],[Line Total]]-Tableau1[[#This Row],[Total Price Réceptionné]],"")</f>
        <v>30330</v>
      </c>
      <c r="DE34" s="352">
        <f>IFERROR(Tableau1[[#This Row],[Total Price Réceptionné]]-Tableau1[[#This Row],[Total Price A facturer]],"")</f>
        <v>0</v>
      </c>
      <c r="DF34" s="353">
        <f>IFERROR(Tableau1[[#This Row],[Total Price A facturer]]-Tableau1[[#This Row],[Total Price Facturé]],"")</f>
        <v>0</v>
      </c>
      <c r="DG34" s="76">
        <f>Tableau1[[#This Row],[Total Item Quantity]]-Tableau1[[#This Row],[Total item réceptionné]]</f>
        <v>18</v>
      </c>
      <c r="DH34" s="169"/>
      <c r="DI34" s="167"/>
    </row>
    <row r="35" spans="1:113" s="116" customFormat="1" ht="13.5" customHeight="1">
      <c r="A35" s="160" t="str">
        <f>CONCATENATE(Tableau1[[#This Row],[PO Number (Header)]],"-",Tableau1[[#This Row],[Line]])</f>
        <v>C000489704-14</v>
      </c>
      <c r="B35" s="437" t="s">
        <v>913</v>
      </c>
      <c r="C35" s="437" t="s">
        <v>726</v>
      </c>
      <c r="D35" s="437" t="s">
        <v>802</v>
      </c>
      <c r="E35" s="437"/>
      <c r="F35" s="544">
        <v>14</v>
      </c>
      <c r="G35" s="437" t="s">
        <v>931</v>
      </c>
      <c r="H35" s="332">
        <v>20</v>
      </c>
      <c r="I35" s="383">
        <v>11200</v>
      </c>
      <c r="J35" s="437" t="s">
        <v>629</v>
      </c>
      <c r="K35" s="544">
        <v>0</v>
      </c>
      <c r="L35" s="437"/>
      <c r="M35" s="437"/>
      <c r="N35" s="437"/>
      <c r="O35" s="437"/>
      <c r="P35" s="438"/>
      <c r="Q35" s="479" t="s">
        <v>630</v>
      </c>
      <c r="R35" s="395">
        <v>0</v>
      </c>
      <c r="S35" s="437" t="s">
        <v>902</v>
      </c>
      <c r="T35" s="437"/>
      <c r="U35" s="437"/>
      <c r="V35" s="437" t="s">
        <v>727</v>
      </c>
      <c r="W35" s="436" t="s">
        <v>932</v>
      </c>
      <c r="X35" s="436" t="s">
        <v>915</v>
      </c>
      <c r="Y35" s="167">
        <f>IF(ISBLANK(Tableau1[[#This Row],[PO Number (Header)]]),"",Tableau1[[#This Row],[Line Total]]/Tableau1[[#This Row],[Total Item Quantity]])</f>
        <v>560</v>
      </c>
      <c r="Z35" s="169" t="str">
        <f>IF(ISNA(VLOOKUP(Tableau1[[#This Row],[Unique_AIB_ID]],UO_List[Unique_AIB_ID],1,FALSE)),IF(ISBLANK(Tableau1[[#This Row],[PO Number (Header)]]),"","FAUX"),"VRAI")</f>
        <v>VRAI</v>
      </c>
      <c r="AA35" s="167" t="s">
        <v>634</v>
      </c>
      <c r="AB35" s="164" t="str">
        <f>VLOOKUP(Tableau1[[#This Row],[Unique_AIB_ID]],UO_List[[Unique_AIB_ID]:[OLGA F6]],3,FALSE)</f>
        <v>3173-10</v>
      </c>
      <c r="AC35" s="162" t="s">
        <v>993</v>
      </c>
      <c r="AD35" s="83">
        <f>SUMPRODUCT(1*(EXACT(CONCATENATE(Tableau1[[#This Row],[PO Number (Header)]],"-",Tableau1[[#This Row],[Line]]),UO_List[Unique_AIB_ID]))*(UO_List[Qté Réception 03/2020]))</f>
        <v>5</v>
      </c>
      <c r="AE35" s="84">
        <v>5</v>
      </c>
      <c r="AF35" s="84">
        <v>5</v>
      </c>
      <c r="AG35" s="351">
        <f>IFERROR(Tableau1[[#This Row],[Qté Facturé 01/2018]]*Tableau1[[#This Row],[Unit Price (calcul)]],"")</f>
        <v>2800</v>
      </c>
      <c r="AH35" s="356">
        <f>IFERROR(IF(Tableau1[[#This Row],[Montant Facturé 01/2018]]&gt;0,Tableau1[[#This Row],[Montant Facturé 01/2018]]/Taux_Change_SII,""),"")</f>
        <v>2074.0740740740739</v>
      </c>
      <c r="AI35" s="351"/>
      <c r="AJ35" s="83">
        <f>SUMPRODUCT(1*(EXACT(CONCATENATE(Tableau1[[#This Row],[PO Number (Header)]],"-",Tableau1[[#This Row],[Line]]),UO_List[Unique_AIB_ID]))*(UO_List[Qté Réception 02/2020]))</f>
        <v>0</v>
      </c>
      <c r="AK35" s="83">
        <f>SUMPRODUCT(1*(EXACT(CONCATENATE(Tableau1[[#This Row],[PO Number (Header)]],"-",Tableau1[[#This Row],[Line]]),UO_List[Unique_AIB_ID]))*(UO_List[Qté Réception 02/2020]))</f>
        <v>0</v>
      </c>
      <c r="AL35" s="357"/>
      <c r="AM35" s="351">
        <f>IFERROR(Tableau1[[#This Row],[Qté Facturé 02/2018]]*Tableau1[[#This Row],[Unit Price (calcul)]],"")</f>
        <v>0</v>
      </c>
      <c r="AN35" s="351" t="str">
        <f>IFERROR(IF(Tableau1[[#This Row],[Montant Facturé 02/2018]]&gt;0,Tableau1[[#This Row],[Montant Facturé 02/2018]]/Taux_Change_SII,""),"")</f>
        <v/>
      </c>
      <c r="AO35" s="351"/>
      <c r="AP35" s="83">
        <f>SUMPRODUCT(1*(EXACT(CONCATENATE(Tableau1[[#This Row],[PO Number (Header)]],"-",Tableau1[[#This Row],[Line]]),UO_List[Unique_AIB_ID]))*(UO_List[Qté Réception 00/2020]))</f>
        <v>0</v>
      </c>
      <c r="AQ35" s="84"/>
      <c r="AR35" s="357"/>
      <c r="AS35" s="351">
        <f>IFERROR(Tableau1[[#This Row],[Qté Facturé 03/2018]]*Tableau1[[#This Row],[Unit Price (calcul)]],"")</f>
        <v>0</v>
      </c>
      <c r="AT35" s="358" t="str">
        <f>IFERROR(IF(Tableau1[[#This Row],[Montant Facturé 03/2018]]&gt;0,Tableau1[[#This Row],[Montant Facturé 03/2018]]/Taux_Change_SII,""),"")</f>
        <v/>
      </c>
      <c r="AU35" s="351"/>
      <c r="AV35" s="83">
        <f>SUMPRODUCT(1*(EXACT(CONCATENATE(Tableau1[[#This Row],[PO Number (Header)]],"-",Tableau1[[#This Row],[Line]]),UO_List[Unique_AIB_ID]))*(UO_List[Qté Réception 04/2020]))</f>
        <v>0</v>
      </c>
      <c r="AW35" s="84">
        <v>0</v>
      </c>
      <c r="AX35" s="351"/>
      <c r="AY35" s="351">
        <f>IFERROR(Tableau1[[#This Row],[Qté Facturé 04/2018]]*Tableau1[[#This Row],[Unit Price (calcul)]],"")</f>
        <v>0</v>
      </c>
      <c r="AZ35" s="351" t="str">
        <f>IFERROR(IF(Tableau1[[#This Row],[Montant Facturé 04/2018]]&gt;0,Tableau1[[#This Row],[Montant Facturé 04/2018]]/Taux_Change_SII,""),"")</f>
        <v/>
      </c>
      <c r="BA35" s="351"/>
      <c r="BB35" s="83">
        <f>SUMPRODUCT(1*(EXACT(CONCATENATE(Tableau1[[#This Row],[PO Number (Header)]],"-",Tableau1[[#This Row],[Line]]),UO_List[Unique_AIB_ID]))*(UO_List[Qté Réception 05/2020]))</f>
        <v>0</v>
      </c>
      <c r="BC35" s="84">
        <v>0</v>
      </c>
      <c r="BD35" s="351"/>
      <c r="BE35" s="351">
        <f>IFERROR(Tableau1[[#This Row],[Qté Facturé 05/2018]]*Tableau1[[#This Row],[Unit Price (calcul)]],"")</f>
        <v>0</v>
      </c>
      <c r="BF35" s="351" t="str">
        <f>IFERROR(IF(Tableau1[[#This Row],[Montant Facturé 05/2018]]&gt;0,Tableau1[[#This Row],[Montant Facturé 05/2018]]/Taux_Change_SII,""),"")</f>
        <v/>
      </c>
      <c r="BG35" s="351"/>
      <c r="BH35" s="83">
        <f>SUMPRODUCT(1*(EXACT(CONCATENATE(Tableau1[[#This Row],[PO Number (Header)]],"-",Tableau1[[#This Row],[Line]]),UO_List[Unique_AIB_ID]))*(UO_List[Qté Réception 06/2020]))</f>
        <v>0</v>
      </c>
      <c r="BI35" s="84">
        <v>0</v>
      </c>
      <c r="BJ35" s="351"/>
      <c r="BK35" s="351">
        <f>IFERROR(Tableau1[[#This Row],[Qté Facturé 06/2018]]*Tableau1[[#This Row],[Unit Price (calcul)]],"")</f>
        <v>0</v>
      </c>
      <c r="BL35" s="351" t="str">
        <f>IFERROR(IF(Tableau1[[#This Row],[Montant Facturé 06/2018]]&gt;0,Tableau1[[#This Row],[Montant Facturé 06/2018]]/Taux_Change_SII,""),"")</f>
        <v/>
      </c>
      <c r="BM35" s="351"/>
      <c r="BN35" s="83">
        <f>SUMPRODUCT(1*(EXACT(CONCATENATE(Tableau1[[#This Row],[PO Number (Header)]],"-",Tableau1[[#This Row],[Line]]),UO_List[Unique_AIB_ID]))*(UO_List[Qté Réception 07/2020]))</f>
        <v>0</v>
      </c>
      <c r="BO35" s="84">
        <v>0</v>
      </c>
      <c r="BP35" s="351"/>
      <c r="BQ35" s="351">
        <f>IFERROR(Tableau1[[#This Row],[Qté Facturé 07/2018]]*Tableau1[[#This Row],[Unit Price (calcul)]],"")</f>
        <v>0</v>
      </c>
      <c r="BR35" s="351" t="str">
        <f>IFERROR(IF(Tableau1[[#This Row],[Montant Facturé 07/2018]]&gt;0,Tableau1[[#This Row],[Montant Facturé 07/2018]]/Taux_Change_SII,""),"")</f>
        <v/>
      </c>
      <c r="BS35" s="351"/>
      <c r="BT35" s="83">
        <f>SUMPRODUCT(1*(EXACT(CONCATENATE(Tableau1[[#This Row],[PO Number (Header)]],"-",Tableau1[[#This Row],[Line]]),UO_List[Unique_AIB_ID]))*(UO_List[Qté Réception 08/2020]))</f>
        <v>0</v>
      </c>
      <c r="BU35" s="84"/>
      <c r="BV35" s="351"/>
      <c r="BW35" s="351">
        <f>IFERROR(Tableau1[[#This Row],[Qté Facturé 08/2018]]*Tableau1[[#This Row],[Unit Price (calcul)]],"")</f>
        <v>0</v>
      </c>
      <c r="BX35" s="351" t="str">
        <f>IFERROR(IF(Tableau1[[#This Row],[Montant Facturé 08/2018]]&gt;0,Tableau1[[#This Row],[Montant Facturé 08/2018]]/Taux_Change_SII,""),"")</f>
        <v/>
      </c>
      <c r="BY35" s="351"/>
      <c r="BZ35" s="83">
        <f>SUMPRODUCT(1*(EXACT(CONCATENATE(Tableau1[[#This Row],[PO Number (Header)]],"-",Tableau1[[#This Row],[Line]]),UO_List[Unique_AIB_ID]))*(UO_List[Qté Réception 09/2020]))</f>
        <v>0</v>
      </c>
      <c r="CA35" s="84">
        <v>0</v>
      </c>
      <c r="CB35" s="351"/>
      <c r="CC35" s="351">
        <f>IFERROR(Tableau1[[#This Row],[Qté Facturé 09/2018]]*Tableau1[[#This Row],[Unit Price (calcul)]],"")</f>
        <v>0</v>
      </c>
      <c r="CD35" s="351" t="str">
        <f>IFERROR(IF(Tableau1[[#This Row],[Montant Facturé 09/2018]]&gt;0,Tableau1[[#This Row],[Montant Facturé 09/2018]]/Taux_Change_SII,""),"")</f>
        <v/>
      </c>
      <c r="CE35" s="351"/>
      <c r="CF35" s="83">
        <f>SUMPRODUCT(1*(EXACT(CONCATENATE(Tableau1[[#This Row],[PO Number (Header)]],"-",Tableau1[[#This Row],[Line]]),UO_List[Unique_AIB_ID]))*(UO_List[Qté Réception 10/2020]))</f>
        <v>0</v>
      </c>
      <c r="CG35" s="84">
        <v>0</v>
      </c>
      <c r="CH35" s="351"/>
      <c r="CI35" s="351">
        <f>IFERROR(Tableau1[[#This Row],[Qté Facturé 10/2018]]*Tableau1[[#This Row],[Unit Price (calcul)]],"")</f>
        <v>0</v>
      </c>
      <c r="CJ35" s="351" t="str">
        <f>IFERROR(IF(Tableau1[[#This Row],[Montant Facturé 10/2018]]&gt;0,Tableau1[[#This Row],[Montant Facturé 10/2018]]/Taux_Change_SII,""),"")</f>
        <v/>
      </c>
      <c r="CK35" s="351"/>
      <c r="CL35" s="83">
        <f>SUMPRODUCT(1*(EXACT(CONCATENATE(Tableau1[[#This Row],[PO Number (Header)]],"-",Tableau1[[#This Row],[Line]]),UO_List[Unique_AIB_ID]))*(UO_List[Qté Réception 11/2020]))</f>
        <v>0</v>
      </c>
      <c r="CM35" s="84"/>
      <c r="CN35" s="351"/>
      <c r="CO35" s="351">
        <f>IFERROR(Tableau1[[#This Row],[Qté Facturé 11/2018]]*Tableau1[[#This Row],[Unit Price (calcul)]],"")</f>
        <v>0</v>
      </c>
      <c r="CP35" s="351" t="str">
        <f>IFERROR(IF(Tableau1[[#This Row],[Montant Facturé 11/2018]]&gt;0,Tableau1[[#This Row],[Montant Facturé 11/2018]]/Taux_Change_SII,""),"")</f>
        <v/>
      </c>
      <c r="CQ35" s="351"/>
      <c r="CR35" s="83">
        <f>SUMPRODUCT(1*(EXACT(CONCATENATE(Tableau1[[#This Row],[PO Number (Header)]],"-",Tableau1[[#This Row],[Line]]),UO_List[Unique_AIB_ID]))*(UO_List[Qté Réception 12/2020]))</f>
        <v>0</v>
      </c>
      <c r="CS35" s="84"/>
      <c r="CT35" s="351"/>
      <c r="CU35" s="351">
        <f>IFERROR(Tableau1[[#This Row],[Qté Facturé 12/2018]]*Tableau1[[#This Row],[Unit Price (calcul)]],"")</f>
        <v>0</v>
      </c>
      <c r="CV35" s="351" t="str">
        <f>IFERROR(IF(Tableau1[[#This Row],[Montant Facturé 12/2018]]&gt;0,Tableau1[[#This Row],[Montant Facturé 12/2018]]/Taux_Change_SII,""),"")</f>
        <v/>
      </c>
      <c r="CW35" s="351"/>
      <c r="CX3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5</v>
      </c>
      <c r="CY3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5</v>
      </c>
      <c r="CZ3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5</v>
      </c>
      <c r="DA35" s="352">
        <f>IFERROR(Tableau1[[#This Row],[Total item réceptionné]]*Tableau1[[#This Row],[Unit Price (calcul)]],"")</f>
        <v>2800</v>
      </c>
      <c r="DB35" s="352">
        <f>IFERROR(Tableau1[[#This Row],[Total item à Facturer]]*Tableau1[[#This Row],[Unit Price (calcul)]],"")</f>
        <v>2800</v>
      </c>
      <c r="DC35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2800</v>
      </c>
      <c r="DD35" s="352">
        <f>IFERROR(Tableau1[[#This Row],[Line Total]]-Tableau1[[#This Row],[Total Price Réceptionné]],"")</f>
        <v>8400</v>
      </c>
      <c r="DE35" s="352">
        <f>IFERROR(Tableau1[[#This Row],[Total Price Réceptionné]]-Tableau1[[#This Row],[Total Price A facturer]],"")</f>
        <v>0</v>
      </c>
      <c r="DF35" s="353">
        <f>IFERROR(Tableau1[[#This Row],[Total Price A facturer]]-Tableau1[[#This Row],[Total Price Facturé]],"")</f>
        <v>0</v>
      </c>
      <c r="DG35" s="76">
        <f>Tableau1[[#This Row],[Total Item Quantity]]-Tableau1[[#This Row],[Total item réceptionné]]</f>
        <v>15</v>
      </c>
      <c r="DH35" s="169"/>
      <c r="DI35" s="167"/>
    </row>
    <row r="36" spans="1:113" s="116" customFormat="1" ht="13.5" customHeight="1">
      <c r="A36" s="160" t="str">
        <f>CONCATENATE(Tableau1[[#This Row],[PO Number (Header)]],"-",Tableau1[[#This Row],[Line]])</f>
        <v>C000489704-15</v>
      </c>
      <c r="B36" s="437" t="s">
        <v>913</v>
      </c>
      <c r="C36" s="437" t="s">
        <v>726</v>
      </c>
      <c r="D36" s="437" t="s">
        <v>802</v>
      </c>
      <c r="E36" s="437"/>
      <c r="F36" s="544">
        <v>15</v>
      </c>
      <c r="G36" s="437" t="s">
        <v>916</v>
      </c>
      <c r="H36" s="332">
        <v>2</v>
      </c>
      <c r="I36" s="383">
        <v>3370</v>
      </c>
      <c r="J36" s="437" t="s">
        <v>629</v>
      </c>
      <c r="K36" s="544">
        <v>0</v>
      </c>
      <c r="L36" s="437"/>
      <c r="M36" s="437"/>
      <c r="N36" s="437"/>
      <c r="O36" s="437"/>
      <c r="P36" s="438"/>
      <c r="Q36" s="479" t="s">
        <v>630</v>
      </c>
      <c r="R36" s="395">
        <v>0</v>
      </c>
      <c r="S36" s="437" t="s">
        <v>902</v>
      </c>
      <c r="T36" s="437"/>
      <c r="U36" s="437"/>
      <c r="V36" s="437" t="s">
        <v>727</v>
      </c>
      <c r="W36" s="436" t="s">
        <v>933</v>
      </c>
      <c r="X36" s="436" t="s">
        <v>915</v>
      </c>
      <c r="Y36" s="167">
        <f>IF(ISBLANK(Tableau1[[#This Row],[PO Number (Header)]]),"",Tableau1[[#This Row],[Line Total]]/Tableau1[[#This Row],[Total Item Quantity]])</f>
        <v>1685</v>
      </c>
      <c r="Z36" s="169" t="str">
        <f>IF(ISNA(VLOOKUP(Tableau1[[#This Row],[Unique_AIB_ID]],UO_List[Unique_AIB_ID],1,FALSE)),IF(ISBLANK(Tableau1[[#This Row],[PO Number (Header)]]),"","FAUX"),"VRAI")</f>
        <v>VRAI</v>
      </c>
      <c r="AA36" s="167" t="s">
        <v>634</v>
      </c>
      <c r="AB36" s="164" t="str">
        <f>VLOOKUP(Tableau1[[#This Row],[Unique_AIB_ID]],UO_List[[Unique_AIB_ID]:[OLGA F6]],3,FALSE)</f>
        <v>3173-10</v>
      </c>
      <c r="AC36" s="162" t="s">
        <v>993</v>
      </c>
      <c r="AD36" s="83">
        <f>SUMPRODUCT(1*(EXACT(CONCATENATE(Tableau1[[#This Row],[PO Number (Header)]],"-",Tableau1[[#This Row],[Line]]),UO_List[Unique_AIB_ID]))*(UO_List[Qté Réception 03/2020]))</f>
        <v>1</v>
      </c>
      <c r="AE36" s="84">
        <v>1</v>
      </c>
      <c r="AF36" s="84">
        <v>1</v>
      </c>
      <c r="AG36" s="351">
        <f>IFERROR(Tableau1[[#This Row],[Qté Facturé 01/2018]]*Tableau1[[#This Row],[Unit Price (calcul)]],"")</f>
        <v>1685</v>
      </c>
      <c r="AH36" s="356">
        <f>IFERROR(IF(Tableau1[[#This Row],[Montant Facturé 01/2018]]&gt;0,Tableau1[[#This Row],[Montant Facturé 01/2018]]/Taux_Change_SII,""),"")</f>
        <v>1248.148148148148</v>
      </c>
      <c r="AI36" s="351"/>
      <c r="AJ36" s="83">
        <f>SUMPRODUCT(1*(EXACT(CONCATENATE(Tableau1[[#This Row],[PO Number (Header)]],"-",Tableau1[[#This Row],[Line]]),UO_List[Unique_AIB_ID]))*(UO_List[Qté Réception 02/2020]))</f>
        <v>0</v>
      </c>
      <c r="AK36" s="83">
        <f>SUMPRODUCT(1*(EXACT(CONCATENATE(Tableau1[[#This Row],[PO Number (Header)]],"-",Tableau1[[#This Row],[Line]]),UO_List[Unique_AIB_ID]))*(UO_List[Qté Réception 02/2020]))</f>
        <v>0</v>
      </c>
      <c r="AL36" s="357"/>
      <c r="AM36" s="351">
        <f>IFERROR(Tableau1[[#This Row],[Qté Facturé 02/2018]]*Tableau1[[#This Row],[Unit Price (calcul)]],"")</f>
        <v>0</v>
      </c>
      <c r="AN36" s="351" t="str">
        <f>IFERROR(IF(Tableau1[[#This Row],[Montant Facturé 02/2018]]&gt;0,Tableau1[[#This Row],[Montant Facturé 02/2018]]/Taux_Change_SII,""),"")</f>
        <v/>
      </c>
      <c r="AO36" s="351"/>
      <c r="AP36" s="83">
        <f>SUMPRODUCT(1*(EXACT(CONCATENATE(Tableau1[[#This Row],[PO Number (Header)]],"-",Tableau1[[#This Row],[Line]]),UO_List[Unique_AIB_ID]))*(UO_List[Qté Réception 00/2020]))</f>
        <v>0</v>
      </c>
      <c r="AQ36" s="84"/>
      <c r="AR36" s="357"/>
      <c r="AS36" s="351">
        <f>IFERROR(Tableau1[[#This Row],[Qté Facturé 03/2018]]*Tableau1[[#This Row],[Unit Price (calcul)]],"")</f>
        <v>0</v>
      </c>
      <c r="AT36" s="358" t="str">
        <f>IFERROR(IF(Tableau1[[#This Row],[Montant Facturé 03/2018]]&gt;0,Tableau1[[#This Row],[Montant Facturé 03/2018]]/Taux_Change_SII,""),"")</f>
        <v/>
      </c>
      <c r="AU36" s="351"/>
      <c r="AV36" s="83">
        <f>SUMPRODUCT(1*(EXACT(CONCATENATE(Tableau1[[#This Row],[PO Number (Header)]],"-",Tableau1[[#This Row],[Line]]),UO_List[Unique_AIB_ID]))*(UO_List[Qté Réception 04/2020]))</f>
        <v>0</v>
      </c>
      <c r="AW36" s="84">
        <v>0</v>
      </c>
      <c r="AX36" s="351"/>
      <c r="AY36" s="351">
        <f>IFERROR(Tableau1[[#This Row],[Qté Facturé 04/2018]]*Tableau1[[#This Row],[Unit Price (calcul)]],"")</f>
        <v>0</v>
      </c>
      <c r="AZ36" s="351" t="str">
        <f>IFERROR(IF(Tableau1[[#This Row],[Montant Facturé 04/2018]]&gt;0,Tableau1[[#This Row],[Montant Facturé 04/2018]]/Taux_Change_SII,""),"")</f>
        <v/>
      </c>
      <c r="BA36" s="351"/>
      <c r="BB36" s="83">
        <f>SUMPRODUCT(1*(EXACT(CONCATENATE(Tableau1[[#This Row],[PO Number (Header)]],"-",Tableau1[[#This Row],[Line]]),UO_List[Unique_AIB_ID]))*(UO_List[Qté Réception 05/2020]))</f>
        <v>0</v>
      </c>
      <c r="BC36" s="84">
        <v>0</v>
      </c>
      <c r="BD36" s="351"/>
      <c r="BE36" s="351">
        <f>IFERROR(Tableau1[[#This Row],[Qté Facturé 05/2018]]*Tableau1[[#This Row],[Unit Price (calcul)]],"")</f>
        <v>0</v>
      </c>
      <c r="BF36" s="351" t="str">
        <f>IFERROR(IF(Tableau1[[#This Row],[Montant Facturé 05/2018]]&gt;0,Tableau1[[#This Row],[Montant Facturé 05/2018]]/Taux_Change_SII,""),"")</f>
        <v/>
      </c>
      <c r="BG36" s="351"/>
      <c r="BH36" s="83">
        <f>SUMPRODUCT(1*(EXACT(CONCATENATE(Tableau1[[#This Row],[PO Number (Header)]],"-",Tableau1[[#This Row],[Line]]),UO_List[Unique_AIB_ID]))*(UO_List[Qté Réception 06/2020]))</f>
        <v>0</v>
      </c>
      <c r="BI36" s="84">
        <v>0</v>
      </c>
      <c r="BJ36" s="351"/>
      <c r="BK36" s="351">
        <f>IFERROR(Tableau1[[#This Row],[Qté Facturé 06/2018]]*Tableau1[[#This Row],[Unit Price (calcul)]],"")</f>
        <v>0</v>
      </c>
      <c r="BL36" s="351" t="str">
        <f>IFERROR(IF(Tableau1[[#This Row],[Montant Facturé 06/2018]]&gt;0,Tableau1[[#This Row],[Montant Facturé 06/2018]]/Taux_Change_SII,""),"")</f>
        <v/>
      </c>
      <c r="BM36" s="351"/>
      <c r="BN36" s="83">
        <f>SUMPRODUCT(1*(EXACT(CONCATENATE(Tableau1[[#This Row],[PO Number (Header)]],"-",Tableau1[[#This Row],[Line]]),UO_List[Unique_AIB_ID]))*(UO_List[Qté Réception 07/2020]))</f>
        <v>0</v>
      </c>
      <c r="BO36" s="84">
        <v>0</v>
      </c>
      <c r="BP36" s="351"/>
      <c r="BQ36" s="351">
        <f>IFERROR(Tableau1[[#This Row],[Qté Facturé 07/2018]]*Tableau1[[#This Row],[Unit Price (calcul)]],"")</f>
        <v>0</v>
      </c>
      <c r="BR36" s="351" t="str">
        <f>IFERROR(IF(Tableau1[[#This Row],[Montant Facturé 07/2018]]&gt;0,Tableau1[[#This Row],[Montant Facturé 07/2018]]/Taux_Change_SII,""),"")</f>
        <v/>
      </c>
      <c r="BS36" s="351"/>
      <c r="BT36" s="83">
        <f>SUMPRODUCT(1*(EXACT(CONCATENATE(Tableau1[[#This Row],[PO Number (Header)]],"-",Tableau1[[#This Row],[Line]]),UO_List[Unique_AIB_ID]))*(UO_List[Qté Réception 08/2020]))</f>
        <v>0</v>
      </c>
      <c r="BU36" s="84"/>
      <c r="BV36" s="351"/>
      <c r="BW36" s="351">
        <f>IFERROR(Tableau1[[#This Row],[Qté Facturé 08/2018]]*Tableau1[[#This Row],[Unit Price (calcul)]],"")</f>
        <v>0</v>
      </c>
      <c r="BX36" s="351" t="str">
        <f>IFERROR(IF(Tableau1[[#This Row],[Montant Facturé 08/2018]]&gt;0,Tableau1[[#This Row],[Montant Facturé 08/2018]]/Taux_Change_SII,""),"")</f>
        <v/>
      </c>
      <c r="BY36" s="351"/>
      <c r="BZ36" s="83">
        <f>SUMPRODUCT(1*(EXACT(CONCATENATE(Tableau1[[#This Row],[PO Number (Header)]],"-",Tableau1[[#This Row],[Line]]),UO_List[Unique_AIB_ID]))*(UO_List[Qté Réception 09/2020]))</f>
        <v>0</v>
      </c>
      <c r="CA36" s="84">
        <v>0</v>
      </c>
      <c r="CB36" s="351"/>
      <c r="CC36" s="351">
        <f>IFERROR(Tableau1[[#This Row],[Qté Facturé 09/2018]]*Tableau1[[#This Row],[Unit Price (calcul)]],"")</f>
        <v>0</v>
      </c>
      <c r="CD36" s="351" t="str">
        <f>IFERROR(IF(Tableau1[[#This Row],[Montant Facturé 09/2018]]&gt;0,Tableau1[[#This Row],[Montant Facturé 09/2018]]/Taux_Change_SII,""),"")</f>
        <v/>
      </c>
      <c r="CE36" s="351"/>
      <c r="CF36" s="83">
        <f>SUMPRODUCT(1*(EXACT(CONCATENATE(Tableau1[[#This Row],[PO Number (Header)]],"-",Tableau1[[#This Row],[Line]]),UO_List[Unique_AIB_ID]))*(UO_List[Qté Réception 10/2020]))</f>
        <v>0</v>
      </c>
      <c r="CG36" s="84">
        <v>0</v>
      </c>
      <c r="CH36" s="351"/>
      <c r="CI36" s="351">
        <f>IFERROR(Tableau1[[#This Row],[Qté Facturé 10/2018]]*Tableau1[[#This Row],[Unit Price (calcul)]],"")</f>
        <v>0</v>
      </c>
      <c r="CJ36" s="351" t="str">
        <f>IFERROR(IF(Tableau1[[#This Row],[Montant Facturé 10/2018]]&gt;0,Tableau1[[#This Row],[Montant Facturé 10/2018]]/Taux_Change_SII,""),"")</f>
        <v/>
      </c>
      <c r="CK36" s="351"/>
      <c r="CL36" s="83">
        <f>SUMPRODUCT(1*(EXACT(CONCATENATE(Tableau1[[#This Row],[PO Number (Header)]],"-",Tableau1[[#This Row],[Line]]),UO_List[Unique_AIB_ID]))*(UO_List[Qté Réception 11/2020]))</f>
        <v>0</v>
      </c>
      <c r="CM36" s="84"/>
      <c r="CN36" s="351"/>
      <c r="CO36" s="351">
        <f>IFERROR(Tableau1[[#This Row],[Qté Facturé 11/2018]]*Tableau1[[#This Row],[Unit Price (calcul)]],"")</f>
        <v>0</v>
      </c>
      <c r="CP36" s="351" t="str">
        <f>IFERROR(IF(Tableau1[[#This Row],[Montant Facturé 11/2018]]&gt;0,Tableau1[[#This Row],[Montant Facturé 11/2018]]/Taux_Change_SII,""),"")</f>
        <v/>
      </c>
      <c r="CQ36" s="351"/>
      <c r="CR36" s="83">
        <f>SUMPRODUCT(1*(EXACT(CONCATENATE(Tableau1[[#This Row],[PO Number (Header)]],"-",Tableau1[[#This Row],[Line]]),UO_List[Unique_AIB_ID]))*(UO_List[Qté Réception 12/2020]))</f>
        <v>0</v>
      </c>
      <c r="CS36" s="84"/>
      <c r="CT36" s="351"/>
      <c r="CU36" s="351">
        <f>IFERROR(Tableau1[[#This Row],[Qté Facturé 12/2018]]*Tableau1[[#This Row],[Unit Price (calcul)]],"")</f>
        <v>0</v>
      </c>
      <c r="CV36" s="351" t="str">
        <f>IFERROR(IF(Tableau1[[#This Row],[Montant Facturé 12/2018]]&gt;0,Tableau1[[#This Row],[Montant Facturé 12/2018]]/Taux_Change_SII,""),"")</f>
        <v/>
      </c>
      <c r="CW36" s="351"/>
      <c r="CX3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3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3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36" s="352">
        <f>IFERROR(Tableau1[[#This Row],[Total item réceptionné]]*Tableau1[[#This Row],[Unit Price (calcul)]],"")</f>
        <v>1685</v>
      </c>
      <c r="DB36" s="352">
        <f>IFERROR(Tableau1[[#This Row],[Total item à Facturer]]*Tableau1[[#This Row],[Unit Price (calcul)]],"")</f>
        <v>1685</v>
      </c>
      <c r="DC36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1685</v>
      </c>
      <c r="DD36" s="352">
        <f>IFERROR(Tableau1[[#This Row],[Line Total]]-Tableau1[[#This Row],[Total Price Réceptionné]],"")</f>
        <v>1685</v>
      </c>
      <c r="DE36" s="352">
        <f>IFERROR(Tableau1[[#This Row],[Total Price Réceptionné]]-Tableau1[[#This Row],[Total Price A facturer]],"")</f>
        <v>0</v>
      </c>
      <c r="DF36" s="353">
        <f>IFERROR(Tableau1[[#This Row],[Total Price A facturer]]-Tableau1[[#This Row],[Total Price Facturé]],"")</f>
        <v>0</v>
      </c>
      <c r="DG36" s="76">
        <f>Tableau1[[#This Row],[Total Item Quantity]]-Tableau1[[#This Row],[Total item réceptionné]]</f>
        <v>1</v>
      </c>
      <c r="DH36" s="169"/>
      <c r="DI36" s="167"/>
    </row>
    <row r="37" spans="1:113" s="81" customFormat="1" ht="15" customHeight="1">
      <c r="A37" s="69" t="str">
        <f>CONCATENATE(Tableau1[[#This Row],[PO Number (Header)]],"-",Tableau1[[#This Row],[Line]])</f>
        <v>C000489704-16</v>
      </c>
      <c r="B37" s="493" t="s">
        <v>913</v>
      </c>
      <c r="C37" s="493" t="s">
        <v>726</v>
      </c>
      <c r="D37" s="493" t="s">
        <v>802</v>
      </c>
      <c r="E37" s="493"/>
      <c r="F37" s="175">
        <v>16</v>
      </c>
      <c r="G37" s="493" t="s">
        <v>934</v>
      </c>
      <c r="H37" s="332">
        <v>30</v>
      </c>
      <c r="I37" s="383">
        <v>16800</v>
      </c>
      <c r="J37" s="493" t="s">
        <v>629</v>
      </c>
      <c r="K37" s="175">
        <v>0</v>
      </c>
      <c r="L37" s="493"/>
      <c r="M37" s="493"/>
      <c r="O37" s="493"/>
      <c r="P37" s="493"/>
      <c r="Q37" s="480" t="s">
        <v>630</v>
      </c>
      <c r="R37" s="395">
        <v>0</v>
      </c>
      <c r="S37" s="493" t="s">
        <v>902</v>
      </c>
      <c r="U37" s="493"/>
      <c r="V37" s="493" t="s">
        <v>727</v>
      </c>
      <c r="W37" s="436" t="s">
        <v>935</v>
      </c>
      <c r="X37" s="436" t="s">
        <v>915</v>
      </c>
      <c r="Y37" s="167">
        <f>IF(ISBLANK(Tableau1[[#This Row],[PO Number (Header)]]),"",Tableau1[[#This Row],[Line Total]]/Tableau1[[#This Row],[Total Item Quantity]])</f>
        <v>560</v>
      </c>
      <c r="Z37" s="169" t="str">
        <f>IF(ISNA(VLOOKUP(Tableau1[[#This Row],[Unique_AIB_ID]],UO_List[Unique_AIB_ID],1,FALSE)),IF(ISBLANK(Tableau1[[#This Row],[PO Number (Header)]]),"","FAUX"),"VRAI")</f>
        <v>VRAI</v>
      </c>
      <c r="AA37" s="167" t="s">
        <v>634</v>
      </c>
      <c r="AB37" s="165" t="str">
        <f>VLOOKUP(Tableau1[[#This Row],[Unique_AIB_ID]],UO_List[[Unique_AIB_ID]:[OLGA F6]],3,FALSE)</f>
        <v>3173-10</v>
      </c>
      <c r="AC37" s="162" t="s">
        <v>993</v>
      </c>
      <c r="AD37" s="83">
        <f>SUMPRODUCT(1*(EXACT(CONCATENATE(Tableau1[[#This Row],[PO Number (Header)]],"-",Tableau1[[#This Row],[Line]]),UO_List[Unique_AIB_ID]))*(UO_List[Qté Réception 03/2020]))</f>
        <v>8</v>
      </c>
      <c r="AE37" s="84">
        <v>8</v>
      </c>
      <c r="AF37" s="84">
        <v>8</v>
      </c>
      <c r="AG37" s="351">
        <f>IFERROR(Tableau1[[#This Row],[Qté Facturé 01/2018]]*Tableau1[[#This Row],[Unit Price (calcul)]],"")</f>
        <v>4480</v>
      </c>
      <c r="AH37" s="356">
        <f>IFERROR(IF(Tableau1[[#This Row],[Montant Facturé 01/2018]]&gt;0,Tableau1[[#This Row],[Montant Facturé 01/2018]]/Taux_Change_SII,""),"")</f>
        <v>3318.5185185185182</v>
      </c>
      <c r="AI37" s="351"/>
      <c r="AJ37" s="83">
        <f>SUMPRODUCT(1*(EXACT(CONCATENATE(Tableau1[[#This Row],[PO Number (Header)]],"-",Tableau1[[#This Row],[Line]]),UO_List[Unique_AIB_ID]))*(UO_List[Qté Réception 02/2020]))</f>
        <v>0</v>
      </c>
      <c r="AK37" s="83">
        <f>SUMPRODUCT(1*(EXACT(CONCATENATE(Tableau1[[#This Row],[PO Number (Header)]],"-",Tableau1[[#This Row],[Line]]),UO_List[Unique_AIB_ID]))*(UO_List[Qté Réception 02/2020]))</f>
        <v>0</v>
      </c>
      <c r="AL37" s="357"/>
      <c r="AM37" s="351">
        <f>IFERROR(Tableau1[[#This Row],[Qté Facturé 02/2018]]*Tableau1[[#This Row],[Unit Price (calcul)]],"")</f>
        <v>0</v>
      </c>
      <c r="AN37" s="351" t="str">
        <f>IFERROR(IF(Tableau1[[#This Row],[Montant Facturé 02/2018]]&gt;0,Tableau1[[#This Row],[Montant Facturé 02/2018]]/Taux_Change_SII,""),"")</f>
        <v/>
      </c>
      <c r="AO37" s="351"/>
      <c r="AP37" s="83">
        <f>SUMPRODUCT(1*(EXACT(CONCATENATE(Tableau1[[#This Row],[PO Number (Header)]],"-",Tableau1[[#This Row],[Line]]),UO_List[Unique_AIB_ID]))*(UO_List[Qté Réception 00/2020]))</f>
        <v>0</v>
      </c>
      <c r="AQ37" s="84">
        <v>0</v>
      </c>
      <c r="AR37" s="357"/>
      <c r="AS37" s="357">
        <f>IFERROR(Tableau1[[#This Row],[Qté Facturé 03/2018]]*Tableau1[[#This Row],[Unit Price (calcul)]],"")</f>
        <v>0</v>
      </c>
      <c r="AT37" s="358" t="str">
        <f>IFERROR(IF(Tableau1[[#This Row],[Montant Facturé 03/2018]]&gt;0,Tableau1[[#This Row],[Montant Facturé 03/2018]]/Taux_Change_SII,""),"")</f>
        <v/>
      </c>
      <c r="AU37" s="351"/>
      <c r="AV37" s="83">
        <f>SUMPRODUCT(1*(EXACT(CONCATENATE(Tableau1[[#This Row],[PO Number (Header)]],"-",Tableau1[[#This Row],[Line]]),UO_List[Unique_AIB_ID]))*(UO_List[Qté Réception 04/2020]))</f>
        <v>0</v>
      </c>
      <c r="AW37" s="84">
        <v>0</v>
      </c>
      <c r="AX37" s="351"/>
      <c r="AY37" s="351">
        <f>IFERROR(Tableau1[[#This Row],[Qté Facturé 04/2018]]*Tableau1[[#This Row],[Unit Price (calcul)]],"")</f>
        <v>0</v>
      </c>
      <c r="AZ37" s="351" t="str">
        <f>IFERROR(IF(Tableau1[[#This Row],[Montant Facturé 04/2018]]&gt;0,Tableau1[[#This Row],[Montant Facturé 04/2018]]/Taux_Change_SII,""),"")</f>
        <v/>
      </c>
      <c r="BA37" s="351"/>
      <c r="BB37" s="83">
        <f>SUMPRODUCT(1*(EXACT(CONCATENATE(Tableau1[[#This Row],[PO Number (Header)]],"-",Tableau1[[#This Row],[Line]]),UO_List[Unique_AIB_ID]))*(UO_List[Qté Réception 05/2020]))</f>
        <v>0</v>
      </c>
      <c r="BC37" s="84"/>
      <c r="BD37" s="351"/>
      <c r="BE37" s="351">
        <f>IFERROR(Tableau1[[#This Row],[Qté Facturé 05/2018]]*Tableau1[[#This Row],[Unit Price (calcul)]],"")</f>
        <v>0</v>
      </c>
      <c r="BF37" s="351" t="str">
        <f>IFERROR(IF(Tableau1[[#This Row],[Montant Facturé 05/2018]]&gt;0,Tableau1[[#This Row],[Montant Facturé 05/2018]]/Taux_Change_SII,""),"")</f>
        <v/>
      </c>
      <c r="BG37" s="351"/>
      <c r="BH37" s="83">
        <f>SUMPRODUCT(1*(EXACT(CONCATENATE(Tableau1[[#This Row],[PO Number (Header)]],"-",Tableau1[[#This Row],[Line]]),UO_List[Unique_AIB_ID]))*(UO_List[Qté Réception 06/2020]))</f>
        <v>0</v>
      </c>
      <c r="BI37" s="84">
        <v>0</v>
      </c>
      <c r="BJ37" s="351"/>
      <c r="BK37" s="351">
        <f>IFERROR(Tableau1[[#This Row],[Qté Facturé 06/2018]]*Tableau1[[#This Row],[Unit Price (calcul)]],"")</f>
        <v>0</v>
      </c>
      <c r="BL37" s="351" t="str">
        <f>IFERROR(IF(Tableau1[[#This Row],[Montant Facturé 06/2018]]&gt;0,Tableau1[[#This Row],[Montant Facturé 06/2018]]/Taux_Change_SII,""),"")</f>
        <v/>
      </c>
      <c r="BM37" s="351"/>
      <c r="BN37" s="83">
        <f>SUMPRODUCT(1*(EXACT(CONCATENATE(Tableau1[[#This Row],[PO Number (Header)]],"-",Tableau1[[#This Row],[Line]]),UO_List[Unique_AIB_ID]))*(UO_List[Qté Réception 07/2020]))</f>
        <v>0</v>
      </c>
      <c r="BO37" s="84">
        <v>0</v>
      </c>
      <c r="BP37" s="351"/>
      <c r="BQ37" s="351">
        <f>IFERROR(Tableau1[[#This Row],[Qté Facturé 07/2018]]*Tableau1[[#This Row],[Unit Price (calcul)]],"")</f>
        <v>0</v>
      </c>
      <c r="BR37" s="351" t="str">
        <f>IFERROR(IF(Tableau1[[#This Row],[Montant Facturé 07/2018]]&gt;0,Tableau1[[#This Row],[Montant Facturé 07/2018]]/Taux_Change_SII,""),"")</f>
        <v/>
      </c>
      <c r="BS37" s="351"/>
      <c r="BT37" s="83">
        <f>SUMPRODUCT(1*(EXACT(CONCATENATE(Tableau1[[#This Row],[PO Number (Header)]],"-",Tableau1[[#This Row],[Line]]),UO_List[Unique_AIB_ID]))*(UO_List[Qté Réception 08/2020]))</f>
        <v>0</v>
      </c>
      <c r="BU37" s="84"/>
      <c r="BV37" s="351"/>
      <c r="BW37" s="351">
        <f>IFERROR(Tableau1[[#This Row],[Qté Facturé 08/2018]]*Tableau1[[#This Row],[Unit Price (calcul)]],"")</f>
        <v>0</v>
      </c>
      <c r="BX37" s="351" t="str">
        <f>IFERROR(IF(Tableau1[[#This Row],[Montant Facturé 08/2018]]&gt;0,Tableau1[[#This Row],[Montant Facturé 08/2018]]/Taux_Change_SII,""),"")</f>
        <v/>
      </c>
      <c r="BY37" s="351"/>
      <c r="BZ37" s="83">
        <f>SUMPRODUCT(1*(EXACT(CONCATENATE(Tableau1[[#This Row],[PO Number (Header)]],"-",Tableau1[[#This Row],[Line]]),UO_List[Unique_AIB_ID]))*(UO_List[Qté Réception 09/2020]))</f>
        <v>0</v>
      </c>
      <c r="CA37" s="84">
        <v>0</v>
      </c>
      <c r="CB37" s="351"/>
      <c r="CC37" s="351">
        <f>IFERROR(Tableau1[[#This Row],[Qté Facturé 09/2018]]*Tableau1[[#This Row],[Unit Price (calcul)]],"")</f>
        <v>0</v>
      </c>
      <c r="CD37" s="351" t="str">
        <f>IFERROR(IF(Tableau1[[#This Row],[Montant Facturé 09/2018]]&gt;0,Tableau1[[#This Row],[Montant Facturé 09/2018]]/Taux_Change_SII,""),"")</f>
        <v/>
      </c>
      <c r="CE37" s="351"/>
      <c r="CF37" s="83">
        <f>SUMPRODUCT(1*(EXACT(CONCATENATE(Tableau1[[#This Row],[PO Number (Header)]],"-",Tableau1[[#This Row],[Line]]),UO_List[Unique_AIB_ID]))*(UO_List[Qté Réception 10/2020]))</f>
        <v>0</v>
      </c>
      <c r="CG37" s="84">
        <v>0</v>
      </c>
      <c r="CH37" s="351"/>
      <c r="CI37" s="351">
        <f>IFERROR(Tableau1[[#This Row],[Qté Facturé 10/2018]]*Tableau1[[#This Row],[Unit Price (calcul)]],"")</f>
        <v>0</v>
      </c>
      <c r="CJ37" s="351" t="str">
        <f>IFERROR(IF(Tableau1[[#This Row],[Montant Facturé 10/2018]]&gt;0,Tableau1[[#This Row],[Montant Facturé 10/2018]]/Taux_Change_SII,""),"")</f>
        <v/>
      </c>
      <c r="CK37" s="351"/>
      <c r="CL37" s="83">
        <f>SUMPRODUCT(1*(EXACT(CONCATENATE(Tableau1[[#This Row],[PO Number (Header)]],"-",Tableau1[[#This Row],[Line]]),UO_List[Unique_AIB_ID]))*(UO_List[Qté Réception 11/2020]))</f>
        <v>0</v>
      </c>
      <c r="CM37" s="84"/>
      <c r="CN37" s="351"/>
      <c r="CO37" s="351">
        <f>IFERROR(Tableau1[[#This Row],[Qté Facturé 11/2018]]*Tableau1[[#This Row],[Unit Price (calcul)]],"")</f>
        <v>0</v>
      </c>
      <c r="CP37" s="351" t="str">
        <f>IFERROR(IF(Tableau1[[#This Row],[Montant Facturé 11/2018]]&gt;0,Tableau1[[#This Row],[Montant Facturé 11/2018]]/Taux_Change_SII,""),"")</f>
        <v/>
      </c>
      <c r="CQ37" s="351"/>
      <c r="CR37" s="83">
        <f>SUMPRODUCT(1*(EXACT(CONCATENATE(Tableau1[[#This Row],[PO Number (Header)]],"-",Tableau1[[#This Row],[Line]]),UO_List[Unique_AIB_ID]))*(UO_List[Qté Réception 12/2020]))</f>
        <v>0</v>
      </c>
      <c r="CS37" s="84"/>
      <c r="CT37" s="351"/>
      <c r="CU37" s="351">
        <f>IFERROR(Tableau1[[#This Row],[Qté Facturé 12/2018]]*Tableau1[[#This Row],[Unit Price (calcul)]],"")</f>
        <v>0</v>
      </c>
      <c r="CV37" s="351" t="str">
        <f>IFERROR(IF(Tableau1[[#This Row],[Montant Facturé 12/2018]]&gt;0,Tableau1[[#This Row],[Montant Facturé 12/2018]]/Taux_Change_SII,""),"")</f>
        <v/>
      </c>
      <c r="CW37" s="351"/>
      <c r="CX3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8</v>
      </c>
      <c r="CY3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8</v>
      </c>
      <c r="CZ3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8</v>
      </c>
      <c r="DA37" s="352">
        <f>IFERROR(Tableau1[[#This Row],[Total item réceptionné]]*Tableau1[[#This Row],[Unit Price (calcul)]],"")</f>
        <v>4480</v>
      </c>
      <c r="DB37" s="352">
        <f>IFERROR(Tableau1[[#This Row],[Total item à Facturer]]*Tableau1[[#This Row],[Unit Price (calcul)]],"")</f>
        <v>4480</v>
      </c>
      <c r="DC37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4480</v>
      </c>
      <c r="DD37" s="352">
        <f>IFERROR(Tableau1[[#This Row],[Line Total]]-Tableau1[[#This Row],[Total Price Réceptionné]],"")</f>
        <v>12320</v>
      </c>
      <c r="DE37" s="352">
        <f>IFERROR(Tableau1[[#This Row],[Total Price Réceptionné]]-Tableau1[[#This Row],[Total Price A facturer]],"")</f>
        <v>0</v>
      </c>
      <c r="DF37" s="353">
        <f>IFERROR(Tableau1[[#This Row],[Total Price A facturer]]-Tableau1[[#This Row],[Total Price Facturé]],"")</f>
        <v>0</v>
      </c>
      <c r="DG37" s="76">
        <f>Tableau1[[#This Row],[Total Item Quantity]]-Tableau1[[#This Row],[Total item réceptionné]]</f>
        <v>22</v>
      </c>
      <c r="DH37" s="170"/>
      <c r="DI37" s="167"/>
    </row>
    <row r="38" spans="1:113" s="81" customFormat="1" ht="15" customHeight="1">
      <c r="A38" s="69" t="str">
        <f>CONCATENATE(Tableau1[[#This Row],[PO Number (Header)]],"-",Tableau1[[#This Row],[Line]])</f>
        <v>C000489704-17</v>
      </c>
      <c r="B38" s="493" t="s">
        <v>913</v>
      </c>
      <c r="C38" s="493" t="s">
        <v>726</v>
      </c>
      <c r="D38" s="493" t="s">
        <v>802</v>
      </c>
      <c r="E38" s="493"/>
      <c r="F38" s="175">
        <v>17</v>
      </c>
      <c r="G38" s="493" t="s">
        <v>923</v>
      </c>
      <c r="H38" s="332">
        <v>20</v>
      </c>
      <c r="I38" s="383">
        <v>33700</v>
      </c>
      <c r="J38" s="493" t="s">
        <v>629</v>
      </c>
      <c r="K38" s="175">
        <v>0</v>
      </c>
      <c r="L38" s="493"/>
      <c r="M38" s="493"/>
      <c r="O38" s="493"/>
      <c r="P38" s="493"/>
      <c r="Q38" s="480" t="s">
        <v>630</v>
      </c>
      <c r="R38" s="395">
        <v>0</v>
      </c>
      <c r="S38" s="493" t="s">
        <v>902</v>
      </c>
      <c r="U38" s="493"/>
      <c r="V38" s="493" t="s">
        <v>727</v>
      </c>
      <c r="W38" s="436" t="s">
        <v>936</v>
      </c>
      <c r="X38" s="436" t="s">
        <v>915</v>
      </c>
      <c r="Y38" s="167">
        <f>IF(ISBLANK(Tableau1[[#This Row],[PO Number (Header)]]),"",Tableau1[[#This Row],[Line Total]]/Tableau1[[#This Row],[Total Item Quantity]])</f>
        <v>1685</v>
      </c>
      <c r="Z38" s="169" t="str">
        <f>IF(ISNA(VLOOKUP(Tableau1[[#This Row],[Unique_AIB_ID]],UO_List[Unique_AIB_ID],1,FALSE)),IF(ISBLANK(Tableau1[[#This Row],[PO Number (Header)]]),"","FAUX"),"VRAI")</f>
        <v>VRAI</v>
      </c>
      <c r="AA38" s="170"/>
      <c r="AB38" s="165" t="str">
        <f>VLOOKUP(Tableau1[[#This Row],[Unique_AIB_ID]],UO_List[[Unique_AIB_ID]:[OLGA F6]],3,FALSE)</f>
        <v>3173-10</v>
      </c>
      <c r="AC38" s="164" t="s">
        <v>777</v>
      </c>
      <c r="AD38" s="83">
        <f>SUMPRODUCT(1*(EXACT(CONCATENATE(Tableau1[[#This Row],[PO Number (Header)]],"-",Tableau1[[#This Row],[Line]]),UO_List[Unique_AIB_ID]))*(UO_List[Qté Réception 03/2020]))</f>
        <v>0</v>
      </c>
      <c r="AE38" s="84">
        <v>0</v>
      </c>
      <c r="AF38" s="357"/>
      <c r="AG38" s="351">
        <f>IFERROR(Tableau1[[#This Row],[Qté Facturé 01/2018]]*Tableau1[[#This Row],[Unit Price (calcul)]],"")</f>
        <v>0</v>
      </c>
      <c r="AH38" s="356" t="str">
        <f>IFERROR(IF(Tableau1[[#This Row],[Montant Facturé 01/2018]]&gt;0,Tableau1[[#This Row],[Montant Facturé 01/2018]]/Taux_Change_SII,""),"")</f>
        <v/>
      </c>
      <c r="AI38" s="351"/>
      <c r="AJ38" s="83">
        <f>SUMPRODUCT(1*(EXACT(CONCATENATE(Tableau1[[#This Row],[PO Number (Header)]],"-",Tableau1[[#This Row],[Line]]),UO_List[Unique_AIB_ID]))*(UO_List[Qté Réception 02/2020]))</f>
        <v>0</v>
      </c>
      <c r="AK38" s="83">
        <f>SUMPRODUCT(1*(EXACT(CONCATENATE(Tableau1[[#This Row],[PO Number (Header)]],"-",Tableau1[[#This Row],[Line]]),UO_List[Unique_AIB_ID]))*(UO_List[Qté Réception 02/2020]))</f>
        <v>0</v>
      </c>
      <c r="AL38" s="357"/>
      <c r="AM38" s="351">
        <f>IFERROR(Tableau1[[#This Row],[Qté Facturé 02/2018]]*Tableau1[[#This Row],[Unit Price (calcul)]],"")</f>
        <v>0</v>
      </c>
      <c r="AN38" s="351" t="str">
        <f>IFERROR(IF(Tableau1[[#This Row],[Montant Facturé 02/2018]]&gt;0,Tableau1[[#This Row],[Montant Facturé 02/2018]]/Taux_Change_SII,""),"")</f>
        <v/>
      </c>
      <c r="AO38" s="351"/>
      <c r="AP38" s="83">
        <f>SUMPRODUCT(1*(EXACT(CONCATENATE(Tableau1[[#This Row],[PO Number (Header)]],"-",Tableau1[[#This Row],[Line]]),UO_List[Unique_AIB_ID]))*(UO_List[Qté Réception 00/2020]))</f>
        <v>0</v>
      </c>
      <c r="AQ38" s="84">
        <v>0</v>
      </c>
      <c r="AR38" s="357"/>
      <c r="AS38" s="357">
        <f>IFERROR(Tableau1[[#This Row],[Qté Facturé 03/2018]]*Tableau1[[#This Row],[Unit Price (calcul)]],"")</f>
        <v>0</v>
      </c>
      <c r="AT38" s="358" t="str">
        <f>IFERROR(IF(Tableau1[[#This Row],[Montant Facturé 03/2018]]&gt;0,Tableau1[[#This Row],[Montant Facturé 03/2018]]/Taux_Change_SII,""),"")</f>
        <v/>
      </c>
      <c r="AU38" s="351"/>
      <c r="AV38" s="83">
        <f>SUMPRODUCT(1*(EXACT(CONCATENATE(Tableau1[[#This Row],[PO Number (Header)]],"-",Tableau1[[#This Row],[Line]]),UO_List[Unique_AIB_ID]))*(UO_List[Qté Réception 04/2020]))</f>
        <v>0</v>
      </c>
      <c r="AW38" s="84">
        <v>0</v>
      </c>
      <c r="AX38" s="351"/>
      <c r="AY38" s="351">
        <f>IFERROR(Tableau1[[#This Row],[Qté Facturé 04/2018]]*Tableau1[[#This Row],[Unit Price (calcul)]],"")</f>
        <v>0</v>
      </c>
      <c r="AZ38" s="351" t="str">
        <f>IFERROR(IF(Tableau1[[#This Row],[Montant Facturé 04/2018]]&gt;0,Tableau1[[#This Row],[Montant Facturé 04/2018]]/Taux_Change_SII,""),"")</f>
        <v/>
      </c>
      <c r="BA38" s="351"/>
      <c r="BB38" s="83">
        <f>SUMPRODUCT(1*(EXACT(CONCATENATE(Tableau1[[#This Row],[PO Number (Header)]],"-",Tableau1[[#This Row],[Line]]),UO_List[Unique_AIB_ID]))*(UO_List[Qté Réception 05/2020]))</f>
        <v>0</v>
      </c>
      <c r="BC38" s="84"/>
      <c r="BD38" s="351"/>
      <c r="BE38" s="351">
        <f>IFERROR(Tableau1[[#This Row],[Qté Facturé 05/2018]]*Tableau1[[#This Row],[Unit Price (calcul)]],"")</f>
        <v>0</v>
      </c>
      <c r="BF38" s="351" t="str">
        <f>IFERROR(IF(Tableau1[[#This Row],[Montant Facturé 05/2018]]&gt;0,Tableau1[[#This Row],[Montant Facturé 05/2018]]/Taux_Change_SII,""),"")</f>
        <v/>
      </c>
      <c r="BG38" s="351"/>
      <c r="BH38" s="83">
        <f>SUMPRODUCT(1*(EXACT(CONCATENATE(Tableau1[[#This Row],[PO Number (Header)]],"-",Tableau1[[#This Row],[Line]]),UO_List[Unique_AIB_ID]))*(UO_List[Qté Réception 06/2020]))</f>
        <v>0</v>
      </c>
      <c r="BI38" s="84">
        <v>0</v>
      </c>
      <c r="BJ38" s="351"/>
      <c r="BK38" s="351">
        <f>IFERROR(Tableau1[[#This Row],[Qté Facturé 06/2018]]*Tableau1[[#This Row],[Unit Price (calcul)]],"")</f>
        <v>0</v>
      </c>
      <c r="BL38" s="351" t="str">
        <f>IFERROR(IF(Tableau1[[#This Row],[Montant Facturé 06/2018]]&gt;0,Tableau1[[#This Row],[Montant Facturé 06/2018]]/Taux_Change_SII,""),"")</f>
        <v/>
      </c>
      <c r="BM38" s="351"/>
      <c r="BN38" s="83">
        <f>SUMPRODUCT(1*(EXACT(CONCATENATE(Tableau1[[#This Row],[PO Number (Header)]],"-",Tableau1[[#This Row],[Line]]),UO_List[Unique_AIB_ID]))*(UO_List[Qté Réception 07/2020]))</f>
        <v>0</v>
      </c>
      <c r="BO38" s="84">
        <v>0</v>
      </c>
      <c r="BP38" s="351"/>
      <c r="BQ38" s="351">
        <f>IFERROR(Tableau1[[#This Row],[Qté Facturé 07/2018]]*Tableau1[[#This Row],[Unit Price (calcul)]],"")</f>
        <v>0</v>
      </c>
      <c r="BR38" s="351" t="str">
        <f>IFERROR(IF(Tableau1[[#This Row],[Montant Facturé 07/2018]]&gt;0,Tableau1[[#This Row],[Montant Facturé 07/2018]]/Taux_Change_SII,""),"")</f>
        <v/>
      </c>
      <c r="BS38" s="351"/>
      <c r="BT38" s="83">
        <f>SUMPRODUCT(1*(EXACT(CONCATENATE(Tableau1[[#This Row],[PO Number (Header)]],"-",Tableau1[[#This Row],[Line]]),UO_List[Unique_AIB_ID]))*(UO_List[Qté Réception 08/2020]))</f>
        <v>0</v>
      </c>
      <c r="BU38" s="84"/>
      <c r="BV38" s="351"/>
      <c r="BW38" s="351">
        <f>IFERROR(Tableau1[[#This Row],[Qté Facturé 08/2018]]*Tableau1[[#This Row],[Unit Price (calcul)]],"")</f>
        <v>0</v>
      </c>
      <c r="BX38" s="351" t="str">
        <f>IFERROR(IF(Tableau1[[#This Row],[Montant Facturé 08/2018]]&gt;0,Tableau1[[#This Row],[Montant Facturé 08/2018]]/Taux_Change_SII,""),"")</f>
        <v/>
      </c>
      <c r="BY38" s="351"/>
      <c r="BZ38" s="83">
        <f>SUMPRODUCT(1*(EXACT(CONCATENATE(Tableau1[[#This Row],[PO Number (Header)]],"-",Tableau1[[#This Row],[Line]]),UO_List[Unique_AIB_ID]))*(UO_List[Qté Réception 09/2020]))</f>
        <v>0</v>
      </c>
      <c r="CA38" s="84">
        <v>0</v>
      </c>
      <c r="CB38" s="351"/>
      <c r="CC38" s="351">
        <f>IFERROR(Tableau1[[#This Row],[Qté Facturé 09/2018]]*Tableau1[[#This Row],[Unit Price (calcul)]],"")</f>
        <v>0</v>
      </c>
      <c r="CD38" s="351" t="str">
        <f>IFERROR(IF(Tableau1[[#This Row],[Montant Facturé 09/2018]]&gt;0,Tableau1[[#This Row],[Montant Facturé 09/2018]]/Taux_Change_SII,""),"")</f>
        <v/>
      </c>
      <c r="CE38" s="351"/>
      <c r="CF38" s="83">
        <f>SUMPRODUCT(1*(EXACT(CONCATENATE(Tableau1[[#This Row],[PO Number (Header)]],"-",Tableau1[[#This Row],[Line]]),UO_List[Unique_AIB_ID]))*(UO_List[Qté Réception 10/2020]))</f>
        <v>0</v>
      </c>
      <c r="CG38" s="84">
        <v>0</v>
      </c>
      <c r="CH38" s="351"/>
      <c r="CI38" s="351">
        <f>IFERROR(Tableau1[[#This Row],[Qté Facturé 10/2018]]*Tableau1[[#This Row],[Unit Price (calcul)]],"")</f>
        <v>0</v>
      </c>
      <c r="CJ38" s="351" t="str">
        <f>IFERROR(IF(Tableau1[[#This Row],[Montant Facturé 10/2018]]&gt;0,Tableau1[[#This Row],[Montant Facturé 10/2018]]/Taux_Change_SII,""),"")</f>
        <v/>
      </c>
      <c r="CK38" s="351"/>
      <c r="CL38" s="83">
        <f>SUMPRODUCT(1*(EXACT(CONCATENATE(Tableau1[[#This Row],[PO Number (Header)]],"-",Tableau1[[#This Row],[Line]]),UO_List[Unique_AIB_ID]))*(UO_List[Qté Réception 11/2020]))</f>
        <v>0</v>
      </c>
      <c r="CM38" s="84"/>
      <c r="CN38" s="351"/>
      <c r="CO38" s="351">
        <f>IFERROR(Tableau1[[#This Row],[Qté Facturé 11/2018]]*Tableau1[[#This Row],[Unit Price (calcul)]],"")</f>
        <v>0</v>
      </c>
      <c r="CP38" s="351" t="str">
        <f>IFERROR(IF(Tableau1[[#This Row],[Montant Facturé 11/2018]]&gt;0,Tableau1[[#This Row],[Montant Facturé 11/2018]]/Taux_Change_SII,""),"")</f>
        <v/>
      </c>
      <c r="CQ38" s="351"/>
      <c r="CR38" s="83">
        <f>SUMPRODUCT(1*(EXACT(CONCATENATE(Tableau1[[#This Row],[PO Number (Header)]],"-",Tableau1[[#This Row],[Line]]),UO_List[Unique_AIB_ID]))*(UO_List[Qté Réception 12/2020]))</f>
        <v>0</v>
      </c>
      <c r="CS38" s="84"/>
      <c r="CT38" s="351"/>
      <c r="CU38" s="351">
        <f>IFERROR(Tableau1[[#This Row],[Qté Facturé 12/2018]]*Tableau1[[#This Row],[Unit Price (calcul)]],"")</f>
        <v>0</v>
      </c>
      <c r="CV38" s="351" t="str">
        <f>IFERROR(IF(Tableau1[[#This Row],[Montant Facturé 12/2018]]&gt;0,Tableau1[[#This Row],[Montant Facturé 12/2018]]/Taux_Change_SII,""),"")</f>
        <v/>
      </c>
      <c r="CW38" s="351"/>
      <c r="CX3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3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3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38" s="352">
        <f>IFERROR(Tableau1[[#This Row],[Total item réceptionné]]*Tableau1[[#This Row],[Unit Price (calcul)]],"")</f>
        <v>0</v>
      </c>
      <c r="DB38" s="352">
        <f>IFERROR(Tableau1[[#This Row],[Total item à Facturer]]*Tableau1[[#This Row],[Unit Price (calcul)]],"")</f>
        <v>0</v>
      </c>
      <c r="DC38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38" s="352">
        <f>IFERROR(Tableau1[[#This Row],[Line Total]]-Tableau1[[#This Row],[Total Price Réceptionné]],"")</f>
        <v>33700</v>
      </c>
      <c r="DE38" s="352">
        <f>IFERROR(Tableau1[[#This Row],[Total Price Réceptionné]]-Tableau1[[#This Row],[Total Price A facturer]],"")</f>
        <v>0</v>
      </c>
      <c r="DF38" s="353">
        <f>IFERROR(Tableau1[[#This Row],[Total Price A facturer]]-Tableau1[[#This Row],[Total Price Facturé]],"")</f>
        <v>0</v>
      </c>
      <c r="DG38" s="76">
        <f>Tableau1[[#This Row],[Total Item Quantity]]-Tableau1[[#This Row],[Total item réceptionné]]</f>
        <v>20</v>
      </c>
      <c r="DH38" s="170"/>
      <c r="DI38" s="167"/>
    </row>
    <row r="39" spans="1:113" s="116" customFormat="1">
      <c r="A39" s="160" t="str">
        <f>CONCATENATE(Tableau1[[#This Row],[PO Number (Header)]],"-",Tableau1[[#This Row],[Line]])</f>
        <v>C000489704-18</v>
      </c>
      <c r="B39" s="493" t="s">
        <v>913</v>
      </c>
      <c r="C39" s="493" t="s">
        <v>726</v>
      </c>
      <c r="D39" s="493" t="s">
        <v>802</v>
      </c>
      <c r="E39" s="493"/>
      <c r="F39" s="175">
        <v>18</v>
      </c>
      <c r="G39" s="493" t="s">
        <v>916</v>
      </c>
      <c r="H39" s="332">
        <v>2</v>
      </c>
      <c r="I39" s="383">
        <v>3370</v>
      </c>
      <c r="J39" s="493" t="s">
        <v>629</v>
      </c>
      <c r="K39" s="175">
        <v>0</v>
      </c>
      <c r="L39" s="493"/>
      <c r="M39" s="493"/>
      <c r="N39" s="493"/>
      <c r="O39" s="493"/>
      <c r="P39" s="493"/>
      <c r="Q39" s="480" t="s">
        <v>630</v>
      </c>
      <c r="R39" s="395">
        <v>0</v>
      </c>
      <c r="S39" s="493" t="s">
        <v>902</v>
      </c>
      <c r="T39" s="493"/>
      <c r="U39" s="493"/>
      <c r="V39" s="493" t="s">
        <v>727</v>
      </c>
      <c r="W39" s="436" t="s">
        <v>937</v>
      </c>
      <c r="X39" s="436" t="s">
        <v>915</v>
      </c>
      <c r="Y39" s="167">
        <f>IF(ISBLANK(Tableau1[[#This Row],[PO Number (Header)]]),"",Tableau1[[#This Row],[Line Total]]/Tableau1[[#This Row],[Total Item Quantity]])</f>
        <v>1685</v>
      </c>
      <c r="Z39" s="169" t="str">
        <f>IF(ISNA(VLOOKUP(Tableau1[[#This Row],[Unique_AIB_ID]],UO_List[Unique_AIB_ID],1,FALSE)),IF(ISBLANK(Tableau1[[#This Row],[PO Number (Header)]]),"","FAUX"),"VRAI")</f>
        <v>VRAI</v>
      </c>
      <c r="AA39" s="167" t="s">
        <v>634</v>
      </c>
      <c r="AB39" s="164" t="str">
        <f>VLOOKUP(Tableau1[[#This Row],[Unique_AIB_ID]],UO_List[[Unique_AIB_ID]:[OLGA F6]],3,FALSE)</f>
        <v>3173-10</v>
      </c>
      <c r="AC39" s="162" t="s">
        <v>993</v>
      </c>
      <c r="AD39" s="83">
        <f>SUMPRODUCT(1*(EXACT(CONCATENATE(Tableau1[[#This Row],[PO Number (Header)]],"-",Tableau1[[#This Row],[Line]]),UO_List[Unique_AIB_ID]))*(UO_List[Qté Réception 03/2020]))</f>
        <v>1</v>
      </c>
      <c r="AE39" s="84">
        <v>1</v>
      </c>
      <c r="AF39" s="84">
        <v>1</v>
      </c>
      <c r="AG39" s="351">
        <f>IFERROR(Tableau1[[#This Row],[Qté Facturé 01/2018]]*Tableau1[[#This Row],[Unit Price (calcul)]],"")</f>
        <v>1685</v>
      </c>
      <c r="AH39" s="356">
        <f>IFERROR(IF(Tableau1[[#This Row],[Montant Facturé 01/2018]]&gt;0,Tableau1[[#This Row],[Montant Facturé 01/2018]]/Taux_Change_SII,""),"")</f>
        <v>1248.148148148148</v>
      </c>
      <c r="AI39" s="351"/>
      <c r="AJ39" s="83">
        <f>SUMPRODUCT(1*(EXACT(CONCATENATE(Tableau1[[#This Row],[PO Number (Header)]],"-",Tableau1[[#This Row],[Line]]),UO_List[Unique_AIB_ID]))*(UO_List[Qté Réception 02/2020]))</f>
        <v>0</v>
      </c>
      <c r="AK39" s="83">
        <f>SUMPRODUCT(1*(EXACT(CONCATENATE(Tableau1[[#This Row],[PO Number (Header)]],"-",Tableau1[[#This Row],[Line]]),UO_List[Unique_AIB_ID]))*(UO_List[Qté Réception 02/2020]))</f>
        <v>0</v>
      </c>
      <c r="AL39" s="357"/>
      <c r="AM39" s="351">
        <f>IFERROR(Tableau1[[#This Row],[Qté Facturé 02/2018]]*Tableau1[[#This Row],[Unit Price (calcul)]],"")</f>
        <v>0</v>
      </c>
      <c r="AN39" s="351" t="str">
        <f>IFERROR(IF(Tableau1[[#This Row],[Montant Facturé 02/2018]]&gt;0,Tableau1[[#This Row],[Montant Facturé 02/2018]]/Taux_Change_SII,""),"")</f>
        <v/>
      </c>
      <c r="AO39" s="351"/>
      <c r="AP39" s="83">
        <f>SUMPRODUCT(1*(EXACT(CONCATENATE(Tableau1[[#This Row],[PO Number (Header)]],"-",Tableau1[[#This Row],[Line]]),UO_List[Unique_AIB_ID]))*(UO_List[Qté Réception 00/2020]))</f>
        <v>0</v>
      </c>
      <c r="AQ39" s="84">
        <v>0</v>
      </c>
      <c r="AR39" s="357"/>
      <c r="AS39" s="357">
        <f>IFERROR(Tableau1[[#This Row],[Qté Facturé 03/2018]]*Tableau1[[#This Row],[Unit Price (calcul)]],"")</f>
        <v>0</v>
      </c>
      <c r="AT39" s="358" t="str">
        <f>IFERROR(IF(Tableau1[[#This Row],[Montant Facturé 03/2018]]&gt;0,Tableau1[[#This Row],[Montant Facturé 03/2018]]/Taux_Change_SII,""),"")</f>
        <v/>
      </c>
      <c r="AU39" s="351"/>
      <c r="AV39" s="83">
        <f>SUMPRODUCT(1*(EXACT(CONCATENATE(Tableau1[[#This Row],[PO Number (Header)]],"-",Tableau1[[#This Row],[Line]]),UO_List[Unique_AIB_ID]))*(UO_List[Qté Réception 04/2020]))</f>
        <v>0</v>
      </c>
      <c r="AW39" s="84">
        <v>0</v>
      </c>
      <c r="AX39" s="351"/>
      <c r="AY39" s="351">
        <f>IFERROR(Tableau1[[#This Row],[Qté Facturé 04/2018]]*Tableau1[[#This Row],[Unit Price (calcul)]],"")</f>
        <v>0</v>
      </c>
      <c r="AZ39" s="351" t="str">
        <f>IFERROR(IF(Tableau1[[#This Row],[Montant Facturé 04/2018]]&gt;0,Tableau1[[#This Row],[Montant Facturé 04/2018]]/Taux_Change_SII,""),"")</f>
        <v/>
      </c>
      <c r="BA39" s="351"/>
      <c r="BB39" s="83">
        <f>SUMPRODUCT(1*(EXACT(CONCATENATE(Tableau1[[#This Row],[PO Number (Header)]],"-",Tableau1[[#This Row],[Line]]),UO_List[Unique_AIB_ID]))*(UO_List[Qté Réception 05/2020]))</f>
        <v>0</v>
      </c>
      <c r="BC39" s="84"/>
      <c r="BD39" s="351"/>
      <c r="BE39" s="351">
        <f>IFERROR(Tableau1[[#This Row],[Qté Facturé 05/2018]]*Tableau1[[#This Row],[Unit Price (calcul)]],"")</f>
        <v>0</v>
      </c>
      <c r="BF39" s="351" t="str">
        <f>IFERROR(IF(Tableau1[[#This Row],[Montant Facturé 05/2018]]&gt;0,Tableau1[[#This Row],[Montant Facturé 05/2018]]/Taux_Change_SII,""),"")</f>
        <v/>
      </c>
      <c r="BG39" s="351"/>
      <c r="BH39" s="83">
        <f>SUMPRODUCT(1*(EXACT(CONCATENATE(Tableau1[[#This Row],[PO Number (Header)]],"-",Tableau1[[#This Row],[Line]]),UO_List[Unique_AIB_ID]))*(UO_List[Qté Réception 06/2020]))</f>
        <v>0</v>
      </c>
      <c r="BI39" s="84">
        <v>0</v>
      </c>
      <c r="BJ39" s="351"/>
      <c r="BK39" s="351">
        <f>IFERROR(Tableau1[[#This Row],[Qté Facturé 06/2018]]*Tableau1[[#This Row],[Unit Price (calcul)]],"")</f>
        <v>0</v>
      </c>
      <c r="BL39" s="351" t="str">
        <f>IFERROR(IF(Tableau1[[#This Row],[Montant Facturé 06/2018]]&gt;0,Tableau1[[#This Row],[Montant Facturé 06/2018]]/Taux_Change_SII,""),"")</f>
        <v/>
      </c>
      <c r="BM39" s="351"/>
      <c r="BN39" s="83">
        <f>SUMPRODUCT(1*(EXACT(CONCATENATE(Tableau1[[#This Row],[PO Number (Header)]],"-",Tableau1[[#This Row],[Line]]),UO_List[Unique_AIB_ID]))*(UO_List[Qté Réception 07/2020]))</f>
        <v>0</v>
      </c>
      <c r="BO39" s="84">
        <v>0</v>
      </c>
      <c r="BP39" s="351"/>
      <c r="BQ39" s="351">
        <f>IFERROR(Tableau1[[#This Row],[Qté Facturé 07/2018]]*Tableau1[[#This Row],[Unit Price (calcul)]],"")</f>
        <v>0</v>
      </c>
      <c r="BR39" s="351" t="str">
        <f>IFERROR(IF(Tableau1[[#This Row],[Montant Facturé 07/2018]]&gt;0,Tableau1[[#This Row],[Montant Facturé 07/2018]]/Taux_Change_SII,""),"")</f>
        <v/>
      </c>
      <c r="BS39" s="351"/>
      <c r="BT39" s="83">
        <f>SUMPRODUCT(1*(EXACT(CONCATENATE(Tableau1[[#This Row],[PO Number (Header)]],"-",Tableau1[[#This Row],[Line]]),UO_List[Unique_AIB_ID]))*(UO_List[Qté Réception 08/2020]))</f>
        <v>0</v>
      </c>
      <c r="BU39" s="84"/>
      <c r="BV39" s="351"/>
      <c r="BW39" s="351">
        <f>IFERROR(Tableau1[[#This Row],[Qté Facturé 08/2018]]*Tableau1[[#This Row],[Unit Price (calcul)]],"")</f>
        <v>0</v>
      </c>
      <c r="BX39" s="351" t="str">
        <f>IFERROR(IF(Tableau1[[#This Row],[Montant Facturé 08/2018]]&gt;0,Tableau1[[#This Row],[Montant Facturé 08/2018]]/Taux_Change_SII,""),"")</f>
        <v/>
      </c>
      <c r="BY39" s="351"/>
      <c r="BZ39" s="83">
        <f>SUMPRODUCT(1*(EXACT(CONCATENATE(Tableau1[[#This Row],[PO Number (Header)]],"-",Tableau1[[#This Row],[Line]]),UO_List[Unique_AIB_ID]))*(UO_List[Qté Réception 09/2020]))</f>
        <v>0</v>
      </c>
      <c r="CA39" s="84">
        <v>0</v>
      </c>
      <c r="CB39" s="351"/>
      <c r="CC39" s="351">
        <f>IFERROR(Tableau1[[#This Row],[Qté Facturé 09/2018]]*Tableau1[[#This Row],[Unit Price (calcul)]],"")</f>
        <v>0</v>
      </c>
      <c r="CD39" s="351" t="str">
        <f>IFERROR(IF(Tableau1[[#This Row],[Montant Facturé 09/2018]]&gt;0,Tableau1[[#This Row],[Montant Facturé 09/2018]]/Taux_Change_SII,""),"")</f>
        <v/>
      </c>
      <c r="CE39" s="351"/>
      <c r="CF39" s="83">
        <f>SUMPRODUCT(1*(EXACT(CONCATENATE(Tableau1[[#This Row],[PO Number (Header)]],"-",Tableau1[[#This Row],[Line]]),UO_List[Unique_AIB_ID]))*(UO_List[Qté Réception 10/2020]))</f>
        <v>0</v>
      </c>
      <c r="CG39" s="84">
        <v>0</v>
      </c>
      <c r="CH39" s="351"/>
      <c r="CI39" s="351">
        <f>IFERROR(Tableau1[[#This Row],[Qté Facturé 10/2018]]*Tableau1[[#This Row],[Unit Price (calcul)]],"")</f>
        <v>0</v>
      </c>
      <c r="CJ39" s="351" t="str">
        <f>IFERROR(IF(Tableau1[[#This Row],[Montant Facturé 10/2018]]&gt;0,Tableau1[[#This Row],[Montant Facturé 10/2018]]/Taux_Change_SII,""),"")</f>
        <v/>
      </c>
      <c r="CK39" s="351"/>
      <c r="CL39" s="83">
        <f>SUMPRODUCT(1*(EXACT(CONCATENATE(Tableau1[[#This Row],[PO Number (Header)]],"-",Tableau1[[#This Row],[Line]]),UO_List[Unique_AIB_ID]))*(UO_List[Qté Réception 11/2020]))</f>
        <v>0</v>
      </c>
      <c r="CM39" s="84"/>
      <c r="CN39" s="351"/>
      <c r="CO39" s="351">
        <f>IFERROR(Tableau1[[#This Row],[Qté Facturé 11/2018]]*Tableau1[[#This Row],[Unit Price (calcul)]],"")</f>
        <v>0</v>
      </c>
      <c r="CP39" s="351" t="str">
        <f>IFERROR(IF(Tableau1[[#This Row],[Montant Facturé 11/2018]]&gt;0,Tableau1[[#This Row],[Montant Facturé 11/2018]]/Taux_Change_SII,""),"")</f>
        <v/>
      </c>
      <c r="CQ39" s="351"/>
      <c r="CR39" s="83">
        <f>SUMPRODUCT(1*(EXACT(CONCATENATE(Tableau1[[#This Row],[PO Number (Header)]],"-",Tableau1[[#This Row],[Line]]),UO_List[Unique_AIB_ID]))*(UO_List[Qté Réception 12/2020]))</f>
        <v>0</v>
      </c>
      <c r="CS39" s="84"/>
      <c r="CT39" s="351"/>
      <c r="CU39" s="351">
        <f>IFERROR(Tableau1[[#This Row],[Qté Facturé 12/2018]]*Tableau1[[#This Row],[Unit Price (calcul)]],"")</f>
        <v>0</v>
      </c>
      <c r="CV39" s="351" t="str">
        <f>IFERROR(IF(Tableau1[[#This Row],[Montant Facturé 12/2018]]&gt;0,Tableau1[[#This Row],[Montant Facturé 12/2018]]/Taux_Change_SII,""),"")</f>
        <v/>
      </c>
      <c r="CW39" s="351"/>
      <c r="CX3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3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3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39" s="352">
        <f>IFERROR(Tableau1[[#This Row],[Total item réceptionné]]*Tableau1[[#This Row],[Unit Price (calcul)]],"")</f>
        <v>1685</v>
      </c>
      <c r="DB39" s="352">
        <f>IFERROR(Tableau1[[#This Row],[Total item à Facturer]]*Tableau1[[#This Row],[Unit Price (calcul)]],"")</f>
        <v>1685</v>
      </c>
      <c r="DC39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1685</v>
      </c>
      <c r="DD39" s="352">
        <f>IFERROR(Tableau1[[#This Row],[Line Total]]-Tableau1[[#This Row],[Total Price Réceptionné]],"")</f>
        <v>1685</v>
      </c>
      <c r="DE39" s="352">
        <f>IFERROR(Tableau1[[#This Row],[Total Price Réceptionné]]-Tableau1[[#This Row],[Total Price A facturer]],"")</f>
        <v>0</v>
      </c>
      <c r="DF39" s="353">
        <f>IFERROR(Tableau1[[#This Row],[Total Price A facturer]]-Tableau1[[#This Row],[Total Price Facturé]],"")</f>
        <v>0</v>
      </c>
      <c r="DG39" s="76">
        <f>Tableau1[[#This Row],[Total Item Quantity]]-Tableau1[[#This Row],[Total item réceptionné]]</f>
        <v>1</v>
      </c>
      <c r="DH39" s="169"/>
      <c r="DI39" s="167"/>
    </row>
    <row r="40" spans="1:113" s="116" customFormat="1">
      <c r="A40" s="160" t="str">
        <f>CONCATENATE(Tableau1[[#This Row],[PO Number (Header)]],"-",Tableau1[[#This Row],[Line]])</f>
        <v>C000498080-1</v>
      </c>
      <c r="B40" s="493" t="s">
        <v>938</v>
      </c>
      <c r="C40" s="493" t="s">
        <v>726</v>
      </c>
      <c r="D40" s="493" t="s">
        <v>802</v>
      </c>
      <c r="E40" s="493"/>
      <c r="F40" s="175">
        <v>1</v>
      </c>
      <c r="G40" s="493" t="s">
        <v>939</v>
      </c>
      <c r="H40" s="332">
        <v>1</v>
      </c>
      <c r="I40" s="383">
        <v>10120</v>
      </c>
      <c r="J40" s="493" t="s">
        <v>629</v>
      </c>
      <c r="K40" s="175">
        <v>0</v>
      </c>
      <c r="L40" s="493"/>
      <c r="M40" s="493"/>
      <c r="N40" s="493"/>
      <c r="O40" s="493"/>
      <c r="P40" s="493"/>
      <c r="Q40" s="480" t="s">
        <v>630</v>
      </c>
      <c r="R40" s="395">
        <v>0</v>
      </c>
      <c r="S40" s="493" t="s">
        <v>902</v>
      </c>
      <c r="T40" s="493"/>
      <c r="U40" s="493"/>
      <c r="V40" s="493" t="s">
        <v>903</v>
      </c>
      <c r="W40" s="436" t="s">
        <v>940</v>
      </c>
      <c r="X40" s="436" t="s">
        <v>786</v>
      </c>
      <c r="Y40" s="167">
        <f>IF(ISBLANK(Tableau1[[#This Row],[PO Number (Header)]]),"",Tableau1[[#This Row],[Line Total]]/Tableau1[[#This Row],[Total Item Quantity]])</f>
        <v>10120</v>
      </c>
      <c r="Z40" s="169" t="str">
        <f>IF(ISNA(VLOOKUP(Tableau1[[#This Row],[Unique_AIB_ID]],UO_List[Unique_AIB_ID],1,FALSE)),IF(ISBLANK(Tableau1[[#This Row],[PO Number (Header)]]),"","FAUX"),"VRAI")</f>
        <v>VRAI</v>
      </c>
      <c r="AA40" s="169"/>
      <c r="AB40" s="164" t="str">
        <f>VLOOKUP(Tableau1[[#This Row],[Unique_AIB_ID]],UO_List[[Unique_AIB_ID]:[OLGA F6]],3,FALSE)</f>
        <v>3173-11</v>
      </c>
      <c r="AC40" s="164" t="s">
        <v>777</v>
      </c>
      <c r="AD40" s="83">
        <f>SUMPRODUCT(1*(EXACT(CONCATENATE(Tableau1[[#This Row],[PO Number (Header)]],"-",Tableau1[[#This Row],[Line]]),UO_List[Unique_AIB_ID]))*(UO_List[Qté Réception 03/2020]))</f>
        <v>0</v>
      </c>
      <c r="AE40" s="84">
        <v>0</v>
      </c>
      <c r="AF40" s="357"/>
      <c r="AG40" s="351">
        <f>IFERROR(Tableau1[[#This Row],[Qté Facturé 01/2018]]*Tableau1[[#This Row],[Unit Price (calcul)]],"")</f>
        <v>0</v>
      </c>
      <c r="AH40" s="356" t="str">
        <f>IFERROR(IF(Tableau1[[#This Row],[Montant Facturé 01/2018]]&gt;0,Tableau1[[#This Row],[Montant Facturé 01/2018]]/Taux_Change_SII,""),"")</f>
        <v/>
      </c>
      <c r="AI40" s="351"/>
      <c r="AJ40" s="83">
        <f>SUMPRODUCT(1*(EXACT(CONCATENATE(Tableau1[[#This Row],[PO Number (Header)]],"-",Tableau1[[#This Row],[Line]]),UO_List[Unique_AIB_ID]))*(UO_List[Qté Réception 02/2020]))</f>
        <v>0</v>
      </c>
      <c r="AK40" s="83">
        <f>SUMPRODUCT(1*(EXACT(CONCATENATE(Tableau1[[#This Row],[PO Number (Header)]],"-",Tableau1[[#This Row],[Line]]),UO_List[Unique_AIB_ID]))*(UO_List[Qté Réception 02/2020]))</f>
        <v>0</v>
      </c>
      <c r="AL40" s="357"/>
      <c r="AM40" s="351">
        <f>IFERROR(Tableau1[[#This Row],[Qté Facturé 02/2018]]*Tableau1[[#This Row],[Unit Price (calcul)]],"")</f>
        <v>0</v>
      </c>
      <c r="AN40" s="351" t="str">
        <f>IFERROR(IF(Tableau1[[#This Row],[Montant Facturé 02/2018]]&gt;0,Tableau1[[#This Row],[Montant Facturé 02/2018]]/Taux_Change_SII,""),"")</f>
        <v/>
      </c>
      <c r="AO40" s="351"/>
      <c r="AP40" s="83">
        <f>SUMPRODUCT(1*(EXACT(CONCATENATE(Tableau1[[#This Row],[PO Number (Header)]],"-",Tableau1[[#This Row],[Line]]),UO_List[Unique_AIB_ID]))*(UO_List[Qté Réception 00/2020]))</f>
        <v>0</v>
      </c>
      <c r="AQ40" s="84">
        <v>0</v>
      </c>
      <c r="AR40" s="357"/>
      <c r="AS40" s="357">
        <f>IFERROR(Tableau1[[#This Row],[Qté Facturé 03/2018]]*Tableau1[[#This Row],[Unit Price (calcul)]],"")</f>
        <v>0</v>
      </c>
      <c r="AT40" s="358" t="str">
        <f>IFERROR(IF(Tableau1[[#This Row],[Montant Facturé 03/2018]]&gt;0,Tableau1[[#This Row],[Montant Facturé 03/2018]]/Taux_Change_SII,""),"")</f>
        <v/>
      </c>
      <c r="AU40" s="351"/>
      <c r="AV40" s="83">
        <f>SUMPRODUCT(1*(EXACT(CONCATENATE(Tableau1[[#This Row],[PO Number (Header)]],"-",Tableau1[[#This Row],[Line]]),UO_List[Unique_AIB_ID]))*(UO_List[Qté Réception 04/2020]))</f>
        <v>0</v>
      </c>
      <c r="AW40" s="84"/>
      <c r="AX40" s="351"/>
      <c r="AY40" s="351">
        <f>IFERROR(Tableau1[[#This Row],[Qté Facturé 04/2018]]*Tableau1[[#This Row],[Unit Price (calcul)]],"")</f>
        <v>0</v>
      </c>
      <c r="AZ40" s="351" t="str">
        <f>IFERROR(IF(Tableau1[[#This Row],[Montant Facturé 04/2018]]&gt;0,Tableau1[[#This Row],[Montant Facturé 04/2018]]/Taux_Change_SII,""),"")</f>
        <v/>
      </c>
      <c r="BA40" s="351"/>
      <c r="BB40" s="83">
        <f>SUMPRODUCT(1*(EXACT(CONCATENATE(Tableau1[[#This Row],[PO Number (Header)]],"-",Tableau1[[#This Row],[Line]]),UO_List[Unique_AIB_ID]))*(UO_List[Qté Réception 05/2020]))</f>
        <v>0</v>
      </c>
      <c r="BC40" s="84">
        <v>0</v>
      </c>
      <c r="BD40" s="351"/>
      <c r="BE40" s="351">
        <f>IFERROR(Tableau1[[#This Row],[Qté Facturé 05/2018]]*Tableau1[[#This Row],[Unit Price (calcul)]],"")</f>
        <v>0</v>
      </c>
      <c r="BF40" s="351" t="str">
        <f>IFERROR(IF(Tableau1[[#This Row],[Montant Facturé 05/2018]]&gt;0,Tableau1[[#This Row],[Montant Facturé 05/2018]]/Taux_Change_SII,""),"")</f>
        <v/>
      </c>
      <c r="BG40" s="351"/>
      <c r="BH40" s="83">
        <f>SUMPRODUCT(1*(EXACT(CONCATENATE(Tableau1[[#This Row],[PO Number (Header)]],"-",Tableau1[[#This Row],[Line]]),UO_List[Unique_AIB_ID]))*(UO_List[Qté Réception 06/2020]))</f>
        <v>0</v>
      </c>
      <c r="BI40" s="84">
        <v>0</v>
      </c>
      <c r="BJ40" s="351"/>
      <c r="BK40" s="351">
        <f>IFERROR(Tableau1[[#This Row],[Qté Facturé 06/2018]]*Tableau1[[#This Row],[Unit Price (calcul)]],"")</f>
        <v>0</v>
      </c>
      <c r="BL40" s="351" t="str">
        <f>IFERROR(IF(Tableau1[[#This Row],[Montant Facturé 06/2018]]&gt;0,Tableau1[[#This Row],[Montant Facturé 06/2018]]/Taux_Change_SII,""),"")</f>
        <v/>
      </c>
      <c r="BM40" s="351"/>
      <c r="BN40" s="83">
        <f>SUMPRODUCT(1*(EXACT(CONCATENATE(Tableau1[[#This Row],[PO Number (Header)]],"-",Tableau1[[#This Row],[Line]]),UO_List[Unique_AIB_ID]))*(UO_List[Qté Réception 07/2020]))</f>
        <v>0</v>
      </c>
      <c r="BO40" s="84">
        <v>0</v>
      </c>
      <c r="BP40" s="351"/>
      <c r="BQ40" s="351">
        <f>IFERROR(Tableau1[[#This Row],[Qté Facturé 07/2018]]*Tableau1[[#This Row],[Unit Price (calcul)]],"")</f>
        <v>0</v>
      </c>
      <c r="BR40" s="351" t="str">
        <f>IFERROR(IF(Tableau1[[#This Row],[Montant Facturé 07/2018]]&gt;0,Tableau1[[#This Row],[Montant Facturé 07/2018]]/Taux_Change_SII,""),"")</f>
        <v/>
      </c>
      <c r="BS40" s="351"/>
      <c r="BT40" s="83">
        <f>SUMPRODUCT(1*(EXACT(CONCATENATE(Tableau1[[#This Row],[PO Number (Header)]],"-",Tableau1[[#This Row],[Line]]),UO_List[Unique_AIB_ID]))*(UO_List[Qté Réception 08/2020]))</f>
        <v>0</v>
      </c>
      <c r="BU40" s="84"/>
      <c r="BV40" s="351"/>
      <c r="BW40" s="351">
        <f>IFERROR(Tableau1[[#This Row],[Qté Facturé 08/2018]]*Tableau1[[#This Row],[Unit Price (calcul)]],"")</f>
        <v>0</v>
      </c>
      <c r="BX40" s="351" t="str">
        <f>IFERROR(IF(Tableau1[[#This Row],[Montant Facturé 08/2018]]&gt;0,Tableau1[[#This Row],[Montant Facturé 08/2018]]/Taux_Change_SII,""),"")</f>
        <v/>
      </c>
      <c r="BY40" s="351"/>
      <c r="BZ40" s="83">
        <f>SUMPRODUCT(1*(EXACT(CONCATENATE(Tableau1[[#This Row],[PO Number (Header)]],"-",Tableau1[[#This Row],[Line]]),UO_List[Unique_AIB_ID]))*(UO_List[Qté Réception 09/2020]))</f>
        <v>0</v>
      </c>
      <c r="CA40" s="84">
        <v>0</v>
      </c>
      <c r="CB40" s="351"/>
      <c r="CC40" s="351">
        <f>IFERROR(Tableau1[[#This Row],[Qté Facturé 09/2018]]*Tableau1[[#This Row],[Unit Price (calcul)]],"")</f>
        <v>0</v>
      </c>
      <c r="CD40" s="351" t="str">
        <f>IFERROR(IF(Tableau1[[#This Row],[Montant Facturé 09/2018]]&gt;0,Tableau1[[#This Row],[Montant Facturé 09/2018]]/Taux_Change_SII,""),"")</f>
        <v/>
      </c>
      <c r="CE40" s="351"/>
      <c r="CF40" s="83">
        <f>SUMPRODUCT(1*(EXACT(CONCATENATE(Tableau1[[#This Row],[PO Number (Header)]],"-",Tableau1[[#This Row],[Line]]),UO_List[Unique_AIB_ID]))*(UO_List[Qté Réception 10/2020]))</f>
        <v>0</v>
      </c>
      <c r="CG40" s="84">
        <v>0</v>
      </c>
      <c r="CH40" s="351"/>
      <c r="CI40" s="351">
        <f>IFERROR(Tableau1[[#This Row],[Qté Facturé 10/2018]]*Tableau1[[#This Row],[Unit Price (calcul)]],"")</f>
        <v>0</v>
      </c>
      <c r="CJ40" s="351" t="str">
        <f>IFERROR(IF(Tableau1[[#This Row],[Montant Facturé 10/2018]]&gt;0,Tableau1[[#This Row],[Montant Facturé 10/2018]]/Taux_Change_SII,""),"")</f>
        <v/>
      </c>
      <c r="CK40" s="351"/>
      <c r="CL40" s="83">
        <f>SUMPRODUCT(1*(EXACT(CONCATENATE(Tableau1[[#This Row],[PO Number (Header)]],"-",Tableau1[[#This Row],[Line]]),UO_List[Unique_AIB_ID]))*(UO_List[Qté Réception 11/2020]))</f>
        <v>0</v>
      </c>
      <c r="CM40" s="84"/>
      <c r="CN40" s="351"/>
      <c r="CO40" s="351">
        <f>IFERROR(Tableau1[[#This Row],[Qté Facturé 11/2018]]*Tableau1[[#This Row],[Unit Price (calcul)]],"")</f>
        <v>0</v>
      </c>
      <c r="CP40" s="351" t="str">
        <f>IFERROR(IF(Tableau1[[#This Row],[Montant Facturé 11/2018]]&gt;0,Tableau1[[#This Row],[Montant Facturé 11/2018]]/Taux_Change_SII,""),"")</f>
        <v/>
      </c>
      <c r="CQ40" s="351"/>
      <c r="CR40" s="83">
        <f>SUMPRODUCT(1*(EXACT(CONCATENATE(Tableau1[[#This Row],[PO Number (Header)]],"-",Tableau1[[#This Row],[Line]]),UO_List[Unique_AIB_ID]))*(UO_List[Qté Réception 12/2020]))</f>
        <v>0</v>
      </c>
      <c r="CS40" s="84"/>
      <c r="CT40" s="351"/>
      <c r="CU40" s="351">
        <f>IFERROR(Tableau1[[#This Row],[Qté Facturé 12/2018]]*Tableau1[[#This Row],[Unit Price (calcul)]],"")</f>
        <v>0</v>
      </c>
      <c r="CV40" s="351" t="str">
        <f>IFERROR(IF(Tableau1[[#This Row],[Montant Facturé 12/2018]]&gt;0,Tableau1[[#This Row],[Montant Facturé 12/2018]]/Taux_Change_SII,""),"")</f>
        <v/>
      </c>
      <c r="CW40" s="351"/>
      <c r="CX4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0" s="352">
        <f>IFERROR(Tableau1[[#This Row],[Total item réceptionné]]*Tableau1[[#This Row],[Unit Price (calcul)]],"")</f>
        <v>0</v>
      </c>
      <c r="DB40" s="352">
        <f>IFERROR(Tableau1[[#This Row],[Total item à Facturer]]*Tableau1[[#This Row],[Unit Price (calcul)]],"")</f>
        <v>0</v>
      </c>
      <c r="DC40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40" s="352">
        <f>IFERROR(Tableau1[[#This Row],[Line Total]]-Tableau1[[#This Row],[Total Price Réceptionné]],"")</f>
        <v>10120</v>
      </c>
      <c r="DE40" s="352">
        <f>IFERROR(Tableau1[[#This Row],[Total Price Réceptionné]]-Tableau1[[#This Row],[Total Price A facturer]],"")</f>
        <v>0</v>
      </c>
      <c r="DF40" s="353">
        <f>IFERROR(Tableau1[[#This Row],[Total Price A facturer]]-Tableau1[[#This Row],[Total Price Facturé]],"")</f>
        <v>0</v>
      </c>
      <c r="DG40" s="76">
        <f>Tableau1[[#This Row],[Total Item Quantity]]-Tableau1[[#This Row],[Total item réceptionné]]</f>
        <v>1</v>
      </c>
      <c r="DH40" s="169"/>
      <c r="DI40" s="167"/>
    </row>
    <row r="41" spans="1:113" s="116" customFormat="1">
      <c r="A41" s="160" t="str">
        <f>CONCATENATE(Tableau1[[#This Row],[PO Number (Header)]],"-",Tableau1[[#This Row],[Line]])</f>
        <v>C000498080-2</v>
      </c>
      <c r="B41" s="493" t="s">
        <v>938</v>
      </c>
      <c r="C41" s="493" t="s">
        <v>726</v>
      </c>
      <c r="D41" s="493" t="s">
        <v>802</v>
      </c>
      <c r="E41" s="493"/>
      <c r="F41" s="175">
        <v>2</v>
      </c>
      <c r="G41" s="493" t="s">
        <v>810</v>
      </c>
      <c r="H41" s="332">
        <v>5</v>
      </c>
      <c r="I41" s="383">
        <v>16800</v>
      </c>
      <c r="J41" s="493" t="s">
        <v>629</v>
      </c>
      <c r="K41" s="175">
        <v>0</v>
      </c>
      <c r="L41" s="493"/>
      <c r="M41" s="493"/>
      <c r="N41" s="493"/>
      <c r="O41" s="493"/>
      <c r="P41" s="493"/>
      <c r="Q41" s="480" t="s">
        <v>630</v>
      </c>
      <c r="R41" s="395">
        <v>0</v>
      </c>
      <c r="S41" s="493" t="s">
        <v>902</v>
      </c>
      <c r="T41" s="493"/>
      <c r="U41" s="493"/>
      <c r="V41" s="493" t="s">
        <v>903</v>
      </c>
      <c r="W41" s="436" t="s">
        <v>941</v>
      </c>
      <c r="X41" s="436" t="s">
        <v>786</v>
      </c>
      <c r="Y41" s="167">
        <f>IF(ISBLANK(Tableau1[[#This Row],[PO Number (Header)]]),"",Tableau1[[#This Row],[Line Total]]/Tableau1[[#This Row],[Total Item Quantity]])</f>
        <v>3360</v>
      </c>
      <c r="Z41" s="169" t="str">
        <f>IF(ISNA(VLOOKUP(Tableau1[[#This Row],[Unique_AIB_ID]],UO_List[Unique_AIB_ID],1,FALSE)),IF(ISBLANK(Tableau1[[#This Row],[PO Number (Header)]]),"","FAUX"),"VRAI")</f>
        <v>VRAI</v>
      </c>
      <c r="AA41" s="169"/>
      <c r="AB41" s="164" t="str">
        <f>VLOOKUP(Tableau1[[#This Row],[Unique_AIB_ID]],UO_List[[Unique_AIB_ID]:[OLGA F6]],3,FALSE)</f>
        <v>3173-11</v>
      </c>
      <c r="AC41" s="164" t="s">
        <v>777</v>
      </c>
      <c r="AD41" s="83">
        <f>SUMPRODUCT(1*(EXACT(CONCATENATE(Tableau1[[#This Row],[PO Number (Header)]],"-",Tableau1[[#This Row],[Line]]),UO_List[Unique_AIB_ID]))*(UO_List[Qté Réception 03/2020]))</f>
        <v>0</v>
      </c>
      <c r="AE41" s="84">
        <v>0</v>
      </c>
      <c r="AF41" s="357"/>
      <c r="AG41" s="351">
        <f>IFERROR(Tableau1[[#This Row],[Qté Facturé 01/2018]]*Tableau1[[#This Row],[Unit Price (calcul)]],"")</f>
        <v>0</v>
      </c>
      <c r="AH41" s="356" t="str">
        <f>IFERROR(IF(Tableau1[[#This Row],[Montant Facturé 01/2018]]&gt;0,Tableau1[[#This Row],[Montant Facturé 01/2018]]/Taux_Change_SII,""),"")</f>
        <v/>
      </c>
      <c r="AI41" s="351"/>
      <c r="AJ41" s="83">
        <f>SUMPRODUCT(1*(EXACT(CONCATENATE(Tableau1[[#This Row],[PO Number (Header)]],"-",Tableau1[[#This Row],[Line]]),UO_List[Unique_AIB_ID]))*(UO_List[Qté Réception 02/2020]))</f>
        <v>0</v>
      </c>
      <c r="AK41" s="83">
        <f>SUMPRODUCT(1*(EXACT(CONCATENATE(Tableau1[[#This Row],[PO Number (Header)]],"-",Tableau1[[#This Row],[Line]]),UO_List[Unique_AIB_ID]))*(UO_List[Qté Réception 02/2020]))</f>
        <v>0</v>
      </c>
      <c r="AL41" s="357"/>
      <c r="AM41" s="351">
        <f>IFERROR(Tableau1[[#This Row],[Qté Facturé 02/2018]]*Tableau1[[#This Row],[Unit Price (calcul)]],"")</f>
        <v>0</v>
      </c>
      <c r="AN41" s="351" t="str">
        <f>IFERROR(IF(Tableau1[[#This Row],[Montant Facturé 02/2018]]&gt;0,Tableau1[[#This Row],[Montant Facturé 02/2018]]/Taux_Change_SII,""),"")</f>
        <v/>
      </c>
      <c r="AO41" s="351"/>
      <c r="AP41" s="83">
        <f>SUMPRODUCT(1*(EXACT(CONCATENATE(Tableau1[[#This Row],[PO Number (Header)]],"-",Tableau1[[#This Row],[Line]]),UO_List[Unique_AIB_ID]))*(UO_List[Qté Réception 00/2020]))</f>
        <v>0</v>
      </c>
      <c r="AQ41" s="84">
        <v>0</v>
      </c>
      <c r="AR41" s="357"/>
      <c r="AS41" s="357">
        <f>IFERROR(Tableau1[[#This Row],[Qté Facturé 03/2018]]*Tableau1[[#This Row],[Unit Price (calcul)]],"")</f>
        <v>0</v>
      </c>
      <c r="AT41" s="358" t="str">
        <f>IFERROR(IF(Tableau1[[#This Row],[Montant Facturé 03/2018]]&gt;0,Tableau1[[#This Row],[Montant Facturé 03/2018]]/Taux_Change_SII,""),"")</f>
        <v/>
      </c>
      <c r="AU41" s="351"/>
      <c r="AV41" s="83">
        <f>SUMPRODUCT(1*(EXACT(CONCATENATE(Tableau1[[#This Row],[PO Number (Header)]],"-",Tableau1[[#This Row],[Line]]),UO_List[Unique_AIB_ID]))*(UO_List[Qté Réception 04/2020]))</f>
        <v>0</v>
      </c>
      <c r="AW41" s="84"/>
      <c r="AX41" s="351"/>
      <c r="AY41" s="351">
        <f>IFERROR(Tableau1[[#This Row],[Qté Facturé 04/2018]]*Tableau1[[#This Row],[Unit Price (calcul)]],"")</f>
        <v>0</v>
      </c>
      <c r="AZ41" s="351" t="str">
        <f>IFERROR(IF(Tableau1[[#This Row],[Montant Facturé 04/2018]]&gt;0,Tableau1[[#This Row],[Montant Facturé 04/2018]]/Taux_Change_SII,""),"")</f>
        <v/>
      </c>
      <c r="BA41" s="351"/>
      <c r="BB41" s="83">
        <f>SUMPRODUCT(1*(EXACT(CONCATENATE(Tableau1[[#This Row],[PO Number (Header)]],"-",Tableau1[[#This Row],[Line]]),UO_List[Unique_AIB_ID]))*(UO_List[Qté Réception 05/2020]))</f>
        <v>0</v>
      </c>
      <c r="BC41" s="84">
        <v>0</v>
      </c>
      <c r="BD41" s="351"/>
      <c r="BE41" s="351">
        <f>IFERROR(Tableau1[[#This Row],[Qté Facturé 05/2018]]*Tableau1[[#This Row],[Unit Price (calcul)]],"")</f>
        <v>0</v>
      </c>
      <c r="BF41" s="351" t="str">
        <f>IFERROR(IF(Tableau1[[#This Row],[Montant Facturé 05/2018]]&gt;0,Tableau1[[#This Row],[Montant Facturé 05/2018]]/Taux_Change_SII,""),"")</f>
        <v/>
      </c>
      <c r="BG41" s="351"/>
      <c r="BH41" s="83">
        <f>SUMPRODUCT(1*(EXACT(CONCATENATE(Tableau1[[#This Row],[PO Number (Header)]],"-",Tableau1[[#This Row],[Line]]),UO_List[Unique_AIB_ID]))*(UO_List[Qté Réception 06/2020]))</f>
        <v>0</v>
      </c>
      <c r="BI41" s="84">
        <v>0</v>
      </c>
      <c r="BJ41" s="351"/>
      <c r="BK41" s="351">
        <f>IFERROR(Tableau1[[#This Row],[Qté Facturé 06/2018]]*Tableau1[[#This Row],[Unit Price (calcul)]],"")</f>
        <v>0</v>
      </c>
      <c r="BL41" s="351" t="str">
        <f>IFERROR(IF(Tableau1[[#This Row],[Montant Facturé 06/2018]]&gt;0,Tableau1[[#This Row],[Montant Facturé 06/2018]]/Taux_Change_SII,""),"")</f>
        <v/>
      </c>
      <c r="BM41" s="351"/>
      <c r="BN41" s="83">
        <f>SUMPRODUCT(1*(EXACT(CONCATENATE(Tableau1[[#This Row],[PO Number (Header)]],"-",Tableau1[[#This Row],[Line]]),UO_List[Unique_AIB_ID]))*(UO_List[Qté Réception 07/2020]))</f>
        <v>0</v>
      </c>
      <c r="BO41" s="84">
        <v>0</v>
      </c>
      <c r="BP41" s="351"/>
      <c r="BQ41" s="351">
        <f>IFERROR(Tableau1[[#This Row],[Qté Facturé 07/2018]]*Tableau1[[#This Row],[Unit Price (calcul)]],"")</f>
        <v>0</v>
      </c>
      <c r="BR41" s="351" t="str">
        <f>IFERROR(IF(Tableau1[[#This Row],[Montant Facturé 07/2018]]&gt;0,Tableau1[[#This Row],[Montant Facturé 07/2018]]/Taux_Change_SII,""),"")</f>
        <v/>
      </c>
      <c r="BS41" s="351"/>
      <c r="BT41" s="83">
        <f>SUMPRODUCT(1*(EXACT(CONCATENATE(Tableau1[[#This Row],[PO Number (Header)]],"-",Tableau1[[#This Row],[Line]]),UO_List[Unique_AIB_ID]))*(UO_List[Qté Réception 08/2020]))</f>
        <v>0</v>
      </c>
      <c r="BU41" s="84"/>
      <c r="BV41" s="351"/>
      <c r="BW41" s="351">
        <f>IFERROR(Tableau1[[#This Row],[Qté Facturé 08/2018]]*Tableau1[[#This Row],[Unit Price (calcul)]],"")</f>
        <v>0</v>
      </c>
      <c r="BX41" s="351" t="str">
        <f>IFERROR(IF(Tableau1[[#This Row],[Montant Facturé 08/2018]]&gt;0,Tableau1[[#This Row],[Montant Facturé 08/2018]]/Taux_Change_SII,""),"")</f>
        <v/>
      </c>
      <c r="BY41" s="351"/>
      <c r="BZ41" s="83">
        <f>SUMPRODUCT(1*(EXACT(CONCATENATE(Tableau1[[#This Row],[PO Number (Header)]],"-",Tableau1[[#This Row],[Line]]),UO_List[Unique_AIB_ID]))*(UO_List[Qté Réception 09/2020]))</f>
        <v>0</v>
      </c>
      <c r="CA41" s="84">
        <v>0</v>
      </c>
      <c r="CB41" s="351"/>
      <c r="CC41" s="351">
        <f>IFERROR(Tableau1[[#This Row],[Qté Facturé 09/2018]]*Tableau1[[#This Row],[Unit Price (calcul)]],"")</f>
        <v>0</v>
      </c>
      <c r="CD41" s="351" t="str">
        <f>IFERROR(IF(Tableau1[[#This Row],[Montant Facturé 09/2018]]&gt;0,Tableau1[[#This Row],[Montant Facturé 09/2018]]/Taux_Change_SII,""),"")</f>
        <v/>
      </c>
      <c r="CE41" s="351"/>
      <c r="CF41" s="83">
        <f>SUMPRODUCT(1*(EXACT(CONCATENATE(Tableau1[[#This Row],[PO Number (Header)]],"-",Tableau1[[#This Row],[Line]]),UO_List[Unique_AIB_ID]))*(UO_List[Qté Réception 10/2020]))</f>
        <v>0</v>
      </c>
      <c r="CG41" s="84">
        <v>0</v>
      </c>
      <c r="CH41" s="351"/>
      <c r="CI41" s="351">
        <f>IFERROR(Tableau1[[#This Row],[Qté Facturé 10/2018]]*Tableau1[[#This Row],[Unit Price (calcul)]],"")</f>
        <v>0</v>
      </c>
      <c r="CJ41" s="351" t="str">
        <f>IFERROR(IF(Tableau1[[#This Row],[Montant Facturé 10/2018]]&gt;0,Tableau1[[#This Row],[Montant Facturé 10/2018]]/Taux_Change_SII,""),"")</f>
        <v/>
      </c>
      <c r="CK41" s="351"/>
      <c r="CL41" s="83">
        <f>SUMPRODUCT(1*(EXACT(CONCATENATE(Tableau1[[#This Row],[PO Number (Header)]],"-",Tableau1[[#This Row],[Line]]),UO_List[Unique_AIB_ID]))*(UO_List[Qté Réception 11/2020]))</f>
        <v>0</v>
      </c>
      <c r="CM41" s="84"/>
      <c r="CN41" s="351"/>
      <c r="CO41" s="351">
        <f>IFERROR(Tableau1[[#This Row],[Qté Facturé 11/2018]]*Tableau1[[#This Row],[Unit Price (calcul)]],"")</f>
        <v>0</v>
      </c>
      <c r="CP41" s="351" t="str">
        <f>IFERROR(IF(Tableau1[[#This Row],[Montant Facturé 11/2018]]&gt;0,Tableau1[[#This Row],[Montant Facturé 11/2018]]/Taux_Change_SII,""),"")</f>
        <v/>
      </c>
      <c r="CQ41" s="351"/>
      <c r="CR41" s="83">
        <f>SUMPRODUCT(1*(EXACT(CONCATENATE(Tableau1[[#This Row],[PO Number (Header)]],"-",Tableau1[[#This Row],[Line]]),UO_List[Unique_AIB_ID]))*(UO_List[Qté Réception 12/2020]))</f>
        <v>0</v>
      </c>
      <c r="CS41" s="84"/>
      <c r="CT41" s="351"/>
      <c r="CU41" s="351">
        <f>IFERROR(Tableau1[[#This Row],[Qté Facturé 12/2018]]*Tableau1[[#This Row],[Unit Price (calcul)]],"")</f>
        <v>0</v>
      </c>
      <c r="CV41" s="351" t="str">
        <f>IFERROR(IF(Tableau1[[#This Row],[Montant Facturé 12/2018]]&gt;0,Tableau1[[#This Row],[Montant Facturé 12/2018]]/Taux_Change_SII,""),"")</f>
        <v/>
      </c>
      <c r="CW41" s="351"/>
      <c r="CX4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1" s="352">
        <f>IFERROR(Tableau1[[#This Row],[Total item réceptionné]]*Tableau1[[#This Row],[Unit Price (calcul)]],"")</f>
        <v>0</v>
      </c>
      <c r="DB41" s="352">
        <f>IFERROR(Tableau1[[#This Row],[Total item à Facturer]]*Tableau1[[#This Row],[Unit Price (calcul)]],"")</f>
        <v>0</v>
      </c>
      <c r="DC41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41" s="352">
        <f>IFERROR(Tableau1[[#This Row],[Line Total]]-Tableau1[[#This Row],[Total Price Réceptionné]],"")</f>
        <v>16800</v>
      </c>
      <c r="DE41" s="352">
        <f>IFERROR(Tableau1[[#This Row],[Total Price Réceptionné]]-Tableau1[[#This Row],[Total Price A facturer]],"")</f>
        <v>0</v>
      </c>
      <c r="DF41" s="353">
        <f>IFERROR(Tableau1[[#This Row],[Total Price A facturer]]-Tableau1[[#This Row],[Total Price Facturé]],"")</f>
        <v>0</v>
      </c>
      <c r="DG41" s="76">
        <f>Tableau1[[#This Row],[Total Item Quantity]]-Tableau1[[#This Row],[Total item réceptionné]]</f>
        <v>5</v>
      </c>
      <c r="DH41" s="169"/>
      <c r="DI41" s="167"/>
    </row>
    <row r="42" spans="1:113" s="116" customFormat="1">
      <c r="A42" s="160" t="str">
        <f>CONCATENATE(Tableau1[[#This Row],[PO Number (Header)]],"-",Tableau1[[#This Row],[Line]])</f>
        <v>C000498080-3</v>
      </c>
      <c r="B42" s="493" t="s">
        <v>938</v>
      </c>
      <c r="C42" s="493" t="s">
        <v>726</v>
      </c>
      <c r="D42" s="493" t="s">
        <v>802</v>
      </c>
      <c r="E42" s="493"/>
      <c r="F42" s="175">
        <v>3</v>
      </c>
      <c r="G42" s="493" t="s">
        <v>810</v>
      </c>
      <c r="H42" s="332">
        <v>5</v>
      </c>
      <c r="I42" s="383">
        <v>16800</v>
      </c>
      <c r="J42" s="493" t="s">
        <v>629</v>
      </c>
      <c r="K42" s="175">
        <v>0</v>
      </c>
      <c r="L42" s="493"/>
      <c r="M42" s="493"/>
      <c r="N42" s="493"/>
      <c r="O42" s="493"/>
      <c r="P42" s="493"/>
      <c r="Q42" s="480" t="s">
        <v>630</v>
      </c>
      <c r="R42" s="395">
        <v>0</v>
      </c>
      <c r="S42" s="493" t="s">
        <v>902</v>
      </c>
      <c r="T42" s="493"/>
      <c r="U42" s="493"/>
      <c r="V42" s="493" t="s">
        <v>903</v>
      </c>
      <c r="W42" s="436" t="s">
        <v>942</v>
      </c>
      <c r="X42" s="436" t="s">
        <v>786</v>
      </c>
      <c r="Y42" s="167">
        <f>IF(ISBLANK(Tableau1[[#This Row],[PO Number (Header)]]),"",Tableau1[[#This Row],[Line Total]]/Tableau1[[#This Row],[Total Item Quantity]])</f>
        <v>3360</v>
      </c>
      <c r="Z42" s="169" t="str">
        <f>IF(ISNA(VLOOKUP(Tableau1[[#This Row],[Unique_AIB_ID]],UO_List[Unique_AIB_ID],1,FALSE)),IF(ISBLANK(Tableau1[[#This Row],[PO Number (Header)]]),"","FAUX"),"VRAI")</f>
        <v>VRAI</v>
      </c>
      <c r="AA42" s="169"/>
      <c r="AB42" s="164" t="str">
        <f>VLOOKUP(Tableau1[[#This Row],[Unique_AIB_ID]],UO_List[[Unique_AIB_ID]:[OLGA F6]],3,FALSE)</f>
        <v>3173-11</v>
      </c>
      <c r="AC42" s="164" t="s">
        <v>777</v>
      </c>
      <c r="AD42" s="83">
        <f>SUMPRODUCT(1*(EXACT(CONCATENATE(Tableau1[[#This Row],[PO Number (Header)]],"-",Tableau1[[#This Row],[Line]]),UO_List[Unique_AIB_ID]))*(UO_List[Qté Réception 03/2020]))</f>
        <v>0</v>
      </c>
      <c r="AE42" s="84">
        <v>0</v>
      </c>
      <c r="AF42" s="357"/>
      <c r="AG42" s="351">
        <f>IFERROR(Tableau1[[#This Row],[Qté Facturé 01/2018]]*Tableau1[[#This Row],[Unit Price (calcul)]],"")</f>
        <v>0</v>
      </c>
      <c r="AH42" s="356" t="str">
        <f>IFERROR(IF(Tableau1[[#This Row],[Montant Facturé 01/2018]]&gt;0,Tableau1[[#This Row],[Montant Facturé 01/2018]]/Taux_Change_SII,""),"")</f>
        <v/>
      </c>
      <c r="AI42" s="351"/>
      <c r="AJ42" s="83">
        <f>SUMPRODUCT(1*(EXACT(CONCATENATE(Tableau1[[#This Row],[PO Number (Header)]],"-",Tableau1[[#This Row],[Line]]),UO_List[Unique_AIB_ID]))*(UO_List[Qté Réception 02/2020]))</f>
        <v>0</v>
      </c>
      <c r="AK42" s="83">
        <f>SUMPRODUCT(1*(EXACT(CONCATENATE(Tableau1[[#This Row],[PO Number (Header)]],"-",Tableau1[[#This Row],[Line]]),UO_List[Unique_AIB_ID]))*(UO_List[Qté Réception 02/2020]))</f>
        <v>0</v>
      </c>
      <c r="AL42" s="357"/>
      <c r="AM42" s="351">
        <f>IFERROR(Tableau1[[#This Row],[Qté Facturé 02/2018]]*Tableau1[[#This Row],[Unit Price (calcul)]],"")</f>
        <v>0</v>
      </c>
      <c r="AN42" s="351" t="str">
        <f>IFERROR(IF(Tableau1[[#This Row],[Montant Facturé 02/2018]]&gt;0,Tableau1[[#This Row],[Montant Facturé 02/2018]]/Taux_Change_SII,""),"")</f>
        <v/>
      </c>
      <c r="AO42" s="351"/>
      <c r="AP42" s="83">
        <f>SUMPRODUCT(1*(EXACT(CONCATENATE(Tableau1[[#This Row],[PO Number (Header)]],"-",Tableau1[[#This Row],[Line]]),UO_List[Unique_AIB_ID]))*(UO_List[Qté Réception 00/2020]))</f>
        <v>0</v>
      </c>
      <c r="AQ42" s="84">
        <v>0</v>
      </c>
      <c r="AR42" s="357"/>
      <c r="AS42" s="357">
        <f>IFERROR(Tableau1[[#This Row],[Qté Facturé 03/2018]]*Tableau1[[#This Row],[Unit Price (calcul)]],"")</f>
        <v>0</v>
      </c>
      <c r="AT42" s="358" t="str">
        <f>IFERROR(IF(Tableau1[[#This Row],[Montant Facturé 03/2018]]&gt;0,Tableau1[[#This Row],[Montant Facturé 03/2018]]/Taux_Change_SII,""),"")</f>
        <v/>
      </c>
      <c r="AU42" s="351"/>
      <c r="AV42" s="83">
        <f>SUMPRODUCT(1*(EXACT(CONCATENATE(Tableau1[[#This Row],[PO Number (Header)]],"-",Tableau1[[#This Row],[Line]]),UO_List[Unique_AIB_ID]))*(UO_List[Qté Réception 04/2020]))</f>
        <v>0</v>
      </c>
      <c r="AW42" s="84">
        <v>0</v>
      </c>
      <c r="AX42" s="351"/>
      <c r="AY42" s="351">
        <f>IFERROR(Tableau1[[#This Row],[Qté Facturé 04/2018]]*Tableau1[[#This Row],[Unit Price (calcul)]],"")</f>
        <v>0</v>
      </c>
      <c r="AZ42" s="351" t="str">
        <f>IFERROR(IF(Tableau1[[#This Row],[Montant Facturé 04/2018]]&gt;0,Tableau1[[#This Row],[Montant Facturé 04/2018]]/Taux_Change_SII,""),"")</f>
        <v/>
      </c>
      <c r="BA42" s="351"/>
      <c r="BB42" s="83">
        <f>SUMPRODUCT(1*(EXACT(CONCATENATE(Tableau1[[#This Row],[PO Number (Header)]],"-",Tableau1[[#This Row],[Line]]),UO_List[Unique_AIB_ID]))*(UO_List[Qté Réception 05/2020]))</f>
        <v>0</v>
      </c>
      <c r="BC42" s="84"/>
      <c r="BD42" s="351"/>
      <c r="BE42" s="351">
        <f>IFERROR(Tableau1[[#This Row],[Qté Facturé 05/2018]]*Tableau1[[#This Row],[Unit Price (calcul)]],"")</f>
        <v>0</v>
      </c>
      <c r="BF42" s="351" t="str">
        <f>IFERROR(IF(Tableau1[[#This Row],[Montant Facturé 05/2018]]&gt;0,Tableau1[[#This Row],[Montant Facturé 05/2018]]/Taux_Change_SII,""),"")</f>
        <v/>
      </c>
      <c r="BG42" s="351"/>
      <c r="BH42" s="83">
        <f>SUMPRODUCT(1*(EXACT(CONCATENATE(Tableau1[[#This Row],[PO Number (Header)]],"-",Tableau1[[#This Row],[Line]]),UO_List[Unique_AIB_ID]))*(UO_List[Qté Réception 06/2020]))</f>
        <v>0</v>
      </c>
      <c r="BI42" s="84"/>
      <c r="BJ42" s="351"/>
      <c r="BK42" s="351">
        <f>IFERROR(Tableau1[[#This Row],[Qté Facturé 06/2018]]*Tableau1[[#This Row],[Unit Price (calcul)]],"")</f>
        <v>0</v>
      </c>
      <c r="BL42" s="351" t="str">
        <f>IFERROR(IF(Tableau1[[#This Row],[Montant Facturé 06/2018]]&gt;0,Tableau1[[#This Row],[Montant Facturé 06/2018]]/Taux_Change_SII,""),"")</f>
        <v/>
      </c>
      <c r="BM42" s="351"/>
      <c r="BN42" s="83">
        <f>SUMPRODUCT(1*(EXACT(CONCATENATE(Tableau1[[#This Row],[PO Number (Header)]],"-",Tableau1[[#This Row],[Line]]),UO_List[Unique_AIB_ID]))*(UO_List[Qté Réception 07/2020]))</f>
        <v>0</v>
      </c>
      <c r="BO42" s="84">
        <v>0</v>
      </c>
      <c r="BP42" s="351"/>
      <c r="BQ42" s="351">
        <f>IFERROR(Tableau1[[#This Row],[Qté Facturé 07/2018]]*Tableau1[[#This Row],[Unit Price (calcul)]],"")</f>
        <v>0</v>
      </c>
      <c r="BR42" s="351" t="str">
        <f>IFERROR(IF(Tableau1[[#This Row],[Montant Facturé 07/2018]]&gt;0,Tableau1[[#This Row],[Montant Facturé 07/2018]]/Taux_Change_SII,""),"")</f>
        <v/>
      </c>
      <c r="BS42" s="351"/>
      <c r="BT42" s="83">
        <f>SUMPRODUCT(1*(EXACT(CONCATENATE(Tableau1[[#This Row],[PO Number (Header)]],"-",Tableau1[[#This Row],[Line]]),UO_List[Unique_AIB_ID]))*(UO_List[Qté Réception 08/2020]))</f>
        <v>0</v>
      </c>
      <c r="BU42" s="84"/>
      <c r="BV42" s="351"/>
      <c r="BW42" s="351">
        <f>IFERROR(Tableau1[[#This Row],[Qté Facturé 08/2018]]*Tableau1[[#This Row],[Unit Price (calcul)]],"")</f>
        <v>0</v>
      </c>
      <c r="BX42" s="351" t="str">
        <f>IFERROR(IF(Tableau1[[#This Row],[Montant Facturé 08/2018]]&gt;0,Tableau1[[#This Row],[Montant Facturé 08/2018]]/Taux_Change_SII,""),"")</f>
        <v/>
      </c>
      <c r="BY42" s="351"/>
      <c r="BZ42" s="83">
        <f>SUMPRODUCT(1*(EXACT(CONCATENATE(Tableau1[[#This Row],[PO Number (Header)]],"-",Tableau1[[#This Row],[Line]]),UO_List[Unique_AIB_ID]))*(UO_List[Qté Réception 09/2020]))</f>
        <v>0</v>
      </c>
      <c r="CA42" s="84">
        <v>0</v>
      </c>
      <c r="CB42" s="351"/>
      <c r="CC42" s="351">
        <f>IFERROR(Tableau1[[#This Row],[Qté Facturé 09/2018]]*Tableau1[[#This Row],[Unit Price (calcul)]],"")</f>
        <v>0</v>
      </c>
      <c r="CD42" s="351" t="str">
        <f>IFERROR(IF(Tableau1[[#This Row],[Montant Facturé 09/2018]]&gt;0,Tableau1[[#This Row],[Montant Facturé 09/2018]]/Taux_Change_SII,""),"")</f>
        <v/>
      </c>
      <c r="CE42" s="351"/>
      <c r="CF42" s="83">
        <f>SUMPRODUCT(1*(EXACT(CONCATENATE(Tableau1[[#This Row],[PO Number (Header)]],"-",Tableau1[[#This Row],[Line]]),UO_List[Unique_AIB_ID]))*(UO_List[Qté Réception 10/2020]))</f>
        <v>0</v>
      </c>
      <c r="CG42" s="84">
        <v>0</v>
      </c>
      <c r="CH42" s="351"/>
      <c r="CI42" s="351">
        <f>IFERROR(Tableau1[[#This Row],[Qté Facturé 10/2018]]*Tableau1[[#This Row],[Unit Price (calcul)]],"")</f>
        <v>0</v>
      </c>
      <c r="CJ42" s="351" t="str">
        <f>IFERROR(IF(Tableau1[[#This Row],[Montant Facturé 10/2018]]&gt;0,Tableau1[[#This Row],[Montant Facturé 10/2018]]/Taux_Change_SII,""),"")</f>
        <v/>
      </c>
      <c r="CK42" s="351"/>
      <c r="CL42" s="83">
        <f>SUMPRODUCT(1*(EXACT(CONCATENATE(Tableau1[[#This Row],[PO Number (Header)]],"-",Tableau1[[#This Row],[Line]]),UO_List[Unique_AIB_ID]))*(UO_List[Qté Réception 11/2020]))</f>
        <v>0</v>
      </c>
      <c r="CM42" s="84"/>
      <c r="CN42" s="351"/>
      <c r="CO42" s="351">
        <f>IFERROR(Tableau1[[#This Row],[Qté Facturé 11/2018]]*Tableau1[[#This Row],[Unit Price (calcul)]],"")</f>
        <v>0</v>
      </c>
      <c r="CP42" s="351" t="str">
        <f>IFERROR(IF(Tableau1[[#This Row],[Montant Facturé 11/2018]]&gt;0,Tableau1[[#This Row],[Montant Facturé 11/2018]]/Taux_Change_SII,""),"")</f>
        <v/>
      </c>
      <c r="CQ42" s="351"/>
      <c r="CR42" s="83">
        <f>SUMPRODUCT(1*(EXACT(CONCATENATE(Tableau1[[#This Row],[PO Number (Header)]],"-",Tableau1[[#This Row],[Line]]),UO_List[Unique_AIB_ID]))*(UO_List[Qté Réception 12/2020]))</f>
        <v>0</v>
      </c>
      <c r="CS42" s="84"/>
      <c r="CT42" s="351"/>
      <c r="CU42" s="351">
        <f>IFERROR(Tableau1[[#This Row],[Qté Facturé 12/2018]]*Tableau1[[#This Row],[Unit Price (calcul)]],"")</f>
        <v>0</v>
      </c>
      <c r="CV42" s="351" t="str">
        <f>IFERROR(IF(Tableau1[[#This Row],[Montant Facturé 12/2018]]&gt;0,Tableau1[[#This Row],[Montant Facturé 12/2018]]/Taux_Change_SII,""),"")</f>
        <v/>
      </c>
      <c r="CW42" s="351"/>
      <c r="CX4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2" s="352">
        <f>IFERROR(Tableau1[[#This Row],[Total item réceptionné]]*Tableau1[[#This Row],[Unit Price (calcul)]],"")</f>
        <v>0</v>
      </c>
      <c r="DB42" s="352">
        <f>IFERROR(Tableau1[[#This Row],[Total item à Facturer]]*Tableau1[[#This Row],[Unit Price (calcul)]],"")</f>
        <v>0</v>
      </c>
      <c r="DC42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42" s="352">
        <f>IFERROR(Tableau1[[#This Row],[Line Total]]-Tableau1[[#This Row],[Total Price Réceptionné]],"")</f>
        <v>16800</v>
      </c>
      <c r="DE42" s="352">
        <f>IFERROR(Tableau1[[#This Row],[Total Price Réceptionné]]-Tableau1[[#This Row],[Total Price A facturer]],"")</f>
        <v>0</v>
      </c>
      <c r="DF42" s="353">
        <f>IFERROR(Tableau1[[#This Row],[Total Price A facturer]]-Tableau1[[#This Row],[Total Price Facturé]],"")</f>
        <v>0</v>
      </c>
      <c r="DG42" s="76">
        <f>Tableau1[[#This Row],[Total Item Quantity]]-Tableau1[[#This Row],[Total item réceptionné]]</f>
        <v>5</v>
      </c>
      <c r="DH42" s="169"/>
      <c r="DI42" s="167"/>
    </row>
    <row r="43" spans="1:113" s="116" customFormat="1">
      <c r="A43" s="160" t="str">
        <f>CONCATENATE(Tableau1[[#This Row],[PO Number (Header)]],"-",Tableau1[[#This Row],[Line]])</f>
        <v>C000498080-4</v>
      </c>
      <c r="B43" s="493" t="s">
        <v>938</v>
      </c>
      <c r="C43" s="493" t="s">
        <v>726</v>
      </c>
      <c r="D43" s="493" t="s">
        <v>802</v>
      </c>
      <c r="E43" s="493"/>
      <c r="F43" s="175">
        <v>4</v>
      </c>
      <c r="G43" s="493" t="s">
        <v>810</v>
      </c>
      <c r="H43" s="332">
        <v>5</v>
      </c>
      <c r="I43" s="383">
        <v>16800</v>
      </c>
      <c r="J43" s="493" t="s">
        <v>629</v>
      </c>
      <c r="K43" s="175">
        <v>0</v>
      </c>
      <c r="L43" s="493"/>
      <c r="M43" s="493"/>
      <c r="N43" s="493"/>
      <c r="O43" s="493"/>
      <c r="P43" s="493"/>
      <c r="Q43" s="480" t="s">
        <v>630</v>
      </c>
      <c r="R43" s="395">
        <v>0</v>
      </c>
      <c r="S43" s="493" t="s">
        <v>902</v>
      </c>
      <c r="T43" s="493"/>
      <c r="U43" s="493"/>
      <c r="V43" s="493" t="s">
        <v>903</v>
      </c>
      <c r="W43" s="436" t="s">
        <v>943</v>
      </c>
      <c r="X43" s="436" t="s">
        <v>786</v>
      </c>
      <c r="Y43" s="167">
        <f>IF(ISBLANK(Tableau1[[#This Row],[PO Number (Header)]]),"",Tableau1[[#This Row],[Line Total]]/Tableau1[[#This Row],[Total Item Quantity]])</f>
        <v>3360</v>
      </c>
      <c r="Z43" s="169" t="str">
        <f>IF(ISNA(VLOOKUP(Tableau1[[#This Row],[Unique_AIB_ID]],UO_List[Unique_AIB_ID],1,FALSE)),IF(ISBLANK(Tableau1[[#This Row],[PO Number (Header)]]),"","FAUX"),"VRAI")</f>
        <v>VRAI</v>
      </c>
      <c r="AA43" s="169"/>
      <c r="AB43" s="164" t="str">
        <f>VLOOKUP(Tableau1[[#This Row],[Unique_AIB_ID]],UO_List[[Unique_AIB_ID]:[OLGA F6]],3,FALSE)</f>
        <v>3173-11</v>
      </c>
      <c r="AC43" s="164" t="s">
        <v>777</v>
      </c>
      <c r="AD43" s="83">
        <f>SUMPRODUCT(1*(EXACT(CONCATENATE(Tableau1[[#This Row],[PO Number (Header)]],"-",Tableau1[[#This Row],[Line]]),UO_List[Unique_AIB_ID]))*(UO_List[Qté Réception 03/2020]))</f>
        <v>0</v>
      </c>
      <c r="AE43" s="84">
        <v>0</v>
      </c>
      <c r="AF43" s="357"/>
      <c r="AG43" s="351">
        <f>IFERROR(Tableau1[[#This Row],[Qté Facturé 01/2018]]*Tableau1[[#This Row],[Unit Price (calcul)]],"")</f>
        <v>0</v>
      </c>
      <c r="AH43" s="356" t="str">
        <f>IFERROR(IF(Tableau1[[#This Row],[Montant Facturé 01/2018]]&gt;0,Tableau1[[#This Row],[Montant Facturé 01/2018]]/Taux_Change_SII,""),"")</f>
        <v/>
      </c>
      <c r="AI43" s="351"/>
      <c r="AJ43" s="83">
        <f>SUMPRODUCT(1*(EXACT(CONCATENATE(Tableau1[[#This Row],[PO Number (Header)]],"-",Tableau1[[#This Row],[Line]]),UO_List[Unique_AIB_ID]))*(UO_List[Qté Réception 02/2020]))</f>
        <v>0</v>
      </c>
      <c r="AK43" s="83">
        <f>SUMPRODUCT(1*(EXACT(CONCATENATE(Tableau1[[#This Row],[PO Number (Header)]],"-",Tableau1[[#This Row],[Line]]),UO_List[Unique_AIB_ID]))*(UO_List[Qté Réception 02/2020]))</f>
        <v>0</v>
      </c>
      <c r="AL43" s="357"/>
      <c r="AM43" s="351">
        <f>IFERROR(Tableau1[[#This Row],[Qté Facturé 02/2018]]*Tableau1[[#This Row],[Unit Price (calcul)]],"")</f>
        <v>0</v>
      </c>
      <c r="AN43" s="351" t="str">
        <f>IFERROR(IF(Tableau1[[#This Row],[Montant Facturé 02/2018]]&gt;0,Tableau1[[#This Row],[Montant Facturé 02/2018]]/Taux_Change_SII,""),"")</f>
        <v/>
      </c>
      <c r="AO43" s="351"/>
      <c r="AP43" s="83">
        <f>SUMPRODUCT(1*(EXACT(CONCATENATE(Tableau1[[#This Row],[PO Number (Header)]],"-",Tableau1[[#This Row],[Line]]),UO_List[Unique_AIB_ID]))*(UO_List[Qté Réception 00/2020]))</f>
        <v>0</v>
      </c>
      <c r="AQ43" s="84">
        <v>0</v>
      </c>
      <c r="AR43" s="357"/>
      <c r="AS43" s="357">
        <f>IFERROR(Tableau1[[#This Row],[Qté Facturé 03/2018]]*Tableau1[[#This Row],[Unit Price (calcul)]],"")</f>
        <v>0</v>
      </c>
      <c r="AT43" s="358" t="str">
        <f>IFERROR(IF(Tableau1[[#This Row],[Montant Facturé 03/2018]]&gt;0,Tableau1[[#This Row],[Montant Facturé 03/2018]]/Taux_Change_SII,""),"")</f>
        <v/>
      </c>
      <c r="AU43" s="351"/>
      <c r="AV43" s="83">
        <f>SUMPRODUCT(1*(EXACT(CONCATENATE(Tableau1[[#This Row],[PO Number (Header)]],"-",Tableau1[[#This Row],[Line]]),UO_List[Unique_AIB_ID]))*(UO_List[Qté Réception 04/2020]))</f>
        <v>0</v>
      </c>
      <c r="AW43" s="84">
        <v>0</v>
      </c>
      <c r="AX43" s="351"/>
      <c r="AY43" s="351">
        <f>IFERROR(Tableau1[[#This Row],[Qté Facturé 04/2018]]*Tableau1[[#This Row],[Unit Price (calcul)]],"")</f>
        <v>0</v>
      </c>
      <c r="AZ43" s="351" t="str">
        <f>IFERROR(IF(Tableau1[[#This Row],[Montant Facturé 04/2018]]&gt;0,Tableau1[[#This Row],[Montant Facturé 04/2018]]/Taux_Change_SII,""),"")</f>
        <v/>
      </c>
      <c r="BA43" s="351"/>
      <c r="BB43" s="83">
        <f>SUMPRODUCT(1*(EXACT(CONCATENATE(Tableau1[[#This Row],[PO Number (Header)]],"-",Tableau1[[#This Row],[Line]]),UO_List[Unique_AIB_ID]))*(UO_List[Qté Réception 05/2020]))</f>
        <v>0</v>
      </c>
      <c r="BC43" s="84"/>
      <c r="BD43" s="351"/>
      <c r="BE43" s="351">
        <f>IFERROR(Tableau1[[#This Row],[Qté Facturé 05/2018]]*Tableau1[[#This Row],[Unit Price (calcul)]],"")</f>
        <v>0</v>
      </c>
      <c r="BF43" s="351" t="str">
        <f>IFERROR(IF(Tableau1[[#This Row],[Montant Facturé 05/2018]]&gt;0,Tableau1[[#This Row],[Montant Facturé 05/2018]]/Taux_Change_SII,""),"")</f>
        <v/>
      </c>
      <c r="BG43" s="351"/>
      <c r="BH43" s="83">
        <f>SUMPRODUCT(1*(EXACT(CONCATENATE(Tableau1[[#This Row],[PO Number (Header)]],"-",Tableau1[[#This Row],[Line]]),UO_List[Unique_AIB_ID]))*(UO_List[Qté Réception 06/2020]))</f>
        <v>0</v>
      </c>
      <c r="BI43" s="84"/>
      <c r="BJ43" s="351"/>
      <c r="BK43" s="351">
        <f>IFERROR(Tableau1[[#This Row],[Qté Facturé 06/2018]]*Tableau1[[#This Row],[Unit Price (calcul)]],"")</f>
        <v>0</v>
      </c>
      <c r="BL43" s="351" t="str">
        <f>IFERROR(IF(Tableau1[[#This Row],[Montant Facturé 06/2018]]&gt;0,Tableau1[[#This Row],[Montant Facturé 06/2018]]/Taux_Change_SII,""),"")</f>
        <v/>
      </c>
      <c r="BM43" s="351"/>
      <c r="BN43" s="83">
        <f>SUMPRODUCT(1*(EXACT(CONCATENATE(Tableau1[[#This Row],[PO Number (Header)]],"-",Tableau1[[#This Row],[Line]]),UO_List[Unique_AIB_ID]))*(UO_List[Qté Réception 07/2020]))</f>
        <v>0</v>
      </c>
      <c r="BO43" s="84">
        <v>0</v>
      </c>
      <c r="BP43" s="351"/>
      <c r="BQ43" s="351">
        <f>IFERROR(Tableau1[[#This Row],[Qté Facturé 07/2018]]*Tableau1[[#This Row],[Unit Price (calcul)]],"")</f>
        <v>0</v>
      </c>
      <c r="BR43" s="351" t="str">
        <f>IFERROR(IF(Tableau1[[#This Row],[Montant Facturé 07/2018]]&gt;0,Tableau1[[#This Row],[Montant Facturé 07/2018]]/Taux_Change_SII,""),"")</f>
        <v/>
      </c>
      <c r="BS43" s="351"/>
      <c r="BT43" s="83">
        <f>SUMPRODUCT(1*(EXACT(CONCATENATE(Tableau1[[#This Row],[PO Number (Header)]],"-",Tableau1[[#This Row],[Line]]),UO_List[Unique_AIB_ID]))*(UO_List[Qté Réception 08/2020]))</f>
        <v>0</v>
      </c>
      <c r="BU43" s="84"/>
      <c r="BV43" s="351"/>
      <c r="BW43" s="351">
        <f>IFERROR(Tableau1[[#This Row],[Qté Facturé 08/2018]]*Tableau1[[#This Row],[Unit Price (calcul)]],"")</f>
        <v>0</v>
      </c>
      <c r="BX43" s="351" t="str">
        <f>IFERROR(IF(Tableau1[[#This Row],[Montant Facturé 08/2018]]&gt;0,Tableau1[[#This Row],[Montant Facturé 08/2018]]/Taux_Change_SII,""),"")</f>
        <v/>
      </c>
      <c r="BY43" s="351"/>
      <c r="BZ43" s="83">
        <f>SUMPRODUCT(1*(EXACT(CONCATENATE(Tableau1[[#This Row],[PO Number (Header)]],"-",Tableau1[[#This Row],[Line]]),UO_List[Unique_AIB_ID]))*(UO_List[Qté Réception 09/2020]))</f>
        <v>0</v>
      </c>
      <c r="CA43" s="84">
        <v>0</v>
      </c>
      <c r="CB43" s="351"/>
      <c r="CC43" s="351">
        <f>IFERROR(Tableau1[[#This Row],[Qté Facturé 09/2018]]*Tableau1[[#This Row],[Unit Price (calcul)]],"")</f>
        <v>0</v>
      </c>
      <c r="CD43" s="351" t="str">
        <f>IFERROR(IF(Tableau1[[#This Row],[Montant Facturé 09/2018]]&gt;0,Tableau1[[#This Row],[Montant Facturé 09/2018]]/Taux_Change_SII,""),"")</f>
        <v/>
      </c>
      <c r="CE43" s="351"/>
      <c r="CF43" s="83">
        <f>SUMPRODUCT(1*(EXACT(CONCATENATE(Tableau1[[#This Row],[PO Number (Header)]],"-",Tableau1[[#This Row],[Line]]),UO_List[Unique_AIB_ID]))*(UO_List[Qté Réception 10/2020]))</f>
        <v>0</v>
      </c>
      <c r="CG43" s="84">
        <v>0</v>
      </c>
      <c r="CH43" s="351"/>
      <c r="CI43" s="351">
        <f>IFERROR(Tableau1[[#This Row],[Qté Facturé 10/2018]]*Tableau1[[#This Row],[Unit Price (calcul)]],"")</f>
        <v>0</v>
      </c>
      <c r="CJ43" s="351" t="str">
        <f>IFERROR(IF(Tableau1[[#This Row],[Montant Facturé 10/2018]]&gt;0,Tableau1[[#This Row],[Montant Facturé 10/2018]]/Taux_Change_SII,""),"")</f>
        <v/>
      </c>
      <c r="CK43" s="351"/>
      <c r="CL43" s="83">
        <f>SUMPRODUCT(1*(EXACT(CONCATENATE(Tableau1[[#This Row],[PO Number (Header)]],"-",Tableau1[[#This Row],[Line]]),UO_List[Unique_AIB_ID]))*(UO_List[Qté Réception 11/2020]))</f>
        <v>0</v>
      </c>
      <c r="CM43" s="84"/>
      <c r="CN43" s="351"/>
      <c r="CO43" s="351">
        <f>IFERROR(Tableau1[[#This Row],[Qté Facturé 11/2018]]*Tableau1[[#This Row],[Unit Price (calcul)]],"")</f>
        <v>0</v>
      </c>
      <c r="CP43" s="351" t="str">
        <f>IFERROR(IF(Tableau1[[#This Row],[Montant Facturé 11/2018]]&gt;0,Tableau1[[#This Row],[Montant Facturé 11/2018]]/Taux_Change_SII,""),"")</f>
        <v/>
      </c>
      <c r="CQ43" s="351"/>
      <c r="CR43" s="83">
        <f>SUMPRODUCT(1*(EXACT(CONCATENATE(Tableau1[[#This Row],[PO Number (Header)]],"-",Tableau1[[#This Row],[Line]]),UO_List[Unique_AIB_ID]))*(UO_List[Qté Réception 12/2020]))</f>
        <v>0</v>
      </c>
      <c r="CS43" s="84"/>
      <c r="CT43" s="351"/>
      <c r="CU43" s="351">
        <f>IFERROR(Tableau1[[#This Row],[Qté Facturé 12/2018]]*Tableau1[[#This Row],[Unit Price (calcul)]],"")</f>
        <v>0</v>
      </c>
      <c r="CV43" s="351" t="str">
        <f>IFERROR(IF(Tableau1[[#This Row],[Montant Facturé 12/2018]]&gt;0,Tableau1[[#This Row],[Montant Facturé 12/2018]]/Taux_Change_SII,""),"")</f>
        <v/>
      </c>
      <c r="CW43" s="351"/>
      <c r="CX4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3" s="352">
        <f>IFERROR(Tableau1[[#This Row],[Total item réceptionné]]*Tableau1[[#This Row],[Unit Price (calcul)]],"")</f>
        <v>0</v>
      </c>
      <c r="DB43" s="352">
        <f>IFERROR(Tableau1[[#This Row],[Total item à Facturer]]*Tableau1[[#This Row],[Unit Price (calcul)]],"")</f>
        <v>0</v>
      </c>
      <c r="DC43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0</v>
      </c>
      <c r="DD43" s="352">
        <f>IFERROR(Tableau1[[#This Row],[Line Total]]-Tableau1[[#This Row],[Total Price Réceptionné]],"")</f>
        <v>16800</v>
      </c>
      <c r="DE43" s="352">
        <f>IFERROR(Tableau1[[#This Row],[Total Price Réceptionné]]-Tableau1[[#This Row],[Total Price A facturer]],"")</f>
        <v>0</v>
      </c>
      <c r="DF43" s="353">
        <f>IFERROR(Tableau1[[#This Row],[Total Price A facturer]]-Tableau1[[#This Row],[Total Price Facturé]],"")</f>
        <v>0</v>
      </c>
      <c r="DG43" s="76">
        <f>Tableau1[[#This Row],[Total Item Quantity]]-Tableau1[[#This Row],[Total item réceptionné]]</f>
        <v>5</v>
      </c>
      <c r="DH43" s="169"/>
      <c r="DI43" s="167"/>
    </row>
    <row r="44" spans="1:113" s="74" customFormat="1">
      <c r="A44" s="77" t="str">
        <f>CONCATENATE(Tableau1[[#This Row],[PO Number (Header)]],"-",Tableau1[[#This Row],[Line]])</f>
        <v>C000498080-5</v>
      </c>
      <c r="B44" s="493" t="s">
        <v>938</v>
      </c>
      <c r="C44" s="493" t="s">
        <v>726</v>
      </c>
      <c r="D44" s="493" t="s">
        <v>802</v>
      </c>
      <c r="E44" s="493"/>
      <c r="F44" s="175">
        <v>5</v>
      </c>
      <c r="G44" s="493" t="s">
        <v>944</v>
      </c>
      <c r="H44" s="332">
        <v>4</v>
      </c>
      <c r="I44" s="383">
        <v>40480</v>
      </c>
      <c r="J44" s="493" t="s">
        <v>629</v>
      </c>
      <c r="K44" s="175">
        <v>0</v>
      </c>
      <c r="L44" s="493"/>
      <c r="M44" s="493"/>
      <c r="O44" s="493"/>
      <c r="P44" s="493"/>
      <c r="Q44" s="480" t="s">
        <v>630</v>
      </c>
      <c r="R44" s="395">
        <v>0</v>
      </c>
      <c r="S44" s="493" t="s">
        <v>902</v>
      </c>
      <c r="U44" s="493"/>
      <c r="V44" s="493" t="s">
        <v>903</v>
      </c>
      <c r="W44" s="436" t="s">
        <v>945</v>
      </c>
      <c r="X44" s="436" t="s">
        <v>786</v>
      </c>
      <c r="Y44" s="167">
        <f>IF(ISBLANK(Tableau1[[#This Row],[PO Number (Header)]]),"",Tableau1[[#This Row],[Line Total]]/Tableau1[[#This Row],[Total Item Quantity]])</f>
        <v>10120</v>
      </c>
      <c r="Z44" s="167" t="str">
        <f>IF(ISNA(VLOOKUP(Tableau1[[#This Row],[Unique_AIB_ID]],UO_List[Unique_AIB_ID],1,FALSE)),IF(ISBLANK(Tableau1[[#This Row],[PO Number (Header)]]),"","FAUX"),"VRAI")</f>
        <v>VRAI</v>
      </c>
      <c r="AA44" s="167" t="s">
        <v>634</v>
      </c>
      <c r="AB44" s="162" t="str">
        <f>VLOOKUP(Tableau1[[#This Row],[Unique_AIB_ID]],UO_List[[Unique_AIB_ID]:[OLGA F6]],3,FALSE)</f>
        <v>3173-11</v>
      </c>
      <c r="AC44" s="164" t="s">
        <v>996</v>
      </c>
      <c r="AD44" s="83">
        <f>SUMPRODUCT(1*(EXACT(CONCATENATE(Tableau1[[#This Row],[PO Number (Header)]],"-",Tableau1[[#This Row],[Line]]),UO_List[Unique_AIB_ID]))*(UO_List[Qté Réception 03/2020]))</f>
        <v>1</v>
      </c>
      <c r="AE44" s="84">
        <v>1</v>
      </c>
      <c r="AF44" s="84">
        <v>1</v>
      </c>
      <c r="AG44" s="351">
        <f>IFERROR(Tableau1[[#This Row],[Qté Facturé 01/2018]]*Tableau1[[#This Row],[Unit Price (calcul)]],"")</f>
        <v>10120</v>
      </c>
      <c r="AH44" s="356">
        <f>IFERROR(IF(Tableau1[[#This Row],[Montant Facturé 01/2018]]&gt;0,Tableau1[[#This Row],[Montant Facturé 01/2018]]/Taux_Change_SII,""),"")</f>
        <v>7496.2962962962956</v>
      </c>
      <c r="AI44" s="351"/>
      <c r="AJ44" s="83">
        <f>SUMPRODUCT(1*(EXACT(CONCATENATE(Tableau1[[#This Row],[PO Number (Header)]],"-",Tableau1[[#This Row],[Line]]),UO_List[Unique_AIB_ID]))*(UO_List[Qté Réception 02/2020]))</f>
        <v>0</v>
      </c>
      <c r="AK44" s="83">
        <f>SUMPRODUCT(1*(EXACT(CONCATENATE(Tableau1[[#This Row],[PO Number (Header)]],"-",Tableau1[[#This Row],[Line]]),UO_List[Unique_AIB_ID]))*(UO_List[Qté Réception 02/2020]))</f>
        <v>0</v>
      </c>
      <c r="AL44" s="357"/>
      <c r="AM44" s="351">
        <f>IFERROR(Tableau1[[#This Row],[Qté Facturé 02/2018]]*Tableau1[[#This Row],[Unit Price (calcul)]],"")</f>
        <v>0</v>
      </c>
      <c r="AN44" s="351" t="str">
        <f>IFERROR(IF(Tableau1[[#This Row],[Montant Facturé 02/2018]]&gt;0,Tableau1[[#This Row],[Montant Facturé 02/2018]]/Taux_Change_SII,""),"")</f>
        <v/>
      </c>
      <c r="AO44" s="351"/>
      <c r="AP44" s="83">
        <f>SUMPRODUCT(1*(EXACT(CONCATENATE(Tableau1[[#This Row],[PO Number (Header)]],"-",Tableau1[[#This Row],[Line]]),UO_List[Unique_AIB_ID]))*(UO_List[Qté Réception 00/2020]))</f>
        <v>0</v>
      </c>
      <c r="AQ44" s="84">
        <v>0</v>
      </c>
      <c r="AR44" s="357"/>
      <c r="AS44" s="357">
        <f>IFERROR(Tableau1[[#This Row],[Qté Facturé 03/2018]]*Tableau1[[#This Row],[Unit Price (calcul)]],"")</f>
        <v>0</v>
      </c>
      <c r="AT44" s="358" t="str">
        <f>IFERROR(IF(Tableau1[[#This Row],[Montant Facturé 03/2018]]&gt;0,Tableau1[[#This Row],[Montant Facturé 03/2018]]/Taux_Change_SII,""),"")</f>
        <v/>
      </c>
      <c r="AU44" s="351"/>
      <c r="AV44" s="83">
        <f>SUMPRODUCT(1*(EXACT(CONCATENATE(Tableau1[[#This Row],[PO Number (Header)]],"-",Tableau1[[#This Row],[Line]]),UO_List[Unique_AIB_ID]))*(UO_List[Qté Réception 04/2020]))</f>
        <v>0</v>
      </c>
      <c r="AW44" s="84">
        <v>0</v>
      </c>
      <c r="AX44" s="351"/>
      <c r="AY44" s="351">
        <f>IFERROR(Tableau1[[#This Row],[Qté Facturé 04/2018]]*Tableau1[[#This Row],[Unit Price (calcul)]],"")</f>
        <v>0</v>
      </c>
      <c r="AZ44" s="351" t="str">
        <f>IFERROR(IF(Tableau1[[#This Row],[Montant Facturé 04/2018]]&gt;0,Tableau1[[#This Row],[Montant Facturé 04/2018]]/Taux_Change_SII,""),"")</f>
        <v/>
      </c>
      <c r="BA44" s="351"/>
      <c r="BB44" s="83">
        <f>SUMPRODUCT(1*(EXACT(CONCATENATE(Tableau1[[#This Row],[PO Number (Header)]],"-",Tableau1[[#This Row],[Line]]),UO_List[Unique_AIB_ID]))*(UO_List[Qté Réception 05/2020]))</f>
        <v>0</v>
      </c>
      <c r="BC44" s="84"/>
      <c r="BD44" s="351"/>
      <c r="BE44" s="351">
        <f>IFERROR(Tableau1[[#This Row],[Qté Facturé 05/2018]]*Tableau1[[#This Row],[Unit Price (calcul)]],"")</f>
        <v>0</v>
      </c>
      <c r="BF44" s="351" t="str">
        <f>IFERROR(IF(Tableau1[[#This Row],[Montant Facturé 05/2018]]&gt;0,Tableau1[[#This Row],[Montant Facturé 05/2018]]/Taux_Change_SII,""),"")</f>
        <v/>
      </c>
      <c r="BG44" s="351"/>
      <c r="BH44" s="83">
        <f>SUMPRODUCT(1*(EXACT(CONCATENATE(Tableau1[[#This Row],[PO Number (Header)]],"-",Tableau1[[#This Row],[Line]]),UO_List[Unique_AIB_ID]))*(UO_List[Qté Réception 06/2020]))</f>
        <v>0</v>
      </c>
      <c r="BI44" s="84">
        <v>0</v>
      </c>
      <c r="BJ44" s="351"/>
      <c r="BK44" s="351">
        <f>IFERROR(Tableau1[[#This Row],[Qté Facturé 06/2018]]*Tableau1[[#This Row],[Unit Price (calcul)]],"")</f>
        <v>0</v>
      </c>
      <c r="BL44" s="351" t="str">
        <f>IFERROR(IF(Tableau1[[#This Row],[Montant Facturé 06/2018]]&gt;0,Tableau1[[#This Row],[Montant Facturé 06/2018]]/Taux_Change_SII,""),"")</f>
        <v/>
      </c>
      <c r="BM44" s="351"/>
      <c r="BN44" s="83">
        <f>SUMPRODUCT(1*(EXACT(CONCATENATE(Tableau1[[#This Row],[PO Number (Header)]],"-",Tableau1[[#This Row],[Line]]),UO_List[Unique_AIB_ID]))*(UO_List[Qté Réception 07/2020]))</f>
        <v>0</v>
      </c>
      <c r="BO44" s="84">
        <v>0</v>
      </c>
      <c r="BP44" s="351"/>
      <c r="BQ44" s="351">
        <f>IFERROR(Tableau1[[#This Row],[Qté Facturé 07/2018]]*Tableau1[[#This Row],[Unit Price (calcul)]],"")</f>
        <v>0</v>
      </c>
      <c r="BR44" s="351" t="str">
        <f>IFERROR(IF(Tableau1[[#This Row],[Montant Facturé 07/2018]]&gt;0,Tableau1[[#This Row],[Montant Facturé 07/2018]]/Taux_Change_SII,""),"")</f>
        <v/>
      </c>
      <c r="BS44" s="351"/>
      <c r="BT44" s="83">
        <f>SUMPRODUCT(1*(EXACT(CONCATENATE(Tableau1[[#This Row],[PO Number (Header)]],"-",Tableau1[[#This Row],[Line]]),UO_List[Unique_AIB_ID]))*(UO_List[Qté Réception 08/2020]))</f>
        <v>0</v>
      </c>
      <c r="BU44" s="84"/>
      <c r="BV44" s="351"/>
      <c r="BW44" s="351">
        <f>IFERROR(Tableau1[[#This Row],[Qté Facturé 08/2018]]*Tableau1[[#This Row],[Unit Price (calcul)]],"")</f>
        <v>0</v>
      </c>
      <c r="BX44" s="351" t="str">
        <f>IFERROR(IF(Tableau1[[#This Row],[Montant Facturé 08/2018]]&gt;0,Tableau1[[#This Row],[Montant Facturé 08/2018]]/Taux_Change_SII,""),"")</f>
        <v/>
      </c>
      <c r="BY44" s="351"/>
      <c r="BZ44" s="83">
        <f>SUMPRODUCT(1*(EXACT(CONCATENATE(Tableau1[[#This Row],[PO Number (Header)]],"-",Tableau1[[#This Row],[Line]]),UO_List[Unique_AIB_ID]))*(UO_List[Qté Réception 09/2020]))</f>
        <v>0</v>
      </c>
      <c r="CA44" s="84">
        <v>0</v>
      </c>
      <c r="CB44" s="351"/>
      <c r="CC44" s="351">
        <f>IFERROR(Tableau1[[#This Row],[Qté Facturé 09/2018]]*Tableau1[[#This Row],[Unit Price (calcul)]],"")</f>
        <v>0</v>
      </c>
      <c r="CD44" s="351" t="str">
        <f>IFERROR(IF(Tableau1[[#This Row],[Montant Facturé 09/2018]]&gt;0,Tableau1[[#This Row],[Montant Facturé 09/2018]]/Taux_Change_SII,""),"")</f>
        <v/>
      </c>
      <c r="CE44" s="351"/>
      <c r="CF44" s="83">
        <f>SUMPRODUCT(1*(EXACT(CONCATENATE(Tableau1[[#This Row],[PO Number (Header)]],"-",Tableau1[[#This Row],[Line]]),UO_List[Unique_AIB_ID]))*(UO_List[Qté Réception 10/2020]))</f>
        <v>0</v>
      </c>
      <c r="CG44" s="84">
        <v>0</v>
      </c>
      <c r="CH44" s="351"/>
      <c r="CI44" s="351">
        <f>IFERROR(Tableau1[[#This Row],[Qté Facturé 10/2018]]*Tableau1[[#This Row],[Unit Price (calcul)]],"")</f>
        <v>0</v>
      </c>
      <c r="CJ44" s="351" t="str">
        <f>IFERROR(IF(Tableau1[[#This Row],[Montant Facturé 10/2018]]&gt;0,Tableau1[[#This Row],[Montant Facturé 10/2018]]/Taux_Change_SII,""),"")</f>
        <v/>
      </c>
      <c r="CK44" s="351"/>
      <c r="CL44" s="83">
        <f>SUMPRODUCT(1*(EXACT(CONCATENATE(Tableau1[[#This Row],[PO Number (Header)]],"-",Tableau1[[#This Row],[Line]]),UO_List[Unique_AIB_ID]))*(UO_List[Qté Réception 11/2020]))</f>
        <v>0</v>
      </c>
      <c r="CM44" s="84"/>
      <c r="CN44" s="351"/>
      <c r="CO44" s="351">
        <f>IFERROR(Tableau1[[#This Row],[Qté Facturé 11/2018]]*Tableau1[[#This Row],[Unit Price (calcul)]],"")</f>
        <v>0</v>
      </c>
      <c r="CP44" s="351" t="str">
        <f>IFERROR(IF(Tableau1[[#This Row],[Montant Facturé 11/2018]]&gt;0,Tableau1[[#This Row],[Montant Facturé 11/2018]]/Taux_Change_SII,""),"")</f>
        <v/>
      </c>
      <c r="CQ44" s="351"/>
      <c r="CR44" s="83">
        <f>SUMPRODUCT(1*(EXACT(CONCATENATE(Tableau1[[#This Row],[PO Number (Header)]],"-",Tableau1[[#This Row],[Line]]),UO_List[Unique_AIB_ID]))*(UO_List[Qté Réception 12/2020]))</f>
        <v>0</v>
      </c>
      <c r="CS44" s="84"/>
      <c r="CT44" s="351"/>
      <c r="CU44" s="351">
        <f>IFERROR(Tableau1[[#This Row],[Qté Facturé 12/2018]]*Tableau1[[#This Row],[Unit Price (calcul)]],"")</f>
        <v>0</v>
      </c>
      <c r="CV44" s="351" t="str">
        <f>IFERROR(IF(Tableau1[[#This Row],[Montant Facturé 12/2018]]&gt;0,Tableau1[[#This Row],[Montant Facturé 12/2018]]/Taux_Change_SII,""),"")</f>
        <v/>
      </c>
      <c r="CW44" s="351"/>
      <c r="CX4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4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4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44" s="352">
        <f>IFERROR(Tableau1[[#This Row],[Total item réceptionné]]*Tableau1[[#This Row],[Unit Price (calcul)]],"")</f>
        <v>10120</v>
      </c>
      <c r="DB44" s="352">
        <f>IFERROR(Tableau1[[#This Row],[Total item à Facturer]]*Tableau1[[#This Row],[Unit Price (calcul)]],"")</f>
        <v>10120</v>
      </c>
      <c r="DC44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10120</v>
      </c>
      <c r="DD44" s="352">
        <f>IFERROR(Tableau1[[#This Row],[Line Total]]-Tableau1[[#This Row],[Total Price Réceptionné]],"")</f>
        <v>30360</v>
      </c>
      <c r="DE44" s="352">
        <f>IFERROR(Tableau1[[#This Row],[Total Price Réceptionné]]-Tableau1[[#This Row],[Total Price A facturer]],"")</f>
        <v>0</v>
      </c>
      <c r="DF44" s="353">
        <f>IFERROR(Tableau1[[#This Row],[Total Price A facturer]]-Tableau1[[#This Row],[Total Price Facturé]],"")</f>
        <v>0</v>
      </c>
      <c r="DG44" s="76">
        <f>Tableau1[[#This Row],[Total Item Quantity]]-Tableau1[[#This Row],[Total item réceptionné]]</f>
        <v>3</v>
      </c>
      <c r="DH44" s="167"/>
      <c r="DI44" s="167"/>
    </row>
    <row r="45" spans="1:113" s="74" customFormat="1">
      <c r="A45" s="77" t="str">
        <f>CONCATENATE(Tableau1[[#This Row],[PO Number (Header)]],"-",Tableau1[[#This Row],[Line]])</f>
        <v>C000498080-6</v>
      </c>
      <c r="B45" s="493" t="s">
        <v>938</v>
      </c>
      <c r="C45" s="493" t="s">
        <v>726</v>
      </c>
      <c r="D45" s="493" t="s">
        <v>802</v>
      </c>
      <c r="E45" s="493"/>
      <c r="F45" s="175">
        <v>6</v>
      </c>
      <c r="G45" s="493" t="s">
        <v>946</v>
      </c>
      <c r="H45" s="332">
        <v>2</v>
      </c>
      <c r="I45" s="383">
        <v>20240</v>
      </c>
      <c r="J45" s="493" t="s">
        <v>629</v>
      </c>
      <c r="K45" s="175">
        <v>0</v>
      </c>
      <c r="L45" s="493"/>
      <c r="M45" s="493"/>
      <c r="O45" s="493"/>
      <c r="P45" s="493"/>
      <c r="Q45" s="480" t="s">
        <v>630</v>
      </c>
      <c r="R45" s="395">
        <v>0</v>
      </c>
      <c r="S45" s="493" t="s">
        <v>902</v>
      </c>
      <c r="U45" s="493"/>
      <c r="V45" s="493" t="s">
        <v>903</v>
      </c>
      <c r="W45" s="436" t="s">
        <v>947</v>
      </c>
      <c r="X45" s="436" t="s">
        <v>786</v>
      </c>
      <c r="Y45" s="167">
        <f>IF(ISBLANK(Tableau1[[#This Row],[PO Number (Header)]]),"",Tableau1[[#This Row],[Line Total]]/Tableau1[[#This Row],[Total Item Quantity]])</f>
        <v>10120</v>
      </c>
      <c r="Z45" s="167" t="str">
        <f>IF(ISNA(VLOOKUP(Tableau1[[#This Row],[Unique_AIB_ID]],UO_List[Unique_AIB_ID],1,FALSE)),IF(ISBLANK(Tableau1[[#This Row],[PO Number (Header)]]),"","FAUX"),"VRAI")</f>
        <v>VRAI</v>
      </c>
      <c r="AA45" s="167" t="s">
        <v>634</v>
      </c>
      <c r="AB45" s="162" t="str">
        <f>VLOOKUP(Tableau1[[#This Row],[Unique_AIB_ID]],UO_List[[Unique_AIB_ID]:[OLGA F6]],3,FALSE)</f>
        <v>3173-11</v>
      </c>
      <c r="AC45" s="164" t="s">
        <v>996</v>
      </c>
      <c r="AD45" s="83">
        <f>SUMPRODUCT(1*(EXACT(CONCATENATE(Tableau1[[#This Row],[PO Number (Header)]],"-",Tableau1[[#This Row],[Line]]),UO_List[Unique_AIB_ID]))*(UO_List[Qté Réception 03/2020]))</f>
        <v>1</v>
      </c>
      <c r="AE45" s="84">
        <v>1</v>
      </c>
      <c r="AF45" s="84">
        <v>1</v>
      </c>
      <c r="AG45" s="351">
        <f>IFERROR(Tableau1[[#This Row],[Qté Facturé 01/2018]]*Tableau1[[#This Row],[Unit Price (calcul)]],"")</f>
        <v>10120</v>
      </c>
      <c r="AH45" s="356">
        <f>IFERROR(IF(Tableau1[[#This Row],[Montant Facturé 01/2018]]&gt;0,Tableau1[[#This Row],[Montant Facturé 01/2018]]/Taux_Change_SII,""),"")</f>
        <v>7496.2962962962956</v>
      </c>
      <c r="AI45" s="351"/>
      <c r="AJ45" s="83">
        <f>SUMPRODUCT(1*(EXACT(CONCATENATE(Tableau1[[#This Row],[PO Number (Header)]],"-",Tableau1[[#This Row],[Line]]),UO_List[Unique_AIB_ID]))*(UO_List[Qté Réception 02/2020]))</f>
        <v>0</v>
      </c>
      <c r="AK45" s="83">
        <f>SUMPRODUCT(1*(EXACT(CONCATENATE(Tableau1[[#This Row],[PO Number (Header)]],"-",Tableau1[[#This Row],[Line]]),UO_List[Unique_AIB_ID]))*(UO_List[Qté Réception 02/2020]))</f>
        <v>0</v>
      </c>
      <c r="AL45" s="357"/>
      <c r="AM45" s="351">
        <f>IFERROR(Tableau1[[#This Row],[Qté Facturé 02/2018]]*Tableau1[[#This Row],[Unit Price (calcul)]],"")</f>
        <v>0</v>
      </c>
      <c r="AN45" s="351" t="str">
        <f>IFERROR(IF(Tableau1[[#This Row],[Montant Facturé 02/2018]]&gt;0,Tableau1[[#This Row],[Montant Facturé 02/2018]]/Taux_Change_SII,""),"")</f>
        <v/>
      </c>
      <c r="AO45" s="351"/>
      <c r="AP45" s="83">
        <f>SUMPRODUCT(1*(EXACT(CONCATENATE(Tableau1[[#This Row],[PO Number (Header)]],"-",Tableau1[[#This Row],[Line]]),UO_List[Unique_AIB_ID]))*(UO_List[Qté Réception 00/2020]))</f>
        <v>0</v>
      </c>
      <c r="AQ45" s="84">
        <v>0</v>
      </c>
      <c r="AR45" s="357"/>
      <c r="AS45" s="357">
        <f>IFERROR(Tableau1[[#This Row],[Qté Facturé 03/2018]]*Tableau1[[#This Row],[Unit Price (calcul)]],"")</f>
        <v>0</v>
      </c>
      <c r="AT45" s="358" t="str">
        <f>IFERROR(IF(Tableau1[[#This Row],[Montant Facturé 03/2018]]&gt;0,Tableau1[[#This Row],[Montant Facturé 03/2018]]/Taux_Change_SII,""),"")</f>
        <v/>
      </c>
      <c r="AU45" s="351"/>
      <c r="AV45" s="83">
        <f>SUMPRODUCT(1*(EXACT(CONCATENATE(Tableau1[[#This Row],[PO Number (Header)]],"-",Tableau1[[#This Row],[Line]]),UO_List[Unique_AIB_ID]))*(UO_List[Qté Réception 04/2020]))</f>
        <v>0</v>
      </c>
      <c r="AW45" s="84"/>
      <c r="AX45" s="351"/>
      <c r="AY45" s="351">
        <f>IFERROR(Tableau1[[#This Row],[Qté Facturé 04/2018]]*Tableau1[[#This Row],[Unit Price (calcul)]],"")</f>
        <v>0</v>
      </c>
      <c r="AZ45" s="351" t="str">
        <f>IFERROR(IF(Tableau1[[#This Row],[Montant Facturé 04/2018]]&gt;0,Tableau1[[#This Row],[Montant Facturé 04/2018]]/Taux_Change_SII,""),"")</f>
        <v/>
      </c>
      <c r="BA45" s="351"/>
      <c r="BB45" s="83">
        <f>SUMPRODUCT(1*(EXACT(CONCATENATE(Tableau1[[#This Row],[PO Number (Header)]],"-",Tableau1[[#This Row],[Line]]),UO_List[Unique_AIB_ID]))*(UO_List[Qté Réception 05/2020]))</f>
        <v>0</v>
      </c>
      <c r="BC45" s="84"/>
      <c r="BD45" s="351"/>
      <c r="BE45" s="351">
        <f>IFERROR(Tableau1[[#This Row],[Qté Facturé 05/2018]]*Tableau1[[#This Row],[Unit Price (calcul)]],"")</f>
        <v>0</v>
      </c>
      <c r="BF45" s="351" t="str">
        <f>IFERROR(IF(Tableau1[[#This Row],[Montant Facturé 05/2018]]&gt;0,Tableau1[[#This Row],[Montant Facturé 05/2018]]/Taux_Change_SII,""),"")</f>
        <v/>
      </c>
      <c r="BG45" s="351"/>
      <c r="BH45" s="83">
        <f>SUMPRODUCT(1*(EXACT(CONCATENATE(Tableau1[[#This Row],[PO Number (Header)]],"-",Tableau1[[#This Row],[Line]]),UO_List[Unique_AIB_ID]))*(UO_List[Qté Réception 06/2020]))</f>
        <v>0</v>
      </c>
      <c r="BI45" s="84">
        <v>0</v>
      </c>
      <c r="BJ45" s="351"/>
      <c r="BK45" s="351">
        <f>IFERROR(Tableau1[[#This Row],[Qté Facturé 06/2018]]*Tableau1[[#This Row],[Unit Price (calcul)]],"")</f>
        <v>0</v>
      </c>
      <c r="BL45" s="351" t="str">
        <f>IFERROR(IF(Tableau1[[#This Row],[Montant Facturé 06/2018]]&gt;0,Tableau1[[#This Row],[Montant Facturé 06/2018]]/Taux_Change_SII,""),"")</f>
        <v/>
      </c>
      <c r="BM45" s="351"/>
      <c r="BN45" s="83">
        <f>SUMPRODUCT(1*(EXACT(CONCATENATE(Tableau1[[#This Row],[PO Number (Header)]],"-",Tableau1[[#This Row],[Line]]),UO_List[Unique_AIB_ID]))*(UO_List[Qté Réception 07/2020]))</f>
        <v>0</v>
      </c>
      <c r="BO45" s="84">
        <v>0</v>
      </c>
      <c r="BP45" s="351"/>
      <c r="BQ45" s="351">
        <f>IFERROR(Tableau1[[#This Row],[Qté Facturé 07/2018]]*Tableau1[[#This Row],[Unit Price (calcul)]],"")</f>
        <v>0</v>
      </c>
      <c r="BR45" s="351" t="str">
        <f>IFERROR(IF(Tableau1[[#This Row],[Montant Facturé 07/2018]]&gt;0,Tableau1[[#This Row],[Montant Facturé 07/2018]]/Taux_Change_SII,""),"")</f>
        <v/>
      </c>
      <c r="BS45" s="351"/>
      <c r="BT45" s="83">
        <f>SUMPRODUCT(1*(EXACT(CONCATENATE(Tableau1[[#This Row],[PO Number (Header)]],"-",Tableau1[[#This Row],[Line]]),UO_List[Unique_AIB_ID]))*(UO_List[Qté Réception 08/2020]))</f>
        <v>0</v>
      </c>
      <c r="BU45" s="84"/>
      <c r="BV45" s="351"/>
      <c r="BW45" s="351">
        <f>IFERROR(Tableau1[[#This Row],[Qté Facturé 08/2018]]*Tableau1[[#This Row],[Unit Price (calcul)]],"")</f>
        <v>0</v>
      </c>
      <c r="BX45" s="351" t="str">
        <f>IFERROR(IF(Tableau1[[#This Row],[Montant Facturé 08/2018]]&gt;0,Tableau1[[#This Row],[Montant Facturé 08/2018]]/Taux_Change_SII,""),"")</f>
        <v/>
      </c>
      <c r="BY45" s="351"/>
      <c r="BZ45" s="83">
        <f>SUMPRODUCT(1*(EXACT(CONCATENATE(Tableau1[[#This Row],[PO Number (Header)]],"-",Tableau1[[#This Row],[Line]]),UO_List[Unique_AIB_ID]))*(UO_List[Qté Réception 09/2020]))</f>
        <v>0</v>
      </c>
      <c r="CA45" s="84">
        <v>0</v>
      </c>
      <c r="CB45" s="351"/>
      <c r="CC45" s="351">
        <f>IFERROR(Tableau1[[#This Row],[Qté Facturé 09/2018]]*Tableau1[[#This Row],[Unit Price (calcul)]],"")</f>
        <v>0</v>
      </c>
      <c r="CD45" s="351" t="str">
        <f>IFERROR(IF(Tableau1[[#This Row],[Montant Facturé 09/2018]]&gt;0,Tableau1[[#This Row],[Montant Facturé 09/2018]]/Taux_Change_SII,""),"")</f>
        <v/>
      </c>
      <c r="CE45" s="351"/>
      <c r="CF45" s="83">
        <f>SUMPRODUCT(1*(EXACT(CONCATENATE(Tableau1[[#This Row],[PO Number (Header)]],"-",Tableau1[[#This Row],[Line]]),UO_List[Unique_AIB_ID]))*(UO_List[Qté Réception 10/2020]))</f>
        <v>0</v>
      </c>
      <c r="CG45" s="84">
        <v>0</v>
      </c>
      <c r="CH45" s="351"/>
      <c r="CI45" s="351">
        <f>IFERROR(Tableau1[[#This Row],[Qté Facturé 10/2018]]*Tableau1[[#This Row],[Unit Price (calcul)]],"")</f>
        <v>0</v>
      </c>
      <c r="CJ45" s="351" t="str">
        <f>IFERROR(IF(Tableau1[[#This Row],[Montant Facturé 10/2018]]&gt;0,Tableau1[[#This Row],[Montant Facturé 10/2018]]/Taux_Change_SII,""),"")</f>
        <v/>
      </c>
      <c r="CK45" s="351"/>
      <c r="CL45" s="83">
        <f>SUMPRODUCT(1*(EXACT(CONCATENATE(Tableau1[[#This Row],[PO Number (Header)]],"-",Tableau1[[#This Row],[Line]]),UO_List[Unique_AIB_ID]))*(UO_List[Qté Réception 11/2020]))</f>
        <v>0</v>
      </c>
      <c r="CM45" s="84"/>
      <c r="CN45" s="351"/>
      <c r="CO45" s="351">
        <f>IFERROR(Tableau1[[#This Row],[Qté Facturé 11/2018]]*Tableau1[[#This Row],[Unit Price (calcul)]],"")</f>
        <v>0</v>
      </c>
      <c r="CP45" s="351" t="str">
        <f>IFERROR(IF(Tableau1[[#This Row],[Montant Facturé 11/2018]]&gt;0,Tableau1[[#This Row],[Montant Facturé 11/2018]]/Taux_Change_SII,""),"")</f>
        <v/>
      </c>
      <c r="CQ45" s="351"/>
      <c r="CR45" s="83">
        <f>SUMPRODUCT(1*(EXACT(CONCATENATE(Tableau1[[#This Row],[PO Number (Header)]],"-",Tableau1[[#This Row],[Line]]),UO_List[Unique_AIB_ID]))*(UO_List[Qté Réception 12/2020]))</f>
        <v>0</v>
      </c>
      <c r="CS45" s="84"/>
      <c r="CT45" s="351"/>
      <c r="CU45" s="351">
        <f>IFERROR(Tableau1[[#This Row],[Qté Facturé 12/2018]]*Tableau1[[#This Row],[Unit Price (calcul)]],"")</f>
        <v>0</v>
      </c>
      <c r="CV45" s="351" t="str">
        <f>IFERROR(IF(Tableau1[[#This Row],[Montant Facturé 12/2018]]&gt;0,Tableau1[[#This Row],[Montant Facturé 12/2018]]/Taux_Change_SII,""),"")</f>
        <v/>
      </c>
      <c r="CW45" s="351"/>
      <c r="CX4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1</v>
      </c>
      <c r="CY4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1</v>
      </c>
      <c r="CZ4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45" s="352">
        <f>IFERROR(Tableau1[[#This Row],[Total item réceptionné]]*Tableau1[[#This Row],[Unit Price (calcul)]],"")</f>
        <v>10120</v>
      </c>
      <c r="DB45" s="352">
        <f>IFERROR(Tableau1[[#This Row],[Total item à Facturer]]*Tableau1[[#This Row],[Unit Price (calcul)]],"")</f>
        <v>10120</v>
      </c>
      <c r="DC45" s="353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>10120</v>
      </c>
      <c r="DD45" s="352">
        <f>IFERROR(Tableau1[[#This Row],[Line Total]]-Tableau1[[#This Row],[Total Price Réceptionné]],"")</f>
        <v>10120</v>
      </c>
      <c r="DE45" s="352">
        <f>IFERROR(Tableau1[[#This Row],[Total Price Réceptionné]]-Tableau1[[#This Row],[Total Price A facturer]],"")</f>
        <v>0</v>
      </c>
      <c r="DF45" s="353">
        <f>IFERROR(Tableau1[[#This Row],[Total Price A facturer]]-Tableau1[[#This Row],[Total Price Facturé]],"")</f>
        <v>0</v>
      </c>
      <c r="DG45" s="76">
        <f>Tableau1[[#This Row],[Total Item Quantity]]-Tableau1[[#This Row],[Total item réceptionné]]</f>
        <v>1</v>
      </c>
      <c r="DH45" s="167"/>
      <c r="DI45" s="167"/>
    </row>
    <row r="46" spans="1:113" s="74" customFormat="1">
      <c r="A46" s="77" t="str">
        <f>CONCATENATE(Tableau1[[#This Row],[PO Number (Header)]],"-",Tableau1[[#This Row],[Line]])</f>
        <v>-</v>
      </c>
      <c r="B46" s="158"/>
      <c r="C46" s="158"/>
      <c r="D46" s="158"/>
      <c r="F46" s="158"/>
      <c r="G46" s="158"/>
      <c r="H46" s="332"/>
      <c r="I46" s="383"/>
      <c r="J46" s="158"/>
      <c r="K46" s="158"/>
      <c r="N46" s="158"/>
      <c r="P46" s="158"/>
      <c r="Q46" s="480"/>
      <c r="R46" s="395"/>
      <c r="S46" s="158"/>
      <c r="T46" s="158"/>
      <c r="V46" s="158"/>
      <c r="W46" s="436"/>
      <c r="X46" s="436"/>
      <c r="Y46" s="167" t="str">
        <f>IF(ISBLANK(Tableau1[[#This Row],[PO Number (Header)]]),"",Tableau1[[#This Row],[Line Total]]/Tableau1[[#This Row],[Total Item Quantity]])</f>
        <v/>
      </c>
      <c r="Z46" s="167" t="str">
        <f>IF(ISNA(VLOOKUP(Tableau1[[#This Row],[Unique_AIB_ID]],UO_List[Unique_AIB_ID],1,FALSE)),IF(ISBLANK(Tableau1[[#This Row],[PO Number (Header)]]),"","FAUX"),"VRAI")</f>
        <v/>
      </c>
      <c r="AA46" s="167"/>
      <c r="AB46" s="162" t="e">
        <f>VLOOKUP(Tableau1[[#This Row],[Unique_AIB_ID]],UO_List[[Unique_AIB_ID]:[OLGA F6]],3,FALSE)</f>
        <v>#N/A</v>
      </c>
      <c r="AC46" s="164" t="s">
        <v>777</v>
      </c>
      <c r="AD46" s="83">
        <f>SUMPRODUCT(1*(EXACT(CONCATENATE(Tableau1[[#This Row],[PO Number (Header)]],"-",Tableau1[[#This Row],[Line]]),UO_List[Unique_AIB_ID]))*(UO_List[Qté Réception 03/2020]))</f>
        <v>0</v>
      </c>
      <c r="AE46" s="84"/>
      <c r="AF46" s="357"/>
      <c r="AG46" s="351" t="str">
        <f>IFERROR(Tableau1[[#This Row],[Qté Facturé 01/2018]]*Tableau1[[#This Row],[Unit Price (calcul)]],"")</f>
        <v/>
      </c>
      <c r="AH46" s="356" t="str">
        <f>IFERROR(IF(Tableau1[[#This Row],[Montant Facturé 01/2018]]&gt;0,Tableau1[[#This Row],[Montant Facturé 01/2018]]/Taux_Change_SII,""),"")</f>
        <v/>
      </c>
      <c r="AI46" s="351"/>
      <c r="AJ46" s="83">
        <f>SUMPRODUCT(1*(EXACT(CONCATENATE(Tableau1[[#This Row],[PO Number (Header)]],"-",Tableau1[[#This Row],[Line]]),UO_List[Unique_AIB_ID]))*(UO_List[Qté Réception 02/2020]))</f>
        <v>0</v>
      </c>
      <c r="AK46" s="83">
        <f>SUMPRODUCT(1*(EXACT(CONCATENATE(Tableau1[[#This Row],[PO Number (Header)]],"-",Tableau1[[#This Row],[Line]]),UO_List[Unique_AIB_ID]))*(UO_List[Qté Réception 02/2020]))</f>
        <v>0</v>
      </c>
      <c r="AL46" s="357"/>
      <c r="AM46" s="351" t="str">
        <f>IFERROR(Tableau1[[#This Row],[Qté Facturé 02/2018]]*Tableau1[[#This Row],[Unit Price (calcul)]],"")</f>
        <v/>
      </c>
      <c r="AN46" s="351" t="str">
        <f>IFERROR(IF(Tableau1[[#This Row],[Montant Facturé 02/2018]]&gt;0,Tableau1[[#This Row],[Montant Facturé 02/2018]]/Taux_Change_SII,""),"")</f>
        <v/>
      </c>
      <c r="AO46" s="351"/>
      <c r="AP46" s="83">
        <f>SUMPRODUCT(1*(EXACT(CONCATENATE(Tableau1[[#This Row],[PO Number (Header)]],"-",Tableau1[[#This Row],[Line]]),UO_List[Unique_AIB_ID]))*(UO_List[Qté Réception 00/2020]))</f>
        <v>0</v>
      </c>
      <c r="AQ46" s="84">
        <v>0</v>
      </c>
      <c r="AR46" s="357"/>
      <c r="AS46" s="357" t="str">
        <f>IFERROR(Tableau1[[#This Row],[Qté Facturé 03/2018]]*Tableau1[[#This Row],[Unit Price (calcul)]],"")</f>
        <v/>
      </c>
      <c r="AT46" s="358" t="str">
        <f>IFERROR(IF(Tableau1[[#This Row],[Montant Facturé 03/2018]]&gt;0,Tableau1[[#This Row],[Montant Facturé 03/2018]]/Taux_Change_SII,""),"")</f>
        <v/>
      </c>
      <c r="AU46" s="351"/>
      <c r="AV46" s="83">
        <f>SUMPRODUCT(1*(EXACT(CONCATENATE(Tableau1[[#This Row],[PO Number (Header)]],"-",Tableau1[[#This Row],[Line]]),UO_List[Unique_AIB_ID]))*(UO_List[Qté Réception 04/2020]))</f>
        <v>0</v>
      </c>
      <c r="AW46" s="84"/>
      <c r="AX46" s="351"/>
      <c r="AY46" s="351" t="str">
        <f>IFERROR(Tableau1[[#This Row],[Qté Facturé 04/2018]]*Tableau1[[#This Row],[Unit Price (calcul)]],"")</f>
        <v/>
      </c>
      <c r="AZ46" s="351" t="str">
        <f>IFERROR(IF(Tableau1[[#This Row],[Montant Facturé 04/2018]]&gt;0,Tableau1[[#This Row],[Montant Facturé 04/2018]]/Taux_Change_SII,""),"")</f>
        <v/>
      </c>
      <c r="BA46" s="351"/>
      <c r="BB46" s="83">
        <f>SUMPRODUCT(1*(EXACT(CONCATENATE(Tableau1[[#This Row],[PO Number (Header)]],"-",Tableau1[[#This Row],[Line]]),UO_List[Unique_AIB_ID]))*(UO_List[Qté Réception 05/2020]))</f>
        <v>0</v>
      </c>
      <c r="BC46" s="84"/>
      <c r="BD46" s="351"/>
      <c r="BE46" s="351" t="str">
        <f>IFERROR(Tableau1[[#This Row],[Qté Facturé 05/2018]]*Tableau1[[#This Row],[Unit Price (calcul)]],"")</f>
        <v/>
      </c>
      <c r="BF46" s="351" t="str">
        <f>IFERROR(IF(Tableau1[[#This Row],[Montant Facturé 05/2018]]&gt;0,Tableau1[[#This Row],[Montant Facturé 05/2018]]/Taux_Change_SII,""),"")</f>
        <v/>
      </c>
      <c r="BG46" s="351"/>
      <c r="BH46" s="83">
        <f>SUMPRODUCT(1*(EXACT(CONCATENATE(Tableau1[[#This Row],[PO Number (Header)]],"-",Tableau1[[#This Row],[Line]]),UO_List[Unique_AIB_ID]))*(UO_List[Qté Réception 06/2020]))</f>
        <v>0</v>
      </c>
      <c r="BI46" s="84">
        <v>0</v>
      </c>
      <c r="BJ46" s="351"/>
      <c r="BK46" s="351" t="str">
        <f>IFERROR(Tableau1[[#This Row],[Qté Facturé 06/2018]]*Tableau1[[#This Row],[Unit Price (calcul)]],"")</f>
        <v/>
      </c>
      <c r="BL46" s="351" t="str">
        <f>IFERROR(IF(Tableau1[[#This Row],[Montant Facturé 06/2018]]&gt;0,Tableau1[[#This Row],[Montant Facturé 06/2018]]/Taux_Change_SII,""),"")</f>
        <v/>
      </c>
      <c r="BM46" s="351"/>
      <c r="BN46" s="83">
        <f>SUMPRODUCT(1*(EXACT(CONCATENATE(Tableau1[[#This Row],[PO Number (Header)]],"-",Tableau1[[#This Row],[Line]]),UO_List[Unique_AIB_ID]))*(UO_List[Qté Réception 07/2020]))</f>
        <v>0</v>
      </c>
      <c r="BO46" s="84">
        <v>0</v>
      </c>
      <c r="BP46" s="351"/>
      <c r="BQ46" s="351" t="str">
        <f>IFERROR(Tableau1[[#This Row],[Qté Facturé 07/2018]]*Tableau1[[#This Row],[Unit Price (calcul)]],"")</f>
        <v/>
      </c>
      <c r="BR46" s="351" t="str">
        <f>IFERROR(IF(Tableau1[[#This Row],[Montant Facturé 07/2018]]&gt;0,Tableau1[[#This Row],[Montant Facturé 07/2018]]/Taux_Change_SII,""),"")</f>
        <v/>
      </c>
      <c r="BS46" s="351"/>
      <c r="BT46" s="83">
        <f>SUMPRODUCT(1*(EXACT(CONCATENATE(Tableau1[[#This Row],[PO Number (Header)]],"-",Tableau1[[#This Row],[Line]]),UO_List[Unique_AIB_ID]))*(UO_List[Qté Réception 08/2020]))</f>
        <v>0</v>
      </c>
      <c r="BU46" s="84"/>
      <c r="BV46" s="351"/>
      <c r="BW46" s="351" t="str">
        <f>IFERROR(Tableau1[[#This Row],[Qté Facturé 08/2018]]*Tableau1[[#This Row],[Unit Price (calcul)]],"")</f>
        <v/>
      </c>
      <c r="BX46" s="351" t="str">
        <f>IFERROR(IF(Tableau1[[#This Row],[Montant Facturé 08/2018]]&gt;0,Tableau1[[#This Row],[Montant Facturé 08/2018]]/Taux_Change_SII,""),"")</f>
        <v/>
      </c>
      <c r="BY46" s="351"/>
      <c r="BZ46" s="83">
        <f>SUMPRODUCT(1*(EXACT(CONCATENATE(Tableau1[[#This Row],[PO Number (Header)]],"-",Tableau1[[#This Row],[Line]]),UO_List[Unique_AIB_ID]))*(UO_List[Qté Réception 09/2020]))</f>
        <v>0</v>
      </c>
      <c r="CA46" s="84">
        <v>0</v>
      </c>
      <c r="CB46" s="351"/>
      <c r="CC46" s="351" t="str">
        <f>IFERROR(Tableau1[[#This Row],[Qté Facturé 09/2018]]*Tableau1[[#This Row],[Unit Price (calcul)]],"")</f>
        <v/>
      </c>
      <c r="CD46" s="351" t="str">
        <f>IFERROR(IF(Tableau1[[#This Row],[Montant Facturé 09/2018]]&gt;0,Tableau1[[#This Row],[Montant Facturé 09/2018]]/Taux_Change_SII,""),"")</f>
        <v/>
      </c>
      <c r="CE46" s="351"/>
      <c r="CF46" s="83">
        <f>SUMPRODUCT(1*(EXACT(CONCATENATE(Tableau1[[#This Row],[PO Number (Header)]],"-",Tableau1[[#This Row],[Line]]),UO_List[Unique_AIB_ID]))*(UO_List[Qté Réception 10/2020]))</f>
        <v>0</v>
      </c>
      <c r="CG46" s="84">
        <v>0</v>
      </c>
      <c r="CH46" s="351"/>
      <c r="CI46" s="351" t="str">
        <f>IFERROR(Tableau1[[#This Row],[Qté Facturé 10/2018]]*Tableau1[[#This Row],[Unit Price (calcul)]],"")</f>
        <v/>
      </c>
      <c r="CJ46" s="351" t="str">
        <f>IFERROR(IF(Tableau1[[#This Row],[Montant Facturé 10/2018]]&gt;0,Tableau1[[#This Row],[Montant Facturé 10/2018]]/Taux_Change_SII,""),"")</f>
        <v/>
      </c>
      <c r="CK46" s="351"/>
      <c r="CL46" s="83">
        <f>SUMPRODUCT(1*(EXACT(CONCATENATE(Tableau1[[#This Row],[PO Number (Header)]],"-",Tableau1[[#This Row],[Line]]),UO_List[Unique_AIB_ID]))*(UO_List[Qté Réception 11/2020]))</f>
        <v>0</v>
      </c>
      <c r="CM46" s="84"/>
      <c r="CN46" s="351"/>
      <c r="CO46" s="351" t="str">
        <f>IFERROR(Tableau1[[#This Row],[Qté Facturé 11/2018]]*Tableau1[[#This Row],[Unit Price (calcul)]],"")</f>
        <v/>
      </c>
      <c r="CP46" s="351" t="str">
        <f>IFERROR(IF(Tableau1[[#This Row],[Montant Facturé 11/2018]]&gt;0,Tableau1[[#This Row],[Montant Facturé 11/2018]]/Taux_Change_SII,""),"")</f>
        <v/>
      </c>
      <c r="CQ46" s="351"/>
      <c r="CR46" s="83">
        <f>SUMPRODUCT(1*(EXACT(CONCATENATE(Tableau1[[#This Row],[PO Number (Header)]],"-",Tableau1[[#This Row],[Line]]),UO_List[Unique_AIB_ID]))*(UO_List[Qté Réception 12/2020]))</f>
        <v>0</v>
      </c>
      <c r="CS46" s="84"/>
      <c r="CT46" s="351"/>
      <c r="CU46" s="351" t="str">
        <f>IFERROR(Tableau1[[#This Row],[Qté Facturé 12/2018]]*Tableau1[[#This Row],[Unit Price (calcul)]],"")</f>
        <v/>
      </c>
      <c r="CV46" s="351" t="str">
        <f>IFERROR(IF(Tableau1[[#This Row],[Montant Facturé 12/2018]]&gt;0,Tableau1[[#This Row],[Montant Facturé 12/2018]]/Taux_Change_SII,""),"")</f>
        <v/>
      </c>
      <c r="CW46" s="351"/>
      <c r="CX4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6" s="352" t="str">
        <f>IFERROR(Tableau1[[#This Row],[Total item réceptionné]]*Tableau1[[#This Row],[Unit Price (calcul)]],"")</f>
        <v/>
      </c>
      <c r="DB46" s="352" t="str">
        <f>IFERROR(Tableau1[[#This Row],[Total item à Facturer]]*Tableau1[[#This Row],[Unit Price (calcul)]],"")</f>
        <v/>
      </c>
      <c r="DC4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46" s="352" t="str">
        <f>IFERROR(Tableau1[[#This Row],[Line Total]]-Tableau1[[#This Row],[Total Price Réceptionné]],"")</f>
        <v/>
      </c>
      <c r="DE46" s="352" t="str">
        <f>IFERROR(Tableau1[[#This Row],[Total Price Réceptionné]]-Tableau1[[#This Row],[Total Price A facturer]],"")</f>
        <v/>
      </c>
      <c r="DF46" s="353" t="str">
        <f>IFERROR(Tableau1[[#This Row],[Total Price A facturer]]-Tableau1[[#This Row],[Total Price Facturé]],"")</f>
        <v/>
      </c>
      <c r="DG46" s="76">
        <f>Tableau1[[#This Row],[Total Item Quantity]]-Tableau1[[#This Row],[Total item réceptionné]]</f>
        <v>0</v>
      </c>
      <c r="DH46" s="167"/>
      <c r="DI46" s="167"/>
    </row>
    <row r="47" spans="1:113" s="74" customFormat="1">
      <c r="A47" s="77" t="str">
        <f>CONCATENATE(Tableau1[[#This Row],[PO Number (Header)]],"-",Tableau1[[#This Row],[Line]])</f>
        <v>-</v>
      </c>
      <c r="B47" s="158"/>
      <c r="C47" s="158"/>
      <c r="D47" s="158"/>
      <c r="F47" s="158"/>
      <c r="G47" s="158"/>
      <c r="H47" s="332"/>
      <c r="I47" s="383"/>
      <c r="J47" s="158"/>
      <c r="K47" s="158"/>
      <c r="N47" s="158"/>
      <c r="P47" s="158"/>
      <c r="Q47" s="480"/>
      <c r="R47" s="395"/>
      <c r="S47" s="158"/>
      <c r="T47" s="158"/>
      <c r="V47" s="158"/>
      <c r="W47" s="436"/>
      <c r="X47" s="436"/>
      <c r="Y47" s="167" t="str">
        <f>IF(ISBLANK(Tableau1[[#This Row],[PO Number (Header)]]),"",Tableau1[[#This Row],[Line Total]]/Tableau1[[#This Row],[Total Item Quantity]])</f>
        <v/>
      </c>
      <c r="Z47" s="167" t="str">
        <f>IF(ISNA(VLOOKUP(Tableau1[[#This Row],[Unique_AIB_ID]],UO_List[Unique_AIB_ID],1,FALSE)),IF(ISBLANK(Tableau1[[#This Row],[PO Number (Header)]]),"","FAUX"),"VRAI")</f>
        <v/>
      </c>
      <c r="AA47" s="167"/>
      <c r="AB47" s="162" t="e">
        <f>VLOOKUP(Tableau1[[#This Row],[Unique_AIB_ID]],UO_List[[Unique_AIB_ID]:[OLGA F6]],3,FALSE)</f>
        <v>#N/A</v>
      </c>
      <c r="AC47" s="164" t="s">
        <v>777</v>
      </c>
      <c r="AD47" s="83">
        <f>SUMPRODUCT(1*(EXACT(CONCATENATE(Tableau1[[#This Row],[PO Number (Header)]],"-",Tableau1[[#This Row],[Line]]),UO_List[Unique_AIB_ID]))*(UO_List[Qté Réception 03/2020]))</f>
        <v>0</v>
      </c>
      <c r="AE47" s="84"/>
      <c r="AF47" s="357"/>
      <c r="AG47" s="351" t="str">
        <f>IFERROR(Tableau1[[#This Row],[Qté Facturé 01/2018]]*Tableau1[[#This Row],[Unit Price (calcul)]],"")</f>
        <v/>
      </c>
      <c r="AH47" s="356" t="str">
        <f>IFERROR(IF(Tableau1[[#This Row],[Montant Facturé 01/2018]]&gt;0,Tableau1[[#This Row],[Montant Facturé 01/2018]]/Taux_Change_SII,""),"")</f>
        <v/>
      </c>
      <c r="AI47" s="351"/>
      <c r="AJ47" s="83">
        <f>SUMPRODUCT(1*(EXACT(CONCATENATE(Tableau1[[#This Row],[PO Number (Header)]],"-",Tableau1[[#This Row],[Line]]),UO_List[Unique_AIB_ID]))*(UO_List[Qté Réception 02/2020]))</f>
        <v>0</v>
      </c>
      <c r="AK47" s="83">
        <f>SUMPRODUCT(1*(EXACT(CONCATENATE(Tableau1[[#This Row],[PO Number (Header)]],"-",Tableau1[[#This Row],[Line]]),UO_List[Unique_AIB_ID]))*(UO_List[Qté Réception 02/2020]))</f>
        <v>0</v>
      </c>
      <c r="AL47" s="357"/>
      <c r="AM47" s="351" t="str">
        <f>IFERROR(Tableau1[[#This Row],[Qté Facturé 02/2018]]*Tableau1[[#This Row],[Unit Price (calcul)]],"")</f>
        <v/>
      </c>
      <c r="AN47" s="351" t="str">
        <f>IFERROR(IF(Tableau1[[#This Row],[Montant Facturé 02/2018]]&gt;0,Tableau1[[#This Row],[Montant Facturé 02/2018]]/Taux_Change_SII,""),"")</f>
        <v/>
      </c>
      <c r="AO47" s="351"/>
      <c r="AP47" s="83">
        <f>SUMPRODUCT(1*(EXACT(CONCATENATE(Tableau1[[#This Row],[PO Number (Header)]],"-",Tableau1[[#This Row],[Line]]),UO_List[Unique_AIB_ID]))*(UO_List[Qté Réception 00/2020]))</f>
        <v>0</v>
      </c>
      <c r="AQ47" s="84">
        <v>0</v>
      </c>
      <c r="AR47" s="357"/>
      <c r="AS47" s="357" t="str">
        <f>IFERROR(Tableau1[[#This Row],[Qté Facturé 03/2018]]*Tableau1[[#This Row],[Unit Price (calcul)]],"")</f>
        <v/>
      </c>
      <c r="AT47" s="358" t="str">
        <f>IFERROR(IF(Tableau1[[#This Row],[Montant Facturé 03/2018]]&gt;0,Tableau1[[#This Row],[Montant Facturé 03/2018]]/Taux_Change_SII,""),"")</f>
        <v/>
      </c>
      <c r="AU47" s="351"/>
      <c r="AV47" s="83">
        <f>SUMPRODUCT(1*(EXACT(CONCATENATE(Tableau1[[#This Row],[PO Number (Header)]],"-",Tableau1[[#This Row],[Line]]),UO_List[Unique_AIB_ID]))*(UO_List[Qté Réception 04/2020]))</f>
        <v>0</v>
      </c>
      <c r="AW47" s="84"/>
      <c r="AX47" s="351"/>
      <c r="AY47" s="351" t="str">
        <f>IFERROR(Tableau1[[#This Row],[Qté Facturé 04/2018]]*Tableau1[[#This Row],[Unit Price (calcul)]],"")</f>
        <v/>
      </c>
      <c r="AZ47" s="351" t="str">
        <f>IFERROR(IF(Tableau1[[#This Row],[Montant Facturé 04/2018]]&gt;0,Tableau1[[#This Row],[Montant Facturé 04/2018]]/Taux_Change_SII,""),"")</f>
        <v/>
      </c>
      <c r="BA47" s="351"/>
      <c r="BB47" s="83">
        <f>SUMPRODUCT(1*(EXACT(CONCATENATE(Tableau1[[#This Row],[PO Number (Header)]],"-",Tableau1[[#This Row],[Line]]),UO_List[Unique_AIB_ID]))*(UO_List[Qté Réception 05/2020]))</f>
        <v>0</v>
      </c>
      <c r="BC47" s="84"/>
      <c r="BD47" s="351"/>
      <c r="BE47" s="351" t="str">
        <f>IFERROR(Tableau1[[#This Row],[Qté Facturé 05/2018]]*Tableau1[[#This Row],[Unit Price (calcul)]],"")</f>
        <v/>
      </c>
      <c r="BF47" s="351" t="str">
        <f>IFERROR(IF(Tableau1[[#This Row],[Montant Facturé 05/2018]]&gt;0,Tableau1[[#This Row],[Montant Facturé 05/2018]]/Taux_Change_SII,""),"")</f>
        <v/>
      </c>
      <c r="BG47" s="351"/>
      <c r="BH47" s="83">
        <f>SUMPRODUCT(1*(EXACT(CONCATENATE(Tableau1[[#This Row],[PO Number (Header)]],"-",Tableau1[[#This Row],[Line]]),UO_List[Unique_AIB_ID]))*(UO_List[Qté Réception 06/2020]))</f>
        <v>0</v>
      </c>
      <c r="BI47" s="84">
        <v>0</v>
      </c>
      <c r="BJ47" s="351"/>
      <c r="BK47" s="351" t="str">
        <f>IFERROR(Tableau1[[#This Row],[Qté Facturé 06/2018]]*Tableau1[[#This Row],[Unit Price (calcul)]],"")</f>
        <v/>
      </c>
      <c r="BL47" s="351" t="str">
        <f>IFERROR(IF(Tableau1[[#This Row],[Montant Facturé 06/2018]]&gt;0,Tableau1[[#This Row],[Montant Facturé 06/2018]]/Taux_Change_SII,""),"")</f>
        <v/>
      </c>
      <c r="BM47" s="351"/>
      <c r="BN47" s="83">
        <f>SUMPRODUCT(1*(EXACT(CONCATENATE(Tableau1[[#This Row],[PO Number (Header)]],"-",Tableau1[[#This Row],[Line]]),UO_List[Unique_AIB_ID]))*(UO_List[Qté Réception 07/2020]))</f>
        <v>0</v>
      </c>
      <c r="BO47" s="84">
        <v>0</v>
      </c>
      <c r="BP47" s="351"/>
      <c r="BQ47" s="351" t="str">
        <f>IFERROR(Tableau1[[#This Row],[Qté Facturé 07/2018]]*Tableau1[[#This Row],[Unit Price (calcul)]],"")</f>
        <v/>
      </c>
      <c r="BR47" s="351" t="str">
        <f>IFERROR(IF(Tableau1[[#This Row],[Montant Facturé 07/2018]]&gt;0,Tableau1[[#This Row],[Montant Facturé 07/2018]]/Taux_Change_SII,""),"")</f>
        <v/>
      </c>
      <c r="BS47" s="351"/>
      <c r="BT47" s="83">
        <f>SUMPRODUCT(1*(EXACT(CONCATENATE(Tableau1[[#This Row],[PO Number (Header)]],"-",Tableau1[[#This Row],[Line]]),UO_List[Unique_AIB_ID]))*(UO_List[Qté Réception 08/2020]))</f>
        <v>0</v>
      </c>
      <c r="BU47" s="84"/>
      <c r="BV47" s="351"/>
      <c r="BW47" s="351" t="str">
        <f>IFERROR(Tableau1[[#This Row],[Qté Facturé 08/2018]]*Tableau1[[#This Row],[Unit Price (calcul)]],"")</f>
        <v/>
      </c>
      <c r="BX47" s="351" t="str">
        <f>IFERROR(IF(Tableau1[[#This Row],[Montant Facturé 08/2018]]&gt;0,Tableau1[[#This Row],[Montant Facturé 08/2018]]/Taux_Change_SII,""),"")</f>
        <v/>
      </c>
      <c r="BY47" s="351"/>
      <c r="BZ47" s="83">
        <f>SUMPRODUCT(1*(EXACT(CONCATENATE(Tableau1[[#This Row],[PO Number (Header)]],"-",Tableau1[[#This Row],[Line]]),UO_List[Unique_AIB_ID]))*(UO_List[Qté Réception 09/2020]))</f>
        <v>0</v>
      </c>
      <c r="CA47" s="84">
        <v>0</v>
      </c>
      <c r="CB47" s="351"/>
      <c r="CC47" s="351" t="str">
        <f>IFERROR(Tableau1[[#This Row],[Qté Facturé 09/2018]]*Tableau1[[#This Row],[Unit Price (calcul)]],"")</f>
        <v/>
      </c>
      <c r="CD47" s="351" t="str">
        <f>IFERROR(IF(Tableau1[[#This Row],[Montant Facturé 09/2018]]&gt;0,Tableau1[[#This Row],[Montant Facturé 09/2018]]/Taux_Change_SII,""),"")</f>
        <v/>
      </c>
      <c r="CE47" s="351"/>
      <c r="CF47" s="83">
        <f>SUMPRODUCT(1*(EXACT(CONCATENATE(Tableau1[[#This Row],[PO Number (Header)]],"-",Tableau1[[#This Row],[Line]]),UO_List[Unique_AIB_ID]))*(UO_List[Qté Réception 10/2020]))</f>
        <v>0</v>
      </c>
      <c r="CG47" s="84">
        <v>0</v>
      </c>
      <c r="CH47" s="351"/>
      <c r="CI47" s="351" t="str">
        <f>IFERROR(Tableau1[[#This Row],[Qté Facturé 10/2018]]*Tableau1[[#This Row],[Unit Price (calcul)]],"")</f>
        <v/>
      </c>
      <c r="CJ47" s="351" t="str">
        <f>IFERROR(IF(Tableau1[[#This Row],[Montant Facturé 10/2018]]&gt;0,Tableau1[[#This Row],[Montant Facturé 10/2018]]/Taux_Change_SII,""),"")</f>
        <v/>
      </c>
      <c r="CK47" s="351"/>
      <c r="CL47" s="83">
        <f>SUMPRODUCT(1*(EXACT(CONCATENATE(Tableau1[[#This Row],[PO Number (Header)]],"-",Tableau1[[#This Row],[Line]]),UO_List[Unique_AIB_ID]))*(UO_List[Qté Réception 11/2020]))</f>
        <v>0</v>
      </c>
      <c r="CM47" s="84"/>
      <c r="CN47" s="351"/>
      <c r="CO47" s="351" t="str">
        <f>IFERROR(Tableau1[[#This Row],[Qté Facturé 11/2018]]*Tableau1[[#This Row],[Unit Price (calcul)]],"")</f>
        <v/>
      </c>
      <c r="CP47" s="351" t="str">
        <f>IFERROR(IF(Tableau1[[#This Row],[Montant Facturé 11/2018]]&gt;0,Tableau1[[#This Row],[Montant Facturé 11/2018]]/Taux_Change_SII,""),"")</f>
        <v/>
      </c>
      <c r="CQ47" s="351"/>
      <c r="CR47" s="83">
        <f>SUMPRODUCT(1*(EXACT(CONCATENATE(Tableau1[[#This Row],[PO Number (Header)]],"-",Tableau1[[#This Row],[Line]]),UO_List[Unique_AIB_ID]))*(UO_List[Qté Réception 12/2020]))</f>
        <v>0</v>
      </c>
      <c r="CS47" s="84"/>
      <c r="CT47" s="351"/>
      <c r="CU47" s="351" t="str">
        <f>IFERROR(Tableau1[[#This Row],[Qté Facturé 12/2018]]*Tableau1[[#This Row],[Unit Price (calcul)]],"")</f>
        <v/>
      </c>
      <c r="CV47" s="351" t="str">
        <f>IFERROR(IF(Tableau1[[#This Row],[Montant Facturé 12/2018]]&gt;0,Tableau1[[#This Row],[Montant Facturé 12/2018]]/Taux_Change_SII,""),"")</f>
        <v/>
      </c>
      <c r="CW47" s="351"/>
      <c r="CX4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7" s="352" t="str">
        <f>IFERROR(Tableau1[[#This Row],[Total item réceptionné]]*Tableau1[[#This Row],[Unit Price (calcul)]],"")</f>
        <v/>
      </c>
      <c r="DB47" s="352" t="str">
        <f>IFERROR(Tableau1[[#This Row],[Total item à Facturer]]*Tableau1[[#This Row],[Unit Price (calcul)]],"")</f>
        <v/>
      </c>
      <c r="DC4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47" s="352" t="str">
        <f>IFERROR(Tableau1[[#This Row],[Line Total]]-Tableau1[[#This Row],[Total Price Réceptionné]],"")</f>
        <v/>
      </c>
      <c r="DE47" s="352" t="str">
        <f>IFERROR(Tableau1[[#This Row],[Total Price Réceptionné]]-Tableau1[[#This Row],[Total Price A facturer]],"")</f>
        <v/>
      </c>
      <c r="DF47" s="353" t="str">
        <f>IFERROR(Tableau1[[#This Row],[Total Price A facturer]]-Tableau1[[#This Row],[Total Price Facturé]],"")</f>
        <v/>
      </c>
      <c r="DG47" s="76">
        <f>Tableau1[[#This Row],[Total Item Quantity]]-Tableau1[[#This Row],[Total item réceptionné]]</f>
        <v>0</v>
      </c>
      <c r="DH47" s="167"/>
      <c r="DI47" s="167"/>
    </row>
    <row r="48" spans="1:113" s="74" customFormat="1">
      <c r="A48" s="77" t="str">
        <f>CONCATENATE(Tableau1[[#This Row],[PO Number (Header)]],"-",Tableau1[[#This Row],[Line]])</f>
        <v>-</v>
      </c>
      <c r="B48" s="158"/>
      <c r="C48" s="158"/>
      <c r="D48" s="158"/>
      <c r="F48" s="158"/>
      <c r="G48" s="158"/>
      <c r="H48" s="332"/>
      <c r="I48" s="383"/>
      <c r="J48" s="158"/>
      <c r="K48" s="158"/>
      <c r="N48" s="158"/>
      <c r="P48" s="158"/>
      <c r="Q48" s="480"/>
      <c r="R48" s="395"/>
      <c r="S48" s="158"/>
      <c r="T48" s="158"/>
      <c r="V48" s="158"/>
      <c r="W48" s="436"/>
      <c r="X48" s="436"/>
      <c r="Y48" s="167" t="str">
        <f>IF(ISBLANK(Tableau1[[#This Row],[PO Number (Header)]]),"",Tableau1[[#This Row],[Line Total]]/Tableau1[[#This Row],[Total Item Quantity]])</f>
        <v/>
      </c>
      <c r="Z48" s="167" t="str">
        <f>IF(ISNA(VLOOKUP(Tableau1[[#This Row],[Unique_AIB_ID]],UO_List[Unique_AIB_ID],1,FALSE)),IF(ISBLANK(Tableau1[[#This Row],[PO Number (Header)]]),"","FAUX"),"VRAI")</f>
        <v/>
      </c>
      <c r="AA48" s="167"/>
      <c r="AB48" s="162" t="e">
        <f>VLOOKUP(Tableau1[[#This Row],[Unique_AIB_ID]],UO_List[[Unique_AIB_ID]:[OLGA F6]],3,FALSE)</f>
        <v>#N/A</v>
      </c>
      <c r="AC48" s="164" t="s">
        <v>777</v>
      </c>
      <c r="AD48" s="83">
        <f>SUMPRODUCT(1*(EXACT(CONCATENATE(Tableau1[[#This Row],[PO Number (Header)]],"-",Tableau1[[#This Row],[Line]]),UO_List[Unique_AIB_ID]))*(UO_List[Qté Réception 03/2020]))</f>
        <v>0</v>
      </c>
      <c r="AE48" s="84"/>
      <c r="AF48" s="357"/>
      <c r="AG48" s="351" t="str">
        <f>IFERROR(Tableau1[[#This Row],[Qté Facturé 01/2018]]*Tableau1[[#This Row],[Unit Price (calcul)]],"")</f>
        <v/>
      </c>
      <c r="AH48" s="356" t="str">
        <f>IFERROR(IF(Tableau1[[#This Row],[Montant Facturé 01/2018]]&gt;0,Tableau1[[#This Row],[Montant Facturé 01/2018]]/Taux_Change_SII,""),"")</f>
        <v/>
      </c>
      <c r="AI48" s="351"/>
      <c r="AJ48" s="83">
        <f>SUMPRODUCT(1*(EXACT(CONCATENATE(Tableau1[[#This Row],[PO Number (Header)]],"-",Tableau1[[#This Row],[Line]]),UO_List[Unique_AIB_ID]))*(UO_List[Qté Réception 02/2020]))</f>
        <v>0</v>
      </c>
      <c r="AK48" s="83">
        <f>SUMPRODUCT(1*(EXACT(CONCATENATE(Tableau1[[#This Row],[PO Number (Header)]],"-",Tableau1[[#This Row],[Line]]),UO_List[Unique_AIB_ID]))*(UO_List[Qté Réception 02/2020]))</f>
        <v>0</v>
      </c>
      <c r="AL48" s="357"/>
      <c r="AM48" s="351" t="str">
        <f>IFERROR(Tableau1[[#This Row],[Qté Facturé 02/2018]]*Tableau1[[#This Row],[Unit Price (calcul)]],"")</f>
        <v/>
      </c>
      <c r="AN48" s="351" t="str">
        <f>IFERROR(IF(Tableau1[[#This Row],[Montant Facturé 02/2018]]&gt;0,Tableau1[[#This Row],[Montant Facturé 02/2018]]/Taux_Change_SII,""),"")</f>
        <v/>
      </c>
      <c r="AO48" s="351"/>
      <c r="AP48" s="83">
        <f>SUMPRODUCT(1*(EXACT(CONCATENATE(Tableau1[[#This Row],[PO Number (Header)]],"-",Tableau1[[#This Row],[Line]]),UO_List[Unique_AIB_ID]))*(UO_List[Qté Réception 00/2020]))</f>
        <v>0</v>
      </c>
      <c r="AQ48" s="84">
        <v>0</v>
      </c>
      <c r="AR48" s="357"/>
      <c r="AS48" s="357" t="str">
        <f>IFERROR(Tableau1[[#This Row],[Qté Facturé 03/2018]]*Tableau1[[#This Row],[Unit Price (calcul)]],"")</f>
        <v/>
      </c>
      <c r="AT48" s="358" t="str">
        <f>IFERROR(IF(Tableau1[[#This Row],[Montant Facturé 03/2018]]&gt;0,Tableau1[[#This Row],[Montant Facturé 03/2018]]/Taux_Change_SII,""),"")</f>
        <v/>
      </c>
      <c r="AU48" s="351"/>
      <c r="AV48" s="83">
        <f>SUMPRODUCT(1*(EXACT(CONCATENATE(Tableau1[[#This Row],[PO Number (Header)]],"-",Tableau1[[#This Row],[Line]]),UO_List[Unique_AIB_ID]))*(UO_List[Qté Réception 04/2020]))</f>
        <v>0</v>
      </c>
      <c r="AW48" s="84"/>
      <c r="AX48" s="351"/>
      <c r="AY48" s="351" t="str">
        <f>IFERROR(Tableau1[[#This Row],[Qté Facturé 04/2018]]*Tableau1[[#This Row],[Unit Price (calcul)]],"")</f>
        <v/>
      </c>
      <c r="AZ48" s="351" t="str">
        <f>IFERROR(IF(Tableau1[[#This Row],[Montant Facturé 04/2018]]&gt;0,Tableau1[[#This Row],[Montant Facturé 04/2018]]/Taux_Change_SII,""),"")</f>
        <v/>
      </c>
      <c r="BA48" s="351"/>
      <c r="BB48" s="83">
        <f>SUMPRODUCT(1*(EXACT(CONCATENATE(Tableau1[[#This Row],[PO Number (Header)]],"-",Tableau1[[#This Row],[Line]]),UO_List[Unique_AIB_ID]))*(UO_List[Qté Réception 05/2020]))</f>
        <v>0</v>
      </c>
      <c r="BC48" s="84"/>
      <c r="BD48" s="351"/>
      <c r="BE48" s="351" t="str">
        <f>IFERROR(Tableau1[[#This Row],[Qté Facturé 05/2018]]*Tableau1[[#This Row],[Unit Price (calcul)]],"")</f>
        <v/>
      </c>
      <c r="BF48" s="351" t="str">
        <f>IFERROR(IF(Tableau1[[#This Row],[Montant Facturé 05/2018]]&gt;0,Tableau1[[#This Row],[Montant Facturé 05/2018]]/Taux_Change_SII,""),"")</f>
        <v/>
      </c>
      <c r="BG48" s="351"/>
      <c r="BH48" s="83">
        <f>SUMPRODUCT(1*(EXACT(CONCATENATE(Tableau1[[#This Row],[PO Number (Header)]],"-",Tableau1[[#This Row],[Line]]),UO_List[Unique_AIB_ID]))*(UO_List[Qté Réception 06/2020]))</f>
        <v>0</v>
      </c>
      <c r="BI48" s="84"/>
      <c r="BJ48" s="351"/>
      <c r="BK48" s="351" t="str">
        <f>IFERROR(Tableau1[[#This Row],[Qté Facturé 06/2018]]*Tableau1[[#This Row],[Unit Price (calcul)]],"")</f>
        <v/>
      </c>
      <c r="BL48" s="351" t="str">
        <f>IFERROR(IF(Tableau1[[#This Row],[Montant Facturé 06/2018]]&gt;0,Tableau1[[#This Row],[Montant Facturé 06/2018]]/Taux_Change_SII,""),"")</f>
        <v/>
      </c>
      <c r="BM48" s="351"/>
      <c r="BN48" s="83">
        <f>SUMPRODUCT(1*(EXACT(CONCATENATE(Tableau1[[#This Row],[PO Number (Header)]],"-",Tableau1[[#This Row],[Line]]),UO_List[Unique_AIB_ID]))*(UO_List[Qté Réception 07/2020]))</f>
        <v>0</v>
      </c>
      <c r="BO48" s="84">
        <v>0</v>
      </c>
      <c r="BP48" s="351"/>
      <c r="BQ48" s="351" t="str">
        <f>IFERROR(Tableau1[[#This Row],[Qté Facturé 07/2018]]*Tableau1[[#This Row],[Unit Price (calcul)]],"")</f>
        <v/>
      </c>
      <c r="BR48" s="351" t="str">
        <f>IFERROR(IF(Tableau1[[#This Row],[Montant Facturé 07/2018]]&gt;0,Tableau1[[#This Row],[Montant Facturé 07/2018]]/Taux_Change_SII,""),"")</f>
        <v/>
      </c>
      <c r="BS48" s="351"/>
      <c r="BT48" s="83">
        <f>SUMPRODUCT(1*(EXACT(CONCATENATE(Tableau1[[#This Row],[PO Number (Header)]],"-",Tableau1[[#This Row],[Line]]),UO_List[Unique_AIB_ID]))*(UO_List[Qté Réception 08/2020]))</f>
        <v>0</v>
      </c>
      <c r="BU48" s="84"/>
      <c r="BV48" s="351"/>
      <c r="BW48" s="351" t="str">
        <f>IFERROR(Tableau1[[#This Row],[Qté Facturé 08/2018]]*Tableau1[[#This Row],[Unit Price (calcul)]],"")</f>
        <v/>
      </c>
      <c r="BX48" s="351" t="str">
        <f>IFERROR(IF(Tableau1[[#This Row],[Montant Facturé 08/2018]]&gt;0,Tableau1[[#This Row],[Montant Facturé 08/2018]]/Taux_Change_SII,""),"")</f>
        <v/>
      </c>
      <c r="BY48" s="351"/>
      <c r="BZ48" s="83">
        <f>SUMPRODUCT(1*(EXACT(CONCATENATE(Tableau1[[#This Row],[PO Number (Header)]],"-",Tableau1[[#This Row],[Line]]),UO_List[Unique_AIB_ID]))*(UO_List[Qté Réception 09/2020]))</f>
        <v>0</v>
      </c>
      <c r="CA48" s="84">
        <v>0</v>
      </c>
      <c r="CB48" s="351"/>
      <c r="CC48" s="351" t="str">
        <f>IFERROR(Tableau1[[#This Row],[Qté Facturé 09/2018]]*Tableau1[[#This Row],[Unit Price (calcul)]],"")</f>
        <v/>
      </c>
      <c r="CD48" s="351" t="str">
        <f>IFERROR(IF(Tableau1[[#This Row],[Montant Facturé 09/2018]]&gt;0,Tableau1[[#This Row],[Montant Facturé 09/2018]]/Taux_Change_SII,""),"")</f>
        <v/>
      </c>
      <c r="CE48" s="351"/>
      <c r="CF48" s="83">
        <f>SUMPRODUCT(1*(EXACT(CONCATENATE(Tableau1[[#This Row],[PO Number (Header)]],"-",Tableau1[[#This Row],[Line]]),UO_List[Unique_AIB_ID]))*(UO_List[Qté Réception 10/2020]))</f>
        <v>0</v>
      </c>
      <c r="CG48" s="84">
        <v>0</v>
      </c>
      <c r="CH48" s="351"/>
      <c r="CI48" s="351" t="str">
        <f>IFERROR(Tableau1[[#This Row],[Qté Facturé 10/2018]]*Tableau1[[#This Row],[Unit Price (calcul)]],"")</f>
        <v/>
      </c>
      <c r="CJ48" s="351" t="str">
        <f>IFERROR(IF(Tableau1[[#This Row],[Montant Facturé 10/2018]]&gt;0,Tableau1[[#This Row],[Montant Facturé 10/2018]]/Taux_Change_SII,""),"")</f>
        <v/>
      </c>
      <c r="CK48" s="351"/>
      <c r="CL48" s="83">
        <f>SUMPRODUCT(1*(EXACT(CONCATENATE(Tableau1[[#This Row],[PO Number (Header)]],"-",Tableau1[[#This Row],[Line]]),UO_List[Unique_AIB_ID]))*(UO_List[Qté Réception 11/2020]))</f>
        <v>0</v>
      </c>
      <c r="CM48" s="84"/>
      <c r="CN48" s="351"/>
      <c r="CO48" s="351" t="str">
        <f>IFERROR(Tableau1[[#This Row],[Qté Facturé 11/2018]]*Tableau1[[#This Row],[Unit Price (calcul)]],"")</f>
        <v/>
      </c>
      <c r="CP48" s="351" t="str">
        <f>IFERROR(IF(Tableau1[[#This Row],[Montant Facturé 11/2018]]&gt;0,Tableau1[[#This Row],[Montant Facturé 11/2018]]/Taux_Change_SII,""),"")</f>
        <v/>
      </c>
      <c r="CQ48" s="351"/>
      <c r="CR48" s="83">
        <f>SUMPRODUCT(1*(EXACT(CONCATENATE(Tableau1[[#This Row],[PO Number (Header)]],"-",Tableau1[[#This Row],[Line]]),UO_List[Unique_AIB_ID]))*(UO_List[Qté Réception 12/2020]))</f>
        <v>0</v>
      </c>
      <c r="CS48" s="84"/>
      <c r="CT48" s="351"/>
      <c r="CU48" s="351" t="str">
        <f>IFERROR(Tableau1[[#This Row],[Qté Facturé 12/2018]]*Tableau1[[#This Row],[Unit Price (calcul)]],"")</f>
        <v/>
      </c>
      <c r="CV48" s="351" t="str">
        <f>IFERROR(IF(Tableau1[[#This Row],[Montant Facturé 12/2018]]&gt;0,Tableau1[[#This Row],[Montant Facturé 12/2018]]/Taux_Change_SII,""),"")</f>
        <v/>
      </c>
      <c r="CW48" s="351"/>
      <c r="CX4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8" s="352" t="str">
        <f>IFERROR(Tableau1[[#This Row],[Total item réceptionné]]*Tableau1[[#This Row],[Unit Price (calcul)]],"")</f>
        <v/>
      </c>
      <c r="DB48" s="352" t="str">
        <f>IFERROR(Tableau1[[#This Row],[Total item à Facturer]]*Tableau1[[#This Row],[Unit Price (calcul)]],"")</f>
        <v/>
      </c>
      <c r="DC4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48" s="352" t="str">
        <f>IFERROR(Tableau1[[#This Row],[Line Total]]-Tableau1[[#This Row],[Total Price Réceptionné]],"")</f>
        <v/>
      </c>
      <c r="DE48" s="352" t="str">
        <f>IFERROR(Tableau1[[#This Row],[Total Price Réceptionné]]-Tableau1[[#This Row],[Total Price A facturer]],"")</f>
        <v/>
      </c>
      <c r="DF48" s="353" t="str">
        <f>IFERROR(Tableau1[[#This Row],[Total Price A facturer]]-Tableau1[[#This Row],[Total Price Facturé]],"")</f>
        <v/>
      </c>
      <c r="DG48" s="76">
        <f>Tableau1[[#This Row],[Total Item Quantity]]-Tableau1[[#This Row],[Total item réceptionné]]</f>
        <v>0</v>
      </c>
      <c r="DH48" s="167"/>
      <c r="DI48" s="167"/>
    </row>
    <row r="49" spans="1:113" s="74" customFormat="1">
      <c r="A49" s="77" t="str">
        <f>CONCATENATE(Tableau1[[#This Row],[PO Number (Header)]],"-",Tableau1[[#This Row],[Line]])</f>
        <v>-</v>
      </c>
      <c r="B49" s="158"/>
      <c r="C49" s="158"/>
      <c r="D49" s="158"/>
      <c r="F49" s="158"/>
      <c r="G49" s="158"/>
      <c r="H49" s="332"/>
      <c r="I49" s="383"/>
      <c r="J49" s="158"/>
      <c r="K49" s="158"/>
      <c r="N49" s="158"/>
      <c r="P49" s="158"/>
      <c r="Q49" s="480"/>
      <c r="R49" s="395"/>
      <c r="S49" s="158"/>
      <c r="T49" s="158"/>
      <c r="V49" s="158"/>
      <c r="W49" s="436"/>
      <c r="X49" s="436"/>
      <c r="Y49" s="167" t="str">
        <f>IF(ISBLANK(Tableau1[[#This Row],[PO Number (Header)]]),"",Tableau1[[#This Row],[Line Total]]/Tableau1[[#This Row],[Total Item Quantity]])</f>
        <v/>
      </c>
      <c r="Z49" s="167" t="str">
        <f>IF(ISNA(VLOOKUP(Tableau1[[#This Row],[Unique_AIB_ID]],UO_List[Unique_AIB_ID],1,FALSE)),IF(ISBLANK(Tableau1[[#This Row],[PO Number (Header)]]),"","FAUX"),"VRAI")</f>
        <v/>
      </c>
      <c r="AA49" s="167"/>
      <c r="AB49" s="162" t="e">
        <f>VLOOKUP(Tableau1[[#This Row],[Unique_AIB_ID]],UO_List[[Unique_AIB_ID]:[OLGA F6]],3,FALSE)</f>
        <v>#N/A</v>
      </c>
      <c r="AC49" s="164" t="s">
        <v>777</v>
      </c>
      <c r="AD49" s="83">
        <f>SUMPRODUCT(1*(EXACT(CONCATENATE(Tableau1[[#This Row],[PO Number (Header)]],"-",Tableau1[[#This Row],[Line]]),UO_List[Unique_AIB_ID]))*(UO_List[Qté Réception 03/2020]))</f>
        <v>0</v>
      </c>
      <c r="AE49" s="84"/>
      <c r="AF49" s="357"/>
      <c r="AG49" s="351" t="str">
        <f>IFERROR(Tableau1[[#This Row],[Qté Facturé 01/2018]]*Tableau1[[#This Row],[Unit Price (calcul)]],"")</f>
        <v/>
      </c>
      <c r="AH49" s="356" t="str">
        <f>IFERROR(IF(Tableau1[[#This Row],[Montant Facturé 01/2018]]&gt;0,Tableau1[[#This Row],[Montant Facturé 01/2018]]/Taux_Change_SII,""),"")</f>
        <v/>
      </c>
      <c r="AI49" s="351"/>
      <c r="AJ49" s="83">
        <f>SUMPRODUCT(1*(EXACT(CONCATENATE(Tableau1[[#This Row],[PO Number (Header)]],"-",Tableau1[[#This Row],[Line]]),UO_List[Unique_AIB_ID]))*(UO_List[Qté Réception 02/2020]))</f>
        <v>0</v>
      </c>
      <c r="AK49" s="83">
        <f>SUMPRODUCT(1*(EXACT(CONCATENATE(Tableau1[[#This Row],[PO Number (Header)]],"-",Tableau1[[#This Row],[Line]]),UO_List[Unique_AIB_ID]))*(UO_List[Qté Réception 02/2020]))</f>
        <v>0</v>
      </c>
      <c r="AL49" s="357"/>
      <c r="AM49" s="351" t="str">
        <f>IFERROR(Tableau1[[#This Row],[Qté Facturé 02/2018]]*Tableau1[[#This Row],[Unit Price (calcul)]],"")</f>
        <v/>
      </c>
      <c r="AN49" s="351" t="str">
        <f>IFERROR(IF(Tableau1[[#This Row],[Montant Facturé 02/2018]]&gt;0,Tableau1[[#This Row],[Montant Facturé 02/2018]]/Taux_Change_SII,""),"")</f>
        <v/>
      </c>
      <c r="AO49" s="351"/>
      <c r="AP49" s="83">
        <f>SUMPRODUCT(1*(EXACT(CONCATENATE(Tableau1[[#This Row],[PO Number (Header)]],"-",Tableau1[[#This Row],[Line]]),UO_List[Unique_AIB_ID]))*(UO_List[Qté Réception 00/2020]))</f>
        <v>0</v>
      </c>
      <c r="AQ49" s="84">
        <v>0</v>
      </c>
      <c r="AR49" s="357"/>
      <c r="AS49" s="357" t="str">
        <f>IFERROR(Tableau1[[#This Row],[Qté Facturé 03/2018]]*Tableau1[[#This Row],[Unit Price (calcul)]],"")</f>
        <v/>
      </c>
      <c r="AT49" s="358" t="str">
        <f>IFERROR(IF(Tableau1[[#This Row],[Montant Facturé 03/2018]]&gt;0,Tableau1[[#This Row],[Montant Facturé 03/2018]]/Taux_Change_SII,""),"")</f>
        <v/>
      </c>
      <c r="AU49" s="351"/>
      <c r="AV49" s="83">
        <f>SUMPRODUCT(1*(EXACT(CONCATENATE(Tableau1[[#This Row],[PO Number (Header)]],"-",Tableau1[[#This Row],[Line]]),UO_List[Unique_AIB_ID]))*(UO_List[Qté Réception 04/2020]))</f>
        <v>0</v>
      </c>
      <c r="AW49" s="84"/>
      <c r="AX49" s="351"/>
      <c r="AY49" s="351" t="str">
        <f>IFERROR(Tableau1[[#This Row],[Qté Facturé 04/2018]]*Tableau1[[#This Row],[Unit Price (calcul)]],"")</f>
        <v/>
      </c>
      <c r="AZ49" s="351" t="str">
        <f>IFERROR(IF(Tableau1[[#This Row],[Montant Facturé 04/2018]]&gt;0,Tableau1[[#This Row],[Montant Facturé 04/2018]]/Taux_Change_SII,""),"")</f>
        <v/>
      </c>
      <c r="BA49" s="351"/>
      <c r="BB49" s="83">
        <f>SUMPRODUCT(1*(EXACT(CONCATENATE(Tableau1[[#This Row],[PO Number (Header)]],"-",Tableau1[[#This Row],[Line]]),UO_List[Unique_AIB_ID]))*(UO_List[Qté Réception 05/2020]))</f>
        <v>0</v>
      </c>
      <c r="BC49" s="84"/>
      <c r="BD49" s="351"/>
      <c r="BE49" s="351" t="str">
        <f>IFERROR(Tableau1[[#This Row],[Qté Facturé 05/2018]]*Tableau1[[#This Row],[Unit Price (calcul)]],"")</f>
        <v/>
      </c>
      <c r="BF49" s="351" t="str">
        <f>IFERROR(IF(Tableau1[[#This Row],[Montant Facturé 05/2018]]&gt;0,Tableau1[[#This Row],[Montant Facturé 05/2018]]/Taux_Change_SII,""),"")</f>
        <v/>
      </c>
      <c r="BG49" s="351"/>
      <c r="BH49" s="83">
        <f>SUMPRODUCT(1*(EXACT(CONCATENATE(Tableau1[[#This Row],[PO Number (Header)]],"-",Tableau1[[#This Row],[Line]]),UO_List[Unique_AIB_ID]))*(UO_List[Qté Réception 06/2020]))</f>
        <v>0</v>
      </c>
      <c r="BI49" s="84">
        <v>0</v>
      </c>
      <c r="BJ49" s="351"/>
      <c r="BK49" s="351" t="str">
        <f>IFERROR(Tableau1[[#This Row],[Qté Facturé 06/2018]]*Tableau1[[#This Row],[Unit Price (calcul)]],"")</f>
        <v/>
      </c>
      <c r="BL49" s="351" t="str">
        <f>IFERROR(IF(Tableau1[[#This Row],[Montant Facturé 06/2018]]&gt;0,Tableau1[[#This Row],[Montant Facturé 06/2018]]/Taux_Change_SII,""),"")</f>
        <v/>
      </c>
      <c r="BM49" s="351"/>
      <c r="BN49" s="83">
        <f>SUMPRODUCT(1*(EXACT(CONCATENATE(Tableau1[[#This Row],[PO Number (Header)]],"-",Tableau1[[#This Row],[Line]]),UO_List[Unique_AIB_ID]))*(UO_List[Qté Réception 07/2020]))</f>
        <v>0</v>
      </c>
      <c r="BO49" s="84">
        <v>0</v>
      </c>
      <c r="BP49" s="351"/>
      <c r="BQ49" s="351" t="str">
        <f>IFERROR(Tableau1[[#This Row],[Qté Facturé 07/2018]]*Tableau1[[#This Row],[Unit Price (calcul)]],"")</f>
        <v/>
      </c>
      <c r="BR49" s="351" t="str">
        <f>IFERROR(IF(Tableau1[[#This Row],[Montant Facturé 07/2018]]&gt;0,Tableau1[[#This Row],[Montant Facturé 07/2018]]/Taux_Change_SII,""),"")</f>
        <v/>
      </c>
      <c r="BS49" s="351"/>
      <c r="BT49" s="83">
        <f>SUMPRODUCT(1*(EXACT(CONCATENATE(Tableau1[[#This Row],[PO Number (Header)]],"-",Tableau1[[#This Row],[Line]]),UO_List[Unique_AIB_ID]))*(UO_List[Qté Réception 08/2020]))</f>
        <v>0</v>
      </c>
      <c r="BU49" s="84"/>
      <c r="BV49" s="351"/>
      <c r="BW49" s="351" t="str">
        <f>IFERROR(Tableau1[[#This Row],[Qté Facturé 08/2018]]*Tableau1[[#This Row],[Unit Price (calcul)]],"")</f>
        <v/>
      </c>
      <c r="BX49" s="351" t="str">
        <f>IFERROR(IF(Tableau1[[#This Row],[Montant Facturé 08/2018]]&gt;0,Tableau1[[#This Row],[Montant Facturé 08/2018]]/Taux_Change_SII,""),"")</f>
        <v/>
      </c>
      <c r="BY49" s="351"/>
      <c r="BZ49" s="83">
        <f>SUMPRODUCT(1*(EXACT(CONCATENATE(Tableau1[[#This Row],[PO Number (Header)]],"-",Tableau1[[#This Row],[Line]]),UO_List[Unique_AIB_ID]))*(UO_List[Qté Réception 09/2020]))</f>
        <v>0</v>
      </c>
      <c r="CA49" s="84">
        <v>0</v>
      </c>
      <c r="CB49" s="351"/>
      <c r="CC49" s="351" t="str">
        <f>IFERROR(Tableau1[[#This Row],[Qté Facturé 09/2018]]*Tableau1[[#This Row],[Unit Price (calcul)]],"")</f>
        <v/>
      </c>
      <c r="CD49" s="351" t="str">
        <f>IFERROR(IF(Tableau1[[#This Row],[Montant Facturé 09/2018]]&gt;0,Tableau1[[#This Row],[Montant Facturé 09/2018]]/Taux_Change_SII,""),"")</f>
        <v/>
      </c>
      <c r="CE49" s="351"/>
      <c r="CF49" s="83">
        <f>SUMPRODUCT(1*(EXACT(CONCATENATE(Tableau1[[#This Row],[PO Number (Header)]],"-",Tableau1[[#This Row],[Line]]),UO_List[Unique_AIB_ID]))*(UO_List[Qté Réception 10/2020]))</f>
        <v>0</v>
      </c>
      <c r="CG49" s="84">
        <v>0</v>
      </c>
      <c r="CH49" s="351"/>
      <c r="CI49" s="351" t="str">
        <f>IFERROR(Tableau1[[#This Row],[Qté Facturé 10/2018]]*Tableau1[[#This Row],[Unit Price (calcul)]],"")</f>
        <v/>
      </c>
      <c r="CJ49" s="351" t="str">
        <f>IFERROR(IF(Tableau1[[#This Row],[Montant Facturé 10/2018]]&gt;0,Tableau1[[#This Row],[Montant Facturé 10/2018]]/Taux_Change_SII,""),"")</f>
        <v/>
      </c>
      <c r="CK49" s="351"/>
      <c r="CL49" s="83">
        <f>SUMPRODUCT(1*(EXACT(CONCATENATE(Tableau1[[#This Row],[PO Number (Header)]],"-",Tableau1[[#This Row],[Line]]),UO_List[Unique_AIB_ID]))*(UO_List[Qté Réception 11/2020]))</f>
        <v>0</v>
      </c>
      <c r="CM49" s="84"/>
      <c r="CN49" s="351"/>
      <c r="CO49" s="351" t="str">
        <f>IFERROR(Tableau1[[#This Row],[Qté Facturé 11/2018]]*Tableau1[[#This Row],[Unit Price (calcul)]],"")</f>
        <v/>
      </c>
      <c r="CP49" s="351" t="str">
        <f>IFERROR(IF(Tableau1[[#This Row],[Montant Facturé 11/2018]]&gt;0,Tableau1[[#This Row],[Montant Facturé 11/2018]]/Taux_Change_SII,""),"")</f>
        <v/>
      </c>
      <c r="CQ49" s="351"/>
      <c r="CR49" s="83">
        <f>SUMPRODUCT(1*(EXACT(CONCATENATE(Tableau1[[#This Row],[PO Number (Header)]],"-",Tableau1[[#This Row],[Line]]),UO_List[Unique_AIB_ID]))*(UO_List[Qté Réception 12/2020]))</f>
        <v>0</v>
      </c>
      <c r="CS49" s="84"/>
      <c r="CT49" s="351"/>
      <c r="CU49" s="351" t="str">
        <f>IFERROR(Tableau1[[#This Row],[Qté Facturé 12/2018]]*Tableau1[[#This Row],[Unit Price (calcul)]],"")</f>
        <v/>
      </c>
      <c r="CV49" s="351" t="str">
        <f>IFERROR(IF(Tableau1[[#This Row],[Montant Facturé 12/2018]]&gt;0,Tableau1[[#This Row],[Montant Facturé 12/2018]]/Taux_Change_SII,""),"")</f>
        <v/>
      </c>
      <c r="CW49" s="351"/>
      <c r="CX4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4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4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49" s="352" t="str">
        <f>IFERROR(Tableau1[[#This Row],[Total item réceptionné]]*Tableau1[[#This Row],[Unit Price (calcul)]],"")</f>
        <v/>
      </c>
      <c r="DB49" s="352" t="str">
        <f>IFERROR(Tableau1[[#This Row],[Total item à Facturer]]*Tableau1[[#This Row],[Unit Price (calcul)]],"")</f>
        <v/>
      </c>
      <c r="DC4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49" s="352" t="str">
        <f>IFERROR(Tableau1[[#This Row],[Line Total]]-Tableau1[[#This Row],[Total Price Réceptionné]],"")</f>
        <v/>
      </c>
      <c r="DE49" s="352" t="str">
        <f>IFERROR(Tableau1[[#This Row],[Total Price Réceptionné]]-Tableau1[[#This Row],[Total Price A facturer]],"")</f>
        <v/>
      </c>
      <c r="DF49" s="353" t="str">
        <f>IFERROR(Tableau1[[#This Row],[Total Price A facturer]]-Tableau1[[#This Row],[Total Price Facturé]],"")</f>
        <v/>
      </c>
      <c r="DG49" s="76">
        <f>Tableau1[[#This Row],[Total Item Quantity]]-Tableau1[[#This Row],[Total item réceptionné]]</f>
        <v>0</v>
      </c>
      <c r="DH49" s="167"/>
      <c r="DI49" s="167"/>
    </row>
    <row r="50" spans="1:113" s="74" customFormat="1">
      <c r="A50" s="77" t="str">
        <f>CONCATENATE(Tableau1[[#This Row],[PO Number (Header)]],"-",Tableau1[[#This Row],[Line]])</f>
        <v>-</v>
      </c>
      <c r="B50" s="158"/>
      <c r="C50" s="158"/>
      <c r="D50" s="158"/>
      <c r="F50" s="158"/>
      <c r="G50" s="158"/>
      <c r="H50" s="332"/>
      <c r="I50" s="383"/>
      <c r="J50" s="158"/>
      <c r="K50" s="158"/>
      <c r="N50" s="158"/>
      <c r="P50" s="158"/>
      <c r="Q50" s="480"/>
      <c r="R50" s="395"/>
      <c r="S50" s="158"/>
      <c r="T50" s="158"/>
      <c r="V50" s="158"/>
      <c r="W50" s="436"/>
      <c r="X50" s="436"/>
      <c r="Y50" s="167" t="str">
        <f>IF(ISBLANK(Tableau1[[#This Row],[PO Number (Header)]]),"",Tableau1[[#This Row],[Line Total]]/Tableau1[[#This Row],[Total Item Quantity]])</f>
        <v/>
      </c>
      <c r="Z50" s="167" t="str">
        <f>IF(ISNA(VLOOKUP(Tableau1[[#This Row],[Unique_AIB_ID]],UO_List[Unique_AIB_ID],1,FALSE)),IF(ISBLANK(Tableau1[[#This Row],[PO Number (Header)]]),"","FAUX"),"VRAI")</f>
        <v/>
      </c>
      <c r="AA50" s="167"/>
      <c r="AB50" s="162" t="e">
        <f>VLOOKUP(Tableau1[[#This Row],[Unique_AIB_ID]],UO_List[[Unique_AIB_ID]:[OLGA F6]],3,FALSE)</f>
        <v>#N/A</v>
      </c>
      <c r="AC50" s="162" t="s">
        <v>774</v>
      </c>
      <c r="AD50" s="83">
        <f>SUMPRODUCT(1*(EXACT(CONCATENATE(Tableau1[[#This Row],[PO Number (Header)]],"-",Tableau1[[#This Row],[Line]]),UO_List[Unique_AIB_ID]))*(UO_List[Qté Réception 03/2020]))</f>
        <v>0</v>
      </c>
      <c r="AE50" s="84"/>
      <c r="AF50" s="357"/>
      <c r="AG50" s="351" t="str">
        <f>IFERROR(Tableau1[[#This Row],[Qté Facturé 01/2018]]*Tableau1[[#This Row],[Unit Price (calcul)]],"")</f>
        <v/>
      </c>
      <c r="AH50" s="356" t="str">
        <f>IFERROR(IF(Tableau1[[#This Row],[Montant Facturé 01/2018]]&gt;0,Tableau1[[#This Row],[Montant Facturé 01/2018]]/Taux_Change_SII,""),"")</f>
        <v/>
      </c>
      <c r="AI50" s="351"/>
      <c r="AJ50" s="83">
        <f>SUMPRODUCT(1*(EXACT(CONCATENATE(Tableau1[[#This Row],[PO Number (Header)]],"-",Tableau1[[#This Row],[Line]]),UO_List[Unique_AIB_ID]))*(UO_List[Qté Réception 02/2020]))</f>
        <v>0</v>
      </c>
      <c r="AK50" s="83">
        <f>SUMPRODUCT(1*(EXACT(CONCATENATE(Tableau1[[#This Row],[PO Number (Header)]],"-",Tableau1[[#This Row],[Line]]),UO_List[Unique_AIB_ID]))*(UO_List[Qté Réception 02/2020]))</f>
        <v>0</v>
      </c>
      <c r="AL50" s="357"/>
      <c r="AM50" s="351" t="str">
        <f>IFERROR(Tableau1[[#This Row],[Qté Facturé 02/2018]]*Tableau1[[#This Row],[Unit Price (calcul)]],"")</f>
        <v/>
      </c>
      <c r="AN50" s="351" t="str">
        <f>IFERROR(IF(Tableau1[[#This Row],[Montant Facturé 02/2018]]&gt;0,Tableau1[[#This Row],[Montant Facturé 02/2018]]/Taux_Change_SII,""),"")</f>
        <v/>
      </c>
      <c r="AO50" s="351"/>
      <c r="AP50" s="83">
        <f>SUMPRODUCT(1*(EXACT(CONCATENATE(Tableau1[[#This Row],[PO Number (Header)]],"-",Tableau1[[#This Row],[Line]]),UO_List[Unique_AIB_ID]))*(UO_List[Qté Réception 00/2020]))</f>
        <v>0</v>
      </c>
      <c r="AQ50" s="84"/>
      <c r="AR50" s="357"/>
      <c r="AS50" s="351" t="str">
        <f>IFERROR(Tableau1[[#This Row],[Qté Facturé 03/2018]]*Tableau1[[#This Row],[Unit Price (calcul)]],"")</f>
        <v/>
      </c>
      <c r="AT50" s="358" t="str">
        <f>IFERROR(IF(Tableau1[[#This Row],[Montant Facturé 03/2018]]&gt;0,Tableau1[[#This Row],[Montant Facturé 03/2018]]/Taux_Change_SII,""),"")</f>
        <v/>
      </c>
      <c r="AU50" s="351"/>
      <c r="AV50" s="83">
        <f>SUMPRODUCT(1*(EXACT(CONCATENATE(Tableau1[[#This Row],[PO Number (Header)]],"-",Tableau1[[#This Row],[Line]]),UO_List[Unique_AIB_ID]))*(UO_List[Qté Réception 04/2020]))</f>
        <v>0</v>
      </c>
      <c r="AW50" s="84">
        <v>0</v>
      </c>
      <c r="AX50" s="351"/>
      <c r="AY50" s="351" t="str">
        <f>IFERROR(Tableau1[[#This Row],[Qté Facturé 04/2018]]*Tableau1[[#This Row],[Unit Price (calcul)]],"")</f>
        <v/>
      </c>
      <c r="AZ50" s="351" t="str">
        <f>IFERROR(IF(Tableau1[[#This Row],[Montant Facturé 04/2018]]&gt;0,Tableau1[[#This Row],[Montant Facturé 04/2018]]/Taux_Change_SII,""),"")</f>
        <v/>
      </c>
      <c r="BA50" s="351"/>
      <c r="BB50" s="83">
        <f>SUMPRODUCT(1*(EXACT(CONCATENATE(Tableau1[[#This Row],[PO Number (Header)]],"-",Tableau1[[#This Row],[Line]]),UO_List[Unique_AIB_ID]))*(UO_List[Qté Réception 05/2020]))</f>
        <v>0</v>
      </c>
      <c r="BC50" s="84">
        <v>0</v>
      </c>
      <c r="BD50" s="351"/>
      <c r="BE50" s="351" t="str">
        <f>IFERROR(Tableau1[[#This Row],[Qté Facturé 05/2018]]*Tableau1[[#This Row],[Unit Price (calcul)]],"")</f>
        <v/>
      </c>
      <c r="BF50" s="351" t="str">
        <f>IFERROR(IF(Tableau1[[#This Row],[Montant Facturé 05/2018]]&gt;0,Tableau1[[#This Row],[Montant Facturé 05/2018]]/Taux_Change_SII,""),"")</f>
        <v/>
      </c>
      <c r="BG50" s="351"/>
      <c r="BH50" s="83">
        <f>SUMPRODUCT(1*(EXACT(CONCATENATE(Tableau1[[#This Row],[PO Number (Header)]],"-",Tableau1[[#This Row],[Line]]),UO_List[Unique_AIB_ID]))*(UO_List[Qté Réception 06/2020]))</f>
        <v>0</v>
      </c>
      <c r="BI50" s="84">
        <v>0</v>
      </c>
      <c r="BJ50" s="351"/>
      <c r="BK50" s="351" t="str">
        <f>IFERROR(Tableau1[[#This Row],[Qté Facturé 06/2018]]*Tableau1[[#This Row],[Unit Price (calcul)]],"")</f>
        <v/>
      </c>
      <c r="BL50" s="351" t="str">
        <f>IFERROR(IF(Tableau1[[#This Row],[Montant Facturé 06/2018]]&gt;0,Tableau1[[#This Row],[Montant Facturé 06/2018]]/Taux_Change_SII,""),"")</f>
        <v/>
      </c>
      <c r="BM50" s="351"/>
      <c r="BN50" s="83">
        <f>SUMPRODUCT(1*(EXACT(CONCATENATE(Tableau1[[#This Row],[PO Number (Header)]],"-",Tableau1[[#This Row],[Line]]),UO_List[Unique_AIB_ID]))*(UO_List[Qté Réception 07/2020]))</f>
        <v>0</v>
      </c>
      <c r="BO50" s="84">
        <v>0</v>
      </c>
      <c r="BP50" s="351"/>
      <c r="BQ50" s="351" t="str">
        <f>IFERROR(Tableau1[[#This Row],[Qté Facturé 07/2018]]*Tableau1[[#This Row],[Unit Price (calcul)]],"")</f>
        <v/>
      </c>
      <c r="BR50" s="351" t="str">
        <f>IFERROR(IF(Tableau1[[#This Row],[Montant Facturé 07/2018]]&gt;0,Tableau1[[#This Row],[Montant Facturé 07/2018]]/Taux_Change_SII,""),"")</f>
        <v/>
      </c>
      <c r="BS50" s="351"/>
      <c r="BT50" s="83">
        <f>SUMPRODUCT(1*(EXACT(CONCATENATE(Tableau1[[#This Row],[PO Number (Header)]],"-",Tableau1[[#This Row],[Line]]),UO_List[Unique_AIB_ID]))*(UO_List[Qté Réception 08/2020]))</f>
        <v>0</v>
      </c>
      <c r="BU50" s="84"/>
      <c r="BV50" s="351"/>
      <c r="BW50" s="351" t="str">
        <f>IFERROR(Tableau1[[#This Row],[Qté Facturé 08/2018]]*Tableau1[[#This Row],[Unit Price (calcul)]],"")</f>
        <v/>
      </c>
      <c r="BX50" s="351" t="str">
        <f>IFERROR(IF(Tableau1[[#This Row],[Montant Facturé 08/2018]]&gt;0,Tableau1[[#This Row],[Montant Facturé 08/2018]]/Taux_Change_SII,""),"")</f>
        <v/>
      </c>
      <c r="BY50" s="351"/>
      <c r="BZ50" s="83">
        <f>SUMPRODUCT(1*(EXACT(CONCATENATE(Tableau1[[#This Row],[PO Number (Header)]],"-",Tableau1[[#This Row],[Line]]),UO_List[Unique_AIB_ID]))*(UO_List[Qté Réception 09/2020]))</f>
        <v>0</v>
      </c>
      <c r="CA50" s="84">
        <v>0</v>
      </c>
      <c r="CB50" s="351"/>
      <c r="CC50" s="351" t="str">
        <f>IFERROR(Tableau1[[#This Row],[Qté Facturé 09/2018]]*Tableau1[[#This Row],[Unit Price (calcul)]],"")</f>
        <v/>
      </c>
      <c r="CD50" s="351" t="str">
        <f>IFERROR(IF(Tableau1[[#This Row],[Montant Facturé 09/2018]]&gt;0,Tableau1[[#This Row],[Montant Facturé 09/2018]]/Taux_Change_SII,""),"")</f>
        <v/>
      </c>
      <c r="CE50" s="351"/>
      <c r="CF50" s="83">
        <f>SUMPRODUCT(1*(EXACT(CONCATENATE(Tableau1[[#This Row],[PO Number (Header)]],"-",Tableau1[[#This Row],[Line]]),UO_List[Unique_AIB_ID]))*(UO_List[Qté Réception 10/2020]))</f>
        <v>0</v>
      </c>
      <c r="CG50" s="84">
        <v>0</v>
      </c>
      <c r="CH50" s="351"/>
      <c r="CI50" s="351" t="str">
        <f>IFERROR(Tableau1[[#This Row],[Qté Facturé 10/2018]]*Tableau1[[#This Row],[Unit Price (calcul)]],"")</f>
        <v/>
      </c>
      <c r="CJ50" s="351" t="str">
        <f>IFERROR(IF(Tableau1[[#This Row],[Montant Facturé 10/2018]]&gt;0,Tableau1[[#This Row],[Montant Facturé 10/2018]]/Taux_Change_SII,""),"")</f>
        <v/>
      </c>
      <c r="CK50" s="351"/>
      <c r="CL50" s="83">
        <f>SUMPRODUCT(1*(EXACT(CONCATENATE(Tableau1[[#This Row],[PO Number (Header)]],"-",Tableau1[[#This Row],[Line]]),UO_List[Unique_AIB_ID]))*(UO_List[Qté Réception 11/2020]))</f>
        <v>0</v>
      </c>
      <c r="CM50" s="84"/>
      <c r="CN50" s="351"/>
      <c r="CO50" s="351" t="str">
        <f>IFERROR(Tableau1[[#This Row],[Qté Facturé 11/2018]]*Tableau1[[#This Row],[Unit Price (calcul)]],"")</f>
        <v/>
      </c>
      <c r="CP50" s="351" t="str">
        <f>IFERROR(IF(Tableau1[[#This Row],[Montant Facturé 11/2018]]&gt;0,Tableau1[[#This Row],[Montant Facturé 11/2018]]/Taux_Change_SII,""),"")</f>
        <v/>
      </c>
      <c r="CQ50" s="351"/>
      <c r="CR50" s="83">
        <f>SUMPRODUCT(1*(EXACT(CONCATENATE(Tableau1[[#This Row],[PO Number (Header)]],"-",Tableau1[[#This Row],[Line]]),UO_List[Unique_AIB_ID]))*(UO_List[Qté Réception 12/2020]))</f>
        <v>0</v>
      </c>
      <c r="CS50" s="84"/>
      <c r="CT50" s="351"/>
      <c r="CU50" s="351" t="str">
        <f>IFERROR(Tableau1[[#This Row],[Qté Facturé 12/2018]]*Tableau1[[#This Row],[Unit Price (calcul)]],"")</f>
        <v/>
      </c>
      <c r="CV50" s="351" t="str">
        <f>IFERROR(IF(Tableau1[[#This Row],[Montant Facturé 12/2018]]&gt;0,Tableau1[[#This Row],[Montant Facturé 12/2018]]/Taux_Change_SII,""),"")</f>
        <v/>
      </c>
      <c r="CW50" s="351"/>
      <c r="CX5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0" s="352" t="str">
        <f>IFERROR(Tableau1[[#This Row],[Total item réceptionné]]*Tableau1[[#This Row],[Unit Price (calcul)]],"")</f>
        <v/>
      </c>
      <c r="DB50" s="352" t="str">
        <f>IFERROR(Tableau1[[#This Row],[Total item à Facturer]]*Tableau1[[#This Row],[Unit Price (calcul)]],"")</f>
        <v/>
      </c>
      <c r="DC5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0" s="352" t="str">
        <f>IFERROR(Tableau1[[#This Row],[Line Total]]-Tableau1[[#This Row],[Total Price Réceptionné]],"")</f>
        <v/>
      </c>
      <c r="DE50" s="352" t="str">
        <f>IFERROR(Tableau1[[#This Row],[Total Price Réceptionné]]-Tableau1[[#This Row],[Total Price A facturer]],"")</f>
        <v/>
      </c>
      <c r="DF50" s="353" t="str">
        <f>IFERROR(Tableau1[[#This Row],[Total Price A facturer]]-Tableau1[[#This Row],[Total Price Facturé]],"")</f>
        <v/>
      </c>
      <c r="DG50" s="76">
        <f>Tableau1[[#This Row],[Total Item Quantity]]-Tableau1[[#This Row],[Total item réceptionné]]</f>
        <v>0</v>
      </c>
      <c r="DH50" s="167"/>
      <c r="DI50" s="167"/>
    </row>
    <row r="51" spans="1:113" s="74" customFormat="1">
      <c r="A51" s="77" t="str">
        <f>CONCATENATE(Tableau1[[#This Row],[PO Number (Header)]],"-",Tableau1[[#This Row],[Line]])</f>
        <v>-</v>
      </c>
      <c r="B51" s="437"/>
      <c r="C51" s="437"/>
      <c r="D51" s="437"/>
      <c r="E51" s="437"/>
      <c r="F51" s="438"/>
      <c r="G51" s="437"/>
      <c r="H51" s="439"/>
      <c r="I51" s="437"/>
      <c r="J51" s="437"/>
      <c r="K51" s="438"/>
      <c r="L51" s="437"/>
      <c r="M51" s="437"/>
      <c r="N51" s="437"/>
      <c r="O51" s="437"/>
      <c r="P51" s="438"/>
      <c r="Q51" s="479"/>
      <c r="R51" s="395"/>
      <c r="S51" s="437"/>
      <c r="T51" s="437"/>
      <c r="U51" s="437"/>
      <c r="V51" s="437"/>
      <c r="W51" s="167"/>
      <c r="X51" s="167"/>
      <c r="Y51" s="167" t="str">
        <f>IF(ISBLANK(Tableau1[[#This Row],[PO Number (Header)]]),"",Tableau1[[#This Row],[Line Total]]/Tableau1[[#This Row],[Total Item Quantity]])</f>
        <v/>
      </c>
      <c r="Z51" s="167" t="str">
        <f>IF(ISNA(VLOOKUP(Tableau1[[#This Row],[Unique_AIB_ID]],UO_List[Unique_AIB_ID],1,FALSE)),IF(ISBLANK(Tableau1[[#This Row],[PO Number (Header)]]),"","FAUX"),"VRAI")</f>
        <v/>
      </c>
      <c r="AA51" s="167"/>
      <c r="AB51" s="162" t="e">
        <f>VLOOKUP(Tableau1[[#This Row],[Unique_AIB_ID]],UO_List[[Unique_AIB_ID]:[OLGA F6]],3,FALSE)</f>
        <v>#N/A</v>
      </c>
      <c r="AC51" s="162" t="s">
        <v>778</v>
      </c>
      <c r="AD51" s="83">
        <f>SUMPRODUCT(1*(EXACT(CONCATENATE(Tableau1[[#This Row],[PO Number (Header)]],"-",Tableau1[[#This Row],[Line]]),UO_List[Unique_AIB_ID]))*(UO_List[Qté Réception 03/2020]))</f>
        <v>0</v>
      </c>
      <c r="AE51" s="84"/>
      <c r="AF51" s="357"/>
      <c r="AG51" s="351" t="str">
        <f>IFERROR(Tableau1[[#This Row],[Qté Facturé 01/2018]]*Tableau1[[#This Row],[Unit Price (calcul)]],"")</f>
        <v/>
      </c>
      <c r="AH51" s="356" t="str">
        <f>IFERROR(IF(Tableau1[[#This Row],[Montant Facturé 01/2018]]&gt;0,Tableau1[[#This Row],[Montant Facturé 01/2018]]/Taux_Change_SII,""),"")</f>
        <v/>
      </c>
      <c r="AI51" s="351"/>
      <c r="AJ51" s="83">
        <f>SUMPRODUCT(1*(EXACT(CONCATENATE(Tableau1[[#This Row],[PO Number (Header)]],"-",Tableau1[[#This Row],[Line]]),UO_List[Unique_AIB_ID]))*(UO_List[Qté Réception 02/2020]))</f>
        <v>0</v>
      </c>
      <c r="AK51" s="83">
        <f>SUMPRODUCT(1*(EXACT(CONCATENATE(Tableau1[[#This Row],[PO Number (Header)]],"-",Tableau1[[#This Row],[Line]]),UO_List[Unique_AIB_ID]))*(UO_List[Qté Réception 02/2020]))</f>
        <v>0</v>
      </c>
      <c r="AL51" s="357"/>
      <c r="AM51" s="351" t="str">
        <f>IFERROR(Tableau1[[#This Row],[Qté Facturé 02/2018]]*Tableau1[[#This Row],[Unit Price (calcul)]],"")</f>
        <v/>
      </c>
      <c r="AN51" s="351" t="str">
        <f>IFERROR(IF(Tableau1[[#This Row],[Montant Facturé 02/2018]]&gt;0,Tableau1[[#This Row],[Montant Facturé 02/2018]]/Taux_Change_SII,""),"")</f>
        <v/>
      </c>
      <c r="AO51" s="351"/>
      <c r="AP51" s="83">
        <f>SUMPRODUCT(1*(EXACT(CONCATENATE(Tableau1[[#This Row],[PO Number (Header)]],"-",Tableau1[[#This Row],[Line]]),UO_List[Unique_AIB_ID]))*(UO_List[Qté Réception 00/2020]))</f>
        <v>0</v>
      </c>
      <c r="AQ51" s="84">
        <v>0</v>
      </c>
      <c r="AR51" s="357"/>
      <c r="AS51" s="351" t="str">
        <f>IFERROR(Tableau1[[#This Row],[Qté Facturé 03/2018]]*Tableau1[[#This Row],[Unit Price (calcul)]],"")</f>
        <v/>
      </c>
      <c r="AT51" s="351" t="str">
        <f>IFERROR(IF(Tableau1[[#This Row],[Montant Facturé 03/2018]]&gt;0,Tableau1[[#This Row],[Montant Facturé 03/2018]]/Taux_Change_SII,""),"")</f>
        <v/>
      </c>
      <c r="AU51" s="351"/>
      <c r="AV51" s="83">
        <f>SUMPRODUCT(1*(EXACT(CONCATENATE(Tableau1[[#This Row],[PO Number (Header)]],"-",Tableau1[[#This Row],[Line]]),UO_List[Unique_AIB_ID]))*(UO_List[Qté Réception 04/2020]))</f>
        <v>0</v>
      </c>
      <c r="AW51" s="84">
        <v>0</v>
      </c>
      <c r="AX51" s="351"/>
      <c r="AY51" s="351" t="str">
        <f>IFERROR(Tableau1[[#This Row],[Qté Facturé 04/2018]]*Tableau1[[#This Row],[Unit Price (calcul)]],"")</f>
        <v/>
      </c>
      <c r="AZ51" s="351" t="str">
        <f>IFERROR(IF(Tableau1[[#This Row],[Montant Facturé 04/2018]]&gt;0,Tableau1[[#This Row],[Montant Facturé 04/2018]]/Taux_Change_SII,""),"")</f>
        <v/>
      </c>
      <c r="BA51" s="351"/>
      <c r="BB51" s="83">
        <f>SUMPRODUCT(1*(EXACT(CONCATENATE(Tableau1[[#This Row],[PO Number (Header)]],"-",Tableau1[[#This Row],[Line]]),UO_List[Unique_AIB_ID]))*(UO_List[Qté Réception 05/2020]))</f>
        <v>0</v>
      </c>
      <c r="BC51" s="84">
        <v>0</v>
      </c>
      <c r="BD51" s="351"/>
      <c r="BE51" s="351" t="str">
        <f>IFERROR(Tableau1[[#This Row],[Qté Facturé 05/2018]]*Tableau1[[#This Row],[Unit Price (calcul)]],"")</f>
        <v/>
      </c>
      <c r="BF51" s="351" t="str">
        <f>IFERROR(IF(Tableau1[[#This Row],[Montant Facturé 05/2018]]&gt;0,Tableau1[[#This Row],[Montant Facturé 05/2018]]/Taux_Change_SII,""),"")</f>
        <v/>
      </c>
      <c r="BG51" s="351"/>
      <c r="BH51" s="83">
        <f>SUMPRODUCT(1*(EXACT(CONCATENATE(Tableau1[[#This Row],[PO Number (Header)]],"-",Tableau1[[#This Row],[Line]]),UO_List[Unique_AIB_ID]))*(UO_List[Qté Réception 06/2020]))</f>
        <v>0</v>
      </c>
      <c r="BI51" s="84">
        <v>0</v>
      </c>
      <c r="BJ51" s="351"/>
      <c r="BK51" s="351" t="str">
        <f>IFERROR(Tableau1[[#This Row],[Qté Facturé 06/2018]]*Tableau1[[#This Row],[Unit Price (calcul)]],"")</f>
        <v/>
      </c>
      <c r="BL51" s="351" t="str">
        <f>IFERROR(IF(Tableau1[[#This Row],[Montant Facturé 06/2018]]&gt;0,Tableau1[[#This Row],[Montant Facturé 06/2018]]/Taux_Change_SII,""),"")</f>
        <v/>
      </c>
      <c r="BM51" s="351"/>
      <c r="BN51" s="83">
        <f>SUMPRODUCT(1*(EXACT(CONCATENATE(Tableau1[[#This Row],[PO Number (Header)]],"-",Tableau1[[#This Row],[Line]]),UO_List[Unique_AIB_ID]))*(UO_List[Qté Réception 07/2020]))</f>
        <v>0</v>
      </c>
      <c r="BO51" s="84">
        <v>0</v>
      </c>
      <c r="BP51" s="351"/>
      <c r="BQ51" s="351" t="str">
        <f>IFERROR(Tableau1[[#This Row],[Qté Facturé 07/2018]]*Tableau1[[#This Row],[Unit Price (calcul)]],"")</f>
        <v/>
      </c>
      <c r="BR51" s="351" t="str">
        <f>IFERROR(IF(Tableau1[[#This Row],[Montant Facturé 07/2018]]&gt;0,Tableau1[[#This Row],[Montant Facturé 07/2018]]/Taux_Change_SII,""),"")</f>
        <v/>
      </c>
      <c r="BS51" s="351"/>
      <c r="BT51" s="83">
        <f>SUMPRODUCT(1*(EXACT(CONCATENATE(Tableau1[[#This Row],[PO Number (Header)]],"-",Tableau1[[#This Row],[Line]]),UO_List[Unique_AIB_ID]))*(UO_List[Qté Réception 08/2020]))</f>
        <v>0</v>
      </c>
      <c r="BU51" s="84"/>
      <c r="BV51" s="351"/>
      <c r="BW51" s="351" t="str">
        <f>IFERROR(Tableau1[[#This Row],[Qté Facturé 08/2018]]*Tableau1[[#This Row],[Unit Price (calcul)]],"")</f>
        <v/>
      </c>
      <c r="BX51" s="351" t="str">
        <f>IFERROR(IF(Tableau1[[#This Row],[Montant Facturé 08/2018]]&gt;0,Tableau1[[#This Row],[Montant Facturé 08/2018]]/Taux_Change_SII,""),"")</f>
        <v/>
      </c>
      <c r="BY51" s="351"/>
      <c r="BZ51" s="83">
        <f>SUMPRODUCT(1*(EXACT(CONCATENATE(Tableau1[[#This Row],[PO Number (Header)]],"-",Tableau1[[#This Row],[Line]]),UO_List[Unique_AIB_ID]))*(UO_List[Qté Réception 09/2020]))</f>
        <v>0</v>
      </c>
      <c r="CA51" s="83"/>
      <c r="CB51" s="351"/>
      <c r="CC51" s="351" t="str">
        <f>IFERROR(Tableau1[[#This Row],[Qté Facturé 09/2018]]*Tableau1[[#This Row],[Unit Price (calcul)]],"")</f>
        <v/>
      </c>
      <c r="CD51" s="351" t="str">
        <f>IFERROR(IF(Tableau1[[#This Row],[Montant Facturé 09/2018]]&gt;0,Tableau1[[#This Row],[Montant Facturé 09/2018]]/Taux_Change_SII,""),"")</f>
        <v/>
      </c>
      <c r="CE51" s="351"/>
      <c r="CF51" s="83">
        <f>SUMPRODUCT(1*(EXACT(CONCATENATE(Tableau1[[#This Row],[PO Number (Header)]],"-",Tableau1[[#This Row],[Line]]),UO_List[Unique_AIB_ID]))*(UO_List[Qté Réception 10/2020]))</f>
        <v>0</v>
      </c>
      <c r="CG51" s="84">
        <v>0</v>
      </c>
      <c r="CH51" s="351"/>
      <c r="CI51" s="351" t="str">
        <f>IFERROR(Tableau1[[#This Row],[Qté Facturé 10/2018]]*Tableau1[[#This Row],[Unit Price (calcul)]],"")</f>
        <v/>
      </c>
      <c r="CJ51" s="351" t="str">
        <f>IFERROR(IF(Tableau1[[#This Row],[Montant Facturé 10/2018]]&gt;0,Tableau1[[#This Row],[Montant Facturé 10/2018]]/Taux_Change_SII,""),"")</f>
        <v/>
      </c>
      <c r="CK51" s="351"/>
      <c r="CL51" s="83">
        <f>SUMPRODUCT(1*(EXACT(CONCATENATE(Tableau1[[#This Row],[PO Number (Header)]],"-",Tableau1[[#This Row],[Line]]),UO_List[Unique_AIB_ID]))*(UO_List[Qté Réception 11/2020]))</f>
        <v>0</v>
      </c>
      <c r="CM51" s="84"/>
      <c r="CN51" s="351"/>
      <c r="CO51" s="351" t="str">
        <f>IFERROR(Tableau1[[#This Row],[Qté Facturé 11/2018]]*Tableau1[[#This Row],[Unit Price (calcul)]],"")</f>
        <v/>
      </c>
      <c r="CP51" s="351" t="str">
        <f>IFERROR(IF(Tableau1[[#This Row],[Montant Facturé 11/2018]]&gt;0,Tableau1[[#This Row],[Montant Facturé 11/2018]]/Taux_Change_SII,""),"")</f>
        <v/>
      </c>
      <c r="CQ51" s="351"/>
      <c r="CR51" s="83">
        <f>SUMPRODUCT(1*(EXACT(CONCATENATE(Tableau1[[#This Row],[PO Number (Header)]],"-",Tableau1[[#This Row],[Line]]),UO_List[Unique_AIB_ID]))*(UO_List[Qté Réception 12/2020]))</f>
        <v>0</v>
      </c>
      <c r="CS51" s="84"/>
      <c r="CT51" s="351"/>
      <c r="CU51" s="351" t="str">
        <f>IFERROR(Tableau1[[#This Row],[Qté Facturé 12/2018]]*Tableau1[[#This Row],[Unit Price (calcul)]],"")</f>
        <v/>
      </c>
      <c r="CV51" s="351" t="str">
        <f>IFERROR(IF(Tableau1[[#This Row],[Montant Facturé 12/2018]]&gt;0,Tableau1[[#This Row],[Montant Facturé 12/2018]]/Taux_Change_SII,""),"")</f>
        <v/>
      </c>
      <c r="CW51" s="351"/>
      <c r="CX5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1" s="352" t="str">
        <f>IFERROR(Tableau1[[#This Row],[Total item réceptionné]]*Tableau1[[#This Row],[Unit Price (calcul)]],"")</f>
        <v/>
      </c>
      <c r="DB51" s="352" t="str">
        <f>IFERROR(Tableau1[[#This Row],[Total item à Facturer]]*Tableau1[[#This Row],[Unit Price (calcul)]],"")</f>
        <v/>
      </c>
      <c r="DC5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1" s="352" t="str">
        <f>IFERROR(Tableau1[[#This Row],[Line Total]]-Tableau1[[#This Row],[Total Price Réceptionné]],"")</f>
        <v/>
      </c>
      <c r="DE51" s="352" t="str">
        <f>IFERROR(Tableau1[[#This Row],[Total Price Réceptionné]]-Tableau1[[#This Row],[Total Price A facturer]],"")</f>
        <v/>
      </c>
      <c r="DF51" s="353" t="str">
        <f>IFERROR(Tableau1[[#This Row],[Total Price A facturer]]-Tableau1[[#This Row],[Total Price Facturé]],"")</f>
        <v/>
      </c>
      <c r="DG51" s="76">
        <f>Tableau1[[#This Row],[Total Item Quantity]]-Tableau1[[#This Row],[Total item réceptionné]]</f>
        <v>0</v>
      </c>
      <c r="DH51" s="167"/>
      <c r="DI51" s="167"/>
    </row>
    <row r="52" spans="1:113" s="74" customFormat="1">
      <c r="A52" s="77" t="str">
        <f>CONCATENATE(Tableau1[[#This Row],[PO Number (Header)]],"-",Tableau1[[#This Row],[Line]])</f>
        <v>-</v>
      </c>
      <c r="B52" s="437"/>
      <c r="C52" s="437"/>
      <c r="D52" s="437"/>
      <c r="E52" s="437"/>
      <c r="F52" s="438"/>
      <c r="G52" s="437"/>
      <c r="H52" s="439"/>
      <c r="I52" s="437"/>
      <c r="J52" s="437"/>
      <c r="K52" s="438"/>
      <c r="L52" s="437"/>
      <c r="M52" s="437"/>
      <c r="N52" s="437"/>
      <c r="O52" s="437"/>
      <c r="P52" s="438"/>
      <c r="Q52" s="479"/>
      <c r="R52" s="395"/>
      <c r="S52" s="437"/>
      <c r="T52" s="437"/>
      <c r="U52" s="437"/>
      <c r="V52" s="437"/>
      <c r="W52" s="167"/>
      <c r="X52" s="167"/>
      <c r="Y52" s="167" t="str">
        <f>IF(ISBLANK(Tableau1[[#This Row],[PO Number (Header)]]),"",Tableau1[[#This Row],[Line Total]]/Tableau1[[#This Row],[Total Item Quantity]])</f>
        <v/>
      </c>
      <c r="Z52" s="167" t="str">
        <f>IF(ISNA(VLOOKUP(Tableau1[[#This Row],[Unique_AIB_ID]],UO_List[Unique_AIB_ID],1,FALSE)),IF(ISBLANK(Tableau1[[#This Row],[PO Number (Header)]]),"","FAUX"),"VRAI")</f>
        <v/>
      </c>
      <c r="AA52" s="167"/>
      <c r="AB52" s="162" t="e">
        <f>VLOOKUP(Tableau1[[#This Row],[Unique_AIB_ID]],UO_List[[Unique_AIB_ID]:[OLGA F6]],3,FALSE)</f>
        <v>#N/A</v>
      </c>
      <c r="AC52" s="162" t="s">
        <v>778</v>
      </c>
      <c r="AD52" s="83">
        <f>SUMPRODUCT(1*(EXACT(CONCATENATE(Tableau1[[#This Row],[PO Number (Header)]],"-",Tableau1[[#This Row],[Line]]),UO_List[Unique_AIB_ID]))*(UO_List[Qté Réception 03/2020]))</f>
        <v>0</v>
      </c>
      <c r="AE52" s="84"/>
      <c r="AF52" s="357"/>
      <c r="AG52" s="351" t="str">
        <f>IFERROR(Tableau1[[#This Row],[Qté Facturé 01/2018]]*Tableau1[[#This Row],[Unit Price (calcul)]],"")</f>
        <v/>
      </c>
      <c r="AH52" s="356" t="str">
        <f>IFERROR(IF(Tableau1[[#This Row],[Montant Facturé 01/2018]]&gt;0,Tableau1[[#This Row],[Montant Facturé 01/2018]]/Taux_Change_SII,""),"")</f>
        <v/>
      </c>
      <c r="AI52" s="351"/>
      <c r="AJ52" s="83">
        <f>SUMPRODUCT(1*(EXACT(CONCATENATE(Tableau1[[#This Row],[PO Number (Header)]],"-",Tableau1[[#This Row],[Line]]),UO_List[Unique_AIB_ID]))*(UO_List[Qté Réception 02/2020]))</f>
        <v>0</v>
      </c>
      <c r="AK52" s="83">
        <f>SUMPRODUCT(1*(EXACT(CONCATENATE(Tableau1[[#This Row],[PO Number (Header)]],"-",Tableau1[[#This Row],[Line]]),UO_List[Unique_AIB_ID]))*(UO_List[Qté Réception 02/2020]))</f>
        <v>0</v>
      </c>
      <c r="AL52" s="357"/>
      <c r="AM52" s="351" t="str">
        <f>IFERROR(Tableau1[[#This Row],[Qté Facturé 02/2018]]*Tableau1[[#This Row],[Unit Price (calcul)]],"")</f>
        <v/>
      </c>
      <c r="AN52" s="351" t="str">
        <f>IFERROR(IF(Tableau1[[#This Row],[Montant Facturé 02/2018]]&gt;0,Tableau1[[#This Row],[Montant Facturé 02/2018]]/Taux_Change_SII,""),"")</f>
        <v/>
      </c>
      <c r="AO52" s="351"/>
      <c r="AP52" s="83">
        <f>SUMPRODUCT(1*(EXACT(CONCATENATE(Tableau1[[#This Row],[PO Number (Header)]],"-",Tableau1[[#This Row],[Line]]),UO_List[Unique_AIB_ID]))*(UO_List[Qté Réception 00/2020]))</f>
        <v>0</v>
      </c>
      <c r="AQ52" s="84">
        <v>0</v>
      </c>
      <c r="AR52" s="357"/>
      <c r="AS52" s="351" t="str">
        <f>IFERROR(Tableau1[[#This Row],[Qté Facturé 03/2018]]*Tableau1[[#This Row],[Unit Price (calcul)]],"")</f>
        <v/>
      </c>
      <c r="AT52" s="351" t="str">
        <f>IFERROR(IF(Tableau1[[#This Row],[Montant Facturé 03/2018]]&gt;0,Tableau1[[#This Row],[Montant Facturé 03/2018]]/Taux_Change_SII,""),"")</f>
        <v/>
      </c>
      <c r="AU52" s="351"/>
      <c r="AV52" s="83">
        <f>SUMPRODUCT(1*(EXACT(CONCATENATE(Tableau1[[#This Row],[PO Number (Header)]],"-",Tableau1[[#This Row],[Line]]),UO_List[Unique_AIB_ID]))*(UO_List[Qté Réception 04/2020]))</f>
        <v>0</v>
      </c>
      <c r="AW52" s="84">
        <v>0</v>
      </c>
      <c r="AX52" s="351"/>
      <c r="AY52" s="351" t="str">
        <f>IFERROR(Tableau1[[#This Row],[Qté Facturé 04/2018]]*Tableau1[[#This Row],[Unit Price (calcul)]],"")</f>
        <v/>
      </c>
      <c r="AZ52" s="351" t="str">
        <f>IFERROR(IF(Tableau1[[#This Row],[Montant Facturé 04/2018]]&gt;0,Tableau1[[#This Row],[Montant Facturé 04/2018]]/Taux_Change_SII,""),"")</f>
        <v/>
      </c>
      <c r="BA52" s="351"/>
      <c r="BB52" s="83">
        <f>SUMPRODUCT(1*(EXACT(CONCATENATE(Tableau1[[#This Row],[PO Number (Header)]],"-",Tableau1[[#This Row],[Line]]),UO_List[Unique_AIB_ID]))*(UO_List[Qté Réception 05/2020]))</f>
        <v>0</v>
      </c>
      <c r="BC52" s="84">
        <v>0</v>
      </c>
      <c r="BD52" s="351"/>
      <c r="BE52" s="351" t="str">
        <f>IFERROR(Tableau1[[#This Row],[Qté Facturé 05/2018]]*Tableau1[[#This Row],[Unit Price (calcul)]],"")</f>
        <v/>
      </c>
      <c r="BF52" s="351" t="str">
        <f>IFERROR(IF(Tableau1[[#This Row],[Montant Facturé 05/2018]]&gt;0,Tableau1[[#This Row],[Montant Facturé 05/2018]]/Taux_Change_SII,""),"")</f>
        <v/>
      </c>
      <c r="BG52" s="351"/>
      <c r="BH52" s="83">
        <f>SUMPRODUCT(1*(EXACT(CONCATENATE(Tableau1[[#This Row],[PO Number (Header)]],"-",Tableau1[[#This Row],[Line]]),UO_List[Unique_AIB_ID]))*(UO_List[Qté Réception 06/2020]))</f>
        <v>0</v>
      </c>
      <c r="BI52" s="84">
        <v>0</v>
      </c>
      <c r="BJ52" s="351"/>
      <c r="BK52" s="351" t="str">
        <f>IFERROR(Tableau1[[#This Row],[Qté Facturé 06/2018]]*Tableau1[[#This Row],[Unit Price (calcul)]],"")</f>
        <v/>
      </c>
      <c r="BL52" s="351" t="str">
        <f>IFERROR(IF(Tableau1[[#This Row],[Montant Facturé 06/2018]]&gt;0,Tableau1[[#This Row],[Montant Facturé 06/2018]]/Taux_Change_SII,""),"")</f>
        <v/>
      </c>
      <c r="BM52" s="351"/>
      <c r="BN52" s="83">
        <f>SUMPRODUCT(1*(EXACT(CONCATENATE(Tableau1[[#This Row],[PO Number (Header)]],"-",Tableau1[[#This Row],[Line]]),UO_List[Unique_AIB_ID]))*(UO_List[Qté Réception 07/2020]))</f>
        <v>0</v>
      </c>
      <c r="BO52" s="84">
        <v>0</v>
      </c>
      <c r="BP52" s="351"/>
      <c r="BQ52" s="351" t="str">
        <f>IFERROR(Tableau1[[#This Row],[Qté Facturé 07/2018]]*Tableau1[[#This Row],[Unit Price (calcul)]],"")</f>
        <v/>
      </c>
      <c r="BR52" s="351" t="str">
        <f>IFERROR(IF(Tableau1[[#This Row],[Montant Facturé 07/2018]]&gt;0,Tableau1[[#This Row],[Montant Facturé 07/2018]]/Taux_Change_SII,""),"")</f>
        <v/>
      </c>
      <c r="BS52" s="351"/>
      <c r="BT52" s="83">
        <f>SUMPRODUCT(1*(EXACT(CONCATENATE(Tableau1[[#This Row],[PO Number (Header)]],"-",Tableau1[[#This Row],[Line]]),UO_List[Unique_AIB_ID]))*(UO_List[Qté Réception 08/2020]))</f>
        <v>0</v>
      </c>
      <c r="BU52" s="84"/>
      <c r="BV52" s="351"/>
      <c r="BW52" s="351" t="str">
        <f>IFERROR(Tableau1[[#This Row],[Qté Facturé 08/2018]]*Tableau1[[#This Row],[Unit Price (calcul)]],"")</f>
        <v/>
      </c>
      <c r="BX52" s="351" t="str">
        <f>IFERROR(IF(Tableau1[[#This Row],[Montant Facturé 08/2018]]&gt;0,Tableau1[[#This Row],[Montant Facturé 08/2018]]/Taux_Change_SII,""),"")</f>
        <v/>
      </c>
      <c r="BY52" s="351"/>
      <c r="BZ52" s="83">
        <f>SUMPRODUCT(1*(EXACT(CONCATENATE(Tableau1[[#This Row],[PO Number (Header)]],"-",Tableau1[[#This Row],[Line]]),UO_List[Unique_AIB_ID]))*(UO_List[Qté Réception 09/2020]))</f>
        <v>0</v>
      </c>
      <c r="CA52" s="84">
        <v>0</v>
      </c>
      <c r="CB52" s="351"/>
      <c r="CC52" s="351" t="str">
        <f>IFERROR(Tableau1[[#This Row],[Qté Facturé 09/2018]]*Tableau1[[#This Row],[Unit Price (calcul)]],"")</f>
        <v/>
      </c>
      <c r="CD52" s="351" t="str">
        <f>IFERROR(IF(Tableau1[[#This Row],[Montant Facturé 09/2018]]&gt;0,Tableau1[[#This Row],[Montant Facturé 09/2018]]/Taux_Change_SII,""),"")</f>
        <v/>
      </c>
      <c r="CE52" s="351"/>
      <c r="CF52" s="83">
        <f>SUMPRODUCT(1*(EXACT(CONCATENATE(Tableau1[[#This Row],[PO Number (Header)]],"-",Tableau1[[#This Row],[Line]]),UO_List[Unique_AIB_ID]))*(UO_List[Qté Réception 10/2020]))</f>
        <v>0</v>
      </c>
      <c r="CG52" s="84">
        <v>0</v>
      </c>
      <c r="CH52" s="351"/>
      <c r="CI52" s="351" t="str">
        <f>IFERROR(Tableau1[[#This Row],[Qté Facturé 10/2018]]*Tableau1[[#This Row],[Unit Price (calcul)]],"")</f>
        <v/>
      </c>
      <c r="CJ52" s="351" t="str">
        <f>IFERROR(IF(Tableau1[[#This Row],[Montant Facturé 10/2018]]&gt;0,Tableau1[[#This Row],[Montant Facturé 10/2018]]/Taux_Change_SII,""),"")</f>
        <v/>
      </c>
      <c r="CK52" s="351"/>
      <c r="CL52" s="83">
        <f>SUMPRODUCT(1*(EXACT(CONCATENATE(Tableau1[[#This Row],[PO Number (Header)]],"-",Tableau1[[#This Row],[Line]]),UO_List[Unique_AIB_ID]))*(UO_List[Qté Réception 11/2020]))</f>
        <v>0</v>
      </c>
      <c r="CM52" s="84"/>
      <c r="CN52" s="351"/>
      <c r="CO52" s="351" t="str">
        <f>IFERROR(Tableau1[[#This Row],[Qté Facturé 11/2018]]*Tableau1[[#This Row],[Unit Price (calcul)]],"")</f>
        <v/>
      </c>
      <c r="CP52" s="351" t="str">
        <f>IFERROR(IF(Tableau1[[#This Row],[Montant Facturé 11/2018]]&gt;0,Tableau1[[#This Row],[Montant Facturé 11/2018]]/Taux_Change_SII,""),"")</f>
        <v/>
      </c>
      <c r="CQ52" s="351"/>
      <c r="CR52" s="83">
        <f>SUMPRODUCT(1*(EXACT(CONCATENATE(Tableau1[[#This Row],[PO Number (Header)]],"-",Tableau1[[#This Row],[Line]]),UO_List[Unique_AIB_ID]))*(UO_List[Qté Réception 12/2020]))</f>
        <v>0</v>
      </c>
      <c r="CS52" s="84"/>
      <c r="CT52" s="351"/>
      <c r="CU52" s="351" t="str">
        <f>IFERROR(Tableau1[[#This Row],[Qté Facturé 12/2018]]*Tableau1[[#This Row],[Unit Price (calcul)]],"")</f>
        <v/>
      </c>
      <c r="CV52" s="351" t="str">
        <f>IFERROR(IF(Tableau1[[#This Row],[Montant Facturé 12/2018]]&gt;0,Tableau1[[#This Row],[Montant Facturé 12/2018]]/Taux_Change_SII,""),"")</f>
        <v/>
      </c>
      <c r="CW52" s="351"/>
      <c r="CX5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2" s="352" t="str">
        <f>IFERROR(Tableau1[[#This Row],[Total item réceptionné]]*Tableau1[[#This Row],[Unit Price (calcul)]],"")</f>
        <v/>
      </c>
      <c r="DB52" s="352" t="str">
        <f>IFERROR(Tableau1[[#This Row],[Total item à Facturer]]*Tableau1[[#This Row],[Unit Price (calcul)]],"")</f>
        <v/>
      </c>
      <c r="DC5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2" s="352" t="str">
        <f>IFERROR(Tableau1[[#This Row],[Line Total]]-Tableau1[[#This Row],[Total Price Réceptionné]],"")</f>
        <v/>
      </c>
      <c r="DE52" s="352" t="str">
        <f>IFERROR(Tableau1[[#This Row],[Total Price Réceptionné]]-Tableau1[[#This Row],[Total Price A facturer]],"")</f>
        <v/>
      </c>
      <c r="DF52" s="353" t="str">
        <f>IFERROR(Tableau1[[#This Row],[Total Price A facturer]]-Tableau1[[#This Row],[Total Price Facturé]],"")</f>
        <v/>
      </c>
      <c r="DG52" s="76">
        <f>Tableau1[[#This Row],[Total Item Quantity]]-Tableau1[[#This Row],[Total item réceptionné]]</f>
        <v>0</v>
      </c>
      <c r="DH52" s="167"/>
      <c r="DI52" s="167"/>
    </row>
    <row r="53" spans="1:113" s="74" customFormat="1" ht="47.25" customHeight="1">
      <c r="A53" s="77" t="str">
        <f>CONCATENATE(Tableau1[[#This Row],[PO Number (Header)]],"-",Tableau1[[#This Row],[Line]])</f>
        <v>-</v>
      </c>
      <c r="B53" s="437"/>
      <c r="C53" s="437"/>
      <c r="D53" s="437"/>
      <c r="E53" s="437"/>
      <c r="F53" s="438"/>
      <c r="G53" s="437"/>
      <c r="H53" s="439"/>
      <c r="I53" s="437"/>
      <c r="J53" s="437"/>
      <c r="K53" s="438"/>
      <c r="L53" s="437"/>
      <c r="M53" s="437"/>
      <c r="N53" s="437"/>
      <c r="O53" s="437"/>
      <c r="P53" s="438"/>
      <c r="Q53" s="479"/>
      <c r="R53" s="395"/>
      <c r="S53" s="437"/>
      <c r="T53" s="437"/>
      <c r="U53" s="437"/>
      <c r="V53" s="437"/>
      <c r="W53" s="167"/>
      <c r="X53" s="167"/>
      <c r="Y53" s="167" t="str">
        <f>IF(ISBLANK(Tableau1[[#This Row],[PO Number (Header)]]),"",Tableau1[[#This Row],[Line Total]]/Tableau1[[#This Row],[Total Item Quantity]])</f>
        <v/>
      </c>
      <c r="Z53" s="167" t="str">
        <f>IF(ISNA(VLOOKUP(Tableau1[[#This Row],[Unique_AIB_ID]],UO_List[Unique_AIB_ID],1,FALSE)),IF(ISBLANK(Tableau1[[#This Row],[PO Number (Header)]]),"","FAUX"),"VRAI")</f>
        <v/>
      </c>
      <c r="AA53" s="167"/>
      <c r="AB53" s="162" t="e">
        <f>VLOOKUP(Tableau1[[#This Row],[Unique_AIB_ID]],UO_List[[Unique_AIB_ID]:[OLGA F6]],3,FALSE)</f>
        <v>#N/A</v>
      </c>
      <c r="AC53" s="162" t="s">
        <v>778</v>
      </c>
      <c r="AD53" s="83">
        <f>SUMPRODUCT(1*(EXACT(CONCATENATE(Tableau1[[#This Row],[PO Number (Header)]],"-",Tableau1[[#This Row],[Line]]),UO_List[Unique_AIB_ID]))*(UO_List[Qté Réception 03/2020]))</f>
        <v>0</v>
      </c>
      <c r="AE53" s="84"/>
      <c r="AF53" s="357"/>
      <c r="AG53" s="351"/>
      <c r="AH53" s="356" t="str">
        <f>IFERROR(IF(Tableau1[[#This Row],[Montant Facturé 01/2018]]&gt;0,Tableau1[[#This Row],[Montant Facturé 01/2018]]/Taux_Change_SII,""),"")</f>
        <v/>
      </c>
      <c r="AI53" s="351"/>
      <c r="AJ53" s="83">
        <f>SUMPRODUCT(1*(EXACT(CONCATENATE(Tableau1[[#This Row],[PO Number (Header)]],"-",Tableau1[[#This Row],[Line]]),UO_List[Unique_AIB_ID]))*(UO_List[Qté Réception 02/2020]))</f>
        <v>0</v>
      </c>
      <c r="AK53" s="83">
        <f>SUMPRODUCT(1*(EXACT(CONCATENATE(Tableau1[[#This Row],[PO Number (Header)]],"-",Tableau1[[#This Row],[Line]]),UO_List[Unique_AIB_ID]))*(UO_List[Qté Réception 02/2020]))</f>
        <v>0</v>
      </c>
      <c r="AL53" s="357"/>
      <c r="AM53" s="351" t="str">
        <f>IFERROR(Tableau1[[#This Row],[Qté Facturé 02/2018]]*Tableau1[[#This Row],[Unit Price (calcul)]],"")</f>
        <v/>
      </c>
      <c r="AN53" s="351" t="str">
        <f>IFERROR(IF(Tableau1[[#This Row],[Montant Facturé 02/2018]]&gt;0,Tableau1[[#This Row],[Montant Facturé 02/2018]]/Taux_Change_SII,""),"")</f>
        <v/>
      </c>
      <c r="AO53" s="351"/>
      <c r="AP53" s="83">
        <f>SUMPRODUCT(1*(EXACT(CONCATENATE(Tableau1[[#This Row],[PO Number (Header)]],"-",Tableau1[[#This Row],[Line]]),UO_List[Unique_AIB_ID]))*(UO_List[Qté Réception 00/2020]))</f>
        <v>0</v>
      </c>
      <c r="AQ53" s="84">
        <v>0</v>
      </c>
      <c r="AR53" s="357"/>
      <c r="AS53" s="351" t="str">
        <f>IFERROR(Tableau1[[#This Row],[Qté Facturé 03/2018]]*Tableau1[[#This Row],[Unit Price (calcul)]],"")</f>
        <v/>
      </c>
      <c r="AT53" s="351" t="str">
        <f>IFERROR(IF(Tableau1[[#This Row],[Montant Facturé 03/2018]]&gt;0,Tableau1[[#This Row],[Montant Facturé 03/2018]]/Taux_Change_SII,""),"")</f>
        <v/>
      </c>
      <c r="AU53" s="351"/>
      <c r="AV53" s="83">
        <f>SUMPRODUCT(1*(EXACT(CONCATENATE(Tableau1[[#This Row],[PO Number (Header)]],"-",Tableau1[[#This Row],[Line]]),UO_List[Unique_AIB_ID]))*(UO_List[Qté Réception 04/2020]))</f>
        <v>0</v>
      </c>
      <c r="AW53" s="84"/>
      <c r="AX53" s="351"/>
      <c r="AY53" s="351" t="str">
        <f>IFERROR(Tableau1[[#This Row],[Qté Facturé 04/2018]]*Tableau1[[#This Row],[Unit Price (calcul)]],"")</f>
        <v/>
      </c>
      <c r="AZ53" s="351" t="str">
        <f>IFERROR(IF(Tableau1[[#This Row],[Montant Facturé 04/2018]]&gt;0,Tableau1[[#This Row],[Montant Facturé 04/2018]]/Taux_Change_SII,""),"")</f>
        <v/>
      </c>
      <c r="BA53" s="351"/>
      <c r="BB53" s="83">
        <f>SUMPRODUCT(1*(EXACT(CONCATENATE(Tableau1[[#This Row],[PO Number (Header)]],"-",Tableau1[[#This Row],[Line]]),UO_List[Unique_AIB_ID]))*(UO_List[Qté Réception 05/2020]))</f>
        <v>0</v>
      </c>
      <c r="BC53" s="84"/>
      <c r="BD53" s="351"/>
      <c r="BE53" s="351" t="str">
        <f>IFERROR(Tableau1[[#This Row],[Qté Facturé 05/2018]]*Tableau1[[#This Row],[Unit Price (calcul)]],"")</f>
        <v/>
      </c>
      <c r="BF53" s="351" t="str">
        <f>IFERROR(IF(Tableau1[[#This Row],[Montant Facturé 05/2018]]&gt;0,Tableau1[[#This Row],[Montant Facturé 05/2018]]/Taux_Change_SII,""),"")</f>
        <v/>
      </c>
      <c r="BG53" s="351"/>
      <c r="BH53" s="83">
        <f>SUMPRODUCT(1*(EXACT(CONCATENATE(Tableau1[[#This Row],[PO Number (Header)]],"-",Tableau1[[#This Row],[Line]]),UO_List[Unique_AIB_ID]))*(UO_List[Qté Réception 06/2020]))</f>
        <v>0</v>
      </c>
      <c r="BI53" s="84"/>
      <c r="BJ53" s="351"/>
      <c r="BK53" s="351" t="str">
        <f>IFERROR(Tableau1[[#This Row],[Qté Facturé 06/2018]]*Tableau1[[#This Row],[Unit Price (calcul)]],"")</f>
        <v/>
      </c>
      <c r="BL53" s="351" t="str">
        <f>IFERROR(IF(Tableau1[[#This Row],[Montant Facturé 06/2018]]&gt;0,Tableau1[[#This Row],[Montant Facturé 06/2018]]/Taux_Change_SII,""),"")</f>
        <v/>
      </c>
      <c r="BM53" s="351"/>
      <c r="BN53" s="83">
        <f>SUMPRODUCT(1*(EXACT(CONCATENATE(Tableau1[[#This Row],[PO Number (Header)]],"-",Tableau1[[#This Row],[Line]]),UO_List[Unique_AIB_ID]))*(UO_List[Qté Réception 07/2020]))</f>
        <v>0</v>
      </c>
      <c r="BO53" s="84"/>
      <c r="BP53" s="351"/>
      <c r="BQ53" s="351" t="str">
        <f>IFERROR(Tableau1[[#This Row],[Qté Facturé 07/2018]]*Tableau1[[#This Row],[Unit Price (calcul)]],"")</f>
        <v/>
      </c>
      <c r="BR53" s="351" t="str">
        <f>IFERROR(IF(Tableau1[[#This Row],[Montant Facturé 07/2018]]&gt;0,Tableau1[[#This Row],[Montant Facturé 07/2018]]/Taux_Change_SII,""),"")</f>
        <v/>
      </c>
      <c r="BS53" s="351"/>
      <c r="BT53" s="83">
        <f>SUMPRODUCT(1*(EXACT(CONCATENATE(Tableau1[[#This Row],[PO Number (Header)]],"-",Tableau1[[#This Row],[Line]]),UO_List[Unique_AIB_ID]))*(UO_List[Qté Réception 08/2020]))</f>
        <v>0</v>
      </c>
      <c r="BU53" s="84"/>
      <c r="BV53" s="351"/>
      <c r="BW53" s="351" t="str">
        <f>IFERROR(Tableau1[[#This Row],[Qté Facturé 08/2018]]*Tableau1[[#This Row],[Unit Price (calcul)]],"")</f>
        <v/>
      </c>
      <c r="BX53" s="351" t="str">
        <f>IFERROR(IF(Tableau1[[#This Row],[Montant Facturé 08/2018]]&gt;0,Tableau1[[#This Row],[Montant Facturé 08/2018]]/Taux_Change_SII,""),"")</f>
        <v/>
      </c>
      <c r="BY53" s="351"/>
      <c r="BZ53" s="83">
        <f>SUMPRODUCT(1*(EXACT(CONCATENATE(Tableau1[[#This Row],[PO Number (Header)]],"-",Tableau1[[#This Row],[Line]]),UO_List[Unique_AIB_ID]))*(UO_List[Qté Réception 09/2020]))</f>
        <v>0</v>
      </c>
      <c r="CA53" s="84">
        <v>0</v>
      </c>
      <c r="CB53" s="351"/>
      <c r="CC53" s="351" t="str">
        <f>IFERROR(Tableau1[[#This Row],[Qté Facturé 09/2018]]*Tableau1[[#This Row],[Unit Price (calcul)]],"")</f>
        <v/>
      </c>
      <c r="CD53" s="351" t="str">
        <f>IFERROR(IF(Tableau1[[#This Row],[Montant Facturé 09/2018]]&gt;0,Tableau1[[#This Row],[Montant Facturé 09/2018]]/Taux_Change_SII,""),"")</f>
        <v/>
      </c>
      <c r="CE53" s="351"/>
      <c r="CF53" s="83">
        <f>SUMPRODUCT(1*(EXACT(CONCATENATE(Tableau1[[#This Row],[PO Number (Header)]],"-",Tableau1[[#This Row],[Line]]),UO_List[Unique_AIB_ID]))*(UO_List[Qté Réception 10/2020]))</f>
        <v>0</v>
      </c>
      <c r="CG53" s="84">
        <v>0</v>
      </c>
      <c r="CH53" s="351"/>
      <c r="CI53" s="351" t="str">
        <f>IFERROR(Tableau1[[#This Row],[Qté Facturé 10/2018]]*Tableau1[[#This Row],[Unit Price (calcul)]],"")</f>
        <v/>
      </c>
      <c r="CJ53" s="351" t="str">
        <f>IFERROR(IF(Tableau1[[#This Row],[Montant Facturé 10/2018]]&gt;0,Tableau1[[#This Row],[Montant Facturé 10/2018]]/Taux_Change_SII,""),"")</f>
        <v/>
      </c>
      <c r="CK53" s="351"/>
      <c r="CL53" s="83">
        <f>SUMPRODUCT(1*(EXACT(CONCATENATE(Tableau1[[#This Row],[PO Number (Header)]],"-",Tableau1[[#This Row],[Line]]),UO_List[Unique_AIB_ID]))*(UO_List[Qté Réception 11/2020]))</f>
        <v>0</v>
      </c>
      <c r="CM53" s="84"/>
      <c r="CN53" s="351"/>
      <c r="CO53" s="351" t="str">
        <f>IFERROR(Tableau1[[#This Row],[Qté Facturé 11/2018]]*Tableau1[[#This Row],[Unit Price (calcul)]],"")</f>
        <v/>
      </c>
      <c r="CP53" s="351" t="str">
        <f>IFERROR(IF(Tableau1[[#This Row],[Montant Facturé 11/2018]]&gt;0,Tableau1[[#This Row],[Montant Facturé 11/2018]]/Taux_Change_SII,""),"")</f>
        <v/>
      </c>
      <c r="CQ53" s="351"/>
      <c r="CR53" s="83">
        <f>SUMPRODUCT(1*(EXACT(CONCATENATE(Tableau1[[#This Row],[PO Number (Header)]],"-",Tableau1[[#This Row],[Line]]),UO_List[Unique_AIB_ID]))*(UO_List[Qté Réception 12/2020]))</f>
        <v>0</v>
      </c>
      <c r="CS53" s="84"/>
      <c r="CT53" s="351"/>
      <c r="CU53" s="351" t="str">
        <f>IFERROR(Tableau1[[#This Row],[Qté Facturé 12/2018]]*Tableau1[[#This Row],[Unit Price (calcul)]],"")</f>
        <v/>
      </c>
      <c r="CV53" s="351" t="str">
        <f>IFERROR(IF(Tableau1[[#This Row],[Montant Facturé 12/2018]]&gt;0,Tableau1[[#This Row],[Montant Facturé 12/2018]]/Taux_Change_SII,""),"")</f>
        <v/>
      </c>
      <c r="CW53" s="351"/>
      <c r="CX5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3" s="352" t="str">
        <f>IFERROR(Tableau1[[#This Row],[Total item réceptionné]]*Tableau1[[#This Row],[Unit Price (calcul)]],"")</f>
        <v/>
      </c>
      <c r="DB53" s="352" t="str">
        <f>IFERROR(Tableau1[[#This Row],[Total item à Facturer]]*Tableau1[[#This Row],[Unit Price (calcul)]],"")</f>
        <v/>
      </c>
      <c r="DC5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3" s="352" t="str">
        <f>IFERROR(Tableau1[[#This Row],[Line Total]]-Tableau1[[#This Row],[Total Price Réceptionné]],"")</f>
        <v/>
      </c>
      <c r="DE53" s="352" t="str">
        <f>IFERROR(Tableau1[[#This Row],[Total Price Réceptionné]]-Tableau1[[#This Row],[Total Price A facturer]],"")</f>
        <v/>
      </c>
      <c r="DF53" s="353" t="str">
        <f>IFERROR(Tableau1[[#This Row],[Total Price A facturer]]-Tableau1[[#This Row],[Total Price Facturé]],"")</f>
        <v/>
      </c>
      <c r="DG53" s="76">
        <f>Tableau1[[#This Row],[Total Item Quantity]]-Tableau1[[#This Row],[Total item réceptionné]]</f>
        <v>0</v>
      </c>
      <c r="DH53" s="167"/>
      <c r="DI53" s="167"/>
    </row>
    <row r="54" spans="1:113" s="74" customFormat="1">
      <c r="A54" s="77" t="str">
        <f>CONCATENATE(Tableau1[[#This Row],[PO Number (Header)]],"-",Tableau1[[#This Row],[Line]])</f>
        <v>-</v>
      </c>
      <c r="B54" s="437"/>
      <c r="C54" s="437"/>
      <c r="D54" s="437"/>
      <c r="E54" s="437"/>
      <c r="F54" s="438"/>
      <c r="G54" s="437"/>
      <c r="H54" s="439"/>
      <c r="I54" s="437"/>
      <c r="J54" s="437"/>
      <c r="K54" s="438"/>
      <c r="L54" s="437"/>
      <c r="M54" s="437"/>
      <c r="N54" s="437"/>
      <c r="O54" s="437"/>
      <c r="P54" s="438"/>
      <c r="Q54" s="479"/>
      <c r="R54" s="395"/>
      <c r="S54" s="437"/>
      <c r="T54" s="437"/>
      <c r="U54" s="437"/>
      <c r="V54" s="437"/>
      <c r="W54" s="167"/>
      <c r="X54" s="167"/>
      <c r="Y54" s="167" t="str">
        <f>IF(ISBLANK(Tableau1[[#This Row],[PO Number (Header)]]),"",Tableau1[[#This Row],[Line Total]]/Tableau1[[#This Row],[Total Item Quantity]])</f>
        <v/>
      </c>
      <c r="Z54" s="167" t="str">
        <f>IF(ISNA(VLOOKUP(Tableau1[[#This Row],[Unique_AIB_ID]],UO_List[Unique_AIB_ID],1,FALSE)),IF(ISBLANK(Tableau1[[#This Row],[PO Number (Header)]]),"","FAUX"),"VRAI")</f>
        <v/>
      </c>
      <c r="AA54" s="167"/>
      <c r="AB54" s="162" t="e">
        <f>VLOOKUP(Tableau1[[#This Row],[Unique_AIB_ID]],UO_List[[Unique_AIB_ID]:[OLGA F6]],3,FALSE)</f>
        <v>#N/A</v>
      </c>
      <c r="AC54" s="162" t="s">
        <v>778</v>
      </c>
      <c r="AD54" s="83">
        <f>SUMPRODUCT(1*(EXACT(CONCATENATE(Tableau1[[#This Row],[PO Number (Header)]],"-",Tableau1[[#This Row],[Line]]),UO_List[Unique_AIB_ID]))*(UO_List[Qté Réception 03/2020]))</f>
        <v>0</v>
      </c>
      <c r="AE54" s="84"/>
      <c r="AF54" s="357"/>
      <c r="AG54" s="351" t="str">
        <f>IFERROR(Tableau1[[#This Row],[Qté Facturé 01/2018]]*Tableau1[[#This Row],[Unit Price (calcul)]],"")</f>
        <v/>
      </c>
      <c r="AH54" s="356" t="str">
        <f>IFERROR(IF(Tableau1[[#This Row],[Montant Facturé 01/2018]]&gt;0,Tableau1[[#This Row],[Montant Facturé 01/2018]]/Taux_Change_SII,""),"")</f>
        <v/>
      </c>
      <c r="AI54" s="351"/>
      <c r="AJ54" s="83">
        <f>SUMPRODUCT(1*(EXACT(CONCATENATE(Tableau1[[#This Row],[PO Number (Header)]],"-",Tableau1[[#This Row],[Line]]),UO_List[Unique_AIB_ID]))*(UO_List[Qté Réception 02/2020]))</f>
        <v>0</v>
      </c>
      <c r="AK54" s="83">
        <f>SUMPRODUCT(1*(EXACT(CONCATENATE(Tableau1[[#This Row],[PO Number (Header)]],"-",Tableau1[[#This Row],[Line]]),UO_List[Unique_AIB_ID]))*(UO_List[Qté Réception 02/2020]))</f>
        <v>0</v>
      </c>
      <c r="AL54" s="357"/>
      <c r="AM54" s="351" t="str">
        <f>IFERROR(Tableau1[[#This Row],[Qté Facturé 02/2018]]*Tableau1[[#This Row],[Unit Price (calcul)]],"")</f>
        <v/>
      </c>
      <c r="AN54" s="351" t="str">
        <f>IFERROR(IF(Tableau1[[#This Row],[Montant Facturé 02/2018]]&gt;0,Tableau1[[#This Row],[Montant Facturé 02/2018]]/Taux_Change_SII,""),"")</f>
        <v/>
      </c>
      <c r="AO54" s="351"/>
      <c r="AP54" s="83">
        <f>SUMPRODUCT(1*(EXACT(CONCATENATE(Tableau1[[#This Row],[PO Number (Header)]],"-",Tableau1[[#This Row],[Line]]),UO_List[Unique_AIB_ID]))*(UO_List[Qté Réception 00/2020]))</f>
        <v>0</v>
      </c>
      <c r="AQ54" s="84">
        <v>0</v>
      </c>
      <c r="AR54" s="357"/>
      <c r="AS54" s="351" t="str">
        <f>IFERROR(Tableau1[[#This Row],[Qté Facturé 03/2018]]*Tableau1[[#This Row],[Unit Price (calcul)]],"")</f>
        <v/>
      </c>
      <c r="AT54" s="351" t="str">
        <f>IFERROR(IF(Tableau1[[#This Row],[Montant Facturé 03/2018]]&gt;0,Tableau1[[#This Row],[Montant Facturé 03/2018]]/Taux_Change_SII,""),"")</f>
        <v/>
      </c>
      <c r="AU54" s="351"/>
      <c r="AV54" s="83">
        <f>SUMPRODUCT(1*(EXACT(CONCATENATE(Tableau1[[#This Row],[PO Number (Header)]],"-",Tableau1[[#This Row],[Line]]),UO_List[Unique_AIB_ID]))*(UO_List[Qté Réception 04/2020]))</f>
        <v>0</v>
      </c>
      <c r="AW54" s="84">
        <v>0</v>
      </c>
      <c r="AX54" s="351"/>
      <c r="AY54" s="351" t="str">
        <f>IFERROR(Tableau1[[#This Row],[Qté Facturé 04/2018]]*Tableau1[[#This Row],[Unit Price (calcul)]],"")</f>
        <v/>
      </c>
      <c r="AZ54" s="351" t="str">
        <f>IFERROR(IF(Tableau1[[#This Row],[Montant Facturé 04/2018]]&gt;0,Tableau1[[#This Row],[Montant Facturé 04/2018]]/Taux_Change_SII,""),"")</f>
        <v/>
      </c>
      <c r="BA54" s="351"/>
      <c r="BB54" s="83">
        <f>SUMPRODUCT(1*(EXACT(CONCATENATE(Tableau1[[#This Row],[PO Number (Header)]],"-",Tableau1[[#This Row],[Line]]),UO_List[Unique_AIB_ID]))*(UO_List[Qté Réception 05/2020]))</f>
        <v>0</v>
      </c>
      <c r="BC54" s="84">
        <v>0</v>
      </c>
      <c r="BD54" s="351"/>
      <c r="BE54" s="351" t="str">
        <f>IFERROR(Tableau1[[#This Row],[Qté Facturé 05/2018]]*Tableau1[[#This Row],[Unit Price (calcul)]],"")</f>
        <v/>
      </c>
      <c r="BF54" s="351" t="str">
        <f>IFERROR(IF(Tableau1[[#This Row],[Montant Facturé 05/2018]]&gt;0,Tableau1[[#This Row],[Montant Facturé 05/2018]]/Taux_Change_SII,""),"")</f>
        <v/>
      </c>
      <c r="BG54" s="351"/>
      <c r="BH54" s="83">
        <f>SUMPRODUCT(1*(EXACT(CONCATENATE(Tableau1[[#This Row],[PO Number (Header)]],"-",Tableau1[[#This Row],[Line]]),UO_List[Unique_AIB_ID]))*(UO_List[Qté Réception 06/2020]))</f>
        <v>0</v>
      </c>
      <c r="BI54" s="84">
        <v>0</v>
      </c>
      <c r="BJ54" s="351"/>
      <c r="BK54" s="351" t="str">
        <f>IFERROR(Tableau1[[#This Row],[Qté Facturé 06/2018]]*Tableau1[[#This Row],[Unit Price (calcul)]],"")</f>
        <v/>
      </c>
      <c r="BL54" s="351" t="str">
        <f>IFERROR(IF(Tableau1[[#This Row],[Montant Facturé 06/2018]]&gt;0,Tableau1[[#This Row],[Montant Facturé 06/2018]]/Taux_Change_SII,""),"")</f>
        <v/>
      </c>
      <c r="BM54" s="351"/>
      <c r="BN54" s="83">
        <f>SUMPRODUCT(1*(EXACT(CONCATENATE(Tableau1[[#This Row],[PO Number (Header)]],"-",Tableau1[[#This Row],[Line]]),UO_List[Unique_AIB_ID]))*(UO_List[Qté Réception 07/2020]))</f>
        <v>0</v>
      </c>
      <c r="BO54" s="84">
        <v>0</v>
      </c>
      <c r="BP54" s="351"/>
      <c r="BQ54" s="351" t="str">
        <f>IFERROR(Tableau1[[#This Row],[Qté Facturé 07/2018]]*Tableau1[[#This Row],[Unit Price (calcul)]],"")</f>
        <v/>
      </c>
      <c r="BR54" s="351" t="str">
        <f>IFERROR(IF(Tableau1[[#This Row],[Montant Facturé 07/2018]]&gt;0,Tableau1[[#This Row],[Montant Facturé 07/2018]]/Taux_Change_SII,""),"")</f>
        <v/>
      </c>
      <c r="BS54" s="351"/>
      <c r="BT54" s="83">
        <f>SUMPRODUCT(1*(EXACT(CONCATENATE(Tableau1[[#This Row],[PO Number (Header)]],"-",Tableau1[[#This Row],[Line]]),UO_List[Unique_AIB_ID]))*(UO_List[Qté Réception 08/2020]))</f>
        <v>0</v>
      </c>
      <c r="BU54" s="84"/>
      <c r="BV54" s="351"/>
      <c r="BW54" s="351" t="str">
        <f>IFERROR(Tableau1[[#This Row],[Qté Facturé 08/2018]]*Tableau1[[#This Row],[Unit Price (calcul)]],"")</f>
        <v/>
      </c>
      <c r="BX54" s="351" t="str">
        <f>IFERROR(IF(Tableau1[[#This Row],[Montant Facturé 08/2018]]&gt;0,Tableau1[[#This Row],[Montant Facturé 08/2018]]/Taux_Change_SII,""),"")</f>
        <v/>
      </c>
      <c r="BY54" s="351"/>
      <c r="BZ54" s="83">
        <f>SUMPRODUCT(1*(EXACT(CONCATENATE(Tableau1[[#This Row],[PO Number (Header)]],"-",Tableau1[[#This Row],[Line]]),UO_List[Unique_AIB_ID]))*(UO_List[Qté Réception 09/2020]))</f>
        <v>0</v>
      </c>
      <c r="CA54" s="84">
        <v>0</v>
      </c>
      <c r="CB54" s="351"/>
      <c r="CC54" s="351" t="str">
        <f>IFERROR(Tableau1[[#This Row],[Qté Facturé 09/2018]]*Tableau1[[#This Row],[Unit Price (calcul)]],"")</f>
        <v/>
      </c>
      <c r="CD54" s="351" t="str">
        <f>IFERROR(IF(Tableau1[[#This Row],[Montant Facturé 09/2018]]&gt;0,Tableau1[[#This Row],[Montant Facturé 09/2018]]/Taux_Change_SII,""),"")</f>
        <v/>
      </c>
      <c r="CE54" s="351"/>
      <c r="CF54" s="83">
        <f>SUMPRODUCT(1*(EXACT(CONCATENATE(Tableau1[[#This Row],[PO Number (Header)]],"-",Tableau1[[#This Row],[Line]]),UO_List[Unique_AIB_ID]))*(UO_List[Qté Réception 10/2020]))</f>
        <v>0</v>
      </c>
      <c r="CG54" s="84">
        <v>0</v>
      </c>
      <c r="CH54" s="351"/>
      <c r="CI54" s="351" t="str">
        <f>IFERROR(Tableau1[[#This Row],[Qté Facturé 10/2018]]*Tableau1[[#This Row],[Unit Price (calcul)]],"")</f>
        <v/>
      </c>
      <c r="CJ54" s="351" t="str">
        <f>IFERROR(IF(Tableau1[[#This Row],[Montant Facturé 10/2018]]&gt;0,Tableau1[[#This Row],[Montant Facturé 10/2018]]/Taux_Change_SII,""),"")</f>
        <v/>
      </c>
      <c r="CK54" s="351"/>
      <c r="CL54" s="83">
        <f>SUMPRODUCT(1*(EXACT(CONCATENATE(Tableau1[[#This Row],[PO Number (Header)]],"-",Tableau1[[#This Row],[Line]]),UO_List[Unique_AIB_ID]))*(UO_List[Qté Réception 11/2020]))</f>
        <v>0</v>
      </c>
      <c r="CM54" s="84"/>
      <c r="CN54" s="351"/>
      <c r="CO54" s="351" t="str">
        <f>IFERROR(Tableau1[[#This Row],[Qté Facturé 11/2018]]*Tableau1[[#This Row],[Unit Price (calcul)]],"")</f>
        <v/>
      </c>
      <c r="CP54" s="351" t="str">
        <f>IFERROR(IF(Tableau1[[#This Row],[Montant Facturé 11/2018]]&gt;0,Tableau1[[#This Row],[Montant Facturé 11/2018]]/Taux_Change_SII,""),"")</f>
        <v/>
      </c>
      <c r="CQ54" s="351"/>
      <c r="CR54" s="83">
        <f>SUMPRODUCT(1*(EXACT(CONCATENATE(Tableau1[[#This Row],[PO Number (Header)]],"-",Tableau1[[#This Row],[Line]]),UO_List[Unique_AIB_ID]))*(UO_List[Qté Réception 12/2020]))</f>
        <v>0</v>
      </c>
      <c r="CS54" s="84"/>
      <c r="CT54" s="351"/>
      <c r="CU54" s="351" t="str">
        <f>IFERROR(Tableau1[[#This Row],[Qté Facturé 12/2018]]*Tableau1[[#This Row],[Unit Price (calcul)]],"")</f>
        <v/>
      </c>
      <c r="CV54" s="351" t="str">
        <f>IFERROR(IF(Tableau1[[#This Row],[Montant Facturé 12/2018]]&gt;0,Tableau1[[#This Row],[Montant Facturé 12/2018]]/Taux_Change_SII,""),"")</f>
        <v/>
      </c>
      <c r="CW54" s="351"/>
      <c r="CX5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4" s="352" t="str">
        <f>IFERROR(Tableau1[[#This Row],[Total item réceptionné]]*Tableau1[[#This Row],[Unit Price (calcul)]],"")</f>
        <v/>
      </c>
      <c r="DB54" s="352" t="str">
        <f>IFERROR(Tableau1[[#This Row],[Total item à Facturer]]*Tableau1[[#This Row],[Unit Price (calcul)]],"")</f>
        <v/>
      </c>
      <c r="DC5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4" s="352" t="str">
        <f>IFERROR(Tableau1[[#This Row],[Line Total]]-Tableau1[[#This Row],[Total Price Réceptionné]],"")</f>
        <v/>
      </c>
      <c r="DE54" s="352" t="str">
        <f>IFERROR(Tableau1[[#This Row],[Total Price Réceptionné]]-Tableau1[[#This Row],[Total Price A facturer]],"")</f>
        <v/>
      </c>
      <c r="DF54" s="353" t="str">
        <f>IFERROR(Tableau1[[#This Row],[Total Price A facturer]]-Tableau1[[#This Row],[Total Price Facturé]],"")</f>
        <v/>
      </c>
      <c r="DG54" s="76">
        <f>Tableau1[[#This Row],[Total Item Quantity]]-Tableau1[[#This Row],[Total item réceptionné]]</f>
        <v>0</v>
      </c>
      <c r="DH54" s="167"/>
      <c r="DI54" s="167"/>
    </row>
    <row r="55" spans="1:113" s="74" customFormat="1">
      <c r="A55" s="77" t="str">
        <f>CONCATENATE(Tableau1[[#This Row],[PO Number (Header)]],"-",Tableau1[[#This Row],[Line]])</f>
        <v>-</v>
      </c>
      <c r="B55" s="437"/>
      <c r="C55" s="437"/>
      <c r="D55" s="437"/>
      <c r="E55" s="437"/>
      <c r="F55" s="438"/>
      <c r="G55" s="437"/>
      <c r="H55" s="439"/>
      <c r="I55" s="437"/>
      <c r="J55" s="437"/>
      <c r="K55" s="438"/>
      <c r="L55" s="437"/>
      <c r="M55" s="437"/>
      <c r="N55" s="437"/>
      <c r="O55" s="437"/>
      <c r="P55" s="438"/>
      <c r="Q55" s="479"/>
      <c r="R55" s="395"/>
      <c r="S55" s="437"/>
      <c r="T55" s="437"/>
      <c r="U55" s="437"/>
      <c r="V55" s="437"/>
      <c r="W55" s="167"/>
      <c r="X55" s="167"/>
      <c r="Y55" s="167" t="str">
        <f>IF(ISBLANK(Tableau1[[#This Row],[PO Number (Header)]]),"",Tableau1[[#This Row],[Line Total]]/Tableau1[[#This Row],[Total Item Quantity]])</f>
        <v/>
      </c>
      <c r="Z55" s="167" t="str">
        <f>IF(ISNA(VLOOKUP(Tableau1[[#This Row],[Unique_AIB_ID]],UO_List[Unique_AIB_ID],1,FALSE)),IF(ISBLANK(Tableau1[[#This Row],[PO Number (Header)]]),"","FAUX"),"VRAI")</f>
        <v/>
      </c>
      <c r="AA55" s="167"/>
      <c r="AB55" s="162" t="e">
        <f>VLOOKUP(Tableau1[[#This Row],[Unique_AIB_ID]],UO_List[[Unique_AIB_ID]:[OLGA F6]],3,FALSE)</f>
        <v>#N/A</v>
      </c>
      <c r="AC55" s="162" t="s">
        <v>778</v>
      </c>
      <c r="AD55" s="83">
        <f>SUMPRODUCT(1*(EXACT(CONCATENATE(Tableau1[[#This Row],[PO Number (Header)]],"-",Tableau1[[#This Row],[Line]]),UO_List[Unique_AIB_ID]))*(UO_List[Qté Réception 03/2020]))</f>
        <v>0</v>
      </c>
      <c r="AE55" s="84"/>
      <c r="AF55" s="357"/>
      <c r="AG55" s="351" t="str">
        <f>IFERROR(Tableau1[[#This Row],[Qté Facturé 01/2018]]*Tableau1[[#This Row],[Unit Price (calcul)]],"")</f>
        <v/>
      </c>
      <c r="AH55" s="356" t="str">
        <f>IFERROR(IF(Tableau1[[#This Row],[Montant Facturé 01/2018]]&gt;0,Tableau1[[#This Row],[Montant Facturé 01/2018]]/Taux_Change_SII,""),"")</f>
        <v/>
      </c>
      <c r="AI55" s="351"/>
      <c r="AJ55" s="83">
        <f>SUMPRODUCT(1*(EXACT(CONCATENATE(Tableau1[[#This Row],[PO Number (Header)]],"-",Tableau1[[#This Row],[Line]]),UO_List[Unique_AIB_ID]))*(UO_List[Qté Réception 02/2020]))</f>
        <v>0</v>
      </c>
      <c r="AK55" s="83">
        <f>SUMPRODUCT(1*(EXACT(CONCATENATE(Tableau1[[#This Row],[PO Number (Header)]],"-",Tableau1[[#This Row],[Line]]),UO_List[Unique_AIB_ID]))*(UO_List[Qté Réception 02/2020]))</f>
        <v>0</v>
      </c>
      <c r="AL55" s="357"/>
      <c r="AM55" s="351" t="str">
        <f>IFERROR(Tableau1[[#This Row],[Qté Facturé 02/2018]]*Tableau1[[#This Row],[Unit Price (calcul)]],"")</f>
        <v/>
      </c>
      <c r="AN55" s="351" t="str">
        <f>IFERROR(IF(Tableau1[[#This Row],[Montant Facturé 02/2018]]&gt;0,Tableau1[[#This Row],[Montant Facturé 02/2018]]/Taux_Change_SII,""),"")</f>
        <v/>
      </c>
      <c r="AO55" s="351"/>
      <c r="AP55" s="83">
        <f>SUMPRODUCT(1*(EXACT(CONCATENATE(Tableau1[[#This Row],[PO Number (Header)]],"-",Tableau1[[#This Row],[Line]]),UO_List[Unique_AIB_ID]))*(UO_List[Qté Réception 00/2020]))</f>
        <v>0</v>
      </c>
      <c r="AQ55" s="84">
        <v>0</v>
      </c>
      <c r="AR55" s="357"/>
      <c r="AS55" s="351" t="str">
        <f>IFERROR(Tableau1[[#This Row],[Qté Facturé 03/2018]]*Tableau1[[#This Row],[Unit Price (calcul)]],"")</f>
        <v/>
      </c>
      <c r="AT55" s="351" t="str">
        <f>IFERROR(IF(Tableau1[[#This Row],[Montant Facturé 03/2018]]&gt;0,Tableau1[[#This Row],[Montant Facturé 03/2018]]/Taux_Change_SII,""),"")</f>
        <v/>
      </c>
      <c r="AU55" s="351"/>
      <c r="AV55" s="83">
        <f>SUMPRODUCT(1*(EXACT(CONCATENATE(Tableau1[[#This Row],[PO Number (Header)]],"-",Tableau1[[#This Row],[Line]]),UO_List[Unique_AIB_ID]))*(UO_List[Qté Réception 04/2020]))</f>
        <v>0</v>
      </c>
      <c r="AW55" s="84">
        <v>0</v>
      </c>
      <c r="AX55" s="351"/>
      <c r="AY55" s="351" t="str">
        <f>IFERROR(Tableau1[[#This Row],[Qté Facturé 04/2018]]*Tableau1[[#This Row],[Unit Price (calcul)]],"")</f>
        <v/>
      </c>
      <c r="AZ55" s="351" t="str">
        <f>IFERROR(IF(Tableau1[[#This Row],[Montant Facturé 04/2018]]&gt;0,Tableau1[[#This Row],[Montant Facturé 04/2018]]/Taux_Change_SII,""),"")</f>
        <v/>
      </c>
      <c r="BA55" s="351"/>
      <c r="BB55" s="83">
        <f>SUMPRODUCT(1*(EXACT(CONCATENATE(Tableau1[[#This Row],[PO Number (Header)]],"-",Tableau1[[#This Row],[Line]]),UO_List[Unique_AIB_ID]))*(UO_List[Qté Réception 05/2020]))</f>
        <v>0</v>
      </c>
      <c r="BC55" s="84">
        <v>0</v>
      </c>
      <c r="BD55" s="351"/>
      <c r="BE55" s="351" t="str">
        <f>IFERROR(Tableau1[[#This Row],[Qté Facturé 05/2018]]*Tableau1[[#This Row],[Unit Price (calcul)]],"")</f>
        <v/>
      </c>
      <c r="BF55" s="351" t="str">
        <f>IFERROR(IF(Tableau1[[#This Row],[Montant Facturé 05/2018]]&gt;0,Tableau1[[#This Row],[Montant Facturé 05/2018]]/Taux_Change_SII,""),"")</f>
        <v/>
      </c>
      <c r="BG55" s="351"/>
      <c r="BH55" s="83">
        <f>SUMPRODUCT(1*(EXACT(CONCATENATE(Tableau1[[#This Row],[PO Number (Header)]],"-",Tableau1[[#This Row],[Line]]),UO_List[Unique_AIB_ID]))*(UO_List[Qté Réception 06/2020]))</f>
        <v>0</v>
      </c>
      <c r="BI55" s="84">
        <v>0</v>
      </c>
      <c r="BJ55" s="351"/>
      <c r="BK55" s="351" t="str">
        <f>IFERROR(Tableau1[[#This Row],[Qté Facturé 06/2018]]*Tableau1[[#This Row],[Unit Price (calcul)]],"")</f>
        <v/>
      </c>
      <c r="BL55" s="351" t="str">
        <f>IFERROR(IF(Tableau1[[#This Row],[Montant Facturé 06/2018]]&gt;0,Tableau1[[#This Row],[Montant Facturé 06/2018]]/Taux_Change_SII,""),"")</f>
        <v/>
      </c>
      <c r="BM55" s="351"/>
      <c r="BN55" s="83">
        <f>SUMPRODUCT(1*(EXACT(CONCATENATE(Tableau1[[#This Row],[PO Number (Header)]],"-",Tableau1[[#This Row],[Line]]),UO_List[Unique_AIB_ID]))*(UO_List[Qté Réception 07/2020]))</f>
        <v>0</v>
      </c>
      <c r="BO55" s="84">
        <v>0</v>
      </c>
      <c r="BP55" s="351"/>
      <c r="BQ55" s="351" t="str">
        <f>IFERROR(Tableau1[[#This Row],[Qté Facturé 07/2018]]*Tableau1[[#This Row],[Unit Price (calcul)]],"")</f>
        <v/>
      </c>
      <c r="BR55" s="351" t="str">
        <f>IFERROR(IF(Tableau1[[#This Row],[Montant Facturé 07/2018]]&gt;0,Tableau1[[#This Row],[Montant Facturé 07/2018]]/Taux_Change_SII,""),"")</f>
        <v/>
      </c>
      <c r="BS55" s="351"/>
      <c r="BT55" s="83">
        <f>SUMPRODUCT(1*(EXACT(CONCATENATE(Tableau1[[#This Row],[PO Number (Header)]],"-",Tableau1[[#This Row],[Line]]),UO_List[Unique_AIB_ID]))*(UO_List[Qté Réception 08/2020]))</f>
        <v>0</v>
      </c>
      <c r="BU55" s="84"/>
      <c r="BV55" s="351"/>
      <c r="BW55" s="351" t="str">
        <f>IFERROR(Tableau1[[#This Row],[Qté Facturé 08/2018]]*Tableau1[[#This Row],[Unit Price (calcul)]],"")</f>
        <v/>
      </c>
      <c r="BX55" s="351" t="str">
        <f>IFERROR(IF(Tableau1[[#This Row],[Montant Facturé 08/2018]]&gt;0,Tableau1[[#This Row],[Montant Facturé 08/2018]]/Taux_Change_SII,""),"")</f>
        <v/>
      </c>
      <c r="BY55" s="351"/>
      <c r="BZ55" s="83">
        <f>SUMPRODUCT(1*(EXACT(CONCATENATE(Tableau1[[#This Row],[PO Number (Header)]],"-",Tableau1[[#This Row],[Line]]),UO_List[Unique_AIB_ID]))*(UO_List[Qté Réception 09/2020]))</f>
        <v>0</v>
      </c>
      <c r="CA55" s="84">
        <v>0</v>
      </c>
      <c r="CB55" s="351"/>
      <c r="CC55" s="351" t="str">
        <f>IFERROR(Tableau1[[#This Row],[Qté Facturé 09/2018]]*Tableau1[[#This Row],[Unit Price (calcul)]],"")</f>
        <v/>
      </c>
      <c r="CD55" s="351" t="str">
        <f>IFERROR(IF(Tableau1[[#This Row],[Montant Facturé 09/2018]]&gt;0,Tableau1[[#This Row],[Montant Facturé 09/2018]]/Taux_Change_SII,""),"")</f>
        <v/>
      </c>
      <c r="CE55" s="351"/>
      <c r="CF55" s="83">
        <f>SUMPRODUCT(1*(EXACT(CONCATENATE(Tableau1[[#This Row],[PO Number (Header)]],"-",Tableau1[[#This Row],[Line]]),UO_List[Unique_AIB_ID]))*(UO_List[Qté Réception 10/2020]))</f>
        <v>0</v>
      </c>
      <c r="CG55" s="84">
        <v>0</v>
      </c>
      <c r="CH55" s="351"/>
      <c r="CI55" s="351" t="str">
        <f>IFERROR(Tableau1[[#This Row],[Qté Facturé 10/2018]]*Tableau1[[#This Row],[Unit Price (calcul)]],"")</f>
        <v/>
      </c>
      <c r="CJ55" s="351" t="str">
        <f>IFERROR(IF(Tableau1[[#This Row],[Montant Facturé 10/2018]]&gt;0,Tableau1[[#This Row],[Montant Facturé 10/2018]]/Taux_Change_SII,""),"")</f>
        <v/>
      </c>
      <c r="CK55" s="351"/>
      <c r="CL55" s="83">
        <f>SUMPRODUCT(1*(EXACT(CONCATENATE(Tableau1[[#This Row],[PO Number (Header)]],"-",Tableau1[[#This Row],[Line]]),UO_List[Unique_AIB_ID]))*(UO_List[Qté Réception 11/2020]))</f>
        <v>0</v>
      </c>
      <c r="CM55" s="84"/>
      <c r="CN55" s="351"/>
      <c r="CO55" s="351" t="str">
        <f>IFERROR(Tableau1[[#This Row],[Qté Facturé 11/2018]]*Tableau1[[#This Row],[Unit Price (calcul)]],"")</f>
        <v/>
      </c>
      <c r="CP55" s="351" t="str">
        <f>IFERROR(IF(Tableau1[[#This Row],[Montant Facturé 11/2018]]&gt;0,Tableau1[[#This Row],[Montant Facturé 11/2018]]/Taux_Change_SII,""),"")</f>
        <v/>
      </c>
      <c r="CQ55" s="351"/>
      <c r="CR55" s="83">
        <f>SUMPRODUCT(1*(EXACT(CONCATENATE(Tableau1[[#This Row],[PO Number (Header)]],"-",Tableau1[[#This Row],[Line]]),UO_List[Unique_AIB_ID]))*(UO_List[Qté Réception 12/2020]))</f>
        <v>0</v>
      </c>
      <c r="CS55" s="84"/>
      <c r="CT55" s="351"/>
      <c r="CU55" s="351" t="str">
        <f>IFERROR(Tableau1[[#This Row],[Qté Facturé 12/2018]]*Tableau1[[#This Row],[Unit Price (calcul)]],"")</f>
        <v/>
      </c>
      <c r="CV55" s="351" t="str">
        <f>IFERROR(IF(Tableau1[[#This Row],[Montant Facturé 12/2018]]&gt;0,Tableau1[[#This Row],[Montant Facturé 12/2018]]/Taux_Change_SII,""),"")</f>
        <v/>
      </c>
      <c r="CW55" s="351"/>
      <c r="CX5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5" s="352" t="str">
        <f>IFERROR(Tableau1[[#This Row],[Total item réceptionné]]*Tableau1[[#This Row],[Unit Price (calcul)]],"")</f>
        <v/>
      </c>
      <c r="DB55" s="352" t="str">
        <f>IFERROR(Tableau1[[#This Row],[Total item à Facturer]]*Tableau1[[#This Row],[Unit Price (calcul)]],"")</f>
        <v/>
      </c>
      <c r="DC5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5" s="352" t="str">
        <f>IFERROR(Tableau1[[#This Row],[Line Total]]-Tableau1[[#This Row],[Total Price Réceptionné]],"")</f>
        <v/>
      </c>
      <c r="DE55" s="352" t="str">
        <f>IFERROR(Tableau1[[#This Row],[Total Price Réceptionné]]-Tableau1[[#This Row],[Total Price A facturer]],"")</f>
        <v/>
      </c>
      <c r="DF55" s="353" t="str">
        <f>IFERROR(Tableau1[[#This Row],[Total Price A facturer]]-Tableau1[[#This Row],[Total Price Facturé]],"")</f>
        <v/>
      </c>
      <c r="DG55" s="76">
        <f>Tableau1[[#This Row],[Total Item Quantity]]-Tableau1[[#This Row],[Total item réceptionné]]</f>
        <v>0</v>
      </c>
      <c r="DH55" s="167"/>
      <c r="DI55" s="167"/>
    </row>
    <row r="56" spans="1:113" s="74" customFormat="1">
      <c r="A56" s="77" t="str">
        <f>CONCATENATE(Tableau1[[#This Row],[PO Number (Header)]],"-",Tableau1[[#This Row],[Line]])</f>
        <v>-</v>
      </c>
      <c r="B56" s="437"/>
      <c r="C56" s="437"/>
      <c r="D56" s="437"/>
      <c r="E56" s="437"/>
      <c r="F56" s="438"/>
      <c r="G56" s="437"/>
      <c r="H56" s="439"/>
      <c r="I56" s="437"/>
      <c r="J56" s="437"/>
      <c r="K56" s="438"/>
      <c r="L56" s="437"/>
      <c r="M56" s="437"/>
      <c r="N56" s="437"/>
      <c r="O56" s="437"/>
      <c r="P56" s="438"/>
      <c r="Q56" s="479"/>
      <c r="R56" s="395"/>
      <c r="S56" s="437"/>
      <c r="T56" s="437"/>
      <c r="U56" s="437"/>
      <c r="V56" s="437"/>
      <c r="W56" s="167"/>
      <c r="X56" s="167"/>
      <c r="Y56" s="167" t="str">
        <f>IF(ISBLANK(Tableau1[[#This Row],[PO Number (Header)]]),"",Tableau1[[#This Row],[Line Total]]/Tableau1[[#This Row],[Total Item Quantity]])</f>
        <v/>
      </c>
      <c r="Z56" s="167" t="str">
        <f>IF(ISNA(VLOOKUP(Tableau1[[#This Row],[Unique_AIB_ID]],UO_List[Unique_AIB_ID],1,FALSE)),IF(ISBLANK(Tableau1[[#This Row],[PO Number (Header)]]),"","FAUX"),"VRAI")</f>
        <v/>
      </c>
      <c r="AA56" s="167"/>
      <c r="AB56" s="162" t="e">
        <f>VLOOKUP(Tableau1[[#This Row],[Unique_AIB_ID]],UO_List[[Unique_AIB_ID]:[OLGA F6]],3,FALSE)</f>
        <v>#N/A</v>
      </c>
      <c r="AC56" s="162" t="s">
        <v>778</v>
      </c>
      <c r="AD56" s="83">
        <f>SUMPRODUCT(1*(EXACT(CONCATENATE(Tableau1[[#This Row],[PO Number (Header)]],"-",Tableau1[[#This Row],[Line]]),UO_List[Unique_AIB_ID]))*(UO_List[Qté Réception 03/2020]))</f>
        <v>0</v>
      </c>
      <c r="AE56" s="84"/>
      <c r="AF56" s="357"/>
      <c r="AG56" s="351" t="str">
        <f>IFERROR(Tableau1[[#This Row],[Qté Facturé 01/2018]]*Tableau1[[#This Row],[Unit Price (calcul)]],"")</f>
        <v/>
      </c>
      <c r="AH56" s="356" t="str">
        <f>IFERROR(IF(Tableau1[[#This Row],[Montant Facturé 01/2018]]&gt;0,Tableau1[[#This Row],[Montant Facturé 01/2018]]/Taux_Change_SII,""),"")</f>
        <v/>
      </c>
      <c r="AI56" s="351"/>
      <c r="AJ56" s="83">
        <f>SUMPRODUCT(1*(EXACT(CONCATENATE(Tableau1[[#This Row],[PO Number (Header)]],"-",Tableau1[[#This Row],[Line]]),UO_List[Unique_AIB_ID]))*(UO_List[Qté Réception 02/2020]))</f>
        <v>0</v>
      </c>
      <c r="AK56" s="83">
        <f>SUMPRODUCT(1*(EXACT(CONCATENATE(Tableau1[[#This Row],[PO Number (Header)]],"-",Tableau1[[#This Row],[Line]]),UO_List[Unique_AIB_ID]))*(UO_List[Qté Réception 02/2020]))</f>
        <v>0</v>
      </c>
      <c r="AL56" s="357"/>
      <c r="AM56" s="351" t="str">
        <f>IFERROR(Tableau1[[#This Row],[Qté Facturé 02/2018]]*Tableau1[[#This Row],[Unit Price (calcul)]],"")</f>
        <v/>
      </c>
      <c r="AN56" s="351" t="str">
        <f>IFERROR(IF(Tableau1[[#This Row],[Montant Facturé 02/2018]]&gt;0,Tableau1[[#This Row],[Montant Facturé 02/2018]]/Taux_Change_SII,""),"")</f>
        <v/>
      </c>
      <c r="AO56" s="351"/>
      <c r="AP56" s="83">
        <f>SUMPRODUCT(1*(EXACT(CONCATENATE(Tableau1[[#This Row],[PO Number (Header)]],"-",Tableau1[[#This Row],[Line]]),UO_List[Unique_AIB_ID]))*(UO_List[Qté Réception 00/2020]))</f>
        <v>0</v>
      </c>
      <c r="AQ56" s="84">
        <v>0</v>
      </c>
      <c r="AR56" s="357"/>
      <c r="AS56" s="351" t="str">
        <f>IFERROR(Tableau1[[#This Row],[Qté Facturé 03/2018]]*Tableau1[[#This Row],[Unit Price (calcul)]],"")</f>
        <v/>
      </c>
      <c r="AT56" s="351" t="str">
        <f>IFERROR(IF(Tableau1[[#This Row],[Montant Facturé 03/2018]]&gt;0,Tableau1[[#This Row],[Montant Facturé 03/2018]]/Taux_Change_SII,""),"")</f>
        <v/>
      </c>
      <c r="AU56" s="351"/>
      <c r="AV56" s="83">
        <f>SUMPRODUCT(1*(EXACT(CONCATENATE(Tableau1[[#This Row],[PO Number (Header)]],"-",Tableau1[[#This Row],[Line]]),UO_List[Unique_AIB_ID]))*(UO_List[Qté Réception 04/2020]))</f>
        <v>0</v>
      </c>
      <c r="AW56" s="84"/>
      <c r="AX56" s="351"/>
      <c r="AY56" s="351" t="str">
        <f>IFERROR(Tableau1[[#This Row],[Qté Facturé 04/2018]]*Tableau1[[#This Row],[Unit Price (calcul)]],"")</f>
        <v/>
      </c>
      <c r="AZ56" s="351" t="str">
        <f>IFERROR(IF(Tableau1[[#This Row],[Montant Facturé 04/2018]]&gt;0,Tableau1[[#This Row],[Montant Facturé 04/2018]]/Taux_Change_SII,""),"")</f>
        <v/>
      </c>
      <c r="BA56" s="351"/>
      <c r="BB56" s="83">
        <f>SUMPRODUCT(1*(EXACT(CONCATENATE(Tableau1[[#This Row],[PO Number (Header)]],"-",Tableau1[[#This Row],[Line]]),UO_List[Unique_AIB_ID]))*(UO_List[Qté Réception 05/2020]))</f>
        <v>0</v>
      </c>
      <c r="BC56" s="84"/>
      <c r="BD56" s="351"/>
      <c r="BE56" s="351" t="str">
        <f>IFERROR(Tableau1[[#This Row],[Qté Facturé 05/2018]]*Tableau1[[#This Row],[Unit Price (calcul)]],"")</f>
        <v/>
      </c>
      <c r="BF56" s="351" t="str">
        <f>IFERROR(IF(Tableau1[[#This Row],[Montant Facturé 05/2018]]&gt;0,Tableau1[[#This Row],[Montant Facturé 05/2018]]/Taux_Change_SII,""),"")</f>
        <v/>
      </c>
      <c r="BG56" s="351"/>
      <c r="BH56" s="83">
        <f>SUMPRODUCT(1*(EXACT(CONCATENATE(Tableau1[[#This Row],[PO Number (Header)]],"-",Tableau1[[#This Row],[Line]]),UO_List[Unique_AIB_ID]))*(UO_List[Qté Réception 06/2020]))</f>
        <v>0</v>
      </c>
      <c r="BI56" s="84"/>
      <c r="BJ56" s="351"/>
      <c r="BK56" s="351" t="str">
        <f>IFERROR(Tableau1[[#This Row],[Qté Facturé 06/2018]]*Tableau1[[#This Row],[Unit Price (calcul)]],"")</f>
        <v/>
      </c>
      <c r="BL56" s="351" t="str">
        <f>IFERROR(IF(Tableau1[[#This Row],[Montant Facturé 06/2018]]&gt;0,Tableau1[[#This Row],[Montant Facturé 06/2018]]/Taux_Change_SII,""),"")</f>
        <v/>
      </c>
      <c r="BM56" s="351"/>
      <c r="BN56" s="83">
        <f>SUMPRODUCT(1*(EXACT(CONCATENATE(Tableau1[[#This Row],[PO Number (Header)]],"-",Tableau1[[#This Row],[Line]]),UO_List[Unique_AIB_ID]))*(UO_List[Qté Réception 07/2020]))</f>
        <v>0</v>
      </c>
      <c r="BO56" s="84">
        <v>0</v>
      </c>
      <c r="BP56" s="351"/>
      <c r="BQ56" s="351" t="str">
        <f>IFERROR(Tableau1[[#This Row],[Qté Facturé 07/2018]]*Tableau1[[#This Row],[Unit Price (calcul)]],"")</f>
        <v/>
      </c>
      <c r="BR56" s="351" t="str">
        <f>IFERROR(IF(Tableau1[[#This Row],[Montant Facturé 07/2018]]&gt;0,Tableau1[[#This Row],[Montant Facturé 07/2018]]/Taux_Change_SII,""),"")</f>
        <v/>
      </c>
      <c r="BS56" s="351"/>
      <c r="BT56" s="83">
        <f>SUMPRODUCT(1*(EXACT(CONCATENATE(Tableau1[[#This Row],[PO Number (Header)]],"-",Tableau1[[#This Row],[Line]]),UO_List[Unique_AIB_ID]))*(UO_List[Qté Réception 08/2020]))</f>
        <v>0</v>
      </c>
      <c r="BU56" s="84"/>
      <c r="BV56" s="351"/>
      <c r="BW56" s="351" t="str">
        <f>IFERROR(Tableau1[[#This Row],[Qté Facturé 08/2018]]*Tableau1[[#This Row],[Unit Price (calcul)]],"")</f>
        <v/>
      </c>
      <c r="BX56" s="351" t="str">
        <f>IFERROR(IF(Tableau1[[#This Row],[Montant Facturé 08/2018]]&gt;0,Tableau1[[#This Row],[Montant Facturé 08/2018]]/Taux_Change_SII,""),"")</f>
        <v/>
      </c>
      <c r="BY56" s="351"/>
      <c r="BZ56" s="83">
        <f>SUMPRODUCT(1*(EXACT(CONCATENATE(Tableau1[[#This Row],[PO Number (Header)]],"-",Tableau1[[#This Row],[Line]]),UO_List[Unique_AIB_ID]))*(UO_List[Qté Réception 09/2020]))</f>
        <v>0</v>
      </c>
      <c r="CA56" s="83"/>
      <c r="CB56" s="351"/>
      <c r="CC56" s="351" t="str">
        <f>IFERROR(Tableau1[[#This Row],[Qté Facturé 09/2018]]*Tableau1[[#This Row],[Unit Price (calcul)]],"")</f>
        <v/>
      </c>
      <c r="CD56" s="351" t="str">
        <f>IFERROR(IF(Tableau1[[#This Row],[Montant Facturé 09/2018]]&gt;0,Tableau1[[#This Row],[Montant Facturé 09/2018]]/Taux_Change_SII,""),"")</f>
        <v/>
      </c>
      <c r="CE56" s="351"/>
      <c r="CF56" s="83">
        <f>SUMPRODUCT(1*(EXACT(CONCATENATE(Tableau1[[#This Row],[PO Number (Header)]],"-",Tableau1[[#This Row],[Line]]),UO_List[Unique_AIB_ID]))*(UO_List[Qté Réception 10/2020]))</f>
        <v>0</v>
      </c>
      <c r="CG56" s="84">
        <v>0</v>
      </c>
      <c r="CH56" s="351"/>
      <c r="CI56" s="351" t="str">
        <f>IFERROR(Tableau1[[#This Row],[Qté Facturé 10/2018]]*Tableau1[[#This Row],[Unit Price (calcul)]],"")</f>
        <v/>
      </c>
      <c r="CJ56" s="351" t="str">
        <f>IFERROR(IF(Tableau1[[#This Row],[Montant Facturé 10/2018]]&gt;0,Tableau1[[#This Row],[Montant Facturé 10/2018]]/Taux_Change_SII,""),"")</f>
        <v/>
      </c>
      <c r="CK56" s="351"/>
      <c r="CL56" s="83">
        <f>SUMPRODUCT(1*(EXACT(CONCATENATE(Tableau1[[#This Row],[PO Number (Header)]],"-",Tableau1[[#This Row],[Line]]),UO_List[Unique_AIB_ID]))*(UO_List[Qté Réception 11/2020]))</f>
        <v>0</v>
      </c>
      <c r="CM56" s="84"/>
      <c r="CN56" s="351"/>
      <c r="CO56" s="351" t="str">
        <f>IFERROR(Tableau1[[#This Row],[Qté Facturé 11/2018]]*Tableau1[[#This Row],[Unit Price (calcul)]],"")</f>
        <v/>
      </c>
      <c r="CP56" s="351" t="str">
        <f>IFERROR(IF(Tableau1[[#This Row],[Montant Facturé 11/2018]]&gt;0,Tableau1[[#This Row],[Montant Facturé 11/2018]]/Taux_Change_SII,""),"")</f>
        <v/>
      </c>
      <c r="CQ56" s="351"/>
      <c r="CR56" s="83">
        <f>SUMPRODUCT(1*(EXACT(CONCATENATE(Tableau1[[#This Row],[PO Number (Header)]],"-",Tableau1[[#This Row],[Line]]),UO_List[Unique_AIB_ID]))*(UO_List[Qté Réception 12/2020]))</f>
        <v>0</v>
      </c>
      <c r="CS56" s="84"/>
      <c r="CT56" s="351"/>
      <c r="CU56" s="351" t="str">
        <f>IFERROR(Tableau1[[#This Row],[Qté Facturé 12/2018]]*Tableau1[[#This Row],[Unit Price (calcul)]],"")</f>
        <v/>
      </c>
      <c r="CV56" s="351" t="str">
        <f>IFERROR(IF(Tableau1[[#This Row],[Montant Facturé 12/2018]]&gt;0,Tableau1[[#This Row],[Montant Facturé 12/2018]]/Taux_Change_SII,""),"")</f>
        <v/>
      </c>
      <c r="CW56" s="351"/>
      <c r="CX5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6" s="352" t="str">
        <f>IFERROR(Tableau1[[#This Row],[Total item réceptionné]]*Tableau1[[#This Row],[Unit Price (calcul)]],"")</f>
        <v/>
      </c>
      <c r="DB56" s="352" t="str">
        <f>IFERROR(Tableau1[[#This Row],[Total item à Facturer]]*Tableau1[[#This Row],[Unit Price (calcul)]],"")</f>
        <v/>
      </c>
      <c r="DC5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6" s="352" t="str">
        <f>IFERROR(Tableau1[[#This Row],[Line Total]]-Tableau1[[#This Row],[Total Price Réceptionné]],"")</f>
        <v/>
      </c>
      <c r="DE56" s="352" t="str">
        <f>IFERROR(Tableau1[[#This Row],[Total Price Réceptionné]]-Tableau1[[#This Row],[Total Price A facturer]],"")</f>
        <v/>
      </c>
      <c r="DF56" s="353" t="str">
        <f>IFERROR(Tableau1[[#This Row],[Total Price A facturer]]-Tableau1[[#This Row],[Total Price Facturé]],"")</f>
        <v/>
      </c>
      <c r="DG56" s="76">
        <f>Tableau1[[#This Row],[Total Item Quantity]]-Tableau1[[#This Row],[Total item réceptionné]]</f>
        <v>0</v>
      </c>
      <c r="DH56" s="167"/>
      <c r="DI56" s="167"/>
    </row>
    <row r="57" spans="1:113" s="74" customFormat="1">
      <c r="A57" s="77" t="str">
        <f>CONCATENATE(Tableau1[[#This Row],[PO Number (Header)]],"-",Tableau1[[#This Row],[Line]])</f>
        <v>-</v>
      </c>
      <c r="B57" s="437"/>
      <c r="C57" s="437"/>
      <c r="D57" s="437"/>
      <c r="E57" s="437"/>
      <c r="F57" s="438"/>
      <c r="G57" s="437"/>
      <c r="H57" s="439"/>
      <c r="I57" s="437"/>
      <c r="J57" s="437"/>
      <c r="K57" s="438"/>
      <c r="L57" s="437"/>
      <c r="M57" s="437"/>
      <c r="N57" s="437"/>
      <c r="O57" s="437"/>
      <c r="P57" s="438"/>
      <c r="Q57" s="479"/>
      <c r="R57" s="395"/>
      <c r="S57" s="437"/>
      <c r="T57" s="437"/>
      <c r="U57" s="437"/>
      <c r="V57" s="437"/>
      <c r="W57" s="167"/>
      <c r="X57" s="167"/>
      <c r="Y57" s="167" t="str">
        <f>IF(ISBLANK(Tableau1[[#This Row],[PO Number (Header)]]),"",Tableau1[[#This Row],[Line Total]]/Tableau1[[#This Row],[Total Item Quantity]])</f>
        <v/>
      </c>
      <c r="Z57" s="167" t="str">
        <f>IF(ISNA(VLOOKUP(Tableau1[[#This Row],[Unique_AIB_ID]],UO_List[Unique_AIB_ID],1,FALSE)),IF(ISBLANK(Tableau1[[#This Row],[PO Number (Header)]]),"","FAUX"),"VRAI")</f>
        <v/>
      </c>
      <c r="AA57" s="167"/>
      <c r="AB57" s="162" t="e">
        <f>VLOOKUP(Tableau1[[#This Row],[Unique_AIB_ID]],UO_List[[Unique_AIB_ID]:[OLGA F6]],3,FALSE)</f>
        <v>#N/A</v>
      </c>
      <c r="AC57" s="162" t="s">
        <v>778</v>
      </c>
      <c r="AD57" s="83">
        <f>SUMPRODUCT(1*(EXACT(CONCATENATE(Tableau1[[#This Row],[PO Number (Header)]],"-",Tableau1[[#This Row],[Line]]),UO_List[Unique_AIB_ID]))*(UO_List[Qté Réception 03/2020]))</f>
        <v>0</v>
      </c>
      <c r="AE57" s="84"/>
      <c r="AF57" s="357"/>
      <c r="AG57" s="351" t="str">
        <f>IFERROR(Tableau1[[#This Row],[Qté Facturé 01/2018]]*Tableau1[[#This Row],[Unit Price (calcul)]],"")</f>
        <v/>
      </c>
      <c r="AH57" s="356" t="str">
        <f>IFERROR(IF(Tableau1[[#This Row],[Montant Facturé 01/2018]]&gt;0,Tableau1[[#This Row],[Montant Facturé 01/2018]]/Taux_Change_SII,""),"")</f>
        <v/>
      </c>
      <c r="AI57" s="351"/>
      <c r="AJ57" s="83">
        <f>SUMPRODUCT(1*(EXACT(CONCATENATE(Tableau1[[#This Row],[PO Number (Header)]],"-",Tableau1[[#This Row],[Line]]),UO_List[Unique_AIB_ID]))*(UO_List[Qté Réception 02/2020]))</f>
        <v>0</v>
      </c>
      <c r="AK57" s="83">
        <f>SUMPRODUCT(1*(EXACT(CONCATENATE(Tableau1[[#This Row],[PO Number (Header)]],"-",Tableau1[[#This Row],[Line]]),UO_List[Unique_AIB_ID]))*(UO_List[Qté Réception 02/2020]))</f>
        <v>0</v>
      </c>
      <c r="AL57" s="357"/>
      <c r="AM57" s="351" t="str">
        <f>IFERROR(Tableau1[[#This Row],[Qté Facturé 02/2018]]*Tableau1[[#This Row],[Unit Price (calcul)]],"")</f>
        <v/>
      </c>
      <c r="AN57" s="351" t="str">
        <f>IFERROR(IF(Tableau1[[#This Row],[Montant Facturé 02/2018]]&gt;0,Tableau1[[#This Row],[Montant Facturé 02/2018]]/Taux_Change_SII,""),"")</f>
        <v/>
      </c>
      <c r="AO57" s="351"/>
      <c r="AP57" s="83">
        <f>SUMPRODUCT(1*(EXACT(CONCATENATE(Tableau1[[#This Row],[PO Number (Header)]],"-",Tableau1[[#This Row],[Line]]),UO_List[Unique_AIB_ID]))*(UO_List[Qté Réception 00/2020]))</f>
        <v>0</v>
      </c>
      <c r="AQ57" s="84">
        <v>0</v>
      </c>
      <c r="AR57" s="357"/>
      <c r="AS57" s="351" t="str">
        <f>IFERROR(Tableau1[[#This Row],[Qté Facturé 03/2018]]*Tableau1[[#This Row],[Unit Price (calcul)]],"")</f>
        <v/>
      </c>
      <c r="AT57" s="351" t="str">
        <f>IFERROR(IF(Tableau1[[#This Row],[Montant Facturé 03/2018]]&gt;0,Tableau1[[#This Row],[Montant Facturé 03/2018]]/Taux_Change_SII,""),"")</f>
        <v/>
      </c>
      <c r="AU57" s="351"/>
      <c r="AV57" s="83">
        <f>SUMPRODUCT(1*(EXACT(CONCATENATE(Tableau1[[#This Row],[PO Number (Header)]],"-",Tableau1[[#This Row],[Line]]),UO_List[Unique_AIB_ID]))*(UO_List[Qté Réception 04/2020]))</f>
        <v>0</v>
      </c>
      <c r="AW57" s="84">
        <v>0</v>
      </c>
      <c r="AX57" s="351"/>
      <c r="AY57" s="351" t="str">
        <f>IFERROR(Tableau1[[#This Row],[Qté Facturé 04/2018]]*Tableau1[[#This Row],[Unit Price (calcul)]],"")</f>
        <v/>
      </c>
      <c r="AZ57" s="351" t="str">
        <f>IFERROR(IF(Tableau1[[#This Row],[Montant Facturé 04/2018]]&gt;0,Tableau1[[#This Row],[Montant Facturé 04/2018]]/Taux_Change_SII,""),"")</f>
        <v/>
      </c>
      <c r="BA57" s="351"/>
      <c r="BB57" s="83">
        <f>SUMPRODUCT(1*(EXACT(CONCATENATE(Tableau1[[#This Row],[PO Number (Header)]],"-",Tableau1[[#This Row],[Line]]),UO_List[Unique_AIB_ID]))*(UO_List[Qté Réception 05/2020]))</f>
        <v>0</v>
      </c>
      <c r="BC57" s="84">
        <v>0</v>
      </c>
      <c r="BD57" s="351"/>
      <c r="BE57" s="351" t="str">
        <f>IFERROR(Tableau1[[#This Row],[Qté Facturé 05/2018]]*Tableau1[[#This Row],[Unit Price (calcul)]],"")</f>
        <v/>
      </c>
      <c r="BF57" s="351" t="str">
        <f>IFERROR(IF(Tableau1[[#This Row],[Montant Facturé 05/2018]]&gt;0,Tableau1[[#This Row],[Montant Facturé 05/2018]]/Taux_Change_SII,""),"")</f>
        <v/>
      </c>
      <c r="BG57" s="351"/>
      <c r="BH57" s="83">
        <f>SUMPRODUCT(1*(EXACT(CONCATENATE(Tableau1[[#This Row],[PO Number (Header)]],"-",Tableau1[[#This Row],[Line]]),UO_List[Unique_AIB_ID]))*(UO_List[Qté Réception 06/2020]))</f>
        <v>0</v>
      </c>
      <c r="BI57" s="84">
        <v>0</v>
      </c>
      <c r="BJ57" s="351"/>
      <c r="BK57" s="351" t="str">
        <f>IFERROR(Tableau1[[#This Row],[Qté Facturé 06/2018]]*Tableau1[[#This Row],[Unit Price (calcul)]],"")</f>
        <v/>
      </c>
      <c r="BL57" s="351" t="str">
        <f>IFERROR(IF(Tableau1[[#This Row],[Montant Facturé 06/2018]]&gt;0,Tableau1[[#This Row],[Montant Facturé 06/2018]]/Taux_Change_SII,""),"")</f>
        <v/>
      </c>
      <c r="BM57" s="351"/>
      <c r="BN57" s="83">
        <f>SUMPRODUCT(1*(EXACT(CONCATENATE(Tableau1[[#This Row],[PO Number (Header)]],"-",Tableau1[[#This Row],[Line]]),UO_List[Unique_AIB_ID]))*(UO_List[Qté Réception 07/2020]))</f>
        <v>0</v>
      </c>
      <c r="BO57" s="84">
        <v>0</v>
      </c>
      <c r="BP57" s="351"/>
      <c r="BQ57" s="351" t="str">
        <f>IFERROR(Tableau1[[#This Row],[Qté Facturé 07/2018]]*Tableau1[[#This Row],[Unit Price (calcul)]],"")</f>
        <v/>
      </c>
      <c r="BR57" s="351" t="str">
        <f>IFERROR(IF(Tableau1[[#This Row],[Montant Facturé 07/2018]]&gt;0,Tableau1[[#This Row],[Montant Facturé 07/2018]]/Taux_Change_SII,""),"")</f>
        <v/>
      </c>
      <c r="BS57" s="351"/>
      <c r="BT57" s="83">
        <f>SUMPRODUCT(1*(EXACT(CONCATENATE(Tableau1[[#This Row],[PO Number (Header)]],"-",Tableau1[[#This Row],[Line]]),UO_List[Unique_AIB_ID]))*(UO_List[Qté Réception 08/2020]))</f>
        <v>0</v>
      </c>
      <c r="BU57" s="84"/>
      <c r="BV57" s="351"/>
      <c r="BW57" s="351" t="str">
        <f>IFERROR(Tableau1[[#This Row],[Qté Facturé 08/2018]]*Tableau1[[#This Row],[Unit Price (calcul)]],"")</f>
        <v/>
      </c>
      <c r="BX57" s="351" t="str">
        <f>IFERROR(IF(Tableau1[[#This Row],[Montant Facturé 08/2018]]&gt;0,Tableau1[[#This Row],[Montant Facturé 08/2018]]/Taux_Change_SII,""),"")</f>
        <v/>
      </c>
      <c r="BY57" s="351"/>
      <c r="BZ57" s="83">
        <f>SUMPRODUCT(1*(EXACT(CONCATENATE(Tableau1[[#This Row],[PO Number (Header)]],"-",Tableau1[[#This Row],[Line]]),UO_List[Unique_AIB_ID]))*(UO_List[Qté Réception 09/2020]))</f>
        <v>0</v>
      </c>
      <c r="CA57" s="84">
        <v>0</v>
      </c>
      <c r="CB57" s="351"/>
      <c r="CC57" s="351" t="str">
        <f>IFERROR(Tableau1[[#This Row],[Qté Facturé 09/2018]]*Tableau1[[#This Row],[Unit Price (calcul)]],"")</f>
        <v/>
      </c>
      <c r="CD57" s="351" t="str">
        <f>IFERROR(IF(Tableau1[[#This Row],[Montant Facturé 09/2018]]&gt;0,Tableau1[[#This Row],[Montant Facturé 09/2018]]/Taux_Change_SII,""),"")</f>
        <v/>
      </c>
      <c r="CE57" s="351"/>
      <c r="CF57" s="83">
        <f>SUMPRODUCT(1*(EXACT(CONCATENATE(Tableau1[[#This Row],[PO Number (Header)]],"-",Tableau1[[#This Row],[Line]]),UO_List[Unique_AIB_ID]))*(UO_List[Qté Réception 10/2020]))</f>
        <v>0</v>
      </c>
      <c r="CG57" s="84">
        <v>0</v>
      </c>
      <c r="CH57" s="351"/>
      <c r="CI57" s="351" t="str">
        <f>IFERROR(Tableau1[[#This Row],[Qté Facturé 10/2018]]*Tableau1[[#This Row],[Unit Price (calcul)]],"")</f>
        <v/>
      </c>
      <c r="CJ57" s="351" t="str">
        <f>IFERROR(IF(Tableau1[[#This Row],[Montant Facturé 10/2018]]&gt;0,Tableau1[[#This Row],[Montant Facturé 10/2018]]/Taux_Change_SII,""),"")</f>
        <v/>
      </c>
      <c r="CK57" s="351"/>
      <c r="CL57" s="83">
        <f>SUMPRODUCT(1*(EXACT(CONCATENATE(Tableau1[[#This Row],[PO Number (Header)]],"-",Tableau1[[#This Row],[Line]]),UO_List[Unique_AIB_ID]))*(UO_List[Qté Réception 11/2020]))</f>
        <v>0</v>
      </c>
      <c r="CM57" s="84"/>
      <c r="CN57" s="351"/>
      <c r="CO57" s="351" t="str">
        <f>IFERROR(Tableau1[[#This Row],[Qté Facturé 11/2018]]*Tableau1[[#This Row],[Unit Price (calcul)]],"")</f>
        <v/>
      </c>
      <c r="CP57" s="351" t="str">
        <f>IFERROR(IF(Tableau1[[#This Row],[Montant Facturé 11/2018]]&gt;0,Tableau1[[#This Row],[Montant Facturé 11/2018]]/Taux_Change_SII,""),"")</f>
        <v/>
      </c>
      <c r="CQ57" s="351"/>
      <c r="CR57" s="83">
        <f>SUMPRODUCT(1*(EXACT(CONCATENATE(Tableau1[[#This Row],[PO Number (Header)]],"-",Tableau1[[#This Row],[Line]]),UO_List[Unique_AIB_ID]))*(UO_List[Qté Réception 12/2020]))</f>
        <v>0</v>
      </c>
      <c r="CS57" s="84"/>
      <c r="CT57" s="351"/>
      <c r="CU57" s="351" t="str">
        <f>IFERROR(Tableau1[[#This Row],[Qté Facturé 12/2018]]*Tableau1[[#This Row],[Unit Price (calcul)]],"")</f>
        <v/>
      </c>
      <c r="CV57" s="351" t="str">
        <f>IFERROR(IF(Tableau1[[#This Row],[Montant Facturé 12/2018]]&gt;0,Tableau1[[#This Row],[Montant Facturé 12/2018]]/Taux_Change_SII,""),"")</f>
        <v/>
      </c>
      <c r="CW57" s="351"/>
      <c r="CX5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7" s="352" t="str">
        <f>IFERROR(Tableau1[[#This Row],[Total item réceptionné]]*Tableau1[[#This Row],[Unit Price (calcul)]],"")</f>
        <v/>
      </c>
      <c r="DB57" s="352" t="str">
        <f>IFERROR(Tableau1[[#This Row],[Total item à Facturer]]*Tableau1[[#This Row],[Unit Price (calcul)]],"")</f>
        <v/>
      </c>
      <c r="DC5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7" s="352" t="str">
        <f>IFERROR(Tableau1[[#This Row],[Line Total]]-Tableau1[[#This Row],[Total Price Réceptionné]],"")</f>
        <v/>
      </c>
      <c r="DE57" s="352" t="str">
        <f>IFERROR(Tableau1[[#This Row],[Total Price Réceptionné]]-Tableau1[[#This Row],[Total Price A facturer]],"")</f>
        <v/>
      </c>
      <c r="DF57" s="353" t="str">
        <f>IFERROR(Tableau1[[#This Row],[Total Price A facturer]]-Tableau1[[#This Row],[Total Price Facturé]],"")</f>
        <v/>
      </c>
      <c r="DG57" s="76">
        <f>Tableau1[[#This Row],[Total Item Quantity]]-Tableau1[[#This Row],[Total item réceptionné]]</f>
        <v>0</v>
      </c>
      <c r="DH57" s="167"/>
      <c r="DI57" s="167"/>
    </row>
    <row r="58" spans="1:113" s="74" customFormat="1">
      <c r="A58" s="77" t="str">
        <f>CONCATENATE(Tableau1[[#This Row],[PO Number (Header)]],"-",Tableau1[[#This Row],[Line]])</f>
        <v>-</v>
      </c>
      <c r="B58" s="437"/>
      <c r="C58" s="437"/>
      <c r="D58" s="437"/>
      <c r="E58" s="437"/>
      <c r="F58" s="438"/>
      <c r="G58" s="437"/>
      <c r="H58" s="439"/>
      <c r="I58" s="437"/>
      <c r="J58" s="437"/>
      <c r="K58" s="438"/>
      <c r="L58" s="437"/>
      <c r="M58" s="437"/>
      <c r="N58" s="437"/>
      <c r="O58" s="437"/>
      <c r="P58" s="438"/>
      <c r="Q58" s="479"/>
      <c r="R58" s="395"/>
      <c r="S58" s="437"/>
      <c r="T58" s="437"/>
      <c r="U58" s="437"/>
      <c r="V58" s="437"/>
      <c r="W58" s="167"/>
      <c r="X58" s="167"/>
      <c r="Y58" s="167" t="str">
        <f>IF(ISBLANK(Tableau1[[#This Row],[PO Number (Header)]]),"",Tableau1[[#This Row],[Line Total]]/Tableau1[[#This Row],[Total Item Quantity]])</f>
        <v/>
      </c>
      <c r="Z58" s="167" t="str">
        <f>IF(ISNA(VLOOKUP(Tableau1[[#This Row],[Unique_AIB_ID]],UO_List[Unique_AIB_ID],1,FALSE)),IF(ISBLANK(Tableau1[[#This Row],[PO Number (Header)]]),"","FAUX"),"VRAI")</f>
        <v/>
      </c>
      <c r="AA58" s="167"/>
      <c r="AB58" s="162" t="e">
        <f>VLOOKUP(Tableau1[[#This Row],[Unique_AIB_ID]],UO_List[[Unique_AIB_ID]:[OLGA F6]],3,FALSE)</f>
        <v>#N/A</v>
      </c>
      <c r="AC58" s="162" t="s">
        <v>778</v>
      </c>
      <c r="AD58" s="83">
        <f>SUMPRODUCT(1*(EXACT(CONCATENATE(Tableau1[[#This Row],[PO Number (Header)]],"-",Tableau1[[#This Row],[Line]]),UO_List[Unique_AIB_ID]))*(UO_List[Qté Réception 03/2020]))</f>
        <v>0</v>
      </c>
      <c r="AE58" s="84"/>
      <c r="AF58" s="357"/>
      <c r="AG58" s="351" t="str">
        <f>IFERROR(Tableau1[[#This Row],[Qté Facturé 01/2018]]*Tableau1[[#This Row],[Unit Price (calcul)]],"")</f>
        <v/>
      </c>
      <c r="AH58" s="356" t="str">
        <f>IFERROR(IF(Tableau1[[#This Row],[Montant Facturé 01/2018]]&gt;0,Tableau1[[#This Row],[Montant Facturé 01/2018]]/Taux_Change_SII,""),"")</f>
        <v/>
      </c>
      <c r="AI58" s="351"/>
      <c r="AJ58" s="83">
        <f>SUMPRODUCT(1*(EXACT(CONCATENATE(Tableau1[[#This Row],[PO Number (Header)]],"-",Tableau1[[#This Row],[Line]]),UO_List[Unique_AIB_ID]))*(UO_List[Qté Réception 02/2020]))</f>
        <v>0</v>
      </c>
      <c r="AK58" s="83">
        <f>SUMPRODUCT(1*(EXACT(CONCATENATE(Tableau1[[#This Row],[PO Number (Header)]],"-",Tableau1[[#This Row],[Line]]),UO_List[Unique_AIB_ID]))*(UO_List[Qté Réception 02/2020]))</f>
        <v>0</v>
      </c>
      <c r="AL58" s="357"/>
      <c r="AM58" s="351" t="str">
        <f>IFERROR(Tableau1[[#This Row],[Qté Facturé 02/2018]]*Tableau1[[#This Row],[Unit Price (calcul)]],"")</f>
        <v/>
      </c>
      <c r="AN58" s="351" t="str">
        <f>IFERROR(IF(Tableau1[[#This Row],[Montant Facturé 02/2018]]&gt;0,Tableau1[[#This Row],[Montant Facturé 02/2018]]/Taux_Change_SII,""),"")</f>
        <v/>
      </c>
      <c r="AO58" s="351"/>
      <c r="AP58" s="83">
        <f>SUMPRODUCT(1*(EXACT(CONCATENATE(Tableau1[[#This Row],[PO Number (Header)]],"-",Tableau1[[#This Row],[Line]]),UO_List[Unique_AIB_ID]))*(UO_List[Qté Réception 00/2020]))</f>
        <v>0</v>
      </c>
      <c r="AQ58" s="84">
        <v>0</v>
      </c>
      <c r="AR58" s="357"/>
      <c r="AS58" s="351" t="str">
        <f>IFERROR(Tableau1[[#This Row],[Qté Facturé 03/2018]]*Tableau1[[#This Row],[Unit Price (calcul)]],"")</f>
        <v/>
      </c>
      <c r="AT58" s="351" t="str">
        <f>IFERROR(IF(Tableau1[[#This Row],[Montant Facturé 03/2018]]&gt;0,Tableau1[[#This Row],[Montant Facturé 03/2018]]/Taux_Change_SII,""),"")</f>
        <v/>
      </c>
      <c r="AU58" s="351"/>
      <c r="AV58" s="83">
        <f>SUMPRODUCT(1*(EXACT(CONCATENATE(Tableau1[[#This Row],[PO Number (Header)]],"-",Tableau1[[#This Row],[Line]]),UO_List[Unique_AIB_ID]))*(UO_List[Qté Réception 04/2020]))</f>
        <v>0</v>
      </c>
      <c r="AW58" s="84"/>
      <c r="AX58" s="351"/>
      <c r="AY58" s="351" t="str">
        <f>IFERROR(Tableau1[[#This Row],[Qté Facturé 04/2018]]*Tableau1[[#This Row],[Unit Price (calcul)]],"")</f>
        <v/>
      </c>
      <c r="AZ58" s="351" t="str">
        <f>IFERROR(IF(Tableau1[[#This Row],[Montant Facturé 04/2018]]&gt;0,Tableau1[[#This Row],[Montant Facturé 04/2018]]/Taux_Change_SII,""),"")</f>
        <v/>
      </c>
      <c r="BA58" s="351"/>
      <c r="BB58" s="83">
        <f>SUMPRODUCT(1*(EXACT(CONCATENATE(Tableau1[[#This Row],[PO Number (Header)]],"-",Tableau1[[#This Row],[Line]]),UO_List[Unique_AIB_ID]))*(UO_List[Qté Réception 05/2020]))</f>
        <v>0</v>
      </c>
      <c r="BC58" s="84"/>
      <c r="BD58" s="351"/>
      <c r="BE58" s="351" t="str">
        <f>IFERROR(Tableau1[[#This Row],[Qté Facturé 05/2018]]*Tableau1[[#This Row],[Unit Price (calcul)]],"")</f>
        <v/>
      </c>
      <c r="BF58" s="351" t="str">
        <f>IFERROR(IF(Tableau1[[#This Row],[Montant Facturé 05/2018]]&gt;0,Tableau1[[#This Row],[Montant Facturé 05/2018]]/Taux_Change_SII,""),"")</f>
        <v/>
      </c>
      <c r="BG58" s="351"/>
      <c r="BH58" s="83">
        <f>SUMPRODUCT(1*(EXACT(CONCATENATE(Tableau1[[#This Row],[PO Number (Header)]],"-",Tableau1[[#This Row],[Line]]),UO_List[Unique_AIB_ID]))*(UO_List[Qté Réception 06/2020]))</f>
        <v>0</v>
      </c>
      <c r="BI58" s="84">
        <v>0</v>
      </c>
      <c r="BJ58" s="351"/>
      <c r="BK58" s="351" t="str">
        <f>IFERROR(Tableau1[[#This Row],[Qté Facturé 06/2018]]*Tableau1[[#This Row],[Unit Price (calcul)]],"")</f>
        <v/>
      </c>
      <c r="BL58" s="351" t="str">
        <f>IFERROR(IF(Tableau1[[#This Row],[Montant Facturé 06/2018]]&gt;0,Tableau1[[#This Row],[Montant Facturé 06/2018]]/Taux_Change_SII,""),"")</f>
        <v/>
      </c>
      <c r="BM58" s="351"/>
      <c r="BN58" s="83">
        <f>SUMPRODUCT(1*(EXACT(CONCATENATE(Tableau1[[#This Row],[PO Number (Header)]],"-",Tableau1[[#This Row],[Line]]),UO_List[Unique_AIB_ID]))*(UO_List[Qté Réception 07/2020]))</f>
        <v>0</v>
      </c>
      <c r="BO58" s="84">
        <v>0</v>
      </c>
      <c r="BP58" s="351"/>
      <c r="BQ58" s="351" t="str">
        <f>IFERROR(Tableau1[[#This Row],[Qté Facturé 07/2018]]*Tableau1[[#This Row],[Unit Price (calcul)]],"")</f>
        <v/>
      </c>
      <c r="BR58" s="351" t="str">
        <f>IFERROR(IF(Tableau1[[#This Row],[Montant Facturé 07/2018]]&gt;0,Tableau1[[#This Row],[Montant Facturé 07/2018]]/Taux_Change_SII,""),"")</f>
        <v/>
      </c>
      <c r="BS58" s="351"/>
      <c r="BT58" s="83">
        <f>SUMPRODUCT(1*(EXACT(CONCATENATE(Tableau1[[#This Row],[PO Number (Header)]],"-",Tableau1[[#This Row],[Line]]),UO_List[Unique_AIB_ID]))*(UO_List[Qté Réception 08/2020]))</f>
        <v>0</v>
      </c>
      <c r="BU58" s="84"/>
      <c r="BV58" s="351"/>
      <c r="BW58" s="351" t="str">
        <f>IFERROR(Tableau1[[#This Row],[Qté Facturé 08/2018]]*Tableau1[[#This Row],[Unit Price (calcul)]],"")</f>
        <v/>
      </c>
      <c r="BX58" s="351" t="str">
        <f>IFERROR(IF(Tableau1[[#This Row],[Montant Facturé 08/2018]]&gt;0,Tableau1[[#This Row],[Montant Facturé 08/2018]]/Taux_Change_SII,""),"")</f>
        <v/>
      </c>
      <c r="BY58" s="351"/>
      <c r="BZ58" s="83">
        <f>SUMPRODUCT(1*(EXACT(CONCATENATE(Tableau1[[#This Row],[PO Number (Header)]],"-",Tableau1[[#This Row],[Line]]),UO_List[Unique_AIB_ID]))*(UO_List[Qté Réception 09/2020]))</f>
        <v>0</v>
      </c>
      <c r="CA58" s="84">
        <v>0</v>
      </c>
      <c r="CB58" s="351"/>
      <c r="CC58" s="351" t="str">
        <f>IFERROR(Tableau1[[#This Row],[Qté Facturé 09/2018]]*Tableau1[[#This Row],[Unit Price (calcul)]],"")</f>
        <v/>
      </c>
      <c r="CD58" s="351" t="str">
        <f>IFERROR(IF(Tableau1[[#This Row],[Montant Facturé 09/2018]]&gt;0,Tableau1[[#This Row],[Montant Facturé 09/2018]]/Taux_Change_SII,""),"")</f>
        <v/>
      </c>
      <c r="CE58" s="351"/>
      <c r="CF58" s="83">
        <f>SUMPRODUCT(1*(EXACT(CONCATENATE(Tableau1[[#This Row],[PO Number (Header)]],"-",Tableau1[[#This Row],[Line]]),UO_List[Unique_AIB_ID]))*(UO_List[Qté Réception 10/2020]))</f>
        <v>0</v>
      </c>
      <c r="CG58" s="84">
        <v>0</v>
      </c>
      <c r="CH58" s="351"/>
      <c r="CI58" s="351" t="str">
        <f>IFERROR(Tableau1[[#This Row],[Qté Facturé 10/2018]]*Tableau1[[#This Row],[Unit Price (calcul)]],"")</f>
        <v/>
      </c>
      <c r="CJ58" s="351" t="str">
        <f>IFERROR(IF(Tableau1[[#This Row],[Montant Facturé 10/2018]]&gt;0,Tableau1[[#This Row],[Montant Facturé 10/2018]]/Taux_Change_SII,""),"")</f>
        <v/>
      </c>
      <c r="CK58" s="351"/>
      <c r="CL58" s="83">
        <f>SUMPRODUCT(1*(EXACT(CONCATENATE(Tableau1[[#This Row],[PO Number (Header)]],"-",Tableau1[[#This Row],[Line]]),UO_List[Unique_AIB_ID]))*(UO_List[Qté Réception 11/2020]))</f>
        <v>0</v>
      </c>
      <c r="CM58" s="84"/>
      <c r="CN58" s="351"/>
      <c r="CO58" s="351" t="str">
        <f>IFERROR(Tableau1[[#This Row],[Qté Facturé 11/2018]]*Tableau1[[#This Row],[Unit Price (calcul)]],"")</f>
        <v/>
      </c>
      <c r="CP58" s="351" t="str">
        <f>IFERROR(IF(Tableau1[[#This Row],[Montant Facturé 11/2018]]&gt;0,Tableau1[[#This Row],[Montant Facturé 11/2018]]/Taux_Change_SII,""),"")</f>
        <v/>
      </c>
      <c r="CQ58" s="351"/>
      <c r="CR58" s="83">
        <f>SUMPRODUCT(1*(EXACT(CONCATENATE(Tableau1[[#This Row],[PO Number (Header)]],"-",Tableau1[[#This Row],[Line]]),UO_List[Unique_AIB_ID]))*(UO_List[Qté Réception 12/2020]))</f>
        <v>0</v>
      </c>
      <c r="CS58" s="84"/>
      <c r="CT58" s="351"/>
      <c r="CU58" s="351" t="str">
        <f>IFERROR(Tableau1[[#This Row],[Qté Facturé 12/2018]]*Tableau1[[#This Row],[Unit Price (calcul)]],"")</f>
        <v/>
      </c>
      <c r="CV58" s="351" t="str">
        <f>IFERROR(IF(Tableau1[[#This Row],[Montant Facturé 12/2018]]&gt;0,Tableau1[[#This Row],[Montant Facturé 12/2018]]/Taux_Change_SII,""),"")</f>
        <v/>
      </c>
      <c r="CW58" s="351"/>
      <c r="CX5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8" s="352" t="str">
        <f>IFERROR(Tableau1[[#This Row],[Total item réceptionné]]*Tableau1[[#This Row],[Unit Price (calcul)]],"")</f>
        <v/>
      </c>
      <c r="DB58" s="352" t="str">
        <f>IFERROR(Tableau1[[#This Row],[Total item à Facturer]]*Tableau1[[#This Row],[Unit Price (calcul)]],"")</f>
        <v/>
      </c>
      <c r="DC5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8" s="352" t="str">
        <f>IFERROR(Tableau1[[#This Row],[Line Total]]-Tableau1[[#This Row],[Total Price Réceptionné]],"")</f>
        <v/>
      </c>
      <c r="DE58" s="352" t="str">
        <f>IFERROR(Tableau1[[#This Row],[Total Price Réceptionné]]-Tableau1[[#This Row],[Total Price A facturer]],"")</f>
        <v/>
      </c>
      <c r="DF58" s="353" t="str">
        <f>IFERROR(Tableau1[[#This Row],[Total Price A facturer]]-Tableau1[[#This Row],[Total Price Facturé]],"")</f>
        <v/>
      </c>
      <c r="DG58" s="76">
        <f>Tableau1[[#This Row],[Total Item Quantity]]-Tableau1[[#This Row],[Total item réceptionné]]</f>
        <v>0</v>
      </c>
      <c r="DH58" s="167"/>
      <c r="DI58" s="167"/>
    </row>
    <row r="59" spans="1:113" s="74" customFormat="1">
      <c r="A59" s="77" t="str">
        <f>CONCATENATE(Tableau1[[#This Row],[PO Number (Header)]],"-",Tableau1[[#This Row],[Line]])</f>
        <v>-</v>
      </c>
      <c r="B59" s="437"/>
      <c r="C59" s="437"/>
      <c r="D59" s="437"/>
      <c r="E59" s="437"/>
      <c r="F59" s="438"/>
      <c r="G59" s="437"/>
      <c r="H59" s="439"/>
      <c r="I59" s="437"/>
      <c r="J59" s="437"/>
      <c r="K59" s="438"/>
      <c r="L59" s="437"/>
      <c r="M59" s="437"/>
      <c r="N59" s="437"/>
      <c r="O59" s="437"/>
      <c r="P59" s="438"/>
      <c r="Q59" s="479"/>
      <c r="R59" s="395"/>
      <c r="S59" s="437"/>
      <c r="T59" s="437"/>
      <c r="U59" s="437"/>
      <c r="V59" s="437"/>
      <c r="W59" s="167"/>
      <c r="X59" s="167"/>
      <c r="Y59" s="167" t="str">
        <f>IF(ISBLANK(Tableau1[[#This Row],[PO Number (Header)]]),"",Tableau1[[#This Row],[Line Total]]/Tableau1[[#This Row],[Total Item Quantity]])</f>
        <v/>
      </c>
      <c r="Z59" s="167" t="str">
        <f>IF(ISNA(VLOOKUP(Tableau1[[#This Row],[Unique_AIB_ID]],UO_List[Unique_AIB_ID],1,FALSE)),IF(ISBLANK(Tableau1[[#This Row],[PO Number (Header)]]),"","FAUX"),"VRAI")</f>
        <v/>
      </c>
      <c r="AA59" s="167"/>
      <c r="AB59" s="162" t="e">
        <f>VLOOKUP(Tableau1[[#This Row],[Unique_AIB_ID]],UO_List[[Unique_AIB_ID]:[OLGA F6]],3,FALSE)</f>
        <v>#N/A</v>
      </c>
      <c r="AC59" s="162" t="s">
        <v>778</v>
      </c>
      <c r="AD59" s="83">
        <f>SUMPRODUCT(1*(EXACT(CONCATENATE(Tableau1[[#This Row],[PO Number (Header)]],"-",Tableau1[[#This Row],[Line]]),UO_List[Unique_AIB_ID]))*(UO_List[Qté Réception 03/2020]))</f>
        <v>0</v>
      </c>
      <c r="AE59" s="84"/>
      <c r="AF59" s="357"/>
      <c r="AG59" s="351" t="str">
        <f>IFERROR(Tableau1[[#This Row],[Qté Facturé 01/2018]]*Tableau1[[#This Row],[Unit Price (calcul)]],"")</f>
        <v/>
      </c>
      <c r="AH59" s="356" t="str">
        <f>IFERROR(IF(Tableau1[[#This Row],[Montant Facturé 01/2018]]&gt;0,Tableau1[[#This Row],[Montant Facturé 01/2018]]/Taux_Change_SII,""),"")</f>
        <v/>
      </c>
      <c r="AI59" s="351"/>
      <c r="AJ59" s="83">
        <f>SUMPRODUCT(1*(EXACT(CONCATENATE(Tableau1[[#This Row],[PO Number (Header)]],"-",Tableau1[[#This Row],[Line]]),UO_List[Unique_AIB_ID]))*(UO_List[Qté Réception 02/2020]))</f>
        <v>0</v>
      </c>
      <c r="AK59" s="83">
        <f>SUMPRODUCT(1*(EXACT(CONCATENATE(Tableau1[[#This Row],[PO Number (Header)]],"-",Tableau1[[#This Row],[Line]]),UO_List[Unique_AIB_ID]))*(UO_List[Qté Réception 02/2020]))</f>
        <v>0</v>
      </c>
      <c r="AL59" s="357"/>
      <c r="AM59" s="351" t="str">
        <f>IFERROR(Tableau1[[#This Row],[Qté Facturé 02/2018]]*Tableau1[[#This Row],[Unit Price (calcul)]],"")</f>
        <v/>
      </c>
      <c r="AN59" s="351" t="str">
        <f>IFERROR(IF(Tableau1[[#This Row],[Montant Facturé 02/2018]]&gt;0,Tableau1[[#This Row],[Montant Facturé 02/2018]]/Taux_Change_SII,""),"")</f>
        <v/>
      </c>
      <c r="AO59" s="351"/>
      <c r="AP59" s="83">
        <f>SUMPRODUCT(1*(EXACT(CONCATENATE(Tableau1[[#This Row],[PO Number (Header)]],"-",Tableau1[[#This Row],[Line]]),UO_List[Unique_AIB_ID]))*(UO_List[Qté Réception 00/2020]))</f>
        <v>0</v>
      </c>
      <c r="AQ59" s="84">
        <v>0</v>
      </c>
      <c r="AR59" s="357"/>
      <c r="AS59" s="351" t="str">
        <f>IFERROR(Tableau1[[#This Row],[Qté Facturé 03/2018]]*Tableau1[[#This Row],[Unit Price (calcul)]],"")</f>
        <v/>
      </c>
      <c r="AT59" s="351" t="str">
        <f>IFERROR(IF(Tableau1[[#This Row],[Montant Facturé 03/2018]]&gt;0,Tableau1[[#This Row],[Montant Facturé 03/2018]]/Taux_Change_SII,""),"")</f>
        <v/>
      </c>
      <c r="AU59" s="351"/>
      <c r="AV59" s="83">
        <f>SUMPRODUCT(1*(EXACT(CONCATENATE(Tableau1[[#This Row],[PO Number (Header)]],"-",Tableau1[[#This Row],[Line]]),UO_List[Unique_AIB_ID]))*(UO_List[Qté Réception 04/2020]))</f>
        <v>0</v>
      </c>
      <c r="AW59" s="84">
        <v>0</v>
      </c>
      <c r="AX59" s="351"/>
      <c r="AY59" s="351" t="str">
        <f>IFERROR(Tableau1[[#This Row],[Qté Facturé 04/2018]]*Tableau1[[#This Row],[Unit Price (calcul)]],"")</f>
        <v/>
      </c>
      <c r="AZ59" s="351" t="str">
        <f>IFERROR(IF(Tableau1[[#This Row],[Montant Facturé 04/2018]]&gt;0,Tableau1[[#This Row],[Montant Facturé 04/2018]]/Taux_Change_SII,""),"")</f>
        <v/>
      </c>
      <c r="BA59" s="351"/>
      <c r="BB59" s="83">
        <f>SUMPRODUCT(1*(EXACT(CONCATENATE(Tableau1[[#This Row],[PO Number (Header)]],"-",Tableau1[[#This Row],[Line]]),UO_List[Unique_AIB_ID]))*(UO_List[Qté Réception 05/2020]))</f>
        <v>0</v>
      </c>
      <c r="BC59" s="84"/>
      <c r="BD59" s="351"/>
      <c r="BE59" s="351" t="str">
        <f>IFERROR(Tableau1[[#This Row],[Qté Facturé 05/2018]]*Tableau1[[#This Row],[Unit Price (calcul)]],"")</f>
        <v/>
      </c>
      <c r="BF59" s="351" t="str">
        <f>IFERROR(IF(Tableau1[[#This Row],[Montant Facturé 05/2018]]&gt;0,Tableau1[[#This Row],[Montant Facturé 05/2018]]/Taux_Change_SII,""),"")</f>
        <v/>
      </c>
      <c r="BG59" s="351"/>
      <c r="BH59" s="83">
        <f>SUMPRODUCT(1*(EXACT(CONCATENATE(Tableau1[[#This Row],[PO Number (Header)]],"-",Tableau1[[#This Row],[Line]]),UO_List[Unique_AIB_ID]))*(UO_List[Qté Réception 06/2020]))</f>
        <v>0</v>
      </c>
      <c r="BI59" s="84"/>
      <c r="BJ59" s="351"/>
      <c r="BK59" s="351" t="str">
        <f>IFERROR(Tableau1[[#This Row],[Qté Facturé 06/2018]]*Tableau1[[#This Row],[Unit Price (calcul)]],"")</f>
        <v/>
      </c>
      <c r="BL59" s="351" t="str">
        <f>IFERROR(IF(Tableau1[[#This Row],[Montant Facturé 06/2018]]&gt;0,Tableau1[[#This Row],[Montant Facturé 06/2018]]/Taux_Change_SII,""),"")</f>
        <v/>
      </c>
      <c r="BM59" s="351"/>
      <c r="BN59" s="83">
        <f>SUMPRODUCT(1*(EXACT(CONCATENATE(Tableau1[[#This Row],[PO Number (Header)]],"-",Tableau1[[#This Row],[Line]]),UO_List[Unique_AIB_ID]))*(UO_List[Qté Réception 07/2020]))</f>
        <v>0</v>
      </c>
      <c r="BO59" s="84">
        <v>0</v>
      </c>
      <c r="BP59" s="351"/>
      <c r="BQ59" s="351" t="str">
        <f>IFERROR(Tableau1[[#This Row],[Qté Facturé 07/2018]]*Tableau1[[#This Row],[Unit Price (calcul)]],"")</f>
        <v/>
      </c>
      <c r="BR59" s="351" t="str">
        <f>IFERROR(IF(Tableau1[[#This Row],[Montant Facturé 07/2018]]&gt;0,Tableau1[[#This Row],[Montant Facturé 07/2018]]/Taux_Change_SII,""),"")</f>
        <v/>
      </c>
      <c r="BS59" s="351"/>
      <c r="BT59" s="83">
        <f>SUMPRODUCT(1*(EXACT(CONCATENATE(Tableau1[[#This Row],[PO Number (Header)]],"-",Tableau1[[#This Row],[Line]]),UO_List[Unique_AIB_ID]))*(UO_List[Qté Réception 08/2020]))</f>
        <v>0</v>
      </c>
      <c r="BU59" s="84"/>
      <c r="BV59" s="351"/>
      <c r="BW59" s="351" t="str">
        <f>IFERROR(Tableau1[[#This Row],[Qté Facturé 08/2018]]*Tableau1[[#This Row],[Unit Price (calcul)]],"")</f>
        <v/>
      </c>
      <c r="BX59" s="351" t="str">
        <f>IFERROR(IF(Tableau1[[#This Row],[Montant Facturé 08/2018]]&gt;0,Tableau1[[#This Row],[Montant Facturé 08/2018]]/Taux_Change_SII,""),"")</f>
        <v/>
      </c>
      <c r="BY59" s="351"/>
      <c r="BZ59" s="83">
        <f>SUMPRODUCT(1*(EXACT(CONCATENATE(Tableau1[[#This Row],[PO Number (Header)]],"-",Tableau1[[#This Row],[Line]]),UO_List[Unique_AIB_ID]))*(UO_List[Qté Réception 09/2020]))</f>
        <v>0</v>
      </c>
      <c r="CA59" s="84">
        <v>0</v>
      </c>
      <c r="CB59" s="351"/>
      <c r="CC59" s="351" t="str">
        <f>IFERROR(Tableau1[[#This Row],[Qté Facturé 09/2018]]*Tableau1[[#This Row],[Unit Price (calcul)]],"")</f>
        <v/>
      </c>
      <c r="CD59" s="351" t="str">
        <f>IFERROR(IF(Tableau1[[#This Row],[Montant Facturé 09/2018]]&gt;0,Tableau1[[#This Row],[Montant Facturé 09/2018]]/Taux_Change_SII,""),"")</f>
        <v/>
      </c>
      <c r="CE59" s="351"/>
      <c r="CF59" s="83">
        <f>SUMPRODUCT(1*(EXACT(CONCATENATE(Tableau1[[#This Row],[PO Number (Header)]],"-",Tableau1[[#This Row],[Line]]),UO_List[Unique_AIB_ID]))*(UO_List[Qté Réception 10/2020]))</f>
        <v>0</v>
      </c>
      <c r="CG59" s="84">
        <v>0</v>
      </c>
      <c r="CH59" s="351"/>
      <c r="CI59" s="351" t="str">
        <f>IFERROR(Tableau1[[#This Row],[Qté Facturé 10/2018]]*Tableau1[[#This Row],[Unit Price (calcul)]],"")</f>
        <v/>
      </c>
      <c r="CJ59" s="351" t="str">
        <f>IFERROR(IF(Tableau1[[#This Row],[Montant Facturé 10/2018]]&gt;0,Tableau1[[#This Row],[Montant Facturé 10/2018]]/Taux_Change_SII,""),"")</f>
        <v/>
      </c>
      <c r="CK59" s="351"/>
      <c r="CL59" s="83">
        <f>SUMPRODUCT(1*(EXACT(CONCATENATE(Tableau1[[#This Row],[PO Number (Header)]],"-",Tableau1[[#This Row],[Line]]),UO_List[Unique_AIB_ID]))*(UO_List[Qté Réception 11/2020]))</f>
        <v>0</v>
      </c>
      <c r="CM59" s="84"/>
      <c r="CN59" s="351"/>
      <c r="CO59" s="351" t="str">
        <f>IFERROR(Tableau1[[#This Row],[Qté Facturé 11/2018]]*Tableau1[[#This Row],[Unit Price (calcul)]],"")</f>
        <v/>
      </c>
      <c r="CP59" s="351" t="str">
        <f>IFERROR(IF(Tableau1[[#This Row],[Montant Facturé 11/2018]]&gt;0,Tableau1[[#This Row],[Montant Facturé 11/2018]]/Taux_Change_SII,""),"")</f>
        <v/>
      </c>
      <c r="CQ59" s="351"/>
      <c r="CR59" s="83">
        <f>SUMPRODUCT(1*(EXACT(CONCATENATE(Tableau1[[#This Row],[PO Number (Header)]],"-",Tableau1[[#This Row],[Line]]),UO_List[Unique_AIB_ID]))*(UO_List[Qté Réception 12/2020]))</f>
        <v>0</v>
      </c>
      <c r="CS59" s="84"/>
      <c r="CT59" s="351"/>
      <c r="CU59" s="351" t="str">
        <f>IFERROR(Tableau1[[#This Row],[Qté Facturé 12/2018]]*Tableau1[[#This Row],[Unit Price (calcul)]],"")</f>
        <v/>
      </c>
      <c r="CV59" s="351" t="str">
        <f>IFERROR(IF(Tableau1[[#This Row],[Montant Facturé 12/2018]]&gt;0,Tableau1[[#This Row],[Montant Facturé 12/2018]]/Taux_Change_SII,""),"")</f>
        <v/>
      </c>
      <c r="CW59" s="351"/>
      <c r="CX5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5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5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59" s="352" t="str">
        <f>IFERROR(Tableau1[[#This Row],[Total item réceptionné]]*Tableau1[[#This Row],[Unit Price (calcul)]],"")</f>
        <v/>
      </c>
      <c r="DB59" s="352" t="str">
        <f>IFERROR(Tableau1[[#This Row],[Total item à Facturer]]*Tableau1[[#This Row],[Unit Price (calcul)]],"")</f>
        <v/>
      </c>
      <c r="DC5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59" s="352" t="str">
        <f>IFERROR(Tableau1[[#This Row],[Line Total]]-Tableau1[[#This Row],[Total Price Réceptionné]],"")</f>
        <v/>
      </c>
      <c r="DE59" s="352" t="str">
        <f>IFERROR(Tableau1[[#This Row],[Total Price Réceptionné]]-Tableau1[[#This Row],[Total Price A facturer]],"")</f>
        <v/>
      </c>
      <c r="DF59" s="353" t="str">
        <f>IFERROR(Tableau1[[#This Row],[Total Price A facturer]]-Tableau1[[#This Row],[Total Price Facturé]],"")</f>
        <v/>
      </c>
      <c r="DG59" s="76">
        <f>Tableau1[[#This Row],[Total Item Quantity]]-Tableau1[[#This Row],[Total item réceptionné]]</f>
        <v>0</v>
      </c>
      <c r="DH59" s="167"/>
      <c r="DI59" s="167"/>
    </row>
    <row r="60" spans="1:113" s="74" customFormat="1">
      <c r="A60" s="77" t="str">
        <f>CONCATENATE(Tableau1[[#This Row],[PO Number (Header)]],"-",Tableau1[[#This Row],[Line]])</f>
        <v>-</v>
      </c>
      <c r="B60" s="396"/>
      <c r="C60" s="440"/>
      <c r="D60" s="441"/>
      <c r="E60" s="440"/>
      <c r="F60" s="440"/>
      <c r="G60" s="440"/>
      <c r="H60" s="442"/>
      <c r="I60" s="443"/>
      <c r="J60" s="443"/>
      <c r="K60" s="444"/>
      <c r="L60" s="444"/>
      <c r="M60" s="443"/>
      <c r="N60" s="77"/>
      <c r="O60" s="101"/>
      <c r="P60" s="77"/>
      <c r="Q60" s="395"/>
      <c r="R60" s="395"/>
      <c r="S60" s="77"/>
      <c r="T60" s="77"/>
      <c r="U60" s="77"/>
      <c r="V60" s="77"/>
      <c r="W60" s="167"/>
      <c r="X60" s="167"/>
      <c r="Y60" s="167" t="str">
        <f>IF(ISBLANK(Tableau1[[#This Row],[PO Number (Header)]]),"",Tableau1[[#This Row],[Line Total]]/Tableau1[[#This Row],[Total Item Quantity]])</f>
        <v/>
      </c>
      <c r="Z60" s="167" t="str">
        <f>IF(ISNA(VLOOKUP(Tableau1[[#This Row],[Unique_AIB_ID]],UO_List[Unique_AIB_ID],1,FALSE)),IF(ISBLANK(Tableau1[[#This Row],[PO Number (Header)]]),"","FAUX"),"VRAI")</f>
        <v/>
      </c>
      <c r="AA60" s="167"/>
      <c r="AB60" s="162" t="e">
        <f>VLOOKUP(Tableau1[[#This Row],[Unique_AIB_ID]],UO_List[[Unique_AIB_ID]:[OLGA F6]],3,FALSE)</f>
        <v>#N/A</v>
      </c>
      <c r="AC60" s="162" t="s">
        <v>778</v>
      </c>
      <c r="AD60" s="83">
        <f>SUMPRODUCT(1*(EXACT(CONCATENATE(Tableau1[[#This Row],[PO Number (Header)]],"-",Tableau1[[#This Row],[Line]]),UO_List[Unique_AIB_ID]))*(UO_List[Qté Réception 03/2020]))</f>
        <v>0</v>
      </c>
      <c r="AE60" s="84"/>
      <c r="AF60" s="357"/>
      <c r="AG60" s="351" t="str">
        <f>IFERROR(Tableau1[[#This Row],[Qté Facturé 01/2018]]*Tableau1[[#This Row],[Unit Price (calcul)]],"")</f>
        <v/>
      </c>
      <c r="AH60" s="356" t="str">
        <f>IFERROR(IF(Tableau1[[#This Row],[Montant Facturé 01/2018]]&gt;0,Tableau1[[#This Row],[Montant Facturé 01/2018]]/Taux_Change_SII,""),"")</f>
        <v/>
      </c>
      <c r="AI60" s="351"/>
      <c r="AJ60" s="83">
        <f>SUMPRODUCT(1*(EXACT(CONCATENATE(Tableau1[[#This Row],[PO Number (Header)]],"-",Tableau1[[#This Row],[Line]]),UO_List[Unique_AIB_ID]))*(UO_List[Qté Réception 02/2020]))</f>
        <v>0</v>
      </c>
      <c r="AK60" s="83">
        <f>SUMPRODUCT(1*(EXACT(CONCATENATE(Tableau1[[#This Row],[PO Number (Header)]],"-",Tableau1[[#This Row],[Line]]),UO_List[Unique_AIB_ID]))*(UO_List[Qté Réception 02/2020]))</f>
        <v>0</v>
      </c>
      <c r="AL60" s="357"/>
      <c r="AM60" s="351" t="str">
        <f>IFERROR(Tableau1[[#This Row],[Qté Facturé 02/2018]]*Tableau1[[#This Row],[Unit Price (calcul)]],"")</f>
        <v/>
      </c>
      <c r="AN60" s="351" t="str">
        <f>IFERROR(IF(Tableau1[[#This Row],[Montant Facturé 02/2018]]&gt;0,Tableau1[[#This Row],[Montant Facturé 02/2018]]/Taux_Change_SII,""),"")</f>
        <v/>
      </c>
      <c r="AO60" s="351"/>
      <c r="AP60" s="83">
        <f>SUMPRODUCT(1*(EXACT(CONCATENATE(Tableau1[[#This Row],[PO Number (Header)]],"-",Tableau1[[#This Row],[Line]]),UO_List[Unique_AIB_ID]))*(UO_List[Qté Réception 00/2020]))</f>
        <v>0</v>
      </c>
      <c r="AQ60" s="84">
        <v>0</v>
      </c>
      <c r="AR60" s="357"/>
      <c r="AS60" s="351" t="str">
        <f>IFERROR(Tableau1[[#This Row],[Qté Facturé 03/2018]]*Tableau1[[#This Row],[Unit Price (calcul)]],"")</f>
        <v/>
      </c>
      <c r="AT60" s="351" t="str">
        <f>IFERROR(IF(Tableau1[[#This Row],[Montant Facturé 03/2018]]&gt;0,Tableau1[[#This Row],[Montant Facturé 03/2018]]/Taux_Change_SII,""),"")</f>
        <v/>
      </c>
      <c r="AU60" s="351"/>
      <c r="AV60" s="83">
        <f>SUMPRODUCT(1*(EXACT(CONCATENATE(Tableau1[[#This Row],[PO Number (Header)]],"-",Tableau1[[#This Row],[Line]]),UO_List[Unique_AIB_ID]))*(UO_List[Qté Réception 04/2020]))</f>
        <v>0</v>
      </c>
      <c r="AW60" s="84"/>
      <c r="AX60" s="351"/>
      <c r="AY60" s="351" t="str">
        <f>IFERROR(Tableau1[[#This Row],[Qté Facturé 04/2018]]*Tableau1[[#This Row],[Unit Price (calcul)]],"")</f>
        <v/>
      </c>
      <c r="AZ60" s="351" t="str">
        <f>IFERROR(IF(Tableau1[[#This Row],[Montant Facturé 04/2018]]&gt;0,Tableau1[[#This Row],[Montant Facturé 04/2018]]/Taux_Change_SII,""),"")</f>
        <v/>
      </c>
      <c r="BA60" s="351"/>
      <c r="BB60" s="83">
        <f>SUMPRODUCT(1*(EXACT(CONCATENATE(Tableau1[[#This Row],[PO Number (Header)]],"-",Tableau1[[#This Row],[Line]]),UO_List[Unique_AIB_ID]))*(UO_List[Qté Réception 05/2020]))</f>
        <v>0</v>
      </c>
      <c r="BC60" s="84"/>
      <c r="BD60" s="351"/>
      <c r="BE60" s="351" t="str">
        <f>IFERROR(Tableau1[[#This Row],[Qté Facturé 05/2018]]*Tableau1[[#This Row],[Unit Price (calcul)]],"")</f>
        <v/>
      </c>
      <c r="BF60" s="351" t="str">
        <f>IFERROR(IF(Tableau1[[#This Row],[Montant Facturé 05/2018]]&gt;0,Tableau1[[#This Row],[Montant Facturé 05/2018]]/Taux_Change_SII,""),"")</f>
        <v/>
      </c>
      <c r="BG60" s="351"/>
      <c r="BH60" s="83">
        <f>SUMPRODUCT(1*(EXACT(CONCATENATE(Tableau1[[#This Row],[PO Number (Header)]],"-",Tableau1[[#This Row],[Line]]),UO_List[Unique_AIB_ID]))*(UO_List[Qté Réception 06/2020]))</f>
        <v>0</v>
      </c>
      <c r="BI60" s="84"/>
      <c r="BJ60" s="351"/>
      <c r="BK60" s="351" t="str">
        <f>IFERROR(Tableau1[[#This Row],[Qté Facturé 06/2018]]*Tableau1[[#This Row],[Unit Price (calcul)]],"")</f>
        <v/>
      </c>
      <c r="BL60" s="351" t="str">
        <f>IFERROR(IF(Tableau1[[#This Row],[Montant Facturé 06/2018]]&gt;0,Tableau1[[#This Row],[Montant Facturé 06/2018]]/Taux_Change_SII,""),"")</f>
        <v/>
      </c>
      <c r="BM60" s="351"/>
      <c r="BN60" s="83">
        <f>SUMPRODUCT(1*(EXACT(CONCATENATE(Tableau1[[#This Row],[PO Number (Header)]],"-",Tableau1[[#This Row],[Line]]),UO_List[Unique_AIB_ID]))*(UO_List[Qté Réception 07/2020]))</f>
        <v>0</v>
      </c>
      <c r="BO60" s="84">
        <v>0</v>
      </c>
      <c r="BP60" s="351"/>
      <c r="BQ60" s="351" t="str">
        <f>IFERROR(Tableau1[[#This Row],[Qté Facturé 07/2018]]*Tableau1[[#This Row],[Unit Price (calcul)]],"")</f>
        <v/>
      </c>
      <c r="BR60" s="351" t="str">
        <f>IFERROR(IF(Tableau1[[#This Row],[Montant Facturé 07/2018]]&gt;0,Tableau1[[#This Row],[Montant Facturé 07/2018]]/Taux_Change_SII,""),"")</f>
        <v/>
      </c>
      <c r="BS60" s="351"/>
      <c r="BT60" s="83">
        <f>SUMPRODUCT(1*(EXACT(CONCATENATE(Tableau1[[#This Row],[PO Number (Header)]],"-",Tableau1[[#This Row],[Line]]),UO_List[Unique_AIB_ID]))*(UO_List[Qté Réception 08/2020]))</f>
        <v>0</v>
      </c>
      <c r="BU60" s="84"/>
      <c r="BV60" s="351"/>
      <c r="BW60" s="351" t="str">
        <f>IFERROR(Tableau1[[#This Row],[Qté Facturé 08/2018]]*Tableau1[[#This Row],[Unit Price (calcul)]],"")</f>
        <v/>
      </c>
      <c r="BX60" s="351" t="str">
        <f>IFERROR(IF(Tableau1[[#This Row],[Montant Facturé 08/2018]]&gt;0,Tableau1[[#This Row],[Montant Facturé 08/2018]]/Taux_Change_SII,""),"")</f>
        <v/>
      </c>
      <c r="BY60" s="351"/>
      <c r="BZ60" s="83">
        <f>SUMPRODUCT(1*(EXACT(CONCATENATE(Tableau1[[#This Row],[PO Number (Header)]],"-",Tableau1[[#This Row],[Line]]),UO_List[Unique_AIB_ID]))*(UO_List[Qté Réception 09/2020]))</f>
        <v>0</v>
      </c>
      <c r="CA60" s="84">
        <v>0</v>
      </c>
      <c r="CB60" s="351"/>
      <c r="CC60" s="351" t="str">
        <f>IFERROR(Tableau1[[#This Row],[Qté Facturé 09/2018]]*Tableau1[[#This Row],[Unit Price (calcul)]],"")</f>
        <v/>
      </c>
      <c r="CD60" s="351" t="str">
        <f>IFERROR(IF(Tableau1[[#This Row],[Montant Facturé 09/2018]]&gt;0,Tableau1[[#This Row],[Montant Facturé 09/2018]]/Taux_Change_SII,""),"")</f>
        <v/>
      </c>
      <c r="CE60" s="351"/>
      <c r="CF60" s="83">
        <f>SUMPRODUCT(1*(EXACT(CONCATENATE(Tableau1[[#This Row],[PO Number (Header)]],"-",Tableau1[[#This Row],[Line]]),UO_List[Unique_AIB_ID]))*(UO_List[Qté Réception 10/2020]))</f>
        <v>0</v>
      </c>
      <c r="CG60" s="84">
        <v>0</v>
      </c>
      <c r="CH60" s="351"/>
      <c r="CI60" s="351" t="str">
        <f>IFERROR(Tableau1[[#This Row],[Qté Facturé 10/2018]]*Tableau1[[#This Row],[Unit Price (calcul)]],"")</f>
        <v/>
      </c>
      <c r="CJ60" s="351" t="str">
        <f>IFERROR(IF(Tableau1[[#This Row],[Montant Facturé 10/2018]]&gt;0,Tableau1[[#This Row],[Montant Facturé 10/2018]]/Taux_Change_SII,""),"")</f>
        <v/>
      </c>
      <c r="CK60" s="351"/>
      <c r="CL60" s="83">
        <f>SUMPRODUCT(1*(EXACT(CONCATENATE(Tableau1[[#This Row],[PO Number (Header)]],"-",Tableau1[[#This Row],[Line]]),UO_List[Unique_AIB_ID]))*(UO_List[Qté Réception 11/2020]))</f>
        <v>0</v>
      </c>
      <c r="CM60" s="84"/>
      <c r="CN60" s="351"/>
      <c r="CO60" s="351" t="str">
        <f>IFERROR(Tableau1[[#This Row],[Qté Facturé 11/2018]]*Tableau1[[#This Row],[Unit Price (calcul)]],"")</f>
        <v/>
      </c>
      <c r="CP60" s="351" t="str">
        <f>IFERROR(IF(Tableau1[[#This Row],[Montant Facturé 11/2018]]&gt;0,Tableau1[[#This Row],[Montant Facturé 11/2018]]/Taux_Change_SII,""),"")</f>
        <v/>
      </c>
      <c r="CQ60" s="351"/>
      <c r="CR60" s="83">
        <f>SUMPRODUCT(1*(EXACT(CONCATENATE(Tableau1[[#This Row],[PO Number (Header)]],"-",Tableau1[[#This Row],[Line]]),UO_List[Unique_AIB_ID]))*(UO_List[Qté Réception 12/2020]))</f>
        <v>0</v>
      </c>
      <c r="CS60" s="84"/>
      <c r="CT60" s="351"/>
      <c r="CU60" s="351" t="str">
        <f>IFERROR(Tableau1[[#This Row],[Qté Facturé 12/2018]]*Tableau1[[#This Row],[Unit Price (calcul)]],"")</f>
        <v/>
      </c>
      <c r="CV60" s="351" t="str">
        <f>IFERROR(IF(Tableau1[[#This Row],[Montant Facturé 12/2018]]&gt;0,Tableau1[[#This Row],[Montant Facturé 12/2018]]/Taux_Change_SII,""),"")</f>
        <v/>
      </c>
      <c r="CW60" s="351"/>
      <c r="CX6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0" s="352" t="str">
        <f>IFERROR(Tableau1[[#This Row],[Total item réceptionné]]*Tableau1[[#This Row],[Unit Price (calcul)]],"")</f>
        <v/>
      </c>
      <c r="DB60" s="352" t="str">
        <f>IFERROR(Tableau1[[#This Row],[Total item à Facturer]]*Tableau1[[#This Row],[Unit Price (calcul)]],"")</f>
        <v/>
      </c>
      <c r="DC6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0" s="352" t="str">
        <f>IFERROR(Tableau1[[#This Row],[Line Total]]-Tableau1[[#This Row],[Total Price Réceptionné]],"")</f>
        <v/>
      </c>
      <c r="DE60" s="352" t="str">
        <f>IFERROR(Tableau1[[#This Row],[Total Price Réceptionné]]-Tableau1[[#This Row],[Total Price A facturer]],"")</f>
        <v/>
      </c>
      <c r="DF60" s="353" t="str">
        <f>IFERROR(Tableau1[[#This Row],[Total Price A facturer]]-Tableau1[[#This Row],[Total Price Facturé]],"")</f>
        <v/>
      </c>
      <c r="DG60" s="76">
        <f>Tableau1[[#This Row],[Total Item Quantity]]-Tableau1[[#This Row],[Total item réceptionné]]</f>
        <v>0</v>
      </c>
      <c r="DH60" s="167"/>
      <c r="DI60" s="167"/>
    </row>
    <row r="61" spans="1:113" s="74" customFormat="1">
      <c r="A61" s="77" t="str">
        <f>CONCATENATE(Tableau1[[#This Row],[PO Number (Header)]],"-",Tableau1[[#This Row],[Line]])</f>
        <v>-</v>
      </c>
      <c r="B61" s="407"/>
      <c r="C61" s="445"/>
      <c r="D61" s="446"/>
      <c r="E61" s="445"/>
      <c r="F61" s="445"/>
      <c r="G61" s="445"/>
      <c r="H61" s="445"/>
      <c r="I61" s="445"/>
      <c r="J61" s="445"/>
      <c r="K61" s="445"/>
      <c r="L61" s="445"/>
      <c r="M61" s="445"/>
      <c r="N61" s="77"/>
      <c r="O61" s="77"/>
      <c r="P61" s="77"/>
      <c r="Q61" s="395"/>
      <c r="R61" s="395"/>
      <c r="S61" s="77"/>
      <c r="T61" s="77"/>
      <c r="U61" s="77"/>
      <c r="V61" s="77"/>
      <c r="W61" s="167"/>
      <c r="X61" s="167"/>
      <c r="Y61" s="167" t="str">
        <f>IF(ISBLANK(Tableau1[[#This Row],[PO Number (Header)]]),"",Tableau1[[#This Row],[Line Total]]/Tableau1[[#This Row],[Total Item Quantity]])</f>
        <v/>
      </c>
      <c r="Z61" s="167" t="str">
        <f>IF(ISNA(VLOOKUP(Tableau1[[#This Row],[Unique_AIB_ID]],UO_List[Unique_AIB_ID],1,FALSE)),IF(ISBLANK(Tableau1[[#This Row],[PO Number (Header)]]),"","FAUX"),"VRAI")</f>
        <v/>
      </c>
      <c r="AA61" s="167"/>
      <c r="AB61" s="162" t="e">
        <f>VLOOKUP(Tableau1[[#This Row],[Unique_AIB_ID]],UO_List[[Unique_AIB_ID]:[OLGA F6]],3,FALSE)</f>
        <v>#N/A</v>
      </c>
      <c r="AC61" s="162" t="s">
        <v>779</v>
      </c>
      <c r="AD61" s="83">
        <f>SUMPRODUCT(1*(EXACT(CONCATENATE(Tableau1[[#This Row],[PO Number (Header)]],"-",Tableau1[[#This Row],[Line]]),UO_List[Unique_AIB_ID]))*(UO_List[Qté Réception 03/2020]))</f>
        <v>0</v>
      </c>
      <c r="AE61" s="84"/>
      <c r="AF61" s="357"/>
      <c r="AG61" s="351" t="str">
        <f>IFERROR(Tableau1[[#This Row],[Qté Facturé 01/2018]]*Tableau1[[#This Row],[Unit Price (calcul)]],"")</f>
        <v/>
      </c>
      <c r="AH61" s="356" t="str">
        <f>IFERROR(IF(Tableau1[[#This Row],[Montant Facturé 01/2018]]&gt;0,Tableau1[[#This Row],[Montant Facturé 01/2018]]/Taux_Change_SII,""),"")</f>
        <v/>
      </c>
      <c r="AI61" s="351"/>
      <c r="AJ61" s="83">
        <f>SUMPRODUCT(1*(EXACT(CONCATENATE(Tableau1[[#This Row],[PO Number (Header)]],"-",Tableau1[[#This Row],[Line]]),UO_List[Unique_AIB_ID]))*(UO_List[Qté Réception 02/2020]))</f>
        <v>0</v>
      </c>
      <c r="AK61" s="83">
        <f>SUMPRODUCT(1*(EXACT(CONCATENATE(Tableau1[[#This Row],[PO Number (Header)]],"-",Tableau1[[#This Row],[Line]]),UO_List[Unique_AIB_ID]))*(UO_List[Qté Réception 02/2020]))</f>
        <v>0</v>
      </c>
      <c r="AL61" s="357"/>
      <c r="AM61" s="351" t="str">
        <f>IFERROR(Tableau1[[#This Row],[Qté Facturé 02/2018]]*Tableau1[[#This Row],[Unit Price (calcul)]],"")</f>
        <v/>
      </c>
      <c r="AN61" s="351" t="str">
        <f>IFERROR(IF(Tableau1[[#This Row],[Montant Facturé 02/2018]]&gt;0,Tableau1[[#This Row],[Montant Facturé 02/2018]]/Taux_Change_SII,""),"")</f>
        <v/>
      </c>
      <c r="AO61" s="351"/>
      <c r="AP61" s="83">
        <f>SUMPRODUCT(1*(EXACT(CONCATENATE(Tableau1[[#This Row],[PO Number (Header)]],"-",Tableau1[[#This Row],[Line]]),UO_List[Unique_AIB_ID]))*(UO_List[Qté Réception 00/2020]))</f>
        <v>0</v>
      </c>
      <c r="AQ61" s="84">
        <v>0</v>
      </c>
      <c r="AR61" s="357"/>
      <c r="AS61" s="351" t="str">
        <f>IFERROR(Tableau1[[#This Row],[Qté Facturé 03/2018]]*Tableau1[[#This Row],[Unit Price (calcul)]],"")</f>
        <v/>
      </c>
      <c r="AT61" s="351" t="str">
        <f>IFERROR(IF(Tableau1[[#This Row],[Montant Facturé 03/2018]]&gt;0,Tableau1[[#This Row],[Montant Facturé 03/2018]]/Taux_Change_SII,""),"")</f>
        <v/>
      </c>
      <c r="AU61" s="351"/>
      <c r="AV61" s="83">
        <f>SUMPRODUCT(1*(EXACT(CONCATENATE(Tableau1[[#This Row],[PO Number (Header)]],"-",Tableau1[[#This Row],[Line]]),UO_List[Unique_AIB_ID]))*(UO_List[Qté Réception 04/2020]))</f>
        <v>0</v>
      </c>
      <c r="AW61" s="84"/>
      <c r="AX61" s="351"/>
      <c r="AY61" s="351" t="str">
        <f>IFERROR(Tableau1[[#This Row],[Qté Facturé 04/2018]]*Tableau1[[#This Row],[Unit Price (calcul)]],"")</f>
        <v/>
      </c>
      <c r="AZ61" s="351" t="str">
        <f>IFERROR(IF(Tableau1[[#This Row],[Montant Facturé 04/2018]]&gt;0,Tableau1[[#This Row],[Montant Facturé 04/2018]]/Taux_Change_SII,""),"")</f>
        <v/>
      </c>
      <c r="BA61" s="351"/>
      <c r="BB61" s="83">
        <f>SUMPRODUCT(1*(EXACT(CONCATENATE(Tableau1[[#This Row],[PO Number (Header)]],"-",Tableau1[[#This Row],[Line]]),UO_List[Unique_AIB_ID]))*(UO_List[Qté Réception 05/2020]))</f>
        <v>0</v>
      </c>
      <c r="BC61" s="84"/>
      <c r="BD61" s="351"/>
      <c r="BE61" s="351" t="str">
        <f>IFERROR(Tableau1[[#This Row],[Qté Facturé 05/2018]]*Tableau1[[#This Row],[Unit Price (calcul)]],"")</f>
        <v/>
      </c>
      <c r="BF61" s="351" t="str">
        <f>IFERROR(IF(Tableau1[[#This Row],[Montant Facturé 05/2018]]&gt;0,Tableau1[[#This Row],[Montant Facturé 05/2018]]/Taux_Change_SII,""),"")</f>
        <v/>
      </c>
      <c r="BG61" s="351"/>
      <c r="BH61" s="83">
        <f>SUMPRODUCT(1*(EXACT(CONCATENATE(Tableau1[[#This Row],[PO Number (Header)]],"-",Tableau1[[#This Row],[Line]]),UO_List[Unique_AIB_ID]))*(UO_List[Qté Réception 06/2020]))</f>
        <v>0</v>
      </c>
      <c r="BI61" s="84">
        <v>0</v>
      </c>
      <c r="BJ61" s="351"/>
      <c r="BK61" s="351" t="str">
        <f>IFERROR(Tableau1[[#This Row],[Qté Facturé 06/2018]]*Tableau1[[#This Row],[Unit Price (calcul)]],"")</f>
        <v/>
      </c>
      <c r="BL61" s="351" t="str">
        <f>IFERROR(IF(Tableau1[[#This Row],[Montant Facturé 06/2018]]&gt;0,Tableau1[[#This Row],[Montant Facturé 06/2018]]/Taux_Change_SII,""),"")</f>
        <v/>
      </c>
      <c r="BM61" s="351"/>
      <c r="BN61" s="83">
        <f>SUMPRODUCT(1*(EXACT(CONCATENATE(Tableau1[[#This Row],[PO Number (Header)]],"-",Tableau1[[#This Row],[Line]]),UO_List[Unique_AIB_ID]))*(UO_List[Qté Réception 07/2020]))</f>
        <v>0</v>
      </c>
      <c r="BO61" s="84">
        <v>0</v>
      </c>
      <c r="BP61" s="351"/>
      <c r="BQ61" s="351" t="str">
        <f>IFERROR(Tableau1[[#This Row],[Qté Facturé 07/2018]]*Tableau1[[#This Row],[Unit Price (calcul)]],"")</f>
        <v/>
      </c>
      <c r="BR61" s="351" t="str">
        <f>IFERROR(IF(Tableau1[[#This Row],[Montant Facturé 07/2018]]&gt;0,Tableau1[[#This Row],[Montant Facturé 07/2018]]/Taux_Change_SII,""),"")</f>
        <v/>
      </c>
      <c r="BS61" s="351"/>
      <c r="BT61" s="83">
        <f>SUMPRODUCT(1*(EXACT(CONCATENATE(Tableau1[[#This Row],[PO Number (Header)]],"-",Tableau1[[#This Row],[Line]]),UO_List[Unique_AIB_ID]))*(UO_List[Qté Réception 08/2020]))</f>
        <v>0</v>
      </c>
      <c r="BU61" s="84"/>
      <c r="BV61" s="351"/>
      <c r="BW61" s="351" t="str">
        <f>IFERROR(Tableau1[[#This Row],[Qté Facturé 08/2018]]*Tableau1[[#This Row],[Unit Price (calcul)]],"")</f>
        <v/>
      </c>
      <c r="BX61" s="351" t="str">
        <f>IFERROR(IF(Tableau1[[#This Row],[Montant Facturé 08/2018]]&gt;0,Tableau1[[#This Row],[Montant Facturé 08/2018]]/Taux_Change_SII,""),"")</f>
        <v/>
      </c>
      <c r="BY61" s="351"/>
      <c r="BZ61" s="83">
        <f>SUMPRODUCT(1*(EXACT(CONCATENATE(Tableau1[[#This Row],[PO Number (Header)]],"-",Tableau1[[#This Row],[Line]]),UO_List[Unique_AIB_ID]))*(UO_List[Qté Réception 09/2020]))</f>
        <v>0</v>
      </c>
      <c r="CA61" s="84">
        <v>0</v>
      </c>
      <c r="CB61" s="351"/>
      <c r="CC61" s="351" t="str">
        <f>IFERROR(Tableau1[[#This Row],[Qté Facturé 09/2018]]*Tableau1[[#This Row],[Unit Price (calcul)]],"")</f>
        <v/>
      </c>
      <c r="CD61" s="351" t="str">
        <f>IFERROR(IF(Tableau1[[#This Row],[Montant Facturé 09/2018]]&gt;0,Tableau1[[#This Row],[Montant Facturé 09/2018]]/Taux_Change_SII,""),"")</f>
        <v/>
      </c>
      <c r="CE61" s="351"/>
      <c r="CF61" s="83">
        <f>SUMPRODUCT(1*(EXACT(CONCATENATE(Tableau1[[#This Row],[PO Number (Header)]],"-",Tableau1[[#This Row],[Line]]),UO_List[Unique_AIB_ID]))*(UO_List[Qté Réception 10/2020]))</f>
        <v>0</v>
      </c>
      <c r="CG61" s="84">
        <v>0</v>
      </c>
      <c r="CH61" s="351"/>
      <c r="CI61" s="351" t="str">
        <f>IFERROR(Tableau1[[#This Row],[Qté Facturé 10/2018]]*Tableau1[[#This Row],[Unit Price (calcul)]],"")</f>
        <v/>
      </c>
      <c r="CJ61" s="351" t="str">
        <f>IFERROR(IF(Tableau1[[#This Row],[Montant Facturé 10/2018]]&gt;0,Tableau1[[#This Row],[Montant Facturé 10/2018]]/Taux_Change_SII,""),"")</f>
        <v/>
      </c>
      <c r="CK61" s="351"/>
      <c r="CL61" s="83">
        <f>SUMPRODUCT(1*(EXACT(CONCATENATE(Tableau1[[#This Row],[PO Number (Header)]],"-",Tableau1[[#This Row],[Line]]),UO_List[Unique_AIB_ID]))*(UO_List[Qté Réception 11/2020]))</f>
        <v>0</v>
      </c>
      <c r="CM61" s="84"/>
      <c r="CN61" s="351"/>
      <c r="CO61" s="351" t="str">
        <f>IFERROR(Tableau1[[#This Row],[Qté Facturé 11/2018]]*Tableau1[[#This Row],[Unit Price (calcul)]],"")</f>
        <v/>
      </c>
      <c r="CP61" s="351" t="str">
        <f>IFERROR(IF(Tableau1[[#This Row],[Montant Facturé 11/2018]]&gt;0,Tableau1[[#This Row],[Montant Facturé 11/2018]]/Taux_Change_SII,""),"")</f>
        <v/>
      </c>
      <c r="CQ61" s="351"/>
      <c r="CR61" s="83">
        <f>SUMPRODUCT(1*(EXACT(CONCATENATE(Tableau1[[#This Row],[PO Number (Header)]],"-",Tableau1[[#This Row],[Line]]),UO_List[Unique_AIB_ID]))*(UO_List[Qté Réception 12/2020]))</f>
        <v>0</v>
      </c>
      <c r="CS61" s="84"/>
      <c r="CT61" s="351"/>
      <c r="CU61" s="351" t="str">
        <f>IFERROR(Tableau1[[#This Row],[Qté Facturé 12/2018]]*Tableau1[[#This Row],[Unit Price (calcul)]],"")</f>
        <v/>
      </c>
      <c r="CV61" s="351" t="str">
        <f>IFERROR(IF(Tableau1[[#This Row],[Montant Facturé 12/2018]]&gt;0,Tableau1[[#This Row],[Montant Facturé 12/2018]]/Taux_Change_SII,""),"")</f>
        <v/>
      </c>
      <c r="CW61" s="351"/>
      <c r="CX6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1" s="352" t="str">
        <f>IFERROR(Tableau1[[#This Row],[Total item réceptionné]]*Tableau1[[#This Row],[Unit Price (calcul)]],"")</f>
        <v/>
      </c>
      <c r="DB61" s="352" t="str">
        <f>IFERROR(Tableau1[[#This Row],[Total item à Facturer]]*Tableau1[[#This Row],[Unit Price (calcul)]],"")</f>
        <v/>
      </c>
      <c r="DC6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1" s="352" t="str">
        <f>IFERROR(Tableau1[[#This Row],[Line Total]]-Tableau1[[#This Row],[Total Price Réceptionné]],"")</f>
        <v/>
      </c>
      <c r="DE61" s="352" t="str">
        <f>IFERROR(Tableau1[[#This Row],[Total Price Réceptionné]]-Tableau1[[#This Row],[Total Price A facturer]],"")</f>
        <v/>
      </c>
      <c r="DF61" s="353" t="str">
        <f>IFERROR(Tableau1[[#This Row],[Total Price A facturer]]-Tableau1[[#This Row],[Total Price Facturé]],"")</f>
        <v/>
      </c>
      <c r="DG61" s="76">
        <f>Tableau1[[#This Row],[Total Item Quantity]]-Tableau1[[#This Row],[Total item réceptionné]]</f>
        <v>0</v>
      </c>
      <c r="DH61" s="167"/>
      <c r="DI61" s="167"/>
    </row>
    <row r="62" spans="1:113" s="74" customFormat="1">
      <c r="A62" s="77" t="str">
        <f>CONCATENATE(Tableau1[[#This Row],[PO Number (Header)]],"-",Tableau1[[#This Row],[Line]])</f>
        <v>-</v>
      </c>
      <c r="B62" s="396"/>
      <c r="D62" s="397"/>
      <c r="N62" s="77"/>
      <c r="O62" s="77"/>
      <c r="P62" s="77"/>
      <c r="Q62" s="395"/>
      <c r="R62" s="395"/>
      <c r="S62" s="77"/>
      <c r="T62" s="77"/>
      <c r="U62" s="77"/>
      <c r="V62" s="77"/>
      <c r="W62" s="167"/>
      <c r="X62" s="167"/>
      <c r="Y62" s="167" t="str">
        <f>IF(ISBLANK(Tableau1[[#This Row],[PO Number (Header)]]),"",Tableau1[[#This Row],[Line Total]]/Tableau1[[#This Row],[Total Item Quantity]])</f>
        <v/>
      </c>
      <c r="Z62" s="167" t="str">
        <f>IF(ISNA(VLOOKUP(Tableau1[[#This Row],[Unique_AIB_ID]],UO_List[Unique_AIB_ID],1,FALSE)),IF(ISBLANK(Tableau1[[#This Row],[PO Number (Header)]]),"","FAUX"),"VRAI")</f>
        <v/>
      </c>
      <c r="AA62" s="167"/>
      <c r="AB62" s="162" t="e">
        <f>VLOOKUP(Tableau1[[#This Row],[Unique_AIB_ID]],UO_List[[Unique_AIB_ID]:[OLGA F6]],3,FALSE)</f>
        <v>#N/A</v>
      </c>
      <c r="AC62" s="162" t="s">
        <v>779</v>
      </c>
      <c r="AD62" s="83">
        <f>SUMPRODUCT(1*(EXACT(CONCATENATE(Tableau1[[#This Row],[PO Number (Header)]],"-",Tableau1[[#This Row],[Line]]),UO_List[Unique_AIB_ID]))*(UO_List[Qté Réception 03/2020]))</f>
        <v>0</v>
      </c>
      <c r="AE62" s="84"/>
      <c r="AF62" s="357"/>
      <c r="AG62" s="351" t="str">
        <f>IFERROR(Tableau1[[#This Row],[Qté Facturé 01/2018]]*Tableau1[[#This Row],[Unit Price (calcul)]],"")</f>
        <v/>
      </c>
      <c r="AH62" s="356" t="str">
        <f>IFERROR(IF(Tableau1[[#This Row],[Montant Facturé 01/2018]]&gt;0,Tableau1[[#This Row],[Montant Facturé 01/2018]]/Taux_Change_SII,""),"")</f>
        <v/>
      </c>
      <c r="AI62" s="351"/>
      <c r="AJ62" s="83">
        <f>SUMPRODUCT(1*(EXACT(CONCATENATE(Tableau1[[#This Row],[PO Number (Header)]],"-",Tableau1[[#This Row],[Line]]),UO_List[Unique_AIB_ID]))*(UO_List[Qté Réception 02/2020]))</f>
        <v>0</v>
      </c>
      <c r="AK62" s="83">
        <f>SUMPRODUCT(1*(EXACT(CONCATENATE(Tableau1[[#This Row],[PO Number (Header)]],"-",Tableau1[[#This Row],[Line]]),UO_List[Unique_AIB_ID]))*(UO_List[Qté Réception 02/2020]))</f>
        <v>0</v>
      </c>
      <c r="AL62" s="357"/>
      <c r="AM62" s="351" t="str">
        <f>IFERROR(Tableau1[[#This Row],[Qté Facturé 02/2018]]*Tableau1[[#This Row],[Unit Price (calcul)]],"")</f>
        <v/>
      </c>
      <c r="AN62" s="351" t="str">
        <f>IFERROR(IF(Tableau1[[#This Row],[Montant Facturé 02/2018]]&gt;0,Tableau1[[#This Row],[Montant Facturé 02/2018]]/Taux_Change_SII,""),"")</f>
        <v/>
      </c>
      <c r="AO62" s="351"/>
      <c r="AP62" s="83">
        <f>SUMPRODUCT(1*(EXACT(CONCATENATE(Tableau1[[#This Row],[PO Number (Header)]],"-",Tableau1[[#This Row],[Line]]),UO_List[Unique_AIB_ID]))*(UO_List[Qté Réception 00/2020]))</f>
        <v>0</v>
      </c>
      <c r="AQ62" s="84">
        <v>0</v>
      </c>
      <c r="AR62" s="357"/>
      <c r="AS62" s="351" t="str">
        <f>IFERROR(Tableau1[[#This Row],[Qté Facturé 03/2018]]*Tableau1[[#This Row],[Unit Price (calcul)]],"")</f>
        <v/>
      </c>
      <c r="AT62" s="351" t="str">
        <f>IFERROR(IF(Tableau1[[#This Row],[Montant Facturé 03/2018]]&gt;0,Tableau1[[#This Row],[Montant Facturé 03/2018]]/Taux_Change_SII,""),"")</f>
        <v/>
      </c>
      <c r="AU62" s="351"/>
      <c r="AV62" s="83">
        <f>SUMPRODUCT(1*(EXACT(CONCATENATE(Tableau1[[#This Row],[PO Number (Header)]],"-",Tableau1[[#This Row],[Line]]),UO_List[Unique_AIB_ID]))*(UO_List[Qté Réception 04/2020]))</f>
        <v>0</v>
      </c>
      <c r="AW62" s="84"/>
      <c r="AX62" s="351"/>
      <c r="AY62" s="351" t="str">
        <f>IFERROR(Tableau1[[#This Row],[Qté Facturé 04/2018]]*Tableau1[[#This Row],[Unit Price (calcul)]],"")</f>
        <v/>
      </c>
      <c r="AZ62" s="351" t="str">
        <f>IFERROR(IF(Tableau1[[#This Row],[Montant Facturé 04/2018]]&gt;0,Tableau1[[#This Row],[Montant Facturé 04/2018]]/Taux_Change_SII,""),"")</f>
        <v/>
      </c>
      <c r="BA62" s="351"/>
      <c r="BB62" s="83">
        <f>SUMPRODUCT(1*(EXACT(CONCATENATE(Tableau1[[#This Row],[PO Number (Header)]],"-",Tableau1[[#This Row],[Line]]),UO_List[Unique_AIB_ID]))*(UO_List[Qté Réception 05/2020]))</f>
        <v>0</v>
      </c>
      <c r="BC62" s="84"/>
      <c r="BD62" s="351"/>
      <c r="BE62" s="351" t="str">
        <f>IFERROR(Tableau1[[#This Row],[Qté Facturé 05/2018]]*Tableau1[[#This Row],[Unit Price (calcul)]],"")</f>
        <v/>
      </c>
      <c r="BF62" s="351" t="str">
        <f>IFERROR(IF(Tableau1[[#This Row],[Montant Facturé 05/2018]]&gt;0,Tableau1[[#This Row],[Montant Facturé 05/2018]]/Taux_Change_SII,""),"")</f>
        <v/>
      </c>
      <c r="BG62" s="351"/>
      <c r="BH62" s="83">
        <f>SUMPRODUCT(1*(EXACT(CONCATENATE(Tableau1[[#This Row],[PO Number (Header)]],"-",Tableau1[[#This Row],[Line]]),UO_List[Unique_AIB_ID]))*(UO_List[Qté Réception 06/2020]))</f>
        <v>0</v>
      </c>
      <c r="BI62" s="84">
        <v>0</v>
      </c>
      <c r="BJ62" s="351"/>
      <c r="BK62" s="351" t="str">
        <f>IFERROR(Tableau1[[#This Row],[Qté Facturé 06/2018]]*Tableau1[[#This Row],[Unit Price (calcul)]],"")</f>
        <v/>
      </c>
      <c r="BL62" s="351" t="str">
        <f>IFERROR(IF(Tableau1[[#This Row],[Montant Facturé 06/2018]]&gt;0,Tableau1[[#This Row],[Montant Facturé 06/2018]]/Taux_Change_SII,""),"")</f>
        <v/>
      </c>
      <c r="BM62" s="351"/>
      <c r="BN62" s="83">
        <f>SUMPRODUCT(1*(EXACT(CONCATENATE(Tableau1[[#This Row],[PO Number (Header)]],"-",Tableau1[[#This Row],[Line]]),UO_List[Unique_AIB_ID]))*(UO_List[Qté Réception 07/2020]))</f>
        <v>0</v>
      </c>
      <c r="BO62" s="84">
        <v>0</v>
      </c>
      <c r="BP62" s="351"/>
      <c r="BQ62" s="351" t="str">
        <f>IFERROR(Tableau1[[#This Row],[Qté Facturé 07/2018]]*Tableau1[[#This Row],[Unit Price (calcul)]],"")</f>
        <v/>
      </c>
      <c r="BR62" s="351" t="str">
        <f>IFERROR(IF(Tableau1[[#This Row],[Montant Facturé 07/2018]]&gt;0,Tableau1[[#This Row],[Montant Facturé 07/2018]]/Taux_Change_SII,""),"")</f>
        <v/>
      </c>
      <c r="BS62" s="351"/>
      <c r="BT62" s="83">
        <f>SUMPRODUCT(1*(EXACT(CONCATENATE(Tableau1[[#This Row],[PO Number (Header)]],"-",Tableau1[[#This Row],[Line]]),UO_List[Unique_AIB_ID]))*(UO_List[Qté Réception 08/2020]))</f>
        <v>0</v>
      </c>
      <c r="BU62" s="84"/>
      <c r="BV62" s="351"/>
      <c r="BW62" s="351" t="str">
        <f>IFERROR(Tableau1[[#This Row],[Qté Facturé 08/2018]]*Tableau1[[#This Row],[Unit Price (calcul)]],"")</f>
        <v/>
      </c>
      <c r="BX62" s="351" t="str">
        <f>IFERROR(IF(Tableau1[[#This Row],[Montant Facturé 08/2018]]&gt;0,Tableau1[[#This Row],[Montant Facturé 08/2018]]/Taux_Change_SII,""),"")</f>
        <v/>
      </c>
      <c r="BY62" s="351"/>
      <c r="BZ62" s="83">
        <f>SUMPRODUCT(1*(EXACT(CONCATENATE(Tableau1[[#This Row],[PO Number (Header)]],"-",Tableau1[[#This Row],[Line]]),UO_List[Unique_AIB_ID]))*(UO_List[Qté Réception 09/2020]))</f>
        <v>0</v>
      </c>
      <c r="CA62" s="84">
        <v>0</v>
      </c>
      <c r="CB62" s="351"/>
      <c r="CC62" s="351" t="str">
        <f>IFERROR(Tableau1[[#This Row],[Qté Facturé 09/2018]]*Tableau1[[#This Row],[Unit Price (calcul)]],"")</f>
        <v/>
      </c>
      <c r="CD62" s="351" t="str">
        <f>IFERROR(IF(Tableau1[[#This Row],[Montant Facturé 09/2018]]&gt;0,Tableau1[[#This Row],[Montant Facturé 09/2018]]/Taux_Change_SII,""),"")</f>
        <v/>
      </c>
      <c r="CE62" s="351"/>
      <c r="CF62" s="83">
        <f>SUMPRODUCT(1*(EXACT(CONCATENATE(Tableau1[[#This Row],[PO Number (Header)]],"-",Tableau1[[#This Row],[Line]]),UO_List[Unique_AIB_ID]))*(UO_List[Qté Réception 10/2020]))</f>
        <v>0</v>
      </c>
      <c r="CG62" s="84">
        <v>0</v>
      </c>
      <c r="CH62" s="351"/>
      <c r="CI62" s="351" t="str">
        <f>IFERROR(Tableau1[[#This Row],[Qté Facturé 10/2018]]*Tableau1[[#This Row],[Unit Price (calcul)]],"")</f>
        <v/>
      </c>
      <c r="CJ62" s="351" t="str">
        <f>IFERROR(IF(Tableau1[[#This Row],[Montant Facturé 10/2018]]&gt;0,Tableau1[[#This Row],[Montant Facturé 10/2018]]/Taux_Change_SII,""),"")</f>
        <v/>
      </c>
      <c r="CK62" s="351"/>
      <c r="CL62" s="83">
        <f>SUMPRODUCT(1*(EXACT(CONCATENATE(Tableau1[[#This Row],[PO Number (Header)]],"-",Tableau1[[#This Row],[Line]]),UO_List[Unique_AIB_ID]))*(UO_List[Qté Réception 11/2020]))</f>
        <v>0</v>
      </c>
      <c r="CM62" s="84"/>
      <c r="CN62" s="351"/>
      <c r="CO62" s="351" t="str">
        <f>IFERROR(Tableau1[[#This Row],[Qté Facturé 11/2018]]*Tableau1[[#This Row],[Unit Price (calcul)]],"")</f>
        <v/>
      </c>
      <c r="CP62" s="351" t="str">
        <f>IFERROR(IF(Tableau1[[#This Row],[Montant Facturé 11/2018]]&gt;0,Tableau1[[#This Row],[Montant Facturé 11/2018]]/Taux_Change_SII,""),"")</f>
        <v/>
      </c>
      <c r="CQ62" s="351"/>
      <c r="CR62" s="83">
        <f>SUMPRODUCT(1*(EXACT(CONCATENATE(Tableau1[[#This Row],[PO Number (Header)]],"-",Tableau1[[#This Row],[Line]]),UO_List[Unique_AIB_ID]))*(UO_List[Qté Réception 12/2020]))</f>
        <v>0</v>
      </c>
      <c r="CS62" s="84"/>
      <c r="CT62" s="351"/>
      <c r="CU62" s="351" t="str">
        <f>IFERROR(Tableau1[[#This Row],[Qté Facturé 12/2018]]*Tableau1[[#This Row],[Unit Price (calcul)]],"")</f>
        <v/>
      </c>
      <c r="CV62" s="351" t="str">
        <f>IFERROR(IF(Tableau1[[#This Row],[Montant Facturé 12/2018]]&gt;0,Tableau1[[#This Row],[Montant Facturé 12/2018]]/Taux_Change_SII,""),"")</f>
        <v/>
      </c>
      <c r="CW62" s="351"/>
      <c r="CX6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2" s="352" t="str">
        <f>IFERROR(Tableau1[[#This Row],[Total item réceptionné]]*Tableau1[[#This Row],[Unit Price (calcul)]],"")</f>
        <v/>
      </c>
      <c r="DB62" s="352" t="str">
        <f>IFERROR(Tableau1[[#This Row],[Total item à Facturer]]*Tableau1[[#This Row],[Unit Price (calcul)]],"")</f>
        <v/>
      </c>
      <c r="DC6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2" s="352" t="str">
        <f>IFERROR(Tableau1[[#This Row],[Line Total]]-Tableau1[[#This Row],[Total Price Réceptionné]],"")</f>
        <v/>
      </c>
      <c r="DE62" s="352" t="str">
        <f>IFERROR(Tableau1[[#This Row],[Total Price Réceptionné]]-Tableau1[[#This Row],[Total Price A facturer]],"")</f>
        <v/>
      </c>
      <c r="DF62" s="353" t="str">
        <f>IFERROR(Tableau1[[#This Row],[Total Price A facturer]]-Tableau1[[#This Row],[Total Price Facturé]],"")</f>
        <v/>
      </c>
      <c r="DG62" s="76">
        <f>Tableau1[[#This Row],[Total Item Quantity]]-Tableau1[[#This Row],[Total item réceptionné]]</f>
        <v>0</v>
      </c>
      <c r="DH62" s="167"/>
      <c r="DI62" s="167"/>
    </row>
    <row r="63" spans="1:113" s="74" customFormat="1">
      <c r="A63" s="77" t="str">
        <f>CONCATENATE(Tableau1[[#This Row],[PO Number (Header)]],"-",Tableau1[[#This Row],[Line]])</f>
        <v>-</v>
      </c>
      <c r="B63" s="429"/>
      <c r="C63" s="158"/>
      <c r="D63" s="406"/>
      <c r="F63" s="158"/>
      <c r="G63" s="158"/>
      <c r="H63" s="158"/>
      <c r="I63" s="158"/>
      <c r="J63" s="158"/>
      <c r="K63" s="158"/>
      <c r="N63" s="77"/>
      <c r="O63" s="77"/>
      <c r="P63" s="77"/>
      <c r="Q63" s="395"/>
      <c r="R63" s="395"/>
      <c r="S63" s="77"/>
      <c r="T63" s="77"/>
      <c r="U63" s="77"/>
      <c r="V63" s="77"/>
      <c r="W63" s="167"/>
      <c r="X63" s="167"/>
      <c r="Y63" s="167" t="str">
        <f>IF(ISBLANK(Tableau1[[#This Row],[PO Number (Header)]]),"",Tableau1[[#This Row],[Line Total]]/Tableau1[[#This Row],[Total Item Quantity]])</f>
        <v/>
      </c>
      <c r="Z63" s="167" t="str">
        <f>IF(ISNA(VLOOKUP(Tableau1[[#This Row],[Unique_AIB_ID]],UO_List[Unique_AIB_ID],1,FALSE)),IF(ISBLANK(Tableau1[[#This Row],[PO Number (Header)]]),"","FAUX"),"VRAI")</f>
        <v/>
      </c>
      <c r="AA63" s="167"/>
      <c r="AB63" s="162" t="e">
        <f>VLOOKUP(Tableau1[[#This Row],[Unique_AIB_ID]],UO_List[[Unique_AIB_ID]:[OLGA F6]],3,FALSE)</f>
        <v>#N/A</v>
      </c>
      <c r="AC63" s="162" t="s">
        <v>779</v>
      </c>
      <c r="AD63" s="83">
        <f>SUMPRODUCT(1*(EXACT(CONCATENATE(Tableau1[[#This Row],[PO Number (Header)]],"-",Tableau1[[#This Row],[Line]]),UO_List[Unique_AIB_ID]))*(UO_List[Qté Réception 03/2020]))</f>
        <v>0</v>
      </c>
      <c r="AE63" s="84"/>
      <c r="AF63" s="357"/>
      <c r="AG63" s="351" t="str">
        <f>IFERROR(Tableau1[[#This Row],[Qté Facturé 01/2018]]*Tableau1[[#This Row],[Unit Price (calcul)]],"")</f>
        <v/>
      </c>
      <c r="AH63" s="356" t="str">
        <f>IFERROR(IF(Tableau1[[#This Row],[Montant Facturé 01/2018]]&gt;0,Tableau1[[#This Row],[Montant Facturé 01/2018]]/Taux_Change_SII,""),"")</f>
        <v/>
      </c>
      <c r="AI63" s="351"/>
      <c r="AJ63" s="83">
        <f>SUMPRODUCT(1*(EXACT(CONCATENATE(Tableau1[[#This Row],[PO Number (Header)]],"-",Tableau1[[#This Row],[Line]]),UO_List[Unique_AIB_ID]))*(UO_List[Qté Réception 02/2020]))</f>
        <v>0</v>
      </c>
      <c r="AK63" s="83">
        <f>SUMPRODUCT(1*(EXACT(CONCATENATE(Tableau1[[#This Row],[PO Number (Header)]],"-",Tableau1[[#This Row],[Line]]),UO_List[Unique_AIB_ID]))*(UO_List[Qté Réception 02/2020]))</f>
        <v>0</v>
      </c>
      <c r="AL63" s="357"/>
      <c r="AM63" s="351" t="str">
        <f>IFERROR(Tableau1[[#This Row],[Qté Facturé 02/2018]]*Tableau1[[#This Row],[Unit Price (calcul)]],"")</f>
        <v/>
      </c>
      <c r="AN63" s="351" t="str">
        <f>IFERROR(IF(Tableau1[[#This Row],[Montant Facturé 02/2018]]&gt;0,Tableau1[[#This Row],[Montant Facturé 02/2018]]/Taux_Change_SII,""),"")</f>
        <v/>
      </c>
      <c r="AO63" s="351"/>
      <c r="AP63" s="83">
        <f>SUMPRODUCT(1*(EXACT(CONCATENATE(Tableau1[[#This Row],[PO Number (Header)]],"-",Tableau1[[#This Row],[Line]]),UO_List[Unique_AIB_ID]))*(UO_List[Qté Réception 00/2020]))</f>
        <v>0</v>
      </c>
      <c r="AQ63" s="84">
        <v>0</v>
      </c>
      <c r="AR63" s="357"/>
      <c r="AS63" s="351" t="str">
        <f>IFERROR(Tableau1[[#This Row],[Qté Facturé 03/2018]]*Tableau1[[#This Row],[Unit Price (calcul)]],"")</f>
        <v/>
      </c>
      <c r="AT63" s="351" t="str">
        <f>IFERROR(IF(Tableau1[[#This Row],[Montant Facturé 03/2018]]&gt;0,Tableau1[[#This Row],[Montant Facturé 03/2018]]/Taux_Change_SII,""),"")</f>
        <v/>
      </c>
      <c r="AU63" s="351"/>
      <c r="AV63" s="83">
        <f>SUMPRODUCT(1*(EXACT(CONCATENATE(Tableau1[[#This Row],[PO Number (Header)]],"-",Tableau1[[#This Row],[Line]]),UO_List[Unique_AIB_ID]))*(UO_List[Qté Réception 04/2020]))</f>
        <v>0</v>
      </c>
      <c r="AW63" s="84"/>
      <c r="AX63" s="351"/>
      <c r="AY63" s="351" t="str">
        <f>IFERROR(Tableau1[[#This Row],[Qté Facturé 04/2018]]*Tableau1[[#This Row],[Unit Price (calcul)]],"")</f>
        <v/>
      </c>
      <c r="AZ63" s="351" t="str">
        <f>IFERROR(IF(Tableau1[[#This Row],[Montant Facturé 04/2018]]&gt;0,Tableau1[[#This Row],[Montant Facturé 04/2018]]/Taux_Change_SII,""),"")</f>
        <v/>
      </c>
      <c r="BA63" s="351"/>
      <c r="BB63" s="83">
        <f>SUMPRODUCT(1*(EXACT(CONCATENATE(Tableau1[[#This Row],[PO Number (Header)]],"-",Tableau1[[#This Row],[Line]]),UO_List[Unique_AIB_ID]))*(UO_List[Qté Réception 05/2020]))</f>
        <v>0</v>
      </c>
      <c r="BC63" s="84"/>
      <c r="BD63" s="351"/>
      <c r="BE63" s="351" t="str">
        <f>IFERROR(Tableau1[[#This Row],[Qté Facturé 05/2018]]*Tableau1[[#This Row],[Unit Price (calcul)]],"")</f>
        <v/>
      </c>
      <c r="BF63" s="351" t="str">
        <f>IFERROR(IF(Tableau1[[#This Row],[Montant Facturé 05/2018]]&gt;0,Tableau1[[#This Row],[Montant Facturé 05/2018]]/Taux_Change_SII,""),"")</f>
        <v/>
      </c>
      <c r="BG63" s="351"/>
      <c r="BH63" s="83">
        <f>SUMPRODUCT(1*(EXACT(CONCATENATE(Tableau1[[#This Row],[PO Number (Header)]],"-",Tableau1[[#This Row],[Line]]),UO_List[Unique_AIB_ID]))*(UO_List[Qté Réception 06/2020]))</f>
        <v>0</v>
      </c>
      <c r="BI63" s="84"/>
      <c r="BJ63" s="351"/>
      <c r="BK63" s="351" t="str">
        <f>IFERROR(Tableau1[[#This Row],[Qté Facturé 06/2018]]*Tableau1[[#This Row],[Unit Price (calcul)]],"")</f>
        <v/>
      </c>
      <c r="BL63" s="351" t="str">
        <f>IFERROR(IF(Tableau1[[#This Row],[Montant Facturé 06/2018]]&gt;0,Tableau1[[#This Row],[Montant Facturé 06/2018]]/Taux_Change_SII,""),"")</f>
        <v/>
      </c>
      <c r="BM63" s="351"/>
      <c r="BN63" s="83">
        <f>SUMPRODUCT(1*(EXACT(CONCATENATE(Tableau1[[#This Row],[PO Number (Header)]],"-",Tableau1[[#This Row],[Line]]),UO_List[Unique_AIB_ID]))*(UO_List[Qté Réception 07/2020]))</f>
        <v>0</v>
      </c>
      <c r="BO63" s="84">
        <v>0</v>
      </c>
      <c r="BP63" s="351"/>
      <c r="BQ63" s="351" t="str">
        <f>IFERROR(Tableau1[[#This Row],[Qté Facturé 07/2018]]*Tableau1[[#This Row],[Unit Price (calcul)]],"")</f>
        <v/>
      </c>
      <c r="BR63" s="351" t="str">
        <f>IFERROR(IF(Tableau1[[#This Row],[Montant Facturé 07/2018]]&gt;0,Tableau1[[#This Row],[Montant Facturé 07/2018]]/Taux_Change_SII,""),"")</f>
        <v/>
      </c>
      <c r="BS63" s="351"/>
      <c r="BT63" s="83">
        <f>SUMPRODUCT(1*(EXACT(CONCATENATE(Tableau1[[#This Row],[PO Number (Header)]],"-",Tableau1[[#This Row],[Line]]),UO_List[Unique_AIB_ID]))*(UO_List[Qté Réception 08/2020]))</f>
        <v>0</v>
      </c>
      <c r="BU63" s="84"/>
      <c r="BV63" s="351"/>
      <c r="BW63" s="351" t="str">
        <f>IFERROR(Tableau1[[#This Row],[Qté Facturé 08/2018]]*Tableau1[[#This Row],[Unit Price (calcul)]],"")</f>
        <v/>
      </c>
      <c r="BX63" s="351" t="str">
        <f>IFERROR(IF(Tableau1[[#This Row],[Montant Facturé 08/2018]]&gt;0,Tableau1[[#This Row],[Montant Facturé 08/2018]]/Taux_Change_SII,""),"")</f>
        <v/>
      </c>
      <c r="BY63" s="351"/>
      <c r="BZ63" s="83">
        <f>SUMPRODUCT(1*(EXACT(CONCATENATE(Tableau1[[#This Row],[PO Number (Header)]],"-",Tableau1[[#This Row],[Line]]),UO_List[Unique_AIB_ID]))*(UO_List[Qté Réception 09/2020]))</f>
        <v>0</v>
      </c>
      <c r="CA63" s="84">
        <v>0</v>
      </c>
      <c r="CB63" s="351"/>
      <c r="CC63" s="351" t="str">
        <f>IFERROR(Tableau1[[#This Row],[Qté Facturé 09/2018]]*Tableau1[[#This Row],[Unit Price (calcul)]],"")</f>
        <v/>
      </c>
      <c r="CD63" s="351" t="str">
        <f>IFERROR(IF(Tableau1[[#This Row],[Montant Facturé 09/2018]]&gt;0,Tableau1[[#This Row],[Montant Facturé 09/2018]]/Taux_Change_SII,""),"")</f>
        <v/>
      </c>
      <c r="CE63" s="351"/>
      <c r="CF63" s="83">
        <f>SUMPRODUCT(1*(EXACT(CONCATENATE(Tableau1[[#This Row],[PO Number (Header)]],"-",Tableau1[[#This Row],[Line]]),UO_List[Unique_AIB_ID]))*(UO_List[Qté Réception 10/2020]))</f>
        <v>0</v>
      </c>
      <c r="CG63" s="84">
        <v>0</v>
      </c>
      <c r="CH63" s="351"/>
      <c r="CI63" s="351" t="str">
        <f>IFERROR(Tableau1[[#This Row],[Qté Facturé 10/2018]]*Tableau1[[#This Row],[Unit Price (calcul)]],"")</f>
        <v/>
      </c>
      <c r="CJ63" s="351" t="str">
        <f>IFERROR(IF(Tableau1[[#This Row],[Montant Facturé 10/2018]]&gt;0,Tableau1[[#This Row],[Montant Facturé 10/2018]]/Taux_Change_SII,""),"")</f>
        <v/>
      </c>
      <c r="CK63" s="351"/>
      <c r="CL63" s="83">
        <f>SUMPRODUCT(1*(EXACT(CONCATENATE(Tableau1[[#This Row],[PO Number (Header)]],"-",Tableau1[[#This Row],[Line]]),UO_List[Unique_AIB_ID]))*(UO_List[Qté Réception 11/2020]))</f>
        <v>0</v>
      </c>
      <c r="CM63" s="84"/>
      <c r="CN63" s="351"/>
      <c r="CO63" s="351" t="str">
        <f>IFERROR(Tableau1[[#This Row],[Qté Facturé 11/2018]]*Tableau1[[#This Row],[Unit Price (calcul)]],"")</f>
        <v/>
      </c>
      <c r="CP63" s="351" t="str">
        <f>IFERROR(IF(Tableau1[[#This Row],[Montant Facturé 11/2018]]&gt;0,Tableau1[[#This Row],[Montant Facturé 11/2018]]/Taux_Change_SII,""),"")</f>
        <v/>
      </c>
      <c r="CQ63" s="351"/>
      <c r="CR63" s="83">
        <f>SUMPRODUCT(1*(EXACT(CONCATENATE(Tableau1[[#This Row],[PO Number (Header)]],"-",Tableau1[[#This Row],[Line]]),UO_List[Unique_AIB_ID]))*(UO_List[Qté Réception 12/2020]))</f>
        <v>0</v>
      </c>
      <c r="CS63" s="84"/>
      <c r="CT63" s="351"/>
      <c r="CU63" s="351" t="str">
        <f>IFERROR(Tableau1[[#This Row],[Qté Facturé 12/2018]]*Tableau1[[#This Row],[Unit Price (calcul)]],"")</f>
        <v/>
      </c>
      <c r="CV63" s="351" t="str">
        <f>IFERROR(IF(Tableau1[[#This Row],[Montant Facturé 12/2018]]&gt;0,Tableau1[[#This Row],[Montant Facturé 12/2018]]/Taux_Change_SII,""),"")</f>
        <v/>
      </c>
      <c r="CW63" s="351"/>
      <c r="CX6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3" s="352" t="str">
        <f>IFERROR(Tableau1[[#This Row],[Total item réceptionné]]*Tableau1[[#This Row],[Unit Price (calcul)]],"")</f>
        <v/>
      </c>
      <c r="DB63" s="352" t="str">
        <f>IFERROR(Tableau1[[#This Row],[Total item à Facturer]]*Tableau1[[#This Row],[Unit Price (calcul)]],"")</f>
        <v/>
      </c>
      <c r="DC6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3" s="352" t="str">
        <f>IFERROR(Tableau1[[#This Row],[Line Total]]-Tableau1[[#This Row],[Total Price Réceptionné]],"")</f>
        <v/>
      </c>
      <c r="DE63" s="352" t="str">
        <f>IFERROR(Tableau1[[#This Row],[Total Price Réceptionné]]-Tableau1[[#This Row],[Total Price A facturer]],"")</f>
        <v/>
      </c>
      <c r="DF63" s="353" t="str">
        <f>IFERROR(Tableau1[[#This Row],[Total Price A facturer]]-Tableau1[[#This Row],[Total Price Facturé]],"")</f>
        <v/>
      </c>
      <c r="DG63" s="76">
        <f>Tableau1[[#This Row],[Total Item Quantity]]-Tableau1[[#This Row],[Total item réceptionné]]</f>
        <v>0</v>
      </c>
      <c r="DH63" s="167"/>
      <c r="DI63" s="167"/>
    </row>
    <row r="64" spans="1:113" s="74" customFormat="1">
      <c r="A64" s="77" t="str">
        <f>CONCATENATE(Tableau1[[#This Row],[PO Number (Header)]],"-",Tableau1[[#This Row],[Line]])</f>
        <v>-</v>
      </c>
      <c r="B64" s="406"/>
      <c r="C64" s="158"/>
      <c r="D64" s="406"/>
      <c r="F64" s="158"/>
      <c r="G64" s="158"/>
      <c r="H64" s="158"/>
      <c r="I64" s="158"/>
      <c r="J64" s="158"/>
      <c r="K64" s="158"/>
      <c r="N64" s="77"/>
      <c r="O64" s="77"/>
      <c r="P64" s="77"/>
      <c r="Q64" s="395"/>
      <c r="R64" s="395"/>
      <c r="S64" s="77"/>
      <c r="T64" s="77"/>
      <c r="U64" s="77"/>
      <c r="V64" s="77"/>
      <c r="W64" s="167"/>
      <c r="X64" s="167"/>
      <c r="Y64" s="167" t="str">
        <f>IF(ISBLANK(Tableau1[[#This Row],[PO Number (Header)]]),"",Tableau1[[#This Row],[Line Total]]/Tableau1[[#This Row],[Total Item Quantity]])</f>
        <v/>
      </c>
      <c r="Z64" s="167" t="str">
        <f>IF(ISNA(VLOOKUP(Tableau1[[#This Row],[Unique_AIB_ID]],UO_List[Unique_AIB_ID],1,FALSE)),IF(ISBLANK(Tableau1[[#This Row],[PO Number (Header)]]),"","FAUX"),"VRAI")</f>
        <v/>
      </c>
      <c r="AA64" s="167"/>
      <c r="AB64" s="162" t="e">
        <f>VLOOKUP(Tableau1[[#This Row],[Unique_AIB_ID]],UO_List[[Unique_AIB_ID]:[OLGA F6]],3,FALSE)</f>
        <v>#N/A</v>
      </c>
      <c r="AC64" s="162" t="s">
        <v>779</v>
      </c>
      <c r="AD64" s="83">
        <f>SUMPRODUCT(1*(EXACT(CONCATENATE(Tableau1[[#This Row],[PO Number (Header)]],"-",Tableau1[[#This Row],[Line]]),UO_List[Unique_AIB_ID]))*(UO_List[Qté Réception 03/2020]))</f>
        <v>0</v>
      </c>
      <c r="AE64" s="84"/>
      <c r="AF64" s="357"/>
      <c r="AG64" s="351" t="str">
        <f>IFERROR(Tableau1[[#This Row],[Qté Facturé 01/2018]]*Tableau1[[#This Row],[Unit Price (calcul)]],"")</f>
        <v/>
      </c>
      <c r="AH64" s="356" t="str">
        <f>IFERROR(IF(Tableau1[[#This Row],[Montant Facturé 01/2018]]&gt;0,Tableau1[[#This Row],[Montant Facturé 01/2018]]/Taux_Change_SII,""),"")</f>
        <v/>
      </c>
      <c r="AI64" s="351"/>
      <c r="AJ64" s="83">
        <f>SUMPRODUCT(1*(EXACT(CONCATENATE(Tableau1[[#This Row],[PO Number (Header)]],"-",Tableau1[[#This Row],[Line]]),UO_List[Unique_AIB_ID]))*(UO_List[Qté Réception 02/2020]))</f>
        <v>0</v>
      </c>
      <c r="AK64" s="83">
        <f>SUMPRODUCT(1*(EXACT(CONCATENATE(Tableau1[[#This Row],[PO Number (Header)]],"-",Tableau1[[#This Row],[Line]]),UO_List[Unique_AIB_ID]))*(UO_List[Qté Réception 02/2020]))</f>
        <v>0</v>
      </c>
      <c r="AL64" s="357"/>
      <c r="AM64" s="351" t="str">
        <f>IFERROR(Tableau1[[#This Row],[Qté Facturé 02/2018]]*Tableau1[[#This Row],[Unit Price (calcul)]],"")</f>
        <v/>
      </c>
      <c r="AN64" s="351" t="str">
        <f>IFERROR(IF(Tableau1[[#This Row],[Montant Facturé 02/2018]]&gt;0,Tableau1[[#This Row],[Montant Facturé 02/2018]]/Taux_Change_SII,""),"")</f>
        <v/>
      </c>
      <c r="AO64" s="351"/>
      <c r="AP64" s="83">
        <f>SUMPRODUCT(1*(EXACT(CONCATENATE(Tableau1[[#This Row],[PO Number (Header)]],"-",Tableau1[[#This Row],[Line]]),UO_List[Unique_AIB_ID]))*(UO_List[Qté Réception 00/2020]))</f>
        <v>0</v>
      </c>
      <c r="AQ64" s="84">
        <v>0</v>
      </c>
      <c r="AR64" s="357"/>
      <c r="AS64" s="351" t="str">
        <f>IFERROR(Tableau1[[#This Row],[Qté Facturé 03/2018]]*Tableau1[[#This Row],[Unit Price (calcul)]],"")</f>
        <v/>
      </c>
      <c r="AT64" s="351" t="str">
        <f>IFERROR(IF(Tableau1[[#This Row],[Montant Facturé 03/2018]]&gt;0,Tableau1[[#This Row],[Montant Facturé 03/2018]]/Taux_Change_SII,""),"")</f>
        <v/>
      </c>
      <c r="AU64" s="351"/>
      <c r="AV64" s="83">
        <f>SUMPRODUCT(1*(EXACT(CONCATENATE(Tableau1[[#This Row],[PO Number (Header)]],"-",Tableau1[[#This Row],[Line]]),UO_List[Unique_AIB_ID]))*(UO_List[Qté Réception 04/2020]))</f>
        <v>0</v>
      </c>
      <c r="AW64" s="84"/>
      <c r="AX64" s="351"/>
      <c r="AY64" s="351" t="str">
        <f>IFERROR(Tableau1[[#This Row],[Qté Facturé 04/2018]]*Tableau1[[#This Row],[Unit Price (calcul)]],"")</f>
        <v/>
      </c>
      <c r="AZ64" s="351" t="str">
        <f>IFERROR(IF(Tableau1[[#This Row],[Montant Facturé 04/2018]]&gt;0,Tableau1[[#This Row],[Montant Facturé 04/2018]]/Taux_Change_SII,""),"")</f>
        <v/>
      </c>
      <c r="BA64" s="351"/>
      <c r="BB64" s="83">
        <f>SUMPRODUCT(1*(EXACT(CONCATENATE(Tableau1[[#This Row],[PO Number (Header)]],"-",Tableau1[[#This Row],[Line]]),UO_List[Unique_AIB_ID]))*(UO_List[Qté Réception 05/2020]))</f>
        <v>0</v>
      </c>
      <c r="BC64" s="84"/>
      <c r="BD64" s="351"/>
      <c r="BE64" s="351" t="str">
        <f>IFERROR(Tableau1[[#This Row],[Qté Facturé 05/2018]]*Tableau1[[#This Row],[Unit Price (calcul)]],"")</f>
        <v/>
      </c>
      <c r="BF64" s="351" t="str">
        <f>IFERROR(IF(Tableau1[[#This Row],[Montant Facturé 05/2018]]&gt;0,Tableau1[[#This Row],[Montant Facturé 05/2018]]/Taux_Change_SII,""),"")</f>
        <v/>
      </c>
      <c r="BG64" s="351"/>
      <c r="BH64" s="83">
        <f>SUMPRODUCT(1*(EXACT(CONCATENATE(Tableau1[[#This Row],[PO Number (Header)]],"-",Tableau1[[#This Row],[Line]]),UO_List[Unique_AIB_ID]))*(UO_List[Qté Réception 06/2020]))</f>
        <v>0</v>
      </c>
      <c r="BI64" s="84">
        <v>0</v>
      </c>
      <c r="BJ64" s="351"/>
      <c r="BK64" s="351" t="str">
        <f>IFERROR(Tableau1[[#This Row],[Qté Facturé 06/2018]]*Tableau1[[#This Row],[Unit Price (calcul)]],"")</f>
        <v/>
      </c>
      <c r="BL64" s="351" t="str">
        <f>IFERROR(IF(Tableau1[[#This Row],[Montant Facturé 06/2018]]&gt;0,Tableau1[[#This Row],[Montant Facturé 06/2018]]/Taux_Change_SII,""),"")</f>
        <v/>
      </c>
      <c r="BM64" s="351"/>
      <c r="BN64" s="83">
        <f>SUMPRODUCT(1*(EXACT(CONCATENATE(Tableau1[[#This Row],[PO Number (Header)]],"-",Tableau1[[#This Row],[Line]]),UO_List[Unique_AIB_ID]))*(UO_List[Qté Réception 07/2020]))</f>
        <v>0</v>
      </c>
      <c r="BO64" s="84">
        <v>0</v>
      </c>
      <c r="BP64" s="351"/>
      <c r="BQ64" s="351" t="str">
        <f>IFERROR(Tableau1[[#This Row],[Qté Facturé 07/2018]]*Tableau1[[#This Row],[Unit Price (calcul)]],"")</f>
        <v/>
      </c>
      <c r="BR64" s="351" t="str">
        <f>IFERROR(IF(Tableau1[[#This Row],[Montant Facturé 07/2018]]&gt;0,Tableau1[[#This Row],[Montant Facturé 07/2018]]/Taux_Change_SII,""),"")</f>
        <v/>
      </c>
      <c r="BS64" s="351"/>
      <c r="BT64" s="83">
        <f>SUMPRODUCT(1*(EXACT(CONCATENATE(Tableau1[[#This Row],[PO Number (Header)]],"-",Tableau1[[#This Row],[Line]]),UO_List[Unique_AIB_ID]))*(UO_List[Qté Réception 08/2020]))</f>
        <v>0</v>
      </c>
      <c r="BU64" s="84"/>
      <c r="BV64" s="351"/>
      <c r="BW64" s="351" t="str">
        <f>IFERROR(Tableau1[[#This Row],[Qté Facturé 08/2018]]*Tableau1[[#This Row],[Unit Price (calcul)]],"")</f>
        <v/>
      </c>
      <c r="BX64" s="351" t="str">
        <f>IFERROR(IF(Tableau1[[#This Row],[Montant Facturé 08/2018]]&gt;0,Tableau1[[#This Row],[Montant Facturé 08/2018]]/Taux_Change_SII,""),"")</f>
        <v/>
      </c>
      <c r="BY64" s="351"/>
      <c r="BZ64" s="83">
        <f>SUMPRODUCT(1*(EXACT(CONCATENATE(Tableau1[[#This Row],[PO Number (Header)]],"-",Tableau1[[#This Row],[Line]]),UO_List[Unique_AIB_ID]))*(UO_List[Qté Réception 09/2020]))</f>
        <v>0</v>
      </c>
      <c r="CA64" s="84">
        <v>0</v>
      </c>
      <c r="CB64" s="351"/>
      <c r="CC64" s="351" t="str">
        <f>IFERROR(Tableau1[[#This Row],[Qté Facturé 09/2018]]*Tableau1[[#This Row],[Unit Price (calcul)]],"")</f>
        <v/>
      </c>
      <c r="CD64" s="351" t="str">
        <f>IFERROR(IF(Tableau1[[#This Row],[Montant Facturé 09/2018]]&gt;0,Tableau1[[#This Row],[Montant Facturé 09/2018]]/Taux_Change_SII,""),"")</f>
        <v/>
      </c>
      <c r="CE64" s="351"/>
      <c r="CF64" s="83">
        <f>SUMPRODUCT(1*(EXACT(CONCATENATE(Tableau1[[#This Row],[PO Number (Header)]],"-",Tableau1[[#This Row],[Line]]),UO_List[Unique_AIB_ID]))*(UO_List[Qté Réception 10/2020]))</f>
        <v>0</v>
      </c>
      <c r="CG64" s="84">
        <v>0</v>
      </c>
      <c r="CH64" s="351"/>
      <c r="CI64" s="351" t="str">
        <f>IFERROR(Tableau1[[#This Row],[Qté Facturé 10/2018]]*Tableau1[[#This Row],[Unit Price (calcul)]],"")</f>
        <v/>
      </c>
      <c r="CJ64" s="351" t="str">
        <f>IFERROR(IF(Tableau1[[#This Row],[Montant Facturé 10/2018]]&gt;0,Tableau1[[#This Row],[Montant Facturé 10/2018]]/Taux_Change_SII,""),"")</f>
        <v/>
      </c>
      <c r="CK64" s="351"/>
      <c r="CL64" s="83">
        <f>SUMPRODUCT(1*(EXACT(CONCATENATE(Tableau1[[#This Row],[PO Number (Header)]],"-",Tableau1[[#This Row],[Line]]),UO_List[Unique_AIB_ID]))*(UO_List[Qté Réception 11/2020]))</f>
        <v>0</v>
      </c>
      <c r="CM64" s="84"/>
      <c r="CN64" s="351"/>
      <c r="CO64" s="351" t="str">
        <f>IFERROR(Tableau1[[#This Row],[Qté Facturé 11/2018]]*Tableau1[[#This Row],[Unit Price (calcul)]],"")</f>
        <v/>
      </c>
      <c r="CP64" s="351" t="str">
        <f>IFERROR(IF(Tableau1[[#This Row],[Montant Facturé 11/2018]]&gt;0,Tableau1[[#This Row],[Montant Facturé 11/2018]]/Taux_Change_SII,""),"")</f>
        <v/>
      </c>
      <c r="CQ64" s="351"/>
      <c r="CR64" s="83">
        <f>SUMPRODUCT(1*(EXACT(CONCATENATE(Tableau1[[#This Row],[PO Number (Header)]],"-",Tableau1[[#This Row],[Line]]),UO_List[Unique_AIB_ID]))*(UO_List[Qté Réception 12/2020]))</f>
        <v>0</v>
      </c>
      <c r="CS64" s="84"/>
      <c r="CT64" s="351"/>
      <c r="CU64" s="351" t="str">
        <f>IFERROR(Tableau1[[#This Row],[Qté Facturé 12/2018]]*Tableau1[[#This Row],[Unit Price (calcul)]],"")</f>
        <v/>
      </c>
      <c r="CV64" s="351" t="str">
        <f>IFERROR(IF(Tableau1[[#This Row],[Montant Facturé 12/2018]]&gt;0,Tableau1[[#This Row],[Montant Facturé 12/2018]]/Taux_Change_SII,""),"")</f>
        <v/>
      </c>
      <c r="CW64" s="351"/>
      <c r="CX6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4" s="352" t="str">
        <f>IFERROR(Tableau1[[#This Row],[Total item réceptionné]]*Tableau1[[#This Row],[Unit Price (calcul)]],"")</f>
        <v/>
      </c>
      <c r="DB64" s="352" t="str">
        <f>IFERROR(Tableau1[[#This Row],[Total item à Facturer]]*Tableau1[[#This Row],[Unit Price (calcul)]],"")</f>
        <v/>
      </c>
      <c r="DC6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4" s="352" t="str">
        <f>IFERROR(Tableau1[[#This Row],[Line Total]]-Tableau1[[#This Row],[Total Price Réceptionné]],"")</f>
        <v/>
      </c>
      <c r="DE64" s="352" t="str">
        <f>IFERROR(Tableau1[[#This Row],[Total Price Réceptionné]]-Tableau1[[#This Row],[Total Price A facturer]],"")</f>
        <v/>
      </c>
      <c r="DF64" s="353" t="str">
        <f>IFERROR(Tableau1[[#This Row],[Total Price A facturer]]-Tableau1[[#This Row],[Total Price Facturé]],"")</f>
        <v/>
      </c>
      <c r="DG64" s="76">
        <f>Tableau1[[#This Row],[Total Item Quantity]]-Tableau1[[#This Row],[Total item réceptionné]]</f>
        <v>0</v>
      </c>
      <c r="DH64" s="167"/>
      <c r="DI64" s="167"/>
    </row>
    <row r="65" spans="1:113" s="74" customFormat="1">
      <c r="A65" s="77" t="str">
        <f>CONCATENATE(Tableau1[[#This Row],[PO Number (Header)]],"-",Tableau1[[#This Row],[Line]])</f>
        <v>-</v>
      </c>
      <c r="B65" s="407"/>
      <c r="D65" s="397"/>
      <c r="N65" s="77"/>
      <c r="O65" s="77"/>
      <c r="P65" s="77"/>
      <c r="Q65" s="395"/>
      <c r="R65" s="395"/>
      <c r="S65" s="77"/>
      <c r="T65" s="77"/>
      <c r="U65" s="77"/>
      <c r="V65" s="77"/>
      <c r="W65" s="167"/>
      <c r="X65" s="167"/>
      <c r="Y65" s="167" t="str">
        <f>IF(ISBLANK(Tableau1[[#This Row],[PO Number (Header)]]),"",Tableau1[[#This Row],[Line Total]]/Tableau1[[#This Row],[Total Item Quantity]])</f>
        <v/>
      </c>
      <c r="Z65" s="167" t="str">
        <f>IF(ISNA(VLOOKUP(Tableau1[[#This Row],[Unique_AIB_ID]],UO_List[Unique_AIB_ID],1,FALSE)),IF(ISBLANK(Tableau1[[#This Row],[PO Number (Header)]]),"","FAUX"),"VRAI")</f>
        <v/>
      </c>
      <c r="AA65" s="167"/>
      <c r="AB65" s="162" t="e">
        <f>VLOOKUP(Tableau1[[#This Row],[Unique_AIB_ID]],UO_List[[Unique_AIB_ID]:[OLGA F6]],3,FALSE)</f>
        <v>#N/A</v>
      </c>
      <c r="AC65" s="162" t="s">
        <v>779</v>
      </c>
      <c r="AD65" s="83">
        <f>SUMPRODUCT(1*(EXACT(CONCATENATE(Tableau1[[#This Row],[PO Number (Header)]],"-",Tableau1[[#This Row],[Line]]),UO_List[Unique_AIB_ID]))*(UO_List[Qté Réception 03/2020]))</f>
        <v>0</v>
      </c>
      <c r="AE65" s="84"/>
      <c r="AF65" s="357"/>
      <c r="AG65" s="351" t="str">
        <f>IFERROR(Tableau1[[#This Row],[Qté Facturé 01/2018]]*Tableau1[[#This Row],[Unit Price (calcul)]],"")</f>
        <v/>
      </c>
      <c r="AH65" s="356" t="str">
        <f>IFERROR(IF(Tableau1[[#This Row],[Montant Facturé 01/2018]]&gt;0,Tableau1[[#This Row],[Montant Facturé 01/2018]]/Taux_Change_SII,""),"")</f>
        <v/>
      </c>
      <c r="AI65" s="351"/>
      <c r="AJ65" s="83">
        <f>SUMPRODUCT(1*(EXACT(CONCATENATE(Tableau1[[#This Row],[PO Number (Header)]],"-",Tableau1[[#This Row],[Line]]),UO_List[Unique_AIB_ID]))*(UO_List[Qté Réception 02/2020]))</f>
        <v>0</v>
      </c>
      <c r="AK65" s="83">
        <f>SUMPRODUCT(1*(EXACT(CONCATENATE(Tableau1[[#This Row],[PO Number (Header)]],"-",Tableau1[[#This Row],[Line]]),UO_List[Unique_AIB_ID]))*(UO_List[Qté Réception 02/2020]))</f>
        <v>0</v>
      </c>
      <c r="AL65" s="357"/>
      <c r="AM65" s="351" t="str">
        <f>IFERROR(Tableau1[[#This Row],[Qté Facturé 02/2018]]*Tableau1[[#This Row],[Unit Price (calcul)]],"")</f>
        <v/>
      </c>
      <c r="AN65" s="351" t="str">
        <f>IFERROR(IF(Tableau1[[#This Row],[Montant Facturé 02/2018]]&gt;0,Tableau1[[#This Row],[Montant Facturé 02/2018]]/Taux_Change_SII,""),"")</f>
        <v/>
      </c>
      <c r="AO65" s="351"/>
      <c r="AP65" s="83">
        <f>SUMPRODUCT(1*(EXACT(CONCATENATE(Tableau1[[#This Row],[PO Number (Header)]],"-",Tableau1[[#This Row],[Line]]),UO_List[Unique_AIB_ID]))*(UO_List[Qté Réception 00/2020]))</f>
        <v>0</v>
      </c>
      <c r="AQ65" s="84">
        <v>0</v>
      </c>
      <c r="AR65" s="357"/>
      <c r="AS65" s="351" t="str">
        <f>IFERROR(Tableau1[[#This Row],[Qté Facturé 03/2018]]*Tableau1[[#This Row],[Unit Price (calcul)]],"")</f>
        <v/>
      </c>
      <c r="AT65" s="351" t="str">
        <f>IFERROR(IF(Tableau1[[#This Row],[Montant Facturé 03/2018]]&gt;0,Tableau1[[#This Row],[Montant Facturé 03/2018]]/Taux_Change_SII,""),"")</f>
        <v/>
      </c>
      <c r="AU65" s="351"/>
      <c r="AV65" s="83">
        <f>SUMPRODUCT(1*(EXACT(CONCATENATE(Tableau1[[#This Row],[PO Number (Header)]],"-",Tableau1[[#This Row],[Line]]),UO_List[Unique_AIB_ID]))*(UO_List[Qté Réception 04/2020]))</f>
        <v>0</v>
      </c>
      <c r="AW65" s="84"/>
      <c r="AX65" s="351"/>
      <c r="AY65" s="351" t="str">
        <f>IFERROR(Tableau1[[#This Row],[Qté Facturé 04/2018]]*Tableau1[[#This Row],[Unit Price (calcul)]],"")</f>
        <v/>
      </c>
      <c r="AZ65" s="351" t="str">
        <f>IFERROR(IF(Tableau1[[#This Row],[Montant Facturé 04/2018]]&gt;0,Tableau1[[#This Row],[Montant Facturé 04/2018]]/Taux_Change_SII,""),"")</f>
        <v/>
      </c>
      <c r="BA65" s="351"/>
      <c r="BB65" s="83">
        <f>SUMPRODUCT(1*(EXACT(CONCATENATE(Tableau1[[#This Row],[PO Number (Header)]],"-",Tableau1[[#This Row],[Line]]),UO_List[Unique_AIB_ID]))*(UO_List[Qté Réception 05/2020]))</f>
        <v>0</v>
      </c>
      <c r="BC65" s="84"/>
      <c r="BD65" s="351"/>
      <c r="BE65" s="351" t="str">
        <f>IFERROR(Tableau1[[#This Row],[Qté Facturé 05/2018]]*Tableau1[[#This Row],[Unit Price (calcul)]],"")</f>
        <v/>
      </c>
      <c r="BF65" s="351" t="str">
        <f>IFERROR(IF(Tableau1[[#This Row],[Montant Facturé 05/2018]]&gt;0,Tableau1[[#This Row],[Montant Facturé 05/2018]]/Taux_Change_SII,""),"")</f>
        <v/>
      </c>
      <c r="BG65" s="351"/>
      <c r="BH65" s="83">
        <f>SUMPRODUCT(1*(EXACT(CONCATENATE(Tableau1[[#This Row],[PO Number (Header)]],"-",Tableau1[[#This Row],[Line]]),UO_List[Unique_AIB_ID]))*(UO_List[Qté Réception 06/2020]))</f>
        <v>0</v>
      </c>
      <c r="BI65" s="84">
        <v>0</v>
      </c>
      <c r="BJ65" s="351"/>
      <c r="BK65" s="351" t="str">
        <f>IFERROR(Tableau1[[#This Row],[Qté Facturé 06/2018]]*Tableau1[[#This Row],[Unit Price (calcul)]],"")</f>
        <v/>
      </c>
      <c r="BL65" s="351" t="str">
        <f>IFERROR(IF(Tableau1[[#This Row],[Montant Facturé 06/2018]]&gt;0,Tableau1[[#This Row],[Montant Facturé 06/2018]]/Taux_Change_SII,""),"")</f>
        <v/>
      </c>
      <c r="BM65" s="351"/>
      <c r="BN65" s="83">
        <f>SUMPRODUCT(1*(EXACT(CONCATENATE(Tableau1[[#This Row],[PO Number (Header)]],"-",Tableau1[[#This Row],[Line]]),UO_List[Unique_AIB_ID]))*(UO_List[Qté Réception 07/2020]))</f>
        <v>0</v>
      </c>
      <c r="BO65" s="84">
        <v>0</v>
      </c>
      <c r="BP65" s="351"/>
      <c r="BQ65" s="351" t="str">
        <f>IFERROR(Tableau1[[#This Row],[Qté Facturé 07/2018]]*Tableau1[[#This Row],[Unit Price (calcul)]],"")</f>
        <v/>
      </c>
      <c r="BR65" s="351" t="str">
        <f>IFERROR(IF(Tableau1[[#This Row],[Montant Facturé 07/2018]]&gt;0,Tableau1[[#This Row],[Montant Facturé 07/2018]]/Taux_Change_SII,""),"")</f>
        <v/>
      </c>
      <c r="BS65" s="351"/>
      <c r="BT65" s="83">
        <f>SUMPRODUCT(1*(EXACT(CONCATENATE(Tableau1[[#This Row],[PO Number (Header)]],"-",Tableau1[[#This Row],[Line]]),UO_List[Unique_AIB_ID]))*(UO_List[Qté Réception 08/2020]))</f>
        <v>0</v>
      </c>
      <c r="BU65" s="84"/>
      <c r="BV65" s="351"/>
      <c r="BW65" s="351" t="str">
        <f>IFERROR(Tableau1[[#This Row],[Qté Facturé 08/2018]]*Tableau1[[#This Row],[Unit Price (calcul)]],"")</f>
        <v/>
      </c>
      <c r="BX65" s="351" t="str">
        <f>IFERROR(IF(Tableau1[[#This Row],[Montant Facturé 08/2018]]&gt;0,Tableau1[[#This Row],[Montant Facturé 08/2018]]/Taux_Change_SII,""),"")</f>
        <v/>
      </c>
      <c r="BY65" s="351"/>
      <c r="BZ65" s="83">
        <f>SUMPRODUCT(1*(EXACT(CONCATENATE(Tableau1[[#This Row],[PO Number (Header)]],"-",Tableau1[[#This Row],[Line]]),UO_List[Unique_AIB_ID]))*(UO_List[Qté Réception 09/2020]))</f>
        <v>0</v>
      </c>
      <c r="CA65" s="84">
        <v>0</v>
      </c>
      <c r="CB65" s="351"/>
      <c r="CC65" s="351" t="str">
        <f>IFERROR(Tableau1[[#This Row],[Qté Facturé 09/2018]]*Tableau1[[#This Row],[Unit Price (calcul)]],"")</f>
        <v/>
      </c>
      <c r="CD65" s="351" t="str">
        <f>IFERROR(IF(Tableau1[[#This Row],[Montant Facturé 09/2018]]&gt;0,Tableau1[[#This Row],[Montant Facturé 09/2018]]/Taux_Change_SII,""),"")</f>
        <v/>
      </c>
      <c r="CE65" s="351"/>
      <c r="CF65" s="83">
        <f>SUMPRODUCT(1*(EXACT(CONCATENATE(Tableau1[[#This Row],[PO Number (Header)]],"-",Tableau1[[#This Row],[Line]]),UO_List[Unique_AIB_ID]))*(UO_List[Qté Réception 10/2020]))</f>
        <v>0</v>
      </c>
      <c r="CG65" s="84">
        <v>0</v>
      </c>
      <c r="CH65" s="351"/>
      <c r="CI65" s="351" t="str">
        <f>IFERROR(Tableau1[[#This Row],[Qté Facturé 10/2018]]*Tableau1[[#This Row],[Unit Price (calcul)]],"")</f>
        <v/>
      </c>
      <c r="CJ65" s="351" t="str">
        <f>IFERROR(IF(Tableau1[[#This Row],[Montant Facturé 10/2018]]&gt;0,Tableau1[[#This Row],[Montant Facturé 10/2018]]/Taux_Change_SII,""),"")</f>
        <v/>
      </c>
      <c r="CK65" s="351"/>
      <c r="CL65" s="83">
        <f>SUMPRODUCT(1*(EXACT(CONCATENATE(Tableau1[[#This Row],[PO Number (Header)]],"-",Tableau1[[#This Row],[Line]]),UO_List[Unique_AIB_ID]))*(UO_List[Qté Réception 11/2020]))</f>
        <v>0</v>
      </c>
      <c r="CM65" s="84"/>
      <c r="CN65" s="351"/>
      <c r="CO65" s="351" t="str">
        <f>IFERROR(Tableau1[[#This Row],[Qté Facturé 11/2018]]*Tableau1[[#This Row],[Unit Price (calcul)]],"")</f>
        <v/>
      </c>
      <c r="CP65" s="351" t="str">
        <f>IFERROR(IF(Tableau1[[#This Row],[Montant Facturé 11/2018]]&gt;0,Tableau1[[#This Row],[Montant Facturé 11/2018]]/Taux_Change_SII,""),"")</f>
        <v/>
      </c>
      <c r="CQ65" s="351"/>
      <c r="CR65" s="83">
        <f>SUMPRODUCT(1*(EXACT(CONCATENATE(Tableau1[[#This Row],[PO Number (Header)]],"-",Tableau1[[#This Row],[Line]]),UO_List[Unique_AIB_ID]))*(UO_List[Qté Réception 12/2020]))</f>
        <v>0</v>
      </c>
      <c r="CS65" s="84"/>
      <c r="CT65" s="351"/>
      <c r="CU65" s="351" t="str">
        <f>IFERROR(Tableau1[[#This Row],[Qté Facturé 12/2018]]*Tableau1[[#This Row],[Unit Price (calcul)]],"")</f>
        <v/>
      </c>
      <c r="CV65" s="351" t="str">
        <f>IFERROR(IF(Tableau1[[#This Row],[Montant Facturé 12/2018]]&gt;0,Tableau1[[#This Row],[Montant Facturé 12/2018]]/Taux_Change_SII,""),"")</f>
        <v/>
      </c>
      <c r="CW65" s="351"/>
      <c r="CX6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5" s="352" t="str">
        <f>IFERROR(Tableau1[[#This Row],[Total item réceptionné]]*Tableau1[[#This Row],[Unit Price (calcul)]],"")</f>
        <v/>
      </c>
      <c r="DB65" s="352" t="str">
        <f>IFERROR(Tableau1[[#This Row],[Total item à Facturer]]*Tableau1[[#This Row],[Unit Price (calcul)]],"")</f>
        <v/>
      </c>
      <c r="DC6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5" s="352" t="str">
        <f>IFERROR(Tableau1[[#This Row],[Line Total]]-Tableau1[[#This Row],[Total Price Réceptionné]],"")</f>
        <v/>
      </c>
      <c r="DE65" s="352" t="str">
        <f>IFERROR(Tableau1[[#This Row],[Total Price Réceptionné]]-Tableau1[[#This Row],[Total Price A facturer]],"")</f>
        <v/>
      </c>
      <c r="DF65" s="353" t="str">
        <f>IFERROR(Tableau1[[#This Row],[Total Price A facturer]]-Tableau1[[#This Row],[Total Price Facturé]],"")</f>
        <v/>
      </c>
      <c r="DG65" s="76">
        <f>Tableau1[[#This Row],[Total Item Quantity]]-Tableau1[[#This Row],[Total item réceptionné]]</f>
        <v>0</v>
      </c>
      <c r="DH65" s="167"/>
      <c r="DI65" s="167"/>
    </row>
    <row r="66" spans="1:113" s="74" customFormat="1">
      <c r="A66" s="77" t="str">
        <f>CONCATENATE(Tableau1[[#This Row],[PO Number (Header)]],"-",Tableau1[[#This Row],[Line]])</f>
        <v>-</v>
      </c>
      <c r="B66" s="397"/>
      <c r="D66" s="397"/>
      <c r="N66" s="77"/>
      <c r="O66" s="77"/>
      <c r="P66" s="77"/>
      <c r="Q66" s="395"/>
      <c r="R66" s="395"/>
      <c r="S66" s="77"/>
      <c r="T66" s="77"/>
      <c r="U66" s="77"/>
      <c r="V66" s="77"/>
      <c r="W66" s="167"/>
      <c r="X66" s="167"/>
      <c r="Y66" s="167" t="str">
        <f>IF(ISBLANK(Tableau1[[#This Row],[PO Number (Header)]]),"",Tableau1[[#This Row],[Line Total]]/Tableau1[[#This Row],[Total Item Quantity]])</f>
        <v/>
      </c>
      <c r="Z66" s="167" t="str">
        <f>IF(ISNA(VLOOKUP(Tableau1[[#This Row],[Unique_AIB_ID]],UO_List[Unique_AIB_ID],1,FALSE)),IF(ISBLANK(Tableau1[[#This Row],[PO Number (Header)]]),"","FAUX"),"VRAI")</f>
        <v/>
      </c>
      <c r="AA66" s="167"/>
      <c r="AB66" s="162" t="e">
        <f>VLOOKUP(Tableau1[[#This Row],[Unique_AIB_ID]],UO_List[[Unique_AIB_ID]:[OLGA F6]],3,FALSE)</f>
        <v>#N/A</v>
      </c>
      <c r="AC66" s="162" t="s">
        <v>779</v>
      </c>
      <c r="AD66" s="83">
        <f>SUMPRODUCT(1*(EXACT(CONCATENATE(Tableau1[[#This Row],[PO Number (Header)]],"-",Tableau1[[#This Row],[Line]]),UO_List[Unique_AIB_ID]))*(UO_List[Qté Réception 03/2020]))</f>
        <v>0</v>
      </c>
      <c r="AE66" s="84"/>
      <c r="AF66" s="357"/>
      <c r="AG66" s="351" t="str">
        <f>IFERROR(Tableau1[[#This Row],[Qté Facturé 01/2018]]*Tableau1[[#This Row],[Unit Price (calcul)]],"")</f>
        <v/>
      </c>
      <c r="AH66" s="356" t="str">
        <f>IFERROR(IF(Tableau1[[#This Row],[Montant Facturé 01/2018]]&gt;0,Tableau1[[#This Row],[Montant Facturé 01/2018]]/Taux_Change_SII,""),"")</f>
        <v/>
      </c>
      <c r="AI66" s="351"/>
      <c r="AJ66" s="83">
        <f>SUMPRODUCT(1*(EXACT(CONCATENATE(Tableau1[[#This Row],[PO Number (Header)]],"-",Tableau1[[#This Row],[Line]]),UO_List[Unique_AIB_ID]))*(UO_List[Qté Réception 02/2020]))</f>
        <v>0</v>
      </c>
      <c r="AK66" s="83">
        <f>SUMPRODUCT(1*(EXACT(CONCATENATE(Tableau1[[#This Row],[PO Number (Header)]],"-",Tableau1[[#This Row],[Line]]),UO_List[Unique_AIB_ID]))*(UO_List[Qté Réception 02/2020]))</f>
        <v>0</v>
      </c>
      <c r="AL66" s="357"/>
      <c r="AM66" s="351" t="str">
        <f>IFERROR(Tableau1[[#This Row],[Qté Facturé 02/2018]]*Tableau1[[#This Row],[Unit Price (calcul)]],"")</f>
        <v/>
      </c>
      <c r="AN66" s="351" t="str">
        <f>IFERROR(IF(Tableau1[[#This Row],[Montant Facturé 02/2018]]&gt;0,Tableau1[[#This Row],[Montant Facturé 02/2018]]/Taux_Change_SII,""),"")</f>
        <v/>
      </c>
      <c r="AO66" s="351"/>
      <c r="AP66" s="83">
        <f>SUMPRODUCT(1*(EXACT(CONCATENATE(Tableau1[[#This Row],[PO Number (Header)]],"-",Tableau1[[#This Row],[Line]]),UO_List[Unique_AIB_ID]))*(UO_List[Qté Réception 00/2020]))</f>
        <v>0</v>
      </c>
      <c r="AQ66" s="84">
        <v>0</v>
      </c>
      <c r="AR66" s="357"/>
      <c r="AS66" s="351" t="str">
        <f>IFERROR(Tableau1[[#This Row],[Qté Facturé 03/2018]]*Tableau1[[#This Row],[Unit Price (calcul)]],"")</f>
        <v/>
      </c>
      <c r="AT66" s="351" t="str">
        <f>IFERROR(IF(Tableau1[[#This Row],[Montant Facturé 03/2018]]&gt;0,Tableau1[[#This Row],[Montant Facturé 03/2018]]/Taux_Change_SII,""),"")</f>
        <v/>
      </c>
      <c r="AU66" s="351"/>
      <c r="AV66" s="83">
        <f>SUMPRODUCT(1*(EXACT(CONCATENATE(Tableau1[[#This Row],[PO Number (Header)]],"-",Tableau1[[#This Row],[Line]]),UO_List[Unique_AIB_ID]))*(UO_List[Qté Réception 04/2020]))</f>
        <v>0</v>
      </c>
      <c r="AW66" s="83">
        <f>SUMPRODUCT(1*(EXACT(CONCATENATE(Tableau1[[#This Row],[PO Number (Header)]],"-",Tableau1[[#This Row],[Line]]),UO_List[Unique_AIB_ID]))*(UO_List[Qté Réception 04/2020]))</f>
        <v>0</v>
      </c>
      <c r="AX66" s="351"/>
      <c r="AY66" s="351" t="str">
        <f>IFERROR(Tableau1[[#This Row],[Qté Facturé 04/2018]]*Tableau1[[#This Row],[Unit Price (calcul)]],"")</f>
        <v/>
      </c>
      <c r="AZ66" s="351" t="str">
        <f>IFERROR(IF(Tableau1[[#This Row],[Montant Facturé 04/2018]]&gt;0,Tableau1[[#This Row],[Montant Facturé 04/2018]]/Taux_Change_SII,""),"")</f>
        <v/>
      </c>
      <c r="BA66" s="351"/>
      <c r="BB66" s="83">
        <f>SUMPRODUCT(1*(EXACT(CONCATENATE(Tableau1[[#This Row],[PO Number (Header)]],"-",Tableau1[[#This Row],[Line]]),UO_List[Unique_AIB_ID]))*(UO_List[Qté Réception 05/2020]))</f>
        <v>0</v>
      </c>
      <c r="BC66" s="84"/>
      <c r="BD66" s="351"/>
      <c r="BE66" s="351" t="str">
        <f>IFERROR(Tableau1[[#This Row],[Qté Facturé 05/2018]]*Tableau1[[#This Row],[Unit Price (calcul)]],"")</f>
        <v/>
      </c>
      <c r="BF66" s="351" t="str">
        <f>IFERROR(IF(Tableau1[[#This Row],[Montant Facturé 05/2018]]&gt;0,Tableau1[[#This Row],[Montant Facturé 05/2018]]/Taux_Change_SII,""),"")</f>
        <v/>
      </c>
      <c r="BG66" s="351"/>
      <c r="BH66" s="83">
        <f>SUMPRODUCT(1*(EXACT(CONCATENATE(Tableau1[[#This Row],[PO Number (Header)]],"-",Tableau1[[#This Row],[Line]]),UO_List[Unique_AIB_ID]))*(UO_List[Qté Réception 06/2020]))</f>
        <v>0</v>
      </c>
      <c r="BI66" s="84">
        <v>0</v>
      </c>
      <c r="BJ66" s="351"/>
      <c r="BK66" s="351" t="str">
        <f>IFERROR(Tableau1[[#This Row],[Qté Facturé 06/2018]]*Tableau1[[#This Row],[Unit Price (calcul)]],"")</f>
        <v/>
      </c>
      <c r="BL66" s="351" t="str">
        <f>IFERROR(IF(Tableau1[[#This Row],[Montant Facturé 06/2018]]&gt;0,Tableau1[[#This Row],[Montant Facturé 06/2018]]/Taux_Change_SII,""),"")</f>
        <v/>
      </c>
      <c r="BM66" s="351"/>
      <c r="BN66" s="83">
        <f>SUMPRODUCT(1*(EXACT(CONCATENATE(Tableau1[[#This Row],[PO Number (Header)]],"-",Tableau1[[#This Row],[Line]]),UO_List[Unique_AIB_ID]))*(UO_List[Qté Réception 07/2020]))</f>
        <v>0</v>
      </c>
      <c r="BO66" s="84">
        <v>0</v>
      </c>
      <c r="BP66" s="351"/>
      <c r="BQ66" s="351" t="str">
        <f>IFERROR(Tableau1[[#This Row],[Qté Facturé 07/2018]]*Tableau1[[#This Row],[Unit Price (calcul)]],"")</f>
        <v/>
      </c>
      <c r="BR66" s="351" t="str">
        <f>IFERROR(IF(Tableau1[[#This Row],[Montant Facturé 07/2018]]&gt;0,Tableau1[[#This Row],[Montant Facturé 07/2018]]/Taux_Change_SII,""),"")</f>
        <v/>
      </c>
      <c r="BS66" s="351"/>
      <c r="BT66" s="83">
        <f>SUMPRODUCT(1*(EXACT(CONCATENATE(Tableau1[[#This Row],[PO Number (Header)]],"-",Tableau1[[#This Row],[Line]]),UO_List[Unique_AIB_ID]))*(UO_List[Qté Réception 08/2020]))</f>
        <v>0</v>
      </c>
      <c r="BU66" s="84"/>
      <c r="BV66" s="351"/>
      <c r="BW66" s="351" t="str">
        <f>IFERROR(Tableau1[[#This Row],[Qté Facturé 08/2018]]*Tableau1[[#This Row],[Unit Price (calcul)]],"")</f>
        <v/>
      </c>
      <c r="BX66" s="351" t="str">
        <f>IFERROR(IF(Tableau1[[#This Row],[Montant Facturé 08/2018]]&gt;0,Tableau1[[#This Row],[Montant Facturé 08/2018]]/Taux_Change_SII,""),"")</f>
        <v/>
      </c>
      <c r="BY66" s="351"/>
      <c r="BZ66" s="83">
        <f>SUMPRODUCT(1*(EXACT(CONCATENATE(Tableau1[[#This Row],[PO Number (Header)]],"-",Tableau1[[#This Row],[Line]]),UO_List[Unique_AIB_ID]))*(UO_List[Qté Réception 09/2020]))</f>
        <v>0</v>
      </c>
      <c r="CA66" s="84">
        <v>0</v>
      </c>
      <c r="CB66" s="351"/>
      <c r="CC66" s="351" t="str">
        <f>IFERROR(Tableau1[[#This Row],[Qté Facturé 09/2018]]*Tableau1[[#This Row],[Unit Price (calcul)]],"")</f>
        <v/>
      </c>
      <c r="CD66" s="351" t="str">
        <f>IFERROR(IF(Tableau1[[#This Row],[Montant Facturé 09/2018]]&gt;0,Tableau1[[#This Row],[Montant Facturé 09/2018]]/Taux_Change_SII,""),"")</f>
        <v/>
      </c>
      <c r="CE66" s="351"/>
      <c r="CF66" s="83">
        <f>SUMPRODUCT(1*(EXACT(CONCATENATE(Tableau1[[#This Row],[PO Number (Header)]],"-",Tableau1[[#This Row],[Line]]),UO_List[Unique_AIB_ID]))*(UO_List[Qté Réception 10/2020]))</f>
        <v>0</v>
      </c>
      <c r="CG66" s="84">
        <v>0</v>
      </c>
      <c r="CH66" s="351"/>
      <c r="CI66" s="351" t="str">
        <f>IFERROR(Tableau1[[#This Row],[Qté Facturé 10/2018]]*Tableau1[[#This Row],[Unit Price (calcul)]],"")</f>
        <v/>
      </c>
      <c r="CJ66" s="351" t="str">
        <f>IFERROR(IF(Tableau1[[#This Row],[Montant Facturé 10/2018]]&gt;0,Tableau1[[#This Row],[Montant Facturé 10/2018]]/Taux_Change_SII,""),"")</f>
        <v/>
      </c>
      <c r="CK66" s="351"/>
      <c r="CL66" s="83">
        <f>SUMPRODUCT(1*(EXACT(CONCATENATE(Tableau1[[#This Row],[PO Number (Header)]],"-",Tableau1[[#This Row],[Line]]),UO_List[Unique_AIB_ID]))*(UO_List[Qté Réception 11/2020]))</f>
        <v>0</v>
      </c>
      <c r="CM66" s="84"/>
      <c r="CN66" s="351"/>
      <c r="CO66" s="351" t="str">
        <f>IFERROR(Tableau1[[#This Row],[Qté Facturé 11/2018]]*Tableau1[[#This Row],[Unit Price (calcul)]],"")</f>
        <v/>
      </c>
      <c r="CP66" s="351" t="str">
        <f>IFERROR(IF(Tableau1[[#This Row],[Montant Facturé 11/2018]]&gt;0,Tableau1[[#This Row],[Montant Facturé 11/2018]]/Taux_Change_SII,""),"")</f>
        <v/>
      </c>
      <c r="CQ66" s="351"/>
      <c r="CR66" s="83">
        <f>SUMPRODUCT(1*(EXACT(CONCATENATE(Tableau1[[#This Row],[PO Number (Header)]],"-",Tableau1[[#This Row],[Line]]),UO_List[Unique_AIB_ID]))*(UO_List[Qté Réception 12/2020]))</f>
        <v>0</v>
      </c>
      <c r="CS66" s="84"/>
      <c r="CT66" s="351"/>
      <c r="CU66" s="351" t="str">
        <f>IFERROR(Tableau1[[#This Row],[Qté Facturé 12/2018]]*Tableau1[[#This Row],[Unit Price (calcul)]],"")</f>
        <v/>
      </c>
      <c r="CV66" s="351" t="str">
        <f>IFERROR(IF(Tableau1[[#This Row],[Montant Facturé 12/2018]]&gt;0,Tableau1[[#This Row],[Montant Facturé 12/2018]]/Taux_Change_SII,""),"")</f>
        <v/>
      </c>
      <c r="CW66" s="351"/>
      <c r="CX6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6" s="352" t="str">
        <f>IFERROR(Tableau1[[#This Row],[Total item réceptionné]]*Tableau1[[#This Row],[Unit Price (calcul)]],"")</f>
        <v/>
      </c>
      <c r="DB66" s="352" t="str">
        <f>IFERROR(Tableau1[[#This Row],[Total item à Facturer]]*Tableau1[[#This Row],[Unit Price (calcul)]],"")</f>
        <v/>
      </c>
      <c r="DC6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6" s="352" t="str">
        <f>IFERROR(Tableau1[[#This Row],[Line Total]]-Tableau1[[#This Row],[Total Price Réceptionné]],"")</f>
        <v/>
      </c>
      <c r="DE66" s="352" t="str">
        <f>IFERROR(Tableau1[[#This Row],[Total Price Réceptionné]]-Tableau1[[#This Row],[Total Price A facturer]],"")</f>
        <v/>
      </c>
      <c r="DF66" s="353" t="str">
        <f>IFERROR(Tableau1[[#This Row],[Total Price A facturer]]-Tableau1[[#This Row],[Total Price Facturé]],"")</f>
        <v/>
      </c>
      <c r="DG66" s="76">
        <f>Tableau1[[#This Row],[Total Item Quantity]]-Tableau1[[#This Row],[Total item réceptionné]]</f>
        <v>0</v>
      </c>
      <c r="DH66" s="167"/>
      <c r="DI66" s="167"/>
    </row>
    <row r="67" spans="1:113" s="74" customFormat="1" ht="15.75" customHeight="1">
      <c r="A67" s="77" t="str">
        <f>CONCATENATE(Tableau1[[#This Row],[PO Number (Header)]],"-",Tableau1[[#This Row],[Line]])</f>
        <v>-</v>
      </c>
      <c r="B67" s="405"/>
      <c r="C67" s="158"/>
      <c r="D67" s="406"/>
      <c r="F67" s="158"/>
      <c r="G67" s="158"/>
      <c r="H67" s="158"/>
      <c r="I67" s="158"/>
      <c r="J67" s="158"/>
      <c r="K67" s="158"/>
      <c r="N67" s="77"/>
      <c r="O67" s="77"/>
      <c r="P67" s="77"/>
      <c r="Q67" s="395"/>
      <c r="R67" s="395"/>
      <c r="S67" s="77"/>
      <c r="T67" s="77"/>
      <c r="U67" s="77"/>
      <c r="V67" s="77"/>
      <c r="W67" s="167"/>
      <c r="X67" s="167"/>
      <c r="Y67" s="167" t="str">
        <f>IF(ISBLANK(Tableau1[[#This Row],[PO Number (Header)]]),"",Tableau1[[#This Row],[Line Total]]/Tableau1[[#This Row],[Total Item Quantity]])</f>
        <v/>
      </c>
      <c r="Z67" s="167" t="str">
        <f>IF(ISNA(VLOOKUP(Tableau1[[#This Row],[Unique_AIB_ID]],UO_List[Unique_AIB_ID],1,FALSE)),IF(ISBLANK(Tableau1[[#This Row],[PO Number (Header)]]),"","FAUX"),"VRAI")</f>
        <v/>
      </c>
      <c r="AA67" s="167"/>
      <c r="AB67" s="162" t="e">
        <f>VLOOKUP(Tableau1[[#This Row],[Unique_AIB_ID]],UO_List[[Unique_AIB_ID]:[OLGA F6]],3,FALSE)</f>
        <v>#N/A</v>
      </c>
      <c r="AC67" s="162" t="s">
        <v>779</v>
      </c>
      <c r="AD67" s="83">
        <f>SUMPRODUCT(1*(EXACT(CONCATENATE(Tableau1[[#This Row],[PO Number (Header)]],"-",Tableau1[[#This Row],[Line]]),UO_List[Unique_AIB_ID]))*(UO_List[Qté Réception 03/2020]))</f>
        <v>0</v>
      </c>
      <c r="AE67" s="84"/>
      <c r="AF67" s="357"/>
      <c r="AG67" s="351" t="str">
        <f>IFERROR(Tableau1[[#This Row],[Qté Facturé 01/2018]]*Tableau1[[#This Row],[Unit Price (calcul)]],"")</f>
        <v/>
      </c>
      <c r="AH67" s="356" t="str">
        <f>IFERROR(IF(Tableau1[[#This Row],[Montant Facturé 01/2018]]&gt;0,Tableau1[[#This Row],[Montant Facturé 01/2018]]/Taux_Change_SII,""),"")</f>
        <v/>
      </c>
      <c r="AI67" s="351"/>
      <c r="AJ67" s="83">
        <f>SUMPRODUCT(1*(EXACT(CONCATENATE(Tableau1[[#This Row],[PO Number (Header)]],"-",Tableau1[[#This Row],[Line]]),UO_List[Unique_AIB_ID]))*(UO_List[Qté Réception 02/2020]))</f>
        <v>0</v>
      </c>
      <c r="AK67" s="83">
        <f>SUMPRODUCT(1*(EXACT(CONCATENATE(Tableau1[[#This Row],[PO Number (Header)]],"-",Tableau1[[#This Row],[Line]]),UO_List[Unique_AIB_ID]))*(UO_List[Qté Réception 02/2020]))</f>
        <v>0</v>
      </c>
      <c r="AL67" s="357"/>
      <c r="AM67" s="351" t="str">
        <f>IFERROR(Tableau1[[#This Row],[Qté Facturé 02/2018]]*Tableau1[[#This Row],[Unit Price (calcul)]],"")</f>
        <v/>
      </c>
      <c r="AN67" s="351" t="str">
        <f>IFERROR(IF(Tableau1[[#This Row],[Montant Facturé 02/2018]]&gt;0,Tableau1[[#This Row],[Montant Facturé 02/2018]]/Taux_Change_SII,""),"")</f>
        <v/>
      </c>
      <c r="AO67" s="351"/>
      <c r="AP67" s="83">
        <f>SUMPRODUCT(1*(EXACT(CONCATENATE(Tableau1[[#This Row],[PO Number (Header)]],"-",Tableau1[[#This Row],[Line]]),UO_List[Unique_AIB_ID]))*(UO_List[Qté Réception 00/2020]))</f>
        <v>0</v>
      </c>
      <c r="AQ67" s="84">
        <v>0</v>
      </c>
      <c r="AR67" s="357"/>
      <c r="AS67" s="351" t="str">
        <f>IFERROR(Tableau1[[#This Row],[Qté Facturé 03/2018]]*Tableau1[[#This Row],[Unit Price (calcul)]],"")</f>
        <v/>
      </c>
      <c r="AT67" s="351" t="str">
        <f>IFERROR(IF(Tableau1[[#This Row],[Montant Facturé 03/2018]]&gt;0,Tableau1[[#This Row],[Montant Facturé 03/2018]]/Taux_Change_SII,""),"")</f>
        <v/>
      </c>
      <c r="AU67" s="351"/>
      <c r="AV67" s="83">
        <f>SUMPRODUCT(1*(EXACT(CONCATENATE(Tableau1[[#This Row],[PO Number (Header)]],"-",Tableau1[[#This Row],[Line]]),UO_List[Unique_AIB_ID]))*(UO_List[Qté Réception 04/2020]))</f>
        <v>0</v>
      </c>
      <c r="AW67" s="84"/>
      <c r="AX67" s="351"/>
      <c r="AY67" s="351" t="str">
        <f>IFERROR(Tableau1[[#This Row],[Qté Facturé 04/2018]]*Tableau1[[#This Row],[Unit Price (calcul)]],"")</f>
        <v/>
      </c>
      <c r="AZ67" s="351" t="str">
        <f>IFERROR(IF(Tableau1[[#This Row],[Montant Facturé 04/2018]]&gt;0,Tableau1[[#This Row],[Montant Facturé 04/2018]]/Taux_Change_SII,""),"")</f>
        <v/>
      </c>
      <c r="BA67" s="351"/>
      <c r="BB67" s="83">
        <f>SUMPRODUCT(1*(EXACT(CONCATENATE(Tableau1[[#This Row],[PO Number (Header)]],"-",Tableau1[[#This Row],[Line]]),UO_List[Unique_AIB_ID]))*(UO_List[Qté Réception 05/2020]))</f>
        <v>0</v>
      </c>
      <c r="BC67" s="84"/>
      <c r="BD67" s="351"/>
      <c r="BE67" s="351" t="str">
        <f>IFERROR(Tableau1[[#This Row],[Qté Facturé 05/2018]]*Tableau1[[#This Row],[Unit Price (calcul)]],"")</f>
        <v/>
      </c>
      <c r="BF67" s="351" t="str">
        <f>IFERROR(IF(Tableau1[[#This Row],[Montant Facturé 05/2018]]&gt;0,Tableau1[[#This Row],[Montant Facturé 05/2018]]/Taux_Change_SII,""),"")</f>
        <v/>
      </c>
      <c r="BG67" s="351"/>
      <c r="BH67" s="83">
        <f>SUMPRODUCT(1*(EXACT(CONCATENATE(Tableau1[[#This Row],[PO Number (Header)]],"-",Tableau1[[#This Row],[Line]]),UO_List[Unique_AIB_ID]))*(UO_List[Qté Réception 06/2020]))</f>
        <v>0</v>
      </c>
      <c r="BI67" s="84"/>
      <c r="BJ67" s="351"/>
      <c r="BK67" s="351" t="str">
        <f>IFERROR(Tableau1[[#This Row],[Qté Facturé 06/2018]]*Tableau1[[#This Row],[Unit Price (calcul)]],"")</f>
        <v/>
      </c>
      <c r="BL67" s="351" t="str">
        <f>IFERROR(IF(Tableau1[[#This Row],[Montant Facturé 06/2018]]&gt;0,Tableau1[[#This Row],[Montant Facturé 06/2018]]/Taux_Change_SII,""),"")</f>
        <v/>
      </c>
      <c r="BM67" s="351"/>
      <c r="BN67" s="83">
        <f>SUMPRODUCT(1*(EXACT(CONCATENATE(Tableau1[[#This Row],[PO Number (Header)]],"-",Tableau1[[#This Row],[Line]]),UO_List[Unique_AIB_ID]))*(UO_List[Qté Réception 07/2020]))</f>
        <v>0</v>
      </c>
      <c r="BO67" s="84">
        <v>0</v>
      </c>
      <c r="BP67" s="351"/>
      <c r="BQ67" s="351" t="str">
        <f>IFERROR(Tableau1[[#This Row],[Qté Facturé 07/2018]]*Tableau1[[#This Row],[Unit Price (calcul)]],"")</f>
        <v/>
      </c>
      <c r="BR67" s="351" t="str">
        <f>IFERROR(IF(Tableau1[[#This Row],[Montant Facturé 07/2018]]&gt;0,Tableau1[[#This Row],[Montant Facturé 07/2018]]/Taux_Change_SII,""),"")</f>
        <v/>
      </c>
      <c r="BS67" s="351"/>
      <c r="BT67" s="83">
        <f>SUMPRODUCT(1*(EXACT(CONCATENATE(Tableau1[[#This Row],[PO Number (Header)]],"-",Tableau1[[#This Row],[Line]]),UO_List[Unique_AIB_ID]))*(UO_List[Qté Réception 08/2020]))</f>
        <v>0</v>
      </c>
      <c r="BU67" s="84"/>
      <c r="BV67" s="351"/>
      <c r="BW67" s="351" t="str">
        <f>IFERROR(Tableau1[[#This Row],[Qté Facturé 08/2018]]*Tableau1[[#This Row],[Unit Price (calcul)]],"")</f>
        <v/>
      </c>
      <c r="BX67" s="351" t="str">
        <f>IFERROR(IF(Tableau1[[#This Row],[Montant Facturé 08/2018]]&gt;0,Tableau1[[#This Row],[Montant Facturé 08/2018]]/Taux_Change_SII,""),"")</f>
        <v/>
      </c>
      <c r="BY67" s="351"/>
      <c r="BZ67" s="83">
        <f>SUMPRODUCT(1*(EXACT(CONCATENATE(Tableau1[[#This Row],[PO Number (Header)]],"-",Tableau1[[#This Row],[Line]]),UO_List[Unique_AIB_ID]))*(UO_List[Qté Réception 09/2020]))</f>
        <v>0</v>
      </c>
      <c r="CA67" s="84">
        <v>0</v>
      </c>
      <c r="CB67" s="351"/>
      <c r="CC67" s="351" t="str">
        <f>IFERROR(Tableau1[[#This Row],[Qté Facturé 09/2018]]*Tableau1[[#This Row],[Unit Price (calcul)]],"")</f>
        <v/>
      </c>
      <c r="CD67" s="351" t="str">
        <f>IFERROR(IF(Tableau1[[#This Row],[Montant Facturé 09/2018]]&gt;0,Tableau1[[#This Row],[Montant Facturé 09/2018]]/Taux_Change_SII,""),"")</f>
        <v/>
      </c>
      <c r="CE67" s="351"/>
      <c r="CF67" s="83">
        <f>SUMPRODUCT(1*(EXACT(CONCATENATE(Tableau1[[#This Row],[PO Number (Header)]],"-",Tableau1[[#This Row],[Line]]),UO_List[Unique_AIB_ID]))*(UO_List[Qté Réception 10/2020]))</f>
        <v>0</v>
      </c>
      <c r="CG67" s="84">
        <v>0</v>
      </c>
      <c r="CH67" s="351"/>
      <c r="CI67" s="351" t="str">
        <f>IFERROR(Tableau1[[#This Row],[Qté Facturé 10/2018]]*Tableau1[[#This Row],[Unit Price (calcul)]],"")</f>
        <v/>
      </c>
      <c r="CJ67" s="351" t="str">
        <f>IFERROR(IF(Tableau1[[#This Row],[Montant Facturé 10/2018]]&gt;0,Tableau1[[#This Row],[Montant Facturé 10/2018]]/Taux_Change_SII,""),"")</f>
        <v/>
      </c>
      <c r="CK67" s="351"/>
      <c r="CL67" s="83">
        <f>SUMPRODUCT(1*(EXACT(CONCATENATE(Tableau1[[#This Row],[PO Number (Header)]],"-",Tableau1[[#This Row],[Line]]),UO_List[Unique_AIB_ID]))*(UO_List[Qté Réception 11/2020]))</f>
        <v>0</v>
      </c>
      <c r="CM67" s="84"/>
      <c r="CN67" s="351"/>
      <c r="CO67" s="351" t="str">
        <f>IFERROR(Tableau1[[#This Row],[Qté Facturé 11/2018]]*Tableau1[[#This Row],[Unit Price (calcul)]],"")</f>
        <v/>
      </c>
      <c r="CP67" s="351" t="str">
        <f>IFERROR(IF(Tableau1[[#This Row],[Montant Facturé 11/2018]]&gt;0,Tableau1[[#This Row],[Montant Facturé 11/2018]]/Taux_Change_SII,""),"")</f>
        <v/>
      </c>
      <c r="CQ67" s="351"/>
      <c r="CR67" s="83">
        <f>SUMPRODUCT(1*(EXACT(CONCATENATE(Tableau1[[#This Row],[PO Number (Header)]],"-",Tableau1[[#This Row],[Line]]),UO_List[Unique_AIB_ID]))*(UO_List[Qté Réception 12/2020]))</f>
        <v>0</v>
      </c>
      <c r="CS67" s="84"/>
      <c r="CT67" s="351"/>
      <c r="CU67" s="351" t="str">
        <f>IFERROR(Tableau1[[#This Row],[Qté Facturé 12/2018]]*Tableau1[[#This Row],[Unit Price (calcul)]],"")</f>
        <v/>
      </c>
      <c r="CV67" s="351" t="str">
        <f>IFERROR(IF(Tableau1[[#This Row],[Montant Facturé 12/2018]]&gt;0,Tableau1[[#This Row],[Montant Facturé 12/2018]]/Taux_Change_SII,""),"")</f>
        <v/>
      </c>
      <c r="CW67" s="351"/>
      <c r="CX6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7" s="352" t="str">
        <f>IFERROR(Tableau1[[#This Row],[Total item réceptionné]]*Tableau1[[#This Row],[Unit Price (calcul)]],"")</f>
        <v/>
      </c>
      <c r="DB67" s="352" t="str">
        <f>IFERROR(Tableau1[[#This Row],[Total item à Facturer]]*Tableau1[[#This Row],[Unit Price (calcul)]],"")</f>
        <v/>
      </c>
      <c r="DC6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7" s="352" t="str">
        <f>IFERROR(Tableau1[[#This Row],[Line Total]]-Tableau1[[#This Row],[Total Price Réceptionné]],"")</f>
        <v/>
      </c>
      <c r="DE67" s="352" t="str">
        <f>IFERROR(Tableau1[[#This Row],[Total Price Réceptionné]]-Tableau1[[#This Row],[Total Price A facturer]],"")</f>
        <v/>
      </c>
      <c r="DF67" s="353" t="str">
        <f>IFERROR(Tableau1[[#This Row],[Total Price A facturer]]-Tableau1[[#This Row],[Total Price Facturé]],"")</f>
        <v/>
      </c>
      <c r="DG67" s="76">
        <f>Tableau1[[#This Row],[Total Item Quantity]]-Tableau1[[#This Row],[Total item réceptionné]]</f>
        <v>0</v>
      </c>
      <c r="DH67" s="167"/>
      <c r="DI67" s="167"/>
    </row>
    <row r="68" spans="1:113" s="74" customFormat="1">
      <c r="A68" s="77" t="str">
        <f>CONCATENATE(Tableau1[[#This Row],[PO Number (Header)]],"-",Tableau1[[#This Row],[Line]])</f>
        <v>-</v>
      </c>
      <c r="B68" s="126"/>
      <c r="C68" s="77"/>
      <c r="D68" s="10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395"/>
      <c r="R68" s="395"/>
      <c r="S68" s="77"/>
      <c r="T68" s="77"/>
      <c r="U68" s="77"/>
      <c r="V68" s="77"/>
      <c r="W68" s="167"/>
      <c r="X68" s="167"/>
      <c r="Y68" s="167" t="str">
        <f>IF(ISBLANK(Tableau1[[#This Row],[PO Number (Header)]]),"",Tableau1[[#This Row],[Line Total]]/Tableau1[[#This Row],[Total Item Quantity]])</f>
        <v/>
      </c>
      <c r="Z68" s="167" t="str">
        <f>IF(ISNA(VLOOKUP(Tableau1[[#This Row],[Unique_AIB_ID]],UO_List[Unique_AIB_ID],1,FALSE)),IF(ISBLANK(Tableau1[[#This Row],[PO Number (Header)]]),"","FAUX"),"VRAI")</f>
        <v/>
      </c>
      <c r="AA68" s="167"/>
      <c r="AB68" s="162" t="e">
        <f>VLOOKUP(Tableau1[[#This Row],[Unique_AIB_ID]],UO_List[[Unique_AIB_ID]:[OLGA F6]],3,FALSE)</f>
        <v>#N/A</v>
      </c>
      <c r="AC68" s="162" t="s">
        <v>779</v>
      </c>
      <c r="AD68" s="83">
        <f>SUMPRODUCT(1*(EXACT(CONCATENATE(Tableau1[[#This Row],[PO Number (Header)]],"-",Tableau1[[#This Row],[Line]]),UO_List[Unique_AIB_ID]))*(UO_List[Qté Réception 03/2020]))</f>
        <v>0</v>
      </c>
      <c r="AE68" s="84"/>
      <c r="AF68" s="357"/>
      <c r="AG68" s="351" t="str">
        <f>IFERROR(Tableau1[[#This Row],[Qté Facturé 01/2018]]*Tableau1[[#This Row],[Unit Price (calcul)]],"")</f>
        <v/>
      </c>
      <c r="AH68" s="356" t="str">
        <f>IFERROR(IF(Tableau1[[#This Row],[Montant Facturé 01/2018]]&gt;0,Tableau1[[#This Row],[Montant Facturé 01/2018]]/Taux_Change_SII,""),"")</f>
        <v/>
      </c>
      <c r="AI68" s="351"/>
      <c r="AJ68" s="83">
        <f>SUMPRODUCT(1*(EXACT(CONCATENATE(Tableau1[[#This Row],[PO Number (Header)]],"-",Tableau1[[#This Row],[Line]]),UO_List[Unique_AIB_ID]))*(UO_List[Qté Réception 02/2020]))</f>
        <v>0</v>
      </c>
      <c r="AK68" s="83">
        <f>SUMPRODUCT(1*(EXACT(CONCATENATE(Tableau1[[#This Row],[PO Number (Header)]],"-",Tableau1[[#This Row],[Line]]),UO_List[Unique_AIB_ID]))*(UO_List[Qté Réception 02/2020]))</f>
        <v>0</v>
      </c>
      <c r="AL68" s="357"/>
      <c r="AM68" s="351" t="str">
        <f>IFERROR(Tableau1[[#This Row],[Qté Facturé 02/2018]]*Tableau1[[#This Row],[Unit Price (calcul)]],"")</f>
        <v/>
      </c>
      <c r="AN68" s="351" t="str">
        <f>IFERROR(IF(Tableau1[[#This Row],[Montant Facturé 02/2018]]&gt;0,Tableau1[[#This Row],[Montant Facturé 02/2018]]/Taux_Change_SII,""),"")</f>
        <v/>
      </c>
      <c r="AO68" s="351"/>
      <c r="AP68" s="83">
        <f>SUMPRODUCT(1*(EXACT(CONCATENATE(Tableau1[[#This Row],[PO Number (Header)]],"-",Tableau1[[#This Row],[Line]]),UO_List[Unique_AIB_ID]))*(UO_List[Qté Réception 00/2020]))</f>
        <v>0</v>
      </c>
      <c r="AQ68" s="84">
        <v>0</v>
      </c>
      <c r="AR68" s="357"/>
      <c r="AS68" s="351" t="str">
        <f>IFERROR(Tableau1[[#This Row],[Qté Facturé 03/2018]]*Tableau1[[#This Row],[Unit Price (calcul)]],"")</f>
        <v/>
      </c>
      <c r="AT68" s="351" t="str">
        <f>IFERROR(IF(Tableau1[[#This Row],[Montant Facturé 03/2018]]&gt;0,Tableau1[[#This Row],[Montant Facturé 03/2018]]/Taux_Change_SII,""),"")</f>
        <v/>
      </c>
      <c r="AU68" s="351"/>
      <c r="AV68" s="83">
        <f>SUMPRODUCT(1*(EXACT(CONCATENATE(Tableau1[[#This Row],[PO Number (Header)]],"-",Tableau1[[#This Row],[Line]]),UO_List[Unique_AIB_ID]))*(UO_List[Qté Réception 04/2020]))</f>
        <v>0</v>
      </c>
      <c r="AW68" s="84"/>
      <c r="AX68" s="351"/>
      <c r="AY68" s="351" t="str">
        <f>IFERROR(Tableau1[[#This Row],[Qté Facturé 04/2018]]*Tableau1[[#This Row],[Unit Price (calcul)]],"")</f>
        <v/>
      </c>
      <c r="AZ68" s="351" t="str">
        <f>IFERROR(IF(Tableau1[[#This Row],[Montant Facturé 04/2018]]&gt;0,Tableau1[[#This Row],[Montant Facturé 04/2018]]/Taux_Change_SII,""),"")</f>
        <v/>
      </c>
      <c r="BA68" s="351"/>
      <c r="BB68" s="83">
        <f>SUMPRODUCT(1*(EXACT(CONCATENATE(Tableau1[[#This Row],[PO Number (Header)]],"-",Tableau1[[#This Row],[Line]]),UO_List[Unique_AIB_ID]))*(UO_List[Qté Réception 05/2020]))</f>
        <v>0</v>
      </c>
      <c r="BC68" s="84"/>
      <c r="BD68" s="351"/>
      <c r="BE68" s="351" t="str">
        <f>IFERROR(Tableau1[[#This Row],[Qté Facturé 05/2018]]*Tableau1[[#This Row],[Unit Price (calcul)]],"")</f>
        <v/>
      </c>
      <c r="BF68" s="351" t="str">
        <f>IFERROR(IF(Tableau1[[#This Row],[Montant Facturé 05/2018]]&gt;0,Tableau1[[#This Row],[Montant Facturé 05/2018]]/Taux_Change_SII,""),"")</f>
        <v/>
      </c>
      <c r="BG68" s="351"/>
      <c r="BH68" s="83">
        <f>SUMPRODUCT(1*(EXACT(CONCATENATE(Tableau1[[#This Row],[PO Number (Header)]],"-",Tableau1[[#This Row],[Line]]),UO_List[Unique_AIB_ID]))*(UO_List[Qté Réception 06/2020]))</f>
        <v>0</v>
      </c>
      <c r="BI68" s="84"/>
      <c r="BJ68" s="351"/>
      <c r="BK68" s="351" t="str">
        <f>IFERROR(Tableau1[[#This Row],[Qté Facturé 06/2018]]*Tableau1[[#This Row],[Unit Price (calcul)]],"")</f>
        <v/>
      </c>
      <c r="BL68" s="351" t="str">
        <f>IFERROR(IF(Tableau1[[#This Row],[Montant Facturé 06/2018]]&gt;0,Tableau1[[#This Row],[Montant Facturé 06/2018]]/Taux_Change_SII,""),"")</f>
        <v/>
      </c>
      <c r="BM68" s="351"/>
      <c r="BN68" s="83">
        <f>SUMPRODUCT(1*(EXACT(CONCATENATE(Tableau1[[#This Row],[PO Number (Header)]],"-",Tableau1[[#This Row],[Line]]),UO_List[Unique_AIB_ID]))*(UO_List[Qté Réception 07/2020]))</f>
        <v>0</v>
      </c>
      <c r="BO68" s="84">
        <v>0</v>
      </c>
      <c r="BP68" s="351"/>
      <c r="BQ68" s="351" t="str">
        <f>IFERROR(Tableau1[[#This Row],[Qté Facturé 07/2018]]*Tableau1[[#This Row],[Unit Price (calcul)]],"")</f>
        <v/>
      </c>
      <c r="BR68" s="351" t="str">
        <f>IFERROR(IF(Tableau1[[#This Row],[Montant Facturé 07/2018]]&gt;0,Tableau1[[#This Row],[Montant Facturé 07/2018]]/Taux_Change_SII,""),"")</f>
        <v/>
      </c>
      <c r="BS68" s="351"/>
      <c r="BT68" s="83">
        <f>SUMPRODUCT(1*(EXACT(CONCATENATE(Tableau1[[#This Row],[PO Number (Header)]],"-",Tableau1[[#This Row],[Line]]),UO_List[Unique_AIB_ID]))*(UO_List[Qté Réception 08/2020]))</f>
        <v>0</v>
      </c>
      <c r="BU68" s="84"/>
      <c r="BV68" s="351"/>
      <c r="BW68" s="351" t="str">
        <f>IFERROR(Tableau1[[#This Row],[Qté Facturé 08/2018]]*Tableau1[[#This Row],[Unit Price (calcul)]],"")</f>
        <v/>
      </c>
      <c r="BX68" s="351" t="str">
        <f>IFERROR(IF(Tableau1[[#This Row],[Montant Facturé 08/2018]]&gt;0,Tableau1[[#This Row],[Montant Facturé 08/2018]]/Taux_Change_SII,""),"")</f>
        <v/>
      </c>
      <c r="BY68" s="351"/>
      <c r="BZ68" s="83">
        <f>SUMPRODUCT(1*(EXACT(CONCATENATE(Tableau1[[#This Row],[PO Number (Header)]],"-",Tableau1[[#This Row],[Line]]),UO_List[Unique_AIB_ID]))*(UO_List[Qté Réception 09/2020]))</f>
        <v>0</v>
      </c>
      <c r="CA68" s="84">
        <v>0</v>
      </c>
      <c r="CB68" s="351"/>
      <c r="CC68" s="351" t="str">
        <f>IFERROR(Tableau1[[#This Row],[Qté Facturé 09/2018]]*Tableau1[[#This Row],[Unit Price (calcul)]],"")</f>
        <v/>
      </c>
      <c r="CD68" s="351" t="str">
        <f>IFERROR(IF(Tableau1[[#This Row],[Montant Facturé 09/2018]]&gt;0,Tableau1[[#This Row],[Montant Facturé 09/2018]]/Taux_Change_SII,""),"")</f>
        <v/>
      </c>
      <c r="CE68" s="351"/>
      <c r="CF68" s="83">
        <f>SUMPRODUCT(1*(EXACT(CONCATENATE(Tableau1[[#This Row],[PO Number (Header)]],"-",Tableau1[[#This Row],[Line]]),UO_List[Unique_AIB_ID]))*(UO_List[Qté Réception 10/2020]))</f>
        <v>0</v>
      </c>
      <c r="CG68" s="84">
        <v>0</v>
      </c>
      <c r="CH68" s="351"/>
      <c r="CI68" s="351" t="str">
        <f>IFERROR(Tableau1[[#This Row],[Qté Facturé 10/2018]]*Tableau1[[#This Row],[Unit Price (calcul)]],"")</f>
        <v/>
      </c>
      <c r="CJ68" s="351" t="str">
        <f>IFERROR(IF(Tableau1[[#This Row],[Montant Facturé 10/2018]]&gt;0,Tableau1[[#This Row],[Montant Facturé 10/2018]]/Taux_Change_SII,""),"")</f>
        <v/>
      </c>
      <c r="CK68" s="351"/>
      <c r="CL68" s="83">
        <f>SUMPRODUCT(1*(EXACT(CONCATENATE(Tableau1[[#This Row],[PO Number (Header)]],"-",Tableau1[[#This Row],[Line]]),UO_List[Unique_AIB_ID]))*(UO_List[Qté Réception 11/2020]))</f>
        <v>0</v>
      </c>
      <c r="CM68" s="84"/>
      <c r="CN68" s="351"/>
      <c r="CO68" s="351" t="str">
        <f>IFERROR(Tableau1[[#This Row],[Qté Facturé 11/2018]]*Tableau1[[#This Row],[Unit Price (calcul)]],"")</f>
        <v/>
      </c>
      <c r="CP68" s="351" t="str">
        <f>IFERROR(IF(Tableau1[[#This Row],[Montant Facturé 11/2018]]&gt;0,Tableau1[[#This Row],[Montant Facturé 11/2018]]/Taux_Change_SII,""),"")</f>
        <v/>
      </c>
      <c r="CQ68" s="351"/>
      <c r="CR68" s="83">
        <f>SUMPRODUCT(1*(EXACT(CONCATENATE(Tableau1[[#This Row],[PO Number (Header)]],"-",Tableau1[[#This Row],[Line]]),UO_List[Unique_AIB_ID]))*(UO_List[Qté Réception 12/2020]))</f>
        <v>0</v>
      </c>
      <c r="CS68" s="84"/>
      <c r="CT68" s="351"/>
      <c r="CU68" s="351" t="str">
        <f>IFERROR(Tableau1[[#This Row],[Qté Facturé 12/2018]]*Tableau1[[#This Row],[Unit Price (calcul)]],"")</f>
        <v/>
      </c>
      <c r="CV68" s="351" t="str">
        <f>IFERROR(IF(Tableau1[[#This Row],[Montant Facturé 12/2018]]&gt;0,Tableau1[[#This Row],[Montant Facturé 12/2018]]/Taux_Change_SII,""),"")</f>
        <v/>
      </c>
      <c r="CW68" s="351"/>
      <c r="CX6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8" s="352" t="str">
        <f>IFERROR(Tableau1[[#This Row],[Total item réceptionné]]*Tableau1[[#This Row],[Unit Price (calcul)]],"")</f>
        <v/>
      </c>
      <c r="DB68" s="352" t="str">
        <f>IFERROR(Tableau1[[#This Row],[Total item à Facturer]]*Tableau1[[#This Row],[Unit Price (calcul)]],"")</f>
        <v/>
      </c>
      <c r="DC6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8" s="352" t="str">
        <f>IFERROR(Tableau1[[#This Row],[Line Total]]-Tableau1[[#This Row],[Total Price Réceptionné]],"")</f>
        <v/>
      </c>
      <c r="DE68" s="352" t="str">
        <f>IFERROR(Tableau1[[#This Row],[Total Price Réceptionné]]-Tableau1[[#This Row],[Total Price A facturer]],"")</f>
        <v/>
      </c>
      <c r="DF68" s="353" t="str">
        <f>IFERROR(Tableau1[[#This Row],[Total Price A facturer]]-Tableau1[[#This Row],[Total Price Facturé]],"")</f>
        <v/>
      </c>
      <c r="DG68" s="76">
        <f>Tableau1[[#This Row],[Total Item Quantity]]-Tableau1[[#This Row],[Total item réceptionné]]</f>
        <v>0</v>
      </c>
      <c r="DH68" s="167"/>
      <c r="DI68" s="167"/>
    </row>
    <row r="69" spans="1:113" s="74" customFormat="1">
      <c r="A69" s="77" t="str">
        <f>CONCATENATE(Tableau1[[#This Row],[PO Number (Header)]],"-",Tableau1[[#This Row],[Line]])</f>
        <v>-</v>
      </c>
      <c r="B69" s="77"/>
      <c r="C69" s="77"/>
      <c r="D69" s="10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395"/>
      <c r="R69" s="395"/>
      <c r="S69" s="77"/>
      <c r="T69" s="77"/>
      <c r="U69" s="77"/>
      <c r="V69" s="77"/>
      <c r="W69" s="167"/>
      <c r="X69" s="167"/>
      <c r="Y69" s="167" t="str">
        <f>IF(ISBLANK(Tableau1[[#This Row],[PO Number (Header)]]),"",Tableau1[[#This Row],[Line Total]]/Tableau1[[#This Row],[Total Item Quantity]])</f>
        <v/>
      </c>
      <c r="Z69" s="167" t="str">
        <f>IF(ISNA(VLOOKUP(Tableau1[[#This Row],[Unique_AIB_ID]],UO_List[Unique_AIB_ID],1,FALSE)),IF(ISBLANK(Tableau1[[#This Row],[PO Number (Header)]]),"","FAUX"),"VRAI")</f>
        <v/>
      </c>
      <c r="AA69" s="167"/>
      <c r="AB69" s="162" t="e">
        <f>VLOOKUP(Tableau1[[#This Row],[Unique_AIB_ID]],UO_List[[Unique_AIB_ID]:[OLGA F6]],3,FALSE)</f>
        <v>#N/A</v>
      </c>
      <c r="AC69" s="162" t="s">
        <v>779</v>
      </c>
      <c r="AD69" s="83">
        <f>SUMPRODUCT(1*(EXACT(CONCATENATE(Tableau1[[#This Row],[PO Number (Header)]],"-",Tableau1[[#This Row],[Line]]),UO_List[Unique_AIB_ID]))*(UO_List[Qté Réception 03/2020]))</f>
        <v>0</v>
      </c>
      <c r="AE69" s="84"/>
      <c r="AF69" s="357"/>
      <c r="AG69" s="351" t="str">
        <f>IFERROR(Tableau1[[#This Row],[Qté Facturé 01/2018]]*Tableau1[[#This Row],[Unit Price (calcul)]],"")</f>
        <v/>
      </c>
      <c r="AH69" s="356" t="str">
        <f>IFERROR(IF(Tableau1[[#This Row],[Montant Facturé 01/2018]]&gt;0,Tableau1[[#This Row],[Montant Facturé 01/2018]]/Taux_Change_SII,""),"")</f>
        <v/>
      </c>
      <c r="AI69" s="351"/>
      <c r="AJ69" s="83">
        <f>SUMPRODUCT(1*(EXACT(CONCATENATE(Tableau1[[#This Row],[PO Number (Header)]],"-",Tableau1[[#This Row],[Line]]),UO_List[Unique_AIB_ID]))*(UO_List[Qté Réception 02/2020]))</f>
        <v>0</v>
      </c>
      <c r="AK69" s="83">
        <f>SUMPRODUCT(1*(EXACT(CONCATENATE(Tableau1[[#This Row],[PO Number (Header)]],"-",Tableau1[[#This Row],[Line]]),UO_List[Unique_AIB_ID]))*(UO_List[Qté Réception 02/2020]))</f>
        <v>0</v>
      </c>
      <c r="AL69" s="357"/>
      <c r="AM69" s="351" t="str">
        <f>IFERROR(Tableau1[[#This Row],[Qté Facturé 02/2018]]*Tableau1[[#This Row],[Unit Price (calcul)]],"")</f>
        <v/>
      </c>
      <c r="AN69" s="351" t="str">
        <f>IFERROR(IF(Tableau1[[#This Row],[Montant Facturé 02/2018]]&gt;0,Tableau1[[#This Row],[Montant Facturé 02/2018]]/Taux_Change_SII,""),"")</f>
        <v/>
      </c>
      <c r="AO69" s="351"/>
      <c r="AP69" s="83">
        <f>SUMPRODUCT(1*(EXACT(CONCATENATE(Tableau1[[#This Row],[PO Number (Header)]],"-",Tableau1[[#This Row],[Line]]),UO_List[Unique_AIB_ID]))*(UO_List[Qté Réception 00/2020]))</f>
        <v>0</v>
      </c>
      <c r="AQ69" s="84">
        <v>0</v>
      </c>
      <c r="AR69" s="357"/>
      <c r="AS69" s="351" t="str">
        <f>IFERROR(Tableau1[[#This Row],[Qté Facturé 03/2018]]*Tableau1[[#This Row],[Unit Price (calcul)]],"")</f>
        <v/>
      </c>
      <c r="AT69" s="351" t="str">
        <f>IFERROR(IF(Tableau1[[#This Row],[Montant Facturé 03/2018]]&gt;0,Tableau1[[#This Row],[Montant Facturé 03/2018]]/Taux_Change_SII,""),"")</f>
        <v/>
      </c>
      <c r="AU69" s="351"/>
      <c r="AV69" s="83">
        <f>SUMPRODUCT(1*(EXACT(CONCATENATE(Tableau1[[#This Row],[PO Number (Header)]],"-",Tableau1[[#This Row],[Line]]),UO_List[Unique_AIB_ID]))*(UO_List[Qté Réception 04/2020]))</f>
        <v>0</v>
      </c>
      <c r="AW69" s="84"/>
      <c r="AX69" s="351"/>
      <c r="AY69" s="351" t="str">
        <f>IFERROR(Tableau1[[#This Row],[Qté Facturé 04/2018]]*Tableau1[[#This Row],[Unit Price (calcul)]],"")</f>
        <v/>
      </c>
      <c r="AZ69" s="351" t="str">
        <f>IFERROR(IF(Tableau1[[#This Row],[Montant Facturé 04/2018]]&gt;0,Tableau1[[#This Row],[Montant Facturé 04/2018]]/Taux_Change_SII,""),"")</f>
        <v/>
      </c>
      <c r="BA69" s="351"/>
      <c r="BB69" s="83">
        <f>SUMPRODUCT(1*(EXACT(CONCATENATE(Tableau1[[#This Row],[PO Number (Header)]],"-",Tableau1[[#This Row],[Line]]),UO_List[Unique_AIB_ID]))*(UO_List[Qté Réception 05/2020]))</f>
        <v>0</v>
      </c>
      <c r="BC69" s="84">
        <v>0</v>
      </c>
      <c r="BD69" s="351"/>
      <c r="BE69" s="351" t="str">
        <f>IFERROR(Tableau1[[#This Row],[Qté Facturé 05/2018]]*Tableau1[[#This Row],[Unit Price (calcul)]],"")</f>
        <v/>
      </c>
      <c r="BF69" s="351" t="str">
        <f>IFERROR(IF(Tableau1[[#This Row],[Montant Facturé 05/2018]]&gt;0,Tableau1[[#This Row],[Montant Facturé 05/2018]]/Taux_Change_SII,""),"")</f>
        <v/>
      </c>
      <c r="BG69" s="351"/>
      <c r="BH69" s="83">
        <f>SUMPRODUCT(1*(EXACT(CONCATENATE(Tableau1[[#This Row],[PO Number (Header)]],"-",Tableau1[[#This Row],[Line]]),UO_List[Unique_AIB_ID]))*(UO_List[Qté Réception 06/2020]))</f>
        <v>0</v>
      </c>
      <c r="BI69" s="84">
        <v>0</v>
      </c>
      <c r="BJ69" s="351"/>
      <c r="BK69" s="351" t="str">
        <f>IFERROR(Tableau1[[#This Row],[Qté Facturé 06/2018]]*Tableau1[[#This Row],[Unit Price (calcul)]],"")</f>
        <v/>
      </c>
      <c r="BL69" s="351" t="str">
        <f>IFERROR(IF(Tableau1[[#This Row],[Montant Facturé 06/2018]]&gt;0,Tableau1[[#This Row],[Montant Facturé 06/2018]]/Taux_Change_SII,""),"")</f>
        <v/>
      </c>
      <c r="BM69" s="351"/>
      <c r="BN69" s="83">
        <f>SUMPRODUCT(1*(EXACT(CONCATENATE(Tableau1[[#This Row],[PO Number (Header)]],"-",Tableau1[[#This Row],[Line]]),UO_List[Unique_AIB_ID]))*(UO_List[Qté Réception 07/2020]))</f>
        <v>0</v>
      </c>
      <c r="BO69" s="84">
        <v>0</v>
      </c>
      <c r="BP69" s="351"/>
      <c r="BQ69" s="351" t="str">
        <f>IFERROR(Tableau1[[#This Row],[Qté Facturé 07/2018]]*Tableau1[[#This Row],[Unit Price (calcul)]],"")</f>
        <v/>
      </c>
      <c r="BR69" s="351" t="str">
        <f>IFERROR(IF(Tableau1[[#This Row],[Montant Facturé 07/2018]]&gt;0,Tableau1[[#This Row],[Montant Facturé 07/2018]]/Taux_Change_SII,""),"")</f>
        <v/>
      </c>
      <c r="BS69" s="351"/>
      <c r="BT69" s="83">
        <f>SUMPRODUCT(1*(EXACT(CONCATENATE(Tableau1[[#This Row],[PO Number (Header)]],"-",Tableau1[[#This Row],[Line]]),UO_List[Unique_AIB_ID]))*(UO_List[Qté Réception 08/2020]))</f>
        <v>0</v>
      </c>
      <c r="BU69" s="84"/>
      <c r="BV69" s="351"/>
      <c r="BW69" s="351" t="str">
        <f>IFERROR(Tableau1[[#This Row],[Qté Facturé 08/2018]]*Tableau1[[#This Row],[Unit Price (calcul)]],"")</f>
        <v/>
      </c>
      <c r="BX69" s="351" t="str">
        <f>IFERROR(IF(Tableau1[[#This Row],[Montant Facturé 08/2018]]&gt;0,Tableau1[[#This Row],[Montant Facturé 08/2018]]/Taux_Change_SII,""),"")</f>
        <v/>
      </c>
      <c r="BY69" s="351"/>
      <c r="BZ69" s="83">
        <f>SUMPRODUCT(1*(EXACT(CONCATENATE(Tableau1[[#This Row],[PO Number (Header)]],"-",Tableau1[[#This Row],[Line]]),UO_List[Unique_AIB_ID]))*(UO_List[Qté Réception 09/2020]))</f>
        <v>0</v>
      </c>
      <c r="CA69" s="84">
        <v>0</v>
      </c>
      <c r="CB69" s="351"/>
      <c r="CC69" s="351" t="str">
        <f>IFERROR(Tableau1[[#This Row],[Qté Facturé 09/2018]]*Tableau1[[#This Row],[Unit Price (calcul)]],"")</f>
        <v/>
      </c>
      <c r="CD69" s="351" t="str">
        <f>IFERROR(IF(Tableau1[[#This Row],[Montant Facturé 09/2018]]&gt;0,Tableau1[[#This Row],[Montant Facturé 09/2018]]/Taux_Change_SII,""),"")</f>
        <v/>
      </c>
      <c r="CE69" s="351"/>
      <c r="CF69" s="83">
        <f>SUMPRODUCT(1*(EXACT(CONCATENATE(Tableau1[[#This Row],[PO Number (Header)]],"-",Tableau1[[#This Row],[Line]]),UO_List[Unique_AIB_ID]))*(UO_List[Qté Réception 10/2020]))</f>
        <v>0</v>
      </c>
      <c r="CG69" s="84">
        <v>0</v>
      </c>
      <c r="CH69" s="351"/>
      <c r="CI69" s="351" t="str">
        <f>IFERROR(Tableau1[[#This Row],[Qté Facturé 10/2018]]*Tableau1[[#This Row],[Unit Price (calcul)]],"")</f>
        <v/>
      </c>
      <c r="CJ69" s="351" t="str">
        <f>IFERROR(IF(Tableau1[[#This Row],[Montant Facturé 10/2018]]&gt;0,Tableau1[[#This Row],[Montant Facturé 10/2018]]/Taux_Change_SII,""),"")</f>
        <v/>
      </c>
      <c r="CK69" s="351"/>
      <c r="CL69" s="83">
        <f>SUMPRODUCT(1*(EXACT(CONCATENATE(Tableau1[[#This Row],[PO Number (Header)]],"-",Tableau1[[#This Row],[Line]]),UO_List[Unique_AIB_ID]))*(UO_List[Qté Réception 11/2020]))</f>
        <v>0</v>
      </c>
      <c r="CM69" s="84"/>
      <c r="CN69" s="351"/>
      <c r="CO69" s="351" t="str">
        <f>IFERROR(Tableau1[[#This Row],[Qté Facturé 11/2018]]*Tableau1[[#This Row],[Unit Price (calcul)]],"")</f>
        <v/>
      </c>
      <c r="CP69" s="351" t="str">
        <f>IFERROR(IF(Tableau1[[#This Row],[Montant Facturé 11/2018]]&gt;0,Tableau1[[#This Row],[Montant Facturé 11/2018]]/Taux_Change_SII,""),"")</f>
        <v/>
      </c>
      <c r="CQ69" s="351"/>
      <c r="CR69" s="83">
        <f>SUMPRODUCT(1*(EXACT(CONCATENATE(Tableau1[[#This Row],[PO Number (Header)]],"-",Tableau1[[#This Row],[Line]]),UO_List[Unique_AIB_ID]))*(UO_List[Qté Réception 12/2020]))</f>
        <v>0</v>
      </c>
      <c r="CS69" s="84"/>
      <c r="CT69" s="351"/>
      <c r="CU69" s="351" t="str">
        <f>IFERROR(Tableau1[[#This Row],[Qté Facturé 12/2018]]*Tableau1[[#This Row],[Unit Price (calcul)]],"")</f>
        <v/>
      </c>
      <c r="CV69" s="351" t="str">
        <f>IFERROR(IF(Tableau1[[#This Row],[Montant Facturé 12/2018]]&gt;0,Tableau1[[#This Row],[Montant Facturé 12/2018]]/Taux_Change_SII,""),"")</f>
        <v/>
      </c>
      <c r="CW69" s="351"/>
      <c r="CX6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6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6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69" s="352" t="str">
        <f>IFERROR(Tableau1[[#This Row],[Total item réceptionné]]*Tableau1[[#This Row],[Unit Price (calcul)]],"")</f>
        <v/>
      </c>
      <c r="DB69" s="352" t="str">
        <f>IFERROR(Tableau1[[#This Row],[Total item à Facturer]]*Tableau1[[#This Row],[Unit Price (calcul)]],"")</f>
        <v/>
      </c>
      <c r="DC6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69" s="352" t="str">
        <f>IFERROR(Tableau1[[#This Row],[Line Total]]-Tableau1[[#This Row],[Total Price Réceptionné]],"")</f>
        <v/>
      </c>
      <c r="DE69" s="352" t="str">
        <f>IFERROR(Tableau1[[#This Row],[Total Price Réceptionné]]-Tableau1[[#This Row],[Total Price A facturer]],"")</f>
        <v/>
      </c>
      <c r="DF69" s="353" t="str">
        <f>IFERROR(Tableau1[[#This Row],[Total Price A facturer]]-Tableau1[[#This Row],[Total Price Facturé]],"")</f>
        <v/>
      </c>
      <c r="DG69" s="76">
        <f>Tableau1[[#This Row],[Total Item Quantity]]-Tableau1[[#This Row],[Total item réceptionné]]</f>
        <v>0</v>
      </c>
      <c r="DH69" s="167"/>
      <c r="DI69" s="167"/>
    </row>
    <row r="70" spans="1:113" s="74" customFormat="1">
      <c r="A70" s="77" t="str">
        <f>CONCATENATE(Tableau1[[#This Row],[PO Number (Header)]],"-",Tableau1[[#This Row],[Line]])</f>
        <v>-</v>
      </c>
      <c r="B70" s="405"/>
      <c r="D70" s="397"/>
      <c r="N70" s="77"/>
      <c r="O70" s="77"/>
      <c r="P70" s="77"/>
      <c r="Q70" s="395"/>
      <c r="R70" s="395"/>
      <c r="S70" s="77"/>
      <c r="T70" s="77"/>
      <c r="U70" s="77"/>
      <c r="V70" s="77"/>
      <c r="W70" s="167"/>
      <c r="X70" s="167"/>
      <c r="Y70" s="167" t="str">
        <f>IF(ISBLANK(Tableau1[[#This Row],[PO Number (Header)]]),"",Tableau1[[#This Row],[Line Total]]/Tableau1[[#This Row],[Total Item Quantity]])</f>
        <v/>
      </c>
      <c r="Z70" s="167" t="str">
        <f>IF(ISNA(VLOOKUP(Tableau1[[#This Row],[Unique_AIB_ID]],UO_List[Unique_AIB_ID],1,FALSE)),IF(ISBLANK(Tableau1[[#This Row],[PO Number (Header)]]),"","FAUX"),"VRAI")</f>
        <v/>
      </c>
      <c r="AA70" s="167"/>
      <c r="AB70" s="162" t="e">
        <f>VLOOKUP(Tableau1[[#This Row],[Unique_AIB_ID]],UO_List[[Unique_AIB_ID]:[OLGA F6]],3,FALSE)</f>
        <v>#N/A</v>
      </c>
      <c r="AC70" s="162" t="s">
        <v>779</v>
      </c>
      <c r="AD70" s="83">
        <f>SUMPRODUCT(1*(EXACT(CONCATENATE(Tableau1[[#This Row],[PO Number (Header)]],"-",Tableau1[[#This Row],[Line]]),UO_List[Unique_AIB_ID]))*(UO_List[Qté Réception 03/2020]))</f>
        <v>0</v>
      </c>
      <c r="AE70" s="84"/>
      <c r="AF70" s="357"/>
      <c r="AG70" s="351" t="str">
        <f>IFERROR(Tableau1[[#This Row],[Qté Facturé 01/2018]]*Tableau1[[#This Row],[Unit Price (calcul)]],"")</f>
        <v/>
      </c>
      <c r="AH70" s="356" t="str">
        <f>IFERROR(IF(Tableau1[[#This Row],[Montant Facturé 01/2018]]&gt;0,Tableau1[[#This Row],[Montant Facturé 01/2018]]/Taux_Change_SII,""),"")</f>
        <v/>
      </c>
      <c r="AI70" s="351"/>
      <c r="AJ70" s="83">
        <f>SUMPRODUCT(1*(EXACT(CONCATENATE(Tableau1[[#This Row],[PO Number (Header)]],"-",Tableau1[[#This Row],[Line]]),UO_List[Unique_AIB_ID]))*(UO_List[Qté Réception 02/2020]))</f>
        <v>0</v>
      </c>
      <c r="AK70" s="83">
        <f>SUMPRODUCT(1*(EXACT(CONCATENATE(Tableau1[[#This Row],[PO Number (Header)]],"-",Tableau1[[#This Row],[Line]]),UO_List[Unique_AIB_ID]))*(UO_List[Qté Réception 02/2020]))</f>
        <v>0</v>
      </c>
      <c r="AL70" s="357"/>
      <c r="AM70" s="351" t="str">
        <f>IFERROR(Tableau1[[#This Row],[Qté Facturé 02/2018]]*Tableau1[[#This Row],[Unit Price (calcul)]],"")</f>
        <v/>
      </c>
      <c r="AN70" s="351" t="str">
        <f>IFERROR(IF(Tableau1[[#This Row],[Montant Facturé 02/2018]]&gt;0,Tableau1[[#This Row],[Montant Facturé 02/2018]]/Taux_Change_SII,""),"")</f>
        <v/>
      </c>
      <c r="AO70" s="351"/>
      <c r="AP70" s="83">
        <f>SUMPRODUCT(1*(EXACT(CONCATENATE(Tableau1[[#This Row],[PO Number (Header)]],"-",Tableau1[[#This Row],[Line]]),UO_List[Unique_AIB_ID]))*(UO_List[Qté Réception 00/2020]))</f>
        <v>0</v>
      </c>
      <c r="AQ70" s="84">
        <v>0</v>
      </c>
      <c r="AR70" s="357"/>
      <c r="AS70" s="351" t="str">
        <f>IFERROR(Tableau1[[#This Row],[Qté Facturé 03/2018]]*Tableau1[[#This Row],[Unit Price (calcul)]],"")</f>
        <v/>
      </c>
      <c r="AT70" s="351" t="str">
        <f>IFERROR(IF(Tableau1[[#This Row],[Montant Facturé 03/2018]]&gt;0,Tableau1[[#This Row],[Montant Facturé 03/2018]]/Taux_Change_SII,""),"")</f>
        <v/>
      </c>
      <c r="AU70" s="351"/>
      <c r="AV70" s="83">
        <f>SUMPRODUCT(1*(EXACT(CONCATENATE(Tableau1[[#This Row],[PO Number (Header)]],"-",Tableau1[[#This Row],[Line]]),UO_List[Unique_AIB_ID]))*(UO_List[Qté Réception 04/2020]))</f>
        <v>0</v>
      </c>
      <c r="AW70" s="84"/>
      <c r="AX70" s="351"/>
      <c r="AY70" s="351" t="str">
        <f>IFERROR(Tableau1[[#This Row],[Qté Facturé 04/2018]]*Tableau1[[#This Row],[Unit Price (calcul)]],"")</f>
        <v/>
      </c>
      <c r="AZ70" s="351" t="str">
        <f>IFERROR(IF(Tableau1[[#This Row],[Montant Facturé 04/2018]]&gt;0,Tableau1[[#This Row],[Montant Facturé 04/2018]]/Taux_Change_SII,""),"")</f>
        <v/>
      </c>
      <c r="BA70" s="351"/>
      <c r="BB70" s="83">
        <f>SUMPRODUCT(1*(EXACT(CONCATENATE(Tableau1[[#This Row],[PO Number (Header)]],"-",Tableau1[[#This Row],[Line]]),UO_List[Unique_AIB_ID]))*(UO_List[Qté Réception 05/2020]))</f>
        <v>0</v>
      </c>
      <c r="BC70" s="84"/>
      <c r="BD70" s="351"/>
      <c r="BE70" s="351" t="str">
        <f>IFERROR(Tableau1[[#This Row],[Qté Facturé 05/2018]]*Tableau1[[#This Row],[Unit Price (calcul)]],"")</f>
        <v/>
      </c>
      <c r="BF70" s="351" t="str">
        <f>IFERROR(IF(Tableau1[[#This Row],[Montant Facturé 05/2018]]&gt;0,Tableau1[[#This Row],[Montant Facturé 05/2018]]/Taux_Change_SII,""),"")</f>
        <v/>
      </c>
      <c r="BG70" s="351"/>
      <c r="BH70" s="83">
        <f>SUMPRODUCT(1*(EXACT(CONCATENATE(Tableau1[[#This Row],[PO Number (Header)]],"-",Tableau1[[#This Row],[Line]]),UO_List[Unique_AIB_ID]))*(UO_List[Qté Réception 06/2020]))</f>
        <v>0</v>
      </c>
      <c r="BI70" s="84">
        <v>0</v>
      </c>
      <c r="BJ70" s="351"/>
      <c r="BK70" s="351" t="str">
        <f>IFERROR(Tableau1[[#This Row],[Qté Facturé 06/2018]]*Tableau1[[#This Row],[Unit Price (calcul)]],"")</f>
        <v/>
      </c>
      <c r="BL70" s="351" t="str">
        <f>IFERROR(IF(Tableau1[[#This Row],[Montant Facturé 06/2018]]&gt;0,Tableau1[[#This Row],[Montant Facturé 06/2018]]/Taux_Change_SII,""),"")</f>
        <v/>
      </c>
      <c r="BM70" s="351"/>
      <c r="BN70" s="83">
        <f>SUMPRODUCT(1*(EXACT(CONCATENATE(Tableau1[[#This Row],[PO Number (Header)]],"-",Tableau1[[#This Row],[Line]]),UO_List[Unique_AIB_ID]))*(UO_List[Qté Réception 07/2020]))</f>
        <v>0</v>
      </c>
      <c r="BO70" s="84">
        <v>0</v>
      </c>
      <c r="BP70" s="351"/>
      <c r="BQ70" s="351" t="str">
        <f>IFERROR(Tableau1[[#This Row],[Qté Facturé 07/2018]]*Tableau1[[#This Row],[Unit Price (calcul)]],"")</f>
        <v/>
      </c>
      <c r="BR70" s="351" t="str">
        <f>IFERROR(IF(Tableau1[[#This Row],[Montant Facturé 07/2018]]&gt;0,Tableau1[[#This Row],[Montant Facturé 07/2018]]/Taux_Change_SII,""),"")</f>
        <v/>
      </c>
      <c r="BS70" s="351"/>
      <c r="BT70" s="83">
        <f>SUMPRODUCT(1*(EXACT(CONCATENATE(Tableau1[[#This Row],[PO Number (Header)]],"-",Tableau1[[#This Row],[Line]]),UO_List[Unique_AIB_ID]))*(UO_List[Qté Réception 08/2020]))</f>
        <v>0</v>
      </c>
      <c r="BU70" s="84"/>
      <c r="BV70" s="351"/>
      <c r="BW70" s="351" t="str">
        <f>IFERROR(Tableau1[[#This Row],[Qté Facturé 08/2018]]*Tableau1[[#This Row],[Unit Price (calcul)]],"")</f>
        <v/>
      </c>
      <c r="BX70" s="351" t="str">
        <f>IFERROR(IF(Tableau1[[#This Row],[Montant Facturé 08/2018]]&gt;0,Tableau1[[#This Row],[Montant Facturé 08/2018]]/Taux_Change_SII,""),"")</f>
        <v/>
      </c>
      <c r="BY70" s="351"/>
      <c r="BZ70" s="83">
        <f>SUMPRODUCT(1*(EXACT(CONCATENATE(Tableau1[[#This Row],[PO Number (Header)]],"-",Tableau1[[#This Row],[Line]]),UO_List[Unique_AIB_ID]))*(UO_List[Qté Réception 09/2020]))</f>
        <v>0</v>
      </c>
      <c r="CA70" s="84">
        <v>0</v>
      </c>
      <c r="CB70" s="351"/>
      <c r="CC70" s="351" t="str">
        <f>IFERROR(Tableau1[[#This Row],[Qté Facturé 09/2018]]*Tableau1[[#This Row],[Unit Price (calcul)]],"")</f>
        <v/>
      </c>
      <c r="CD70" s="351" t="str">
        <f>IFERROR(IF(Tableau1[[#This Row],[Montant Facturé 09/2018]]&gt;0,Tableau1[[#This Row],[Montant Facturé 09/2018]]/Taux_Change_SII,""),"")</f>
        <v/>
      </c>
      <c r="CE70" s="351"/>
      <c r="CF70" s="83">
        <f>SUMPRODUCT(1*(EXACT(CONCATENATE(Tableau1[[#This Row],[PO Number (Header)]],"-",Tableau1[[#This Row],[Line]]),UO_List[Unique_AIB_ID]))*(UO_List[Qté Réception 10/2020]))</f>
        <v>0</v>
      </c>
      <c r="CG70" s="84">
        <v>0</v>
      </c>
      <c r="CH70" s="351"/>
      <c r="CI70" s="351" t="str">
        <f>IFERROR(Tableau1[[#This Row],[Qté Facturé 10/2018]]*Tableau1[[#This Row],[Unit Price (calcul)]],"")</f>
        <v/>
      </c>
      <c r="CJ70" s="351" t="str">
        <f>IFERROR(IF(Tableau1[[#This Row],[Montant Facturé 10/2018]]&gt;0,Tableau1[[#This Row],[Montant Facturé 10/2018]]/Taux_Change_SII,""),"")</f>
        <v/>
      </c>
      <c r="CK70" s="351"/>
      <c r="CL70" s="83">
        <f>SUMPRODUCT(1*(EXACT(CONCATENATE(Tableau1[[#This Row],[PO Number (Header)]],"-",Tableau1[[#This Row],[Line]]),UO_List[Unique_AIB_ID]))*(UO_List[Qté Réception 11/2020]))</f>
        <v>0</v>
      </c>
      <c r="CM70" s="84"/>
      <c r="CN70" s="351"/>
      <c r="CO70" s="351" t="str">
        <f>IFERROR(Tableau1[[#This Row],[Qté Facturé 11/2018]]*Tableau1[[#This Row],[Unit Price (calcul)]],"")</f>
        <v/>
      </c>
      <c r="CP70" s="351" t="str">
        <f>IFERROR(IF(Tableau1[[#This Row],[Montant Facturé 11/2018]]&gt;0,Tableau1[[#This Row],[Montant Facturé 11/2018]]/Taux_Change_SII,""),"")</f>
        <v/>
      </c>
      <c r="CQ70" s="351"/>
      <c r="CR70" s="83">
        <f>SUMPRODUCT(1*(EXACT(CONCATENATE(Tableau1[[#This Row],[PO Number (Header)]],"-",Tableau1[[#This Row],[Line]]),UO_List[Unique_AIB_ID]))*(UO_List[Qté Réception 12/2020]))</f>
        <v>0</v>
      </c>
      <c r="CS70" s="84"/>
      <c r="CT70" s="351"/>
      <c r="CU70" s="351" t="str">
        <f>IFERROR(Tableau1[[#This Row],[Qté Facturé 12/2018]]*Tableau1[[#This Row],[Unit Price (calcul)]],"")</f>
        <v/>
      </c>
      <c r="CV70" s="351" t="str">
        <f>IFERROR(IF(Tableau1[[#This Row],[Montant Facturé 12/2018]]&gt;0,Tableau1[[#This Row],[Montant Facturé 12/2018]]/Taux_Change_SII,""),"")</f>
        <v/>
      </c>
      <c r="CW70" s="351"/>
      <c r="CX7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0" s="352" t="str">
        <f>IFERROR(Tableau1[[#This Row],[Total item réceptionné]]*Tableau1[[#This Row],[Unit Price (calcul)]],"")</f>
        <v/>
      </c>
      <c r="DB70" s="352" t="str">
        <f>IFERROR(Tableau1[[#This Row],[Total item à Facturer]]*Tableau1[[#This Row],[Unit Price (calcul)]],"")</f>
        <v/>
      </c>
      <c r="DC7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0" s="352" t="str">
        <f>IFERROR(Tableau1[[#This Row],[Line Total]]-Tableau1[[#This Row],[Total Price Réceptionné]],"")</f>
        <v/>
      </c>
      <c r="DE70" s="352" t="str">
        <f>IFERROR(Tableau1[[#This Row],[Total Price Réceptionné]]-Tableau1[[#This Row],[Total Price A facturer]],"")</f>
        <v/>
      </c>
      <c r="DF70" s="353" t="str">
        <f>IFERROR(Tableau1[[#This Row],[Total Price A facturer]]-Tableau1[[#This Row],[Total Price Facturé]],"")</f>
        <v/>
      </c>
      <c r="DG70" s="76">
        <f>Tableau1[[#This Row],[Total Item Quantity]]-Tableau1[[#This Row],[Total item réceptionné]]</f>
        <v>0</v>
      </c>
      <c r="DH70" s="167"/>
      <c r="DI70" s="167"/>
    </row>
    <row r="71" spans="1:113" s="74" customFormat="1">
      <c r="A71" s="77" t="str">
        <f>CONCATENATE(Tableau1[[#This Row],[PO Number (Header)]],"-",Tableau1[[#This Row],[Line]])</f>
        <v>-</v>
      </c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395"/>
      <c r="R71" s="395"/>
      <c r="S71" s="77"/>
      <c r="T71" s="77"/>
      <c r="U71" s="77"/>
      <c r="V71" s="77"/>
      <c r="W71" s="167"/>
      <c r="X71" s="167"/>
      <c r="Y71" s="167" t="str">
        <f>IF(ISBLANK(Tableau1[[#This Row],[PO Number (Header)]]),"",Tableau1[[#This Row],[Line Total]]/Tableau1[[#This Row],[Total Item Quantity]])</f>
        <v/>
      </c>
      <c r="Z71" s="167" t="str">
        <f>IF(ISNA(VLOOKUP(Tableau1[[#This Row],[Unique_AIB_ID]],UO_List[Unique_AIB_ID],1,FALSE)),IF(ISBLANK(Tableau1[[#This Row],[PO Number (Header)]]),"","FAUX"),"VRAI")</f>
        <v/>
      </c>
      <c r="AA71" s="167"/>
      <c r="AB71" s="162" t="e">
        <f>VLOOKUP(Tableau1[[#This Row],[Unique_AIB_ID]],UO_List[[Unique_AIB_ID]:[OLGA F6]],3,FALSE)</f>
        <v>#N/A</v>
      </c>
      <c r="AC71" s="162" t="s">
        <v>779</v>
      </c>
      <c r="AD71" s="83">
        <f>SUMPRODUCT(1*(EXACT(CONCATENATE(Tableau1[[#This Row],[PO Number (Header)]],"-",Tableau1[[#This Row],[Line]]),UO_List[Unique_AIB_ID]))*(UO_List[Qté Réception 03/2020]))</f>
        <v>0</v>
      </c>
      <c r="AE71" s="84"/>
      <c r="AF71" s="357"/>
      <c r="AG71" s="351" t="str">
        <f>IFERROR(Tableau1[[#This Row],[Qté Facturé 01/2018]]*Tableau1[[#This Row],[Unit Price (calcul)]],"")</f>
        <v/>
      </c>
      <c r="AH71" s="356" t="str">
        <f>IFERROR(IF(Tableau1[[#This Row],[Montant Facturé 01/2018]]&gt;0,Tableau1[[#This Row],[Montant Facturé 01/2018]]/Taux_Change_SII,""),"")</f>
        <v/>
      </c>
      <c r="AI71" s="351"/>
      <c r="AJ71" s="83">
        <f>SUMPRODUCT(1*(EXACT(CONCATENATE(Tableau1[[#This Row],[PO Number (Header)]],"-",Tableau1[[#This Row],[Line]]),UO_List[Unique_AIB_ID]))*(UO_List[Qté Réception 02/2020]))</f>
        <v>0</v>
      </c>
      <c r="AK71" s="83">
        <f>SUMPRODUCT(1*(EXACT(CONCATENATE(Tableau1[[#This Row],[PO Number (Header)]],"-",Tableau1[[#This Row],[Line]]),UO_List[Unique_AIB_ID]))*(UO_List[Qté Réception 02/2020]))</f>
        <v>0</v>
      </c>
      <c r="AL71" s="357"/>
      <c r="AM71" s="351" t="str">
        <f>IFERROR(Tableau1[[#This Row],[Qté Facturé 02/2018]]*Tableau1[[#This Row],[Unit Price (calcul)]],"")</f>
        <v/>
      </c>
      <c r="AN71" s="351" t="str">
        <f>IFERROR(IF(Tableau1[[#This Row],[Montant Facturé 02/2018]]&gt;0,Tableau1[[#This Row],[Montant Facturé 02/2018]]/Taux_Change_SII,""),"")</f>
        <v/>
      </c>
      <c r="AO71" s="351"/>
      <c r="AP71" s="83">
        <f>SUMPRODUCT(1*(EXACT(CONCATENATE(Tableau1[[#This Row],[PO Number (Header)]],"-",Tableau1[[#This Row],[Line]]),UO_List[Unique_AIB_ID]))*(UO_List[Qté Réception 00/2020]))</f>
        <v>0</v>
      </c>
      <c r="AQ71" s="84">
        <v>0</v>
      </c>
      <c r="AR71" s="357"/>
      <c r="AS71" s="351" t="str">
        <f>IFERROR(Tableau1[[#This Row],[Qté Facturé 03/2018]]*Tableau1[[#This Row],[Unit Price (calcul)]],"")</f>
        <v/>
      </c>
      <c r="AT71" s="351" t="str">
        <f>IFERROR(IF(Tableau1[[#This Row],[Montant Facturé 03/2018]]&gt;0,Tableau1[[#This Row],[Montant Facturé 03/2018]]/Taux_Change_SII,""),"")</f>
        <v/>
      </c>
      <c r="AU71" s="351"/>
      <c r="AV71" s="83">
        <f>SUMPRODUCT(1*(EXACT(CONCATENATE(Tableau1[[#This Row],[PO Number (Header)]],"-",Tableau1[[#This Row],[Line]]),UO_List[Unique_AIB_ID]))*(UO_List[Qté Réception 04/2020]))</f>
        <v>0</v>
      </c>
      <c r="AW71" s="84"/>
      <c r="AX71" s="351"/>
      <c r="AY71" s="351" t="str">
        <f>IFERROR(Tableau1[[#This Row],[Qté Facturé 04/2018]]*Tableau1[[#This Row],[Unit Price (calcul)]],"")</f>
        <v/>
      </c>
      <c r="AZ71" s="351" t="str">
        <f>IFERROR(IF(Tableau1[[#This Row],[Montant Facturé 04/2018]]&gt;0,Tableau1[[#This Row],[Montant Facturé 04/2018]]/Taux_Change_SII,""),"")</f>
        <v/>
      </c>
      <c r="BA71" s="351"/>
      <c r="BB71" s="83">
        <f>SUMPRODUCT(1*(EXACT(CONCATENATE(Tableau1[[#This Row],[PO Number (Header)]],"-",Tableau1[[#This Row],[Line]]),UO_List[Unique_AIB_ID]))*(UO_List[Qté Réception 05/2020]))</f>
        <v>0</v>
      </c>
      <c r="BC71" s="84"/>
      <c r="BD71" s="351"/>
      <c r="BE71" s="351" t="str">
        <f>IFERROR(Tableau1[[#This Row],[Qté Facturé 05/2018]]*Tableau1[[#This Row],[Unit Price (calcul)]],"")</f>
        <v/>
      </c>
      <c r="BF71" s="351" t="str">
        <f>IFERROR(IF(Tableau1[[#This Row],[Montant Facturé 05/2018]]&gt;0,Tableau1[[#This Row],[Montant Facturé 05/2018]]/Taux_Change_SII,""),"")</f>
        <v/>
      </c>
      <c r="BG71" s="351"/>
      <c r="BH71" s="83">
        <f>SUMPRODUCT(1*(EXACT(CONCATENATE(Tableau1[[#This Row],[PO Number (Header)]],"-",Tableau1[[#This Row],[Line]]),UO_List[Unique_AIB_ID]))*(UO_List[Qté Réception 06/2020]))</f>
        <v>0</v>
      </c>
      <c r="BI71" s="84">
        <v>0</v>
      </c>
      <c r="BJ71" s="351"/>
      <c r="BK71" s="351" t="str">
        <f>IFERROR(Tableau1[[#This Row],[Qté Facturé 06/2018]]*Tableau1[[#This Row],[Unit Price (calcul)]],"")</f>
        <v/>
      </c>
      <c r="BL71" s="351" t="str">
        <f>IFERROR(IF(Tableau1[[#This Row],[Montant Facturé 06/2018]]&gt;0,Tableau1[[#This Row],[Montant Facturé 06/2018]]/Taux_Change_SII,""),"")</f>
        <v/>
      </c>
      <c r="BM71" s="351"/>
      <c r="BN71" s="83">
        <f>SUMPRODUCT(1*(EXACT(CONCATENATE(Tableau1[[#This Row],[PO Number (Header)]],"-",Tableau1[[#This Row],[Line]]),UO_List[Unique_AIB_ID]))*(UO_List[Qté Réception 07/2020]))</f>
        <v>0</v>
      </c>
      <c r="BO71" s="84">
        <v>0</v>
      </c>
      <c r="BP71" s="351"/>
      <c r="BQ71" s="351" t="str">
        <f>IFERROR(Tableau1[[#This Row],[Qté Facturé 07/2018]]*Tableau1[[#This Row],[Unit Price (calcul)]],"")</f>
        <v/>
      </c>
      <c r="BR71" s="351" t="str">
        <f>IFERROR(IF(Tableau1[[#This Row],[Montant Facturé 07/2018]]&gt;0,Tableau1[[#This Row],[Montant Facturé 07/2018]]/Taux_Change_SII,""),"")</f>
        <v/>
      </c>
      <c r="BS71" s="351"/>
      <c r="BT71" s="83">
        <f>SUMPRODUCT(1*(EXACT(CONCATENATE(Tableau1[[#This Row],[PO Number (Header)]],"-",Tableau1[[#This Row],[Line]]),UO_List[Unique_AIB_ID]))*(UO_List[Qté Réception 08/2020]))</f>
        <v>0</v>
      </c>
      <c r="BU71" s="84"/>
      <c r="BV71" s="351"/>
      <c r="BW71" s="351" t="str">
        <f>IFERROR(Tableau1[[#This Row],[Qté Facturé 08/2018]]*Tableau1[[#This Row],[Unit Price (calcul)]],"")</f>
        <v/>
      </c>
      <c r="BX71" s="351" t="str">
        <f>IFERROR(IF(Tableau1[[#This Row],[Montant Facturé 08/2018]]&gt;0,Tableau1[[#This Row],[Montant Facturé 08/2018]]/Taux_Change_SII,""),"")</f>
        <v/>
      </c>
      <c r="BY71" s="351"/>
      <c r="BZ71" s="83">
        <f>SUMPRODUCT(1*(EXACT(CONCATENATE(Tableau1[[#This Row],[PO Number (Header)]],"-",Tableau1[[#This Row],[Line]]),UO_List[Unique_AIB_ID]))*(UO_List[Qté Réception 09/2020]))</f>
        <v>0</v>
      </c>
      <c r="CA71" s="84">
        <v>0</v>
      </c>
      <c r="CB71" s="351"/>
      <c r="CC71" s="351" t="str">
        <f>IFERROR(Tableau1[[#This Row],[Qté Facturé 09/2018]]*Tableau1[[#This Row],[Unit Price (calcul)]],"")</f>
        <v/>
      </c>
      <c r="CD71" s="351" t="str">
        <f>IFERROR(IF(Tableau1[[#This Row],[Montant Facturé 09/2018]]&gt;0,Tableau1[[#This Row],[Montant Facturé 09/2018]]/Taux_Change_SII,""),"")</f>
        <v/>
      </c>
      <c r="CE71" s="351"/>
      <c r="CF71" s="83">
        <f>SUMPRODUCT(1*(EXACT(CONCATENATE(Tableau1[[#This Row],[PO Number (Header)]],"-",Tableau1[[#This Row],[Line]]),UO_List[Unique_AIB_ID]))*(UO_List[Qté Réception 10/2020]))</f>
        <v>0</v>
      </c>
      <c r="CG71" s="84">
        <v>0</v>
      </c>
      <c r="CH71" s="351"/>
      <c r="CI71" s="351" t="str">
        <f>IFERROR(Tableau1[[#This Row],[Qté Facturé 10/2018]]*Tableau1[[#This Row],[Unit Price (calcul)]],"")</f>
        <v/>
      </c>
      <c r="CJ71" s="351" t="str">
        <f>IFERROR(IF(Tableau1[[#This Row],[Montant Facturé 10/2018]]&gt;0,Tableau1[[#This Row],[Montant Facturé 10/2018]]/Taux_Change_SII,""),"")</f>
        <v/>
      </c>
      <c r="CK71" s="351"/>
      <c r="CL71" s="83">
        <f>SUMPRODUCT(1*(EXACT(CONCATENATE(Tableau1[[#This Row],[PO Number (Header)]],"-",Tableau1[[#This Row],[Line]]),UO_List[Unique_AIB_ID]))*(UO_List[Qté Réception 11/2020]))</f>
        <v>0</v>
      </c>
      <c r="CM71" s="84"/>
      <c r="CN71" s="351"/>
      <c r="CO71" s="351" t="str">
        <f>IFERROR(Tableau1[[#This Row],[Qté Facturé 11/2018]]*Tableau1[[#This Row],[Unit Price (calcul)]],"")</f>
        <v/>
      </c>
      <c r="CP71" s="351" t="str">
        <f>IFERROR(IF(Tableau1[[#This Row],[Montant Facturé 11/2018]]&gt;0,Tableau1[[#This Row],[Montant Facturé 11/2018]]/Taux_Change_SII,""),"")</f>
        <v/>
      </c>
      <c r="CQ71" s="351"/>
      <c r="CR71" s="83">
        <f>SUMPRODUCT(1*(EXACT(CONCATENATE(Tableau1[[#This Row],[PO Number (Header)]],"-",Tableau1[[#This Row],[Line]]),UO_List[Unique_AIB_ID]))*(UO_List[Qté Réception 12/2020]))</f>
        <v>0</v>
      </c>
      <c r="CS71" s="84"/>
      <c r="CT71" s="351"/>
      <c r="CU71" s="351" t="str">
        <f>IFERROR(Tableau1[[#This Row],[Qté Facturé 12/2018]]*Tableau1[[#This Row],[Unit Price (calcul)]],"")</f>
        <v/>
      </c>
      <c r="CV71" s="351" t="str">
        <f>IFERROR(IF(Tableau1[[#This Row],[Montant Facturé 12/2018]]&gt;0,Tableau1[[#This Row],[Montant Facturé 12/2018]]/Taux_Change_SII,""),"")</f>
        <v/>
      </c>
      <c r="CW71" s="351"/>
      <c r="CX7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1" s="352" t="str">
        <f>IFERROR(Tableau1[[#This Row],[Total item réceptionné]]*Tableau1[[#This Row],[Unit Price (calcul)]],"")</f>
        <v/>
      </c>
      <c r="DB71" s="352" t="str">
        <f>IFERROR(Tableau1[[#This Row],[Total item à Facturer]]*Tableau1[[#This Row],[Unit Price (calcul)]],"")</f>
        <v/>
      </c>
      <c r="DC7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1" s="352" t="str">
        <f>IFERROR(Tableau1[[#This Row],[Line Total]]-Tableau1[[#This Row],[Total Price Réceptionné]],"")</f>
        <v/>
      </c>
      <c r="DE71" s="352" t="str">
        <f>IFERROR(Tableau1[[#This Row],[Total Price Réceptionné]]-Tableau1[[#This Row],[Total Price A facturer]],"")</f>
        <v/>
      </c>
      <c r="DF71" s="353" t="str">
        <f>IFERROR(Tableau1[[#This Row],[Total Price A facturer]]-Tableau1[[#This Row],[Total Price Facturé]],"")</f>
        <v/>
      </c>
      <c r="DG71" s="76">
        <f>Tableau1[[#This Row],[Total Item Quantity]]-Tableau1[[#This Row],[Total item réceptionné]]</f>
        <v>0</v>
      </c>
      <c r="DH71" s="167"/>
      <c r="DI71" s="167"/>
    </row>
    <row r="72" spans="1:113" s="81" customFormat="1">
      <c r="A72" s="69" t="str">
        <f>CONCATENATE(Tableau1[[#This Row],[PO Number (Header)]],"-",Tableau1[[#This Row],[Line]])</f>
        <v>-</v>
      </c>
      <c r="B72" s="447"/>
      <c r="D72" s="447"/>
      <c r="N72" s="69"/>
      <c r="O72" s="69"/>
      <c r="P72" s="69"/>
      <c r="Q72" s="481"/>
      <c r="R72" s="395"/>
      <c r="S72" s="69"/>
      <c r="T72" s="69"/>
      <c r="U72" s="69"/>
      <c r="V72" s="69"/>
      <c r="W72" s="170"/>
      <c r="X72" s="170"/>
      <c r="Y72" s="167" t="str">
        <f>IF(ISBLANK(Tableau1[[#This Row],[PO Number (Header)]]),"",Tableau1[[#This Row],[Line Total]]/Tableau1[[#This Row],[Total Item Quantity]])</f>
        <v/>
      </c>
      <c r="Z72" s="170" t="str">
        <f>IF(ISNA(VLOOKUP(Tableau1[[#This Row],[Unique_AIB_ID]],UO_List[Unique_AIB_ID],1,FALSE)),IF(ISBLANK(Tableau1[[#This Row],[PO Number (Header)]]),"","FAUX"),"VRAI")</f>
        <v/>
      </c>
      <c r="AA72" s="170"/>
      <c r="AB72" s="165" t="e">
        <f>VLOOKUP(Tableau1[[#This Row],[Unique_AIB_ID]],UO_List[[Unique_AIB_ID]:[OLGA F6]],3,FALSE)</f>
        <v>#N/A</v>
      </c>
      <c r="AC72" s="162" t="s">
        <v>779</v>
      </c>
      <c r="AD72" s="83">
        <f>SUMPRODUCT(1*(EXACT(CONCATENATE(Tableau1[[#This Row],[PO Number (Header)]],"-",Tableau1[[#This Row],[Line]]),UO_List[Unique_AIB_ID]))*(UO_List[Qté Réception 03/2020]))</f>
        <v>0</v>
      </c>
      <c r="AE72" s="84"/>
      <c r="AF72" s="357"/>
      <c r="AG72" s="351" t="str">
        <f>IFERROR(Tableau1[[#This Row],[Qté Facturé 01/2018]]*Tableau1[[#This Row],[Unit Price (calcul)]],"")</f>
        <v/>
      </c>
      <c r="AH72" s="356" t="str">
        <f>IFERROR(IF(Tableau1[[#This Row],[Montant Facturé 01/2018]]&gt;0,Tableau1[[#This Row],[Montant Facturé 01/2018]]/Taux_Change_SII,""),"")</f>
        <v/>
      </c>
      <c r="AI72" s="351"/>
      <c r="AJ72" s="83">
        <f>SUMPRODUCT(1*(EXACT(CONCATENATE(Tableau1[[#This Row],[PO Number (Header)]],"-",Tableau1[[#This Row],[Line]]),UO_List[Unique_AIB_ID]))*(UO_List[Qté Réception 02/2020]))</f>
        <v>0</v>
      </c>
      <c r="AK72" s="83">
        <f>SUMPRODUCT(1*(EXACT(CONCATENATE(Tableau1[[#This Row],[PO Number (Header)]],"-",Tableau1[[#This Row],[Line]]),UO_List[Unique_AIB_ID]))*(UO_List[Qté Réception 02/2020]))</f>
        <v>0</v>
      </c>
      <c r="AL72" s="357"/>
      <c r="AM72" s="351" t="str">
        <f>IFERROR(Tableau1[[#This Row],[Qté Facturé 02/2018]]*Tableau1[[#This Row],[Unit Price (calcul)]],"")</f>
        <v/>
      </c>
      <c r="AN72" s="351" t="str">
        <f>IFERROR(IF(Tableau1[[#This Row],[Montant Facturé 02/2018]]&gt;0,Tableau1[[#This Row],[Montant Facturé 02/2018]]/Taux_Change_SII,""),"")</f>
        <v/>
      </c>
      <c r="AO72" s="351"/>
      <c r="AP72" s="83">
        <f>SUMPRODUCT(1*(EXACT(CONCATENATE(Tableau1[[#This Row],[PO Number (Header)]],"-",Tableau1[[#This Row],[Line]]),UO_List[Unique_AIB_ID]))*(UO_List[Qté Réception 00/2020]))</f>
        <v>0</v>
      </c>
      <c r="AQ72" s="84">
        <v>0</v>
      </c>
      <c r="AR72" s="357"/>
      <c r="AS72" s="351" t="str">
        <f>IFERROR(Tableau1[[#This Row],[Qté Facturé 03/2018]]*Tableau1[[#This Row],[Unit Price (calcul)]],"")</f>
        <v/>
      </c>
      <c r="AT72" s="351" t="str">
        <f>IFERROR(IF(Tableau1[[#This Row],[Montant Facturé 03/2018]]&gt;0,Tableau1[[#This Row],[Montant Facturé 03/2018]]/Taux_Change_SII,""),"")</f>
        <v/>
      </c>
      <c r="AU72" s="351"/>
      <c r="AV72" s="83">
        <f>SUMPRODUCT(1*(EXACT(CONCATENATE(Tableau1[[#This Row],[PO Number (Header)]],"-",Tableau1[[#This Row],[Line]]),UO_List[Unique_AIB_ID]))*(UO_List[Qté Réception 04/2020]))</f>
        <v>0</v>
      </c>
      <c r="AW72" s="84"/>
      <c r="AX72" s="351"/>
      <c r="AY72" s="351" t="str">
        <f>IFERROR(Tableau1[[#This Row],[Qté Facturé 04/2018]]*Tableau1[[#This Row],[Unit Price (calcul)]],"")</f>
        <v/>
      </c>
      <c r="AZ72" s="351" t="str">
        <f>IFERROR(IF(Tableau1[[#This Row],[Montant Facturé 04/2018]]&gt;0,Tableau1[[#This Row],[Montant Facturé 04/2018]]/Taux_Change_SII,""),"")</f>
        <v/>
      </c>
      <c r="BA72" s="351"/>
      <c r="BB72" s="83">
        <f>SUMPRODUCT(1*(EXACT(CONCATENATE(Tableau1[[#This Row],[PO Number (Header)]],"-",Tableau1[[#This Row],[Line]]),UO_List[Unique_AIB_ID]))*(UO_List[Qté Réception 05/2020]))</f>
        <v>0</v>
      </c>
      <c r="BC72" s="84"/>
      <c r="BD72" s="351"/>
      <c r="BE72" s="351" t="str">
        <f>IFERROR(Tableau1[[#This Row],[Qté Facturé 05/2018]]*Tableau1[[#This Row],[Unit Price (calcul)]],"")</f>
        <v/>
      </c>
      <c r="BF72" s="351" t="str">
        <f>IFERROR(IF(Tableau1[[#This Row],[Montant Facturé 05/2018]]&gt;0,Tableau1[[#This Row],[Montant Facturé 05/2018]]/Taux_Change_SII,""),"")</f>
        <v/>
      </c>
      <c r="BG72" s="351"/>
      <c r="BH72" s="83">
        <f>SUMPRODUCT(1*(EXACT(CONCATENATE(Tableau1[[#This Row],[PO Number (Header)]],"-",Tableau1[[#This Row],[Line]]),UO_List[Unique_AIB_ID]))*(UO_List[Qté Réception 06/2020]))</f>
        <v>0</v>
      </c>
      <c r="BI72" s="84">
        <v>0</v>
      </c>
      <c r="BJ72" s="351"/>
      <c r="BK72" s="351" t="str">
        <f>IFERROR(Tableau1[[#This Row],[Qté Facturé 06/2018]]*Tableau1[[#This Row],[Unit Price (calcul)]],"")</f>
        <v/>
      </c>
      <c r="BL72" s="351" t="str">
        <f>IFERROR(IF(Tableau1[[#This Row],[Montant Facturé 06/2018]]&gt;0,Tableau1[[#This Row],[Montant Facturé 06/2018]]/Taux_Change_SII,""),"")</f>
        <v/>
      </c>
      <c r="BM72" s="351"/>
      <c r="BN72" s="83">
        <f>SUMPRODUCT(1*(EXACT(CONCATENATE(Tableau1[[#This Row],[PO Number (Header)]],"-",Tableau1[[#This Row],[Line]]),UO_List[Unique_AIB_ID]))*(UO_List[Qté Réception 07/2020]))</f>
        <v>0</v>
      </c>
      <c r="BO72" s="84">
        <v>0</v>
      </c>
      <c r="BP72" s="351"/>
      <c r="BQ72" s="351" t="str">
        <f>IFERROR(Tableau1[[#This Row],[Qté Facturé 07/2018]]*Tableau1[[#This Row],[Unit Price (calcul)]],"")</f>
        <v/>
      </c>
      <c r="BR72" s="351" t="str">
        <f>IFERROR(IF(Tableau1[[#This Row],[Montant Facturé 07/2018]]&gt;0,Tableau1[[#This Row],[Montant Facturé 07/2018]]/Taux_Change_SII,""),"")</f>
        <v/>
      </c>
      <c r="BS72" s="351"/>
      <c r="BT72" s="83">
        <f>SUMPRODUCT(1*(EXACT(CONCATENATE(Tableau1[[#This Row],[PO Number (Header)]],"-",Tableau1[[#This Row],[Line]]),UO_List[Unique_AIB_ID]))*(UO_List[Qté Réception 08/2020]))</f>
        <v>0</v>
      </c>
      <c r="BU72" s="84"/>
      <c r="BV72" s="351"/>
      <c r="BW72" s="351" t="str">
        <f>IFERROR(Tableau1[[#This Row],[Qté Facturé 08/2018]]*Tableau1[[#This Row],[Unit Price (calcul)]],"")</f>
        <v/>
      </c>
      <c r="BX72" s="351" t="str">
        <f>IFERROR(IF(Tableau1[[#This Row],[Montant Facturé 08/2018]]&gt;0,Tableau1[[#This Row],[Montant Facturé 08/2018]]/Taux_Change_SII,""),"")</f>
        <v/>
      </c>
      <c r="BY72" s="351"/>
      <c r="BZ72" s="83">
        <f>SUMPRODUCT(1*(EXACT(CONCATENATE(Tableau1[[#This Row],[PO Number (Header)]],"-",Tableau1[[#This Row],[Line]]),UO_List[Unique_AIB_ID]))*(UO_List[Qté Réception 09/2020]))</f>
        <v>0</v>
      </c>
      <c r="CA72" s="84">
        <v>0</v>
      </c>
      <c r="CB72" s="351"/>
      <c r="CC72" s="351" t="str">
        <f>IFERROR(Tableau1[[#This Row],[Qté Facturé 09/2018]]*Tableau1[[#This Row],[Unit Price (calcul)]],"")</f>
        <v/>
      </c>
      <c r="CD72" s="351" t="str">
        <f>IFERROR(IF(Tableau1[[#This Row],[Montant Facturé 09/2018]]&gt;0,Tableau1[[#This Row],[Montant Facturé 09/2018]]/Taux_Change_SII,""),"")</f>
        <v/>
      </c>
      <c r="CE72" s="351"/>
      <c r="CF72" s="83">
        <f>SUMPRODUCT(1*(EXACT(CONCATENATE(Tableau1[[#This Row],[PO Number (Header)]],"-",Tableau1[[#This Row],[Line]]),UO_List[Unique_AIB_ID]))*(UO_List[Qté Réception 10/2020]))</f>
        <v>0</v>
      </c>
      <c r="CG72" s="84">
        <v>0</v>
      </c>
      <c r="CH72" s="351"/>
      <c r="CI72" s="351" t="str">
        <f>IFERROR(Tableau1[[#This Row],[Qté Facturé 10/2018]]*Tableau1[[#This Row],[Unit Price (calcul)]],"")</f>
        <v/>
      </c>
      <c r="CJ72" s="351" t="str">
        <f>IFERROR(IF(Tableau1[[#This Row],[Montant Facturé 10/2018]]&gt;0,Tableau1[[#This Row],[Montant Facturé 10/2018]]/Taux_Change_SII,""),"")</f>
        <v/>
      </c>
      <c r="CK72" s="351"/>
      <c r="CL72" s="83">
        <f>SUMPRODUCT(1*(EXACT(CONCATENATE(Tableau1[[#This Row],[PO Number (Header)]],"-",Tableau1[[#This Row],[Line]]),UO_List[Unique_AIB_ID]))*(UO_List[Qté Réception 11/2020]))</f>
        <v>0</v>
      </c>
      <c r="CM72" s="84"/>
      <c r="CN72" s="351"/>
      <c r="CO72" s="351" t="str">
        <f>IFERROR(Tableau1[[#This Row],[Qté Facturé 11/2018]]*Tableau1[[#This Row],[Unit Price (calcul)]],"")</f>
        <v/>
      </c>
      <c r="CP72" s="351" t="str">
        <f>IFERROR(IF(Tableau1[[#This Row],[Montant Facturé 11/2018]]&gt;0,Tableau1[[#This Row],[Montant Facturé 11/2018]]/Taux_Change_SII,""),"")</f>
        <v/>
      </c>
      <c r="CQ72" s="351"/>
      <c r="CR72" s="83">
        <f>SUMPRODUCT(1*(EXACT(CONCATENATE(Tableau1[[#This Row],[PO Number (Header)]],"-",Tableau1[[#This Row],[Line]]),UO_List[Unique_AIB_ID]))*(UO_List[Qté Réception 12/2020]))</f>
        <v>0</v>
      </c>
      <c r="CS72" s="84"/>
      <c r="CT72" s="351"/>
      <c r="CU72" s="351" t="str">
        <f>IFERROR(Tableau1[[#This Row],[Qté Facturé 12/2018]]*Tableau1[[#This Row],[Unit Price (calcul)]],"")</f>
        <v/>
      </c>
      <c r="CV72" s="351" t="str">
        <f>IFERROR(IF(Tableau1[[#This Row],[Montant Facturé 12/2018]]&gt;0,Tableau1[[#This Row],[Montant Facturé 12/2018]]/Taux_Change_SII,""),"")</f>
        <v/>
      </c>
      <c r="CW72" s="351"/>
      <c r="CX7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2" s="352" t="str">
        <f>IFERROR(Tableau1[[#This Row],[Total item réceptionné]]*Tableau1[[#This Row],[Unit Price (calcul)]],"")</f>
        <v/>
      </c>
      <c r="DB72" s="352" t="str">
        <f>IFERROR(Tableau1[[#This Row],[Total item à Facturer]]*Tableau1[[#This Row],[Unit Price (calcul)]],"")</f>
        <v/>
      </c>
      <c r="DC7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2" s="352" t="str">
        <f>IFERROR(Tableau1[[#This Row],[Line Total]]-Tableau1[[#This Row],[Total Price Réceptionné]],"")</f>
        <v/>
      </c>
      <c r="DE72" s="352" t="str">
        <f>IFERROR(Tableau1[[#This Row],[Total Price Réceptionné]]-Tableau1[[#This Row],[Total Price A facturer]],"")</f>
        <v/>
      </c>
      <c r="DF72" s="353" t="str">
        <f>IFERROR(Tableau1[[#This Row],[Total Price A facturer]]-Tableau1[[#This Row],[Total Price Facturé]],"")</f>
        <v/>
      </c>
      <c r="DG72" s="76">
        <f>Tableau1[[#This Row],[Total Item Quantity]]-Tableau1[[#This Row],[Total item réceptionné]]</f>
        <v>0</v>
      </c>
      <c r="DH72" s="170"/>
      <c r="DI72" s="167"/>
    </row>
    <row r="73" spans="1:113" s="74" customFormat="1">
      <c r="A73" s="77" t="str">
        <f>CONCATENATE(Tableau1[[#This Row],[PO Number (Header)]],"-",Tableau1[[#This Row],[Line]])</f>
        <v>-</v>
      </c>
      <c r="B73" s="397"/>
      <c r="D73" s="397"/>
      <c r="N73" s="77"/>
      <c r="O73" s="77"/>
      <c r="P73" s="77"/>
      <c r="Q73" s="395"/>
      <c r="R73" s="395"/>
      <c r="S73" s="77"/>
      <c r="T73" s="77"/>
      <c r="U73" s="77"/>
      <c r="V73" s="77"/>
      <c r="W73" s="167"/>
      <c r="X73" s="167"/>
      <c r="Y73" s="167" t="str">
        <f>IF(ISBLANK(Tableau1[[#This Row],[PO Number (Header)]]),"",Tableau1[[#This Row],[Line Total]]/Tableau1[[#This Row],[Total Item Quantity]])</f>
        <v/>
      </c>
      <c r="Z73" s="167" t="str">
        <f>IF(ISNA(VLOOKUP(Tableau1[[#This Row],[Unique_AIB_ID]],UO_List[Unique_AIB_ID],1,FALSE)),IF(ISBLANK(Tableau1[[#This Row],[PO Number (Header)]]),"","FAUX"),"VRAI")</f>
        <v/>
      </c>
      <c r="AA73" s="167"/>
      <c r="AB73" s="162" t="e">
        <f>VLOOKUP(Tableau1[[#This Row],[Unique_AIB_ID]],UO_List[[Unique_AIB_ID]:[OLGA F6]],3,FALSE)</f>
        <v>#N/A</v>
      </c>
      <c r="AC73" s="162" t="s">
        <v>779</v>
      </c>
      <c r="AD73" s="83">
        <f>SUMPRODUCT(1*(EXACT(CONCATENATE(Tableau1[[#This Row],[PO Number (Header)]],"-",Tableau1[[#This Row],[Line]]),UO_List[Unique_AIB_ID]))*(UO_List[Qté Réception 03/2020]))</f>
        <v>0</v>
      </c>
      <c r="AE73" s="84"/>
      <c r="AF73" s="357"/>
      <c r="AG73" s="351" t="str">
        <f>IFERROR(Tableau1[[#This Row],[Qté Facturé 01/2018]]*Tableau1[[#This Row],[Unit Price (calcul)]],"")</f>
        <v/>
      </c>
      <c r="AH73" s="356" t="str">
        <f>IFERROR(IF(Tableau1[[#This Row],[Montant Facturé 01/2018]]&gt;0,Tableau1[[#This Row],[Montant Facturé 01/2018]]/Taux_Change_SII,""),"")</f>
        <v/>
      </c>
      <c r="AI73" s="351"/>
      <c r="AJ73" s="83">
        <f>SUMPRODUCT(1*(EXACT(CONCATENATE(Tableau1[[#This Row],[PO Number (Header)]],"-",Tableau1[[#This Row],[Line]]),UO_List[Unique_AIB_ID]))*(UO_List[Qté Réception 02/2020]))</f>
        <v>0</v>
      </c>
      <c r="AK73" s="83">
        <f>SUMPRODUCT(1*(EXACT(CONCATENATE(Tableau1[[#This Row],[PO Number (Header)]],"-",Tableau1[[#This Row],[Line]]),UO_List[Unique_AIB_ID]))*(UO_List[Qté Réception 02/2020]))</f>
        <v>0</v>
      </c>
      <c r="AL73" s="357"/>
      <c r="AM73" s="351" t="str">
        <f>IFERROR(Tableau1[[#This Row],[Qté Facturé 02/2018]]*Tableau1[[#This Row],[Unit Price (calcul)]],"")</f>
        <v/>
      </c>
      <c r="AN73" s="351" t="str">
        <f>IFERROR(IF(Tableau1[[#This Row],[Montant Facturé 02/2018]]&gt;0,Tableau1[[#This Row],[Montant Facturé 02/2018]]/Taux_Change_SII,""),"")</f>
        <v/>
      </c>
      <c r="AO73" s="351"/>
      <c r="AP73" s="83">
        <f>SUMPRODUCT(1*(EXACT(CONCATENATE(Tableau1[[#This Row],[PO Number (Header)]],"-",Tableau1[[#This Row],[Line]]),UO_List[Unique_AIB_ID]))*(UO_List[Qté Réception 00/2020]))</f>
        <v>0</v>
      </c>
      <c r="AQ73" s="84">
        <v>0</v>
      </c>
      <c r="AR73" s="357"/>
      <c r="AS73" s="351" t="str">
        <f>IFERROR(Tableau1[[#This Row],[Qté Facturé 03/2018]]*Tableau1[[#This Row],[Unit Price (calcul)]],"")</f>
        <v/>
      </c>
      <c r="AT73" s="351" t="str">
        <f>IFERROR(IF(Tableau1[[#This Row],[Montant Facturé 03/2018]]&gt;0,Tableau1[[#This Row],[Montant Facturé 03/2018]]/Taux_Change_SII,""),"")</f>
        <v/>
      </c>
      <c r="AU73" s="351"/>
      <c r="AV73" s="83">
        <f>SUMPRODUCT(1*(EXACT(CONCATENATE(Tableau1[[#This Row],[PO Number (Header)]],"-",Tableau1[[#This Row],[Line]]),UO_List[Unique_AIB_ID]))*(UO_List[Qté Réception 04/2020]))</f>
        <v>0</v>
      </c>
      <c r="AW73" s="84"/>
      <c r="AX73" s="351"/>
      <c r="AY73" s="351" t="str">
        <f>IFERROR(Tableau1[[#This Row],[Qté Facturé 04/2018]]*Tableau1[[#This Row],[Unit Price (calcul)]],"")</f>
        <v/>
      </c>
      <c r="AZ73" s="351" t="str">
        <f>IFERROR(IF(Tableau1[[#This Row],[Montant Facturé 04/2018]]&gt;0,Tableau1[[#This Row],[Montant Facturé 04/2018]]/Taux_Change_SII,""),"")</f>
        <v/>
      </c>
      <c r="BA73" s="351"/>
      <c r="BB73" s="83">
        <f>SUMPRODUCT(1*(EXACT(CONCATENATE(Tableau1[[#This Row],[PO Number (Header)]],"-",Tableau1[[#This Row],[Line]]),UO_List[Unique_AIB_ID]))*(UO_List[Qté Réception 05/2020]))</f>
        <v>0</v>
      </c>
      <c r="BC73" s="84">
        <v>0</v>
      </c>
      <c r="BD73" s="351"/>
      <c r="BE73" s="351" t="str">
        <f>IFERROR(Tableau1[[#This Row],[Qté Facturé 05/2018]]*Tableau1[[#This Row],[Unit Price (calcul)]],"")</f>
        <v/>
      </c>
      <c r="BF73" s="351" t="str">
        <f>IFERROR(IF(Tableau1[[#This Row],[Montant Facturé 05/2018]]&gt;0,Tableau1[[#This Row],[Montant Facturé 05/2018]]/Taux_Change_SII,""),"")</f>
        <v/>
      </c>
      <c r="BG73" s="351"/>
      <c r="BH73" s="83">
        <f>SUMPRODUCT(1*(EXACT(CONCATENATE(Tableau1[[#This Row],[PO Number (Header)]],"-",Tableau1[[#This Row],[Line]]),UO_List[Unique_AIB_ID]))*(UO_List[Qté Réception 06/2020]))</f>
        <v>0</v>
      </c>
      <c r="BI73" s="84">
        <v>0</v>
      </c>
      <c r="BJ73" s="351"/>
      <c r="BK73" s="351" t="str">
        <f>IFERROR(Tableau1[[#This Row],[Qté Facturé 06/2018]]*Tableau1[[#This Row],[Unit Price (calcul)]],"")</f>
        <v/>
      </c>
      <c r="BL73" s="351" t="str">
        <f>IFERROR(IF(Tableau1[[#This Row],[Montant Facturé 06/2018]]&gt;0,Tableau1[[#This Row],[Montant Facturé 06/2018]]/Taux_Change_SII,""),"")</f>
        <v/>
      </c>
      <c r="BM73" s="351"/>
      <c r="BN73" s="83">
        <f>SUMPRODUCT(1*(EXACT(CONCATENATE(Tableau1[[#This Row],[PO Number (Header)]],"-",Tableau1[[#This Row],[Line]]),UO_List[Unique_AIB_ID]))*(UO_List[Qté Réception 07/2020]))</f>
        <v>0</v>
      </c>
      <c r="BO73" s="84">
        <v>0</v>
      </c>
      <c r="BP73" s="351"/>
      <c r="BQ73" s="351" t="str">
        <f>IFERROR(Tableau1[[#This Row],[Qté Facturé 07/2018]]*Tableau1[[#This Row],[Unit Price (calcul)]],"")</f>
        <v/>
      </c>
      <c r="BR73" s="351" t="str">
        <f>IFERROR(IF(Tableau1[[#This Row],[Montant Facturé 07/2018]]&gt;0,Tableau1[[#This Row],[Montant Facturé 07/2018]]/Taux_Change_SII,""),"")</f>
        <v/>
      </c>
      <c r="BS73" s="351"/>
      <c r="BT73" s="83">
        <f>SUMPRODUCT(1*(EXACT(CONCATENATE(Tableau1[[#This Row],[PO Number (Header)]],"-",Tableau1[[#This Row],[Line]]),UO_List[Unique_AIB_ID]))*(UO_List[Qté Réception 08/2020]))</f>
        <v>0</v>
      </c>
      <c r="BU73" s="84"/>
      <c r="BV73" s="351"/>
      <c r="BW73" s="351" t="str">
        <f>IFERROR(Tableau1[[#This Row],[Qté Facturé 08/2018]]*Tableau1[[#This Row],[Unit Price (calcul)]],"")</f>
        <v/>
      </c>
      <c r="BX73" s="351" t="str">
        <f>IFERROR(IF(Tableau1[[#This Row],[Montant Facturé 08/2018]]&gt;0,Tableau1[[#This Row],[Montant Facturé 08/2018]]/Taux_Change_SII,""),"")</f>
        <v/>
      </c>
      <c r="BY73" s="351"/>
      <c r="BZ73" s="83">
        <f>SUMPRODUCT(1*(EXACT(CONCATENATE(Tableau1[[#This Row],[PO Number (Header)]],"-",Tableau1[[#This Row],[Line]]),UO_List[Unique_AIB_ID]))*(UO_List[Qté Réception 09/2020]))</f>
        <v>0</v>
      </c>
      <c r="CA73" s="84">
        <v>0</v>
      </c>
      <c r="CB73" s="351"/>
      <c r="CC73" s="351" t="str">
        <f>IFERROR(Tableau1[[#This Row],[Qté Facturé 09/2018]]*Tableau1[[#This Row],[Unit Price (calcul)]],"")</f>
        <v/>
      </c>
      <c r="CD73" s="351" t="str">
        <f>IFERROR(IF(Tableau1[[#This Row],[Montant Facturé 09/2018]]&gt;0,Tableau1[[#This Row],[Montant Facturé 09/2018]]/Taux_Change_SII,""),"")</f>
        <v/>
      </c>
      <c r="CE73" s="351"/>
      <c r="CF73" s="83">
        <f>SUMPRODUCT(1*(EXACT(CONCATENATE(Tableau1[[#This Row],[PO Number (Header)]],"-",Tableau1[[#This Row],[Line]]),UO_List[Unique_AIB_ID]))*(UO_List[Qté Réception 10/2020]))</f>
        <v>0</v>
      </c>
      <c r="CG73" s="84">
        <v>0</v>
      </c>
      <c r="CH73" s="351"/>
      <c r="CI73" s="351" t="str">
        <f>IFERROR(Tableau1[[#This Row],[Qté Facturé 10/2018]]*Tableau1[[#This Row],[Unit Price (calcul)]],"")</f>
        <v/>
      </c>
      <c r="CJ73" s="351" t="str">
        <f>IFERROR(IF(Tableau1[[#This Row],[Montant Facturé 10/2018]]&gt;0,Tableau1[[#This Row],[Montant Facturé 10/2018]]/Taux_Change_SII,""),"")</f>
        <v/>
      </c>
      <c r="CK73" s="351"/>
      <c r="CL73" s="83">
        <f>SUMPRODUCT(1*(EXACT(CONCATENATE(Tableau1[[#This Row],[PO Number (Header)]],"-",Tableau1[[#This Row],[Line]]),UO_List[Unique_AIB_ID]))*(UO_List[Qté Réception 11/2020]))</f>
        <v>0</v>
      </c>
      <c r="CM73" s="84"/>
      <c r="CN73" s="351"/>
      <c r="CO73" s="351" t="str">
        <f>IFERROR(Tableau1[[#This Row],[Qté Facturé 11/2018]]*Tableau1[[#This Row],[Unit Price (calcul)]],"")</f>
        <v/>
      </c>
      <c r="CP73" s="351" t="str">
        <f>IFERROR(IF(Tableau1[[#This Row],[Montant Facturé 11/2018]]&gt;0,Tableau1[[#This Row],[Montant Facturé 11/2018]]/Taux_Change_SII,""),"")</f>
        <v/>
      </c>
      <c r="CQ73" s="351"/>
      <c r="CR73" s="83">
        <f>SUMPRODUCT(1*(EXACT(CONCATENATE(Tableau1[[#This Row],[PO Number (Header)]],"-",Tableau1[[#This Row],[Line]]),UO_List[Unique_AIB_ID]))*(UO_List[Qté Réception 12/2020]))</f>
        <v>0</v>
      </c>
      <c r="CS73" s="84"/>
      <c r="CT73" s="351"/>
      <c r="CU73" s="351" t="str">
        <f>IFERROR(Tableau1[[#This Row],[Qté Facturé 12/2018]]*Tableau1[[#This Row],[Unit Price (calcul)]],"")</f>
        <v/>
      </c>
      <c r="CV73" s="351" t="str">
        <f>IFERROR(IF(Tableau1[[#This Row],[Montant Facturé 12/2018]]&gt;0,Tableau1[[#This Row],[Montant Facturé 12/2018]]/Taux_Change_SII,""),"")</f>
        <v/>
      </c>
      <c r="CW73" s="351"/>
      <c r="CX7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3" s="352" t="str">
        <f>IFERROR(Tableau1[[#This Row],[Total item réceptionné]]*Tableau1[[#This Row],[Unit Price (calcul)]],"")</f>
        <v/>
      </c>
      <c r="DB73" s="352" t="str">
        <f>IFERROR(Tableau1[[#This Row],[Total item à Facturer]]*Tableau1[[#This Row],[Unit Price (calcul)]],"")</f>
        <v/>
      </c>
      <c r="DC7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3" s="352" t="str">
        <f>IFERROR(Tableau1[[#This Row],[Line Total]]-Tableau1[[#This Row],[Total Price Réceptionné]],"")</f>
        <v/>
      </c>
      <c r="DE73" s="352" t="str">
        <f>IFERROR(Tableau1[[#This Row],[Total Price Réceptionné]]-Tableau1[[#This Row],[Total Price A facturer]],"")</f>
        <v/>
      </c>
      <c r="DF73" s="353" t="str">
        <f>IFERROR(Tableau1[[#This Row],[Total Price A facturer]]-Tableau1[[#This Row],[Total Price Facturé]],"")</f>
        <v/>
      </c>
      <c r="DG73" s="76">
        <f>Tableau1[[#This Row],[Total Item Quantity]]-Tableau1[[#This Row],[Total item réceptionné]]</f>
        <v>0</v>
      </c>
      <c r="DH73" s="167"/>
      <c r="DI73" s="167"/>
    </row>
    <row r="74" spans="1:113" s="74" customFormat="1">
      <c r="A74" s="77" t="str">
        <f>CONCATENATE(Tableau1[[#This Row],[PO Number (Header)]],"-",Tableau1[[#This Row],[Line]])</f>
        <v>-</v>
      </c>
      <c r="B74" s="405"/>
      <c r="D74" s="397"/>
      <c r="N74" s="77"/>
      <c r="O74" s="77"/>
      <c r="P74" s="77"/>
      <c r="Q74" s="395"/>
      <c r="R74" s="395"/>
      <c r="S74" s="77"/>
      <c r="T74" s="77"/>
      <c r="U74" s="77"/>
      <c r="V74" s="77"/>
      <c r="W74" s="167"/>
      <c r="X74" s="167"/>
      <c r="Y74" s="167" t="str">
        <f>IF(ISBLANK(Tableau1[[#This Row],[PO Number (Header)]]),"",Tableau1[[#This Row],[Line Total]]/Tableau1[[#This Row],[Total Item Quantity]])</f>
        <v/>
      </c>
      <c r="Z74" s="167" t="str">
        <f>IF(ISNA(VLOOKUP(Tableau1[[#This Row],[Unique_AIB_ID]],UO_List[Unique_AIB_ID],1,FALSE)),IF(ISBLANK(Tableau1[[#This Row],[PO Number (Header)]]),"","FAUX"),"VRAI")</f>
        <v/>
      </c>
      <c r="AA74" s="167"/>
      <c r="AB74" s="162" t="e">
        <f>VLOOKUP(Tableau1[[#This Row],[Unique_AIB_ID]],UO_List[[Unique_AIB_ID]:[OLGA F6]],3,FALSE)</f>
        <v>#N/A</v>
      </c>
      <c r="AC74" s="162" t="s">
        <v>779</v>
      </c>
      <c r="AD74" s="83">
        <f>SUMPRODUCT(1*(EXACT(CONCATENATE(Tableau1[[#This Row],[PO Number (Header)]],"-",Tableau1[[#This Row],[Line]]),UO_List[Unique_AIB_ID]))*(UO_List[Qté Réception 03/2020]))</f>
        <v>0</v>
      </c>
      <c r="AE74" s="84"/>
      <c r="AF74" s="357"/>
      <c r="AG74" s="351" t="str">
        <f>IFERROR(Tableau1[[#This Row],[Qté Facturé 01/2018]]*Tableau1[[#This Row],[Unit Price (calcul)]],"")</f>
        <v/>
      </c>
      <c r="AH74" s="356" t="str">
        <f>IFERROR(IF(Tableau1[[#This Row],[Montant Facturé 01/2018]]&gt;0,Tableau1[[#This Row],[Montant Facturé 01/2018]]/Taux_Change_SII,""),"")</f>
        <v/>
      </c>
      <c r="AI74" s="351"/>
      <c r="AJ74" s="83">
        <f>SUMPRODUCT(1*(EXACT(CONCATENATE(Tableau1[[#This Row],[PO Number (Header)]],"-",Tableau1[[#This Row],[Line]]),UO_List[Unique_AIB_ID]))*(UO_List[Qté Réception 02/2020]))</f>
        <v>0</v>
      </c>
      <c r="AK74" s="83">
        <f>SUMPRODUCT(1*(EXACT(CONCATENATE(Tableau1[[#This Row],[PO Number (Header)]],"-",Tableau1[[#This Row],[Line]]),UO_List[Unique_AIB_ID]))*(UO_List[Qté Réception 02/2020]))</f>
        <v>0</v>
      </c>
      <c r="AL74" s="357"/>
      <c r="AM74" s="351" t="str">
        <f>IFERROR(Tableau1[[#This Row],[Qté Facturé 02/2018]]*Tableau1[[#This Row],[Unit Price (calcul)]],"")</f>
        <v/>
      </c>
      <c r="AN74" s="351" t="str">
        <f>IFERROR(IF(Tableau1[[#This Row],[Montant Facturé 02/2018]]&gt;0,Tableau1[[#This Row],[Montant Facturé 02/2018]]/Taux_Change_SII,""),"")</f>
        <v/>
      </c>
      <c r="AO74" s="351"/>
      <c r="AP74" s="83">
        <f>SUMPRODUCT(1*(EXACT(CONCATENATE(Tableau1[[#This Row],[PO Number (Header)]],"-",Tableau1[[#This Row],[Line]]),UO_List[Unique_AIB_ID]))*(UO_List[Qté Réception 00/2020]))</f>
        <v>0</v>
      </c>
      <c r="AQ74" s="84">
        <v>0</v>
      </c>
      <c r="AR74" s="357"/>
      <c r="AS74" s="351" t="str">
        <f>IFERROR(Tableau1[[#This Row],[Qté Facturé 03/2018]]*Tableau1[[#This Row],[Unit Price (calcul)]],"")</f>
        <v/>
      </c>
      <c r="AT74" s="351" t="str">
        <f>IFERROR(IF(Tableau1[[#This Row],[Montant Facturé 03/2018]]&gt;0,Tableau1[[#This Row],[Montant Facturé 03/2018]]/Taux_Change_SII,""),"")</f>
        <v/>
      </c>
      <c r="AU74" s="351"/>
      <c r="AV74" s="83">
        <f>SUMPRODUCT(1*(EXACT(CONCATENATE(Tableau1[[#This Row],[PO Number (Header)]],"-",Tableau1[[#This Row],[Line]]),UO_List[Unique_AIB_ID]))*(UO_List[Qté Réception 04/2020]))</f>
        <v>0</v>
      </c>
      <c r="AW74" s="84"/>
      <c r="AX74" s="351"/>
      <c r="AY74" s="351" t="str">
        <f>IFERROR(Tableau1[[#This Row],[Qté Facturé 04/2018]]*Tableau1[[#This Row],[Unit Price (calcul)]],"")</f>
        <v/>
      </c>
      <c r="AZ74" s="351" t="str">
        <f>IFERROR(IF(Tableau1[[#This Row],[Montant Facturé 04/2018]]&gt;0,Tableau1[[#This Row],[Montant Facturé 04/2018]]/Taux_Change_SII,""),"")</f>
        <v/>
      </c>
      <c r="BA74" s="351"/>
      <c r="BB74" s="83">
        <f>SUMPRODUCT(1*(EXACT(CONCATENATE(Tableau1[[#This Row],[PO Number (Header)]],"-",Tableau1[[#This Row],[Line]]),UO_List[Unique_AIB_ID]))*(UO_List[Qté Réception 05/2020]))</f>
        <v>0</v>
      </c>
      <c r="BC74" s="84"/>
      <c r="BD74" s="351"/>
      <c r="BE74" s="351" t="str">
        <f>IFERROR(Tableau1[[#This Row],[Qté Facturé 05/2018]]*Tableau1[[#This Row],[Unit Price (calcul)]],"")</f>
        <v/>
      </c>
      <c r="BF74" s="351" t="str">
        <f>IFERROR(IF(Tableau1[[#This Row],[Montant Facturé 05/2018]]&gt;0,Tableau1[[#This Row],[Montant Facturé 05/2018]]/Taux_Change_SII,""),"")</f>
        <v/>
      </c>
      <c r="BG74" s="351"/>
      <c r="BH74" s="83">
        <f>SUMPRODUCT(1*(EXACT(CONCATENATE(Tableau1[[#This Row],[PO Number (Header)]],"-",Tableau1[[#This Row],[Line]]),UO_List[Unique_AIB_ID]))*(UO_List[Qté Réception 06/2020]))</f>
        <v>0</v>
      </c>
      <c r="BI74" s="84">
        <v>0</v>
      </c>
      <c r="BJ74" s="351"/>
      <c r="BK74" s="351" t="str">
        <f>IFERROR(Tableau1[[#This Row],[Qté Facturé 06/2018]]*Tableau1[[#This Row],[Unit Price (calcul)]],"")</f>
        <v/>
      </c>
      <c r="BL74" s="351" t="str">
        <f>IFERROR(IF(Tableau1[[#This Row],[Montant Facturé 06/2018]]&gt;0,Tableau1[[#This Row],[Montant Facturé 06/2018]]/Taux_Change_SII,""),"")</f>
        <v/>
      </c>
      <c r="BM74" s="351"/>
      <c r="BN74" s="83">
        <f>SUMPRODUCT(1*(EXACT(CONCATENATE(Tableau1[[#This Row],[PO Number (Header)]],"-",Tableau1[[#This Row],[Line]]),UO_List[Unique_AIB_ID]))*(UO_List[Qté Réception 07/2020]))</f>
        <v>0</v>
      </c>
      <c r="BO74" s="84">
        <v>0</v>
      </c>
      <c r="BP74" s="351"/>
      <c r="BQ74" s="351" t="str">
        <f>IFERROR(Tableau1[[#This Row],[Qté Facturé 07/2018]]*Tableau1[[#This Row],[Unit Price (calcul)]],"")</f>
        <v/>
      </c>
      <c r="BR74" s="351" t="str">
        <f>IFERROR(IF(Tableau1[[#This Row],[Montant Facturé 07/2018]]&gt;0,Tableau1[[#This Row],[Montant Facturé 07/2018]]/Taux_Change_SII,""),"")</f>
        <v/>
      </c>
      <c r="BS74" s="351"/>
      <c r="BT74" s="83">
        <f>SUMPRODUCT(1*(EXACT(CONCATENATE(Tableau1[[#This Row],[PO Number (Header)]],"-",Tableau1[[#This Row],[Line]]),UO_List[Unique_AIB_ID]))*(UO_List[Qté Réception 08/2020]))</f>
        <v>0</v>
      </c>
      <c r="BU74" s="84"/>
      <c r="BV74" s="351"/>
      <c r="BW74" s="351" t="str">
        <f>IFERROR(Tableau1[[#This Row],[Qté Facturé 08/2018]]*Tableau1[[#This Row],[Unit Price (calcul)]],"")</f>
        <v/>
      </c>
      <c r="BX74" s="351" t="str">
        <f>IFERROR(IF(Tableau1[[#This Row],[Montant Facturé 08/2018]]&gt;0,Tableau1[[#This Row],[Montant Facturé 08/2018]]/Taux_Change_SII,""),"")</f>
        <v/>
      </c>
      <c r="BY74" s="351"/>
      <c r="BZ74" s="83">
        <f>SUMPRODUCT(1*(EXACT(CONCATENATE(Tableau1[[#This Row],[PO Number (Header)]],"-",Tableau1[[#This Row],[Line]]),UO_List[Unique_AIB_ID]))*(UO_List[Qté Réception 09/2020]))</f>
        <v>0</v>
      </c>
      <c r="CA74" s="84">
        <v>0</v>
      </c>
      <c r="CB74" s="351"/>
      <c r="CC74" s="351" t="str">
        <f>IFERROR(Tableau1[[#This Row],[Qté Facturé 09/2018]]*Tableau1[[#This Row],[Unit Price (calcul)]],"")</f>
        <v/>
      </c>
      <c r="CD74" s="351" t="str">
        <f>IFERROR(IF(Tableau1[[#This Row],[Montant Facturé 09/2018]]&gt;0,Tableau1[[#This Row],[Montant Facturé 09/2018]]/Taux_Change_SII,""),"")</f>
        <v/>
      </c>
      <c r="CE74" s="351"/>
      <c r="CF74" s="83">
        <f>SUMPRODUCT(1*(EXACT(CONCATENATE(Tableau1[[#This Row],[PO Number (Header)]],"-",Tableau1[[#This Row],[Line]]),UO_List[Unique_AIB_ID]))*(UO_List[Qté Réception 10/2020]))</f>
        <v>0</v>
      </c>
      <c r="CG74" s="84">
        <v>0</v>
      </c>
      <c r="CH74" s="351"/>
      <c r="CI74" s="351" t="str">
        <f>IFERROR(Tableau1[[#This Row],[Qté Facturé 10/2018]]*Tableau1[[#This Row],[Unit Price (calcul)]],"")</f>
        <v/>
      </c>
      <c r="CJ74" s="351" t="str">
        <f>IFERROR(IF(Tableau1[[#This Row],[Montant Facturé 10/2018]]&gt;0,Tableau1[[#This Row],[Montant Facturé 10/2018]]/Taux_Change_SII,""),"")</f>
        <v/>
      </c>
      <c r="CK74" s="351"/>
      <c r="CL74" s="83">
        <f>SUMPRODUCT(1*(EXACT(CONCATENATE(Tableau1[[#This Row],[PO Number (Header)]],"-",Tableau1[[#This Row],[Line]]),UO_List[Unique_AIB_ID]))*(UO_List[Qté Réception 11/2020]))</f>
        <v>0</v>
      </c>
      <c r="CM74" s="84"/>
      <c r="CN74" s="351"/>
      <c r="CO74" s="351" t="str">
        <f>IFERROR(Tableau1[[#This Row],[Qté Facturé 11/2018]]*Tableau1[[#This Row],[Unit Price (calcul)]],"")</f>
        <v/>
      </c>
      <c r="CP74" s="351" t="str">
        <f>IFERROR(IF(Tableau1[[#This Row],[Montant Facturé 11/2018]]&gt;0,Tableau1[[#This Row],[Montant Facturé 11/2018]]/Taux_Change_SII,""),"")</f>
        <v/>
      </c>
      <c r="CQ74" s="351"/>
      <c r="CR74" s="83">
        <f>SUMPRODUCT(1*(EXACT(CONCATENATE(Tableau1[[#This Row],[PO Number (Header)]],"-",Tableau1[[#This Row],[Line]]),UO_List[Unique_AIB_ID]))*(UO_List[Qté Réception 12/2020]))</f>
        <v>0</v>
      </c>
      <c r="CS74" s="84"/>
      <c r="CT74" s="351"/>
      <c r="CU74" s="351" t="str">
        <f>IFERROR(Tableau1[[#This Row],[Qté Facturé 12/2018]]*Tableau1[[#This Row],[Unit Price (calcul)]],"")</f>
        <v/>
      </c>
      <c r="CV74" s="351" t="str">
        <f>IFERROR(IF(Tableau1[[#This Row],[Montant Facturé 12/2018]]&gt;0,Tableau1[[#This Row],[Montant Facturé 12/2018]]/Taux_Change_SII,""),"")</f>
        <v/>
      </c>
      <c r="CW74" s="351"/>
      <c r="CX7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4" s="352" t="str">
        <f>IFERROR(Tableau1[[#This Row],[Total item réceptionné]]*Tableau1[[#This Row],[Unit Price (calcul)]],"")</f>
        <v/>
      </c>
      <c r="DB74" s="352" t="str">
        <f>IFERROR(Tableau1[[#This Row],[Total item à Facturer]]*Tableau1[[#This Row],[Unit Price (calcul)]],"")</f>
        <v/>
      </c>
      <c r="DC7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4" s="352" t="str">
        <f>IFERROR(Tableau1[[#This Row],[Line Total]]-Tableau1[[#This Row],[Total Price Réceptionné]],"")</f>
        <v/>
      </c>
      <c r="DE74" s="352" t="str">
        <f>IFERROR(Tableau1[[#This Row],[Total Price Réceptionné]]-Tableau1[[#This Row],[Total Price A facturer]],"")</f>
        <v/>
      </c>
      <c r="DF74" s="353" t="str">
        <f>IFERROR(Tableau1[[#This Row],[Total Price A facturer]]-Tableau1[[#This Row],[Total Price Facturé]],"")</f>
        <v/>
      </c>
      <c r="DG74" s="76">
        <f>Tableau1[[#This Row],[Total Item Quantity]]-Tableau1[[#This Row],[Total item réceptionné]]</f>
        <v>0</v>
      </c>
      <c r="DH74" s="167"/>
      <c r="DI74" s="167"/>
    </row>
    <row r="75" spans="1:113" s="74" customFormat="1">
      <c r="A75" s="77" t="str">
        <f>CONCATENATE(Tableau1[[#This Row],[PO Number (Header)]],"-",Tableau1[[#This Row],[Line]])</f>
        <v>-</v>
      </c>
      <c r="B75" s="397"/>
      <c r="D75" s="397"/>
      <c r="N75" s="77"/>
      <c r="O75" s="77"/>
      <c r="P75" s="77"/>
      <c r="Q75" s="395"/>
      <c r="R75" s="395"/>
      <c r="S75" s="77"/>
      <c r="T75" s="77"/>
      <c r="U75" s="77"/>
      <c r="V75" s="77"/>
      <c r="W75" s="167"/>
      <c r="X75" s="167"/>
      <c r="Y75" s="167" t="str">
        <f>IF(ISBLANK(Tableau1[[#This Row],[PO Number (Header)]]),"",Tableau1[[#This Row],[Line Total]]/Tableau1[[#This Row],[Total Item Quantity]])</f>
        <v/>
      </c>
      <c r="Z75" s="167" t="str">
        <f>IF(ISNA(VLOOKUP(Tableau1[[#This Row],[Unique_AIB_ID]],UO_List[Unique_AIB_ID],1,FALSE)),IF(ISBLANK(Tableau1[[#This Row],[PO Number (Header)]]),"","FAUX"),"VRAI")</f>
        <v/>
      </c>
      <c r="AA75" s="167"/>
      <c r="AB75" s="162" t="e">
        <f>VLOOKUP(Tableau1[[#This Row],[Unique_AIB_ID]],UO_List[[Unique_AIB_ID]:[OLGA F6]],3,FALSE)</f>
        <v>#N/A</v>
      </c>
      <c r="AC75" s="162" t="s">
        <v>779</v>
      </c>
      <c r="AD75" s="83">
        <f>SUMPRODUCT(1*(EXACT(CONCATENATE(Tableau1[[#This Row],[PO Number (Header)]],"-",Tableau1[[#This Row],[Line]]),UO_List[Unique_AIB_ID]))*(UO_List[Qté Réception 03/2020]))</f>
        <v>0</v>
      </c>
      <c r="AE75" s="84"/>
      <c r="AF75" s="357"/>
      <c r="AG75" s="351" t="str">
        <f>IFERROR(Tableau1[[#This Row],[Qté Facturé 01/2018]]*Tableau1[[#This Row],[Unit Price (calcul)]],"")</f>
        <v/>
      </c>
      <c r="AH75" s="356" t="str">
        <f>IFERROR(IF(Tableau1[[#This Row],[Montant Facturé 01/2018]]&gt;0,Tableau1[[#This Row],[Montant Facturé 01/2018]]/Taux_Change_SII,""),"")</f>
        <v/>
      </c>
      <c r="AI75" s="351"/>
      <c r="AJ75" s="83">
        <f>SUMPRODUCT(1*(EXACT(CONCATENATE(Tableau1[[#This Row],[PO Number (Header)]],"-",Tableau1[[#This Row],[Line]]),UO_List[Unique_AIB_ID]))*(UO_List[Qté Réception 02/2020]))</f>
        <v>0</v>
      </c>
      <c r="AK75" s="83">
        <f>SUMPRODUCT(1*(EXACT(CONCATENATE(Tableau1[[#This Row],[PO Number (Header)]],"-",Tableau1[[#This Row],[Line]]),UO_List[Unique_AIB_ID]))*(UO_List[Qté Réception 02/2020]))</f>
        <v>0</v>
      </c>
      <c r="AL75" s="357"/>
      <c r="AM75" s="351" t="str">
        <f>IFERROR(Tableau1[[#This Row],[Qté Facturé 02/2018]]*Tableau1[[#This Row],[Unit Price (calcul)]],"")</f>
        <v/>
      </c>
      <c r="AN75" s="351" t="str">
        <f>IFERROR(IF(Tableau1[[#This Row],[Montant Facturé 02/2018]]&gt;0,Tableau1[[#This Row],[Montant Facturé 02/2018]]/Taux_Change_SII,""),"")</f>
        <v/>
      </c>
      <c r="AO75" s="351"/>
      <c r="AP75" s="83">
        <f>SUMPRODUCT(1*(EXACT(CONCATENATE(Tableau1[[#This Row],[PO Number (Header)]],"-",Tableau1[[#This Row],[Line]]),UO_List[Unique_AIB_ID]))*(UO_List[Qté Réception 00/2020]))</f>
        <v>0</v>
      </c>
      <c r="AQ75" s="84">
        <v>0</v>
      </c>
      <c r="AR75" s="357"/>
      <c r="AS75" s="351" t="str">
        <f>IFERROR(Tableau1[[#This Row],[Qté Facturé 03/2018]]*Tableau1[[#This Row],[Unit Price (calcul)]],"")</f>
        <v/>
      </c>
      <c r="AT75" s="351" t="str">
        <f>IFERROR(IF(Tableau1[[#This Row],[Montant Facturé 03/2018]]&gt;0,Tableau1[[#This Row],[Montant Facturé 03/2018]]/Taux_Change_SII,""),"")</f>
        <v/>
      </c>
      <c r="AU75" s="351"/>
      <c r="AV75" s="83">
        <f>SUMPRODUCT(1*(EXACT(CONCATENATE(Tableau1[[#This Row],[PO Number (Header)]],"-",Tableau1[[#This Row],[Line]]),UO_List[Unique_AIB_ID]))*(UO_List[Qté Réception 04/2020]))</f>
        <v>0</v>
      </c>
      <c r="AW75" s="84"/>
      <c r="AX75" s="351"/>
      <c r="AY75" s="351" t="str">
        <f>IFERROR(Tableau1[[#This Row],[Qté Facturé 04/2018]]*Tableau1[[#This Row],[Unit Price (calcul)]],"")</f>
        <v/>
      </c>
      <c r="AZ75" s="351" t="str">
        <f>IFERROR(IF(Tableau1[[#This Row],[Montant Facturé 04/2018]]&gt;0,Tableau1[[#This Row],[Montant Facturé 04/2018]]/Taux_Change_SII,""),"")</f>
        <v/>
      </c>
      <c r="BA75" s="351"/>
      <c r="BB75" s="83">
        <f>SUMPRODUCT(1*(EXACT(CONCATENATE(Tableau1[[#This Row],[PO Number (Header)]],"-",Tableau1[[#This Row],[Line]]),UO_List[Unique_AIB_ID]))*(UO_List[Qté Réception 05/2020]))</f>
        <v>0</v>
      </c>
      <c r="BC75" s="84">
        <v>0</v>
      </c>
      <c r="BD75" s="351"/>
      <c r="BE75" s="351" t="str">
        <f>IFERROR(Tableau1[[#This Row],[Qté Facturé 05/2018]]*Tableau1[[#This Row],[Unit Price (calcul)]],"")</f>
        <v/>
      </c>
      <c r="BF75" s="351" t="str">
        <f>IFERROR(IF(Tableau1[[#This Row],[Montant Facturé 05/2018]]&gt;0,Tableau1[[#This Row],[Montant Facturé 05/2018]]/Taux_Change_SII,""),"")</f>
        <v/>
      </c>
      <c r="BG75" s="351"/>
      <c r="BH75" s="83">
        <f>SUMPRODUCT(1*(EXACT(CONCATENATE(Tableau1[[#This Row],[PO Number (Header)]],"-",Tableau1[[#This Row],[Line]]),UO_List[Unique_AIB_ID]))*(UO_List[Qté Réception 06/2020]))</f>
        <v>0</v>
      </c>
      <c r="BI75" s="84">
        <v>0</v>
      </c>
      <c r="BJ75" s="351"/>
      <c r="BK75" s="351" t="str">
        <f>IFERROR(Tableau1[[#This Row],[Qté Facturé 06/2018]]*Tableau1[[#This Row],[Unit Price (calcul)]],"")</f>
        <v/>
      </c>
      <c r="BL75" s="351" t="str">
        <f>IFERROR(IF(Tableau1[[#This Row],[Montant Facturé 06/2018]]&gt;0,Tableau1[[#This Row],[Montant Facturé 06/2018]]/Taux_Change_SII,""),"")</f>
        <v/>
      </c>
      <c r="BM75" s="351"/>
      <c r="BN75" s="83">
        <f>SUMPRODUCT(1*(EXACT(CONCATENATE(Tableau1[[#This Row],[PO Number (Header)]],"-",Tableau1[[#This Row],[Line]]),UO_List[Unique_AIB_ID]))*(UO_List[Qté Réception 07/2020]))</f>
        <v>0</v>
      </c>
      <c r="BO75" s="84">
        <v>0</v>
      </c>
      <c r="BP75" s="351"/>
      <c r="BQ75" s="351" t="str">
        <f>IFERROR(Tableau1[[#This Row],[Qté Facturé 07/2018]]*Tableau1[[#This Row],[Unit Price (calcul)]],"")</f>
        <v/>
      </c>
      <c r="BR75" s="351" t="str">
        <f>IFERROR(IF(Tableau1[[#This Row],[Montant Facturé 07/2018]]&gt;0,Tableau1[[#This Row],[Montant Facturé 07/2018]]/Taux_Change_SII,""),"")</f>
        <v/>
      </c>
      <c r="BS75" s="351"/>
      <c r="BT75" s="83">
        <f>SUMPRODUCT(1*(EXACT(CONCATENATE(Tableau1[[#This Row],[PO Number (Header)]],"-",Tableau1[[#This Row],[Line]]),UO_List[Unique_AIB_ID]))*(UO_List[Qté Réception 08/2020]))</f>
        <v>0</v>
      </c>
      <c r="BU75" s="84"/>
      <c r="BV75" s="351"/>
      <c r="BW75" s="351" t="str">
        <f>IFERROR(Tableau1[[#This Row],[Qté Facturé 08/2018]]*Tableau1[[#This Row],[Unit Price (calcul)]],"")</f>
        <v/>
      </c>
      <c r="BX75" s="351" t="str">
        <f>IFERROR(IF(Tableau1[[#This Row],[Montant Facturé 08/2018]]&gt;0,Tableau1[[#This Row],[Montant Facturé 08/2018]]/Taux_Change_SII,""),"")</f>
        <v/>
      </c>
      <c r="BY75" s="351"/>
      <c r="BZ75" s="83">
        <f>SUMPRODUCT(1*(EXACT(CONCATENATE(Tableau1[[#This Row],[PO Number (Header)]],"-",Tableau1[[#This Row],[Line]]),UO_List[Unique_AIB_ID]))*(UO_List[Qté Réception 09/2020]))</f>
        <v>0</v>
      </c>
      <c r="CA75" s="84">
        <v>0</v>
      </c>
      <c r="CB75" s="351"/>
      <c r="CC75" s="351" t="str">
        <f>IFERROR(Tableau1[[#This Row],[Qté Facturé 09/2018]]*Tableau1[[#This Row],[Unit Price (calcul)]],"")</f>
        <v/>
      </c>
      <c r="CD75" s="351" t="str">
        <f>IFERROR(IF(Tableau1[[#This Row],[Montant Facturé 09/2018]]&gt;0,Tableau1[[#This Row],[Montant Facturé 09/2018]]/Taux_Change_SII,""),"")</f>
        <v/>
      </c>
      <c r="CE75" s="351"/>
      <c r="CF75" s="83">
        <f>SUMPRODUCT(1*(EXACT(CONCATENATE(Tableau1[[#This Row],[PO Number (Header)]],"-",Tableau1[[#This Row],[Line]]),UO_List[Unique_AIB_ID]))*(UO_List[Qté Réception 10/2020]))</f>
        <v>0</v>
      </c>
      <c r="CG75" s="84">
        <v>0</v>
      </c>
      <c r="CH75" s="351"/>
      <c r="CI75" s="351" t="str">
        <f>IFERROR(Tableau1[[#This Row],[Qté Facturé 10/2018]]*Tableau1[[#This Row],[Unit Price (calcul)]],"")</f>
        <v/>
      </c>
      <c r="CJ75" s="351" t="str">
        <f>IFERROR(IF(Tableau1[[#This Row],[Montant Facturé 10/2018]]&gt;0,Tableau1[[#This Row],[Montant Facturé 10/2018]]/Taux_Change_SII,""),"")</f>
        <v/>
      </c>
      <c r="CK75" s="351"/>
      <c r="CL75" s="83">
        <f>SUMPRODUCT(1*(EXACT(CONCATENATE(Tableau1[[#This Row],[PO Number (Header)]],"-",Tableau1[[#This Row],[Line]]),UO_List[Unique_AIB_ID]))*(UO_List[Qté Réception 11/2020]))</f>
        <v>0</v>
      </c>
      <c r="CM75" s="84"/>
      <c r="CN75" s="351"/>
      <c r="CO75" s="351" t="str">
        <f>IFERROR(Tableau1[[#This Row],[Qté Facturé 11/2018]]*Tableau1[[#This Row],[Unit Price (calcul)]],"")</f>
        <v/>
      </c>
      <c r="CP75" s="351" t="str">
        <f>IFERROR(IF(Tableau1[[#This Row],[Montant Facturé 11/2018]]&gt;0,Tableau1[[#This Row],[Montant Facturé 11/2018]]/Taux_Change_SII,""),"")</f>
        <v/>
      </c>
      <c r="CQ75" s="351"/>
      <c r="CR75" s="83">
        <f>SUMPRODUCT(1*(EXACT(CONCATENATE(Tableau1[[#This Row],[PO Number (Header)]],"-",Tableau1[[#This Row],[Line]]),UO_List[Unique_AIB_ID]))*(UO_List[Qté Réception 12/2020]))</f>
        <v>0</v>
      </c>
      <c r="CS75" s="84"/>
      <c r="CT75" s="351"/>
      <c r="CU75" s="351" t="str">
        <f>IFERROR(Tableau1[[#This Row],[Qté Facturé 12/2018]]*Tableau1[[#This Row],[Unit Price (calcul)]],"")</f>
        <v/>
      </c>
      <c r="CV75" s="351" t="str">
        <f>IFERROR(IF(Tableau1[[#This Row],[Montant Facturé 12/2018]]&gt;0,Tableau1[[#This Row],[Montant Facturé 12/2018]]/Taux_Change_SII,""),"")</f>
        <v/>
      </c>
      <c r="CW75" s="351"/>
      <c r="CX7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5" s="352" t="str">
        <f>IFERROR(Tableau1[[#This Row],[Total item réceptionné]]*Tableau1[[#This Row],[Unit Price (calcul)]],"")</f>
        <v/>
      </c>
      <c r="DB75" s="352" t="str">
        <f>IFERROR(Tableau1[[#This Row],[Total item à Facturer]]*Tableau1[[#This Row],[Unit Price (calcul)]],"")</f>
        <v/>
      </c>
      <c r="DC7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5" s="352" t="str">
        <f>IFERROR(Tableau1[[#This Row],[Line Total]]-Tableau1[[#This Row],[Total Price Réceptionné]],"")</f>
        <v/>
      </c>
      <c r="DE75" s="352" t="str">
        <f>IFERROR(Tableau1[[#This Row],[Total Price Réceptionné]]-Tableau1[[#This Row],[Total Price A facturer]],"")</f>
        <v/>
      </c>
      <c r="DF75" s="353" t="str">
        <f>IFERROR(Tableau1[[#This Row],[Total Price A facturer]]-Tableau1[[#This Row],[Total Price Facturé]],"")</f>
        <v/>
      </c>
      <c r="DG75" s="76">
        <f>Tableau1[[#This Row],[Total Item Quantity]]-Tableau1[[#This Row],[Total item réceptionné]]</f>
        <v>0</v>
      </c>
      <c r="DH75" s="167"/>
      <c r="DI75" s="167"/>
    </row>
    <row r="76" spans="1:113" s="74" customFormat="1">
      <c r="A76" s="77" t="str">
        <f>CONCATENATE(Tableau1[[#This Row],[PO Number (Header)]],"-",Tableau1[[#This Row],[Line]])</f>
        <v>-</v>
      </c>
      <c r="B76" s="397"/>
      <c r="D76" s="397"/>
      <c r="N76" s="77"/>
      <c r="O76" s="77"/>
      <c r="P76" s="77"/>
      <c r="Q76" s="395"/>
      <c r="R76" s="395"/>
      <c r="S76" s="77"/>
      <c r="T76" s="77"/>
      <c r="U76" s="77"/>
      <c r="V76" s="77"/>
      <c r="W76" s="167"/>
      <c r="X76" s="167"/>
      <c r="Y76" s="167" t="str">
        <f>IF(ISBLANK(Tableau1[[#This Row],[PO Number (Header)]]),"",Tableau1[[#This Row],[Line Total]]/Tableau1[[#This Row],[Total Item Quantity]])</f>
        <v/>
      </c>
      <c r="Z76" s="167" t="str">
        <f>IF(ISNA(VLOOKUP(Tableau1[[#This Row],[Unique_AIB_ID]],UO_List[Unique_AIB_ID],1,FALSE)),IF(ISBLANK(Tableau1[[#This Row],[PO Number (Header)]]),"","FAUX"),"VRAI")</f>
        <v/>
      </c>
      <c r="AA76" s="167"/>
      <c r="AB76" s="162" t="e">
        <f>VLOOKUP(Tableau1[[#This Row],[Unique_AIB_ID]],UO_List[[Unique_AIB_ID]:[OLGA F6]],3,FALSE)</f>
        <v>#N/A</v>
      </c>
      <c r="AC76" s="162" t="s">
        <v>779</v>
      </c>
      <c r="AD76" s="83">
        <f>SUMPRODUCT(1*(EXACT(CONCATENATE(Tableau1[[#This Row],[PO Number (Header)]],"-",Tableau1[[#This Row],[Line]]),UO_List[Unique_AIB_ID]))*(UO_List[Qté Réception 03/2020]))</f>
        <v>0</v>
      </c>
      <c r="AE76" s="84"/>
      <c r="AF76" s="357"/>
      <c r="AG76" s="351" t="str">
        <f>IFERROR(Tableau1[[#This Row],[Qté Facturé 01/2018]]*Tableau1[[#This Row],[Unit Price (calcul)]],"")</f>
        <v/>
      </c>
      <c r="AH76" s="356" t="str">
        <f>IFERROR(IF(Tableau1[[#This Row],[Montant Facturé 01/2018]]&gt;0,Tableau1[[#This Row],[Montant Facturé 01/2018]]/Taux_Change_SII,""),"")</f>
        <v/>
      </c>
      <c r="AI76" s="351"/>
      <c r="AJ76" s="83">
        <f>SUMPRODUCT(1*(EXACT(CONCATENATE(Tableau1[[#This Row],[PO Number (Header)]],"-",Tableau1[[#This Row],[Line]]),UO_List[Unique_AIB_ID]))*(UO_List[Qté Réception 02/2020]))</f>
        <v>0</v>
      </c>
      <c r="AK76" s="83">
        <f>SUMPRODUCT(1*(EXACT(CONCATENATE(Tableau1[[#This Row],[PO Number (Header)]],"-",Tableau1[[#This Row],[Line]]),UO_List[Unique_AIB_ID]))*(UO_List[Qté Réception 02/2020]))</f>
        <v>0</v>
      </c>
      <c r="AL76" s="357"/>
      <c r="AM76" s="351" t="str">
        <f>IFERROR(Tableau1[[#This Row],[Qté Facturé 02/2018]]*Tableau1[[#This Row],[Unit Price (calcul)]],"")</f>
        <v/>
      </c>
      <c r="AN76" s="351" t="str">
        <f>IFERROR(IF(Tableau1[[#This Row],[Montant Facturé 02/2018]]&gt;0,Tableau1[[#This Row],[Montant Facturé 02/2018]]/Taux_Change_SII,""),"")</f>
        <v/>
      </c>
      <c r="AO76" s="351"/>
      <c r="AP76" s="83">
        <f>SUMPRODUCT(1*(EXACT(CONCATENATE(Tableau1[[#This Row],[PO Number (Header)]],"-",Tableau1[[#This Row],[Line]]),UO_List[Unique_AIB_ID]))*(UO_List[Qté Réception 00/2020]))</f>
        <v>0</v>
      </c>
      <c r="AQ76" s="84">
        <v>0</v>
      </c>
      <c r="AR76" s="357"/>
      <c r="AS76" s="351" t="str">
        <f>IFERROR(Tableau1[[#This Row],[Qté Facturé 03/2018]]*Tableau1[[#This Row],[Unit Price (calcul)]],"")</f>
        <v/>
      </c>
      <c r="AT76" s="351" t="str">
        <f>IFERROR(IF(Tableau1[[#This Row],[Montant Facturé 03/2018]]&gt;0,Tableau1[[#This Row],[Montant Facturé 03/2018]]/Taux_Change_SII,""),"")</f>
        <v/>
      </c>
      <c r="AU76" s="351"/>
      <c r="AV76" s="83">
        <f>SUMPRODUCT(1*(EXACT(CONCATENATE(Tableau1[[#This Row],[PO Number (Header)]],"-",Tableau1[[#This Row],[Line]]),UO_List[Unique_AIB_ID]))*(UO_List[Qté Réception 04/2020]))</f>
        <v>0</v>
      </c>
      <c r="AW76" s="84"/>
      <c r="AX76" s="351"/>
      <c r="AY76" s="351" t="str">
        <f>IFERROR(Tableau1[[#This Row],[Qté Facturé 04/2018]]*Tableau1[[#This Row],[Unit Price (calcul)]],"")</f>
        <v/>
      </c>
      <c r="AZ76" s="351" t="str">
        <f>IFERROR(IF(Tableau1[[#This Row],[Montant Facturé 04/2018]]&gt;0,Tableau1[[#This Row],[Montant Facturé 04/2018]]/Taux_Change_SII,""),"")</f>
        <v/>
      </c>
      <c r="BA76" s="351"/>
      <c r="BB76" s="83">
        <f>SUMPRODUCT(1*(EXACT(CONCATENATE(Tableau1[[#This Row],[PO Number (Header)]],"-",Tableau1[[#This Row],[Line]]),UO_List[Unique_AIB_ID]))*(UO_List[Qté Réception 05/2020]))</f>
        <v>0</v>
      </c>
      <c r="BC76" s="84">
        <v>0</v>
      </c>
      <c r="BD76" s="351"/>
      <c r="BE76" s="351" t="str">
        <f>IFERROR(Tableau1[[#This Row],[Qté Facturé 05/2018]]*Tableau1[[#This Row],[Unit Price (calcul)]],"")</f>
        <v/>
      </c>
      <c r="BF76" s="351" t="str">
        <f>IFERROR(IF(Tableau1[[#This Row],[Montant Facturé 05/2018]]&gt;0,Tableau1[[#This Row],[Montant Facturé 05/2018]]/Taux_Change_SII,""),"")</f>
        <v/>
      </c>
      <c r="BG76" s="351"/>
      <c r="BH76" s="83">
        <f>SUMPRODUCT(1*(EXACT(CONCATENATE(Tableau1[[#This Row],[PO Number (Header)]],"-",Tableau1[[#This Row],[Line]]),UO_List[Unique_AIB_ID]))*(UO_List[Qté Réception 06/2020]))</f>
        <v>0</v>
      </c>
      <c r="BI76" s="84">
        <v>0</v>
      </c>
      <c r="BJ76" s="351"/>
      <c r="BK76" s="351" t="str">
        <f>IFERROR(Tableau1[[#This Row],[Qté Facturé 06/2018]]*Tableau1[[#This Row],[Unit Price (calcul)]],"")</f>
        <v/>
      </c>
      <c r="BL76" s="351" t="str">
        <f>IFERROR(IF(Tableau1[[#This Row],[Montant Facturé 06/2018]]&gt;0,Tableau1[[#This Row],[Montant Facturé 06/2018]]/Taux_Change_SII,""),"")</f>
        <v/>
      </c>
      <c r="BM76" s="351"/>
      <c r="BN76" s="83">
        <f>SUMPRODUCT(1*(EXACT(CONCATENATE(Tableau1[[#This Row],[PO Number (Header)]],"-",Tableau1[[#This Row],[Line]]),UO_List[Unique_AIB_ID]))*(UO_List[Qté Réception 07/2020]))</f>
        <v>0</v>
      </c>
      <c r="BO76" s="84">
        <v>0</v>
      </c>
      <c r="BP76" s="351"/>
      <c r="BQ76" s="351" t="str">
        <f>IFERROR(Tableau1[[#This Row],[Qté Facturé 07/2018]]*Tableau1[[#This Row],[Unit Price (calcul)]],"")</f>
        <v/>
      </c>
      <c r="BR76" s="351" t="str">
        <f>IFERROR(IF(Tableau1[[#This Row],[Montant Facturé 07/2018]]&gt;0,Tableau1[[#This Row],[Montant Facturé 07/2018]]/Taux_Change_SII,""),"")</f>
        <v/>
      </c>
      <c r="BS76" s="351"/>
      <c r="BT76" s="83">
        <f>SUMPRODUCT(1*(EXACT(CONCATENATE(Tableau1[[#This Row],[PO Number (Header)]],"-",Tableau1[[#This Row],[Line]]),UO_List[Unique_AIB_ID]))*(UO_List[Qté Réception 08/2020]))</f>
        <v>0</v>
      </c>
      <c r="BU76" s="84"/>
      <c r="BV76" s="351"/>
      <c r="BW76" s="351" t="str">
        <f>IFERROR(Tableau1[[#This Row],[Qté Facturé 08/2018]]*Tableau1[[#This Row],[Unit Price (calcul)]],"")</f>
        <v/>
      </c>
      <c r="BX76" s="351" t="str">
        <f>IFERROR(IF(Tableau1[[#This Row],[Montant Facturé 08/2018]]&gt;0,Tableau1[[#This Row],[Montant Facturé 08/2018]]/Taux_Change_SII,""),"")</f>
        <v/>
      </c>
      <c r="BY76" s="351"/>
      <c r="BZ76" s="83">
        <f>SUMPRODUCT(1*(EXACT(CONCATENATE(Tableau1[[#This Row],[PO Number (Header)]],"-",Tableau1[[#This Row],[Line]]),UO_List[Unique_AIB_ID]))*(UO_List[Qté Réception 09/2020]))</f>
        <v>0</v>
      </c>
      <c r="CA76" s="84">
        <v>0</v>
      </c>
      <c r="CB76" s="351"/>
      <c r="CC76" s="351" t="str">
        <f>IFERROR(Tableau1[[#This Row],[Qté Facturé 09/2018]]*Tableau1[[#This Row],[Unit Price (calcul)]],"")</f>
        <v/>
      </c>
      <c r="CD76" s="351" t="str">
        <f>IFERROR(IF(Tableau1[[#This Row],[Montant Facturé 09/2018]]&gt;0,Tableau1[[#This Row],[Montant Facturé 09/2018]]/Taux_Change_SII,""),"")</f>
        <v/>
      </c>
      <c r="CE76" s="351"/>
      <c r="CF76" s="83">
        <f>SUMPRODUCT(1*(EXACT(CONCATENATE(Tableau1[[#This Row],[PO Number (Header)]],"-",Tableau1[[#This Row],[Line]]),UO_List[Unique_AIB_ID]))*(UO_List[Qté Réception 10/2020]))</f>
        <v>0</v>
      </c>
      <c r="CG76" s="84">
        <v>0</v>
      </c>
      <c r="CH76" s="351"/>
      <c r="CI76" s="351" t="str">
        <f>IFERROR(Tableau1[[#This Row],[Qté Facturé 10/2018]]*Tableau1[[#This Row],[Unit Price (calcul)]],"")</f>
        <v/>
      </c>
      <c r="CJ76" s="351" t="str">
        <f>IFERROR(IF(Tableau1[[#This Row],[Montant Facturé 10/2018]]&gt;0,Tableau1[[#This Row],[Montant Facturé 10/2018]]/Taux_Change_SII,""),"")</f>
        <v/>
      </c>
      <c r="CK76" s="351"/>
      <c r="CL76" s="83">
        <f>SUMPRODUCT(1*(EXACT(CONCATENATE(Tableau1[[#This Row],[PO Number (Header)]],"-",Tableau1[[#This Row],[Line]]),UO_List[Unique_AIB_ID]))*(UO_List[Qté Réception 11/2020]))</f>
        <v>0</v>
      </c>
      <c r="CM76" s="84"/>
      <c r="CN76" s="351"/>
      <c r="CO76" s="351" t="str">
        <f>IFERROR(Tableau1[[#This Row],[Qté Facturé 11/2018]]*Tableau1[[#This Row],[Unit Price (calcul)]],"")</f>
        <v/>
      </c>
      <c r="CP76" s="351" t="str">
        <f>IFERROR(IF(Tableau1[[#This Row],[Montant Facturé 11/2018]]&gt;0,Tableau1[[#This Row],[Montant Facturé 11/2018]]/Taux_Change_SII,""),"")</f>
        <v/>
      </c>
      <c r="CQ76" s="351"/>
      <c r="CR76" s="83">
        <f>SUMPRODUCT(1*(EXACT(CONCATENATE(Tableau1[[#This Row],[PO Number (Header)]],"-",Tableau1[[#This Row],[Line]]),UO_List[Unique_AIB_ID]))*(UO_List[Qté Réception 12/2020]))</f>
        <v>0</v>
      </c>
      <c r="CS76" s="84"/>
      <c r="CT76" s="351"/>
      <c r="CU76" s="351" t="str">
        <f>IFERROR(Tableau1[[#This Row],[Qté Facturé 12/2018]]*Tableau1[[#This Row],[Unit Price (calcul)]],"")</f>
        <v/>
      </c>
      <c r="CV76" s="351" t="str">
        <f>IFERROR(IF(Tableau1[[#This Row],[Montant Facturé 12/2018]]&gt;0,Tableau1[[#This Row],[Montant Facturé 12/2018]]/Taux_Change_SII,""),"")</f>
        <v/>
      </c>
      <c r="CW76" s="351"/>
      <c r="CX7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6" s="352" t="str">
        <f>IFERROR(Tableau1[[#This Row],[Total item réceptionné]]*Tableau1[[#This Row],[Unit Price (calcul)]],"")</f>
        <v/>
      </c>
      <c r="DB76" s="352" t="str">
        <f>IFERROR(Tableau1[[#This Row],[Total item à Facturer]]*Tableau1[[#This Row],[Unit Price (calcul)]],"")</f>
        <v/>
      </c>
      <c r="DC7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6" s="352" t="str">
        <f>IFERROR(Tableau1[[#This Row],[Line Total]]-Tableau1[[#This Row],[Total Price Réceptionné]],"")</f>
        <v/>
      </c>
      <c r="DE76" s="352" t="str">
        <f>IFERROR(Tableau1[[#This Row],[Total Price Réceptionné]]-Tableau1[[#This Row],[Total Price A facturer]],"")</f>
        <v/>
      </c>
      <c r="DF76" s="353" t="str">
        <f>IFERROR(Tableau1[[#This Row],[Total Price A facturer]]-Tableau1[[#This Row],[Total Price Facturé]],"")</f>
        <v/>
      </c>
      <c r="DG76" s="76">
        <f>Tableau1[[#This Row],[Total Item Quantity]]-Tableau1[[#This Row],[Total item réceptionné]]</f>
        <v>0</v>
      </c>
      <c r="DH76" s="167"/>
      <c r="DI76" s="167"/>
    </row>
    <row r="77" spans="1:113" s="74" customFormat="1">
      <c r="A77" s="77" t="str">
        <f>CONCATENATE(Tableau1[[#This Row],[PO Number (Header)]],"-",Tableau1[[#This Row],[Line]])</f>
        <v>-</v>
      </c>
      <c r="B77" s="397"/>
      <c r="C77" s="158"/>
      <c r="D77" s="406"/>
      <c r="F77" s="158"/>
      <c r="G77" s="158"/>
      <c r="H77" s="158"/>
      <c r="I77" s="158"/>
      <c r="J77" s="158"/>
      <c r="K77" s="158"/>
      <c r="N77" s="77"/>
      <c r="O77" s="77"/>
      <c r="P77" s="77"/>
      <c r="Q77" s="395"/>
      <c r="R77" s="395"/>
      <c r="S77" s="77"/>
      <c r="T77" s="77"/>
      <c r="U77" s="77"/>
      <c r="V77" s="77"/>
      <c r="W77" s="167"/>
      <c r="X77" s="167"/>
      <c r="Y77" s="167" t="str">
        <f>IF(ISBLANK(Tableau1[[#This Row],[PO Number (Header)]]),"",Tableau1[[#This Row],[Line Total]]/Tableau1[[#This Row],[Total Item Quantity]])</f>
        <v/>
      </c>
      <c r="Z77" s="167" t="str">
        <f>IF(ISNA(VLOOKUP(Tableau1[[#This Row],[Unique_AIB_ID]],UO_List[Unique_AIB_ID],1,FALSE)),IF(ISBLANK(Tableau1[[#This Row],[PO Number (Header)]]),"","FAUX"),"VRAI")</f>
        <v/>
      </c>
      <c r="AA77" s="167"/>
      <c r="AB77" s="162" t="e">
        <f>VLOOKUP(Tableau1[[#This Row],[Unique_AIB_ID]],UO_List[[Unique_AIB_ID]:[OLGA F6]],3,FALSE)</f>
        <v>#N/A</v>
      </c>
      <c r="AC77" s="162" t="s">
        <v>781</v>
      </c>
      <c r="AD77" s="83">
        <f>SUMPRODUCT(1*(EXACT(CONCATENATE(Tableau1[[#This Row],[PO Number (Header)]],"-",Tableau1[[#This Row],[Line]]),UO_List[Unique_AIB_ID]))*(UO_List[Qté Réception 03/2020]))</f>
        <v>0</v>
      </c>
      <c r="AE77" s="84"/>
      <c r="AF77" s="357"/>
      <c r="AG77" s="351" t="str">
        <f>IFERROR(Tableau1[[#This Row],[Qté Facturé 01/2018]]*Tableau1[[#This Row],[Unit Price (calcul)]],"")</f>
        <v/>
      </c>
      <c r="AH77" s="356" t="str">
        <f>IFERROR(IF(Tableau1[[#This Row],[Montant Facturé 01/2018]]&gt;0,Tableau1[[#This Row],[Montant Facturé 01/2018]]/Taux_Change_SII,""),"")</f>
        <v/>
      </c>
      <c r="AI77" s="351"/>
      <c r="AJ77" s="83">
        <f>SUMPRODUCT(1*(EXACT(CONCATENATE(Tableau1[[#This Row],[PO Number (Header)]],"-",Tableau1[[#This Row],[Line]]),UO_List[Unique_AIB_ID]))*(UO_List[Qté Réception 02/2020]))</f>
        <v>0</v>
      </c>
      <c r="AK77" s="83">
        <f>SUMPRODUCT(1*(EXACT(CONCATENATE(Tableau1[[#This Row],[PO Number (Header)]],"-",Tableau1[[#This Row],[Line]]),UO_List[Unique_AIB_ID]))*(UO_List[Qté Réception 02/2020]))</f>
        <v>0</v>
      </c>
      <c r="AL77" s="357"/>
      <c r="AM77" s="351" t="str">
        <f>IFERROR(Tableau1[[#This Row],[Qté Facturé 02/2018]]*Tableau1[[#This Row],[Unit Price (calcul)]],"")</f>
        <v/>
      </c>
      <c r="AN77" s="351" t="str">
        <f>IFERROR(IF(Tableau1[[#This Row],[Montant Facturé 02/2018]]&gt;0,Tableau1[[#This Row],[Montant Facturé 02/2018]]/Taux_Change_SII,""),"")</f>
        <v/>
      </c>
      <c r="AO77" s="351"/>
      <c r="AP77" s="83">
        <f>SUMPRODUCT(1*(EXACT(CONCATENATE(Tableau1[[#This Row],[PO Number (Header)]],"-",Tableau1[[#This Row],[Line]]),UO_List[Unique_AIB_ID]))*(UO_List[Qté Réception 00/2020]))</f>
        <v>0</v>
      </c>
      <c r="AQ77" s="84">
        <v>0</v>
      </c>
      <c r="AR77" s="357"/>
      <c r="AS77" s="351" t="str">
        <f>IFERROR(Tableau1[[#This Row],[Qté Facturé 03/2018]]*Tableau1[[#This Row],[Unit Price (calcul)]],"")</f>
        <v/>
      </c>
      <c r="AT77" s="351" t="str">
        <f>IFERROR(IF(Tableau1[[#This Row],[Montant Facturé 03/2018]]&gt;0,Tableau1[[#This Row],[Montant Facturé 03/2018]]/Taux_Change_SII,""),"")</f>
        <v/>
      </c>
      <c r="AU77" s="351"/>
      <c r="AV77" s="83">
        <f>SUMPRODUCT(1*(EXACT(CONCATENATE(Tableau1[[#This Row],[PO Number (Header)]],"-",Tableau1[[#This Row],[Line]]),UO_List[Unique_AIB_ID]))*(UO_List[Qté Réception 04/2020]))</f>
        <v>0</v>
      </c>
      <c r="AW77" s="84"/>
      <c r="AX77" s="351"/>
      <c r="AY77" s="351" t="str">
        <f>IFERROR(Tableau1[[#This Row],[Qté Facturé 04/2018]]*Tableau1[[#This Row],[Unit Price (calcul)]],"")</f>
        <v/>
      </c>
      <c r="AZ77" s="351" t="str">
        <f>IFERROR(IF(Tableau1[[#This Row],[Montant Facturé 04/2018]]&gt;0,Tableau1[[#This Row],[Montant Facturé 04/2018]]/Taux_Change_SII,""),"")</f>
        <v/>
      </c>
      <c r="BA77" s="351"/>
      <c r="BB77" s="83">
        <f>SUMPRODUCT(1*(EXACT(CONCATENATE(Tableau1[[#This Row],[PO Number (Header)]],"-",Tableau1[[#This Row],[Line]]),UO_List[Unique_AIB_ID]))*(UO_List[Qté Réception 05/2020]))</f>
        <v>0</v>
      </c>
      <c r="BC77" s="84">
        <v>0</v>
      </c>
      <c r="BD77" s="351"/>
      <c r="BE77" s="351" t="str">
        <f>IFERROR(Tableau1[[#This Row],[Qté Facturé 05/2018]]*Tableau1[[#This Row],[Unit Price (calcul)]],"")</f>
        <v/>
      </c>
      <c r="BF77" s="351" t="str">
        <f>IFERROR(IF(Tableau1[[#This Row],[Montant Facturé 05/2018]]&gt;0,Tableau1[[#This Row],[Montant Facturé 05/2018]]/Taux_Change_SII,""),"")</f>
        <v/>
      </c>
      <c r="BG77" s="351"/>
      <c r="BH77" s="83">
        <f>SUMPRODUCT(1*(EXACT(CONCATENATE(Tableau1[[#This Row],[PO Number (Header)]],"-",Tableau1[[#This Row],[Line]]),UO_List[Unique_AIB_ID]))*(UO_List[Qté Réception 06/2020]))</f>
        <v>0</v>
      </c>
      <c r="BI77" s="84">
        <v>0</v>
      </c>
      <c r="BJ77" s="351"/>
      <c r="BK77" s="351" t="str">
        <f>IFERROR(Tableau1[[#This Row],[Qté Facturé 06/2018]]*Tableau1[[#This Row],[Unit Price (calcul)]],"")</f>
        <v/>
      </c>
      <c r="BL77" s="351" t="str">
        <f>IFERROR(IF(Tableau1[[#This Row],[Montant Facturé 06/2018]]&gt;0,Tableau1[[#This Row],[Montant Facturé 06/2018]]/Taux_Change_SII,""),"")</f>
        <v/>
      </c>
      <c r="BM77" s="351"/>
      <c r="BN77" s="83">
        <f>SUMPRODUCT(1*(EXACT(CONCATENATE(Tableau1[[#This Row],[PO Number (Header)]],"-",Tableau1[[#This Row],[Line]]),UO_List[Unique_AIB_ID]))*(UO_List[Qté Réception 07/2020]))</f>
        <v>0</v>
      </c>
      <c r="BO77" s="84">
        <v>0</v>
      </c>
      <c r="BP77" s="351"/>
      <c r="BQ77" s="351" t="str">
        <f>IFERROR(Tableau1[[#This Row],[Qté Facturé 07/2018]]*Tableau1[[#This Row],[Unit Price (calcul)]],"")</f>
        <v/>
      </c>
      <c r="BR77" s="351" t="str">
        <f>IFERROR(IF(Tableau1[[#This Row],[Montant Facturé 07/2018]]&gt;0,Tableau1[[#This Row],[Montant Facturé 07/2018]]/Taux_Change_SII,""),"")</f>
        <v/>
      </c>
      <c r="BS77" s="351"/>
      <c r="BT77" s="83">
        <f>SUMPRODUCT(1*(EXACT(CONCATENATE(Tableau1[[#This Row],[PO Number (Header)]],"-",Tableau1[[#This Row],[Line]]),UO_List[Unique_AIB_ID]))*(UO_List[Qté Réception 08/2020]))</f>
        <v>0</v>
      </c>
      <c r="BU77" s="84"/>
      <c r="BV77" s="351"/>
      <c r="BW77" s="351" t="str">
        <f>IFERROR(Tableau1[[#This Row],[Qté Facturé 08/2018]]*Tableau1[[#This Row],[Unit Price (calcul)]],"")</f>
        <v/>
      </c>
      <c r="BX77" s="351" t="str">
        <f>IFERROR(IF(Tableau1[[#This Row],[Montant Facturé 08/2018]]&gt;0,Tableau1[[#This Row],[Montant Facturé 08/2018]]/Taux_Change_SII,""),"")</f>
        <v/>
      </c>
      <c r="BY77" s="351"/>
      <c r="BZ77" s="83">
        <f>SUMPRODUCT(1*(EXACT(CONCATENATE(Tableau1[[#This Row],[PO Number (Header)]],"-",Tableau1[[#This Row],[Line]]),UO_List[Unique_AIB_ID]))*(UO_List[Qté Réception 09/2020]))</f>
        <v>0</v>
      </c>
      <c r="CA77" s="84">
        <v>0</v>
      </c>
      <c r="CB77" s="351"/>
      <c r="CC77" s="351" t="str">
        <f>IFERROR(Tableau1[[#This Row],[Qté Facturé 09/2018]]*Tableau1[[#This Row],[Unit Price (calcul)]],"")</f>
        <v/>
      </c>
      <c r="CD77" s="351" t="str">
        <f>IFERROR(IF(Tableau1[[#This Row],[Montant Facturé 09/2018]]&gt;0,Tableau1[[#This Row],[Montant Facturé 09/2018]]/Taux_Change_SII,""),"")</f>
        <v/>
      </c>
      <c r="CE77" s="351"/>
      <c r="CF77" s="83">
        <f>SUMPRODUCT(1*(EXACT(CONCATENATE(Tableau1[[#This Row],[PO Number (Header)]],"-",Tableau1[[#This Row],[Line]]),UO_List[Unique_AIB_ID]))*(UO_List[Qté Réception 10/2020]))</f>
        <v>0</v>
      </c>
      <c r="CG77" s="84">
        <v>0</v>
      </c>
      <c r="CH77" s="351"/>
      <c r="CI77" s="351" t="str">
        <f>IFERROR(Tableau1[[#This Row],[Qté Facturé 10/2018]]*Tableau1[[#This Row],[Unit Price (calcul)]],"")</f>
        <v/>
      </c>
      <c r="CJ77" s="351" t="str">
        <f>IFERROR(IF(Tableau1[[#This Row],[Montant Facturé 10/2018]]&gt;0,Tableau1[[#This Row],[Montant Facturé 10/2018]]/Taux_Change_SII,""),"")</f>
        <v/>
      </c>
      <c r="CK77" s="351"/>
      <c r="CL77" s="83">
        <f>SUMPRODUCT(1*(EXACT(CONCATENATE(Tableau1[[#This Row],[PO Number (Header)]],"-",Tableau1[[#This Row],[Line]]),UO_List[Unique_AIB_ID]))*(UO_List[Qté Réception 11/2020]))</f>
        <v>0</v>
      </c>
      <c r="CM77" s="84"/>
      <c r="CN77" s="351"/>
      <c r="CO77" s="351" t="str">
        <f>IFERROR(Tableau1[[#This Row],[Qté Facturé 11/2018]]*Tableau1[[#This Row],[Unit Price (calcul)]],"")</f>
        <v/>
      </c>
      <c r="CP77" s="351" t="str">
        <f>IFERROR(IF(Tableau1[[#This Row],[Montant Facturé 11/2018]]&gt;0,Tableau1[[#This Row],[Montant Facturé 11/2018]]/Taux_Change_SII,""),"")</f>
        <v/>
      </c>
      <c r="CQ77" s="351"/>
      <c r="CR77" s="83">
        <f>SUMPRODUCT(1*(EXACT(CONCATENATE(Tableau1[[#This Row],[PO Number (Header)]],"-",Tableau1[[#This Row],[Line]]),UO_List[Unique_AIB_ID]))*(UO_List[Qté Réception 12/2020]))</f>
        <v>0</v>
      </c>
      <c r="CS77" s="84"/>
      <c r="CT77" s="351"/>
      <c r="CU77" s="351" t="str">
        <f>IFERROR(Tableau1[[#This Row],[Qté Facturé 12/2018]]*Tableau1[[#This Row],[Unit Price (calcul)]],"")</f>
        <v/>
      </c>
      <c r="CV77" s="351" t="str">
        <f>IFERROR(IF(Tableau1[[#This Row],[Montant Facturé 12/2018]]&gt;0,Tableau1[[#This Row],[Montant Facturé 12/2018]]/Taux_Change_SII,""),"")</f>
        <v/>
      </c>
      <c r="CW77" s="351"/>
      <c r="CX7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7" s="352" t="str">
        <f>IFERROR(Tableau1[[#This Row],[Total item réceptionné]]*Tableau1[[#This Row],[Unit Price (calcul)]],"")</f>
        <v/>
      </c>
      <c r="DB77" s="352" t="str">
        <f>IFERROR(Tableau1[[#This Row],[Total item à Facturer]]*Tableau1[[#This Row],[Unit Price (calcul)]],"")</f>
        <v/>
      </c>
      <c r="DC7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7" s="352" t="str">
        <f>IFERROR(Tableau1[[#This Row],[Line Total]]-Tableau1[[#This Row],[Total Price Réceptionné]],"")</f>
        <v/>
      </c>
      <c r="DE77" s="352" t="str">
        <f>IFERROR(Tableau1[[#This Row],[Total Price Réceptionné]]-Tableau1[[#This Row],[Total Price A facturer]],"")</f>
        <v/>
      </c>
      <c r="DF77" s="353" t="str">
        <f>IFERROR(Tableau1[[#This Row],[Total Price A facturer]]-Tableau1[[#This Row],[Total Price Facturé]],"")</f>
        <v/>
      </c>
      <c r="DG77" s="76">
        <f>Tableau1[[#This Row],[Total Item Quantity]]-Tableau1[[#This Row],[Total item réceptionné]]</f>
        <v>0</v>
      </c>
      <c r="DH77" s="167"/>
      <c r="DI77" s="167"/>
    </row>
    <row r="78" spans="1:113" s="74" customFormat="1">
      <c r="A78" s="77" t="str">
        <f>CONCATENATE(Tableau1[[#This Row],[PO Number (Header)]],"-",Tableau1[[#This Row],[Line]])</f>
        <v>-</v>
      </c>
      <c r="B78" s="397"/>
      <c r="C78" s="158"/>
      <c r="D78" s="406"/>
      <c r="F78" s="158"/>
      <c r="G78" s="158"/>
      <c r="H78" s="158"/>
      <c r="I78" s="158"/>
      <c r="J78" s="158"/>
      <c r="K78" s="158"/>
      <c r="N78" s="77"/>
      <c r="O78" s="77"/>
      <c r="P78" s="77"/>
      <c r="Q78" s="395"/>
      <c r="R78" s="395"/>
      <c r="S78" s="77"/>
      <c r="T78" s="77"/>
      <c r="U78" s="77"/>
      <c r="V78" s="77"/>
      <c r="W78" s="167"/>
      <c r="X78" s="167"/>
      <c r="Y78" s="167" t="str">
        <f>IF(ISBLANK(Tableau1[[#This Row],[PO Number (Header)]]),"",Tableau1[[#This Row],[Line Total]]/Tableau1[[#This Row],[Total Item Quantity]])</f>
        <v/>
      </c>
      <c r="Z78" s="167" t="str">
        <f>IF(ISNA(VLOOKUP(Tableau1[[#This Row],[Unique_AIB_ID]],UO_List[Unique_AIB_ID],1,FALSE)),IF(ISBLANK(Tableau1[[#This Row],[PO Number (Header)]]),"","FAUX"),"VRAI")</f>
        <v/>
      </c>
      <c r="AA78" s="167"/>
      <c r="AB78" s="162" t="e">
        <f>VLOOKUP(Tableau1[[#This Row],[Unique_AIB_ID]],UO_List[[Unique_AIB_ID]:[OLGA F6]],3,FALSE)</f>
        <v>#N/A</v>
      </c>
      <c r="AC78" s="162" t="s">
        <v>780</v>
      </c>
      <c r="AD78" s="83">
        <f>SUMPRODUCT(1*(EXACT(CONCATENATE(Tableau1[[#This Row],[PO Number (Header)]],"-",Tableau1[[#This Row],[Line]]),UO_List[Unique_AIB_ID]))*(UO_List[Qté Réception 03/2020]))</f>
        <v>0</v>
      </c>
      <c r="AE78" s="84"/>
      <c r="AF78" s="357"/>
      <c r="AG78" s="351" t="str">
        <f>IFERROR(Tableau1[[#This Row],[Qté Facturé 01/2018]]*Tableau1[[#This Row],[Unit Price (calcul)]],"")</f>
        <v/>
      </c>
      <c r="AH78" s="356" t="str">
        <f>IFERROR(IF(Tableau1[[#This Row],[Montant Facturé 01/2018]]&gt;0,Tableau1[[#This Row],[Montant Facturé 01/2018]]/Taux_Change_SII,""),"")</f>
        <v/>
      </c>
      <c r="AI78" s="351"/>
      <c r="AJ78" s="83">
        <f>SUMPRODUCT(1*(EXACT(CONCATENATE(Tableau1[[#This Row],[PO Number (Header)]],"-",Tableau1[[#This Row],[Line]]),UO_List[Unique_AIB_ID]))*(UO_List[Qté Réception 02/2020]))</f>
        <v>0</v>
      </c>
      <c r="AK78" s="83">
        <f>SUMPRODUCT(1*(EXACT(CONCATENATE(Tableau1[[#This Row],[PO Number (Header)]],"-",Tableau1[[#This Row],[Line]]),UO_List[Unique_AIB_ID]))*(UO_List[Qté Réception 02/2020]))</f>
        <v>0</v>
      </c>
      <c r="AL78" s="357"/>
      <c r="AM78" s="351" t="str">
        <f>IFERROR(Tableau1[[#This Row],[Qté Facturé 02/2018]]*Tableau1[[#This Row],[Unit Price (calcul)]],"")</f>
        <v/>
      </c>
      <c r="AN78" s="351" t="str">
        <f>IFERROR(IF(Tableau1[[#This Row],[Montant Facturé 02/2018]]&gt;0,Tableau1[[#This Row],[Montant Facturé 02/2018]]/Taux_Change_SII,""),"")</f>
        <v/>
      </c>
      <c r="AO78" s="351"/>
      <c r="AP78" s="83">
        <f>SUMPRODUCT(1*(EXACT(CONCATENATE(Tableau1[[#This Row],[PO Number (Header)]],"-",Tableau1[[#This Row],[Line]]),UO_List[Unique_AIB_ID]))*(UO_List[Qté Réception 00/2020]))</f>
        <v>0</v>
      </c>
      <c r="AQ78" s="84">
        <v>0</v>
      </c>
      <c r="AR78" s="357"/>
      <c r="AS78" s="351" t="str">
        <f>IFERROR(Tableau1[[#This Row],[Qté Facturé 03/2018]]*Tableau1[[#This Row],[Unit Price (calcul)]],"")</f>
        <v/>
      </c>
      <c r="AT78" s="351" t="str">
        <f>IFERROR(IF(Tableau1[[#This Row],[Montant Facturé 03/2018]]&gt;0,Tableau1[[#This Row],[Montant Facturé 03/2018]]/Taux_Change_SII,""),"")</f>
        <v/>
      </c>
      <c r="AU78" s="351"/>
      <c r="AV78" s="83">
        <f>SUMPRODUCT(1*(EXACT(CONCATENATE(Tableau1[[#This Row],[PO Number (Header)]],"-",Tableau1[[#This Row],[Line]]),UO_List[Unique_AIB_ID]))*(UO_List[Qté Réception 04/2020]))</f>
        <v>0</v>
      </c>
      <c r="AW78" s="84"/>
      <c r="AX78" s="351"/>
      <c r="AY78" s="351" t="str">
        <f>IFERROR(Tableau1[[#This Row],[Qté Facturé 04/2018]]*Tableau1[[#This Row],[Unit Price (calcul)]],"")</f>
        <v/>
      </c>
      <c r="AZ78" s="351" t="str">
        <f>IFERROR(IF(Tableau1[[#This Row],[Montant Facturé 04/2018]]&gt;0,Tableau1[[#This Row],[Montant Facturé 04/2018]]/Taux_Change_SII,""),"")</f>
        <v/>
      </c>
      <c r="BA78" s="351"/>
      <c r="BB78" s="83">
        <f>SUMPRODUCT(1*(EXACT(CONCATENATE(Tableau1[[#This Row],[PO Number (Header)]],"-",Tableau1[[#This Row],[Line]]),UO_List[Unique_AIB_ID]))*(UO_List[Qté Réception 05/2020]))</f>
        <v>0</v>
      </c>
      <c r="BC78" s="84">
        <v>0</v>
      </c>
      <c r="BD78" s="351"/>
      <c r="BE78" s="351" t="str">
        <f>IFERROR(Tableau1[[#This Row],[Qté Facturé 05/2018]]*Tableau1[[#This Row],[Unit Price (calcul)]],"")</f>
        <v/>
      </c>
      <c r="BF78" s="351" t="str">
        <f>IFERROR(IF(Tableau1[[#This Row],[Montant Facturé 05/2018]]&gt;0,Tableau1[[#This Row],[Montant Facturé 05/2018]]/Taux_Change_SII,""),"")</f>
        <v/>
      </c>
      <c r="BG78" s="351"/>
      <c r="BH78" s="83">
        <f>SUMPRODUCT(1*(EXACT(CONCATENATE(Tableau1[[#This Row],[PO Number (Header)]],"-",Tableau1[[#This Row],[Line]]),UO_List[Unique_AIB_ID]))*(UO_List[Qté Réception 06/2020]))</f>
        <v>0</v>
      </c>
      <c r="BI78" s="84">
        <v>0</v>
      </c>
      <c r="BJ78" s="351"/>
      <c r="BK78" s="351" t="str">
        <f>IFERROR(Tableau1[[#This Row],[Qté Facturé 06/2018]]*Tableau1[[#This Row],[Unit Price (calcul)]],"")</f>
        <v/>
      </c>
      <c r="BL78" s="351" t="str">
        <f>IFERROR(IF(Tableau1[[#This Row],[Montant Facturé 06/2018]]&gt;0,Tableau1[[#This Row],[Montant Facturé 06/2018]]/Taux_Change_SII,""),"")</f>
        <v/>
      </c>
      <c r="BM78" s="351"/>
      <c r="BN78" s="83">
        <f>SUMPRODUCT(1*(EXACT(CONCATENATE(Tableau1[[#This Row],[PO Number (Header)]],"-",Tableau1[[#This Row],[Line]]),UO_List[Unique_AIB_ID]))*(UO_List[Qté Réception 07/2020]))</f>
        <v>0</v>
      </c>
      <c r="BO78" s="84">
        <v>0</v>
      </c>
      <c r="BP78" s="351"/>
      <c r="BQ78" s="351" t="str">
        <f>IFERROR(Tableau1[[#This Row],[Qté Facturé 07/2018]]*Tableau1[[#This Row],[Unit Price (calcul)]],"")</f>
        <v/>
      </c>
      <c r="BR78" s="351" t="str">
        <f>IFERROR(IF(Tableau1[[#This Row],[Montant Facturé 07/2018]]&gt;0,Tableau1[[#This Row],[Montant Facturé 07/2018]]/Taux_Change_SII,""),"")</f>
        <v/>
      </c>
      <c r="BS78" s="351"/>
      <c r="BT78" s="83">
        <f>SUMPRODUCT(1*(EXACT(CONCATENATE(Tableau1[[#This Row],[PO Number (Header)]],"-",Tableau1[[#This Row],[Line]]),UO_List[Unique_AIB_ID]))*(UO_List[Qté Réception 08/2020]))</f>
        <v>0</v>
      </c>
      <c r="BU78" s="84"/>
      <c r="BV78" s="351"/>
      <c r="BW78" s="351" t="str">
        <f>IFERROR(Tableau1[[#This Row],[Qté Facturé 08/2018]]*Tableau1[[#This Row],[Unit Price (calcul)]],"")</f>
        <v/>
      </c>
      <c r="BX78" s="351" t="str">
        <f>IFERROR(IF(Tableau1[[#This Row],[Montant Facturé 08/2018]]&gt;0,Tableau1[[#This Row],[Montant Facturé 08/2018]]/Taux_Change_SII,""),"")</f>
        <v/>
      </c>
      <c r="BY78" s="351"/>
      <c r="BZ78" s="83">
        <f>SUMPRODUCT(1*(EXACT(CONCATENATE(Tableau1[[#This Row],[PO Number (Header)]],"-",Tableau1[[#This Row],[Line]]),UO_List[Unique_AIB_ID]))*(UO_List[Qté Réception 09/2020]))</f>
        <v>0</v>
      </c>
      <c r="CA78" s="84">
        <v>0</v>
      </c>
      <c r="CB78" s="351"/>
      <c r="CC78" s="351" t="str">
        <f>IFERROR(Tableau1[[#This Row],[Qté Facturé 09/2018]]*Tableau1[[#This Row],[Unit Price (calcul)]],"")</f>
        <v/>
      </c>
      <c r="CD78" s="351" t="str">
        <f>IFERROR(IF(Tableau1[[#This Row],[Montant Facturé 09/2018]]&gt;0,Tableau1[[#This Row],[Montant Facturé 09/2018]]/Taux_Change_SII,""),"")</f>
        <v/>
      </c>
      <c r="CE78" s="351"/>
      <c r="CF78" s="83">
        <f>SUMPRODUCT(1*(EXACT(CONCATENATE(Tableau1[[#This Row],[PO Number (Header)]],"-",Tableau1[[#This Row],[Line]]),UO_List[Unique_AIB_ID]))*(UO_List[Qté Réception 10/2020]))</f>
        <v>0</v>
      </c>
      <c r="CG78" s="84">
        <v>0</v>
      </c>
      <c r="CH78" s="351"/>
      <c r="CI78" s="351" t="str">
        <f>IFERROR(Tableau1[[#This Row],[Qté Facturé 10/2018]]*Tableau1[[#This Row],[Unit Price (calcul)]],"")</f>
        <v/>
      </c>
      <c r="CJ78" s="351" t="str">
        <f>IFERROR(IF(Tableau1[[#This Row],[Montant Facturé 10/2018]]&gt;0,Tableau1[[#This Row],[Montant Facturé 10/2018]]/Taux_Change_SII,""),"")</f>
        <v/>
      </c>
      <c r="CK78" s="351"/>
      <c r="CL78" s="83">
        <f>SUMPRODUCT(1*(EXACT(CONCATENATE(Tableau1[[#This Row],[PO Number (Header)]],"-",Tableau1[[#This Row],[Line]]),UO_List[Unique_AIB_ID]))*(UO_List[Qté Réception 11/2020]))</f>
        <v>0</v>
      </c>
      <c r="CM78" s="84"/>
      <c r="CN78" s="351"/>
      <c r="CO78" s="351" t="str">
        <f>IFERROR(Tableau1[[#This Row],[Qté Facturé 11/2018]]*Tableau1[[#This Row],[Unit Price (calcul)]],"")</f>
        <v/>
      </c>
      <c r="CP78" s="351" t="str">
        <f>IFERROR(IF(Tableau1[[#This Row],[Montant Facturé 11/2018]]&gt;0,Tableau1[[#This Row],[Montant Facturé 11/2018]]/Taux_Change_SII,""),"")</f>
        <v/>
      </c>
      <c r="CQ78" s="351"/>
      <c r="CR78" s="83">
        <f>SUMPRODUCT(1*(EXACT(CONCATENATE(Tableau1[[#This Row],[PO Number (Header)]],"-",Tableau1[[#This Row],[Line]]),UO_List[Unique_AIB_ID]))*(UO_List[Qté Réception 12/2020]))</f>
        <v>0</v>
      </c>
      <c r="CS78" s="84"/>
      <c r="CT78" s="351"/>
      <c r="CU78" s="351" t="str">
        <f>IFERROR(Tableau1[[#This Row],[Qté Facturé 12/2018]]*Tableau1[[#This Row],[Unit Price (calcul)]],"")</f>
        <v/>
      </c>
      <c r="CV78" s="351" t="str">
        <f>IFERROR(IF(Tableau1[[#This Row],[Montant Facturé 12/2018]]&gt;0,Tableau1[[#This Row],[Montant Facturé 12/2018]]/Taux_Change_SII,""),"")</f>
        <v/>
      </c>
      <c r="CW78" s="351"/>
      <c r="CX7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78" s="352" t="str">
        <f>IFERROR(Tableau1[[#This Row],[Total item réceptionné]]*Tableau1[[#This Row],[Unit Price (calcul)]],"")</f>
        <v/>
      </c>
      <c r="DB78" s="352" t="str">
        <f>IFERROR(Tableau1[[#This Row],[Total item à Facturer]]*Tableau1[[#This Row],[Unit Price (calcul)]],"")</f>
        <v/>
      </c>
      <c r="DC7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8" s="352" t="str">
        <f>IFERROR(Tableau1[[#This Row],[Line Total]]-Tableau1[[#This Row],[Total Price Réceptionné]],"")</f>
        <v/>
      </c>
      <c r="DE78" s="352" t="str">
        <f>IFERROR(Tableau1[[#This Row],[Total Price Réceptionné]]-Tableau1[[#This Row],[Total Price A facturer]],"")</f>
        <v/>
      </c>
      <c r="DF78" s="353" t="str">
        <f>IFERROR(Tableau1[[#This Row],[Total Price A facturer]]-Tableau1[[#This Row],[Total Price Facturé]],"")</f>
        <v/>
      </c>
      <c r="DG78" s="76">
        <f>Tableau1[[#This Row],[Total Item Quantity]]-Tableau1[[#This Row],[Total item réceptionné]]</f>
        <v>0</v>
      </c>
      <c r="DH78" s="167"/>
      <c r="DI78" s="167"/>
    </row>
    <row r="79" spans="1:113" s="74" customFormat="1">
      <c r="A79" s="77" t="str">
        <f>CONCATENATE(Tableau1[[#This Row],[PO Number (Header)]],"-",Tableau1[[#This Row],[Line]])</f>
        <v>-</v>
      </c>
      <c r="B79" s="487"/>
      <c r="C79" s="482"/>
      <c r="D79" s="482"/>
      <c r="E79" s="482"/>
      <c r="F79" s="482"/>
      <c r="G79" s="483"/>
      <c r="H79" s="482"/>
      <c r="I79" s="482"/>
      <c r="J79" s="482"/>
      <c r="K79" s="482"/>
      <c r="L79" s="482"/>
      <c r="M79" s="482"/>
      <c r="N79" s="482"/>
      <c r="O79" s="482"/>
      <c r="P79" s="482"/>
      <c r="Q79" s="484"/>
      <c r="R79" s="395"/>
      <c r="S79" s="482"/>
      <c r="T79" s="482"/>
      <c r="U79" s="482"/>
      <c r="V79" s="448"/>
      <c r="W79" s="378"/>
      <c r="X79" s="378"/>
      <c r="Y79" s="167" t="str">
        <f>IF(ISBLANK(Tableau1[[#This Row],[PO Number (Header)]]),"",Tableau1[[#This Row],[Line Total]]/Tableau1[[#This Row],[Total Item Quantity]])</f>
        <v/>
      </c>
      <c r="Z79" s="167" t="str">
        <f>IF(ISNA(VLOOKUP(Tableau1[[#This Row],[Unique_AIB_ID]],UO_List[Unique_AIB_ID],1,FALSE)),IF(ISBLANK(Tableau1[[#This Row],[PO Number (Header)]]),"","FAUX"),"VRAI")</f>
        <v/>
      </c>
      <c r="AA79" s="167" t="s">
        <v>634</v>
      </c>
      <c r="AB79" s="162" t="e">
        <f>VLOOKUP(Tableau1[[#This Row],[Unique_AIB_ID]],UO_List[[Unique_AIB_ID]:[OLGA F6]],3,FALSE)</f>
        <v>#N/A</v>
      </c>
      <c r="AC79" s="162" t="s">
        <v>785</v>
      </c>
      <c r="AD79" s="83">
        <f>SUMPRODUCT(1*(EXACT(CONCATENATE(Tableau1[[#This Row],[PO Number (Header)]],"-",Tableau1[[#This Row],[Line]]),UO_List[Unique_AIB_ID]))*(UO_List[Qté Réception 03/2020]))</f>
        <v>0</v>
      </c>
      <c r="AE79" s="84"/>
      <c r="AF79" s="357"/>
      <c r="AG79" s="351" t="str">
        <f>IFERROR(Tableau1[[#This Row],[Qté Facturé 01/2018]]*Tableau1[[#This Row],[Unit Price (calcul)]],"")</f>
        <v/>
      </c>
      <c r="AH79" s="356" t="str">
        <f>IFERROR(IF(Tableau1[[#This Row],[Montant Facturé 01/2018]]&gt;0,Tableau1[[#This Row],[Montant Facturé 01/2018]]/Taux_Change_SII,""),"")</f>
        <v/>
      </c>
      <c r="AI79" s="351"/>
      <c r="AJ79" s="83">
        <f>SUMPRODUCT(1*(EXACT(CONCATENATE(Tableau1[[#This Row],[PO Number (Header)]],"-",Tableau1[[#This Row],[Line]]),UO_List[Unique_AIB_ID]))*(UO_List[Qté Réception 02/2020]))</f>
        <v>0</v>
      </c>
      <c r="AK79" s="83">
        <f>SUMPRODUCT(1*(EXACT(CONCATENATE(Tableau1[[#This Row],[PO Number (Header)]],"-",Tableau1[[#This Row],[Line]]),UO_List[Unique_AIB_ID]))*(UO_List[Qté Réception 02/2020]))</f>
        <v>0</v>
      </c>
      <c r="AL79" s="357"/>
      <c r="AM79" s="351" t="str">
        <f>IFERROR(Tableau1[[#This Row],[Qté Facturé 02/2018]]*Tableau1[[#This Row],[Unit Price (calcul)]],"")</f>
        <v/>
      </c>
      <c r="AN79" s="351" t="str">
        <f>IFERROR(IF(Tableau1[[#This Row],[Montant Facturé 02/2018]]&gt;0,Tableau1[[#This Row],[Montant Facturé 02/2018]]/Taux_Change_SII,""),"")</f>
        <v/>
      </c>
      <c r="AO79" s="351"/>
      <c r="AP79" s="83">
        <f>SUMPRODUCT(1*(EXACT(CONCATENATE(Tableau1[[#This Row],[PO Number (Header)]],"-",Tableau1[[#This Row],[Line]]),UO_List[Unique_AIB_ID]))*(UO_List[Qté Réception 00/2020]))</f>
        <v>0</v>
      </c>
      <c r="AQ79" s="84">
        <v>0</v>
      </c>
      <c r="AR79" s="357"/>
      <c r="AS79" s="351" t="str">
        <f>IFERROR(Tableau1[[#This Row],[Qté Facturé 03/2018]]*Tableau1[[#This Row],[Unit Price (calcul)]],"")</f>
        <v/>
      </c>
      <c r="AT79" s="351" t="str">
        <f>IFERROR(IF(Tableau1[[#This Row],[Montant Facturé 03/2018]]&gt;0,Tableau1[[#This Row],[Montant Facturé 03/2018]]/Taux_Change_SII,""),"")</f>
        <v/>
      </c>
      <c r="AU79" s="351"/>
      <c r="AV79" s="83">
        <f>SUMPRODUCT(1*(EXACT(CONCATENATE(Tableau1[[#This Row],[PO Number (Header)]],"-",Tableau1[[#This Row],[Line]]),UO_List[Unique_AIB_ID]))*(UO_List[Qté Réception 04/2020]))</f>
        <v>0</v>
      </c>
      <c r="AW79" s="84">
        <v>0</v>
      </c>
      <c r="AX79" s="351"/>
      <c r="AY79" s="351" t="str">
        <f>IFERROR(Tableau1[[#This Row],[Qté Facturé 04/2018]]*Tableau1[[#This Row],[Unit Price (calcul)]],"")</f>
        <v/>
      </c>
      <c r="AZ79" s="351" t="str">
        <f>IFERROR(IF(Tableau1[[#This Row],[Montant Facturé 04/2018]]&gt;0,Tableau1[[#This Row],[Montant Facturé 04/2018]]/Taux_Change_SII,""),"")</f>
        <v/>
      </c>
      <c r="BA79" s="351"/>
      <c r="BB79" s="83">
        <f>SUMPRODUCT(1*(EXACT(CONCATENATE(Tableau1[[#This Row],[PO Number (Header)]],"-",Tableau1[[#This Row],[Line]]),UO_List[Unique_AIB_ID]))*(UO_List[Qté Réception 05/2020]))</f>
        <v>0</v>
      </c>
      <c r="BC79" s="84"/>
      <c r="BD79" s="351"/>
      <c r="BE79" s="351" t="str">
        <f>IFERROR(Tableau1[[#This Row],[Qté Facturé 05/2018]]*Tableau1[[#This Row],[Unit Price (calcul)]],"")</f>
        <v/>
      </c>
      <c r="BF79" s="351" t="str">
        <f>IFERROR(IF(Tableau1[[#This Row],[Montant Facturé 05/2018]]&gt;0,Tableau1[[#This Row],[Montant Facturé 05/2018]]/Taux_Change_SII,""),"")</f>
        <v/>
      </c>
      <c r="BG79" s="351"/>
      <c r="BH79" s="83">
        <f>SUMPRODUCT(1*(EXACT(CONCATENATE(Tableau1[[#This Row],[PO Number (Header)]],"-",Tableau1[[#This Row],[Line]]),UO_List[Unique_AIB_ID]))*(UO_List[Qté Réception 06/2020]))</f>
        <v>0</v>
      </c>
      <c r="BI79" s="84">
        <v>0</v>
      </c>
      <c r="BJ79" s="351"/>
      <c r="BK79" s="351" t="str">
        <f>IFERROR(Tableau1[[#This Row],[Qté Facturé 06/2018]]*Tableau1[[#This Row],[Unit Price (calcul)]],"")</f>
        <v/>
      </c>
      <c r="BL79" s="351" t="str">
        <f>IFERROR(IF(Tableau1[[#This Row],[Montant Facturé 06/2018]]&gt;0,Tableau1[[#This Row],[Montant Facturé 06/2018]]/Taux_Change_SII,""),"")</f>
        <v/>
      </c>
      <c r="BM79" s="351"/>
      <c r="BN79" s="83">
        <f>SUMPRODUCT(1*(EXACT(CONCATENATE(Tableau1[[#This Row],[PO Number (Header)]],"-",Tableau1[[#This Row],[Line]]),UO_List[Unique_AIB_ID]))*(UO_List[Qté Réception 07/2020]))</f>
        <v>0</v>
      </c>
      <c r="BO79" s="84">
        <v>0</v>
      </c>
      <c r="BP79" s="351"/>
      <c r="BQ79" s="351" t="str">
        <f>IFERROR(Tableau1[[#This Row],[Qté Facturé 07/2018]]*Tableau1[[#This Row],[Unit Price (calcul)]],"")</f>
        <v/>
      </c>
      <c r="BR79" s="351" t="str">
        <f>IFERROR(IF(Tableau1[[#This Row],[Montant Facturé 07/2018]]&gt;0,Tableau1[[#This Row],[Montant Facturé 07/2018]]/Taux_Change_SII,""),"")</f>
        <v/>
      </c>
      <c r="BS79" s="351"/>
      <c r="BT79" s="83">
        <f>SUMPRODUCT(1*(EXACT(CONCATENATE(Tableau1[[#This Row],[PO Number (Header)]],"-",Tableau1[[#This Row],[Line]]),UO_List[Unique_AIB_ID]))*(UO_List[Qté Réception 08/2020]))</f>
        <v>0</v>
      </c>
      <c r="BU79" s="84"/>
      <c r="BV79" s="351"/>
      <c r="BW79" s="351" t="str">
        <f>IFERROR(Tableau1[[#This Row],[Qté Facturé 08/2018]]*Tableau1[[#This Row],[Unit Price (calcul)]],"")</f>
        <v/>
      </c>
      <c r="BX79" s="351" t="str">
        <f>IFERROR(IF(Tableau1[[#This Row],[Montant Facturé 08/2018]]&gt;0,Tableau1[[#This Row],[Montant Facturé 08/2018]]/Taux_Change_SII,""),"")</f>
        <v/>
      </c>
      <c r="BY79" s="351"/>
      <c r="BZ79" s="83">
        <f>SUMPRODUCT(1*(EXACT(CONCATENATE(Tableau1[[#This Row],[PO Number (Header)]],"-",Tableau1[[#This Row],[Line]]),UO_List[Unique_AIB_ID]))*(UO_List[Qté Réception 09/2020]))</f>
        <v>0</v>
      </c>
      <c r="CA79" s="84">
        <v>0</v>
      </c>
      <c r="CB79" s="351">
        <v>-2</v>
      </c>
      <c r="CC79" s="351" t="str">
        <f>IFERROR(Tableau1[[#This Row],[Qté Facturé 09/2018]]*Tableau1[[#This Row],[Unit Price (calcul)]],"")</f>
        <v/>
      </c>
      <c r="CD79" s="351" t="str">
        <f>IFERROR(IF(Tableau1[[#This Row],[Montant Facturé 09/2018]]&gt;0,Tableau1[[#This Row],[Montant Facturé 09/2018]]/Taux_Change_SII,""),"")</f>
        <v/>
      </c>
      <c r="CE79" s="351"/>
      <c r="CF79" s="83">
        <f>SUMPRODUCT(1*(EXACT(CONCATENATE(Tableau1[[#This Row],[PO Number (Header)]],"-",Tableau1[[#This Row],[Line]]),UO_List[Unique_AIB_ID]))*(UO_List[Qté Réception 10/2020]))</f>
        <v>0</v>
      </c>
      <c r="CG79" s="84">
        <v>0</v>
      </c>
      <c r="CH79" s="351"/>
      <c r="CI79" s="351" t="str">
        <f>IFERROR(Tableau1[[#This Row],[Qté Facturé 10/2018]]*Tableau1[[#This Row],[Unit Price (calcul)]],"")</f>
        <v/>
      </c>
      <c r="CJ79" s="351" t="str">
        <f>IFERROR(IF(Tableau1[[#This Row],[Montant Facturé 10/2018]]&gt;0,Tableau1[[#This Row],[Montant Facturé 10/2018]]/Taux_Change_SII,""),"")</f>
        <v/>
      </c>
      <c r="CK79" s="351"/>
      <c r="CL79" s="83">
        <f>SUMPRODUCT(1*(EXACT(CONCATENATE(Tableau1[[#This Row],[PO Number (Header)]],"-",Tableau1[[#This Row],[Line]]),UO_List[Unique_AIB_ID]))*(UO_List[Qté Réception 11/2020]))</f>
        <v>0</v>
      </c>
      <c r="CM79" s="84"/>
      <c r="CN79" s="351"/>
      <c r="CO79" s="351" t="str">
        <f>IFERROR(Tableau1[[#This Row],[Qté Facturé 11/2018]]*Tableau1[[#This Row],[Unit Price (calcul)]],"")</f>
        <v/>
      </c>
      <c r="CP79" s="351" t="str">
        <f>IFERROR(IF(Tableau1[[#This Row],[Montant Facturé 11/2018]]&gt;0,Tableau1[[#This Row],[Montant Facturé 11/2018]]/Taux_Change_SII,""),"")</f>
        <v/>
      </c>
      <c r="CQ79" s="351"/>
      <c r="CR79" s="83">
        <f>SUMPRODUCT(1*(EXACT(CONCATENATE(Tableau1[[#This Row],[PO Number (Header)]],"-",Tableau1[[#This Row],[Line]]),UO_List[Unique_AIB_ID]))*(UO_List[Qté Réception 12/2020]))</f>
        <v>0</v>
      </c>
      <c r="CS79" s="84"/>
      <c r="CT79" s="351"/>
      <c r="CU79" s="351" t="str">
        <f>IFERROR(Tableau1[[#This Row],[Qté Facturé 12/2018]]*Tableau1[[#This Row],[Unit Price (calcul)]],"")</f>
        <v/>
      </c>
      <c r="CV79" s="351" t="str">
        <f>IFERROR(IF(Tableau1[[#This Row],[Montant Facturé 12/2018]]&gt;0,Tableau1[[#This Row],[Montant Facturé 12/2018]]/Taux_Change_SII,""),"")</f>
        <v/>
      </c>
      <c r="CW79" s="351"/>
      <c r="CX7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7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7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-2</v>
      </c>
      <c r="DA79" s="352" t="str">
        <f>IFERROR(Tableau1[[#This Row],[Total item réceptionné]]*Tableau1[[#This Row],[Unit Price (calcul)]],"")</f>
        <v/>
      </c>
      <c r="DB79" s="352" t="str">
        <f>IFERROR(Tableau1[[#This Row],[Total item à Facturer]]*Tableau1[[#This Row],[Unit Price (calcul)]],"")</f>
        <v/>
      </c>
      <c r="DC7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79" s="352" t="str">
        <f>IFERROR(Tableau1[[#This Row],[Line Total]]-Tableau1[[#This Row],[Total Price Réceptionné]],"")</f>
        <v/>
      </c>
      <c r="DE79" s="352" t="str">
        <f>IFERROR(Tableau1[[#This Row],[Total Price Réceptionné]]-Tableau1[[#This Row],[Total Price A facturer]],"")</f>
        <v/>
      </c>
      <c r="DF79" s="353" t="str">
        <f>IFERROR(Tableau1[[#This Row],[Total Price A facturer]]-Tableau1[[#This Row],[Total Price Facturé]],"")</f>
        <v/>
      </c>
      <c r="DG79" s="76">
        <f>Tableau1[[#This Row],[Total Item Quantity]]-Tableau1[[#This Row],[Total item réceptionné]]</f>
        <v>0</v>
      </c>
      <c r="DH79" s="167"/>
      <c r="DI79" s="167"/>
    </row>
    <row r="80" spans="1:113" s="74" customFormat="1">
      <c r="A80" s="77" t="str">
        <f>CONCATENATE(Tableau1[[#This Row],[PO Number (Header)]],"-",Tableau1[[#This Row],[Line]])</f>
        <v>-</v>
      </c>
      <c r="B80" s="126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395"/>
      <c r="R80" s="395"/>
      <c r="S80" s="77"/>
      <c r="T80" s="77"/>
      <c r="U80" s="77"/>
      <c r="V80" s="77"/>
      <c r="W80" s="167"/>
      <c r="X80" s="167"/>
      <c r="Y80" s="167" t="str">
        <f>IF(ISBLANK(Tableau1[[#This Row],[PO Number (Header)]]),"",Tableau1[[#This Row],[Line Total]]/Tableau1[[#This Row],[Total Item Quantity]])</f>
        <v/>
      </c>
      <c r="Z80" s="167" t="str">
        <f>IF(ISNA(VLOOKUP(Tableau1[[#This Row],[Unique_AIB_ID]],UO_List[Unique_AIB_ID],1,FALSE)),IF(ISBLANK(Tableau1[[#This Row],[PO Number (Header)]]),"","FAUX"),"VRAI")</f>
        <v/>
      </c>
      <c r="AA80" s="167"/>
      <c r="AB80" s="162" t="e">
        <f>VLOOKUP(Tableau1[[#This Row],[Unique_AIB_ID]],UO_List[[Unique_AIB_ID]:[OLGA F6]],3,FALSE)</f>
        <v>#N/A</v>
      </c>
      <c r="AC80" s="162" t="s">
        <v>796</v>
      </c>
      <c r="AD80" s="83">
        <f>SUMPRODUCT(1*(EXACT(CONCATENATE(Tableau1[[#This Row],[PO Number (Header)]],"-",Tableau1[[#This Row],[Line]]),UO_List[Unique_AIB_ID]))*(UO_List[Qté Réception 03/2020]))</f>
        <v>0</v>
      </c>
      <c r="AE80" s="84"/>
      <c r="AF80" s="357"/>
      <c r="AG80" s="351" t="str">
        <f>IFERROR(Tableau1[[#This Row],[Qté Facturé 01/2018]]*Tableau1[[#This Row],[Unit Price (calcul)]],"")</f>
        <v/>
      </c>
      <c r="AH80" s="356" t="str">
        <f>IFERROR(IF(Tableau1[[#This Row],[Montant Facturé 01/2018]]&gt;0,Tableau1[[#This Row],[Montant Facturé 01/2018]]/Taux_Change_SII,""),"")</f>
        <v/>
      </c>
      <c r="AI80" s="351"/>
      <c r="AJ80" s="83">
        <f>SUMPRODUCT(1*(EXACT(CONCATENATE(Tableau1[[#This Row],[PO Number (Header)]],"-",Tableau1[[#This Row],[Line]]),UO_List[Unique_AIB_ID]))*(UO_List[Qté Réception 02/2020]))</f>
        <v>0</v>
      </c>
      <c r="AK80" s="83">
        <f>SUMPRODUCT(1*(EXACT(CONCATENATE(Tableau1[[#This Row],[PO Number (Header)]],"-",Tableau1[[#This Row],[Line]]),UO_List[Unique_AIB_ID]))*(UO_List[Qté Réception 02/2020]))</f>
        <v>0</v>
      </c>
      <c r="AL80" s="357"/>
      <c r="AM80" s="351" t="str">
        <f>IFERROR(Tableau1[[#This Row],[Qté Facturé 02/2018]]*Tableau1[[#This Row],[Unit Price (calcul)]],"")</f>
        <v/>
      </c>
      <c r="AN80" s="351" t="str">
        <f>IFERROR(IF(Tableau1[[#This Row],[Montant Facturé 02/2018]]&gt;0,Tableau1[[#This Row],[Montant Facturé 02/2018]]/Taux_Change_SII,""),"")</f>
        <v/>
      </c>
      <c r="AO80" s="351"/>
      <c r="AP80" s="83">
        <f>SUMPRODUCT(1*(EXACT(CONCATENATE(Tableau1[[#This Row],[PO Number (Header)]],"-",Tableau1[[#This Row],[Line]]),UO_List[Unique_AIB_ID]))*(UO_List[Qté Réception 00/2020]))</f>
        <v>0</v>
      </c>
      <c r="AQ80" s="84">
        <v>0</v>
      </c>
      <c r="AR80" s="357"/>
      <c r="AS80" s="351" t="str">
        <f>IFERROR(Tableau1[[#This Row],[Qté Facturé 03/2018]]*Tableau1[[#This Row],[Unit Price (calcul)]],"")</f>
        <v/>
      </c>
      <c r="AT80" s="351" t="str">
        <f>IFERROR(IF(Tableau1[[#This Row],[Montant Facturé 03/2018]]&gt;0,Tableau1[[#This Row],[Montant Facturé 03/2018]]/Taux_Change_SII,""),"")</f>
        <v/>
      </c>
      <c r="AU80" s="351"/>
      <c r="AV80" s="83">
        <f>SUMPRODUCT(1*(EXACT(CONCATENATE(Tableau1[[#This Row],[PO Number (Header)]],"-",Tableau1[[#This Row],[Line]]),UO_List[Unique_AIB_ID]))*(UO_List[Qté Réception 04/2020]))</f>
        <v>0</v>
      </c>
      <c r="AW80" s="84">
        <v>0</v>
      </c>
      <c r="AX80" s="351"/>
      <c r="AY80" s="351" t="str">
        <f>IFERROR(Tableau1[[#This Row],[Qté Facturé 04/2018]]*Tableau1[[#This Row],[Unit Price (calcul)]],"")</f>
        <v/>
      </c>
      <c r="AZ80" s="351" t="str">
        <f>IFERROR(IF(Tableau1[[#This Row],[Montant Facturé 04/2018]]&gt;0,Tableau1[[#This Row],[Montant Facturé 04/2018]]/Taux_Change_SII,""),"")</f>
        <v/>
      </c>
      <c r="BA80" s="351"/>
      <c r="BB80" s="83">
        <f>SUMPRODUCT(1*(EXACT(CONCATENATE(Tableau1[[#This Row],[PO Number (Header)]],"-",Tableau1[[#This Row],[Line]]),UO_List[Unique_AIB_ID]))*(UO_List[Qté Réception 05/2020]))</f>
        <v>0</v>
      </c>
      <c r="BC80" s="84">
        <v>0</v>
      </c>
      <c r="BD80" s="351"/>
      <c r="BE80" s="351" t="str">
        <f>IFERROR(Tableau1[[#This Row],[Qté Facturé 05/2018]]*Tableau1[[#This Row],[Unit Price (calcul)]],"")</f>
        <v/>
      </c>
      <c r="BF80" s="351" t="str">
        <f>IFERROR(IF(Tableau1[[#This Row],[Montant Facturé 05/2018]]&gt;0,Tableau1[[#This Row],[Montant Facturé 05/2018]]/Taux_Change_SII,""),"")</f>
        <v/>
      </c>
      <c r="BG80" s="351"/>
      <c r="BH80" s="83">
        <f>SUMPRODUCT(1*(EXACT(CONCATENATE(Tableau1[[#This Row],[PO Number (Header)]],"-",Tableau1[[#This Row],[Line]]),UO_List[Unique_AIB_ID]))*(UO_List[Qté Réception 06/2020]))</f>
        <v>0</v>
      </c>
      <c r="BI80" s="84">
        <v>0</v>
      </c>
      <c r="BJ80" s="351"/>
      <c r="BK80" s="351" t="str">
        <f>IFERROR(Tableau1[[#This Row],[Qté Facturé 06/2018]]*Tableau1[[#This Row],[Unit Price (calcul)]],"")</f>
        <v/>
      </c>
      <c r="BL80" s="351" t="str">
        <f>IFERROR(IF(Tableau1[[#This Row],[Montant Facturé 06/2018]]&gt;0,Tableau1[[#This Row],[Montant Facturé 06/2018]]/Taux_Change_SII,""),"")</f>
        <v/>
      </c>
      <c r="BM80" s="351"/>
      <c r="BN80" s="83">
        <f>SUMPRODUCT(1*(EXACT(CONCATENATE(Tableau1[[#This Row],[PO Number (Header)]],"-",Tableau1[[#This Row],[Line]]),UO_List[Unique_AIB_ID]))*(UO_List[Qté Réception 07/2020]))</f>
        <v>0</v>
      </c>
      <c r="BO80" s="84">
        <v>0</v>
      </c>
      <c r="BP80" s="351"/>
      <c r="BQ80" s="351" t="str">
        <f>IFERROR(Tableau1[[#This Row],[Qté Facturé 07/2018]]*Tableau1[[#This Row],[Unit Price (calcul)]],"")</f>
        <v/>
      </c>
      <c r="BR80" s="351" t="str">
        <f>IFERROR(IF(Tableau1[[#This Row],[Montant Facturé 07/2018]]&gt;0,Tableau1[[#This Row],[Montant Facturé 07/2018]]/Taux_Change_SII,""),"")</f>
        <v/>
      </c>
      <c r="BS80" s="351"/>
      <c r="BT80" s="83">
        <f>SUMPRODUCT(1*(EXACT(CONCATENATE(Tableau1[[#This Row],[PO Number (Header)]],"-",Tableau1[[#This Row],[Line]]),UO_List[Unique_AIB_ID]))*(UO_List[Qté Réception 08/2020]))</f>
        <v>0</v>
      </c>
      <c r="BU80" s="84"/>
      <c r="BV80" s="351"/>
      <c r="BW80" s="351" t="str">
        <f>IFERROR(Tableau1[[#This Row],[Qté Facturé 08/2018]]*Tableau1[[#This Row],[Unit Price (calcul)]],"")</f>
        <v/>
      </c>
      <c r="BX80" s="351" t="str">
        <f>IFERROR(IF(Tableau1[[#This Row],[Montant Facturé 08/2018]]&gt;0,Tableau1[[#This Row],[Montant Facturé 08/2018]]/Taux_Change_SII,""),"")</f>
        <v/>
      </c>
      <c r="BY80" s="351"/>
      <c r="BZ80" s="83">
        <f>SUMPRODUCT(1*(EXACT(CONCATENATE(Tableau1[[#This Row],[PO Number (Header)]],"-",Tableau1[[#This Row],[Line]]),UO_List[Unique_AIB_ID]))*(UO_List[Qté Réception 09/2020]))</f>
        <v>0</v>
      </c>
      <c r="CA80" s="83"/>
      <c r="CB80" s="351"/>
      <c r="CC80" s="351" t="str">
        <f>IFERROR(Tableau1[[#This Row],[Qté Facturé 09/2018]]*Tableau1[[#This Row],[Unit Price (calcul)]],"")</f>
        <v/>
      </c>
      <c r="CD80" s="351" t="str">
        <f>IFERROR(IF(Tableau1[[#This Row],[Montant Facturé 09/2018]]&gt;0,Tableau1[[#This Row],[Montant Facturé 09/2018]]/Taux_Change_SII,""),"")</f>
        <v/>
      </c>
      <c r="CE80" s="351"/>
      <c r="CF80" s="83">
        <f>SUMPRODUCT(1*(EXACT(CONCATENATE(Tableau1[[#This Row],[PO Number (Header)]],"-",Tableau1[[#This Row],[Line]]),UO_List[Unique_AIB_ID]))*(UO_List[Qté Réception 10/2020]))</f>
        <v>0</v>
      </c>
      <c r="CG80" s="84">
        <v>0</v>
      </c>
      <c r="CH80" s="351"/>
      <c r="CI80" s="351" t="str">
        <f>IFERROR(Tableau1[[#This Row],[Qté Facturé 10/2018]]*Tableau1[[#This Row],[Unit Price (calcul)]],"")</f>
        <v/>
      </c>
      <c r="CJ80" s="351" t="str">
        <f>IFERROR(IF(Tableau1[[#This Row],[Montant Facturé 10/2018]]&gt;0,Tableau1[[#This Row],[Montant Facturé 10/2018]]/Taux_Change_SII,""),"")</f>
        <v/>
      </c>
      <c r="CK80" s="351"/>
      <c r="CL80" s="83">
        <f>SUMPRODUCT(1*(EXACT(CONCATENATE(Tableau1[[#This Row],[PO Number (Header)]],"-",Tableau1[[#This Row],[Line]]),UO_List[Unique_AIB_ID]))*(UO_List[Qté Réception 11/2020]))</f>
        <v>0</v>
      </c>
      <c r="CM80" s="84"/>
      <c r="CN80" s="351"/>
      <c r="CO80" s="351" t="str">
        <f>IFERROR(Tableau1[[#This Row],[Qté Facturé 11/2018]]*Tableau1[[#This Row],[Unit Price (calcul)]],"")</f>
        <v/>
      </c>
      <c r="CP80" s="351" t="str">
        <f>IFERROR(IF(Tableau1[[#This Row],[Montant Facturé 11/2018]]&gt;0,Tableau1[[#This Row],[Montant Facturé 11/2018]]/Taux_Change_SII,""),"")</f>
        <v/>
      </c>
      <c r="CQ80" s="351"/>
      <c r="CR80" s="83">
        <f>SUMPRODUCT(1*(EXACT(CONCATENATE(Tableau1[[#This Row],[PO Number (Header)]],"-",Tableau1[[#This Row],[Line]]),UO_List[Unique_AIB_ID]))*(UO_List[Qté Réception 12/2020]))</f>
        <v>0</v>
      </c>
      <c r="CS80" s="84"/>
      <c r="CT80" s="351"/>
      <c r="CU80" s="351" t="str">
        <f>IFERROR(Tableau1[[#This Row],[Qté Facturé 12/2018]]*Tableau1[[#This Row],[Unit Price (calcul)]],"")</f>
        <v/>
      </c>
      <c r="CV80" s="351" t="str">
        <f>IFERROR(IF(Tableau1[[#This Row],[Montant Facturé 12/2018]]&gt;0,Tableau1[[#This Row],[Montant Facturé 12/2018]]/Taux_Change_SII,""),"")</f>
        <v/>
      </c>
      <c r="CW80" s="351"/>
      <c r="CX8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0" s="352" t="str">
        <f>IFERROR(Tableau1[[#This Row],[Total item réceptionné]]*Tableau1[[#This Row],[Unit Price (calcul)]],"")</f>
        <v/>
      </c>
      <c r="DB80" s="352" t="str">
        <f>IFERROR(Tableau1[[#This Row],[Total item à Facturer]]*Tableau1[[#This Row],[Unit Price (calcul)]],"")</f>
        <v/>
      </c>
      <c r="DC8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0" s="352" t="str">
        <f>IFERROR(Tableau1[[#This Row],[Line Total]]-Tableau1[[#This Row],[Total Price Réceptionné]],"")</f>
        <v/>
      </c>
      <c r="DE80" s="352" t="str">
        <f>IFERROR(Tableau1[[#This Row],[Total Price Réceptionné]]-Tableau1[[#This Row],[Total Price A facturer]],"")</f>
        <v/>
      </c>
      <c r="DF80" s="353" t="str">
        <f>IFERROR(Tableau1[[#This Row],[Total Price A facturer]]-Tableau1[[#This Row],[Total Price Facturé]],"")</f>
        <v/>
      </c>
      <c r="DG80" s="76">
        <f>Tableau1[[#This Row],[Total Item Quantity]]-Tableau1[[#This Row],[Total item réceptionné]]</f>
        <v>0</v>
      </c>
      <c r="DH80" s="167"/>
      <c r="DI80" s="167"/>
    </row>
    <row r="81" spans="1:113" s="74" customFormat="1">
      <c r="A81" s="77" t="str">
        <f>CONCATENATE(Tableau1[[#This Row],[PO Number (Header)]],"-",Tableau1[[#This Row],[Line]])</f>
        <v>-</v>
      </c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395"/>
      <c r="R81" s="395"/>
      <c r="S81" s="77"/>
      <c r="T81" s="77"/>
      <c r="U81" s="77"/>
      <c r="V81" s="77"/>
      <c r="W81" s="167"/>
      <c r="X81" s="167"/>
      <c r="Y81" s="167" t="str">
        <f>IF(ISBLANK(Tableau1[[#This Row],[PO Number (Header)]]),"",Tableau1[[#This Row],[Line Total]]/Tableau1[[#This Row],[Total Item Quantity]])</f>
        <v/>
      </c>
      <c r="Z81" s="167" t="str">
        <f>IF(ISNA(VLOOKUP(Tableau1[[#This Row],[Unique_AIB_ID]],UO_List[Unique_AIB_ID],1,FALSE)),IF(ISBLANK(Tableau1[[#This Row],[PO Number (Header)]]),"","FAUX"),"VRAI")</f>
        <v/>
      </c>
      <c r="AA81" s="167"/>
      <c r="AB81" s="162" t="e">
        <f>VLOOKUP(Tableau1[[#This Row],[Unique_AIB_ID]],UO_List[[Unique_AIB_ID]:[OLGA F6]],3,FALSE)</f>
        <v>#N/A</v>
      </c>
      <c r="AC81" s="162" t="s">
        <v>796</v>
      </c>
      <c r="AD81" s="83">
        <f>SUMPRODUCT(1*(EXACT(CONCATENATE(Tableau1[[#This Row],[PO Number (Header)]],"-",Tableau1[[#This Row],[Line]]),UO_List[Unique_AIB_ID]))*(UO_List[Qté Réception 03/2020]))</f>
        <v>0</v>
      </c>
      <c r="AE81" s="84"/>
      <c r="AF81" s="357"/>
      <c r="AG81" s="351" t="str">
        <f>IFERROR(Tableau1[[#This Row],[Qté Facturé 01/2018]]*Tableau1[[#This Row],[Unit Price (calcul)]],"")</f>
        <v/>
      </c>
      <c r="AH81" s="356" t="str">
        <f>IFERROR(IF(Tableau1[[#This Row],[Montant Facturé 01/2018]]&gt;0,Tableau1[[#This Row],[Montant Facturé 01/2018]]/Taux_Change_SII,""),"")</f>
        <v/>
      </c>
      <c r="AI81" s="351"/>
      <c r="AJ81" s="83">
        <f>SUMPRODUCT(1*(EXACT(CONCATENATE(Tableau1[[#This Row],[PO Number (Header)]],"-",Tableau1[[#This Row],[Line]]),UO_List[Unique_AIB_ID]))*(UO_List[Qté Réception 02/2020]))</f>
        <v>0</v>
      </c>
      <c r="AK81" s="83">
        <f>SUMPRODUCT(1*(EXACT(CONCATENATE(Tableau1[[#This Row],[PO Number (Header)]],"-",Tableau1[[#This Row],[Line]]),UO_List[Unique_AIB_ID]))*(UO_List[Qté Réception 02/2020]))</f>
        <v>0</v>
      </c>
      <c r="AL81" s="357"/>
      <c r="AM81" s="351" t="str">
        <f>IFERROR(Tableau1[[#This Row],[Qté Facturé 02/2018]]*Tableau1[[#This Row],[Unit Price (calcul)]],"")</f>
        <v/>
      </c>
      <c r="AN81" s="351" t="str">
        <f>IFERROR(IF(Tableau1[[#This Row],[Montant Facturé 02/2018]]&gt;0,Tableau1[[#This Row],[Montant Facturé 02/2018]]/Taux_Change_SII,""),"")</f>
        <v/>
      </c>
      <c r="AO81" s="351"/>
      <c r="AP81" s="83">
        <f>SUMPRODUCT(1*(EXACT(CONCATENATE(Tableau1[[#This Row],[PO Number (Header)]],"-",Tableau1[[#This Row],[Line]]),UO_List[Unique_AIB_ID]))*(UO_List[Qté Réception 00/2020]))</f>
        <v>0</v>
      </c>
      <c r="AQ81" s="84">
        <v>0</v>
      </c>
      <c r="AR81" s="357"/>
      <c r="AS81" s="351" t="str">
        <f>IFERROR(Tableau1[[#This Row],[Qté Facturé 03/2018]]*Tableau1[[#This Row],[Unit Price (calcul)]],"")</f>
        <v/>
      </c>
      <c r="AT81" s="351" t="str">
        <f>IFERROR(IF(Tableau1[[#This Row],[Montant Facturé 03/2018]]&gt;0,Tableau1[[#This Row],[Montant Facturé 03/2018]]/Taux_Change_SII,""),"")</f>
        <v/>
      </c>
      <c r="AU81" s="351"/>
      <c r="AV81" s="83">
        <f>SUMPRODUCT(1*(EXACT(CONCATENATE(Tableau1[[#This Row],[PO Number (Header)]],"-",Tableau1[[#This Row],[Line]]),UO_List[Unique_AIB_ID]))*(UO_List[Qté Réception 04/2020]))</f>
        <v>0</v>
      </c>
      <c r="AW81" s="84">
        <v>0</v>
      </c>
      <c r="AX81" s="351"/>
      <c r="AY81" s="351" t="str">
        <f>IFERROR(Tableau1[[#This Row],[Qté Facturé 04/2018]]*Tableau1[[#This Row],[Unit Price (calcul)]],"")</f>
        <v/>
      </c>
      <c r="AZ81" s="351" t="str">
        <f>IFERROR(IF(Tableau1[[#This Row],[Montant Facturé 04/2018]]&gt;0,Tableau1[[#This Row],[Montant Facturé 04/2018]]/Taux_Change_SII,""),"")</f>
        <v/>
      </c>
      <c r="BA81" s="351"/>
      <c r="BB81" s="83">
        <f>SUMPRODUCT(1*(EXACT(CONCATENATE(Tableau1[[#This Row],[PO Number (Header)]],"-",Tableau1[[#This Row],[Line]]),UO_List[Unique_AIB_ID]))*(UO_List[Qté Réception 05/2020]))</f>
        <v>0</v>
      </c>
      <c r="BC81" s="84">
        <v>0</v>
      </c>
      <c r="BD81" s="351"/>
      <c r="BE81" s="351" t="str">
        <f>IFERROR(Tableau1[[#This Row],[Qté Facturé 05/2018]]*Tableau1[[#This Row],[Unit Price (calcul)]],"")</f>
        <v/>
      </c>
      <c r="BF81" s="351" t="str">
        <f>IFERROR(IF(Tableau1[[#This Row],[Montant Facturé 05/2018]]&gt;0,Tableau1[[#This Row],[Montant Facturé 05/2018]]/Taux_Change_SII,""),"")</f>
        <v/>
      </c>
      <c r="BG81" s="351"/>
      <c r="BH81" s="83">
        <f>SUMPRODUCT(1*(EXACT(CONCATENATE(Tableau1[[#This Row],[PO Number (Header)]],"-",Tableau1[[#This Row],[Line]]),UO_List[Unique_AIB_ID]))*(UO_List[Qté Réception 06/2020]))</f>
        <v>0</v>
      </c>
      <c r="BI81" s="84">
        <v>0</v>
      </c>
      <c r="BJ81" s="351"/>
      <c r="BK81" s="351" t="str">
        <f>IFERROR(Tableau1[[#This Row],[Qté Facturé 06/2018]]*Tableau1[[#This Row],[Unit Price (calcul)]],"")</f>
        <v/>
      </c>
      <c r="BL81" s="351" t="str">
        <f>IFERROR(IF(Tableau1[[#This Row],[Montant Facturé 06/2018]]&gt;0,Tableau1[[#This Row],[Montant Facturé 06/2018]]/Taux_Change_SII,""),"")</f>
        <v/>
      </c>
      <c r="BM81" s="351"/>
      <c r="BN81" s="83">
        <f>SUMPRODUCT(1*(EXACT(CONCATENATE(Tableau1[[#This Row],[PO Number (Header)]],"-",Tableau1[[#This Row],[Line]]),UO_List[Unique_AIB_ID]))*(UO_List[Qté Réception 07/2020]))</f>
        <v>0</v>
      </c>
      <c r="BO81" s="84"/>
      <c r="BP81" s="351"/>
      <c r="BQ81" s="351" t="str">
        <f>IFERROR(Tableau1[[#This Row],[Qté Facturé 07/2018]]*Tableau1[[#This Row],[Unit Price (calcul)]],"")</f>
        <v/>
      </c>
      <c r="BR81" s="351" t="str">
        <f>IFERROR(IF(Tableau1[[#This Row],[Montant Facturé 07/2018]]&gt;0,Tableau1[[#This Row],[Montant Facturé 07/2018]]/Taux_Change_SII,""),"")</f>
        <v/>
      </c>
      <c r="BS81" s="351"/>
      <c r="BT81" s="83">
        <f>SUMPRODUCT(1*(EXACT(CONCATENATE(Tableau1[[#This Row],[PO Number (Header)]],"-",Tableau1[[#This Row],[Line]]),UO_List[Unique_AIB_ID]))*(UO_List[Qté Réception 08/2020]))</f>
        <v>0</v>
      </c>
      <c r="BU81" s="84"/>
      <c r="BV81" s="351"/>
      <c r="BW81" s="351" t="str">
        <f>IFERROR(Tableau1[[#This Row],[Qté Facturé 08/2018]]*Tableau1[[#This Row],[Unit Price (calcul)]],"")</f>
        <v/>
      </c>
      <c r="BX81" s="351" t="str">
        <f>IFERROR(IF(Tableau1[[#This Row],[Montant Facturé 08/2018]]&gt;0,Tableau1[[#This Row],[Montant Facturé 08/2018]]/Taux_Change_SII,""),"")</f>
        <v/>
      </c>
      <c r="BY81" s="351"/>
      <c r="BZ81" s="83">
        <f>SUMPRODUCT(1*(EXACT(CONCATENATE(Tableau1[[#This Row],[PO Number (Header)]],"-",Tableau1[[#This Row],[Line]]),UO_List[Unique_AIB_ID]))*(UO_List[Qté Réception 09/2020]))</f>
        <v>0</v>
      </c>
      <c r="CA81" s="84">
        <v>0</v>
      </c>
      <c r="CB81" s="351"/>
      <c r="CC81" s="351" t="str">
        <f>IFERROR(Tableau1[[#This Row],[Qté Facturé 09/2018]]*Tableau1[[#This Row],[Unit Price (calcul)]],"")</f>
        <v/>
      </c>
      <c r="CD81" s="351" t="str">
        <f>IFERROR(IF(Tableau1[[#This Row],[Montant Facturé 09/2018]]&gt;0,Tableau1[[#This Row],[Montant Facturé 09/2018]]/Taux_Change_SII,""),"")</f>
        <v/>
      </c>
      <c r="CE81" s="351"/>
      <c r="CF81" s="83">
        <f>SUMPRODUCT(1*(EXACT(CONCATENATE(Tableau1[[#This Row],[PO Number (Header)]],"-",Tableau1[[#This Row],[Line]]),UO_List[Unique_AIB_ID]))*(UO_List[Qté Réception 10/2020]))</f>
        <v>0</v>
      </c>
      <c r="CG81" s="84">
        <v>0</v>
      </c>
      <c r="CH81" s="351"/>
      <c r="CI81" s="351" t="str">
        <f>IFERROR(Tableau1[[#This Row],[Qté Facturé 10/2018]]*Tableau1[[#This Row],[Unit Price (calcul)]],"")</f>
        <v/>
      </c>
      <c r="CJ81" s="351" t="str">
        <f>IFERROR(IF(Tableau1[[#This Row],[Montant Facturé 10/2018]]&gt;0,Tableau1[[#This Row],[Montant Facturé 10/2018]]/Taux_Change_SII,""),"")</f>
        <v/>
      </c>
      <c r="CK81" s="351"/>
      <c r="CL81" s="83">
        <f>SUMPRODUCT(1*(EXACT(CONCATENATE(Tableau1[[#This Row],[PO Number (Header)]],"-",Tableau1[[#This Row],[Line]]),UO_List[Unique_AIB_ID]))*(UO_List[Qté Réception 11/2020]))</f>
        <v>0</v>
      </c>
      <c r="CM81" s="84"/>
      <c r="CN81" s="351"/>
      <c r="CO81" s="351" t="str">
        <f>IFERROR(Tableau1[[#This Row],[Qté Facturé 11/2018]]*Tableau1[[#This Row],[Unit Price (calcul)]],"")</f>
        <v/>
      </c>
      <c r="CP81" s="351" t="str">
        <f>IFERROR(IF(Tableau1[[#This Row],[Montant Facturé 11/2018]]&gt;0,Tableau1[[#This Row],[Montant Facturé 11/2018]]/Taux_Change_SII,""),"")</f>
        <v/>
      </c>
      <c r="CQ81" s="351"/>
      <c r="CR81" s="83">
        <f>SUMPRODUCT(1*(EXACT(CONCATENATE(Tableau1[[#This Row],[PO Number (Header)]],"-",Tableau1[[#This Row],[Line]]),UO_List[Unique_AIB_ID]))*(UO_List[Qté Réception 12/2020]))</f>
        <v>0</v>
      </c>
      <c r="CS81" s="84"/>
      <c r="CT81" s="351"/>
      <c r="CU81" s="351" t="str">
        <f>IFERROR(Tableau1[[#This Row],[Qté Facturé 12/2018]]*Tableau1[[#This Row],[Unit Price (calcul)]],"")</f>
        <v/>
      </c>
      <c r="CV81" s="351" t="str">
        <f>IFERROR(IF(Tableau1[[#This Row],[Montant Facturé 12/2018]]&gt;0,Tableau1[[#This Row],[Montant Facturé 12/2018]]/Taux_Change_SII,""),"")</f>
        <v/>
      </c>
      <c r="CW81" s="351"/>
      <c r="CX8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1" s="352" t="str">
        <f>IFERROR(Tableau1[[#This Row],[Total item réceptionné]]*Tableau1[[#This Row],[Unit Price (calcul)]],"")</f>
        <v/>
      </c>
      <c r="DB81" s="352" t="str">
        <f>IFERROR(Tableau1[[#This Row],[Total item à Facturer]]*Tableau1[[#This Row],[Unit Price (calcul)]],"")</f>
        <v/>
      </c>
      <c r="DC8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1" s="352" t="str">
        <f>IFERROR(Tableau1[[#This Row],[Line Total]]-Tableau1[[#This Row],[Total Price Réceptionné]],"")</f>
        <v/>
      </c>
      <c r="DE81" s="352" t="str">
        <f>IFERROR(Tableau1[[#This Row],[Total Price Réceptionné]]-Tableau1[[#This Row],[Total Price A facturer]],"")</f>
        <v/>
      </c>
      <c r="DF81" s="353" t="str">
        <f>IFERROR(Tableau1[[#This Row],[Total Price A facturer]]-Tableau1[[#This Row],[Total Price Facturé]],"")</f>
        <v/>
      </c>
      <c r="DG81" s="76">
        <f>Tableau1[[#This Row],[Total Item Quantity]]-Tableau1[[#This Row],[Total item réceptionné]]</f>
        <v>0</v>
      </c>
      <c r="DH81" s="167"/>
      <c r="DI81" s="167"/>
    </row>
    <row r="82" spans="1:113" s="74" customFormat="1">
      <c r="A82" s="77" t="str">
        <f>CONCATENATE(Tableau1[[#This Row],[PO Number (Header)]],"-",Tableau1[[#This Row],[Line]])</f>
        <v>-</v>
      </c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395"/>
      <c r="R82" s="395"/>
      <c r="S82" s="77"/>
      <c r="T82" s="77"/>
      <c r="U82" s="77"/>
      <c r="V82" s="77"/>
      <c r="W82" s="167"/>
      <c r="X82" s="167"/>
      <c r="Y82" s="167" t="str">
        <f>IF(ISBLANK(Tableau1[[#This Row],[PO Number (Header)]]),"",Tableau1[[#This Row],[Line Total]]/Tableau1[[#This Row],[Total Item Quantity]])</f>
        <v/>
      </c>
      <c r="Z82" s="167" t="str">
        <f>IF(ISNA(VLOOKUP(Tableau1[[#This Row],[Unique_AIB_ID]],UO_List[Unique_AIB_ID],1,FALSE)),IF(ISBLANK(Tableau1[[#This Row],[PO Number (Header)]]),"","FAUX"),"VRAI")</f>
        <v/>
      </c>
      <c r="AA82" s="167"/>
      <c r="AB82" s="162" t="e">
        <f>VLOOKUP(Tableau1[[#This Row],[Unique_AIB_ID]],UO_List[[Unique_AIB_ID]:[OLGA F6]],3,FALSE)</f>
        <v>#N/A</v>
      </c>
      <c r="AC82" s="162" t="s">
        <v>796</v>
      </c>
      <c r="AD82" s="83">
        <f>SUMPRODUCT(1*(EXACT(CONCATENATE(Tableau1[[#This Row],[PO Number (Header)]],"-",Tableau1[[#This Row],[Line]]),UO_List[Unique_AIB_ID]))*(UO_List[Qté Réception 03/2020]))</f>
        <v>0</v>
      </c>
      <c r="AE82" s="84"/>
      <c r="AF82" s="357"/>
      <c r="AG82" s="351" t="str">
        <f>IFERROR(Tableau1[[#This Row],[Qté Facturé 01/2018]]*Tableau1[[#This Row],[Unit Price (calcul)]],"")</f>
        <v/>
      </c>
      <c r="AH82" s="356" t="str">
        <f>IFERROR(IF(Tableau1[[#This Row],[Montant Facturé 01/2018]]&gt;0,Tableau1[[#This Row],[Montant Facturé 01/2018]]/Taux_Change_SII,""),"")</f>
        <v/>
      </c>
      <c r="AI82" s="351"/>
      <c r="AJ82" s="83">
        <f>SUMPRODUCT(1*(EXACT(CONCATENATE(Tableau1[[#This Row],[PO Number (Header)]],"-",Tableau1[[#This Row],[Line]]),UO_List[Unique_AIB_ID]))*(UO_List[Qté Réception 02/2020]))</f>
        <v>0</v>
      </c>
      <c r="AK82" s="83">
        <f>SUMPRODUCT(1*(EXACT(CONCATENATE(Tableau1[[#This Row],[PO Number (Header)]],"-",Tableau1[[#This Row],[Line]]),UO_List[Unique_AIB_ID]))*(UO_List[Qté Réception 02/2020]))</f>
        <v>0</v>
      </c>
      <c r="AL82" s="357"/>
      <c r="AM82" s="351" t="str">
        <f>IFERROR(Tableau1[[#This Row],[Qté Facturé 02/2018]]*Tableau1[[#This Row],[Unit Price (calcul)]],"")</f>
        <v/>
      </c>
      <c r="AN82" s="351" t="str">
        <f>IFERROR(IF(Tableau1[[#This Row],[Montant Facturé 02/2018]]&gt;0,Tableau1[[#This Row],[Montant Facturé 02/2018]]/Taux_Change_SII,""),"")</f>
        <v/>
      </c>
      <c r="AO82" s="351"/>
      <c r="AP82" s="83">
        <f>SUMPRODUCT(1*(EXACT(CONCATENATE(Tableau1[[#This Row],[PO Number (Header)]],"-",Tableau1[[#This Row],[Line]]),UO_List[Unique_AIB_ID]))*(UO_List[Qté Réception 00/2020]))</f>
        <v>0</v>
      </c>
      <c r="AQ82" s="84">
        <v>0</v>
      </c>
      <c r="AR82" s="357"/>
      <c r="AS82" s="351" t="str">
        <f>IFERROR(Tableau1[[#This Row],[Qté Facturé 03/2018]]*Tableau1[[#This Row],[Unit Price (calcul)]],"")</f>
        <v/>
      </c>
      <c r="AT82" s="351" t="str">
        <f>IFERROR(IF(Tableau1[[#This Row],[Montant Facturé 03/2018]]&gt;0,Tableau1[[#This Row],[Montant Facturé 03/2018]]/Taux_Change_SII,""),"")</f>
        <v/>
      </c>
      <c r="AU82" s="351"/>
      <c r="AV82" s="83">
        <f>SUMPRODUCT(1*(EXACT(CONCATENATE(Tableau1[[#This Row],[PO Number (Header)]],"-",Tableau1[[#This Row],[Line]]),UO_List[Unique_AIB_ID]))*(UO_List[Qté Réception 04/2020]))</f>
        <v>0</v>
      </c>
      <c r="AW82" s="84">
        <v>0</v>
      </c>
      <c r="AX82" s="351"/>
      <c r="AY82" s="351" t="str">
        <f>IFERROR(Tableau1[[#This Row],[Qté Facturé 04/2018]]*Tableau1[[#This Row],[Unit Price (calcul)]],"")</f>
        <v/>
      </c>
      <c r="AZ82" s="351" t="str">
        <f>IFERROR(IF(Tableau1[[#This Row],[Montant Facturé 04/2018]]&gt;0,Tableau1[[#This Row],[Montant Facturé 04/2018]]/Taux_Change_SII,""),"")</f>
        <v/>
      </c>
      <c r="BA82" s="351"/>
      <c r="BB82" s="83">
        <f>SUMPRODUCT(1*(EXACT(CONCATENATE(Tableau1[[#This Row],[PO Number (Header)]],"-",Tableau1[[#This Row],[Line]]),UO_List[Unique_AIB_ID]))*(UO_List[Qté Réception 05/2020]))</f>
        <v>0</v>
      </c>
      <c r="BC82" s="84">
        <v>0</v>
      </c>
      <c r="BD82" s="351"/>
      <c r="BE82" s="351" t="str">
        <f>IFERROR(Tableau1[[#This Row],[Qté Facturé 05/2018]]*Tableau1[[#This Row],[Unit Price (calcul)]],"")</f>
        <v/>
      </c>
      <c r="BF82" s="351" t="str">
        <f>IFERROR(IF(Tableau1[[#This Row],[Montant Facturé 05/2018]]&gt;0,Tableau1[[#This Row],[Montant Facturé 05/2018]]/Taux_Change_SII,""),"")</f>
        <v/>
      </c>
      <c r="BG82" s="351"/>
      <c r="BH82" s="83">
        <f>SUMPRODUCT(1*(EXACT(CONCATENATE(Tableau1[[#This Row],[PO Number (Header)]],"-",Tableau1[[#This Row],[Line]]),UO_List[Unique_AIB_ID]))*(UO_List[Qté Réception 06/2020]))</f>
        <v>0</v>
      </c>
      <c r="BI82" s="84">
        <v>0</v>
      </c>
      <c r="BJ82" s="351"/>
      <c r="BK82" s="351" t="str">
        <f>IFERROR(Tableau1[[#This Row],[Qté Facturé 06/2018]]*Tableau1[[#This Row],[Unit Price (calcul)]],"")</f>
        <v/>
      </c>
      <c r="BL82" s="351" t="str">
        <f>IFERROR(IF(Tableau1[[#This Row],[Montant Facturé 06/2018]]&gt;0,Tableau1[[#This Row],[Montant Facturé 06/2018]]/Taux_Change_SII,""),"")</f>
        <v/>
      </c>
      <c r="BM82" s="351"/>
      <c r="BN82" s="83">
        <f>SUMPRODUCT(1*(EXACT(CONCATENATE(Tableau1[[#This Row],[PO Number (Header)]],"-",Tableau1[[#This Row],[Line]]),UO_List[Unique_AIB_ID]))*(UO_List[Qté Réception 07/2020]))</f>
        <v>0</v>
      </c>
      <c r="BO82" s="84">
        <v>0</v>
      </c>
      <c r="BP82" s="351"/>
      <c r="BQ82" s="351" t="str">
        <f>IFERROR(Tableau1[[#This Row],[Qté Facturé 07/2018]]*Tableau1[[#This Row],[Unit Price (calcul)]],"")</f>
        <v/>
      </c>
      <c r="BR82" s="351" t="str">
        <f>IFERROR(IF(Tableau1[[#This Row],[Montant Facturé 07/2018]]&gt;0,Tableau1[[#This Row],[Montant Facturé 07/2018]]/Taux_Change_SII,""),"")</f>
        <v/>
      </c>
      <c r="BS82" s="351"/>
      <c r="BT82" s="83">
        <f>SUMPRODUCT(1*(EXACT(CONCATENATE(Tableau1[[#This Row],[PO Number (Header)]],"-",Tableau1[[#This Row],[Line]]),UO_List[Unique_AIB_ID]))*(UO_List[Qté Réception 08/2020]))</f>
        <v>0</v>
      </c>
      <c r="BU82" s="84"/>
      <c r="BV82" s="351"/>
      <c r="BW82" s="351" t="str">
        <f>IFERROR(Tableau1[[#This Row],[Qté Facturé 08/2018]]*Tableau1[[#This Row],[Unit Price (calcul)]],"")</f>
        <v/>
      </c>
      <c r="BX82" s="351" t="str">
        <f>IFERROR(IF(Tableau1[[#This Row],[Montant Facturé 08/2018]]&gt;0,Tableau1[[#This Row],[Montant Facturé 08/2018]]/Taux_Change_SII,""),"")</f>
        <v/>
      </c>
      <c r="BY82" s="351"/>
      <c r="BZ82" s="83">
        <f>SUMPRODUCT(1*(EXACT(CONCATENATE(Tableau1[[#This Row],[PO Number (Header)]],"-",Tableau1[[#This Row],[Line]]),UO_List[Unique_AIB_ID]))*(UO_List[Qté Réception 09/2020]))</f>
        <v>0</v>
      </c>
      <c r="CA82" s="83"/>
      <c r="CB82" s="351"/>
      <c r="CC82" s="351" t="str">
        <f>IFERROR(Tableau1[[#This Row],[Qté Facturé 09/2018]]*Tableau1[[#This Row],[Unit Price (calcul)]],"")</f>
        <v/>
      </c>
      <c r="CD82" s="351" t="str">
        <f>IFERROR(IF(Tableau1[[#This Row],[Montant Facturé 09/2018]]&gt;0,Tableau1[[#This Row],[Montant Facturé 09/2018]]/Taux_Change_SII,""),"")</f>
        <v/>
      </c>
      <c r="CE82" s="351"/>
      <c r="CF82" s="83">
        <f>SUMPRODUCT(1*(EXACT(CONCATENATE(Tableau1[[#This Row],[PO Number (Header)]],"-",Tableau1[[#This Row],[Line]]),UO_List[Unique_AIB_ID]))*(UO_List[Qté Réception 10/2020]))</f>
        <v>0</v>
      </c>
      <c r="CG82" s="84">
        <v>0</v>
      </c>
      <c r="CH82" s="351"/>
      <c r="CI82" s="351" t="str">
        <f>IFERROR(Tableau1[[#This Row],[Qté Facturé 10/2018]]*Tableau1[[#This Row],[Unit Price (calcul)]],"")</f>
        <v/>
      </c>
      <c r="CJ82" s="351" t="str">
        <f>IFERROR(IF(Tableau1[[#This Row],[Montant Facturé 10/2018]]&gt;0,Tableau1[[#This Row],[Montant Facturé 10/2018]]/Taux_Change_SII,""),"")</f>
        <v/>
      </c>
      <c r="CK82" s="351"/>
      <c r="CL82" s="83">
        <f>SUMPRODUCT(1*(EXACT(CONCATENATE(Tableau1[[#This Row],[PO Number (Header)]],"-",Tableau1[[#This Row],[Line]]),UO_List[Unique_AIB_ID]))*(UO_List[Qté Réception 11/2020]))</f>
        <v>0</v>
      </c>
      <c r="CM82" s="84"/>
      <c r="CN82" s="351"/>
      <c r="CO82" s="351" t="str">
        <f>IFERROR(Tableau1[[#This Row],[Qté Facturé 11/2018]]*Tableau1[[#This Row],[Unit Price (calcul)]],"")</f>
        <v/>
      </c>
      <c r="CP82" s="351" t="str">
        <f>IFERROR(IF(Tableau1[[#This Row],[Montant Facturé 11/2018]]&gt;0,Tableau1[[#This Row],[Montant Facturé 11/2018]]/Taux_Change_SII,""),"")</f>
        <v/>
      </c>
      <c r="CQ82" s="351"/>
      <c r="CR82" s="83">
        <f>SUMPRODUCT(1*(EXACT(CONCATENATE(Tableau1[[#This Row],[PO Number (Header)]],"-",Tableau1[[#This Row],[Line]]),UO_List[Unique_AIB_ID]))*(UO_List[Qté Réception 12/2020]))</f>
        <v>0</v>
      </c>
      <c r="CS82" s="84"/>
      <c r="CT82" s="351"/>
      <c r="CU82" s="351" t="str">
        <f>IFERROR(Tableau1[[#This Row],[Qté Facturé 12/2018]]*Tableau1[[#This Row],[Unit Price (calcul)]],"")</f>
        <v/>
      </c>
      <c r="CV82" s="351" t="str">
        <f>IFERROR(IF(Tableau1[[#This Row],[Montant Facturé 12/2018]]&gt;0,Tableau1[[#This Row],[Montant Facturé 12/2018]]/Taux_Change_SII,""),"")</f>
        <v/>
      </c>
      <c r="CW82" s="351"/>
      <c r="CX8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2" s="352" t="str">
        <f>IFERROR(Tableau1[[#This Row],[Total item réceptionné]]*Tableau1[[#This Row],[Unit Price (calcul)]],"")</f>
        <v/>
      </c>
      <c r="DB82" s="352" t="str">
        <f>IFERROR(Tableau1[[#This Row],[Total item à Facturer]]*Tableau1[[#This Row],[Unit Price (calcul)]],"")</f>
        <v/>
      </c>
      <c r="DC8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2" s="352" t="str">
        <f>IFERROR(Tableau1[[#This Row],[Line Total]]-Tableau1[[#This Row],[Total Price Réceptionné]],"")</f>
        <v/>
      </c>
      <c r="DE82" s="352" t="str">
        <f>IFERROR(Tableau1[[#This Row],[Total Price Réceptionné]]-Tableau1[[#This Row],[Total Price A facturer]],"")</f>
        <v/>
      </c>
      <c r="DF82" s="353" t="str">
        <f>IFERROR(Tableau1[[#This Row],[Total Price A facturer]]-Tableau1[[#This Row],[Total Price Facturé]],"")</f>
        <v/>
      </c>
      <c r="DG82" s="76">
        <f>Tableau1[[#This Row],[Total Item Quantity]]-Tableau1[[#This Row],[Total item réceptionné]]</f>
        <v>0</v>
      </c>
      <c r="DH82" s="167"/>
      <c r="DI82" s="167"/>
    </row>
    <row r="83" spans="1:113" s="74" customFormat="1">
      <c r="A83" s="77" t="str">
        <f>CONCATENATE(Tableau1[[#This Row],[PO Number (Header)]],"-",Tableau1[[#This Row],[Line]])</f>
        <v>-</v>
      </c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395"/>
      <c r="R83" s="395"/>
      <c r="S83" s="77"/>
      <c r="T83" s="77"/>
      <c r="U83" s="77"/>
      <c r="V83" s="77"/>
      <c r="W83" s="167"/>
      <c r="X83" s="167"/>
      <c r="Y83" s="167" t="str">
        <f>IF(ISBLANK(Tableau1[[#This Row],[PO Number (Header)]]),"",Tableau1[[#This Row],[Line Total]]/Tableau1[[#This Row],[Total Item Quantity]])</f>
        <v/>
      </c>
      <c r="Z83" s="167" t="str">
        <f>IF(ISNA(VLOOKUP(Tableau1[[#This Row],[Unique_AIB_ID]],UO_List[Unique_AIB_ID],1,FALSE)),IF(ISBLANK(Tableau1[[#This Row],[PO Number (Header)]]),"","FAUX"),"VRAI")</f>
        <v/>
      </c>
      <c r="AA83" s="167"/>
      <c r="AB83" s="162" t="e">
        <f>VLOOKUP(Tableau1[[#This Row],[Unique_AIB_ID]],UO_List[[Unique_AIB_ID]:[OLGA F6]],3,FALSE)</f>
        <v>#N/A</v>
      </c>
      <c r="AC83" s="162" t="s">
        <v>796</v>
      </c>
      <c r="AD83" s="83">
        <f>SUMPRODUCT(1*(EXACT(CONCATENATE(Tableau1[[#This Row],[PO Number (Header)]],"-",Tableau1[[#This Row],[Line]]),UO_List[Unique_AIB_ID]))*(UO_List[Qté Réception 03/2020]))</f>
        <v>0</v>
      </c>
      <c r="AE83" s="84"/>
      <c r="AF83" s="357"/>
      <c r="AG83" s="351" t="str">
        <f>IFERROR(Tableau1[[#This Row],[Qté Facturé 01/2018]]*Tableau1[[#This Row],[Unit Price (calcul)]],"")</f>
        <v/>
      </c>
      <c r="AH83" s="356" t="str">
        <f>IFERROR(IF(Tableau1[[#This Row],[Montant Facturé 01/2018]]&gt;0,Tableau1[[#This Row],[Montant Facturé 01/2018]]/Taux_Change_SII,""),"")</f>
        <v/>
      </c>
      <c r="AI83" s="351"/>
      <c r="AJ83" s="83">
        <f>SUMPRODUCT(1*(EXACT(CONCATENATE(Tableau1[[#This Row],[PO Number (Header)]],"-",Tableau1[[#This Row],[Line]]),UO_List[Unique_AIB_ID]))*(UO_List[Qté Réception 02/2020]))</f>
        <v>0</v>
      </c>
      <c r="AK83" s="83">
        <f>SUMPRODUCT(1*(EXACT(CONCATENATE(Tableau1[[#This Row],[PO Number (Header)]],"-",Tableau1[[#This Row],[Line]]),UO_List[Unique_AIB_ID]))*(UO_List[Qté Réception 02/2020]))</f>
        <v>0</v>
      </c>
      <c r="AL83" s="357"/>
      <c r="AM83" s="351" t="str">
        <f>IFERROR(Tableau1[[#This Row],[Qté Facturé 02/2018]]*Tableau1[[#This Row],[Unit Price (calcul)]],"")</f>
        <v/>
      </c>
      <c r="AN83" s="351" t="str">
        <f>IFERROR(IF(Tableau1[[#This Row],[Montant Facturé 02/2018]]&gt;0,Tableau1[[#This Row],[Montant Facturé 02/2018]]/Taux_Change_SII,""),"")</f>
        <v/>
      </c>
      <c r="AO83" s="351"/>
      <c r="AP83" s="83">
        <f>SUMPRODUCT(1*(EXACT(CONCATENATE(Tableau1[[#This Row],[PO Number (Header)]],"-",Tableau1[[#This Row],[Line]]),UO_List[Unique_AIB_ID]))*(UO_List[Qté Réception 00/2020]))</f>
        <v>0</v>
      </c>
      <c r="AQ83" s="84">
        <v>0</v>
      </c>
      <c r="AR83" s="357"/>
      <c r="AS83" s="351" t="str">
        <f>IFERROR(Tableau1[[#This Row],[Qté Facturé 03/2018]]*Tableau1[[#This Row],[Unit Price (calcul)]],"")</f>
        <v/>
      </c>
      <c r="AT83" s="351" t="str">
        <f>IFERROR(IF(Tableau1[[#This Row],[Montant Facturé 03/2018]]&gt;0,Tableau1[[#This Row],[Montant Facturé 03/2018]]/Taux_Change_SII,""),"")</f>
        <v/>
      </c>
      <c r="AU83" s="351"/>
      <c r="AV83" s="83">
        <f>SUMPRODUCT(1*(EXACT(CONCATENATE(Tableau1[[#This Row],[PO Number (Header)]],"-",Tableau1[[#This Row],[Line]]),UO_List[Unique_AIB_ID]))*(UO_List[Qté Réception 04/2020]))</f>
        <v>0</v>
      </c>
      <c r="AW83" s="84">
        <v>0</v>
      </c>
      <c r="AX83" s="351"/>
      <c r="AY83" s="351" t="str">
        <f>IFERROR(Tableau1[[#This Row],[Qté Facturé 04/2018]]*Tableau1[[#This Row],[Unit Price (calcul)]],"")</f>
        <v/>
      </c>
      <c r="AZ83" s="351" t="str">
        <f>IFERROR(IF(Tableau1[[#This Row],[Montant Facturé 04/2018]]&gt;0,Tableau1[[#This Row],[Montant Facturé 04/2018]]/Taux_Change_SII,""),"")</f>
        <v/>
      </c>
      <c r="BA83" s="351"/>
      <c r="BB83" s="83">
        <f>SUMPRODUCT(1*(EXACT(CONCATENATE(Tableau1[[#This Row],[PO Number (Header)]],"-",Tableau1[[#This Row],[Line]]),UO_List[Unique_AIB_ID]))*(UO_List[Qté Réception 05/2020]))</f>
        <v>0</v>
      </c>
      <c r="BC83" s="84">
        <v>0</v>
      </c>
      <c r="BD83" s="351"/>
      <c r="BE83" s="351" t="str">
        <f>IFERROR(Tableau1[[#This Row],[Qté Facturé 05/2018]]*Tableau1[[#This Row],[Unit Price (calcul)]],"")</f>
        <v/>
      </c>
      <c r="BF83" s="351" t="str">
        <f>IFERROR(IF(Tableau1[[#This Row],[Montant Facturé 05/2018]]&gt;0,Tableau1[[#This Row],[Montant Facturé 05/2018]]/Taux_Change_SII,""),"")</f>
        <v/>
      </c>
      <c r="BG83" s="351"/>
      <c r="BH83" s="83">
        <f>SUMPRODUCT(1*(EXACT(CONCATENATE(Tableau1[[#This Row],[PO Number (Header)]],"-",Tableau1[[#This Row],[Line]]),UO_List[Unique_AIB_ID]))*(UO_List[Qté Réception 06/2020]))</f>
        <v>0</v>
      </c>
      <c r="BI83" s="84">
        <v>0</v>
      </c>
      <c r="BJ83" s="351"/>
      <c r="BK83" s="351" t="str">
        <f>IFERROR(Tableau1[[#This Row],[Qté Facturé 06/2018]]*Tableau1[[#This Row],[Unit Price (calcul)]],"")</f>
        <v/>
      </c>
      <c r="BL83" s="351" t="str">
        <f>IFERROR(IF(Tableau1[[#This Row],[Montant Facturé 06/2018]]&gt;0,Tableau1[[#This Row],[Montant Facturé 06/2018]]/Taux_Change_SII,""),"")</f>
        <v/>
      </c>
      <c r="BM83" s="351"/>
      <c r="BN83" s="83">
        <f>SUMPRODUCT(1*(EXACT(CONCATENATE(Tableau1[[#This Row],[PO Number (Header)]],"-",Tableau1[[#This Row],[Line]]),UO_List[Unique_AIB_ID]))*(UO_List[Qté Réception 07/2020]))</f>
        <v>0</v>
      </c>
      <c r="BO83" s="84"/>
      <c r="BP83" s="351"/>
      <c r="BQ83" s="351" t="str">
        <f>IFERROR(Tableau1[[#This Row],[Qté Facturé 07/2018]]*Tableau1[[#This Row],[Unit Price (calcul)]],"")</f>
        <v/>
      </c>
      <c r="BR83" s="351" t="str">
        <f>IFERROR(IF(Tableau1[[#This Row],[Montant Facturé 07/2018]]&gt;0,Tableau1[[#This Row],[Montant Facturé 07/2018]]/Taux_Change_SII,""),"")</f>
        <v/>
      </c>
      <c r="BS83" s="351"/>
      <c r="BT83" s="83">
        <f>SUMPRODUCT(1*(EXACT(CONCATENATE(Tableau1[[#This Row],[PO Number (Header)]],"-",Tableau1[[#This Row],[Line]]),UO_List[Unique_AIB_ID]))*(UO_List[Qté Réception 08/2020]))</f>
        <v>0</v>
      </c>
      <c r="BU83" s="84"/>
      <c r="BV83" s="351"/>
      <c r="BW83" s="351" t="str">
        <f>IFERROR(Tableau1[[#This Row],[Qté Facturé 08/2018]]*Tableau1[[#This Row],[Unit Price (calcul)]],"")</f>
        <v/>
      </c>
      <c r="BX83" s="351" t="str">
        <f>IFERROR(IF(Tableau1[[#This Row],[Montant Facturé 08/2018]]&gt;0,Tableau1[[#This Row],[Montant Facturé 08/2018]]/Taux_Change_SII,""),"")</f>
        <v/>
      </c>
      <c r="BY83" s="351"/>
      <c r="BZ83" s="83">
        <f>SUMPRODUCT(1*(EXACT(CONCATENATE(Tableau1[[#This Row],[PO Number (Header)]],"-",Tableau1[[#This Row],[Line]]),UO_List[Unique_AIB_ID]))*(UO_List[Qté Réception 09/2020]))</f>
        <v>0</v>
      </c>
      <c r="CA83" s="84">
        <v>0</v>
      </c>
      <c r="CB83" s="351"/>
      <c r="CC83" s="351" t="str">
        <f>IFERROR(Tableau1[[#This Row],[Qté Facturé 09/2018]]*Tableau1[[#This Row],[Unit Price (calcul)]],"")</f>
        <v/>
      </c>
      <c r="CD83" s="351" t="str">
        <f>IFERROR(IF(Tableau1[[#This Row],[Montant Facturé 09/2018]]&gt;0,Tableau1[[#This Row],[Montant Facturé 09/2018]]/Taux_Change_SII,""),"")</f>
        <v/>
      </c>
      <c r="CE83" s="351"/>
      <c r="CF83" s="83">
        <f>SUMPRODUCT(1*(EXACT(CONCATENATE(Tableau1[[#This Row],[PO Number (Header)]],"-",Tableau1[[#This Row],[Line]]),UO_List[Unique_AIB_ID]))*(UO_List[Qté Réception 10/2020]))</f>
        <v>0</v>
      </c>
      <c r="CG83" s="84">
        <v>0</v>
      </c>
      <c r="CH83" s="351"/>
      <c r="CI83" s="351" t="str">
        <f>IFERROR(Tableau1[[#This Row],[Qté Facturé 10/2018]]*Tableau1[[#This Row],[Unit Price (calcul)]],"")</f>
        <v/>
      </c>
      <c r="CJ83" s="351" t="str">
        <f>IFERROR(IF(Tableau1[[#This Row],[Montant Facturé 10/2018]]&gt;0,Tableau1[[#This Row],[Montant Facturé 10/2018]]/Taux_Change_SII,""),"")</f>
        <v/>
      </c>
      <c r="CK83" s="351"/>
      <c r="CL83" s="83">
        <f>SUMPRODUCT(1*(EXACT(CONCATENATE(Tableau1[[#This Row],[PO Number (Header)]],"-",Tableau1[[#This Row],[Line]]),UO_List[Unique_AIB_ID]))*(UO_List[Qté Réception 11/2020]))</f>
        <v>0</v>
      </c>
      <c r="CM83" s="84"/>
      <c r="CN83" s="351"/>
      <c r="CO83" s="351" t="str">
        <f>IFERROR(Tableau1[[#This Row],[Qté Facturé 11/2018]]*Tableau1[[#This Row],[Unit Price (calcul)]],"")</f>
        <v/>
      </c>
      <c r="CP83" s="351" t="str">
        <f>IFERROR(IF(Tableau1[[#This Row],[Montant Facturé 11/2018]]&gt;0,Tableau1[[#This Row],[Montant Facturé 11/2018]]/Taux_Change_SII,""),"")</f>
        <v/>
      </c>
      <c r="CQ83" s="351"/>
      <c r="CR83" s="83">
        <f>SUMPRODUCT(1*(EXACT(CONCATENATE(Tableau1[[#This Row],[PO Number (Header)]],"-",Tableau1[[#This Row],[Line]]),UO_List[Unique_AIB_ID]))*(UO_List[Qté Réception 12/2020]))</f>
        <v>0</v>
      </c>
      <c r="CS83" s="84"/>
      <c r="CT83" s="351"/>
      <c r="CU83" s="351" t="str">
        <f>IFERROR(Tableau1[[#This Row],[Qté Facturé 12/2018]]*Tableau1[[#This Row],[Unit Price (calcul)]],"")</f>
        <v/>
      </c>
      <c r="CV83" s="351" t="str">
        <f>IFERROR(IF(Tableau1[[#This Row],[Montant Facturé 12/2018]]&gt;0,Tableau1[[#This Row],[Montant Facturé 12/2018]]/Taux_Change_SII,""),"")</f>
        <v/>
      </c>
      <c r="CW83" s="351"/>
      <c r="CX8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3" s="352" t="str">
        <f>IFERROR(Tableau1[[#This Row],[Total item réceptionné]]*Tableau1[[#This Row],[Unit Price (calcul)]],"")</f>
        <v/>
      </c>
      <c r="DB83" s="352" t="str">
        <f>IFERROR(Tableau1[[#This Row],[Total item à Facturer]]*Tableau1[[#This Row],[Unit Price (calcul)]],"")</f>
        <v/>
      </c>
      <c r="DC8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3" s="352" t="str">
        <f>IFERROR(Tableau1[[#This Row],[Line Total]]-Tableau1[[#This Row],[Total Price Réceptionné]],"")</f>
        <v/>
      </c>
      <c r="DE83" s="352" t="str">
        <f>IFERROR(Tableau1[[#This Row],[Total Price Réceptionné]]-Tableau1[[#This Row],[Total Price A facturer]],"")</f>
        <v/>
      </c>
      <c r="DF83" s="353" t="str">
        <f>IFERROR(Tableau1[[#This Row],[Total Price A facturer]]-Tableau1[[#This Row],[Total Price Facturé]],"")</f>
        <v/>
      </c>
      <c r="DG83" s="76">
        <f>Tableau1[[#This Row],[Total Item Quantity]]-Tableau1[[#This Row],[Total item réceptionné]]</f>
        <v>0</v>
      </c>
      <c r="DH83" s="167"/>
      <c r="DI83" s="167"/>
    </row>
    <row r="84" spans="1:113" s="74" customFormat="1">
      <c r="A84" s="77" t="str">
        <f>CONCATENATE(Tableau1[[#This Row],[PO Number (Header)]],"-",Tableau1[[#This Row],[Line]])</f>
        <v>-</v>
      </c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395"/>
      <c r="R84" s="395"/>
      <c r="S84" s="77"/>
      <c r="T84" s="77"/>
      <c r="U84" s="77"/>
      <c r="V84" s="77"/>
      <c r="W84" s="167"/>
      <c r="X84" s="167"/>
      <c r="Y84" s="167" t="str">
        <f>IF(ISBLANK(Tableau1[[#This Row],[PO Number (Header)]]),"",Tableau1[[#This Row],[Line Total]]/Tableau1[[#This Row],[Total Item Quantity]])</f>
        <v/>
      </c>
      <c r="Z84" s="167" t="str">
        <f>IF(ISNA(VLOOKUP(Tableau1[[#This Row],[Unique_AIB_ID]],UO_List[Unique_AIB_ID],1,FALSE)),IF(ISBLANK(Tableau1[[#This Row],[PO Number (Header)]]),"","FAUX"),"VRAI")</f>
        <v/>
      </c>
      <c r="AA84" s="167"/>
      <c r="AB84" s="162" t="e">
        <f>VLOOKUP(Tableau1[[#This Row],[Unique_AIB_ID]],UO_List[[Unique_AIB_ID]:[OLGA F6]],3,FALSE)</f>
        <v>#N/A</v>
      </c>
      <c r="AC84" s="162" t="s">
        <v>796</v>
      </c>
      <c r="AD84" s="83">
        <f>SUMPRODUCT(1*(EXACT(CONCATENATE(Tableau1[[#This Row],[PO Number (Header)]],"-",Tableau1[[#This Row],[Line]]),UO_List[Unique_AIB_ID]))*(UO_List[Qté Réception 03/2020]))</f>
        <v>0</v>
      </c>
      <c r="AE84" s="84"/>
      <c r="AF84" s="357"/>
      <c r="AG84" s="351" t="str">
        <f>IFERROR(Tableau1[[#This Row],[Qté Facturé 01/2018]]*Tableau1[[#This Row],[Unit Price (calcul)]],"")</f>
        <v/>
      </c>
      <c r="AH84" s="356" t="str">
        <f>IFERROR(IF(Tableau1[[#This Row],[Montant Facturé 01/2018]]&gt;0,Tableau1[[#This Row],[Montant Facturé 01/2018]]/Taux_Change_SII,""),"")</f>
        <v/>
      </c>
      <c r="AI84" s="351"/>
      <c r="AJ84" s="83">
        <f>SUMPRODUCT(1*(EXACT(CONCATENATE(Tableau1[[#This Row],[PO Number (Header)]],"-",Tableau1[[#This Row],[Line]]),UO_List[Unique_AIB_ID]))*(UO_List[Qté Réception 02/2020]))</f>
        <v>0</v>
      </c>
      <c r="AK84" s="83">
        <f>SUMPRODUCT(1*(EXACT(CONCATENATE(Tableau1[[#This Row],[PO Number (Header)]],"-",Tableau1[[#This Row],[Line]]),UO_List[Unique_AIB_ID]))*(UO_List[Qté Réception 02/2020]))</f>
        <v>0</v>
      </c>
      <c r="AL84" s="357"/>
      <c r="AM84" s="351" t="str">
        <f>IFERROR(Tableau1[[#This Row],[Qté Facturé 02/2018]]*Tableau1[[#This Row],[Unit Price (calcul)]],"")</f>
        <v/>
      </c>
      <c r="AN84" s="351" t="str">
        <f>IFERROR(IF(Tableau1[[#This Row],[Montant Facturé 02/2018]]&gt;0,Tableau1[[#This Row],[Montant Facturé 02/2018]]/Taux_Change_SII,""),"")</f>
        <v/>
      </c>
      <c r="AO84" s="351"/>
      <c r="AP84" s="83">
        <f>SUMPRODUCT(1*(EXACT(CONCATENATE(Tableau1[[#This Row],[PO Number (Header)]],"-",Tableau1[[#This Row],[Line]]),UO_List[Unique_AIB_ID]))*(UO_List[Qté Réception 00/2020]))</f>
        <v>0</v>
      </c>
      <c r="AQ84" s="84">
        <v>0</v>
      </c>
      <c r="AR84" s="357"/>
      <c r="AS84" s="351" t="str">
        <f>IFERROR(Tableau1[[#This Row],[Qté Facturé 03/2018]]*Tableau1[[#This Row],[Unit Price (calcul)]],"")</f>
        <v/>
      </c>
      <c r="AT84" s="351" t="str">
        <f>IFERROR(IF(Tableau1[[#This Row],[Montant Facturé 03/2018]]&gt;0,Tableau1[[#This Row],[Montant Facturé 03/2018]]/Taux_Change_SII,""),"")</f>
        <v/>
      </c>
      <c r="AU84" s="351"/>
      <c r="AV84" s="83">
        <f>SUMPRODUCT(1*(EXACT(CONCATENATE(Tableau1[[#This Row],[PO Number (Header)]],"-",Tableau1[[#This Row],[Line]]),UO_List[Unique_AIB_ID]))*(UO_List[Qté Réception 04/2020]))</f>
        <v>0</v>
      </c>
      <c r="AW84" s="84">
        <v>0</v>
      </c>
      <c r="AX84" s="351"/>
      <c r="AY84" s="351" t="str">
        <f>IFERROR(Tableau1[[#This Row],[Qté Facturé 04/2018]]*Tableau1[[#This Row],[Unit Price (calcul)]],"")</f>
        <v/>
      </c>
      <c r="AZ84" s="351" t="str">
        <f>IFERROR(IF(Tableau1[[#This Row],[Montant Facturé 04/2018]]&gt;0,Tableau1[[#This Row],[Montant Facturé 04/2018]]/Taux_Change_SII,""),"")</f>
        <v/>
      </c>
      <c r="BA84" s="351"/>
      <c r="BB84" s="83">
        <f>SUMPRODUCT(1*(EXACT(CONCATENATE(Tableau1[[#This Row],[PO Number (Header)]],"-",Tableau1[[#This Row],[Line]]),UO_List[Unique_AIB_ID]))*(UO_List[Qté Réception 05/2020]))</f>
        <v>0</v>
      </c>
      <c r="BC84" s="84">
        <v>0</v>
      </c>
      <c r="BD84" s="351"/>
      <c r="BE84" s="351" t="str">
        <f>IFERROR(Tableau1[[#This Row],[Qté Facturé 05/2018]]*Tableau1[[#This Row],[Unit Price (calcul)]],"")</f>
        <v/>
      </c>
      <c r="BF84" s="351" t="str">
        <f>IFERROR(IF(Tableau1[[#This Row],[Montant Facturé 05/2018]]&gt;0,Tableau1[[#This Row],[Montant Facturé 05/2018]]/Taux_Change_SII,""),"")</f>
        <v/>
      </c>
      <c r="BG84" s="351"/>
      <c r="BH84" s="83">
        <f>SUMPRODUCT(1*(EXACT(CONCATENATE(Tableau1[[#This Row],[PO Number (Header)]],"-",Tableau1[[#This Row],[Line]]),UO_List[Unique_AIB_ID]))*(UO_List[Qté Réception 06/2020]))</f>
        <v>0</v>
      </c>
      <c r="BI84" s="84">
        <v>0</v>
      </c>
      <c r="BJ84" s="351"/>
      <c r="BK84" s="351" t="str">
        <f>IFERROR(Tableau1[[#This Row],[Qté Facturé 06/2018]]*Tableau1[[#This Row],[Unit Price (calcul)]],"")</f>
        <v/>
      </c>
      <c r="BL84" s="351" t="str">
        <f>IFERROR(IF(Tableau1[[#This Row],[Montant Facturé 06/2018]]&gt;0,Tableau1[[#This Row],[Montant Facturé 06/2018]]/Taux_Change_SII,""),"")</f>
        <v/>
      </c>
      <c r="BM84" s="351"/>
      <c r="BN84" s="83">
        <f>SUMPRODUCT(1*(EXACT(CONCATENATE(Tableau1[[#This Row],[PO Number (Header)]],"-",Tableau1[[#This Row],[Line]]),UO_List[Unique_AIB_ID]))*(UO_List[Qté Réception 07/2020]))</f>
        <v>0</v>
      </c>
      <c r="BO84" s="84"/>
      <c r="BP84" s="351"/>
      <c r="BQ84" s="351" t="str">
        <f>IFERROR(Tableau1[[#This Row],[Qté Facturé 07/2018]]*Tableau1[[#This Row],[Unit Price (calcul)]],"")</f>
        <v/>
      </c>
      <c r="BR84" s="351" t="str">
        <f>IFERROR(IF(Tableau1[[#This Row],[Montant Facturé 07/2018]]&gt;0,Tableau1[[#This Row],[Montant Facturé 07/2018]]/Taux_Change_SII,""),"")</f>
        <v/>
      </c>
      <c r="BS84" s="351"/>
      <c r="BT84" s="83">
        <f>SUMPRODUCT(1*(EXACT(CONCATENATE(Tableau1[[#This Row],[PO Number (Header)]],"-",Tableau1[[#This Row],[Line]]),UO_List[Unique_AIB_ID]))*(UO_List[Qté Réception 08/2020]))</f>
        <v>0</v>
      </c>
      <c r="BU84" s="84"/>
      <c r="BV84" s="351"/>
      <c r="BW84" s="351" t="str">
        <f>IFERROR(Tableau1[[#This Row],[Qté Facturé 08/2018]]*Tableau1[[#This Row],[Unit Price (calcul)]],"")</f>
        <v/>
      </c>
      <c r="BX84" s="351" t="str">
        <f>IFERROR(IF(Tableau1[[#This Row],[Montant Facturé 08/2018]]&gt;0,Tableau1[[#This Row],[Montant Facturé 08/2018]]/Taux_Change_SII,""),"")</f>
        <v/>
      </c>
      <c r="BY84" s="351"/>
      <c r="BZ84" s="83">
        <f>SUMPRODUCT(1*(EXACT(CONCATENATE(Tableau1[[#This Row],[PO Number (Header)]],"-",Tableau1[[#This Row],[Line]]),UO_List[Unique_AIB_ID]))*(UO_List[Qté Réception 09/2020]))</f>
        <v>0</v>
      </c>
      <c r="CA84" s="84">
        <v>0</v>
      </c>
      <c r="CB84" s="351"/>
      <c r="CC84" s="351" t="str">
        <f>IFERROR(Tableau1[[#This Row],[Qté Facturé 09/2018]]*Tableau1[[#This Row],[Unit Price (calcul)]],"")</f>
        <v/>
      </c>
      <c r="CD84" s="351" t="str">
        <f>IFERROR(IF(Tableau1[[#This Row],[Montant Facturé 09/2018]]&gt;0,Tableau1[[#This Row],[Montant Facturé 09/2018]]/Taux_Change_SII,""),"")</f>
        <v/>
      </c>
      <c r="CE84" s="351"/>
      <c r="CF84" s="83">
        <f>SUMPRODUCT(1*(EXACT(CONCATENATE(Tableau1[[#This Row],[PO Number (Header)]],"-",Tableau1[[#This Row],[Line]]),UO_List[Unique_AIB_ID]))*(UO_List[Qté Réception 10/2020]))</f>
        <v>0</v>
      </c>
      <c r="CG84" s="84">
        <v>0</v>
      </c>
      <c r="CH84" s="351"/>
      <c r="CI84" s="351" t="str">
        <f>IFERROR(Tableau1[[#This Row],[Qté Facturé 10/2018]]*Tableau1[[#This Row],[Unit Price (calcul)]],"")</f>
        <v/>
      </c>
      <c r="CJ84" s="351" t="str">
        <f>IFERROR(IF(Tableau1[[#This Row],[Montant Facturé 10/2018]]&gt;0,Tableau1[[#This Row],[Montant Facturé 10/2018]]/Taux_Change_SII,""),"")</f>
        <v/>
      </c>
      <c r="CK84" s="351"/>
      <c r="CL84" s="83">
        <f>SUMPRODUCT(1*(EXACT(CONCATENATE(Tableau1[[#This Row],[PO Number (Header)]],"-",Tableau1[[#This Row],[Line]]),UO_List[Unique_AIB_ID]))*(UO_List[Qté Réception 11/2020]))</f>
        <v>0</v>
      </c>
      <c r="CM84" s="84"/>
      <c r="CN84" s="351"/>
      <c r="CO84" s="351" t="str">
        <f>IFERROR(Tableau1[[#This Row],[Qté Facturé 11/2018]]*Tableau1[[#This Row],[Unit Price (calcul)]],"")</f>
        <v/>
      </c>
      <c r="CP84" s="351" t="str">
        <f>IFERROR(IF(Tableau1[[#This Row],[Montant Facturé 11/2018]]&gt;0,Tableau1[[#This Row],[Montant Facturé 11/2018]]/Taux_Change_SII,""),"")</f>
        <v/>
      </c>
      <c r="CQ84" s="351"/>
      <c r="CR84" s="83">
        <f>SUMPRODUCT(1*(EXACT(CONCATENATE(Tableau1[[#This Row],[PO Number (Header)]],"-",Tableau1[[#This Row],[Line]]),UO_List[Unique_AIB_ID]))*(UO_List[Qté Réception 12/2020]))</f>
        <v>0</v>
      </c>
      <c r="CS84" s="84"/>
      <c r="CT84" s="351"/>
      <c r="CU84" s="351" t="str">
        <f>IFERROR(Tableau1[[#This Row],[Qté Facturé 12/2018]]*Tableau1[[#This Row],[Unit Price (calcul)]],"")</f>
        <v/>
      </c>
      <c r="CV84" s="351" t="str">
        <f>IFERROR(IF(Tableau1[[#This Row],[Montant Facturé 12/2018]]&gt;0,Tableau1[[#This Row],[Montant Facturé 12/2018]]/Taux_Change_SII,""),"")</f>
        <v/>
      </c>
      <c r="CW84" s="351"/>
      <c r="CX8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4" s="352" t="str">
        <f>IFERROR(Tableau1[[#This Row],[Total item réceptionné]]*Tableau1[[#This Row],[Unit Price (calcul)]],"")</f>
        <v/>
      </c>
      <c r="DB84" s="352" t="str">
        <f>IFERROR(Tableau1[[#This Row],[Total item à Facturer]]*Tableau1[[#This Row],[Unit Price (calcul)]],"")</f>
        <v/>
      </c>
      <c r="DC8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4" s="352" t="str">
        <f>IFERROR(Tableau1[[#This Row],[Line Total]]-Tableau1[[#This Row],[Total Price Réceptionné]],"")</f>
        <v/>
      </c>
      <c r="DE84" s="352" t="str">
        <f>IFERROR(Tableau1[[#This Row],[Total Price Réceptionné]]-Tableau1[[#This Row],[Total Price A facturer]],"")</f>
        <v/>
      </c>
      <c r="DF84" s="353" t="str">
        <f>IFERROR(Tableau1[[#This Row],[Total Price A facturer]]-Tableau1[[#This Row],[Total Price Facturé]],"")</f>
        <v/>
      </c>
      <c r="DG84" s="76">
        <f>Tableau1[[#This Row],[Total Item Quantity]]-Tableau1[[#This Row],[Total item réceptionné]]</f>
        <v>0</v>
      </c>
      <c r="DH84" s="167"/>
      <c r="DI84" s="167"/>
    </row>
    <row r="85" spans="1:113" s="74" customFormat="1">
      <c r="A85" s="77" t="str">
        <f>CONCATENATE(Tableau1[[#This Row],[PO Number (Header)]],"-",Tableau1[[#This Row],[Line]])</f>
        <v>-</v>
      </c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395"/>
      <c r="R85" s="395"/>
      <c r="S85" s="77"/>
      <c r="T85" s="77"/>
      <c r="U85" s="77"/>
      <c r="V85" s="77"/>
      <c r="W85" s="167"/>
      <c r="X85" s="167"/>
      <c r="Y85" s="167" t="str">
        <f>IF(ISBLANK(Tableau1[[#This Row],[PO Number (Header)]]),"",Tableau1[[#This Row],[Line Total]]/Tableau1[[#This Row],[Total Item Quantity]])</f>
        <v/>
      </c>
      <c r="Z85" s="167" t="str">
        <f>IF(ISNA(VLOOKUP(Tableau1[[#This Row],[Unique_AIB_ID]],UO_List[Unique_AIB_ID],1,FALSE)),IF(ISBLANK(Tableau1[[#This Row],[PO Number (Header)]]),"","FAUX"),"VRAI")</f>
        <v/>
      </c>
      <c r="AA85" s="167"/>
      <c r="AB85" s="162" t="e">
        <f>VLOOKUP(Tableau1[[#This Row],[Unique_AIB_ID]],UO_List[[Unique_AIB_ID]:[OLGA F6]],3,FALSE)</f>
        <v>#N/A</v>
      </c>
      <c r="AC85" s="162" t="s">
        <v>796</v>
      </c>
      <c r="AD85" s="83">
        <f>SUMPRODUCT(1*(EXACT(CONCATENATE(Tableau1[[#This Row],[PO Number (Header)]],"-",Tableau1[[#This Row],[Line]]),UO_List[Unique_AIB_ID]))*(UO_List[Qté Réception 03/2020]))</f>
        <v>0</v>
      </c>
      <c r="AE85" s="84"/>
      <c r="AF85" s="357"/>
      <c r="AG85" s="351" t="str">
        <f>IFERROR(Tableau1[[#This Row],[Qté Facturé 01/2018]]*Tableau1[[#This Row],[Unit Price (calcul)]],"")</f>
        <v/>
      </c>
      <c r="AH85" s="356" t="str">
        <f>IFERROR(IF(Tableau1[[#This Row],[Montant Facturé 01/2018]]&gt;0,Tableau1[[#This Row],[Montant Facturé 01/2018]]/Taux_Change_SII,""),"")</f>
        <v/>
      </c>
      <c r="AI85" s="351"/>
      <c r="AJ85" s="83">
        <f>SUMPRODUCT(1*(EXACT(CONCATENATE(Tableau1[[#This Row],[PO Number (Header)]],"-",Tableau1[[#This Row],[Line]]),UO_List[Unique_AIB_ID]))*(UO_List[Qté Réception 02/2020]))</f>
        <v>0</v>
      </c>
      <c r="AK85" s="83">
        <f>SUMPRODUCT(1*(EXACT(CONCATENATE(Tableau1[[#This Row],[PO Number (Header)]],"-",Tableau1[[#This Row],[Line]]),UO_List[Unique_AIB_ID]))*(UO_List[Qté Réception 02/2020]))</f>
        <v>0</v>
      </c>
      <c r="AL85" s="357"/>
      <c r="AM85" s="351" t="str">
        <f>IFERROR(Tableau1[[#This Row],[Qté Facturé 02/2018]]*Tableau1[[#This Row],[Unit Price (calcul)]],"")</f>
        <v/>
      </c>
      <c r="AN85" s="351" t="str">
        <f>IFERROR(IF(Tableau1[[#This Row],[Montant Facturé 02/2018]]&gt;0,Tableau1[[#This Row],[Montant Facturé 02/2018]]/Taux_Change_SII,""),"")</f>
        <v/>
      </c>
      <c r="AO85" s="351"/>
      <c r="AP85" s="83">
        <f>SUMPRODUCT(1*(EXACT(CONCATENATE(Tableau1[[#This Row],[PO Number (Header)]],"-",Tableau1[[#This Row],[Line]]),UO_List[Unique_AIB_ID]))*(UO_List[Qté Réception 00/2020]))</f>
        <v>0</v>
      </c>
      <c r="AQ85" s="84">
        <v>0</v>
      </c>
      <c r="AR85" s="357"/>
      <c r="AS85" s="351" t="str">
        <f>IFERROR(Tableau1[[#This Row],[Qté Facturé 03/2018]]*Tableau1[[#This Row],[Unit Price (calcul)]],"")</f>
        <v/>
      </c>
      <c r="AT85" s="351" t="str">
        <f>IFERROR(IF(Tableau1[[#This Row],[Montant Facturé 03/2018]]&gt;0,Tableau1[[#This Row],[Montant Facturé 03/2018]]/Taux_Change_SII,""),"")</f>
        <v/>
      </c>
      <c r="AU85" s="351"/>
      <c r="AV85" s="83">
        <f>SUMPRODUCT(1*(EXACT(CONCATENATE(Tableau1[[#This Row],[PO Number (Header)]],"-",Tableau1[[#This Row],[Line]]),UO_List[Unique_AIB_ID]))*(UO_List[Qté Réception 04/2020]))</f>
        <v>0</v>
      </c>
      <c r="AW85" s="84">
        <v>0</v>
      </c>
      <c r="AX85" s="351"/>
      <c r="AY85" s="351" t="str">
        <f>IFERROR(Tableau1[[#This Row],[Qté Facturé 04/2018]]*Tableau1[[#This Row],[Unit Price (calcul)]],"")</f>
        <v/>
      </c>
      <c r="AZ85" s="351" t="str">
        <f>IFERROR(IF(Tableau1[[#This Row],[Montant Facturé 04/2018]]&gt;0,Tableau1[[#This Row],[Montant Facturé 04/2018]]/Taux_Change_SII,""),"")</f>
        <v/>
      </c>
      <c r="BA85" s="351"/>
      <c r="BB85" s="83">
        <f>SUMPRODUCT(1*(EXACT(CONCATENATE(Tableau1[[#This Row],[PO Number (Header)]],"-",Tableau1[[#This Row],[Line]]),UO_List[Unique_AIB_ID]))*(UO_List[Qté Réception 05/2020]))</f>
        <v>0</v>
      </c>
      <c r="BC85" s="84"/>
      <c r="BD85" s="351"/>
      <c r="BE85" s="351" t="str">
        <f>IFERROR(Tableau1[[#This Row],[Qté Facturé 05/2018]]*Tableau1[[#This Row],[Unit Price (calcul)]],"")</f>
        <v/>
      </c>
      <c r="BF85" s="351" t="str">
        <f>IFERROR(IF(Tableau1[[#This Row],[Montant Facturé 05/2018]]&gt;0,Tableau1[[#This Row],[Montant Facturé 05/2018]]/Taux_Change_SII,""),"")</f>
        <v/>
      </c>
      <c r="BG85" s="351"/>
      <c r="BH85" s="83">
        <f>SUMPRODUCT(1*(EXACT(CONCATENATE(Tableau1[[#This Row],[PO Number (Header)]],"-",Tableau1[[#This Row],[Line]]),UO_List[Unique_AIB_ID]))*(UO_List[Qté Réception 06/2020]))</f>
        <v>0</v>
      </c>
      <c r="BI85" s="84">
        <v>0</v>
      </c>
      <c r="BJ85" s="351"/>
      <c r="BK85" s="351" t="str">
        <f>IFERROR(Tableau1[[#This Row],[Qté Facturé 06/2018]]*Tableau1[[#This Row],[Unit Price (calcul)]],"")</f>
        <v/>
      </c>
      <c r="BL85" s="351" t="str">
        <f>IFERROR(IF(Tableau1[[#This Row],[Montant Facturé 06/2018]]&gt;0,Tableau1[[#This Row],[Montant Facturé 06/2018]]/Taux_Change_SII,""),"")</f>
        <v/>
      </c>
      <c r="BM85" s="351"/>
      <c r="BN85" s="83">
        <f>SUMPRODUCT(1*(EXACT(CONCATENATE(Tableau1[[#This Row],[PO Number (Header)]],"-",Tableau1[[#This Row],[Line]]),UO_List[Unique_AIB_ID]))*(UO_List[Qté Réception 07/2020]))</f>
        <v>0</v>
      </c>
      <c r="BO85" s="84">
        <v>0</v>
      </c>
      <c r="BP85" s="351"/>
      <c r="BQ85" s="351" t="str">
        <f>IFERROR(Tableau1[[#This Row],[Qté Facturé 07/2018]]*Tableau1[[#This Row],[Unit Price (calcul)]],"")</f>
        <v/>
      </c>
      <c r="BR85" s="351" t="str">
        <f>IFERROR(IF(Tableau1[[#This Row],[Montant Facturé 07/2018]]&gt;0,Tableau1[[#This Row],[Montant Facturé 07/2018]]/Taux_Change_SII,""),"")</f>
        <v/>
      </c>
      <c r="BS85" s="351"/>
      <c r="BT85" s="83">
        <f>SUMPRODUCT(1*(EXACT(CONCATENATE(Tableau1[[#This Row],[PO Number (Header)]],"-",Tableau1[[#This Row],[Line]]),UO_List[Unique_AIB_ID]))*(UO_List[Qté Réception 08/2020]))</f>
        <v>0</v>
      </c>
      <c r="BU85" s="84"/>
      <c r="BV85" s="351"/>
      <c r="BW85" s="351" t="str">
        <f>IFERROR(Tableau1[[#This Row],[Qté Facturé 08/2018]]*Tableau1[[#This Row],[Unit Price (calcul)]],"")</f>
        <v/>
      </c>
      <c r="BX85" s="351" t="str">
        <f>IFERROR(IF(Tableau1[[#This Row],[Montant Facturé 08/2018]]&gt;0,Tableau1[[#This Row],[Montant Facturé 08/2018]]/Taux_Change_SII,""),"")</f>
        <v/>
      </c>
      <c r="BY85" s="351"/>
      <c r="BZ85" s="83">
        <f>SUMPRODUCT(1*(EXACT(CONCATENATE(Tableau1[[#This Row],[PO Number (Header)]],"-",Tableau1[[#This Row],[Line]]),UO_List[Unique_AIB_ID]))*(UO_List[Qté Réception 09/2020]))</f>
        <v>0</v>
      </c>
      <c r="CA85" s="83"/>
      <c r="CB85" s="351"/>
      <c r="CC85" s="351" t="str">
        <f>IFERROR(Tableau1[[#This Row],[Qté Facturé 09/2018]]*Tableau1[[#This Row],[Unit Price (calcul)]],"")</f>
        <v/>
      </c>
      <c r="CD85" s="351" t="str">
        <f>IFERROR(IF(Tableau1[[#This Row],[Montant Facturé 09/2018]]&gt;0,Tableau1[[#This Row],[Montant Facturé 09/2018]]/Taux_Change_SII,""),"")</f>
        <v/>
      </c>
      <c r="CE85" s="351"/>
      <c r="CF85" s="83">
        <f>SUMPRODUCT(1*(EXACT(CONCATENATE(Tableau1[[#This Row],[PO Number (Header)]],"-",Tableau1[[#This Row],[Line]]),UO_List[Unique_AIB_ID]))*(UO_List[Qté Réception 10/2020]))</f>
        <v>0</v>
      </c>
      <c r="CG85" s="84">
        <v>0</v>
      </c>
      <c r="CH85" s="351"/>
      <c r="CI85" s="351" t="str">
        <f>IFERROR(Tableau1[[#This Row],[Qté Facturé 10/2018]]*Tableau1[[#This Row],[Unit Price (calcul)]],"")</f>
        <v/>
      </c>
      <c r="CJ85" s="351" t="str">
        <f>IFERROR(IF(Tableau1[[#This Row],[Montant Facturé 10/2018]]&gt;0,Tableau1[[#This Row],[Montant Facturé 10/2018]]/Taux_Change_SII,""),"")</f>
        <v/>
      </c>
      <c r="CK85" s="351"/>
      <c r="CL85" s="83">
        <f>SUMPRODUCT(1*(EXACT(CONCATENATE(Tableau1[[#This Row],[PO Number (Header)]],"-",Tableau1[[#This Row],[Line]]),UO_List[Unique_AIB_ID]))*(UO_List[Qté Réception 11/2020]))</f>
        <v>0</v>
      </c>
      <c r="CM85" s="84"/>
      <c r="CN85" s="351"/>
      <c r="CO85" s="351" t="str">
        <f>IFERROR(Tableau1[[#This Row],[Qté Facturé 11/2018]]*Tableau1[[#This Row],[Unit Price (calcul)]],"")</f>
        <v/>
      </c>
      <c r="CP85" s="351" t="str">
        <f>IFERROR(IF(Tableau1[[#This Row],[Montant Facturé 11/2018]]&gt;0,Tableau1[[#This Row],[Montant Facturé 11/2018]]/Taux_Change_SII,""),"")</f>
        <v/>
      </c>
      <c r="CQ85" s="351"/>
      <c r="CR85" s="83">
        <f>SUMPRODUCT(1*(EXACT(CONCATENATE(Tableau1[[#This Row],[PO Number (Header)]],"-",Tableau1[[#This Row],[Line]]),UO_List[Unique_AIB_ID]))*(UO_List[Qté Réception 12/2020]))</f>
        <v>0</v>
      </c>
      <c r="CS85" s="84"/>
      <c r="CT85" s="351"/>
      <c r="CU85" s="351" t="str">
        <f>IFERROR(Tableau1[[#This Row],[Qté Facturé 12/2018]]*Tableau1[[#This Row],[Unit Price (calcul)]],"")</f>
        <v/>
      </c>
      <c r="CV85" s="351" t="str">
        <f>IFERROR(IF(Tableau1[[#This Row],[Montant Facturé 12/2018]]&gt;0,Tableau1[[#This Row],[Montant Facturé 12/2018]]/Taux_Change_SII,""),"")</f>
        <v/>
      </c>
      <c r="CW85" s="351"/>
      <c r="CX8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5" s="352" t="str">
        <f>IFERROR(Tableau1[[#This Row],[Total item réceptionné]]*Tableau1[[#This Row],[Unit Price (calcul)]],"")</f>
        <v/>
      </c>
      <c r="DB85" s="352" t="str">
        <f>IFERROR(Tableau1[[#This Row],[Total item à Facturer]]*Tableau1[[#This Row],[Unit Price (calcul)]],"")</f>
        <v/>
      </c>
      <c r="DC8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5" s="352" t="str">
        <f>IFERROR(Tableau1[[#This Row],[Line Total]]-Tableau1[[#This Row],[Total Price Réceptionné]],"")</f>
        <v/>
      </c>
      <c r="DE85" s="352" t="str">
        <f>IFERROR(Tableau1[[#This Row],[Total Price Réceptionné]]-Tableau1[[#This Row],[Total Price A facturer]],"")</f>
        <v/>
      </c>
      <c r="DF85" s="353" t="str">
        <f>IFERROR(Tableau1[[#This Row],[Total Price A facturer]]-Tableau1[[#This Row],[Total Price Facturé]],"")</f>
        <v/>
      </c>
      <c r="DG85" s="76">
        <f>Tableau1[[#This Row],[Total Item Quantity]]-Tableau1[[#This Row],[Total item réceptionné]]</f>
        <v>0</v>
      </c>
      <c r="DH85" s="167"/>
      <c r="DI85" s="167"/>
    </row>
    <row r="86" spans="1:113" s="74" customFormat="1">
      <c r="A86" s="77" t="str">
        <f>CONCATENATE(Tableau1[[#This Row],[PO Number (Header)]],"-",Tableau1[[#This Row],[Line]])</f>
        <v>-</v>
      </c>
      <c r="B86" s="406"/>
      <c r="C86" s="158"/>
      <c r="D86" s="406"/>
      <c r="F86" s="158"/>
      <c r="G86" s="158"/>
      <c r="H86" s="158"/>
      <c r="I86" s="158"/>
      <c r="J86" s="158"/>
      <c r="K86" s="158"/>
      <c r="N86" s="77"/>
      <c r="O86" s="77"/>
      <c r="P86" s="77"/>
      <c r="Q86" s="395"/>
      <c r="R86" s="395"/>
      <c r="S86" s="77"/>
      <c r="T86" s="77"/>
      <c r="U86" s="77"/>
      <c r="V86" s="77"/>
      <c r="W86" s="167"/>
      <c r="X86" s="167"/>
      <c r="Y86" s="167" t="str">
        <f>IF(ISBLANK(Tableau1[[#This Row],[PO Number (Header)]]),"",Tableau1[[#This Row],[Line Total]]/Tableau1[[#This Row],[Total Item Quantity]])</f>
        <v/>
      </c>
      <c r="Z86" s="167" t="str">
        <f>IF(ISNA(VLOOKUP(Tableau1[[#This Row],[Unique_AIB_ID]],UO_List[Unique_AIB_ID],1,FALSE)),IF(ISBLANK(Tableau1[[#This Row],[PO Number (Header)]]),"","FAUX"),"VRAI")</f>
        <v/>
      </c>
      <c r="AA86" s="167"/>
      <c r="AB86" s="162" t="e">
        <f>VLOOKUP(Tableau1[[#This Row],[Unique_AIB_ID]],UO_List[[Unique_AIB_ID]:[OLGA F6]],3,FALSE)</f>
        <v>#N/A</v>
      </c>
      <c r="AC86" s="162" t="s">
        <v>796</v>
      </c>
      <c r="AD86" s="83">
        <f>SUMPRODUCT(1*(EXACT(CONCATENATE(Tableau1[[#This Row],[PO Number (Header)]],"-",Tableau1[[#This Row],[Line]]),UO_List[Unique_AIB_ID]))*(UO_List[Qté Réception 03/2020]))</f>
        <v>0</v>
      </c>
      <c r="AE86" s="84"/>
      <c r="AF86" s="357"/>
      <c r="AG86" s="351" t="str">
        <f>IFERROR(Tableau1[[#This Row],[Qté Facturé 01/2018]]*Tableau1[[#This Row],[Unit Price (calcul)]],"")</f>
        <v/>
      </c>
      <c r="AH86" s="356" t="str">
        <f>IFERROR(IF(Tableau1[[#This Row],[Montant Facturé 01/2018]]&gt;0,Tableau1[[#This Row],[Montant Facturé 01/2018]]/Taux_Change_SII,""),"")</f>
        <v/>
      </c>
      <c r="AI86" s="351"/>
      <c r="AJ86" s="83">
        <f>SUMPRODUCT(1*(EXACT(CONCATENATE(Tableau1[[#This Row],[PO Number (Header)]],"-",Tableau1[[#This Row],[Line]]),UO_List[Unique_AIB_ID]))*(UO_List[Qté Réception 02/2020]))</f>
        <v>0</v>
      </c>
      <c r="AK86" s="83">
        <f>SUMPRODUCT(1*(EXACT(CONCATENATE(Tableau1[[#This Row],[PO Number (Header)]],"-",Tableau1[[#This Row],[Line]]),UO_List[Unique_AIB_ID]))*(UO_List[Qté Réception 02/2020]))</f>
        <v>0</v>
      </c>
      <c r="AL86" s="357"/>
      <c r="AM86" s="351" t="str">
        <f>IFERROR(Tableau1[[#This Row],[Qté Facturé 02/2018]]*Tableau1[[#This Row],[Unit Price (calcul)]],"")</f>
        <v/>
      </c>
      <c r="AN86" s="351" t="str">
        <f>IFERROR(IF(Tableau1[[#This Row],[Montant Facturé 02/2018]]&gt;0,Tableau1[[#This Row],[Montant Facturé 02/2018]]/Taux_Change_SII,""),"")</f>
        <v/>
      </c>
      <c r="AO86" s="351"/>
      <c r="AP86" s="83">
        <f>SUMPRODUCT(1*(EXACT(CONCATENATE(Tableau1[[#This Row],[PO Number (Header)]],"-",Tableau1[[#This Row],[Line]]),UO_List[Unique_AIB_ID]))*(UO_List[Qté Réception 00/2020]))</f>
        <v>0</v>
      </c>
      <c r="AQ86" s="84">
        <v>0</v>
      </c>
      <c r="AR86" s="357"/>
      <c r="AS86" s="351" t="str">
        <f>IFERROR(Tableau1[[#This Row],[Qté Facturé 03/2018]]*Tableau1[[#This Row],[Unit Price (calcul)]],"")</f>
        <v/>
      </c>
      <c r="AT86" s="351" t="str">
        <f>IFERROR(IF(Tableau1[[#This Row],[Montant Facturé 03/2018]]&gt;0,Tableau1[[#This Row],[Montant Facturé 03/2018]]/Taux_Change_SII,""),"")</f>
        <v/>
      </c>
      <c r="AU86" s="351"/>
      <c r="AV86" s="83">
        <f>SUMPRODUCT(1*(EXACT(CONCATENATE(Tableau1[[#This Row],[PO Number (Header)]],"-",Tableau1[[#This Row],[Line]]),UO_List[Unique_AIB_ID]))*(UO_List[Qté Réception 04/2020]))</f>
        <v>0</v>
      </c>
      <c r="AW86" s="84">
        <v>0</v>
      </c>
      <c r="AX86" s="351"/>
      <c r="AY86" s="351" t="str">
        <f>IFERROR(Tableau1[[#This Row],[Qté Facturé 04/2018]]*Tableau1[[#This Row],[Unit Price (calcul)]],"")</f>
        <v/>
      </c>
      <c r="AZ86" s="351" t="str">
        <f>IFERROR(IF(Tableau1[[#This Row],[Montant Facturé 04/2018]]&gt;0,Tableau1[[#This Row],[Montant Facturé 04/2018]]/Taux_Change_SII,""),"")</f>
        <v/>
      </c>
      <c r="BA86" s="351"/>
      <c r="BB86" s="83">
        <f>SUMPRODUCT(1*(EXACT(CONCATENATE(Tableau1[[#This Row],[PO Number (Header)]],"-",Tableau1[[#This Row],[Line]]),UO_List[Unique_AIB_ID]))*(UO_List[Qté Réception 05/2020]))</f>
        <v>0</v>
      </c>
      <c r="BC86" s="84"/>
      <c r="BD86" s="351"/>
      <c r="BE86" s="351" t="str">
        <f>IFERROR(Tableau1[[#This Row],[Qté Facturé 05/2018]]*Tableau1[[#This Row],[Unit Price (calcul)]],"")</f>
        <v/>
      </c>
      <c r="BF86" s="351" t="str">
        <f>IFERROR(IF(Tableau1[[#This Row],[Montant Facturé 05/2018]]&gt;0,Tableau1[[#This Row],[Montant Facturé 05/2018]]/Taux_Change_SII,""),"")</f>
        <v/>
      </c>
      <c r="BG86" s="351"/>
      <c r="BH86" s="83">
        <f>SUMPRODUCT(1*(EXACT(CONCATENATE(Tableau1[[#This Row],[PO Number (Header)]],"-",Tableau1[[#This Row],[Line]]),UO_List[Unique_AIB_ID]))*(UO_List[Qté Réception 06/2020]))</f>
        <v>0</v>
      </c>
      <c r="BI86" s="84">
        <v>0</v>
      </c>
      <c r="BJ86" s="351"/>
      <c r="BK86" s="351" t="str">
        <f>IFERROR(Tableau1[[#This Row],[Qté Facturé 06/2018]]*Tableau1[[#This Row],[Unit Price (calcul)]],"")</f>
        <v/>
      </c>
      <c r="BL86" s="351" t="str">
        <f>IFERROR(IF(Tableau1[[#This Row],[Montant Facturé 06/2018]]&gt;0,Tableau1[[#This Row],[Montant Facturé 06/2018]]/Taux_Change_SII,""),"")</f>
        <v/>
      </c>
      <c r="BM86" s="351"/>
      <c r="BN86" s="83">
        <f>SUMPRODUCT(1*(EXACT(CONCATENATE(Tableau1[[#This Row],[PO Number (Header)]],"-",Tableau1[[#This Row],[Line]]),UO_List[Unique_AIB_ID]))*(UO_List[Qté Réception 07/2020]))</f>
        <v>0</v>
      </c>
      <c r="BO86" s="84"/>
      <c r="BP86" s="351"/>
      <c r="BQ86" s="351" t="str">
        <f>IFERROR(Tableau1[[#This Row],[Qté Facturé 07/2018]]*Tableau1[[#This Row],[Unit Price (calcul)]],"")</f>
        <v/>
      </c>
      <c r="BR86" s="351" t="str">
        <f>IFERROR(IF(Tableau1[[#This Row],[Montant Facturé 07/2018]]&gt;0,Tableau1[[#This Row],[Montant Facturé 07/2018]]/Taux_Change_SII,""),"")</f>
        <v/>
      </c>
      <c r="BS86" s="351"/>
      <c r="BT86" s="83">
        <f>SUMPRODUCT(1*(EXACT(CONCATENATE(Tableau1[[#This Row],[PO Number (Header)]],"-",Tableau1[[#This Row],[Line]]),UO_List[Unique_AIB_ID]))*(UO_List[Qté Réception 08/2020]))</f>
        <v>0</v>
      </c>
      <c r="BU86" s="84"/>
      <c r="BV86" s="351"/>
      <c r="BW86" s="351" t="str">
        <f>IFERROR(Tableau1[[#This Row],[Qté Facturé 08/2018]]*Tableau1[[#This Row],[Unit Price (calcul)]],"")</f>
        <v/>
      </c>
      <c r="BX86" s="351" t="str">
        <f>IFERROR(IF(Tableau1[[#This Row],[Montant Facturé 08/2018]]&gt;0,Tableau1[[#This Row],[Montant Facturé 08/2018]]/Taux_Change_SII,""),"")</f>
        <v/>
      </c>
      <c r="BY86" s="351"/>
      <c r="BZ86" s="83">
        <f>SUMPRODUCT(1*(EXACT(CONCATENATE(Tableau1[[#This Row],[PO Number (Header)]],"-",Tableau1[[#This Row],[Line]]),UO_List[Unique_AIB_ID]))*(UO_List[Qté Réception 09/2020]))</f>
        <v>0</v>
      </c>
      <c r="CA86" s="83"/>
      <c r="CB86" s="351"/>
      <c r="CC86" s="351" t="str">
        <f>IFERROR(Tableau1[[#This Row],[Qté Facturé 09/2018]]*Tableau1[[#This Row],[Unit Price (calcul)]],"")</f>
        <v/>
      </c>
      <c r="CD86" s="351" t="str">
        <f>IFERROR(IF(Tableau1[[#This Row],[Montant Facturé 09/2018]]&gt;0,Tableau1[[#This Row],[Montant Facturé 09/2018]]/Taux_Change_SII,""),"")</f>
        <v/>
      </c>
      <c r="CE86" s="351"/>
      <c r="CF86" s="83">
        <f>SUMPRODUCT(1*(EXACT(CONCATENATE(Tableau1[[#This Row],[PO Number (Header)]],"-",Tableau1[[#This Row],[Line]]),UO_List[Unique_AIB_ID]))*(UO_List[Qté Réception 10/2020]))</f>
        <v>0</v>
      </c>
      <c r="CG86" s="84">
        <v>0</v>
      </c>
      <c r="CH86" s="351"/>
      <c r="CI86" s="351" t="str">
        <f>IFERROR(Tableau1[[#This Row],[Qté Facturé 10/2018]]*Tableau1[[#This Row],[Unit Price (calcul)]],"")</f>
        <v/>
      </c>
      <c r="CJ86" s="351" t="str">
        <f>IFERROR(IF(Tableau1[[#This Row],[Montant Facturé 10/2018]]&gt;0,Tableau1[[#This Row],[Montant Facturé 10/2018]]/Taux_Change_SII,""),"")</f>
        <v/>
      </c>
      <c r="CK86" s="351"/>
      <c r="CL86" s="83">
        <f>SUMPRODUCT(1*(EXACT(CONCATENATE(Tableau1[[#This Row],[PO Number (Header)]],"-",Tableau1[[#This Row],[Line]]),UO_List[Unique_AIB_ID]))*(UO_List[Qté Réception 11/2020]))</f>
        <v>0</v>
      </c>
      <c r="CM86" s="84"/>
      <c r="CN86" s="351"/>
      <c r="CO86" s="351" t="str">
        <f>IFERROR(Tableau1[[#This Row],[Qté Facturé 11/2018]]*Tableau1[[#This Row],[Unit Price (calcul)]],"")</f>
        <v/>
      </c>
      <c r="CP86" s="351" t="str">
        <f>IFERROR(IF(Tableau1[[#This Row],[Montant Facturé 11/2018]]&gt;0,Tableau1[[#This Row],[Montant Facturé 11/2018]]/Taux_Change_SII,""),"")</f>
        <v/>
      </c>
      <c r="CQ86" s="351"/>
      <c r="CR86" s="83">
        <f>SUMPRODUCT(1*(EXACT(CONCATENATE(Tableau1[[#This Row],[PO Number (Header)]],"-",Tableau1[[#This Row],[Line]]),UO_List[Unique_AIB_ID]))*(UO_List[Qté Réception 12/2020]))</f>
        <v>0</v>
      </c>
      <c r="CS86" s="84"/>
      <c r="CT86" s="351"/>
      <c r="CU86" s="351" t="str">
        <f>IFERROR(Tableau1[[#This Row],[Qté Facturé 12/2018]]*Tableau1[[#This Row],[Unit Price (calcul)]],"")</f>
        <v/>
      </c>
      <c r="CV86" s="351" t="str">
        <f>IFERROR(IF(Tableau1[[#This Row],[Montant Facturé 12/2018]]&gt;0,Tableau1[[#This Row],[Montant Facturé 12/2018]]/Taux_Change_SII,""),"")</f>
        <v/>
      </c>
      <c r="CW86" s="351"/>
      <c r="CX8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6" s="352" t="str">
        <f>IFERROR(Tableau1[[#This Row],[Total item réceptionné]]*Tableau1[[#This Row],[Unit Price (calcul)]],"")</f>
        <v/>
      </c>
      <c r="DB86" s="352" t="str">
        <f>IFERROR(Tableau1[[#This Row],[Total item à Facturer]]*Tableau1[[#This Row],[Unit Price (calcul)]],"")</f>
        <v/>
      </c>
      <c r="DC8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6" s="352" t="str">
        <f>IFERROR(Tableau1[[#This Row],[Line Total]]-Tableau1[[#This Row],[Total Price Réceptionné]],"")</f>
        <v/>
      </c>
      <c r="DE86" s="352" t="str">
        <f>IFERROR(Tableau1[[#This Row],[Total Price Réceptionné]]-Tableau1[[#This Row],[Total Price A facturer]],"")</f>
        <v/>
      </c>
      <c r="DF86" s="353" t="str">
        <f>IFERROR(Tableau1[[#This Row],[Total Price A facturer]]-Tableau1[[#This Row],[Total Price Facturé]],"")</f>
        <v/>
      </c>
      <c r="DG86" s="76">
        <f>Tableau1[[#This Row],[Total Item Quantity]]-Tableau1[[#This Row],[Total item réceptionné]]</f>
        <v>0</v>
      </c>
      <c r="DH86" s="167"/>
      <c r="DI86" s="167"/>
    </row>
    <row r="87" spans="1:113" s="74" customFormat="1">
      <c r="A87" s="77" t="str">
        <f>CONCATENATE(Tableau1[[#This Row],[PO Number (Header)]],"-",Tableau1[[#This Row],[Line]])</f>
        <v>-</v>
      </c>
      <c r="B87" s="449"/>
      <c r="C87" s="450"/>
      <c r="D87" s="451"/>
      <c r="E87" s="450"/>
      <c r="F87" s="450"/>
      <c r="G87" s="450"/>
      <c r="H87" s="452"/>
      <c r="I87" s="452"/>
      <c r="J87" s="452"/>
      <c r="K87" s="453"/>
      <c r="L87" s="453"/>
      <c r="M87" s="452"/>
      <c r="N87" s="77"/>
      <c r="O87" s="77"/>
      <c r="P87" s="77"/>
      <c r="Q87" s="395"/>
      <c r="R87" s="395"/>
      <c r="S87" s="77"/>
      <c r="T87" s="77"/>
      <c r="U87" s="77"/>
      <c r="V87" s="77"/>
      <c r="W87" s="167"/>
      <c r="X87" s="167"/>
      <c r="Y87" s="167" t="str">
        <f>IF(ISBLANK(Tableau1[[#This Row],[PO Number (Header)]]),"",Tableau1[[#This Row],[Line Total]]/Tableau1[[#This Row],[Total Item Quantity]])</f>
        <v/>
      </c>
      <c r="Z87" s="167" t="str">
        <f>IF(ISNA(VLOOKUP(Tableau1[[#This Row],[Unique_AIB_ID]],UO_List[Unique_AIB_ID],1,FALSE)),IF(ISBLANK(Tableau1[[#This Row],[PO Number (Header)]]),"","FAUX"),"VRAI")</f>
        <v/>
      </c>
      <c r="AA87" s="167"/>
      <c r="AB87" s="162" t="e">
        <f>VLOOKUP(Tableau1[[#This Row],[Unique_AIB_ID]],UO_List[[Unique_AIB_ID]:[OLGA F6]],3,FALSE)</f>
        <v>#N/A</v>
      </c>
      <c r="AC87" s="162" t="s">
        <v>796</v>
      </c>
      <c r="AD87" s="83">
        <f>SUMPRODUCT(1*(EXACT(CONCATENATE(Tableau1[[#This Row],[PO Number (Header)]],"-",Tableau1[[#This Row],[Line]]),UO_List[Unique_AIB_ID]))*(UO_List[Qté Réception 03/2020]))</f>
        <v>0</v>
      </c>
      <c r="AE87" s="84"/>
      <c r="AF87" s="357"/>
      <c r="AG87" s="351" t="str">
        <f>IFERROR(Tableau1[[#This Row],[Qté Facturé 01/2018]]*Tableau1[[#This Row],[Unit Price (calcul)]],"")</f>
        <v/>
      </c>
      <c r="AH87" s="356" t="str">
        <f>IFERROR(IF(Tableau1[[#This Row],[Montant Facturé 01/2018]]&gt;0,Tableau1[[#This Row],[Montant Facturé 01/2018]]/Taux_Change_SII,""),"")</f>
        <v/>
      </c>
      <c r="AI87" s="351"/>
      <c r="AJ87" s="83">
        <f>SUMPRODUCT(1*(EXACT(CONCATENATE(Tableau1[[#This Row],[PO Number (Header)]],"-",Tableau1[[#This Row],[Line]]),UO_List[Unique_AIB_ID]))*(UO_List[Qté Réception 02/2020]))</f>
        <v>0</v>
      </c>
      <c r="AK87" s="83">
        <f>SUMPRODUCT(1*(EXACT(CONCATENATE(Tableau1[[#This Row],[PO Number (Header)]],"-",Tableau1[[#This Row],[Line]]),UO_List[Unique_AIB_ID]))*(UO_List[Qté Réception 02/2020]))</f>
        <v>0</v>
      </c>
      <c r="AL87" s="357"/>
      <c r="AM87" s="351" t="str">
        <f>IFERROR(Tableau1[[#This Row],[Qté Facturé 02/2018]]*Tableau1[[#This Row],[Unit Price (calcul)]],"")</f>
        <v/>
      </c>
      <c r="AN87" s="351" t="str">
        <f>IFERROR(IF(Tableau1[[#This Row],[Montant Facturé 02/2018]]&gt;0,Tableau1[[#This Row],[Montant Facturé 02/2018]]/Taux_Change_SII,""),"")</f>
        <v/>
      </c>
      <c r="AO87" s="351"/>
      <c r="AP87" s="83">
        <f>SUMPRODUCT(1*(EXACT(CONCATENATE(Tableau1[[#This Row],[PO Number (Header)]],"-",Tableau1[[#This Row],[Line]]),UO_List[Unique_AIB_ID]))*(UO_List[Qté Réception 00/2020]))</f>
        <v>0</v>
      </c>
      <c r="AQ87" s="84">
        <v>0</v>
      </c>
      <c r="AR87" s="357"/>
      <c r="AS87" s="351" t="str">
        <f>IFERROR(Tableau1[[#This Row],[Qté Facturé 03/2018]]*Tableau1[[#This Row],[Unit Price (calcul)]],"")</f>
        <v/>
      </c>
      <c r="AT87" s="351" t="str">
        <f>IFERROR(IF(Tableau1[[#This Row],[Montant Facturé 03/2018]]&gt;0,Tableau1[[#This Row],[Montant Facturé 03/2018]]/Taux_Change_SII,""),"")</f>
        <v/>
      </c>
      <c r="AU87" s="351"/>
      <c r="AV87" s="83">
        <f>SUMPRODUCT(1*(EXACT(CONCATENATE(Tableau1[[#This Row],[PO Number (Header)]],"-",Tableau1[[#This Row],[Line]]),UO_List[Unique_AIB_ID]))*(UO_List[Qté Réception 04/2020]))</f>
        <v>0</v>
      </c>
      <c r="AW87" s="84">
        <v>0</v>
      </c>
      <c r="AX87" s="351"/>
      <c r="AY87" s="351" t="str">
        <f>IFERROR(Tableau1[[#This Row],[Qté Facturé 04/2018]]*Tableau1[[#This Row],[Unit Price (calcul)]],"")</f>
        <v/>
      </c>
      <c r="AZ87" s="351" t="str">
        <f>IFERROR(IF(Tableau1[[#This Row],[Montant Facturé 04/2018]]&gt;0,Tableau1[[#This Row],[Montant Facturé 04/2018]]/Taux_Change_SII,""),"")</f>
        <v/>
      </c>
      <c r="BA87" s="351"/>
      <c r="BB87" s="83">
        <f>SUMPRODUCT(1*(EXACT(CONCATENATE(Tableau1[[#This Row],[PO Number (Header)]],"-",Tableau1[[#This Row],[Line]]),UO_List[Unique_AIB_ID]))*(UO_List[Qté Réception 05/2020]))</f>
        <v>0</v>
      </c>
      <c r="BC87" s="84"/>
      <c r="BD87" s="351"/>
      <c r="BE87" s="351" t="str">
        <f>IFERROR(Tableau1[[#This Row],[Qté Facturé 05/2018]]*Tableau1[[#This Row],[Unit Price (calcul)]],"")</f>
        <v/>
      </c>
      <c r="BF87" s="351" t="str">
        <f>IFERROR(IF(Tableau1[[#This Row],[Montant Facturé 05/2018]]&gt;0,Tableau1[[#This Row],[Montant Facturé 05/2018]]/Taux_Change_SII,""),"")</f>
        <v/>
      </c>
      <c r="BG87" s="351"/>
      <c r="BH87" s="83">
        <f>SUMPRODUCT(1*(EXACT(CONCATENATE(Tableau1[[#This Row],[PO Number (Header)]],"-",Tableau1[[#This Row],[Line]]),UO_List[Unique_AIB_ID]))*(UO_List[Qté Réception 06/2020]))</f>
        <v>0</v>
      </c>
      <c r="BI87" s="84">
        <v>0</v>
      </c>
      <c r="BJ87" s="351"/>
      <c r="BK87" s="351" t="str">
        <f>IFERROR(Tableau1[[#This Row],[Qté Facturé 06/2018]]*Tableau1[[#This Row],[Unit Price (calcul)]],"")</f>
        <v/>
      </c>
      <c r="BL87" s="351" t="str">
        <f>IFERROR(IF(Tableau1[[#This Row],[Montant Facturé 06/2018]]&gt;0,Tableau1[[#This Row],[Montant Facturé 06/2018]]/Taux_Change_SII,""),"")</f>
        <v/>
      </c>
      <c r="BM87" s="351"/>
      <c r="BN87" s="83">
        <f>SUMPRODUCT(1*(EXACT(CONCATENATE(Tableau1[[#This Row],[PO Number (Header)]],"-",Tableau1[[#This Row],[Line]]),UO_List[Unique_AIB_ID]))*(UO_List[Qté Réception 07/2020]))</f>
        <v>0</v>
      </c>
      <c r="BO87" s="84"/>
      <c r="BP87" s="351"/>
      <c r="BQ87" s="351" t="str">
        <f>IFERROR(Tableau1[[#This Row],[Qté Facturé 07/2018]]*Tableau1[[#This Row],[Unit Price (calcul)]],"")</f>
        <v/>
      </c>
      <c r="BR87" s="351" t="str">
        <f>IFERROR(IF(Tableau1[[#This Row],[Montant Facturé 07/2018]]&gt;0,Tableau1[[#This Row],[Montant Facturé 07/2018]]/Taux_Change_SII,""),"")</f>
        <v/>
      </c>
      <c r="BS87" s="351"/>
      <c r="BT87" s="83">
        <f>SUMPRODUCT(1*(EXACT(CONCATENATE(Tableau1[[#This Row],[PO Number (Header)]],"-",Tableau1[[#This Row],[Line]]),UO_List[Unique_AIB_ID]))*(UO_List[Qté Réception 08/2020]))</f>
        <v>0</v>
      </c>
      <c r="BU87" s="84"/>
      <c r="BV87" s="351"/>
      <c r="BW87" s="351" t="str">
        <f>IFERROR(Tableau1[[#This Row],[Qté Facturé 08/2018]]*Tableau1[[#This Row],[Unit Price (calcul)]],"")</f>
        <v/>
      </c>
      <c r="BX87" s="351" t="str">
        <f>IFERROR(IF(Tableau1[[#This Row],[Montant Facturé 08/2018]]&gt;0,Tableau1[[#This Row],[Montant Facturé 08/2018]]/Taux_Change_SII,""),"")</f>
        <v/>
      </c>
      <c r="BY87" s="351"/>
      <c r="BZ87" s="83">
        <f>SUMPRODUCT(1*(EXACT(CONCATENATE(Tableau1[[#This Row],[PO Number (Header)]],"-",Tableau1[[#This Row],[Line]]),UO_List[Unique_AIB_ID]))*(UO_List[Qté Réception 09/2020]))</f>
        <v>0</v>
      </c>
      <c r="CA87" s="83"/>
      <c r="CB87" s="351"/>
      <c r="CC87" s="351" t="str">
        <f>IFERROR(Tableau1[[#This Row],[Qté Facturé 09/2018]]*Tableau1[[#This Row],[Unit Price (calcul)]],"")</f>
        <v/>
      </c>
      <c r="CD87" s="351" t="str">
        <f>IFERROR(IF(Tableau1[[#This Row],[Montant Facturé 09/2018]]&gt;0,Tableau1[[#This Row],[Montant Facturé 09/2018]]/Taux_Change_SII,""),"")</f>
        <v/>
      </c>
      <c r="CE87" s="351"/>
      <c r="CF87" s="83">
        <f>SUMPRODUCT(1*(EXACT(CONCATENATE(Tableau1[[#This Row],[PO Number (Header)]],"-",Tableau1[[#This Row],[Line]]),UO_List[Unique_AIB_ID]))*(UO_List[Qté Réception 10/2020]))</f>
        <v>0</v>
      </c>
      <c r="CG87" s="84">
        <v>0</v>
      </c>
      <c r="CH87" s="351"/>
      <c r="CI87" s="351" t="str">
        <f>IFERROR(Tableau1[[#This Row],[Qté Facturé 10/2018]]*Tableau1[[#This Row],[Unit Price (calcul)]],"")</f>
        <v/>
      </c>
      <c r="CJ87" s="351" t="str">
        <f>IFERROR(IF(Tableau1[[#This Row],[Montant Facturé 10/2018]]&gt;0,Tableau1[[#This Row],[Montant Facturé 10/2018]]/Taux_Change_SII,""),"")</f>
        <v/>
      </c>
      <c r="CK87" s="351"/>
      <c r="CL87" s="83">
        <f>SUMPRODUCT(1*(EXACT(CONCATENATE(Tableau1[[#This Row],[PO Number (Header)]],"-",Tableau1[[#This Row],[Line]]),UO_List[Unique_AIB_ID]))*(UO_List[Qté Réception 11/2020]))</f>
        <v>0</v>
      </c>
      <c r="CM87" s="84"/>
      <c r="CN87" s="351"/>
      <c r="CO87" s="351" t="str">
        <f>IFERROR(Tableau1[[#This Row],[Qté Facturé 11/2018]]*Tableau1[[#This Row],[Unit Price (calcul)]],"")</f>
        <v/>
      </c>
      <c r="CP87" s="351" t="str">
        <f>IFERROR(IF(Tableau1[[#This Row],[Montant Facturé 11/2018]]&gt;0,Tableau1[[#This Row],[Montant Facturé 11/2018]]/Taux_Change_SII,""),"")</f>
        <v/>
      </c>
      <c r="CQ87" s="351"/>
      <c r="CR87" s="83">
        <f>SUMPRODUCT(1*(EXACT(CONCATENATE(Tableau1[[#This Row],[PO Number (Header)]],"-",Tableau1[[#This Row],[Line]]),UO_List[Unique_AIB_ID]))*(UO_List[Qté Réception 12/2020]))</f>
        <v>0</v>
      </c>
      <c r="CS87" s="84"/>
      <c r="CT87" s="351"/>
      <c r="CU87" s="351" t="str">
        <f>IFERROR(Tableau1[[#This Row],[Qté Facturé 12/2018]]*Tableau1[[#This Row],[Unit Price (calcul)]],"")</f>
        <v/>
      </c>
      <c r="CV87" s="351" t="str">
        <f>IFERROR(IF(Tableau1[[#This Row],[Montant Facturé 12/2018]]&gt;0,Tableau1[[#This Row],[Montant Facturé 12/2018]]/Taux_Change_SII,""),"")</f>
        <v/>
      </c>
      <c r="CW87" s="351"/>
      <c r="CX8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7" s="352" t="str">
        <f>IFERROR(Tableau1[[#This Row],[Total item réceptionné]]*Tableau1[[#This Row],[Unit Price (calcul)]],"")</f>
        <v/>
      </c>
      <c r="DB87" s="352" t="str">
        <f>IFERROR(Tableau1[[#This Row],[Total item à Facturer]]*Tableau1[[#This Row],[Unit Price (calcul)]],"")</f>
        <v/>
      </c>
      <c r="DC8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7" s="352" t="str">
        <f>IFERROR(Tableau1[[#This Row],[Line Total]]-Tableau1[[#This Row],[Total Price Réceptionné]],"")</f>
        <v/>
      </c>
      <c r="DE87" s="352" t="str">
        <f>IFERROR(Tableau1[[#This Row],[Total Price Réceptionné]]-Tableau1[[#This Row],[Total Price A facturer]],"")</f>
        <v/>
      </c>
      <c r="DF87" s="353" t="str">
        <f>IFERROR(Tableau1[[#This Row],[Total Price A facturer]]-Tableau1[[#This Row],[Total Price Facturé]],"")</f>
        <v/>
      </c>
      <c r="DG87" s="76">
        <f>Tableau1[[#This Row],[Total Item Quantity]]-Tableau1[[#This Row],[Total item réceptionné]]</f>
        <v>0</v>
      </c>
      <c r="DH87" s="167"/>
      <c r="DI87" s="167"/>
    </row>
    <row r="88" spans="1:113" s="74" customFormat="1">
      <c r="A88" s="77" t="str">
        <f>CONCATENATE(Tableau1[[#This Row],[PO Number (Header)]],"-",Tableau1[[#This Row],[Line]])</f>
        <v>-</v>
      </c>
      <c r="B88" s="397"/>
      <c r="D88" s="397"/>
      <c r="N88" s="77"/>
      <c r="O88" s="77"/>
      <c r="P88" s="77"/>
      <c r="Q88" s="395"/>
      <c r="R88" s="395"/>
      <c r="S88" s="77"/>
      <c r="T88" s="77"/>
      <c r="U88" s="77"/>
      <c r="V88" s="77"/>
      <c r="W88" s="167"/>
      <c r="X88" s="167"/>
      <c r="Y88" s="167" t="str">
        <f>IF(ISBLANK(Tableau1[[#This Row],[PO Number (Header)]]),"",Tableau1[[#This Row],[Line Total]]/Tableau1[[#This Row],[Total Item Quantity]])</f>
        <v/>
      </c>
      <c r="Z88" s="167" t="str">
        <f>IF(ISNA(VLOOKUP(Tableau1[[#This Row],[Unique_AIB_ID]],UO_List[Unique_AIB_ID],1,FALSE)),IF(ISBLANK(Tableau1[[#This Row],[PO Number (Header)]]),"","FAUX"),"VRAI")</f>
        <v/>
      </c>
      <c r="AA88" s="167"/>
      <c r="AB88" s="162" t="e">
        <f>VLOOKUP(Tableau1[[#This Row],[Unique_AIB_ID]],UO_List[[Unique_AIB_ID]:[OLGA F6]],3,FALSE)</f>
        <v>#N/A</v>
      </c>
      <c r="AC88" s="162" t="s">
        <v>796</v>
      </c>
      <c r="AD88" s="83">
        <f>SUMPRODUCT(1*(EXACT(CONCATENATE(Tableau1[[#This Row],[PO Number (Header)]],"-",Tableau1[[#This Row],[Line]]),UO_List[Unique_AIB_ID]))*(UO_List[Qté Réception 03/2020]))</f>
        <v>0</v>
      </c>
      <c r="AE88" s="84"/>
      <c r="AF88" s="357"/>
      <c r="AG88" s="351" t="str">
        <f>IFERROR(Tableau1[[#This Row],[Qté Facturé 01/2018]]*Tableau1[[#This Row],[Unit Price (calcul)]],"")</f>
        <v/>
      </c>
      <c r="AH88" s="356" t="str">
        <f>IFERROR(IF(Tableau1[[#This Row],[Montant Facturé 01/2018]]&gt;0,Tableau1[[#This Row],[Montant Facturé 01/2018]]/Taux_Change_SII,""),"")</f>
        <v/>
      </c>
      <c r="AI88" s="351"/>
      <c r="AJ88" s="83">
        <f>SUMPRODUCT(1*(EXACT(CONCATENATE(Tableau1[[#This Row],[PO Number (Header)]],"-",Tableau1[[#This Row],[Line]]),UO_List[Unique_AIB_ID]))*(UO_List[Qté Réception 02/2020]))</f>
        <v>0</v>
      </c>
      <c r="AK88" s="83">
        <f>SUMPRODUCT(1*(EXACT(CONCATENATE(Tableau1[[#This Row],[PO Number (Header)]],"-",Tableau1[[#This Row],[Line]]),UO_List[Unique_AIB_ID]))*(UO_List[Qté Réception 02/2020]))</f>
        <v>0</v>
      </c>
      <c r="AL88" s="357"/>
      <c r="AM88" s="351" t="str">
        <f>IFERROR(Tableau1[[#This Row],[Qté Facturé 02/2018]]*Tableau1[[#This Row],[Unit Price (calcul)]],"")</f>
        <v/>
      </c>
      <c r="AN88" s="351" t="str">
        <f>IFERROR(IF(Tableau1[[#This Row],[Montant Facturé 02/2018]]&gt;0,Tableau1[[#This Row],[Montant Facturé 02/2018]]/Taux_Change_SII,""),"")</f>
        <v/>
      </c>
      <c r="AO88" s="351"/>
      <c r="AP88" s="83">
        <f>SUMPRODUCT(1*(EXACT(CONCATENATE(Tableau1[[#This Row],[PO Number (Header)]],"-",Tableau1[[#This Row],[Line]]),UO_List[Unique_AIB_ID]))*(UO_List[Qté Réception 00/2020]))</f>
        <v>0</v>
      </c>
      <c r="AQ88" s="84">
        <v>0</v>
      </c>
      <c r="AR88" s="357"/>
      <c r="AS88" s="351" t="str">
        <f>IFERROR(Tableau1[[#This Row],[Qté Facturé 03/2018]]*Tableau1[[#This Row],[Unit Price (calcul)]],"")</f>
        <v/>
      </c>
      <c r="AT88" s="351" t="str">
        <f>IFERROR(IF(Tableau1[[#This Row],[Montant Facturé 03/2018]]&gt;0,Tableau1[[#This Row],[Montant Facturé 03/2018]]/Taux_Change_SII,""),"")</f>
        <v/>
      </c>
      <c r="AU88" s="351"/>
      <c r="AV88" s="83">
        <f>SUMPRODUCT(1*(EXACT(CONCATENATE(Tableau1[[#This Row],[PO Number (Header)]],"-",Tableau1[[#This Row],[Line]]),UO_List[Unique_AIB_ID]))*(UO_List[Qté Réception 04/2020]))</f>
        <v>0</v>
      </c>
      <c r="AW88" s="84">
        <v>0</v>
      </c>
      <c r="AX88" s="351"/>
      <c r="AY88" s="351" t="str">
        <f>IFERROR(Tableau1[[#This Row],[Qté Facturé 04/2018]]*Tableau1[[#This Row],[Unit Price (calcul)]],"")</f>
        <v/>
      </c>
      <c r="AZ88" s="351" t="str">
        <f>IFERROR(IF(Tableau1[[#This Row],[Montant Facturé 04/2018]]&gt;0,Tableau1[[#This Row],[Montant Facturé 04/2018]]/Taux_Change_SII,""),"")</f>
        <v/>
      </c>
      <c r="BA88" s="351"/>
      <c r="BB88" s="83">
        <f>SUMPRODUCT(1*(EXACT(CONCATENATE(Tableau1[[#This Row],[PO Number (Header)]],"-",Tableau1[[#This Row],[Line]]),UO_List[Unique_AIB_ID]))*(UO_List[Qté Réception 05/2020]))</f>
        <v>0</v>
      </c>
      <c r="BC88" s="84"/>
      <c r="BD88" s="351"/>
      <c r="BE88" s="351" t="str">
        <f>IFERROR(Tableau1[[#This Row],[Qté Facturé 05/2018]]*Tableau1[[#This Row],[Unit Price (calcul)]],"")</f>
        <v/>
      </c>
      <c r="BF88" s="351" t="str">
        <f>IFERROR(IF(Tableau1[[#This Row],[Montant Facturé 05/2018]]&gt;0,Tableau1[[#This Row],[Montant Facturé 05/2018]]/Taux_Change_SII,""),"")</f>
        <v/>
      </c>
      <c r="BG88" s="351"/>
      <c r="BH88" s="83">
        <f>SUMPRODUCT(1*(EXACT(CONCATENATE(Tableau1[[#This Row],[PO Number (Header)]],"-",Tableau1[[#This Row],[Line]]),UO_List[Unique_AIB_ID]))*(UO_List[Qté Réception 06/2020]))</f>
        <v>0</v>
      </c>
      <c r="BI88" s="84">
        <v>0</v>
      </c>
      <c r="BJ88" s="351"/>
      <c r="BK88" s="351" t="str">
        <f>IFERROR(Tableau1[[#This Row],[Qté Facturé 06/2018]]*Tableau1[[#This Row],[Unit Price (calcul)]],"")</f>
        <v/>
      </c>
      <c r="BL88" s="351" t="str">
        <f>IFERROR(IF(Tableau1[[#This Row],[Montant Facturé 06/2018]]&gt;0,Tableau1[[#This Row],[Montant Facturé 06/2018]]/Taux_Change_SII,""),"")</f>
        <v/>
      </c>
      <c r="BM88" s="351"/>
      <c r="BN88" s="83">
        <f>SUMPRODUCT(1*(EXACT(CONCATENATE(Tableau1[[#This Row],[PO Number (Header)]],"-",Tableau1[[#This Row],[Line]]),UO_List[Unique_AIB_ID]))*(UO_List[Qté Réception 07/2020]))</f>
        <v>0</v>
      </c>
      <c r="BO88" s="84">
        <v>0</v>
      </c>
      <c r="BP88" s="351"/>
      <c r="BQ88" s="351" t="str">
        <f>IFERROR(Tableau1[[#This Row],[Qté Facturé 07/2018]]*Tableau1[[#This Row],[Unit Price (calcul)]],"")</f>
        <v/>
      </c>
      <c r="BR88" s="351" t="str">
        <f>IFERROR(IF(Tableau1[[#This Row],[Montant Facturé 07/2018]]&gt;0,Tableau1[[#This Row],[Montant Facturé 07/2018]]/Taux_Change_SII,""),"")</f>
        <v/>
      </c>
      <c r="BS88" s="351"/>
      <c r="BT88" s="83">
        <f>SUMPRODUCT(1*(EXACT(CONCATENATE(Tableau1[[#This Row],[PO Number (Header)]],"-",Tableau1[[#This Row],[Line]]),UO_List[Unique_AIB_ID]))*(UO_List[Qté Réception 08/2020]))</f>
        <v>0</v>
      </c>
      <c r="BU88" s="84"/>
      <c r="BV88" s="351"/>
      <c r="BW88" s="351" t="str">
        <f>IFERROR(Tableau1[[#This Row],[Qté Facturé 08/2018]]*Tableau1[[#This Row],[Unit Price (calcul)]],"")</f>
        <v/>
      </c>
      <c r="BX88" s="351" t="str">
        <f>IFERROR(IF(Tableau1[[#This Row],[Montant Facturé 08/2018]]&gt;0,Tableau1[[#This Row],[Montant Facturé 08/2018]]/Taux_Change_SII,""),"")</f>
        <v/>
      </c>
      <c r="BY88" s="351"/>
      <c r="BZ88" s="83">
        <f>SUMPRODUCT(1*(EXACT(CONCATENATE(Tableau1[[#This Row],[PO Number (Header)]],"-",Tableau1[[#This Row],[Line]]),UO_List[Unique_AIB_ID]))*(UO_List[Qté Réception 09/2020]))</f>
        <v>0</v>
      </c>
      <c r="CA88" s="84">
        <v>0</v>
      </c>
      <c r="CB88" s="351"/>
      <c r="CC88" s="351" t="str">
        <f>IFERROR(Tableau1[[#This Row],[Qté Facturé 09/2018]]*Tableau1[[#This Row],[Unit Price (calcul)]],"")</f>
        <v/>
      </c>
      <c r="CD88" s="351" t="str">
        <f>IFERROR(IF(Tableau1[[#This Row],[Montant Facturé 09/2018]]&gt;0,Tableau1[[#This Row],[Montant Facturé 09/2018]]/Taux_Change_SII,""),"")</f>
        <v/>
      </c>
      <c r="CE88" s="351"/>
      <c r="CF88" s="83">
        <f>SUMPRODUCT(1*(EXACT(CONCATENATE(Tableau1[[#This Row],[PO Number (Header)]],"-",Tableau1[[#This Row],[Line]]),UO_List[Unique_AIB_ID]))*(UO_List[Qté Réception 10/2020]))</f>
        <v>0</v>
      </c>
      <c r="CG88" s="84">
        <v>0</v>
      </c>
      <c r="CH88" s="351"/>
      <c r="CI88" s="351" t="str">
        <f>IFERROR(Tableau1[[#This Row],[Qté Facturé 10/2018]]*Tableau1[[#This Row],[Unit Price (calcul)]],"")</f>
        <v/>
      </c>
      <c r="CJ88" s="351" t="str">
        <f>IFERROR(IF(Tableau1[[#This Row],[Montant Facturé 10/2018]]&gt;0,Tableau1[[#This Row],[Montant Facturé 10/2018]]/Taux_Change_SII,""),"")</f>
        <v/>
      </c>
      <c r="CK88" s="351"/>
      <c r="CL88" s="83">
        <f>SUMPRODUCT(1*(EXACT(CONCATENATE(Tableau1[[#This Row],[PO Number (Header)]],"-",Tableau1[[#This Row],[Line]]),UO_List[Unique_AIB_ID]))*(UO_List[Qté Réception 11/2020]))</f>
        <v>0</v>
      </c>
      <c r="CM88" s="84"/>
      <c r="CN88" s="351"/>
      <c r="CO88" s="351" t="str">
        <f>IFERROR(Tableau1[[#This Row],[Qté Facturé 11/2018]]*Tableau1[[#This Row],[Unit Price (calcul)]],"")</f>
        <v/>
      </c>
      <c r="CP88" s="351" t="str">
        <f>IFERROR(IF(Tableau1[[#This Row],[Montant Facturé 11/2018]]&gt;0,Tableau1[[#This Row],[Montant Facturé 11/2018]]/Taux_Change_SII,""),"")</f>
        <v/>
      </c>
      <c r="CQ88" s="351"/>
      <c r="CR88" s="83">
        <f>SUMPRODUCT(1*(EXACT(CONCATENATE(Tableau1[[#This Row],[PO Number (Header)]],"-",Tableau1[[#This Row],[Line]]),UO_List[Unique_AIB_ID]))*(UO_List[Qté Réception 12/2020]))</f>
        <v>0</v>
      </c>
      <c r="CS88" s="84"/>
      <c r="CT88" s="351"/>
      <c r="CU88" s="351" t="str">
        <f>IFERROR(Tableau1[[#This Row],[Qté Facturé 12/2018]]*Tableau1[[#This Row],[Unit Price (calcul)]],"")</f>
        <v/>
      </c>
      <c r="CV88" s="351" t="str">
        <f>IFERROR(IF(Tableau1[[#This Row],[Montant Facturé 12/2018]]&gt;0,Tableau1[[#This Row],[Montant Facturé 12/2018]]/Taux_Change_SII,""),"")</f>
        <v/>
      </c>
      <c r="CW88" s="351"/>
      <c r="CX8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8" s="352" t="str">
        <f>IFERROR(Tableau1[[#This Row],[Total item réceptionné]]*Tableau1[[#This Row],[Unit Price (calcul)]],"")</f>
        <v/>
      </c>
      <c r="DB88" s="352" t="str">
        <f>IFERROR(Tableau1[[#This Row],[Total item à Facturer]]*Tableau1[[#This Row],[Unit Price (calcul)]],"")</f>
        <v/>
      </c>
      <c r="DC8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8" s="352" t="str">
        <f>IFERROR(Tableau1[[#This Row],[Line Total]]-Tableau1[[#This Row],[Total Price Réceptionné]],"")</f>
        <v/>
      </c>
      <c r="DE88" s="352" t="str">
        <f>IFERROR(Tableau1[[#This Row],[Total Price Réceptionné]]-Tableau1[[#This Row],[Total Price A facturer]],"")</f>
        <v/>
      </c>
      <c r="DF88" s="353" t="str">
        <f>IFERROR(Tableau1[[#This Row],[Total Price A facturer]]-Tableau1[[#This Row],[Total Price Facturé]],"")</f>
        <v/>
      </c>
      <c r="DG88" s="76">
        <f>Tableau1[[#This Row],[Total Item Quantity]]-Tableau1[[#This Row],[Total item réceptionné]]</f>
        <v>0</v>
      </c>
      <c r="DH88" s="167"/>
      <c r="DI88" s="167"/>
    </row>
    <row r="89" spans="1:113" s="74" customFormat="1">
      <c r="A89" s="77" t="str">
        <f>CONCATENATE(Tableau1[[#This Row],[PO Number (Header)]],"-",Tableau1[[#This Row],[Line]])</f>
        <v>-</v>
      </c>
      <c r="B89" s="77"/>
      <c r="C89" s="450"/>
      <c r="D89" s="102"/>
      <c r="E89" s="77"/>
      <c r="F89" s="77"/>
      <c r="G89" s="77"/>
      <c r="H89" s="77"/>
      <c r="I89" s="452"/>
      <c r="J89" s="452"/>
      <c r="K89" s="453"/>
      <c r="L89" s="453"/>
      <c r="M89" s="77"/>
      <c r="N89" s="77"/>
      <c r="O89" s="77"/>
      <c r="P89" s="77"/>
      <c r="Q89" s="395"/>
      <c r="R89" s="395"/>
      <c r="S89" s="77"/>
      <c r="T89" s="77"/>
      <c r="U89" s="77"/>
      <c r="V89" s="77"/>
      <c r="W89" s="167"/>
      <c r="X89" s="167"/>
      <c r="Y89" s="167" t="str">
        <f>IF(ISBLANK(Tableau1[[#This Row],[PO Number (Header)]]),"",Tableau1[[#This Row],[Line Total]]/Tableau1[[#This Row],[Total Item Quantity]])</f>
        <v/>
      </c>
      <c r="Z89" s="167" t="str">
        <f>IF(ISNA(VLOOKUP(Tableau1[[#This Row],[Unique_AIB_ID]],UO_List[Unique_AIB_ID],1,FALSE)),IF(ISBLANK(Tableau1[[#This Row],[PO Number (Header)]]),"","FAUX"),"VRAI")</f>
        <v/>
      </c>
      <c r="AA89" s="167"/>
      <c r="AB89" s="162" t="e">
        <f>VLOOKUP(Tableau1[[#This Row],[Unique_AIB_ID]],UO_List[[Unique_AIB_ID]:[OLGA F6]],3,FALSE)</f>
        <v>#N/A</v>
      </c>
      <c r="AC89" s="162" t="s">
        <v>796</v>
      </c>
      <c r="AD89" s="83">
        <f>SUMPRODUCT(1*(EXACT(CONCATENATE(Tableau1[[#This Row],[PO Number (Header)]],"-",Tableau1[[#This Row],[Line]]),UO_List[Unique_AIB_ID]))*(UO_List[Qté Réception 03/2020]))</f>
        <v>0</v>
      </c>
      <c r="AE89" s="84"/>
      <c r="AF89" s="357"/>
      <c r="AG89" s="351" t="str">
        <f>IFERROR(Tableau1[[#This Row],[Qté Facturé 01/2018]]*Tableau1[[#This Row],[Unit Price (calcul)]],"")</f>
        <v/>
      </c>
      <c r="AH89" s="356" t="str">
        <f>IFERROR(IF(Tableau1[[#This Row],[Montant Facturé 01/2018]]&gt;0,Tableau1[[#This Row],[Montant Facturé 01/2018]]/Taux_Change_SII,""),"")</f>
        <v/>
      </c>
      <c r="AI89" s="351"/>
      <c r="AJ89" s="83">
        <f>SUMPRODUCT(1*(EXACT(CONCATENATE(Tableau1[[#This Row],[PO Number (Header)]],"-",Tableau1[[#This Row],[Line]]),UO_List[Unique_AIB_ID]))*(UO_List[Qté Réception 02/2020]))</f>
        <v>0</v>
      </c>
      <c r="AK89" s="83">
        <f>SUMPRODUCT(1*(EXACT(CONCATENATE(Tableau1[[#This Row],[PO Number (Header)]],"-",Tableau1[[#This Row],[Line]]),UO_List[Unique_AIB_ID]))*(UO_List[Qté Réception 02/2020]))</f>
        <v>0</v>
      </c>
      <c r="AL89" s="357"/>
      <c r="AM89" s="351" t="str">
        <f>IFERROR(Tableau1[[#This Row],[Qté Facturé 02/2018]]*Tableau1[[#This Row],[Unit Price (calcul)]],"")</f>
        <v/>
      </c>
      <c r="AN89" s="351" t="str">
        <f>IFERROR(IF(Tableau1[[#This Row],[Montant Facturé 02/2018]]&gt;0,Tableau1[[#This Row],[Montant Facturé 02/2018]]/Taux_Change_SII,""),"")</f>
        <v/>
      </c>
      <c r="AO89" s="351"/>
      <c r="AP89" s="83">
        <f>SUMPRODUCT(1*(EXACT(CONCATENATE(Tableau1[[#This Row],[PO Number (Header)]],"-",Tableau1[[#This Row],[Line]]),UO_List[Unique_AIB_ID]))*(UO_List[Qté Réception 00/2020]))</f>
        <v>0</v>
      </c>
      <c r="AQ89" s="84">
        <v>0</v>
      </c>
      <c r="AR89" s="357"/>
      <c r="AS89" s="351" t="str">
        <f>IFERROR(Tableau1[[#This Row],[Qté Facturé 03/2018]]*Tableau1[[#This Row],[Unit Price (calcul)]],"")</f>
        <v/>
      </c>
      <c r="AT89" s="351" t="str">
        <f>IFERROR(IF(Tableau1[[#This Row],[Montant Facturé 03/2018]]&gt;0,Tableau1[[#This Row],[Montant Facturé 03/2018]]/Taux_Change_SII,""),"")</f>
        <v/>
      </c>
      <c r="AU89" s="351"/>
      <c r="AV89" s="83">
        <f>SUMPRODUCT(1*(EXACT(CONCATENATE(Tableau1[[#This Row],[PO Number (Header)]],"-",Tableau1[[#This Row],[Line]]),UO_List[Unique_AIB_ID]))*(UO_List[Qté Réception 04/2020]))</f>
        <v>0</v>
      </c>
      <c r="AW89" s="84">
        <v>0</v>
      </c>
      <c r="AX89" s="351"/>
      <c r="AY89" s="351" t="str">
        <f>IFERROR(Tableau1[[#This Row],[Qté Facturé 04/2018]]*Tableau1[[#This Row],[Unit Price (calcul)]],"")</f>
        <v/>
      </c>
      <c r="AZ89" s="351" t="str">
        <f>IFERROR(IF(Tableau1[[#This Row],[Montant Facturé 04/2018]]&gt;0,Tableau1[[#This Row],[Montant Facturé 04/2018]]/Taux_Change_SII,""),"")</f>
        <v/>
      </c>
      <c r="BA89" s="351"/>
      <c r="BB89" s="83">
        <f>SUMPRODUCT(1*(EXACT(CONCATENATE(Tableau1[[#This Row],[PO Number (Header)]],"-",Tableau1[[#This Row],[Line]]),UO_List[Unique_AIB_ID]))*(UO_List[Qté Réception 05/2020]))</f>
        <v>0</v>
      </c>
      <c r="BC89" s="84"/>
      <c r="BD89" s="351"/>
      <c r="BE89" s="351" t="str">
        <f>IFERROR(Tableau1[[#This Row],[Qté Facturé 05/2018]]*Tableau1[[#This Row],[Unit Price (calcul)]],"")</f>
        <v/>
      </c>
      <c r="BF89" s="351" t="str">
        <f>IFERROR(IF(Tableau1[[#This Row],[Montant Facturé 05/2018]]&gt;0,Tableau1[[#This Row],[Montant Facturé 05/2018]]/Taux_Change_SII,""),"")</f>
        <v/>
      </c>
      <c r="BG89" s="351"/>
      <c r="BH89" s="83">
        <f>SUMPRODUCT(1*(EXACT(CONCATENATE(Tableau1[[#This Row],[PO Number (Header)]],"-",Tableau1[[#This Row],[Line]]),UO_List[Unique_AIB_ID]))*(UO_List[Qté Réception 06/2020]))</f>
        <v>0</v>
      </c>
      <c r="BI89" s="84">
        <v>0</v>
      </c>
      <c r="BJ89" s="351"/>
      <c r="BK89" s="351" t="str">
        <f>IFERROR(Tableau1[[#This Row],[Qté Facturé 06/2018]]*Tableau1[[#This Row],[Unit Price (calcul)]],"")</f>
        <v/>
      </c>
      <c r="BL89" s="351" t="str">
        <f>IFERROR(IF(Tableau1[[#This Row],[Montant Facturé 06/2018]]&gt;0,Tableau1[[#This Row],[Montant Facturé 06/2018]]/Taux_Change_SII,""),"")</f>
        <v/>
      </c>
      <c r="BM89" s="351"/>
      <c r="BN89" s="83">
        <f>SUMPRODUCT(1*(EXACT(CONCATENATE(Tableau1[[#This Row],[PO Number (Header)]],"-",Tableau1[[#This Row],[Line]]),UO_List[Unique_AIB_ID]))*(UO_List[Qté Réception 07/2020]))</f>
        <v>0</v>
      </c>
      <c r="BO89" s="84"/>
      <c r="BP89" s="351"/>
      <c r="BQ89" s="351" t="str">
        <f>IFERROR(Tableau1[[#This Row],[Qté Facturé 07/2018]]*Tableau1[[#This Row],[Unit Price (calcul)]],"")</f>
        <v/>
      </c>
      <c r="BR89" s="351" t="str">
        <f>IFERROR(IF(Tableau1[[#This Row],[Montant Facturé 07/2018]]&gt;0,Tableau1[[#This Row],[Montant Facturé 07/2018]]/Taux_Change_SII,""),"")</f>
        <v/>
      </c>
      <c r="BS89" s="351"/>
      <c r="BT89" s="83">
        <f>SUMPRODUCT(1*(EXACT(CONCATENATE(Tableau1[[#This Row],[PO Number (Header)]],"-",Tableau1[[#This Row],[Line]]),UO_List[Unique_AIB_ID]))*(UO_List[Qté Réception 08/2020]))</f>
        <v>0</v>
      </c>
      <c r="BU89" s="84"/>
      <c r="BV89" s="351"/>
      <c r="BW89" s="351" t="str">
        <f>IFERROR(Tableau1[[#This Row],[Qté Facturé 08/2018]]*Tableau1[[#This Row],[Unit Price (calcul)]],"")</f>
        <v/>
      </c>
      <c r="BX89" s="351" t="str">
        <f>IFERROR(IF(Tableau1[[#This Row],[Montant Facturé 08/2018]]&gt;0,Tableau1[[#This Row],[Montant Facturé 08/2018]]/Taux_Change_SII,""),"")</f>
        <v/>
      </c>
      <c r="BY89" s="351"/>
      <c r="BZ89" s="83">
        <f>SUMPRODUCT(1*(EXACT(CONCATENATE(Tableau1[[#This Row],[PO Number (Header)]],"-",Tableau1[[#This Row],[Line]]),UO_List[Unique_AIB_ID]))*(UO_List[Qté Réception 09/2020]))</f>
        <v>0</v>
      </c>
      <c r="CA89" s="84">
        <v>0</v>
      </c>
      <c r="CB89" s="351"/>
      <c r="CC89" s="351" t="str">
        <f>IFERROR(Tableau1[[#This Row],[Qté Facturé 09/2018]]*Tableau1[[#This Row],[Unit Price (calcul)]],"")</f>
        <v/>
      </c>
      <c r="CD89" s="351" t="str">
        <f>IFERROR(IF(Tableau1[[#This Row],[Montant Facturé 09/2018]]&gt;0,Tableau1[[#This Row],[Montant Facturé 09/2018]]/Taux_Change_SII,""),"")</f>
        <v/>
      </c>
      <c r="CE89" s="351"/>
      <c r="CF89" s="83">
        <f>SUMPRODUCT(1*(EXACT(CONCATENATE(Tableau1[[#This Row],[PO Number (Header)]],"-",Tableau1[[#This Row],[Line]]),UO_List[Unique_AIB_ID]))*(UO_List[Qté Réception 10/2020]))</f>
        <v>0</v>
      </c>
      <c r="CG89" s="84">
        <v>0</v>
      </c>
      <c r="CH89" s="351"/>
      <c r="CI89" s="351" t="str">
        <f>IFERROR(Tableau1[[#This Row],[Qté Facturé 10/2018]]*Tableau1[[#This Row],[Unit Price (calcul)]],"")</f>
        <v/>
      </c>
      <c r="CJ89" s="351" t="str">
        <f>IFERROR(IF(Tableau1[[#This Row],[Montant Facturé 10/2018]]&gt;0,Tableau1[[#This Row],[Montant Facturé 10/2018]]/Taux_Change_SII,""),"")</f>
        <v/>
      </c>
      <c r="CK89" s="351"/>
      <c r="CL89" s="83">
        <f>SUMPRODUCT(1*(EXACT(CONCATENATE(Tableau1[[#This Row],[PO Number (Header)]],"-",Tableau1[[#This Row],[Line]]),UO_List[Unique_AIB_ID]))*(UO_List[Qté Réception 11/2020]))</f>
        <v>0</v>
      </c>
      <c r="CM89" s="84"/>
      <c r="CN89" s="351"/>
      <c r="CO89" s="351" t="str">
        <f>IFERROR(Tableau1[[#This Row],[Qté Facturé 11/2018]]*Tableau1[[#This Row],[Unit Price (calcul)]],"")</f>
        <v/>
      </c>
      <c r="CP89" s="351" t="str">
        <f>IFERROR(IF(Tableau1[[#This Row],[Montant Facturé 11/2018]]&gt;0,Tableau1[[#This Row],[Montant Facturé 11/2018]]/Taux_Change_SII,""),"")</f>
        <v/>
      </c>
      <c r="CQ89" s="351"/>
      <c r="CR89" s="83">
        <f>SUMPRODUCT(1*(EXACT(CONCATENATE(Tableau1[[#This Row],[PO Number (Header)]],"-",Tableau1[[#This Row],[Line]]),UO_List[Unique_AIB_ID]))*(UO_List[Qté Réception 12/2020]))</f>
        <v>0</v>
      </c>
      <c r="CS89" s="84"/>
      <c r="CT89" s="351"/>
      <c r="CU89" s="351" t="str">
        <f>IFERROR(Tableau1[[#This Row],[Qté Facturé 12/2018]]*Tableau1[[#This Row],[Unit Price (calcul)]],"")</f>
        <v/>
      </c>
      <c r="CV89" s="351" t="str">
        <f>IFERROR(IF(Tableau1[[#This Row],[Montant Facturé 12/2018]]&gt;0,Tableau1[[#This Row],[Montant Facturé 12/2018]]/Taux_Change_SII,""),"")</f>
        <v/>
      </c>
      <c r="CW89" s="351"/>
      <c r="CX8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8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8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89" s="352" t="str">
        <f>IFERROR(Tableau1[[#This Row],[Total item réceptionné]]*Tableau1[[#This Row],[Unit Price (calcul)]],"")</f>
        <v/>
      </c>
      <c r="DB89" s="352" t="str">
        <f>IFERROR(Tableau1[[#This Row],[Total item à Facturer]]*Tableau1[[#This Row],[Unit Price (calcul)]],"")</f>
        <v/>
      </c>
      <c r="DC8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89" s="352" t="str">
        <f>IFERROR(Tableau1[[#This Row],[Line Total]]-Tableau1[[#This Row],[Total Price Réceptionné]],"")</f>
        <v/>
      </c>
      <c r="DE89" s="352" t="str">
        <f>IFERROR(Tableau1[[#This Row],[Total Price Réceptionné]]-Tableau1[[#This Row],[Total Price A facturer]],"")</f>
        <v/>
      </c>
      <c r="DF89" s="353" t="str">
        <f>IFERROR(Tableau1[[#This Row],[Total Price A facturer]]-Tableau1[[#This Row],[Total Price Facturé]],"")</f>
        <v/>
      </c>
      <c r="DG89" s="76">
        <f>Tableau1[[#This Row],[Total Item Quantity]]-Tableau1[[#This Row],[Total item réceptionné]]</f>
        <v>0</v>
      </c>
      <c r="DH89" s="167"/>
      <c r="DI89" s="167"/>
    </row>
    <row r="90" spans="1:113" s="74" customFormat="1">
      <c r="A90" s="77" t="str">
        <f>CONCATENATE(Tableau1[[#This Row],[PO Number (Header)]],"-",Tableau1[[#This Row],[Line]])</f>
        <v>-</v>
      </c>
      <c r="B90" s="77"/>
      <c r="C90" s="450"/>
      <c r="D90" s="102"/>
      <c r="E90" s="77"/>
      <c r="F90" s="77"/>
      <c r="G90" s="77"/>
      <c r="H90" s="77"/>
      <c r="I90" s="452"/>
      <c r="J90" s="452"/>
      <c r="K90" s="453"/>
      <c r="L90" s="453"/>
      <c r="M90" s="77"/>
      <c r="N90" s="77"/>
      <c r="O90" s="77"/>
      <c r="P90" s="77"/>
      <c r="Q90" s="395"/>
      <c r="R90" s="395"/>
      <c r="S90" s="77"/>
      <c r="T90" s="77"/>
      <c r="U90" s="77"/>
      <c r="V90" s="77"/>
      <c r="W90" s="167"/>
      <c r="X90" s="167"/>
      <c r="Y90" s="167" t="str">
        <f>IF(ISBLANK(Tableau1[[#This Row],[PO Number (Header)]]),"",Tableau1[[#This Row],[Line Total]]/Tableau1[[#This Row],[Total Item Quantity]])</f>
        <v/>
      </c>
      <c r="Z90" s="167" t="str">
        <f>IF(ISNA(VLOOKUP(Tableau1[[#This Row],[Unique_AIB_ID]],UO_List[Unique_AIB_ID],1,FALSE)),IF(ISBLANK(Tableau1[[#This Row],[PO Number (Header)]]),"","FAUX"),"VRAI")</f>
        <v/>
      </c>
      <c r="AA90" s="167"/>
      <c r="AB90" s="162" t="e">
        <f>VLOOKUP(Tableau1[[#This Row],[Unique_AIB_ID]],UO_List[[Unique_AIB_ID]:[OLGA F6]],3,FALSE)</f>
        <v>#N/A</v>
      </c>
      <c r="AC90" s="162" t="s">
        <v>796</v>
      </c>
      <c r="AD90" s="83">
        <f>SUMPRODUCT(1*(EXACT(CONCATENATE(Tableau1[[#This Row],[PO Number (Header)]],"-",Tableau1[[#This Row],[Line]]),UO_List[Unique_AIB_ID]))*(UO_List[Qté Réception 03/2020]))</f>
        <v>0</v>
      </c>
      <c r="AE90" s="84"/>
      <c r="AF90" s="357"/>
      <c r="AG90" s="351" t="str">
        <f>IFERROR(Tableau1[[#This Row],[Qté Facturé 01/2018]]*Tableau1[[#This Row],[Unit Price (calcul)]],"")</f>
        <v/>
      </c>
      <c r="AH90" s="356" t="str">
        <f>IFERROR(IF(Tableau1[[#This Row],[Montant Facturé 01/2018]]&gt;0,Tableau1[[#This Row],[Montant Facturé 01/2018]]/Taux_Change_SII,""),"")</f>
        <v/>
      </c>
      <c r="AI90" s="351"/>
      <c r="AJ90" s="83">
        <f>SUMPRODUCT(1*(EXACT(CONCATENATE(Tableau1[[#This Row],[PO Number (Header)]],"-",Tableau1[[#This Row],[Line]]),UO_List[Unique_AIB_ID]))*(UO_List[Qté Réception 02/2020]))</f>
        <v>0</v>
      </c>
      <c r="AK90" s="83">
        <f>SUMPRODUCT(1*(EXACT(CONCATENATE(Tableau1[[#This Row],[PO Number (Header)]],"-",Tableau1[[#This Row],[Line]]),UO_List[Unique_AIB_ID]))*(UO_List[Qté Réception 02/2020]))</f>
        <v>0</v>
      </c>
      <c r="AL90" s="357"/>
      <c r="AM90" s="351" t="str">
        <f>IFERROR(Tableau1[[#This Row],[Qté Facturé 02/2018]]*Tableau1[[#This Row],[Unit Price (calcul)]],"")</f>
        <v/>
      </c>
      <c r="AN90" s="351" t="str">
        <f>IFERROR(IF(Tableau1[[#This Row],[Montant Facturé 02/2018]]&gt;0,Tableau1[[#This Row],[Montant Facturé 02/2018]]/Taux_Change_SII,""),"")</f>
        <v/>
      </c>
      <c r="AO90" s="351"/>
      <c r="AP90" s="83">
        <f>SUMPRODUCT(1*(EXACT(CONCATENATE(Tableau1[[#This Row],[PO Number (Header)]],"-",Tableau1[[#This Row],[Line]]),UO_List[Unique_AIB_ID]))*(UO_List[Qté Réception 00/2020]))</f>
        <v>0</v>
      </c>
      <c r="AQ90" s="84"/>
      <c r="AR90" s="357"/>
      <c r="AS90" s="351" t="str">
        <f>IFERROR(Tableau1[[#This Row],[Qté Facturé 03/2018]]*Tableau1[[#This Row],[Unit Price (calcul)]],"")</f>
        <v/>
      </c>
      <c r="AT90" s="351" t="str">
        <f>IFERROR(IF(Tableau1[[#This Row],[Montant Facturé 03/2018]]&gt;0,Tableau1[[#This Row],[Montant Facturé 03/2018]]/Taux_Change_SII,""),"")</f>
        <v/>
      </c>
      <c r="AU90" s="351"/>
      <c r="AV90" s="83">
        <f>SUMPRODUCT(1*(EXACT(CONCATENATE(Tableau1[[#This Row],[PO Number (Header)]],"-",Tableau1[[#This Row],[Line]]),UO_List[Unique_AIB_ID]))*(UO_List[Qté Réception 04/2020]))</f>
        <v>0</v>
      </c>
      <c r="AW90" s="84"/>
      <c r="AX90" s="351"/>
      <c r="AY90" s="351" t="str">
        <f>IFERROR(Tableau1[[#This Row],[Qté Facturé 04/2018]]*Tableau1[[#This Row],[Unit Price (calcul)]],"")</f>
        <v/>
      </c>
      <c r="AZ90" s="351" t="str">
        <f>IFERROR(IF(Tableau1[[#This Row],[Montant Facturé 04/2018]]&gt;0,Tableau1[[#This Row],[Montant Facturé 04/2018]]/Taux_Change_SII,""),"")</f>
        <v/>
      </c>
      <c r="BA90" s="351"/>
      <c r="BB90" s="83">
        <f>SUMPRODUCT(1*(EXACT(CONCATENATE(Tableau1[[#This Row],[PO Number (Header)]],"-",Tableau1[[#This Row],[Line]]),UO_List[Unique_AIB_ID]))*(UO_List[Qté Réception 05/2020]))</f>
        <v>0</v>
      </c>
      <c r="BC90" s="84"/>
      <c r="BD90" s="351"/>
      <c r="BE90" s="351" t="str">
        <f>IFERROR(Tableau1[[#This Row],[Qté Facturé 05/2018]]*Tableau1[[#This Row],[Unit Price (calcul)]],"")</f>
        <v/>
      </c>
      <c r="BF90" s="351" t="str">
        <f>IFERROR(IF(Tableau1[[#This Row],[Montant Facturé 05/2018]]&gt;0,Tableau1[[#This Row],[Montant Facturé 05/2018]]/Taux_Change_SII,""),"")</f>
        <v/>
      </c>
      <c r="BG90" s="351"/>
      <c r="BH90" s="83">
        <f>SUMPRODUCT(1*(EXACT(CONCATENATE(Tableau1[[#This Row],[PO Number (Header)]],"-",Tableau1[[#This Row],[Line]]),UO_List[Unique_AIB_ID]))*(UO_List[Qté Réception 06/2020]))</f>
        <v>0</v>
      </c>
      <c r="BI90" s="84"/>
      <c r="BJ90" s="351"/>
      <c r="BK90" s="351" t="str">
        <f>IFERROR(Tableau1[[#This Row],[Qté Facturé 06/2018]]*Tableau1[[#This Row],[Unit Price (calcul)]],"")</f>
        <v/>
      </c>
      <c r="BL90" s="351" t="str">
        <f>IFERROR(IF(Tableau1[[#This Row],[Montant Facturé 06/2018]]&gt;0,Tableau1[[#This Row],[Montant Facturé 06/2018]]/Taux_Change_SII,""),"")</f>
        <v/>
      </c>
      <c r="BM90" s="351"/>
      <c r="BN90" s="83">
        <f>SUMPRODUCT(1*(EXACT(CONCATENATE(Tableau1[[#This Row],[PO Number (Header)]],"-",Tableau1[[#This Row],[Line]]),UO_List[Unique_AIB_ID]))*(UO_List[Qté Réception 07/2020]))</f>
        <v>0</v>
      </c>
      <c r="BO90" s="84"/>
      <c r="BP90" s="351"/>
      <c r="BQ90" s="351" t="str">
        <f>IFERROR(Tableau1[[#This Row],[Qté Facturé 07/2018]]*Tableau1[[#This Row],[Unit Price (calcul)]],"")</f>
        <v/>
      </c>
      <c r="BR90" s="351" t="str">
        <f>IFERROR(IF(Tableau1[[#This Row],[Montant Facturé 07/2018]]&gt;0,Tableau1[[#This Row],[Montant Facturé 07/2018]]/Taux_Change_SII,""),"")</f>
        <v/>
      </c>
      <c r="BS90" s="351"/>
      <c r="BT90" s="83">
        <f>SUMPRODUCT(1*(EXACT(CONCATENATE(Tableau1[[#This Row],[PO Number (Header)]],"-",Tableau1[[#This Row],[Line]]),UO_List[Unique_AIB_ID]))*(UO_List[Qté Réception 08/2020]))</f>
        <v>0</v>
      </c>
      <c r="BU90" s="84"/>
      <c r="BV90" s="351"/>
      <c r="BW90" s="351" t="str">
        <f>IFERROR(Tableau1[[#This Row],[Qté Facturé 08/2018]]*Tableau1[[#This Row],[Unit Price (calcul)]],"")</f>
        <v/>
      </c>
      <c r="BX90" s="351" t="str">
        <f>IFERROR(IF(Tableau1[[#This Row],[Montant Facturé 08/2018]]&gt;0,Tableau1[[#This Row],[Montant Facturé 08/2018]]/Taux_Change_SII,""),"")</f>
        <v/>
      </c>
      <c r="BY90" s="351"/>
      <c r="BZ90" s="83">
        <f>SUMPRODUCT(1*(EXACT(CONCATENATE(Tableau1[[#This Row],[PO Number (Header)]],"-",Tableau1[[#This Row],[Line]]),UO_List[Unique_AIB_ID]))*(UO_List[Qté Réception 09/2020]))</f>
        <v>0</v>
      </c>
      <c r="CA90" s="84">
        <v>0</v>
      </c>
      <c r="CB90" s="351"/>
      <c r="CC90" s="351" t="str">
        <f>IFERROR(Tableau1[[#This Row],[Qté Facturé 09/2018]]*Tableau1[[#This Row],[Unit Price (calcul)]],"")</f>
        <v/>
      </c>
      <c r="CD90" s="351" t="str">
        <f>IFERROR(IF(Tableau1[[#This Row],[Montant Facturé 09/2018]]&gt;0,Tableau1[[#This Row],[Montant Facturé 09/2018]]/Taux_Change_SII,""),"")</f>
        <v/>
      </c>
      <c r="CE90" s="351"/>
      <c r="CF90" s="83">
        <f>SUMPRODUCT(1*(EXACT(CONCATENATE(Tableau1[[#This Row],[PO Number (Header)]],"-",Tableau1[[#This Row],[Line]]),UO_List[Unique_AIB_ID]))*(UO_List[Qté Réception 10/2020]))</f>
        <v>0</v>
      </c>
      <c r="CG90" s="84">
        <v>0</v>
      </c>
      <c r="CH90" s="351"/>
      <c r="CI90" s="351" t="str">
        <f>IFERROR(Tableau1[[#This Row],[Qté Facturé 10/2018]]*Tableau1[[#This Row],[Unit Price (calcul)]],"")</f>
        <v/>
      </c>
      <c r="CJ90" s="351" t="str">
        <f>IFERROR(IF(Tableau1[[#This Row],[Montant Facturé 10/2018]]&gt;0,Tableau1[[#This Row],[Montant Facturé 10/2018]]/Taux_Change_SII,""),"")</f>
        <v/>
      </c>
      <c r="CK90" s="351"/>
      <c r="CL90" s="83">
        <f>SUMPRODUCT(1*(EXACT(CONCATENATE(Tableau1[[#This Row],[PO Number (Header)]],"-",Tableau1[[#This Row],[Line]]),UO_List[Unique_AIB_ID]))*(UO_List[Qté Réception 11/2020]))</f>
        <v>0</v>
      </c>
      <c r="CM90" s="84"/>
      <c r="CN90" s="351"/>
      <c r="CO90" s="351" t="str">
        <f>IFERROR(Tableau1[[#This Row],[Qté Facturé 11/2018]]*Tableau1[[#This Row],[Unit Price (calcul)]],"")</f>
        <v/>
      </c>
      <c r="CP90" s="351" t="str">
        <f>IFERROR(IF(Tableau1[[#This Row],[Montant Facturé 11/2018]]&gt;0,Tableau1[[#This Row],[Montant Facturé 11/2018]]/Taux_Change_SII,""),"")</f>
        <v/>
      </c>
      <c r="CQ90" s="351"/>
      <c r="CR90" s="83">
        <f>SUMPRODUCT(1*(EXACT(CONCATENATE(Tableau1[[#This Row],[PO Number (Header)]],"-",Tableau1[[#This Row],[Line]]),UO_List[Unique_AIB_ID]))*(UO_List[Qté Réception 12/2020]))</f>
        <v>0</v>
      </c>
      <c r="CS90" s="84"/>
      <c r="CT90" s="351"/>
      <c r="CU90" s="351" t="str">
        <f>IFERROR(Tableau1[[#This Row],[Qté Facturé 12/2018]]*Tableau1[[#This Row],[Unit Price (calcul)]],"")</f>
        <v/>
      </c>
      <c r="CV90" s="351" t="str">
        <f>IFERROR(IF(Tableau1[[#This Row],[Montant Facturé 12/2018]]&gt;0,Tableau1[[#This Row],[Montant Facturé 12/2018]]/Taux_Change_SII,""),"")</f>
        <v/>
      </c>
      <c r="CW90" s="351"/>
      <c r="CX9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0" s="352" t="str">
        <f>IFERROR(Tableau1[[#This Row],[Total item réceptionné]]*Tableau1[[#This Row],[Unit Price (calcul)]],"")</f>
        <v/>
      </c>
      <c r="DB90" s="352" t="str">
        <f>IFERROR(Tableau1[[#This Row],[Total item à Facturer]]*Tableau1[[#This Row],[Unit Price (calcul)]],"")</f>
        <v/>
      </c>
      <c r="DC9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0" s="352" t="str">
        <f>IFERROR(Tableau1[[#This Row],[Line Total]]-Tableau1[[#This Row],[Total Price Réceptionné]],"")</f>
        <v/>
      </c>
      <c r="DE90" s="352" t="str">
        <f>IFERROR(Tableau1[[#This Row],[Total Price Réceptionné]]-Tableau1[[#This Row],[Total Price A facturer]],"")</f>
        <v/>
      </c>
      <c r="DF90" s="353" t="str">
        <f>IFERROR(Tableau1[[#This Row],[Total Price A facturer]]-Tableau1[[#This Row],[Total Price Facturé]],"")</f>
        <v/>
      </c>
      <c r="DG90" s="76">
        <f>Tableau1[[#This Row],[Total Item Quantity]]-Tableau1[[#This Row],[Total item réceptionné]]</f>
        <v>0</v>
      </c>
      <c r="DH90" s="167"/>
      <c r="DI90" s="167"/>
    </row>
    <row r="91" spans="1:113" s="74" customFormat="1">
      <c r="A91" s="77" t="str">
        <f>CONCATENATE(Tableau1[[#This Row],[PO Number (Header)]],"-",Tableau1[[#This Row],[Line]])</f>
        <v>-</v>
      </c>
      <c r="B91" s="77"/>
      <c r="C91" s="450"/>
      <c r="D91" s="102"/>
      <c r="E91" s="77"/>
      <c r="F91" s="77"/>
      <c r="G91" s="77"/>
      <c r="H91" s="77"/>
      <c r="I91" s="452"/>
      <c r="J91" s="452"/>
      <c r="K91" s="453"/>
      <c r="L91" s="453"/>
      <c r="M91" s="77"/>
      <c r="N91" s="77"/>
      <c r="O91" s="77"/>
      <c r="P91" s="77"/>
      <c r="Q91" s="395"/>
      <c r="R91" s="395"/>
      <c r="S91" s="77"/>
      <c r="T91" s="77"/>
      <c r="U91" s="77"/>
      <c r="V91" s="77"/>
      <c r="W91" s="167"/>
      <c r="X91" s="167"/>
      <c r="Y91" s="167" t="str">
        <f>IF(ISBLANK(Tableau1[[#This Row],[PO Number (Header)]]),"",Tableau1[[#This Row],[Line Total]]/Tableau1[[#This Row],[Total Item Quantity]])</f>
        <v/>
      </c>
      <c r="Z91" s="167" t="str">
        <f>IF(ISNA(VLOOKUP(Tableau1[[#This Row],[Unique_AIB_ID]],UO_List[Unique_AIB_ID],1,FALSE)),IF(ISBLANK(Tableau1[[#This Row],[PO Number (Header)]]),"","FAUX"),"VRAI")</f>
        <v/>
      </c>
      <c r="AA91" s="167"/>
      <c r="AB91" s="162" t="e">
        <f>VLOOKUP(Tableau1[[#This Row],[Unique_AIB_ID]],UO_List[[Unique_AIB_ID]:[OLGA F6]],3,FALSE)</f>
        <v>#N/A</v>
      </c>
      <c r="AC91" s="162" t="s">
        <v>796</v>
      </c>
      <c r="AD91" s="83">
        <f>SUMPRODUCT(1*(EXACT(CONCATENATE(Tableau1[[#This Row],[PO Number (Header)]],"-",Tableau1[[#This Row],[Line]]),UO_List[Unique_AIB_ID]))*(UO_List[Qté Réception 03/2020]))</f>
        <v>0</v>
      </c>
      <c r="AE91" s="84"/>
      <c r="AF91" s="357"/>
      <c r="AG91" s="351" t="str">
        <f>IFERROR(Tableau1[[#This Row],[Qté Facturé 01/2018]]*Tableau1[[#This Row],[Unit Price (calcul)]],"")</f>
        <v/>
      </c>
      <c r="AH91" s="356" t="str">
        <f>IFERROR(IF(Tableau1[[#This Row],[Montant Facturé 01/2018]]&gt;0,Tableau1[[#This Row],[Montant Facturé 01/2018]]/Taux_Change_SII,""),"")</f>
        <v/>
      </c>
      <c r="AI91" s="351"/>
      <c r="AJ91" s="83">
        <f>SUMPRODUCT(1*(EXACT(CONCATENATE(Tableau1[[#This Row],[PO Number (Header)]],"-",Tableau1[[#This Row],[Line]]),UO_List[Unique_AIB_ID]))*(UO_List[Qté Réception 02/2020]))</f>
        <v>0</v>
      </c>
      <c r="AK91" s="83">
        <f>SUMPRODUCT(1*(EXACT(CONCATENATE(Tableau1[[#This Row],[PO Number (Header)]],"-",Tableau1[[#This Row],[Line]]),UO_List[Unique_AIB_ID]))*(UO_List[Qté Réception 02/2020]))</f>
        <v>0</v>
      </c>
      <c r="AL91" s="357"/>
      <c r="AM91" s="351" t="str">
        <f>IFERROR(Tableau1[[#This Row],[Qté Facturé 02/2018]]*Tableau1[[#This Row],[Unit Price (calcul)]],"")</f>
        <v/>
      </c>
      <c r="AN91" s="351" t="str">
        <f>IFERROR(IF(Tableau1[[#This Row],[Montant Facturé 02/2018]]&gt;0,Tableau1[[#This Row],[Montant Facturé 02/2018]]/Taux_Change_SII,""),"")</f>
        <v/>
      </c>
      <c r="AO91" s="351"/>
      <c r="AP91" s="83">
        <f>SUMPRODUCT(1*(EXACT(CONCATENATE(Tableau1[[#This Row],[PO Number (Header)]],"-",Tableau1[[#This Row],[Line]]),UO_List[Unique_AIB_ID]))*(UO_List[Qté Réception 00/2020]))</f>
        <v>0</v>
      </c>
      <c r="AQ91" s="84"/>
      <c r="AR91" s="357"/>
      <c r="AS91" s="351" t="str">
        <f>IFERROR(Tableau1[[#This Row],[Qté Facturé 03/2018]]*Tableau1[[#This Row],[Unit Price (calcul)]],"")</f>
        <v/>
      </c>
      <c r="AT91" s="351" t="str">
        <f>IFERROR(IF(Tableau1[[#This Row],[Montant Facturé 03/2018]]&gt;0,Tableau1[[#This Row],[Montant Facturé 03/2018]]/Taux_Change_SII,""),"")</f>
        <v/>
      </c>
      <c r="AU91" s="351"/>
      <c r="AV91" s="83">
        <f>SUMPRODUCT(1*(EXACT(CONCATENATE(Tableau1[[#This Row],[PO Number (Header)]],"-",Tableau1[[#This Row],[Line]]),UO_List[Unique_AIB_ID]))*(UO_List[Qté Réception 04/2020]))</f>
        <v>0</v>
      </c>
      <c r="AW91" s="84"/>
      <c r="AX91" s="351"/>
      <c r="AY91" s="351" t="str">
        <f>IFERROR(Tableau1[[#This Row],[Qté Facturé 04/2018]]*Tableau1[[#This Row],[Unit Price (calcul)]],"")</f>
        <v/>
      </c>
      <c r="AZ91" s="351" t="str">
        <f>IFERROR(IF(Tableau1[[#This Row],[Montant Facturé 04/2018]]&gt;0,Tableau1[[#This Row],[Montant Facturé 04/2018]]/Taux_Change_SII,""),"")</f>
        <v/>
      </c>
      <c r="BA91" s="351"/>
      <c r="BB91" s="83">
        <f>SUMPRODUCT(1*(EXACT(CONCATENATE(Tableau1[[#This Row],[PO Number (Header)]],"-",Tableau1[[#This Row],[Line]]),UO_List[Unique_AIB_ID]))*(UO_List[Qté Réception 05/2020]))</f>
        <v>0</v>
      </c>
      <c r="BC91" s="84"/>
      <c r="BD91" s="351"/>
      <c r="BE91" s="351" t="str">
        <f>IFERROR(Tableau1[[#This Row],[Qté Facturé 05/2018]]*Tableau1[[#This Row],[Unit Price (calcul)]],"")</f>
        <v/>
      </c>
      <c r="BF91" s="351" t="str">
        <f>IFERROR(IF(Tableau1[[#This Row],[Montant Facturé 05/2018]]&gt;0,Tableau1[[#This Row],[Montant Facturé 05/2018]]/Taux_Change_SII,""),"")</f>
        <v/>
      </c>
      <c r="BG91" s="351"/>
      <c r="BH91" s="83">
        <f>SUMPRODUCT(1*(EXACT(CONCATENATE(Tableau1[[#This Row],[PO Number (Header)]],"-",Tableau1[[#This Row],[Line]]),UO_List[Unique_AIB_ID]))*(UO_List[Qté Réception 06/2020]))</f>
        <v>0</v>
      </c>
      <c r="BI91" s="84"/>
      <c r="BJ91" s="351"/>
      <c r="BK91" s="351" t="str">
        <f>IFERROR(Tableau1[[#This Row],[Qté Facturé 06/2018]]*Tableau1[[#This Row],[Unit Price (calcul)]],"")</f>
        <v/>
      </c>
      <c r="BL91" s="351" t="str">
        <f>IFERROR(IF(Tableau1[[#This Row],[Montant Facturé 06/2018]]&gt;0,Tableau1[[#This Row],[Montant Facturé 06/2018]]/Taux_Change_SII,""),"")</f>
        <v/>
      </c>
      <c r="BM91" s="351"/>
      <c r="BN91" s="83">
        <f>SUMPRODUCT(1*(EXACT(CONCATENATE(Tableau1[[#This Row],[PO Number (Header)]],"-",Tableau1[[#This Row],[Line]]),UO_List[Unique_AIB_ID]))*(UO_List[Qté Réception 07/2020]))</f>
        <v>0</v>
      </c>
      <c r="BO91" s="84">
        <v>0</v>
      </c>
      <c r="BP91" s="351"/>
      <c r="BQ91" s="351" t="str">
        <f>IFERROR(Tableau1[[#This Row],[Qté Facturé 07/2018]]*Tableau1[[#This Row],[Unit Price (calcul)]],"")</f>
        <v/>
      </c>
      <c r="BR91" s="351" t="str">
        <f>IFERROR(IF(Tableau1[[#This Row],[Montant Facturé 07/2018]]&gt;0,Tableau1[[#This Row],[Montant Facturé 07/2018]]/Taux_Change_SII,""),"")</f>
        <v/>
      </c>
      <c r="BS91" s="351"/>
      <c r="BT91" s="83">
        <f>SUMPRODUCT(1*(EXACT(CONCATENATE(Tableau1[[#This Row],[PO Number (Header)]],"-",Tableau1[[#This Row],[Line]]),UO_List[Unique_AIB_ID]))*(UO_List[Qté Réception 08/2020]))</f>
        <v>0</v>
      </c>
      <c r="BU91" s="84"/>
      <c r="BV91" s="351"/>
      <c r="BW91" s="351" t="str">
        <f>IFERROR(Tableau1[[#This Row],[Qté Facturé 08/2018]]*Tableau1[[#This Row],[Unit Price (calcul)]],"")</f>
        <v/>
      </c>
      <c r="BX91" s="351" t="str">
        <f>IFERROR(IF(Tableau1[[#This Row],[Montant Facturé 08/2018]]&gt;0,Tableau1[[#This Row],[Montant Facturé 08/2018]]/Taux_Change_SII,""),"")</f>
        <v/>
      </c>
      <c r="BY91" s="351"/>
      <c r="BZ91" s="83">
        <f>SUMPRODUCT(1*(EXACT(CONCATENATE(Tableau1[[#This Row],[PO Number (Header)]],"-",Tableau1[[#This Row],[Line]]),UO_List[Unique_AIB_ID]))*(UO_List[Qté Réception 09/2020]))</f>
        <v>0</v>
      </c>
      <c r="CA91" s="83"/>
      <c r="CB91" s="351"/>
      <c r="CC91" s="351" t="str">
        <f>IFERROR(Tableau1[[#This Row],[Qté Facturé 09/2018]]*Tableau1[[#This Row],[Unit Price (calcul)]],"")</f>
        <v/>
      </c>
      <c r="CD91" s="351" t="str">
        <f>IFERROR(IF(Tableau1[[#This Row],[Montant Facturé 09/2018]]&gt;0,Tableau1[[#This Row],[Montant Facturé 09/2018]]/Taux_Change_SII,""),"")</f>
        <v/>
      </c>
      <c r="CE91" s="351"/>
      <c r="CF91" s="83">
        <f>SUMPRODUCT(1*(EXACT(CONCATENATE(Tableau1[[#This Row],[PO Number (Header)]],"-",Tableau1[[#This Row],[Line]]),UO_List[Unique_AIB_ID]))*(UO_List[Qté Réception 10/2020]))</f>
        <v>0</v>
      </c>
      <c r="CG91" s="84"/>
      <c r="CH91" s="84"/>
      <c r="CI91" s="351" t="str">
        <f>IFERROR(Tableau1[[#This Row],[Qté Facturé 10/2018]]*Tableau1[[#This Row],[Unit Price (calcul)]],"")</f>
        <v/>
      </c>
      <c r="CJ91" s="351" t="str">
        <f>IFERROR(IF(Tableau1[[#This Row],[Montant Facturé 10/2018]]&gt;0,Tableau1[[#This Row],[Montant Facturé 10/2018]]/Taux_Change_SII,""),"")</f>
        <v/>
      </c>
      <c r="CK91" s="351"/>
      <c r="CL91" s="83">
        <f>SUMPRODUCT(1*(EXACT(CONCATENATE(Tableau1[[#This Row],[PO Number (Header)]],"-",Tableau1[[#This Row],[Line]]),UO_List[Unique_AIB_ID]))*(UO_List[Qté Réception 11/2020]))</f>
        <v>0</v>
      </c>
      <c r="CM91" s="84"/>
      <c r="CN91" s="351"/>
      <c r="CO91" s="351" t="str">
        <f>IFERROR(Tableau1[[#This Row],[Qté Facturé 11/2018]]*Tableau1[[#This Row],[Unit Price (calcul)]],"")</f>
        <v/>
      </c>
      <c r="CP91" s="351" t="str">
        <f>IFERROR(IF(Tableau1[[#This Row],[Montant Facturé 11/2018]]&gt;0,Tableau1[[#This Row],[Montant Facturé 11/2018]]/Taux_Change_SII,""),"")</f>
        <v/>
      </c>
      <c r="CQ91" s="351"/>
      <c r="CR91" s="83">
        <f>SUMPRODUCT(1*(EXACT(CONCATENATE(Tableau1[[#This Row],[PO Number (Header)]],"-",Tableau1[[#This Row],[Line]]),UO_List[Unique_AIB_ID]))*(UO_List[Qté Réception 12/2020]))</f>
        <v>0</v>
      </c>
      <c r="CS91" s="84"/>
      <c r="CT91" s="351"/>
      <c r="CU91" s="351" t="str">
        <f>IFERROR(Tableau1[[#This Row],[Qté Facturé 12/2018]]*Tableau1[[#This Row],[Unit Price (calcul)]],"")</f>
        <v/>
      </c>
      <c r="CV91" s="351" t="str">
        <f>IFERROR(IF(Tableau1[[#This Row],[Montant Facturé 12/2018]]&gt;0,Tableau1[[#This Row],[Montant Facturé 12/2018]]/Taux_Change_SII,""),"")</f>
        <v/>
      </c>
      <c r="CW91" s="351"/>
      <c r="CX9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1" s="352" t="str">
        <f>IFERROR(Tableau1[[#This Row],[Total item réceptionné]]*Tableau1[[#This Row],[Unit Price (calcul)]],"")</f>
        <v/>
      </c>
      <c r="DB91" s="352" t="str">
        <f>IFERROR(Tableau1[[#This Row],[Total item à Facturer]]*Tableau1[[#This Row],[Unit Price (calcul)]],"")</f>
        <v/>
      </c>
      <c r="DC9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1" s="352" t="str">
        <f>IFERROR(Tableau1[[#This Row],[Line Total]]-Tableau1[[#This Row],[Total Price Réceptionné]],"")</f>
        <v/>
      </c>
      <c r="DE91" s="352" t="str">
        <f>IFERROR(Tableau1[[#This Row],[Total Price Réceptionné]]-Tableau1[[#This Row],[Total Price A facturer]],"")</f>
        <v/>
      </c>
      <c r="DF91" s="353" t="str">
        <f>IFERROR(Tableau1[[#This Row],[Total Price A facturer]]-Tableau1[[#This Row],[Total Price Facturé]],"")</f>
        <v/>
      </c>
      <c r="DG91" s="76">
        <f>Tableau1[[#This Row],[Total Item Quantity]]-Tableau1[[#This Row],[Total item réceptionné]]</f>
        <v>0</v>
      </c>
      <c r="DH91" s="167"/>
      <c r="DI91" s="167"/>
    </row>
    <row r="92" spans="1:113" s="74" customFormat="1">
      <c r="A92" s="77" t="str">
        <f>CONCATENATE(Tableau1[[#This Row],[PO Number (Header)]],"-",Tableau1[[#This Row],[Line]])</f>
        <v>-</v>
      </c>
      <c r="B92" s="77"/>
      <c r="C92" s="450"/>
      <c r="D92" s="102"/>
      <c r="E92" s="77"/>
      <c r="F92" s="77"/>
      <c r="G92" s="77"/>
      <c r="H92" s="77"/>
      <c r="I92" s="452"/>
      <c r="J92" s="452"/>
      <c r="K92" s="453"/>
      <c r="L92" s="453"/>
      <c r="M92" s="77"/>
      <c r="N92" s="77"/>
      <c r="O92" s="77"/>
      <c r="P92" s="77"/>
      <c r="Q92" s="395"/>
      <c r="R92" s="395"/>
      <c r="S92" s="77"/>
      <c r="T92" s="77"/>
      <c r="U92" s="77"/>
      <c r="V92" s="77"/>
      <c r="W92" s="167"/>
      <c r="X92" s="167"/>
      <c r="Y92" s="167" t="str">
        <f>IF(ISBLANK(Tableau1[[#This Row],[PO Number (Header)]]),"",Tableau1[[#This Row],[Line Total]]/Tableau1[[#This Row],[Total Item Quantity]])</f>
        <v/>
      </c>
      <c r="Z92" s="167" t="str">
        <f>IF(ISNA(VLOOKUP(Tableau1[[#This Row],[Unique_AIB_ID]],UO_List[Unique_AIB_ID],1,FALSE)),IF(ISBLANK(Tableau1[[#This Row],[PO Number (Header)]]),"","FAUX"),"VRAI")</f>
        <v/>
      </c>
      <c r="AA92" s="167"/>
      <c r="AB92" s="162" t="e">
        <f>VLOOKUP(Tableau1[[#This Row],[Unique_AIB_ID]],UO_List[[Unique_AIB_ID]:[OLGA F6]],3,FALSE)</f>
        <v>#N/A</v>
      </c>
      <c r="AC92" s="162" t="s">
        <v>790</v>
      </c>
      <c r="AD92" s="83">
        <f>SUMPRODUCT(1*(EXACT(CONCATENATE(Tableau1[[#This Row],[PO Number (Header)]],"-",Tableau1[[#This Row],[Line]]),UO_List[Unique_AIB_ID]))*(UO_List[Qté Réception 03/2020]))</f>
        <v>0</v>
      </c>
      <c r="AE92" s="84"/>
      <c r="AF92" s="357"/>
      <c r="AG92" s="351" t="str">
        <f>IFERROR(Tableau1[[#This Row],[Qté Facturé 01/2018]]*Tableau1[[#This Row],[Unit Price (calcul)]],"")</f>
        <v/>
      </c>
      <c r="AH92" s="356" t="str">
        <f>IFERROR(IF(Tableau1[[#This Row],[Montant Facturé 01/2018]]&gt;0,Tableau1[[#This Row],[Montant Facturé 01/2018]]/Taux_Change_SII,""),"")</f>
        <v/>
      </c>
      <c r="AI92" s="351"/>
      <c r="AJ92" s="83">
        <f>SUMPRODUCT(1*(EXACT(CONCATENATE(Tableau1[[#This Row],[PO Number (Header)]],"-",Tableau1[[#This Row],[Line]]),UO_List[Unique_AIB_ID]))*(UO_List[Qté Réception 02/2020]))</f>
        <v>0</v>
      </c>
      <c r="AK92" s="83">
        <f>SUMPRODUCT(1*(EXACT(CONCATENATE(Tableau1[[#This Row],[PO Number (Header)]],"-",Tableau1[[#This Row],[Line]]),UO_List[Unique_AIB_ID]))*(UO_List[Qté Réception 02/2020]))</f>
        <v>0</v>
      </c>
      <c r="AL92" s="357"/>
      <c r="AM92" s="351" t="str">
        <f>IFERROR(Tableau1[[#This Row],[Qté Facturé 02/2018]]*Tableau1[[#This Row],[Unit Price (calcul)]],"")</f>
        <v/>
      </c>
      <c r="AN92" s="351" t="str">
        <f>IFERROR(IF(Tableau1[[#This Row],[Montant Facturé 02/2018]]&gt;0,Tableau1[[#This Row],[Montant Facturé 02/2018]]/Taux_Change_SII,""),"")</f>
        <v/>
      </c>
      <c r="AO92" s="351"/>
      <c r="AP92" s="83">
        <f>SUMPRODUCT(1*(EXACT(CONCATENATE(Tableau1[[#This Row],[PO Number (Header)]],"-",Tableau1[[#This Row],[Line]]),UO_List[Unique_AIB_ID]))*(UO_List[Qté Réception 00/2020]))</f>
        <v>0</v>
      </c>
      <c r="AQ92" s="84"/>
      <c r="AR92" s="357"/>
      <c r="AS92" s="351" t="str">
        <f>IFERROR(Tableau1[[#This Row],[Qté Facturé 03/2018]]*Tableau1[[#This Row],[Unit Price (calcul)]],"")</f>
        <v/>
      </c>
      <c r="AT92" s="351" t="str">
        <f>IFERROR(IF(Tableau1[[#This Row],[Montant Facturé 03/2018]]&gt;0,Tableau1[[#This Row],[Montant Facturé 03/2018]]/Taux_Change_SII,""),"")</f>
        <v/>
      </c>
      <c r="AU92" s="351"/>
      <c r="AV92" s="83">
        <f>SUMPRODUCT(1*(EXACT(CONCATENATE(Tableau1[[#This Row],[PO Number (Header)]],"-",Tableau1[[#This Row],[Line]]),UO_List[Unique_AIB_ID]))*(UO_List[Qté Réception 04/2020]))</f>
        <v>0</v>
      </c>
      <c r="AW92" s="84"/>
      <c r="AX92" s="351"/>
      <c r="AY92" s="351" t="str">
        <f>IFERROR(Tableau1[[#This Row],[Qté Facturé 04/2018]]*Tableau1[[#This Row],[Unit Price (calcul)]],"")</f>
        <v/>
      </c>
      <c r="AZ92" s="351" t="str">
        <f>IFERROR(IF(Tableau1[[#This Row],[Montant Facturé 04/2018]]&gt;0,Tableau1[[#This Row],[Montant Facturé 04/2018]]/Taux_Change_SII,""),"")</f>
        <v/>
      </c>
      <c r="BA92" s="351"/>
      <c r="BB92" s="83">
        <f>SUMPRODUCT(1*(EXACT(CONCATENATE(Tableau1[[#This Row],[PO Number (Header)]],"-",Tableau1[[#This Row],[Line]]),UO_List[Unique_AIB_ID]))*(UO_List[Qté Réception 05/2020]))</f>
        <v>0</v>
      </c>
      <c r="BC92" s="84"/>
      <c r="BD92" s="351"/>
      <c r="BE92" s="351" t="str">
        <f>IFERROR(Tableau1[[#This Row],[Qté Facturé 05/2018]]*Tableau1[[#This Row],[Unit Price (calcul)]],"")</f>
        <v/>
      </c>
      <c r="BF92" s="351" t="str">
        <f>IFERROR(IF(Tableau1[[#This Row],[Montant Facturé 05/2018]]&gt;0,Tableau1[[#This Row],[Montant Facturé 05/2018]]/Taux_Change_SII,""),"")</f>
        <v/>
      </c>
      <c r="BG92" s="351"/>
      <c r="BH92" s="83">
        <f>SUMPRODUCT(1*(EXACT(CONCATENATE(Tableau1[[#This Row],[PO Number (Header)]],"-",Tableau1[[#This Row],[Line]]),UO_List[Unique_AIB_ID]))*(UO_List[Qté Réception 06/2020]))</f>
        <v>0</v>
      </c>
      <c r="BI92" s="84"/>
      <c r="BJ92" s="351"/>
      <c r="BK92" s="351" t="str">
        <f>IFERROR(Tableau1[[#This Row],[Qté Facturé 06/2018]]*Tableau1[[#This Row],[Unit Price (calcul)]],"")</f>
        <v/>
      </c>
      <c r="BL92" s="351" t="str">
        <f>IFERROR(IF(Tableau1[[#This Row],[Montant Facturé 06/2018]]&gt;0,Tableau1[[#This Row],[Montant Facturé 06/2018]]/Taux_Change_SII,""),"")</f>
        <v/>
      </c>
      <c r="BM92" s="351"/>
      <c r="BN92" s="83">
        <f>SUMPRODUCT(1*(EXACT(CONCATENATE(Tableau1[[#This Row],[PO Number (Header)]],"-",Tableau1[[#This Row],[Line]]),UO_List[Unique_AIB_ID]))*(UO_List[Qté Réception 07/2020]))</f>
        <v>0</v>
      </c>
      <c r="BO92" s="84">
        <v>0</v>
      </c>
      <c r="BP92" s="351"/>
      <c r="BQ92" s="351" t="str">
        <f>IFERROR(Tableau1[[#This Row],[Qté Facturé 07/2018]]*Tableau1[[#This Row],[Unit Price (calcul)]],"")</f>
        <v/>
      </c>
      <c r="BR92" s="351" t="str">
        <f>IFERROR(IF(Tableau1[[#This Row],[Montant Facturé 07/2018]]&gt;0,Tableau1[[#This Row],[Montant Facturé 07/2018]]/Taux_Change_SII,""),"")</f>
        <v/>
      </c>
      <c r="BS92" s="351"/>
      <c r="BT92" s="83">
        <f>SUMPRODUCT(1*(EXACT(CONCATENATE(Tableau1[[#This Row],[PO Number (Header)]],"-",Tableau1[[#This Row],[Line]]),UO_List[Unique_AIB_ID]))*(UO_List[Qté Réception 08/2020]))</f>
        <v>0</v>
      </c>
      <c r="BU92" s="84"/>
      <c r="BV92" s="351"/>
      <c r="BW92" s="351" t="str">
        <f>IFERROR(Tableau1[[#This Row],[Qté Facturé 08/2018]]*Tableau1[[#This Row],[Unit Price (calcul)]],"")</f>
        <v/>
      </c>
      <c r="BX92" s="351" t="str">
        <f>IFERROR(IF(Tableau1[[#This Row],[Montant Facturé 08/2018]]&gt;0,Tableau1[[#This Row],[Montant Facturé 08/2018]]/Taux_Change_SII,""),"")</f>
        <v/>
      </c>
      <c r="BY92" s="351"/>
      <c r="BZ92" s="83">
        <f>SUMPRODUCT(1*(EXACT(CONCATENATE(Tableau1[[#This Row],[PO Number (Header)]],"-",Tableau1[[#This Row],[Line]]),UO_List[Unique_AIB_ID]))*(UO_List[Qté Réception 09/2020]))</f>
        <v>0</v>
      </c>
      <c r="CA92" s="83"/>
      <c r="CB92" s="351"/>
      <c r="CC92" s="351" t="str">
        <f>IFERROR(Tableau1[[#This Row],[Qté Facturé 09/2018]]*Tableau1[[#This Row],[Unit Price (calcul)]],"")</f>
        <v/>
      </c>
      <c r="CD92" s="351" t="str">
        <f>IFERROR(IF(Tableau1[[#This Row],[Montant Facturé 09/2018]]&gt;0,Tableau1[[#This Row],[Montant Facturé 09/2018]]/Taux_Change_SII,""),"")</f>
        <v/>
      </c>
      <c r="CE92" s="351"/>
      <c r="CF92" s="83">
        <f>SUMPRODUCT(1*(EXACT(CONCATENATE(Tableau1[[#This Row],[PO Number (Header)]],"-",Tableau1[[#This Row],[Line]]),UO_List[Unique_AIB_ID]))*(UO_List[Qté Réception 10/2020]))</f>
        <v>0</v>
      </c>
      <c r="CG92" s="84">
        <v>0</v>
      </c>
      <c r="CH92" s="351"/>
      <c r="CI92" s="351" t="str">
        <f>IFERROR(Tableau1[[#This Row],[Qté Facturé 10/2018]]*Tableau1[[#This Row],[Unit Price (calcul)]],"")</f>
        <v/>
      </c>
      <c r="CJ92" s="351" t="str">
        <f>IFERROR(IF(Tableau1[[#This Row],[Montant Facturé 10/2018]]&gt;0,Tableau1[[#This Row],[Montant Facturé 10/2018]]/Taux_Change_SII,""),"")</f>
        <v/>
      </c>
      <c r="CK92" s="351"/>
      <c r="CL92" s="83">
        <f>SUMPRODUCT(1*(EXACT(CONCATENATE(Tableau1[[#This Row],[PO Number (Header)]],"-",Tableau1[[#This Row],[Line]]),UO_List[Unique_AIB_ID]))*(UO_List[Qté Réception 11/2020]))</f>
        <v>0</v>
      </c>
      <c r="CM92" s="84"/>
      <c r="CN92" s="351"/>
      <c r="CO92" s="351" t="str">
        <f>IFERROR(Tableau1[[#This Row],[Qté Facturé 11/2018]]*Tableau1[[#This Row],[Unit Price (calcul)]],"")</f>
        <v/>
      </c>
      <c r="CP92" s="351" t="str">
        <f>IFERROR(IF(Tableau1[[#This Row],[Montant Facturé 11/2018]]&gt;0,Tableau1[[#This Row],[Montant Facturé 11/2018]]/Taux_Change_SII,""),"")</f>
        <v/>
      </c>
      <c r="CQ92" s="351"/>
      <c r="CR92" s="83">
        <f>SUMPRODUCT(1*(EXACT(CONCATENATE(Tableau1[[#This Row],[PO Number (Header)]],"-",Tableau1[[#This Row],[Line]]),UO_List[Unique_AIB_ID]))*(UO_List[Qté Réception 12/2020]))</f>
        <v>0</v>
      </c>
      <c r="CS92" s="84"/>
      <c r="CT92" s="351"/>
      <c r="CU92" s="351" t="str">
        <f>IFERROR(Tableau1[[#This Row],[Qté Facturé 12/2018]]*Tableau1[[#This Row],[Unit Price (calcul)]],"")</f>
        <v/>
      </c>
      <c r="CV92" s="351" t="str">
        <f>IFERROR(IF(Tableau1[[#This Row],[Montant Facturé 12/2018]]&gt;0,Tableau1[[#This Row],[Montant Facturé 12/2018]]/Taux_Change_SII,""),"")</f>
        <v/>
      </c>
      <c r="CW92" s="351"/>
      <c r="CX9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2" s="352" t="str">
        <f>IFERROR(Tableau1[[#This Row],[Total item réceptionné]]*Tableau1[[#This Row],[Unit Price (calcul)]],"")</f>
        <v/>
      </c>
      <c r="DB92" s="352" t="str">
        <f>IFERROR(Tableau1[[#This Row],[Total item à Facturer]]*Tableau1[[#This Row],[Unit Price (calcul)]],"")</f>
        <v/>
      </c>
      <c r="DC9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2" s="352" t="str">
        <f>IFERROR(Tableau1[[#This Row],[Line Total]]-Tableau1[[#This Row],[Total Price Réceptionné]],"")</f>
        <v/>
      </c>
      <c r="DE92" s="352" t="str">
        <f>IFERROR(Tableau1[[#This Row],[Total Price Réceptionné]]-Tableau1[[#This Row],[Total Price A facturer]],"")</f>
        <v/>
      </c>
      <c r="DF92" s="353" t="str">
        <f>IFERROR(Tableau1[[#This Row],[Total Price A facturer]]-Tableau1[[#This Row],[Total Price Facturé]],"")</f>
        <v/>
      </c>
      <c r="DG92" s="76">
        <f>Tableau1[[#This Row],[Total Item Quantity]]-Tableau1[[#This Row],[Total item réceptionné]]</f>
        <v>0</v>
      </c>
      <c r="DH92" s="167"/>
      <c r="DI92" s="167"/>
    </row>
    <row r="93" spans="1:113" s="74" customFormat="1">
      <c r="A93" s="77" t="str">
        <f>CONCATENATE(Tableau1[[#This Row],[PO Number (Header)]],"-",Tableau1[[#This Row],[Line]])</f>
        <v>-</v>
      </c>
      <c r="B93" s="77"/>
      <c r="C93" s="450"/>
      <c r="D93" s="102"/>
      <c r="E93" s="77"/>
      <c r="F93" s="77"/>
      <c r="G93" s="77"/>
      <c r="H93" s="77"/>
      <c r="I93" s="452"/>
      <c r="J93" s="452"/>
      <c r="K93" s="453"/>
      <c r="L93" s="453"/>
      <c r="M93" s="77"/>
      <c r="N93" s="77"/>
      <c r="O93" s="77"/>
      <c r="P93" s="77"/>
      <c r="Q93" s="395"/>
      <c r="R93" s="395"/>
      <c r="S93" s="77"/>
      <c r="T93" s="77"/>
      <c r="U93" s="77"/>
      <c r="V93" s="77"/>
      <c r="W93" s="167"/>
      <c r="X93" s="167"/>
      <c r="Y93" s="167" t="str">
        <f>IF(ISBLANK(Tableau1[[#This Row],[PO Number (Header)]]),"",Tableau1[[#This Row],[Line Total]]/Tableau1[[#This Row],[Total Item Quantity]])</f>
        <v/>
      </c>
      <c r="Z93" s="167" t="str">
        <f>IF(ISNA(VLOOKUP(Tableau1[[#This Row],[Unique_AIB_ID]],UO_List[Unique_AIB_ID],1,FALSE)),IF(ISBLANK(Tableau1[[#This Row],[PO Number (Header)]]),"","FAUX"),"VRAI")</f>
        <v/>
      </c>
      <c r="AA93" s="167"/>
      <c r="AB93" s="162" t="e">
        <f>VLOOKUP(Tableau1[[#This Row],[Unique_AIB_ID]],UO_List[[Unique_AIB_ID]:[OLGA F6]],3,FALSE)</f>
        <v>#N/A</v>
      </c>
      <c r="AC93" s="162" t="s">
        <v>790</v>
      </c>
      <c r="AD93" s="83">
        <f>SUMPRODUCT(1*(EXACT(CONCATENATE(Tableau1[[#This Row],[PO Number (Header)]],"-",Tableau1[[#This Row],[Line]]),UO_List[Unique_AIB_ID]))*(UO_List[Qté Réception 03/2020]))</f>
        <v>0</v>
      </c>
      <c r="AE93" s="84"/>
      <c r="AF93" s="357"/>
      <c r="AG93" s="351" t="str">
        <f>IFERROR(Tableau1[[#This Row],[Qté Facturé 01/2018]]*Tableau1[[#This Row],[Unit Price (calcul)]],"")</f>
        <v/>
      </c>
      <c r="AH93" s="356" t="str">
        <f>IFERROR(IF(Tableau1[[#This Row],[Montant Facturé 01/2018]]&gt;0,Tableau1[[#This Row],[Montant Facturé 01/2018]]/Taux_Change_SII,""),"")</f>
        <v/>
      </c>
      <c r="AI93" s="351"/>
      <c r="AJ93" s="83">
        <f>SUMPRODUCT(1*(EXACT(CONCATENATE(Tableau1[[#This Row],[PO Number (Header)]],"-",Tableau1[[#This Row],[Line]]),UO_List[Unique_AIB_ID]))*(UO_List[Qté Réception 02/2020]))</f>
        <v>0</v>
      </c>
      <c r="AK93" s="83">
        <f>SUMPRODUCT(1*(EXACT(CONCATENATE(Tableau1[[#This Row],[PO Number (Header)]],"-",Tableau1[[#This Row],[Line]]),UO_List[Unique_AIB_ID]))*(UO_List[Qté Réception 02/2020]))</f>
        <v>0</v>
      </c>
      <c r="AL93" s="357"/>
      <c r="AM93" s="351" t="str">
        <f>IFERROR(Tableau1[[#This Row],[Qté Facturé 02/2018]]*Tableau1[[#This Row],[Unit Price (calcul)]],"")</f>
        <v/>
      </c>
      <c r="AN93" s="351" t="str">
        <f>IFERROR(IF(Tableau1[[#This Row],[Montant Facturé 02/2018]]&gt;0,Tableau1[[#This Row],[Montant Facturé 02/2018]]/Taux_Change_SII,""),"")</f>
        <v/>
      </c>
      <c r="AO93" s="351"/>
      <c r="AP93" s="83">
        <f>SUMPRODUCT(1*(EXACT(CONCATENATE(Tableau1[[#This Row],[PO Number (Header)]],"-",Tableau1[[#This Row],[Line]]),UO_List[Unique_AIB_ID]))*(UO_List[Qté Réception 00/2020]))</f>
        <v>0</v>
      </c>
      <c r="AQ93" s="84"/>
      <c r="AR93" s="357"/>
      <c r="AS93" s="351" t="str">
        <f>IFERROR(Tableau1[[#This Row],[Qté Facturé 03/2018]]*Tableau1[[#This Row],[Unit Price (calcul)]],"")</f>
        <v/>
      </c>
      <c r="AT93" s="351" t="str">
        <f>IFERROR(IF(Tableau1[[#This Row],[Montant Facturé 03/2018]]&gt;0,Tableau1[[#This Row],[Montant Facturé 03/2018]]/Taux_Change_SII,""),"")</f>
        <v/>
      </c>
      <c r="AU93" s="351"/>
      <c r="AV93" s="83">
        <f>SUMPRODUCT(1*(EXACT(CONCATENATE(Tableau1[[#This Row],[PO Number (Header)]],"-",Tableau1[[#This Row],[Line]]),UO_List[Unique_AIB_ID]))*(UO_List[Qté Réception 04/2020]))</f>
        <v>0</v>
      </c>
      <c r="AW93" s="84"/>
      <c r="AX93" s="351"/>
      <c r="AY93" s="351" t="str">
        <f>IFERROR(Tableau1[[#This Row],[Qté Facturé 04/2018]]*Tableau1[[#This Row],[Unit Price (calcul)]],"")</f>
        <v/>
      </c>
      <c r="AZ93" s="351" t="str">
        <f>IFERROR(IF(Tableau1[[#This Row],[Montant Facturé 04/2018]]&gt;0,Tableau1[[#This Row],[Montant Facturé 04/2018]]/Taux_Change_SII,""),"")</f>
        <v/>
      </c>
      <c r="BA93" s="351"/>
      <c r="BB93" s="83">
        <f>SUMPRODUCT(1*(EXACT(CONCATENATE(Tableau1[[#This Row],[PO Number (Header)]],"-",Tableau1[[#This Row],[Line]]),UO_List[Unique_AIB_ID]))*(UO_List[Qté Réception 05/2020]))</f>
        <v>0</v>
      </c>
      <c r="BC93" s="84"/>
      <c r="BD93" s="351"/>
      <c r="BE93" s="351" t="str">
        <f>IFERROR(Tableau1[[#This Row],[Qté Facturé 05/2018]]*Tableau1[[#This Row],[Unit Price (calcul)]],"")</f>
        <v/>
      </c>
      <c r="BF93" s="351" t="str">
        <f>IFERROR(IF(Tableau1[[#This Row],[Montant Facturé 05/2018]]&gt;0,Tableau1[[#This Row],[Montant Facturé 05/2018]]/Taux_Change_SII,""),"")</f>
        <v/>
      </c>
      <c r="BG93" s="351"/>
      <c r="BH93" s="83">
        <f>SUMPRODUCT(1*(EXACT(CONCATENATE(Tableau1[[#This Row],[PO Number (Header)]],"-",Tableau1[[#This Row],[Line]]),UO_List[Unique_AIB_ID]))*(UO_List[Qté Réception 06/2020]))</f>
        <v>0</v>
      </c>
      <c r="BI93" s="84"/>
      <c r="BJ93" s="351"/>
      <c r="BK93" s="351" t="str">
        <f>IFERROR(Tableau1[[#This Row],[Qté Facturé 06/2018]]*Tableau1[[#This Row],[Unit Price (calcul)]],"")</f>
        <v/>
      </c>
      <c r="BL93" s="351" t="str">
        <f>IFERROR(IF(Tableau1[[#This Row],[Montant Facturé 06/2018]]&gt;0,Tableau1[[#This Row],[Montant Facturé 06/2018]]/Taux_Change_SII,""),"")</f>
        <v/>
      </c>
      <c r="BM93" s="351"/>
      <c r="BN93" s="83">
        <f>SUMPRODUCT(1*(EXACT(CONCATENATE(Tableau1[[#This Row],[PO Number (Header)]],"-",Tableau1[[#This Row],[Line]]),UO_List[Unique_AIB_ID]))*(UO_List[Qté Réception 07/2020]))</f>
        <v>0</v>
      </c>
      <c r="BO93" s="84">
        <v>0</v>
      </c>
      <c r="BP93" s="351"/>
      <c r="BQ93" s="351" t="str">
        <f>IFERROR(Tableau1[[#This Row],[Qté Facturé 07/2018]]*Tableau1[[#This Row],[Unit Price (calcul)]],"")</f>
        <v/>
      </c>
      <c r="BR93" s="351" t="str">
        <f>IFERROR(IF(Tableau1[[#This Row],[Montant Facturé 07/2018]]&gt;0,Tableau1[[#This Row],[Montant Facturé 07/2018]]/Taux_Change_SII,""),"")</f>
        <v/>
      </c>
      <c r="BS93" s="351"/>
      <c r="BT93" s="83">
        <f>SUMPRODUCT(1*(EXACT(CONCATENATE(Tableau1[[#This Row],[PO Number (Header)]],"-",Tableau1[[#This Row],[Line]]),UO_List[Unique_AIB_ID]))*(UO_List[Qté Réception 08/2020]))</f>
        <v>0</v>
      </c>
      <c r="BU93" s="84"/>
      <c r="BV93" s="351"/>
      <c r="BW93" s="351" t="str">
        <f>IFERROR(Tableau1[[#This Row],[Qté Facturé 08/2018]]*Tableau1[[#This Row],[Unit Price (calcul)]],"")</f>
        <v/>
      </c>
      <c r="BX93" s="351" t="str">
        <f>IFERROR(IF(Tableau1[[#This Row],[Montant Facturé 08/2018]]&gt;0,Tableau1[[#This Row],[Montant Facturé 08/2018]]/Taux_Change_SII,""),"")</f>
        <v/>
      </c>
      <c r="BY93" s="351"/>
      <c r="BZ93" s="83">
        <f>SUMPRODUCT(1*(EXACT(CONCATENATE(Tableau1[[#This Row],[PO Number (Header)]],"-",Tableau1[[#This Row],[Line]]),UO_List[Unique_AIB_ID]))*(UO_List[Qté Réception 09/2020]))</f>
        <v>0</v>
      </c>
      <c r="CA93" s="83"/>
      <c r="CB93" s="351"/>
      <c r="CC93" s="351" t="str">
        <f>IFERROR(Tableau1[[#This Row],[Qté Facturé 09/2018]]*Tableau1[[#This Row],[Unit Price (calcul)]],"")</f>
        <v/>
      </c>
      <c r="CD93" s="351" t="str">
        <f>IFERROR(IF(Tableau1[[#This Row],[Montant Facturé 09/2018]]&gt;0,Tableau1[[#This Row],[Montant Facturé 09/2018]]/Taux_Change_SII,""),"")</f>
        <v/>
      </c>
      <c r="CE93" s="351"/>
      <c r="CF93" s="83">
        <f>SUMPRODUCT(1*(EXACT(CONCATENATE(Tableau1[[#This Row],[PO Number (Header)]],"-",Tableau1[[#This Row],[Line]]),UO_List[Unique_AIB_ID]))*(UO_List[Qté Réception 10/2020]))</f>
        <v>0</v>
      </c>
      <c r="CG93" s="84"/>
      <c r="CH93" s="84"/>
      <c r="CI93" s="488" t="str">
        <f>IFERROR(Tableau1[[#This Row],[Qté Facturé 10/2018]]*Tableau1[[#This Row],[Unit Price (calcul)]],"")</f>
        <v/>
      </c>
      <c r="CJ93" s="351" t="str">
        <f>IFERROR(IF(Tableau1[[#This Row],[Montant Facturé 10/2018]]&gt;0,Tableau1[[#This Row],[Montant Facturé 10/2018]]/Taux_Change_SII,""),"")</f>
        <v/>
      </c>
      <c r="CK93" s="351"/>
      <c r="CL93" s="83">
        <f>SUMPRODUCT(1*(EXACT(CONCATENATE(Tableau1[[#This Row],[PO Number (Header)]],"-",Tableau1[[#This Row],[Line]]),UO_List[Unique_AIB_ID]))*(UO_List[Qté Réception 11/2020]))</f>
        <v>0</v>
      </c>
      <c r="CM93" s="84"/>
      <c r="CN93" s="351"/>
      <c r="CO93" s="351" t="str">
        <f>IFERROR(Tableau1[[#This Row],[Qté Facturé 11/2018]]*Tableau1[[#This Row],[Unit Price (calcul)]],"")</f>
        <v/>
      </c>
      <c r="CP93" s="351" t="str">
        <f>IFERROR(IF(Tableau1[[#This Row],[Montant Facturé 11/2018]]&gt;0,Tableau1[[#This Row],[Montant Facturé 11/2018]]/Taux_Change_SII,""),"")</f>
        <v/>
      </c>
      <c r="CQ93" s="351"/>
      <c r="CR93" s="83">
        <f>SUMPRODUCT(1*(EXACT(CONCATENATE(Tableau1[[#This Row],[PO Number (Header)]],"-",Tableau1[[#This Row],[Line]]),UO_List[Unique_AIB_ID]))*(UO_List[Qté Réception 12/2020]))</f>
        <v>0</v>
      </c>
      <c r="CS93" s="84"/>
      <c r="CT93" s="351"/>
      <c r="CU93" s="351" t="str">
        <f>IFERROR(Tableau1[[#This Row],[Qté Facturé 12/2018]]*Tableau1[[#This Row],[Unit Price (calcul)]],"")</f>
        <v/>
      </c>
      <c r="CV93" s="351" t="str">
        <f>IFERROR(IF(Tableau1[[#This Row],[Montant Facturé 12/2018]]&gt;0,Tableau1[[#This Row],[Montant Facturé 12/2018]]/Taux_Change_SII,""),"")</f>
        <v/>
      </c>
      <c r="CW93" s="351"/>
      <c r="CX9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3" s="352" t="str">
        <f>IFERROR(Tableau1[[#This Row],[Total item réceptionné]]*Tableau1[[#This Row],[Unit Price (calcul)]],"")</f>
        <v/>
      </c>
      <c r="DB93" s="352" t="str">
        <f>IFERROR(Tableau1[[#This Row],[Total item à Facturer]]*Tableau1[[#This Row],[Unit Price (calcul)]],"")</f>
        <v/>
      </c>
      <c r="DC9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3" s="352" t="str">
        <f>IFERROR(Tableau1[[#This Row],[Line Total]]-Tableau1[[#This Row],[Total Price Réceptionné]],"")</f>
        <v/>
      </c>
      <c r="DE93" s="352" t="str">
        <f>IFERROR(Tableau1[[#This Row],[Total Price Réceptionné]]-Tableau1[[#This Row],[Total Price A facturer]],"")</f>
        <v/>
      </c>
      <c r="DF93" s="353" t="str">
        <f>IFERROR(Tableau1[[#This Row],[Total Price A facturer]]-Tableau1[[#This Row],[Total Price Facturé]],"")</f>
        <v/>
      </c>
      <c r="DG93" s="76">
        <f>Tableau1[[#This Row],[Total Item Quantity]]-Tableau1[[#This Row],[Total item réceptionné]]</f>
        <v>0</v>
      </c>
      <c r="DH93" s="167"/>
      <c r="DI93" s="167"/>
    </row>
    <row r="94" spans="1:113" s="74" customFormat="1">
      <c r="A94" s="77" t="str">
        <f>CONCATENATE(Tableau1[[#This Row],[PO Number (Header)]],"-",Tableau1[[#This Row],[Line]])</f>
        <v>-</v>
      </c>
      <c r="B94" s="77"/>
      <c r="C94" s="450"/>
      <c r="D94" s="102"/>
      <c r="E94" s="77"/>
      <c r="F94" s="77"/>
      <c r="G94" s="77"/>
      <c r="H94" s="77"/>
      <c r="I94" s="452"/>
      <c r="J94" s="452"/>
      <c r="K94" s="453"/>
      <c r="L94" s="453"/>
      <c r="M94" s="77"/>
      <c r="N94" s="77"/>
      <c r="O94" s="77"/>
      <c r="P94" s="77"/>
      <c r="Q94" s="395"/>
      <c r="R94" s="395"/>
      <c r="S94" s="77"/>
      <c r="T94" s="77"/>
      <c r="U94" s="77"/>
      <c r="V94" s="77"/>
      <c r="W94" s="167"/>
      <c r="X94" s="167"/>
      <c r="Y94" s="167" t="str">
        <f>IF(ISBLANK(Tableau1[[#This Row],[PO Number (Header)]]),"",Tableau1[[#This Row],[Line Total]]/Tableau1[[#This Row],[Total Item Quantity]])</f>
        <v/>
      </c>
      <c r="Z94" s="167" t="str">
        <f>IF(ISNA(VLOOKUP(Tableau1[[#This Row],[Unique_AIB_ID]],UO_List[Unique_AIB_ID],1,FALSE)),IF(ISBLANK(Tableau1[[#This Row],[PO Number (Header)]]),"","FAUX"),"VRAI")</f>
        <v/>
      </c>
      <c r="AA94" s="167"/>
      <c r="AB94" s="162" t="e">
        <f>VLOOKUP(Tableau1[[#This Row],[Unique_AIB_ID]],UO_List[[Unique_AIB_ID]:[OLGA F6]],3,FALSE)</f>
        <v>#N/A</v>
      </c>
      <c r="AC94" s="162" t="s">
        <v>790</v>
      </c>
      <c r="AD94" s="83">
        <f>SUMPRODUCT(1*(EXACT(CONCATENATE(Tableau1[[#This Row],[PO Number (Header)]],"-",Tableau1[[#This Row],[Line]]),UO_List[Unique_AIB_ID]))*(UO_List[Qté Réception 03/2020]))</f>
        <v>0</v>
      </c>
      <c r="AE94" s="84"/>
      <c r="AF94" s="357"/>
      <c r="AG94" s="351" t="str">
        <f>IFERROR(Tableau1[[#This Row],[Qté Facturé 01/2018]]*Tableau1[[#This Row],[Unit Price (calcul)]],"")</f>
        <v/>
      </c>
      <c r="AH94" s="356" t="str">
        <f>IFERROR(IF(Tableau1[[#This Row],[Montant Facturé 01/2018]]&gt;0,Tableau1[[#This Row],[Montant Facturé 01/2018]]/Taux_Change_SII,""),"")</f>
        <v/>
      </c>
      <c r="AI94" s="351"/>
      <c r="AJ94" s="83">
        <f>SUMPRODUCT(1*(EXACT(CONCATENATE(Tableau1[[#This Row],[PO Number (Header)]],"-",Tableau1[[#This Row],[Line]]),UO_List[Unique_AIB_ID]))*(UO_List[Qté Réception 02/2020]))</f>
        <v>0</v>
      </c>
      <c r="AK94" s="83">
        <f>SUMPRODUCT(1*(EXACT(CONCATENATE(Tableau1[[#This Row],[PO Number (Header)]],"-",Tableau1[[#This Row],[Line]]),UO_List[Unique_AIB_ID]))*(UO_List[Qté Réception 02/2020]))</f>
        <v>0</v>
      </c>
      <c r="AL94" s="357"/>
      <c r="AM94" s="351" t="str">
        <f>IFERROR(Tableau1[[#This Row],[Qté Facturé 02/2018]]*Tableau1[[#This Row],[Unit Price (calcul)]],"")</f>
        <v/>
      </c>
      <c r="AN94" s="351" t="str">
        <f>IFERROR(IF(Tableau1[[#This Row],[Montant Facturé 02/2018]]&gt;0,Tableau1[[#This Row],[Montant Facturé 02/2018]]/Taux_Change_SII,""),"")</f>
        <v/>
      </c>
      <c r="AO94" s="351"/>
      <c r="AP94" s="83">
        <f>SUMPRODUCT(1*(EXACT(CONCATENATE(Tableau1[[#This Row],[PO Number (Header)]],"-",Tableau1[[#This Row],[Line]]),UO_List[Unique_AIB_ID]))*(UO_List[Qté Réception 00/2020]))</f>
        <v>0</v>
      </c>
      <c r="AQ94" s="84"/>
      <c r="AR94" s="357"/>
      <c r="AS94" s="351" t="str">
        <f>IFERROR(Tableau1[[#This Row],[Qté Facturé 03/2018]]*Tableau1[[#This Row],[Unit Price (calcul)]],"")</f>
        <v/>
      </c>
      <c r="AT94" s="351" t="str">
        <f>IFERROR(IF(Tableau1[[#This Row],[Montant Facturé 03/2018]]&gt;0,Tableau1[[#This Row],[Montant Facturé 03/2018]]/Taux_Change_SII,""),"")</f>
        <v/>
      </c>
      <c r="AU94" s="351"/>
      <c r="AV94" s="83">
        <f>SUMPRODUCT(1*(EXACT(CONCATENATE(Tableau1[[#This Row],[PO Number (Header)]],"-",Tableau1[[#This Row],[Line]]),UO_List[Unique_AIB_ID]))*(UO_List[Qté Réception 04/2020]))</f>
        <v>0</v>
      </c>
      <c r="AW94" s="84"/>
      <c r="AX94" s="351"/>
      <c r="AY94" s="351" t="str">
        <f>IFERROR(Tableau1[[#This Row],[Qté Facturé 04/2018]]*Tableau1[[#This Row],[Unit Price (calcul)]],"")</f>
        <v/>
      </c>
      <c r="AZ94" s="351" t="str">
        <f>IFERROR(IF(Tableau1[[#This Row],[Montant Facturé 04/2018]]&gt;0,Tableau1[[#This Row],[Montant Facturé 04/2018]]/Taux_Change_SII,""),"")</f>
        <v/>
      </c>
      <c r="BA94" s="351"/>
      <c r="BB94" s="83">
        <f>SUMPRODUCT(1*(EXACT(CONCATENATE(Tableau1[[#This Row],[PO Number (Header)]],"-",Tableau1[[#This Row],[Line]]),UO_List[Unique_AIB_ID]))*(UO_List[Qté Réception 05/2020]))</f>
        <v>0</v>
      </c>
      <c r="BC94" s="84"/>
      <c r="BD94" s="351"/>
      <c r="BE94" s="351" t="str">
        <f>IFERROR(Tableau1[[#This Row],[Qté Facturé 05/2018]]*Tableau1[[#This Row],[Unit Price (calcul)]],"")</f>
        <v/>
      </c>
      <c r="BF94" s="351" t="str">
        <f>IFERROR(IF(Tableau1[[#This Row],[Montant Facturé 05/2018]]&gt;0,Tableau1[[#This Row],[Montant Facturé 05/2018]]/Taux_Change_SII,""),"")</f>
        <v/>
      </c>
      <c r="BG94" s="351"/>
      <c r="BH94" s="83">
        <f>SUMPRODUCT(1*(EXACT(CONCATENATE(Tableau1[[#This Row],[PO Number (Header)]],"-",Tableau1[[#This Row],[Line]]),UO_List[Unique_AIB_ID]))*(UO_List[Qté Réception 06/2020]))</f>
        <v>0</v>
      </c>
      <c r="BI94" s="84"/>
      <c r="BJ94" s="351"/>
      <c r="BK94" s="351" t="str">
        <f>IFERROR(Tableau1[[#This Row],[Qté Facturé 06/2018]]*Tableau1[[#This Row],[Unit Price (calcul)]],"")</f>
        <v/>
      </c>
      <c r="BL94" s="351" t="str">
        <f>IFERROR(IF(Tableau1[[#This Row],[Montant Facturé 06/2018]]&gt;0,Tableau1[[#This Row],[Montant Facturé 06/2018]]/Taux_Change_SII,""),"")</f>
        <v/>
      </c>
      <c r="BM94" s="351"/>
      <c r="BN94" s="83">
        <f>SUMPRODUCT(1*(EXACT(CONCATENATE(Tableau1[[#This Row],[PO Number (Header)]],"-",Tableau1[[#This Row],[Line]]),UO_List[Unique_AIB_ID]))*(UO_List[Qté Réception 07/2020]))</f>
        <v>0</v>
      </c>
      <c r="BO94" s="84">
        <v>0</v>
      </c>
      <c r="BP94" s="351"/>
      <c r="BQ94" s="351" t="str">
        <f>IFERROR(Tableau1[[#This Row],[Qté Facturé 07/2018]]*Tableau1[[#This Row],[Unit Price (calcul)]],"")</f>
        <v/>
      </c>
      <c r="BR94" s="351" t="str">
        <f>IFERROR(IF(Tableau1[[#This Row],[Montant Facturé 07/2018]]&gt;0,Tableau1[[#This Row],[Montant Facturé 07/2018]]/Taux_Change_SII,""),"")</f>
        <v/>
      </c>
      <c r="BS94" s="351"/>
      <c r="BT94" s="83">
        <f>SUMPRODUCT(1*(EXACT(CONCATENATE(Tableau1[[#This Row],[PO Number (Header)]],"-",Tableau1[[#This Row],[Line]]),UO_List[Unique_AIB_ID]))*(UO_List[Qté Réception 08/2020]))</f>
        <v>0</v>
      </c>
      <c r="BU94" s="84"/>
      <c r="BV94" s="351"/>
      <c r="BW94" s="351" t="str">
        <f>IFERROR(Tableau1[[#This Row],[Qté Facturé 08/2018]]*Tableau1[[#This Row],[Unit Price (calcul)]],"")</f>
        <v/>
      </c>
      <c r="BX94" s="351" t="str">
        <f>IFERROR(IF(Tableau1[[#This Row],[Montant Facturé 08/2018]]&gt;0,Tableau1[[#This Row],[Montant Facturé 08/2018]]/Taux_Change_SII,""),"")</f>
        <v/>
      </c>
      <c r="BY94" s="351"/>
      <c r="BZ94" s="83">
        <f>SUMPRODUCT(1*(EXACT(CONCATENATE(Tableau1[[#This Row],[PO Number (Header)]],"-",Tableau1[[#This Row],[Line]]),UO_List[Unique_AIB_ID]))*(UO_List[Qté Réception 09/2020]))</f>
        <v>0</v>
      </c>
      <c r="CA94" s="83"/>
      <c r="CB94" s="351"/>
      <c r="CC94" s="351" t="str">
        <f>IFERROR(Tableau1[[#This Row],[Qté Facturé 09/2018]]*Tableau1[[#This Row],[Unit Price (calcul)]],"")</f>
        <v/>
      </c>
      <c r="CD94" s="351" t="str">
        <f>IFERROR(IF(Tableau1[[#This Row],[Montant Facturé 09/2018]]&gt;0,Tableau1[[#This Row],[Montant Facturé 09/2018]]/Taux_Change_SII,""),"")</f>
        <v/>
      </c>
      <c r="CE94" s="351"/>
      <c r="CF94" s="83">
        <f>SUMPRODUCT(1*(EXACT(CONCATENATE(Tableau1[[#This Row],[PO Number (Header)]],"-",Tableau1[[#This Row],[Line]]),UO_List[Unique_AIB_ID]))*(UO_List[Qté Réception 10/2020]))</f>
        <v>0</v>
      </c>
      <c r="CG94" s="84">
        <v>0</v>
      </c>
      <c r="CH94" s="351"/>
      <c r="CI94" s="351" t="str">
        <f>IFERROR(Tableau1[[#This Row],[Qté Facturé 10/2018]]*Tableau1[[#This Row],[Unit Price (calcul)]],"")</f>
        <v/>
      </c>
      <c r="CJ94" s="351" t="str">
        <f>IFERROR(IF(Tableau1[[#This Row],[Montant Facturé 10/2018]]&gt;0,Tableau1[[#This Row],[Montant Facturé 10/2018]]/Taux_Change_SII,""),"")</f>
        <v/>
      </c>
      <c r="CK94" s="351"/>
      <c r="CL94" s="83">
        <f>SUMPRODUCT(1*(EXACT(CONCATENATE(Tableau1[[#This Row],[PO Number (Header)]],"-",Tableau1[[#This Row],[Line]]),UO_List[Unique_AIB_ID]))*(UO_List[Qté Réception 11/2020]))</f>
        <v>0</v>
      </c>
      <c r="CM94" s="84"/>
      <c r="CN94" s="351"/>
      <c r="CO94" s="351" t="str">
        <f>IFERROR(Tableau1[[#This Row],[Qté Facturé 11/2018]]*Tableau1[[#This Row],[Unit Price (calcul)]],"")</f>
        <v/>
      </c>
      <c r="CP94" s="351" t="str">
        <f>IFERROR(IF(Tableau1[[#This Row],[Montant Facturé 11/2018]]&gt;0,Tableau1[[#This Row],[Montant Facturé 11/2018]]/Taux_Change_SII,""),"")</f>
        <v/>
      </c>
      <c r="CQ94" s="351"/>
      <c r="CR94" s="83">
        <f>SUMPRODUCT(1*(EXACT(CONCATENATE(Tableau1[[#This Row],[PO Number (Header)]],"-",Tableau1[[#This Row],[Line]]),UO_List[Unique_AIB_ID]))*(UO_List[Qté Réception 12/2020]))</f>
        <v>0</v>
      </c>
      <c r="CS94" s="84"/>
      <c r="CT94" s="351"/>
      <c r="CU94" s="351" t="str">
        <f>IFERROR(Tableau1[[#This Row],[Qté Facturé 12/2018]]*Tableau1[[#This Row],[Unit Price (calcul)]],"")</f>
        <v/>
      </c>
      <c r="CV94" s="351" t="str">
        <f>IFERROR(IF(Tableau1[[#This Row],[Montant Facturé 12/2018]]&gt;0,Tableau1[[#This Row],[Montant Facturé 12/2018]]/Taux_Change_SII,""),"")</f>
        <v/>
      </c>
      <c r="CW94" s="351"/>
      <c r="CX9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4" s="352" t="str">
        <f>IFERROR(Tableau1[[#This Row],[Total item réceptionné]]*Tableau1[[#This Row],[Unit Price (calcul)]],"")</f>
        <v/>
      </c>
      <c r="DB94" s="352" t="str">
        <f>IFERROR(Tableau1[[#This Row],[Total item à Facturer]]*Tableau1[[#This Row],[Unit Price (calcul)]],"")</f>
        <v/>
      </c>
      <c r="DC9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4" s="352" t="str">
        <f>IFERROR(Tableau1[[#This Row],[Line Total]]-Tableau1[[#This Row],[Total Price Réceptionné]],"")</f>
        <v/>
      </c>
      <c r="DE94" s="352" t="str">
        <f>IFERROR(Tableau1[[#This Row],[Total Price Réceptionné]]-Tableau1[[#This Row],[Total Price A facturer]],"")</f>
        <v/>
      </c>
      <c r="DF94" s="353" t="str">
        <f>IFERROR(Tableau1[[#This Row],[Total Price A facturer]]-Tableau1[[#This Row],[Total Price Facturé]],"")</f>
        <v/>
      </c>
      <c r="DG94" s="76">
        <f>Tableau1[[#This Row],[Total Item Quantity]]-Tableau1[[#This Row],[Total item réceptionné]]</f>
        <v>0</v>
      </c>
      <c r="DH94" s="167"/>
      <c r="DI94" s="167"/>
    </row>
    <row r="95" spans="1:113" s="74" customFormat="1">
      <c r="A95" s="77" t="str">
        <f>CONCATENATE(Tableau1[[#This Row],[PO Number (Header)]],"-",Tableau1[[#This Row],[Line]])</f>
        <v>-</v>
      </c>
      <c r="B95" s="77"/>
      <c r="C95" s="450"/>
      <c r="D95" s="102"/>
      <c r="E95" s="77"/>
      <c r="F95" s="77"/>
      <c r="G95" s="77"/>
      <c r="H95" s="77"/>
      <c r="I95" s="452"/>
      <c r="J95" s="452"/>
      <c r="K95" s="453"/>
      <c r="L95" s="453"/>
      <c r="M95" s="77"/>
      <c r="N95" s="77"/>
      <c r="O95" s="77"/>
      <c r="P95" s="77"/>
      <c r="Q95" s="395"/>
      <c r="R95" s="395"/>
      <c r="S95" s="77"/>
      <c r="T95" s="77"/>
      <c r="U95" s="77"/>
      <c r="V95" s="77"/>
      <c r="W95" s="167"/>
      <c r="X95" s="167"/>
      <c r="Y95" s="167" t="str">
        <f>IF(ISBLANK(Tableau1[[#This Row],[PO Number (Header)]]),"",Tableau1[[#This Row],[Line Total]]/Tableau1[[#This Row],[Total Item Quantity]])</f>
        <v/>
      </c>
      <c r="Z95" s="167" t="str">
        <f>IF(ISNA(VLOOKUP(Tableau1[[#This Row],[Unique_AIB_ID]],UO_List[Unique_AIB_ID],1,FALSE)),IF(ISBLANK(Tableau1[[#This Row],[PO Number (Header)]]),"","FAUX"),"VRAI")</f>
        <v/>
      </c>
      <c r="AA95" s="167"/>
      <c r="AB95" s="162" t="e">
        <f>VLOOKUP(Tableau1[[#This Row],[Unique_AIB_ID]],UO_List[[Unique_AIB_ID]:[OLGA F6]],3,FALSE)</f>
        <v>#N/A</v>
      </c>
      <c r="AC95" s="162" t="s">
        <v>790</v>
      </c>
      <c r="AD95" s="83">
        <f>SUMPRODUCT(1*(EXACT(CONCATENATE(Tableau1[[#This Row],[PO Number (Header)]],"-",Tableau1[[#This Row],[Line]]),UO_List[Unique_AIB_ID]))*(UO_List[Qté Réception 03/2020]))</f>
        <v>0</v>
      </c>
      <c r="AE95" s="84"/>
      <c r="AF95" s="357"/>
      <c r="AG95" s="351" t="str">
        <f>IFERROR(Tableau1[[#This Row],[Qté Facturé 01/2018]]*Tableau1[[#This Row],[Unit Price (calcul)]],"")</f>
        <v/>
      </c>
      <c r="AH95" s="356" t="str">
        <f>IFERROR(IF(Tableau1[[#This Row],[Montant Facturé 01/2018]]&gt;0,Tableau1[[#This Row],[Montant Facturé 01/2018]]/Taux_Change_SII,""),"")</f>
        <v/>
      </c>
      <c r="AI95" s="351"/>
      <c r="AJ95" s="83">
        <f>SUMPRODUCT(1*(EXACT(CONCATENATE(Tableau1[[#This Row],[PO Number (Header)]],"-",Tableau1[[#This Row],[Line]]),UO_List[Unique_AIB_ID]))*(UO_List[Qté Réception 02/2020]))</f>
        <v>0</v>
      </c>
      <c r="AK95" s="83">
        <f>SUMPRODUCT(1*(EXACT(CONCATENATE(Tableau1[[#This Row],[PO Number (Header)]],"-",Tableau1[[#This Row],[Line]]),UO_List[Unique_AIB_ID]))*(UO_List[Qté Réception 02/2020]))</f>
        <v>0</v>
      </c>
      <c r="AL95" s="357"/>
      <c r="AM95" s="351" t="str">
        <f>IFERROR(Tableau1[[#This Row],[Qté Facturé 02/2018]]*Tableau1[[#This Row],[Unit Price (calcul)]],"")</f>
        <v/>
      </c>
      <c r="AN95" s="351" t="str">
        <f>IFERROR(IF(Tableau1[[#This Row],[Montant Facturé 02/2018]]&gt;0,Tableau1[[#This Row],[Montant Facturé 02/2018]]/Taux_Change_SII,""),"")</f>
        <v/>
      </c>
      <c r="AO95" s="351"/>
      <c r="AP95" s="83">
        <f>SUMPRODUCT(1*(EXACT(CONCATENATE(Tableau1[[#This Row],[PO Number (Header)]],"-",Tableau1[[#This Row],[Line]]),UO_List[Unique_AIB_ID]))*(UO_List[Qté Réception 00/2020]))</f>
        <v>0</v>
      </c>
      <c r="AQ95" s="84"/>
      <c r="AR95" s="357"/>
      <c r="AS95" s="351" t="str">
        <f>IFERROR(Tableau1[[#This Row],[Qté Facturé 03/2018]]*Tableau1[[#This Row],[Unit Price (calcul)]],"")</f>
        <v/>
      </c>
      <c r="AT95" s="351" t="str">
        <f>IFERROR(IF(Tableau1[[#This Row],[Montant Facturé 03/2018]]&gt;0,Tableau1[[#This Row],[Montant Facturé 03/2018]]/Taux_Change_SII,""),"")</f>
        <v/>
      </c>
      <c r="AU95" s="351"/>
      <c r="AV95" s="83">
        <f>SUMPRODUCT(1*(EXACT(CONCATENATE(Tableau1[[#This Row],[PO Number (Header)]],"-",Tableau1[[#This Row],[Line]]),UO_List[Unique_AIB_ID]))*(UO_List[Qté Réception 04/2020]))</f>
        <v>0</v>
      </c>
      <c r="AW95" s="84"/>
      <c r="AX95" s="351"/>
      <c r="AY95" s="351" t="str">
        <f>IFERROR(Tableau1[[#This Row],[Qté Facturé 04/2018]]*Tableau1[[#This Row],[Unit Price (calcul)]],"")</f>
        <v/>
      </c>
      <c r="AZ95" s="351" t="str">
        <f>IFERROR(IF(Tableau1[[#This Row],[Montant Facturé 04/2018]]&gt;0,Tableau1[[#This Row],[Montant Facturé 04/2018]]/Taux_Change_SII,""),"")</f>
        <v/>
      </c>
      <c r="BA95" s="351"/>
      <c r="BB95" s="83">
        <f>SUMPRODUCT(1*(EXACT(CONCATENATE(Tableau1[[#This Row],[PO Number (Header)]],"-",Tableau1[[#This Row],[Line]]),UO_List[Unique_AIB_ID]))*(UO_List[Qté Réception 05/2020]))</f>
        <v>0</v>
      </c>
      <c r="BC95" s="84"/>
      <c r="BD95" s="351"/>
      <c r="BE95" s="351" t="str">
        <f>IFERROR(Tableau1[[#This Row],[Qté Facturé 05/2018]]*Tableau1[[#This Row],[Unit Price (calcul)]],"")</f>
        <v/>
      </c>
      <c r="BF95" s="351" t="str">
        <f>IFERROR(IF(Tableau1[[#This Row],[Montant Facturé 05/2018]]&gt;0,Tableau1[[#This Row],[Montant Facturé 05/2018]]/Taux_Change_SII,""),"")</f>
        <v/>
      </c>
      <c r="BG95" s="351"/>
      <c r="BH95" s="83">
        <f>SUMPRODUCT(1*(EXACT(CONCATENATE(Tableau1[[#This Row],[PO Number (Header)]],"-",Tableau1[[#This Row],[Line]]),UO_List[Unique_AIB_ID]))*(UO_List[Qté Réception 06/2020]))</f>
        <v>0</v>
      </c>
      <c r="BI95" s="84"/>
      <c r="BJ95" s="351"/>
      <c r="BK95" s="351" t="str">
        <f>IFERROR(Tableau1[[#This Row],[Qté Facturé 06/2018]]*Tableau1[[#This Row],[Unit Price (calcul)]],"")</f>
        <v/>
      </c>
      <c r="BL95" s="351" t="str">
        <f>IFERROR(IF(Tableau1[[#This Row],[Montant Facturé 06/2018]]&gt;0,Tableau1[[#This Row],[Montant Facturé 06/2018]]/Taux_Change_SII,""),"")</f>
        <v/>
      </c>
      <c r="BM95" s="351"/>
      <c r="BN95" s="83">
        <f>SUMPRODUCT(1*(EXACT(CONCATENATE(Tableau1[[#This Row],[PO Number (Header)]],"-",Tableau1[[#This Row],[Line]]),UO_List[Unique_AIB_ID]))*(UO_List[Qté Réception 07/2020]))</f>
        <v>0</v>
      </c>
      <c r="BO95" s="84">
        <v>0</v>
      </c>
      <c r="BP95" s="351"/>
      <c r="BQ95" s="351" t="str">
        <f>IFERROR(Tableau1[[#This Row],[Qté Facturé 07/2018]]*Tableau1[[#This Row],[Unit Price (calcul)]],"")</f>
        <v/>
      </c>
      <c r="BR95" s="351" t="str">
        <f>IFERROR(IF(Tableau1[[#This Row],[Montant Facturé 07/2018]]&gt;0,Tableau1[[#This Row],[Montant Facturé 07/2018]]/Taux_Change_SII,""),"")</f>
        <v/>
      </c>
      <c r="BS95" s="351"/>
      <c r="BT95" s="83">
        <f>SUMPRODUCT(1*(EXACT(CONCATENATE(Tableau1[[#This Row],[PO Number (Header)]],"-",Tableau1[[#This Row],[Line]]),UO_List[Unique_AIB_ID]))*(UO_List[Qté Réception 08/2020]))</f>
        <v>0</v>
      </c>
      <c r="BU95" s="84"/>
      <c r="BV95" s="351"/>
      <c r="BW95" s="351" t="str">
        <f>IFERROR(Tableau1[[#This Row],[Qté Facturé 08/2018]]*Tableau1[[#This Row],[Unit Price (calcul)]],"")</f>
        <v/>
      </c>
      <c r="BX95" s="351" t="str">
        <f>IFERROR(IF(Tableau1[[#This Row],[Montant Facturé 08/2018]]&gt;0,Tableau1[[#This Row],[Montant Facturé 08/2018]]/Taux_Change_SII,""),"")</f>
        <v/>
      </c>
      <c r="BY95" s="351"/>
      <c r="BZ95" s="83">
        <f>SUMPRODUCT(1*(EXACT(CONCATENATE(Tableau1[[#This Row],[PO Number (Header)]],"-",Tableau1[[#This Row],[Line]]),UO_List[Unique_AIB_ID]))*(UO_List[Qté Réception 09/2020]))</f>
        <v>0</v>
      </c>
      <c r="CA95" s="83"/>
      <c r="CB95" s="351"/>
      <c r="CC95" s="351" t="str">
        <f>IFERROR(Tableau1[[#This Row],[Qté Facturé 09/2018]]*Tableau1[[#This Row],[Unit Price (calcul)]],"")</f>
        <v/>
      </c>
      <c r="CD95" s="351" t="str">
        <f>IFERROR(IF(Tableau1[[#This Row],[Montant Facturé 09/2018]]&gt;0,Tableau1[[#This Row],[Montant Facturé 09/2018]]/Taux_Change_SII,""),"")</f>
        <v/>
      </c>
      <c r="CE95" s="351"/>
      <c r="CF95" s="83">
        <f>SUMPRODUCT(1*(EXACT(CONCATENATE(Tableau1[[#This Row],[PO Number (Header)]],"-",Tableau1[[#This Row],[Line]]),UO_List[Unique_AIB_ID]))*(UO_List[Qté Réception 10/2020]))</f>
        <v>0</v>
      </c>
      <c r="CG95" s="84"/>
      <c r="CH95" s="84"/>
      <c r="CI95" s="488" t="str">
        <f>IFERROR(Tableau1[[#This Row],[Qté Facturé 10/2018]]*Tableau1[[#This Row],[Unit Price (calcul)]],"")</f>
        <v/>
      </c>
      <c r="CJ95" s="351" t="str">
        <f>IFERROR(IF(Tableau1[[#This Row],[Montant Facturé 10/2018]]&gt;0,Tableau1[[#This Row],[Montant Facturé 10/2018]]/Taux_Change_SII,""),"")</f>
        <v/>
      </c>
      <c r="CK95" s="351"/>
      <c r="CL95" s="83">
        <f>SUMPRODUCT(1*(EXACT(CONCATENATE(Tableau1[[#This Row],[PO Number (Header)]],"-",Tableau1[[#This Row],[Line]]),UO_List[Unique_AIB_ID]))*(UO_List[Qté Réception 11/2020]))</f>
        <v>0</v>
      </c>
      <c r="CM95" s="84"/>
      <c r="CN95" s="351"/>
      <c r="CO95" s="351" t="str">
        <f>IFERROR(Tableau1[[#This Row],[Qté Facturé 11/2018]]*Tableau1[[#This Row],[Unit Price (calcul)]],"")</f>
        <v/>
      </c>
      <c r="CP95" s="351" t="str">
        <f>IFERROR(IF(Tableau1[[#This Row],[Montant Facturé 11/2018]]&gt;0,Tableau1[[#This Row],[Montant Facturé 11/2018]]/Taux_Change_SII,""),"")</f>
        <v/>
      </c>
      <c r="CQ95" s="351"/>
      <c r="CR95" s="83">
        <f>SUMPRODUCT(1*(EXACT(CONCATENATE(Tableau1[[#This Row],[PO Number (Header)]],"-",Tableau1[[#This Row],[Line]]),UO_List[Unique_AIB_ID]))*(UO_List[Qté Réception 12/2020]))</f>
        <v>0</v>
      </c>
      <c r="CS95" s="84"/>
      <c r="CT95" s="351"/>
      <c r="CU95" s="351" t="str">
        <f>IFERROR(Tableau1[[#This Row],[Qté Facturé 12/2018]]*Tableau1[[#This Row],[Unit Price (calcul)]],"")</f>
        <v/>
      </c>
      <c r="CV95" s="351" t="str">
        <f>IFERROR(IF(Tableau1[[#This Row],[Montant Facturé 12/2018]]&gt;0,Tableau1[[#This Row],[Montant Facturé 12/2018]]/Taux_Change_SII,""),"")</f>
        <v/>
      </c>
      <c r="CW95" s="351"/>
      <c r="CX9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5" s="352" t="str">
        <f>IFERROR(Tableau1[[#This Row],[Total item réceptionné]]*Tableau1[[#This Row],[Unit Price (calcul)]],"")</f>
        <v/>
      </c>
      <c r="DB95" s="352" t="str">
        <f>IFERROR(Tableau1[[#This Row],[Total item à Facturer]]*Tableau1[[#This Row],[Unit Price (calcul)]],"")</f>
        <v/>
      </c>
      <c r="DC9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5" s="352" t="str">
        <f>IFERROR(Tableau1[[#This Row],[Line Total]]-Tableau1[[#This Row],[Total Price Réceptionné]],"")</f>
        <v/>
      </c>
      <c r="DE95" s="352" t="str">
        <f>IFERROR(Tableau1[[#This Row],[Total Price Réceptionné]]-Tableau1[[#This Row],[Total Price A facturer]],"")</f>
        <v/>
      </c>
      <c r="DF95" s="353" t="str">
        <f>IFERROR(Tableau1[[#This Row],[Total Price A facturer]]-Tableau1[[#This Row],[Total Price Facturé]],"")</f>
        <v/>
      </c>
      <c r="DG95" s="76">
        <f>Tableau1[[#This Row],[Total Item Quantity]]-Tableau1[[#This Row],[Total item réceptionné]]</f>
        <v>0</v>
      </c>
      <c r="DH95" s="167"/>
      <c r="DI95" s="167"/>
    </row>
    <row r="96" spans="1:113" s="74" customFormat="1">
      <c r="A96" s="77" t="str">
        <f>CONCATENATE(Tableau1[[#This Row],[PO Number (Header)]],"-",Tableau1[[#This Row],[Line]])</f>
        <v>-</v>
      </c>
      <c r="B96" s="77"/>
      <c r="C96" s="450"/>
      <c r="D96" s="102"/>
      <c r="E96" s="77"/>
      <c r="F96" s="77"/>
      <c r="G96" s="77"/>
      <c r="H96" s="77"/>
      <c r="I96" s="452"/>
      <c r="J96" s="452"/>
      <c r="K96" s="453"/>
      <c r="L96" s="453"/>
      <c r="M96" s="77"/>
      <c r="N96" s="77"/>
      <c r="O96" s="77"/>
      <c r="P96" s="77"/>
      <c r="Q96" s="395"/>
      <c r="R96" s="395"/>
      <c r="S96" s="77"/>
      <c r="T96" s="77"/>
      <c r="U96" s="77"/>
      <c r="V96" s="77"/>
      <c r="W96" s="167"/>
      <c r="X96" s="167"/>
      <c r="Y96" s="167" t="str">
        <f>IF(ISBLANK(Tableau1[[#This Row],[PO Number (Header)]]),"",Tableau1[[#This Row],[Line Total]]/Tableau1[[#This Row],[Total Item Quantity]])</f>
        <v/>
      </c>
      <c r="Z96" s="167" t="str">
        <f>IF(ISNA(VLOOKUP(Tableau1[[#This Row],[Unique_AIB_ID]],UO_List[Unique_AIB_ID],1,FALSE)),IF(ISBLANK(Tableau1[[#This Row],[PO Number (Header)]]),"","FAUX"),"VRAI")</f>
        <v/>
      </c>
      <c r="AA96" s="167"/>
      <c r="AB96" s="162" t="e">
        <f>VLOOKUP(Tableau1[[#This Row],[Unique_AIB_ID]],UO_List[[Unique_AIB_ID]:[OLGA F6]],3,FALSE)</f>
        <v>#N/A</v>
      </c>
      <c r="AC96" s="162" t="s">
        <v>790</v>
      </c>
      <c r="AD96" s="83">
        <f>SUMPRODUCT(1*(EXACT(CONCATENATE(Tableau1[[#This Row],[PO Number (Header)]],"-",Tableau1[[#This Row],[Line]]),UO_List[Unique_AIB_ID]))*(UO_List[Qté Réception 03/2020]))</f>
        <v>0</v>
      </c>
      <c r="AE96" s="84"/>
      <c r="AF96" s="357"/>
      <c r="AG96" s="351" t="str">
        <f>IFERROR(Tableau1[[#This Row],[Qté Facturé 01/2018]]*Tableau1[[#This Row],[Unit Price (calcul)]],"")</f>
        <v/>
      </c>
      <c r="AH96" s="356" t="str">
        <f>IFERROR(IF(Tableau1[[#This Row],[Montant Facturé 01/2018]]&gt;0,Tableau1[[#This Row],[Montant Facturé 01/2018]]/Taux_Change_SII,""),"")</f>
        <v/>
      </c>
      <c r="AI96" s="351"/>
      <c r="AJ96" s="83">
        <f>SUMPRODUCT(1*(EXACT(CONCATENATE(Tableau1[[#This Row],[PO Number (Header)]],"-",Tableau1[[#This Row],[Line]]),UO_List[Unique_AIB_ID]))*(UO_List[Qté Réception 02/2020]))</f>
        <v>0</v>
      </c>
      <c r="AK96" s="83">
        <f>SUMPRODUCT(1*(EXACT(CONCATENATE(Tableau1[[#This Row],[PO Number (Header)]],"-",Tableau1[[#This Row],[Line]]),UO_List[Unique_AIB_ID]))*(UO_List[Qté Réception 02/2020]))</f>
        <v>0</v>
      </c>
      <c r="AL96" s="357"/>
      <c r="AM96" s="351" t="str">
        <f>IFERROR(Tableau1[[#This Row],[Qté Facturé 02/2018]]*Tableau1[[#This Row],[Unit Price (calcul)]],"")</f>
        <v/>
      </c>
      <c r="AN96" s="351" t="str">
        <f>IFERROR(IF(Tableau1[[#This Row],[Montant Facturé 02/2018]]&gt;0,Tableau1[[#This Row],[Montant Facturé 02/2018]]/Taux_Change_SII,""),"")</f>
        <v/>
      </c>
      <c r="AO96" s="351"/>
      <c r="AP96" s="83">
        <f>SUMPRODUCT(1*(EXACT(CONCATENATE(Tableau1[[#This Row],[PO Number (Header)]],"-",Tableau1[[#This Row],[Line]]),UO_List[Unique_AIB_ID]))*(UO_List[Qté Réception 00/2020]))</f>
        <v>0</v>
      </c>
      <c r="AQ96" s="84"/>
      <c r="AR96" s="357"/>
      <c r="AS96" s="351" t="str">
        <f>IFERROR(Tableau1[[#This Row],[Qté Facturé 03/2018]]*Tableau1[[#This Row],[Unit Price (calcul)]],"")</f>
        <v/>
      </c>
      <c r="AT96" s="351" t="str">
        <f>IFERROR(IF(Tableau1[[#This Row],[Montant Facturé 03/2018]]&gt;0,Tableau1[[#This Row],[Montant Facturé 03/2018]]/Taux_Change_SII,""),"")</f>
        <v/>
      </c>
      <c r="AU96" s="351"/>
      <c r="AV96" s="83">
        <f>SUMPRODUCT(1*(EXACT(CONCATENATE(Tableau1[[#This Row],[PO Number (Header)]],"-",Tableau1[[#This Row],[Line]]),UO_List[Unique_AIB_ID]))*(UO_List[Qté Réception 04/2020]))</f>
        <v>0</v>
      </c>
      <c r="AW96" s="84"/>
      <c r="AX96" s="351"/>
      <c r="AY96" s="351" t="str">
        <f>IFERROR(Tableau1[[#This Row],[Qté Facturé 04/2018]]*Tableau1[[#This Row],[Unit Price (calcul)]],"")</f>
        <v/>
      </c>
      <c r="AZ96" s="351" t="str">
        <f>IFERROR(IF(Tableau1[[#This Row],[Montant Facturé 04/2018]]&gt;0,Tableau1[[#This Row],[Montant Facturé 04/2018]]/Taux_Change_SII,""),"")</f>
        <v/>
      </c>
      <c r="BA96" s="351"/>
      <c r="BB96" s="83">
        <f>SUMPRODUCT(1*(EXACT(CONCATENATE(Tableau1[[#This Row],[PO Number (Header)]],"-",Tableau1[[#This Row],[Line]]),UO_List[Unique_AIB_ID]))*(UO_List[Qté Réception 05/2020]))</f>
        <v>0</v>
      </c>
      <c r="BC96" s="84"/>
      <c r="BD96" s="351"/>
      <c r="BE96" s="351" t="str">
        <f>IFERROR(Tableau1[[#This Row],[Qté Facturé 05/2018]]*Tableau1[[#This Row],[Unit Price (calcul)]],"")</f>
        <v/>
      </c>
      <c r="BF96" s="351" t="str">
        <f>IFERROR(IF(Tableau1[[#This Row],[Montant Facturé 05/2018]]&gt;0,Tableau1[[#This Row],[Montant Facturé 05/2018]]/Taux_Change_SII,""),"")</f>
        <v/>
      </c>
      <c r="BG96" s="351"/>
      <c r="BH96" s="83">
        <f>SUMPRODUCT(1*(EXACT(CONCATENATE(Tableau1[[#This Row],[PO Number (Header)]],"-",Tableau1[[#This Row],[Line]]),UO_List[Unique_AIB_ID]))*(UO_List[Qté Réception 06/2020]))</f>
        <v>0</v>
      </c>
      <c r="BI96" s="84"/>
      <c r="BJ96" s="351"/>
      <c r="BK96" s="351" t="str">
        <f>IFERROR(Tableau1[[#This Row],[Qté Facturé 06/2018]]*Tableau1[[#This Row],[Unit Price (calcul)]],"")</f>
        <v/>
      </c>
      <c r="BL96" s="351" t="str">
        <f>IFERROR(IF(Tableau1[[#This Row],[Montant Facturé 06/2018]]&gt;0,Tableau1[[#This Row],[Montant Facturé 06/2018]]/Taux_Change_SII,""),"")</f>
        <v/>
      </c>
      <c r="BM96" s="351"/>
      <c r="BN96" s="83">
        <f>SUMPRODUCT(1*(EXACT(CONCATENATE(Tableau1[[#This Row],[PO Number (Header)]],"-",Tableau1[[#This Row],[Line]]),UO_List[Unique_AIB_ID]))*(UO_List[Qté Réception 07/2020]))</f>
        <v>0</v>
      </c>
      <c r="BO96" s="84">
        <v>0</v>
      </c>
      <c r="BP96" s="351"/>
      <c r="BQ96" s="351" t="str">
        <f>IFERROR(Tableau1[[#This Row],[Qté Facturé 07/2018]]*Tableau1[[#This Row],[Unit Price (calcul)]],"")</f>
        <v/>
      </c>
      <c r="BR96" s="351" t="str">
        <f>IFERROR(IF(Tableau1[[#This Row],[Montant Facturé 07/2018]]&gt;0,Tableau1[[#This Row],[Montant Facturé 07/2018]]/Taux_Change_SII,""),"")</f>
        <v/>
      </c>
      <c r="BS96" s="351"/>
      <c r="BT96" s="83">
        <f>SUMPRODUCT(1*(EXACT(CONCATENATE(Tableau1[[#This Row],[PO Number (Header)]],"-",Tableau1[[#This Row],[Line]]),UO_List[Unique_AIB_ID]))*(UO_List[Qté Réception 08/2020]))</f>
        <v>0</v>
      </c>
      <c r="BU96" s="84"/>
      <c r="BV96" s="351"/>
      <c r="BW96" s="351" t="str">
        <f>IFERROR(Tableau1[[#This Row],[Qté Facturé 08/2018]]*Tableau1[[#This Row],[Unit Price (calcul)]],"")</f>
        <v/>
      </c>
      <c r="BX96" s="351" t="str">
        <f>IFERROR(IF(Tableau1[[#This Row],[Montant Facturé 08/2018]]&gt;0,Tableau1[[#This Row],[Montant Facturé 08/2018]]/Taux_Change_SII,""),"")</f>
        <v/>
      </c>
      <c r="BY96" s="351"/>
      <c r="BZ96" s="83">
        <f>SUMPRODUCT(1*(EXACT(CONCATENATE(Tableau1[[#This Row],[PO Number (Header)]],"-",Tableau1[[#This Row],[Line]]),UO_List[Unique_AIB_ID]))*(UO_List[Qté Réception 09/2020]))</f>
        <v>0</v>
      </c>
      <c r="CA96" s="83"/>
      <c r="CB96" s="351"/>
      <c r="CC96" s="351" t="str">
        <f>IFERROR(Tableau1[[#This Row],[Qté Facturé 09/2018]]*Tableau1[[#This Row],[Unit Price (calcul)]],"")</f>
        <v/>
      </c>
      <c r="CD96" s="351" t="str">
        <f>IFERROR(IF(Tableau1[[#This Row],[Montant Facturé 09/2018]]&gt;0,Tableau1[[#This Row],[Montant Facturé 09/2018]]/Taux_Change_SII,""),"")</f>
        <v/>
      </c>
      <c r="CE96" s="351"/>
      <c r="CF96" s="83">
        <f>SUMPRODUCT(1*(EXACT(CONCATENATE(Tableau1[[#This Row],[PO Number (Header)]],"-",Tableau1[[#This Row],[Line]]),UO_List[Unique_AIB_ID]))*(UO_List[Qté Réception 10/2020]))</f>
        <v>0</v>
      </c>
      <c r="CG96" s="84"/>
      <c r="CH96" s="84"/>
      <c r="CI96" s="488" t="str">
        <f>IFERROR(Tableau1[[#This Row],[Qté Facturé 10/2018]]*Tableau1[[#This Row],[Unit Price (calcul)]],"")</f>
        <v/>
      </c>
      <c r="CJ96" s="351" t="str">
        <f>IFERROR(IF(Tableau1[[#This Row],[Montant Facturé 10/2018]]&gt;0,Tableau1[[#This Row],[Montant Facturé 10/2018]]/Taux_Change_SII,""),"")</f>
        <v/>
      </c>
      <c r="CK96" s="351"/>
      <c r="CL96" s="83">
        <f>SUMPRODUCT(1*(EXACT(CONCATENATE(Tableau1[[#This Row],[PO Number (Header)]],"-",Tableau1[[#This Row],[Line]]),UO_List[Unique_AIB_ID]))*(UO_List[Qté Réception 11/2020]))</f>
        <v>0</v>
      </c>
      <c r="CM96" s="84"/>
      <c r="CN96" s="351"/>
      <c r="CO96" s="351" t="str">
        <f>IFERROR(Tableau1[[#This Row],[Qté Facturé 11/2018]]*Tableau1[[#This Row],[Unit Price (calcul)]],"")</f>
        <v/>
      </c>
      <c r="CP96" s="351" t="str">
        <f>IFERROR(IF(Tableau1[[#This Row],[Montant Facturé 11/2018]]&gt;0,Tableau1[[#This Row],[Montant Facturé 11/2018]]/Taux_Change_SII,""),"")</f>
        <v/>
      </c>
      <c r="CQ96" s="351"/>
      <c r="CR96" s="83">
        <f>SUMPRODUCT(1*(EXACT(CONCATENATE(Tableau1[[#This Row],[PO Number (Header)]],"-",Tableau1[[#This Row],[Line]]),UO_List[Unique_AIB_ID]))*(UO_List[Qté Réception 12/2020]))</f>
        <v>0</v>
      </c>
      <c r="CS96" s="84"/>
      <c r="CT96" s="351"/>
      <c r="CU96" s="351" t="str">
        <f>IFERROR(Tableau1[[#This Row],[Qté Facturé 12/2018]]*Tableau1[[#This Row],[Unit Price (calcul)]],"")</f>
        <v/>
      </c>
      <c r="CV96" s="351" t="str">
        <f>IFERROR(IF(Tableau1[[#This Row],[Montant Facturé 12/2018]]&gt;0,Tableau1[[#This Row],[Montant Facturé 12/2018]]/Taux_Change_SII,""),"")</f>
        <v/>
      </c>
      <c r="CW96" s="351"/>
      <c r="CX9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6" s="352" t="str">
        <f>IFERROR(Tableau1[[#This Row],[Total item réceptionné]]*Tableau1[[#This Row],[Unit Price (calcul)]],"")</f>
        <v/>
      </c>
      <c r="DB96" s="352" t="str">
        <f>IFERROR(Tableau1[[#This Row],[Total item à Facturer]]*Tableau1[[#This Row],[Unit Price (calcul)]],"")</f>
        <v/>
      </c>
      <c r="DC9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6" s="352" t="str">
        <f>IFERROR(Tableau1[[#This Row],[Line Total]]-Tableau1[[#This Row],[Total Price Réceptionné]],"")</f>
        <v/>
      </c>
      <c r="DE96" s="352" t="str">
        <f>IFERROR(Tableau1[[#This Row],[Total Price Réceptionné]]-Tableau1[[#This Row],[Total Price A facturer]],"")</f>
        <v/>
      </c>
      <c r="DF96" s="353" t="str">
        <f>IFERROR(Tableau1[[#This Row],[Total Price A facturer]]-Tableau1[[#This Row],[Total Price Facturé]],"")</f>
        <v/>
      </c>
      <c r="DG96" s="76">
        <f>Tableau1[[#This Row],[Total Item Quantity]]-Tableau1[[#This Row],[Total item réceptionné]]</f>
        <v>0</v>
      </c>
      <c r="DH96" s="167"/>
      <c r="DI96" s="167"/>
    </row>
    <row r="97" spans="1:113" s="74" customFormat="1">
      <c r="A97" s="77" t="str">
        <f>CONCATENATE(Tableau1[[#This Row],[PO Number (Header)]],"-",Tableau1[[#This Row],[Line]])</f>
        <v>-</v>
      </c>
      <c r="B97" s="77"/>
      <c r="C97" s="450"/>
      <c r="D97" s="102"/>
      <c r="E97" s="77"/>
      <c r="F97" s="77"/>
      <c r="G97" s="77"/>
      <c r="H97" s="77"/>
      <c r="I97" s="452"/>
      <c r="J97" s="452"/>
      <c r="K97" s="453"/>
      <c r="L97" s="453"/>
      <c r="M97" s="77"/>
      <c r="N97" s="77"/>
      <c r="O97" s="77"/>
      <c r="P97" s="77"/>
      <c r="Q97" s="395"/>
      <c r="R97" s="395"/>
      <c r="S97" s="77"/>
      <c r="T97" s="77"/>
      <c r="U97" s="77"/>
      <c r="V97" s="77"/>
      <c r="W97" s="167"/>
      <c r="X97" s="167"/>
      <c r="Y97" s="167" t="str">
        <f>IF(ISBLANK(Tableau1[[#This Row],[PO Number (Header)]]),"",Tableau1[[#This Row],[Line Total]]/Tableau1[[#This Row],[Total Item Quantity]])</f>
        <v/>
      </c>
      <c r="Z97" s="167" t="str">
        <f>IF(ISNA(VLOOKUP(Tableau1[[#This Row],[Unique_AIB_ID]],UO_List[Unique_AIB_ID],1,FALSE)),IF(ISBLANK(Tableau1[[#This Row],[PO Number (Header)]]),"","FAUX"),"VRAI")</f>
        <v/>
      </c>
      <c r="AA97" s="167"/>
      <c r="AB97" s="162" t="e">
        <f>VLOOKUP(Tableau1[[#This Row],[Unique_AIB_ID]],UO_List[[Unique_AIB_ID]:[OLGA F6]],3,FALSE)</f>
        <v>#N/A</v>
      </c>
      <c r="AC97" s="162" t="s">
        <v>790</v>
      </c>
      <c r="AD97" s="83">
        <f>SUMPRODUCT(1*(EXACT(CONCATENATE(Tableau1[[#This Row],[PO Number (Header)]],"-",Tableau1[[#This Row],[Line]]),UO_List[Unique_AIB_ID]))*(UO_List[Qté Réception 03/2020]))</f>
        <v>0</v>
      </c>
      <c r="AE97" s="84"/>
      <c r="AF97" s="357"/>
      <c r="AG97" s="351" t="str">
        <f>IFERROR(Tableau1[[#This Row],[Qté Facturé 01/2018]]*Tableau1[[#This Row],[Unit Price (calcul)]],"")</f>
        <v/>
      </c>
      <c r="AH97" s="356" t="str">
        <f>IFERROR(IF(Tableau1[[#This Row],[Montant Facturé 01/2018]]&gt;0,Tableau1[[#This Row],[Montant Facturé 01/2018]]/Taux_Change_SII,""),"")</f>
        <v/>
      </c>
      <c r="AI97" s="351"/>
      <c r="AJ97" s="83">
        <f>SUMPRODUCT(1*(EXACT(CONCATENATE(Tableau1[[#This Row],[PO Number (Header)]],"-",Tableau1[[#This Row],[Line]]),UO_List[Unique_AIB_ID]))*(UO_List[Qté Réception 02/2020]))</f>
        <v>0</v>
      </c>
      <c r="AK97" s="83">
        <f>SUMPRODUCT(1*(EXACT(CONCATENATE(Tableau1[[#This Row],[PO Number (Header)]],"-",Tableau1[[#This Row],[Line]]),UO_List[Unique_AIB_ID]))*(UO_List[Qté Réception 02/2020]))</f>
        <v>0</v>
      </c>
      <c r="AL97" s="357"/>
      <c r="AM97" s="351" t="str">
        <f>IFERROR(Tableau1[[#This Row],[Qté Facturé 02/2018]]*Tableau1[[#This Row],[Unit Price (calcul)]],"")</f>
        <v/>
      </c>
      <c r="AN97" s="351" t="str">
        <f>IFERROR(IF(Tableau1[[#This Row],[Montant Facturé 02/2018]]&gt;0,Tableau1[[#This Row],[Montant Facturé 02/2018]]/Taux_Change_SII,""),"")</f>
        <v/>
      </c>
      <c r="AO97" s="351"/>
      <c r="AP97" s="83">
        <f>SUMPRODUCT(1*(EXACT(CONCATENATE(Tableau1[[#This Row],[PO Number (Header)]],"-",Tableau1[[#This Row],[Line]]),UO_List[Unique_AIB_ID]))*(UO_List[Qté Réception 00/2020]))</f>
        <v>0</v>
      </c>
      <c r="AQ97" s="84"/>
      <c r="AR97" s="357"/>
      <c r="AS97" s="351" t="str">
        <f>IFERROR(Tableau1[[#This Row],[Qté Facturé 03/2018]]*Tableau1[[#This Row],[Unit Price (calcul)]],"")</f>
        <v/>
      </c>
      <c r="AT97" s="351" t="str">
        <f>IFERROR(IF(Tableau1[[#This Row],[Montant Facturé 03/2018]]&gt;0,Tableau1[[#This Row],[Montant Facturé 03/2018]]/Taux_Change_SII,""),"")</f>
        <v/>
      </c>
      <c r="AU97" s="351"/>
      <c r="AV97" s="83">
        <f>SUMPRODUCT(1*(EXACT(CONCATENATE(Tableau1[[#This Row],[PO Number (Header)]],"-",Tableau1[[#This Row],[Line]]),UO_List[Unique_AIB_ID]))*(UO_List[Qté Réception 04/2020]))</f>
        <v>0</v>
      </c>
      <c r="AW97" s="84"/>
      <c r="AX97" s="351"/>
      <c r="AY97" s="351" t="str">
        <f>IFERROR(Tableau1[[#This Row],[Qté Facturé 04/2018]]*Tableau1[[#This Row],[Unit Price (calcul)]],"")</f>
        <v/>
      </c>
      <c r="AZ97" s="351" t="str">
        <f>IFERROR(IF(Tableau1[[#This Row],[Montant Facturé 04/2018]]&gt;0,Tableau1[[#This Row],[Montant Facturé 04/2018]]/Taux_Change_SII,""),"")</f>
        <v/>
      </c>
      <c r="BA97" s="351"/>
      <c r="BB97" s="83">
        <f>SUMPRODUCT(1*(EXACT(CONCATENATE(Tableau1[[#This Row],[PO Number (Header)]],"-",Tableau1[[#This Row],[Line]]),UO_List[Unique_AIB_ID]))*(UO_List[Qté Réception 05/2020]))</f>
        <v>0</v>
      </c>
      <c r="BC97" s="84"/>
      <c r="BD97" s="351"/>
      <c r="BE97" s="351" t="str">
        <f>IFERROR(Tableau1[[#This Row],[Qté Facturé 05/2018]]*Tableau1[[#This Row],[Unit Price (calcul)]],"")</f>
        <v/>
      </c>
      <c r="BF97" s="351" t="str">
        <f>IFERROR(IF(Tableau1[[#This Row],[Montant Facturé 05/2018]]&gt;0,Tableau1[[#This Row],[Montant Facturé 05/2018]]/Taux_Change_SII,""),"")</f>
        <v/>
      </c>
      <c r="BG97" s="351"/>
      <c r="BH97" s="83">
        <f>SUMPRODUCT(1*(EXACT(CONCATENATE(Tableau1[[#This Row],[PO Number (Header)]],"-",Tableau1[[#This Row],[Line]]),UO_List[Unique_AIB_ID]))*(UO_List[Qté Réception 06/2020]))</f>
        <v>0</v>
      </c>
      <c r="BI97" s="84"/>
      <c r="BJ97" s="351"/>
      <c r="BK97" s="351" t="str">
        <f>IFERROR(Tableau1[[#This Row],[Qté Facturé 06/2018]]*Tableau1[[#This Row],[Unit Price (calcul)]],"")</f>
        <v/>
      </c>
      <c r="BL97" s="351" t="str">
        <f>IFERROR(IF(Tableau1[[#This Row],[Montant Facturé 06/2018]]&gt;0,Tableau1[[#This Row],[Montant Facturé 06/2018]]/Taux_Change_SII,""),"")</f>
        <v/>
      </c>
      <c r="BM97" s="351"/>
      <c r="BN97" s="83">
        <f>SUMPRODUCT(1*(EXACT(CONCATENATE(Tableau1[[#This Row],[PO Number (Header)]],"-",Tableau1[[#This Row],[Line]]),UO_List[Unique_AIB_ID]))*(UO_List[Qté Réception 07/2020]))</f>
        <v>0</v>
      </c>
      <c r="BO97" s="84"/>
      <c r="BP97" s="351"/>
      <c r="BQ97" s="351" t="str">
        <f>IFERROR(Tableau1[[#This Row],[Qté Facturé 07/2018]]*Tableau1[[#This Row],[Unit Price (calcul)]],"")</f>
        <v/>
      </c>
      <c r="BR97" s="351" t="str">
        <f>IFERROR(IF(Tableau1[[#This Row],[Montant Facturé 07/2018]]&gt;0,Tableau1[[#This Row],[Montant Facturé 07/2018]]/Taux_Change_SII,""),"")</f>
        <v/>
      </c>
      <c r="BS97" s="351"/>
      <c r="BT97" s="83">
        <f>SUMPRODUCT(1*(EXACT(CONCATENATE(Tableau1[[#This Row],[PO Number (Header)]],"-",Tableau1[[#This Row],[Line]]),UO_List[Unique_AIB_ID]))*(UO_List[Qté Réception 08/2020]))</f>
        <v>0</v>
      </c>
      <c r="BU97" s="84"/>
      <c r="BV97" s="351"/>
      <c r="BW97" s="351" t="str">
        <f>IFERROR(Tableau1[[#This Row],[Qté Facturé 08/2018]]*Tableau1[[#This Row],[Unit Price (calcul)]],"")</f>
        <v/>
      </c>
      <c r="BX97" s="351" t="str">
        <f>IFERROR(IF(Tableau1[[#This Row],[Montant Facturé 08/2018]]&gt;0,Tableau1[[#This Row],[Montant Facturé 08/2018]]/Taux_Change_SII,""),"")</f>
        <v/>
      </c>
      <c r="BY97" s="351"/>
      <c r="BZ97" s="83">
        <f>SUMPRODUCT(1*(EXACT(CONCATENATE(Tableau1[[#This Row],[PO Number (Header)]],"-",Tableau1[[#This Row],[Line]]),UO_List[Unique_AIB_ID]))*(UO_List[Qté Réception 09/2020]))</f>
        <v>0</v>
      </c>
      <c r="CA97" s="83"/>
      <c r="CB97" s="351"/>
      <c r="CC97" s="351" t="str">
        <f>IFERROR(Tableau1[[#This Row],[Qté Facturé 09/2018]]*Tableau1[[#This Row],[Unit Price (calcul)]],"")</f>
        <v/>
      </c>
      <c r="CD97" s="351" t="str">
        <f>IFERROR(IF(Tableau1[[#This Row],[Montant Facturé 09/2018]]&gt;0,Tableau1[[#This Row],[Montant Facturé 09/2018]]/Taux_Change_SII,""),"")</f>
        <v/>
      </c>
      <c r="CE97" s="351"/>
      <c r="CF97" s="83">
        <f>SUMPRODUCT(1*(EXACT(CONCATENATE(Tableau1[[#This Row],[PO Number (Header)]],"-",Tableau1[[#This Row],[Line]]),UO_List[Unique_AIB_ID]))*(UO_List[Qté Réception 10/2020]))</f>
        <v>0</v>
      </c>
      <c r="CG97" s="84"/>
      <c r="CH97" s="84"/>
      <c r="CI97" s="488" t="str">
        <f>IFERROR(Tableau1[[#This Row],[Qté Facturé 10/2018]]*Tableau1[[#This Row],[Unit Price (calcul)]],"")</f>
        <v/>
      </c>
      <c r="CJ97" s="351" t="str">
        <f>IFERROR(IF(Tableau1[[#This Row],[Montant Facturé 10/2018]]&gt;0,Tableau1[[#This Row],[Montant Facturé 10/2018]]/Taux_Change_SII,""),"")</f>
        <v/>
      </c>
      <c r="CK97" s="351"/>
      <c r="CL97" s="83">
        <f>SUMPRODUCT(1*(EXACT(CONCATENATE(Tableau1[[#This Row],[PO Number (Header)]],"-",Tableau1[[#This Row],[Line]]),UO_List[Unique_AIB_ID]))*(UO_List[Qté Réception 11/2020]))</f>
        <v>0</v>
      </c>
      <c r="CM97" s="84"/>
      <c r="CN97" s="351"/>
      <c r="CO97" s="351" t="str">
        <f>IFERROR(Tableau1[[#This Row],[Qté Facturé 11/2018]]*Tableau1[[#This Row],[Unit Price (calcul)]],"")</f>
        <v/>
      </c>
      <c r="CP97" s="351" t="str">
        <f>IFERROR(IF(Tableau1[[#This Row],[Montant Facturé 11/2018]]&gt;0,Tableau1[[#This Row],[Montant Facturé 11/2018]]/Taux_Change_SII,""),"")</f>
        <v/>
      </c>
      <c r="CQ97" s="351"/>
      <c r="CR97" s="83">
        <f>SUMPRODUCT(1*(EXACT(CONCATENATE(Tableau1[[#This Row],[PO Number (Header)]],"-",Tableau1[[#This Row],[Line]]),UO_List[Unique_AIB_ID]))*(UO_List[Qté Réception 12/2020]))</f>
        <v>0</v>
      </c>
      <c r="CS97" s="84"/>
      <c r="CT97" s="351"/>
      <c r="CU97" s="351" t="str">
        <f>IFERROR(Tableau1[[#This Row],[Qté Facturé 12/2018]]*Tableau1[[#This Row],[Unit Price (calcul)]],"")</f>
        <v/>
      </c>
      <c r="CV97" s="351" t="str">
        <f>IFERROR(IF(Tableau1[[#This Row],[Montant Facturé 12/2018]]&gt;0,Tableau1[[#This Row],[Montant Facturé 12/2018]]/Taux_Change_SII,""),"")</f>
        <v/>
      </c>
      <c r="CW97" s="351"/>
      <c r="CX9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7" s="352" t="str">
        <f>IFERROR(Tableau1[[#This Row],[Total item réceptionné]]*Tableau1[[#This Row],[Unit Price (calcul)]],"")</f>
        <v/>
      </c>
      <c r="DB97" s="352" t="str">
        <f>IFERROR(Tableau1[[#This Row],[Total item à Facturer]]*Tableau1[[#This Row],[Unit Price (calcul)]],"")</f>
        <v/>
      </c>
      <c r="DC9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7" s="352" t="str">
        <f>IFERROR(Tableau1[[#This Row],[Line Total]]-Tableau1[[#This Row],[Total Price Réceptionné]],"")</f>
        <v/>
      </c>
      <c r="DE97" s="352" t="str">
        <f>IFERROR(Tableau1[[#This Row],[Total Price Réceptionné]]-Tableau1[[#This Row],[Total Price A facturer]],"")</f>
        <v/>
      </c>
      <c r="DF97" s="353" t="str">
        <f>IFERROR(Tableau1[[#This Row],[Total Price A facturer]]-Tableau1[[#This Row],[Total Price Facturé]],"")</f>
        <v/>
      </c>
      <c r="DG97" s="76">
        <f>Tableau1[[#This Row],[Total Item Quantity]]-Tableau1[[#This Row],[Total item réceptionné]]</f>
        <v>0</v>
      </c>
      <c r="DH97" s="167"/>
      <c r="DI97" s="167"/>
    </row>
    <row r="98" spans="1:113" s="74" customFormat="1">
      <c r="A98" s="77" t="str">
        <f>CONCATENATE(Tableau1[[#This Row],[PO Number (Header)]],"-",Tableau1[[#This Row],[Line]])</f>
        <v>-</v>
      </c>
      <c r="B98" s="77"/>
      <c r="C98" s="450"/>
      <c r="D98" s="102"/>
      <c r="E98" s="77"/>
      <c r="F98" s="77"/>
      <c r="G98" s="77"/>
      <c r="H98" s="77"/>
      <c r="I98" s="452"/>
      <c r="J98" s="452"/>
      <c r="K98" s="453"/>
      <c r="L98" s="453"/>
      <c r="M98" s="77"/>
      <c r="N98" s="77"/>
      <c r="O98" s="77"/>
      <c r="P98" s="77"/>
      <c r="Q98" s="395"/>
      <c r="R98" s="395"/>
      <c r="S98" s="77"/>
      <c r="T98" s="77"/>
      <c r="U98" s="77"/>
      <c r="V98" s="77"/>
      <c r="W98" s="167"/>
      <c r="X98" s="167"/>
      <c r="Y98" s="167" t="str">
        <f>IF(ISBLANK(Tableau1[[#This Row],[PO Number (Header)]]),"",Tableau1[[#This Row],[Line Total]]/Tableau1[[#This Row],[Total Item Quantity]])</f>
        <v/>
      </c>
      <c r="Z98" s="167" t="str">
        <f>IF(ISNA(VLOOKUP(Tableau1[[#This Row],[Unique_AIB_ID]],UO_List[Unique_AIB_ID],1,FALSE)),IF(ISBLANK(Tableau1[[#This Row],[PO Number (Header)]]),"","FAUX"),"VRAI")</f>
        <v/>
      </c>
      <c r="AA98" s="167"/>
      <c r="AB98" s="162" t="e">
        <f>VLOOKUP(Tableau1[[#This Row],[Unique_AIB_ID]],UO_List[[Unique_AIB_ID]:[OLGA F6]],3,FALSE)</f>
        <v>#N/A</v>
      </c>
      <c r="AC98" s="162" t="s">
        <v>790</v>
      </c>
      <c r="AD98" s="83">
        <f>SUMPRODUCT(1*(EXACT(CONCATENATE(Tableau1[[#This Row],[PO Number (Header)]],"-",Tableau1[[#This Row],[Line]]),UO_List[Unique_AIB_ID]))*(UO_List[Qté Réception 03/2020]))</f>
        <v>0</v>
      </c>
      <c r="AE98" s="84"/>
      <c r="AF98" s="357"/>
      <c r="AG98" s="351" t="str">
        <f>IFERROR(Tableau1[[#This Row],[Qté Facturé 01/2018]]*Tableau1[[#This Row],[Unit Price (calcul)]],"")</f>
        <v/>
      </c>
      <c r="AH98" s="356" t="str">
        <f>IFERROR(IF(Tableau1[[#This Row],[Montant Facturé 01/2018]]&gt;0,Tableau1[[#This Row],[Montant Facturé 01/2018]]/Taux_Change_SII,""),"")</f>
        <v/>
      </c>
      <c r="AI98" s="351"/>
      <c r="AJ98" s="83">
        <f>SUMPRODUCT(1*(EXACT(CONCATENATE(Tableau1[[#This Row],[PO Number (Header)]],"-",Tableau1[[#This Row],[Line]]),UO_List[Unique_AIB_ID]))*(UO_List[Qté Réception 02/2020]))</f>
        <v>0</v>
      </c>
      <c r="AK98" s="83">
        <f>SUMPRODUCT(1*(EXACT(CONCATENATE(Tableau1[[#This Row],[PO Number (Header)]],"-",Tableau1[[#This Row],[Line]]),UO_List[Unique_AIB_ID]))*(UO_List[Qté Réception 02/2020]))</f>
        <v>0</v>
      </c>
      <c r="AL98" s="357"/>
      <c r="AM98" s="351" t="str">
        <f>IFERROR(Tableau1[[#This Row],[Qté Facturé 02/2018]]*Tableau1[[#This Row],[Unit Price (calcul)]],"")</f>
        <v/>
      </c>
      <c r="AN98" s="351" t="str">
        <f>IFERROR(IF(Tableau1[[#This Row],[Montant Facturé 02/2018]]&gt;0,Tableau1[[#This Row],[Montant Facturé 02/2018]]/Taux_Change_SII,""),"")</f>
        <v/>
      </c>
      <c r="AO98" s="351"/>
      <c r="AP98" s="83">
        <f>SUMPRODUCT(1*(EXACT(CONCATENATE(Tableau1[[#This Row],[PO Number (Header)]],"-",Tableau1[[#This Row],[Line]]),UO_List[Unique_AIB_ID]))*(UO_List[Qté Réception 00/2020]))</f>
        <v>0</v>
      </c>
      <c r="AQ98" s="84"/>
      <c r="AR98" s="357"/>
      <c r="AS98" s="351" t="str">
        <f>IFERROR(Tableau1[[#This Row],[Qté Facturé 03/2018]]*Tableau1[[#This Row],[Unit Price (calcul)]],"")</f>
        <v/>
      </c>
      <c r="AT98" s="351" t="str">
        <f>IFERROR(IF(Tableau1[[#This Row],[Montant Facturé 03/2018]]&gt;0,Tableau1[[#This Row],[Montant Facturé 03/2018]]/Taux_Change_SII,""),"")</f>
        <v/>
      </c>
      <c r="AU98" s="351"/>
      <c r="AV98" s="83">
        <f>SUMPRODUCT(1*(EXACT(CONCATENATE(Tableau1[[#This Row],[PO Number (Header)]],"-",Tableau1[[#This Row],[Line]]),UO_List[Unique_AIB_ID]))*(UO_List[Qté Réception 04/2020]))</f>
        <v>0</v>
      </c>
      <c r="AW98" s="84"/>
      <c r="AX98" s="351"/>
      <c r="AY98" s="351" t="str">
        <f>IFERROR(Tableau1[[#This Row],[Qté Facturé 04/2018]]*Tableau1[[#This Row],[Unit Price (calcul)]],"")</f>
        <v/>
      </c>
      <c r="AZ98" s="351" t="str">
        <f>IFERROR(IF(Tableau1[[#This Row],[Montant Facturé 04/2018]]&gt;0,Tableau1[[#This Row],[Montant Facturé 04/2018]]/Taux_Change_SII,""),"")</f>
        <v/>
      </c>
      <c r="BA98" s="351"/>
      <c r="BB98" s="83">
        <f>SUMPRODUCT(1*(EXACT(CONCATENATE(Tableau1[[#This Row],[PO Number (Header)]],"-",Tableau1[[#This Row],[Line]]),UO_List[Unique_AIB_ID]))*(UO_List[Qté Réception 05/2020]))</f>
        <v>0</v>
      </c>
      <c r="BC98" s="84"/>
      <c r="BD98" s="351"/>
      <c r="BE98" s="351" t="str">
        <f>IFERROR(Tableau1[[#This Row],[Qté Facturé 05/2018]]*Tableau1[[#This Row],[Unit Price (calcul)]],"")</f>
        <v/>
      </c>
      <c r="BF98" s="351" t="str">
        <f>IFERROR(IF(Tableau1[[#This Row],[Montant Facturé 05/2018]]&gt;0,Tableau1[[#This Row],[Montant Facturé 05/2018]]/Taux_Change_SII,""),"")</f>
        <v/>
      </c>
      <c r="BG98" s="351"/>
      <c r="BH98" s="83">
        <f>SUMPRODUCT(1*(EXACT(CONCATENATE(Tableau1[[#This Row],[PO Number (Header)]],"-",Tableau1[[#This Row],[Line]]),UO_List[Unique_AIB_ID]))*(UO_List[Qté Réception 06/2020]))</f>
        <v>0</v>
      </c>
      <c r="BI98" s="84"/>
      <c r="BJ98" s="351"/>
      <c r="BK98" s="351" t="str">
        <f>IFERROR(Tableau1[[#This Row],[Qté Facturé 06/2018]]*Tableau1[[#This Row],[Unit Price (calcul)]],"")</f>
        <v/>
      </c>
      <c r="BL98" s="351" t="str">
        <f>IFERROR(IF(Tableau1[[#This Row],[Montant Facturé 06/2018]]&gt;0,Tableau1[[#This Row],[Montant Facturé 06/2018]]/Taux_Change_SII,""),"")</f>
        <v/>
      </c>
      <c r="BM98" s="351"/>
      <c r="BN98" s="83">
        <f>SUMPRODUCT(1*(EXACT(CONCATENATE(Tableau1[[#This Row],[PO Number (Header)]],"-",Tableau1[[#This Row],[Line]]),UO_List[Unique_AIB_ID]))*(UO_List[Qté Réception 07/2020]))</f>
        <v>0</v>
      </c>
      <c r="BO98" s="84">
        <v>0</v>
      </c>
      <c r="BP98" s="351"/>
      <c r="BQ98" s="351" t="str">
        <f>IFERROR(Tableau1[[#This Row],[Qté Facturé 07/2018]]*Tableau1[[#This Row],[Unit Price (calcul)]],"")</f>
        <v/>
      </c>
      <c r="BR98" s="351" t="str">
        <f>IFERROR(IF(Tableau1[[#This Row],[Montant Facturé 07/2018]]&gt;0,Tableau1[[#This Row],[Montant Facturé 07/2018]]/Taux_Change_SII,""),"")</f>
        <v/>
      </c>
      <c r="BS98" s="351"/>
      <c r="BT98" s="83">
        <f>SUMPRODUCT(1*(EXACT(CONCATENATE(Tableau1[[#This Row],[PO Number (Header)]],"-",Tableau1[[#This Row],[Line]]),UO_List[Unique_AIB_ID]))*(UO_List[Qté Réception 08/2020]))</f>
        <v>0</v>
      </c>
      <c r="BU98" s="84"/>
      <c r="BV98" s="351"/>
      <c r="BW98" s="351" t="str">
        <f>IFERROR(Tableau1[[#This Row],[Qté Facturé 08/2018]]*Tableau1[[#This Row],[Unit Price (calcul)]],"")</f>
        <v/>
      </c>
      <c r="BX98" s="351" t="str">
        <f>IFERROR(IF(Tableau1[[#This Row],[Montant Facturé 08/2018]]&gt;0,Tableau1[[#This Row],[Montant Facturé 08/2018]]/Taux_Change_SII,""),"")</f>
        <v/>
      </c>
      <c r="BY98" s="351"/>
      <c r="BZ98" s="83">
        <f>SUMPRODUCT(1*(EXACT(CONCATENATE(Tableau1[[#This Row],[PO Number (Header)]],"-",Tableau1[[#This Row],[Line]]),UO_List[Unique_AIB_ID]))*(UO_List[Qté Réception 09/2020]))</f>
        <v>0</v>
      </c>
      <c r="CA98" s="83"/>
      <c r="CB98" s="351"/>
      <c r="CC98" s="351" t="str">
        <f>IFERROR(Tableau1[[#This Row],[Qté Facturé 09/2018]]*Tableau1[[#This Row],[Unit Price (calcul)]],"")</f>
        <v/>
      </c>
      <c r="CD98" s="351" t="str">
        <f>IFERROR(IF(Tableau1[[#This Row],[Montant Facturé 09/2018]]&gt;0,Tableau1[[#This Row],[Montant Facturé 09/2018]]/Taux_Change_SII,""),"")</f>
        <v/>
      </c>
      <c r="CE98" s="351"/>
      <c r="CF98" s="83">
        <f>SUMPRODUCT(1*(EXACT(CONCATENATE(Tableau1[[#This Row],[PO Number (Header)]],"-",Tableau1[[#This Row],[Line]]),UO_List[Unique_AIB_ID]))*(UO_List[Qté Réception 10/2020]))</f>
        <v>0</v>
      </c>
      <c r="CG98" s="84"/>
      <c r="CH98" s="84"/>
      <c r="CI98" s="488" t="str">
        <f>IFERROR(Tableau1[[#This Row],[Qté Facturé 10/2018]]*Tableau1[[#This Row],[Unit Price (calcul)]],"")</f>
        <v/>
      </c>
      <c r="CJ98" s="351" t="str">
        <f>IFERROR(IF(Tableau1[[#This Row],[Montant Facturé 10/2018]]&gt;0,Tableau1[[#This Row],[Montant Facturé 10/2018]]/Taux_Change_SII,""),"")</f>
        <v/>
      </c>
      <c r="CK98" s="351"/>
      <c r="CL98" s="83">
        <f>SUMPRODUCT(1*(EXACT(CONCATENATE(Tableau1[[#This Row],[PO Number (Header)]],"-",Tableau1[[#This Row],[Line]]),UO_List[Unique_AIB_ID]))*(UO_List[Qté Réception 11/2020]))</f>
        <v>0</v>
      </c>
      <c r="CM98" s="84"/>
      <c r="CN98" s="351"/>
      <c r="CO98" s="351" t="str">
        <f>IFERROR(Tableau1[[#This Row],[Qté Facturé 11/2018]]*Tableau1[[#This Row],[Unit Price (calcul)]],"")</f>
        <v/>
      </c>
      <c r="CP98" s="351" t="str">
        <f>IFERROR(IF(Tableau1[[#This Row],[Montant Facturé 11/2018]]&gt;0,Tableau1[[#This Row],[Montant Facturé 11/2018]]/Taux_Change_SII,""),"")</f>
        <v/>
      </c>
      <c r="CQ98" s="351"/>
      <c r="CR98" s="83">
        <f>SUMPRODUCT(1*(EXACT(CONCATENATE(Tableau1[[#This Row],[PO Number (Header)]],"-",Tableau1[[#This Row],[Line]]),UO_List[Unique_AIB_ID]))*(UO_List[Qté Réception 12/2020]))</f>
        <v>0</v>
      </c>
      <c r="CS98" s="84"/>
      <c r="CT98" s="351"/>
      <c r="CU98" s="351" t="str">
        <f>IFERROR(Tableau1[[#This Row],[Qté Facturé 12/2018]]*Tableau1[[#This Row],[Unit Price (calcul)]],"")</f>
        <v/>
      </c>
      <c r="CV98" s="351" t="str">
        <f>IFERROR(IF(Tableau1[[#This Row],[Montant Facturé 12/2018]]&gt;0,Tableau1[[#This Row],[Montant Facturé 12/2018]]/Taux_Change_SII,""),"")</f>
        <v/>
      </c>
      <c r="CW98" s="351"/>
      <c r="CX9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8" s="352" t="str">
        <f>IFERROR(Tableau1[[#This Row],[Total item réceptionné]]*Tableau1[[#This Row],[Unit Price (calcul)]],"")</f>
        <v/>
      </c>
      <c r="DB98" s="352" t="str">
        <f>IFERROR(Tableau1[[#This Row],[Total item à Facturer]]*Tableau1[[#This Row],[Unit Price (calcul)]],"")</f>
        <v/>
      </c>
      <c r="DC9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8" s="352" t="str">
        <f>IFERROR(Tableau1[[#This Row],[Line Total]]-Tableau1[[#This Row],[Total Price Réceptionné]],"")</f>
        <v/>
      </c>
      <c r="DE98" s="352" t="str">
        <f>IFERROR(Tableau1[[#This Row],[Total Price Réceptionné]]-Tableau1[[#This Row],[Total Price A facturer]],"")</f>
        <v/>
      </c>
      <c r="DF98" s="353" t="str">
        <f>IFERROR(Tableau1[[#This Row],[Total Price A facturer]]-Tableau1[[#This Row],[Total Price Facturé]],"")</f>
        <v/>
      </c>
      <c r="DG98" s="76">
        <f>Tableau1[[#This Row],[Total Item Quantity]]-Tableau1[[#This Row],[Total item réceptionné]]</f>
        <v>0</v>
      </c>
      <c r="DH98" s="167"/>
      <c r="DI98" s="167"/>
    </row>
    <row r="99" spans="1:113" s="74" customFormat="1">
      <c r="A99" s="77" t="str">
        <f>CONCATENATE(Tableau1[[#This Row],[PO Number (Header)]],"-",Tableau1[[#This Row],[Line]])</f>
        <v>-</v>
      </c>
      <c r="B99" s="77"/>
      <c r="C99" s="450"/>
      <c r="D99" s="102"/>
      <c r="E99" s="77"/>
      <c r="F99" s="77"/>
      <c r="G99" s="77"/>
      <c r="H99" s="77"/>
      <c r="I99" s="452"/>
      <c r="J99" s="452"/>
      <c r="K99" s="453"/>
      <c r="L99" s="453"/>
      <c r="M99" s="77"/>
      <c r="N99" s="77"/>
      <c r="O99" s="77"/>
      <c r="P99" s="77"/>
      <c r="Q99" s="395"/>
      <c r="R99" s="395"/>
      <c r="S99" s="77"/>
      <c r="T99" s="77"/>
      <c r="U99" s="77"/>
      <c r="V99" s="77"/>
      <c r="W99" s="167"/>
      <c r="X99" s="167"/>
      <c r="Y99" s="167" t="str">
        <f>IF(ISBLANK(Tableau1[[#This Row],[PO Number (Header)]]),"",Tableau1[[#This Row],[Line Total]]/Tableau1[[#This Row],[Total Item Quantity]])</f>
        <v/>
      </c>
      <c r="Z99" s="167" t="str">
        <f>IF(ISNA(VLOOKUP(Tableau1[[#This Row],[Unique_AIB_ID]],UO_List[Unique_AIB_ID],1,FALSE)),IF(ISBLANK(Tableau1[[#This Row],[PO Number (Header)]]),"","FAUX"),"VRAI")</f>
        <v/>
      </c>
      <c r="AA99" s="167"/>
      <c r="AB99" s="162" t="e">
        <f>VLOOKUP(Tableau1[[#This Row],[Unique_AIB_ID]],UO_List[[Unique_AIB_ID]:[OLGA F6]],3,FALSE)</f>
        <v>#N/A</v>
      </c>
      <c r="AC99" s="162" t="s">
        <v>790</v>
      </c>
      <c r="AD99" s="83">
        <f>SUMPRODUCT(1*(EXACT(CONCATENATE(Tableau1[[#This Row],[PO Number (Header)]],"-",Tableau1[[#This Row],[Line]]),UO_List[Unique_AIB_ID]))*(UO_List[Qté Réception 03/2020]))</f>
        <v>0</v>
      </c>
      <c r="AE99" s="84"/>
      <c r="AF99" s="357"/>
      <c r="AG99" s="351" t="str">
        <f>IFERROR(Tableau1[[#This Row],[Qté Facturé 01/2018]]*Tableau1[[#This Row],[Unit Price (calcul)]],"")</f>
        <v/>
      </c>
      <c r="AH99" s="356" t="str">
        <f>IFERROR(IF(Tableau1[[#This Row],[Montant Facturé 01/2018]]&gt;0,Tableau1[[#This Row],[Montant Facturé 01/2018]]/Taux_Change_SII,""),"")</f>
        <v/>
      </c>
      <c r="AI99" s="351"/>
      <c r="AJ99" s="83">
        <f>SUMPRODUCT(1*(EXACT(CONCATENATE(Tableau1[[#This Row],[PO Number (Header)]],"-",Tableau1[[#This Row],[Line]]),UO_List[Unique_AIB_ID]))*(UO_List[Qté Réception 02/2020]))</f>
        <v>0</v>
      </c>
      <c r="AK99" s="83">
        <f>SUMPRODUCT(1*(EXACT(CONCATENATE(Tableau1[[#This Row],[PO Number (Header)]],"-",Tableau1[[#This Row],[Line]]),UO_List[Unique_AIB_ID]))*(UO_List[Qté Réception 02/2020]))</f>
        <v>0</v>
      </c>
      <c r="AL99" s="357"/>
      <c r="AM99" s="351" t="str">
        <f>IFERROR(Tableau1[[#This Row],[Qté Facturé 02/2018]]*Tableau1[[#This Row],[Unit Price (calcul)]],"")</f>
        <v/>
      </c>
      <c r="AN99" s="351" t="str">
        <f>IFERROR(IF(Tableau1[[#This Row],[Montant Facturé 02/2018]]&gt;0,Tableau1[[#This Row],[Montant Facturé 02/2018]]/Taux_Change_SII,""),"")</f>
        <v/>
      </c>
      <c r="AO99" s="351"/>
      <c r="AP99" s="83">
        <f>SUMPRODUCT(1*(EXACT(CONCATENATE(Tableau1[[#This Row],[PO Number (Header)]],"-",Tableau1[[#This Row],[Line]]),UO_List[Unique_AIB_ID]))*(UO_List[Qté Réception 00/2020]))</f>
        <v>0</v>
      </c>
      <c r="AQ99" s="84"/>
      <c r="AR99" s="357"/>
      <c r="AS99" s="351" t="str">
        <f>IFERROR(Tableau1[[#This Row],[Qté Facturé 03/2018]]*Tableau1[[#This Row],[Unit Price (calcul)]],"")</f>
        <v/>
      </c>
      <c r="AT99" s="351" t="str">
        <f>IFERROR(IF(Tableau1[[#This Row],[Montant Facturé 03/2018]]&gt;0,Tableau1[[#This Row],[Montant Facturé 03/2018]]/Taux_Change_SII,""),"")</f>
        <v/>
      </c>
      <c r="AU99" s="351"/>
      <c r="AV99" s="83">
        <f>SUMPRODUCT(1*(EXACT(CONCATENATE(Tableau1[[#This Row],[PO Number (Header)]],"-",Tableau1[[#This Row],[Line]]),UO_List[Unique_AIB_ID]))*(UO_List[Qté Réception 04/2020]))</f>
        <v>0</v>
      </c>
      <c r="AW99" s="84"/>
      <c r="AX99" s="351"/>
      <c r="AY99" s="351" t="str">
        <f>IFERROR(Tableau1[[#This Row],[Qté Facturé 04/2018]]*Tableau1[[#This Row],[Unit Price (calcul)]],"")</f>
        <v/>
      </c>
      <c r="AZ99" s="351" t="str">
        <f>IFERROR(IF(Tableau1[[#This Row],[Montant Facturé 04/2018]]&gt;0,Tableau1[[#This Row],[Montant Facturé 04/2018]]/Taux_Change_SII,""),"")</f>
        <v/>
      </c>
      <c r="BA99" s="351"/>
      <c r="BB99" s="83">
        <f>SUMPRODUCT(1*(EXACT(CONCATENATE(Tableau1[[#This Row],[PO Number (Header)]],"-",Tableau1[[#This Row],[Line]]),UO_List[Unique_AIB_ID]))*(UO_List[Qté Réception 05/2020]))</f>
        <v>0</v>
      </c>
      <c r="BC99" s="84"/>
      <c r="BD99" s="351"/>
      <c r="BE99" s="351" t="str">
        <f>IFERROR(Tableau1[[#This Row],[Qté Facturé 05/2018]]*Tableau1[[#This Row],[Unit Price (calcul)]],"")</f>
        <v/>
      </c>
      <c r="BF99" s="351" t="str">
        <f>IFERROR(IF(Tableau1[[#This Row],[Montant Facturé 05/2018]]&gt;0,Tableau1[[#This Row],[Montant Facturé 05/2018]]/Taux_Change_SII,""),"")</f>
        <v/>
      </c>
      <c r="BG99" s="351"/>
      <c r="BH99" s="83">
        <f>SUMPRODUCT(1*(EXACT(CONCATENATE(Tableau1[[#This Row],[PO Number (Header)]],"-",Tableau1[[#This Row],[Line]]),UO_List[Unique_AIB_ID]))*(UO_List[Qté Réception 06/2020]))</f>
        <v>0</v>
      </c>
      <c r="BI99" s="84"/>
      <c r="BJ99" s="351"/>
      <c r="BK99" s="351" t="str">
        <f>IFERROR(Tableau1[[#This Row],[Qté Facturé 06/2018]]*Tableau1[[#This Row],[Unit Price (calcul)]],"")</f>
        <v/>
      </c>
      <c r="BL99" s="351" t="str">
        <f>IFERROR(IF(Tableau1[[#This Row],[Montant Facturé 06/2018]]&gt;0,Tableau1[[#This Row],[Montant Facturé 06/2018]]/Taux_Change_SII,""),"")</f>
        <v/>
      </c>
      <c r="BM99" s="351"/>
      <c r="BN99" s="83">
        <f>SUMPRODUCT(1*(EXACT(CONCATENATE(Tableau1[[#This Row],[PO Number (Header)]],"-",Tableau1[[#This Row],[Line]]),UO_List[Unique_AIB_ID]))*(UO_List[Qté Réception 07/2020]))</f>
        <v>0</v>
      </c>
      <c r="BO99" s="84">
        <v>0</v>
      </c>
      <c r="BP99" s="351"/>
      <c r="BQ99" s="351" t="str">
        <f>IFERROR(Tableau1[[#This Row],[Qté Facturé 07/2018]]*Tableau1[[#This Row],[Unit Price (calcul)]],"")</f>
        <v/>
      </c>
      <c r="BR99" s="351" t="str">
        <f>IFERROR(IF(Tableau1[[#This Row],[Montant Facturé 07/2018]]&gt;0,Tableau1[[#This Row],[Montant Facturé 07/2018]]/Taux_Change_SII,""),"")</f>
        <v/>
      </c>
      <c r="BS99" s="351"/>
      <c r="BT99" s="83">
        <f>SUMPRODUCT(1*(EXACT(CONCATENATE(Tableau1[[#This Row],[PO Number (Header)]],"-",Tableau1[[#This Row],[Line]]),UO_List[Unique_AIB_ID]))*(UO_List[Qté Réception 08/2020]))</f>
        <v>0</v>
      </c>
      <c r="BU99" s="84"/>
      <c r="BV99" s="351"/>
      <c r="BW99" s="351" t="str">
        <f>IFERROR(Tableau1[[#This Row],[Qté Facturé 08/2018]]*Tableau1[[#This Row],[Unit Price (calcul)]],"")</f>
        <v/>
      </c>
      <c r="BX99" s="351" t="str">
        <f>IFERROR(IF(Tableau1[[#This Row],[Montant Facturé 08/2018]]&gt;0,Tableau1[[#This Row],[Montant Facturé 08/2018]]/Taux_Change_SII,""),"")</f>
        <v/>
      </c>
      <c r="BY99" s="351"/>
      <c r="BZ99" s="83">
        <f>SUMPRODUCT(1*(EXACT(CONCATENATE(Tableau1[[#This Row],[PO Number (Header)]],"-",Tableau1[[#This Row],[Line]]),UO_List[Unique_AIB_ID]))*(UO_List[Qté Réception 09/2020]))</f>
        <v>0</v>
      </c>
      <c r="CA99" s="83"/>
      <c r="CB99" s="351"/>
      <c r="CC99" s="351" t="str">
        <f>IFERROR(Tableau1[[#This Row],[Qté Facturé 09/2018]]*Tableau1[[#This Row],[Unit Price (calcul)]],"")</f>
        <v/>
      </c>
      <c r="CD99" s="351" t="str">
        <f>IFERROR(IF(Tableau1[[#This Row],[Montant Facturé 09/2018]]&gt;0,Tableau1[[#This Row],[Montant Facturé 09/2018]]/Taux_Change_SII,""),"")</f>
        <v/>
      </c>
      <c r="CE99" s="351"/>
      <c r="CF99" s="83">
        <f>SUMPRODUCT(1*(EXACT(CONCATENATE(Tableau1[[#This Row],[PO Number (Header)]],"-",Tableau1[[#This Row],[Line]]),UO_List[Unique_AIB_ID]))*(UO_List[Qté Réception 10/2020]))</f>
        <v>0</v>
      </c>
      <c r="CG99" s="84">
        <v>0</v>
      </c>
      <c r="CH99" s="351"/>
      <c r="CI99" s="351" t="str">
        <f>IFERROR(Tableau1[[#This Row],[Qté Facturé 10/2018]]*Tableau1[[#This Row],[Unit Price (calcul)]],"")</f>
        <v/>
      </c>
      <c r="CJ99" s="351" t="str">
        <f>IFERROR(IF(Tableau1[[#This Row],[Montant Facturé 10/2018]]&gt;0,Tableau1[[#This Row],[Montant Facturé 10/2018]]/Taux_Change_SII,""),"")</f>
        <v/>
      </c>
      <c r="CK99" s="351"/>
      <c r="CL99" s="83">
        <f>SUMPRODUCT(1*(EXACT(CONCATENATE(Tableau1[[#This Row],[PO Number (Header)]],"-",Tableau1[[#This Row],[Line]]),UO_List[Unique_AIB_ID]))*(UO_List[Qté Réception 11/2020]))</f>
        <v>0</v>
      </c>
      <c r="CM99" s="84"/>
      <c r="CN99" s="351"/>
      <c r="CO99" s="351" t="str">
        <f>IFERROR(Tableau1[[#This Row],[Qté Facturé 11/2018]]*Tableau1[[#This Row],[Unit Price (calcul)]],"")</f>
        <v/>
      </c>
      <c r="CP99" s="351" t="str">
        <f>IFERROR(IF(Tableau1[[#This Row],[Montant Facturé 11/2018]]&gt;0,Tableau1[[#This Row],[Montant Facturé 11/2018]]/Taux_Change_SII,""),"")</f>
        <v/>
      </c>
      <c r="CQ99" s="351"/>
      <c r="CR99" s="83">
        <f>SUMPRODUCT(1*(EXACT(CONCATENATE(Tableau1[[#This Row],[PO Number (Header)]],"-",Tableau1[[#This Row],[Line]]),UO_List[Unique_AIB_ID]))*(UO_List[Qté Réception 12/2020]))</f>
        <v>0</v>
      </c>
      <c r="CS99" s="84"/>
      <c r="CT99" s="351"/>
      <c r="CU99" s="351" t="str">
        <f>IFERROR(Tableau1[[#This Row],[Qté Facturé 12/2018]]*Tableau1[[#This Row],[Unit Price (calcul)]],"")</f>
        <v/>
      </c>
      <c r="CV99" s="351" t="str">
        <f>IFERROR(IF(Tableau1[[#This Row],[Montant Facturé 12/2018]]&gt;0,Tableau1[[#This Row],[Montant Facturé 12/2018]]/Taux_Change_SII,""),"")</f>
        <v/>
      </c>
      <c r="CW99" s="351"/>
      <c r="CX9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9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9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99" s="352" t="str">
        <f>IFERROR(Tableau1[[#This Row],[Total item réceptionné]]*Tableau1[[#This Row],[Unit Price (calcul)]],"")</f>
        <v/>
      </c>
      <c r="DB99" s="352" t="str">
        <f>IFERROR(Tableau1[[#This Row],[Total item à Facturer]]*Tableau1[[#This Row],[Unit Price (calcul)]],"")</f>
        <v/>
      </c>
      <c r="DC9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99" s="352" t="str">
        <f>IFERROR(Tableau1[[#This Row],[Line Total]]-Tableau1[[#This Row],[Total Price Réceptionné]],"")</f>
        <v/>
      </c>
      <c r="DE99" s="352" t="str">
        <f>IFERROR(Tableau1[[#This Row],[Total Price Réceptionné]]-Tableau1[[#This Row],[Total Price A facturer]],"")</f>
        <v/>
      </c>
      <c r="DF99" s="353" t="str">
        <f>IFERROR(Tableau1[[#This Row],[Total Price A facturer]]-Tableau1[[#This Row],[Total Price Facturé]],"")</f>
        <v/>
      </c>
      <c r="DG99" s="76">
        <f>Tableau1[[#This Row],[Total Item Quantity]]-Tableau1[[#This Row],[Total item réceptionné]]</f>
        <v>0</v>
      </c>
      <c r="DH99" s="167"/>
      <c r="DI99" s="167"/>
    </row>
    <row r="100" spans="1:113" s="74" customFormat="1">
      <c r="A100" s="77" t="str">
        <f>CONCATENATE(Tableau1[[#This Row],[PO Number (Header)]],"-",Tableau1[[#This Row],[Line]])</f>
        <v>-</v>
      </c>
      <c r="B100" s="77"/>
      <c r="C100" s="450"/>
      <c r="D100" s="102"/>
      <c r="E100" s="77"/>
      <c r="F100" s="77"/>
      <c r="G100" s="77"/>
      <c r="H100" s="77"/>
      <c r="I100" s="452"/>
      <c r="J100" s="452"/>
      <c r="K100" s="453"/>
      <c r="L100" s="453"/>
      <c r="M100" s="77"/>
      <c r="N100" s="77"/>
      <c r="O100" s="77"/>
      <c r="P100" s="77"/>
      <c r="Q100" s="395"/>
      <c r="R100" s="395"/>
      <c r="S100" s="77"/>
      <c r="T100" s="77"/>
      <c r="U100" s="77"/>
      <c r="V100" s="77"/>
      <c r="W100" s="167"/>
      <c r="X100" s="167"/>
      <c r="Y100" s="167" t="str">
        <f>IF(ISBLANK(Tableau1[[#This Row],[PO Number (Header)]]),"",Tableau1[[#This Row],[Line Total]]/Tableau1[[#This Row],[Total Item Quantity]])</f>
        <v/>
      </c>
      <c r="Z100" s="167" t="str">
        <f>IF(ISNA(VLOOKUP(Tableau1[[#This Row],[Unique_AIB_ID]],UO_List[Unique_AIB_ID],1,FALSE)),IF(ISBLANK(Tableau1[[#This Row],[PO Number (Header)]]),"","FAUX"),"VRAI")</f>
        <v/>
      </c>
      <c r="AA100" s="167"/>
      <c r="AB100" s="162" t="e">
        <f>VLOOKUP(Tableau1[[#This Row],[Unique_AIB_ID]],UO_List[[Unique_AIB_ID]:[OLGA F6]],3,FALSE)</f>
        <v>#N/A</v>
      </c>
      <c r="AC100" s="162" t="s">
        <v>790</v>
      </c>
      <c r="AD100" s="83">
        <f>SUMPRODUCT(1*(EXACT(CONCATENATE(Tableau1[[#This Row],[PO Number (Header)]],"-",Tableau1[[#This Row],[Line]]),UO_List[Unique_AIB_ID]))*(UO_List[Qté Réception 03/2020]))</f>
        <v>0</v>
      </c>
      <c r="AE100" s="84"/>
      <c r="AF100" s="357"/>
      <c r="AG100" s="351" t="str">
        <f>IFERROR(Tableau1[[#This Row],[Qté Facturé 01/2018]]*Tableau1[[#This Row],[Unit Price (calcul)]],"")</f>
        <v/>
      </c>
      <c r="AH100" s="356" t="str">
        <f>IFERROR(IF(Tableau1[[#This Row],[Montant Facturé 01/2018]]&gt;0,Tableau1[[#This Row],[Montant Facturé 01/2018]]/Taux_Change_SII,""),"")</f>
        <v/>
      </c>
      <c r="AI100" s="351"/>
      <c r="AJ100" s="83">
        <f>SUMPRODUCT(1*(EXACT(CONCATENATE(Tableau1[[#This Row],[PO Number (Header)]],"-",Tableau1[[#This Row],[Line]]),UO_List[Unique_AIB_ID]))*(UO_List[Qté Réception 02/2020]))</f>
        <v>0</v>
      </c>
      <c r="AK100" s="83">
        <f>SUMPRODUCT(1*(EXACT(CONCATENATE(Tableau1[[#This Row],[PO Number (Header)]],"-",Tableau1[[#This Row],[Line]]),UO_List[Unique_AIB_ID]))*(UO_List[Qté Réception 02/2020]))</f>
        <v>0</v>
      </c>
      <c r="AL100" s="357"/>
      <c r="AM100" s="351" t="str">
        <f>IFERROR(Tableau1[[#This Row],[Qté Facturé 02/2018]]*Tableau1[[#This Row],[Unit Price (calcul)]],"")</f>
        <v/>
      </c>
      <c r="AN100" s="351" t="str">
        <f>IFERROR(IF(Tableau1[[#This Row],[Montant Facturé 02/2018]]&gt;0,Tableau1[[#This Row],[Montant Facturé 02/2018]]/Taux_Change_SII,""),"")</f>
        <v/>
      </c>
      <c r="AO100" s="351"/>
      <c r="AP100" s="83">
        <f>SUMPRODUCT(1*(EXACT(CONCATENATE(Tableau1[[#This Row],[PO Number (Header)]],"-",Tableau1[[#This Row],[Line]]),UO_List[Unique_AIB_ID]))*(UO_List[Qté Réception 00/2020]))</f>
        <v>0</v>
      </c>
      <c r="AQ100" s="84"/>
      <c r="AR100" s="357"/>
      <c r="AS100" s="351" t="str">
        <f>IFERROR(Tableau1[[#This Row],[Qté Facturé 03/2018]]*Tableau1[[#This Row],[Unit Price (calcul)]],"")</f>
        <v/>
      </c>
      <c r="AT100" s="351" t="str">
        <f>IFERROR(IF(Tableau1[[#This Row],[Montant Facturé 03/2018]]&gt;0,Tableau1[[#This Row],[Montant Facturé 03/2018]]/Taux_Change_SII,""),"")</f>
        <v/>
      </c>
      <c r="AU100" s="351"/>
      <c r="AV100" s="83">
        <f>SUMPRODUCT(1*(EXACT(CONCATENATE(Tableau1[[#This Row],[PO Number (Header)]],"-",Tableau1[[#This Row],[Line]]),UO_List[Unique_AIB_ID]))*(UO_List[Qté Réception 04/2020]))</f>
        <v>0</v>
      </c>
      <c r="AW100" s="84"/>
      <c r="AX100" s="351"/>
      <c r="AY100" s="351" t="str">
        <f>IFERROR(Tableau1[[#This Row],[Qté Facturé 04/2018]]*Tableau1[[#This Row],[Unit Price (calcul)]],"")</f>
        <v/>
      </c>
      <c r="AZ100" s="351" t="str">
        <f>IFERROR(IF(Tableau1[[#This Row],[Montant Facturé 04/2018]]&gt;0,Tableau1[[#This Row],[Montant Facturé 04/2018]]/Taux_Change_SII,""),"")</f>
        <v/>
      </c>
      <c r="BA100" s="351"/>
      <c r="BB100" s="83">
        <f>SUMPRODUCT(1*(EXACT(CONCATENATE(Tableau1[[#This Row],[PO Number (Header)]],"-",Tableau1[[#This Row],[Line]]),UO_List[Unique_AIB_ID]))*(UO_List[Qté Réception 05/2020]))</f>
        <v>0</v>
      </c>
      <c r="BC100" s="84"/>
      <c r="BD100" s="351"/>
      <c r="BE100" s="351" t="str">
        <f>IFERROR(Tableau1[[#This Row],[Qté Facturé 05/2018]]*Tableau1[[#This Row],[Unit Price (calcul)]],"")</f>
        <v/>
      </c>
      <c r="BF100" s="351" t="str">
        <f>IFERROR(IF(Tableau1[[#This Row],[Montant Facturé 05/2018]]&gt;0,Tableau1[[#This Row],[Montant Facturé 05/2018]]/Taux_Change_SII,""),"")</f>
        <v/>
      </c>
      <c r="BG100" s="351"/>
      <c r="BH100" s="83">
        <f>SUMPRODUCT(1*(EXACT(CONCATENATE(Tableau1[[#This Row],[PO Number (Header)]],"-",Tableau1[[#This Row],[Line]]),UO_List[Unique_AIB_ID]))*(UO_List[Qté Réception 06/2020]))</f>
        <v>0</v>
      </c>
      <c r="BI100" s="84"/>
      <c r="BJ100" s="351"/>
      <c r="BK100" s="351" t="str">
        <f>IFERROR(Tableau1[[#This Row],[Qté Facturé 06/2018]]*Tableau1[[#This Row],[Unit Price (calcul)]],"")</f>
        <v/>
      </c>
      <c r="BL100" s="351" t="str">
        <f>IFERROR(IF(Tableau1[[#This Row],[Montant Facturé 06/2018]]&gt;0,Tableau1[[#This Row],[Montant Facturé 06/2018]]/Taux_Change_SII,""),"")</f>
        <v/>
      </c>
      <c r="BM100" s="351"/>
      <c r="BN100" s="83">
        <f>SUMPRODUCT(1*(EXACT(CONCATENATE(Tableau1[[#This Row],[PO Number (Header)]],"-",Tableau1[[#This Row],[Line]]),UO_List[Unique_AIB_ID]))*(UO_List[Qté Réception 07/2020]))</f>
        <v>0</v>
      </c>
      <c r="BO100" s="84">
        <v>0</v>
      </c>
      <c r="BP100" s="351"/>
      <c r="BQ100" s="351" t="str">
        <f>IFERROR(Tableau1[[#This Row],[Qté Facturé 07/2018]]*Tableau1[[#This Row],[Unit Price (calcul)]],"")</f>
        <v/>
      </c>
      <c r="BR100" s="351" t="str">
        <f>IFERROR(IF(Tableau1[[#This Row],[Montant Facturé 07/2018]]&gt;0,Tableau1[[#This Row],[Montant Facturé 07/2018]]/Taux_Change_SII,""),"")</f>
        <v/>
      </c>
      <c r="BS100" s="351"/>
      <c r="BT100" s="83">
        <f>SUMPRODUCT(1*(EXACT(CONCATENATE(Tableau1[[#This Row],[PO Number (Header)]],"-",Tableau1[[#This Row],[Line]]),UO_List[Unique_AIB_ID]))*(UO_List[Qté Réception 08/2020]))</f>
        <v>0</v>
      </c>
      <c r="BU100" s="84"/>
      <c r="BV100" s="351"/>
      <c r="BW100" s="351" t="str">
        <f>IFERROR(Tableau1[[#This Row],[Qté Facturé 08/2018]]*Tableau1[[#This Row],[Unit Price (calcul)]],"")</f>
        <v/>
      </c>
      <c r="BX100" s="351" t="str">
        <f>IFERROR(IF(Tableau1[[#This Row],[Montant Facturé 08/2018]]&gt;0,Tableau1[[#This Row],[Montant Facturé 08/2018]]/Taux_Change_SII,""),"")</f>
        <v/>
      </c>
      <c r="BY100" s="351"/>
      <c r="BZ100" s="83">
        <f>SUMPRODUCT(1*(EXACT(CONCATENATE(Tableau1[[#This Row],[PO Number (Header)]],"-",Tableau1[[#This Row],[Line]]),UO_List[Unique_AIB_ID]))*(UO_List[Qté Réception 09/2020]))</f>
        <v>0</v>
      </c>
      <c r="CA100" s="83"/>
      <c r="CB100" s="351"/>
      <c r="CC100" s="351" t="str">
        <f>IFERROR(Tableau1[[#This Row],[Qté Facturé 09/2018]]*Tableau1[[#This Row],[Unit Price (calcul)]],"")</f>
        <v/>
      </c>
      <c r="CD100" s="351" t="str">
        <f>IFERROR(IF(Tableau1[[#This Row],[Montant Facturé 09/2018]]&gt;0,Tableau1[[#This Row],[Montant Facturé 09/2018]]/Taux_Change_SII,""),"")</f>
        <v/>
      </c>
      <c r="CE100" s="351"/>
      <c r="CF100" s="83">
        <f>SUMPRODUCT(1*(EXACT(CONCATENATE(Tableau1[[#This Row],[PO Number (Header)]],"-",Tableau1[[#This Row],[Line]]),UO_List[Unique_AIB_ID]))*(UO_List[Qté Réception 10/2020]))</f>
        <v>0</v>
      </c>
      <c r="CG100" s="84"/>
      <c r="CH100" s="84"/>
      <c r="CI100" s="488" t="str">
        <f>IFERROR(Tableau1[[#This Row],[Qté Facturé 10/2018]]*Tableau1[[#This Row],[Unit Price (calcul)]],"")</f>
        <v/>
      </c>
      <c r="CJ100" s="351" t="str">
        <f>IFERROR(IF(Tableau1[[#This Row],[Montant Facturé 10/2018]]&gt;0,Tableau1[[#This Row],[Montant Facturé 10/2018]]/Taux_Change_SII,""),"")</f>
        <v/>
      </c>
      <c r="CK100" s="351"/>
      <c r="CL100" s="83">
        <f>SUMPRODUCT(1*(EXACT(CONCATENATE(Tableau1[[#This Row],[PO Number (Header)]],"-",Tableau1[[#This Row],[Line]]),UO_List[Unique_AIB_ID]))*(UO_List[Qté Réception 11/2020]))</f>
        <v>0</v>
      </c>
      <c r="CM100" s="84"/>
      <c r="CN100" s="351"/>
      <c r="CO100" s="351" t="str">
        <f>IFERROR(Tableau1[[#This Row],[Qté Facturé 11/2018]]*Tableau1[[#This Row],[Unit Price (calcul)]],"")</f>
        <v/>
      </c>
      <c r="CP100" s="351" t="str">
        <f>IFERROR(IF(Tableau1[[#This Row],[Montant Facturé 11/2018]]&gt;0,Tableau1[[#This Row],[Montant Facturé 11/2018]]/Taux_Change_SII,""),"")</f>
        <v/>
      </c>
      <c r="CQ100" s="351"/>
      <c r="CR100" s="83">
        <f>SUMPRODUCT(1*(EXACT(CONCATENATE(Tableau1[[#This Row],[PO Number (Header)]],"-",Tableau1[[#This Row],[Line]]),UO_List[Unique_AIB_ID]))*(UO_List[Qté Réception 12/2020]))</f>
        <v>0</v>
      </c>
      <c r="CS100" s="84"/>
      <c r="CT100" s="351"/>
      <c r="CU100" s="351" t="str">
        <f>IFERROR(Tableau1[[#This Row],[Qté Facturé 12/2018]]*Tableau1[[#This Row],[Unit Price (calcul)]],"")</f>
        <v/>
      </c>
      <c r="CV100" s="351" t="str">
        <f>IFERROR(IF(Tableau1[[#This Row],[Montant Facturé 12/2018]]&gt;0,Tableau1[[#This Row],[Montant Facturé 12/2018]]/Taux_Change_SII,""),"")</f>
        <v/>
      </c>
      <c r="CW100" s="351"/>
      <c r="CX10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0" s="352" t="str">
        <f>IFERROR(Tableau1[[#This Row],[Total item réceptionné]]*Tableau1[[#This Row],[Unit Price (calcul)]],"")</f>
        <v/>
      </c>
      <c r="DB100" s="352" t="str">
        <f>IFERROR(Tableau1[[#This Row],[Total item à Facturer]]*Tableau1[[#This Row],[Unit Price (calcul)]],"")</f>
        <v/>
      </c>
      <c r="DC10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0" s="352" t="str">
        <f>IFERROR(Tableau1[[#This Row],[Line Total]]-Tableau1[[#This Row],[Total Price Réceptionné]],"")</f>
        <v/>
      </c>
      <c r="DE100" s="352" t="str">
        <f>IFERROR(Tableau1[[#This Row],[Total Price Réceptionné]]-Tableau1[[#This Row],[Total Price A facturer]],"")</f>
        <v/>
      </c>
      <c r="DF100" s="353" t="str">
        <f>IFERROR(Tableau1[[#This Row],[Total Price A facturer]]-Tableau1[[#This Row],[Total Price Facturé]],"")</f>
        <v/>
      </c>
      <c r="DG100" s="76">
        <f>Tableau1[[#This Row],[Total Item Quantity]]-Tableau1[[#This Row],[Total item réceptionné]]</f>
        <v>0</v>
      </c>
      <c r="DH100" s="167"/>
      <c r="DI100" s="167"/>
    </row>
    <row r="101" spans="1:113" s="74" customFormat="1">
      <c r="A101" s="77" t="str">
        <f>CONCATENATE(Tableau1[[#This Row],[PO Number (Header)]],"-",Tableau1[[#This Row],[Line]])</f>
        <v>-</v>
      </c>
      <c r="B101" s="77"/>
      <c r="C101" s="450"/>
      <c r="D101" s="102"/>
      <c r="E101" s="77"/>
      <c r="F101" s="77"/>
      <c r="G101" s="77"/>
      <c r="H101" s="77"/>
      <c r="I101" s="452"/>
      <c r="J101" s="452"/>
      <c r="K101" s="453"/>
      <c r="L101" s="453"/>
      <c r="M101" s="77"/>
      <c r="N101" s="77"/>
      <c r="O101" s="77"/>
      <c r="P101" s="77"/>
      <c r="Q101" s="395"/>
      <c r="R101" s="395"/>
      <c r="S101" s="77"/>
      <c r="T101" s="77"/>
      <c r="U101" s="77"/>
      <c r="V101" s="77"/>
      <c r="W101" s="167"/>
      <c r="X101" s="167"/>
      <c r="Y101" s="167" t="str">
        <f>IF(ISBLANK(Tableau1[[#This Row],[PO Number (Header)]]),"",Tableau1[[#This Row],[Line Total]]/Tableau1[[#This Row],[Total Item Quantity]])</f>
        <v/>
      </c>
      <c r="Z101" s="167" t="str">
        <f>IF(ISNA(VLOOKUP(Tableau1[[#This Row],[Unique_AIB_ID]],UO_List[Unique_AIB_ID],1,FALSE)),IF(ISBLANK(Tableau1[[#This Row],[PO Number (Header)]]),"","FAUX"),"VRAI")</f>
        <v/>
      </c>
      <c r="AA101" s="167"/>
      <c r="AB101" s="162" t="e">
        <f>VLOOKUP(Tableau1[[#This Row],[Unique_AIB_ID]],UO_List[[Unique_AIB_ID]:[OLGA F6]],3,FALSE)</f>
        <v>#N/A</v>
      </c>
      <c r="AC101" s="162" t="s">
        <v>790</v>
      </c>
      <c r="AD101" s="83">
        <f>SUMPRODUCT(1*(EXACT(CONCATENATE(Tableau1[[#This Row],[PO Number (Header)]],"-",Tableau1[[#This Row],[Line]]),UO_List[Unique_AIB_ID]))*(UO_List[Qté Réception 03/2020]))</f>
        <v>0</v>
      </c>
      <c r="AE101" s="84"/>
      <c r="AF101" s="357"/>
      <c r="AG101" s="351" t="str">
        <f>IFERROR(Tableau1[[#This Row],[Qté Facturé 01/2018]]*Tableau1[[#This Row],[Unit Price (calcul)]],"")</f>
        <v/>
      </c>
      <c r="AH101" s="356" t="str">
        <f>IFERROR(IF(Tableau1[[#This Row],[Montant Facturé 01/2018]]&gt;0,Tableau1[[#This Row],[Montant Facturé 01/2018]]/Taux_Change_SII,""),"")</f>
        <v/>
      </c>
      <c r="AI101" s="351"/>
      <c r="AJ101" s="83">
        <f>SUMPRODUCT(1*(EXACT(CONCATENATE(Tableau1[[#This Row],[PO Number (Header)]],"-",Tableau1[[#This Row],[Line]]),UO_List[Unique_AIB_ID]))*(UO_List[Qté Réception 02/2020]))</f>
        <v>0</v>
      </c>
      <c r="AK101" s="83">
        <f>SUMPRODUCT(1*(EXACT(CONCATENATE(Tableau1[[#This Row],[PO Number (Header)]],"-",Tableau1[[#This Row],[Line]]),UO_List[Unique_AIB_ID]))*(UO_List[Qté Réception 02/2020]))</f>
        <v>0</v>
      </c>
      <c r="AL101" s="357"/>
      <c r="AM101" s="351" t="str">
        <f>IFERROR(Tableau1[[#This Row],[Qté Facturé 02/2018]]*Tableau1[[#This Row],[Unit Price (calcul)]],"")</f>
        <v/>
      </c>
      <c r="AN101" s="351" t="str">
        <f>IFERROR(IF(Tableau1[[#This Row],[Montant Facturé 02/2018]]&gt;0,Tableau1[[#This Row],[Montant Facturé 02/2018]]/Taux_Change_SII,""),"")</f>
        <v/>
      </c>
      <c r="AO101" s="351"/>
      <c r="AP101" s="83">
        <f>SUMPRODUCT(1*(EXACT(CONCATENATE(Tableau1[[#This Row],[PO Number (Header)]],"-",Tableau1[[#This Row],[Line]]),UO_List[Unique_AIB_ID]))*(UO_List[Qté Réception 00/2020]))</f>
        <v>0</v>
      </c>
      <c r="AQ101" s="84"/>
      <c r="AR101" s="357"/>
      <c r="AS101" s="351" t="str">
        <f>IFERROR(Tableau1[[#This Row],[Qté Facturé 03/2018]]*Tableau1[[#This Row],[Unit Price (calcul)]],"")</f>
        <v/>
      </c>
      <c r="AT101" s="351" t="str">
        <f>IFERROR(IF(Tableau1[[#This Row],[Montant Facturé 03/2018]]&gt;0,Tableau1[[#This Row],[Montant Facturé 03/2018]]/Taux_Change_SII,""),"")</f>
        <v/>
      </c>
      <c r="AU101" s="351"/>
      <c r="AV101" s="83">
        <f>SUMPRODUCT(1*(EXACT(CONCATENATE(Tableau1[[#This Row],[PO Number (Header)]],"-",Tableau1[[#This Row],[Line]]),UO_List[Unique_AIB_ID]))*(UO_List[Qté Réception 04/2020]))</f>
        <v>0</v>
      </c>
      <c r="AW101" s="84"/>
      <c r="AX101" s="351"/>
      <c r="AY101" s="351" t="str">
        <f>IFERROR(Tableau1[[#This Row],[Qté Facturé 04/2018]]*Tableau1[[#This Row],[Unit Price (calcul)]],"")</f>
        <v/>
      </c>
      <c r="AZ101" s="351" t="str">
        <f>IFERROR(IF(Tableau1[[#This Row],[Montant Facturé 04/2018]]&gt;0,Tableau1[[#This Row],[Montant Facturé 04/2018]]/Taux_Change_SII,""),"")</f>
        <v/>
      </c>
      <c r="BA101" s="351"/>
      <c r="BB101" s="83">
        <f>SUMPRODUCT(1*(EXACT(CONCATENATE(Tableau1[[#This Row],[PO Number (Header)]],"-",Tableau1[[#This Row],[Line]]),UO_List[Unique_AIB_ID]))*(UO_List[Qté Réception 05/2020]))</f>
        <v>0</v>
      </c>
      <c r="BC101" s="84"/>
      <c r="BD101" s="351"/>
      <c r="BE101" s="351" t="str">
        <f>IFERROR(Tableau1[[#This Row],[Qté Facturé 05/2018]]*Tableau1[[#This Row],[Unit Price (calcul)]],"")</f>
        <v/>
      </c>
      <c r="BF101" s="351" t="str">
        <f>IFERROR(IF(Tableau1[[#This Row],[Montant Facturé 05/2018]]&gt;0,Tableau1[[#This Row],[Montant Facturé 05/2018]]/Taux_Change_SII,""),"")</f>
        <v/>
      </c>
      <c r="BG101" s="351"/>
      <c r="BH101" s="83">
        <f>SUMPRODUCT(1*(EXACT(CONCATENATE(Tableau1[[#This Row],[PO Number (Header)]],"-",Tableau1[[#This Row],[Line]]),UO_List[Unique_AIB_ID]))*(UO_List[Qté Réception 06/2020]))</f>
        <v>0</v>
      </c>
      <c r="BI101" s="84"/>
      <c r="BJ101" s="351"/>
      <c r="BK101" s="351" t="str">
        <f>IFERROR(Tableau1[[#This Row],[Qté Facturé 06/2018]]*Tableau1[[#This Row],[Unit Price (calcul)]],"")</f>
        <v/>
      </c>
      <c r="BL101" s="351" t="str">
        <f>IFERROR(IF(Tableau1[[#This Row],[Montant Facturé 06/2018]]&gt;0,Tableau1[[#This Row],[Montant Facturé 06/2018]]/Taux_Change_SII,""),"")</f>
        <v/>
      </c>
      <c r="BM101" s="351"/>
      <c r="BN101" s="83">
        <f>SUMPRODUCT(1*(EXACT(CONCATENATE(Tableau1[[#This Row],[PO Number (Header)]],"-",Tableau1[[#This Row],[Line]]),UO_List[Unique_AIB_ID]))*(UO_List[Qté Réception 07/2020]))</f>
        <v>0</v>
      </c>
      <c r="BO101" s="84">
        <v>0</v>
      </c>
      <c r="BP101" s="351"/>
      <c r="BQ101" s="351" t="str">
        <f>IFERROR(Tableau1[[#This Row],[Qté Facturé 07/2018]]*Tableau1[[#This Row],[Unit Price (calcul)]],"")</f>
        <v/>
      </c>
      <c r="BR101" s="351" t="str">
        <f>IFERROR(IF(Tableau1[[#This Row],[Montant Facturé 07/2018]]&gt;0,Tableau1[[#This Row],[Montant Facturé 07/2018]]/Taux_Change_SII,""),"")</f>
        <v/>
      </c>
      <c r="BS101" s="351"/>
      <c r="BT101" s="83">
        <f>SUMPRODUCT(1*(EXACT(CONCATENATE(Tableau1[[#This Row],[PO Number (Header)]],"-",Tableau1[[#This Row],[Line]]),UO_List[Unique_AIB_ID]))*(UO_List[Qté Réception 08/2020]))</f>
        <v>0</v>
      </c>
      <c r="BU101" s="84"/>
      <c r="BV101" s="351"/>
      <c r="BW101" s="351" t="str">
        <f>IFERROR(Tableau1[[#This Row],[Qté Facturé 08/2018]]*Tableau1[[#This Row],[Unit Price (calcul)]],"")</f>
        <v/>
      </c>
      <c r="BX101" s="351" t="str">
        <f>IFERROR(IF(Tableau1[[#This Row],[Montant Facturé 08/2018]]&gt;0,Tableau1[[#This Row],[Montant Facturé 08/2018]]/Taux_Change_SII,""),"")</f>
        <v/>
      </c>
      <c r="BY101" s="351"/>
      <c r="BZ101" s="83">
        <f>SUMPRODUCT(1*(EXACT(CONCATENATE(Tableau1[[#This Row],[PO Number (Header)]],"-",Tableau1[[#This Row],[Line]]),UO_List[Unique_AIB_ID]))*(UO_List[Qté Réception 09/2020]))</f>
        <v>0</v>
      </c>
      <c r="CA101" s="83"/>
      <c r="CB101" s="351"/>
      <c r="CC101" s="351" t="str">
        <f>IFERROR(Tableau1[[#This Row],[Qté Facturé 09/2018]]*Tableau1[[#This Row],[Unit Price (calcul)]],"")</f>
        <v/>
      </c>
      <c r="CD101" s="351" t="str">
        <f>IFERROR(IF(Tableau1[[#This Row],[Montant Facturé 09/2018]]&gt;0,Tableau1[[#This Row],[Montant Facturé 09/2018]]/Taux_Change_SII,""),"")</f>
        <v/>
      </c>
      <c r="CE101" s="351"/>
      <c r="CF101" s="83">
        <f>SUMPRODUCT(1*(EXACT(CONCATENATE(Tableau1[[#This Row],[PO Number (Header)]],"-",Tableau1[[#This Row],[Line]]),UO_List[Unique_AIB_ID]))*(UO_List[Qté Réception 10/2020]))</f>
        <v>0</v>
      </c>
      <c r="CG101" s="84"/>
      <c r="CH101" s="84"/>
      <c r="CI101" s="488" t="str">
        <f>IFERROR(Tableau1[[#This Row],[Qté Facturé 10/2018]]*Tableau1[[#This Row],[Unit Price (calcul)]],"")</f>
        <v/>
      </c>
      <c r="CJ101" s="351" t="str">
        <f>IFERROR(IF(Tableau1[[#This Row],[Montant Facturé 10/2018]]&gt;0,Tableau1[[#This Row],[Montant Facturé 10/2018]]/Taux_Change_SII,""),"")</f>
        <v/>
      </c>
      <c r="CK101" s="351"/>
      <c r="CL101" s="83">
        <f>SUMPRODUCT(1*(EXACT(CONCATENATE(Tableau1[[#This Row],[PO Number (Header)]],"-",Tableau1[[#This Row],[Line]]),UO_List[Unique_AIB_ID]))*(UO_List[Qté Réception 11/2020]))</f>
        <v>0</v>
      </c>
      <c r="CM101" s="84"/>
      <c r="CN101" s="351"/>
      <c r="CO101" s="351" t="str">
        <f>IFERROR(Tableau1[[#This Row],[Qté Facturé 11/2018]]*Tableau1[[#This Row],[Unit Price (calcul)]],"")</f>
        <v/>
      </c>
      <c r="CP101" s="351" t="str">
        <f>IFERROR(IF(Tableau1[[#This Row],[Montant Facturé 11/2018]]&gt;0,Tableau1[[#This Row],[Montant Facturé 11/2018]]/Taux_Change_SII,""),"")</f>
        <v/>
      </c>
      <c r="CQ101" s="351"/>
      <c r="CR101" s="83">
        <f>SUMPRODUCT(1*(EXACT(CONCATENATE(Tableau1[[#This Row],[PO Number (Header)]],"-",Tableau1[[#This Row],[Line]]),UO_List[Unique_AIB_ID]))*(UO_List[Qté Réception 12/2020]))</f>
        <v>0</v>
      </c>
      <c r="CS101" s="84"/>
      <c r="CT101" s="351"/>
      <c r="CU101" s="351" t="str">
        <f>IFERROR(Tableau1[[#This Row],[Qté Facturé 12/2018]]*Tableau1[[#This Row],[Unit Price (calcul)]],"")</f>
        <v/>
      </c>
      <c r="CV101" s="351" t="str">
        <f>IFERROR(IF(Tableau1[[#This Row],[Montant Facturé 12/2018]]&gt;0,Tableau1[[#This Row],[Montant Facturé 12/2018]]/Taux_Change_SII,""),"")</f>
        <v/>
      </c>
      <c r="CW101" s="351"/>
      <c r="CX10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1" s="352" t="str">
        <f>IFERROR(Tableau1[[#This Row],[Total item réceptionné]]*Tableau1[[#This Row],[Unit Price (calcul)]],"")</f>
        <v/>
      </c>
      <c r="DB101" s="352" t="str">
        <f>IFERROR(Tableau1[[#This Row],[Total item à Facturer]]*Tableau1[[#This Row],[Unit Price (calcul)]],"")</f>
        <v/>
      </c>
      <c r="DC10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1" s="352" t="str">
        <f>IFERROR(Tableau1[[#This Row],[Line Total]]-Tableau1[[#This Row],[Total Price Réceptionné]],"")</f>
        <v/>
      </c>
      <c r="DE101" s="352" t="str">
        <f>IFERROR(Tableau1[[#This Row],[Total Price Réceptionné]]-Tableau1[[#This Row],[Total Price A facturer]],"")</f>
        <v/>
      </c>
      <c r="DF101" s="353" t="str">
        <f>IFERROR(Tableau1[[#This Row],[Total Price A facturer]]-Tableau1[[#This Row],[Total Price Facturé]],"")</f>
        <v/>
      </c>
      <c r="DG101" s="76">
        <f>Tableau1[[#This Row],[Total Item Quantity]]-Tableau1[[#This Row],[Total item réceptionné]]</f>
        <v>0</v>
      </c>
      <c r="DH101" s="167"/>
      <c r="DI101" s="167"/>
    </row>
    <row r="102" spans="1:113" s="74" customFormat="1">
      <c r="A102" s="77" t="str">
        <f>CONCATENATE(Tableau1[[#This Row],[PO Number (Header)]],"-",Tableau1[[#This Row],[Line]])</f>
        <v>-</v>
      </c>
      <c r="B102" s="77"/>
      <c r="C102" s="450"/>
      <c r="D102" s="102"/>
      <c r="E102" s="77"/>
      <c r="F102" s="77"/>
      <c r="G102" s="77"/>
      <c r="H102" s="77"/>
      <c r="I102" s="452"/>
      <c r="J102" s="452"/>
      <c r="K102" s="453"/>
      <c r="L102" s="453"/>
      <c r="M102" s="77"/>
      <c r="N102" s="77"/>
      <c r="O102" s="77"/>
      <c r="P102" s="77"/>
      <c r="Q102" s="395"/>
      <c r="R102" s="395"/>
      <c r="S102" s="77"/>
      <c r="T102" s="77"/>
      <c r="U102" s="77"/>
      <c r="V102" s="77"/>
      <c r="W102" s="167"/>
      <c r="X102" s="167"/>
      <c r="Y102" s="167" t="str">
        <f>IF(ISBLANK(Tableau1[[#This Row],[PO Number (Header)]]),"",Tableau1[[#This Row],[Line Total]]/Tableau1[[#This Row],[Total Item Quantity]])</f>
        <v/>
      </c>
      <c r="Z102" s="167" t="str">
        <f>IF(ISNA(VLOOKUP(Tableau1[[#This Row],[Unique_AIB_ID]],UO_List[Unique_AIB_ID],1,FALSE)),IF(ISBLANK(Tableau1[[#This Row],[PO Number (Header)]]),"","FAUX"),"VRAI")</f>
        <v/>
      </c>
      <c r="AA102" s="167"/>
      <c r="AB102" s="162" t="e">
        <f>VLOOKUP(Tableau1[[#This Row],[Unique_AIB_ID]],UO_List[[Unique_AIB_ID]:[OLGA F6]],3,FALSE)</f>
        <v>#N/A</v>
      </c>
      <c r="AC102" s="162" t="s">
        <v>790</v>
      </c>
      <c r="AD102" s="83">
        <f>SUMPRODUCT(1*(EXACT(CONCATENATE(Tableau1[[#This Row],[PO Number (Header)]],"-",Tableau1[[#This Row],[Line]]),UO_List[Unique_AIB_ID]))*(UO_List[Qté Réception 03/2020]))</f>
        <v>0</v>
      </c>
      <c r="AE102" s="84"/>
      <c r="AF102" s="357"/>
      <c r="AG102" s="351" t="str">
        <f>IFERROR(Tableau1[[#This Row],[Qté Facturé 01/2018]]*Tableau1[[#This Row],[Unit Price (calcul)]],"")</f>
        <v/>
      </c>
      <c r="AH102" s="356" t="str">
        <f>IFERROR(IF(Tableau1[[#This Row],[Montant Facturé 01/2018]]&gt;0,Tableau1[[#This Row],[Montant Facturé 01/2018]]/Taux_Change_SII,""),"")</f>
        <v/>
      </c>
      <c r="AI102" s="351"/>
      <c r="AJ102" s="83">
        <f>SUMPRODUCT(1*(EXACT(CONCATENATE(Tableau1[[#This Row],[PO Number (Header)]],"-",Tableau1[[#This Row],[Line]]),UO_List[Unique_AIB_ID]))*(UO_List[Qté Réception 02/2020]))</f>
        <v>0</v>
      </c>
      <c r="AK102" s="83">
        <f>SUMPRODUCT(1*(EXACT(CONCATENATE(Tableau1[[#This Row],[PO Number (Header)]],"-",Tableau1[[#This Row],[Line]]),UO_List[Unique_AIB_ID]))*(UO_List[Qté Réception 02/2020]))</f>
        <v>0</v>
      </c>
      <c r="AL102" s="357"/>
      <c r="AM102" s="351" t="str">
        <f>IFERROR(Tableau1[[#This Row],[Qté Facturé 02/2018]]*Tableau1[[#This Row],[Unit Price (calcul)]],"")</f>
        <v/>
      </c>
      <c r="AN102" s="351" t="str">
        <f>IFERROR(IF(Tableau1[[#This Row],[Montant Facturé 02/2018]]&gt;0,Tableau1[[#This Row],[Montant Facturé 02/2018]]/Taux_Change_SII,""),"")</f>
        <v/>
      </c>
      <c r="AO102" s="351"/>
      <c r="AP102" s="83">
        <f>SUMPRODUCT(1*(EXACT(CONCATENATE(Tableau1[[#This Row],[PO Number (Header)]],"-",Tableau1[[#This Row],[Line]]),UO_List[Unique_AIB_ID]))*(UO_List[Qté Réception 00/2020]))</f>
        <v>0</v>
      </c>
      <c r="AQ102" s="84"/>
      <c r="AR102" s="357"/>
      <c r="AS102" s="351" t="str">
        <f>IFERROR(Tableau1[[#This Row],[Qté Facturé 03/2018]]*Tableau1[[#This Row],[Unit Price (calcul)]],"")</f>
        <v/>
      </c>
      <c r="AT102" s="351" t="str">
        <f>IFERROR(IF(Tableau1[[#This Row],[Montant Facturé 03/2018]]&gt;0,Tableau1[[#This Row],[Montant Facturé 03/2018]]/Taux_Change_SII,""),"")</f>
        <v/>
      </c>
      <c r="AU102" s="351"/>
      <c r="AV102" s="83">
        <f>SUMPRODUCT(1*(EXACT(CONCATENATE(Tableau1[[#This Row],[PO Number (Header)]],"-",Tableau1[[#This Row],[Line]]),UO_List[Unique_AIB_ID]))*(UO_List[Qté Réception 04/2020]))</f>
        <v>0</v>
      </c>
      <c r="AW102" s="84"/>
      <c r="AX102" s="351"/>
      <c r="AY102" s="351" t="str">
        <f>IFERROR(Tableau1[[#This Row],[Qté Facturé 04/2018]]*Tableau1[[#This Row],[Unit Price (calcul)]],"")</f>
        <v/>
      </c>
      <c r="AZ102" s="351" t="str">
        <f>IFERROR(IF(Tableau1[[#This Row],[Montant Facturé 04/2018]]&gt;0,Tableau1[[#This Row],[Montant Facturé 04/2018]]/Taux_Change_SII,""),"")</f>
        <v/>
      </c>
      <c r="BA102" s="351"/>
      <c r="BB102" s="83">
        <f>SUMPRODUCT(1*(EXACT(CONCATENATE(Tableau1[[#This Row],[PO Number (Header)]],"-",Tableau1[[#This Row],[Line]]),UO_List[Unique_AIB_ID]))*(UO_List[Qté Réception 05/2020]))</f>
        <v>0</v>
      </c>
      <c r="BC102" s="84"/>
      <c r="BD102" s="351"/>
      <c r="BE102" s="351" t="str">
        <f>IFERROR(Tableau1[[#This Row],[Qté Facturé 05/2018]]*Tableau1[[#This Row],[Unit Price (calcul)]],"")</f>
        <v/>
      </c>
      <c r="BF102" s="351" t="str">
        <f>IFERROR(IF(Tableau1[[#This Row],[Montant Facturé 05/2018]]&gt;0,Tableau1[[#This Row],[Montant Facturé 05/2018]]/Taux_Change_SII,""),"")</f>
        <v/>
      </c>
      <c r="BG102" s="351"/>
      <c r="BH102" s="83">
        <f>SUMPRODUCT(1*(EXACT(CONCATENATE(Tableau1[[#This Row],[PO Number (Header)]],"-",Tableau1[[#This Row],[Line]]),UO_List[Unique_AIB_ID]))*(UO_List[Qté Réception 06/2020]))</f>
        <v>0</v>
      </c>
      <c r="BI102" s="84"/>
      <c r="BJ102" s="351"/>
      <c r="BK102" s="351" t="str">
        <f>IFERROR(Tableau1[[#This Row],[Qté Facturé 06/2018]]*Tableau1[[#This Row],[Unit Price (calcul)]],"")</f>
        <v/>
      </c>
      <c r="BL102" s="351" t="str">
        <f>IFERROR(IF(Tableau1[[#This Row],[Montant Facturé 06/2018]]&gt;0,Tableau1[[#This Row],[Montant Facturé 06/2018]]/Taux_Change_SII,""),"")</f>
        <v/>
      </c>
      <c r="BM102" s="351"/>
      <c r="BN102" s="83">
        <f>SUMPRODUCT(1*(EXACT(CONCATENATE(Tableau1[[#This Row],[PO Number (Header)]],"-",Tableau1[[#This Row],[Line]]),UO_List[Unique_AIB_ID]))*(UO_List[Qté Réception 07/2020]))</f>
        <v>0</v>
      </c>
      <c r="BO102" s="84">
        <v>0</v>
      </c>
      <c r="BP102" s="351"/>
      <c r="BQ102" s="351" t="str">
        <f>IFERROR(Tableau1[[#This Row],[Qté Facturé 07/2018]]*Tableau1[[#This Row],[Unit Price (calcul)]],"")</f>
        <v/>
      </c>
      <c r="BR102" s="351" t="str">
        <f>IFERROR(IF(Tableau1[[#This Row],[Montant Facturé 07/2018]]&gt;0,Tableau1[[#This Row],[Montant Facturé 07/2018]]/Taux_Change_SII,""),"")</f>
        <v/>
      </c>
      <c r="BS102" s="351"/>
      <c r="BT102" s="83">
        <f>SUMPRODUCT(1*(EXACT(CONCATENATE(Tableau1[[#This Row],[PO Number (Header)]],"-",Tableau1[[#This Row],[Line]]),UO_List[Unique_AIB_ID]))*(UO_List[Qté Réception 08/2020]))</f>
        <v>0</v>
      </c>
      <c r="BU102" s="84"/>
      <c r="BV102" s="351"/>
      <c r="BW102" s="351" t="str">
        <f>IFERROR(Tableau1[[#This Row],[Qté Facturé 08/2018]]*Tableau1[[#This Row],[Unit Price (calcul)]],"")</f>
        <v/>
      </c>
      <c r="BX102" s="351" t="str">
        <f>IFERROR(IF(Tableau1[[#This Row],[Montant Facturé 08/2018]]&gt;0,Tableau1[[#This Row],[Montant Facturé 08/2018]]/Taux_Change_SII,""),"")</f>
        <v/>
      </c>
      <c r="BY102" s="351"/>
      <c r="BZ102" s="83">
        <f>SUMPRODUCT(1*(EXACT(CONCATENATE(Tableau1[[#This Row],[PO Number (Header)]],"-",Tableau1[[#This Row],[Line]]),UO_List[Unique_AIB_ID]))*(UO_List[Qté Réception 09/2020]))</f>
        <v>0</v>
      </c>
      <c r="CA102" s="83"/>
      <c r="CB102" s="351"/>
      <c r="CC102" s="351" t="str">
        <f>IFERROR(Tableau1[[#This Row],[Qté Facturé 09/2018]]*Tableau1[[#This Row],[Unit Price (calcul)]],"")</f>
        <v/>
      </c>
      <c r="CD102" s="351" t="str">
        <f>IFERROR(IF(Tableau1[[#This Row],[Montant Facturé 09/2018]]&gt;0,Tableau1[[#This Row],[Montant Facturé 09/2018]]/Taux_Change_SII,""),"")</f>
        <v/>
      </c>
      <c r="CE102" s="351"/>
      <c r="CF102" s="83">
        <f>SUMPRODUCT(1*(EXACT(CONCATENATE(Tableau1[[#This Row],[PO Number (Header)]],"-",Tableau1[[#This Row],[Line]]),UO_List[Unique_AIB_ID]))*(UO_List[Qté Réception 10/2020]))</f>
        <v>0</v>
      </c>
      <c r="CG102" s="84"/>
      <c r="CH102" s="84"/>
      <c r="CI102" s="488" t="str">
        <f>IFERROR(Tableau1[[#This Row],[Qté Facturé 10/2018]]*Tableau1[[#This Row],[Unit Price (calcul)]],"")</f>
        <v/>
      </c>
      <c r="CJ102" s="351" t="str">
        <f>IFERROR(IF(Tableau1[[#This Row],[Montant Facturé 10/2018]]&gt;0,Tableau1[[#This Row],[Montant Facturé 10/2018]]/Taux_Change_SII,""),"")</f>
        <v/>
      </c>
      <c r="CK102" s="351"/>
      <c r="CL102" s="83">
        <f>SUMPRODUCT(1*(EXACT(CONCATENATE(Tableau1[[#This Row],[PO Number (Header)]],"-",Tableau1[[#This Row],[Line]]),UO_List[Unique_AIB_ID]))*(UO_List[Qté Réception 11/2020]))</f>
        <v>0</v>
      </c>
      <c r="CM102" s="84"/>
      <c r="CN102" s="351"/>
      <c r="CO102" s="351" t="str">
        <f>IFERROR(Tableau1[[#This Row],[Qté Facturé 11/2018]]*Tableau1[[#This Row],[Unit Price (calcul)]],"")</f>
        <v/>
      </c>
      <c r="CP102" s="351" t="str">
        <f>IFERROR(IF(Tableau1[[#This Row],[Montant Facturé 11/2018]]&gt;0,Tableau1[[#This Row],[Montant Facturé 11/2018]]/Taux_Change_SII,""),"")</f>
        <v/>
      </c>
      <c r="CQ102" s="351"/>
      <c r="CR102" s="83">
        <f>SUMPRODUCT(1*(EXACT(CONCATENATE(Tableau1[[#This Row],[PO Number (Header)]],"-",Tableau1[[#This Row],[Line]]),UO_List[Unique_AIB_ID]))*(UO_List[Qté Réception 12/2020]))</f>
        <v>0</v>
      </c>
      <c r="CS102" s="84"/>
      <c r="CT102" s="351"/>
      <c r="CU102" s="351" t="str">
        <f>IFERROR(Tableau1[[#This Row],[Qté Facturé 12/2018]]*Tableau1[[#This Row],[Unit Price (calcul)]],"")</f>
        <v/>
      </c>
      <c r="CV102" s="351" t="str">
        <f>IFERROR(IF(Tableau1[[#This Row],[Montant Facturé 12/2018]]&gt;0,Tableau1[[#This Row],[Montant Facturé 12/2018]]/Taux_Change_SII,""),"")</f>
        <v/>
      </c>
      <c r="CW102" s="351"/>
      <c r="CX10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2" s="352" t="str">
        <f>IFERROR(Tableau1[[#This Row],[Total item réceptionné]]*Tableau1[[#This Row],[Unit Price (calcul)]],"")</f>
        <v/>
      </c>
      <c r="DB102" s="352" t="str">
        <f>IFERROR(Tableau1[[#This Row],[Total item à Facturer]]*Tableau1[[#This Row],[Unit Price (calcul)]],"")</f>
        <v/>
      </c>
      <c r="DC10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2" s="352" t="str">
        <f>IFERROR(Tableau1[[#This Row],[Line Total]]-Tableau1[[#This Row],[Total Price Réceptionné]],"")</f>
        <v/>
      </c>
      <c r="DE102" s="352" t="str">
        <f>IFERROR(Tableau1[[#This Row],[Total Price Réceptionné]]-Tableau1[[#This Row],[Total Price A facturer]],"")</f>
        <v/>
      </c>
      <c r="DF102" s="353" t="str">
        <f>IFERROR(Tableau1[[#This Row],[Total Price A facturer]]-Tableau1[[#This Row],[Total Price Facturé]],"")</f>
        <v/>
      </c>
      <c r="DG102" s="76">
        <f>Tableau1[[#This Row],[Total Item Quantity]]-Tableau1[[#This Row],[Total item réceptionné]]</f>
        <v>0</v>
      </c>
      <c r="DH102" s="167"/>
      <c r="DI102" s="167"/>
    </row>
    <row r="103" spans="1:113" s="74" customFormat="1">
      <c r="A103" s="77" t="str">
        <f>CONCATENATE(Tableau1[[#This Row],[PO Number (Header)]],"-",Tableau1[[#This Row],[Line]])</f>
        <v>-</v>
      </c>
      <c r="B103" s="77"/>
      <c r="C103" s="450"/>
      <c r="D103" s="102"/>
      <c r="E103" s="77"/>
      <c r="F103" s="77"/>
      <c r="G103" s="77"/>
      <c r="H103" s="77"/>
      <c r="I103" s="452"/>
      <c r="J103" s="452"/>
      <c r="K103" s="453"/>
      <c r="L103" s="453"/>
      <c r="M103" s="77"/>
      <c r="N103" s="77"/>
      <c r="O103" s="77"/>
      <c r="P103" s="77"/>
      <c r="Q103" s="395"/>
      <c r="R103" s="395"/>
      <c r="S103" s="77"/>
      <c r="T103" s="77"/>
      <c r="U103" s="77"/>
      <c r="V103" s="77"/>
      <c r="W103" s="167"/>
      <c r="X103" s="167"/>
      <c r="Y103" s="167" t="str">
        <f>IF(ISBLANK(Tableau1[[#This Row],[PO Number (Header)]]),"",Tableau1[[#This Row],[Line Total]]/Tableau1[[#This Row],[Total Item Quantity]])</f>
        <v/>
      </c>
      <c r="Z103" s="167" t="str">
        <f>IF(ISNA(VLOOKUP(Tableau1[[#This Row],[Unique_AIB_ID]],UO_List[Unique_AIB_ID],1,FALSE)),IF(ISBLANK(Tableau1[[#This Row],[PO Number (Header)]]),"","FAUX"),"VRAI")</f>
        <v/>
      </c>
      <c r="AA103" s="167"/>
      <c r="AB103" s="162" t="e">
        <f>VLOOKUP(Tableau1[[#This Row],[Unique_AIB_ID]],UO_List[[Unique_AIB_ID]:[OLGA F6]],3,FALSE)</f>
        <v>#N/A</v>
      </c>
      <c r="AC103" s="162" t="s">
        <v>790</v>
      </c>
      <c r="AD103" s="83">
        <f>SUMPRODUCT(1*(EXACT(CONCATENATE(Tableau1[[#This Row],[PO Number (Header)]],"-",Tableau1[[#This Row],[Line]]),UO_List[Unique_AIB_ID]))*(UO_List[Qté Réception 03/2020]))</f>
        <v>0</v>
      </c>
      <c r="AE103" s="84"/>
      <c r="AF103" s="357"/>
      <c r="AG103" s="351" t="str">
        <f>IFERROR(Tableau1[[#This Row],[Qté Facturé 01/2018]]*Tableau1[[#This Row],[Unit Price (calcul)]],"")</f>
        <v/>
      </c>
      <c r="AH103" s="356" t="str">
        <f>IFERROR(IF(Tableau1[[#This Row],[Montant Facturé 01/2018]]&gt;0,Tableau1[[#This Row],[Montant Facturé 01/2018]]/Taux_Change_SII,""),"")</f>
        <v/>
      </c>
      <c r="AI103" s="351"/>
      <c r="AJ103" s="83">
        <f>SUMPRODUCT(1*(EXACT(CONCATENATE(Tableau1[[#This Row],[PO Number (Header)]],"-",Tableau1[[#This Row],[Line]]),UO_List[Unique_AIB_ID]))*(UO_List[Qté Réception 02/2020]))</f>
        <v>0</v>
      </c>
      <c r="AK103" s="83">
        <f>SUMPRODUCT(1*(EXACT(CONCATENATE(Tableau1[[#This Row],[PO Number (Header)]],"-",Tableau1[[#This Row],[Line]]),UO_List[Unique_AIB_ID]))*(UO_List[Qté Réception 02/2020]))</f>
        <v>0</v>
      </c>
      <c r="AL103" s="357"/>
      <c r="AM103" s="351" t="str">
        <f>IFERROR(Tableau1[[#This Row],[Qté Facturé 02/2018]]*Tableau1[[#This Row],[Unit Price (calcul)]],"")</f>
        <v/>
      </c>
      <c r="AN103" s="351" t="str">
        <f>IFERROR(IF(Tableau1[[#This Row],[Montant Facturé 02/2018]]&gt;0,Tableau1[[#This Row],[Montant Facturé 02/2018]]/Taux_Change_SII,""),"")</f>
        <v/>
      </c>
      <c r="AO103" s="351"/>
      <c r="AP103" s="83">
        <f>SUMPRODUCT(1*(EXACT(CONCATENATE(Tableau1[[#This Row],[PO Number (Header)]],"-",Tableau1[[#This Row],[Line]]),UO_List[Unique_AIB_ID]))*(UO_List[Qté Réception 00/2020]))</f>
        <v>0</v>
      </c>
      <c r="AQ103" s="84"/>
      <c r="AR103" s="357"/>
      <c r="AS103" s="351" t="str">
        <f>IFERROR(Tableau1[[#This Row],[Qté Facturé 03/2018]]*Tableau1[[#This Row],[Unit Price (calcul)]],"")</f>
        <v/>
      </c>
      <c r="AT103" s="351" t="str">
        <f>IFERROR(IF(Tableau1[[#This Row],[Montant Facturé 03/2018]]&gt;0,Tableau1[[#This Row],[Montant Facturé 03/2018]]/Taux_Change_SII,""),"")</f>
        <v/>
      </c>
      <c r="AU103" s="351"/>
      <c r="AV103" s="83">
        <f>SUMPRODUCT(1*(EXACT(CONCATENATE(Tableau1[[#This Row],[PO Number (Header)]],"-",Tableau1[[#This Row],[Line]]),UO_List[Unique_AIB_ID]))*(UO_List[Qté Réception 04/2020]))</f>
        <v>0</v>
      </c>
      <c r="AW103" s="84"/>
      <c r="AX103" s="351"/>
      <c r="AY103" s="351" t="str">
        <f>IFERROR(Tableau1[[#This Row],[Qté Facturé 04/2018]]*Tableau1[[#This Row],[Unit Price (calcul)]],"")</f>
        <v/>
      </c>
      <c r="AZ103" s="351" t="str">
        <f>IFERROR(IF(Tableau1[[#This Row],[Montant Facturé 04/2018]]&gt;0,Tableau1[[#This Row],[Montant Facturé 04/2018]]/Taux_Change_SII,""),"")</f>
        <v/>
      </c>
      <c r="BA103" s="351"/>
      <c r="BB103" s="83">
        <f>SUMPRODUCT(1*(EXACT(CONCATENATE(Tableau1[[#This Row],[PO Number (Header)]],"-",Tableau1[[#This Row],[Line]]),UO_List[Unique_AIB_ID]))*(UO_List[Qté Réception 05/2020]))</f>
        <v>0</v>
      </c>
      <c r="BC103" s="84"/>
      <c r="BD103" s="351"/>
      <c r="BE103" s="351" t="str">
        <f>IFERROR(Tableau1[[#This Row],[Qté Facturé 05/2018]]*Tableau1[[#This Row],[Unit Price (calcul)]],"")</f>
        <v/>
      </c>
      <c r="BF103" s="351" t="str">
        <f>IFERROR(IF(Tableau1[[#This Row],[Montant Facturé 05/2018]]&gt;0,Tableau1[[#This Row],[Montant Facturé 05/2018]]/Taux_Change_SII,""),"")</f>
        <v/>
      </c>
      <c r="BG103" s="351"/>
      <c r="BH103" s="83">
        <f>SUMPRODUCT(1*(EXACT(CONCATENATE(Tableau1[[#This Row],[PO Number (Header)]],"-",Tableau1[[#This Row],[Line]]),UO_List[Unique_AIB_ID]))*(UO_List[Qté Réception 06/2020]))</f>
        <v>0</v>
      </c>
      <c r="BI103" s="84"/>
      <c r="BJ103" s="351"/>
      <c r="BK103" s="351" t="str">
        <f>IFERROR(Tableau1[[#This Row],[Qté Facturé 06/2018]]*Tableau1[[#This Row],[Unit Price (calcul)]],"")</f>
        <v/>
      </c>
      <c r="BL103" s="351" t="str">
        <f>IFERROR(IF(Tableau1[[#This Row],[Montant Facturé 06/2018]]&gt;0,Tableau1[[#This Row],[Montant Facturé 06/2018]]/Taux_Change_SII,""),"")</f>
        <v/>
      </c>
      <c r="BM103" s="351"/>
      <c r="BN103" s="83">
        <f>SUMPRODUCT(1*(EXACT(CONCATENATE(Tableau1[[#This Row],[PO Number (Header)]],"-",Tableau1[[#This Row],[Line]]),UO_List[Unique_AIB_ID]))*(UO_List[Qté Réception 07/2020]))</f>
        <v>0</v>
      </c>
      <c r="BO103" s="84">
        <v>0</v>
      </c>
      <c r="BP103" s="351"/>
      <c r="BQ103" s="351" t="str">
        <f>IFERROR(Tableau1[[#This Row],[Qté Facturé 07/2018]]*Tableau1[[#This Row],[Unit Price (calcul)]],"")</f>
        <v/>
      </c>
      <c r="BR103" s="351" t="str">
        <f>IFERROR(IF(Tableau1[[#This Row],[Montant Facturé 07/2018]]&gt;0,Tableau1[[#This Row],[Montant Facturé 07/2018]]/Taux_Change_SII,""),"")</f>
        <v/>
      </c>
      <c r="BS103" s="351"/>
      <c r="BT103" s="83">
        <f>SUMPRODUCT(1*(EXACT(CONCATENATE(Tableau1[[#This Row],[PO Number (Header)]],"-",Tableau1[[#This Row],[Line]]),UO_List[Unique_AIB_ID]))*(UO_List[Qté Réception 08/2020]))</f>
        <v>0</v>
      </c>
      <c r="BU103" s="84"/>
      <c r="BV103" s="351"/>
      <c r="BW103" s="351" t="str">
        <f>IFERROR(Tableau1[[#This Row],[Qté Facturé 08/2018]]*Tableau1[[#This Row],[Unit Price (calcul)]],"")</f>
        <v/>
      </c>
      <c r="BX103" s="351" t="str">
        <f>IFERROR(IF(Tableau1[[#This Row],[Montant Facturé 08/2018]]&gt;0,Tableau1[[#This Row],[Montant Facturé 08/2018]]/Taux_Change_SII,""),"")</f>
        <v/>
      </c>
      <c r="BY103" s="351"/>
      <c r="BZ103" s="83">
        <f>SUMPRODUCT(1*(EXACT(CONCATENATE(Tableau1[[#This Row],[PO Number (Header)]],"-",Tableau1[[#This Row],[Line]]),UO_List[Unique_AIB_ID]))*(UO_List[Qté Réception 09/2020]))</f>
        <v>0</v>
      </c>
      <c r="CA103" s="83"/>
      <c r="CB103" s="351"/>
      <c r="CC103" s="351" t="str">
        <f>IFERROR(Tableau1[[#This Row],[Qté Facturé 09/2018]]*Tableau1[[#This Row],[Unit Price (calcul)]],"")</f>
        <v/>
      </c>
      <c r="CD103" s="351" t="str">
        <f>IFERROR(IF(Tableau1[[#This Row],[Montant Facturé 09/2018]]&gt;0,Tableau1[[#This Row],[Montant Facturé 09/2018]]/Taux_Change_SII,""),"")</f>
        <v/>
      </c>
      <c r="CE103" s="351"/>
      <c r="CF103" s="83">
        <f>SUMPRODUCT(1*(EXACT(CONCATENATE(Tableau1[[#This Row],[PO Number (Header)]],"-",Tableau1[[#This Row],[Line]]),UO_List[Unique_AIB_ID]))*(UO_List[Qté Réception 10/2020]))</f>
        <v>0</v>
      </c>
      <c r="CG103" s="84"/>
      <c r="CH103" s="84"/>
      <c r="CI103" s="488" t="str">
        <f>IFERROR(Tableau1[[#This Row],[Qté Facturé 10/2018]]*Tableau1[[#This Row],[Unit Price (calcul)]],"")</f>
        <v/>
      </c>
      <c r="CJ103" s="351" t="str">
        <f>IFERROR(IF(Tableau1[[#This Row],[Montant Facturé 10/2018]]&gt;0,Tableau1[[#This Row],[Montant Facturé 10/2018]]/Taux_Change_SII,""),"")</f>
        <v/>
      </c>
      <c r="CK103" s="351"/>
      <c r="CL103" s="83">
        <f>SUMPRODUCT(1*(EXACT(CONCATENATE(Tableau1[[#This Row],[PO Number (Header)]],"-",Tableau1[[#This Row],[Line]]),UO_List[Unique_AIB_ID]))*(UO_List[Qté Réception 11/2020]))</f>
        <v>0</v>
      </c>
      <c r="CM103" s="84"/>
      <c r="CN103" s="351"/>
      <c r="CO103" s="351" t="str">
        <f>IFERROR(Tableau1[[#This Row],[Qté Facturé 11/2018]]*Tableau1[[#This Row],[Unit Price (calcul)]],"")</f>
        <v/>
      </c>
      <c r="CP103" s="351" t="str">
        <f>IFERROR(IF(Tableau1[[#This Row],[Montant Facturé 11/2018]]&gt;0,Tableau1[[#This Row],[Montant Facturé 11/2018]]/Taux_Change_SII,""),"")</f>
        <v/>
      </c>
      <c r="CQ103" s="351"/>
      <c r="CR103" s="83">
        <f>SUMPRODUCT(1*(EXACT(CONCATENATE(Tableau1[[#This Row],[PO Number (Header)]],"-",Tableau1[[#This Row],[Line]]),UO_List[Unique_AIB_ID]))*(UO_List[Qté Réception 12/2020]))</f>
        <v>0</v>
      </c>
      <c r="CS103" s="84"/>
      <c r="CT103" s="351"/>
      <c r="CU103" s="351" t="str">
        <f>IFERROR(Tableau1[[#This Row],[Qté Facturé 12/2018]]*Tableau1[[#This Row],[Unit Price (calcul)]],"")</f>
        <v/>
      </c>
      <c r="CV103" s="351" t="str">
        <f>IFERROR(IF(Tableau1[[#This Row],[Montant Facturé 12/2018]]&gt;0,Tableau1[[#This Row],[Montant Facturé 12/2018]]/Taux_Change_SII,""),"")</f>
        <v/>
      </c>
      <c r="CW103" s="351"/>
      <c r="CX10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3" s="352" t="str">
        <f>IFERROR(Tableau1[[#This Row],[Total item réceptionné]]*Tableau1[[#This Row],[Unit Price (calcul)]],"")</f>
        <v/>
      </c>
      <c r="DB103" s="352" t="str">
        <f>IFERROR(Tableau1[[#This Row],[Total item à Facturer]]*Tableau1[[#This Row],[Unit Price (calcul)]],"")</f>
        <v/>
      </c>
      <c r="DC10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3" s="352" t="str">
        <f>IFERROR(Tableau1[[#This Row],[Line Total]]-Tableau1[[#This Row],[Total Price Réceptionné]],"")</f>
        <v/>
      </c>
      <c r="DE103" s="352" t="str">
        <f>IFERROR(Tableau1[[#This Row],[Total Price Réceptionné]]-Tableau1[[#This Row],[Total Price A facturer]],"")</f>
        <v/>
      </c>
      <c r="DF103" s="353" t="str">
        <f>IFERROR(Tableau1[[#This Row],[Total Price A facturer]]-Tableau1[[#This Row],[Total Price Facturé]],"")</f>
        <v/>
      </c>
      <c r="DG103" s="76">
        <f>Tableau1[[#This Row],[Total Item Quantity]]-Tableau1[[#This Row],[Total item réceptionné]]</f>
        <v>0</v>
      </c>
      <c r="DH103" s="167"/>
      <c r="DI103" s="167"/>
    </row>
    <row r="104" spans="1:113" s="74" customFormat="1">
      <c r="A104" s="77" t="str">
        <f>CONCATENATE(Tableau1[[#This Row],[PO Number (Header)]],"-",Tableau1[[#This Row],[Line]])</f>
        <v>-</v>
      </c>
      <c r="B104" s="77"/>
      <c r="C104" s="450"/>
      <c r="D104" s="102"/>
      <c r="E104" s="77"/>
      <c r="F104" s="77"/>
      <c r="G104" s="77"/>
      <c r="H104" s="77"/>
      <c r="I104" s="452"/>
      <c r="J104" s="452"/>
      <c r="K104" s="453"/>
      <c r="L104" s="453"/>
      <c r="M104" s="77"/>
      <c r="N104" s="77"/>
      <c r="O104" s="77"/>
      <c r="P104" s="77"/>
      <c r="Q104" s="395"/>
      <c r="R104" s="395"/>
      <c r="S104" s="77"/>
      <c r="T104" s="77"/>
      <c r="U104" s="77"/>
      <c r="V104" s="77"/>
      <c r="W104" s="167"/>
      <c r="X104" s="167"/>
      <c r="Y104" s="167" t="str">
        <f>IF(ISBLANK(Tableau1[[#This Row],[PO Number (Header)]]),"",Tableau1[[#This Row],[Line Total]]/Tableau1[[#This Row],[Total Item Quantity]])</f>
        <v/>
      </c>
      <c r="Z104" s="167" t="str">
        <f>IF(ISNA(VLOOKUP(Tableau1[[#This Row],[Unique_AIB_ID]],UO_List[Unique_AIB_ID],1,FALSE)),IF(ISBLANK(Tableau1[[#This Row],[PO Number (Header)]]),"","FAUX"),"VRAI")</f>
        <v/>
      </c>
      <c r="AA104" s="167"/>
      <c r="AB104" s="162" t="e">
        <f>VLOOKUP(Tableau1[[#This Row],[Unique_AIB_ID]],UO_List[[Unique_AIB_ID]:[OLGA F6]],3,FALSE)</f>
        <v>#N/A</v>
      </c>
      <c r="AC104" s="162" t="s">
        <v>790</v>
      </c>
      <c r="AD104" s="83">
        <f>SUMPRODUCT(1*(EXACT(CONCATENATE(Tableau1[[#This Row],[PO Number (Header)]],"-",Tableau1[[#This Row],[Line]]),UO_List[Unique_AIB_ID]))*(UO_List[Qté Réception 03/2020]))</f>
        <v>0</v>
      </c>
      <c r="AE104" s="84"/>
      <c r="AF104" s="357"/>
      <c r="AG104" s="351" t="str">
        <f>IFERROR(Tableau1[[#This Row],[Qté Facturé 01/2018]]*Tableau1[[#This Row],[Unit Price (calcul)]],"")</f>
        <v/>
      </c>
      <c r="AH104" s="356" t="str">
        <f>IFERROR(IF(Tableau1[[#This Row],[Montant Facturé 01/2018]]&gt;0,Tableau1[[#This Row],[Montant Facturé 01/2018]]/Taux_Change_SII,""),"")</f>
        <v/>
      </c>
      <c r="AI104" s="351"/>
      <c r="AJ104" s="83">
        <f>SUMPRODUCT(1*(EXACT(CONCATENATE(Tableau1[[#This Row],[PO Number (Header)]],"-",Tableau1[[#This Row],[Line]]),UO_List[Unique_AIB_ID]))*(UO_List[Qté Réception 02/2020]))</f>
        <v>0</v>
      </c>
      <c r="AK104" s="83">
        <f>SUMPRODUCT(1*(EXACT(CONCATENATE(Tableau1[[#This Row],[PO Number (Header)]],"-",Tableau1[[#This Row],[Line]]),UO_List[Unique_AIB_ID]))*(UO_List[Qté Réception 02/2020]))</f>
        <v>0</v>
      </c>
      <c r="AL104" s="357"/>
      <c r="AM104" s="351" t="str">
        <f>IFERROR(Tableau1[[#This Row],[Qté Facturé 02/2018]]*Tableau1[[#This Row],[Unit Price (calcul)]],"")</f>
        <v/>
      </c>
      <c r="AN104" s="351" t="str">
        <f>IFERROR(IF(Tableau1[[#This Row],[Montant Facturé 02/2018]]&gt;0,Tableau1[[#This Row],[Montant Facturé 02/2018]]/Taux_Change_SII,""),"")</f>
        <v/>
      </c>
      <c r="AO104" s="351"/>
      <c r="AP104" s="83">
        <f>SUMPRODUCT(1*(EXACT(CONCATENATE(Tableau1[[#This Row],[PO Number (Header)]],"-",Tableau1[[#This Row],[Line]]),UO_List[Unique_AIB_ID]))*(UO_List[Qté Réception 00/2020]))</f>
        <v>0</v>
      </c>
      <c r="AQ104" s="84"/>
      <c r="AR104" s="357"/>
      <c r="AS104" s="351" t="str">
        <f>IFERROR(Tableau1[[#This Row],[Qté Facturé 03/2018]]*Tableau1[[#This Row],[Unit Price (calcul)]],"")</f>
        <v/>
      </c>
      <c r="AT104" s="351" t="str">
        <f>IFERROR(IF(Tableau1[[#This Row],[Montant Facturé 03/2018]]&gt;0,Tableau1[[#This Row],[Montant Facturé 03/2018]]/Taux_Change_SII,""),"")</f>
        <v/>
      </c>
      <c r="AU104" s="351"/>
      <c r="AV104" s="83">
        <f>SUMPRODUCT(1*(EXACT(CONCATENATE(Tableau1[[#This Row],[PO Number (Header)]],"-",Tableau1[[#This Row],[Line]]),UO_List[Unique_AIB_ID]))*(UO_List[Qté Réception 04/2020]))</f>
        <v>0</v>
      </c>
      <c r="AW104" s="84"/>
      <c r="AX104" s="351"/>
      <c r="AY104" s="351" t="str">
        <f>IFERROR(Tableau1[[#This Row],[Qté Facturé 04/2018]]*Tableau1[[#This Row],[Unit Price (calcul)]],"")</f>
        <v/>
      </c>
      <c r="AZ104" s="351" t="str">
        <f>IFERROR(IF(Tableau1[[#This Row],[Montant Facturé 04/2018]]&gt;0,Tableau1[[#This Row],[Montant Facturé 04/2018]]/Taux_Change_SII,""),"")</f>
        <v/>
      </c>
      <c r="BA104" s="351"/>
      <c r="BB104" s="83">
        <f>SUMPRODUCT(1*(EXACT(CONCATENATE(Tableau1[[#This Row],[PO Number (Header)]],"-",Tableau1[[#This Row],[Line]]),UO_List[Unique_AIB_ID]))*(UO_List[Qté Réception 05/2020]))</f>
        <v>0</v>
      </c>
      <c r="BC104" s="84"/>
      <c r="BD104" s="351"/>
      <c r="BE104" s="351" t="str">
        <f>IFERROR(Tableau1[[#This Row],[Qté Facturé 05/2018]]*Tableau1[[#This Row],[Unit Price (calcul)]],"")</f>
        <v/>
      </c>
      <c r="BF104" s="351" t="str">
        <f>IFERROR(IF(Tableau1[[#This Row],[Montant Facturé 05/2018]]&gt;0,Tableau1[[#This Row],[Montant Facturé 05/2018]]/Taux_Change_SII,""),"")</f>
        <v/>
      </c>
      <c r="BG104" s="351"/>
      <c r="BH104" s="83">
        <f>SUMPRODUCT(1*(EXACT(CONCATENATE(Tableau1[[#This Row],[PO Number (Header)]],"-",Tableau1[[#This Row],[Line]]),UO_List[Unique_AIB_ID]))*(UO_List[Qté Réception 06/2020]))</f>
        <v>0</v>
      </c>
      <c r="BI104" s="84"/>
      <c r="BJ104" s="351"/>
      <c r="BK104" s="351" t="str">
        <f>IFERROR(Tableau1[[#This Row],[Qté Facturé 06/2018]]*Tableau1[[#This Row],[Unit Price (calcul)]],"")</f>
        <v/>
      </c>
      <c r="BL104" s="351" t="str">
        <f>IFERROR(IF(Tableau1[[#This Row],[Montant Facturé 06/2018]]&gt;0,Tableau1[[#This Row],[Montant Facturé 06/2018]]/Taux_Change_SII,""),"")</f>
        <v/>
      </c>
      <c r="BM104" s="351"/>
      <c r="BN104" s="83">
        <f>SUMPRODUCT(1*(EXACT(CONCATENATE(Tableau1[[#This Row],[PO Number (Header)]],"-",Tableau1[[#This Row],[Line]]),UO_List[Unique_AIB_ID]))*(UO_List[Qté Réception 07/2020]))</f>
        <v>0</v>
      </c>
      <c r="BO104" s="84">
        <v>0</v>
      </c>
      <c r="BP104" s="351"/>
      <c r="BQ104" s="351" t="str">
        <f>IFERROR(Tableau1[[#This Row],[Qté Facturé 07/2018]]*Tableau1[[#This Row],[Unit Price (calcul)]],"")</f>
        <v/>
      </c>
      <c r="BR104" s="351" t="str">
        <f>IFERROR(IF(Tableau1[[#This Row],[Montant Facturé 07/2018]]&gt;0,Tableau1[[#This Row],[Montant Facturé 07/2018]]/Taux_Change_SII,""),"")</f>
        <v/>
      </c>
      <c r="BS104" s="351"/>
      <c r="BT104" s="83">
        <f>SUMPRODUCT(1*(EXACT(CONCATENATE(Tableau1[[#This Row],[PO Number (Header)]],"-",Tableau1[[#This Row],[Line]]),UO_List[Unique_AIB_ID]))*(UO_List[Qté Réception 08/2020]))</f>
        <v>0</v>
      </c>
      <c r="BU104" s="84"/>
      <c r="BV104" s="351"/>
      <c r="BW104" s="351" t="str">
        <f>IFERROR(Tableau1[[#This Row],[Qté Facturé 08/2018]]*Tableau1[[#This Row],[Unit Price (calcul)]],"")</f>
        <v/>
      </c>
      <c r="BX104" s="351" t="str">
        <f>IFERROR(IF(Tableau1[[#This Row],[Montant Facturé 08/2018]]&gt;0,Tableau1[[#This Row],[Montant Facturé 08/2018]]/Taux_Change_SII,""),"")</f>
        <v/>
      </c>
      <c r="BY104" s="351"/>
      <c r="BZ104" s="83">
        <f>SUMPRODUCT(1*(EXACT(CONCATENATE(Tableau1[[#This Row],[PO Number (Header)]],"-",Tableau1[[#This Row],[Line]]),UO_List[Unique_AIB_ID]))*(UO_List[Qté Réception 09/2020]))</f>
        <v>0</v>
      </c>
      <c r="CA104" s="83"/>
      <c r="CB104" s="351"/>
      <c r="CC104" s="351" t="str">
        <f>IFERROR(Tableau1[[#This Row],[Qté Facturé 09/2018]]*Tableau1[[#This Row],[Unit Price (calcul)]],"")</f>
        <v/>
      </c>
      <c r="CD104" s="351" t="str">
        <f>IFERROR(IF(Tableau1[[#This Row],[Montant Facturé 09/2018]]&gt;0,Tableau1[[#This Row],[Montant Facturé 09/2018]]/Taux_Change_SII,""),"")</f>
        <v/>
      </c>
      <c r="CE104" s="351"/>
      <c r="CF104" s="83">
        <f>SUMPRODUCT(1*(EXACT(CONCATENATE(Tableau1[[#This Row],[PO Number (Header)]],"-",Tableau1[[#This Row],[Line]]),UO_List[Unique_AIB_ID]))*(UO_List[Qté Réception 10/2020]))</f>
        <v>0</v>
      </c>
      <c r="CG104" s="84"/>
      <c r="CH104" s="84"/>
      <c r="CI104" s="488" t="str">
        <f>IFERROR(Tableau1[[#This Row],[Qté Facturé 10/2018]]*Tableau1[[#This Row],[Unit Price (calcul)]],"")</f>
        <v/>
      </c>
      <c r="CJ104" s="351" t="str">
        <f>IFERROR(IF(Tableau1[[#This Row],[Montant Facturé 10/2018]]&gt;0,Tableau1[[#This Row],[Montant Facturé 10/2018]]/Taux_Change_SII,""),"")</f>
        <v/>
      </c>
      <c r="CK104" s="351"/>
      <c r="CL104" s="83">
        <f>SUMPRODUCT(1*(EXACT(CONCATENATE(Tableau1[[#This Row],[PO Number (Header)]],"-",Tableau1[[#This Row],[Line]]),UO_List[Unique_AIB_ID]))*(UO_List[Qté Réception 11/2020]))</f>
        <v>0</v>
      </c>
      <c r="CM104" s="84"/>
      <c r="CN104" s="351"/>
      <c r="CO104" s="351" t="str">
        <f>IFERROR(Tableau1[[#This Row],[Qté Facturé 11/2018]]*Tableau1[[#This Row],[Unit Price (calcul)]],"")</f>
        <v/>
      </c>
      <c r="CP104" s="351" t="str">
        <f>IFERROR(IF(Tableau1[[#This Row],[Montant Facturé 11/2018]]&gt;0,Tableau1[[#This Row],[Montant Facturé 11/2018]]/Taux_Change_SII,""),"")</f>
        <v/>
      </c>
      <c r="CQ104" s="351"/>
      <c r="CR104" s="83">
        <f>SUMPRODUCT(1*(EXACT(CONCATENATE(Tableau1[[#This Row],[PO Number (Header)]],"-",Tableau1[[#This Row],[Line]]),UO_List[Unique_AIB_ID]))*(UO_List[Qté Réception 12/2020]))</f>
        <v>0</v>
      </c>
      <c r="CS104" s="84"/>
      <c r="CT104" s="351"/>
      <c r="CU104" s="351" t="str">
        <f>IFERROR(Tableau1[[#This Row],[Qté Facturé 12/2018]]*Tableau1[[#This Row],[Unit Price (calcul)]],"")</f>
        <v/>
      </c>
      <c r="CV104" s="351" t="str">
        <f>IFERROR(IF(Tableau1[[#This Row],[Montant Facturé 12/2018]]&gt;0,Tableau1[[#This Row],[Montant Facturé 12/2018]]/Taux_Change_SII,""),"")</f>
        <v/>
      </c>
      <c r="CW104" s="351"/>
      <c r="CX10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4" s="352" t="str">
        <f>IFERROR(Tableau1[[#This Row],[Total item réceptionné]]*Tableau1[[#This Row],[Unit Price (calcul)]],"")</f>
        <v/>
      </c>
      <c r="DB104" s="352" t="str">
        <f>IFERROR(Tableau1[[#This Row],[Total item à Facturer]]*Tableau1[[#This Row],[Unit Price (calcul)]],"")</f>
        <v/>
      </c>
      <c r="DC10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4" s="352" t="str">
        <f>IFERROR(Tableau1[[#This Row],[Line Total]]-Tableau1[[#This Row],[Total Price Réceptionné]],"")</f>
        <v/>
      </c>
      <c r="DE104" s="352" t="str">
        <f>IFERROR(Tableau1[[#This Row],[Total Price Réceptionné]]-Tableau1[[#This Row],[Total Price A facturer]],"")</f>
        <v/>
      </c>
      <c r="DF104" s="353" t="str">
        <f>IFERROR(Tableau1[[#This Row],[Total Price A facturer]]-Tableau1[[#This Row],[Total Price Facturé]],"")</f>
        <v/>
      </c>
      <c r="DG104" s="76">
        <f>Tableau1[[#This Row],[Total Item Quantity]]-Tableau1[[#This Row],[Total item réceptionné]]</f>
        <v>0</v>
      </c>
      <c r="DH104" s="167"/>
      <c r="DI104" s="167"/>
    </row>
    <row r="105" spans="1:113" s="74" customFormat="1">
      <c r="A105" s="77" t="str">
        <f>CONCATENATE(Tableau1[[#This Row],[PO Number (Header)]],"-",Tableau1[[#This Row],[Line]])</f>
        <v>-</v>
      </c>
      <c r="B105" s="77"/>
      <c r="C105" s="450"/>
      <c r="D105" s="102"/>
      <c r="E105" s="77"/>
      <c r="F105" s="77"/>
      <c r="G105" s="77"/>
      <c r="H105" s="77"/>
      <c r="I105" s="452"/>
      <c r="J105" s="452"/>
      <c r="K105" s="453"/>
      <c r="L105" s="453"/>
      <c r="M105" s="77"/>
      <c r="N105" s="77"/>
      <c r="O105" s="77"/>
      <c r="P105" s="77"/>
      <c r="Q105" s="395"/>
      <c r="R105" s="395"/>
      <c r="S105" s="77"/>
      <c r="T105" s="77"/>
      <c r="U105" s="77"/>
      <c r="V105" s="77"/>
      <c r="W105" s="167"/>
      <c r="X105" s="167"/>
      <c r="Y105" s="167" t="str">
        <f>IF(ISBLANK(Tableau1[[#This Row],[PO Number (Header)]]),"",Tableau1[[#This Row],[Line Total]]/Tableau1[[#This Row],[Total Item Quantity]])</f>
        <v/>
      </c>
      <c r="Z105" s="167" t="str">
        <f>IF(ISNA(VLOOKUP(Tableau1[[#This Row],[Unique_AIB_ID]],UO_List[Unique_AIB_ID],1,FALSE)),IF(ISBLANK(Tableau1[[#This Row],[PO Number (Header)]]),"","FAUX"),"VRAI")</f>
        <v/>
      </c>
      <c r="AA105" s="167"/>
      <c r="AB105" s="162" t="e">
        <f>VLOOKUP(Tableau1[[#This Row],[Unique_AIB_ID]],UO_List[[Unique_AIB_ID]:[OLGA F6]],3,FALSE)</f>
        <v>#N/A</v>
      </c>
      <c r="AC105" s="162" t="s">
        <v>790</v>
      </c>
      <c r="AD105" s="83">
        <f>SUMPRODUCT(1*(EXACT(CONCATENATE(Tableau1[[#This Row],[PO Number (Header)]],"-",Tableau1[[#This Row],[Line]]),UO_List[Unique_AIB_ID]))*(UO_List[Qté Réception 03/2020]))</f>
        <v>0</v>
      </c>
      <c r="AE105" s="84"/>
      <c r="AF105" s="357"/>
      <c r="AG105" s="351" t="str">
        <f>IFERROR(Tableau1[[#This Row],[Qté Facturé 01/2018]]*Tableau1[[#This Row],[Unit Price (calcul)]],"")</f>
        <v/>
      </c>
      <c r="AH105" s="356" t="str">
        <f>IFERROR(IF(Tableau1[[#This Row],[Montant Facturé 01/2018]]&gt;0,Tableau1[[#This Row],[Montant Facturé 01/2018]]/Taux_Change_SII,""),"")</f>
        <v/>
      </c>
      <c r="AI105" s="351"/>
      <c r="AJ105" s="83">
        <f>SUMPRODUCT(1*(EXACT(CONCATENATE(Tableau1[[#This Row],[PO Number (Header)]],"-",Tableau1[[#This Row],[Line]]),UO_List[Unique_AIB_ID]))*(UO_List[Qté Réception 02/2020]))</f>
        <v>0</v>
      </c>
      <c r="AK105" s="83">
        <f>SUMPRODUCT(1*(EXACT(CONCATENATE(Tableau1[[#This Row],[PO Number (Header)]],"-",Tableau1[[#This Row],[Line]]),UO_List[Unique_AIB_ID]))*(UO_List[Qté Réception 02/2020]))</f>
        <v>0</v>
      </c>
      <c r="AL105" s="357"/>
      <c r="AM105" s="351" t="str">
        <f>IFERROR(Tableau1[[#This Row],[Qté Facturé 02/2018]]*Tableau1[[#This Row],[Unit Price (calcul)]],"")</f>
        <v/>
      </c>
      <c r="AN105" s="351" t="str">
        <f>IFERROR(IF(Tableau1[[#This Row],[Montant Facturé 02/2018]]&gt;0,Tableau1[[#This Row],[Montant Facturé 02/2018]]/Taux_Change_SII,""),"")</f>
        <v/>
      </c>
      <c r="AO105" s="351"/>
      <c r="AP105" s="83">
        <f>SUMPRODUCT(1*(EXACT(CONCATENATE(Tableau1[[#This Row],[PO Number (Header)]],"-",Tableau1[[#This Row],[Line]]),UO_List[Unique_AIB_ID]))*(UO_List[Qté Réception 00/2020]))</f>
        <v>0</v>
      </c>
      <c r="AQ105" s="84"/>
      <c r="AR105" s="357"/>
      <c r="AS105" s="351" t="str">
        <f>IFERROR(Tableau1[[#This Row],[Qté Facturé 03/2018]]*Tableau1[[#This Row],[Unit Price (calcul)]],"")</f>
        <v/>
      </c>
      <c r="AT105" s="351" t="str">
        <f>IFERROR(IF(Tableau1[[#This Row],[Montant Facturé 03/2018]]&gt;0,Tableau1[[#This Row],[Montant Facturé 03/2018]]/Taux_Change_SII,""),"")</f>
        <v/>
      </c>
      <c r="AU105" s="351"/>
      <c r="AV105" s="83">
        <f>SUMPRODUCT(1*(EXACT(CONCATENATE(Tableau1[[#This Row],[PO Number (Header)]],"-",Tableau1[[#This Row],[Line]]),UO_List[Unique_AIB_ID]))*(UO_List[Qté Réception 04/2020]))</f>
        <v>0</v>
      </c>
      <c r="AW105" s="84"/>
      <c r="AX105" s="351"/>
      <c r="AY105" s="351" t="str">
        <f>IFERROR(Tableau1[[#This Row],[Qté Facturé 04/2018]]*Tableau1[[#This Row],[Unit Price (calcul)]],"")</f>
        <v/>
      </c>
      <c r="AZ105" s="351" t="str">
        <f>IFERROR(IF(Tableau1[[#This Row],[Montant Facturé 04/2018]]&gt;0,Tableau1[[#This Row],[Montant Facturé 04/2018]]/Taux_Change_SII,""),"")</f>
        <v/>
      </c>
      <c r="BA105" s="351"/>
      <c r="BB105" s="83">
        <f>SUMPRODUCT(1*(EXACT(CONCATENATE(Tableau1[[#This Row],[PO Number (Header)]],"-",Tableau1[[#This Row],[Line]]),UO_List[Unique_AIB_ID]))*(UO_List[Qté Réception 05/2020]))</f>
        <v>0</v>
      </c>
      <c r="BC105" s="84"/>
      <c r="BD105" s="351"/>
      <c r="BE105" s="351" t="str">
        <f>IFERROR(Tableau1[[#This Row],[Qté Facturé 05/2018]]*Tableau1[[#This Row],[Unit Price (calcul)]],"")</f>
        <v/>
      </c>
      <c r="BF105" s="351" t="str">
        <f>IFERROR(IF(Tableau1[[#This Row],[Montant Facturé 05/2018]]&gt;0,Tableau1[[#This Row],[Montant Facturé 05/2018]]/Taux_Change_SII,""),"")</f>
        <v/>
      </c>
      <c r="BG105" s="351"/>
      <c r="BH105" s="83">
        <f>SUMPRODUCT(1*(EXACT(CONCATENATE(Tableau1[[#This Row],[PO Number (Header)]],"-",Tableau1[[#This Row],[Line]]),UO_List[Unique_AIB_ID]))*(UO_List[Qté Réception 06/2020]))</f>
        <v>0</v>
      </c>
      <c r="BI105" s="84"/>
      <c r="BJ105" s="351"/>
      <c r="BK105" s="351" t="str">
        <f>IFERROR(Tableau1[[#This Row],[Qté Facturé 06/2018]]*Tableau1[[#This Row],[Unit Price (calcul)]],"")</f>
        <v/>
      </c>
      <c r="BL105" s="351" t="str">
        <f>IFERROR(IF(Tableau1[[#This Row],[Montant Facturé 06/2018]]&gt;0,Tableau1[[#This Row],[Montant Facturé 06/2018]]/Taux_Change_SII,""),"")</f>
        <v/>
      </c>
      <c r="BM105" s="351"/>
      <c r="BN105" s="83">
        <f>SUMPRODUCT(1*(EXACT(CONCATENATE(Tableau1[[#This Row],[PO Number (Header)]],"-",Tableau1[[#This Row],[Line]]),UO_List[Unique_AIB_ID]))*(UO_List[Qté Réception 07/2020]))</f>
        <v>0</v>
      </c>
      <c r="BO105" s="84">
        <v>0</v>
      </c>
      <c r="BP105" s="351"/>
      <c r="BQ105" s="351" t="str">
        <f>IFERROR(Tableau1[[#This Row],[Qté Facturé 07/2018]]*Tableau1[[#This Row],[Unit Price (calcul)]],"")</f>
        <v/>
      </c>
      <c r="BR105" s="351" t="str">
        <f>IFERROR(IF(Tableau1[[#This Row],[Montant Facturé 07/2018]]&gt;0,Tableau1[[#This Row],[Montant Facturé 07/2018]]/Taux_Change_SII,""),"")</f>
        <v/>
      </c>
      <c r="BS105" s="351"/>
      <c r="BT105" s="83">
        <f>SUMPRODUCT(1*(EXACT(CONCATENATE(Tableau1[[#This Row],[PO Number (Header)]],"-",Tableau1[[#This Row],[Line]]),UO_List[Unique_AIB_ID]))*(UO_List[Qté Réception 08/2020]))</f>
        <v>0</v>
      </c>
      <c r="BU105" s="84"/>
      <c r="BV105" s="351"/>
      <c r="BW105" s="351" t="str">
        <f>IFERROR(Tableau1[[#This Row],[Qté Facturé 08/2018]]*Tableau1[[#This Row],[Unit Price (calcul)]],"")</f>
        <v/>
      </c>
      <c r="BX105" s="351" t="str">
        <f>IFERROR(IF(Tableau1[[#This Row],[Montant Facturé 08/2018]]&gt;0,Tableau1[[#This Row],[Montant Facturé 08/2018]]/Taux_Change_SII,""),"")</f>
        <v/>
      </c>
      <c r="BY105" s="351"/>
      <c r="BZ105" s="83">
        <f>SUMPRODUCT(1*(EXACT(CONCATENATE(Tableau1[[#This Row],[PO Number (Header)]],"-",Tableau1[[#This Row],[Line]]),UO_List[Unique_AIB_ID]))*(UO_List[Qté Réception 09/2020]))</f>
        <v>0</v>
      </c>
      <c r="CA105" s="83"/>
      <c r="CB105" s="351"/>
      <c r="CC105" s="351" t="str">
        <f>IFERROR(Tableau1[[#This Row],[Qté Facturé 09/2018]]*Tableau1[[#This Row],[Unit Price (calcul)]],"")</f>
        <v/>
      </c>
      <c r="CD105" s="351" t="str">
        <f>IFERROR(IF(Tableau1[[#This Row],[Montant Facturé 09/2018]]&gt;0,Tableau1[[#This Row],[Montant Facturé 09/2018]]/Taux_Change_SII,""),"")</f>
        <v/>
      </c>
      <c r="CE105" s="351"/>
      <c r="CF105" s="83">
        <f>SUMPRODUCT(1*(EXACT(CONCATENATE(Tableau1[[#This Row],[PO Number (Header)]],"-",Tableau1[[#This Row],[Line]]),UO_List[Unique_AIB_ID]))*(UO_List[Qté Réception 10/2020]))</f>
        <v>0</v>
      </c>
      <c r="CG105" s="84"/>
      <c r="CH105" s="84"/>
      <c r="CI105" s="488" t="str">
        <f>IFERROR(Tableau1[[#This Row],[Qté Facturé 10/2018]]*Tableau1[[#This Row],[Unit Price (calcul)]],"")</f>
        <v/>
      </c>
      <c r="CJ105" s="351" t="str">
        <f>IFERROR(IF(Tableau1[[#This Row],[Montant Facturé 10/2018]]&gt;0,Tableau1[[#This Row],[Montant Facturé 10/2018]]/Taux_Change_SII,""),"")</f>
        <v/>
      </c>
      <c r="CK105" s="351"/>
      <c r="CL105" s="83">
        <f>SUMPRODUCT(1*(EXACT(CONCATENATE(Tableau1[[#This Row],[PO Number (Header)]],"-",Tableau1[[#This Row],[Line]]),UO_List[Unique_AIB_ID]))*(UO_List[Qté Réception 11/2020]))</f>
        <v>0</v>
      </c>
      <c r="CM105" s="84"/>
      <c r="CN105" s="351"/>
      <c r="CO105" s="351" t="str">
        <f>IFERROR(Tableau1[[#This Row],[Qté Facturé 11/2018]]*Tableau1[[#This Row],[Unit Price (calcul)]],"")</f>
        <v/>
      </c>
      <c r="CP105" s="351" t="str">
        <f>IFERROR(IF(Tableau1[[#This Row],[Montant Facturé 11/2018]]&gt;0,Tableau1[[#This Row],[Montant Facturé 11/2018]]/Taux_Change_SII,""),"")</f>
        <v/>
      </c>
      <c r="CQ105" s="351"/>
      <c r="CR105" s="83">
        <f>SUMPRODUCT(1*(EXACT(CONCATENATE(Tableau1[[#This Row],[PO Number (Header)]],"-",Tableau1[[#This Row],[Line]]),UO_List[Unique_AIB_ID]))*(UO_List[Qté Réception 12/2020]))</f>
        <v>0</v>
      </c>
      <c r="CS105" s="84"/>
      <c r="CT105" s="351"/>
      <c r="CU105" s="351" t="str">
        <f>IFERROR(Tableau1[[#This Row],[Qté Facturé 12/2018]]*Tableau1[[#This Row],[Unit Price (calcul)]],"")</f>
        <v/>
      </c>
      <c r="CV105" s="351" t="str">
        <f>IFERROR(IF(Tableau1[[#This Row],[Montant Facturé 12/2018]]&gt;0,Tableau1[[#This Row],[Montant Facturé 12/2018]]/Taux_Change_SII,""),"")</f>
        <v/>
      </c>
      <c r="CW105" s="351"/>
      <c r="CX10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5" s="352" t="str">
        <f>IFERROR(Tableau1[[#This Row],[Total item réceptionné]]*Tableau1[[#This Row],[Unit Price (calcul)]],"")</f>
        <v/>
      </c>
      <c r="DB105" s="352" t="str">
        <f>IFERROR(Tableau1[[#This Row],[Total item à Facturer]]*Tableau1[[#This Row],[Unit Price (calcul)]],"")</f>
        <v/>
      </c>
      <c r="DC10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5" s="352" t="str">
        <f>IFERROR(Tableau1[[#This Row],[Line Total]]-Tableau1[[#This Row],[Total Price Réceptionné]],"")</f>
        <v/>
      </c>
      <c r="DE105" s="352" t="str">
        <f>IFERROR(Tableau1[[#This Row],[Total Price Réceptionné]]-Tableau1[[#This Row],[Total Price A facturer]],"")</f>
        <v/>
      </c>
      <c r="DF105" s="353" t="str">
        <f>IFERROR(Tableau1[[#This Row],[Total Price A facturer]]-Tableau1[[#This Row],[Total Price Facturé]],"")</f>
        <v/>
      </c>
      <c r="DG105" s="76">
        <f>Tableau1[[#This Row],[Total Item Quantity]]-Tableau1[[#This Row],[Total item réceptionné]]</f>
        <v>0</v>
      </c>
      <c r="DH105" s="167"/>
      <c r="DI105" s="167"/>
    </row>
    <row r="106" spans="1:113" s="74" customFormat="1">
      <c r="A106" s="77" t="str">
        <f>CONCATENATE(Tableau1[[#This Row],[PO Number (Header)]],"-",Tableau1[[#This Row],[Line]])</f>
        <v>-</v>
      </c>
      <c r="B106" s="77"/>
      <c r="C106" s="450"/>
      <c r="D106" s="102"/>
      <c r="E106" s="77"/>
      <c r="F106" s="77"/>
      <c r="G106" s="77"/>
      <c r="H106" s="77"/>
      <c r="I106" s="452"/>
      <c r="J106" s="452"/>
      <c r="K106" s="453"/>
      <c r="L106" s="453"/>
      <c r="M106" s="77"/>
      <c r="N106" s="77"/>
      <c r="O106" s="77"/>
      <c r="P106" s="77"/>
      <c r="Q106" s="395"/>
      <c r="R106" s="395"/>
      <c r="S106" s="77"/>
      <c r="T106" s="77"/>
      <c r="U106" s="77"/>
      <c r="V106" s="77"/>
      <c r="W106" s="167"/>
      <c r="X106" s="167"/>
      <c r="Y106" s="167" t="str">
        <f>IF(ISBLANK(Tableau1[[#This Row],[PO Number (Header)]]),"",Tableau1[[#This Row],[Line Total]]/Tableau1[[#This Row],[Total Item Quantity]])</f>
        <v/>
      </c>
      <c r="Z106" s="167" t="str">
        <f>IF(ISNA(VLOOKUP(Tableau1[[#This Row],[Unique_AIB_ID]],UO_List[Unique_AIB_ID],1,FALSE)),IF(ISBLANK(Tableau1[[#This Row],[PO Number (Header)]]),"","FAUX"),"VRAI")</f>
        <v/>
      </c>
      <c r="AA106" s="167"/>
      <c r="AB106" s="162" t="e">
        <f>VLOOKUP(Tableau1[[#This Row],[Unique_AIB_ID]],UO_List[[Unique_AIB_ID]:[OLGA F6]],3,FALSE)</f>
        <v>#N/A</v>
      </c>
      <c r="AC106" s="162" t="s">
        <v>790</v>
      </c>
      <c r="AD106" s="83">
        <f>SUMPRODUCT(1*(EXACT(CONCATENATE(Tableau1[[#This Row],[PO Number (Header)]],"-",Tableau1[[#This Row],[Line]]),UO_List[Unique_AIB_ID]))*(UO_List[Qté Réception 03/2020]))</f>
        <v>0</v>
      </c>
      <c r="AE106" s="84"/>
      <c r="AF106" s="357"/>
      <c r="AG106" s="351" t="str">
        <f>IFERROR(Tableau1[[#This Row],[Qté Facturé 01/2018]]*Tableau1[[#This Row],[Unit Price (calcul)]],"")</f>
        <v/>
      </c>
      <c r="AH106" s="356" t="str">
        <f>IFERROR(IF(Tableau1[[#This Row],[Montant Facturé 01/2018]]&gt;0,Tableau1[[#This Row],[Montant Facturé 01/2018]]/Taux_Change_SII,""),"")</f>
        <v/>
      </c>
      <c r="AI106" s="351"/>
      <c r="AJ106" s="83">
        <f>SUMPRODUCT(1*(EXACT(CONCATENATE(Tableau1[[#This Row],[PO Number (Header)]],"-",Tableau1[[#This Row],[Line]]),UO_List[Unique_AIB_ID]))*(UO_List[Qté Réception 02/2020]))</f>
        <v>0</v>
      </c>
      <c r="AK106" s="83">
        <f>SUMPRODUCT(1*(EXACT(CONCATENATE(Tableau1[[#This Row],[PO Number (Header)]],"-",Tableau1[[#This Row],[Line]]),UO_List[Unique_AIB_ID]))*(UO_List[Qté Réception 02/2020]))</f>
        <v>0</v>
      </c>
      <c r="AL106" s="357"/>
      <c r="AM106" s="351" t="str">
        <f>IFERROR(Tableau1[[#This Row],[Qté Facturé 02/2018]]*Tableau1[[#This Row],[Unit Price (calcul)]],"")</f>
        <v/>
      </c>
      <c r="AN106" s="351" t="str">
        <f>IFERROR(IF(Tableau1[[#This Row],[Montant Facturé 02/2018]]&gt;0,Tableau1[[#This Row],[Montant Facturé 02/2018]]/Taux_Change_SII,""),"")</f>
        <v/>
      </c>
      <c r="AO106" s="351"/>
      <c r="AP106" s="83">
        <f>SUMPRODUCT(1*(EXACT(CONCATENATE(Tableau1[[#This Row],[PO Number (Header)]],"-",Tableau1[[#This Row],[Line]]),UO_List[Unique_AIB_ID]))*(UO_List[Qté Réception 00/2020]))</f>
        <v>0</v>
      </c>
      <c r="AQ106" s="84"/>
      <c r="AR106" s="357"/>
      <c r="AS106" s="351" t="str">
        <f>IFERROR(Tableau1[[#This Row],[Qté Facturé 03/2018]]*Tableau1[[#This Row],[Unit Price (calcul)]],"")</f>
        <v/>
      </c>
      <c r="AT106" s="351" t="str">
        <f>IFERROR(IF(Tableau1[[#This Row],[Montant Facturé 03/2018]]&gt;0,Tableau1[[#This Row],[Montant Facturé 03/2018]]/Taux_Change_SII,""),"")</f>
        <v/>
      </c>
      <c r="AU106" s="351"/>
      <c r="AV106" s="83">
        <f>SUMPRODUCT(1*(EXACT(CONCATENATE(Tableau1[[#This Row],[PO Number (Header)]],"-",Tableau1[[#This Row],[Line]]),UO_List[Unique_AIB_ID]))*(UO_List[Qté Réception 04/2020]))</f>
        <v>0</v>
      </c>
      <c r="AW106" s="84"/>
      <c r="AX106" s="351"/>
      <c r="AY106" s="351" t="str">
        <f>IFERROR(Tableau1[[#This Row],[Qté Facturé 04/2018]]*Tableau1[[#This Row],[Unit Price (calcul)]],"")</f>
        <v/>
      </c>
      <c r="AZ106" s="351" t="str">
        <f>IFERROR(IF(Tableau1[[#This Row],[Montant Facturé 04/2018]]&gt;0,Tableau1[[#This Row],[Montant Facturé 04/2018]]/Taux_Change_SII,""),"")</f>
        <v/>
      </c>
      <c r="BA106" s="351"/>
      <c r="BB106" s="83">
        <f>SUMPRODUCT(1*(EXACT(CONCATENATE(Tableau1[[#This Row],[PO Number (Header)]],"-",Tableau1[[#This Row],[Line]]),UO_List[Unique_AIB_ID]))*(UO_List[Qté Réception 05/2020]))</f>
        <v>0</v>
      </c>
      <c r="BC106" s="84"/>
      <c r="BD106" s="351"/>
      <c r="BE106" s="351" t="str">
        <f>IFERROR(Tableau1[[#This Row],[Qté Facturé 05/2018]]*Tableau1[[#This Row],[Unit Price (calcul)]],"")</f>
        <v/>
      </c>
      <c r="BF106" s="351" t="str">
        <f>IFERROR(IF(Tableau1[[#This Row],[Montant Facturé 05/2018]]&gt;0,Tableau1[[#This Row],[Montant Facturé 05/2018]]/Taux_Change_SII,""),"")</f>
        <v/>
      </c>
      <c r="BG106" s="351"/>
      <c r="BH106" s="83">
        <f>SUMPRODUCT(1*(EXACT(CONCATENATE(Tableau1[[#This Row],[PO Number (Header)]],"-",Tableau1[[#This Row],[Line]]),UO_List[Unique_AIB_ID]))*(UO_List[Qté Réception 06/2020]))</f>
        <v>0</v>
      </c>
      <c r="BI106" s="84"/>
      <c r="BJ106" s="351"/>
      <c r="BK106" s="351" t="str">
        <f>IFERROR(Tableau1[[#This Row],[Qté Facturé 06/2018]]*Tableau1[[#This Row],[Unit Price (calcul)]],"")</f>
        <v/>
      </c>
      <c r="BL106" s="351" t="str">
        <f>IFERROR(IF(Tableau1[[#This Row],[Montant Facturé 06/2018]]&gt;0,Tableau1[[#This Row],[Montant Facturé 06/2018]]/Taux_Change_SII,""),"")</f>
        <v/>
      </c>
      <c r="BM106" s="351"/>
      <c r="BN106" s="83">
        <f>SUMPRODUCT(1*(EXACT(CONCATENATE(Tableau1[[#This Row],[PO Number (Header)]],"-",Tableau1[[#This Row],[Line]]),UO_List[Unique_AIB_ID]))*(UO_List[Qté Réception 07/2020]))</f>
        <v>0</v>
      </c>
      <c r="BO106" s="84">
        <v>0</v>
      </c>
      <c r="BP106" s="351"/>
      <c r="BQ106" s="351" t="str">
        <f>IFERROR(Tableau1[[#This Row],[Qté Facturé 07/2018]]*Tableau1[[#This Row],[Unit Price (calcul)]],"")</f>
        <v/>
      </c>
      <c r="BR106" s="351" t="str">
        <f>IFERROR(IF(Tableau1[[#This Row],[Montant Facturé 07/2018]]&gt;0,Tableau1[[#This Row],[Montant Facturé 07/2018]]/Taux_Change_SII,""),"")</f>
        <v/>
      </c>
      <c r="BS106" s="351"/>
      <c r="BT106" s="83">
        <f>SUMPRODUCT(1*(EXACT(CONCATENATE(Tableau1[[#This Row],[PO Number (Header)]],"-",Tableau1[[#This Row],[Line]]),UO_List[Unique_AIB_ID]))*(UO_List[Qté Réception 08/2020]))</f>
        <v>0</v>
      </c>
      <c r="BU106" s="84"/>
      <c r="BV106" s="351"/>
      <c r="BW106" s="351" t="str">
        <f>IFERROR(Tableau1[[#This Row],[Qté Facturé 08/2018]]*Tableau1[[#This Row],[Unit Price (calcul)]],"")</f>
        <v/>
      </c>
      <c r="BX106" s="351" t="str">
        <f>IFERROR(IF(Tableau1[[#This Row],[Montant Facturé 08/2018]]&gt;0,Tableau1[[#This Row],[Montant Facturé 08/2018]]/Taux_Change_SII,""),"")</f>
        <v/>
      </c>
      <c r="BY106" s="351"/>
      <c r="BZ106" s="83">
        <f>SUMPRODUCT(1*(EXACT(CONCATENATE(Tableau1[[#This Row],[PO Number (Header)]],"-",Tableau1[[#This Row],[Line]]),UO_List[Unique_AIB_ID]))*(UO_List[Qté Réception 09/2020]))</f>
        <v>0</v>
      </c>
      <c r="CA106" s="83"/>
      <c r="CB106" s="351"/>
      <c r="CC106" s="351" t="str">
        <f>IFERROR(Tableau1[[#This Row],[Qté Facturé 09/2018]]*Tableau1[[#This Row],[Unit Price (calcul)]],"")</f>
        <v/>
      </c>
      <c r="CD106" s="351" t="str">
        <f>IFERROR(IF(Tableau1[[#This Row],[Montant Facturé 09/2018]]&gt;0,Tableau1[[#This Row],[Montant Facturé 09/2018]]/Taux_Change_SII,""),"")</f>
        <v/>
      </c>
      <c r="CE106" s="351"/>
      <c r="CF106" s="83">
        <f>SUMPRODUCT(1*(EXACT(CONCATENATE(Tableau1[[#This Row],[PO Number (Header)]],"-",Tableau1[[#This Row],[Line]]),UO_List[Unique_AIB_ID]))*(UO_List[Qté Réception 10/2020]))</f>
        <v>0</v>
      </c>
      <c r="CG106" s="84"/>
      <c r="CH106" s="84"/>
      <c r="CI106" s="488" t="str">
        <f>IFERROR(Tableau1[[#This Row],[Qté Facturé 10/2018]]*Tableau1[[#This Row],[Unit Price (calcul)]],"")</f>
        <v/>
      </c>
      <c r="CJ106" s="351" t="str">
        <f>IFERROR(IF(Tableau1[[#This Row],[Montant Facturé 10/2018]]&gt;0,Tableau1[[#This Row],[Montant Facturé 10/2018]]/Taux_Change_SII,""),"")</f>
        <v/>
      </c>
      <c r="CK106" s="351"/>
      <c r="CL106" s="83">
        <f>SUMPRODUCT(1*(EXACT(CONCATENATE(Tableau1[[#This Row],[PO Number (Header)]],"-",Tableau1[[#This Row],[Line]]),UO_List[Unique_AIB_ID]))*(UO_List[Qté Réception 11/2020]))</f>
        <v>0</v>
      </c>
      <c r="CM106" s="84"/>
      <c r="CN106" s="351"/>
      <c r="CO106" s="351" t="str">
        <f>IFERROR(Tableau1[[#This Row],[Qté Facturé 11/2018]]*Tableau1[[#This Row],[Unit Price (calcul)]],"")</f>
        <v/>
      </c>
      <c r="CP106" s="351" t="str">
        <f>IFERROR(IF(Tableau1[[#This Row],[Montant Facturé 11/2018]]&gt;0,Tableau1[[#This Row],[Montant Facturé 11/2018]]/Taux_Change_SII,""),"")</f>
        <v/>
      </c>
      <c r="CQ106" s="351"/>
      <c r="CR106" s="83">
        <f>SUMPRODUCT(1*(EXACT(CONCATENATE(Tableau1[[#This Row],[PO Number (Header)]],"-",Tableau1[[#This Row],[Line]]),UO_List[Unique_AIB_ID]))*(UO_List[Qté Réception 12/2020]))</f>
        <v>0</v>
      </c>
      <c r="CS106" s="84"/>
      <c r="CT106" s="351"/>
      <c r="CU106" s="351" t="str">
        <f>IFERROR(Tableau1[[#This Row],[Qté Facturé 12/2018]]*Tableau1[[#This Row],[Unit Price (calcul)]],"")</f>
        <v/>
      </c>
      <c r="CV106" s="351" t="str">
        <f>IFERROR(IF(Tableau1[[#This Row],[Montant Facturé 12/2018]]&gt;0,Tableau1[[#This Row],[Montant Facturé 12/2018]]/Taux_Change_SII,""),"")</f>
        <v/>
      </c>
      <c r="CW106" s="351"/>
      <c r="CX10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6" s="352" t="str">
        <f>IFERROR(Tableau1[[#This Row],[Total item réceptionné]]*Tableau1[[#This Row],[Unit Price (calcul)]],"")</f>
        <v/>
      </c>
      <c r="DB106" s="352" t="str">
        <f>IFERROR(Tableau1[[#This Row],[Total item à Facturer]]*Tableau1[[#This Row],[Unit Price (calcul)]],"")</f>
        <v/>
      </c>
      <c r="DC10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6" s="352" t="str">
        <f>IFERROR(Tableau1[[#This Row],[Line Total]]-Tableau1[[#This Row],[Total Price Réceptionné]],"")</f>
        <v/>
      </c>
      <c r="DE106" s="352" t="str">
        <f>IFERROR(Tableau1[[#This Row],[Total Price Réceptionné]]-Tableau1[[#This Row],[Total Price A facturer]],"")</f>
        <v/>
      </c>
      <c r="DF106" s="353" t="str">
        <f>IFERROR(Tableau1[[#This Row],[Total Price A facturer]]-Tableau1[[#This Row],[Total Price Facturé]],"")</f>
        <v/>
      </c>
      <c r="DG106" s="76">
        <f>Tableau1[[#This Row],[Total Item Quantity]]-Tableau1[[#This Row],[Total item réceptionné]]</f>
        <v>0</v>
      </c>
      <c r="DH106" s="167"/>
      <c r="DI106" s="167"/>
    </row>
    <row r="107" spans="1:113" s="74" customFormat="1">
      <c r="A107" s="77" t="str">
        <f>CONCATENATE(Tableau1[[#This Row],[PO Number (Header)]],"-",Tableau1[[#This Row],[Line]])</f>
        <v>-</v>
      </c>
      <c r="B107" s="77"/>
      <c r="C107" s="450"/>
      <c r="D107" s="102"/>
      <c r="E107" s="77"/>
      <c r="F107" s="77"/>
      <c r="G107" s="77"/>
      <c r="H107" s="77"/>
      <c r="I107" s="452"/>
      <c r="J107" s="452"/>
      <c r="K107" s="453"/>
      <c r="L107" s="453"/>
      <c r="M107" s="77"/>
      <c r="N107" s="77"/>
      <c r="O107" s="77"/>
      <c r="P107" s="77"/>
      <c r="Q107" s="395"/>
      <c r="R107" s="395"/>
      <c r="S107" s="77"/>
      <c r="T107" s="77"/>
      <c r="U107" s="77"/>
      <c r="V107" s="77"/>
      <c r="W107" s="167"/>
      <c r="X107" s="167"/>
      <c r="Y107" s="167" t="str">
        <f>IF(ISBLANK(Tableau1[[#This Row],[PO Number (Header)]]),"",Tableau1[[#This Row],[Line Total]]/Tableau1[[#This Row],[Total Item Quantity]])</f>
        <v/>
      </c>
      <c r="Z107" s="167" t="str">
        <f>IF(ISNA(VLOOKUP(Tableau1[[#This Row],[Unique_AIB_ID]],UO_List[Unique_AIB_ID],1,FALSE)),IF(ISBLANK(Tableau1[[#This Row],[PO Number (Header)]]),"","FAUX"),"VRAI")</f>
        <v/>
      </c>
      <c r="AA107" s="167"/>
      <c r="AB107" s="162" t="e">
        <f>VLOOKUP(Tableau1[[#This Row],[Unique_AIB_ID]],UO_List[[Unique_AIB_ID]:[OLGA F6]],3,FALSE)</f>
        <v>#N/A</v>
      </c>
      <c r="AC107" s="162" t="s">
        <v>790</v>
      </c>
      <c r="AD107" s="83">
        <f>SUMPRODUCT(1*(EXACT(CONCATENATE(Tableau1[[#This Row],[PO Number (Header)]],"-",Tableau1[[#This Row],[Line]]),UO_List[Unique_AIB_ID]))*(UO_List[Qté Réception 03/2020]))</f>
        <v>0</v>
      </c>
      <c r="AE107" s="84"/>
      <c r="AF107" s="357"/>
      <c r="AG107" s="351" t="str">
        <f>IFERROR(Tableau1[[#This Row],[Qté Facturé 01/2018]]*Tableau1[[#This Row],[Unit Price (calcul)]],"")</f>
        <v/>
      </c>
      <c r="AH107" s="356" t="str">
        <f>IFERROR(IF(Tableau1[[#This Row],[Montant Facturé 01/2018]]&gt;0,Tableau1[[#This Row],[Montant Facturé 01/2018]]/Taux_Change_SII,""),"")</f>
        <v/>
      </c>
      <c r="AI107" s="351"/>
      <c r="AJ107" s="83">
        <f>SUMPRODUCT(1*(EXACT(CONCATENATE(Tableau1[[#This Row],[PO Number (Header)]],"-",Tableau1[[#This Row],[Line]]),UO_List[Unique_AIB_ID]))*(UO_List[Qté Réception 02/2020]))</f>
        <v>0</v>
      </c>
      <c r="AK107" s="83">
        <f>SUMPRODUCT(1*(EXACT(CONCATENATE(Tableau1[[#This Row],[PO Number (Header)]],"-",Tableau1[[#This Row],[Line]]),UO_List[Unique_AIB_ID]))*(UO_List[Qté Réception 02/2020]))</f>
        <v>0</v>
      </c>
      <c r="AL107" s="357"/>
      <c r="AM107" s="351" t="str">
        <f>IFERROR(Tableau1[[#This Row],[Qté Facturé 02/2018]]*Tableau1[[#This Row],[Unit Price (calcul)]],"")</f>
        <v/>
      </c>
      <c r="AN107" s="351" t="str">
        <f>IFERROR(IF(Tableau1[[#This Row],[Montant Facturé 02/2018]]&gt;0,Tableau1[[#This Row],[Montant Facturé 02/2018]]/Taux_Change_SII,""),"")</f>
        <v/>
      </c>
      <c r="AO107" s="351"/>
      <c r="AP107" s="83">
        <f>SUMPRODUCT(1*(EXACT(CONCATENATE(Tableau1[[#This Row],[PO Number (Header)]],"-",Tableau1[[#This Row],[Line]]),UO_List[Unique_AIB_ID]))*(UO_List[Qté Réception 00/2020]))</f>
        <v>0</v>
      </c>
      <c r="AQ107" s="84"/>
      <c r="AR107" s="357"/>
      <c r="AS107" s="351" t="str">
        <f>IFERROR(Tableau1[[#This Row],[Qté Facturé 03/2018]]*Tableau1[[#This Row],[Unit Price (calcul)]],"")</f>
        <v/>
      </c>
      <c r="AT107" s="351" t="str">
        <f>IFERROR(IF(Tableau1[[#This Row],[Montant Facturé 03/2018]]&gt;0,Tableau1[[#This Row],[Montant Facturé 03/2018]]/Taux_Change_SII,""),"")</f>
        <v/>
      </c>
      <c r="AU107" s="351"/>
      <c r="AV107" s="83">
        <f>SUMPRODUCT(1*(EXACT(CONCATENATE(Tableau1[[#This Row],[PO Number (Header)]],"-",Tableau1[[#This Row],[Line]]),UO_List[Unique_AIB_ID]))*(UO_List[Qté Réception 04/2020]))</f>
        <v>0</v>
      </c>
      <c r="AW107" s="84"/>
      <c r="AX107" s="351"/>
      <c r="AY107" s="351" t="str">
        <f>IFERROR(Tableau1[[#This Row],[Qté Facturé 04/2018]]*Tableau1[[#This Row],[Unit Price (calcul)]],"")</f>
        <v/>
      </c>
      <c r="AZ107" s="351" t="str">
        <f>IFERROR(IF(Tableau1[[#This Row],[Montant Facturé 04/2018]]&gt;0,Tableau1[[#This Row],[Montant Facturé 04/2018]]/Taux_Change_SII,""),"")</f>
        <v/>
      </c>
      <c r="BA107" s="351"/>
      <c r="BB107" s="83">
        <f>SUMPRODUCT(1*(EXACT(CONCATENATE(Tableau1[[#This Row],[PO Number (Header)]],"-",Tableau1[[#This Row],[Line]]),UO_List[Unique_AIB_ID]))*(UO_List[Qté Réception 05/2020]))</f>
        <v>0</v>
      </c>
      <c r="BC107" s="84"/>
      <c r="BD107" s="351"/>
      <c r="BE107" s="351" t="str">
        <f>IFERROR(Tableau1[[#This Row],[Qté Facturé 05/2018]]*Tableau1[[#This Row],[Unit Price (calcul)]],"")</f>
        <v/>
      </c>
      <c r="BF107" s="351" t="str">
        <f>IFERROR(IF(Tableau1[[#This Row],[Montant Facturé 05/2018]]&gt;0,Tableau1[[#This Row],[Montant Facturé 05/2018]]/Taux_Change_SII,""),"")</f>
        <v/>
      </c>
      <c r="BG107" s="351"/>
      <c r="BH107" s="83">
        <f>SUMPRODUCT(1*(EXACT(CONCATENATE(Tableau1[[#This Row],[PO Number (Header)]],"-",Tableau1[[#This Row],[Line]]),UO_List[Unique_AIB_ID]))*(UO_List[Qté Réception 06/2020]))</f>
        <v>0</v>
      </c>
      <c r="BI107" s="84"/>
      <c r="BJ107" s="351"/>
      <c r="BK107" s="351" t="str">
        <f>IFERROR(Tableau1[[#This Row],[Qté Facturé 06/2018]]*Tableau1[[#This Row],[Unit Price (calcul)]],"")</f>
        <v/>
      </c>
      <c r="BL107" s="351" t="str">
        <f>IFERROR(IF(Tableau1[[#This Row],[Montant Facturé 06/2018]]&gt;0,Tableau1[[#This Row],[Montant Facturé 06/2018]]/Taux_Change_SII,""),"")</f>
        <v/>
      </c>
      <c r="BM107" s="351"/>
      <c r="BN107" s="83">
        <f>SUMPRODUCT(1*(EXACT(CONCATENATE(Tableau1[[#This Row],[PO Number (Header)]],"-",Tableau1[[#This Row],[Line]]),UO_List[Unique_AIB_ID]))*(UO_List[Qté Réception 07/2020]))</f>
        <v>0</v>
      </c>
      <c r="BO107" s="84">
        <v>0</v>
      </c>
      <c r="BP107" s="351"/>
      <c r="BQ107" s="351" t="str">
        <f>IFERROR(Tableau1[[#This Row],[Qté Facturé 07/2018]]*Tableau1[[#This Row],[Unit Price (calcul)]],"")</f>
        <v/>
      </c>
      <c r="BR107" s="351" t="str">
        <f>IFERROR(IF(Tableau1[[#This Row],[Montant Facturé 07/2018]]&gt;0,Tableau1[[#This Row],[Montant Facturé 07/2018]]/Taux_Change_SII,""),"")</f>
        <v/>
      </c>
      <c r="BS107" s="351"/>
      <c r="BT107" s="83">
        <f>SUMPRODUCT(1*(EXACT(CONCATENATE(Tableau1[[#This Row],[PO Number (Header)]],"-",Tableau1[[#This Row],[Line]]),UO_List[Unique_AIB_ID]))*(UO_List[Qté Réception 08/2020]))</f>
        <v>0</v>
      </c>
      <c r="BU107" s="84"/>
      <c r="BV107" s="351"/>
      <c r="BW107" s="351" t="str">
        <f>IFERROR(Tableau1[[#This Row],[Qté Facturé 08/2018]]*Tableau1[[#This Row],[Unit Price (calcul)]],"")</f>
        <v/>
      </c>
      <c r="BX107" s="351" t="str">
        <f>IFERROR(IF(Tableau1[[#This Row],[Montant Facturé 08/2018]]&gt;0,Tableau1[[#This Row],[Montant Facturé 08/2018]]/Taux_Change_SII,""),"")</f>
        <v/>
      </c>
      <c r="BY107" s="351"/>
      <c r="BZ107" s="83">
        <f>SUMPRODUCT(1*(EXACT(CONCATENATE(Tableau1[[#This Row],[PO Number (Header)]],"-",Tableau1[[#This Row],[Line]]),UO_List[Unique_AIB_ID]))*(UO_List[Qté Réception 09/2020]))</f>
        <v>0</v>
      </c>
      <c r="CA107" s="83"/>
      <c r="CB107" s="351"/>
      <c r="CC107" s="351" t="str">
        <f>IFERROR(Tableau1[[#This Row],[Qté Facturé 09/2018]]*Tableau1[[#This Row],[Unit Price (calcul)]],"")</f>
        <v/>
      </c>
      <c r="CD107" s="351" t="str">
        <f>IFERROR(IF(Tableau1[[#This Row],[Montant Facturé 09/2018]]&gt;0,Tableau1[[#This Row],[Montant Facturé 09/2018]]/Taux_Change_SII,""),"")</f>
        <v/>
      </c>
      <c r="CE107" s="351"/>
      <c r="CF107" s="83">
        <f>SUMPRODUCT(1*(EXACT(CONCATENATE(Tableau1[[#This Row],[PO Number (Header)]],"-",Tableau1[[#This Row],[Line]]),UO_List[Unique_AIB_ID]))*(UO_List[Qté Réception 10/2020]))</f>
        <v>0</v>
      </c>
      <c r="CG107" s="84">
        <v>0</v>
      </c>
      <c r="CH107" s="351"/>
      <c r="CI107" s="351" t="str">
        <f>IFERROR(Tableau1[[#This Row],[Qté Facturé 10/2018]]*Tableau1[[#This Row],[Unit Price (calcul)]],"")</f>
        <v/>
      </c>
      <c r="CJ107" s="351" t="str">
        <f>IFERROR(IF(Tableau1[[#This Row],[Montant Facturé 10/2018]]&gt;0,Tableau1[[#This Row],[Montant Facturé 10/2018]]/Taux_Change_SII,""),"")</f>
        <v/>
      </c>
      <c r="CK107" s="351"/>
      <c r="CL107" s="83">
        <f>SUMPRODUCT(1*(EXACT(CONCATENATE(Tableau1[[#This Row],[PO Number (Header)]],"-",Tableau1[[#This Row],[Line]]),UO_List[Unique_AIB_ID]))*(UO_List[Qté Réception 11/2020]))</f>
        <v>0</v>
      </c>
      <c r="CM107" s="84"/>
      <c r="CN107" s="351"/>
      <c r="CO107" s="351" t="str">
        <f>IFERROR(Tableau1[[#This Row],[Qté Facturé 11/2018]]*Tableau1[[#This Row],[Unit Price (calcul)]],"")</f>
        <v/>
      </c>
      <c r="CP107" s="351" t="str">
        <f>IFERROR(IF(Tableau1[[#This Row],[Montant Facturé 11/2018]]&gt;0,Tableau1[[#This Row],[Montant Facturé 11/2018]]/Taux_Change_SII,""),"")</f>
        <v/>
      </c>
      <c r="CQ107" s="351"/>
      <c r="CR107" s="83">
        <f>SUMPRODUCT(1*(EXACT(CONCATENATE(Tableau1[[#This Row],[PO Number (Header)]],"-",Tableau1[[#This Row],[Line]]),UO_List[Unique_AIB_ID]))*(UO_List[Qté Réception 12/2020]))</f>
        <v>0</v>
      </c>
      <c r="CS107" s="84"/>
      <c r="CT107" s="351"/>
      <c r="CU107" s="351" t="str">
        <f>IFERROR(Tableau1[[#This Row],[Qté Facturé 12/2018]]*Tableau1[[#This Row],[Unit Price (calcul)]],"")</f>
        <v/>
      </c>
      <c r="CV107" s="351" t="str">
        <f>IFERROR(IF(Tableau1[[#This Row],[Montant Facturé 12/2018]]&gt;0,Tableau1[[#This Row],[Montant Facturé 12/2018]]/Taux_Change_SII,""),"")</f>
        <v/>
      </c>
      <c r="CW107" s="351"/>
      <c r="CX10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7" s="352" t="str">
        <f>IFERROR(Tableau1[[#This Row],[Total item réceptionné]]*Tableau1[[#This Row],[Unit Price (calcul)]],"")</f>
        <v/>
      </c>
      <c r="DB107" s="352" t="str">
        <f>IFERROR(Tableau1[[#This Row],[Total item à Facturer]]*Tableau1[[#This Row],[Unit Price (calcul)]],"")</f>
        <v/>
      </c>
      <c r="DC10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7" s="352" t="str">
        <f>IFERROR(Tableau1[[#This Row],[Line Total]]-Tableau1[[#This Row],[Total Price Réceptionné]],"")</f>
        <v/>
      </c>
      <c r="DE107" s="352" t="str">
        <f>IFERROR(Tableau1[[#This Row],[Total Price Réceptionné]]-Tableau1[[#This Row],[Total Price A facturer]],"")</f>
        <v/>
      </c>
      <c r="DF107" s="353" t="str">
        <f>IFERROR(Tableau1[[#This Row],[Total Price A facturer]]-Tableau1[[#This Row],[Total Price Facturé]],"")</f>
        <v/>
      </c>
      <c r="DG107" s="76">
        <f>Tableau1[[#This Row],[Total Item Quantity]]-Tableau1[[#This Row],[Total item réceptionné]]</f>
        <v>0</v>
      </c>
      <c r="DH107" s="167"/>
      <c r="DI107" s="167"/>
    </row>
    <row r="108" spans="1:113" s="74" customFormat="1">
      <c r="A108" s="77" t="str">
        <f>CONCATENATE(Tableau1[[#This Row],[PO Number (Header)]],"-",Tableau1[[#This Row],[Line]])</f>
        <v>-</v>
      </c>
      <c r="B108" s="77"/>
      <c r="C108" s="450"/>
      <c r="D108" s="102"/>
      <c r="E108" s="77"/>
      <c r="F108" s="77"/>
      <c r="G108" s="77"/>
      <c r="H108" s="77"/>
      <c r="I108" s="452"/>
      <c r="J108" s="452"/>
      <c r="K108" s="453"/>
      <c r="L108" s="453"/>
      <c r="M108" s="77"/>
      <c r="N108" s="77"/>
      <c r="O108" s="77"/>
      <c r="P108" s="77"/>
      <c r="Q108" s="395"/>
      <c r="R108" s="395"/>
      <c r="S108" s="77"/>
      <c r="T108" s="77"/>
      <c r="U108" s="77"/>
      <c r="V108" s="77"/>
      <c r="W108" s="167"/>
      <c r="X108" s="167"/>
      <c r="Y108" s="167" t="str">
        <f>IF(ISBLANK(Tableau1[[#This Row],[PO Number (Header)]]),"",Tableau1[[#This Row],[Line Total]]/Tableau1[[#This Row],[Total Item Quantity]])</f>
        <v/>
      </c>
      <c r="Z108" s="167" t="str">
        <f>IF(ISNA(VLOOKUP(Tableau1[[#This Row],[Unique_AIB_ID]],UO_List[Unique_AIB_ID],1,FALSE)),IF(ISBLANK(Tableau1[[#This Row],[PO Number (Header)]]),"","FAUX"),"VRAI")</f>
        <v/>
      </c>
      <c r="AA108" s="167"/>
      <c r="AB108" s="162" t="e">
        <f>VLOOKUP(Tableau1[[#This Row],[Unique_AIB_ID]],UO_List[[Unique_AIB_ID]:[OLGA F6]],3,FALSE)</f>
        <v>#N/A</v>
      </c>
      <c r="AC108" s="162" t="s">
        <v>790</v>
      </c>
      <c r="AD108" s="83">
        <f>SUMPRODUCT(1*(EXACT(CONCATENATE(Tableau1[[#This Row],[PO Number (Header)]],"-",Tableau1[[#This Row],[Line]]),UO_List[Unique_AIB_ID]))*(UO_List[Qté Réception 03/2020]))</f>
        <v>0</v>
      </c>
      <c r="AE108" s="84"/>
      <c r="AF108" s="357"/>
      <c r="AG108" s="351" t="str">
        <f>IFERROR(Tableau1[[#This Row],[Qté Facturé 01/2018]]*Tableau1[[#This Row],[Unit Price (calcul)]],"")</f>
        <v/>
      </c>
      <c r="AH108" s="356" t="str">
        <f>IFERROR(IF(Tableau1[[#This Row],[Montant Facturé 01/2018]]&gt;0,Tableau1[[#This Row],[Montant Facturé 01/2018]]/Taux_Change_SII,""),"")</f>
        <v/>
      </c>
      <c r="AI108" s="351"/>
      <c r="AJ108" s="83">
        <f>SUMPRODUCT(1*(EXACT(CONCATENATE(Tableau1[[#This Row],[PO Number (Header)]],"-",Tableau1[[#This Row],[Line]]),UO_List[Unique_AIB_ID]))*(UO_List[Qté Réception 02/2020]))</f>
        <v>0</v>
      </c>
      <c r="AK108" s="83">
        <f>SUMPRODUCT(1*(EXACT(CONCATENATE(Tableau1[[#This Row],[PO Number (Header)]],"-",Tableau1[[#This Row],[Line]]),UO_List[Unique_AIB_ID]))*(UO_List[Qté Réception 02/2020]))</f>
        <v>0</v>
      </c>
      <c r="AL108" s="357"/>
      <c r="AM108" s="351" t="str">
        <f>IFERROR(Tableau1[[#This Row],[Qté Facturé 02/2018]]*Tableau1[[#This Row],[Unit Price (calcul)]],"")</f>
        <v/>
      </c>
      <c r="AN108" s="351" t="str">
        <f>IFERROR(IF(Tableau1[[#This Row],[Montant Facturé 02/2018]]&gt;0,Tableau1[[#This Row],[Montant Facturé 02/2018]]/Taux_Change_SII,""),"")</f>
        <v/>
      </c>
      <c r="AO108" s="351"/>
      <c r="AP108" s="83">
        <f>SUMPRODUCT(1*(EXACT(CONCATENATE(Tableau1[[#This Row],[PO Number (Header)]],"-",Tableau1[[#This Row],[Line]]),UO_List[Unique_AIB_ID]))*(UO_List[Qté Réception 00/2020]))</f>
        <v>0</v>
      </c>
      <c r="AQ108" s="84"/>
      <c r="AR108" s="357"/>
      <c r="AS108" s="351" t="str">
        <f>IFERROR(Tableau1[[#This Row],[Qté Facturé 03/2018]]*Tableau1[[#This Row],[Unit Price (calcul)]],"")</f>
        <v/>
      </c>
      <c r="AT108" s="351" t="str">
        <f>IFERROR(IF(Tableau1[[#This Row],[Montant Facturé 03/2018]]&gt;0,Tableau1[[#This Row],[Montant Facturé 03/2018]]/Taux_Change_SII,""),"")</f>
        <v/>
      </c>
      <c r="AU108" s="351"/>
      <c r="AV108" s="83">
        <f>SUMPRODUCT(1*(EXACT(CONCATENATE(Tableau1[[#This Row],[PO Number (Header)]],"-",Tableau1[[#This Row],[Line]]),UO_List[Unique_AIB_ID]))*(UO_List[Qté Réception 04/2020]))</f>
        <v>0</v>
      </c>
      <c r="AW108" s="84"/>
      <c r="AX108" s="351"/>
      <c r="AY108" s="351" t="str">
        <f>IFERROR(Tableau1[[#This Row],[Qté Facturé 04/2018]]*Tableau1[[#This Row],[Unit Price (calcul)]],"")</f>
        <v/>
      </c>
      <c r="AZ108" s="351" t="str">
        <f>IFERROR(IF(Tableau1[[#This Row],[Montant Facturé 04/2018]]&gt;0,Tableau1[[#This Row],[Montant Facturé 04/2018]]/Taux_Change_SII,""),"")</f>
        <v/>
      </c>
      <c r="BA108" s="351"/>
      <c r="BB108" s="83">
        <f>SUMPRODUCT(1*(EXACT(CONCATENATE(Tableau1[[#This Row],[PO Number (Header)]],"-",Tableau1[[#This Row],[Line]]),UO_List[Unique_AIB_ID]))*(UO_List[Qté Réception 05/2020]))</f>
        <v>0</v>
      </c>
      <c r="BC108" s="84"/>
      <c r="BD108" s="351"/>
      <c r="BE108" s="351" t="str">
        <f>IFERROR(Tableau1[[#This Row],[Qté Facturé 05/2018]]*Tableau1[[#This Row],[Unit Price (calcul)]],"")</f>
        <v/>
      </c>
      <c r="BF108" s="351" t="str">
        <f>IFERROR(IF(Tableau1[[#This Row],[Montant Facturé 05/2018]]&gt;0,Tableau1[[#This Row],[Montant Facturé 05/2018]]/Taux_Change_SII,""),"")</f>
        <v/>
      </c>
      <c r="BG108" s="351"/>
      <c r="BH108" s="83">
        <f>SUMPRODUCT(1*(EXACT(CONCATENATE(Tableau1[[#This Row],[PO Number (Header)]],"-",Tableau1[[#This Row],[Line]]),UO_List[Unique_AIB_ID]))*(UO_List[Qté Réception 06/2020]))</f>
        <v>0</v>
      </c>
      <c r="BI108" s="84"/>
      <c r="BJ108" s="351"/>
      <c r="BK108" s="351" t="str">
        <f>IFERROR(Tableau1[[#This Row],[Qté Facturé 06/2018]]*Tableau1[[#This Row],[Unit Price (calcul)]],"")</f>
        <v/>
      </c>
      <c r="BL108" s="351" t="str">
        <f>IFERROR(IF(Tableau1[[#This Row],[Montant Facturé 06/2018]]&gt;0,Tableau1[[#This Row],[Montant Facturé 06/2018]]/Taux_Change_SII,""),"")</f>
        <v/>
      </c>
      <c r="BM108" s="351"/>
      <c r="BN108" s="83">
        <f>SUMPRODUCT(1*(EXACT(CONCATENATE(Tableau1[[#This Row],[PO Number (Header)]],"-",Tableau1[[#This Row],[Line]]),UO_List[Unique_AIB_ID]))*(UO_List[Qté Réception 07/2020]))</f>
        <v>0</v>
      </c>
      <c r="BO108" s="84">
        <v>0</v>
      </c>
      <c r="BP108" s="351"/>
      <c r="BQ108" s="351" t="str">
        <f>IFERROR(Tableau1[[#This Row],[Qté Facturé 07/2018]]*Tableau1[[#This Row],[Unit Price (calcul)]],"")</f>
        <v/>
      </c>
      <c r="BR108" s="351" t="str">
        <f>IFERROR(IF(Tableau1[[#This Row],[Montant Facturé 07/2018]]&gt;0,Tableau1[[#This Row],[Montant Facturé 07/2018]]/Taux_Change_SII,""),"")</f>
        <v/>
      </c>
      <c r="BS108" s="351"/>
      <c r="BT108" s="83">
        <f>SUMPRODUCT(1*(EXACT(CONCATENATE(Tableau1[[#This Row],[PO Number (Header)]],"-",Tableau1[[#This Row],[Line]]),UO_List[Unique_AIB_ID]))*(UO_List[Qté Réception 08/2020]))</f>
        <v>0</v>
      </c>
      <c r="BU108" s="84"/>
      <c r="BV108" s="351"/>
      <c r="BW108" s="351" t="str">
        <f>IFERROR(Tableau1[[#This Row],[Qté Facturé 08/2018]]*Tableau1[[#This Row],[Unit Price (calcul)]],"")</f>
        <v/>
      </c>
      <c r="BX108" s="351" t="str">
        <f>IFERROR(IF(Tableau1[[#This Row],[Montant Facturé 08/2018]]&gt;0,Tableau1[[#This Row],[Montant Facturé 08/2018]]/Taux_Change_SII,""),"")</f>
        <v/>
      </c>
      <c r="BY108" s="351"/>
      <c r="BZ108" s="83">
        <f>SUMPRODUCT(1*(EXACT(CONCATENATE(Tableau1[[#This Row],[PO Number (Header)]],"-",Tableau1[[#This Row],[Line]]),UO_List[Unique_AIB_ID]))*(UO_List[Qté Réception 09/2020]))</f>
        <v>0</v>
      </c>
      <c r="CA108" s="83"/>
      <c r="CB108" s="351"/>
      <c r="CC108" s="351" t="str">
        <f>IFERROR(Tableau1[[#This Row],[Qté Facturé 09/2018]]*Tableau1[[#This Row],[Unit Price (calcul)]],"")</f>
        <v/>
      </c>
      <c r="CD108" s="351" t="str">
        <f>IFERROR(IF(Tableau1[[#This Row],[Montant Facturé 09/2018]]&gt;0,Tableau1[[#This Row],[Montant Facturé 09/2018]]/Taux_Change_SII,""),"")</f>
        <v/>
      </c>
      <c r="CE108" s="351"/>
      <c r="CF108" s="83">
        <f>SUMPRODUCT(1*(EXACT(CONCATENATE(Tableau1[[#This Row],[PO Number (Header)]],"-",Tableau1[[#This Row],[Line]]),UO_List[Unique_AIB_ID]))*(UO_List[Qté Réception 10/2020]))</f>
        <v>0</v>
      </c>
      <c r="CG108" s="84"/>
      <c r="CH108" s="84"/>
      <c r="CI108" s="488" t="str">
        <f>IFERROR(Tableau1[[#This Row],[Qté Facturé 10/2018]]*Tableau1[[#This Row],[Unit Price (calcul)]],"")</f>
        <v/>
      </c>
      <c r="CJ108" s="351" t="str">
        <f>IFERROR(IF(Tableau1[[#This Row],[Montant Facturé 10/2018]]&gt;0,Tableau1[[#This Row],[Montant Facturé 10/2018]]/Taux_Change_SII,""),"")</f>
        <v/>
      </c>
      <c r="CK108" s="351"/>
      <c r="CL108" s="83">
        <f>SUMPRODUCT(1*(EXACT(CONCATENATE(Tableau1[[#This Row],[PO Number (Header)]],"-",Tableau1[[#This Row],[Line]]),UO_List[Unique_AIB_ID]))*(UO_List[Qté Réception 11/2020]))</f>
        <v>0</v>
      </c>
      <c r="CM108" s="84"/>
      <c r="CN108" s="351"/>
      <c r="CO108" s="351" t="str">
        <f>IFERROR(Tableau1[[#This Row],[Qté Facturé 11/2018]]*Tableau1[[#This Row],[Unit Price (calcul)]],"")</f>
        <v/>
      </c>
      <c r="CP108" s="351" t="str">
        <f>IFERROR(IF(Tableau1[[#This Row],[Montant Facturé 11/2018]]&gt;0,Tableau1[[#This Row],[Montant Facturé 11/2018]]/Taux_Change_SII,""),"")</f>
        <v/>
      </c>
      <c r="CQ108" s="351"/>
      <c r="CR108" s="83">
        <f>SUMPRODUCT(1*(EXACT(CONCATENATE(Tableau1[[#This Row],[PO Number (Header)]],"-",Tableau1[[#This Row],[Line]]),UO_List[Unique_AIB_ID]))*(UO_List[Qté Réception 12/2020]))</f>
        <v>0</v>
      </c>
      <c r="CS108" s="84"/>
      <c r="CT108" s="351"/>
      <c r="CU108" s="351" t="str">
        <f>IFERROR(Tableau1[[#This Row],[Qté Facturé 12/2018]]*Tableau1[[#This Row],[Unit Price (calcul)]],"")</f>
        <v/>
      </c>
      <c r="CV108" s="351" t="str">
        <f>IFERROR(IF(Tableau1[[#This Row],[Montant Facturé 12/2018]]&gt;0,Tableau1[[#This Row],[Montant Facturé 12/2018]]/Taux_Change_SII,""),"")</f>
        <v/>
      </c>
      <c r="CW108" s="351"/>
      <c r="CX10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8" s="352" t="str">
        <f>IFERROR(Tableau1[[#This Row],[Total item réceptionné]]*Tableau1[[#This Row],[Unit Price (calcul)]],"")</f>
        <v/>
      </c>
      <c r="DB108" s="352" t="str">
        <f>IFERROR(Tableau1[[#This Row],[Total item à Facturer]]*Tableau1[[#This Row],[Unit Price (calcul)]],"")</f>
        <v/>
      </c>
      <c r="DC10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8" s="352" t="str">
        <f>IFERROR(Tableau1[[#This Row],[Line Total]]-Tableau1[[#This Row],[Total Price Réceptionné]],"")</f>
        <v/>
      </c>
      <c r="DE108" s="352" t="str">
        <f>IFERROR(Tableau1[[#This Row],[Total Price Réceptionné]]-Tableau1[[#This Row],[Total Price A facturer]],"")</f>
        <v/>
      </c>
      <c r="DF108" s="353" t="str">
        <f>IFERROR(Tableau1[[#This Row],[Total Price A facturer]]-Tableau1[[#This Row],[Total Price Facturé]],"")</f>
        <v/>
      </c>
      <c r="DG108" s="76">
        <f>Tableau1[[#This Row],[Total Item Quantity]]-Tableau1[[#This Row],[Total item réceptionné]]</f>
        <v>0</v>
      </c>
      <c r="DH108" s="167"/>
      <c r="DI108" s="167"/>
    </row>
    <row r="109" spans="1:113" s="74" customFormat="1">
      <c r="A109" s="77" t="str">
        <f>CONCATENATE(Tableau1[[#This Row],[PO Number (Header)]],"-",Tableau1[[#This Row],[Line]])</f>
        <v>-</v>
      </c>
      <c r="B109" s="77"/>
      <c r="C109" s="450"/>
      <c r="D109" s="102"/>
      <c r="E109" s="77"/>
      <c r="F109" s="77"/>
      <c r="G109" s="77"/>
      <c r="H109" s="77"/>
      <c r="I109" s="452"/>
      <c r="J109" s="452"/>
      <c r="K109" s="453"/>
      <c r="L109" s="453"/>
      <c r="M109" s="77"/>
      <c r="N109" s="77"/>
      <c r="O109" s="77"/>
      <c r="P109" s="77"/>
      <c r="Q109" s="395"/>
      <c r="R109" s="395"/>
      <c r="S109" s="77"/>
      <c r="T109" s="77"/>
      <c r="U109" s="77"/>
      <c r="V109" s="77"/>
      <c r="W109" s="167"/>
      <c r="X109" s="167"/>
      <c r="Y109" s="167" t="str">
        <f>IF(ISBLANK(Tableau1[[#This Row],[PO Number (Header)]]),"",Tableau1[[#This Row],[Line Total]]/Tableau1[[#This Row],[Total Item Quantity]])</f>
        <v/>
      </c>
      <c r="Z109" s="167" t="str">
        <f>IF(ISNA(VLOOKUP(Tableau1[[#This Row],[Unique_AIB_ID]],UO_List[Unique_AIB_ID],1,FALSE)),IF(ISBLANK(Tableau1[[#This Row],[PO Number (Header)]]),"","FAUX"),"VRAI")</f>
        <v/>
      </c>
      <c r="AA109" s="167"/>
      <c r="AB109" s="162" t="e">
        <f>VLOOKUP(Tableau1[[#This Row],[Unique_AIB_ID]],UO_List[[Unique_AIB_ID]:[OLGA F6]],3,FALSE)</f>
        <v>#N/A</v>
      </c>
      <c r="AC109" s="162" t="s">
        <v>790</v>
      </c>
      <c r="AD109" s="83">
        <f>SUMPRODUCT(1*(EXACT(CONCATENATE(Tableau1[[#This Row],[PO Number (Header)]],"-",Tableau1[[#This Row],[Line]]),UO_List[Unique_AIB_ID]))*(UO_List[Qté Réception 03/2020]))</f>
        <v>0</v>
      </c>
      <c r="AE109" s="84"/>
      <c r="AF109" s="357"/>
      <c r="AG109" s="351" t="str">
        <f>IFERROR(Tableau1[[#This Row],[Qté Facturé 01/2018]]*Tableau1[[#This Row],[Unit Price (calcul)]],"")</f>
        <v/>
      </c>
      <c r="AH109" s="356" t="str">
        <f>IFERROR(IF(Tableau1[[#This Row],[Montant Facturé 01/2018]]&gt;0,Tableau1[[#This Row],[Montant Facturé 01/2018]]/Taux_Change_SII,""),"")</f>
        <v/>
      </c>
      <c r="AI109" s="351"/>
      <c r="AJ109" s="83">
        <f>SUMPRODUCT(1*(EXACT(CONCATENATE(Tableau1[[#This Row],[PO Number (Header)]],"-",Tableau1[[#This Row],[Line]]),UO_List[Unique_AIB_ID]))*(UO_List[Qté Réception 02/2020]))</f>
        <v>0</v>
      </c>
      <c r="AK109" s="83">
        <f>SUMPRODUCT(1*(EXACT(CONCATENATE(Tableau1[[#This Row],[PO Number (Header)]],"-",Tableau1[[#This Row],[Line]]),UO_List[Unique_AIB_ID]))*(UO_List[Qté Réception 02/2020]))</f>
        <v>0</v>
      </c>
      <c r="AL109" s="357"/>
      <c r="AM109" s="351" t="str">
        <f>IFERROR(Tableau1[[#This Row],[Qté Facturé 02/2018]]*Tableau1[[#This Row],[Unit Price (calcul)]],"")</f>
        <v/>
      </c>
      <c r="AN109" s="351" t="str">
        <f>IFERROR(IF(Tableau1[[#This Row],[Montant Facturé 02/2018]]&gt;0,Tableau1[[#This Row],[Montant Facturé 02/2018]]/Taux_Change_SII,""),"")</f>
        <v/>
      </c>
      <c r="AO109" s="351"/>
      <c r="AP109" s="83">
        <f>SUMPRODUCT(1*(EXACT(CONCATENATE(Tableau1[[#This Row],[PO Number (Header)]],"-",Tableau1[[#This Row],[Line]]),UO_List[Unique_AIB_ID]))*(UO_List[Qté Réception 00/2020]))</f>
        <v>0</v>
      </c>
      <c r="AQ109" s="84"/>
      <c r="AR109" s="357"/>
      <c r="AS109" s="351" t="str">
        <f>IFERROR(Tableau1[[#This Row],[Qté Facturé 03/2018]]*Tableau1[[#This Row],[Unit Price (calcul)]],"")</f>
        <v/>
      </c>
      <c r="AT109" s="351" t="str">
        <f>IFERROR(IF(Tableau1[[#This Row],[Montant Facturé 03/2018]]&gt;0,Tableau1[[#This Row],[Montant Facturé 03/2018]]/Taux_Change_SII,""),"")</f>
        <v/>
      </c>
      <c r="AU109" s="351"/>
      <c r="AV109" s="83">
        <f>SUMPRODUCT(1*(EXACT(CONCATENATE(Tableau1[[#This Row],[PO Number (Header)]],"-",Tableau1[[#This Row],[Line]]),UO_List[Unique_AIB_ID]))*(UO_List[Qté Réception 04/2020]))</f>
        <v>0</v>
      </c>
      <c r="AW109" s="84"/>
      <c r="AX109" s="351"/>
      <c r="AY109" s="351" t="str">
        <f>IFERROR(Tableau1[[#This Row],[Qté Facturé 04/2018]]*Tableau1[[#This Row],[Unit Price (calcul)]],"")</f>
        <v/>
      </c>
      <c r="AZ109" s="351" t="str">
        <f>IFERROR(IF(Tableau1[[#This Row],[Montant Facturé 04/2018]]&gt;0,Tableau1[[#This Row],[Montant Facturé 04/2018]]/Taux_Change_SII,""),"")</f>
        <v/>
      </c>
      <c r="BA109" s="351"/>
      <c r="BB109" s="83">
        <f>SUMPRODUCT(1*(EXACT(CONCATENATE(Tableau1[[#This Row],[PO Number (Header)]],"-",Tableau1[[#This Row],[Line]]),UO_List[Unique_AIB_ID]))*(UO_List[Qté Réception 05/2020]))</f>
        <v>0</v>
      </c>
      <c r="BC109" s="84"/>
      <c r="BD109" s="351"/>
      <c r="BE109" s="351" t="str">
        <f>IFERROR(Tableau1[[#This Row],[Qté Facturé 05/2018]]*Tableau1[[#This Row],[Unit Price (calcul)]],"")</f>
        <v/>
      </c>
      <c r="BF109" s="351" t="str">
        <f>IFERROR(IF(Tableau1[[#This Row],[Montant Facturé 05/2018]]&gt;0,Tableau1[[#This Row],[Montant Facturé 05/2018]]/Taux_Change_SII,""),"")</f>
        <v/>
      </c>
      <c r="BG109" s="351"/>
      <c r="BH109" s="83">
        <f>SUMPRODUCT(1*(EXACT(CONCATENATE(Tableau1[[#This Row],[PO Number (Header)]],"-",Tableau1[[#This Row],[Line]]),UO_List[Unique_AIB_ID]))*(UO_List[Qté Réception 06/2020]))</f>
        <v>0</v>
      </c>
      <c r="BI109" s="84"/>
      <c r="BJ109" s="351"/>
      <c r="BK109" s="351" t="str">
        <f>IFERROR(Tableau1[[#This Row],[Qté Facturé 06/2018]]*Tableau1[[#This Row],[Unit Price (calcul)]],"")</f>
        <v/>
      </c>
      <c r="BL109" s="351" t="str">
        <f>IFERROR(IF(Tableau1[[#This Row],[Montant Facturé 06/2018]]&gt;0,Tableau1[[#This Row],[Montant Facturé 06/2018]]/Taux_Change_SII,""),"")</f>
        <v/>
      </c>
      <c r="BM109" s="351"/>
      <c r="BN109" s="83">
        <f>SUMPRODUCT(1*(EXACT(CONCATENATE(Tableau1[[#This Row],[PO Number (Header)]],"-",Tableau1[[#This Row],[Line]]),UO_List[Unique_AIB_ID]))*(UO_List[Qté Réception 07/2020]))</f>
        <v>0</v>
      </c>
      <c r="BO109" s="84">
        <v>0</v>
      </c>
      <c r="BP109" s="351"/>
      <c r="BQ109" s="351" t="str">
        <f>IFERROR(Tableau1[[#This Row],[Qté Facturé 07/2018]]*Tableau1[[#This Row],[Unit Price (calcul)]],"")</f>
        <v/>
      </c>
      <c r="BR109" s="351" t="str">
        <f>IFERROR(IF(Tableau1[[#This Row],[Montant Facturé 07/2018]]&gt;0,Tableau1[[#This Row],[Montant Facturé 07/2018]]/Taux_Change_SII,""),"")</f>
        <v/>
      </c>
      <c r="BS109" s="351"/>
      <c r="BT109" s="83">
        <f>SUMPRODUCT(1*(EXACT(CONCATENATE(Tableau1[[#This Row],[PO Number (Header)]],"-",Tableau1[[#This Row],[Line]]),UO_List[Unique_AIB_ID]))*(UO_List[Qté Réception 08/2020]))</f>
        <v>0</v>
      </c>
      <c r="BU109" s="84"/>
      <c r="BV109" s="351"/>
      <c r="BW109" s="351" t="str">
        <f>IFERROR(Tableau1[[#This Row],[Qté Facturé 08/2018]]*Tableau1[[#This Row],[Unit Price (calcul)]],"")</f>
        <v/>
      </c>
      <c r="BX109" s="351" t="str">
        <f>IFERROR(IF(Tableau1[[#This Row],[Montant Facturé 08/2018]]&gt;0,Tableau1[[#This Row],[Montant Facturé 08/2018]]/Taux_Change_SII,""),"")</f>
        <v/>
      </c>
      <c r="BY109" s="351"/>
      <c r="BZ109" s="83">
        <f>SUMPRODUCT(1*(EXACT(CONCATENATE(Tableau1[[#This Row],[PO Number (Header)]],"-",Tableau1[[#This Row],[Line]]),UO_List[Unique_AIB_ID]))*(UO_List[Qté Réception 09/2020]))</f>
        <v>0</v>
      </c>
      <c r="CA109" s="83"/>
      <c r="CB109" s="351"/>
      <c r="CC109" s="351" t="str">
        <f>IFERROR(Tableau1[[#This Row],[Qté Facturé 09/2018]]*Tableau1[[#This Row],[Unit Price (calcul)]],"")</f>
        <v/>
      </c>
      <c r="CD109" s="351" t="str">
        <f>IFERROR(IF(Tableau1[[#This Row],[Montant Facturé 09/2018]]&gt;0,Tableau1[[#This Row],[Montant Facturé 09/2018]]/Taux_Change_SII,""),"")</f>
        <v/>
      </c>
      <c r="CE109" s="351"/>
      <c r="CF109" s="83">
        <f>SUMPRODUCT(1*(EXACT(CONCATENATE(Tableau1[[#This Row],[PO Number (Header)]],"-",Tableau1[[#This Row],[Line]]),UO_List[Unique_AIB_ID]))*(UO_List[Qté Réception 10/2020]))</f>
        <v>0</v>
      </c>
      <c r="CG109" s="84"/>
      <c r="CH109" s="84"/>
      <c r="CI109" s="488" t="str">
        <f>IFERROR(Tableau1[[#This Row],[Qté Facturé 10/2018]]*Tableau1[[#This Row],[Unit Price (calcul)]],"")</f>
        <v/>
      </c>
      <c r="CJ109" s="351" t="str">
        <f>IFERROR(IF(Tableau1[[#This Row],[Montant Facturé 10/2018]]&gt;0,Tableau1[[#This Row],[Montant Facturé 10/2018]]/Taux_Change_SII,""),"")</f>
        <v/>
      </c>
      <c r="CK109" s="351"/>
      <c r="CL109" s="83">
        <f>SUMPRODUCT(1*(EXACT(CONCATENATE(Tableau1[[#This Row],[PO Number (Header)]],"-",Tableau1[[#This Row],[Line]]),UO_List[Unique_AIB_ID]))*(UO_List[Qté Réception 11/2020]))</f>
        <v>0</v>
      </c>
      <c r="CM109" s="84"/>
      <c r="CN109" s="351"/>
      <c r="CO109" s="351" t="str">
        <f>IFERROR(Tableau1[[#This Row],[Qté Facturé 11/2018]]*Tableau1[[#This Row],[Unit Price (calcul)]],"")</f>
        <v/>
      </c>
      <c r="CP109" s="351" t="str">
        <f>IFERROR(IF(Tableau1[[#This Row],[Montant Facturé 11/2018]]&gt;0,Tableau1[[#This Row],[Montant Facturé 11/2018]]/Taux_Change_SII,""),"")</f>
        <v/>
      </c>
      <c r="CQ109" s="351"/>
      <c r="CR109" s="83">
        <f>SUMPRODUCT(1*(EXACT(CONCATENATE(Tableau1[[#This Row],[PO Number (Header)]],"-",Tableau1[[#This Row],[Line]]),UO_List[Unique_AIB_ID]))*(UO_List[Qté Réception 12/2020]))</f>
        <v>0</v>
      </c>
      <c r="CS109" s="84"/>
      <c r="CT109" s="351"/>
      <c r="CU109" s="351" t="str">
        <f>IFERROR(Tableau1[[#This Row],[Qté Facturé 12/2018]]*Tableau1[[#This Row],[Unit Price (calcul)]],"")</f>
        <v/>
      </c>
      <c r="CV109" s="351" t="str">
        <f>IFERROR(IF(Tableau1[[#This Row],[Montant Facturé 12/2018]]&gt;0,Tableau1[[#This Row],[Montant Facturé 12/2018]]/Taux_Change_SII,""),"")</f>
        <v/>
      </c>
      <c r="CW109" s="351"/>
      <c r="CX10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0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0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09" s="352" t="str">
        <f>IFERROR(Tableau1[[#This Row],[Total item réceptionné]]*Tableau1[[#This Row],[Unit Price (calcul)]],"")</f>
        <v/>
      </c>
      <c r="DB109" s="352" t="str">
        <f>IFERROR(Tableau1[[#This Row],[Total item à Facturer]]*Tableau1[[#This Row],[Unit Price (calcul)]],"")</f>
        <v/>
      </c>
      <c r="DC10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09" s="352" t="str">
        <f>IFERROR(Tableau1[[#This Row],[Line Total]]-Tableau1[[#This Row],[Total Price Réceptionné]],"")</f>
        <v/>
      </c>
      <c r="DE109" s="352" t="str">
        <f>IFERROR(Tableau1[[#This Row],[Total Price Réceptionné]]-Tableau1[[#This Row],[Total Price A facturer]],"")</f>
        <v/>
      </c>
      <c r="DF109" s="353" t="str">
        <f>IFERROR(Tableau1[[#This Row],[Total Price A facturer]]-Tableau1[[#This Row],[Total Price Facturé]],"")</f>
        <v/>
      </c>
      <c r="DG109" s="76">
        <f>Tableau1[[#This Row],[Total Item Quantity]]-Tableau1[[#This Row],[Total item réceptionné]]</f>
        <v>0</v>
      </c>
      <c r="DH109" s="167"/>
      <c r="DI109" s="167"/>
    </row>
    <row r="110" spans="1:113" s="74" customFormat="1">
      <c r="A110" s="77" t="str">
        <f>CONCATENATE(Tableau1[[#This Row],[PO Number (Header)]],"-",Tableau1[[#This Row],[Line]])</f>
        <v>-</v>
      </c>
      <c r="B110" s="77"/>
      <c r="C110" s="450"/>
      <c r="D110" s="102"/>
      <c r="E110" s="77"/>
      <c r="F110" s="77"/>
      <c r="G110" s="77"/>
      <c r="H110" s="77"/>
      <c r="I110" s="452"/>
      <c r="J110" s="452"/>
      <c r="K110" s="453"/>
      <c r="L110" s="453"/>
      <c r="M110" s="77"/>
      <c r="N110" s="77"/>
      <c r="O110" s="77"/>
      <c r="P110" s="77"/>
      <c r="Q110" s="395"/>
      <c r="R110" s="395"/>
      <c r="S110" s="77"/>
      <c r="T110" s="77"/>
      <c r="U110" s="77"/>
      <c r="V110" s="77"/>
      <c r="W110" s="167"/>
      <c r="X110" s="167"/>
      <c r="Y110" s="167" t="str">
        <f>IF(ISBLANK(Tableau1[[#This Row],[PO Number (Header)]]),"",Tableau1[[#This Row],[Line Total]]/Tableau1[[#This Row],[Total Item Quantity]])</f>
        <v/>
      </c>
      <c r="Z110" s="167" t="str">
        <f>IF(ISNA(VLOOKUP(Tableau1[[#This Row],[Unique_AIB_ID]],UO_List[Unique_AIB_ID],1,FALSE)),IF(ISBLANK(Tableau1[[#This Row],[PO Number (Header)]]),"","FAUX"),"VRAI")</f>
        <v/>
      </c>
      <c r="AA110" s="167"/>
      <c r="AB110" s="162" t="e">
        <f>VLOOKUP(Tableau1[[#This Row],[Unique_AIB_ID]],UO_List[[Unique_AIB_ID]:[OLGA F6]],3,FALSE)</f>
        <v>#N/A</v>
      </c>
      <c r="AC110" s="162" t="s">
        <v>790</v>
      </c>
      <c r="AD110" s="83">
        <f>SUMPRODUCT(1*(EXACT(CONCATENATE(Tableau1[[#This Row],[PO Number (Header)]],"-",Tableau1[[#This Row],[Line]]),UO_List[Unique_AIB_ID]))*(UO_List[Qté Réception 03/2020]))</f>
        <v>0</v>
      </c>
      <c r="AE110" s="84"/>
      <c r="AF110" s="357"/>
      <c r="AG110" s="351" t="str">
        <f>IFERROR(Tableau1[[#This Row],[Qté Facturé 01/2018]]*Tableau1[[#This Row],[Unit Price (calcul)]],"")</f>
        <v/>
      </c>
      <c r="AH110" s="356" t="str">
        <f>IFERROR(IF(Tableau1[[#This Row],[Montant Facturé 01/2018]]&gt;0,Tableau1[[#This Row],[Montant Facturé 01/2018]]/Taux_Change_SII,""),"")</f>
        <v/>
      </c>
      <c r="AI110" s="351"/>
      <c r="AJ110" s="83">
        <f>SUMPRODUCT(1*(EXACT(CONCATENATE(Tableau1[[#This Row],[PO Number (Header)]],"-",Tableau1[[#This Row],[Line]]),UO_List[Unique_AIB_ID]))*(UO_List[Qté Réception 02/2020]))</f>
        <v>0</v>
      </c>
      <c r="AK110" s="83">
        <f>SUMPRODUCT(1*(EXACT(CONCATENATE(Tableau1[[#This Row],[PO Number (Header)]],"-",Tableau1[[#This Row],[Line]]),UO_List[Unique_AIB_ID]))*(UO_List[Qté Réception 02/2020]))</f>
        <v>0</v>
      </c>
      <c r="AL110" s="357"/>
      <c r="AM110" s="351" t="str">
        <f>IFERROR(Tableau1[[#This Row],[Qté Facturé 02/2018]]*Tableau1[[#This Row],[Unit Price (calcul)]],"")</f>
        <v/>
      </c>
      <c r="AN110" s="351" t="str">
        <f>IFERROR(IF(Tableau1[[#This Row],[Montant Facturé 02/2018]]&gt;0,Tableau1[[#This Row],[Montant Facturé 02/2018]]/Taux_Change_SII,""),"")</f>
        <v/>
      </c>
      <c r="AO110" s="351"/>
      <c r="AP110" s="83">
        <f>SUMPRODUCT(1*(EXACT(CONCATENATE(Tableau1[[#This Row],[PO Number (Header)]],"-",Tableau1[[#This Row],[Line]]),UO_List[Unique_AIB_ID]))*(UO_List[Qté Réception 00/2020]))</f>
        <v>0</v>
      </c>
      <c r="AQ110" s="84"/>
      <c r="AR110" s="357"/>
      <c r="AS110" s="351" t="str">
        <f>IFERROR(Tableau1[[#This Row],[Qté Facturé 03/2018]]*Tableau1[[#This Row],[Unit Price (calcul)]],"")</f>
        <v/>
      </c>
      <c r="AT110" s="351" t="str">
        <f>IFERROR(IF(Tableau1[[#This Row],[Montant Facturé 03/2018]]&gt;0,Tableau1[[#This Row],[Montant Facturé 03/2018]]/Taux_Change_SII,""),"")</f>
        <v/>
      </c>
      <c r="AU110" s="351"/>
      <c r="AV110" s="83">
        <f>SUMPRODUCT(1*(EXACT(CONCATENATE(Tableau1[[#This Row],[PO Number (Header)]],"-",Tableau1[[#This Row],[Line]]),UO_List[Unique_AIB_ID]))*(UO_List[Qté Réception 04/2020]))</f>
        <v>0</v>
      </c>
      <c r="AW110" s="84"/>
      <c r="AX110" s="351"/>
      <c r="AY110" s="351" t="str">
        <f>IFERROR(Tableau1[[#This Row],[Qté Facturé 04/2018]]*Tableau1[[#This Row],[Unit Price (calcul)]],"")</f>
        <v/>
      </c>
      <c r="AZ110" s="351" t="str">
        <f>IFERROR(IF(Tableau1[[#This Row],[Montant Facturé 04/2018]]&gt;0,Tableau1[[#This Row],[Montant Facturé 04/2018]]/Taux_Change_SII,""),"")</f>
        <v/>
      </c>
      <c r="BA110" s="351"/>
      <c r="BB110" s="83">
        <f>SUMPRODUCT(1*(EXACT(CONCATENATE(Tableau1[[#This Row],[PO Number (Header)]],"-",Tableau1[[#This Row],[Line]]),UO_List[Unique_AIB_ID]))*(UO_List[Qté Réception 05/2020]))</f>
        <v>0</v>
      </c>
      <c r="BC110" s="84"/>
      <c r="BD110" s="351"/>
      <c r="BE110" s="351" t="str">
        <f>IFERROR(Tableau1[[#This Row],[Qté Facturé 05/2018]]*Tableau1[[#This Row],[Unit Price (calcul)]],"")</f>
        <v/>
      </c>
      <c r="BF110" s="351" t="str">
        <f>IFERROR(IF(Tableau1[[#This Row],[Montant Facturé 05/2018]]&gt;0,Tableau1[[#This Row],[Montant Facturé 05/2018]]/Taux_Change_SII,""),"")</f>
        <v/>
      </c>
      <c r="BG110" s="351"/>
      <c r="BH110" s="83">
        <f>SUMPRODUCT(1*(EXACT(CONCATENATE(Tableau1[[#This Row],[PO Number (Header)]],"-",Tableau1[[#This Row],[Line]]),UO_List[Unique_AIB_ID]))*(UO_List[Qté Réception 06/2020]))</f>
        <v>0</v>
      </c>
      <c r="BI110" s="84"/>
      <c r="BJ110" s="351"/>
      <c r="BK110" s="351" t="str">
        <f>IFERROR(Tableau1[[#This Row],[Qté Facturé 06/2018]]*Tableau1[[#This Row],[Unit Price (calcul)]],"")</f>
        <v/>
      </c>
      <c r="BL110" s="351" t="str">
        <f>IFERROR(IF(Tableau1[[#This Row],[Montant Facturé 06/2018]]&gt;0,Tableau1[[#This Row],[Montant Facturé 06/2018]]/Taux_Change_SII,""),"")</f>
        <v/>
      </c>
      <c r="BM110" s="351"/>
      <c r="BN110" s="83">
        <f>SUMPRODUCT(1*(EXACT(CONCATENATE(Tableau1[[#This Row],[PO Number (Header)]],"-",Tableau1[[#This Row],[Line]]),UO_List[Unique_AIB_ID]))*(UO_List[Qté Réception 07/2020]))</f>
        <v>0</v>
      </c>
      <c r="BO110" s="84"/>
      <c r="BP110" s="351"/>
      <c r="BQ110" s="351" t="str">
        <f>IFERROR(Tableau1[[#This Row],[Qté Facturé 07/2018]]*Tableau1[[#This Row],[Unit Price (calcul)]],"")</f>
        <v/>
      </c>
      <c r="BR110" s="351" t="str">
        <f>IFERROR(IF(Tableau1[[#This Row],[Montant Facturé 07/2018]]&gt;0,Tableau1[[#This Row],[Montant Facturé 07/2018]]/Taux_Change_SII,""),"")</f>
        <v/>
      </c>
      <c r="BS110" s="351"/>
      <c r="BT110" s="83">
        <f>SUMPRODUCT(1*(EXACT(CONCATENATE(Tableau1[[#This Row],[PO Number (Header)]],"-",Tableau1[[#This Row],[Line]]),UO_List[Unique_AIB_ID]))*(UO_List[Qté Réception 08/2020]))</f>
        <v>0</v>
      </c>
      <c r="BU110" s="84"/>
      <c r="BV110" s="351"/>
      <c r="BW110" s="351" t="str">
        <f>IFERROR(Tableau1[[#This Row],[Qté Facturé 08/2018]]*Tableau1[[#This Row],[Unit Price (calcul)]],"")</f>
        <v/>
      </c>
      <c r="BX110" s="351" t="str">
        <f>IFERROR(IF(Tableau1[[#This Row],[Montant Facturé 08/2018]]&gt;0,Tableau1[[#This Row],[Montant Facturé 08/2018]]/Taux_Change_SII,""),"")</f>
        <v/>
      </c>
      <c r="BY110" s="351"/>
      <c r="BZ110" s="83">
        <f>SUMPRODUCT(1*(EXACT(CONCATENATE(Tableau1[[#This Row],[PO Number (Header)]],"-",Tableau1[[#This Row],[Line]]),UO_List[Unique_AIB_ID]))*(UO_List[Qté Réception 09/2020]))</f>
        <v>0</v>
      </c>
      <c r="CA110" s="83"/>
      <c r="CB110" s="351"/>
      <c r="CC110" s="351" t="str">
        <f>IFERROR(Tableau1[[#This Row],[Qté Facturé 09/2018]]*Tableau1[[#This Row],[Unit Price (calcul)]],"")</f>
        <v/>
      </c>
      <c r="CD110" s="351" t="str">
        <f>IFERROR(IF(Tableau1[[#This Row],[Montant Facturé 09/2018]]&gt;0,Tableau1[[#This Row],[Montant Facturé 09/2018]]/Taux_Change_SII,""),"")</f>
        <v/>
      </c>
      <c r="CE110" s="351"/>
      <c r="CF110" s="83">
        <f>SUMPRODUCT(1*(EXACT(CONCATENATE(Tableau1[[#This Row],[PO Number (Header)]],"-",Tableau1[[#This Row],[Line]]),UO_List[Unique_AIB_ID]))*(UO_List[Qté Réception 10/2020]))</f>
        <v>0</v>
      </c>
      <c r="CG110" s="84"/>
      <c r="CH110" s="84"/>
      <c r="CI110" s="488" t="str">
        <f>IFERROR(Tableau1[[#This Row],[Qté Facturé 10/2018]]*Tableau1[[#This Row],[Unit Price (calcul)]],"")</f>
        <v/>
      </c>
      <c r="CJ110" s="351" t="str">
        <f>IFERROR(IF(Tableau1[[#This Row],[Montant Facturé 10/2018]]&gt;0,Tableau1[[#This Row],[Montant Facturé 10/2018]]/Taux_Change_SII,""),"")</f>
        <v/>
      </c>
      <c r="CK110" s="351"/>
      <c r="CL110" s="83">
        <f>SUMPRODUCT(1*(EXACT(CONCATENATE(Tableau1[[#This Row],[PO Number (Header)]],"-",Tableau1[[#This Row],[Line]]),UO_List[Unique_AIB_ID]))*(UO_List[Qté Réception 11/2020]))</f>
        <v>0</v>
      </c>
      <c r="CM110" s="84"/>
      <c r="CN110" s="351"/>
      <c r="CO110" s="351" t="str">
        <f>IFERROR(Tableau1[[#This Row],[Qté Facturé 11/2018]]*Tableau1[[#This Row],[Unit Price (calcul)]],"")</f>
        <v/>
      </c>
      <c r="CP110" s="351" t="str">
        <f>IFERROR(IF(Tableau1[[#This Row],[Montant Facturé 11/2018]]&gt;0,Tableau1[[#This Row],[Montant Facturé 11/2018]]/Taux_Change_SII,""),"")</f>
        <v/>
      </c>
      <c r="CQ110" s="351"/>
      <c r="CR110" s="83">
        <f>SUMPRODUCT(1*(EXACT(CONCATENATE(Tableau1[[#This Row],[PO Number (Header)]],"-",Tableau1[[#This Row],[Line]]),UO_List[Unique_AIB_ID]))*(UO_List[Qté Réception 12/2020]))</f>
        <v>0</v>
      </c>
      <c r="CS110" s="84"/>
      <c r="CT110" s="351"/>
      <c r="CU110" s="351" t="str">
        <f>IFERROR(Tableau1[[#This Row],[Qté Facturé 12/2018]]*Tableau1[[#This Row],[Unit Price (calcul)]],"")</f>
        <v/>
      </c>
      <c r="CV110" s="351" t="str">
        <f>IFERROR(IF(Tableau1[[#This Row],[Montant Facturé 12/2018]]&gt;0,Tableau1[[#This Row],[Montant Facturé 12/2018]]/Taux_Change_SII,""),"")</f>
        <v/>
      </c>
      <c r="CW110" s="351"/>
      <c r="CX11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0" s="352" t="str">
        <f>IFERROR(Tableau1[[#This Row],[Total item réceptionné]]*Tableau1[[#This Row],[Unit Price (calcul)]],"")</f>
        <v/>
      </c>
      <c r="DB110" s="352" t="str">
        <f>IFERROR(Tableau1[[#This Row],[Total item à Facturer]]*Tableau1[[#This Row],[Unit Price (calcul)]],"")</f>
        <v/>
      </c>
      <c r="DC11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0" s="352" t="str">
        <f>IFERROR(Tableau1[[#This Row],[Line Total]]-Tableau1[[#This Row],[Total Price Réceptionné]],"")</f>
        <v/>
      </c>
      <c r="DE110" s="352" t="str">
        <f>IFERROR(Tableau1[[#This Row],[Total Price Réceptionné]]-Tableau1[[#This Row],[Total Price A facturer]],"")</f>
        <v/>
      </c>
      <c r="DF110" s="353" t="str">
        <f>IFERROR(Tableau1[[#This Row],[Total Price A facturer]]-Tableau1[[#This Row],[Total Price Facturé]],"")</f>
        <v/>
      </c>
      <c r="DG110" s="76">
        <f>Tableau1[[#This Row],[Total Item Quantity]]-Tableau1[[#This Row],[Total item réceptionné]]</f>
        <v>0</v>
      </c>
      <c r="DH110" s="167"/>
      <c r="DI110" s="167"/>
    </row>
    <row r="111" spans="1:113" s="74" customFormat="1">
      <c r="A111" s="77" t="str">
        <f>CONCATENATE(Tableau1[[#This Row],[PO Number (Header)]],"-",Tableau1[[#This Row],[Line]])</f>
        <v>-</v>
      </c>
      <c r="B111" s="77"/>
      <c r="C111" s="450"/>
      <c r="D111" s="102"/>
      <c r="E111" s="77"/>
      <c r="F111" s="77"/>
      <c r="G111" s="77"/>
      <c r="H111" s="77"/>
      <c r="I111" s="452"/>
      <c r="J111" s="452"/>
      <c r="K111" s="453"/>
      <c r="L111" s="453"/>
      <c r="M111" s="77"/>
      <c r="N111" s="77"/>
      <c r="O111" s="77"/>
      <c r="P111" s="77"/>
      <c r="Q111" s="395"/>
      <c r="R111" s="395"/>
      <c r="S111" s="77"/>
      <c r="T111" s="77"/>
      <c r="U111" s="77"/>
      <c r="V111" s="77"/>
      <c r="W111" s="167"/>
      <c r="X111" s="167"/>
      <c r="Y111" s="167" t="str">
        <f>IF(ISBLANK(Tableau1[[#This Row],[PO Number (Header)]]),"",Tableau1[[#This Row],[Line Total]]/Tableau1[[#This Row],[Total Item Quantity]])</f>
        <v/>
      </c>
      <c r="Z111" s="167" t="str">
        <f>IF(ISNA(VLOOKUP(Tableau1[[#This Row],[Unique_AIB_ID]],UO_List[Unique_AIB_ID],1,FALSE)),IF(ISBLANK(Tableau1[[#This Row],[PO Number (Header)]]),"","FAUX"),"VRAI")</f>
        <v/>
      </c>
      <c r="AA111" s="167"/>
      <c r="AB111" s="162" t="e">
        <f>VLOOKUP(Tableau1[[#This Row],[Unique_AIB_ID]],UO_List[[Unique_AIB_ID]:[OLGA F6]],3,FALSE)</f>
        <v>#N/A</v>
      </c>
      <c r="AC111" s="162" t="s">
        <v>790</v>
      </c>
      <c r="AD111" s="83">
        <f>SUMPRODUCT(1*(EXACT(CONCATENATE(Tableau1[[#This Row],[PO Number (Header)]],"-",Tableau1[[#This Row],[Line]]),UO_List[Unique_AIB_ID]))*(UO_List[Qté Réception 03/2020]))</f>
        <v>0</v>
      </c>
      <c r="AE111" s="84"/>
      <c r="AF111" s="357"/>
      <c r="AG111" s="351" t="str">
        <f>IFERROR(Tableau1[[#This Row],[Qté Facturé 01/2018]]*Tableau1[[#This Row],[Unit Price (calcul)]],"")</f>
        <v/>
      </c>
      <c r="AH111" s="356" t="str">
        <f>IFERROR(IF(Tableau1[[#This Row],[Montant Facturé 01/2018]]&gt;0,Tableau1[[#This Row],[Montant Facturé 01/2018]]/Taux_Change_SII,""),"")</f>
        <v/>
      </c>
      <c r="AI111" s="351"/>
      <c r="AJ111" s="83">
        <f>SUMPRODUCT(1*(EXACT(CONCATENATE(Tableau1[[#This Row],[PO Number (Header)]],"-",Tableau1[[#This Row],[Line]]),UO_List[Unique_AIB_ID]))*(UO_List[Qté Réception 02/2020]))</f>
        <v>0</v>
      </c>
      <c r="AK111" s="83">
        <f>SUMPRODUCT(1*(EXACT(CONCATENATE(Tableau1[[#This Row],[PO Number (Header)]],"-",Tableau1[[#This Row],[Line]]),UO_List[Unique_AIB_ID]))*(UO_List[Qté Réception 02/2020]))</f>
        <v>0</v>
      </c>
      <c r="AL111" s="357"/>
      <c r="AM111" s="351" t="str">
        <f>IFERROR(Tableau1[[#This Row],[Qté Facturé 02/2018]]*Tableau1[[#This Row],[Unit Price (calcul)]],"")</f>
        <v/>
      </c>
      <c r="AN111" s="351" t="str">
        <f>IFERROR(IF(Tableau1[[#This Row],[Montant Facturé 02/2018]]&gt;0,Tableau1[[#This Row],[Montant Facturé 02/2018]]/Taux_Change_SII,""),"")</f>
        <v/>
      </c>
      <c r="AO111" s="351"/>
      <c r="AP111" s="83">
        <f>SUMPRODUCT(1*(EXACT(CONCATENATE(Tableau1[[#This Row],[PO Number (Header)]],"-",Tableau1[[#This Row],[Line]]),UO_List[Unique_AIB_ID]))*(UO_List[Qté Réception 00/2020]))</f>
        <v>0</v>
      </c>
      <c r="AQ111" s="84"/>
      <c r="AR111" s="357"/>
      <c r="AS111" s="351" t="str">
        <f>IFERROR(Tableau1[[#This Row],[Qté Facturé 03/2018]]*Tableau1[[#This Row],[Unit Price (calcul)]],"")</f>
        <v/>
      </c>
      <c r="AT111" s="351" t="str">
        <f>IFERROR(IF(Tableau1[[#This Row],[Montant Facturé 03/2018]]&gt;0,Tableau1[[#This Row],[Montant Facturé 03/2018]]/Taux_Change_SII,""),"")</f>
        <v/>
      </c>
      <c r="AU111" s="351"/>
      <c r="AV111" s="83">
        <f>SUMPRODUCT(1*(EXACT(CONCATENATE(Tableau1[[#This Row],[PO Number (Header)]],"-",Tableau1[[#This Row],[Line]]),UO_List[Unique_AIB_ID]))*(UO_List[Qté Réception 04/2020]))</f>
        <v>0</v>
      </c>
      <c r="AW111" s="84"/>
      <c r="AX111" s="351"/>
      <c r="AY111" s="351" t="str">
        <f>IFERROR(Tableau1[[#This Row],[Qté Facturé 04/2018]]*Tableau1[[#This Row],[Unit Price (calcul)]],"")</f>
        <v/>
      </c>
      <c r="AZ111" s="351" t="str">
        <f>IFERROR(IF(Tableau1[[#This Row],[Montant Facturé 04/2018]]&gt;0,Tableau1[[#This Row],[Montant Facturé 04/2018]]/Taux_Change_SII,""),"")</f>
        <v/>
      </c>
      <c r="BA111" s="351"/>
      <c r="BB111" s="83">
        <f>SUMPRODUCT(1*(EXACT(CONCATENATE(Tableau1[[#This Row],[PO Number (Header)]],"-",Tableau1[[#This Row],[Line]]),UO_List[Unique_AIB_ID]))*(UO_List[Qté Réception 05/2020]))</f>
        <v>0</v>
      </c>
      <c r="BC111" s="84"/>
      <c r="BD111" s="351"/>
      <c r="BE111" s="351" t="str">
        <f>IFERROR(Tableau1[[#This Row],[Qté Facturé 05/2018]]*Tableau1[[#This Row],[Unit Price (calcul)]],"")</f>
        <v/>
      </c>
      <c r="BF111" s="351" t="str">
        <f>IFERROR(IF(Tableau1[[#This Row],[Montant Facturé 05/2018]]&gt;0,Tableau1[[#This Row],[Montant Facturé 05/2018]]/Taux_Change_SII,""),"")</f>
        <v/>
      </c>
      <c r="BG111" s="351"/>
      <c r="BH111" s="83">
        <f>SUMPRODUCT(1*(EXACT(CONCATENATE(Tableau1[[#This Row],[PO Number (Header)]],"-",Tableau1[[#This Row],[Line]]),UO_List[Unique_AIB_ID]))*(UO_List[Qté Réception 06/2020]))</f>
        <v>0</v>
      </c>
      <c r="BI111" s="84"/>
      <c r="BJ111" s="351"/>
      <c r="BK111" s="351" t="str">
        <f>IFERROR(Tableau1[[#This Row],[Qté Facturé 06/2018]]*Tableau1[[#This Row],[Unit Price (calcul)]],"")</f>
        <v/>
      </c>
      <c r="BL111" s="351" t="str">
        <f>IFERROR(IF(Tableau1[[#This Row],[Montant Facturé 06/2018]]&gt;0,Tableau1[[#This Row],[Montant Facturé 06/2018]]/Taux_Change_SII,""),"")</f>
        <v/>
      </c>
      <c r="BM111" s="351"/>
      <c r="BN111" s="83">
        <f>SUMPRODUCT(1*(EXACT(CONCATENATE(Tableau1[[#This Row],[PO Number (Header)]],"-",Tableau1[[#This Row],[Line]]),UO_List[Unique_AIB_ID]))*(UO_List[Qté Réception 07/2020]))</f>
        <v>0</v>
      </c>
      <c r="BO111" s="84"/>
      <c r="BP111" s="351"/>
      <c r="BQ111" s="351" t="str">
        <f>IFERROR(Tableau1[[#This Row],[Qté Facturé 07/2018]]*Tableau1[[#This Row],[Unit Price (calcul)]],"")</f>
        <v/>
      </c>
      <c r="BR111" s="351" t="str">
        <f>IFERROR(IF(Tableau1[[#This Row],[Montant Facturé 07/2018]]&gt;0,Tableau1[[#This Row],[Montant Facturé 07/2018]]/Taux_Change_SII,""),"")</f>
        <v/>
      </c>
      <c r="BS111" s="351"/>
      <c r="BT111" s="83">
        <f>SUMPRODUCT(1*(EXACT(CONCATENATE(Tableau1[[#This Row],[PO Number (Header)]],"-",Tableau1[[#This Row],[Line]]),UO_List[Unique_AIB_ID]))*(UO_List[Qté Réception 08/2020]))</f>
        <v>0</v>
      </c>
      <c r="BU111" s="84"/>
      <c r="BV111" s="351"/>
      <c r="BW111" s="351" t="str">
        <f>IFERROR(Tableau1[[#This Row],[Qté Facturé 08/2018]]*Tableau1[[#This Row],[Unit Price (calcul)]],"")</f>
        <v/>
      </c>
      <c r="BX111" s="351" t="str">
        <f>IFERROR(IF(Tableau1[[#This Row],[Montant Facturé 08/2018]]&gt;0,Tableau1[[#This Row],[Montant Facturé 08/2018]]/Taux_Change_SII,""),"")</f>
        <v/>
      </c>
      <c r="BY111" s="351"/>
      <c r="BZ111" s="83">
        <f>SUMPRODUCT(1*(EXACT(CONCATENATE(Tableau1[[#This Row],[PO Number (Header)]],"-",Tableau1[[#This Row],[Line]]),UO_List[Unique_AIB_ID]))*(UO_List[Qté Réception 09/2020]))</f>
        <v>0</v>
      </c>
      <c r="CA111" s="84">
        <v>0</v>
      </c>
      <c r="CB111" s="351"/>
      <c r="CC111" s="351" t="str">
        <f>IFERROR(Tableau1[[#This Row],[Qté Facturé 09/2018]]*Tableau1[[#This Row],[Unit Price (calcul)]],"")</f>
        <v/>
      </c>
      <c r="CD111" s="351" t="str">
        <f>IFERROR(IF(Tableau1[[#This Row],[Montant Facturé 09/2018]]&gt;0,Tableau1[[#This Row],[Montant Facturé 09/2018]]/Taux_Change_SII,""),"")</f>
        <v/>
      </c>
      <c r="CE111" s="351"/>
      <c r="CF111" s="83">
        <f>SUMPRODUCT(1*(EXACT(CONCATENATE(Tableau1[[#This Row],[PO Number (Header)]],"-",Tableau1[[#This Row],[Line]]),UO_List[Unique_AIB_ID]))*(UO_List[Qté Réception 10/2020]))</f>
        <v>0</v>
      </c>
      <c r="CG111" s="84">
        <v>0</v>
      </c>
      <c r="CH111" s="351"/>
      <c r="CI111" s="351" t="str">
        <f>IFERROR(Tableau1[[#This Row],[Qté Facturé 10/2018]]*Tableau1[[#This Row],[Unit Price (calcul)]],"")</f>
        <v/>
      </c>
      <c r="CJ111" s="351" t="str">
        <f>IFERROR(IF(Tableau1[[#This Row],[Montant Facturé 10/2018]]&gt;0,Tableau1[[#This Row],[Montant Facturé 10/2018]]/Taux_Change_SII,""),"")</f>
        <v/>
      </c>
      <c r="CK111" s="351"/>
      <c r="CL111" s="83">
        <f>SUMPRODUCT(1*(EXACT(CONCATENATE(Tableau1[[#This Row],[PO Number (Header)]],"-",Tableau1[[#This Row],[Line]]),UO_List[Unique_AIB_ID]))*(UO_List[Qté Réception 11/2020]))</f>
        <v>0</v>
      </c>
      <c r="CM111" s="84"/>
      <c r="CN111" s="351"/>
      <c r="CO111" s="351" t="str">
        <f>IFERROR(Tableau1[[#This Row],[Qté Facturé 11/2018]]*Tableau1[[#This Row],[Unit Price (calcul)]],"")</f>
        <v/>
      </c>
      <c r="CP111" s="351" t="str">
        <f>IFERROR(IF(Tableau1[[#This Row],[Montant Facturé 11/2018]]&gt;0,Tableau1[[#This Row],[Montant Facturé 11/2018]]/Taux_Change_SII,""),"")</f>
        <v/>
      </c>
      <c r="CQ111" s="351"/>
      <c r="CR111" s="83">
        <f>SUMPRODUCT(1*(EXACT(CONCATENATE(Tableau1[[#This Row],[PO Number (Header)]],"-",Tableau1[[#This Row],[Line]]),UO_List[Unique_AIB_ID]))*(UO_List[Qté Réception 12/2020]))</f>
        <v>0</v>
      </c>
      <c r="CS111" s="84"/>
      <c r="CT111" s="351"/>
      <c r="CU111" s="351" t="str">
        <f>IFERROR(Tableau1[[#This Row],[Qté Facturé 12/2018]]*Tableau1[[#This Row],[Unit Price (calcul)]],"")</f>
        <v/>
      </c>
      <c r="CV111" s="351" t="str">
        <f>IFERROR(IF(Tableau1[[#This Row],[Montant Facturé 12/2018]]&gt;0,Tableau1[[#This Row],[Montant Facturé 12/2018]]/Taux_Change_SII,""),"")</f>
        <v/>
      </c>
      <c r="CW111" s="351"/>
      <c r="CX11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1" s="352" t="str">
        <f>IFERROR(Tableau1[[#This Row],[Total item réceptionné]]*Tableau1[[#This Row],[Unit Price (calcul)]],"")</f>
        <v/>
      </c>
      <c r="DB111" s="352" t="str">
        <f>IFERROR(Tableau1[[#This Row],[Total item à Facturer]]*Tableau1[[#This Row],[Unit Price (calcul)]],"")</f>
        <v/>
      </c>
      <c r="DC11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1" s="352" t="str">
        <f>IFERROR(Tableau1[[#This Row],[Line Total]]-Tableau1[[#This Row],[Total Price Réceptionné]],"")</f>
        <v/>
      </c>
      <c r="DE111" s="352" t="str">
        <f>IFERROR(Tableau1[[#This Row],[Total Price Réceptionné]]-Tableau1[[#This Row],[Total Price A facturer]],"")</f>
        <v/>
      </c>
      <c r="DF111" s="353" t="str">
        <f>IFERROR(Tableau1[[#This Row],[Total Price A facturer]]-Tableau1[[#This Row],[Total Price Facturé]],"")</f>
        <v/>
      </c>
      <c r="DG111" s="76">
        <f>Tableau1[[#This Row],[Total Item Quantity]]-Tableau1[[#This Row],[Total item réceptionné]]</f>
        <v>0</v>
      </c>
      <c r="DH111" s="167"/>
      <c r="DI111" s="167"/>
    </row>
    <row r="112" spans="1:113" s="74" customFormat="1">
      <c r="A112" s="77" t="str">
        <f>CONCATENATE(Tableau1[[#This Row],[PO Number (Header)]],"-",Tableau1[[#This Row],[Line]])</f>
        <v>-</v>
      </c>
      <c r="B112" s="77"/>
      <c r="C112" s="450"/>
      <c r="D112" s="102"/>
      <c r="E112" s="77"/>
      <c r="F112" s="77"/>
      <c r="G112" s="77"/>
      <c r="H112" s="77"/>
      <c r="I112" s="452"/>
      <c r="J112" s="452"/>
      <c r="K112" s="453"/>
      <c r="L112" s="453"/>
      <c r="M112" s="77"/>
      <c r="N112" s="77"/>
      <c r="O112" s="77"/>
      <c r="P112" s="77"/>
      <c r="Q112" s="395"/>
      <c r="R112" s="395"/>
      <c r="S112" s="77"/>
      <c r="T112" s="77"/>
      <c r="U112" s="77"/>
      <c r="V112" s="77"/>
      <c r="W112" s="167"/>
      <c r="X112" s="167"/>
      <c r="Y112" s="167" t="str">
        <f>IF(ISBLANK(Tableau1[[#This Row],[PO Number (Header)]]),"",Tableau1[[#This Row],[Line Total]]/Tableau1[[#This Row],[Total Item Quantity]])</f>
        <v/>
      </c>
      <c r="Z112" s="167" t="str">
        <f>IF(ISNA(VLOOKUP(Tableau1[[#This Row],[Unique_AIB_ID]],UO_List[Unique_AIB_ID],1,FALSE)),IF(ISBLANK(Tableau1[[#This Row],[PO Number (Header)]]),"","FAUX"),"VRAI")</f>
        <v/>
      </c>
      <c r="AA112" s="167"/>
      <c r="AB112" s="162" t="e">
        <f>VLOOKUP(Tableau1[[#This Row],[Unique_AIB_ID]],UO_List[[Unique_AIB_ID]:[OLGA F6]],3,FALSE)</f>
        <v>#N/A</v>
      </c>
      <c r="AC112" s="162" t="s">
        <v>790</v>
      </c>
      <c r="AD112" s="83">
        <f>SUMPRODUCT(1*(EXACT(CONCATENATE(Tableau1[[#This Row],[PO Number (Header)]],"-",Tableau1[[#This Row],[Line]]),UO_List[Unique_AIB_ID]))*(UO_List[Qté Réception 03/2020]))</f>
        <v>0</v>
      </c>
      <c r="AE112" s="84"/>
      <c r="AF112" s="357"/>
      <c r="AG112" s="351" t="str">
        <f>IFERROR(Tableau1[[#This Row],[Qté Facturé 01/2018]]*Tableau1[[#This Row],[Unit Price (calcul)]],"")</f>
        <v/>
      </c>
      <c r="AH112" s="356" t="str">
        <f>IFERROR(IF(Tableau1[[#This Row],[Montant Facturé 01/2018]]&gt;0,Tableau1[[#This Row],[Montant Facturé 01/2018]]/Taux_Change_SII,""),"")</f>
        <v/>
      </c>
      <c r="AI112" s="351"/>
      <c r="AJ112" s="83">
        <f>SUMPRODUCT(1*(EXACT(CONCATENATE(Tableau1[[#This Row],[PO Number (Header)]],"-",Tableau1[[#This Row],[Line]]),UO_List[Unique_AIB_ID]))*(UO_List[Qté Réception 02/2020]))</f>
        <v>0</v>
      </c>
      <c r="AK112" s="83">
        <f>SUMPRODUCT(1*(EXACT(CONCATENATE(Tableau1[[#This Row],[PO Number (Header)]],"-",Tableau1[[#This Row],[Line]]),UO_List[Unique_AIB_ID]))*(UO_List[Qté Réception 02/2020]))</f>
        <v>0</v>
      </c>
      <c r="AL112" s="357"/>
      <c r="AM112" s="351" t="str">
        <f>IFERROR(Tableau1[[#This Row],[Qté Facturé 02/2018]]*Tableau1[[#This Row],[Unit Price (calcul)]],"")</f>
        <v/>
      </c>
      <c r="AN112" s="351" t="str">
        <f>IFERROR(IF(Tableau1[[#This Row],[Montant Facturé 02/2018]]&gt;0,Tableau1[[#This Row],[Montant Facturé 02/2018]]/Taux_Change_SII,""),"")</f>
        <v/>
      </c>
      <c r="AO112" s="351"/>
      <c r="AP112" s="83">
        <f>SUMPRODUCT(1*(EXACT(CONCATENATE(Tableau1[[#This Row],[PO Number (Header)]],"-",Tableau1[[#This Row],[Line]]),UO_List[Unique_AIB_ID]))*(UO_List[Qté Réception 00/2020]))</f>
        <v>0</v>
      </c>
      <c r="AQ112" s="84"/>
      <c r="AR112" s="357"/>
      <c r="AS112" s="351" t="str">
        <f>IFERROR(Tableau1[[#This Row],[Qté Facturé 03/2018]]*Tableau1[[#This Row],[Unit Price (calcul)]],"")</f>
        <v/>
      </c>
      <c r="AT112" s="351" t="str">
        <f>IFERROR(IF(Tableau1[[#This Row],[Montant Facturé 03/2018]]&gt;0,Tableau1[[#This Row],[Montant Facturé 03/2018]]/Taux_Change_SII,""),"")</f>
        <v/>
      </c>
      <c r="AU112" s="351"/>
      <c r="AV112" s="83">
        <f>SUMPRODUCT(1*(EXACT(CONCATENATE(Tableau1[[#This Row],[PO Number (Header)]],"-",Tableau1[[#This Row],[Line]]),UO_List[Unique_AIB_ID]))*(UO_List[Qté Réception 04/2020]))</f>
        <v>0</v>
      </c>
      <c r="AW112" s="84"/>
      <c r="AX112" s="351"/>
      <c r="AY112" s="351" t="str">
        <f>IFERROR(Tableau1[[#This Row],[Qté Facturé 04/2018]]*Tableau1[[#This Row],[Unit Price (calcul)]],"")</f>
        <v/>
      </c>
      <c r="AZ112" s="351" t="str">
        <f>IFERROR(IF(Tableau1[[#This Row],[Montant Facturé 04/2018]]&gt;0,Tableau1[[#This Row],[Montant Facturé 04/2018]]/Taux_Change_SII,""),"")</f>
        <v/>
      </c>
      <c r="BA112" s="351"/>
      <c r="BB112" s="83">
        <f>SUMPRODUCT(1*(EXACT(CONCATENATE(Tableau1[[#This Row],[PO Number (Header)]],"-",Tableau1[[#This Row],[Line]]),UO_List[Unique_AIB_ID]))*(UO_List[Qté Réception 05/2020]))</f>
        <v>0</v>
      </c>
      <c r="BC112" s="84"/>
      <c r="BD112" s="351"/>
      <c r="BE112" s="351" t="str">
        <f>IFERROR(Tableau1[[#This Row],[Qté Facturé 05/2018]]*Tableau1[[#This Row],[Unit Price (calcul)]],"")</f>
        <v/>
      </c>
      <c r="BF112" s="351" t="str">
        <f>IFERROR(IF(Tableau1[[#This Row],[Montant Facturé 05/2018]]&gt;0,Tableau1[[#This Row],[Montant Facturé 05/2018]]/Taux_Change_SII,""),"")</f>
        <v/>
      </c>
      <c r="BG112" s="351"/>
      <c r="BH112" s="83">
        <f>SUMPRODUCT(1*(EXACT(CONCATENATE(Tableau1[[#This Row],[PO Number (Header)]],"-",Tableau1[[#This Row],[Line]]),UO_List[Unique_AIB_ID]))*(UO_List[Qté Réception 06/2020]))</f>
        <v>0</v>
      </c>
      <c r="BI112" s="84"/>
      <c r="BJ112" s="351"/>
      <c r="BK112" s="351" t="str">
        <f>IFERROR(Tableau1[[#This Row],[Qté Facturé 06/2018]]*Tableau1[[#This Row],[Unit Price (calcul)]],"")</f>
        <v/>
      </c>
      <c r="BL112" s="351" t="str">
        <f>IFERROR(IF(Tableau1[[#This Row],[Montant Facturé 06/2018]]&gt;0,Tableau1[[#This Row],[Montant Facturé 06/2018]]/Taux_Change_SII,""),"")</f>
        <v/>
      </c>
      <c r="BM112" s="351"/>
      <c r="BN112" s="83">
        <f>SUMPRODUCT(1*(EXACT(CONCATENATE(Tableau1[[#This Row],[PO Number (Header)]],"-",Tableau1[[#This Row],[Line]]),UO_List[Unique_AIB_ID]))*(UO_List[Qté Réception 07/2020]))</f>
        <v>0</v>
      </c>
      <c r="BO112" s="84"/>
      <c r="BP112" s="351"/>
      <c r="BQ112" s="351" t="str">
        <f>IFERROR(Tableau1[[#This Row],[Qté Facturé 07/2018]]*Tableau1[[#This Row],[Unit Price (calcul)]],"")</f>
        <v/>
      </c>
      <c r="BR112" s="351" t="str">
        <f>IFERROR(IF(Tableau1[[#This Row],[Montant Facturé 07/2018]]&gt;0,Tableau1[[#This Row],[Montant Facturé 07/2018]]/Taux_Change_SII,""),"")</f>
        <v/>
      </c>
      <c r="BS112" s="351"/>
      <c r="BT112" s="83">
        <f>SUMPRODUCT(1*(EXACT(CONCATENATE(Tableau1[[#This Row],[PO Number (Header)]],"-",Tableau1[[#This Row],[Line]]),UO_List[Unique_AIB_ID]))*(UO_List[Qté Réception 08/2020]))</f>
        <v>0</v>
      </c>
      <c r="BU112" s="84"/>
      <c r="BV112" s="351"/>
      <c r="BW112" s="351" t="str">
        <f>IFERROR(Tableau1[[#This Row],[Qté Facturé 08/2018]]*Tableau1[[#This Row],[Unit Price (calcul)]],"")</f>
        <v/>
      </c>
      <c r="BX112" s="351" t="str">
        <f>IFERROR(IF(Tableau1[[#This Row],[Montant Facturé 08/2018]]&gt;0,Tableau1[[#This Row],[Montant Facturé 08/2018]]/Taux_Change_SII,""),"")</f>
        <v/>
      </c>
      <c r="BY112" s="351"/>
      <c r="BZ112" s="83">
        <f>SUMPRODUCT(1*(EXACT(CONCATENATE(Tableau1[[#This Row],[PO Number (Header)]],"-",Tableau1[[#This Row],[Line]]),UO_List[Unique_AIB_ID]))*(UO_List[Qté Réception 09/2020]))</f>
        <v>0</v>
      </c>
      <c r="CA112" s="84">
        <v>0</v>
      </c>
      <c r="CB112" s="351"/>
      <c r="CC112" s="351" t="str">
        <f>IFERROR(Tableau1[[#This Row],[Qté Facturé 09/2018]]*Tableau1[[#This Row],[Unit Price (calcul)]],"")</f>
        <v/>
      </c>
      <c r="CD112" s="351" t="str">
        <f>IFERROR(IF(Tableau1[[#This Row],[Montant Facturé 09/2018]]&gt;0,Tableau1[[#This Row],[Montant Facturé 09/2018]]/Taux_Change_SII,""),"")</f>
        <v/>
      </c>
      <c r="CE112" s="351"/>
      <c r="CF112" s="83">
        <f>SUMPRODUCT(1*(EXACT(CONCATENATE(Tableau1[[#This Row],[PO Number (Header)]],"-",Tableau1[[#This Row],[Line]]),UO_List[Unique_AIB_ID]))*(UO_List[Qté Réception 10/2020]))</f>
        <v>0</v>
      </c>
      <c r="CG112" s="84">
        <v>0</v>
      </c>
      <c r="CH112" s="351"/>
      <c r="CI112" s="351" t="str">
        <f>IFERROR(Tableau1[[#This Row],[Qté Facturé 10/2018]]*Tableau1[[#This Row],[Unit Price (calcul)]],"")</f>
        <v/>
      </c>
      <c r="CJ112" s="351" t="str">
        <f>IFERROR(IF(Tableau1[[#This Row],[Montant Facturé 10/2018]]&gt;0,Tableau1[[#This Row],[Montant Facturé 10/2018]]/Taux_Change_SII,""),"")</f>
        <v/>
      </c>
      <c r="CK112" s="351"/>
      <c r="CL112" s="83">
        <f>SUMPRODUCT(1*(EXACT(CONCATENATE(Tableau1[[#This Row],[PO Number (Header)]],"-",Tableau1[[#This Row],[Line]]),UO_List[Unique_AIB_ID]))*(UO_List[Qté Réception 11/2020]))</f>
        <v>0</v>
      </c>
      <c r="CM112" s="84"/>
      <c r="CN112" s="351"/>
      <c r="CO112" s="351" t="str">
        <f>IFERROR(Tableau1[[#This Row],[Qté Facturé 11/2018]]*Tableau1[[#This Row],[Unit Price (calcul)]],"")</f>
        <v/>
      </c>
      <c r="CP112" s="351" t="str">
        <f>IFERROR(IF(Tableau1[[#This Row],[Montant Facturé 11/2018]]&gt;0,Tableau1[[#This Row],[Montant Facturé 11/2018]]/Taux_Change_SII,""),"")</f>
        <v/>
      </c>
      <c r="CQ112" s="351"/>
      <c r="CR112" s="83">
        <f>SUMPRODUCT(1*(EXACT(CONCATENATE(Tableau1[[#This Row],[PO Number (Header)]],"-",Tableau1[[#This Row],[Line]]),UO_List[Unique_AIB_ID]))*(UO_List[Qté Réception 12/2020]))</f>
        <v>0</v>
      </c>
      <c r="CS112" s="84"/>
      <c r="CT112" s="351"/>
      <c r="CU112" s="351" t="str">
        <f>IFERROR(Tableau1[[#This Row],[Qté Facturé 12/2018]]*Tableau1[[#This Row],[Unit Price (calcul)]],"")</f>
        <v/>
      </c>
      <c r="CV112" s="351" t="str">
        <f>IFERROR(IF(Tableau1[[#This Row],[Montant Facturé 12/2018]]&gt;0,Tableau1[[#This Row],[Montant Facturé 12/2018]]/Taux_Change_SII,""),"")</f>
        <v/>
      </c>
      <c r="CW112" s="351"/>
      <c r="CX11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2" s="352" t="str">
        <f>IFERROR(Tableau1[[#This Row],[Total item réceptionné]]*Tableau1[[#This Row],[Unit Price (calcul)]],"")</f>
        <v/>
      </c>
      <c r="DB112" s="352" t="str">
        <f>IFERROR(Tableau1[[#This Row],[Total item à Facturer]]*Tableau1[[#This Row],[Unit Price (calcul)]],"")</f>
        <v/>
      </c>
      <c r="DC11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2" s="352" t="str">
        <f>IFERROR(Tableau1[[#This Row],[Line Total]]-Tableau1[[#This Row],[Total Price Réceptionné]],"")</f>
        <v/>
      </c>
      <c r="DE112" s="352" t="str">
        <f>IFERROR(Tableau1[[#This Row],[Total Price Réceptionné]]-Tableau1[[#This Row],[Total Price A facturer]],"")</f>
        <v/>
      </c>
      <c r="DF112" s="353" t="str">
        <f>IFERROR(Tableau1[[#This Row],[Total Price A facturer]]-Tableau1[[#This Row],[Total Price Facturé]],"")</f>
        <v/>
      </c>
      <c r="DG112" s="76">
        <f>Tableau1[[#This Row],[Total Item Quantity]]-Tableau1[[#This Row],[Total item réceptionné]]</f>
        <v>0</v>
      </c>
      <c r="DH112" s="167"/>
      <c r="DI112" s="167"/>
    </row>
    <row r="113" spans="1:113" s="74" customFormat="1">
      <c r="A113" s="77" t="str">
        <f>CONCATENATE(Tableau1[[#This Row],[PO Number (Header)]],"-",Tableau1[[#This Row],[Line]])</f>
        <v>-</v>
      </c>
      <c r="B113" s="77"/>
      <c r="C113" s="450"/>
      <c r="D113" s="102"/>
      <c r="E113" s="77"/>
      <c r="F113" s="77"/>
      <c r="G113" s="77"/>
      <c r="H113" s="77"/>
      <c r="I113" s="452"/>
      <c r="J113" s="452"/>
      <c r="K113" s="453"/>
      <c r="L113" s="453"/>
      <c r="M113" s="77"/>
      <c r="N113" s="77"/>
      <c r="O113" s="77"/>
      <c r="P113" s="77"/>
      <c r="Q113" s="395"/>
      <c r="R113" s="395"/>
      <c r="S113" s="77"/>
      <c r="T113" s="77"/>
      <c r="U113" s="77"/>
      <c r="V113" s="77"/>
      <c r="W113" s="167"/>
      <c r="X113" s="167"/>
      <c r="Y113" s="167" t="str">
        <f>IF(ISBLANK(Tableau1[[#This Row],[PO Number (Header)]]),"",Tableau1[[#This Row],[Line Total]]/Tableau1[[#This Row],[Total Item Quantity]])</f>
        <v/>
      </c>
      <c r="Z113" s="167" t="str">
        <f>IF(ISNA(VLOOKUP(Tableau1[[#This Row],[Unique_AIB_ID]],UO_List[Unique_AIB_ID],1,FALSE)),IF(ISBLANK(Tableau1[[#This Row],[PO Number (Header)]]),"","FAUX"),"VRAI")</f>
        <v/>
      </c>
      <c r="AA113" s="167"/>
      <c r="AB113" s="162" t="e">
        <f>VLOOKUP(Tableau1[[#This Row],[Unique_AIB_ID]],UO_List[[Unique_AIB_ID]:[OLGA F6]],3,FALSE)</f>
        <v>#N/A</v>
      </c>
      <c r="AC113" s="162" t="s">
        <v>790</v>
      </c>
      <c r="AD113" s="83">
        <f>SUMPRODUCT(1*(EXACT(CONCATENATE(Tableau1[[#This Row],[PO Number (Header)]],"-",Tableau1[[#This Row],[Line]]),UO_List[Unique_AIB_ID]))*(UO_List[Qté Réception 03/2020]))</f>
        <v>0</v>
      </c>
      <c r="AE113" s="84"/>
      <c r="AF113" s="357"/>
      <c r="AG113" s="351" t="str">
        <f>IFERROR(Tableau1[[#This Row],[Qté Facturé 01/2018]]*Tableau1[[#This Row],[Unit Price (calcul)]],"")</f>
        <v/>
      </c>
      <c r="AH113" s="356" t="str">
        <f>IFERROR(IF(Tableau1[[#This Row],[Montant Facturé 01/2018]]&gt;0,Tableau1[[#This Row],[Montant Facturé 01/2018]]/Taux_Change_SII,""),"")</f>
        <v/>
      </c>
      <c r="AI113" s="351"/>
      <c r="AJ113" s="83">
        <f>SUMPRODUCT(1*(EXACT(CONCATENATE(Tableau1[[#This Row],[PO Number (Header)]],"-",Tableau1[[#This Row],[Line]]),UO_List[Unique_AIB_ID]))*(UO_List[Qté Réception 02/2020]))</f>
        <v>0</v>
      </c>
      <c r="AK113" s="83">
        <f>SUMPRODUCT(1*(EXACT(CONCATENATE(Tableau1[[#This Row],[PO Number (Header)]],"-",Tableau1[[#This Row],[Line]]),UO_List[Unique_AIB_ID]))*(UO_List[Qté Réception 02/2020]))</f>
        <v>0</v>
      </c>
      <c r="AL113" s="357"/>
      <c r="AM113" s="351" t="str">
        <f>IFERROR(Tableau1[[#This Row],[Qté Facturé 02/2018]]*Tableau1[[#This Row],[Unit Price (calcul)]],"")</f>
        <v/>
      </c>
      <c r="AN113" s="351" t="str">
        <f>IFERROR(IF(Tableau1[[#This Row],[Montant Facturé 02/2018]]&gt;0,Tableau1[[#This Row],[Montant Facturé 02/2018]]/Taux_Change_SII,""),"")</f>
        <v/>
      </c>
      <c r="AO113" s="351"/>
      <c r="AP113" s="83">
        <f>SUMPRODUCT(1*(EXACT(CONCATENATE(Tableau1[[#This Row],[PO Number (Header)]],"-",Tableau1[[#This Row],[Line]]),UO_List[Unique_AIB_ID]))*(UO_List[Qté Réception 00/2020]))</f>
        <v>0</v>
      </c>
      <c r="AQ113" s="84"/>
      <c r="AR113" s="357"/>
      <c r="AS113" s="351" t="str">
        <f>IFERROR(Tableau1[[#This Row],[Qté Facturé 03/2018]]*Tableau1[[#This Row],[Unit Price (calcul)]],"")</f>
        <v/>
      </c>
      <c r="AT113" s="351" t="str">
        <f>IFERROR(IF(Tableau1[[#This Row],[Montant Facturé 03/2018]]&gt;0,Tableau1[[#This Row],[Montant Facturé 03/2018]]/Taux_Change_SII,""),"")</f>
        <v/>
      </c>
      <c r="AU113" s="351"/>
      <c r="AV113" s="83">
        <f>SUMPRODUCT(1*(EXACT(CONCATENATE(Tableau1[[#This Row],[PO Number (Header)]],"-",Tableau1[[#This Row],[Line]]),UO_List[Unique_AIB_ID]))*(UO_List[Qté Réception 04/2020]))</f>
        <v>0</v>
      </c>
      <c r="AW113" s="84"/>
      <c r="AX113" s="351"/>
      <c r="AY113" s="351" t="str">
        <f>IFERROR(Tableau1[[#This Row],[Qté Facturé 04/2018]]*Tableau1[[#This Row],[Unit Price (calcul)]],"")</f>
        <v/>
      </c>
      <c r="AZ113" s="351" t="str">
        <f>IFERROR(IF(Tableau1[[#This Row],[Montant Facturé 04/2018]]&gt;0,Tableau1[[#This Row],[Montant Facturé 04/2018]]/Taux_Change_SII,""),"")</f>
        <v/>
      </c>
      <c r="BA113" s="351"/>
      <c r="BB113" s="83">
        <f>SUMPRODUCT(1*(EXACT(CONCATENATE(Tableau1[[#This Row],[PO Number (Header)]],"-",Tableau1[[#This Row],[Line]]),UO_List[Unique_AIB_ID]))*(UO_List[Qté Réception 05/2020]))</f>
        <v>0</v>
      </c>
      <c r="BC113" s="84"/>
      <c r="BD113" s="351"/>
      <c r="BE113" s="351" t="str">
        <f>IFERROR(Tableau1[[#This Row],[Qté Facturé 05/2018]]*Tableau1[[#This Row],[Unit Price (calcul)]],"")</f>
        <v/>
      </c>
      <c r="BF113" s="351" t="str">
        <f>IFERROR(IF(Tableau1[[#This Row],[Montant Facturé 05/2018]]&gt;0,Tableau1[[#This Row],[Montant Facturé 05/2018]]/Taux_Change_SII,""),"")</f>
        <v/>
      </c>
      <c r="BG113" s="351"/>
      <c r="BH113" s="83">
        <f>SUMPRODUCT(1*(EXACT(CONCATENATE(Tableau1[[#This Row],[PO Number (Header)]],"-",Tableau1[[#This Row],[Line]]),UO_List[Unique_AIB_ID]))*(UO_List[Qté Réception 06/2020]))</f>
        <v>0</v>
      </c>
      <c r="BI113" s="84"/>
      <c r="BJ113" s="351"/>
      <c r="BK113" s="351" t="str">
        <f>IFERROR(Tableau1[[#This Row],[Qté Facturé 06/2018]]*Tableau1[[#This Row],[Unit Price (calcul)]],"")</f>
        <v/>
      </c>
      <c r="BL113" s="351" t="str">
        <f>IFERROR(IF(Tableau1[[#This Row],[Montant Facturé 06/2018]]&gt;0,Tableau1[[#This Row],[Montant Facturé 06/2018]]/Taux_Change_SII,""),"")</f>
        <v/>
      </c>
      <c r="BM113" s="351"/>
      <c r="BN113" s="83">
        <f>SUMPRODUCT(1*(EXACT(CONCATENATE(Tableau1[[#This Row],[PO Number (Header)]],"-",Tableau1[[#This Row],[Line]]),UO_List[Unique_AIB_ID]))*(UO_List[Qté Réception 07/2020]))</f>
        <v>0</v>
      </c>
      <c r="BO113" s="84"/>
      <c r="BP113" s="351"/>
      <c r="BQ113" s="351" t="str">
        <f>IFERROR(Tableau1[[#This Row],[Qté Facturé 07/2018]]*Tableau1[[#This Row],[Unit Price (calcul)]],"")</f>
        <v/>
      </c>
      <c r="BR113" s="351" t="str">
        <f>IFERROR(IF(Tableau1[[#This Row],[Montant Facturé 07/2018]]&gt;0,Tableau1[[#This Row],[Montant Facturé 07/2018]]/Taux_Change_SII,""),"")</f>
        <v/>
      </c>
      <c r="BS113" s="351"/>
      <c r="BT113" s="83">
        <f>SUMPRODUCT(1*(EXACT(CONCATENATE(Tableau1[[#This Row],[PO Number (Header)]],"-",Tableau1[[#This Row],[Line]]),UO_List[Unique_AIB_ID]))*(UO_List[Qté Réception 08/2020]))</f>
        <v>0</v>
      </c>
      <c r="BU113" s="84"/>
      <c r="BV113" s="351"/>
      <c r="BW113" s="351" t="str">
        <f>IFERROR(Tableau1[[#This Row],[Qté Facturé 08/2018]]*Tableau1[[#This Row],[Unit Price (calcul)]],"")</f>
        <v/>
      </c>
      <c r="BX113" s="351" t="str">
        <f>IFERROR(IF(Tableau1[[#This Row],[Montant Facturé 08/2018]]&gt;0,Tableau1[[#This Row],[Montant Facturé 08/2018]]/Taux_Change_SII,""),"")</f>
        <v/>
      </c>
      <c r="BY113" s="351"/>
      <c r="BZ113" s="83">
        <f>SUMPRODUCT(1*(EXACT(CONCATENATE(Tableau1[[#This Row],[PO Number (Header)]],"-",Tableau1[[#This Row],[Line]]),UO_List[Unique_AIB_ID]))*(UO_List[Qté Réception 09/2020]))</f>
        <v>0</v>
      </c>
      <c r="CA113" s="83"/>
      <c r="CB113" s="351"/>
      <c r="CC113" s="351" t="str">
        <f>IFERROR(Tableau1[[#This Row],[Qté Facturé 09/2018]]*Tableau1[[#This Row],[Unit Price (calcul)]],"")</f>
        <v/>
      </c>
      <c r="CD113" s="351" t="str">
        <f>IFERROR(IF(Tableau1[[#This Row],[Montant Facturé 09/2018]]&gt;0,Tableau1[[#This Row],[Montant Facturé 09/2018]]/Taux_Change_SII,""),"")</f>
        <v/>
      </c>
      <c r="CE113" s="351"/>
      <c r="CF113" s="83">
        <f>SUMPRODUCT(1*(EXACT(CONCATENATE(Tableau1[[#This Row],[PO Number (Header)]],"-",Tableau1[[#This Row],[Line]]),UO_List[Unique_AIB_ID]))*(UO_List[Qté Réception 10/2020]))</f>
        <v>0</v>
      </c>
      <c r="CG113" s="84"/>
      <c r="CH113" s="84"/>
      <c r="CI113" s="488" t="str">
        <f>IFERROR(Tableau1[[#This Row],[Qté Facturé 10/2018]]*Tableau1[[#This Row],[Unit Price (calcul)]],"")</f>
        <v/>
      </c>
      <c r="CJ113" s="351" t="str">
        <f>IFERROR(IF(Tableau1[[#This Row],[Montant Facturé 10/2018]]&gt;0,Tableau1[[#This Row],[Montant Facturé 10/2018]]/Taux_Change_SII,""),"")</f>
        <v/>
      </c>
      <c r="CK113" s="351"/>
      <c r="CL113" s="83">
        <f>SUMPRODUCT(1*(EXACT(CONCATENATE(Tableau1[[#This Row],[PO Number (Header)]],"-",Tableau1[[#This Row],[Line]]),UO_List[Unique_AIB_ID]))*(UO_List[Qté Réception 11/2020]))</f>
        <v>0</v>
      </c>
      <c r="CM113" s="84"/>
      <c r="CN113" s="351"/>
      <c r="CO113" s="351" t="str">
        <f>IFERROR(Tableau1[[#This Row],[Qté Facturé 11/2018]]*Tableau1[[#This Row],[Unit Price (calcul)]],"")</f>
        <v/>
      </c>
      <c r="CP113" s="351" t="str">
        <f>IFERROR(IF(Tableau1[[#This Row],[Montant Facturé 11/2018]]&gt;0,Tableau1[[#This Row],[Montant Facturé 11/2018]]/Taux_Change_SII,""),"")</f>
        <v/>
      </c>
      <c r="CQ113" s="351"/>
      <c r="CR113" s="83">
        <f>SUMPRODUCT(1*(EXACT(CONCATENATE(Tableau1[[#This Row],[PO Number (Header)]],"-",Tableau1[[#This Row],[Line]]),UO_List[Unique_AIB_ID]))*(UO_List[Qté Réception 12/2020]))</f>
        <v>0</v>
      </c>
      <c r="CS113" s="84"/>
      <c r="CT113" s="351"/>
      <c r="CU113" s="351" t="str">
        <f>IFERROR(Tableau1[[#This Row],[Qté Facturé 12/2018]]*Tableau1[[#This Row],[Unit Price (calcul)]],"")</f>
        <v/>
      </c>
      <c r="CV113" s="351" t="str">
        <f>IFERROR(IF(Tableau1[[#This Row],[Montant Facturé 12/2018]]&gt;0,Tableau1[[#This Row],[Montant Facturé 12/2018]]/Taux_Change_SII,""),"")</f>
        <v/>
      </c>
      <c r="CW113" s="351"/>
      <c r="CX11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3" s="352" t="str">
        <f>IFERROR(Tableau1[[#This Row],[Total item réceptionné]]*Tableau1[[#This Row],[Unit Price (calcul)]],"")</f>
        <v/>
      </c>
      <c r="DB113" s="352" t="str">
        <f>IFERROR(Tableau1[[#This Row],[Total item à Facturer]]*Tableau1[[#This Row],[Unit Price (calcul)]],"")</f>
        <v/>
      </c>
      <c r="DC11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3" s="352" t="str">
        <f>IFERROR(Tableau1[[#This Row],[Line Total]]-Tableau1[[#This Row],[Total Price Réceptionné]],"")</f>
        <v/>
      </c>
      <c r="DE113" s="352" t="str">
        <f>IFERROR(Tableau1[[#This Row],[Total Price Réceptionné]]-Tableau1[[#This Row],[Total Price A facturer]],"")</f>
        <v/>
      </c>
      <c r="DF113" s="353" t="str">
        <f>IFERROR(Tableau1[[#This Row],[Total Price A facturer]]-Tableau1[[#This Row],[Total Price Facturé]],"")</f>
        <v/>
      </c>
      <c r="DG113" s="76">
        <f>Tableau1[[#This Row],[Total Item Quantity]]-Tableau1[[#This Row],[Total item réceptionné]]</f>
        <v>0</v>
      </c>
      <c r="DH113" s="167"/>
      <c r="DI113" s="167"/>
    </row>
    <row r="114" spans="1:113" s="74" customFormat="1">
      <c r="A114" s="77" t="str">
        <f>CONCATENATE(Tableau1[[#This Row],[PO Number (Header)]],"-",Tableau1[[#This Row],[Line]])</f>
        <v>-</v>
      </c>
      <c r="B114" s="77"/>
      <c r="C114" s="450"/>
      <c r="D114" s="102"/>
      <c r="E114" s="77"/>
      <c r="F114" s="77"/>
      <c r="G114" s="77"/>
      <c r="H114" s="77"/>
      <c r="I114" s="452"/>
      <c r="J114" s="452"/>
      <c r="K114" s="453"/>
      <c r="L114" s="453"/>
      <c r="M114" s="77"/>
      <c r="N114" s="77"/>
      <c r="O114" s="77"/>
      <c r="P114" s="77"/>
      <c r="Q114" s="395"/>
      <c r="R114" s="395"/>
      <c r="S114" s="77"/>
      <c r="T114" s="77"/>
      <c r="U114" s="77"/>
      <c r="V114" s="77"/>
      <c r="W114" s="167"/>
      <c r="X114" s="167"/>
      <c r="Y114" s="167" t="str">
        <f>IF(ISBLANK(Tableau1[[#This Row],[PO Number (Header)]]),"",Tableau1[[#This Row],[Line Total]]/Tableau1[[#This Row],[Total Item Quantity]])</f>
        <v/>
      </c>
      <c r="Z114" s="167" t="str">
        <f>IF(ISNA(VLOOKUP(Tableau1[[#This Row],[Unique_AIB_ID]],UO_List[Unique_AIB_ID],1,FALSE)),IF(ISBLANK(Tableau1[[#This Row],[PO Number (Header)]]),"","FAUX"),"VRAI")</f>
        <v/>
      </c>
      <c r="AA114" s="167"/>
      <c r="AB114" s="162" t="e">
        <f>VLOOKUP(Tableau1[[#This Row],[Unique_AIB_ID]],UO_List[[Unique_AIB_ID]:[OLGA F6]],3,FALSE)</f>
        <v>#N/A</v>
      </c>
      <c r="AC114" s="162" t="s">
        <v>790</v>
      </c>
      <c r="AD114" s="83">
        <f>SUMPRODUCT(1*(EXACT(CONCATENATE(Tableau1[[#This Row],[PO Number (Header)]],"-",Tableau1[[#This Row],[Line]]),UO_List[Unique_AIB_ID]))*(UO_List[Qté Réception 03/2020]))</f>
        <v>0</v>
      </c>
      <c r="AE114" s="84"/>
      <c r="AF114" s="357"/>
      <c r="AG114" s="351" t="str">
        <f>IFERROR(Tableau1[[#This Row],[Qté Facturé 01/2018]]*Tableau1[[#This Row],[Unit Price (calcul)]],"")</f>
        <v/>
      </c>
      <c r="AH114" s="356" t="str">
        <f>IFERROR(IF(Tableau1[[#This Row],[Montant Facturé 01/2018]]&gt;0,Tableau1[[#This Row],[Montant Facturé 01/2018]]/Taux_Change_SII,""),"")</f>
        <v/>
      </c>
      <c r="AI114" s="351"/>
      <c r="AJ114" s="83">
        <f>SUMPRODUCT(1*(EXACT(CONCATENATE(Tableau1[[#This Row],[PO Number (Header)]],"-",Tableau1[[#This Row],[Line]]),UO_List[Unique_AIB_ID]))*(UO_List[Qté Réception 02/2020]))</f>
        <v>0</v>
      </c>
      <c r="AK114" s="83">
        <f>SUMPRODUCT(1*(EXACT(CONCATENATE(Tableau1[[#This Row],[PO Number (Header)]],"-",Tableau1[[#This Row],[Line]]),UO_List[Unique_AIB_ID]))*(UO_List[Qté Réception 02/2020]))</f>
        <v>0</v>
      </c>
      <c r="AL114" s="357"/>
      <c r="AM114" s="351" t="str">
        <f>IFERROR(Tableau1[[#This Row],[Qté Facturé 02/2018]]*Tableau1[[#This Row],[Unit Price (calcul)]],"")</f>
        <v/>
      </c>
      <c r="AN114" s="351" t="str">
        <f>IFERROR(IF(Tableau1[[#This Row],[Montant Facturé 02/2018]]&gt;0,Tableau1[[#This Row],[Montant Facturé 02/2018]]/Taux_Change_SII,""),"")</f>
        <v/>
      </c>
      <c r="AO114" s="351"/>
      <c r="AP114" s="83">
        <f>SUMPRODUCT(1*(EXACT(CONCATENATE(Tableau1[[#This Row],[PO Number (Header)]],"-",Tableau1[[#This Row],[Line]]),UO_List[Unique_AIB_ID]))*(UO_List[Qté Réception 00/2020]))</f>
        <v>0</v>
      </c>
      <c r="AQ114" s="84"/>
      <c r="AR114" s="357"/>
      <c r="AS114" s="351" t="str">
        <f>IFERROR(Tableau1[[#This Row],[Qté Facturé 03/2018]]*Tableau1[[#This Row],[Unit Price (calcul)]],"")</f>
        <v/>
      </c>
      <c r="AT114" s="351" t="str">
        <f>IFERROR(IF(Tableau1[[#This Row],[Montant Facturé 03/2018]]&gt;0,Tableau1[[#This Row],[Montant Facturé 03/2018]]/Taux_Change_SII,""),"")</f>
        <v/>
      </c>
      <c r="AU114" s="351"/>
      <c r="AV114" s="83">
        <f>SUMPRODUCT(1*(EXACT(CONCATENATE(Tableau1[[#This Row],[PO Number (Header)]],"-",Tableau1[[#This Row],[Line]]),UO_List[Unique_AIB_ID]))*(UO_List[Qté Réception 04/2020]))</f>
        <v>0</v>
      </c>
      <c r="AW114" s="84"/>
      <c r="AX114" s="351"/>
      <c r="AY114" s="351" t="str">
        <f>IFERROR(Tableau1[[#This Row],[Qté Facturé 04/2018]]*Tableau1[[#This Row],[Unit Price (calcul)]],"")</f>
        <v/>
      </c>
      <c r="AZ114" s="351" t="str">
        <f>IFERROR(IF(Tableau1[[#This Row],[Montant Facturé 04/2018]]&gt;0,Tableau1[[#This Row],[Montant Facturé 04/2018]]/Taux_Change_SII,""),"")</f>
        <v/>
      </c>
      <c r="BA114" s="351"/>
      <c r="BB114" s="83">
        <f>SUMPRODUCT(1*(EXACT(CONCATENATE(Tableau1[[#This Row],[PO Number (Header)]],"-",Tableau1[[#This Row],[Line]]),UO_List[Unique_AIB_ID]))*(UO_List[Qté Réception 05/2020]))</f>
        <v>0</v>
      </c>
      <c r="BC114" s="84"/>
      <c r="BD114" s="351"/>
      <c r="BE114" s="351" t="str">
        <f>IFERROR(Tableau1[[#This Row],[Qté Facturé 05/2018]]*Tableau1[[#This Row],[Unit Price (calcul)]],"")</f>
        <v/>
      </c>
      <c r="BF114" s="351" t="str">
        <f>IFERROR(IF(Tableau1[[#This Row],[Montant Facturé 05/2018]]&gt;0,Tableau1[[#This Row],[Montant Facturé 05/2018]]/Taux_Change_SII,""),"")</f>
        <v/>
      </c>
      <c r="BG114" s="351"/>
      <c r="BH114" s="83">
        <f>SUMPRODUCT(1*(EXACT(CONCATENATE(Tableau1[[#This Row],[PO Number (Header)]],"-",Tableau1[[#This Row],[Line]]),UO_List[Unique_AIB_ID]))*(UO_List[Qté Réception 06/2020]))</f>
        <v>0</v>
      </c>
      <c r="BI114" s="84"/>
      <c r="BJ114" s="351"/>
      <c r="BK114" s="351" t="str">
        <f>IFERROR(Tableau1[[#This Row],[Qté Facturé 06/2018]]*Tableau1[[#This Row],[Unit Price (calcul)]],"")</f>
        <v/>
      </c>
      <c r="BL114" s="351" t="str">
        <f>IFERROR(IF(Tableau1[[#This Row],[Montant Facturé 06/2018]]&gt;0,Tableau1[[#This Row],[Montant Facturé 06/2018]]/Taux_Change_SII,""),"")</f>
        <v/>
      </c>
      <c r="BM114" s="351"/>
      <c r="BN114" s="83">
        <f>SUMPRODUCT(1*(EXACT(CONCATENATE(Tableau1[[#This Row],[PO Number (Header)]],"-",Tableau1[[#This Row],[Line]]),UO_List[Unique_AIB_ID]))*(UO_List[Qté Réception 07/2020]))</f>
        <v>0</v>
      </c>
      <c r="BO114" s="84"/>
      <c r="BP114" s="351"/>
      <c r="BQ114" s="351" t="str">
        <f>IFERROR(Tableau1[[#This Row],[Qté Facturé 07/2018]]*Tableau1[[#This Row],[Unit Price (calcul)]],"")</f>
        <v/>
      </c>
      <c r="BR114" s="351" t="str">
        <f>IFERROR(IF(Tableau1[[#This Row],[Montant Facturé 07/2018]]&gt;0,Tableau1[[#This Row],[Montant Facturé 07/2018]]/Taux_Change_SII,""),"")</f>
        <v/>
      </c>
      <c r="BS114" s="351"/>
      <c r="BT114" s="83">
        <f>SUMPRODUCT(1*(EXACT(CONCATENATE(Tableau1[[#This Row],[PO Number (Header)]],"-",Tableau1[[#This Row],[Line]]),UO_List[Unique_AIB_ID]))*(UO_List[Qté Réception 08/2020]))</f>
        <v>0</v>
      </c>
      <c r="BU114" s="84"/>
      <c r="BV114" s="351"/>
      <c r="BW114" s="351" t="str">
        <f>IFERROR(Tableau1[[#This Row],[Qté Facturé 08/2018]]*Tableau1[[#This Row],[Unit Price (calcul)]],"")</f>
        <v/>
      </c>
      <c r="BX114" s="351" t="str">
        <f>IFERROR(IF(Tableau1[[#This Row],[Montant Facturé 08/2018]]&gt;0,Tableau1[[#This Row],[Montant Facturé 08/2018]]/Taux_Change_SII,""),"")</f>
        <v/>
      </c>
      <c r="BY114" s="351"/>
      <c r="BZ114" s="83">
        <f>SUMPRODUCT(1*(EXACT(CONCATENATE(Tableau1[[#This Row],[PO Number (Header)]],"-",Tableau1[[#This Row],[Line]]),UO_List[Unique_AIB_ID]))*(UO_List[Qté Réception 09/2020]))</f>
        <v>0</v>
      </c>
      <c r="CA114" s="83"/>
      <c r="CB114" s="351"/>
      <c r="CC114" s="351" t="str">
        <f>IFERROR(Tableau1[[#This Row],[Qté Facturé 09/2018]]*Tableau1[[#This Row],[Unit Price (calcul)]],"")</f>
        <v/>
      </c>
      <c r="CD114" s="351" t="str">
        <f>IFERROR(IF(Tableau1[[#This Row],[Montant Facturé 09/2018]]&gt;0,Tableau1[[#This Row],[Montant Facturé 09/2018]]/Taux_Change_SII,""),"")</f>
        <v/>
      </c>
      <c r="CE114" s="351"/>
      <c r="CF114" s="83">
        <f>SUMPRODUCT(1*(EXACT(CONCATENATE(Tableau1[[#This Row],[PO Number (Header)]],"-",Tableau1[[#This Row],[Line]]),UO_List[Unique_AIB_ID]))*(UO_List[Qté Réception 10/2020]))</f>
        <v>0</v>
      </c>
      <c r="CG114" s="84"/>
      <c r="CH114" s="84"/>
      <c r="CI114" s="488" t="str">
        <f>IFERROR(Tableau1[[#This Row],[Qté Facturé 10/2018]]*Tableau1[[#This Row],[Unit Price (calcul)]],"")</f>
        <v/>
      </c>
      <c r="CJ114" s="351" t="str">
        <f>IFERROR(IF(Tableau1[[#This Row],[Montant Facturé 10/2018]]&gt;0,Tableau1[[#This Row],[Montant Facturé 10/2018]]/Taux_Change_SII,""),"")</f>
        <v/>
      </c>
      <c r="CK114" s="351"/>
      <c r="CL114" s="83">
        <f>SUMPRODUCT(1*(EXACT(CONCATENATE(Tableau1[[#This Row],[PO Number (Header)]],"-",Tableau1[[#This Row],[Line]]),UO_List[Unique_AIB_ID]))*(UO_List[Qté Réception 11/2020]))</f>
        <v>0</v>
      </c>
      <c r="CM114" s="84"/>
      <c r="CN114" s="351"/>
      <c r="CO114" s="351" t="str">
        <f>IFERROR(Tableau1[[#This Row],[Qté Facturé 11/2018]]*Tableau1[[#This Row],[Unit Price (calcul)]],"")</f>
        <v/>
      </c>
      <c r="CP114" s="351" t="str">
        <f>IFERROR(IF(Tableau1[[#This Row],[Montant Facturé 11/2018]]&gt;0,Tableau1[[#This Row],[Montant Facturé 11/2018]]/Taux_Change_SII,""),"")</f>
        <v/>
      </c>
      <c r="CQ114" s="351"/>
      <c r="CR114" s="83">
        <f>SUMPRODUCT(1*(EXACT(CONCATENATE(Tableau1[[#This Row],[PO Number (Header)]],"-",Tableau1[[#This Row],[Line]]),UO_List[Unique_AIB_ID]))*(UO_List[Qté Réception 12/2020]))</f>
        <v>0</v>
      </c>
      <c r="CS114" s="84"/>
      <c r="CT114" s="351"/>
      <c r="CU114" s="351" t="str">
        <f>IFERROR(Tableau1[[#This Row],[Qté Facturé 12/2018]]*Tableau1[[#This Row],[Unit Price (calcul)]],"")</f>
        <v/>
      </c>
      <c r="CV114" s="351" t="str">
        <f>IFERROR(IF(Tableau1[[#This Row],[Montant Facturé 12/2018]]&gt;0,Tableau1[[#This Row],[Montant Facturé 12/2018]]/Taux_Change_SII,""),"")</f>
        <v/>
      </c>
      <c r="CW114" s="351"/>
      <c r="CX11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4" s="352" t="str">
        <f>IFERROR(Tableau1[[#This Row],[Total item réceptionné]]*Tableau1[[#This Row],[Unit Price (calcul)]],"")</f>
        <v/>
      </c>
      <c r="DB114" s="352" t="str">
        <f>IFERROR(Tableau1[[#This Row],[Total item à Facturer]]*Tableau1[[#This Row],[Unit Price (calcul)]],"")</f>
        <v/>
      </c>
      <c r="DC11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4" s="352" t="str">
        <f>IFERROR(Tableau1[[#This Row],[Line Total]]-Tableau1[[#This Row],[Total Price Réceptionné]],"")</f>
        <v/>
      </c>
      <c r="DE114" s="352" t="str">
        <f>IFERROR(Tableau1[[#This Row],[Total Price Réceptionné]]-Tableau1[[#This Row],[Total Price A facturer]],"")</f>
        <v/>
      </c>
      <c r="DF114" s="353" t="str">
        <f>IFERROR(Tableau1[[#This Row],[Total Price A facturer]]-Tableau1[[#This Row],[Total Price Facturé]],"")</f>
        <v/>
      </c>
      <c r="DG114" s="76">
        <f>Tableau1[[#This Row],[Total Item Quantity]]-Tableau1[[#This Row],[Total item réceptionné]]</f>
        <v>0</v>
      </c>
      <c r="DH114" s="167"/>
      <c r="DI114" s="167"/>
    </row>
    <row r="115" spans="1:113" s="74" customFormat="1">
      <c r="A115" s="77" t="str">
        <f>CONCATENATE(Tableau1[[#This Row],[PO Number (Header)]],"-",Tableau1[[#This Row],[Line]])</f>
        <v>-</v>
      </c>
      <c r="B115" s="77"/>
      <c r="C115" s="450"/>
      <c r="D115" s="102"/>
      <c r="E115" s="77"/>
      <c r="F115" s="77"/>
      <c r="G115" s="77"/>
      <c r="H115" s="77"/>
      <c r="I115" s="452"/>
      <c r="J115" s="452"/>
      <c r="K115" s="453"/>
      <c r="L115" s="453"/>
      <c r="M115" s="77"/>
      <c r="N115" s="77"/>
      <c r="O115" s="77"/>
      <c r="P115" s="77"/>
      <c r="Q115" s="395"/>
      <c r="R115" s="395"/>
      <c r="S115" s="77"/>
      <c r="T115" s="77"/>
      <c r="U115" s="77"/>
      <c r="V115" s="77"/>
      <c r="W115" s="167"/>
      <c r="X115" s="167"/>
      <c r="Y115" s="167" t="str">
        <f>IF(ISBLANK(Tableau1[[#This Row],[PO Number (Header)]]),"",Tableau1[[#This Row],[Line Total]]/Tableau1[[#This Row],[Total Item Quantity]])</f>
        <v/>
      </c>
      <c r="Z115" s="167" t="str">
        <f>IF(ISNA(VLOOKUP(Tableau1[[#This Row],[Unique_AIB_ID]],UO_List[Unique_AIB_ID],1,FALSE)),IF(ISBLANK(Tableau1[[#This Row],[PO Number (Header)]]),"","FAUX"),"VRAI")</f>
        <v/>
      </c>
      <c r="AA115" s="167"/>
      <c r="AB115" s="162" t="e">
        <f>VLOOKUP(Tableau1[[#This Row],[Unique_AIB_ID]],UO_List[[Unique_AIB_ID]:[OLGA F6]],3,FALSE)</f>
        <v>#N/A</v>
      </c>
      <c r="AC115" s="162" t="s">
        <v>790</v>
      </c>
      <c r="AD115" s="83">
        <f>SUMPRODUCT(1*(EXACT(CONCATENATE(Tableau1[[#This Row],[PO Number (Header)]],"-",Tableau1[[#This Row],[Line]]),UO_List[Unique_AIB_ID]))*(UO_List[Qté Réception 03/2020]))</f>
        <v>0</v>
      </c>
      <c r="AE115" s="84"/>
      <c r="AF115" s="357"/>
      <c r="AG115" s="351" t="str">
        <f>IFERROR(Tableau1[[#This Row],[Qté Facturé 01/2018]]*Tableau1[[#This Row],[Unit Price (calcul)]],"")</f>
        <v/>
      </c>
      <c r="AH115" s="356" t="str">
        <f>IFERROR(IF(Tableau1[[#This Row],[Montant Facturé 01/2018]]&gt;0,Tableau1[[#This Row],[Montant Facturé 01/2018]]/Taux_Change_SII,""),"")</f>
        <v/>
      </c>
      <c r="AI115" s="351"/>
      <c r="AJ115" s="83">
        <f>SUMPRODUCT(1*(EXACT(CONCATENATE(Tableau1[[#This Row],[PO Number (Header)]],"-",Tableau1[[#This Row],[Line]]),UO_List[Unique_AIB_ID]))*(UO_List[Qté Réception 02/2020]))</f>
        <v>0</v>
      </c>
      <c r="AK115" s="83">
        <f>SUMPRODUCT(1*(EXACT(CONCATENATE(Tableau1[[#This Row],[PO Number (Header)]],"-",Tableau1[[#This Row],[Line]]),UO_List[Unique_AIB_ID]))*(UO_List[Qté Réception 02/2020]))</f>
        <v>0</v>
      </c>
      <c r="AL115" s="357"/>
      <c r="AM115" s="351" t="str">
        <f>IFERROR(Tableau1[[#This Row],[Qté Facturé 02/2018]]*Tableau1[[#This Row],[Unit Price (calcul)]],"")</f>
        <v/>
      </c>
      <c r="AN115" s="351" t="str">
        <f>IFERROR(IF(Tableau1[[#This Row],[Montant Facturé 02/2018]]&gt;0,Tableau1[[#This Row],[Montant Facturé 02/2018]]/Taux_Change_SII,""),"")</f>
        <v/>
      </c>
      <c r="AO115" s="351"/>
      <c r="AP115" s="83">
        <f>SUMPRODUCT(1*(EXACT(CONCATENATE(Tableau1[[#This Row],[PO Number (Header)]],"-",Tableau1[[#This Row],[Line]]),UO_List[Unique_AIB_ID]))*(UO_List[Qté Réception 00/2020]))</f>
        <v>0</v>
      </c>
      <c r="AQ115" s="84"/>
      <c r="AR115" s="357"/>
      <c r="AS115" s="351" t="str">
        <f>IFERROR(Tableau1[[#This Row],[Qté Facturé 03/2018]]*Tableau1[[#This Row],[Unit Price (calcul)]],"")</f>
        <v/>
      </c>
      <c r="AT115" s="351" t="str">
        <f>IFERROR(IF(Tableau1[[#This Row],[Montant Facturé 03/2018]]&gt;0,Tableau1[[#This Row],[Montant Facturé 03/2018]]/Taux_Change_SII,""),"")</f>
        <v/>
      </c>
      <c r="AU115" s="351"/>
      <c r="AV115" s="83">
        <f>SUMPRODUCT(1*(EXACT(CONCATENATE(Tableau1[[#This Row],[PO Number (Header)]],"-",Tableau1[[#This Row],[Line]]),UO_List[Unique_AIB_ID]))*(UO_List[Qté Réception 04/2020]))</f>
        <v>0</v>
      </c>
      <c r="AW115" s="84"/>
      <c r="AX115" s="351"/>
      <c r="AY115" s="351" t="str">
        <f>IFERROR(Tableau1[[#This Row],[Qté Facturé 04/2018]]*Tableau1[[#This Row],[Unit Price (calcul)]],"")</f>
        <v/>
      </c>
      <c r="AZ115" s="351" t="str">
        <f>IFERROR(IF(Tableau1[[#This Row],[Montant Facturé 04/2018]]&gt;0,Tableau1[[#This Row],[Montant Facturé 04/2018]]/Taux_Change_SII,""),"")</f>
        <v/>
      </c>
      <c r="BA115" s="351"/>
      <c r="BB115" s="83">
        <f>SUMPRODUCT(1*(EXACT(CONCATENATE(Tableau1[[#This Row],[PO Number (Header)]],"-",Tableau1[[#This Row],[Line]]),UO_List[Unique_AIB_ID]))*(UO_List[Qté Réception 05/2020]))</f>
        <v>0</v>
      </c>
      <c r="BC115" s="84"/>
      <c r="BD115" s="351"/>
      <c r="BE115" s="351" t="str">
        <f>IFERROR(Tableau1[[#This Row],[Qté Facturé 05/2018]]*Tableau1[[#This Row],[Unit Price (calcul)]],"")</f>
        <v/>
      </c>
      <c r="BF115" s="351" t="str">
        <f>IFERROR(IF(Tableau1[[#This Row],[Montant Facturé 05/2018]]&gt;0,Tableau1[[#This Row],[Montant Facturé 05/2018]]/Taux_Change_SII,""),"")</f>
        <v/>
      </c>
      <c r="BG115" s="351"/>
      <c r="BH115" s="83">
        <f>SUMPRODUCT(1*(EXACT(CONCATENATE(Tableau1[[#This Row],[PO Number (Header)]],"-",Tableau1[[#This Row],[Line]]),UO_List[Unique_AIB_ID]))*(UO_List[Qté Réception 06/2020]))</f>
        <v>0</v>
      </c>
      <c r="BI115" s="84"/>
      <c r="BJ115" s="351"/>
      <c r="BK115" s="351" t="str">
        <f>IFERROR(Tableau1[[#This Row],[Qté Facturé 06/2018]]*Tableau1[[#This Row],[Unit Price (calcul)]],"")</f>
        <v/>
      </c>
      <c r="BL115" s="351" t="str">
        <f>IFERROR(IF(Tableau1[[#This Row],[Montant Facturé 06/2018]]&gt;0,Tableau1[[#This Row],[Montant Facturé 06/2018]]/Taux_Change_SII,""),"")</f>
        <v/>
      </c>
      <c r="BM115" s="351"/>
      <c r="BN115" s="83">
        <f>SUMPRODUCT(1*(EXACT(CONCATENATE(Tableau1[[#This Row],[PO Number (Header)]],"-",Tableau1[[#This Row],[Line]]),UO_List[Unique_AIB_ID]))*(UO_List[Qté Réception 07/2020]))</f>
        <v>0</v>
      </c>
      <c r="BO115" s="84"/>
      <c r="BP115" s="351"/>
      <c r="BQ115" s="351" t="str">
        <f>IFERROR(Tableau1[[#This Row],[Qté Facturé 07/2018]]*Tableau1[[#This Row],[Unit Price (calcul)]],"")</f>
        <v/>
      </c>
      <c r="BR115" s="351" t="str">
        <f>IFERROR(IF(Tableau1[[#This Row],[Montant Facturé 07/2018]]&gt;0,Tableau1[[#This Row],[Montant Facturé 07/2018]]/Taux_Change_SII,""),"")</f>
        <v/>
      </c>
      <c r="BS115" s="351"/>
      <c r="BT115" s="83">
        <f>SUMPRODUCT(1*(EXACT(CONCATENATE(Tableau1[[#This Row],[PO Number (Header)]],"-",Tableau1[[#This Row],[Line]]),UO_List[Unique_AIB_ID]))*(UO_List[Qté Réception 08/2020]))</f>
        <v>0</v>
      </c>
      <c r="BU115" s="84"/>
      <c r="BV115" s="351"/>
      <c r="BW115" s="351" t="str">
        <f>IFERROR(Tableau1[[#This Row],[Qté Facturé 08/2018]]*Tableau1[[#This Row],[Unit Price (calcul)]],"")</f>
        <v/>
      </c>
      <c r="BX115" s="351" t="str">
        <f>IFERROR(IF(Tableau1[[#This Row],[Montant Facturé 08/2018]]&gt;0,Tableau1[[#This Row],[Montant Facturé 08/2018]]/Taux_Change_SII,""),"")</f>
        <v/>
      </c>
      <c r="BY115" s="351"/>
      <c r="BZ115" s="83">
        <f>SUMPRODUCT(1*(EXACT(CONCATENATE(Tableau1[[#This Row],[PO Number (Header)]],"-",Tableau1[[#This Row],[Line]]),UO_List[Unique_AIB_ID]))*(UO_List[Qté Réception 09/2020]))</f>
        <v>0</v>
      </c>
      <c r="CA115" s="83"/>
      <c r="CB115" s="351"/>
      <c r="CC115" s="351" t="str">
        <f>IFERROR(Tableau1[[#This Row],[Qté Facturé 09/2018]]*Tableau1[[#This Row],[Unit Price (calcul)]],"")</f>
        <v/>
      </c>
      <c r="CD115" s="351" t="str">
        <f>IFERROR(IF(Tableau1[[#This Row],[Montant Facturé 09/2018]]&gt;0,Tableau1[[#This Row],[Montant Facturé 09/2018]]/Taux_Change_SII,""),"")</f>
        <v/>
      </c>
      <c r="CE115" s="351"/>
      <c r="CF115" s="83">
        <f>SUMPRODUCT(1*(EXACT(CONCATENATE(Tableau1[[#This Row],[PO Number (Header)]],"-",Tableau1[[#This Row],[Line]]),UO_List[Unique_AIB_ID]))*(UO_List[Qté Réception 10/2020]))</f>
        <v>0</v>
      </c>
      <c r="CG115" s="84"/>
      <c r="CH115" s="84"/>
      <c r="CI115" s="488" t="str">
        <f>IFERROR(Tableau1[[#This Row],[Qté Facturé 10/2018]]*Tableau1[[#This Row],[Unit Price (calcul)]],"")</f>
        <v/>
      </c>
      <c r="CJ115" s="351" t="str">
        <f>IFERROR(IF(Tableau1[[#This Row],[Montant Facturé 10/2018]]&gt;0,Tableau1[[#This Row],[Montant Facturé 10/2018]]/Taux_Change_SII,""),"")</f>
        <v/>
      </c>
      <c r="CK115" s="351"/>
      <c r="CL115" s="83">
        <f>SUMPRODUCT(1*(EXACT(CONCATENATE(Tableau1[[#This Row],[PO Number (Header)]],"-",Tableau1[[#This Row],[Line]]),UO_List[Unique_AIB_ID]))*(UO_List[Qté Réception 11/2020]))</f>
        <v>0</v>
      </c>
      <c r="CM115" s="84"/>
      <c r="CN115" s="351"/>
      <c r="CO115" s="351" t="str">
        <f>IFERROR(Tableau1[[#This Row],[Qté Facturé 11/2018]]*Tableau1[[#This Row],[Unit Price (calcul)]],"")</f>
        <v/>
      </c>
      <c r="CP115" s="351" t="str">
        <f>IFERROR(IF(Tableau1[[#This Row],[Montant Facturé 11/2018]]&gt;0,Tableau1[[#This Row],[Montant Facturé 11/2018]]/Taux_Change_SII,""),"")</f>
        <v/>
      </c>
      <c r="CQ115" s="351"/>
      <c r="CR115" s="83">
        <f>SUMPRODUCT(1*(EXACT(CONCATENATE(Tableau1[[#This Row],[PO Number (Header)]],"-",Tableau1[[#This Row],[Line]]),UO_List[Unique_AIB_ID]))*(UO_List[Qté Réception 12/2020]))</f>
        <v>0</v>
      </c>
      <c r="CS115" s="84"/>
      <c r="CT115" s="351"/>
      <c r="CU115" s="351" t="str">
        <f>IFERROR(Tableau1[[#This Row],[Qté Facturé 12/2018]]*Tableau1[[#This Row],[Unit Price (calcul)]],"")</f>
        <v/>
      </c>
      <c r="CV115" s="351" t="str">
        <f>IFERROR(IF(Tableau1[[#This Row],[Montant Facturé 12/2018]]&gt;0,Tableau1[[#This Row],[Montant Facturé 12/2018]]/Taux_Change_SII,""),"")</f>
        <v/>
      </c>
      <c r="CW115" s="351"/>
      <c r="CX11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5" s="352" t="str">
        <f>IFERROR(Tableau1[[#This Row],[Total item réceptionné]]*Tableau1[[#This Row],[Unit Price (calcul)]],"")</f>
        <v/>
      </c>
      <c r="DB115" s="352" t="str">
        <f>IFERROR(Tableau1[[#This Row],[Total item à Facturer]]*Tableau1[[#This Row],[Unit Price (calcul)]],"")</f>
        <v/>
      </c>
      <c r="DC11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5" s="352" t="str">
        <f>IFERROR(Tableau1[[#This Row],[Line Total]]-Tableau1[[#This Row],[Total Price Réceptionné]],"")</f>
        <v/>
      </c>
      <c r="DE115" s="352" t="str">
        <f>IFERROR(Tableau1[[#This Row],[Total Price Réceptionné]]-Tableau1[[#This Row],[Total Price A facturer]],"")</f>
        <v/>
      </c>
      <c r="DF115" s="353" t="str">
        <f>IFERROR(Tableau1[[#This Row],[Total Price A facturer]]-Tableau1[[#This Row],[Total Price Facturé]],"")</f>
        <v/>
      </c>
      <c r="DG115" s="76">
        <f>Tableau1[[#This Row],[Total Item Quantity]]-Tableau1[[#This Row],[Total item réceptionné]]</f>
        <v>0</v>
      </c>
      <c r="DH115" s="167"/>
      <c r="DI115" s="167"/>
    </row>
    <row r="116" spans="1:113" s="74" customFormat="1">
      <c r="A116" s="77" t="str">
        <f>CONCATENATE(Tableau1[[#This Row],[PO Number (Header)]],"-",Tableau1[[#This Row],[Line]])</f>
        <v>-</v>
      </c>
      <c r="B116" s="77"/>
      <c r="C116" s="450"/>
      <c r="D116" s="102"/>
      <c r="E116" s="77"/>
      <c r="F116" s="77"/>
      <c r="G116" s="77"/>
      <c r="H116" s="77"/>
      <c r="I116" s="452"/>
      <c r="J116" s="452"/>
      <c r="K116" s="453"/>
      <c r="L116" s="453"/>
      <c r="M116" s="77"/>
      <c r="N116" s="77"/>
      <c r="O116" s="77"/>
      <c r="P116" s="77"/>
      <c r="Q116" s="395"/>
      <c r="R116" s="395"/>
      <c r="S116" s="77"/>
      <c r="T116" s="77"/>
      <c r="U116" s="77"/>
      <c r="V116" s="77"/>
      <c r="W116" s="167"/>
      <c r="X116" s="167"/>
      <c r="Y116" s="167" t="str">
        <f>IF(ISBLANK(Tableau1[[#This Row],[PO Number (Header)]]),"",Tableau1[[#This Row],[Line Total]]/Tableau1[[#This Row],[Total Item Quantity]])</f>
        <v/>
      </c>
      <c r="Z116" s="167" t="str">
        <f>IF(ISNA(VLOOKUP(Tableau1[[#This Row],[Unique_AIB_ID]],UO_List[Unique_AIB_ID],1,FALSE)),IF(ISBLANK(Tableau1[[#This Row],[PO Number (Header)]]),"","FAUX"),"VRAI")</f>
        <v/>
      </c>
      <c r="AA116" s="167"/>
      <c r="AB116" s="162" t="e">
        <f>VLOOKUP(Tableau1[[#This Row],[Unique_AIB_ID]],UO_List[[Unique_AIB_ID]:[OLGA F6]],3,FALSE)</f>
        <v>#N/A</v>
      </c>
      <c r="AC116" s="162" t="s">
        <v>790</v>
      </c>
      <c r="AD116" s="83">
        <f>SUMPRODUCT(1*(EXACT(CONCATENATE(Tableau1[[#This Row],[PO Number (Header)]],"-",Tableau1[[#This Row],[Line]]),UO_List[Unique_AIB_ID]))*(UO_List[Qté Réception 03/2020]))</f>
        <v>0</v>
      </c>
      <c r="AE116" s="84"/>
      <c r="AF116" s="357"/>
      <c r="AG116" s="351" t="str">
        <f>IFERROR(Tableau1[[#This Row],[Qté Facturé 01/2018]]*Tableau1[[#This Row],[Unit Price (calcul)]],"")</f>
        <v/>
      </c>
      <c r="AH116" s="356" t="str">
        <f>IFERROR(IF(Tableau1[[#This Row],[Montant Facturé 01/2018]]&gt;0,Tableau1[[#This Row],[Montant Facturé 01/2018]]/Taux_Change_SII,""),"")</f>
        <v/>
      </c>
      <c r="AI116" s="351"/>
      <c r="AJ116" s="83">
        <f>SUMPRODUCT(1*(EXACT(CONCATENATE(Tableau1[[#This Row],[PO Number (Header)]],"-",Tableau1[[#This Row],[Line]]),UO_List[Unique_AIB_ID]))*(UO_List[Qté Réception 02/2020]))</f>
        <v>0</v>
      </c>
      <c r="AK116" s="83">
        <f>SUMPRODUCT(1*(EXACT(CONCATENATE(Tableau1[[#This Row],[PO Number (Header)]],"-",Tableau1[[#This Row],[Line]]),UO_List[Unique_AIB_ID]))*(UO_List[Qté Réception 02/2020]))</f>
        <v>0</v>
      </c>
      <c r="AL116" s="357"/>
      <c r="AM116" s="351" t="str">
        <f>IFERROR(Tableau1[[#This Row],[Qté Facturé 02/2018]]*Tableau1[[#This Row],[Unit Price (calcul)]],"")</f>
        <v/>
      </c>
      <c r="AN116" s="351" t="str">
        <f>IFERROR(IF(Tableau1[[#This Row],[Montant Facturé 02/2018]]&gt;0,Tableau1[[#This Row],[Montant Facturé 02/2018]]/Taux_Change_SII,""),"")</f>
        <v/>
      </c>
      <c r="AO116" s="351"/>
      <c r="AP116" s="83">
        <f>SUMPRODUCT(1*(EXACT(CONCATENATE(Tableau1[[#This Row],[PO Number (Header)]],"-",Tableau1[[#This Row],[Line]]),UO_List[Unique_AIB_ID]))*(UO_List[Qté Réception 00/2020]))</f>
        <v>0</v>
      </c>
      <c r="AQ116" s="84"/>
      <c r="AR116" s="357"/>
      <c r="AS116" s="351" t="str">
        <f>IFERROR(Tableau1[[#This Row],[Qté Facturé 03/2018]]*Tableau1[[#This Row],[Unit Price (calcul)]],"")</f>
        <v/>
      </c>
      <c r="AT116" s="351" t="str">
        <f>IFERROR(IF(Tableau1[[#This Row],[Montant Facturé 03/2018]]&gt;0,Tableau1[[#This Row],[Montant Facturé 03/2018]]/Taux_Change_SII,""),"")</f>
        <v/>
      </c>
      <c r="AU116" s="351"/>
      <c r="AV116" s="83">
        <f>SUMPRODUCT(1*(EXACT(CONCATENATE(Tableau1[[#This Row],[PO Number (Header)]],"-",Tableau1[[#This Row],[Line]]),UO_List[Unique_AIB_ID]))*(UO_List[Qté Réception 04/2020]))</f>
        <v>0</v>
      </c>
      <c r="AW116" s="84"/>
      <c r="AX116" s="351"/>
      <c r="AY116" s="351" t="str">
        <f>IFERROR(Tableau1[[#This Row],[Qté Facturé 04/2018]]*Tableau1[[#This Row],[Unit Price (calcul)]],"")</f>
        <v/>
      </c>
      <c r="AZ116" s="351" t="str">
        <f>IFERROR(IF(Tableau1[[#This Row],[Montant Facturé 04/2018]]&gt;0,Tableau1[[#This Row],[Montant Facturé 04/2018]]/Taux_Change_SII,""),"")</f>
        <v/>
      </c>
      <c r="BA116" s="351"/>
      <c r="BB116" s="83">
        <f>SUMPRODUCT(1*(EXACT(CONCATENATE(Tableau1[[#This Row],[PO Number (Header)]],"-",Tableau1[[#This Row],[Line]]),UO_List[Unique_AIB_ID]))*(UO_List[Qté Réception 05/2020]))</f>
        <v>0</v>
      </c>
      <c r="BC116" s="84"/>
      <c r="BD116" s="351"/>
      <c r="BE116" s="351" t="str">
        <f>IFERROR(Tableau1[[#This Row],[Qté Facturé 05/2018]]*Tableau1[[#This Row],[Unit Price (calcul)]],"")</f>
        <v/>
      </c>
      <c r="BF116" s="351" t="str">
        <f>IFERROR(IF(Tableau1[[#This Row],[Montant Facturé 05/2018]]&gt;0,Tableau1[[#This Row],[Montant Facturé 05/2018]]/Taux_Change_SII,""),"")</f>
        <v/>
      </c>
      <c r="BG116" s="351"/>
      <c r="BH116" s="83">
        <f>SUMPRODUCT(1*(EXACT(CONCATENATE(Tableau1[[#This Row],[PO Number (Header)]],"-",Tableau1[[#This Row],[Line]]),UO_List[Unique_AIB_ID]))*(UO_List[Qté Réception 06/2020]))</f>
        <v>0</v>
      </c>
      <c r="BI116" s="84"/>
      <c r="BJ116" s="351"/>
      <c r="BK116" s="351" t="str">
        <f>IFERROR(Tableau1[[#This Row],[Qté Facturé 06/2018]]*Tableau1[[#This Row],[Unit Price (calcul)]],"")</f>
        <v/>
      </c>
      <c r="BL116" s="351" t="str">
        <f>IFERROR(IF(Tableau1[[#This Row],[Montant Facturé 06/2018]]&gt;0,Tableau1[[#This Row],[Montant Facturé 06/2018]]/Taux_Change_SII,""),"")</f>
        <v/>
      </c>
      <c r="BM116" s="351"/>
      <c r="BN116" s="83">
        <f>SUMPRODUCT(1*(EXACT(CONCATENATE(Tableau1[[#This Row],[PO Number (Header)]],"-",Tableau1[[#This Row],[Line]]),UO_List[Unique_AIB_ID]))*(UO_List[Qté Réception 07/2020]))</f>
        <v>0</v>
      </c>
      <c r="BO116" s="84"/>
      <c r="BP116" s="351"/>
      <c r="BQ116" s="351" t="str">
        <f>IFERROR(Tableau1[[#This Row],[Qté Facturé 07/2018]]*Tableau1[[#This Row],[Unit Price (calcul)]],"")</f>
        <v/>
      </c>
      <c r="BR116" s="351" t="str">
        <f>IFERROR(IF(Tableau1[[#This Row],[Montant Facturé 07/2018]]&gt;0,Tableau1[[#This Row],[Montant Facturé 07/2018]]/Taux_Change_SII,""),"")</f>
        <v/>
      </c>
      <c r="BS116" s="351"/>
      <c r="BT116" s="83">
        <f>SUMPRODUCT(1*(EXACT(CONCATENATE(Tableau1[[#This Row],[PO Number (Header)]],"-",Tableau1[[#This Row],[Line]]),UO_List[Unique_AIB_ID]))*(UO_List[Qté Réception 08/2020]))</f>
        <v>0</v>
      </c>
      <c r="BU116" s="84"/>
      <c r="BV116" s="351"/>
      <c r="BW116" s="351" t="str">
        <f>IFERROR(Tableau1[[#This Row],[Qté Facturé 08/2018]]*Tableau1[[#This Row],[Unit Price (calcul)]],"")</f>
        <v/>
      </c>
      <c r="BX116" s="351" t="str">
        <f>IFERROR(IF(Tableau1[[#This Row],[Montant Facturé 08/2018]]&gt;0,Tableau1[[#This Row],[Montant Facturé 08/2018]]/Taux_Change_SII,""),"")</f>
        <v/>
      </c>
      <c r="BY116" s="351"/>
      <c r="BZ116" s="83">
        <f>SUMPRODUCT(1*(EXACT(CONCATENATE(Tableau1[[#This Row],[PO Number (Header)]],"-",Tableau1[[#This Row],[Line]]),UO_List[Unique_AIB_ID]))*(UO_List[Qté Réception 09/2020]))</f>
        <v>0</v>
      </c>
      <c r="CA116" s="83"/>
      <c r="CB116" s="351"/>
      <c r="CC116" s="351" t="str">
        <f>IFERROR(Tableau1[[#This Row],[Qté Facturé 09/2018]]*Tableau1[[#This Row],[Unit Price (calcul)]],"")</f>
        <v/>
      </c>
      <c r="CD116" s="351" t="str">
        <f>IFERROR(IF(Tableau1[[#This Row],[Montant Facturé 09/2018]]&gt;0,Tableau1[[#This Row],[Montant Facturé 09/2018]]/Taux_Change_SII,""),"")</f>
        <v/>
      </c>
      <c r="CE116" s="351"/>
      <c r="CF116" s="83">
        <f>SUMPRODUCT(1*(EXACT(CONCATENATE(Tableau1[[#This Row],[PO Number (Header)]],"-",Tableau1[[#This Row],[Line]]),UO_List[Unique_AIB_ID]))*(UO_List[Qté Réception 10/2020]))</f>
        <v>0</v>
      </c>
      <c r="CG116" s="84"/>
      <c r="CH116" s="84"/>
      <c r="CI116" s="488" t="str">
        <f>IFERROR(Tableau1[[#This Row],[Qté Facturé 10/2018]]*Tableau1[[#This Row],[Unit Price (calcul)]],"")</f>
        <v/>
      </c>
      <c r="CJ116" s="351" t="str">
        <f>IFERROR(IF(Tableau1[[#This Row],[Montant Facturé 10/2018]]&gt;0,Tableau1[[#This Row],[Montant Facturé 10/2018]]/Taux_Change_SII,""),"")</f>
        <v/>
      </c>
      <c r="CK116" s="351"/>
      <c r="CL116" s="83">
        <f>SUMPRODUCT(1*(EXACT(CONCATENATE(Tableau1[[#This Row],[PO Number (Header)]],"-",Tableau1[[#This Row],[Line]]),UO_List[Unique_AIB_ID]))*(UO_List[Qté Réception 11/2020]))</f>
        <v>0</v>
      </c>
      <c r="CM116" s="84"/>
      <c r="CN116" s="351"/>
      <c r="CO116" s="351" t="str">
        <f>IFERROR(Tableau1[[#This Row],[Qté Facturé 11/2018]]*Tableau1[[#This Row],[Unit Price (calcul)]],"")</f>
        <v/>
      </c>
      <c r="CP116" s="351" t="str">
        <f>IFERROR(IF(Tableau1[[#This Row],[Montant Facturé 11/2018]]&gt;0,Tableau1[[#This Row],[Montant Facturé 11/2018]]/Taux_Change_SII,""),"")</f>
        <v/>
      </c>
      <c r="CQ116" s="351"/>
      <c r="CR116" s="83">
        <f>SUMPRODUCT(1*(EXACT(CONCATENATE(Tableau1[[#This Row],[PO Number (Header)]],"-",Tableau1[[#This Row],[Line]]),UO_List[Unique_AIB_ID]))*(UO_List[Qté Réception 12/2020]))</f>
        <v>0</v>
      </c>
      <c r="CS116" s="84"/>
      <c r="CT116" s="351"/>
      <c r="CU116" s="351" t="str">
        <f>IFERROR(Tableau1[[#This Row],[Qté Facturé 12/2018]]*Tableau1[[#This Row],[Unit Price (calcul)]],"")</f>
        <v/>
      </c>
      <c r="CV116" s="351" t="str">
        <f>IFERROR(IF(Tableau1[[#This Row],[Montant Facturé 12/2018]]&gt;0,Tableau1[[#This Row],[Montant Facturé 12/2018]]/Taux_Change_SII,""),"")</f>
        <v/>
      </c>
      <c r="CW116" s="351"/>
      <c r="CX11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6" s="352" t="str">
        <f>IFERROR(Tableau1[[#This Row],[Total item réceptionné]]*Tableau1[[#This Row],[Unit Price (calcul)]],"")</f>
        <v/>
      </c>
      <c r="DB116" s="352" t="str">
        <f>IFERROR(Tableau1[[#This Row],[Total item à Facturer]]*Tableau1[[#This Row],[Unit Price (calcul)]],"")</f>
        <v/>
      </c>
      <c r="DC11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6" s="352" t="str">
        <f>IFERROR(Tableau1[[#This Row],[Line Total]]-Tableau1[[#This Row],[Total Price Réceptionné]],"")</f>
        <v/>
      </c>
      <c r="DE116" s="352" t="str">
        <f>IFERROR(Tableau1[[#This Row],[Total Price Réceptionné]]-Tableau1[[#This Row],[Total Price A facturer]],"")</f>
        <v/>
      </c>
      <c r="DF116" s="353" t="str">
        <f>IFERROR(Tableau1[[#This Row],[Total Price A facturer]]-Tableau1[[#This Row],[Total Price Facturé]],"")</f>
        <v/>
      </c>
      <c r="DG116" s="76">
        <f>Tableau1[[#This Row],[Total Item Quantity]]-Tableau1[[#This Row],[Total item réceptionné]]</f>
        <v>0</v>
      </c>
      <c r="DH116" s="167"/>
      <c r="DI116" s="167"/>
    </row>
    <row r="117" spans="1:113" s="74" customFormat="1">
      <c r="A117" s="77" t="str">
        <f>CONCATENATE(Tableau1[[#This Row],[PO Number (Header)]],"-",Tableau1[[#This Row],[Line]])</f>
        <v>-</v>
      </c>
      <c r="B117" s="77"/>
      <c r="C117" s="450"/>
      <c r="D117" s="102"/>
      <c r="E117" s="77"/>
      <c r="F117" s="77"/>
      <c r="G117" s="77"/>
      <c r="H117" s="77"/>
      <c r="I117" s="452"/>
      <c r="J117" s="452"/>
      <c r="K117" s="453"/>
      <c r="L117" s="453"/>
      <c r="M117" s="77"/>
      <c r="N117" s="77"/>
      <c r="O117" s="77"/>
      <c r="P117" s="77"/>
      <c r="Q117" s="395"/>
      <c r="R117" s="395"/>
      <c r="S117" s="77"/>
      <c r="T117" s="77"/>
      <c r="U117" s="77"/>
      <c r="V117" s="77"/>
      <c r="W117" s="167"/>
      <c r="X117" s="167"/>
      <c r="Y117" s="167" t="str">
        <f>IF(ISBLANK(Tableau1[[#This Row],[PO Number (Header)]]),"",Tableau1[[#This Row],[Line Total]]/Tableau1[[#This Row],[Total Item Quantity]])</f>
        <v/>
      </c>
      <c r="Z117" s="167" t="str">
        <f>IF(ISNA(VLOOKUP(Tableau1[[#This Row],[Unique_AIB_ID]],UO_List[Unique_AIB_ID],1,FALSE)),IF(ISBLANK(Tableau1[[#This Row],[PO Number (Header)]]),"","FAUX"),"VRAI")</f>
        <v/>
      </c>
      <c r="AA117" s="167"/>
      <c r="AB117" s="162" t="e">
        <f>VLOOKUP(Tableau1[[#This Row],[Unique_AIB_ID]],UO_List[[Unique_AIB_ID]:[OLGA F6]],3,FALSE)</f>
        <v>#N/A</v>
      </c>
      <c r="AC117" s="162" t="s">
        <v>790</v>
      </c>
      <c r="AD117" s="83">
        <f>SUMPRODUCT(1*(EXACT(CONCATENATE(Tableau1[[#This Row],[PO Number (Header)]],"-",Tableau1[[#This Row],[Line]]),UO_List[Unique_AIB_ID]))*(UO_List[Qté Réception 03/2020]))</f>
        <v>0</v>
      </c>
      <c r="AE117" s="84"/>
      <c r="AF117" s="357"/>
      <c r="AG117" s="351" t="str">
        <f>IFERROR(Tableau1[[#This Row],[Qté Facturé 01/2018]]*Tableau1[[#This Row],[Unit Price (calcul)]],"")</f>
        <v/>
      </c>
      <c r="AH117" s="356" t="str">
        <f>IFERROR(IF(Tableau1[[#This Row],[Montant Facturé 01/2018]]&gt;0,Tableau1[[#This Row],[Montant Facturé 01/2018]]/Taux_Change_SII,""),"")</f>
        <v/>
      </c>
      <c r="AI117" s="351"/>
      <c r="AJ117" s="83">
        <f>SUMPRODUCT(1*(EXACT(CONCATENATE(Tableau1[[#This Row],[PO Number (Header)]],"-",Tableau1[[#This Row],[Line]]),UO_List[Unique_AIB_ID]))*(UO_List[Qté Réception 02/2020]))</f>
        <v>0</v>
      </c>
      <c r="AK117" s="83">
        <f>SUMPRODUCT(1*(EXACT(CONCATENATE(Tableau1[[#This Row],[PO Number (Header)]],"-",Tableau1[[#This Row],[Line]]),UO_List[Unique_AIB_ID]))*(UO_List[Qté Réception 02/2020]))</f>
        <v>0</v>
      </c>
      <c r="AL117" s="357"/>
      <c r="AM117" s="351" t="str">
        <f>IFERROR(Tableau1[[#This Row],[Qté Facturé 02/2018]]*Tableau1[[#This Row],[Unit Price (calcul)]],"")</f>
        <v/>
      </c>
      <c r="AN117" s="351" t="str">
        <f>IFERROR(IF(Tableau1[[#This Row],[Montant Facturé 02/2018]]&gt;0,Tableau1[[#This Row],[Montant Facturé 02/2018]]/Taux_Change_SII,""),"")</f>
        <v/>
      </c>
      <c r="AO117" s="351"/>
      <c r="AP117" s="83">
        <f>SUMPRODUCT(1*(EXACT(CONCATENATE(Tableau1[[#This Row],[PO Number (Header)]],"-",Tableau1[[#This Row],[Line]]),UO_List[Unique_AIB_ID]))*(UO_List[Qté Réception 00/2020]))</f>
        <v>0</v>
      </c>
      <c r="AQ117" s="84"/>
      <c r="AR117" s="357"/>
      <c r="AS117" s="351" t="str">
        <f>IFERROR(Tableau1[[#This Row],[Qté Facturé 03/2018]]*Tableau1[[#This Row],[Unit Price (calcul)]],"")</f>
        <v/>
      </c>
      <c r="AT117" s="351" t="str">
        <f>IFERROR(IF(Tableau1[[#This Row],[Montant Facturé 03/2018]]&gt;0,Tableau1[[#This Row],[Montant Facturé 03/2018]]/Taux_Change_SII,""),"")</f>
        <v/>
      </c>
      <c r="AU117" s="351"/>
      <c r="AV117" s="83">
        <f>SUMPRODUCT(1*(EXACT(CONCATENATE(Tableau1[[#This Row],[PO Number (Header)]],"-",Tableau1[[#This Row],[Line]]),UO_List[Unique_AIB_ID]))*(UO_List[Qté Réception 04/2020]))</f>
        <v>0</v>
      </c>
      <c r="AW117" s="84"/>
      <c r="AX117" s="351"/>
      <c r="AY117" s="351" t="str">
        <f>IFERROR(Tableau1[[#This Row],[Qté Facturé 04/2018]]*Tableau1[[#This Row],[Unit Price (calcul)]],"")</f>
        <v/>
      </c>
      <c r="AZ117" s="351" t="str">
        <f>IFERROR(IF(Tableau1[[#This Row],[Montant Facturé 04/2018]]&gt;0,Tableau1[[#This Row],[Montant Facturé 04/2018]]/Taux_Change_SII,""),"")</f>
        <v/>
      </c>
      <c r="BA117" s="351"/>
      <c r="BB117" s="83">
        <f>SUMPRODUCT(1*(EXACT(CONCATENATE(Tableau1[[#This Row],[PO Number (Header)]],"-",Tableau1[[#This Row],[Line]]),UO_List[Unique_AIB_ID]))*(UO_List[Qté Réception 05/2020]))</f>
        <v>0</v>
      </c>
      <c r="BC117" s="84"/>
      <c r="BD117" s="351"/>
      <c r="BE117" s="351" t="str">
        <f>IFERROR(Tableau1[[#This Row],[Qté Facturé 05/2018]]*Tableau1[[#This Row],[Unit Price (calcul)]],"")</f>
        <v/>
      </c>
      <c r="BF117" s="351" t="str">
        <f>IFERROR(IF(Tableau1[[#This Row],[Montant Facturé 05/2018]]&gt;0,Tableau1[[#This Row],[Montant Facturé 05/2018]]/Taux_Change_SII,""),"")</f>
        <v/>
      </c>
      <c r="BG117" s="351"/>
      <c r="BH117" s="83">
        <f>SUMPRODUCT(1*(EXACT(CONCATENATE(Tableau1[[#This Row],[PO Number (Header)]],"-",Tableau1[[#This Row],[Line]]),UO_List[Unique_AIB_ID]))*(UO_List[Qté Réception 06/2020]))</f>
        <v>0</v>
      </c>
      <c r="BI117" s="84"/>
      <c r="BJ117" s="351"/>
      <c r="BK117" s="351" t="str">
        <f>IFERROR(Tableau1[[#This Row],[Qté Facturé 06/2018]]*Tableau1[[#This Row],[Unit Price (calcul)]],"")</f>
        <v/>
      </c>
      <c r="BL117" s="351" t="str">
        <f>IFERROR(IF(Tableau1[[#This Row],[Montant Facturé 06/2018]]&gt;0,Tableau1[[#This Row],[Montant Facturé 06/2018]]/Taux_Change_SII,""),"")</f>
        <v/>
      </c>
      <c r="BM117" s="351"/>
      <c r="BN117" s="83">
        <f>SUMPRODUCT(1*(EXACT(CONCATENATE(Tableau1[[#This Row],[PO Number (Header)]],"-",Tableau1[[#This Row],[Line]]),UO_List[Unique_AIB_ID]))*(UO_List[Qté Réception 07/2020]))</f>
        <v>0</v>
      </c>
      <c r="BO117" s="84"/>
      <c r="BP117" s="351"/>
      <c r="BQ117" s="351" t="str">
        <f>IFERROR(Tableau1[[#This Row],[Qté Facturé 07/2018]]*Tableau1[[#This Row],[Unit Price (calcul)]],"")</f>
        <v/>
      </c>
      <c r="BR117" s="351" t="str">
        <f>IFERROR(IF(Tableau1[[#This Row],[Montant Facturé 07/2018]]&gt;0,Tableau1[[#This Row],[Montant Facturé 07/2018]]/Taux_Change_SII,""),"")</f>
        <v/>
      </c>
      <c r="BS117" s="351"/>
      <c r="BT117" s="83">
        <f>SUMPRODUCT(1*(EXACT(CONCATENATE(Tableau1[[#This Row],[PO Number (Header)]],"-",Tableau1[[#This Row],[Line]]),UO_List[Unique_AIB_ID]))*(UO_List[Qté Réception 08/2020]))</f>
        <v>0</v>
      </c>
      <c r="BU117" s="84"/>
      <c r="BV117" s="351"/>
      <c r="BW117" s="351" t="str">
        <f>IFERROR(Tableau1[[#This Row],[Qté Facturé 08/2018]]*Tableau1[[#This Row],[Unit Price (calcul)]],"")</f>
        <v/>
      </c>
      <c r="BX117" s="351" t="str">
        <f>IFERROR(IF(Tableau1[[#This Row],[Montant Facturé 08/2018]]&gt;0,Tableau1[[#This Row],[Montant Facturé 08/2018]]/Taux_Change_SII,""),"")</f>
        <v/>
      </c>
      <c r="BY117" s="351"/>
      <c r="BZ117" s="83">
        <f>SUMPRODUCT(1*(EXACT(CONCATENATE(Tableau1[[#This Row],[PO Number (Header)]],"-",Tableau1[[#This Row],[Line]]),UO_List[Unique_AIB_ID]))*(UO_List[Qté Réception 09/2020]))</f>
        <v>0</v>
      </c>
      <c r="CA117" s="83"/>
      <c r="CB117" s="351"/>
      <c r="CC117" s="351" t="str">
        <f>IFERROR(Tableau1[[#This Row],[Qté Facturé 09/2018]]*Tableau1[[#This Row],[Unit Price (calcul)]],"")</f>
        <v/>
      </c>
      <c r="CD117" s="351" t="str">
        <f>IFERROR(IF(Tableau1[[#This Row],[Montant Facturé 09/2018]]&gt;0,Tableau1[[#This Row],[Montant Facturé 09/2018]]/Taux_Change_SII,""),"")</f>
        <v/>
      </c>
      <c r="CE117" s="351"/>
      <c r="CF117" s="83">
        <f>SUMPRODUCT(1*(EXACT(CONCATENATE(Tableau1[[#This Row],[PO Number (Header)]],"-",Tableau1[[#This Row],[Line]]),UO_List[Unique_AIB_ID]))*(UO_List[Qté Réception 10/2020]))</f>
        <v>0</v>
      </c>
      <c r="CG117" s="84"/>
      <c r="CH117" s="84"/>
      <c r="CI117" s="488" t="str">
        <f>IFERROR(Tableau1[[#This Row],[Qté Facturé 10/2018]]*Tableau1[[#This Row],[Unit Price (calcul)]],"")</f>
        <v/>
      </c>
      <c r="CJ117" s="351" t="str">
        <f>IFERROR(IF(Tableau1[[#This Row],[Montant Facturé 10/2018]]&gt;0,Tableau1[[#This Row],[Montant Facturé 10/2018]]/Taux_Change_SII,""),"")</f>
        <v/>
      </c>
      <c r="CK117" s="351"/>
      <c r="CL117" s="83">
        <f>SUMPRODUCT(1*(EXACT(CONCATENATE(Tableau1[[#This Row],[PO Number (Header)]],"-",Tableau1[[#This Row],[Line]]),UO_List[Unique_AIB_ID]))*(UO_List[Qté Réception 11/2020]))</f>
        <v>0</v>
      </c>
      <c r="CM117" s="84"/>
      <c r="CN117" s="351"/>
      <c r="CO117" s="351" t="str">
        <f>IFERROR(Tableau1[[#This Row],[Qté Facturé 11/2018]]*Tableau1[[#This Row],[Unit Price (calcul)]],"")</f>
        <v/>
      </c>
      <c r="CP117" s="351" t="str">
        <f>IFERROR(IF(Tableau1[[#This Row],[Montant Facturé 11/2018]]&gt;0,Tableau1[[#This Row],[Montant Facturé 11/2018]]/Taux_Change_SII,""),"")</f>
        <v/>
      </c>
      <c r="CQ117" s="351"/>
      <c r="CR117" s="83">
        <f>SUMPRODUCT(1*(EXACT(CONCATENATE(Tableau1[[#This Row],[PO Number (Header)]],"-",Tableau1[[#This Row],[Line]]),UO_List[Unique_AIB_ID]))*(UO_List[Qté Réception 12/2020]))</f>
        <v>0</v>
      </c>
      <c r="CS117" s="84"/>
      <c r="CT117" s="351"/>
      <c r="CU117" s="351" t="str">
        <f>IFERROR(Tableau1[[#This Row],[Qté Facturé 12/2018]]*Tableau1[[#This Row],[Unit Price (calcul)]],"")</f>
        <v/>
      </c>
      <c r="CV117" s="351" t="str">
        <f>IFERROR(IF(Tableau1[[#This Row],[Montant Facturé 12/2018]]&gt;0,Tableau1[[#This Row],[Montant Facturé 12/2018]]/Taux_Change_SII,""),"")</f>
        <v/>
      </c>
      <c r="CW117" s="351"/>
      <c r="CX11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7" s="352" t="str">
        <f>IFERROR(Tableau1[[#This Row],[Total item réceptionné]]*Tableau1[[#This Row],[Unit Price (calcul)]],"")</f>
        <v/>
      </c>
      <c r="DB117" s="352" t="str">
        <f>IFERROR(Tableau1[[#This Row],[Total item à Facturer]]*Tableau1[[#This Row],[Unit Price (calcul)]],"")</f>
        <v/>
      </c>
      <c r="DC11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7" s="352" t="str">
        <f>IFERROR(Tableau1[[#This Row],[Line Total]]-Tableau1[[#This Row],[Total Price Réceptionné]],"")</f>
        <v/>
      </c>
      <c r="DE117" s="352" t="str">
        <f>IFERROR(Tableau1[[#This Row],[Total Price Réceptionné]]-Tableau1[[#This Row],[Total Price A facturer]],"")</f>
        <v/>
      </c>
      <c r="DF117" s="353" t="str">
        <f>IFERROR(Tableau1[[#This Row],[Total Price A facturer]]-Tableau1[[#This Row],[Total Price Facturé]],"")</f>
        <v/>
      </c>
      <c r="DG117" s="76">
        <f>Tableau1[[#This Row],[Total Item Quantity]]-Tableau1[[#This Row],[Total item réceptionné]]</f>
        <v>0</v>
      </c>
      <c r="DH117" s="167"/>
      <c r="DI117" s="167"/>
    </row>
    <row r="118" spans="1:113" s="74" customFormat="1">
      <c r="A118" s="77" t="str">
        <f>CONCATENATE(Tableau1[[#This Row],[PO Number (Header)]],"-",Tableau1[[#This Row],[Line]])</f>
        <v>-</v>
      </c>
      <c r="B118" s="77"/>
      <c r="C118" s="450"/>
      <c r="D118" s="102"/>
      <c r="E118" s="77"/>
      <c r="F118" s="77"/>
      <c r="G118" s="77"/>
      <c r="H118" s="77"/>
      <c r="I118" s="452"/>
      <c r="J118" s="452"/>
      <c r="K118" s="453"/>
      <c r="L118" s="453"/>
      <c r="M118" s="77"/>
      <c r="N118" s="77"/>
      <c r="O118" s="77"/>
      <c r="P118" s="77"/>
      <c r="Q118" s="395"/>
      <c r="R118" s="395"/>
      <c r="S118" s="77"/>
      <c r="T118" s="77"/>
      <c r="U118" s="77"/>
      <c r="V118" s="77"/>
      <c r="W118" s="167"/>
      <c r="X118" s="167"/>
      <c r="Y118" s="167" t="str">
        <f>IF(ISBLANK(Tableau1[[#This Row],[PO Number (Header)]]),"",Tableau1[[#This Row],[Line Total]]/Tableau1[[#This Row],[Total Item Quantity]])</f>
        <v/>
      </c>
      <c r="Z118" s="167" t="str">
        <f>IF(ISNA(VLOOKUP(Tableau1[[#This Row],[Unique_AIB_ID]],UO_List[Unique_AIB_ID],1,FALSE)),IF(ISBLANK(Tableau1[[#This Row],[PO Number (Header)]]),"","FAUX"),"VRAI")</f>
        <v/>
      </c>
      <c r="AA118" s="167"/>
      <c r="AB118" s="162" t="e">
        <f>VLOOKUP(Tableau1[[#This Row],[Unique_AIB_ID]],UO_List[[Unique_AIB_ID]:[OLGA F6]],3,FALSE)</f>
        <v>#N/A</v>
      </c>
      <c r="AC118" s="162" t="s">
        <v>790</v>
      </c>
      <c r="AD118" s="83">
        <f>SUMPRODUCT(1*(EXACT(CONCATENATE(Tableau1[[#This Row],[PO Number (Header)]],"-",Tableau1[[#This Row],[Line]]),UO_List[Unique_AIB_ID]))*(UO_List[Qté Réception 03/2020]))</f>
        <v>0</v>
      </c>
      <c r="AE118" s="84"/>
      <c r="AF118" s="357"/>
      <c r="AG118" s="351" t="str">
        <f>IFERROR(Tableau1[[#This Row],[Qté Facturé 01/2018]]*Tableau1[[#This Row],[Unit Price (calcul)]],"")</f>
        <v/>
      </c>
      <c r="AH118" s="356" t="str">
        <f>IFERROR(IF(Tableau1[[#This Row],[Montant Facturé 01/2018]]&gt;0,Tableau1[[#This Row],[Montant Facturé 01/2018]]/Taux_Change_SII,""),"")</f>
        <v/>
      </c>
      <c r="AI118" s="351"/>
      <c r="AJ118" s="83">
        <f>SUMPRODUCT(1*(EXACT(CONCATENATE(Tableau1[[#This Row],[PO Number (Header)]],"-",Tableau1[[#This Row],[Line]]),UO_List[Unique_AIB_ID]))*(UO_List[Qté Réception 02/2020]))</f>
        <v>0</v>
      </c>
      <c r="AK118" s="83">
        <f>SUMPRODUCT(1*(EXACT(CONCATENATE(Tableau1[[#This Row],[PO Number (Header)]],"-",Tableau1[[#This Row],[Line]]),UO_List[Unique_AIB_ID]))*(UO_List[Qté Réception 02/2020]))</f>
        <v>0</v>
      </c>
      <c r="AL118" s="357"/>
      <c r="AM118" s="351" t="str">
        <f>IFERROR(Tableau1[[#This Row],[Qté Facturé 02/2018]]*Tableau1[[#This Row],[Unit Price (calcul)]],"")</f>
        <v/>
      </c>
      <c r="AN118" s="351" t="str">
        <f>IFERROR(IF(Tableau1[[#This Row],[Montant Facturé 02/2018]]&gt;0,Tableau1[[#This Row],[Montant Facturé 02/2018]]/Taux_Change_SII,""),"")</f>
        <v/>
      </c>
      <c r="AO118" s="351"/>
      <c r="AP118" s="83">
        <f>SUMPRODUCT(1*(EXACT(CONCATENATE(Tableau1[[#This Row],[PO Number (Header)]],"-",Tableau1[[#This Row],[Line]]),UO_List[Unique_AIB_ID]))*(UO_List[Qté Réception 00/2020]))</f>
        <v>0</v>
      </c>
      <c r="AQ118" s="84"/>
      <c r="AR118" s="357"/>
      <c r="AS118" s="351" t="str">
        <f>IFERROR(Tableau1[[#This Row],[Qté Facturé 03/2018]]*Tableau1[[#This Row],[Unit Price (calcul)]],"")</f>
        <v/>
      </c>
      <c r="AT118" s="351" t="str">
        <f>IFERROR(IF(Tableau1[[#This Row],[Montant Facturé 03/2018]]&gt;0,Tableau1[[#This Row],[Montant Facturé 03/2018]]/Taux_Change_SII,""),"")</f>
        <v/>
      </c>
      <c r="AU118" s="351"/>
      <c r="AV118" s="83">
        <f>SUMPRODUCT(1*(EXACT(CONCATENATE(Tableau1[[#This Row],[PO Number (Header)]],"-",Tableau1[[#This Row],[Line]]),UO_List[Unique_AIB_ID]))*(UO_List[Qté Réception 04/2020]))</f>
        <v>0</v>
      </c>
      <c r="AW118" s="84"/>
      <c r="AX118" s="351"/>
      <c r="AY118" s="351" t="str">
        <f>IFERROR(Tableau1[[#This Row],[Qté Facturé 04/2018]]*Tableau1[[#This Row],[Unit Price (calcul)]],"")</f>
        <v/>
      </c>
      <c r="AZ118" s="351" t="str">
        <f>IFERROR(IF(Tableau1[[#This Row],[Montant Facturé 04/2018]]&gt;0,Tableau1[[#This Row],[Montant Facturé 04/2018]]/Taux_Change_SII,""),"")</f>
        <v/>
      </c>
      <c r="BA118" s="351"/>
      <c r="BB118" s="83">
        <f>SUMPRODUCT(1*(EXACT(CONCATENATE(Tableau1[[#This Row],[PO Number (Header)]],"-",Tableau1[[#This Row],[Line]]),UO_List[Unique_AIB_ID]))*(UO_List[Qté Réception 05/2020]))</f>
        <v>0</v>
      </c>
      <c r="BC118" s="84"/>
      <c r="BD118" s="351"/>
      <c r="BE118" s="351" t="str">
        <f>IFERROR(Tableau1[[#This Row],[Qté Facturé 05/2018]]*Tableau1[[#This Row],[Unit Price (calcul)]],"")</f>
        <v/>
      </c>
      <c r="BF118" s="351" t="str">
        <f>IFERROR(IF(Tableau1[[#This Row],[Montant Facturé 05/2018]]&gt;0,Tableau1[[#This Row],[Montant Facturé 05/2018]]/Taux_Change_SII,""),"")</f>
        <v/>
      </c>
      <c r="BG118" s="351"/>
      <c r="BH118" s="83">
        <f>SUMPRODUCT(1*(EXACT(CONCATENATE(Tableau1[[#This Row],[PO Number (Header)]],"-",Tableau1[[#This Row],[Line]]),UO_List[Unique_AIB_ID]))*(UO_List[Qté Réception 06/2020]))</f>
        <v>0</v>
      </c>
      <c r="BI118" s="84"/>
      <c r="BJ118" s="351"/>
      <c r="BK118" s="351" t="str">
        <f>IFERROR(Tableau1[[#This Row],[Qté Facturé 06/2018]]*Tableau1[[#This Row],[Unit Price (calcul)]],"")</f>
        <v/>
      </c>
      <c r="BL118" s="351" t="str">
        <f>IFERROR(IF(Tableau1[[#This Row],[Montant Facturé 06/2018]]&gt;0,Tableau1[[#This Row],[Montant Facturé 06/2018]]/Taux_Change_SII,""),"")</f>
        <v/>
      </c>
      <c r="BM118" s="351"/>
      <c r="BN118" s="83">
        <f>SUMPRODUCT(1*(EXACT(CONCATENATE(Tableau1[[#This Row],[PO Number (Header)]],"-",Tableau1[[#This Row],[Line]]),UO_List[Unique_AIB_ID]))*(UO_List[Qté Réception 07/2020]))</f>
        <v>0</v>
      </c>
      <c r="BO118" s="84"/>
      <c r="BP118" s="351"/>
      <c r="BQ118" s="351" t="str">
        <f>IFERROR(Tableau1[[#This Row],[Qté Facturé 07/2018]]*Tableau1[[#This Row],[Unit Price (calcul)]],"")</f>
        <v/>
      </c>
      <c r="BR118" s="351" t="str">
        <f>IFERROR(IF(Tableau1[[#This Row],[Montant Facturé 07/2018]]&gt;0,Tableau1[[#This Row],[Montant Facturé 07/2018]]/Taux_Change_SII,""),"")</f>
        <v/>
      </c>
      <c r="BS118" s="351"/>
      <c r="BT118" s="83">
        <f>SUMPRODUCT(1*(EXACT(CONCATENATE(Tableau1[[#This Row],[PO Number (Header)]],"-",Tableau1[[#This Row],[Line]]),UO_List[Unique_AIB_ID]))*(UO_List[Qté Réception 08/2020]))</f>
        <v>0</v>
      </c>
      <c r="BU118" s="84"/>
      <c r="BV118" s="351"/>
      <c r="BW118" s="351" t="str">
        <f>IFERROR(Tableau1[[#This Row],[Qté Facturé 08/2018]]*Tableau1[[#This Row],[Unit Price (calcul)]],"")</f>
        <v/>
      </c>
      <c r="BX118" s="351" t="str">
        <f>IFERROR(IF(Tableau1[[#This Row],[Montant Facturé 08/2018]]&gt;0,Tableau1[[#This Row],[Montant Facturé 08/2018]]/Taux_Change_SII,""),"")</f>
        <v/>
      </c>
      <c r="BY118" s="351"/>
      <c r="BZ118" s="83">
        <f>SUMPRODUCT(1*(EXACT(CONCATENATE(Tableau1[[#This Row],[PO Number (Header)]],"-",Tableau1[[#This Row],[Line]]),UO_List[Unique_AIB_ID]))*(UO_List[Qté Réception 09/2020]))</f>
        <v>0</v>
      </c>
      <c r="CA118" s="84">
        <v>0</v>
      </c>
      <c r="CB118" s="351"/>
      <c r="CC118" s="351" t="str">
        <f>IFERROR(Tableau1[[#This Row],[Qté Facturé 09/2018]]*Tableau1[[#This Row],[Unit Price (calcul)]],"")</f>
        <v/>
      </c>
      <c r="CD118" s="351" t="str">
        <f>IFERROR(IF(Tableau1[[#This Row],[Montant Facturé 09/2018]]&gt;0,Tableau1[[#This Row],[Montant Facturé 09/2018]]/Taux_Change_SII,""),"")</f>
        <v/>
      </c>
      <c r="CE118" s="351"/>
      <c r="CF118" s="83">
        <f>SUMPRODUCT(1*(EXACT(CONCATENATE(Tableau1[[#This Row],[PO Number (Header)]],"-",Tableau1[[#This Row],[Line]]),UO_List[Unique_AIB_ID]))*(UO_List[Qté Réception 10/2020]))</f>
        <v>0</v>
      </c>
      <c r="CG118" s="84">
        <v>0</v>
      </c>
      <c r="CH118" s="351"/>
      <c r="CI118" s="351" t="str">
        <f>IFERROR(Tableau1[[#This Row],[Qté Facturé 10/2018]]*Tableau1[[#This Row],[Unit Price (calcul)]],"")</f>
        <v/>
      </c>
      <c r="CJ118" s="351" t="str">
        <f>IFERROR(IF(Tableau1[[#This Row],[Montant Facturé 10/2018]]&gt;0,Tableau1[[#This Row],[Montant Facturé 10/2018]]/Taux_Change_SII,""),"")</f>
        <v/>
      </c>
      <c r="CK118" s="351"/>
      <c r="CL118" s="83">
        <f>SUMPRODUCT(1*(EXACT(CONCATENATE(Tableau1[[#This Row],[PO Number (Header)]],"-",Tableau1[[#This Row],[Line]]),UO_List[Unique_AIB_ID]))*(UO_List[Qté Réception 11/2020]))</f>
        <v>0</v>
      </c>
      <c r="CM118" s="84"/>
      <c r="CN118" s="351"/>
      <c r="CO118" s="351" t="str">
        <f>IFERROR(Tableau1[[#This Row],[Qté Facturé 11/2018]]*Tableau1[[#This Row],[Unit Price (calcul)]],"")</f>
        <v/>
      </c>
      <c r="CP118" s="351" t="str">
        <f>IFERROR(IF(Tableau1[[#This Row],[Montant Facturé 11/2018]]&gt;0,Tableau1[[#This Row],[Montant Facturé 11/2018]]/Taux_Change_SII,""),"")</f>
        <v/>
      </c>
      <c r="CQ118" s="351"/>
      <c r="CR118" s="83">
        <f>SUMPRODUCT(1*(EXACT(CONCATENATE(Tableau1[[#This Row],[PO Number (Header)]],"-",Tableau1[[#This Row],[Line]]),UO_List[Unique_AIB_ID]))*(UO_List[Qté Réception 12/2020]))</f>
        <v>0</v>
      </c>
      <c r="CS118" s="84"/>
      <c r="CT118" s="351"/>
      <c r="CU118" s="351" t="str">
        <f>IFERROR(Tableau1[[#This Row],[Qté Facturé 12/2018]]*Tableau1[[#This Row],[Unit Price (calcul)]],"")</f>
        <v/>
      </c>
      <c r="CV118" s="351" t="str">
        <f>IFERROR(IF(Tableau1[[#This Row],[Montant Facturé 12/2018]]&gt;0,Tableau1[[#This Row],[Montant Facturé 12/2018]]/Taux_Change_SII,""),"")</f>
        <v/>
      </c>
      <c r="CW118" s="351"/>
      <c r="CX11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8" s="352" t="str">
        <f>IFERROR(Tableau1[[#This Row],[Total item réceptionné]]*Tableau1[[#This Row],[Unit Price (calcul)]],"")</f>
        <v/>
      </c>
      <c r="DB118" s="352" t="str">
        <f>IFERROR(Tableau1[[#This Row],[Total item à Facturer]]*Tableau1[[#This Row],[Unit Price (calcul)]],"")</f>
        <v/>
      </c>
      <c r="DC11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8" s="352" t="str">
        <f>IFERROR(Tableau1[[#This Row],[Line Total]]-Tableau1[[#This Row],[Total Price Réceptionné]],"")</f>
        <v/>
      </c>
      <c r="DE118" s="352" t="str">
        <f>IFERROR(Tableau1[[#This Row],[Total Price Réceptionné]]-Tableau1[[#This Row],[Total Price A facturer]],"")</f>
        <v/>
      </c>
      <c r="DF118" s="353" t="str">
        <f>IFERROR(Tableau1[[#This Row],[Total Price A facturer]]-Tableau1[[#This Row],[Total Price Facturé]],"")</f>
        <v/>
      </c>
      <c r="DG118" s="76">
        <f>Tableau1[[#This Row],[Total Item Quantity]]-Tableau1[[#This Row],[Total item réceptionné]]</f>
        <v>0</v>
      </c>
      <c r="DH118" s="167"/>
      <c r="DI118" s="167"/>
    </row>
    <row r="119" spans="1:113" s="74" customFormat="1">
      <c r="A119" s="77" t="str">
        <f>CONCATENATE(Tableau1[[#This Row],[PO Number (Header)]],"-",Tableau1[[#This Row],[Line]])</f>
        <v>-</v>
      </c>
      <c r="B119" s="77"/>
      <c r="C119" s="450"/>
      <c r="D119" s="102"/>
      <c r="E119" s="77"/>
      <c r="F119" s="77"/>
      <c r="G119" s="77"/>
      <c r="H119" s="77"/>
      <c r="I119" s="452"/>
      <c r="J119" s="452"/>
      <c r="K119" s="453"/>
      <c r="L119" s="453"/>
      <c r="M119" s="77"/>
      <c r="N119" s="77"/>
      <c r="O119" s="77"/>
      <c r="P119" s="77"/>
      <c r="Q119" s="395"/>
      <c r="R119" s="395"/>
      <c r="S119" s="77"/>
      <c r="T119" s="77"/>
      <c r="U119" s="77"/>
      <c r="V119" s="77"/>
      <c r="W119" s="167"/>
      <c r="X119" s="167"/>
      <c r="Y119" s="167" t="str">
        <f>IF(ISBLANK(Tableau1[[#This Row],[PO Number (Header)]]),"",Tableau1[[#This Row],[Line Total]]/Tableau1[[#This Row],[Total Item Quantity]])</f>
        <v/>
      </c>
      <c r="Z119" s="167" t="str">
        <f>IF(ISNA(VLOOKUP(Tableau1[[#This Row],[Unique_AIB_ID]],UO_List[Unique_AIB_ID],1,FALSE)),IF(ISBLANK(Tableau1[[#This Row],[PO Number (Header)]]),"","FAUX"),"VRAI")</f>
        <v/>
      </c>
      <c r="AA119" s="167"/>
      <c r="AB119" s="162" t="e">
        <f>VLOOKUP(Tableau1[[#This Row],[Unique_AIB_ID]],UO_List[[Unique_AIB_ID]:[OLGA F6]],3,FALSE)</f>
        <v>#N/A</v>
      </c>
      <c r="AC119" s="162" t="s">
        <v>790</v>
      </c>
      <c r="AD119" s="83">
        <f>SUMPRODUCT(1*(EXACT(CONCATENATE(Tableau1[[#This Row],[PO Number (Header)]],"-",Tableau1[[#This Row],[Line]]),UO_List[Unique_AIB_ID]))*(UO_List[Qté Réception 03/2020]))</f>
        <v>0</v>
      </c>
      <c r="AE119" s="84"/>
      <c r="AF119" s="357"/>
      <c r="AG119" s="351" t="str">
        <f>IFERROR(Tableau1[[#This Row],[Qté Facturé 01/2018]]*Tableau1[[#This Row],[Unit Price (calcul)]],"")</f>
        <v/>
      </c>
      <c r="AH119" s="356" t="str">
        <f>IFERROR(IF(Tableau1[[#This Row],[Montant Facturé 01/2018]]&gt;0,Tableau1[[#This Row],[Montant Facturé 01/2018]]/Taux_Change_SII,""),"")</f>
        <v/>
      </c>
      <c r="AI119" s="351"/>
      <c r="AJ119" s="83">
        <f>SUMPRODUCT(1*(EXACT(CONCATENATE(Tableau1[[#This Row],[PO Number (Header)]],"-",Tableau1[[#This Row],[Line]]),UO_List[Unique_AIB_ID]))*(UO_List[Qté Réception 02/2020]))</f>
        <v>0</v>
      </c>
      <c r="AK119" s="83">
        <f>SUMPRODUCT(1*(EXACT(CONCATENATE(Tableau1[[#This Row],[PO Number (Header)]],"-",Tableau1[[#This Row],[Line]]),UO_List[Unique_AIB_ID]))*(UO_List[Qté Réception 02/2020]))</f>
        <v>0</v>
      </c>
      <c r="AL119" s="357"/>
      <c r="AM119" s="351" t="str">
        <f>IFERROR(Tableau1[[#This Row],[Qté Facturé 02/2018]]*Tableau1[[#This Row],[Unit Price (calcul)]],"")</f>
        <v/>
      </c>
      <c r="AN119" s="351" t="str">
        <f>IFERROR(IF(Tableau1[[#This Row],[Montant Facturé 02/2018]]&gt;0,Tableau1[[#This Row],[Montant Facturé 02/2018]]/Taux_Change_SII,""),"")</f>
        <v/>
      </c>
      <c r="AO119" s="351"/>
      <c r="AP119" s="83">
        <f>SUMPRODUCT(1*(EXACT(CONCATENATE(Tableau1[[#This Row],[PO Number (Header)]],"-",Tableau1[[#This Row],[Line]]),UO_List[Unique_AIB_ID]))*(UO_List[Qté Réception 00/2020]))</f>
        <v>0</v>
      </c>
      <c r="AQ119" s="84"/>
      <c r="AR119" s="357"/>
      <c r="AS119" s="351" t="str">
        <f>IFERROR(Tableau1[[#This Row],[Qté Facturé 03/2018]]*Tableau1[[#This Row],[Unit Price (calcul)]],"")</f>
        <v/>
      </c>
      <c r="AT119" s="351" t="str">
        <f>IFERROR(IF(Tableau1[[#This Row],[Montant Facturé 03/2018]]&gt;0,Tableau1[[#This Row],[Montant Facturé 03/2018]]/Taux_Change_SII,""),"")</f>
        <v/>
      </c>
      <c r="AU119" s="351"/>
      <c r="AV119" s="83">
        <f>SUMPRODUCT(1*(EXACT(CONCATENATE(Tableau1[[#This Row],[PO Number (Header)]],"-",Tableau1[[#This Row],[Line]]),UO_List[Unique_AIB_ID]))*(UO_List[Qté Réception 04/2020]))</f>
        <v>0</v>
      </c>
      <c r="AW119" s="84"/>
      <c r="AX119" s="351"/>
      <c r="AY119" s="351" t="str">
        <f>IFERROR(Tableau1[[#This Row],[Qté Facturé 04/2018]]*Tableau1[[#This Row],[Unit Price (calcul)]],"")</f>
        <v/>
      </c>
      <c r="AZ119" s="351" t="str">
        <f>IFERROR(IF(Tableau1[[#This Row],[Montant Facturé 04/2018]]&gt;0,Tableau1[[#This Row],[Montant Facturé 04/2018]]/Taux_Change_SII,""),"")</f>
        <v/>
      </c>
      <c r="BA119" s="351"/>
      <c r="BB119" s="83">
        <f>SUMPRODUCT(1*(EXACT(CONCATENATE(Tableau1[[#This Row],[PO Number (Header)]],"-",Tableau1[[#This Row],[Line]]),UO_List[Unique_AIB_ID]))*(UO_List[Qté Réception 05/2020]))</f>
        <v>0</v>
      </c>
      <c r="BC119" s="84"/>
      <c r="BD119" s="351"/>
      <c r="BE119" s="351" t="str">
        <f>IFERROR(Tableau1[[#This Row],[Qté Facturé 05/2018]]*Tableau1[[#This Row],[Unit Price (calcul)]],"")</f>
        <v/>
      </c>
      <c r="BF119" s="351" t="str">
        <f>IFERROR(IF(Tableau1[[#This Row],[Montant Facturé 05/2018]]&gt;0,Tableau1[[#This Row],[Montant Facturé 05/2018]]/Taux_Change_SII,""),"")</f>
        <v/>
      </c>
      <c r="BG119" s="351"/>
      <c r="BH119" s="83">
        <f>SUMPRODUCT(1*(EXACT(CONCATENATE(Tableau1[[#This Row],[PO Number (Header)]],"-",Tableau1[[#This Row],[Line]]),UO_List[Unique_AIB_ID]))*(UO_List[Qté Réception 06/2020]))</f>
        <v>0</v>
      </c>
      <c r="BI119" s="84"/>
      <c r="BJ119" s="351"/>
      <c r="BK119" s="351" t="str">
        <f>IFERROR(Tableau1[[#This Row],[Qté Facturé 06/2018]]*Tableau1[[#This Row],[Unit Price (calcul)]],"")</f>
        <v/>
      </c>
      <c r="BL119" s="351" t="str">
        <f>IFERROR(IF(Tableau1[[#This Row],[Montant Facturé 06/2018]]&gt;0,Tableau1[[#This Row],[Montant Facturé 06/2018]]/Taux_Change_SII,""),"")</f>
        <v/>
      </c>
      <c r="BM119" s="351"/>
      <c r="BN119" s="83">
        <f>SUMPRODUCT(1*(EXACT(CONCATENATE(Tableau1[[#This Row],[PO Number (Header)]],"-",Tableau1[[#This Row],[Line]]),UO_List[Unique_AIB_ID]))*(UO_List[Qté Réception 07/2020]))</f>
        <v>0</v>
      </c>
      <c r="BO119" s="84"/>
      <c r="BP119" s="351"/>
      <c r="BQ119" s="351" t="str">
        <f>IFERROR(Tableau1[[#This Row],[Qté Facturé 07/2018]]*Tableau1[[#This Row],[Unit Price (calcul)]],"")</f>
        <v/>
      </c>
      <c r="BR119" s="351" t="str">
        <f>IFERROR(IF(Tableau1[[#This Row],[Montant Facturé 07/2018]]&gt;0,Tableau1[[#This Row],[Montant Facturé 07/2018]]/Taux_Change_SII,""),"")</f>
        <v/>
      </c>
      <c r="BS119" s="351"/>
      <c r="BT119" s="83">
        <f>SUMPRODUCT(1*(EXACT(CONCATENATE(Tableau1[[#This Row],[PO Number (Header)]],"-",Tableau1[[#This Row],[Line]]),UO_List[Unique_AIB_ID]))*(UO_List[Qté Réception 08/2020]))</f>
        <v>0</v>
      </c>
      <c r="BU119" s="84"/>
      <c r="BV119" s="351"/>
      <c r="BW119" s="351" t="str">
        <f>IFERROR(Tableau1[[#This Row],[Qté Facturé 08/2018]]*Tableau1[[#This Row],[Unit Price (calcul)]],"")</f>
        <v/>
      </c>
      <c r="BX119" s="351" t="str">
        <f>IFERROR(IF(Tableau1[[#This Row],[Montant Facturé 08/2018]]&gt;0,Tableau1[[#This Row],[Montant Facturé 08/2018]]/Taux_Change_SII,""),"")</f>
        <v/>
      </c>
      <c r="BY119" s="351"/>
      <c r="BZ119" s="83">
        <f>SUMPRODUCT(1*(EXACT(CONCATENATE(Tableau1[[#This Row],[PO Number (Header)]],"-",Tableau1[[#This Row],[Line]]),UO_List[Unique_AIB_ID]))*(UO_List[Qté Réception 09/2020]))</f>
        <v>0</v>
      </c>
      <c r="CA119" s="84">
        <v>0</v>
      </c>
      <c r="CB119" s="351"/>
      <c r="CC119" s="351" t="str">
        <f>IFERROR(Tableau1[[#This Row],[Qté Facturé 09/2018]]*Tableau1[[#This Row],[Unit Price (calcul)]],"")</f>
        <v/>
      </c>
      <c r="CD119" s="351" t="str">
        <f>IFERROR(IF(Tableau1[[#This Row],[Montant Facturé 09/2018]]&gt;0,Tableau1[[#This Row],[Montant Facturé 09/2018]]/Taux_Change_SII,""),"")</f>
        <v/>
      </c>
      <c r="CE119" s="351"/>
      <c r="CF119" s="83">
        <f>SUMPRODUCT(1*(EXACT(CONCATENATE(Tableau1[[#This Row],[PO Number (Header)]],"-",Tableau1[[#This Row],[Line]]),UO_List[Unique_AIB_ID]))*(UO_List[Qté Réception 10/2020]))</f>
        <v>0</v>
      </c>
      <c r="CG119" s="84">
        <v>0</v>
      </c>
      <c r="CH119" s="351"/>
      <c r="CI119" s="351" t="str">
        <f>IFERROR(Tableau1[[#This Row],[Qté Facturé 10/2018]]*Tableau1[[#This Row],[Unit Price (calcul)]],"")</f>
        <v/>
      </c>
      <c r="CJ119" s="351" t="str">
        <f>IFERROR(IF(Tableau1[[#This Row],[Montant Facturé 10/2018]]&gt;0,Tableau1[[#This Row],[Montant Facturé 10/2018]]/Taux_Change_SII,""),"")</f>
        <v/>
      </c>
      <c r="CK119" s="351"/>
      <c r="CL119" s="83">
        <f>SUMPRODUCT(1*(EXACT(CONCATENATE(Tableau1[[#This Row],[PO Number (Header)]],"-",Tableau1[[#This Row],[Line]]),UO_List[Unique_AIB_ID]))*(UO_List[Qté Réception 11/2020]))</f>
        <v>0</v>
      </c>
      <c r="CM119" s="84"/>
      <c r="CN119" s="351"/>
      <c r="CO119" s="351" t="str">
        <f>IFERROR(Tableau1[[#This Row],[Qté Facturé 11/2018]]*Tableau1[[#This Row],[Unit Price (calcul)]],"")</f>
        <v/>
      </c>
      <c r="CP119" s="351" t="str">
        <f>IFERROR(IF(Tableau1[[#This Row],[Montant Facturé 11/2018]]&gt;0,Tableau1[[#This Row],[Montant Facturé 11/2018]]/Taux_Change_SII,""),"")</f>
        <v/>
      </c>
      <c r="CQ119" s="351"/>
      <c r="CR119" s="83">
        <f>SUMPRODUCT(1*(EXACT(CONCATENATE(Tableau1[[#This Row],[PO Number (Header)]],"-",Tableau1[[#This Row],[Line]]),UO_List[Unique_AIB_ID]))*(UO_List[Qté Réception 12/2020]))</f>
        <v>0</v>
      </c>
      <c r="CS119" s="84"/>
      <c r="CT119" s="351"/>
      <c r="CU119" s="351" t="str">
        <f>IFERROR(Tableau1[[#This Row],[Qté Facturé 12/2018]]*Tableau1[[#This Row],[Unit Price (calcul)]],"")</f>
        <v/>
      </c>
      <c r="CV119" s="351" t="str">
        <f>IFERROR(IF(Tableau1[[#This Row],[Montant Facturé 12/2018]]&gt;0,Tableau1[[#This Row],[Montant Facturé 12/2018]]/Taux_Change_SII,""),"")</f>
        <v/>
      </c>
      <c r="CW119" s="351"/>
      <c r="CX11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1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1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19" s="352" t="str">
        <f>IFERROR(Tableau1[[#This Row],[Total item réceptionné]]*Tableau1[[#This Row],[Unit Price (calcul)]],"")</f>
        <v/>
      </c>
      <c r="DB119" s="352" t="str">
        <f>IFERROR(Tableau1[[#This Row],[Total item à Facturer]]*Tableau1[[#This Row],[Unit Price (calcul)]],"")</f>
        <v/>
      </c>
      <c r="DC11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19" s="352" t="str">
        <f>IFERROR(Tableau1[[#This Row],[Line Total]]-Tableau1[[#This Row],[Total Price Réceptionné]],"")</f>
        <v/>
      </c>
      <c r="DE119" s="352" t="str">
        <f>IFERROR(Tableau1[[#This Row],[Total Price Réceptionné]]-Tableau1[[#This Row],[Total Price A facturer]],"")</f>
        <v/>
      </c>
      <c r="DF119" s="353" t="str">
        <f>IFERROR(Tableau1[[#This Row],[Total Price A facturer]]-Tableau1[[#This Row],[Total Price Facturé]],"")</f>
        <v/>
      </c>
      <c r="DG119" s="76">
        <f>Tableau1[[#This Row],[Total Item Quantity]]-Tableau1[[#This Row],[Total item réceptionné]]</f>
        <v>0</v>
      </c>
      <c r="DH119" s="167"/>
      <c r="DI119" s="167"/>
    </row>
    <row r="120" spans="1:113" s="74" customFormat="1">
      <c r="A120" s="77" t="str">
        <f>CONCATENATE(Tableau1[[#This Row],[PO Number (Header)]],"-",Tableau1[[#This Row],[Line]])</f>
        <v>-</v>
      </c>
      <c r="B120" s="77"/>
      <c r="C120" s="450"/>
      <c r="D120" s="102"/>
      <c r="E120" s="77"/>
      <c r="F120" s="77"/>
      <c r="G120" s="77"/>
      <c r="H120" s="77"/>
      <c r="I120" s="452"/>
      <c r="J120" s="452"/>
      <c r="K120" s="453"/>
      <c r="L120" s="453"/>
      <c r="M120" s="77"/>
      <c r="N120" s="77"/>
      <c r="O120" s="77"/>
      <c r="P120" s="77"/>
      <c r="Q120" s="395"/>
      <c r="R120" s="395"/>
      <c r="S120" s="77"/>
      <c r="T120" s="77"/>
      <c r="U120" s="77"/>
      <c r="V120" s="77"/>
      <c r="W120" s="167"/>
      <c r="X120" s="167"/>
      <c r="Y120" s="167" t="str">
        <f>IF(ISBLANK(Tableau1[[#This Row],[PO Number (Header)]]),"",Tableau1[[#This Row],[Line Total]]/Tableau1[[#This Row],[Total Item Quantity]])</f>
        <v/>
      </c>
      <c r="Z120" s="167" t="str">
        <f>IF(ISNA(VLOOKUP(Tableau1[[#This Row],[Unique_AIB_ID]],UO_List[Unique_AIB_ID],1,FALSE)),IF(ISBLANK(Tableau1[[#This Row],[PO Number (Header)]]),"","FAUX"),"VRAI")</f>
        <v/>
      </c>
      <c r="AA120" s="167"/>
      <c r="AB120" s="162" t="e">
        <f>VLOOKUP(Tableau1[[#This Row],[Unique_AIB_ID]],UO_List[[Unique_AIB_ID]:[OLGA F6]],3,FALSE)</f>
        <v>#N/A</v>
      </c>
      <c r="AC120" s="162" t="s">
        <v>790</v>
      </c>
      <c r="AD120" s="83">
        <f>SUMPRODUCT(1*(EXACT(CONCATENATE(Tableau1[[#This Row],[PO Number (Header)]],"-",Tableau1[[#This Row],[Line]]),UO_List[Unique_AIB_ID]))*(UO_List[Qté Réception 03/2020]))</f>
        <v>0</v>
      </c>
      <c r="AE120" s="84"/>
      <c r="AF120" s="357"/>
      <c r="AG120" s="351" t="str">
        <f>IFERROR(Tableau1[[#This Row],[Qté Facturé 01/2018]]*Tableau1[[#This Row],[Unit Price (calcul)]],"")</f>
        <v/>
      </c>
      <c r="AH120" s="356" t="str">
        <f>IFERROR(IF(Tableau1[[#This Row],[Montant Facturé 01/2018]]&gt;0,Tableau1[[#This Row],[Montant Facturé 01/2018]]/Taux_Change_SII,""),"")</f>
        <v/>
      </c>
      <c r="AI120" s="351"/>
      <c r="AJ120" s="83">
        <f>SUMPRODUCT(1*(EXACT(CONCATENATE(Tableau1[[#This Row],[PO Number (Header)]],"-",Tableau1[[#This Row],[Line]]),UO_List[Unique_AIB_ID]))*(UO_List[Qté Réception 02/2020]))</f>
        <v>0</v>
      </c>
      <c r="AK120" s="83">
        <f>SUMPRODUCT(1*(EXACT(CONCATENATE(Tableau1[[#This Row],[PO Number (Header)]],"-",Tableau1[[#This Row],[Line]]),UO_List[Unique_AIB_ID]))*(UO_List[Qté Réception 02/2020]))</f>
        <v>0</v>
      </c>
      <c r="AL120" s="357"/>
      <c r="AM120" s="351" t="str">
        <f>IFERROR(Tableau1[[#This Row],[Qté Facturé 02/2018]]*Tableau1[[#This Row],[Unit Price (calcul)]],"")</f>
        <v/>
      </c>
      <c r="AN120" s="351" t="str">
        <f>IFERROR(IF(Tableau1[[#This Row],[Montant Facturé 02/2018]]&gt;0,Tableau1[[#This Row],[Montant Facturé 02/2018]]/Taux_Change_SII,""),"")</f>
        <v/>
      </c>
      <c r="AO120" s="351"/>
      <c r="AP120" s="83">
        <f>SUMPRODUCT(1*(EXACT(CONCATENATE(Tableau1[[#This Row],[PO Number (Header)]],"-",Tableau1[[#This Row],[Line]]),UO_List[Unique_AIB_ID]))*(UO_List[Qté Réception 00/2020]))</f>
        <v>0</v>
      </c>
      <c r="AQ120" s="84"/>
      <c r="AR120" s="357"/>
      <c r="AS120" s="351" t="str">
        <f>IFERROR(Tableau1[[#This Row],[Qté Facturé 03/2018]]*Tableau1[[#This Row],[Unit Price (calcul)]],"")</f>
        <v/>
      </c>
      <c r="AT120" s="351" t="str">
        <f>IFERROR(IF(Tableau1[[#This Row],[Montant Facturé 03/2018]]&gt;0,Tableau1[[#This Row],[Montant Facturé 03/2018]]/Taux_Change_SII,""),"")</f>
        <v/>
      </c>
      <c r="AU120" s="351"/>
      <c r="AV120" s="83">
        <f>SUMPRODUCT(1*(EXACT(CONCATENATE(Tableau1[[#This Row],[PO Number (Header)]],"-",Tableau1[[#This Row],[Line]]),UO_List[Unique_AIB_ID]))*(UO_List[Qté Réception 04/2020]))</f>
        <v>0</v>
      </c>
      <c r="AW120" s="84"/>
      <c r="AX120" s="351"/>
      <c r="AY120" s="351" t="str">
        <f>IFERROR(Tableau1[[#This Row],[Qté Facturé 04/2018]]*Tableau1[[#This Row],[Unit Price (calcul)]],"")</f>
        <v/>
      </c>
      <c r="AZ120" s="351" t="str">
        <f>IFERROR(IF(Tableau1[[#This Row],[Montant Facturé 04/2018]]&gt;0,Tableau1[[#This Row],[Montant Facturé 04/2018]]/Taux_Change_SII,""),"")</f>
        <v/>
      </c>
      <c r="BA120" s="351"/>
      <c r="BB120" s="83">
        <f>SUMPRODUCT(1*(EXACT(CONCATENATE(Tableau1[[#This Row],[PO Number (Header)]],"-",Tableau1[[#This Row],[Line]]),UO_List[Unique_AIB_ID]))*(UO_List[Qté Réception 05/2020]))</f>
        <v>0</v>
      </c>
      <c r="BC120" s="84"/>
      <c r="BD120" s="351"/>
      <c r="BE120" s="351" t="str">
        <f>IFERROR(Tableau1[[#This Row],[Qté Facturé 05/2018]]*Tableau1[[#This Row],[Unit Price (calcul)]],"")</f>
        <v/>
      </c>
      <c r="BF120" s="351" t="str">
        <f>IFERROR(IF(Tableau1[[#This Row],[Montant Facturé 05/2018]]&gt;0,Tableau1[[#This Row],[Montant Facturé 05/2018]]/Taux_Change_SII,""),"")</f>
        <v/>
      </c>
      <c r="BG120" s="351"/>
      <c r="BH120" s="83">
        <f>SUMPRODUCT(1*(EXACT(CONCATENATE(Tableau1[[#This Row],[PO Number (Header)]],"-",Tableau1[[#This Row],[Line]]),UO_List[Unique_AIB_ID]))*(UO_List[Qté Réception 06/2020]))</f>
        <v>0</v>
      </c>
      <c r="BI120" s="84"/>
      <c r="BJ120" s="351"/>
      <c r="BK120" s="351" t="str">
        <f>IFERROR(Tableau1[[#This Row],[Qté Facturé 06/2018]]*Tableau1[[#This Row],[Unit Price (calcul)]],"")</f>
        <v/>
      </c>
      <c r="BL120" s="351" t="str">
        <f>IFERROR(IF(Tableau1[[#This Row],[Montant Facturé 06/2018]]&gt;0,Tableau1[[#This Row],[Montant Facturé 06/2018]]/Taux_Change_SII,""),"")</f>
        <v/>
      </c>
      <c r="BM120" s="351"/>
      <c r="BN120" s="83">
        <f>SUMPRODUCT(1*(EXACT(CONCATENATE(Tableau1[[#This Row],[PO Number (Header)]],"-",Tableau1[[#This Row],[Line]]),UO_List[Unique_AIB_ID]))*(UO_List[Qté Réception 07/2020]))</f>
        <v>0</v>
      </c>
      <c r="BO120" s="84"/>
      <c r="BP120" s="351"/>
      <c r="BQ120" s="351" t="str">
        <f>IFERROR(Tableau1[[#This Row],[Qté Facturé 07/2018]]*Tableau1[[#This Row],[Unit Price (calcul)]],"")</f>
        <v/>
      </c>
      <c r="BR120" s="351" t="str">
        <f>IFERROR(IF(Tableau1[[#This Row],[Montant Facturé 07/2018]]&gt;0,Tableau1[[#This Row],[Montant Facturé 07/2018]]/Taux_Change_SII,""),"")</f>
        <v/>
      </c>
      <c r="BS120" s="351"/>
      <c r="BT120" s="83">
        <f>SUMPRODUCT(1*(EXACT(CONCATENATE(Tableau1[[#This Row],[PO Number (Header)]],"-",Tableau1[[#This Row],[Line]]),UO_List[Unique_AIB_ID]))*(UO_List[Qté Réception 08/2020]))</f>
        <v>0</v>
      </c>
      <c r="BU120" s="84"/>
      <c r="BV120" s="351"/>
      <c r="BW120" s="351" t="str">
        <f>IFERROR(Tableau1[[#This Row],[Qté Facturé 08/2018]]*Tableau1[[#This Row],[Unit Price (calcul)]],"")</f>
        <v/>
      </c>
      <c r="BX120" s="351" t="str">
        <f>IFERROR(IF(Tableau1[[#This Row],[Montant Facturé 08/2018]]&gt;0,Tableau1[[#This Row],[Montant Facturé 08/2018]]/Taux_Change_SII,""),"")</f>
        <v/>
      </c>
      <c r="BY120" s="351"/>
      <c r="BZ120" s="83">
        <f>SUMPRODUCT(1*(EXACT(CONCATENATE(Tableau1[[#This Row],[PO Number (Header)]],"-",Tableau1[[#This Row],[Line]]),UO_List[Unique_AIB_ID]))*(UO_List[Qté Réception 09/2020]))</f>
        <v>0</v>
      </c>
      <c r="CA120" s="84">
        <v>0</v>
      </c>
      <c r="CB120" s="351"/>
      <c r="CC120" s="351" t="str">
        <f>IFERROR(Tableau1[[#This Row],[Qté Facturé 09/2018]]*Tableau1[[#This Row],[Unit Price (calcul)]],"")</f>
        <v/>
      </c>
      <c r="CD120" s="351" t="str">
        <f>IFERROR(IF(Tableau1[[#This Row],[Montant Facturé 09/2018]]&gt;0,Tableau1[[#This Row],[Montant Facturé 09/2018]]/Taux_Change_SII,""),"")</f>
        <v/>
      </c>
      <c r="CE120" s="351"/>
      <c r="CF120" s="83">
        <f>SUMPRODUCT(1*(EXACT(CONCATENATE(Tableau1[[#This Row],[PO Number (Header)]],"-",Tableau1[[#This Row],[Line]]),UO_List[Unique_AIB_ID]))*(UO_List[Qté Réception 10/2020]))</f>
        <v>0</v>
      </c>
      <c r="CG120" s="84">
        <v>0</v>
      </c>
      <c r="CH120" s="351"/>
      <c r="CI120" s="351" t="str">
        <f>IFERROR(Tableau1[[#This Row],[Qté Facturé 10/2018]]*Tableau1[[#This Row],[Unit Price (calcul)]],"")</f>
        <v/>
      </c>
      <c r="CJ120" s="351" t="str">
        <f>IFERROR(IF(Tableau1[[#This Row],[Montant Facturé 10/2018]]&gt;0,Tableau1[[#This Row],[Montant Facturé 10/2018]]/Taux_Change_SII,""),"")</f>
        <v/>
      </c>
      <c r="CK120" s="351"/>
      <c r="CL120" s="83">
        <f>SUMPRODUCT(1*(EXACT(CONCATENATE(Tableau1[[#This Row],[PO Number (Header)]],"-",Tableau1[[#This Row],[Line]]),UO_List[Unique_AIB_ID]))*(UO_List[Qté Réception 11/2020]))</f>
        <v>0</v>
      </c>
      <c r="CM120" s="84"/>
      <c r="CN120" s="351"/>
      <c r="CO120" s="351" t="str">
        <f>IFERROR(Tableau1[[#This Row],[Qté Facturé 11/2018]]*Tableau1[[#This Row],[Unit Price (calcul)]],"")</f>
        <v/>
      </c>
      <c r="CP120" s="351" t="str">
        <f>IFERROR(IF(Tableau1[[#This Row],[Montant Facturé 11/2018]]&gt;0,Tableau1[[#This Row],[Montant Facturé 11/2018]]/Taux_Change_SII,""),"")</f>
        <v/>
      </c>
      <c r="CQ120" s="351"/>
      <c r="CR120" s="83">
        <f>SUMPRODUCT(1*(EXACT(CONCATENATE(Tableau1[[#This Row],[PO Number (Header)]],"-",Tableau1[[#This Row],[Line]]),UO_List[Unique_AIB_ID]))*(UO_List[Qté Réception 12/2020]))</f>
        <v>0</v>
      </c>
      <c r="CS120" s="84"/>
      <c r="CT120" s="351"/>
      <c r="CU120" s="351" t="str">
        <f>IFERROR(Tableau1[[#This Row],[Qté Facturé 12/2018]]*Tableau1[[#This Row],[Unit Price (calcul)]],"")</f>
        <v/>
      </c>
      <c r="CV120" s="351" t="str">
        <f>IFERROR(IF(Tableau1[[#This Row],[Montant Facturé 12/2018]]&gt;0,Tableau1[[#This Row],[Montant Facturé 12/2018]]/Taux_Change_SII,""),"")</f>
        <v/>
      </c>
      <c r="CW120" s="351"/>
      <c r="CX12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0" s="352" t="str">
        <f>IFERROR(Tableau1[[#This Row],[Total item réceptionné]]*Tableau1[[#This Row],[Unit Price (calcul)]],"")</f>
        <v/>
      </c>
      <c r="DB120" s="352" t="str">
        <f>IFERROR(Tableau1[[#This Row],[Total item à Facturer]]*Tableau1[[#This Row],[Unit Price (calcul)]],"")</f>
        <v/>
      </c>
      <c r="DC12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0" s="352" t="str">
        <f>IFERROR(Tableau1[[#This Row],[Line Total]]-Tableau1[[#This Row],[Total Price Réceptionné]],"")</f>
        <v/>
      </c>
      <c r="DE120" s="352" t="str">
        <f>IFERROR(Tableau1[[#This Row],[Total Price Réceptionné]]-Tableau1[[#This Row],[Total Price A facturer]],"")</f>
        <v/>
      </c>
      <c r="DF120" s="353" t="str">
        <f>IFERROR(Tableau1[[#This Row],[Total Price A facturer]]-Tableau1[[#This Row],[Total Price Facturé]],"")</f>
        <v/>
      </c>
      <c r="DG120" s="76">
        <f>Tableau1[[#This Row],[Total Item Quantity]]-Tableau1[[#This Row],[Total item réceptionné]]</f>
        <v>0</v>
      </c>
      <c r="DH120" s="167"/>
      <c r="DI120" s="167"/>
    </row>
    <row r="121" spans="1:113" s="74" customFormat="1">
      <c r="A121" s="77" t="str">
        <f>CONCATENATE(Tableau1[[#This Row],[PO Number (Header)]],"-",Tableau1[[#This Row],[Line]])</f>
        <v>-</v>
      </c>
      <c r="B121" s="77"/>
      <c r="C121" s="450"/>
      <c r="D121" s="102"/>
      <c r="E121" s="77"/>
      <c r="F121" s="77"/>
      <c r="G121" s="77"/>
      <c r="H121" s="77"/>
      <c r="I121" s="452"/>
      <c r="J121" s="452"/>
      <c r="K121" s="453"/>
      <c r="L121" s="453"/>
      <c r="M121" s="77"/>
      <c r="N121" s="77"/>
      <c r="O121" s="77"/>
      <c r="P121" s="77"/>
      <c r="Q121" s="395"/>
      <c r="R121" s="395"/>
      <c r="S121" s="77"/>
      <c r="T121" s="77"/>
      <c r="U121" s="77"/>
      <c r="V121" s="77"/>
      <c r="W121" s="167"/>
      <c r="X121" s="167"/>
      <c r="Y121" s="167" t="str">
        <f>IF(ISBLANK(Tableau1[[#This Row],[PO Number (Header)]]),"",Tableau1[[#This Row],[Line Total]]/Tableau1[[#This Row],[Total Item Quantity]])</f>
        <v/>
      </c>
      <c r="Z121" s="167" t="str">
        <f>IF(ISNA(VLOOKUP(Tableau1[[#This Row],[Unique_AIB_ID]],UO_List[Unique_AIB_ID],1,FALSE)),IF(ISBLANK(Tableau1[[#This Row],[PO Number (Header)]]),"","FAUX"),"VRAI")</f>
        <v/>
      </c>
      <c r="AA121" s="167"/>
      <c r="AB121" s="162" t="e">
        <f>VLOOKUP(Tableau1[[#This Row],[Unique_AIB_ID]],UO_List[[Unique_AIB_ID]:[OLGA F6]],3,FALSE)</f>
        <v>#N/A</v>
      </c>
      <c r="AC121" s="162" t="s">
        <v>790</v>
      </c>
      <c r="AD121" s="83">
        <f>SUMPRODUCT(1*(EXACT(CONCATENATE(Tableau1[[#This Row],[PO Number (Header)]],"-",Tableau1[[#This Row],[Line]]),UO_List[Unique_AIB_ID]))*(UO_List[Qté Réception 03/2020]))</f>
        <v>0</v>
      </c>
      <c r="AE121" s="84"/>
      <c r="AF121" s="357"/>
      <c r="AG121" s="351" t="str">
        <f>IFERROR(Tableau1[[#This Row],[Qté Facturé 01/2018]]*Tableau1[[#This Row],[Unit Price (calcul)]],"")</f>
        <v/>
      </c>
      <c r="AH121" s="356" t="str">
        <f>IFERROR(IF(Tableau1[[#This Row],[Montant Facturé 01/2018]]&gt;0,Tableau1[[#This Row],[Montant Facturé 01/2018]]/Taux_Change_SII,""),"")</f>
        <v/>
      </c>
      <c r="AI121" s="351"/>
      <c r="AJ121" s="83">
        <f>SUMPRODUCT(1*(EXACT(CONCATENATE(Tableau1[[#This Row],[PO Number (Header)]],"-",Tableau1[[#This Row],[Line]]),UO_List[Unique_AIB_ID]))*(UO_List[Qté Réception 02/2020]))</f>
        <v>0</v>
      </c>
      <c r="AK121" s="83">
        <f>SUMPRODUCT(1*(EXACT(CONCATENATE(Tableau1[[#This Row],[PO Number (Header)]],"-",Tableau1[[#This Row],[Line]]),UO_List[Unique_AIB_ID]))*(UO_List[Qté Réception 02/2020]))</f>
        <v>0</v>
      </c>
      <c r="AL121" s="357"/>
      <c r="AM121" s="351" t="str">
        <f>IFERROR(Tableau1[[#This Row],[Qté Facturé 02/2018]]*Tableau1[[#This Row],[Unit Price (calcul)]],"")</f>
        <v/>
      </c>
      <c r="AN121" s="351" t="str">
        <f>IFERROR(IF(Tableau1[[#This Row],[Montant Facturé 02/2018]]&gt;0,Tableau1[[#This Row],[Montant Facturé 02/2018]]/Taux_Change_SII,""),"")</f>
        <v/>
      </c>
      <c r="AO121" s="351"/>
      <c r="AP121" s="83">
        <f>SUMPRODUCT(1*(EXACT(CONCATENATE(Tableau1[[#This Row],[PO Number (Header)]],"-",Tableau1[[#This Row],[Line]]),UO_List[Unique_AIB_ID]))*(UO_List[Qté Réception 00/2020]))</f>
        <v>0</v>
      </c>
      <c r="AQ121" s="84"/>
      <c r="AR121" s="357"/>
      <c r="AS121" s="351" t="str">
        <f>IFERROR(Tableau1[[#This Row],[Qté Facturé 03/2018]]*Tableau1[[#This Row],[Unit Price (calcul)]],"")</f>
        <v/>
      </c>
      <c r="AT121" s="351" t="str">
        <f>IFERROR(IF(Tableau1[[#This Row],[Montant Facturé 03/2018]]&gt;0,Tableau1[[#This Row],[Montant Facturé 03/2018]]/Taux_Change_SII,""),"")</f>
        <v/>
      </c>
      <c r="AU121" s="351"/>
      <c r="AV121" s="83">
        <f>SUMPRODUCT(1*(EXACT(CONCATENATE(Tableau1[[#This Row],[PO Number (Header)]],"-",Tableau1[[#This Row],[Line]]),UO_List[Unique_AIB_ID]))*(UO_List[Qté Réception 04/2020]))</f>
        <v>0</v>
      </c>
      <c r="AW121" s="84"/>
      <c r="AX121" s="351"/>
      <c r="AY121" s="351" t="str">
        <f>IFERROR(Tableau1[[#This Row],[Qté Facturé 04/2018]]*Tableau1[[#This Row],[Unit Price (calcul)]],"")</f>
        <v/>
      </c>
      <c r="AZ121" s="351" t="str">
        <f>IFERROR(IF(Tableau1[[#This Row],[Montant Facturé 04/2018]]&gt;0,Tableau1[[#This Row],[Montant Facturé 04/2018]]/Taux_Change_SII,""),"")</f>
        <v/>
      </c>
      <c r="BA121" s="351"/>
      <c r="BB121" s="83">
        <f>SUMPRODUCT(1*(EXACT(CONCATENATE(Tableau1[[#This Row],[PO Number (Header)]],"-",Tableau1[[#This Row],[Line]]),UO_List[Unique_AIB_ID]))*(UO_List[Qté Réception 05/2020]))</f>
        <v>0</v>
      </c>
      <c r="BC121" s="84"/>
      <c r="BD121" s="351"/>
      <c r="BE121" s="351" t="str">
        <f>IFERROR(Tableau1[[#This Row],[Qté Facturé 05/2018]]*Tableau1[[#This Row],[Unit Price (calcul)]],"")</f>
        <v/>
      </c>
      <c r="BF121" s="351" t="str">
        <f>IFERROR(IF(Tableau1[[#This Row],[Montant Facturé 05/2018]]&gt;0,Tableau1[[#This Row],[Montant Facturé 05/2018]]/Taux_Change_SII,""),"")</f>
        <v/>
      </c>
      <c r="BG121" s="351"/>
      <c r="BH121" s="83">
        <f>SUMPRODUCT(1*(EXACT(CONCATENATE(Tableau1[[#This Row],[PO Number (Header)]],"-",Tableau1[[#This Row],[Line]]),UO_List[Unique_AIB_ID]))*(UO_List[Qté Réception 06/2020]))</f>
        <v>0</v>
      </c>
      <c r="BI121" s="84"/>
      <c r="BJ121" s="351"/>
      <c r="BK121" s="351" t="str">
        <f>IFERROR(Tableau1[[#This Row],[Qté Facturé 06/2018]]*Tableau1[[#This Row],[Unit Price (calcul)]],"")</f>
        <v/>
      </c>
      <c r="BL121" s="351" t="str">
        <f>IFERROR(IF(Tableau1[[#This Row],[Montant Facturé 06/2018]]&gt;0,Tableau1[[#This Row],[Montant Facturé 06/2018]]/Taux_Change_SII,""),"")</f>
        <v/>
      </c>
      <c r="BM121" s="351"/>
      <c r="BN121" s="83">
        <f>SUMPRODUCT(1*(EXACT(CONCATENATE(Tableau1[[#This Row],[PO Number (Header)]],"-",Tableau1[[#This Row],[Line]]),UO_List[Unique_AIB_ID]))*(UO_List[Qté Réception 07/2020]))</f>
        <v>0</v>
      </c>
      <c r="BO121" s="84"/>
      <c r="BP121" s="351"/>
      <c r="BQ121" s="351" t="str">
        <f>IFERROR(Tableau1[[#This Row],[Qté Facturé 07/2018]]*Tableau1[[#This Row],[Unit Price (calcul)]],"")</f>
        <v/>
      </c>
      <c r="BR121" s="351" t="str">
        <f>IFERROR(IF(Tableau1[[#This Row],[Montant Facturé 07/2018]]&gt;0,Tableau1[[#This Row],[Montant Facturé 07/2018]]/Taux_Change_SII,""),"")</f>
        <v/>
      </c>
      <c r="BS121" s="351"/>
      <c r="BT121" s="83">
        <f>SUMPRODUCT(1*(EXACT(CONCATENATE(Tableau1[[#This Row],[PO Number (Header)]],"-",Tableau1[[#This Row],[Line]]),UO_List[Unique_AIB_ID]))*(UO_List[Qté Réception 08/2020]))</f>
        <v>0</v>
      </c>
      <c r="BU121" s="84"/>
      <c r="BV121" s="351"/>
      <c r="BW121" s="351" t="str">
        <f>IFERROR(Tableau1[[#This Row],[Qté Facturé 08/2018]]*Tableau1[[#This Row],[Unit Price (calcul)]],"")</f>
        <v/>
      </c>
      <c r="BX121" s="351" t="str">
        <f>IFERROR(IF(Tableau1[[#This Row],[Montant Facturé 08/2018]]&gt;0,Tableau1[[#This Row],[Montant Facturé 08/2018]]/Taux_Change_SII,""),"")</f>
        <v/>
      </c>
      <c r="BY121" s="351"/>
      <c r="BZ121" s="83">
        <f>SUMPRODUCT(1*(EXACT(CONCATENATE(Tableau1[[#This Row],[PO Number (Header)]],"-",Tableau1[[#This Row],[Line]]),UO_List[Unique_AIB_ID]))*(UO_List[Qté Réception 09/2020]))</f>
        <v>0</v>
      </c>
      <c r="CA121" s="84">
        <v>0</v>
      </c>
      <c r="CB121" s="351"/>
      <c r="CC121" s="351" t="str">
        <f>IFERROR(Tableau1[[#This Row],[Qté Facturé 09/2018]]*Tableau1[[#This Row],[Unit Price (calcul)]],"")</f>
        <v/>
      </c>
      <c r="CD121" s="351" t="str">
        <f>IFERROR(IF(Tableau1[[#This Row],[Montant Facturé 09/2018]]&gt;0,Tableau1[[#This Row],[Montant Facturé 09/2018]]/Taux_Change_SII,""),"")</f>
        <v/>
      </c>
      <c r="CE121" s="351"/>
      <c r="CF121" s="83">
        <f>SUMPRODUCT(1*(EXACT(CONCATENATE(Tableau1[[#This Row],[PO Number (Header)]],"-",Tableau1[[#This Row],[Line]]),UO_List[Unique_AIB_ID]))*(UO_List[Qté Réception 10/2020]))</f>
        <v>0</v>
      </c>
      <c r="CG121" s="84">
        <v>0</v>
      </c>
      <c r="CH121" s="351"/>
      <c r="CI121" s="351" t="str">
        <f>IFERROR(Tableau1[[#This Row],[Qté Facturé 10/2018]]*Tableau1[[#This Row],[Unit Price (calcul)]],"")</f>
        <v/>
      </c>
      <c r="CJ121" s="351" t="str">
        <f>IFERROR(IF(Tableau1[[#This Row],[Montant Facturé 10/2018]]&gt;0,Tableau1[[#This Row],[Montant Facturé 10/2018]]/Taux_Change_SII,""),"")</f>
        <v/>
      </c>
      <c r="CK121" s="351"/>
      <c r="CL121" s="83">
        <f>SUMPRODUCT(1*(EXACT(CONCATENATE(Tableau1[[#This Row],[PO Number (Header)]],"-",Tableau1[[#This Row],[Line]]),UO_List[Unique_AIB_ID]))*(UO_List[Qté Réception 11/2020]))</f>
        <v>0</v>
      </c>
      <c r="CM121" s="84"/>
      <c r="CN121" s="351"/>
      <c r="CO121" s="351" t="str">
        <f>IFERROR(Tableau1[[#This Row],[Qté Facturé 11/2018]]*Tableau1[[#This Row],[Unit Price (calcul)]],"")</f>
        <v/>
      </c>
      <c r="CP121" s="351" t="str">
        <f>IFERROR(IF(Tableau1[[#This Row],[Montant Facturé 11/2018]]&gt;0,Tableau1[[#This Row],[Montant Facturé 11/2018]]/Taux_Change_SII,""),"")</f>
        <v/>
      </c>
      <c r="CQ121" s="351"/>
      <c r="CR121" s="83">
        <f>SUMPRODUCT(1*(EXACT(CONCATENATE(Tableau1[[#This Row],[PO Number (Header)]],"-",Tableau1[[#This Row],[Line]]),UO_List[Unique_AIB_ID]))*(UO_List[Qté Réception 12/2020]))</f>
        <v>0</v>
      </c>
      <c r="CS121" s="84"/>
      <c r="CT121" s="351"/>
      <c r="CU121" s="351" t="str">
        <f>IFERROR(Tableau1[[#This Row],[Qté Facturé 12/2018]]*Tableau1[[#This Row],[Unit Price (calcul)]],"")</f>
        <v/>
      </c>
      <c r="CV121" s="351" t="str">
        <f>IFERROR(IF(Tableau1[[#This Row],[Montant Facturé 12/2018]]&gt;0,Tableau1[[#This Row],[Montant Facturé 12/2018]]/Taux_Change_SII,""),"")</f>
        <v/>
      </c>
      <c r="CW121" s="351"/>
      <c r="CX12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1" s="352" t="str">
        <f>IFERROR(Tableau1[[#This Row],[Total item réceptionné]]*Tableau1[[#This Row],[Unit Price (calcul)]],"")</f>
        <v/>
      </c>
      <c r="DB121" s="352" t="str">
        <f>IFERROR(Tableau1[[#This Row],[Total item à Facturer]]*Tableau1[[#This Row],[Unit Price (calcul)]],"")</f>
        <v/>
      </c>
      <c r="DC12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1" s="352" t="str">
        <f>IFERROR(Tableau1[[#This Row],[Line Total]]-Tableau1[[#This Row],[Total Price Réceptionné]],"")</f>
        <v/>
      </c>
      <c r="DE121" s="352" t="str">
        <f>IFERROR(Tableau1[[#This Row],[Total Price Réceptionné]]-Tableau1[[#This Row],[Total Price A facturer]],"")</f>
        <v/>
      </c>
      <c r="DF121" s="353" t="str">
        <f>IFERROR(Tableau1[[#This Row],[Total Price A facturer]]-Tableau1[[#This Row],[Total Price Facturé]],"")</f>
        <v/>
      </c>
      <c r="DG121" s="76">
        <f>Tableau1[[#This Row],[Total Item Quantity]]-Tableau1[[#This Row],[Total item réceptionné]]</f>
        <v>0</v>
      </c>
      <c r="DH121" s="167"/>
      <c r="DI121" s="167"/>
    </row>
    <row r="122" spans="1:113" s="74" customFormat="1">
      <c r="A122" s="77" t="str">
        <f>CONCATENATE(Tableau1[[#This Row],[PO Number (Header)]],"-",Tableau1[[#This Row],[Line]])</f>
        <v>-</v>
      </c>
      <c r="B122" s="77"/>
      <c r="C122" s="450"/>
      <c r="D122" s="102"/>
      <c r="E122" s="77"/>
      <c r="F122" s="77"/>
      <c r="G122" s="77"/>
      <c r="H122" s="77"/>
      <c r="I122" s="452"/>
      <c r="J122" s="452"/>
      <c r="K122" s="453"/>
      <c r="L122" s="453"/>
      <c r="M122" s="77"/>
      <c r="N122" s="77"/>
      <c r="O122" s="77"/>
      <c r="P122" s="77"/>
      <c r="Q122" s="395"/>
      <c r="R122" s="395"/>
      <c r="S122" s="77"/>
      <c r="T122" s="77"/>
      <c r="U122" s="77"/>
      <c r="V122" s="77"/>
      <c r="W122" s="167"/>
      <c r="X122" s="167"/>
      <c r="Y122" s="167" t="str">
        <f>IF(ISBLANK(Tableau1[[#This Row],[PO Number (Header)]]),"",Tableau1[[#This Row],[Line Total]]/Tableau1[[#This Row],[Total Item Quantity]])</f>
        <v/>
      </c>
      <c r="Z122" s="167" t="str">
        <f>IF(ISNA(VLOOKUP(Tableau1[[#This Row],[Unique_AIB_ID]],UO_List[Unique_AIB_ID],1,FALSE)),IF(ISBLANK(Tableau1[[#This Row],[PO Number (Header)]]),"","FAUX"),"VRAI")</f>
        <v/>
      </c>
      <c r="AA122" s="167"/>
      <c r="AB122" s="162" t="e">
        <f>VLOOKUP(Tableau1[[#This Row],[Unique_AIB_ID]],UO_List[[Unique_AIB_ID]:[OLGA F6]],3,FALSE)</f>
        <v>#N/A</v>
      </c>
      <c r="AC122" s="162" t="s">
        <v>790</v>
      </c>
      <c r="AD122" s="83">
        <f>SUMPRODUCT(1*(EXACT(CONCATENATE(Tableau1[[#This Row],[PO Number (Header)]],"-",Tableau1[[#This Row],[Line]]),UO_List[Unique_AIB_ID]))*(UO_List[Qté Réception 03/2020]))</f>
        <v>0</v>
      </c>
      <c r="AE122" s="84"/>
      <c r="AF122" s="357"/>
      <c r="AG122" s="351" t="str">
        <f>IFERROR(Tableau1[[#This Row],[Qté Facturé 01/2018]]*Tableau1[[#This Row],[Unit Price (calcul)]],"")</f>
        <v/>
      </c>
      <c r="AH122" s="356" t="str">
        <f>IFERROR(IF(Tableau1[[#This Row],[Montant Facturé 01/2018]]&gt;0,Tableau1[[#This Row],[Montant Facturé 01/2018]]/Taux_Change_SII,""),"")</f>
        <v/>
      </c>
      <c r="AI122" s="351"/>
      <c r="AJ122" s="83">
        <f>SUMPRODUCT(1*(EXACT(CONCATENATE(Tableau1[[#This Row],[PO Number (Header)]],"-",Tableau1[[#This Row],[Line]]),UO_List[Unique_AIB_ID]))*(UO_List[Qté Réception 02/2020]))</f>
        <v>0</v>
      </c>
      <c r="AK122" s="83">
        <f>SUMPRODUCT(1*(EXACT(CONCATENATE(Tableau1[[#This Row],[PO Number (Header)]],"-",Tableau1[[#This Row],[Line]]),UO_List[Unique_AIB_ID]))*(UO_List[Qté Réception 02/2020]))</f>
        <v>0</v>
      </c>
      <c r="AL122" s="357"/>
      <c r="AM122" s="351" t="str">
        <f>IFERROR(Tableau1[[#This Row],[Qté Facturé 02/2018]]*Tableau1[[#This Row],[Unit Price (calcul)]],"")</f>
        <v/>
      </c>
      <c r="AN122" s="351" t="str">
        <f>IFERROR(IF(Tableau1[[#This Row],[Montant Facturé 02/2018]]&gt;0,Tableau1[[#This Row],[Montant Facturé 02/2018]]/Taux_Change_SII,""),"")</f>
        <v/>
      </c>
      <c r="AO122" s="351"/>
      <c r="AP122" s="83">
        <f>SUMPRODUCT(1*(EXACT(CONCATENATE(Tableau1[[#This Row],[PO Number (Header)]],"-",Tableau1[[#This Row],[Line]]),UO_List[Unique_AIB_ID]))*(UO_List[Qté Réception 00/2020]))</f>
        <v>0</v>
      </c>
      <c r="AQ122" s="84"/>
      <c r="AR122" s="357"/>
      <c r="AS122" s="351" t="str">
        <f>IFERROR(Tableau1[[#This Row],[Qté Facturé 03/2018]]*Tableau1[[#This Row],[Unit Price (calcul)]],"")</f>
        <v/>
      </c>
      <c r="AT122" s="351" t="str">
        <f>IFERROR(IF(Tableau1[[#This Row],[Montant Facturé 03/2018]]&gt;0,Tableau1[[#This Row],[Montant Facturé 03/2018]]/Taux_Change_SII,""),"")</f>
        <v/>
      </c>
      <c r="AU122" s="351"/>
      <c r="AV122" s="83">
        <f>SUMPRODUCT(1*(EXACT(CONCATENATE(Tableau1[[#This Row],[PO Number (Header)]],"-",Tableau1[[#This Row],[Line]]),UO_List[Unique_AIB_ID]))*(UO_List[Qté Réception 04/2020]))</f>
        <v>0</v>
      </c>
      <c r="AW122" s="84"/>
      <c r="AX122" s="351"/>
      <c r="AY122" s="351" t="str">
        <f>IFERROR(Tableau1[[#This Row],[Qté Facturé 04/2018]]*Tableau1[[#This Row],[Unit Price (calcul)]],"")</f>
        <v/>
      </c>
      <c r="AZ122" s="351" t="str">
        <f>IFERROR(IF(Tableau1[[#This Row],[Montant Facturé 04/2018]]&gt;0,Tableau1[[#This Row],[Montant Facturé 04/2018]]/Taux_Change_SII,""),"")</f>
        <v/>
      </c>
      <c r="BA122" s="351"/>
      <c r="BB122" s="83">
        <f>SUMPRODUCT(1*(EXACT(CONCATENATE(Tableau1[[#This Row],[PO Number (Header)]],"-",Tableau1[[#This Row],[Line]]),UO_List[Unique_AIB_ID]))*(UO_List[Qté Réception 05/2020]))</f>
        <v>0</v>
      </c>
      <c r="BC122" s="84"/>
      <c r="BD122" s="351"/>
      <c r="BE122" s="351" t="str">
        <f>IFERROR(Tableau1[[#This Row],[Qté Facturé 05/2018]]*Tableau1[[#This Row],[Unit Price (calcul)]],"")</f>
        <v/>
      </c>
      <c r="BF122" s="351" t="str">
        <f>IFERROR(IF(Tableau1[[#This Row],[Montant Facturé 05/2018]]&gt;0,Tableau1[[#This Row],[Montant Facturé 05/2018]]/Taux_Change_SII,""),"")</f>
        <v/>
      </c>
      <c r="BG122" s="351"/>
      <c r="BH122" s="83">
        <f>SUMPRODUCT(1*(EXACT(CONCATENATE(Tableau1[[#This Row],[PO Number (Header)]],"-",Tableau1[[#This Row],[Line]]),UO_List[Unique_AIB_ID]))*(UO_List[Qté Réception 06/2020]))</f>
        <v>0</v>
      </c>
      <c r="BI122" s="84"/>
      <c r="BJ122" s="351"/>
      <c r="BK122" s="351" t="str">
        <f>IFERROR(Tableau1[[#This Row],[Qté Facturé 06/2018]]*Tableau1[[#This Row],[Unit Price (calcul)]],"")</f>
        <v/>
      </c>
      <c r="BL122" s="351" t="str">
        <f>IFERROR(IF(Tableau1[[#This Row],[Montant Facturé 06/2018]]&gt;0,Tableau1[[#This Row],[Montant Facturé 06/2018]]/Taux_Change_SII,""),"")</f>
        <v/>
      </c>
      <c r="BM122" s="351"/>
      <c r="BN122" s="83">
        <f>SUMPRODUCT(1*(EXACT(CONCATENATE(Tableau1[[#This Row],[PO Number (Header)]],"-",Tableau1[[#This Row],[Line]]),UO_List[Unique_AIB_ID]))*(UO_List[Qté Réception 07/2020]))</f>
        <v>0</v>
      </c>
      <c r="BO122" s="84"/>
      <c r="BP122" s="351"/>
      <c r="BQ122" s="351" t="str">
        <f>IFERROR(Tableau1[[#This Row],[Qté Facturé 07/2018]]*Tableau1[[#This Row],[Unit Price (calcul)]],"")</f>
        <v/>
      </c>
      <c r="BR122" s="351" t="str">
        <f>IFERROR(IF(Tableau1[[#This Row],[Montant Facturé 07/2018]]&gt;0,Tableau1[[#This Row],[Montant Facturé 07/2018]]/Taux_Change_SII,""),"")</f>
        <v/>
      </c>
      <c r="BS122" s="351"/>
      <c r="BT122" s="83">
        <f>SUMPRODUCT(1*(EXACT(CONCATENATE(Tableau1[[#This Row],[PO Number (Header)]],"-",Tableau1[[#This Row],[Line]]),UO_List[Unique_AIB_ID]))*(UO_List[Qté Réception 08/2020]))</f>
        <v>0</v>
      </c>
      <c r="BU122" s="84"/>
      <c r="BV122" s="351"/>
      <c r="BW122" s="351" t="str">
        <f>IFERROR(Tableau1[[#This Row],[Qté Facturé 08/2018]]*Tableau1[[#This Row],[Unit Price (calcul)]],"")</f>
        <v/>
      </c>
      <c r="BX122" s="351" t="str">
        <f>IFERROR(IF(Tableau1[[#This Row],[Montant Facturé 08/2018]]&gt;0,Tableau1[[#This Row],[Montant Facturé 08/2018]]/Taux_Change_SII,""),"")</f>
        <v/>
      </c>
      <c r="BY122" s="351"/>
      <c r="BZ122" s="83">
        <f>SUMPRODUCT(1*(EXACT(CONCATENATE(Tableau1[[#This Row],[PO Number (Header)]],"-",Tableau1[[#This Row],[Line]]),UO_List[Unique_AIB_ID]))*(UO_List[Qté Réception 09/2020]))</f>
        <v>0</v>
      </c>
      <c r="CA122" s="84">
        <v>0</v>
      </c>
      <c r="CB122" s="351"/>
      <c r="CC122" s="351" t="str">
        <f>IFERROR(Tableau1[[#This Row],[Qté Facturé 09/2018]]*Tableau1[[#This Row],[Unit Price (calcul)]],"")</f>
        <v/>
      </c>
      <c r="CD122" s="351" t="str">
        <f>IFERROR(IF(Tableau1[[#This Row],[Montant Facturé 09/2018]]&gt;0,Tableau1[[#This Row],[Montant Facturé 09/2018]]/Taux_Change_SII,""),"")</f>
        <v/>
      </c>
      <c r="CE122" s="351"/>
      <c r="CF122" s="83">
        <f>SUMPRODUCT(1*(EXACT(CONCATENATE(Tableau1[[#This Row],[PO Number (Header)]],"-",Tableau1[[#This Row],[Line]]),UO_List[Unique_AIB_ID]))*(UO_List[Qté Réception 10/2020]))</f>
        <v>0</v>
      </c>
      <c r="CG122" s="84">
        <v>0</v>
      </c>
      <c r="CH122" s="351"/>
      <c r="CI122" s="351" t="str">
        <f>IFERROR(Tableau1[[#This Row],[Qté Facturé 10/2018]]*Tableau1[[#This Row],[Unit Price (calcul)]],"")</f>
        <v/>
      </c>
      <c r="CJ122" s="351" t="str">
        <f>IFERROR(IF(Tableau1[[#This Row],[Montant Facturé 10/2018]]&gt;0,Tableau1[[#This Row],[Montant Facturé 10/2018]]/Taux_Change_SII,""),"")</f>
        <v/>
      </c>
      <c r="CK122" s="351"/>
      <c r="CL122" s="83">
        <f>SUMPRODUCT(1*(EXACT(CONCATENATE(Tableau1[[#This Row],[PO Number (Header)]],"-",Tableau1[[#This Row],[Line]]),UO_List[Unique_AIB_ID]))*(UO_List[Qté Réception 11/2020]))</f>
        <v>0</v>
      </c>
      <c r="CM122" s="84"/>
      <c r="CN122" s="351"/>
      <c r="CO122" s="351" t="str">
        <f>IFERROR(Tableau1[[#This Row],[Qté Facturé 11/2018]]*Tableau1[[#This Row],[Unit Price (calcul)]],"")</f>
        <v/>
      </c>
      <c r="CP122" s="351" t="str">
        <f>IFERROR(IF(Tableau1[[#This Row],[Montant Facturé 11/2018]]&gt;0,Tableau1[[#This Row],[Montant Facturé 11/2018]]/Taux_Change_SII,""),"")</f>
        <v/>
      </c>
      <c r="CQ122" s="351"/>
      <c r="CR122" s="83">
        <f>SUMPRODUCT(1*(EXACT(CONCATENATE(Tableau1[[#This Row],[PO Number (Header)]],"-",Tableau1[[#This Row],[Line]]),UO_List[Unique_AIB_ID]))*(UO_List[Qté Réception 12/2020]))</f>
        <v>0</v>
      </c>
      <c r="CS122" s="84"/>
      <c r="CT122" s="351"/>
      <c r="CU122" s="351" t="str">
        <f>IFERROR(Tableau1[[#This Row],[Qté Facturé 12/2018]]*Tableau1[[#This Row],[Unit Price (calcul)]],"")</f>
        <v/>
      </c>
      <c r="CV122" s="351" t="str">
        <f>IFERROR(IF(Tableau1[[#This Row],[Montant Facturé 12/2018]]&gt;0,Tableau1[[#This Row],[Montant Facturé 12/2018]]/Taux_Change_SII,""),"")</f>
        <v/>
      </c>
      <c r="CW122" s="351"/>
      <c r="CX12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2" s="352" t="str">
        <f>IFERROR(Tableau1[[#This Row],[Total item réceptionné]]*Tableau1[[#This Row],[Unit Price (calcul)]],"")</f>
        <v/>
      </c>
      <c r="DB122" s="352" t="str">
        <f>IFERROR(Tableau1[[#This Row],[Total item à Facturer]]*Tableau1[[#This Row],[Unit Price (calcul)]],"")</f>
        <v/>
      </c>
      <c r="DC12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2" s="352" t="str">
        <f>IFERROR(Tableau1[[#This Row],[Line Total]]-Tableau1[[#This Row],[Total Price Réceptionné]],"")</f>
        <v/>
      </c>
      <c r="DE122" s="352" t="str">
        <f>IFERROR(Tableau1[[#This Row],[Total Price Réceptionné]]-Tableau1[[#This Row],[Total Price A facturer]],"")</f>
        <v/>
      </c>
      <c r="DF122" s="353" t="str">
        <f>IFERROR(Tableau1[[#This Row],[Total Price A facturer]]-Tableau1[[#This Row],[Total Price Facturé]],"")</f>
        <v/>
      </c>
      <c r="DG122" s="76">
        <f>Tableau1[[#This Row],[Total Item Quantity]]-Tableau1[[#This Row],[Total item réceptionné]]</f>
        <v>0</v>
      </c>
      <c r="DH122" s="167"/>
      <c r="DI122" s="167"/>
    </row>
    <row r="123" spans="1:113" s="74" customFormat="1">
      <c r="A123" s="77" t="str">
        <f>CONCATENATE(Tableau1[[#This Row],[PO Number (Header)]],"-",Tableau1[[#This Row],[Line]])</f>
        <v>-</v>
      </c>
      <c r="B123" s="77"/>
      <c r="C123" s="450"/>
      <c r="D123" s="102"/>
      <c r="E123" s="77"/>
      <c r="F123" s="77"/>
      <c r="G123" s="77"/>
      <c r="H123" s="77"/>
      <c r="I123" s="452"/>
      <c r="J123" s="452"/>
      <c r="K123" s="453"/>
      <c r="L123" s="453"/>
      <c r="M123" s="77"/>
      <c r="N123" s="77"/>
      <c r="O123" s="77"/>
      <c r="P123" s="77"/>
      <c r="Q123" s="395"/>
      <c r="R123" s="395"/>
      <c r="S123" s="77"/>
      <c r="T123" s="77"/>
      <c r="U123" s="77"/>
      <c r="V123" s="77"/>
      <c r="W123" s="167"/>
      <c r="X123" s="167"/>
      <c r="Y123" s="167" t="str">
        <f>IF(ISBLANK(Tableau1[[#This Row],[PO Number (Header)]]),"",Tableau1[[#This Row],[Line Total]]/Tableau1[[#This Row],[Total Item Quantity]])</f>
        <v/>
      </c>
      <c r="Z123" s="167" t="str">
        <f>IF(ISNA(VLOOKUP(Tableau1[[#This Row],[Unique_AIB_ID]],UO_List[Unique_AIB_ID],1,FALSE)),IF(ISBLANK(Tableau1[[#This Row],[PO Number (Header)]]),"","FAUX"),"VRAI")</f>
        <v/>
      </c>
      <c r="AA123" s="167"/>
      <c r="AB123" s="162" t="e">
        <f>VLOOKUP(Tableau1[[#This Row],[Unique_AIB_ID]],UO_List[[Unique_AIB_ID]:[OLGA F6]],3,FALSE)</f>
        <v>#N/A</v>
      </c>
      <c r="AC123" s="162" t="s">
        <v>790</v>
      </c>
      <c r="AD123" s="83">
        <f>SUMPRODUCT(1*(EXACT(CONCATENATE(Tableau1[[#This Row],[PO Number (Header)]],"-",Tableau1[[#This Row],[Line]]),UO_List[Unique_AIB_ID]))*(UO_List[Qté Réception 03/2020]))</f>
        <v>0</v>
      </c>
      <c r="AE123" s="84"/>
      <c r="AF123" s="357"/>
      <c r="AG123" s="351" t="str">
        <f>IFERROR(Tableau1[[#This Row],[Qté Facturé 01/2018]]*Tableau1[[#This Row],[Unit Price (calcul)]],"")</f>
        <v/>
      </c>
      <c r="AH123" s="356" t="str">
        <f>IFERROR(IF(Tableau1[[#This Row],[Montant Facturé 01/2018]]&gt;0,Tableau1[[#This Row],[Montant Facturé 01/2018]]/Taux_Change_SII,""),"")</f>
        <v/>
      </c>
      <c r="AI123" s="351"/>
      <c r="AJ123" s="83">
        <f>SUMPRODUCT(1*(EXACT(CONCATENATE(Tableau1[[#This Row],[PO Number (Header)]],"-",Tableau1[[#This Row],[Line]]),UO_List[Unique_AIB_ID]))*(UO_List[Qté Réception 02/2020]))</f>
        <v>0</v>
      </c>
      <c r="AK123" s="83">
        <f>SUMPRODUCT(1*(EXACT(CONCATENATE(Tableau1[[#This Row],[PO Number (Header)]],"-",Tableau1[[#This Row],[Line]]),UO_List[Unique_AIB_ID]))*(UO_List[Qté Réception 02/2020]))</f>
        <v>0</v>
      </c>
      <c r="AL123" s="357"/>
      <c r="AM123" s="351" t="str">
        <f>IFERROR(Tableau1[[#This Row],[Qté Facturé 02/2018]]*Tableau1[[#This Row],[Unit Price (calcul)]],"")</f>
        <v/>
      </c>
      <c r="AN123" s="351" t="str">
        <f>IFERROR(IF(Tableau1[[#This Row],[Montant Facturé 02/2018]]&gt;0,Tableau1[[#This Row],[Montant Facturé 02/2018]]/Taux_Change_SII,""),"")</f>
        <v/>
      </c>
      <c r="AO123" s="351"/>
      <c r="AP123" s="83">
        <f>SUMPRODUCT(1*(EXACT(CONCATENATE(Tableau1[[#This Row],[PO Number (Header)]],"-",Tableau1[[#This Row],[Line]]),UO_List[Unique_AIB_ID]))*(UO_List[Qté Réception 00/2020]))</f>
        <v>0</v>
      </c>
      <c r="AQ123" s="84"/>
      <c r="AR123" s="357"/>
      <c r="AS123" s="351" t="str">
        <f>IFERROR(Tableau1[[#This Row],[Qté Facturé 03/2018]]*Tableau1[[#This Row],[Unit Price (calcul)]],"")</f>
        <v/>
      </c>
      <c r="AT123" s="351" t="str">
        <f>IFERROR(IF(Tableau1[[#This Row],[Montant Facturé 03/2018]]&gt;0,Tableau1[[#This Row],[Montant Facturé 03/2018]]/Taux_Change_SII,""),"")</f>
        <v/>
      </c>
      <c r="AU123" s="351"/>
      <c r="AV123" s="83">
        <f>SUMPRODUCT(1*(EXACT(CONCATENATE(Tableau1[[#This Row],[PO Number (Header)]],"-",Tableau1[[#This Row],[Line]]),UO_List[Unique_AIB_ID]))*(UO_List[Qté Réception 04/2020]))</f>
        <v>0</v>
      </c>
      <c r="AW123" s="84"/>
      <c r="AX123" s="351"/>
      <c r="AY123" s="351" t="str">
        <f>IFERROR(Tableau1[[#This Row],[Qté Facturé 04/2018]]*Tableau1[[#This Row],[Unit Price (calcul)]],"")</f>
        <v/>
      </c>
      <c r="AZ123" s="351" t="str">
        <f>IFERROR(IF(Tableau1[[#This Row],[Montant Facturé 04/2018]]&gt;0,Tableau1[[#This Row],[Montant Facturé 04/2018]]/Taux_Change_SII,""),"")</f>
        <v/>
      </c>
      <c r="BA123" s="351"/>
      <c r="BB123" s="83">
        <f>SUMPRODUCT(1*(EXACT(CONCATENATE(Tableau1[[#This Row],[PO Number (Header)]],"-",Tableau1[[#This Row],[Line]]),UO_List[Unique_AIB_ID]))*(UO_List[Qté Réception 05/2020]))</f>
        <v>0</v>
      </c>
      <c r="BC123" s="84"/>
      <c r="BD123" s="351"/>
      <c r="BE123" s="351" t="str">
        <f>IFERROR(Tableau1[[#This Row],[Qté Facturé 05/2018]]*Tableau1[[#This Row],[Unit Price (calcul)]],"")</f>
        <v/>
      </c>
      <c r="BF123" s="351" t="str">
        <f>IFERROR(IF(Tableau1[[#This Row],[Montant Facturé 05/2018]]&gt;0,Tableau1[[#This Row],[Montant Facturé 05/2018]]/Taux_Change_SII,""),"")</f>
        <v/>
      </c>
      <c r="BG123" s="351"/>
      <c r="BH123" s="83">
        <f>SUMPRODUCT(1*(EXACT(CONCATENATE(Tableau1[[#This Row],[PO Number (Header)]],"-",Tableau1[[#This Row],[Line]]),UO_List[Unique_AIB_ID]))*(UO_List[Qté Réception 06/2020]))</f>
        <v>0</v>
      </c>
      <c r="BI123" s="84"/>
      <c r="BJ123" s="351"/>
      <c r="BK123" s="351" t="str">
        <f>IFERROR(Tableau1[[#This Row],[Qté Facturé 06/2018]]*Tableau1[[#This Row],[Unit Price (calcul)]],"")</f>
        <v/>
      </c>
      <c r="BL123" s="351" t="str">
        <f>IFERROR(IF(Tableau1[[#This Row],[Montant Facturé 06/2018]]&gt;0,Tableau1[[#This Row],[Montant Facturé 06/2018]]/Taux_Change_SII,""),"")</f>
        <v/>
      </c>
      <c r="BM123" s="351"/>
      <c r="BN123" s="83">
        <f>SUMPRODUCT(1*(EXACT(CONCATENATE(Tableau1[[#This Row],[PO Number (Header)]],"-",Tableau1[[#This Row],[Line]]),UO_List[Unique_AIB_ID]))*(UO_List[Qté Réception 07/2020]))</f>
        <v>0</v>
      </c>
      <c r="BO123" s="84"/>
      <c r="BP123" s="351"/>
      <c r="BQ123" s="351" t="str">
        <f>IFERROR(Tableau1[[#This Row],[Qté Facturé 07/2018]]*Tableau1[[#This Row],[Unit Price (calcul)]],"")</f>
        <v/>
      </c>
      <c r="BR123" s="351" t="str">
        <f>IFERROR(IF(Tableau1[[#This Row],[Montant Facturé 07/2018]]&gt;0,Tableau1[[#This Row],[Montant Facturé 07/2018]]/Taux_Change_SII,""),"")</f>
        <v/>
      </c>
      <c r="BS123" s="351"/>
      <c r="BT123" s="83">
        <f>SUMPRODUCT(1*(EXACT(CONCATENATE(Tableau1[[#This Row],[PO Number (Header)]],"-",Tableau1[[#This Row],[Line]]),UO_List[Unique_AIB_ID]))*(UO_List[Qté Réception 08/2020]))</f>
        <v>0</v>
      </c>
      <c r="BU123" s="84"/>
      <c r="BV123" s="351"/>
      <c r="BW123" s="351" t="str">
        <f>IFERROR(Tableau1[[#This Row],[Qté Facturé 08/2018]]*Tableau1[[#This Row],[Unit Price (calcul)]],"")</f>
        <v/>
      </c>
      <c r="BX123" s="351" t="str">
        <f>IFERROR(IF(Tableau1[[#This Row],[Montant Facturé 08/2018]]&gt;0,Tableau1[[#This Row],[Montant Facturé 08/2018]]/Taux_Change_SII,""),"")</f>
        <v/>
      </c>
      <c r="BY123" s="351"/>
      <c r="BZ123" s="83">
        <f>SUMPRODUCT(1*(EXACT(CONCATENATE(Tableau1[[#This Row],[PO Number (Header)]],"-",Tableau1[[#This Row],[Line]]),UO_List[Unique_AIB_ID]))*(UO_List[Qté Réception 09/2020]))</f>
        <v>0</v>
      </c>
      <c r="CA123" s="84">
        <v>0</v>
      </c>
      <c r="CB123" s="351"/>
      <c r="CC123" s="351" t="str">
        <f>IFERROR(Tableau1[[#This Row],[Qté Facturé 09/2018]]*Tableau1[[#This Row],[Unit Price (calcul)]],"")</f>
        <v/>
      </c>
      <c r="CD123" s="351" t="str">
        <f>IFERROR(IF(Tableau1[[#This Row],[Montant Facturé 09/2018]]&gt;0,Tableau1[[#This Row],[Montant Facturé 09/2018]]/Taux_Change_SII,""),"")</f>
        <v/>
      </c>
      <c r="CE123" s="351"/>
      <c r="CF123" s="83">
        <f>SUMPRODUCT(1*(EXACT(CONCATENATE(Tableau1[[#This Row],[PO Number (Header)]],"-",Tableau1[[#This Row],[Line]]),UO_List[Unique_AIB_ID]))*(UO_List[Qté Réception 10/2020]))</f>
        <v>0</v>
      </c>
      <c r="CG123" s="84">
        <v>0</v>
      </c>
      <c r="CH123" s="351"/>
      <c r="CI123" s="351" t="str">
        <f>IFERROR(Tableau1[[#This Row],[Qté Facturé 10/2018]]*Tableau1[[#This Row],[Unit Price (calcul)]],"")</f>
        <v/>
      </c>
      <c r="CJ123" s="351" t="str">
        <f>IFERROR(IF(Tableau1[[#This Row],[Montant Facturé 10/2018]]&gt;0,Tableau1[[#This Row],[Montant Facturé 10/2018]]/Taux_Change_SII,""),"")</f>
        <v/>
      </c>
      <c r="CK123" s="351"/>
      <c r="CL123" s="83">
        <f>SUMPRODUCT(1*(EXACT(CONCATENATE(Tableau1[[#This Row],[PO Number (Header)]],"-",Tableau1[[#This Row],[Line]]),UO_List[Unique_AIB_ID]))*(UO_List[Qté Réception 11/2020]))</f>
        <v>0</v>
      </c>
      <c r="CM123" s="84"/>
      <c r="CN123" s="351"/>
      <c r="CO123" s="351" t="str">
        <f>IFERROR(Tableau1[[#This Row],[Qté Facturé 11/2018]]*Tableau1[[#This Row],[Unit Price (calcul)]],"")</f>
        <v/>
      </c>
      <c r="CP123" s="351" t="str">
        <f>IFERROR(IF(Tableau1[[#This Row],[Montant Facturé 11/2018]]&gt;0,Tableau1[[#This Row],[Montant Facturé 11/2018]]/Taux_Change_SII,""),"")</f>
        <v/>
      </c>
      <c r="CQ123" s="351"/>
      <c r="CR123" s="83">
        <f>SUMPRODUCT(1*(EXACT(CONCATENATE(Tableau1[[#This Row],[PO Number (Header)]],"-",Tableau1[[#This Row],[Line]]),UO_List[Unique_AIB_ID]))*(UO_List[Qté Réception 12/2020]))</f>
        <v>0</v>
      </c>
      <c r="CS123" s="84"/>
      <c r="CT123" s="351"/>
      <c r="CU123" s="351" t="str">
        <f>IFERROR(Tableau1[[#This Row],[Qté Facturé 12/2018]]*Tableau1[[#This Row],[Unit Price (calcul)]],"")</f>
        <v/>
      </c>
      <c r="CV123" s="351" t="str">
        <f>IFERROR(IF(Tableau1[[#This Row],[Montant Facturé 12/2018]]&gt;0,Tableau1[[#This Row],[Montant Facturé 12/2018]]/Taux_Change_SII,""),"")</f>
        <v/>
      </c>
      <c r="CW123" s="351"/>
      <c r="CX12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3" s="352" t="str">
        <f>IFERROR(Tableau1[[#This Row],[Total item réceptionné]]*Tableau1[[#This Row],[Unit Price (calcul)]],"")</f>
        <v/>
      </c>
      <c r="DB123" s="352" t="str">
        <f>IFERROR(Tableau1[[#This Row],[Total item à Facturer]]*Tableau1[[#This Row],[Unit Price (calcul)]],"")</f>
        <v/>
      </c>
      <c r="DC12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3" s="352" t="str">
        <f>IFERROR(Tableau1[[#This Row],[Line Total]]-Tableau1[[#This Row],[Total Price Réceptionné]],"")</f>
        <v/>
      </c>
      <c r="DE123" s="352" t="str">
        <f>IFERROR(Tableau1[[#This Row],[Total Price Réceptionné]]-Tableau1[[#This Row],[Total Price A facturer]],"")</f>
        <v/>
      </c>
      <c r="DF123" s="353" t="str">
        <f>IFERROR(Tableau1[[#This Row],[Total Price A facturer]]-Tableau1[[#This Row],[Total Price Facturé]],"")</f>
        <v/>
      </c>
      <c r="DG123" s="76">
        <f>Tableau1[[#This Row],[Total Item Quantity]]-Tableau1[[#This Row],[Total item réceptionné]]</f>
        <v>0</v>
      </c>
      <c r="DH123" s="167"/>
      <c r="DI123" s="167"/>
    </row>
    <row r="124" spans="1:113" s="74" customFormat="1">
      <c r="A124" s="77" t="str">
        <f>CONCATENATE(Tableau1[[#This Row],[PO Number (Header)]],"-",Tableau1[[#This Row],[Line]])</f>
        <v>-</v>
      </c>
      <c r="B124" s="77"/>
      <c r="C124" s="450"/>
      <c r="D124" s="102"/>
      <c r="E124" s="77"/>
      <c r="F124" s="77"/>
      <c r="G124" s="77"/>
      <c r="H124" s="77"/>
      <c r="I124" s="452"/>
      <c r="J124" s="452"/>
      <c r="K124" s="453"/>
      <c r="L124" s="453"/>
      <c r="M124" s="77"/>
      <c r="N124" s="77"/>
      <c r="O124" s="77"/>
      <c r="P124" s="77"/>
      <c r="Q124" s="395"/>
      <c r="R124" s="395"/>
      <c r="S124" s="77"/>
      <c r="T124" s="77"/>
      <c r="U124" s="77"/>
      <c r="V124" s="77"/>
      <c r="W124" s="167"/>
      <c r="X124" s="167"/>
      <c r="Y124" s="167" t="str">
        <f>IF(ISBLANK(Tableau1[[#This Row],[PO Number (Header)]]),"",Tableau1[[#This Row],[Line Total]]/Tableau1[[#This Row],[Total Item Quantity]])</f>
        <v/>
      </c>
      <c r="Z124" s="167" t="str">
        <f>IF(ISNA(VLOOKUP(Tableau1[[#This Row],[Unique_AIB_ID]],UO_List[Unique_AIB_ID],1,FALSE)),IF(ISBLANK(Tableau1[[#This Row],[PO Number (Header)]]),"","FAUX"),"VRAI")</f>
        <v/>
      </c>
      <c r="AA124" s="167"/>
      <c r="AB124" s="162" t="e">
        <f>VLOOKUP(Tableau1[[#This Row],[Unique_AIB_ID]],UO_List[[Unique_AIB_ID]:[OLGA F6]],3,FALSE)</f>
        <v>#N/A</v>
      </c>
      <c r="AC124" s="162" t="s">
        <v>790</v>
      </c>
      <c r="AD124" s="83">
        <f>SUMPRODUCT(1*(EXACT(CONCATENATE(Tableau1[[#This Row],[PO Number (Header)]],"-",Tableau1[[#This Row],[Line]]),UO_List[Unique_AIB_ID]))*(UO_List[Qté Réception 03/2020]))</f>
        <v>0</v>
      </c>
      <c r="AE124" s="84"/>
      <c r="AF124" s="357"/>
      <c r="AG124" s="351" t="str">
        <f>IFERROR(Tableau1[[#This Row],[Qté Facturé 01/2018]]*Tableau1[[#This Row],[Unit Price (calcul)]],"")</f>
        <v/>
      </c>
      <c r="AH124" s="356" t="str">
        <f>IFERROR(IF(Tableau1[[#This Row],[Montant Facturé 01/2018]]&gt;0,Tableau1[[#This Row],[Montant Facturé 01/2018]]/Taux_Change_SII,""),"")</f>
        <v/>
      </c>
      <c r="AI124" s="351"/>
      <c r="AJ124" s="83">
        <f>SUMPRODUCT(1*(EXACT(CONCATENATE(Tableau1[[#This Row],[PO Number (Header)]],"-",Tableau1[[#This Row],[Line]]),UO_List[Unique_AIB_ID]))*(UO_List[Qté Réception 02/2020]))</f>
        <v>0</v>
      </c>
      <c r="AK124" s="83">
        <f>SUMPRODUCT(1*(EXACT(CONCATENATE(Tableau1[[#This Row],[PO Number (Header)]],"-",Tableau1[[#This Row],[Line]]),UO_List[Unique_AIB_ID]))*(UO_List[Qté Réception 02/2020]))</f>
        <v>0</v>
      </c>
      <c r="AL124" s="357"/>
      <c r="AM124" s="351" t="str">
        <f>IFERROR(Tableau1[[#This Row],[Qté Facturé 02/2018]]*Tableau1[[#This Row],[Unit Price (calcul)]],"")</f>
        <v/>
      </c>
      <c r="AN124" s="351" t="str">
        <f>IFERROR(IF(Tableau1[[#This Row],[Montant Facturé 02/2018]]&gt;0,Tableau1[[#This Row],[Montant Facturé 02/2018]]/Taux_Change_SII,""),"")</f>
        <v/>
      </c>
      <c r="AO124" s="351"/>
      <c r="AP124" s="83">
        <f>SUMPRODUCT(1*(EXACT(CONCATENATE(Tableau1[[#This Row],[PO Number (Header)]],"-",Tableau1[[#This Row],[Line]]),UO_List[Unique_AIB_ID]))*(UO_List[Qté Réception 00/2020]))</f>
        <v>0</v>
      </c>
      <c r="AQ124" s="84"/>
      <c r="AR124" s="357"/>
      <c r="AS124" s="351" t="str">
        <f>IFERROR(Tableau1[[#This Row],[Qté Facturé 03/2018]]*Tableau1[[#This Row],[Unit Price (calcul)]],"")</f>
        <v/>
      </c>
      <c r="AT124" s="351" t="str">
        <f>IFERROR(IF(Tableau1[[#This Row],[Montant Facturé 03/2018]]&gt;0,Tableau1[[#This Row],[Montant Facturé 03/2018]]/Taux_Change_SII,""),"")</f>
        <v/>
      </c>
      <c r="AU124" s="351"/>
      <c r="AV124" s="83">
        <f>SUMPRODUCT(1*(EXACT(CONCATENATE(Tableau1[[#This Row],[PO Number (Header)]],"-",Tableau1[[#This Row],[Line]]),UO_List[Unique_AIB_ID]))*(UO_List[Qté Réception 04/2020]))</f>
        <v>0</v>
      </c>
      <c r="AW124" s="84"/>
      <c r="AX124" s="351"/>
      <c r="AY124" s="351" t="str">
        <f>IFERROR(Tableau1[[#This Row],[Qté Facturé 04/2018]]*Tableau1[[#This Row],[Unit Price (calcul)]],"")</f>
        <v/>
      </c>
      <c r="AZ124" s="351" t="str">
        <f>IFERROR(IF(Tableau1[[#This Row],[Montant Facturé 04/2018]]&gt;0,Tableau1[[#This Row],[Montant Facturé 04/2018]]/Taux_Change_SII,""),"")</f>
        <v/>
      </c>
      <c r="BA124" s="351"/>
      <c r="BB124" s="83">
        <f>SUMPRODUCT(1*(EXACT(CONCATENATE(Tableau1[[#This Row],[PO Number (Header)]],"-",Tableau1[[#This Row],[Line]]),UO_List[Unique_AIB_ID]))*(UO_List[Qté Réception 05/2020]))</f>
        <v>0</v>
      </c>
      <c r="BC124" s="84"/>
      <c r="BD124" s="351"/>
      <c r="BE124" s="351" t="str">
        <f>IFERROR(Tableau1[[#This Row],[Qté Facturé 05/2018]]*Tableau1[[#This Row],[Unit Price (calcul)]],"")</f>
        <v/>
      </c>
      <c r="BF124" s="351" t="str">
        <f>IFERROR(IF(Tableau1[[#This Row],[Montant Facturé 05/2018]]&gt;0,Tableau1[[#This Row],[Montant Facturé 05/2018]]/Taux_Change_SII,""),"")</f>
        <v/>
      </c>
      <c r="BG124" s="351"/>
      <c r="BH124" s="83">
        <f>SUMPRODUCT(1*(EXACT(CONCATENATE(Tableau1[[#This Row],[PO Number (Header)]],"-",Tableau1[[#This Row],[Line]]),UO_List[Unique_AIB_ID]))*(UO_List[Qté Réception 06/2020]))</f>
        <v>0</v>
      </c>
      <c r="BI124" s="84"/>
      <c r="BJ124" s="351"/>
      <c r="BK124" s="351" t="str">
        <f>IFERROR(Tableau1[[#This Row],[Qté Facturé 06/2018]]*Tableau1[[#This Row],[Unit Price (calcul)]],"")</f>
        <v/>
      </c>
      <c r="BL124" s="351" t="str">
        <f>IFERROR(IF(Tableau1[[#This Row],[Montant Facturé 06/2018]]&gt;0,Tableau1[[#This Row],[Montant Facturé 06/2018]]/Taux_Change_SII,""),"")</f>
        <v/>
      </c>
      <c r="BM124" s="351"/>
      <c r="BN124" s="83">
        <f>SUMPRODUCT(1*(EXACT(CONCATENATE(Tableau1[[#This Row],[PO Number (Header)]],"-",Tableau1[[#This Row],[Line]]),UO_List[Unique_AIB_ID]))*(UO_List[Qté Réception 07/2020]))</f>
        <v>0</v>
      </c>
      <c r="BO124" s="84"/>
      <c r="BP124" s="351"/>
      <c r="BQ124" s="351" t="str">
        <f>IFERROR(Tableau1[[#This Row],[Qté Facturé 07/2018]]*Tableau1[[#This Row],[Unit Price (calcul)]],"")</f>
        <v/>
      </c>
      <c r="BR124" s="351" t="str">
        <f>IFERROR(IF(Tableau1[[#This Row],[Montant Facturé 07/2018]]&gt;0,Tableau1[[#This Row],[Montant Facturé 07/2018]]/Taux_Change_SII,""),"")</f>
        <v/>
      </c>
      <c r="BS124" s="351"/>
      <c r="BT124" s="83">
        <f>SUMPRODUCT(1*(EXACT(CONCATENATE(Tableau1[[#This Row],[PO Number (Header)]],"-",Tableau1[[#This Row],[Line]]),UO_List[Unique_AIB_ID]))*(UO_List[Qté Réception 08/2020]))</f>
        <v>0</v>
      </c>
      <c r="BU124" s="84"/>
      <c r="BV124" s="351"/>
      <c r="BW124" s="351" t="str">
        <f>IFERROR(Tableau1[[#This Row],[Qté Facturé 08/2018]]*Tableau1[[#This Row],[Unit Price (calcul)]],"")</f>
        <v/>
      </c>
      <c r="BX124" s="351" t="str">
        <f>IFERROR(IF(Tableau1[[#This Row],[Montant Facturé 08/2018]]&gt;0,Tableau1[[#This Row],[Montant Facturé 08/2018]]/Taux_Change_SII,""),"")</f>
        <v/>
      </c>
      <c r="BY124" s="351"/>
      <c r="BZ124" s="83">
        <f>SUMPRODUCT(1*(EXACT(CONCATENATE(Tableau1[[#This Row],[PO Number (Header)]],"-",Tableau1[[#This Row],[Line]]),UO_List[Unique_AIB_ID]))*(UO_List[Qté Réception 09/2020]))</f>
        <v>0</v>
      </c>
      <c r="CA124" s="84">
        <v>0</v>
      </c>
      <c r="CB124" s="351"/>
      <c r="CC124" s="351" t="str">
        <f>IFERROR(Tableau1[[#This Row],[Qté Facturé 09/2018]]*Tableau1[[#This Row],[Unit Price (calcul)]],"")</f>
        <v/>
      </c>
      <c r="CD124" s="351" t="str">
        <f>IFERROR(IF(Tableau1[[#This Row],[Montant Facturé 09/2018]]&gt;0,Tableau1[[#This Row],[Montant Facturé 09/2018]]/Taux_Change_SII,""),"")</f>
        <v/>
      </c>
      <c r="CE124" s="351"/>
      <c r="CF124" s="83">
        <f>SUMPRODUCT(1*(EXACT(CONCATENATE(Tableau1[[#This Row],[PO Number (Header)]],"-",Tableau1[[#This Row],[Line]]),UO_List[Unique_AIB_ID]))*(UO_List[Qté Réception 10/2020]))</f>
        <v>0</v>
      </c>
      <c r="CG124" s="84">
        <v>0</v>
      </c>
      <c r="CH124" s="351"/>
      <c r="CI124" s="351" t="str">
        <f>IFERROR(Tableau1[[#This Row],[Qté Facturé 10/2018]]*Tableau1[[#This Row],[Unit Price (calcul)]],"")</f>
        <v/>
      </c>
      <c r="CJ124" s="351" t="str">
        <f>IFERROR(IF(Tableau1[[#This Row],[Montant Facturé 10/2018]]&gt;0,Tableau1[[#This Row],[Montant Facturé 10/2018]]/Taux_Change_SII,""),"")</f>
        <v/>
      </c>
      <c r="CK124" s="351"/>
      <c r="CL124" s="83">
        <f>SUMPRODUCT(1*(EXACT(CONCATENATE(Tableau1[[#This Row],[PO Number (Header)]],"-",Tableau1[[#This Row],[Line]]),UO_List[Unique_AIB_ID]))*(UO_List[Qté Réception 11/2020]))</f>
        <v>0</v>
      </c>
      <c r="CM124" s="84"/>
      <c r="CN124" s="351"/>
      <c r="CO124" s="351" t="str">
        <f>IFERROR(Tableau1[[#This Row],[Qté Facturé 11/2018]]*Tableau1[[#This Row],[Unit Price (calcul)]],"")</f>
        <v/>
      </c>
      <c r="CP124" s="351" t="str">
        <f>IFERROR(IF(Tableau1[[#This Row],[Montant Facturé 11/2018]]&gt;0,Tableau1[[#This Row],[Montant Facturé 11/2018]]/Taux_Change_SII,""),"")</f>
        <v/>
      </c>
      <c r="CQ124" s="351"/>
      <c r="CR124" s="83">
        <f>SUMPRODUCT(1*(EXACT(CONCATENATE(Tableau1[[#This Row],[PO Number (Header)]],"-",Tableau1[[#This Row],[Line]]),UO_List[Unique_AIB_ID]))*(UO_List[Qté Réception 12/2020]))</f>
        <v>0</v>
      </c>
      <c r="CS124" s="84"/>
      <c r="CT124" s="351"/>
      <c r="CU124" s="351" t="str">
        <f>IFERROR(Tableau1[[#This Row],[Qté Facturé 12/2018]]*Tableau1[[#This Row],[Unit Price (calcul)]],"")</f>
        <v/>
      </c>
      <c r="CV124" s="351" t="str">
        <f>IFERROR(IF(Tableau1[[#This Row],[Montant Facturé 12/2018]]&gt;0,Tableau1[[#This Row],[Montant Facturé 12/2018]]/Taux_Change_SII,""),"")</f>
        <v/>
      </c>
      <c r="CW124" s="351"/>
      <c r="CX12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4" s="352" t="str">
        <f>IFERROR(Tableau1[[#This Row],[Total item réceptionné]]*Tableau1[[#This Row],[Unit Price (calcul)]],"")</f>
        <v/>
      </c>
      <c r="DB124" s="352" t="str">
        <f>IFERROR(Tableau1[[#This Row],[Total item à Facturer]]*Tableau1[[#This Row],[Unit Price (calcul)]],"")</f>
        <v/>
      </c>
      <c r="DC12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4" s="352" t="str">
        <f>IFERROR(Tableau1[[#This Row],[Line Total]]-Tableau1[[#This Row],[Total Price Réceptionné]],"")</f>
        <v/>
      </c>
      <c r="DE124" s="352" t="str">
        <f>IFERROR(Tableau1[[#This Row],[Total Price Réceptionné]]-Tableau1[[#This Row],[Total Price A facturer]],"")</f>
        <v/>
      </c>
      <c r="DF124" s="353" t="str">
        <f>IFERROR(Tableau1[[#This Row],[Total Price A facturer]]-Tableau1[[#This Row],[Total Price Facturé]],"")</f>
        <v/>
      </c>
      <c r="DG124" s="76">
        <f>Tableau1[[#This Row],[Total Item Quantity]]-Tableau1[[#This Row],[Total item réceptionné]]</f>
        <v>0</v>
      </c>
      <c r="DH124" s="167"/>
      <c r="DI124" s="167"/>
    </row>
    <row r="125" spans="1:113" s="74" customFormat="1">
      <c r="A125" s="77" t="str">
        <f>CONCATENATE(Tableau1[[#This Row],[PO Number (Header)]],"-",Tableau1[[#This Row],[Line]])</f>
        <v>-</v>
      </c>
      <c r="B125" s="77"/>
      <c r="C125" s="450"/>
      <c r="D125" s="102"/>
      <c r="E125" s="77"/>
      <c r="F125" s="77"/>
      <c r="G125" s="77"/>
      <c r="H125" s="77"/>
      <c r="I125" s="452"/>
      <c r="J125" s="452"/>
      <c r="K125" s="453"/>
      <c r="L125" s="453"/>
      <c r="M125" s="77"/>
      <c r="N125" s="77"/>
      <c r="O125" s="77"/>
      <c r="P125" s="77"/>
      <c r="Q125" s="395"/>
      <c r="R125" s="395"/>
      <c r="S125" s="77"/>
      <c r="T125" s="77"/>
      <c r="U125" s="77"/>
      <c r="V125" s="77"/>
      <c r="W125" s="167"/>
      <c r="X125" s="167"/>
      <c r="Y125" s="167" t="str">
        <f>IF(ISBLANK(Tableau1[[#This Row],[PO Number (Header)]]),"",Tableau1[[#This Row],[Line Total]]/Tableau1[[#This Row],[Total Item Quantity]])</f>
        <v/>
      </c>
      <c r="Z125" s="167" t="str">
        <f>IF(ISNA(VLOOKUP(Tableau1[[#This Row],[Unique_AIB_ID]],UO_List[Unique_AIB_ID],1,FALSE)),IF(ISBLANK(Tableau1[[#This Row],[PO Number (Header)]]),"","FAUX"),"VRAI")</f>
        <v/>
      </c>
      <c r="AA125" s="167"/>
      <c r="AB125" s="162" t="e">
        <f>VLOOKUP(Tableau1[[#This Row],[Unique_AIB_ID]],UO_List[[Unique_AIB_ID]:[OLGA F6]],3,FALSE)</f>
        <v>#N/A</v>
      </c>
      <c r="AC125" s="162" t="s">
        <v>790</v>
      </c>
      <c r="AD125" s="83">
        <f>SUMPRODUCT(1*(EXACT(CONCATENATE(Tableau1[[#This Row],[PO Number (Header)]],"-",Tableau1[[#This Row],[Line]]),UO_List[Unique_AIB_ID]))*(UO_List[Qté Réception 03/2020]))</f>
        <v>0</v>
      </c>
      <c r="AE125" s="84"/>
      <c r="AF125" s="357"/>
      <c r="AG125" s="351" t="str">
        <f>IFERROR(Tableau1[[#This Row],[Qté Facturé 01/2018]]*Tableau1[[#This Row],[Unit Price (calcul)]],"")</f>
        <v/>
      </c>
      <c r="AH125" s="356" t="str">
        <f>IFERROR(IF(Tableau1[[#This Row],[Montant Facturé 01/2018]]&gt;0,Tableau1[[#This Row],[Montant Facturé 01/2018]]/Taux_Change_SII,""),"")</f>
        <v/>
      </c>
      <c r="AI125" s="351"/>
      <c r="AJ125" s="83">
        <f>SUMPRODUCT(1*(EXACT(CONCATENATE(Tableau1[[#This Row],[PO Number (Header)]],"-",Tableau1[[#This Row],[Line]]),UO_List[Unique_AIB_ID]))*(UO_List[Qté Réception 02/2020]))</f>
        <v>0</v>
      </c>
      <c r="AK125" s="83">
        <f>SUMPRODUCT(1*(EXACT(CONCATENATE(Tableau1[[#This Row],[PO Number (Header)]],"-",Tableau1[[#This Row],[Line]]),UO_List[Unique_AIB_ID]))*(UO_List[Qté Réception 02/2020]))</f>
        <v>0</v>
      </c>
      <c r="AL125" s="357"/>
      <c r="AM125" s="351" t="str">
        <f>IFERROR(Tableau1[[#This Row],[Qté Facturé 02/2018]]*Tableau1[[#This Row],[Unit Price (calcul)]],"")</f>
        <v/>
      </c>
      <c r="AN125" s="351" t="str">
        <f>IFERROR(IF(Tableau1[[#This Row],[Montant Facturé 02/2018]]&gt;0,Tableau1[[#This Row],[Montant Facturé 02/2018]]/Taux_Change_SII,""),"")</f>
        <v/>
      </c>
      <c r="AO125" s="351"/>
      <c r="AP125" s="83">
        <f>SUMPRODUCT(1*(EXACT(CONCATENATE(Tableau1[[#This Row],[PO Number (Header)]],"-",Tableau1[[#This Row],[Line]]),UO_List[Unique_AIB_ID]))*(UO_List[Qté Réception 00/2020]))</f>
        <v>0</v>
      </c>
      <c r="AQ125" s="84"/>
      <c r="AR125" s="357"/>
      <c r="AS125" s="351" t="str">
        <f>IFERROR(Tableau1[[#This Row],[Qté Facturé 03/2018]]*Tableau1[[#This Row],[Unit Price (calcul)]],"")</f>
        <v/>
      </c>
      <c r="AT125" s="351" t="str">
        <f>IFERROR(IF(Tableau1[[#This Row],[Montant Facturé 03/2018]]&gt;0,Tableau1[[#This Row],[Montant Facturé 03/2018]]/Taux_Change_SII,""),"")</f>
        <v/>
      </c>
      <c r="AU125" s="351"/>
      <c r="AV125" s="83">
        <f>SUMPRODUCT(1*(EXACT(CONCATENATE(Tableau1[[#This Row],[PO Number (Header)]],"-",Tableau1[[#This Row],[Line]]),UO_List[Unique_AIB_ID]))*(UO_List[Qté Réception 04/2020]))</f>
        <v>0</v>
      </c>
      <c r="AW125" s="84"/>
      <c r="AX125" s="351"/>
      <c r="AY125" s="351" t="str">
        <f>IFERROR(Tableau1[[#This Row],[Qté Facturé 04/2018]]*Tableau1[[#This Row],[Unit Price (calcul)]],"")</f>
        <v/>
      </c>
      <c r="AZ125" s="351" t="str">
        <f>IFERROR(IF(Tableau1[[#This Row],[Montant Facturé 04/2018]]&gt;0,Tableau1[[#This Row],[Montant Facturé 04/2018]]/Taux_Change_SII,""),"")</f>
        <v/>
      </c>
      <c r="BA125" s="351"/>
      <c r="BB125" s="83">
        <f>SUMPRODUCT(1*(EXACT(CONCATENATE(Tableau1[[#This Row],[PO Number (Header)]],"-",Tableau1[[#This Row],[Line]]),UO_List[Unique_AIB_ID]))*(UO_List[Qté Réception 05/2020]))</f>
        <v>0</v>
      </c>
      <c r="BC125" s="84"/>
      <c r="BD125" s="351"/>
      <c r="BE125" s="351" t="str">
        <f>IFERROR(Tableau1[[#This Row],[Qté Facturé 05/2018]]*Tableau1[[#This Row],[Unit Price (calcul)]],"")</f>
        <v/>
      </c>
      <c r="BF125" s="351" t="str">
        <f>IFERROR(IF(Tableau1[[#This Row],[Montant Facturé 05/2018]]&gt;0,Tableau1[[#This Row],[Montant Facturé 05/2018]]/Taux_Change_SII,""),"")</f>
        <v/>
      </c>
      <c r="BG125" s="351"/>
      <c r="BH125" s="83">
        <f>SUMPRODUCT(1*(EXACT(CONCATENATE(Tableau1[[#This Row],[PO Number (Header)]],"-",Tableau1[[#This Row],[Line]]),UO_List[Unique_AIB_ID]))*(UO_List[Qté Réception 06/2020]))</f>
        <v>0</v>
      </c>
      <c r="BI125" s="84"/>
      <c r="BJ125" s="351"/>
      <c r="BK125" s="351" t="str">
        <f>IFERROR(Tableau1[[#This Row],[Qté Facturé 06/2018]]*Tableau1[[#This Row],[Unit Price (calcul)]],"")</f>
        <v/>
      </c>
      <c r="BL125" s="351" t="str">
        <f>IFERROR(IF(Tableau1[[#This Row],[Montant Facturé 06/2018]]&gt;0,Tableau1[[#This Row],[Montant Facturé 06/2018]]/Taux_Change_SII,""),"")</f>
        <v/>
      </c>
      <c r="BM125" s="351"/>
      <c r="BN125" s="83">
        <f>SUMPRODUCT(1*(EXACT(CONCATENATE(Tableau1[[#This Row],[PO Number (Header)]],"-",Tableau1[[#This Row],[Line]]),UO_List[Unique_AIB_ID]))*(UO_List[Qté Réception 07/2020]))</f>
        <v>0</v>
      </c>
      <c r="BO125" s="84"/>
      <c r="BP125" s="351"/>
      <c r="BQ125" s="351" t="str">
        <f>IFERROR(Tableau1[[#This Row],[Qté Facturé 07/2018]]*Tableau1[[#This Row],[Unit Price (calcul)]],"")</f>
        <v/>
      </c>
      <c r="BR125" s="351" t="str">
        <f>IFERROR(IF(Tableau1[[#This Row],[Montant Facturé 07/2018]]&gt;0,Tableau1[[#This Row],[Montant Facturé 07/2018]]/Taux_Change_SII,""),"")</f>
        <v/>
      </c>
      <c r="BS125" s="351"/>
      <c r="BT125" s="83">
        <f>SUMPRODUCT(1*(EXACT(CONCATENATE(Tableau1[[#This Row],[PO Number (Header)]],"-",Tableau1[[#This Row],[Line]]),UO_List[Unique_AIB_ID]))*(UO_List[Qté Réception 08/2020]))</f>
        <v>0</v>
      </c>
      <c r="BU125" s="84"/>
      <c r="BV125" s="351"/>
      <c r="BW125" s="351" t="str">
        <f>IFERROR(Tableau1[[#This Row],[Qté Facturé 08/2018]]*Tableau1[[#This Row],[Unit Price (calcul)]],"")</f>
        <v/>
      </c>
      <c r="BX125" s="351" t="str">
        <f>IFERROR(IF(Tableau1[[#This Row],[Montant Facturé 08/2018]]&gt;0,Tableau1[[#This Row],[Montant Facturé 08/2018]]/Taux_Change_SII,""),"")</f>
        <v/>
      </c>
      <c r="BY125" s="351"/>
      <c r="BZ125" s="83">
        <f>SUMPRODUCT(1*(EXACT(CONCATENATE(Tableau1[[#This Row],[PO Number (Header)]],"-",Tableau1[[#This Row],[Line]]),UO_List[Unique_AIB_ID]))*(UO_List[Qté Réception 09/2020]))</f>
        <v>0</v>
      </c>
      <c r="CA125" s="84">
        <v>0</v>
      </c>
      <c r="CB125" s="351"/>
      <c r="CC125" s="351" t="str">
        <f>IFERROR(Tableau1[[#This Row],[Qté Facturé 09/2018]]*Tableau1[[#This Row],[Unit Price (calcul)]],"")</f>
        <v/>
      </c>
      <c r="CD125" s="351" t="str">
        <f>IFERROR(IF(Tableau1[[#This Row],[Montant Facturé 09/2018]]&gt;0,Tableau1[[#This Row],[Montant Facturé 09/2018]]/Taux_Change_SII,""),"")</f>
        <v/>
      </c>
      <c r="CE125" s="351"/>
      <c r="CF125" s="83">
        <f>SUMPRODUCT(1*(EXACT(CONCATENATE(Tableau1[[#This Row],[PO Number (Header)]],"-",Tableau1[[#This Row],[Line]]),UO_List[Unique_AIB_ID]))*(UO_List[Qté Réception 10/2020]))</f>
        <v>0</v>
      </c>
      <c r="CG125" s="84">
        <v>0</v>
      </c>
      <c r="CH125" s="351"/>
      <c r="CI125" s="351" t="str">
        <f>IFERROR(Tableau1[[#This Row],[Qté Facturé 10/2018]]*Tableau1[[#This Row],[Unit Price (calcul)]],"")</f>
        <v/>
      </c>
      <c r="CJ125" s="351" t="str">
        <f>IFERROR(IF(Tableau1[[#This Row],[Montant Facturé 10/2018]]&gt;0,Tableau1[[#This Row],[Montant Facturé 10/2018]]/Taux_Change_SII,""),"")</f>
        <v/>
      </c>
      <c r="CK125" s="351"/>
      <c r="CL125" s="83">
        <f>SUMPRODUCT(1*(EXACT(CONCATENATE(Tableau1[[#This Row],[PO Number (Header)]],"-",Tableau1[[#This Row],[Line]]),UO_List[Unique_AIB_ID]))*(UO_List[Qté Réception 11/2020]))</f>
        <v>0</v>
      </c>
      <c r="CM125" s="84"/>
      <c r="CN125" s="351"/>
      <c r="CO125" s="351" t="str">
        <f>IFERROR(Tableau1[[#This Row],[Qté Facturé 11/2018]]*Tableau1[[#This Row],[Unit Price (calcul)]],"")</f>
        <v/>
      </c>
      <c r="CP125" s="351" t="str">
        <f>IFERROR(IF(Tableau1[[#This Row],[Montant Facturé 11/2018]]&gt;0,Tableau1[[#This Row],[Montant Facturé 11/2018]]/Taux_Change_SII,""),"")</f>
        <v/>
      </c>
      <c r="CQ125" s="351"/>
      <c r="CR125" s="83">
        <f>SUMPRODUCT(1*(EXACT(CONCATENATE(Tableau1[[#This Row],[PO Number (Header)]],"-",Tableau1[[#This Row],[Line]]),UO_List[Unique_AIB_ID]))*(UO_List[Qté Réception 12/2020]))</f>
        <v>0</v>
      </c>
      <c r="CS125" s="84"/>
      <c r="CT125" s="351"/>
      <c r="CU125" s="351" t="str">
        <f>IFERROR(Tableau1[[#This Row],[Qté Facturé 12/2018]]*Tableau1[[#This Row],[Unit Price (calcul)]],"")</f>
        <v/>
      </c>
      <c r="CV125" s="351" t="str">
        <f>IFERROR(IF(Tableau1[[#This Row],[Montant Facturé 12/2018]]&gt;0,Tableau1[[#This Row],[Montant Facturé 12/2018]]/Taux_Change_SII,""),"")</f>
        <v/>
      </c>
      <c r="CW125" s="351"/>
      <c r="CX12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5" s="352" t="str">
        <f>IFERROR(Tableau1[[#This Row],[Total item réceptionné]]*Tableau1[[#This Row],[Unit Price (calcul)]],"")</f>
        <v/>
      </c>
      <c r="DB125" s="352" t="str">
        <f>IFERROR(Tableau1[[#This Row],[Total item à Facturer]]*Tableau1[[#This Row],[Unit Price (calcul)]],"")</f>
        <v/>
      </c>
      <c r="DC12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5" s="352" t="str">
        <f>IFERROR(Tableau1[[#This Row],[Line Total]]-Tableau1[[#This Row],[Total Price Réceptionné]],"")</f>
        <v/>
      </c>
      <c r="DE125" s="352" t="str">
        <f>IFERROR(Tableau1[[#This Row],[Total Price Réceptionné]]-Tableau1[[#This Row],[Total Price A facturer]],"")</f>
        <v/>
      </c>
      <c r="DF125" s="353" t="str">
        <f>IFERROR(Tableau1[[#This Row],[Total Price A facturer]]-Tableau1[[#This Row],[Total Price Facturé]],"")</f>
        <v/>
      </c>
      <c r="DG125" s="76">
        <f>Tableau1[[#This Row],[Total Item Quantity]]-Tableau1[[#This Row],[Total item réceptionné]]</f>
        <v>0</v>
      </c>
      <c r="DH125" s="167"/>
      <c r="DI125" s="167"/>
    </row>
    <row r="126" spans="1:113" s="74" customFormat="1">
      <c r="A126" s="77" t="str">
        <f>CONCATENATE(Tableau1[[#This Row],[PO Number (Header)]],"-",Tableau1[[#This Row],[Line]])</f>
        <v>-</v>
      </c>
      <c r="B126" s="77"/>
      <c r="C126" s="450"/>
      <c r="D126" s="102"/>
      <c r="E126" s="77"/>
      <c r="F126" s="77"/>
      <c r="G126" s="77"/>
      <c r="H126" s="77"/>
      <c r="I126" s="452"/>
      <c r="J126" s="452"/>
      <c r="K126" s="453"/>
      <c r="L126" s="453"/>
      <c r="M126" s="77"/>
      <c r="N126" s="77"/>
      <c r="O126" s="77"/>
      <c r="P126" s="77"/>
      <c r="Q126" s="395"/>
      <c r="R126" s="395"/>
      <c r="S126" s="77"/>
      <c r="T126" s="77"/>
      <c r="U126" s="77"/>
      <c r="V126" s="77"/>
      <c r="W126" s="167"/>
      <c r="X126" s="167"/>
      <c r="Y126" s="167" t="str">
        <f>IF(ISBLANK(Tableau1[[#This Row],[PO Number (Header)]]),"",Tableau1[[#This Row],[Line Total]]/Tableau1[[#This Row],[Total Item Quantity]])</f>
        <v/>
      </c>
      <c r="Z126" s="167" t="str">
        <f>IF(ISNA(VLOOKUP(Tableau1[[#This Row],[Unique_AIB_ID]],UO_List[Unique_AIB_ID],1,FALSE)),IF(ISBLANK(Tableau1[[#This Row],[PO Number (Header)]]),"","FAUX"),"VRAI")</f>
        <v/>
      </c>
      <c r="AA126" s="167"/>
      <c r="AB126" s="162" t="e">
        <f>VLOOKUP(Tableau1[[#This Row],[Unique_AIB_ID]],UO_List[[Unique_AIB_ID]:[OLGA F6]],3,FALSE)</f>
        <v>#N/A</v>
      </c>
      <c r="AC126" s="162" t="s">
        <v>790</v>
      </c>
      <c r="AD126" s="83">
        <f>SUMPRODUCT(1*(EXACT(CONCATENATE(Tableau1[[#This Row],[PO Number (Header)]],"-",Tableau1[[#This Row],[Line]]),UO_List[Unique_AIB_ID]))*(UO_List[Qté Réception 03/2020]))</f>
        <v>0</v>
      </c>
      <c r="AE126" s="84"/>
      <c r="AF126" s="357"/>
      <c r="AG126" s="351" t="str">
        <f>IFERROR(Tableau1[[#This Row],[Qté Facturé 01/2018]]*Tableau1[[#This Row],[Unit Price (calcul)]],"")</f>
        <v/>
      </c>
      <c r="AH126" s="356" t="str">
        <f>IFERROR(IF(Tableau1[[#This Row],[Montant Facturé 01/2018]]&gt;0,Tableau1[[#This Row],[Montant Facturé 01/2018]]/Taux_Change_SII,""),"")</f>
        <v/>
      </c>
      <c r="AI126" s="351"/>
      <c r="AJ126" s="83">
        <f>SUMPRODUCT(1*(EXACT(CONCATENATE(Tableau1[[#This Row],[PO Number (Header)]],"-",Tableau1[[#This Row],[Line]]),UO_List[Unique_AIB_ID]))*(UO_List[Qté Réception 02/2020]))</f>
        <v>0</v>
      </c>
      <c r="AK126" s="83">
        <f>SUMPRODUCT(1*(EXACT(CONCATENATE(Tableau1[[#This Row],[PO Number (Header)]],"-",Tableau1[[#This Row],[Line]]),UO_List[Unique_AIB_ID]))*(UO_List[Qté Réception 02/2020]))</f>
        <v>0</v>
      </c>
      <c r="AL126" s="357"/>
      <c r="AM126" s="351" t="str">
        <f>IFERROR(Tableau1[[#This Row],[Qté Facturé 02/2018]]*Tableau1[[#This Row],[Unit Price (calcul)]],"")</f>
        <v/>
      </c>
      <c r="AN126" s="351" t="str">
        <f>IFERROR(IF(Tableau1[[#This Row],[Montant Facturé 02/2018]]&gt;0,Tableau1[[#This Row],[Montant Facturé 02/2018]]/Taux_Change_SII,""),"")</f>
        <v/>
      </c>
      <c r="AO126" s="351"/>
      <c r="AP126" s="83">
        <f>SUMPRODUCT(1*(EXACT(CONCATENATE(Tableau1[[#This Row],[PO Number (Header)]],"-",Tableau1[[#This Row],[Line]]),UO_List[Unique_AIB_ID]))*(UO_List[Qté Réception 00/2020]))</f>
        <v>0</v>
      </c>
      <c r="AQ126" s="84"/>
      <c r="AR126" s="357"/>
      <c r="AS126" s="351" t="str">
        <f>IFERROR(Tableau1[[#This Row],[Qté Facturé 03/2018]]*Tableau1[[#This Row],[Unit Price (calcul)]],"")</f>
        <v/>
      </c>
      <c r="AT126" s="351" t="str">
        <f>IFERROR(IF(Tableau1[[#This Row],[Montant Facturé 03/2018]]&gt;0,Tableau1[[#This Row],[Montant Facturé 03/2018]]/Taux_Change_SII,""),"")</f>
        <v/>
      </c>
      <c r="AU126" s="351"/>
      <c r="AV126" s="83">
        <f>SUMPRODUCT(1*(EXACT(CONCATENATE(Tableau1[[#This Row],[PO Number (Header)]],"-",Tableau1[[#This Row],[Line]]),UO_List[Unique_AIB_ID]))*(UO_List[Qté Réception 04/2020]))</f>
        <v>0</v>
      </c>
      <c r="AW126" s="84"/>
      <c r="AX126" s="351"/>
      <c r="AY126" s="351" t="str">
        <f>IFERROR(Tableau1[[#This Row],[Qté Facturé 04/2018]]*Tableau1[[#This Row],[Unit Price (calcul)]],"")</f>
        <v/>
      </c>
      <c r="AZ126" s="351" t="str">
        <f>IFERROR(IF(Tableau1[[#This Row],[Montant Facturé 04/2018]]&gt;0,Tableau1[[#This Row],[Montant Facturé 04/2018]]/Taux_Change_SII,""),"")</f>
        <v/>
      </c>
      <c r="BA126" s="351"/>
      <c r="BB126" s="83">
        <f>SUMPRODUCT(1*(EXACT(CONCATENATE(Tableau1[[#This Row],[PO Number (Header)]],"-",Tableau1[[#This Row],[Line]]),UO_List[Unique_AIB_ID]))*(UO_List[Qté Réception 05/2020]))</f>
        <v>0</v>
      </c>
      <c r="BC126" s="84"/>
      <c r="BD126" s="351"/>
      <c r="BE126" s="351" t="str">
        <f>IFERROR(Tableau1[[#This Row],[Qté Facturé 05/2018]]*Tableau1[[#This Row],[Unit Price (calcul)]],"")</f>
        <v/>
      </c>
      <c r="BF126" s="351" t="str">
        <f>IFERROR(IF(Tableau1[[#This Row],[Montant Facturé 05/2018]]&gt;0,Tableau1[[#This Row],[Montant Facturé 05/2018]]/Taux_Change_SII,""),"")</f>
        <v/>
      </c>
      <c r="BG126" s="351"/>
      <c r="BH126" s="83">
        <f>SUMPRODUCT(1*(EXACT(CONCATENATE(Tableau1[[#This Row],[PO Number (Header)]],"-",Tableau1[[#This Row],[Line]]),UO_List[Unique_AIB_ID]))*(UO_List[Qté Réception 06/2020]))</f>
        <v>0</v>
      </c>
      <c r="BI126" s="84"/>
      <c r="BJ126" s="351"/>
      <c r="BK126" s="351" t="str">
        <f>IFERROR(Tableau1[[#This Row],[Qté Facturé 06/2018]]*Tableau1[[#This Row],[Unit Price (calcul)]],"")</f>
        <v/>
      </c>
      <c r="BL126" s="351" t="str">
        <f>IFERROR(IF(Tableau1[[#This Row],[Montant Facturé 06/2018]]&gt;0,Tableau1[[#This Row],[Montant Facturé 06/2018]]/Taux_Change_SII,""),"")</f>
        <v/>
      </c>
      <c r="BM126" s="351"/>
      <c r="BN126" s="83">
        <f>SUMPRODUCT(1*(EXACT(CONCATENATE(Tableau1[[#This Row],[PO Number (Header)]],"-",Tableau1[[#This Row],[Line]]),UO_List[Unique_AIB_ID]))*(UO_List[Qté Réception 07/2020]))</f>
        <v>0</v>
      </c>
      <c r="BO126" s="84"/>
      <c r="BP126" s="351"/>
      <c r="BQ126" s="351" t="str">
        <f>IFERROR(Tableau1[[#This Row],[Qté Facturé 07/2018]]*Tableau1[[#This Row],[Unit Price (calcul)]],"")</f>
        <v/>
      </c>
      <c r="BR126" s="351" t="str">
        <f>IFERROR(IF(Tableau1[[#This Row],[Montant Facturé 07/2018]]&gt;0,Tableau1[[#This Row],[Montant Facturé 07/2018]]/Taux_Change_SII,""),"")</f>
        <v/>
      </c>
      <c r="BS126" s="351"/>
      <c r="BT126" s="83">
        <f>SUMPRODUCT(1*(EXACT(CONCATENATE(Tableau1[[#This Row],[PO Number (Header)]],"-",Tableau1[[#This Row],[Line]]),UO_List[Unique_AIB_ID]))*(UO_List[Qté Réception 08/2020]))</f>
        <v>0</v>
      </c>
      <c r="BU126" s="84"/>
      <c r="BV126" s="351"/>
      <c r="BW126" s="351" t="str">
        <f>IFERROR(Tableau1[[#This Row],[Qté Facturé 08/2018]]*Tableau1[[#This Row],[Unit Price (calcul)]],"")</f>
        <v/>
      </c>
      <c r="BX126" s="351" t="str">
        <f>IFERROR(IF(Tableau1[[#This Row],[Montant Facturé 08/2018]]&gt;0,Tableau1[[#This Row],[Montant Facturé 08/2018]]/Taux_Change_SII,""),"")</f>
        <v/>
      </c>
      <c r="BY126" s="351"/>
      <c r="BZ126" s="83">
        <f>SUMPRODUCT(1*(EXACT(CONCATENATE(Tableau1[[#This Row],[PO Number (Header)]],"-",Tableau1[[#This Row],[Line]]),UO_List[Unique_AIB_ID]))*(UO_List[Qté Réception 09/2020]))</f>
        <v>0</v>
      </c>
      <c r="CA126" s="84">
        <v>0</v>
      </c>
      <c r="CB126" s="351"/>
      <c r="CC126" s="351" t="str">
        <f>IFERROR(Tableau1[[#This Row],[Qté Facturé 09/2018]]*Tableau1[[#This Row],[Unit Price (calcul)]],"")</f>
        <v/>
      </c>
      <c r="CD126" s="351" t="str">
        <f>IFERROR(IF(Tableau1[[#This Row],[Montant Facturé 09/2018]]&gt;0,Tableau1[[#This Row],[Montant Facturé 09/2018]]/Taux_Change_SII,""),"")</f>
        <v/>
      </c>
      <c r="CE126" s="351"/>
      <c r="CF126" s="83">
        <f>SUMPRODUCT(1*(EXACT(CONCATENATE(Tableau1[[#This Row],[PO Number (Header)]],"-",Tableau1[[#This Row],[Line]]),UO_List[Unique_AIB_ID]))*(UO_List[Qté Réception 10/2020]))</f>
        <v>0</v>
      </c>
      <c r="CG126" s="84">
        <v>0</v>
      </c>
      <c r="CH126" s="351"/>
      <c r="CI126" s="351" t="str">
        <f>IFERROR(Tableau1[[#This Row],[Qté Facturé 10/2018]]*Tableau1[[#This Row],[Unit Price (calcul)]],"")</f>
        <v/>
      </c>
      <c r="CJ126" s="351" t="str">
        <f>IFERROR(IF(Tableau1[[#This Row],[Montant Facturé 10/2018]]&gt;0,Tableau1[[#This Row],[Montant Facturé 10/2018]]/Taux_Change_SII,""),"")</f>
        <v/>
      </c>
      <c r="CK126" s="351"/>
      <c r="CL126" s="83">
        <f>SUMPRODUCT(1*(EXACT(CONCATENATE(Tableau1[[#This Row],[PO Number (Header)]],"-",Tableau1[[#This Row],[Line]]),UO_List[Unique_AIB_ID]))*(UO_List[Qté Réception 11/2020]))</f>
        <v>0</v>
      </c>
      <c r="CM126" s="84"/>
      <c r="CN126" s="351"/>
      <c r="CO126" s="351" t="str">
        <f>IFERROR(Tableau1[[#This Row],[Qté Facturé 11/2018]]*Tableau1[[#This Row],[Unit Price (calcul)]],"")</f>
        <v/>
      </c>
      <c r="CP126" s="351" t="str">
        <f>IFERROR(IF(Tableau1[[#This Row],[Montant Facturé 11/2018]]&gt;0,Tableau1[[#This Row],[Montant Facturé 11/2018]]/Taux_Change_SII,""),"")</f>
        <v/>
      </c>
      <c r="CQ126" s="351"/>
      <c r="CR126" s="83">
        <f>SUMPRODUCT(1*(EXACT(CONCATENATE(Tableau1[[#This Row],[PO Number (Header)]],"-",Tableau1[[#This Row],[Line]]),UO_List[Unique_AIB_ID]))*(UO_List[Qté Réception 12/2020]))</f>
        <v>0</v>
      </c>
      <c r="CS126" s="84"/>
      <c r="CT126" s="351"/>
      <c r="CU126" s="351" t="str">
        <f>IFERROR(Tableau1[[#This Row],[Qté Facturé 12/2018]]*Tableau1[[#This Row],[Unit Price (calcul)]],"")</f>
        <v/>
      </c>
      <c r="CV126" s="351" t="str">
        <f>IFERROR(IF(Tableau1[[#This Row],[Montant Facturé 12/2018]]&gt;0,Tableau1[[#This Row],[Montant Facturé 12/2018]]/Taux_Change_SII,""),"")</f>
        <v/>
      </c>
      <c r="CW126" s="351"/>
      <c r="CX12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6" s="352" t="str">
        <f>IFERROR(Tableau1[[#This Row],[Total item réceptionné]]*Tableau1[[#This Row],[Unit Price (calcul)]],"")</f>
        <v/>
      </c>
      <c r="DB126" s="352" t="str">
        <f>IFERROR(Tableau1[[#This Row],[Total item à Facturer]]*Tableau1[[#This Row],[Unit Price (calcul)]],"")</f>
        <v/>
      </c>
      <c r="DC12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6" s="352" t="str">
        <f>IFERROR(Tableau1[[#This Row],[Line Total]]-Tableau1[[#This Row],[Total Price Réceptionné]],"")</f>
        <v/>
      </c>
      <c r="DE126" s="352" t="str">
        <f>IFERROR(Tableau1[[#This Row],[Total Price Réceptionné]]-Tableau1[[#This Row],[Total Price A facturer]],"")</f>
        <v/>
      </c>
      <c r="DF126" s="353" t="str">
        <f>IFERROR(Tableau1[[#This Row],[Total Price A facturer]]-Tableau1[[#This Row],[Total Price Facturé]],"")</f>
        <v/>
      </c>
      <c r="DG126" s="76">
        <f>Tableau1[[#This Row],[Total Item Quantity]]-Tableau1[[#This Row],[Total item réceptionné]]</f>
        <v>0</v>
      </c>
      <c r="DH126" s="167"/>
      <c r="DI126" s="167"/>
    </row>
    <row r="127" spans="1:113" s="74" customFormat="1">
      <c r="A127" s="77" t="str">
        <f>CONCATENATE(Tableau1[[#This Row],[PO Number (Header)]],"-",Tableau1[[#This Row],[Line]])</f>
        <v>-</v>
      </c>
      <c r="B127" s="77"/>
      <c r="C127" s="450"/>
      <c r="D127" s="102"/>
      <c r="E127" s="77"/>
      <c r="F127" s="77"/>
      <c r="G127" s="77"/>
      <c r="H127" s="77"/>
      <c r="I127" s="452"/>
      <c r="J127" s="452"/>
      <c r="K127" s="453"/>
      <c r="L127" s="453"/>
      <c r="M127" s="77"/>
      <c r="N127" s="77"/>
      <c r="O127" s="77"/>
      <c r="P127" s="77"/>
      <c r="Q127" s="395"/>
      <c r="R127" s="395"/>
      <c r="S127" s="77"/>
      <c r="T127" s="77"/>
      <c r="U127" s="77"/>
      <c r="V127" s="77"/>
      <c r="W127" s="167"/>
      <c r="X127" s="167"/>
      <c r="Y127" s="167" t="str">
        <f>IF(ISBLANK(Tableau1[[#This Row],[PO Number (Header)]]),"",Tableau1[[#This Row],[Line Total]]/Tableau1[[#This Row],[Total Item Quantity]])</f>
        <v/>
      </c>
      <c r="Z127" s="167" t="str">
        <f>IF(ISNA(VLOOKUP(Tableau1[[#This Row],[Unique_AIB_ID]],UO_List[Unique_AIB_ID],1,FALSE)),IF(ISBLANK(Tableau1[[#This Row],[PO Number (Header)]]),"","FAUX"),"VRAI")</f>
        <v/>
      </c>
      <c r="AA127" s="167"/>
      <c r="AB127" s="162" t="e">
        <f>VLOOKUP(Tableau1[[#This Row],[Unique_AIB_ID]],UO_List[[Unique_AIB_ID]:[OLGA F6]],3,FALSE)</f>
        <v>#N/A</v>
      </c>
      <c r="AC127" s="162" t="s">
        <v>790</v>
      </c>
      <c r="AD127" s="83">
        <f>SUMPRODUCT(1*(EXACT(CONCATENATE(Tableau1[[#This Row],[PO Number (Header)]],"-",Tableau1[[#This Row],[Line]]),UO_List[Unique_AIB_ID]))*(UO_List[Qté Réception 03/2020]))</f>
        <v>0</v>
      </c>
      <c r="AE127" s="84"/>
      <c r="AF127" s="357"/>
      <c r="AG127" s="351" t="str">
        <f>IFERROR(Tableau1[[#This Row],[Qté Facturé 01/2018]]*Tableau1[[#This Row],[Unit Price (calcul)]],"")</f>
        <v/>
      </c>
      <c r="AH127" s="356" t="str">
        <f>IFERROR(IF(Tableau1[[#This Row],[Montant Facturé 01/2018]]&gt;0,Tableau1[[#This Row],[Montant Facturé 01/2018]]/Taux_Change_SII,""),"")</f>
        <v/>
      </c>
      <c r="AI127" s="351"/>
      <c r="AJ127" s="83">
        <f>SUMPRODUCT(1*(EXACT(CONCATENATE(Tableau1[[#This Row],[PO Number (Header)]],"-",Tableau1[[#This Row],[Line]]),UO_List[Unique_AIB_ID]))*(UO_List[Qté Réception 02/2020]))</f>
        <v>0</v>
      </c>
      <c r="AK127" s="83">
        <f>SUMPRODUCT(1*(EXACT(CONCATENATE(Tableau1[[#This Row],[PO Number (Header)]],"-",Tableau1[[#This Row],[Line]]),UO_List[Unique_AIB_ID]))*(UO_List[Qté Réception 02/2020]))</f>
        <v>0</v>
      </c>
      <c r="AL127" s="357"/>
      <c r="AM127" s="351" t="str">
        <f>IFERROR(Tableau1[[#This Row],[Qté Facturé 02/2018]]*Tableau1[[#This Row],[Unit Price (calcul)]],"")</f>
        <v/>
      </c>
      <c r="AN127" s="351" t="str">
        <f>IFERROR(IF(Tableau1[[#This Row],[Montant Facturé 02/2018]]&gt;0,Tableau1[[#This Row],[Montant Facturé 02/2018]]/Taux_Change_SII,""),"")</f>
        <v/>
      </c>
      <c r="AO127" s="351"/>
      <c r="AP127" s="83">
        <f>SUMPRODUCT(1*(EXACT(CONCATENATE(Tableau1[[#This Row],[PO Number (Header)]],"-",Tableau1[[#This Row],[Line]]),UO_List[Unique_AIB_ID]))*(UO_List[Qté Réception 00/2020]))</f>
        <v>0</v>
      </c>
      <c r="AQ127" s="84"/>
      <c r="AR127" s="357"/>
      <c r="AS127" s="351" t="str">
        <f>IFERROR(Tableau1[[#This Row],[Qté Facturé 03/2018]]*Tableau1[[#This Row],[Unit Price (calcul)]],"")</f>
        <v/>
      </c>
      <c r="AT127" s="351" t="str">
        <f>IFERROR(IF(Tableau1[[#This Row],[Montant Facturé 03/2018]]&gt;0,Tableau1[[#This Row],[Montant Facturé 03/2018]]/Taux_Change_SII,""),"")</f>
        <v/>
      </c>
      <c r="AU127" s="351"/>
      <c r="AV127" s="83">
        <f>SUMPRODUCT(1*(EXACT(CONCATENATE(Tableau1[[#This Row],[PO Number (Header)]],"-",Tableau1[[#This Row],[Line]]),UO_List[Unique_AIB_ID]))*(UO_List[Qté Réception 04/2020]))</f>
        <v>0</v>
      </c>
      <c r="AW127" s="84"/>
      <c r="AX127" s="351"/>
      <c r="AY127" s="351" t="str">
        <f>IFERROR(Tableau1[[#This Row],[Qté Facturé 04/2018]]*Tableau1[[#This Row],[Unit Price (calcul)]],"")</f>
        <v/>
      </c>
      <c r="AZ127" s="351" t="str">
        <f>IFERROR(IF(Tableau1[[#This Row],[Montant Facturé 04/2018]]&gt;0,Tableau1[[#This Row],[Montant Facturé 04/2018]]/Taux_Change_SII,""),"")</f>
        <v/>
      </c>
      <c r="BA127" s="351"/>
      <c r="BB127" s="83">
        <f>SUMPRODUCT(1*(EXACT(CONCATENATE(Tableau1[[#This Row],[PO Number (Header)]],"-",Tableau1[[#This Row],[Line]]),UO_List[Unique_AIB_ID]))*(UO_List[Qté Réception 05/2020]))</f>
        <v>0</v>
      </c>
      <c r="BC127" s="84"/>
      <c r="BD127" s="351"/>
      <c r="BE127" s="351" t="str">
        <f>IFERROR(Tableau1[[#This Row],[Qté Facturé 05/2018]]*Tableau1[[#This Row],[Unit Price (calcul)]],"")</f>
        <v/>
      </c>
      <c r="BF127" s="351" t="str">
        <f>IFERROR(IF(Tableau1[[#This Row],[Montant Facturé 05/2018]]&gt;0,Tableau1[[#This Row],[Montant Facturé 05/2018]]/Taux_Change_SII,""),"")</f>
        <v/>
      </c>
      <c r="BG127" s="351"/>
      <c r="BH127" s="83">
        <f>SUMPRODUCT(1*(EXACT(CONCATENATE(Tableau1[[#This Row],[PO Number (Header)]],"-",Tableau1[[#This Row],[Line]]),UO_List[Unique_AIB_ID]))*(UO_List[Qté Réception 06/2020]))</f>
        <v>0</v>
      </c>
      <c r="BI127" s="84"/>
      <c r="BJ127" s="351"/>
      <c r="BK127" s="351" t="str">
        <f>IFERROR(Tableau1[[#This Row],[Qté Facturé 06/2018]]*Tableau1[[#This Row],[Unit Price (calcul)]],"")</f>
        <v/>
      </c>
      <c r="BL127" s="351" t="str">
        <f>IFERROR(IF(Tableau1[[#This Row],[Montant Facturé 06/2018]]&gt;0,Tableau1[[#This Row],[Montant Facturé 06/2018]]/Taux_Change_SII,""),"")</f>
        <v/>
      </c>
      <c r="BM127" s="351"/>
      <c r="BN127" s="83">
        <f>SUMPRODUCT(1*(EXACT(CONCATENATE(Tableau1[[#This Row],[PO Number (Header)]],"-",Tableau1[[#This Row],[Line]]),UO_List[Unique_AIB_ID]))*(UO_List[Qté Réception 07/2020]))</f>
        <v>0</v>
      </c>
      <c r="BO127" s="84"/>
      <c r="BP127" s="351"/>
      <c r="BQ127" s="351" t="str">
        <f>IFERROR(Tableau1[[#This Row],[Qté Facturé 07/2018]]*Tableau1[[#This Row],[Unit Price (calcul)]],"")</f>
        <v/>
      </c>
      <c r="BR127" s="351" t="str">
        <f>IFERROR(IF(Tableau1[[#This Row],[Montant Facturé 07/2018]]&gt;0,Tableau1[[#This Row],[Montant Facturé 07/2018]]/Taux_Change_SII,""),"")</f>
        <v/>
      </c>
      <c r="BS127" s="351"/>
      <c r="BT127" s="83">
        <f>SUMPRODUCT(1*(EXACT(CONCATENATE(Tableau1[[#This Row],[PO Number (Header)]],"-",Tableau1[[#This Row],[Line]]),UO_List[Unique_AIB_ID]))*(UO_List[Qté Réception 08/2020]))</f>
        <v>0</v>
      </c>
      <c r="BU127" s="84"/>
      <c r="BV127" s="351"/>
      <c r="BW127" s="351" t="str">
        <f>IFERROR(Tableau1[[#This Row],[Qté Facturé 08/2018]]*Tableau1[[#This Row],[Unit Price (calcul)]],"")</f>
        <v/>
      </c>
      <c r="BX127" s="351" t="str">
        <f>IFERROR(IF(Tableau1[[#This Row],[Montant Facturé 08/2018]]&gt;0,Tableau1[[#This Row],[Montant Facturé 08/2018]]/Taux_Change_SII,""),"")</f>
        <v/>
      </c>
      <c r="BY127" s="351"/>
      <c r="BZ127" s="83">
        <f>SUMPRODUCT(1*(EXACT(CONCATENATE(Tableau1[[#This Row],[PO Number (Header)]],"-",Tableau1[[#This Row],[Line]]),UO_List[Unique_AIB_ID]))*(UO_List[Qté Réception 09/2020]))</f>
        <v>0</v>
      </c>
      <c r="CA127" s="84">
        <v>0</v>
      </c>
      <c r="CB127" s="351"/>
      <c r="CC127" s="351" t="str">
        <f>IFERROR(Tableau1[[#This Row],[Qté Facturé 09/2018]]*Tableau1[[#This Row],[Unit Price (calcul)]],"")</f>
        <v/>
      </c>
      <c r="CD127" s="351" t="str">
        <f>IFERROR(IF(Tableau1[[#This Row],[Montant Facturé 09/2018]]&gt;0,Tableau1[[#This Row],[Montant Facturé 09/2018]]/Taux_Change_SII,""),"")</f>
        <v/>
      </c>
      <c r="CE127" s="351"/>
      <c r="CF127" s="83">
        <f>SUMPRODUCT(1*(EXACT(CONCATENATE(Tableau1[[#This Row],[PO Number (Header)]],"-",Tableau1[[#This Row],[Line]]),UO_List[Unique_AIB_ID]))*(UO_List[Qté Réception 10/2020]))</f>
        <v>0</v>
      </c>
      <c r="CG127" s="84">
        <v>0</v>
      </c>
      <c r="CH127" s="351"/>
      <c r="CI127" s="351" t="str">
        <f>IFERROR(Tableau1[[#This Row],[Qté Facturé 10/2018]]*Tableau1[[#This Row],[Unit Price (calcul)]],"")</f>
        <v/>
      </c>
      <c r="CJ127" s="351" t="str">
        <f>IFERROR(IF(Tableau1[[#This Row],[Montant Facturé 10/2018]]&gt;0,Tableau1[[#This Row],[Montant Facturé 10/2018]]/Taux_Change_SII,""),"")</f>
        <v/>
      </c>
      <c r="CK127" s="351"/>
      <c r="CL127" s="83">
        <f>SUMPRODUCT(1*(EXACT(CONCATENATE(Tableau1[[#This Row],[PO Number (Header)]],"-",Tableau1[[#This Row],[Line]]),UO_List[Unique_AIB_ID]))*(UO_List[Qté Réception 11/2020]))</f>
        <v>0</v>
      </c>
      <c r="CM127" s="84"/>
      <c r="CN127" s="351"/>
      <c r="CO127" s="351" t="str">
        <f>IFERROR(Tableau1[[#This Row],[Qté Facturé 11/2018]]*Tableau1[[#This Row],[Unit Price (calcul)]],"")</f>
        <v/>
      </c>
      <c r="CP127" s="351" t="str">
        <f>IFERROR(IF(Tableau1[[#This Row],[Montant Facturé 11/2018]]&gt;0,Tableau1[[#This Row],[Montant Facturé 11/2018]]/Taux_Change_SII,""),"")</f>
        <v/>
      </c>
      <c r="CQ127" s="351"/>
      <c r="CR127" s="83">
        <f>SUMPRODUCT(1*(EXACT(CONCATENATE(Tableau1[[#This Row],[PO Number (Header)]],"-",Tableau1[[#This Row],[Line]]),UO_List[Unique_AIB_ID]))*(UO_List[Qté Réception 12/2020]))</f>
        <v>0</v>
      </c>
      <c r="CS127" s="84"/>
      <c r="CT127" s="351"/>
      <c r="CU127" s="351" t="str">
        <f>IFERROR(Tableau1[[#This Row],[Qté Facturé 12/2018]]*Tableau1[[#This Row],[Unit Price (calcul)]],"")</f>
        <v/>
      </c>
      <c r="CV127" s="351" t="str">
        <f>IFERROR(IF(Tableau1[[#This Row],[Montant Facturé 12/2018]]&gt;0,Tableau1[[#This Row],[Montant Facturé 12/2018]]/Taux_Change_SII,""),"")</f>
        <v/>
      </c>
      <c r="CW127" s="351"/>
      <c r="CX12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7" s="352" t="str">
        <f>IFERROR(Tableau1[[#This Row],[Total item réceptionné]]*Tableau1[[#This Row],[Unit Price (calcul)]],"")</f>
        <v/>
      </c>
      <c r="DB127" s="352" t="str">
        <f>IFERROR(Tableau1[[#This Row],[Total item à Facturer]]*Tableau1[[#This Row],[Unit Price (calcul)]],"")</f>
        <v/>
      </c>
      <c r="DC12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7" s="352" t="str">
        <f>IFERROR(Tableau1[[#This Row],[Line Total]]-Tableau1[[#This Row],[Total Price Réceptionné]],"")</f>
        <v/>
      </c>
      <c r="DE127" s="352" t="str">
        <f>IFERROR(Tableau1[[#This Row],[Total Price Réceptionné]]-Tableau1[[#This Row],[Total Price A facturer]],"")</f>
        <v/>
      </c>
      <c r="DF127" s="353" t="str">
        <f>IFERROR(Tableau1[[#This Row],[Total Price A facturer]]-Tableau1[[#This Row],[Total Price Facturé]],"")</f>
        <v/>
      </c>
      <c r="DG127" s="76">
        <f>Tableau1[[#This Row],[Total Item Quantity]]-Tableau1[[#This Row],[Total item réceptionné]]</f>
        <v>0</v>
      </c>
      <c r="DH127" s="167"/>
      <c r="DI127" s="167"/>
    </row>
    <row r="128" spans="1:113" s="74" customFormat="1">
      <c r="A128" s="77" t="str">
        <f>CONCATENATE(Tableau1[[#This Row],[PO Number (Header)]],"-",Tableau1[[#This Row],[Line]])</f>
        <v>-</v>
      </c>
      <c r="B128" s="77"/>
      <c r="C128" s="450"/>
      <c r="D128" s="102"/>
      <c r="E128" s="77"/>
      <c r="F128" s="77"/>
      <c r="G128" s="77"/>
      <c r="H128" s="77"/>
      <c r="I128" s="452"/>
      <c r="J128" s="452"/>
      <c r="K128" s="453"/>
      <c r="L128" s="453"/>
      <c r="M128" s="77"/>
      <c r="N128" s="77"/>
      <c r="O128" s="77"/>
      <c r="P128" s="77"/>
      <c r="Q128" s="395"/>
      <c r="R128" s="395"/>
      <c r="S128" s="77"/>
      <c r="T128" s="77"/>
      <c r="U128" s="77"/>
      <c r="V128" s="77"/>
      <c r="W128" s="167"/>
      <c r="X128" s="167"/>
      <c r="Y128" s="167" t="str">
        <f>IF(ISBLANK(Tableau1[[#This Row],[PO Number (Header)]]),"",Tableau1[[#This Row],[Line Total]]/Tableau1[[#This Row],[Total Item Quantity]])</f>
        <v/>
      </c>
      <c r="Z128" s="167" t="str">
        <f>IF(ISNA(VLOOKUP(Tableau1[[#This Row],[Unique_AIB_ID]],UO_List[Unique_AIB_ID],1,FALSE)),IF(ISBLANK(Tableau1[[#This Row],[PO Number (Header)]]),"","FAUX"),"VRAI")</f>
        <v/>
      </c>
      <c r="AA128" s="167"/>
      <c r="AB128" s="162" t="e">
        <f>VLOOKUP(Tableau1[[#This Row],[Unique_AIB_ID]],UO_List[[Unique_AIB_ID]:[OLGA F6]],3,FALSE)</f>
        <v>#N/A</v>
      </c>
      <c r="AC128" s="162" t="s">
        <v>790</v>
      </c>
      <c r="AD128" s="83">
        <f>SUMPRODUCT(1*(EXACT(CONCATENATE(Tableau1[[#This Row],[PO Number (Header)]],"-",Tableau1[[#This Row],[Line]]),UO_List[Unique_AIB_ID]))*(UO_List[Qté Réception 03/2020]))</f>
        <v>0</v>
      </c>
      <c r="AE128" s="84"/>
      <c r="AF128" s="357"/>
      <c r="AG128" s="351" t="str">
        <f>IFERROR(Tableau1[[#This Row],[Qté Facturé 01/2018]]*Tableau1[[#This Row],[Unit Price (calcul)]],"")</f>
        <v/>
      </c>
      <c r="AH128" s="356" t="str">
        <f>IFERROR(IF(Tableau1[[#This Row],[Montant Facturé 01/2018]]&gt;0,Tableau1[[#This Row],[Montant Facturé 01/2018]]/Taux_Change_SII,""),"")</f>
        <v/>
      </c>
      <c r="AI128" s="351"/>
      <c r="AJ128" s="83">
        <f>SUMPRODUCT(1*(EXACT(CONCATENATE(Tableau1[[#This Row],[PO Number (Header)]],"-",Tableau1[[#This Row],[Line]]),UO_List[Unique_AIB_ID]))*(UO_List[Qté Réception 02/2020]))</f>
        <v>0</v>
      </c>
      <c r="AK128" s="83">
        <f>SUMPRODUCT(1*(EXACT(CONCATENATE(Tableau1[[#This Row],[PO Number (Header)]],"-",Tableau1[[#This Row],[Line]]),UO_List[Unique_AIB_ID]))*(UO_List[Qté Réception 02/2020]))</f>
        <v>0</v>
      </c>
      <c r="AL128" s="357"/>
      <c r="AM128" s="351" t="str">
        <f>IFERROR(Tableau1[[#This Row],[Qté Facturé 02/2018]]*Tableau1[[#This Row],[Unit Price (calcul)]],"")</f>
        <v/>
      </c>
      <c r="AN128" s="351" t="str">
        <f>IFERROR(IF(Tableau1[[#This Row],[Montant Facturé 02/2018]]&gt;0,Tableau1[[#This Row],[Montant Facturé 02/2018]]/Taux_Change_SII,""),"")</f>
        <v/>
      </c>
      <c r="AO128" s="351"/>
      <c r="AP128" s="83">
        <f>SUMPRODUCT(1*(EXACT(CONCATENATE(Tableau1[[#This Row],[PO Number (Header)]],"-",Tableau1[[#This Row],[Line]]),UO_List[Unique_AIB_ID]))*(UO_List[Qté Réception 00/2020]))</f>
        <v>0</v>
      </c>
      <c r="AQ128" s="84"/>
      <c r="AR128" s="357"/>
      <c r="AS128" s="351" t="str">
        <f>IFERROR(Tableau1[[#This Row],[Qté Facturé 03/2018]]*Tableau1[[#This Row],[Unit Price (calcul)]],"")</f>
        <v/>
      </c>
      <c r="AT128" s="351" t="str">
        <f>IFERROR(IF(Tableau1[[#This Row],[Montant Facturé 03/2018]]&gt;0,Tableau1[[#This Row],[Montant Facturé 03/2018]]/Taux_Change_SII,""),"")</f>
        <v/>
      </c>
      <c r="AU128" s="351"/>
      <c r="AV128" s="83">
        <f>SUMPRODUCT(1*(EXACT(CONCATENATE(Tableau1[[#This Row],[PO Number (Header)]],"-",Tableau1[[#This Row],[Line]]),UO_List[Unique_AIB_ID]))*(UO_List[Qté Réception 04/2020]))</f>
        <v>0</v>
      </c>
      <c r="AW128" s="84"/>
      <c r="AX128" s="351"/>
      <c r="AY128" s="351" t="str">
        <f>IFERROR(Tableau1[[#This Row],[Qté Facturé 04/2018]]*Tableau1[[#This Row],[Unit Price (calcul)]],"")</f>
        <v/>
      </c>
      <c r="AZ128" s="351" t="str">
        <f>IFERROR(IF(Tableau1[[#This Row],[Montant Facturé 04/2018]]&gt;0,Tableau1[[#This Row],[Montant Facturé 04/2018]]/Taux_Change_SII,""),"")</f>
        <v/>
      </c>
      <c r="BA128" s="351"/>
      <c r="BB128" s="83">
        <f>SUMPRODUCT(1*(EXACT(CONCATENATE(Tableau1[[#This Row],[PO Number (Header)]],"-",Tableau1[[#This Row],[Line]]),UO_List[Unique_AIB_ID]))*(UO_List[Qté Réception 05/2020]))</f>
        <v>0</v>
      </c>
      <c r="BC128" s="84"/>
      <c r="BD128" s="351"/>
      <c r="BE128" s="351" t="str">
        <f>IFERROR(Tableau1[[#This Row],[Qté Facturé 05/2018]]*Tableau1[[#This Row],[Unit Price (calcul)]],"")</f>
        <v/>
      </c>
      <c r="BF128" s="351" t="str">
        <f>IFERROR(IF(Tableau1[[#This Row],[Montant Facturé 05/2018]]&gt;0,Tableau1[[#This Row],[Montant Facturé 05/2018]]/Taux_Change_SII,""),"")</f>
        <v/>
      </c>
      <c r="BG128" s="351"/>
      <c r="BH128" s="83">
        <f>SUMPRODUCT(1*(EXACT(CONCATENATE(Tableau1[[#This Row],[PO Number (Header)]],"-",Tableau1[[#This Row],[Line]]),UO_List[Unique_AIB_ID]))*(UO_List[Qté Réception 06/2020]))</f>
        <v>0</v>
      </c>
      <c r="BI128" s="84"/>
      <c r="BJ128" s="351"/>
      <c r="BK128" s="351" t="str">
        <f>IFERROR(Tableau1[[#This Row],[Qté Facturé 06/2018]]*Tableau1[[#This Row],[Unit Price (calcul)]],"")</f>
        <v/>
      </c>
      <c r="BL128" s="351" t="str">
        <f>IFERROR(IF(Tableau1[[#This Row],[Montant Facturé 06/2018]]&gt;0,Tableau1[[#This Row],[Montant Facturé 06/2018]]/Taux_Change_SII,""),"")</f>
        <v/>
      </c>
      <c r="BM128" s="351"/>
      <c r="BN128" s="83">
        <f>SUMPRODUCT(1*(EXACT(CONCATENATE(Tableau1[[#This Row],[PO Number (Header)]],"-",Tableau1[[#This Row],[Line]]),UO_List[Unique_AIB_ID]))*(UO_List[Qté Réception 07/2020]))</f>
        <v>0</v>
      </c>
      <c r="BO128" s="84"/>
      <c r="BP128" s="351"/>
      <c r="BQ128" s="351" t="str">
        <f>IFERROR(Tableau1[[#This Row],[Qté Facturé 07/2018]]*Tableau1[[#This Row],[Unit Price (calcul)]],"")</f>
        <v/>
      </c>
      <c r="BR128" s="351" t="str">
        <f>IFERROR(IF(Tableau1[[#This Row],[Montant Facturé 07/2018]]&gt;0,Tableau1[[#This Row],[Montant Facturé 07/2018]]/Taux_Change_SII,""),"")</f>
        <v/>
      </c>
      <c r="BS128" s="351"/>
      <c r="BT128" s="83">
        <f>SUMPRODUCT(1*(EXACT(CONCATENATE(Tableau1[[#This Row],[PO Number (Header)]],"-",Tableau1[[#This Row],[Line]]),UO_List[Unique_AIB_ID]))*(UO_List[Qté Réception 08/2020]))</f>
        <v>0</v>
      </c>
      <c r="BU128" s="84"/>
      <c r="BV128" s="351"/>
      <c r="BW128" s="351" t="str">
        <f>IFERROR(Tableau1[[#This Row],[Qté Facturé 08/2018]]*Tableau1[[#This Row],[Unit Price (calcul)]],"")</f>
        <v/>
      </c>
      <c r="BX128" s="351" t="str">
        <f>IFERROR(IF(Tableau1[[#This Row],[Montant Facturé 08/2018]]&gt;0,Tableau1[[#This Row],[Montant Facturé 08/2018]]/Taux_Change_SII,""),"")</f>
        <v/>
      </c>
      <c r="BY128" s="351"/>
      <c r="BZ128" s="83">
        <f>SUMPRODUCT(1*(EXACT(CONCATENATE(Tableau1[[#This Row],[PO Number (Header)]],"-",Tableau1[[#This Row],[Line]]),UO_List[Unique_AIB_ID]))*(UO_List[Qté Réception 09/2020]))</f>
        <v>0</v>
      </c>
      <c r="CA128" s="84">
        <v>0</v>
      </c>
      <c r="CB128" s="351"/>
      <c r="CC128" s="351" t="str">
        <f>IFERROR(Tableau1[[#This Row],[Qté Facturé 09/2018]]*Tableau1[[#This Row],[Unit Price (calcul)]],"")</f>
        <v/>
      </c>
      <c r="CD128" s="351" t="str">
        <f>IFERROR(IF(Tableau1[[#This Row],[Montant Facturé 09/2018]]&gt;0,Tableau1[[#This Row],[Montant Facturé 09/2018]]/Taux_Change_SII,""),"")</f>
        <v/>
      </c>
      <c r="CE128" s="351"/>
      <c r="CF128" s="83">
        <f>SUMPRODUCT(1*(EXACT(CONCATENATE(Tableau1[[#This Row],[PO Number (Header)]],"-",Tableau1[[#This Row],[Line]]),UO_List[Unique_AIB_ID]))*(UO_List[Qté Réception 10/2020]))</f>
        <v>0</v>
      </c>
      <c r="CG128" s="84">
        <v>0</v>
      </c>
      <c r="CH128" s="351"/>
      <c r="CI128" s="351" t="str">
        <f>IFERROR(Tableau1[[#This Row],[Qté Facturé 10/2018]]*Tableau1[[#This Row],[Unit Price (calcul)]],"")</f>
        <v/>
      </c>
      <c r="CJ128" s="351" t="str">
        <f>IFERROR(IF(Tableau1[[#This Row],[Montant Facturé 10/2018]]&gt;0,Tableau1[[#This Row],[Montant Facturé 10/2018]]/Taux_Change_SII,""),"")</f>
        <v/>
      </c>
      <c r="CK128" s="351"/>
      <c r="CL128" s="83">
        <f>SUMPRODUCT(1*(EXACT(CONCATENATE(Tableau1[[#This Row],[PO Number (Header)]],"-",Tableau1[[#This Row],[Line]]),UO_List[Unique_AIB_ID]))*(UO_List[Qté Réception 11/2020]))</f>
        <v>0</v>
      </c>
      <c r="CM128" s="84"/>
      <c r="CN128" s="351"/>
      <c r="CO128" s="351" t="str">
        <f>IFERROR(Tableau1[[#This Row],[Qté Facturé 11/2018]]*Tableau1[[#This Row],[Unit Price (calcul)]],"")</f>
        <v/>
      </c>
      <c r="CP128" s="351" t="str">
        <f>IFERROR(IF(Tableau1[[#This Row],[Montant Facturé 11/2018]]&gt;0,Tableau1[[#This Row],[Montant Facturé 11/2018]]/Taux_Change_SII,""),"")</f>
        <v/>
      </c>
      <c r="CQ128" s="351"/>
      <c r="CR128" s="83">
        <f>SUMPRODUCT(1*(EXACT(CONCATENATE(Tableau1[[#This Row],[PO Number (Header)]],"-",Tableau1[[#This Row],[Line]]),UO_List[Unique_AIB_ID]))*(UO_List[Qté Réception 12/2020]))</f>
        <v>0</v>
      </c>
      <c r="CS128" s="84"/>
      <c r="CT128" s="351"/>
      <c r="CU128" s="351" t="str">
        <f>IFERROR(Tableau1[[#This Row],[Qté Facturé 12/2018]]*Tableau1[[#This Row],[Unit Price (calcul)]],"")</f>
        <v/>
      </c>
      <c r="CV128" s="351" t="str">
        <f>IFERROR(IF(Tableau1[[#This Row],[Montant Facturé 12/2018]]&gt;0,Tableau1[[#This Row],[Montant Facturé 12/2018]]/Taux_Change_SII,""),"")</f>
        <v/>
      </c>
      <c r="CW128" s="351"/>
      <c r="CX12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8" s="352" t="str">
        <f>IFERROR(Tableau1[[#This Row],[Total item réceptionné]]*Tableau1[[#This Row],[Unit Price (calcul)]],"")</f>
        <v/>
      </c>
      <c r="DB128" s="352" t="str">
        <f>IFERROR(Tableau1[[#This Row],[Total item à Facturer]]*Tableau1[[#This Row],[Unit Price (calcul)]],"")</f>
        <v/>
      </c>
      <c r="DC12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8" s="352" t="str">
        <f>IFERROR(Tableau1[[#This Row],[Line Total]]-Tableau1[[#This Row],[Total Price Réceptionné]],"")</f>
        <v/>
      </c>
      <c r="DE128" s="352" t="str">
        <f>IFERROR(Tableau1[[#This Row],[Total Price Réceptionné]]-Tableau1[[#This Row],[Total Price A facturer]],"")</f>
        <v/>
      </c>
      <c r="DF128" s="353" t="str">
        <f>IFERROR(Tableau1[[#This Row],[Total Price A facturer]]-Tableau1[[#This Row],[Total Price Facturé]],"")</f>
        <v/>
      </c>
      <c r="DG128" s="76">
        <f>Tableau1[[#This Row],[Total Item Quantity]]-Tableau1[[#This Row],[Total item réceptionné]]</f>
        <v>0</v>
      </c>
      <c r="DH128" s="167"/>
      <c r="DI128" s="167"/>
    </row>
    <row r="129" spans="1:113" s="74" customFormat="1">
      <c r="A129" s="77" t="str">
        <f>CONCATENATE(Tableau1[[#This Row],[PO Number (Header)]],"-",Tableau1[[#This Row],[Line]])</f>
        <v>-</v>
      </c>
      <c r="B129" s="77"/>
      <c r="C129" s="450"/>
      <c r="D129" s="102"/>
      <c r="E129" s="77"/>
      <c r="F129" s="77"/>
      <c r="G129" s="77"/>
      <c r="H129" s="77"/>
      <c r="I129" s="452"/>
      <c r="J129" s="452"/>
      <c r="K129" s="453"/>
      <c r="L129" s="453"/>
      <c r="M129" s="77"/>
      <c r="N129" s="77"/>
      <c r="O129" s="77"/>
      <c r="P129" s="77"/>
      <c r="Q129" s="395"/>
      <c r="R129" s="395"/>
      <c r="S129" s="77"/>
      <c r="T129" s="77"/>
      <c r="U129" s="77"/>
      <c r="V129" s="77"/>
      <c r="W129" s="167"/>
      <c r="X129" s="167"/>
      <c r="Y129" s="167" t="str">
        <f>IF(ISBLANK(Tableau1[[#This Row],[PO Number (Header)]]),"",Tableau1[[#This Row],[Line Total]]/Tableau1[[#This Row],[Total Item Quantity]])</f>
        <v/>
      </c>
      <c r="Z129" s="167" t="str">
        <f>IF(ISNA(VLOOKUP(Tableau1[[#This Row],[Unique_AIB_ID]],UO_List[Unique_AIB_ID],1,FALSE)),IF(ISBLANK(Tableau1[[#This Row],[PO Number (Header)]]),"","FAUX"),"VRAI")</f>
        <v/>
      </c>
      <c r="AA129" s="167"/>
      <c r="AB129" s="162" t="e">
        <f>VLOOKUP(Tableau1[[#This Row],[Unique_AIB_ID]],UO_List[[Unique_AIB_ID]:[OLGA F6]],3,FALSE)</f>
        <v>#N/A</v>
      </c>
      <c r="AC129" s="162" t="s">
        <v>790</v>
      </c>
      <c r="AD129" s="83">
        <f>SUMPRODUCT(1*(EXACT(CONCATENATE(Tableau1[[#This Row],[PO Number (Header)]],"-",Tableau1[[#This Row],[Line]]),UO_List[Unique_AIB_ID]))*(UO_List[Qté Réception 03/2020]))</f>
        <v>0</v>
      </c>
      <c r="AE129" s="84"/>
      <c r="AF129" s="357"/>
      <c r="AG129" s="351" t="str">
        <f>IFERROR(Tableau1[[#This Row],[Qté Facturé 01/2018]]*Tableau1[[#This Row],[Unit Price (calcul)]],"")</f>
        <v/>
      </c>
      <c r="AH129" s="356" t="str">
        <f>IFERROR(IF(Tableau1[[#This Row],[Montant Facturé 01/2018]]&gt;0,Tableau1[[#This Row],[Montant Facturé 01/2018]]/Taux_Change_SII,""),"")</f>
        <v/>
      </c>
      <c r="AI129" s="351"/>
      <c r="AJ129" s="83">
        <f>SUMPRODUCT(1*(EXACT(CONCATENATE(Tableau1[[#This Row],[PO Number (Header)]],"-",Tableau1[[#This Row],[Line]]),UO_List[Unique_AIB_ID]))*(UO_List[Qté Réception 02/2020]))</f>
        <v>0</v>
      </c>
      <c r="AK129" s="83">
        <f>SUMPRODUCT(1*(EXACT(CONCATENATE(Tableau1[[#This Row],[PO Number (Header)]],"-",Tableau1[[#This Row],[Line]]),UO_List[Unique_AIB_ID]))*(UO_List[Qté Réception 02/2020]))</f>
        <v>0</v>
      </c>
      <c r="AL129" s="357"/>
      <c r="AM129" s="351" t="str">
        <f>IFERROR(Tableau1[[#This Row],[Qté Facturé 02/2018]]*Tableau1[[#This Row],[Unit Price (calcul)]],"")</f>
        <v/>
      </c>
      <c r="AN129" s="351" t="str">
        <f>IFERROR(IF(Tableau1[[#This Row],[Montant Facturé 02/2018]]&gt;0,Tableau1[[#This Row],[Montant Facturé 02/2018]]/Taux_Change_SII,""),"")</f>
        <v/>
      </c>
      <c r="AO129" s="351"/>
      <c r="AP129" s="83">
        <f>SUMPRODUCT(1*(EXACT(CONCATENATE(Tableau1[[#This Row],[PO Number (Header)]],"-",Tableau1[[#This Row],[Line]]),UO_List[Unique_AIB_ID]))*(UO_List[Qté Réception 00/2020]))</f>
        <v>0</v>
      </c>
      <c r="AQ129" s="84"/>
      <c r="AR129" s="357"/>
      <c r="AS129" s="351" t="str">
        <f>IFERROR(Tableau1[[#This Row],[Qté Facturé 03/2018]]*Tableau1[[#This Row],[Unit Price (calcul)]],"")</f>
        <v/>
      </c>
      <c r="AT129" s="351" t="str">
        <f>IFERROR(IF(Tableau1[[#This Row],[Montant Facturé 03/2018]]&gt;0,Tableau1[[#This Row],[Montant Facturé 03/2018]]/Taux_Change_SII,""),"")</f>
        <v/>
      </c>
      <c r="AU129" s="351"/>
      <c r="AV129" s="83">
        <f>SUMPRODUCT(1*(EXACT(CONCATENATE(Tableau1[[#This Row],[PO Number (Header)]],"-",Tableau1[[#This Row],[Line]]),UO_List[Unique_AIB_ID]))*(UO_List[Qté Réception 04/2020]))</f>
        <v>0</v>
      </c>
      <c r="AW129" s="84"/>
      <c r="AX129" s="351"/>
      <c r="AY129" s="351" t="str">
        <f>IFERROR(Tableau1[[#This Row],[Qté Facturé 04/2018]]*Tableau1[[#This Row],[Unit Price (calcul)]],"")</f>
        <v/>
      </c>
      <c r="AZ129" s="351" t="str">
        <f>IFERROR(IF(Tableau1[[#This Row],[Montant Facturé 04/2018]]&gt;0,Tableau1[[#This Row],[Montant Facturé 04/2018]]/Taux_Change_SII,""),"")</f>
        <v/>
      </c>
      <c r="BA129" s="351"/>
      <c r="BB129" s="83">
        <f>SUMPRODUCT(1*(EXACT(CONCATENATE(Tableau1[[#This Row],[PO Number (Header)]],"-",Tableau1[[#This Row],[Line]]),UO_List[Unique_AIB_ID]))*(UO_List[Qté Réception 05/2020]))</f>
        <v>0</v>
      </c>
      <c r="BC129" s="84"/>
      <c r="BD129" s="351"/>
      <c r="BE129" s="351" t="str">
        <f>IFERROR(Tableau1[[#This Row],[Qté Facturé 05/2018]]*Tableau1[[#This Row],[Unit Price (calcul)]],"")</f>
        <v/>
      </c>
      <c r="BF129" s="351" t="str">
        <f>IFERROR(IF(Tableau1[[#This Row],[Montant Facturé 05/2018]]&gt;0,Tableau1[[#This Row],[Montant Facturé 05/2018]]/Taux_Change_SII,""),"")</f>
        <v/>
      </c>
      <c r="BG129" s="351"/>
      <c r="BH129" s="83">
        <f>SUMPRODUCT(1*(EXACT(CONCATENATE(Tableau1[[#This Row],[PO Number (Header)]],"-",Tableau1[[#This Row],[Line]]),UO_List[Unique_AIB_ID]))*(UO_List[Qté Réception 06/2020]))</f>
        <v>0</v>
      </c>
      <c r="BI129" s="84"/>
      <c r="BJ129" s="351"/>
      <c r="BK129" s="351" t="str">
        <f>IFERROR(Tableau1[[#This Row],[Qté Facturé 06/2018]]*Tableau1[[#This Row],[Unit Price (calcul)]],"")</f>
        <v/>
      </c>
      <c r="BL129" s="351" t="str">
        <f>IFERROR(IF(Tableau1[[#This Row],[Montant Facturé 06/2018]]&gt;0,Tableau1[[#This Row],[Montant Facturé 06/2018]]/Taux_Change_SII,""),"")</f>
        <v/>
      </c>
      <c r="BM129" s="351"/>
      <c r="BN129" s="83">
        <f>SUMPRODUCT(1*(EXACT(CONCATENATE(Tableau1[[#This Row],[PO Number (Header)]],"-",Tableau1[[#This Row],[Line]]),UO_List[Unique_AIB_ID]))*(UO_List[Qté Réception 07/2020]))</f>
        <v>0</v>
      </c>
      <c r="BO129" s="84"/>
      <c r="BP129" s="351"/>
      <c r="BQ129" s="351" t="str">
        <f>IFERROR(Tableau1[[#This Row],[Qté Facturé 07/2018]]*Tableau1[[#This Row],[Unit Price (calcul)]],"")</f>
        <v/>
      </c>
      <c r="BR129" s="351" t="str">
        <f>IFERROR(IF(Tableau1[[#This Row],[Montant Facturé 07/2018]]&gt;0,Tableau1[[#This Row],[Montant Facturé 07/2018]]/Taux_Change_SII,""),"")</f>
        <v/>
      </c>
      <c r="BS129" s="351"/>
      <c r="BT129" s="83">
        <f>SUMPRODUCT(1*(EXACT(CONCATENATE(Tableau1[[#This Row],[PO Number (Header)]],"-",Tableau1[[#This Row],[Line]]),UO_List[Unique_AIB_ID]))*(UO_List[Qté Réception 08/2020]))</f>
        <v>0</v>
      </c>
      <c r="BU129" s="84"/>
      <c r="BV129" s="351"/>
      <c r="BW129" s="351" t="str">
        <f>IFERROR(Tableau1[[#This Row],[Qté Facturé 08/2018]]*Tableau1[[#This Row],[Unit Price (calcul)]],"")</f>
        <v/>
      </c>
      <c r="BX129" s="351" t="str">
        <f>IFERROR(IF(Tableau1[[#This Row],[Montant Facturé 08/2018]]&gt;0,Tableau1[[#This Row],[Montant Facturé 08/2018]]/Taux_Change_SII,""),"")</f>
        <v/>
      </c>
      <c r="BY129" s="351"/>
      <c r="BZ129" s="83">
        <f>SUMPRODUCT(1*(EXACT(CONCATENATE(Tableau1[[#This Row],[PO Number (Header)]],"-",Tableau1[[#This Row],[Line]]),UO_List[Unique_AIB_ID]))*(UO_List[Qté Réception 09/2020]))</f>
        <v>0</v>
      </c>
      <c r="CA129" s="84">
        <v>0</v>
      </c>
      <c r="CB129" s="351"/>
      <c r="CC129" s="351" t="str">
        <f>IFERROR(Tableau1[[#This Row],[Qté Facturé 09/2018]]*Tableau1[[#This Row],[Unit Price (calcul)]],"")</f>
        <v/>
      </c>
      <c r="CD129" s="351" t="str">
        <f>IFERROR(IF(Tableau1[[#This Row],[Montant Facturé 09/2018]]&gt;0,Tableau1[[#This Row],[Montant Facturé 09/2018]]/Taux_Change_SII,""),"")</f>
        <v/>
      </c>
      <c r="CE129" s="351"/>
      <c r="CF129" s="83">
        <f>SUMPRODUCT(1*(EXACT(CONCATENATE(Tableau1[[#This Row],[PO Number (Header)]],"-",Tableau1[[#This Row],[Line]]),UO_List[Unique_AIB_ID]))*(UO_List[Qté Réception 10/2020]))</f>
        <v>0</v>
      </c>
      <c r="CG129" s="84">
        <v>0</v>
      </c>
      <c r="CH129" s="351"/>
      <c r="CI129" s="351" t="str">
        <f>IFERROR(Tableau1[[#This Row],[Qté Facturé 10/2018]]*Tableau1[[#This Row],[Unit Price (calcul)]],"")</f>
        <v/>
      </c>
      <c r="CJ129" s="351" t="str">
        <f>IFERROR(IF(Tableau1[[#This Row],[Montant Facturé 10/2018]]&gt;0,Tableau1[[#This Row],[Montant Facturé 10/2018]]/Taux_Change_SII,""),"")</f>
        <v/>
      </c>
      <c r="CK129" s="351"/>
      <c r="CL129" s="83">
        <f>SUMPRODUCT(1*(EXACT(CONCATENATE(Tableau1[[#This Row],[PO Number (Header)]],"-",Tableau1[[#This Row],[Line]]),UO_List[Unique_AIB_ID]))*(UO_List[Qté Réception 11/2020]))</f>
        <v>0</v>
      </c>
      <c r="CM129" s="84"/>
      <c r="CN129" s="351"/>
      <c r="CO129" s="351" t="str">
        <f>IFERROR(Tableau1[[#This Row],[Qté Facturé 11/2018]]*Tableau1[[#This Row],[Unit Price (calcul)]],"")</f>
        <v/>
      </c>
      <c r="CP129" s="351" t="str">
        <f>IFERROR(IF(Tableau1[[#This Row],[Montant Facturé 11/2018]]&gt;0,Tableau1[[#This Row],[Montant Facturé 11/2018]]/Taux_Change_SII,""),"")</f>
        <v/>
      </c>
      <c r="CQ129" s="351"/>
      <c r="CR129" s="83">
        <f>SUMPRODUCT(1*(EXACT(CONCATENATE(Tableau1[[#This Row],[PO Number (Header)]],"-",Tableau1[[#This Row],[Line]]),UO_List[Unique_AIB_ID]))*(UO_List[Qté Réception 12/2020]))</f>
        <v>0</v>
      </c>
      <c r="CS129" s="84"/>
      <c r="CT129" s="351"/>
      <c r="CU129" s="351" t="str">
        <f>IFERROR(Tableau1[[#This Row],[Qté Facturé 12/2018]]*Tableau1[[#This Row],[Unit Price (calcul)]],"")</f>
        <v/>
      </c>
      <c r="CV129" s="351" t="str">
        <f>IFERROR(IF(Tableau1[[#This Row],[Montant Facturé 12/2018]]&gt;0,Tableau1[[#This Row],[Montant Facturé 12/2018]]/Taux_Change_SII,""),"")</f>
        <v/>
      </c>
      <c r="CW129" s="351"/>
      <c r="CX12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2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2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29" s="352" t="str">
        <f>IFERROR(Tableau1[[#This Row],[Total item réceptionné]]*Tableau1[[#This Row],[Unit Price (calcul)]],"")</f>
        <v/>
      </c>
      <c r="DB129" s="352" t="str">
        <f>IFERROR(Tableau1[[#This Row],[Total item à Facturer]]*Tableau1[[#This Row],[Unit Price (calcul)]],"")</f>
        <v/>
      </c>
      <c r="DC12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29" s="352" t="str">
        <f>IFERROR(Tableau1[[#This Row],[Line Total]]-Tableau1[[#This Row],[Total Price Réceptionné]],"")</f>
        <v/>
      </c>
      <c r="DE129" s="352" t="str">
        <f>IFERROR(Tableau1[[#This Row],[Total Price Réceptionné]]-Tableau1[[#This Row],[Total Price A facturer]],"")</f>
        <v/>
      </c>
      <c r="DF129" s="353" t="str">
        <f>IFERROR(Tableau1[[#This Row],[Total Price A facturer]]-Tableau1[[#This Row],[Total Price Facturé]],"")</f>
        <v/>
      </c>
      <c r="DG129" s="76">
        <f>Tableau1[[#This Row],[Total Item Quantity]]-Tableau1[[#This Row],[Total item réceptionné]]</f>
        <v>0</v>
      </c>
      <c r="DH129" s="167"/>
      <c r="DI129" s="167"/>
    </row>
    <row r="130" spans="1:113" s="74" customFormat="1">
      <c r="A130" s="77" t="str">
        <f>CONCATENATE(Tableau1[[#This Row],[PO Number (Header)]],"-",Tableau1[[#This Row],[Line]])</f>
        <v>-</v>
      </c>
      <c r="B130" s="77"/>
      <c r="C130" s="450"/>
      <c r="D130" s="102"/>
      <c r="E130" s="77"/>
      <c r="F130" s="77"/>
      <c r="G130" s="77"/>
      <c r="H130" s="77"/>
      <c r="I130" s="452"/>
      <c r="J130" s="452"/>
      <c r="K130" s="453"/>
      <c r="L130" s="453"/>
      <c r="M130" s="77"/>
      <c r="N130" s="77"/>
      <c r="O130" s="77"/>
      <c r="P130" s="77"/>
      <c r="Q130" s="395"/>
      <c r="R130" s="395"/>
      <c r="S130" s="77"/>
      <c r="T130" s="77"/>
      <c r="U130" s="77"/>
      <c r="V130" s="77"/>
      <c r="W130" s="167"/>
      <c r="X130" s="167"/>
      <c r="Y130" s="167" t="str">
        <f>IF(ISBLANK(Tableau1[[#This Row],[PO Number (Header)]]),"",Tableau1[[#This Row],[Line Total]]/Tableau1[[#This Row],[Total Item Quantity]])</f>
        <v/>
      </c>
      <c r="Z130" s="167" t="str">
        <f>IF(ISNA(VLOOKUP(Tableau1[[#This Row],[Unique_AIB_ID]],UO_List[Unique_AIB_ID],1,FALSE)),IF(ISBLANK(Tableau1[[#This Row],[PO Number (Header)]]),"","FAUX"),"VRAI")</f>
        <v/>
      </c>
      <c r="AA130" s="167"/>
      <c r="AB130" s="162" t="e">
        <f>VLOOKUP(Tableau1[[#This Row],[Unique_AIB_ID]],UO_List[[Unique_AIB_ID]:[OLGA F6]],3,FALSE)</f>
        <v>#N/A</v>
      </c>
      <c r="AC130" s="162" t="s">
        <v>790</v>
      </c>
      <c r="AD130" s="83">
        <f>SUMPRODUCT(1*(EXACT(CONCATENATE(Tableau1[[#This Row],[PO Number (Header)]],"-",Tableau1[[#This Row],[Line]]),UO_List[Unique_AIB_ID]))*(UO_List[Qté Réception 03/2020]))</f>
        <v>0</v>
      </c>
      <c r="AE130" s="84"/>
      <c r="AF130" s="357"/>
      <c r="AG130" s="351" t="str">
        <f>IFERROR(Tableau1[[#This Row],[Qté Facturé 01/2018]]*Tableau1[[#This Row],[Unit Price (calcul)]],"")</f>
        <v/>
      </c>
      <c r="AH130" s="356" t="str">
        <f>IFERROR(IF(Tableau1[[#This Row],[Montant Facturé 01/2018]]&gt;0,Tableau1[[#This Row],[Montant Facturé 01/2018]]/Taux_Change_SII,""),"")</f>
        <v/>
      </c>
      <c r="AI130" s="351"/>
      <c r="AJ130" s="83">
        <f>SUMPRODUCT(1*(EXACT(CONCATENATE(Tableau1[[#This Row],[PO Number (Header)]],"-",Tableau1[[#This Row],[Line]]),UO_List[Unique_AIB_ID]))*(UO_List[Qté Réception 02/2020]))</f>
        <v>0</v>
      </c>
      <c r="AK130" s="83">
        <f>SUMPRODUCT(1*(EXACT(CONCATENATE(Tableau1[[#This Row],[PO Number (Header)]],"-",Tableau1[[#This Row],[Line]]),UO_List[Unique_AIB_ID]))*(UO_List[Qté Réception 02/2020]))</f>
        <v>0</v>
      </c>
      <c r="AL130" s="357"/>
      <c r="AM130" s="351" t="str">
        <f>IFERROR(Tableau1[[#This Row],[Qté Facturé 02/2018]]*Tableau1[[#This Row],[Unit Price (calcul)]],"")</f>
        <v/>
      </c>
      <c r="AN130" s="351" t="str">
        <f>IFERROR(IF(Tableau1[[#This Row],[Montant Facturé 02/2018]]&gt;0,Tableau1[[#This Row],[Montant Facturé 02/2018]]/Taux_Change_SII,""),"")</f>
        <v/>
      </c>
      <c r="AO130" s="351"/>
      <c r="AP130" s="83">
        <f>SUMPRODUCT(1*(EXACT(CONCATENATE(Tableau1[[#This Row],[PO Number (Header)]],"-",Tableau1[[#This Row],[Line]]),UO_List[Unique_AIB_ID]))*(UO_List[Qté Réception 00/2020]))</f>
        <v>0</v>
      </c>
      <c r="AQ130" s="84"/>
      <c r="AR130" s="357"/>
      <c r="AS130" s="351" t="str">
        <f>IFERROR(Tableau1[[#This Row],[Qté Facturé 03/2018]]*Tableau1[[#This Row],[Unit Price (calcul)]],"")</f>
        <v/>
      </c>
      <c r="AT130" s="351" t="str">
        <f>IFERROR(IF(Tableau1[[#This Row],[Montant Facturé 03/2018]]&gt;0,Tableau1[[#This Row],[Montant Facturé 03/2018]]/Taux_Change_SII,""),"")</f>
        <v/>
      </c>
      <c r="AU130" s="351"/>
      <c r="AV130" s="83">
        <f>SUMPRODUCT(1*(EXACT(CONCATENATE(Tableau1[[#This Row],[PO Number (Header)]],"-",Tableau1[[#This Row],[Line]]),UO_List[Unique_AIB_ID]))*(UO_List[Qté Réception 04/2020]))</f>
        <v>0</v>
      </c>
      <c r="AW130" s="84"/>
      <c r="AX130" s="351"/>
      <c r="AY130" s="351" t="str">
        <f>IFERROR(Tableau1[[#This Row],[Qté Facturé 04/2018]]*Tableau1[[#This Row],[Unit Price (calcul)]],"")</f>
        <v/>
      </c>
      <c r="AZ130" s="351" t="str">
        <f>IFERROR(IF(Tableau1[[#This Row],[Montant Facturé 04/2018]]&gt;0,Tableau1[[#This Row],[Montant Facturé 04/2018]]/Taux_Change_SII,""),"")</f>
        <v/>
      </c>
      <c r="BA130" s="351"/>
      <c r="BB130" s="83">
        <f>SUMPRODUCT(1*(EXACT(CONCATENATE(Tableau1[[#This Row],[PO Number (Header)]],"-",Tableau1[[#This Row],[Line]]),UO_List[Unique_AIB_ID]))*(UO_List[Qté Réception 05/2020]))</f>
        <v>0</v>
      </c>
      <c r="BC130" s="84"/>
      <c r="BD130" s="351"/>
      <c r="BE130" s="351" t="str">
        <f>IFERROR(Tableau1[[#This Row],[Qté Facturé 05/2018]]*Tableau1[[#This Row],[Unit Price (calcul)]],"")</f>
        <v/>
      </c>
      <c r="BF130" s="351" t="str">
        <f>IFERROR(IF(Tableau1[[#This Row],[Montant Facturé 05/2018]]&gt;0,Tableau1[[#This Row],[Montant Facturé 05/2018]]/Taux_Change_SII,""),"")</f>
        <v/>
      </c>
      <c r="BG130" s="351"/>
      <c r="BH130" s="83">
        <f>SUMPRODUCT(1*(EXACT(CONCATENATE(Tableau1[[#This Row],[PO Number (Header)]],"-",Tableau1[[#This Row],[Line]]),UO_List[Unique_AIB_ID]))*(UO_List[Qté Réception 06/2020]))</f>
        <v>0</v>
      </c>
      <c r="BI130" s="84"/>
      <c r="BJ130" s="351"/>
      <c r="BK130" s="351" t="str">
        <f>IFERROR(Tableau1[[#This Row],[Qté Facturé 06/2018]]*Tableau1[[#This Row],[Unit Price (calcul)]],"")</f>
        <v/>
      </c>
      <c r="BL130" s="351" t="str">
        <f>IFERROR(IF(Tableau1[[#This Row],[Montant Facturé 06/2018]]&gt;0,Tableau1[[#This Row],[Montant Facturé 06/2018]]/Taux_Change_SII,""),"")</f>
        <v/>
      </c>
      <c r="BM130" s="351"/>
      <c r="BN130" s="83">
        <f>SUMPRODUCT(1*(EXACT(CONCATENATE(Tableau1[[#This Row],[PO Number (Header)]],"-",Tableau1[[#This Row],[Line]]),UO_List[Unique_AIB_ID]))*(UO_List[Qté Réception 07/2020]))</f>
        <v>0</v>
      </c>
      <c r="BO130" s="84"/>
      <c r="BP130" s="351"/>
      <c r="BQ130" s="351" t="str">
        <f>IFERROR(Tableau1[[#This Row],[Qté Facturé 07/2018]]*Tableau1[[#This Row],[Unit Price (calcul)]],"")</f>
        <v/>
      </c>
      <c r="BR130" s="351" t="str">
        <f>IFERROR(IF(Tableau1[[#This Row],[Montant Facturé 07/2018]]&gt;0,Tableau1[[#This Row],[Montant Facturé 07/2018]]/Taux_Change_SII,""),"")</f>
        <v/>
      </c>
      <c r="BS130" s="351"/>
      <c r="BT130" s="83">
        <f>SUMPRODUCT(1*(EXACT(CONCATENATE(Tableau1[[#This Row],[PO Number (Header)]],"-",Tableau1[[#This Row],[Line]]),UO_List[Unique_AIB_ID]))*(UO_List[Qté Réception 08/2020]))</f>
        <v>0</v>
      </c>
      <c r="BU130" s="84"/>
      <c r="BV130" s="351"/>
      <c r="BW130" s="351" t="str">
        <f>IFERROR(Tableau1[[#This Row],[Qté Facturé 08/2018]]*Tableau1[[#This Row],[Unit Price (calcul)]],"")</f>
        <v/>
      </c>
      <c r="BX130" s="351" t="str">
        <f>IFERROR(IF(Tableau1[[#This Row],[Montant Facturé 08/2018]]&gt;0,Tableau1[[#This Row],[Montant Facturé 08/2018]]/Taux_Change_SII,""),"")</f>
        <v/>
      </c>
      <c r="BY130" s="351"/>
      <c r="BZ130" s="83">
        <f>SUMPRODUCT(1*(EXACT(CONCATENATE(Tableau1[[#This Row],[PO Number (Header)]],"-",Tableau1[[#This Row],[Line]]),UO_List[Unique_AIB_ID]))*(UO_List[Qté Réception 09/2020]))</f>
        <v>0</v>
      </c>
      <c r="CA130" s="84">
        <v>0</v>
      </c>
      <c r="CB130" s="351"/>
      <c r="CC130" s="351" t="str">
        <f>IFERROR(Tableau1[[#This Row],[Qté Facturé 09/2018]]*Tableau1[[#This Row],[Unit Price (calcul)]],"")</f>
        <v/>
      </c>
      <c r="CD130" s="351" t="str">
        <f>IFERROR(IF(Tableau1[[#This Row],[Montant Facturé 09/2018]]&gt;0,Tableau1[[#This Row],[Montant Facturé 09/2018]]/Taux_Change_SII,""),"")</f>
        <v/>
      </c>
      <c r="CE130" s="351"/>
      <c r="CF130" s="83">
        <f>SUMPRODUCT(1*(EXACT(CONCATENATE(Tableau1[[#This Row],[PO Number (Header)]],"-",Tableau1[[#This Row],[Line]]),UO_List[Unique_AIB_ID]))*(UO_List[Qté Réception 10/2020]))</f>
        <v>0</v>
      </c>
      <c r="CG130" s="84">
        <v>0</v>
      </c>
      <c r="CH130" s="351"/>
      <c r="CI130" s="351" t="str">
        <f>IFERROR(Tableau1[[#This Row],[Qté Facturé 10/2018]]*Tableau1[[#This Row],[Unit Price (calcul)]],"")</f>
        <v/>
      </c>
      <c r="CJ130" s="351" t="str">
        <f>IFERROR(IF(Tableau1[[#This Row],[Montant Facturé 10/2018]]&gt;0,Tableau1[[#This Row],[Montant Facturé 10/2018]]/Taux_Change_SII,""),"")</f>
        <v/>
      </c>
      <c r="CK130" s="351"/>
      <c r="CL130" s="83">
        <f>SUMPRODUCT(1*(EXACT(CONCATENATE(Tableau1[[#This Row],[PO Number (Header)]],"-",Tableau1[[#This Row],[Line]]),UO_List[Unique_AIB_ID]))*(UO_List[Qté Réception 11/2020]))</f>
        <v>0</v>
      </c>
      <c r="CM130" s="84"/>
      <c r="CN130" s="351"/>
      <c r="CO130" s="351" t="str">
        <f>IFERROR(Tableau1[[#This Row],[Qté Facturé 11/2018]]*Tableau1[[#This Row],[Unit Price (calcul)]],"")</f>
        <v/>
      </c>
      <c r="CP130" s="351" t="str">
        <f>IFERROR(IF(Tableau1[[#This Row],[Montant Facturé 11/2018]]&gt;0,Tableau1[[#This Row],[Montant Facturé 11/2018]]/Taux_Change_SII,""),"")</f>
        <v/>
      </c>
      <c r="CQ130" s="351"/>
      <c r="CR130" s="83">
        <f>SUMPRODUCT(1*(EXACT(CONCATENATE(Tableau1[[#This Row],[PO Number (Header)]],"-",Tableau1[[#This Row],[Line]]),UO_List[Unique_AIB_ID]))*(UO_List[Qté Réception 12/2020]))</f>
        <v>0</v>
      </c>
      <c r="CS130" s="84"/>
      <c r="CT130" s="351"/>
      <c r="CU130" s="351" t="str">
        <f>IFERROR(Tableau1[[#This Row],[Qté Facturé 12/2018]]*Tableau1[[#This Row],[Unit Price (calcul)]],"")</f>
        <v/>
      </c>
      <c r="CV130" s="351" t="str">
        <f>IFERROR(IF(Tableau1[[#This Row],[Montant Facturé 12/2018]]&gt;0,Tableau1[[#This Row],[Montant Facturé 12/2018]]/Taux_Change_SII,""),"")</f>
        <v/>
      </c>
      <c r="CW130" s="351"/>
      <c r="CX13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0" s="352" t="str">
        <f>IFERROR(Tableau1[[#This Row],[Total item réceptionné]]*Tableau1[[#This Row],[Unit Price (calcul)]],"")</f>
        <v/>
      </c>
      <c r="DB130" s="352" t="str">
        <f>IFERROR(Tableau1[[#This Row],[Total item à Facturer]]*Tableau1[[#This Row],[Unit Price (calcul)]],"")</f>
        <v/>
      </c>
      <c r="DC13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0" s="352" t="str">
        <f>IFERROR(Tableau1[[#This Row],[Line Total]]-Tableau1[[#This Row],[Total Price Réceptionné]],"")</f>
        <v/>
      </c>
      <c r="DE130" s="352" t="str">
        <f>IFERROR(Tableau1[[#This Row],[Total Price Réceptionné]]-Tableau1[[#This Row],[Total Price A facturer]],"")</f>
        <v/>
      </c>
      <c r="DF130" s="353" t="str">
        <f>IFERROR(Tableau1[[#This Row],[Total Price A facturer]]-Tableau1[[#This Row],[Total Price Facturé]],"")</f>
        <v/>
      </c>
      <c r="DG130" s="76">
        <f>Tableau1[[#This Row],[Total Item Quantity]]-Tableau1[[#This Row],[Total item réceptionné]]</f>
        <v>0</v>
      </c>
      <c r="DH130" s="167"/>
      <c r="DI130" s="167"/>
    </row>
    <row r="131" spans="1:113" s="74" customFormat="1">
      <c r="A131" s="77" t="str">
        <f>CONCATENATE(Tableau1[[#This Row],[PO Number (Header)]],"-",Tableau1[[#This Row],[Line]])</f>
        <v>-</v>
      </c>
      <c r="B131" s="77"/>
      <c r="C131" s="450"/>
      <c r="D131" s="102"/>
      <c r="E131" s="77"/>
      <c r="F131" s="77"/>
      <c r="G131" s="77"/>
      <c r="H131" s="77"/>
      <c r="I131" s="452"/>
      <c r="J131" s="452"/>
      <c r="K131" s="453"/>
      <c r="L131" s="453"/>
      <c r="M131" s="77"/>
      <c r="N131" s="77"/>
      <c r="O131" s="77"/>
      <c r="P131" s="77"/>
      <c r="Q131" s="395"/>
      <c r="R131" s="395"/>
      <c r="S131" s="77"/>
      <c r="T131" s="77"/>
      <c r="U131" s="77"/>
      <c r="V131" s="77"/>
      <c r="W131" s="167"/>
      <c r="X131" s="167"/>
      <c r="Y131" s="167" t="str">
        <f>IF(ISBLANK(Tableau1[[#This Row],[PO Number (Header)]]),"",Tableau1[[#This Row],[Line Total]]/Tableau1[[#This Row],[Total Item Quantity]])</f>
        <v/>
      </c>
      <c r="Z131" s="167" t="str">
        <f>IF(ISNA(VLOOKUP(Tableau1[[#This Row],[Unique_AIB_ID]],UO_List[Unique_AIB_ID],1,FALSE)),IF(ISBLANK(Tableau1[[#This Row],[PO Number (Header)]]),"","FAUX"),"VRAI")</f>
        <v/>
      </c>
      <c r="AA131" s="167"/>
      <c r="AB131" s="162" t="e">
        <f>VLOOKUP(Tableau1[[#This Row],[Unique_AIB_ID]],UO_List[[Unique_AIB_ID]:[OLGA F6]],3,FALSE)</f>
        <v>#N/A</v>
      </c>
      <c r="AC131" s="162" t="s">
        <v>790</v>
      </c>
      <c r="AD131" s="83">
        <f>SUMPRODUCT(1*(EXACT(CONCATENATE(Tableau1[[#This Row],[PO Number (Header)]],"-",Tableau1[[#This Row],[Line]]),UO_List[Unique_AIB_ID]))*(UO_List[Qté Réception 03/2020]))</f>
        <v>0</v>
      </c>
      <c r="AE131" s="84"/>
      <c r="AF131" s="357"/>
      <c r="AG131" s="351" t="str">
        <f>IFERROR(Tableau1[[#This Row],[Qté Facturé 01/2018]]*Tableau1[[#This Row],[Unit Price (calcul)]],"")</f>
        <v/>
      </c>
      <c r="AH131" s="356" t="str">
        <f>IFERROR(IF(Tableau1[[#This Row],[Montant Facturé 01/2018]]&gt;0,Tableau1[[#This Row],[Montant Facturé 01/2018]]/Taux_Change_SII,""),"")</f>
        <v/>
      </c>
      <c r="AI131" s="351"/>
      <c r="AJ131" s="83">
        <f>SUMPRODUCT(1*(EXACT(CONCATENATE(Tableau1[[#This Row],[PO Number (Header)]],"-",Tableau1[[#This Row],[Line]]),UO_List[Unique_AIB_ID]))*(UO_List[Qté Réception 02/2020]))</f>
        <v>0</v>
      </c>
      <c r="AK131" s="83">
        <f>SUMPRODUCT(1*(EXACT(CONCATENATE(Tableau1[[#This Row],[PO Number (Header)]],"-",Tableau1[[#This Row],[Line]]),UO_List[Unique_AIB_ID]))*(UO_List[Qté Réception 02/2020]))</f>
        <v>0</v>
      </c>
      <c r="AL131" s="357"/>
      <c r="AM131" s="351" t="str">
        <f>IFERROR(Tableau1[[#This Row],[Qté Facturé 02/2018]]*Tableau1[[#This Row],[Unit Price (calcul)]],"")</f>
        <v/>
      </c>
      <c r="AN131" s="351" t="str">
        <f>IFERROR(IF(Tableau1[[#This Row],[Montant Facturé 02/2018]]&gt;0,Tableau1[[#This Row],[Montant Facturé 02/2018]]/Taux_Change_SII,""),"")</f>
        <v/>
      </c>
      <c r="AO131" s="351"/>
      <c r="AP131" s="83">
        <f>SUMPRODUCT(1*(EXACT(CONCATENATE(Tableau1[[#This Row],[PO Number (Header)]],"-",Tableau1[[#This Row],[Line]]),UO_List[Unique_AIB_ID]))*(UO_List[Qté Réception 00/2020]))</f>
        <v>0</v>
      </c>
      <c r="AQ131" s="84"/>
      <c r="AR131" s="357"/>
      <c r="AS131" s="351" t="str">
        <f>IFERROR(Tableau1[[#This Row],[Qté Facturé 03/2018]]*Tableau1[[#This Row],[Unit Price (calcul)]],"")</f>
        <v/>
      </c>
      <c r="AT131" s="351" t="str">
        <f>IFERROR(IF(Tableau1[[#This Row],[Montant Facturé 03/2018]]&gt;0,Tableau1[[#This Row],[Montant Facturé 03/2018]]/Taux_Change_SII,""),"")</f>
        <v/>
      </c>
      <c r="AU131" s="351"/>
      <c r="AV131" s="83">
        <f>SUMPRODUCT(1*(EXACT(CONCATENATE(Tableau1[[#This Row],[PO Number (Header)]],"-",Tableau1[[#This Row],[Line]]),UO_List[Unique_AIB_ID]))*(UO_List[Qté Réception 04/2020]))</f>
        <v>0</v>
      </c>
      <c r="AW131" s="84"/>
      <c r="AX131" s="351"/>
      <c r="AY131" s="351" t="str">
        <f>IFERROR(Tableau1[[#This Row],[Qté Facturé 04/2018]]*Tableau1[[#This Row],[Unit Price (calcul)]],"")</f>
        <v/>
      </c>
      <c r="AZ131" s="351" t="str">
        <f>IFERROR(IF(Tableau1[[#This Row],[Montant Facturé 04/2018]]&gt;0,Tableau1[[#This Row],[Montant Facturé 04/2018]]/Taux_Change_SII,""),"")</f>
        <v/>
      </c>
      <c r="BA131" s="351"/>
      <c r="BB131" s="83">
        <f>SUMPRODUCT(1*(EXACT(CONCATENATE(Tableau1[[#This Row],[PO Number (Header)]],"-",Tableau1[[#This Row],[Line]]),UO_List[Unique_AIB_ID]))*(UO_List[Qté Réception 05/2020]))</f>
        <v>0</v>
      </c>
      <c r="BC131" s="84"/>
      <c r="BD131" s="351"/>
      <c r="BE131" s="351" t="str">
        <f>IFERROR(Tableau1[[#This Row],[Qté Facturé 05/2018]]*Tableau1[[#This Row],[Unit Price (calcul)]],"")</f>
        <v/>
      </c>
      <c r="BF131" s="351" t="str">
        <f>IFERROR(IF(Tableau1[[#This Row],[Montant Facturé 05/2018]]&gt;0,Tableau1[[#This Row],[Montant Facturé 05/2018]]/Taux_Change_SII,""),"")</f>
        <v/>
      </c>
      <c r="BG131" s="351"/>
      <c r="BH131" s="83">
        <f>SUMPRODUCT(1*(EXACT(CONCATENATE(Tableau1[[#This Row],[PO Number (Header)]],"-",Tableau1[[#This Row],[Line]]),UO_List[Unique_AIB_ID]))*(UO_List[Qté Réception 06/2020]))</f>
        <v>0</v>
      </c>
      <c r="BI131" s="84"/>
      <c r="BJ131" s="351"/>
      <c r="BK131" s="351" t="str">
        <f>IFERROR(Tableau1[[#This Row],[Qté Facturé 06/2018]]*Tableau1[[#This Row],[Unit Price (calcul)]],"")</f>
        <v/>
      </c>
      <c r="BL131" s="351" t="str">
        <f>IFERROR(IF(Tableau1[[#This Row],[Montant Facturé 06/2018]]&gt;0,Tableau1[[#This Row],[Montant Facturé 06/2018]]/Taux_Change_SII,""),"")</f>
        <v/>
      </c>
      <c r="BM131" s="351"/>
      <c r="BN131" s="83">
        <f>SUMPRODUCT(1*(EXACT(CONCATENATE(Tableau1[[#This Row],[PO Number (Header)]],"-",Tableau1[[#This Row],[Line]]),UO_List[Unique_AIB_ID]))*(UO_List[Qté Réception 07/2020]))</f>
        <v>0</v>
      </c>
      <c r="BO131" s="84"/>
      <c r="BP131" s="351"/>
      <c r="BQ131" s="351" t="str">
        <f>IFERROR(Tableau1[[#This Row],[Qté Facturé 07/2018]]*Tableau1[[#This Row],[Unit Price (calcul)]],"")</f>
        <v/>
      </c>
      <c r="BR131" s="351" t="str">
        <f>IFERROR(IF(Tableau1[[#This Row],[Montant Facturé 07/2018]]&gt;0,Tableau1[[#This Row],[Montant Facturé 07/2018]]/Taux_Change_SII,""),"")</f>
        <v/>
      </c>
      <c r="BS131" s="351"/>
      <c r="BT131" s="83">
        <f>SUMPRODUCT(1*(EXACT(CONCATENATE(Tableau1[[#This Row],[PO Number (Header)]],"-",Tableau1[[#This Row],[Line]]),UO_List[Unique_AIB_ID]))*(UO_List[Qté Réception 08/2020]))</f>
        <v>0</v>
      </c>
      <c r="BU131" s="84"/>
      <c r="BV131" s="351"/>
      <c r="BW131" s="351" t="str">
        <f>IFERROR(Tableau1[[#This Row],[Qté Facturé 08/2018]]*Tableau1[[#This Row],[Unit Price (calcul)]],"")</f>
        <v/>
      </c>
      <c r="BX131" s="351" t="str">
        <f>IFERROR(IF(Tableau1[[#This Row],[Montant Facturé 08/2018]]&gt;0,Tableau1[[#This Row],[Montant Facturé 08/2018]]/Taux_Change_SII,""),"")</f>
        <v/>
      </c>
      <c r="BY131" s="351"/>
      <c r="BZ131" s="83">
        <f>SUMPRODUCT(1*(EXACT(CONCATENATE(Tableau1[[#This Row],[PO Number (Header)]],"-",Tableau1[[#This Row],[Line]]),UO_List[Unique_AIB_ID]))*(UO_List[Qté Réception 09/2020]))</f>
        <v>0</v>
      </c>
      <c r="CA131" s="84">
        <v>0</v>
      </c>
      <c r="CB131" s="351"/>
      <c r="CC131" s="351" t="str">
        <f>IFERROR(Tableau1[[#This Row],[Qté Facturé 09/2018]]*Tableau1[[#This Row],[Unit Price (calcul)]],"")</f>
        <v/>
      </c>
      <c r="CD131" s="351" t="str">
        <f>IFERROR(IF(Tableau1[[#This Row],[Montant Facturé 09/2018]]&gt;0,Tableau1[[#This Row],[Montant Facturé 09/2018]]/Taux_Change_SII,""),"")</f>
        <v/>
      </c>
      <c r="CE131" s="351"/>
      <c r="CF131" s="83">
        <f>SUMPRODUCT(1*(EXACT(CONCATENATE(Tableau1[[#This Row],[PO Number (Header)]],"-",Tableau1[[#This Row],[Line]]),UO_List[Unique_AIB_ID]))*(UO_List[Qté Réception 10/2020]))</f>
        <v>0</v>
      </c>
      <c r="CG131" s="84">
        <v>0</v>
      </c>
      <c r="CH131" s="351"/>
      <c r="CI131" s="351" t="str">
        <f>IFERROR(Tableau1[[#This Row],[Qté Facturé 10/2018]]*Tableau1[[#This Row],[Unit Price (calcul)]],"")</f>
        <v/>
      </c>
      <c r="CJ131" s="351" t="str">
        <f>IFERROR(IF(Tableau1[[#This Row],[Montant Facturé 10/2018]]&gt;0,Tableau1[[#This Row],[Montant Facturé 10/2018]]/Taux_Change_SII,""),"")</f>
        <v/>
      </c>
      <c r="CK131" s="351"/>
      <c r="CL131" s="83">
        <f>SUMPRODUCT(1*(EXACT(CONCATENATE(Tableau1[[#This Row],[PO Number (Header)]],"-",Tableau1[[#This Row],[Line]]),UO_List[Unique_AIB_ID]))*(UO_List[Qté Réception 11/2020]))</f>
        <v>0</v>
      </c>
      <c r="CM131" s="84"/>
      <c r="CN131" s="351"/>
      <c r="CO131" s="351" t="str">
        <f>IFERROR(Tableau1[[#This Row],[Qté Facturé 11/2018]]*Tableau1[[#This Row],[Unit Price (calcul)]],"")</f>
        <v/>
      </c>
      <c r="CP131" s="351" t="str">
        <f>IFERROR(IF(Tableau1[[#This Row],[Montant Facturé 11/2018]]&gt;0,Tableau1[[#This Row],[Montant Facturé 11/2018]]/Taux_Change_SII,""),"")</f>
        <v/>
      </c>
      <c r="CQ131" s="351"/>
      <c r="CR131" s="83">
        <f>SUMPRODUCT(1*(EXACT(CONCATENATE(Tableau1[[#This Row],[PO Number (Header)]],"-",Tableau1[[#This Row],[Line]]),UO_List[Unique_AIB_ID]))*(UO_List[Qté Réception 12/2020]))</f>
        <v>0</v>
      </c>
      <c r="CS131" s="84"/>
      <c r="CT131" s="351"/>
      <c r="CU131" s="351" t="str">
        <f>IFERROR(Tableau1[[#This Row],[Qté Facturé 12/2018]]*Tableau1[[#This Row],[Unit Price (calcul)]],"")</f>
        <v/>
      </c>
      <c r="CV131" s="351" t="str">
        <f>IFERROR(IF(Tableau1[[#This Row],[Montant Facturé 12/2018]]&gt;0,Tableau1[[#This Row],[Montant Facturé 12/2018]]/Taux_Change_SII,""),"")</f>
        <v/>
      </c>
      <c r="CW131" s="351"/>
      <c r="CX13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1" s="352" t="str">
        <f>IFERROR(Tableau1[[#This Row],[Total item réceptionné]]*Tableau1[[#This Row],[Unit Price (calcul)]],"")</f>
        <v/>
      </c>
      <c r="DB131" s="352" t="str">
        <f>IFERROR(Tableau1[[#This Row],[Total item à Facturer]]*Tableau1[[#This Row],[Unit Price (calcul)]],"")</f>
        <v/>
      </c>
      <c r="DC13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1" s="352" t="str">
        <f>IFERROR(Tableau1[[#This Row],[Line Total]]-Tableau1[[#This Row],[Total Price Réceptionné]],"")</f>
        <v/>
      </c>
      <c r="DE131" s="352" t="str">
        <f>IFERROR(Tableau1[[#This Row],[Total Price Réceptionné]]-Tableau1[[#This Row],[Total Price A facturer]],"")</f>
        <v/>
      </c>
      <c r="DF131" s="353" t="str">
        <f>IFERROR(Tableau1[[#This Row],[Total Price A facturer]]-Tableau1[[#This Row],[Total Price Facturé]],"")</f>
        <v/>
      </c>
      <c r="DG131" s="76">
        <f>Tableau1[[#This Row],[Total Item Quantity]]-Tableau1[[#This Row],[Total item réceptionné]]</f>
        <v>0</v>
      </c>
      <c r="DH131" s="167"/>
      <c r="DI131" s="167"/>
    </row>
    <row r="132" spans="1:113" s="74" customFormat="1">
      <c r="A132" s="77" t="str">
        <f>CONCATENATE(Tableau1[[#This Row],[PO Number (Header)]],"-",Tableau1[[#This Row],[Line]])</f>
        <v>-</v>
      </c>
      <c r="B132" s="77"/>
      <c r="C132" s="450"/>
      <c r="D132" s="102"/>
      <c r="E132" s="77"/>
      <c r="F132" s="77"/>
      <c r="G132" s="77"/>
      <c r="H132" s="77"/>
      <c r="I132" s="452"/>
      <c r="J132" s="452"/>
      <c r="K132" s="453"/>
      <c r="L132" s="453"/>
      <c r="M132" s="77"/>
      <c r="N132" s="77"/>
      <c r="O132" s="77"/>
      <c r="P132" s="77"/>
      <c r="Q132" s="395"/>
      <c r="R132" s="395"/>
      <c r="S132" s="77"/>
      <c r="T132" s="77"/>
      <c r="U132" s="77"/>
      <c r="V132" s="77"/>
      <c r="W132" s="167"/>
      <c r="X132" s="167"/>
      <c r="Y132" s="167" t="str">
        <f>IF(ISBLANK(Tableau1[[#This Row],[PO Number (Header)]]),"",Tableau1[[#This Row],[Line Total]]/Tableau1[[#This Row],[Total Item Quantity]])</f>
        <v/>
      </c>
      <c r="Z132" s="167" t="str">
        <f>IF(ISNA(VLOOKUP(Tableau1[[#This Row],[Unique_AIB_ID]],UO_List[Unique_AIB_ID],1,FALSE)),IF(ISBLANK(Tableau1[[#This Row],[PO Number (Header)]]),"","FAUX"),"VRAI")</f>
        <v/>
      </c>
      <c r="AA132" s="167"/>
      <c r="AB132" s="162" t="e">
        <f>VLOOKUP(Tableau1[[#This Row],[Unique_AIB_ID]],UO_List[[Unique_AIB_ID]:[OLGA F6]],3,FALSE)</f>
        <v>#N/A</v>
      </c>
      <c r="AC132" s="162" t="s">
        <v>790</v>
      </c>
      <c r="AD132" s="83">
        <f>SUMPRODUCT(1*(EXACT(CONCATENATE(Tableau1[[#This Row],[PO Number (Header)]],"-",Tableau1[[#This Row],[Line]]),UO_List[Unique_AIB_ID]))*(UO_List[Qté Réception 03/2020]))</f>
        <v>0</v>
      </c>
      <c r="AE132" s="84"/>
      <c r="AF132" s="357"/>
      <c r="AG132" s="351" t="str">
        <f>IFERROR(Tableau1[[#This Row],[Qté Facturé 01/2018]]*Tableau1[[#This Row],[Unit Price (calcul)]],"")</f>
        <v/>
      </c>
      <c r="AH132" s="356" t="str">
        <f>IFERROR(IF(Tableau1[[#This Row],[Montant Facturé 01/2018]]&gt;0,Tableau1[[#This Row],[Montant Facturé 01/2018]]/Taux_Change_SII,""),"")</f>
        <v/>
      </c>
      <c r="AI132" s="351"/>
      <c r="AJ132" s="83">
        <f>SUMPRODUCT(1*(EXACT(CONCATENATE(Tableau1[[#This Row],[PO Number (Header)]],"-",Tableau1[[#This Row],[Line]]),UO_List[Unique_AIB_ID]))*(UO_List[Qté Réception 02/2020]))</f>
        <v>0</v>
      </c>
      <c r="AK132" s="83">
        <f>SUMPRODUCT(1*(EXACT(CONCATENATE(Tableau1[[#This Row],[PO Number (Header)]],"-",Tableau1[[#This Row],[Line]]),UO_List[Unique_AIB_ID]))*(UO_List[Qté Réception 02/2020]))</f>
        <v>0</v>
      </c>
      <c r="AL132" s="357"/>
      <c r="AM132" s="351" t="str">
        <f>IFERROR(Tableau1[[#This Row],[Qté Facturé 02/2018]]*Tableau1[[#This Row],[Unit Price (calcul)]],"")</f>
        <v/>
      </c>
      <c r="AN132" s="351" t="str">
        <f>IFERROR(IF(Tableau1[[#This Row],[Montant Facturé 02/2018]]&gt;0,Tableau1[[#This Row],[Montant Facturé 02/2018]]/Taux_Change_SII,""),"")</f>
        <v/>
      </c>
      <c r="AO132" s="351"/>
      <c r="AP132" s="83">
        <f>SUMPRODUCT(1*(EXACT(CONCATENATE(Tableau1[[#This Row],[PO Number (Header)]],"-",Tableau1[[#This Row],[Line]]),UO_List[Unique_AIB_ID]))*(UO_List[Qté Réception 00/2020]))</f>
        <v>0</v>
      </c>
      <c r="AQ132" s="84"/>
      <c r="AR132" s="357"/>
      <c r="AS132" s="351" t="str">
        <f>IFERROR(Tableau1[[#This Row],[Qté Facturé 03/2018]]*Tableau1[[#This Row],[Unit Price (calcul)]],"")</f>
        <v/>
      </c>
      <c r="AT132" s="351" t="str">
        <f>IFERROR(IF(Tableau1[[#This Row],[Montant Facturé 03/2018]]&gt;0,Tableau1[[#This Row],[Montant Facturé 03/2018]]/Taux_Change_SII,""),"")</f>
        <v/>
      </c>
      <c r="AU132" s="351"/>
      <c r="AV132" s="83">
        <f>SUMPRODUCT(1*(EXACT(CONCATENATE(Tableau1[[#This Row],[PO Number (Header)]],"-",Tableau1[[#This Row],[Line]]),UO_List[Unique_AIB_ID]))*(UO_List[Qté Réception 04/2020]))</f>
        <v>0</v>
      </c>
      <c r="AW132" s="84"/>
      <c r="AX132" s="351"/>
      <c r="AY132" s="351" t="str">
        <f>IFERROR(Tableau1[[#This Row],[Qté Facturé 04/2018]]*Tableau1[[#This Row],[Unit Price (calcul)]],"")</f>
        <v/>
      </c>
      <c r="AZ132" s="351" t="str">
        <f>IFERROR(IF(Tableau1[[#This Row],[Montant Facturé 04/2018]]&gt;0,Tableau1[[#This Row],[Montant Facturé 04/2018]]/Taux_Change_SII,""),"")</f>
        <v/>
      </c>
      <c r="BA132" s="351"/>
      <c r="BB132" s="83">
        <f>SUMPRODUCT(1*(EXACT(CONCATENATE(Tableau1[[#This Row],[PO Number (Header)]],"-",Tableau1[[#This Row],[Line]]),UO_List[Unique_AIB_ID]))*(UO_List[Qté Réception 05/2020]))</f>
        <v>0</v>
      </c>
      <c r="BC132" s="84"/>
      <c r="BD132" s="351"/>
      <c r="BE132" s="351" t="str">
        <f>IFERROR(Tableau1[[#This Row],[Qté Facturé 05/2018]]*Tableau1[[#This Row],[Unit Price (calcul)]],"")</f>
        <v/>
      </c>
      <c r="BF132" s="351" t="str">
        <f>IFERROR(IF(Tableau1[[#This Row],[Montant Facturé 05/2018]]&gt;0,Tableau1[[#This Row],[Montant Facturé 05/2018]]/Taux_Change_SII,""),"")</f>
        <v/>
      </c>
      <c r="BG132" s="351"/>
      <c r="BH132" s="83">
        <f>SUMPRODUCT(1*(EXACT(CONCATENATE(Tableau1[[#This Row],[PO Number (Header)]],"-",Tableau1[[#This Row],[Line]]),UO_List[Unique_AIB_ID]))*(UO_List[Qté Réception 06/2020]))</f>
        <v>0</v>
      </c>
      <c r="BI132" s="84"/>
      <c r="BJ132" s="351"/>
      <c r="BK132" s="351" t="str">
        <f>IFERROR(Tableau1[[#This Row],[Qté Facturé 06/2018]]*Tableau1[[#This Row],[Unit Price (calcul)]],"")</f>
        <v/>
      </c>
      <c r="BL132" s="351" t="str">
        <f>IFERROR(IF(Tableau1[[#This Row],[Montant Facturé 06/2018]]&gt;0,Tableau1[[#This Row],[Montant Facturé 06/2018]]/Taux_Change_SII,""),"")</f>
        <v/>
      </c>
      <c r="BM132" s="351"/>
      <c r="BN132" s="83">
        <f>SUMPRODUCT(1*(EXACT(CONCATENATE(Tableau1[[#This Row],[PO Number (Header)]],"-",Tableau1[[#This Row],[Line]]),UO_List[Unique_AIB_ID]))*(UO_List[Qté Réception 07/2020]))</f>
        <v>0</v>
      </c>
      <c r="BO132" s="84"/>
      <c r="BP132" s="351"/>
      <c r="BQ132" s="351" t="str">
        <f>IFERROR(Tableau1[[#This Row],[Qté Facturé 07/2018]]*Tableau1[[#This Row],[Unit Price (calcul)]],"")</f>
        <v/>
      </c>
      <c r="BR132" s="351" t="str">
        <f>IFERROR(IF(Tableau1[[#This Row],[Montant Facturé 07/2018]]&gt;0,Tableau1[[#This Row],[Montant Facturé 07/2018]]/Taux_Change_SII,""),"")</f>
        <v/>
      </c>
      <c r="BS132" s="351"/>
      <c r="BT132" s="83">
        <f>SUMPRODUCT(1*(EXACT(CONCATENATE(Tableau1[[#This Row],[PO Number (Header)]],"-",Tableau1[[#This Row],[Line]]),UO_List[Unique_AIB_ID]))*(UO_List[Qté Réception 08/2020]))</f>
        <v>0</v>
      </c>
      <c r="BU132" s="84"/>
      <c r="BV132" s="351"/>
      <c r="BW132" s="351" t="str">
        <f>IFERROR(Tableau1[[#This Row],[Qté Facturé 08/2018]]*Tableau1[[#This Row],[Unit Price (calcul)]],"")</f>
        <v/>
      </c>
      <c r="BX132" s="351" t="str">
        <f>IFERROR(IF(Tableau1[[#This Row],[Montant Facturé 08/2018]]&gt;0,Tableau1[[#This Row],[Montant Facturé 08/2018]]/Taux_Change_SII,""),"")</f>
        <v/>
      </c>
      <c r="BY132" s="351"/>
      <c r="BZ132" s="83">
        <f>SUMPRODUCT(1*(EXACT(CONCATENATE(Tableau1[[#This Row],[PO Number (Header)]],"-",Tableau1[[#This Row],[Line]]),UO_List[Unique_AIB_ID]))*(UO_List[Qté Réception 09/2020]))</f>
        <v>0</v>
      </c>
      <c r="CA132" s="84">
        <v>0</v>
      </c>
      <c r="CB132" s="351"/>
      <c r="CC132" s="351" t="str">
        <f>IFERROR(Tableau1[[#This Row],[Qté Facturé 09/2018]]*Tableau1[[#This Row],[Unit Price (calcul)]],"")</f>
        <v/>
      </c>
      <c r="CD132" s="351" t="str">
        <f>IFERROR(IF(Tableau1[[#This Row],[Montant Facturé 09/2018]]&gt;0,Tableau1[[#This Row],[Montant Facturé 09/2018]]/Taux_Change_SII,""),"")</f>
        <v/>
      </c>
      <c r="CE132" s="351"/>
      <c r="CF132" s="83">
        <f>SUMPRODUCT(1*(EXACT(CONCATENATE(Tableau1[[#This Row],[PO Number (Header)]],"-",Tableau1[[#This Row],[Line]]),UO_List[Unique_AIB_ID]))*(UO_List[Qté Réception 10/2020]))</f>
        <v>0</v>
      </c>
      <c r="CG132" s="84">
        <v>0</v>
      </c>
      <c r="CH132" s="351"/>
      <c r="CI132" s="351" t="str">
        <f>IFERROR(Tableau1[[#This Row],[Qté Facturé 10/2018]]*Tableau1[[#This Row],[Unit Price (calcul)]],"")</f>
        <v/>
      </c>
      <c r="CJ132" s="351" t="str">
        <f>IFERROR(IF(Tableau1[[#This Row],[Montant Facturé 10/2018]]&gt;0,Tableau1[[#This Row],[Montant Facturé 10/2018]]/Taux_Change_SII,""),"")</f>
        <v/>
      </c>
      <c r="CK132" s="351"/>
      <c r="CL132" s="83">
        <f>SUMPRODUCT(1*(EXACT(CONCATENATE(Tableau1[[#This Row],[PO Number (Header)]],"-",Tableau1[[#This Row],[Line]]),UO_List[Unique_AIB_ID]))*(UO_List[Qté Réception 11/2020]))</f>
        <v>0</v>
      </c>
      <c r="CM132" s="84"/>
      <c r="CN132" s="351"/>
      <c r="CO132" s="351" t="str">
        <f>IFERROR(Tableau1[[#This Row],[Qté Facturé 11/2018]]*Tableau1[[#This Row],[Unit Price (calcul)]],"")</f>
        <v/>
      </c>
      <c r="CP132" s="351" t="str">
        <f>IFERROR(IF(Tableau1[[#This Row],[Montant Facturé 11/2018]]&gt;0,Tableau1[[#This Row],[Montant Facturé 11/2018]]/Taux_Change_SII,""),"")</f>
        <v/>
      </c>
      <c r="CQ132" s="351"/>
      <c r="CR132" s="83">
        <f>SUMPRODUCT(1*(EXACT(CONCATENATE(Tableau1[[#This Row],[PO Number (Header)]],"-",Tableau1[[#This Row],[Line]]),UO_List[Unique_AIB_ID]))*(UO_List[Qté Réception 12/2020]))</f>
        <v>0</v>
      </c>
      <c r="CS132" s="84"/>
      <c r="CT132" s="351"/>
      <c r="CU132" s="351" t="str">
        <f>IFERROR(Tableau1[[#This Row],[Qté Facturé 12/2018]]*Tableau1[[#This Row],[Unit Price (calcul)]],"")</f>
        <v/>
      </c>
      <c r="CV132" s="351" t="str">
        <f>IFERROR(IF(Tableau1[[#This Row],[Montant Facturé 12/2018]]&gt;0,Tableau1[[#This Row],[Montant Facturé 12/2018]]/Taux_Change_SII,""),"")</f>
        <v/>
      </c>
      <c r="CW132" s="351"/>
      <c r="CX13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2" s="352" t="str">
        <f>IFERROR(Tableau1[[#This Row],[Total item réceptionné]]*Tableau1[[#This Row],[Unit Price (calcul)]],"")</f>
        <v/>
      </c>
      <c r="DB132" s="352" t="str">
        <f>IFERROR(Tableau1[[#This Row],[Total item à Facturer]]*Tableau1[[#This Row],[Unit Price (calcul)]],"")</f>
        <v/>
      </c>
      <c r="DC13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2" s="352" t="str">
        <f>IFERROR(Tableau1[[#This Row],[Line Total]]-Tableau1[[#This Row],[Total Price Réceptionné]],"")</f>
        <v/>
      </c>
      <c r="DE132" s="352" t="str">
        <f>IFERROR(Tableau1[[#This Row],[Total Price Réceptionné]]-Tableau1[[#This Row],[Total Price A facturer]],"")</f>
        <v/>
      </c>
      <c r="DF132" s="353" t="str">
        <f>IFERROR(Tableau1[[#This Row],[Total Price A facturer]]-Tableau1[[#This Row],[Total Price Facturé]],"")</f>
        <v/>
      </c>
      <c r="DG132" s="76">
        <f>Tableau1[[#This Row],[Total Item Quantity]]-Tableau1[[#This Row],[Total item réceptionné]]</f>
        <v>0</v>
      </c>
      <c r="DH132" s="167"/>
      <c r="DI132" s="167"/>
    </row>
    <row r="133" spans="1:113" s="74" customFormat="1">
      <c r="A133" s="77" t="str">
        <f>CONCATENATE(Tableau1[[#This Row],[PO Number (Header)]],"-",Tableau1[[#This Row],[Line]])</f>
        <v>-</v>
      </c>
      <c r="B133" s="77"/>
      <c r="C133" s="450"/>
      <c r="D133" s="102"/>
      <c r="E133" s="77"/>
      <c r="F133" s="77"/>
      <c r="G133" s="77"/>
      <c r="H133" s="77"/>
      <c r="I133" s="452"/>
      <c r="J133" s="452"/>
      <c r="K133" s="453"/>
      <c r="L133" s="453"/>
      <c r="M133" s="77"/>
      <c r="N133" s="77"/>
      <c r="O133" s="77"/>
      <c r="P133" s="77"/>
      <c r="Q133" s="395"/>
      <c r="R133" s="395"/>
      <c r="S133" s="77"/>
      <c r="T133" s="77"/>
      <c r="U133" s="77"/>
      <c r="V133" s="77"/>
      <c r="W133" s="167"/>
      <c r="X133" s="167"/>
      <c r="Y133" s="167" t="str">
        <f>IF(ISBLANK(Tableau1[[#This Row],[PO Number (Header)]]),"",Tableau1[[#This Row],[Line Total]]/Tableau1[[#This Row],[Total Item Quantity]])</f>
        <v/>
      </c>
      <c r="Z133" s="167" t="str">
        <f>IF(ISNA(VLOOKUP(Tableau1[[#This Row],[Unique_AIB_ID]],UO_List[Unique_AIB_ID],1,FALSE)),IF(ISBLANK(Tableau1[[#This Row],[PO Number (Header)]]),"","FAUX"),"VRAI")</f>
        <v/>
      </c>
      <c r="AA133" s="167"/>
      <c r="AB133" s="162" t="e">
        <f>VLOOKUP(Tableau1[[#This Row],[Unique_AIB_ID]],UO_List[[Unique_AIB_ID]:[OLGA F6]],3,FALSE)</f>
        <v>#N/A</v>
      </c>
      <c r="AC133" s="162" t="s">
        <v>790</v>
      </c>
      <c r="AD133" s="83">
        <f>SUMPRODUCT(1*(EXACT(CONCATENATE(Tableau1[[#This Row],[PO Number (Header)]],"-",Tableau1[[#This Row],[Line]]),UO_List[Unique_AIB_ID]))*(UO_List[Qté Réception 03/2020]))</f>
        <v>0</v>
      </c>
      <c r="AE133" s="84"/>
      <c r="AF133" s="357"/>
      <c r="AG133" s="351" t="str">
        <f>IFERROR(Tableau1[[#This Row],[Qté Facturé 01/2018]]*Tableau1[[#This Row],[Unit Price (calcul)]],"")</f>
        <v/>
      </c>
      <c r="AH133" s="356" t="str">
        <f>IFERROR(IF(Tableau1[[#This Row],[Montant Facturé 01/2018]]&gt;0,Tableau1[[#This Row],[Montant Facturé 01/2018]]/Taux_Change_SII,""),"")</f>
        <v/>
      </c>
      <c r="AI133" s="351"/>
      <c r="AJ133" s="83">
        <f>SUMPRODUCT(1*(EXACT(CONCATENATE(Tableau1[[#This Row],[PO Number (Header)]],"-",Tableau1[[#This Row],[Line]]),UO_List[Unique_AIB_ID]))*(UO_List[Qté Réception 02/2020]))</f>
        <v>0</v>
      </c>
      <c r="AK133" s="83">
        <f>SUMPRODUCT(1*(EXACT(CONCATENATE(Tableau1[[#This Row],[PO Number (Header)]],"-",Tableau1[[#This Row],[Line]]),UO_List[Unique_AIB_ID]))*(UO_List[Qté Réception 02/2020]))</f>
        <v>0</v>
      </c>
      <c r="AL133" s="357"/>
      <c r="AM133" s="351" t="str">
        <f>IFERROR(Tableau1[[#This Row],[Qté Facturé 02/2018]]*Tableau1[[#This Row],[Unit Price (calcul)]],"")</f>
        <v/>
      </c>
      <c r="AN133" s="351" t="str">
        <f>IFERROR(IF(Tableau1[[#This Row],[Montant Facturé 02/2018]]&gt;0,Tableau1[[#This Row],[Montant Facturé 02/2018]]/Taux_Change_SII,""),"")</f>
        <v/>
      </c>
      <c r="AO133" s="351"/>
      <c r="AP133" s="83">
        <f>SUMPRODUCT(1*(EXACT(CONCATENATE(Tableau1[[#This Row],[PO Number (Header)]],"-",Tableau1[[#This Row],[Line]]),UO_List[Unique_AIB_ID]))*(UO_List[Qté Réception 00/2020]))</f>
        <v>0</v>
      </c>
      <c r="AQ133" s="84"/>
      <c r="AR133" s="357"/>
      <c r="AS133" s="351" t="str">
        <f>IFERROR(Tableau1[[#This Row],[Qté Facturé 03/2018]]*Tableau1[[#This Row],[Unit Price (calcul)]],"")</f>
        <v/>
      </c>
      <c r="AT133" s="351" t="str">
        <f>IFERROR(IF(Tableau1[[#This Row],[Montant Facturé 03/2018]]&gt;0,Tableau1[[#This Row],[Montant Facturé 03/2018]]/Taux_Change_SII,""),"")</f>
        <v/>
      </c>
      <c r="AU133" s="351"/>
      <c r="AV133" s="83">
        <f>SUMPRODUCT(1*(EXACT(CONCATENATE(Tableau1[[#This Row],[PO Number (Header)]],"-",Tableau1[[#This Row],[Line]]),UO_List[Unique_AIB_ID]))*(UO_List[Qté Réception 04/2020]))</f>
        <v>0</v>
      </c>
      <c r="AW133" s="84"/>
      <c r="AX133" s="351"/>
      <c r="AY133" s="351" t="str">
        <f>IFERROR(Tableau1[[#This Row],[Qté Facturé 04/2018]]*Tableau1[[#This Row],[Unit Price (calcul)]],"")</f>
        <v/>
      </c>
      <c r="AZ133" s="351" t="str">
        <f>IFERROR(IF(Tableau1[[#This Row],[Montant Facturé 04/2018]]&gt;0,Tableau1[[#This Row],[Montant Facturé 04/2018]]/Taux_Change_SII,""),"")</f>
        <v/>
      </c>
      <c r="BA133" s="351"/>
      <c r="BB133" s="83">
        <f>SUMPRODUCT(1*(EXACT(CONCATENATE(Tableau1[[#This Row],[PO Number (Header)]],"-",Tableau1[[#This Row],[Line]]),UO_List[Unique_AIB_ID]))*(UO_List[Qté Réception 05/2020]))</f>
        <v>0</v>
      </c>
      <c r="BC133" s="84"/>
      <c r="BD133" s="351"/>
      <c r="BE133" s="351" t="str">
        <f>IFERROR(Tableau1[[#This Row],[Qté Facturé 05/2018]]*Tableau1[[#This Row],[Unit Price (calcul)]],"")</f>
        <v/>
      </c>
      <c r="BF133" s="351" t="str">
        <f>IFERROR(IF(Tableau1[[#This Row],[Montant Facturé 05/2018]]&gt;0,Tableau1[[#This Row],[Montant Facturé 05/2018]]/Taux_Change_SII,""),"")</f>
        <v/>
      </c>
      <c r="BG133" s="351"/>
      <c r="BH133" s="83">
        <f>SUMPRODUCT(1*(EXACT(CONCATENATE(Tableau1[[#This Row],[PO Number (Header)]],"-",Tableau1[[#This Row],[Line]]),UO_List[Unique_AIB_ID]))*(UO_List[Qté Réception 06/2020]))</f>
        <v>0</v>
      </c>
      <c r="BI133" s="84"/>
      <c r="BJ133" s="351"/>
      <c r="BK133" s="351" t="str">
        <f>IFERROR(Tableau1[[#This Row],[Qté Facturé 06/2018]]*Tableau1[[#This Row],[Unit Price (calcul)]],"")</f>
        <v/>
      </c>
      <c r="BL133" s="351" t="str">
        <f>IFERROR(IF(Tableau1[[#This Row],[Montant Facturé 06/2018]]&gt;0,Tableau1[[#This Row],[Montant Facturé 06/2018]]/Taux_Change_SII,""),"")</f>
        <v/>
      </c>
      <c r="BM133" s="351"/>
      <c r="BN133" s="83">
        <f>SUMPRODUCT(1*(EXACT(CONCATENATE(Tableau1[[#This Row],[PO Number (Header)]],"-",Tableau1[[#This Row],[Line]]),UO_List[Unique_AIB_ID]))*(UO_List[Qté Réception 07/2020]))</f>
        <v>0</v>
      </c>
      <c r="BO133" s="84"/>
      <c r="BP133" s="351"/>
      <c r="BQ133" s="351" t="str">
        <f>IFERROR(Tableau1[[#This Row],[Qté Facturé 07/2018]]*Tableau1[[#This Row],[Unit Price (calcul)]],"")</f>
        <v/>
      </c>
      <c r="BR133" s="351" t="str">
        <f>IFERROR(IF(Tableau1[[#This Row],[Montant Facturé 07/2018]]&gt;0,Tableau1[[#This Row],[Montant Facturé 07/2018]]/Taux_Change_SII,""),"")</f>
        <v/>
      </c>
      <c r="BS133" s="351"/>
      <c r="BT133" s="83">
        <f>SUMPRODUCT(1*(EXACT(CONCATENATE(Tableau1[[#This Row],[PO Number (Header)]],"-",Tableau1[[#This Row],[Line]]),UO_List[Unique_AIB_ID]))*(UO_List[Qté Réception 08/2020]))</f>
        <v>0</v>
      </c>
      <c r="BU133" s="84"/>
      <c r="BV133" s="351"/>
      <c r="BW133" s="351" t="str">
        <f>IFERROR(Tableau1[[#This Row],[Qté Facturé 08/2018]]*Tableau1[[#This Row],[Unit Price (calcul)]],"")</f>
        <v/>
      </c>
      <c r="BX133" s="351" t="str">
        <f>IFERROR(IF(Tableau1[[#This Row],[Montant Facturé 08/2018]]&gt;0,Tableau1[[#This Row],[Montant Facturé 08/2018]]/Taux_Change_SII,""),"")</f>
        <v/>
      </c>
      <c r="BY133" s="351"/>
      <c r="BZ133" s="83">
        <f>SUMPRODUCT(1*(EXACT(CONCATENATE(Tableau1[[#This Row],[PO Number (Header)]],"-",Tableau1[[#This Row],[Line]]),UO_List[Unique_AIB_ID]))*(UO_List[Qté Réception 09/2020]))</f>
        <v>0</v>
      </c>
      <c r="CA133" s="84">
        <v>0</v>
      </c>
      <c r="CB133" s="351"/>
      <c r="CC133" s="351" t="str">
        <f>IFERROR(Tableau1[[#This Row],[Qté Facturé 09/2018]]*Tableau1[[#This Row],[Unit Price (calcul)]],"")</f>
        <v/>
      </c>
      <c r="CD133" s="351" t="str">
        <f>IFERROR(IF(Tableau1[[#This Row],[Montant Facturé 09/2018]]&gt;0,Tableau1[[#This Row],[Montant Facturé 09/2018]]/Taux_Change_SII,""),"")</f>
        <v/>
      </c>
      <c r="CE133" s="351"/>
      <c r="CF133" s="83">
        <f>SUMPRODUCT(1*(EXACT(CONCATENATE(Tableau1[[#This Row],[PO Number (Header)]],"-",Tableau1[[#This Row],[Line]]),UO_List[Unique_AIB_ID]))*(UO_List[Qté Réception 10/2020]))</f>
        <v>0</v>
      </c>
      <c r="CG133" s="84">
        <v>0</v>
      </c>
      <c r="CH133" s="351"/>
      <c r="CI133" s="351" t="str">
        <f>IFERROR(Tableau1[[#This Row],[Qté Facturé 10/2018]]*Tableau1[[#This Row],[Unit Price (calcul)]],"")</f>
        <v/>
      </c>
      <c r="CJ133" s="351" t="str">
        <f>IFERROR(IF(Tableau1[[#This Row],[Montant Facturé 10/2018]]&gt;0,Tableau1[[#This Row],[Montant Facturé 10/2018]]/Taux_Change_SII,""),"")</f>
        <v/>
      </c>
      <c r="CK133" s="351"/>
      <c r="CL133" s="83">
        <f>SUMPRODUCT(1*(EXACT(CONCATENATE(Tableau1[[#This Row],[PO Number (Header)]],"-",Tableau1[[#This Row],[Line]]),UO_List[Unique_AIB_ID]))*(UO_List[Qté Réception 11/2020]))</f>
        <v>0</v>
      </c>
      <c r="CM133" s="84"/>
      <c r="CN133" s="351"/>
      <c r="CO133" s="351" t="str">
        <f>IFERROR(Tableau1[[#This Row],[Qté Facturé 11/2018]]*Tableau1[[#This Row],[Unit Price (calcul)]],"")</f>
        <v/>
      </c>
      <c r="CP133" s="351" t="str">
        <f>IFERROR(IF(Tableau1[[#This Row],[Montant Facturé 11/2018]]&gt;0,Tableau1[[#This Row],[Montant Facturé 11/2018]]/Taux_Change_SII,""),"")</f>
        <v/>
      </c>
      <c r="CQ133" s="351"/>
      <c r="CR133" s="83">
        <f>SUMPRODUCT(1*(EXACT(CONCATENATE(Tableau1[[#This Row],[PO Number (Header)]],"-",Tableau1[[#This Row],[Line]]),UO_List[Unique_AIB_ID]))*(UO_List[Qté Réception 12/2020]))</f>
        <v>0</v>
      </c>
      <c r="CS133" s="84"/>
      <c r="CT133" s="351"/>
      <c r="CU133" s="351" t="str">
        <f>IFERROR(Tableau1[[#This Row],[Qté Facturé 12/2018]]*Tableau1[[#This Row],[Unit Price (calcul)]],"")</f>
        <v/>
      </c>
      <c r="CV133" s="351" t="str">
        <f>IFERROR(IF(Tableau1[[#This Row],[Montant Facturé 12/2018]]&gt;0,Tableau1[[#This Row],[Montant Facturé 12/2018]]/Taux_Change_SII,""),"")</f>
        <v/>
      </c>
      <c r="CW133" s="351"/>
      <c r="CX13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3" s="352" t="str">
        <f>IFERROR(Tableau1[[#This Row],[Total item réceptionné]]*Tableau1[[#This Row],[Unit Price (calcul)]],"")</f>
        <v/>
      </c>
      <c r="DB133" s="352" t="str">
        <f>IFERROR(Tableau1[[#This Row],[Total item à Facturer]]*Tableau1[[#This Row],[Unit Price (calcul)]],"")</f>
        <v/>
      </c>
      <c r="DC13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3" s="352" t="str">
        <f>IFERROR(Tableau1[[#This Row],[Line Total]]-Tableau1[[#This Row],[Total Price Réceptionné]],"")</f>
        <v/>
      </c>
      <c r="DE133" s="352" t="str">
        <f>IFERROR(Tableau1[[#This Row],[Total Price Réceptionné]]-Tableau1[[#This Row],[Total Price A facturer]],"")</f>
        <v/>
      </c>
      <c r="DF133" s="353" t="str">
        <f>IFERROR(Tableau1[[#This Row],[Total Price A facturer]]-Tableau1[[#This Row],[Total Price Facturé]],"")</f>
        <v/>
      </c>
      <c r="DG133" s="76">
        <f>Tableau1[[#This Row],[Total Item Quantity]]-Tableau1[[#This Row],[Total item réceptionné]]</f>
        <v>0</v>
      </c>
      <c r="DH133" s="167"/>
      <c r="DI133" s="167"/>
    </row>
    <row r="134" spans="1:113" s="74" customFormat="1">
      <c r="A134" s="77" t="str">
        <f>CONCATENATE(Tableau1[[#This Row],[PO Number (Header)]],"-",Tableau1[[#This Row],[Line]])</f>
        <v>-</v>
      </c>
      <c r="B134" s="77"/>
      <c r="C134" s="450"/>
      <c r="D134" s="102"/>
      <c r="E134" s="77"/>
      <c r="F134" s="77"/>
      <c r="G134" s="77"/>
      <c r="H134" s="77"/>
      <c r="I134" s="452"/>
      <c r="J134" s="452"/>
      <c r="K134" s="453"/>
      <c r="L134" s="453"/>
      <c r="M134" s="77"/>
      <c r="N134" s="77"/>
      <c r="O134" s="77"/>
      <c r="P134" s="77"/>
      <c r="Q134" s="395"/>
      <c r="R134" s="395"/>
      <c r="S134" s="77"/>
      <c r="T134" s="77"/>
      <c r="U134" s="77"/>
      <c r="V134" s="77"/>
      <c r="W134" s="167"/>
      <c r="X134" s="167"/>
      <c r="Y134" s="167" t="str">
        <f>IF(ISBLANK(Tableau1[[#This Row],[PO Number (Header)]]),"",Tableau1[[#This Row],[Line Total]]/Tableau1[[#This Row],[Total Item Quantity]])</f>
        <v/>
      </c>
      <c r="Z134" s="167" t="str">
        <f>IF(ISNA(VLOOKUP(Tableau1[[#This Row],[Unique_AIB_ID]],UO_List[Unique_AIB_ID],1,FALSE)),IF(ISBLANK(Tableau1[[#This Row],[PO Number (Header)]]),"","FAUX"),"VRAI")</f>
        <v/>
      </c>
      <c r="AA134" s="167"/>
      <c r="AB134" s="162" t="e">
        <f>VLOOKUP(Tableau1[[#This Row],[Unique_AIB_ID]],UO_List[[Unique_AIB_ID]:[OLGA F6]],3,FALSE)</f>
        <v>#N/A</v>
      </c>
      <c r="AC134" s="162" t="s">
        <v>790</v>
      </c>
      <c r="AD134" s="83">
        <f>SUMPRODUCT(1*(EXACT(CONCATENATE(Tableau1[[#This Row],[PO Number (Header)]],"-",Tableau1[[#This Row],[Line]]),UO_List[Unique_AIB_ID]))*(UO_List[Qté Réception 03/2020]))</f>
        <v>0</v>
      </c>
      <c r="AE134" s="84"/>
      <c r="AF134" s="357"/>
      <c r="AG134" s="351" t="str">
        <f>IFERROR(Tableau1[[#This Row],[Qté Facturé 01/2018]]*Tableau1[[#This Row],[Unit Price (calcul)]],"")</f>
        <v/>
      </c>
      <c r="AH134" s="356" t="str">
        <f>IFERROR(IF(Tableau1[[#This Row],[Montant Facturé 01/2018]]&gt;0,Tableau1[[#This Row],[Montant Facturé 01/2018]]/Taux_Change_SII,""),"")</f>
        <v/>
      </c>
      <c r="AI134" s="351"/>
      <c r="AJ134" s="83">
        <f>SUMPRODUCT(1*(EXACT(CONCATENATE(Tableau1[[#This Row],[PO Number (Header)]],"-",Tableau1[[#This Row],[Line]]),UO_List[Unique_AIB_ID]))*(UO_List[Qté Réception 02/2020]))</f>
        <v>0</v>
      </c>
      <c r="AK134" s="83">
        <f>SUMPRODUCT(1*(EXACT(CONCATENATE(Tableau1[[#This Row],[PO Number (Header)]],"-",Tableau1[[#This Row],[Line]]),UO_List[Unique_AIB_ID]))*(UO_List[Qté Réception 02/2020]))</f>
        <v>0</v>
      </c>
      <c r="AL134" s="357"/>
      <c r="AM134" s="351" t="str">
        <f>IFERROR(Tableau1[[#This Row],[Qté Facturé 02/2018]]*Tableau1[[#This Row],[Unit Price (calcul)]],"")</f>
        <v/>
      </c>
      <c r="AN134" s="351" t="str">
        <f>IFERROR(IF(Tableau1[[#This Row],[Montant Facturé 02/2018]]&gt;0,Tableau1[[#This Row],[Montant Facturé 02/2018]]/Taux_Change_SII,""),"")</f>
        <v/>
      </c>
      <c r="AO134" s="351"/>
      <c r="AP134" s="83">
        <f>SUMPRODUCT(1*(EXACT(CONCATENATE(Tableau1[[#This Row],[PO Number (Header)]],"-",Tableau1[[#This Row],[Line]]),UO_List[Unique_AIB_ID]))*(UO_List[Qté Réception 00/2020]))</f>
        <v>0</v>
      </c>
      <c r="AQ134" s="84"/>
      <c r="AR134" s="357"/>
      <c r="AS134" s="351" t="str">
        <f>IFERROR(Tableau1[[#This Row],[Qté Facturé 03/2018]]*Tableau1[[#This Row],[Unit Price (calcul)]],"")</f>
        <v/>
      </c>
      <c r="AT134" s="351" t="str">
        <f>IFERROR(IF(Tableau1[[#This Row],[Montant Facturé 03/2018]]&gt;0,Tableau1[[#This Row],[Montant Facturé 03/2018]]/Taux_Change_SII,""),"")</f>
        <v/>
      </c>
      <c r="AU134" s="351"/>
      <c r="AV134" s="83">
        <f>SUMPRODUCT(1*(EXACT(CONCATENATE(Tableau1[[#This Row],[PO Number (Header)]],"-",Tableau1[[#This Row],[Line]]),UO_List[Unique_AIB_ID]))*(UO_List[Qté Réception 04/2020]))</f>
        <v>0</v>
      </c>
      <c r="AW134" s="84"/>
      <c r="AX134" s="351"/>
      <c r="AY134" s="351" t="str">
        <f>IFERROR(Tableau1[[#This Row],[Qté Facturé 04/2018]]*Tableau1[[#This Row],[Unit Price (calcul)]],"")</f>
        <v/>
      </c>
      <c r="AZ134" s="351" t="str">
        <f>IFERROR(IF(Tableau1[[#This Row],[Montant Facturé 04/2018]]&gt;0,Tableau1[[#This Row],[Montant Facturé 04/2018]]/Taux_Change_SII,""),"")</f>
        <v/>
      </c>
      <c r="BA134" s="351"/>
      <c r="BB134" s="83">
        <f>SUMPRODUCT(1*(EXACT(CONCATENATE(Tableau1[[#This Row],[PO Number (Header)]],"-",Tableau1[[#This Row],[Line]]),UO_List[Unique_AIB_ID]))*(UO_List[Qté Réception 05/2020]))</f>
        <v>0</v>
      </c>
      <c r="BC134" s="84"/>
      <c r="BD134" s="351"/>
      <c r="BE134" s="351" t="str">
        <f>IFERROR(Tableau1[[#This Row],[Qté Facturé 05/2018]]*Tableau1[[#This Row],[Unit Price (calcul)]],"")</f>
        <v/>
      </c>
      <c r="BF134" s="351" t="str">
        <f>IFERROR(IF(Tableau1[[#This Row],[Montant Facturé 05/2018]]&gt;0,Tableau1[[#This Row],[Montant Facturé 05/2018]]/Taux_Change_SII,""),"")</f>
        <v/>
      </c>
      <c r="BG134" s="351"/>
      <c r="BH134" s="83">
        <f>SUMPRODUCT(1*(EXACT(CONCATENATE(Tableau1[[#This Row],[PO Number (Header)]],"-",Tableau1[[#This Row],[Line]]),UO_List[Unique_AIB_ID]))*(UO_List[Qté Réception 06/2020]))</f>
        <v>0</v>
      </c>
      <c r="BI134" s="84"/>
      <c r="BJ134" s="351"/>
      <c r="BK134" s="351" t="str">
        <f>IFERROR(Tableau1[[#This Row],[Qté Facturé 06/2018]]*Tableau1[[#This Row],[Unit Price (calcul)]],"")</f>
        <v/>
      </c>
      <c r="BL134" s="351" t="str">
        <f>IFERROR(IF(Tableau1[[#This Row],[Montant Facturé 06/2018]]&gt;0,Tableau1[[#This Row],[Montant Facturé 06/2018]]/Taux_Change_SII,""),"")</f>
        <v/>
      </c>
      <c r="BM134" s="351"/>
      <c r="BN134" s="83">
        <f>SUMPRODUCT(1*(EXACT(CONCATENATE(Tableau1[[#This Row],[PO Number (Header)]],"-",Tableau1[[#This Row],[Line]]),UO_List[Unique_AIB_ID]))*(UO_List[Qté Réception 07/2020]))</f>
        <v>0</v>
      </c>
      <c r="BO134" s="84"/>
      <c r="BP134" s="351"/>
      <c r="BQ134" s="351" t="str">
        <f>IFERROR(Tableau1[[#This Row],[Qté Facturé 07/2018]]*Tableau1[[#This Row],[Unit Price (calcul)]],"")</f>
        <v/>
      </c>
      <c r="BR134" s="351" t="str">
        <f>IFERROR(IF(Tableau1[[#This Row],[Montant Facturé 07/2018]]&gt;0,Tableau1[[#This Row],[Montant Facturé 07/2018]]/Taux_Change_SII,""),"")</f>
        <v/>
      </c>
      <c r="BS134" s="351"/>
      <c r="BT134" s="83">
        <f>SUMPRODUCT(1*(EXACT(CONCATENATE(Tableau1[[#This Row],[PO Number (Header)]],"-",Tableau1[[#This Row],[Line]]),UO_List[Unique_AIB_ID]))*(UO_List[Qté Réception 08/2020]))</f>
        <v>0</v>
      </c>
      <c r="BU134" s="84"/>
      <c r="BV134" s="351"/>
      <c r="BW134" s="351" t="str">
        <f>IFERROR(Tableau1[[#This Row],[Qté Facturé 08/2018]]*Tableau1[[#This Row],[Unit Price (calcul)]],"")</f>
        <v/>
      </c>
      <c r="BX134" s="351" t="str">
        <f>IFERROR(IF(Tableau1[[#This Row],[Montant Facturé 08/2018]]&gt;0,Tableau1[[#This Row],[Montant Facturé 08/2018]]/Taux_Change_SII,""),"")</f>
        <v/>
      </c>
      <c r="BY134" s="351"/>
      <c r="BZ134" s="83">
        <f>SUMPRODUCT(1*(EXACT(CONCATENATE(Tableau1[[#This Row],[PO Number (Header)]],"-",Tableau1[[#This Row],[Line]]),UO_List[Unique_AIB_ID]))*(UO_List[Qté Réception 09/2020]))</f>
        <v>0</v>
      </c>
      <c r="CA134" s="84">
        <v>0</v>
      </c>
      <c r="CB134" s="351"/>
      <c r="CC134" s="351" t="str">
        <f>IFERROR(Tableau1[[#This Row],[Qté Facturé 09/2018]]*Tableau1[[#This Row],[Unit Price (calcul)]],"")</f>
        <v/>
      </c>
      <c r="CD134" s="351" t="str">
        <f>IFERROR(IF(Tableau1[[#This Row],[Montant Facturé 09/2018]]&gt;0,Tableau1[[#This Row],[Montant Facturé 09/2018]]/Taux_Change_SII,""),"")</f>
        <v/>
      </c>
      <c r="CE134" s="351"/>
      <c r="CF134" s="83">
        <f>SUMPRODUCT(1*(EXACT(CONCATENATE(Tableau1[[#This Row],[PO Number (Header)]],"-",Tableau1[[#This Row],[Line]]),UO_List[Unique_AIB_ID]))*(UO_List[Qté Réception 10/2020]))</f>
        <v>0</v>
      </c>
      <c r="CG134" s="84">
        <v>0</v>
      </c>
      <c r="CH134" s="351"/>
      <c r="CI134" s="351" t="str">
        <f>IFERROR(Tableau1[[#This Row],[Qté Facturé 10/2018]]*Tableau1[[#This Row],[Unit Price (calcul)]],"")</f>
        <v/>
      </c>
      <c r="CJ134" s="351" t="str">
        <f>IFERROR(IF(Tableau1[[#This Row],[Montant Facturé 10/2018]]&gt;0,Tableau1[[#This Row],[Montant Facturé 10/2018]]/Taux_Change_SII,""),"")</f>
        <v/>
      </c>
      <c r="CK134" s="351"/>
      <c r="CL134" s="83">
        <f>SUMPRODUCT(1*(EXACT(CONCATENATE(Tableau1[[#This Row],[PO Number (Header)]],"-",Tableau1[[#This Row],[Line]]),UO_List[Unique_AIB_ID]))*(UO_List[Qté Réception 11/2020]))</f>
        <v>0</v>
      </c>
      <c r="CM134" s="84"/>
      <c r="CN134" s="351"/>
      <c r="CO134" s="351" t="str">
        <f>IFERROR(Tableau1[[#This Row],[Qté Facturé 11/2018]]*Tableau1[[#This Row],[Unit Price (calcul)]],"")</f>
        <v/>
      </c>
      <c r="CP134" s="351" t="str">
        <f>IFERROR(IF(Tableau1[[#This Row],[Montant Facturé 11/2018]]&gt;0,Tableau1[[#This Row],[Montant Facturé 11/2018]]/Taux_Change_SII,""),"")</f>
        <v/>
      </c>
      <c r="CQ134" s="351"/>
      <c r="CR134" s="83">
        <f>SUMPRODUCT(1*(EXACT(CONCATENATE(Tableau1[[#This Row],[PO Number (Header)]],"-",Tableau1[[#This Row],[Line]]),UO_List[Unique_AIB_ID]))*(UO_List[Qté Réception 12/2020]))</f>
        <v>0</v>
      </c>
      <c r="CS134" s="84"/>
      <c r="CT134" s="351"/>
      <c r="CU134" s="351" t="str">
        <f>IFERROR(Tableau1[[#This Row],[Qté Facturé 12/2018]]*Tableau1[[#This Row],[Unit Price (calcul)]],"")</f>
        <v/>
      </c>
      <c r="CV134" s="351" t="str">
        <f>IFERROR(IF(Tableau1[[#This Row],[Montant Facturé 12/2018]]&gt;0,Tableau1[[#This Row],[Montant Facturé 12/2018]]/Taux_Change_SII,""),"")</f>
        <v/>
      </c>
      <c r="CW134" s="351"/>
      <c r="CX13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4" s="352" t="str">
        <f>IFERROR(Tableau1[[#This Row],[Total item réceptionné]]*Tableau1[[#This Row],[Unit Price (calcul)]],"")</f>
        <v/>
      </c>
      <c r="DB134" s="352" t="str">
        <f>IFERROR(Tableau1[[#This Row],[Total item à Facturer]]*Tableau1[[#This Row],[Unit Price (calcul)]],"")</f>
        <v/>
      </c>
      <c r="DC13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4" s="352" t="str">
        <f>IFERROR(Tableau1[[#This Row],[Line Total]]-Tableau1[[#This Row],[Total Price Réceptionné]],"")</f>
        <v/>
      </c>
      <c r="DE134" s="352" t="str">
        <f>IFERROR(Tableau1[[#This Row],[Total Price Réceptionné]]-Tableau1[[#This Row],[Total Price A facturer]],"")</f>
        <v/>
      </c>
      <c r="DF134" s="353" t="str">
        <f>IFERROR(Tableau1[[#This Row],[Total Price A facturer]]-Tableau1[[#This Row],[Total Price Facturé]],"")</f>
        <v/>
      </c>
      <c r="DG134" s="76">
        <f>Tableau1[[#This Row],[Total Item Quantity]]-Tableau1[[#This Row],[Total item réceptionné]]</f>
        <v>0</v>
      </c>
      <c r="DH134" s="167"/>
      <c r="DI134" s="167"/>
    </row>
    <row r="135" spans="1:113" s="74" customFormat="1">
      <c r="A135" s="77" t="str">
        <f>CONCATENATE(Tableau1[[#This Row],[PO Number (Header)]],"-",Tableau1[[#This Row],[Line]])</f>
        <v>-</v>
      </c>
      <c r="B135" s="77"/>
      <c r="C135" s="450"/>
      <c r="D135" s="102"/>
      <c r="E135" s="77"/>
      <c r="F135" s="77"/>
      <c r="G135" s="77"/>
      <c r="H135" s="77"/>
      <c r="I135" s="452"/>
      <c r="J135" s="452"/>
      <c r="K135" s="453"/>
      <c r="L135" s="453"/>
      <c r="M135" s="77"/>
      <c r="N135" s="77"/>
      <c r="O135" s="77"/>
      <c r="P135" s="77"/>
      <c r="Q135" s="395"/>
      <c r="R135" s="395"/>
      <c r="S135" s="77"/>
      <c r="T135" s="77"/>
      <c r="U135" s="77"/>
      <c r="V135" s="77"/>
      <c r="W135" s="167"/>
      <c r="X135" s="167"/>
      <c r="Y135" s="167" t="str">
        <f>IF(ISBLANK(Tableau1[[#This Row],[PO Number (Header)]]),"",Tableau1[[#This Row],[Line Total]]/Tableau1[[#This Row],[Total Item Quantity]])</f>
        <v/>
      </c>
      <c r="Z135" s="167" t="str">
        <f>IF(ISNA(VLOOKUP(Tableau1[[#This Row],[Unique_AIB_ID]],UO_List[Unique_AIB_ID],1,FALSE)),IF(ISBLANK(Tableau1[[#This Row],[PO Number (Header)]]),"","FAUX"),"VRAI")</f>
        <v/>
      </c>
      <c r="AA135" s="167"/>
      <c r="AB135" s="162" t="e">
        <f>VLOOKUP(Tableau1[[#This Row],[Unique_AIB_ID]],UO_List[[Unique_AIB_ID]:[OLGA F6]],3,FALSE)</f>
        <v>#N/A</v>
      </c>
      <c r="AC135" s="162" t="s">
        <v>790</v>
      </c>
      <c r="AD135" s="83">
        <f>SUMPRODUCT(1*(EXACT(CONCATENATE(Tableau1[[#This Row],[PO Number (Header)]],"-",Tableau1[[#This Row],[Line]]),UO_List[Unique_AIB_ID]))*(UO_List[Qté Réception 03/2020]))</f>
        <v>0</v>
      </c>
      <c r="AE135" s="84"/>
      <c r="AF135" s="357"/>
      <c r="AG135" s="351" t="str">
        <f>IFERROR(Tableau1[[#This Row],[Qté Facturé 01/2018]]*Tableau1[[#This Row],[Unit Price (calcul)]],"")</f>
        <v/>
      </c>
      <c r="AH135" s="356" t="str">
        <f>IFERROR(IF(Tableau1[[#This Row],[Montant Facturé 01/2018]]&gt;0,Tableau1[[#This Row],[Montant Facturé 01/2018]]/Taux_Change_SII,""),"")</f>
        <v/>
      </c>
      <c r="AI135" s="351"/>
      <c r="AJ135" s="83">
        <f>SUMPRODUCT(1*(EXACT(CONCATENATE(Tableau1[[#This Row],[PO Number (Header)]],"-",Tableau1[[#This Row],[Line]]),UO_List[Unique_AIB_ID]))*(UO_List[Qté Réception 02/2020]))</f>
        <v>0</v>
      </c>
      <c r="AK135" s="83">
        <f>SUMPRODUCT(1*(EXACT(CONCATENATE(Tableau1[[#This Row],[PO Number (Header)]],"-",Tableau1[[#This Row],[Line]]),UO_List[Unique_AIB_ID]))*(UO_List[Qté Réception 02/2020]))</f>
        <v>0</v>
      </c>
      <c r="AL135" s="357"/>
      <c r="AM135" s="351" t="str">
        <f>IFERROR(Tableau1[[#This Row],[Qté Facturé 02/2018]]*Tableau1[[#This Row],[Unit Price (calcul)]],"")</f>
        <v/>
      </c>
      <c r="AN135" s="351" t="str">
        <f>IFERROR(IF(Tableau1[[#This Row],[Montant Facturé 02/2018]]&gt;0,Tableau1[[#This Row],[Montant Facturé 02/2018]]/Taux_Change_SII,""),"")</f>
        <v/>
      </c>
      <c r="AO135" s="351"/>
      <c r="AP135" s="83">
        <f>SUMPRODUCT(1*(EXACT(CONCATENATE(Tableau1[[#This Row],[PO Number (Header)]],"-",Tableau1[[#This Row],[Line]]),UO_List[Unique_AIB_ID]))*(UO_List[Qté Réception 00/2020]))</f>
        <v>0</v>
      </c>
      <c r="AQ135" s="84"/>
      <c r="AR135" s="357"/>
      <c r="AS135" s="351" t="str">
        <f>IFERROR(Tableau1[[#This Row],[Qté Facturé 03/2018]]*Tableau1[[#This Row],[Unit Price (calcul)]],"")</f>
        <v/>
      </c>
      <c r="AT135" s="351" t="str">
        <f>IFERROR(IF(Tableau1[[#This Row],[Montant Facturé 03/2018]]&gt;0,Tableau1[[#This Row],[Montant Facturé 03/2018]]/Taux_Change_SII,""),"")</f>
        <v/>
      </c>
      <c r="AU135" s="351"/>
      <c r="AV135" s="83">
        <f>SUMPRODUCT(1*(EXACT(CONCATENATE(Tableau1[[#This Row],[PO Number (Header)]],"-",Tableau1[[#This Row],[Line]]),UO_List[Unique_AIB_ID]))*(UO_List[Qté Réception 04/2020]))</f>
        <v>0</v>
      </c>
      <c r="AW135" s="84"/>
      <c r="AX135" s="351"/>
      <c r="AY135" s="351" t="str">
        <f>IFERROR(Tableau1[[#This Row],[Qté Facturé 04/2018]]*Tableau1[[#This Row],[Unit Price (calcul)]],"")</f>
        <v/>
      </c>
      <c r="AZ135" s="351" t="str">
        <f>IFERROR(IF(Tableau1[[#This Row],[Montant Facturé 04/2018]]&gt;0,Tableau1[[#This Row],[Montant Facturé 04/2018]]/Taux_Change_SII,""),"")</f>
        <v/>
      </c>
      <c r="BA135" s="351"/>
      <c r="BB135" s="83">
        <f>SUMPRODUCT(1*(EXACT(CONCATENATE(Tableau1[[#This Row],[PO Number (Header)]],"-",Tableau1[[#This Row],[Line]]),UO_List[Unique_AIB_ID]))*(UO_List[Qté Réception 05/2020]))</f>
        <v>0</v>
      </c>
      <c r="BC135" s="84"/>
      <c r="BD135" s="351"/>
      <c r="BE135" s="351" t="str">
        <f>IFERROR(Tableau1[[#This Row],[Qté Facturé 05/2018]]*Tableau1[[#This Row],[Unit Price (calcul)]],"")</f>
        <v/>
      </c>
      <c r="BF135" s="351" t="str">
        <f>IFERROR(IF(Tableau1[[#This Row],[Montant Facturé 05/2018]]&gt;0,Tableau1[[#This Row],[Montant Facturé 05/2018]]/Taux_Change_SII,""),"")</f>
        <v/>
      </c>
      <c r="BG135" s="351"/>
      <c r="BH135" s="83">
        <f>SUMPRODUCT(1*(EXACT(CONCATENATE(Tableau1[[#This Row],[PO Number (Header)]],"-",Tableau1[[#This Row],[Line]]),UO_List[Unique_AIB_ID]))*(UO_List[Qté Réception 06/2020]))</f>
        <v>0</v>
      </c>
      <c r="BI135" s="84"/>
      <c r="BJ135" s="351"/>
      <c r="BK135" s="351" t="str">
        <f>IFERROR(Tableau1[[#This Row],[Qté Facturé 06/2018]]*Tableau1[[#This Row],[Unit Price (calcul)]],"")</f>
        <v/>
      </c>
      <c r="BL135" s="351" t="str">
        <f>IFERROR(IF(Tableau1[[#This Row],[Montant Facturé 06/2018]]&gt;0,Tableau1[[#This Row],[Montant Facturé 06/2018]]/Taux_Change_SII,""),"")</f>
        <v/>
      </c>
      <c r="BM135" s="351"/>
      <c r="BN135" s="83">
        <f>SUMPRODUCT(1*(EXACT(CONCATENATE(Tableau1[[#This Row],[PO Number (Header)]],"-",Tableau1[[#This Row],[Line]]),UO_List[Unique_AIB_ID]))*(UO_List[Qté Réception 07/2020]))</f>
        <v>0</v>
      </c>
      <c r="BO135" s="84"/>
      <c r="BP135" s="351"/>
      <c r="BQ135" s="351" t="str">
        <f>IFERROR(Tableau1[[#This Row],[Qté Facturé 07/2018]]*Tableau1[[#This Row],[Unit Price (calcul)]],"")</f>
        <v/>
      </c>
      <c r="BR135" s="351" t="str">
        <f>IFERROR(IF(Tableau1[[#This Row],[Montant Facturé 07/2018]]&gt;0,Tableau1[[#This Row],[Montant Facturé 07/2018]]/Taux_Change_SII,""),"")</f>
        <v/>
      </c>
      <c r="BS135" s="351"/>
      <c r="BT135" s="83">
        <f>SUMPRODUCT(1*(EXACT(CONCATENATE(Tableau1[[#This Row],[PO Number (Header)]],"-",Tableau1[[#This Row],[Line]]),UO_List[Unique_AIB_ID]))*(UO_List[Qté Réception 08/2020]))</f>
        <v>0</v>
      </c>
      <c r="BU135" s="84"/>
      <c r="BV135" s="351"/>
      <c r="BW135" s="351" t="str">
        <f>IFERROR(Tableau1[[#This Row],[Qté Facturé 08/2018]]*Tableau1[[#This Row],[Unit Price (calcul)]],"")</f>
        <v/>
      </c>
      <c r="BX135" s="351" t="str">
        <f>IFERROR(IF(Tableau1[[#This Row],[Montant Facturé 08/2018]]&gt;0,Tableau1[[#This Row],[Montant Facturé 08/2018]]/Taux_Change_SII,""),"")</f>
        <v/>
      </c>
      <c r="BY135" s="351"/>
      <c r="BZ135" s="83">
        <f>SUMPRODUCT(1*(EXACT(CONCATENATE(Tableau1[[#This Row],[PO Number (Header)]],"-",Tableau1[[#This Row],[Line]]),UO_List[Unique_AIB_ID]))*(UO_List[Qté Réception 09/2020]))</f>
        <v>0</v>
      </c>
      <c r="CA135" s="84">
        <v>0</v>
      </c>
      <c r="CB135" s="351"/>
      <c r="CC135" s="351" t="str">
        <f>IFERROR(Tableau1[[#This Row],[Qté Facturé 09/2018]]*Tableau1[[#This Row],[Unit Price (calcul)]],"")</f>
        <v/>
      </c>
      <c r="CD135" s="351" t="str">
        <f>IFERROR(IF(Tableau1[[#This Row],[Montant Facturé 09/2018]]&gt;0,Tableau1[[#This Row],[Montant Facturé 09/2018]]/Taux_Change_SII,""),"")</f>
        <v/>
      </c>
      <c r="CE135" s="351"/>
      <c r="CF135" s="83">
        <f>SUMPRODUCT(1*(EXACT(CONCATENATE(Tableau1[[#This Row],[PO Number (Header)]],"-",Tableau1[[#This Row],[Line]]),UO_List[Unique_AIB_ID]))*(UO_List[Qté Réception 10/2020]))</f>
        <v>0</v>
      </c>
      <c r="CG135" s="84">
        <v>0</v>
      </c>
      <c r="CH135" s="351"/>
      <c r="CI135" s="351" t="str">
        <f>IFERROR(Tableau1[[#This Row],[Qté Facturé 10/2018]]*Tableau1[[#This Row],[Unit Price (calcul)]],"")</f>
        <v/>
      </c>
      <c r="CJ135" s="351" t="str">
        <f>IFERROR(IF(Tableau1[[#This Row],[Montant Facturé 10/2018]]&gt;0,Tableau1[[#This Row],[Montant Facturé 10/2018]]/Taux_Change_SII,""),"")</f>
        <v/>
      </c>
      <c r="CK135" s="351"/>
      <c r="CL135" s="83">
        <f>SUMPRODUCT(1*(EXACT(CONCATENATE(Tableau1[[#This Row],[PO Number (Header)]],"-",Tableau1[[#This Row],[Line]]),UO_List[Unique_AIB_ID]))*(UO_List[Qté Réception 11/2020]))</f>
        <v>0</v>
      </c>
      <c r="CM135" s="84"/>
      <c r="CN135" s="351"/>
      <c r="CO135" s="351" t="str">
        <f>IFERROR(Tableau1[[#This Row],[Qté Facturé 11/2018]]*Tableau1[[#This Row],[Unit Price (calcul)]],"")</f>
        <v/>
      </c>
      <c r="CP135" s="351" t="str">
        <f>IFERROR(IF(Tableau1[[#This Row],[Montant Facturé 11/2018]]&gt;0,Tableau1[[#This Row],[Montant Facturé 11/2018]]/Taux_Change_SII,""),"")</f>
        <v/>
      </c>
      <c r="CQ135" s="351"/>
      <c r="CR135" s="83">
        <f>SUMPRODUCT(1*(EXACT(CONCATENATE(Tableau1[[#This Row],[PO Number (Header)]],"-",Tableau1[[#This Row],[Line]]),UO_List[Unique_AIB_ID]))*(UO_List[Qté Réception 12/2020]))</f>
        <v>0</v>
      </c>
      <c r="CS135" s="84"/>
      <c r="CT135" s="351"/>
      <c r="CU135" s="351" t="str">
        <f>IFERROR(Tableau1[[#This Row],[Qté Facturé 12/2018]]*Tableau1[[#This Row],[Unit Price (calcul)]],"")</f>
        <v/>
      </c>
      <c r="CV135" s="351" t="str">
        <f>IFERROR(IF(Tableau1[[#This Row],[Montant Facturé 12/2018]]&gt;0,Tableau1[[#This Row],[Montant Facturé 12/2018]]/Taux_Change_SII,""),"")</f>
        <v/>
      </c>
      <c r="CW135" s="351"/>
      <c r="CX13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5" s="352" t="str">
        <f>IFERROR(Tableau1[[#This Row],[Total item réceptionné]]*Tableau1[[#This Row],[Unit Price (calcul)]],"")</f>
        <v/>
      </c>
      <c r="DB135" s="352" t="str">
        <f>IFERROR(Tableau1[[#This Row],[Total item à Facturer]]*Tableau1[[#This Row],[Unit Price (calcul)]],"")</f>
        <v/>
      </c>
      <c r="DC13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5" s="352" t="str">
        <f>IFERROR(Tableau1[[#This Row],[Line Total]]-Tableau1[[#This Row],[Total Price Réceptionné]],"")</f>
        <v/>
      </c>
      <c r="DE135" s="352" t="str">
        <f>IFERROR(Tableau1[[#This Row],[Total Price Réceptionné]]-Tableau1[[#This Row],[Total Price A facturer]],"")</f>
        <v/>
      </c>
      <c r="DF135" s="353" t="str">
        <f>IFERROR(Tableau1[[#This Row],[Total Price A facturer]]-Tableau1[[#This Row],[Total Price Facturé]],"")</f>
        <v/>
      </c>
      <c r="DG135" s="76">
        <f>Tableau1[[#This Row],[Total Item Quantity]]-Tableau1[[#This Row],[Total item réceptionné]]</f>
        <v>0</v>
      </c>
      <c r="DH135" s="167"/>
      <c r="DI135" s="167"/>
    </row>
    <row r="136" spans="1:113" s="74" customFormat="1">
      <c r="A136" s="77" t="str">
        <f>CONCATENATE(Tableau1[[#This Row],[PO Number (Header)]],"-",Tableau1[[#This Row],[Line]])</f>
        <v>-</v>
      </c>
      <c r="B136" s="77"/>
      <c r="C136" s="450"/>
      <c r="D136" s="102"/>
      <c r="E136" s="77"/>
      <c r="F136" s="77"/>
      <c r="G136" s="77"/>
      <c r="H136" s="77"/>
      <c r="I136" s="452"/>
      <c r="J136" s="452"/>
      <c r="K136" s="453"/>
      <c r="L136" s="453"/>
      <c r="M136" s="77"/>
      <c r="N136" s="77"/>
      <c r="O136" s="77"/>
      <c r="P136" s="77"/>
      <c r="Q136" s="395"/>
      <c r="R136" s="395"/>
      <c r="S136" s="77"/>
      <c r="T136" s="77"/>
      <c r="U136" s="77"/>
      <c r="V136" s="77"/>
      <c r="W136" s="167"/>
      <c r="X136" s="167"/>
      <c r="Y136" s="167" t="str">
        <f>IF(ISBLANK(Tableau1[[#This Row],[PO Number (Header)]]),"",Tableau1[[#This Row],[Line Total]]/Tableau1[[#This Row],[Total Item Quantity]])</f>
        <v/>
      </c>
      <c r="Z136" s="167" t="str">
        <f>IF(ISNA(VLOOKUP(Tableau1[[#This Row],[Unique_AIB_ID]],UO_List[Unique_AIB_ID],1,FALSE)),IF(ISBLANK(Tableau1[[#This Row],[PO Number (Header)]]),"","FAUX"),"VRAI")</f>
        <v/>
      </c>
      <c r="AA136" s="167"/>
      <c r="AB136" s="162" t="e">
        <f>VLOOKUP(Tableau1[[#This Row],[Unique_AIB_ID]],UO_List[[Unique_AIB_ID]:[OLGA F6]],3,FALSE)</f>
        <v>#N/A</v>
      </c>
      <c r="AC136" s="162" t="s">
        <v>790</v>
      </c>
      <c r="AD136" s="83">
        <f>SUMPRODUCT(1*(EXACT(CONCATENATE(Tableau1[[#This Row],[PO Number (Header)]],"-",Tableau1[[#This Row],[Line]]),UO_List[Unique_AIB_ID]))*(UO_List[Qté Réception 03/2020]))</f>
        <v>0</v>
      </c>
      <c r="AE136" s="84"/>
      <c r="AF136" s="357"/>
      <c r="AG136" s="351" t="str">
        <f>IFERROR(Tableau1[[#This Row],[Qté Facturé 01/2018]]*Tableau1[[#This Row],[Unit Price (calcul)]],"")</f>
        <v/>
      </c>
      <c r="AH136" s="356" t="str">
        <f>IFERROR(IF(Tableau1[[#This Row],[Montant Facturé 01/2018]]&gt;0,Tableau1[[#This Row],[Montant Facturé 01/2018]]/Taux_Change_SII,""),"")</f>
        <v/>
      </c>
      <c r="AI136" s="351"/>
      <c r="AJ136" s="83">
        <f>SUMPRODUCT(1*(EXACT(CONCATENATE(Tableau1[[#This Row],[PO Number (Header)]],"-",Tableau1[[#This Row],[Line]]),UO_List[Unique_AIB_ID]))*(UO_List[Qté Réception 02/2020]))</f>
        <v>0</v>
      </c>
      <c r="AK136" s="83">
        <f>SUMPRODUCT(1*(EXACT(CONCATENATE(Tableau1[[#This Row],[PO Number (Header)]],"-",Tableau1[[#This Row],[Line]]),UO_List[Unique_AIB_ID]))*(UO_List[Qté Réception 02/2020]))</f>
        <v>0</v>
      </c>
      <c r="AL136" s="357"/>
      <c r="AM136" s="351" t="str">
        <f>IFERROR(Tableau1[[#This Row],[Qté Facturé 02/2018]]*Tableau1[[#This Row],[Unit Price (calcul)]],"")</f>
        <v/>
      </c>
      <c r="AN136" s="351" t="str">
        <f>IFERROR(IF(Tableau1[[#This Row],[Montant Facturé 02/2018]]&gt;0,Tableau1[[#This Row],[Montant Facturé 02/2018]]/Taux_Change_SII,""),"")</f>
        <v/>
      </c>
      <c r="AO136" s="351"/>
      <c r="AP136" s="83">
        <f>SUMPRODUCT(1*(EXACT(CONCATENATE(Tableau1[[#This Row],[PO Number (Header)]],"-",Tableau1[[#This Row],[Line]]),UO_List[Unique_AIB_ID]))*(UO_List[Qté Réception 00/2020]))</f>
        <v>0</v>
      </c>
      <c r="AQ136" s="84"/>
      <c r="AR136" s="357"/>
      <c r="AS136" s="351" t="str">
        <f>IFERROR(Tableau1[[#This Row],[Qté Facturé 03/2018]]*Tableau1[[#This Row],[Unit Price (calcul)]],"")</f>
        <v/>
      </c>
      <c r="AT136" s="351" t="str">
        <f>IFERROR(IF(Tableau1[[#This Row],[Montant Facturé 03/2018]]&gt;0,Tableau1[[#This Row],[Montant Facturé 03/2018]]/Taux_Change_SII,""),"")</f>
        <v/>
      </c>
      <c r="AU136" s="351"/>
      <c r="AV136" s="83">
        <f>SUMPRODUCT(1*(EXACT(CONCATENATE(Tableau1[[#This Row],[PO Number (Header)]],"-",Tableau1[[#This Row],[Line]]),UO_List[Unique_AIB_ID]))*(UO_List[Qté Réception 04/2020]))</f>
        <v>0</v>
      </c>
      <c r="AW136" s="84"/>
      <c r="AX136" s="351"/>
      <c r="AY136" s="351" t="str">
        <f>IFERROR(Tableau1[[#This Row],[Qté Facturé 04/2018]]*Tableau1[[#This Row],[Unit Price (calcul)]],"")</f>
        <v/>
      </c>
      <c r="AZ136" s="351" t="str">
        <f>IFERROR(IF(Tableau1[[#This Row],[Montant Facturé 04/2018]]&gt;0,Tableau1[[#This Row],[Montant Facturé 04/2018]]/Taux_Change_SII,""),"")</f>
        <v/>
      </c>
      <c r="BA136" s="351"/>
      <c r="BB136" s="83">
        <f>SUMPRODUCT(1*(EXACT(CONCATENATE(Tableau1[[#This Row],[PO Number (Header)]],"-",Tableau1[[#This Row],[Line]]),UO_List[Unique_AIB_ID]))*(UO_List[Qté Réception 05/2020]))</f>
        <v>0</v>
      </c>
      <c r="BC136" s="84"/>
      <c r="BD136" s="351"/>
      <c r="BE136" s="351" t="str">
        <f>IFERROR(Tableau1[[#This Row],[Qté Facturé 05/2018]]*Tableau1[[#This Row],[Unit Price (calcul)]],"")</f>
        <v/>
      </c>
      <c r="BF136" s="351" t="str">
        <f>IFERROR(IF(Tableau1[[#This Row],[Montant Facturé 05/2018]]&gt;0,Tableau1[[#This Row],[Montant Facturé 05/2018]]/Taux_Change_SII,""),"")</f>
        <v/>
      </c>
      <c r="BG136" s="351"/>
      <c r="BH136" s="83">
        <f>SUMPRODUCT(1*(EXACT(CONCATENATE(Tableau1[[#This Row],[PO Number (Header)]],"-",Tableau1[[#This Row],[Line]]),UO_List[Unique_AIB_ID]))*(UO_List[Qté Réception 06/2020]))</f>
        <v>0</v>
      </c>
      <c r="BI136" s="84"/>
      <c r="BJ136" s="351"/>
      <c r="BK136" s="351" t="str">
        <f>IFERROR(Tableau1[[#This Row],[Qté Facturé 06/2018]]*Tableau1[[#This Row],[Unit Price (calcul)]],"")</f>
        <v/>
      </c>
      <c r="BL136" s="351" t="str">
        <f>IFERROR(IF(Tableau1[[#This Row],[Montant Facturé 06/2018]]&gt;0,Tableau1[[#This Row],[Montant Facturé 06/2018]]/Taux_Change_SII,""),"")</f>
        <v/>
      </c>
      <c r="BM136" s="351"/>
      <c r="BN136" s="83">
        <f>SUMPRODUCT(1*(EXACT(CONCATENATE(Tableau1[[#This Row],[PO Number (Header)]],"-",Tableau1[[#This Row],[Line]]),UO_List[Unique_AIB_ID]))*(UO_List[Qté Réception 07/2020]))</f>
        <v>0</v>
      </c>
      <c r="BO136" s="84"/>
      <c r="BP136" s="351"/>
      <c r="BQ136" s="351" t="str">
        <f>IFERROR(Tableau1[[#This Row],[Qté Facturé 07/2018]]*Tableau1[[#This Row],[Unit Price (calcul)]],"")</f>
        <v/>
      </c>
      <c r="BR136" s="351" t="str">
        <f>IFERROR(IF(Tableau1[[#This Row],[Montant Facturé 07/2018]]&gt;0,Tableau1[[#This Row],[Montant Facturé 07/2018]]/Taux_Change_SII,""),"")</f>
        <v/>
      </c>
      <c r="BS136" s="351"/>
      <c r="BT136" s="83">
        <f>SUMPRODUCT(1*(EXACT(CONCATENATE(Tableau1[[#This Row],[PO Number (Header)]],"-",Tableau1[[#This Row],[Line]]),UO_List[Unique_AIB_ID]))*(UO_List[Qté Réception 08/2020]))</f>
        <v>0</v>
      </c>
      <c r="BU136" s="84"/>
      <c r="BV136" s="351"/>
      <c r="BW136" s="351" t="str">
        <f>IFERROR(Tableau1[[#This Row],[Qté Facturé 08/2018]]*Tableau1[[#This Row],[Unit Price (calcul)]],"")</f>
        <v/>
      </c>
      <c r="BX136" s="351" t="str">
        <f>IFERROR(IF(Tableau1[[#This Row],[Montant Facturé 08/2018]]&gt;0,Tableau1[[#This Row],[Montant Facturé 08/2018]]/Taux_Change_SII,""),"")</f>
        <v/>
      </c>
      <c r="BY136" s="351"/>
      <c r="BZ136" s="83">
        <f>SUMPRODUCT(1*(EXACT(CONCATENATE(Tableau1[[#This Row],[PO Number (Header)]],"-",Tableau1[[#This Row],[Line]]),UO_List[Unique_AIB_ID]))*(UO_List[Qté Réception 09/2020]))</f>
        <v>0</v>
      </c>
      <c r="CA136" s="84">
        <v>0</v>
      </c>
      <c r="CB136" s="351"/>
      <c r="CC136" s="351" t="str">
        <f>IFERROR(Tableau1[[#This Row],[Qté Facturé 09/2018]]*Tableau1[[#This Row],[Unit Price (calcul)]],"")</f>
        <v/>
      </c>
      <c r="CD136" s="351" t="str">
        <f>IFERROR(IF(Tableau1[[#This Row],[Montant Facturé 09/2018]]&gt;0,Tableau1[[#This Row],[Montant Facturé 09/2018]]/Taux_Change_SII,""),"")</f>
        <v/>
      </c>
      <c r="CE136" s="351"/>
      <c r="CF136" s="83">
        <f>SUMPRODUCT(1*(EXACT(CONCATENATE(Tableau1[[#This Row],[PO Number (Header)]],"-",Tableau1[[#This Row],[Line]]),UO_List[Unique_AIB_ID]))*(UO_List[Qté Réception 10/2020]))</f>
        <v>0</v>
      </c>
      <c r="CG136" s="84">
        <v>0</v>
      </c>
      <c r="CH136" s="351"/>
      <c r="CI136" s="351" t="str">
        <f>IFERROR(Tableau1[[#This Row],[Qté Facturé 10/2018]]*Tableau1[[#This Row],[Unit Price (calcul)]],"")</f>
        <v/>
      </c>
      <c r="CJ136" s="351" t="str">
        <f>IFERROR(IF(Tableau1[[#This Row],[Montant Facturé 10/2018]]&gt;0,Tableau1[[#This Row],[Montant Facturé 10/2018]]/Taux_Change_SII,""),"")</f>
        <v/>
      </c>
      <c r="CK136" s="351"/>
      <c r="CL136" s="83">
        <f>SUMPRODUCT(1*(EXACT(CONCATENATE(Tableau1[[#This Row],[PO Number (Header)]],"-",Tableau1[[#This Row],[Line]]),UO_List[Unique_AIB_ID]))*(UO_List[Qté Réception 11/2020]))</f>
        <v>0</v>
      </c>
      <c r="CM136" s="84"/>
      <c r="CN136" s="351"/>
      <c r="CO136" s="351" t="str">
        <f>IFERROR(Tableau1[[#This Row],[Qté Facturé 11/2018]]*Tableau1[[#This Row],[Unit Price (calcul)]],"")</f>
        <v/>
      </c>
      <c r="CP136" s="351" t="str">
        <f>IFERROR(IF(Tableau1[[#This Row],[Montant Facturé 11/2018]]&gt;0,Tableau1[[#This Row],[Montant Facturé 11/2018]]/Taux_Change_SII,""),"")</f>
        <v/>
      </c>
      <c r="CQ136" s="351"/>
      <c r="CR136" s="83">
        <f>SUMPRODUCT(1*(EXACT(CONCATENATE(Tableau1[[#This Row],[PO Number (Header)]],"-",Tableau1[[#This Row],[Line]]),UO_List[Unique_AIB_ID]))*(UO_List[Qté Réception 12/2020]))</f>
        <v>0</v>
      </c>
      <c r="CS136" s="84"/>
      <c r="CT136" s="351"/>
      <c r="CU136" s="351" t="str">
        <f>IFERROR(Tableau1[[#This Row],[Qté Facturé 12/2018]]*Tableau1[[#This Row],[Unit Price (calcul)]],"")</f>
        <v/>
      </c>
      <c r="CV136" s="351" t="str">
        <f>IFERROR(IF(Tableau1[[#This Row],[Montant Facturé 12/2018]]&gt;0,Tableau1[[#This Row],[Montant Facturé 12/2018]]/Taux_Change_SII,""),"")</f>
        <v/>
      </c>
      <c r="CW136" s="351"/>
      <c r="CX13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6" s="352" t="str">
        <f>IFERROR(Tableau1[[#This Row],[Total item réceptionné]]*Tableau1[[#This Row],[Unit Price (calcul)]],"")</f>
        <v/>
      </c>
      <c r="DB136" s="352" t="str">
        <f>IFERROR(Tableau1[[#This Row],[Total item à Facturer]]*Tableau1[[#This Row],[Unit Price (calcul)]],"")</f>
        <v/>
      </c>
      <c r="DC13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6" s="352" t="str">
        <f>IFERROR(Tableau1[[#This Row],[Line Total]]-Tableau1[[#This Row],[Total Price Réceptionné]],"")</f>
        <v/>
      </c>
      <c r="DE136" s="352" t="str">
        <f>IFERROR(Tableau1[[#This Row],[Total Price Réceptionné]]-Tableau1[[#This Row],[Total Price A facturer]],"")</f>
        <v/>
      </c>
      <c r="DF136" s="353" t="str">
        <f>IFERROR(Tableau1[[#This Row],[Total Price A facturer]]-Tableau1[[#This Row],[Total Price Facturé]],"")</f>
        <v/>
      </c>
      <c r="DG136" s="76">
        <f>Tableau1[[#This Row],[Total Item Quantity]]-Tableau1[[#This Row],[Total item réceptionné]]</f>
        <v>0</v>
      </c>
      <c r="DH136" s="167"/>
      <c r="DI136" s="167"/>
    </row>
    <row r="137" spans="1:113" s="74" customFormat="1">
      <c r="A137" s="77" t="str">
        <f>CONCATENATE(Tableau1[[#This Row],[PO Number (Header)]],"-",Tableau1[[#This Row],[Line]])</f>
        <v>-</v>
      </c>
      <c r="B137" s="77"/>
      <c r="C137" s="450"/>
      <c r="D137" s="102"/>
      <c r="E137" s="77"/>
      <c r="F137" s="77"/>
      <c r="G137" s="77"/>
      <c r="H137" s="77"/>
      <c r="I137" s="452"/>
      <c r="J137" s="452"/>
      <c r="K137" s="453"/>
      <c r="L137" s="453"/>
      <c r="M137" s="77"/>
      <c r="N137" s="77"/>
      <c r="O137" s="77"/>
      <c r="P137" s="77"/>
      <c r="Q137" s="395"/>
      <c r="R137" s="395"/>
      <c r="S137" s="77"/>
      <c r="T137" s="77"/>
      <c r="U137" s="77"/>
      <c r="V137" s="77"/>
      <c r="W137" s="167"/>
      <c r="X137" s="167"/>
      <c r="Y137" s="167" t="str">
        <f>IF(ISBLANK(Tableau1[[#This Row],[PO Number (Header)]]),"",Tableau1[[#This Row],[Line Total]]/Tableau1[[#This Row],[Total Item Quantity]])</f>
        <v/>
      </c>
      <c r="Z137" s="167" t="str">
        <f>IF(ISNA(VLOOKUP(Tableau1[[#This Row],[Unique_AIB_ID]],UO_List[Unique_AIB_ID],1,FALSE)),IF(ISBLANK(Tableau1[[#This Row],[PO Number (Header)]]),"","FAUX"),"VRAI")</f>
        <v/>
      </c>
      <c r="AA137" s="167"/>
      <c r="AB137" s="162" t="e">
        <f>VLOOKUP(Tableau1[[#This Row],[Unique_AIB_ID]],UO_List[[Unique_AIB_ID]:[OLGA F6]],3,FALSE)</f>
        <v>#N/A</v>
      </c>
      <c r="AC137" s="162" t="s">
        <v>790</v>
      </c>
      <c r="AD137" s="83">
        <f>SUMPRODUCT(1*(EXACT(CONCATENATE(Tableau1[[#This Row],[PO Number (Header)]],"-",Tableau1[[#This Row],[Line]]),UO_List[Unique_AIB_ID]))*(UO_List[Qté Réception 03/2020]))</f>
        <v>0</v>
      </c>
      <c r="AE137" s="84"/>
      <c r="AF137" s="357"/>
      <c r="AG137" s="351" t="str">
        <f>IFERROR(Tableau1[[#This Row],[Qté Facturé 01/2018]]*Tableau1[[#This Row],[Unit Price (calcul)]],"")</f>
        <v/>
      </c>
      <c r="AH137" s="356" t="str">
        <f>IFERROR(IF(Tableau1[[#This Row],[Montant Facturé 01/2018]]&gt;0,Tableau1[[#This Row],[Montant Facturé 01/2018]]/Taux_Change_SII,""),"")</f>
        <v/>
      </c>
      <c r="AI137" s="351"/>
      <c r="AJ137" s="83">
        <f>SUMPRODUCT(1*(EXACT(CONCATENATE(Tableau1[[#This Row],[PO Number (Header)]],"-",Tableau1[[#This Row],[Line]]),UO_List[Unique_AIB_ID]))*(UO_List[Qté Réception 02/2020]))</f>
        <v>0</v>
      </c>
      <c r="AK137" s="83">
        <f>SUMPRODUCT(1*(EXACT(CONCATENATE(Tableau1[[#This Row],[PO Number (Header)]],"-",Tableau1[[#This Row],[Line]]),UO_List[Unique_AIB_ID]))*(UO_List[Qté Réception 02/2020]))</f>
        <v>0</v>
      </c>
      <c r="AL137" s="357"/>
      <c r="AM137" s="351" t="str">
        <f>IFERROR(Tableau1[[#This Row],[Qté Facturé 02/2018]]*Tableau1[[#This Row],[Unit Price (calcul)]],"")</f>
        <v/>
      </c>
      <c r="AN137" s="351" t="str">
        <f>IFERROR(IF(Tableau1[[#This Row],[Montant Facturé 02/2018]]&gt;0,Tableau1[[#This Row],[Montant Facturé 02/2018]]/Taux_Change_SII,""),"")</f>
        <v/>
      </c>
      <c r="AO137" s="351"/>
      <c r="AP137" s="83">
        <f>SUMPRODUCT(1*(EXACT(CONCATENATE(Tableau1[[#This Row],[PO Number (Header)]],"-",Tableau1[[#This Row],[Line]]),UO_List[Unique_AIB_ID]))*(UO_List[Qté Réception 00/2020]))</f>
        <v>0</v>
      </c>
      <c r="AQ137" s="84"/>
      <c r="AR137" s="357"/>
      <c r="AS137" s="351" t="str">
        <f>IFERROR(Tableau1[[#This Row],[Qté Facturé 03/2018]]*Tableau1[[#This Row],[Unit Price (calcul)]],"")</f>
        <v/>
      </c>
      <c r="AT137" s="351" t="str">
        <f>IFERROR(IF(Tableau1[[#This Row],[Montant Facturé 03/2018]]&gt;0,Tableau1[[#This Row],[Montant Facturé 03/2018]]/Taux_Change_SII,""),"")</f>
        <v/>
      </c>
      <c r="AU137" s="351"/>
      <c r="AV137" s="83">
        <f>SUMPRODUCT(1*(EXACT(CONCATENATE(Tableau1[[#This Row],[PO Number (Header)]],"-",Tableau1[[#This Row],[Line]]),UO_List[Unique_AIB_ID]))*(UO_List[Qté Réception 04/2020]))</f>
        <v>0</v>
      </c>
      <c r="AW137" s="84"/>
      <c r="AX137" s="351"/>
      <c r="AY137" s="351" t="str">
        <f>IFERROR(Tableau1[[#This Row],[Qté Facturé 04/2018]]*Tableau1[[#This Row],[Unit Price (calcul)]],"")</f>
        <v/>
      </c>
      <c r="AZ137" s="351" t="str">
        <f>IFERROR(IF(Tableau1[[#This Row],[Montant Facturé 04/2018]]&gt;0,Tableau1[[#This Row],[Montant Facturé 04/2018]]/Taux_Change_SII,""),"")</f>
        <v/>
      </c>
      <c r="BA137" s="351"/>
      <c r="BB137" s="83">
        <f>SUMPRODUCT(1*(EXACT(CONCATENATE(Tableau1[[#This Row],[PO Number (Header)]],"-",Tableau1[[#This Row],[Line]]),UO_List[Unique_AIB_ID]))*(UO_List[Qté Réception 05/2020]))</f>
        <v>0</v>
      </c>
      <c r="BC137" s="84"/>
      <c r="BD137" s="351"/>
      <c r="BE137" s="351" t="str">
        <f>IFERROR(Tableau1[[#This Row],[Qté Facturé 05/2018]]*Tableau1[[#This Row],[Unit Price (calcul)]],"")</f>
        <v/>
      </c>
      <c r="BF137" s="351" t="str">
        <f>IFERROR(IF(Tableau1[[#This Row],[Montant Facturé 05/2018]]&gt;0,Tableau1[[#This Row],[Montant Facturé 05/2018]]/Taux_Change_SII,""),"")</f>
        <v/>
      </c>
      <c r="BG137" s="351"/>
      <c r="BH137" s="83">
        <f>SUMPRODUCT(1*(EXACT(CONCATENATE(Tableau1[[#This Row],[PO Number (Header)]],"-",Tableau1[[#This Row],[Line]]),UO_List[Unique_AIB_ID]))*(UO_List[Qté Réception 06/2020]))</f>
        <v>0</v>
      </c>
      <c r="BI137" s="84"/>
      <c r="BJ137" s="351"/>
      <c r="BK137" s="351" t="str">
        <f>IFERROR(Tableau1[[#This Row],[Qté Facturé 06/2018]]*Tableau1[[#This Row],[Unit Price (calcul)]],"")</f>
        <v/>
      </c>
      <c r="BL137" s="351" t="str">
        <f>IFERROR(IF(Tableau1[[#This Row],[Montant Facturé 06/2018]]&gt;0,Tableau1[[#This Row],[Montant Facturé 06/2018]]/Taux_Change_SII,""),"")</f>
        <v/>
      </c>
      <c r="BM137" s="351"/>
      <c r="BN137" s="83">
        <f>SUMPRODUCT(1*(EXACT(CONCATENATE(Tableau1[[#This Row],[PO Number (Header)]],"-",Tableau1[[#This Row],[Line]]),UO_List[Unique_AIB_ID]))*(UO_List[Qté Réception 07/2020]))</f>
        <v>0</v>
      </c>
      <c r="BO137" s="84"/>
      <c r="BP137" s="351"/>
      <c r="BQ137" s="351" t="str">
        <f>IFERROR(Tableau1[[#This Row],[Qté Facturé 07/2018]]*Tableau1[[#This Row],[Unit Price (calcul)]],"")</f>
        <v/>
      </c>
      <c r="BR137" s="351" t="str">
        <f>IFERROR(IF(Tableau1[[#This Row],[Montant Facturé 07/2018]]&gt;0,Tableau1[[#This Row],[Montant Facturé 07/2018]]/Taux_Change_SII,""),"")</f>
        <v/>
      </c>
      <c r="BS137" s="351"/>
      <c r="BT137" s="83">
        <f>SUMPRODUCT(1*(EXACT(CONCATENATE(Tableau1[[#This Row],[PO Number (Header)]],"-",Tableau1[[#This Row],[Line]]),UO_List[Unique_AIB_ID]))*(UO_List[Qté Réception 08/2020]))</f>
        <v>0</v>
      </c>
      <c r="BU137" s="84"/>
      <c r="BV137" s="351"/>
      <c r="BW137" s="351" t="str">
        <f>IFERROR(Tableau1[[#This Row],[Qté Facturé 08/2018]]*Tableau1[[#This Row],[Unit Price (calcul)]],"")</f>
        <v/>
      </c>
      <c r="BX137" s="351" t="str">
        <f>IFERROR(IF(Tableau1[[#This Row],[Montant Facturé 08/2018]]&gt;0,Tableau1[[#This Row],[Montant Facturé 08/2018]]/Taux_Change_SII,""),"")</f>
        <v/>
      </c>
      <c r="BY137" s="351"/>
      <c r="BZ137" s="83">
        <f>SUMPRODUCT(1*(EXACT(CONCATENATE(Tableau1[[#This Row],[PO Number (Header)]],"-",Tableau1[[#This Row],[Line]]),UO_List[Unique_AIB_ID]))*(UO_List[Qté Réception 09/2020]))</f>
        <v>0</v>
      </c>
      <c r="CA137" s="84">
        <v>0</v>
      </c>
      <c r="CB137" s="351"/>
      <c r="CC137" s="351" t="str">
        <f>IFERROR(Tableau1[[#This Row],[Qté Facturé 09/2018]]*Tableau1[[#This Row],[Unit Price (calcul)]],"")</f>
        <v/>
      </c>
      <c r="CD137" s="351" t="str">
        <f>IFERROR(IF(Tableau1[[#This Row],[Montant Facturé 09/2018]]&gt;0,Tableau1[[#This Row],[Montant Facturé 09/2018]]/Taux_Change_SII,""),"")</f>
        <v/>
      </c>
      <c r="CE137" s="351"/>
      <c r="CF137" s="83">
        <f>SUMPRODUCT(1*(EXACT(CONCATENATE(Tableau1[[#This Row],[PO Number (Header)]],"-",Tableau1[[#This Row],[Line]]),UO_List[Unique_AIB_ID]))*(UO_List[Qté Réception 10/2020]))</f>
        <v>0</v>
      </c>
      <c r="CG137" s="84">
        <v>0</v>
      </c>
      <c r="CH137" s="351"/>
      <c r="CI137" s="351" t="str">
        <f>IFERROR(Tableau1[[#This Row],[Qté Facturé 10/2018]]*Tableau1[[#This Row],[Unit Price (calcul)]],"")</f>
        <v/>
      </c>
      <c r="CJ137" s="351" t="str">
        <f>IFERROR(IF(Tableau1[[#This Row],[Montant Facturé 10/2018]]&gt;0,Tableau1[[#This Row],[Montant Facturé 10/2018]]/Taux_Change_SII,""),"")</f>
        <v/>
      </c>
      <c r="CK137" s="351"/>
      <c r="CL137" s="83">
        <f>SUMPRODUCT(1*(EXACT(CONCATENATE(Tableau1[[#This Row],[PO Number (Header)]],"-",Tableau1[[#This Row],[Line]]),UO_List[Unique_AIB_ID]))*(UO_List[Qté Réception 11/2020]))</f>
        <v>0</v>
      </c>
      <c r="CM137" s="84"/>
      <c r="CN137" s="351"/>
      <c r="CO137" s="351" t="str">
        <f>IFERROR(Tableau1[[#This Row],[Qté Facturé 11/2018]]*Tableau1[[#This Row],[Unit Price (calcul)]],"")</f>
        <v/>
      </c>
      <c r="CP137" s="351" t="str">
        <f>IFERROR(IF(Tableau1[[#This Row],[Montant Facturé 11/2018]]&gt;0,Tableau1[[#This Row],[Montant Facturé 11/2018]]/Taux_Change_SII,""),"")</f>
        <v/>
      </c>
      <c r="CQ137" s="351"/>
      <c r="CR137" s="83">
        <f>SUMPRODUCT(1*(EXACT(CONCATENATE(Tableau1[[#This Row],[PO Number (Header)]],"-",Tableau1[[#This Row],[Line]]),UO_List[Unique_AIB_ID]))*(UO_List[Qté Réception 12/2020]))</f>
        <v>0</v>
      </c>
      <c r="CS137" s="84"/>
      <c r="CT137" s="351"/>
      <c r="CU137" s="351" t="str">
        <f>IFERROR(Tableau1[[#This Row],[Qté Facturé 12/2018]]*Tableau1[[#This Row],[Unit Price (calcul)]],"")</f>
        <v/>
      </c>
      <c r="CV137" s="351" t="str">
        <f>IFERROR(IF(Tableau1[[#This Row],[Montant Facturé 12/2018]]&gt;0,Tableau1[[#This Row],[Montant Facturé 12/2018]]/Taux_Change_SII,""),"")</f>
        <v/>
      </c>
      <c r="CW137" s="351"/>
      <c r="CX13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7" s="352" t="str">
        <f>IFERROR(Tableau1[[#This Row],[Total item réceptionné]]*Tableau1[[#This Row],[Unit Price (calcul)]],"")</f>
        <v/>
      </c>
      <c r="DB137" s="352" t="str">
        <f>IFERROR(Tableau1[[#This Row],[Total item à Facturer]]*Tableau1[[#This Row],[Unit Price (calcul)]],"")</f>
        <v/>
      </c>
      <c r="DC13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7" s="352" t="str">
        <f>IFERROR(Tableau1[[#This Row],[Line Total]]-Tableau1[[#This Row],[Total Price Réceptionné]],"")</f>
        <v/>
      </c>
      <c r="DE137" s="352" t="str">
        <f>IFERROR(Tableau1[[#This Row],[Total Price Réceptionné]]-Tableau1[[#This Row],[Total Price A facturer]],"")</f>
        <v/>
      </c>
      <c r="DF137" s="353" t="str">
        <f>IFERROR(Tableau1[[#This Row],[Total Price A facturer]]-Tableau1[[#This Row],[Total Price Facturé]],"")</f>
        <v/>
      </c>
      <c r="DG137" s="76">
        <f>Tableau1[[#This Row],[Total Item Quantity]]-Tableau1[[#This Row],[Total item réceptionné]]</f>
        <v>0</v>
      </c>
      <c r="DH137" s="167"/>
      <c r="DI137" s="167"/>
    </row>
    <row r="138" spans="1:113" s="74" customFormat="1">
      <c r="A138" s="77" t="str">
        <f>CONCATENATE(Tableau1[[#This Row],[PO Number (Header)]],"-",Tableau1[[#This Row],[Line]])</f>
        <v>-</v>
      </c>
      <c r="B138" s="77"/>
      <c r="C138" s="450"/>
      <c r="D138" s="102"/>
      <c r="E138" s="77"/>
      <c r="F138" s="77"/>
      <c r="G138" s="77"/>
      <c r="H138" s="77"/>
      <c r="I138" s="452"/>
      <c r="J138" s="452"/>
      <c r="K138" s="453"/>
      <c r="L138" s="453"/>
      <c r="M138" s="77"/>
      <c r="N138" s="77"/>
      <c r="O138" s="77"/>
      <c r="P138" s="77"/>
      <c r="Q138" s="395"/>
      <c r="R138" s="395"/>
      <c r="S138" s="77"/>
      <c r="T138" s="77"/>
      <c r="U138" s="77"/>
      <c r="V138" s="77"/>
      <c r="W138" s="167"/>
      <c r="X138" s="167"/>
      <c r="Y138" s="167" t="str">
        <f>IF(ISBLANK(Tableau1[[#This Row],[PO Number (Header)]]),"",Tableau1[[#This Row],[Line Total]]/Tableau1[[#This Row],[Total Item Quantity]])</f>
        <v/>
      </c>
      <c r="Z138" s="167" t="str">
        <f>IF(ISNA(VLOOKUP(Tableau1[[#This Row],[Unique_AIB_ID]],UO_List[Unique_AIB_ID],1,FALSE)),IF(ISBLANK(Tableau1[[#This Row],[PO Number (Header)]]),"","FAUX"),"VRAI")</f>
        <v/>
      </c>
      <c r="AA138" s="167"/>
      <c r="AB138" s="162" t="e">
        <f>VLOOKUP(Tableau1[[#This Row],[Unique_AIB_ID]],UO_List[[Unique_AIB_ID]:[OLGA F6]],3,FALSE)</f>
        <v>#N/A</v>
      </c>
      <c r="AC138" s="162" t="s">
        <v>790</v>
      </c>
      <c r="AD138" s="83">
        <f>SUMPRODUCT(1*(EXACT(CONCATENATE(Tableau1[[#This Row],[PO Number (Header)]],"-",Tableau1[[#This Row],[Line]]),UO_List[Unique_AIB_ID]))*(UO_List[Qté Réception 03/2020]))</f>
        <v>0</v>
      </c>
      <c r="AE138" s="84"/>
      <c r="AF138" s="357"/>
      <c r="AG138" s="351" t="str">
        <f>IFERROR(Tableau1[[#This Row],[Qté Facturé 01/2018]]*Tableau1[[#This Row],[Unit Price (calcul)]],"")</f>
        <v/>
      </c>
      <c r="AH138" s="356" t="str">
        <f>IFERROR(IF(Tableau1[[#This Row],[Montant Facturé 01/2018]]&gt;0,Tableau1[[#This Row],[Montant Facturé 01/2018]]/Taux_Change_SII,""),"")</f>
        <v/>
      </c>
      <c r="AI138" s="351"/>
      <c r="AJ138" s="83">
        <f>SUMPRODUCT(1*(EXACT(CONCATENATE(Tableau1[[#This Row],[PO Number (Header)]],"-",Tableau1[[#This Row],[Line]]),UO_List[Unique_AIB_ID]))*(UO_List[Qté Réception 02/2020]))</f>
        <v>0</v>
      </c>
      <c r="AK138" s="83">
        <f>SUMPRODUCT(1*(EXACT(CONCATENATE(Tableau1[[#This Row],[PO Number (Header)]],"-",Tableau1[[#This Row],[Line]]),UO_List[Unique_AIB_ID]))*(UO_List[Qté Réception 02/2020]))</f>
        <v>0</v>
      </c>
      <c r="AL138" s="357"/>
      <c r="AM138" s="351" t="str">
        <f>IFERROR(Tableau1[[#This Row],[Qté Facturé 02/2018]]*Tableau1[[#This Row],[Unit Price (calcul)]],"")</f>
        <v/>
      </c>
      <c r="AN138" s="351" t="str">
        <f>IFERROR(IF(Tableau1[[#This Row],[Montant Facturé 02/2018]]&gt;0,Tableau1[[#This Row],[Montant Facturé 02/2018]]/Taux_Change_SII,""),"")</f>
        <v/>
      </c>
      <c r="AO138" s="351"/>
      <c r="AP138" s="83">
        <f>SUMPRODUCT(1*(EXACT(CONCATENATE(Tableau1[[#This Row],[PO Number (Header)]],"-",Tableau1[[#This Row],[Line]]),UO_List[Unique_AIB_ID]))*(UO_List[Qté Réception 00/2020]))</f>
        <v>0</v>
      </c>
      <c r="AQ138" s="84"/>
      <c r="AR138" s="357"/>
      <c r="AS138" s="351" t="str">
        <f>IFERROR(Tableau1[[#This Row],[Qté Facturé 03/2018]]*Tableau1[[#This Row],[Unit Price (calcul)]],"")</f>
        <v/>
      </c>
      <c r="AT138" s="351" t="str">
        <f>IFERROR(IF(Tableau1[[#This Row],[Montant Facturé 03/2018]]&gt;0,Tableau1[[#This Row],[Montant Facturé 03/2018]]/Taux_Change_SII,""),"")</f>
        <v/>
      </c>
      <c r="AU138" s="351"/>
      <c r="AV138" s="83">
        <f>SUMPRODUCT(1*(EXACT(CONCATENATE(Tableau1[[#This Row],[PO Number (Header)]],"-",Tableau1[[#This Row],[Line]]),UO_List[Unique_AIB_ID]))*(UO_List[Qté Réception 04/2020]))</f>
        <v>0</v>
      </c>
      <c r="AW138" s="84"/>
      <c r="AX138" s="351"/>
      <c r="AY138" s="351" t="str">
        <f>IFERROR(Tableau1[[#This Row],[Qté Facturé 04/2018]]*Tableau1[[#This Row],[Unit Price (calcul)]],"")</f>
        <v/>
      </c>
      <c r="AZ138" s="351" t="str">
        <f>IFERROR(IF(Tableau1[[#This Row],[Montant Facturé 04/2018]]&gt;0,Tableau1[[#This Row],[Montant Facturé 04/2018]]/Taux_Change_SII,""),"")</f>
        <v/>
      </c>
      <c r="BA138" s="351"/>
      <c r="BB138" s="83">
        <f>SUMPRODUCT(1*(EXACT(CONCATENATE(Tableau1[[#This Row],[PO Number (Header)]],"-",Tableau1[[#This Row],[Line]]),UO_List[Unique_AIB_ID]))*(UO_List[Qté Réception 05/2020]))</f>
        <v>0</v>
      </c>
      <c r="BC138" s="84"/>
      <c r="BD138" s="351"/>
      <c r="BE138" s="351" t="str">
        <f>IFERROR(Tableau1[[#This Row],[Qté Facturé 05/2018]]*Tableau1[[#This Row],[Unit Price (calcul)]],"")</f>
        <v/>
      </c>
      <c r="BF138" s="351" t="str">
        <f>IFERROR(IF(Tableau1[[#This Row],[Montant Facturé 05/2018]]&gt;0,Tableau1[[#This Row],[Montant Facturé 05/2018]]/Taux_Change_SII,""),"")</f>
        <v/>
      </c>
      <c r="BG138" s="351"/>
      <c r="BH138" s="83">
        <f>SUMPRODUCT(1*(EXACT(CONCATENATE(Tableau1[[#This Row],[PO Number (Header)]],"-",Tableau1[[#This Row],[Line]]),UO_List[Unique_AIB_ID]))*(UO_List[Qté Réception 06/2020]))</f>
        <v>0</v>
      </c>
      <c r="BI138" s="84"/>
      <c r="BJ138" s="351"/>
      <c r="BK138" s="351" t="str">
        <f>IFERROR(Tableau1[[#This Row],[Qté Facturé 06/2018]]*Tableau1[[#This Row],[Unit Price (calcul)]],"")</f>
        <v/>
      </c>
      <c r="BL138" s="351" t="str">
        <f>IFERROR(IF(Tableau1[[#This Row],[Montant Facturé 06/2018]]&gt;0,Tableau1[[#This Row],[Montant Facturé 06/2018]]/Taux_Change_SII,""),"")</f>
        <v/>
      </c>
      <c r="BM138" s="351"/>
      <c r="BN138" s="83">
        <f>SUMPRODUCT(1*(EXACT(CONCATENATE(Tableau1[[#This Row],[PO Number (Header)]],"-",Tableau1[[#This Row],[Line]]),UO_List[Unique_AIB_ID]))*(UO_List[Qté Réception 07/2020]))</f>
        <v>0</v>
      </c>
      <c r="BO138" s="84"/>
      <c r="BP138" s="351"/>
      <c r="BQ138" s="351" t="str">
        <f>IFERROR(Tableau1[[#This Row],[Qté Facturé 07/2018]]*Tableau1[[#This Row],[Unit Price (calcul)]],"")</f>
        <v/>
      </c>
      <c r="BR138" s="351" t="str">
        <f>IFERROR(IF(Tableau1[[#This Row],[Montant Facturé 07/2018]]&gt;0,Tableau1[[#This Row],[Montant Facturé 07/2018]]/Taux_Change_SII,""),"")</f>
        <v/>
      </c>
      <c r="BS138" s="351"/>
      <c r="BT138" s="83">
        <f>SUMPRODUCT(1*(EXACT(CONCATENATE(Tableau1[[#This Row],[PO Number (Header)]],"-",Tableau1[[#This Row],[Line]]),UO_List[Unique_AIB_ID]))*(UO_List[Qté Réception 08/2020]))</f>
        <v>0</v>
      </c>
      <c r="BU138" s="84"/>
      <c r="BV138" s="351"/>
      <c r="BW138" s="351" t="str">
        <f>IFERROR(Tableau1[[#This Row],[Qté Facturé 08/2018]]*Tableau1[[#This Row],[Unit Price (calcul)]],"")</f>
        <v/>
      </c>
      <c r="BX138" s="351" t="str">
        <f>IFERROR(IF(Tableau1[[#This Row],[Montant Facturé 08/2018]]&gt;0,Tableau1[[#This Row],[Montant Facturé 08/2018]]/Taux_Change_SII,""),"")</f>
        <v/>
      </c>
      <c r="BY138" s="351"/>
      <c r="BZ138" s="83">
        <f>SUMPRODUCT(1*(EXACT(CONCATENATE(Tableau1[[#This Row],[PO Number (Header)]],"-",Tableau1[[#This Row],[Line]]),UO_List[Unique_AIB_ID]))*(UO_List[Qté Réception 09/2020]))</f>
        <v>0</v>
      </c>
      <c r="CA138" s="83"/>
      <c r="CB138" s="351"/>
      <c r="CC138" s="351" t="str">
        <f>IFERROR(Tableau1[[#This Row],[Qté Facturé 09/2018]]*Tableau1[[#This Row],[Unit Price (calcul)]],"")</f>
        <v/>
      </c>
      <c r="CD138" s="351" t="str">
        <f>IFERROR(IF(Tableau1[[#This Row],[Montant Facturé 09/2018]]&gt;0,Tableau1[[#This Row],[Montant Facturé 09/2018]]/Taux_Change_SII,""),"")</f>
        <v/>
      </c>
      <c r="CE138" s="351"/>
      <c r="CF138" s="83">
        <f>SUMPRODUCT(1*(EXACT(CONCATENATE(Tableau1[[#This Row],[PO Number (Header)]],"-",Tableau1[[#This Row],[Line]]),UO_List[Unique_AIB_ID]))*(UO_List[Qté Réception 10/2020]))</f>
        <v>0</v>
      </c>
      <c r="CG138" s="84">
        <v>0</v>
      </c>
      <c r="CH138" s="351"/>
      <c r="CI138" s="351" t="str">
        <f>IFERROR(Tableau1[[#This Row],[Qté Facturé 10/2018]]*Tableau1[[#This Row],[Unit Price (calcul)]],"")</f>
        <v/>
      </c>
      <c r="CJ138" s="351" t="str">
        <f>IFERROR(IF(Tableau1[[#This Row],[Montant Facturé 10/2018]]&gt;0,Tableau1[[#This Row],[Montant Facturé 10/2018]]/Taux_Change_SII,""),"")</f>
        <v/>
      </c>
      <c r="CK138" s="351"/>
      <c r="CL138" s="83">
        <f>SUMPRODUCT(1*(EXACT(CONCATENATE(Tableau1[[#This Row],[PO Number (Header)]],"-",Tableau1[[#This Row],[Line]]),UO_List[Unique_AIB_ID]))*(UO_List[Qté Réception 11/2020]))</f>
        <v>0</v>
      </c>
      <c r="CM138" s="84"/>
      <c r="CN138" s="351"/>
      <c r="CO138" s="351" t="str">
        <f>IFERROR(Tableau1[[#This Row],[Qté Facturé 11/2018]]*Tableau1[[#This Row],[Unit Price (calcul)]],"")</f>
        <v/>
      </c>
      <c r="CP138" s="351" t="str">
        <f>IFERROR(IF(Tableau1[[#This Row],[Montant Facturé 11/2018]]&gt;0,Tableau1[[#This Row],[Montant Facturé 11/2018]]/Taux_Change_SII,""),"")</f>
        <v/>
      </c>
      <c r="CQ138" s="351"/>
      <c r="CR138" s="83">
        <f>SUMPRODUCT(1*(EXACT(CONCATENATE(Tableau1[[#This Row],[PO Number (Header)]],"-",Tableau1[[#This Row],[Line]]),UO_List[Unique_AIB_ID]))*(UO_List[Qté Réception 12/2020]))</f>
        <v>0</v>
      </c>
      <c r="CS138" s="84"/>
      <c r="CT138" s="351"/>
      <c r="CU138" s="351" t="str">
        <f>IFERROR(Tableau1[[#This Row],[Qté Facturé 12/2018]]*Tableau1[[#This Row],[Unit Price (calcul)]],"")</f>
        <v/>
      </c>
      <c r="CV138" s="351" t="str">
        <f>IFERROR(IF(Tableau1[[#This Row],[Montant Facturé 12/2018]]&gt;0,Tableau1[[#This Row],[Montant Facturé 12/2018]]/Taux_Change_SII,""),"")</f>
        <v/>
      </c>
      <c r="CW138" s="351"/>
      <c r="CX13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8" s="352" t="str">
        <f>IFERROR(Tableau1[[#This Row],[Total item réceptionné]]*Tableau1[[#This Row],[Unit Price (calcul)]],"")</f>
        <v/>
      </c>
      <c r="DB138" s="352" t="str">
        <f>IFERROR(Tableau1[[#This Row],[Total item à Facturer]]*Tableau1[[#This Row],[Unit Price (calcul)]],"")</f>
        <v/>
      </c>
      <c r="DC13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8" s="352" t="str">
        <f>IFERROR(Tableau1[[#This Row],[Line Total]]-Tableau1[[#This Row],[Total Price Réceptionné]],"")</f>
        <v/>
      </c>
      <c r="DE138" s="352" t="str">
        <f>IFERROR(Tableau1[[#This Row],[Total Price Réceptionné]]-Tableau1[[#This Row],[Total Price A facturer]],"")</f>
        <v/>
      </c>
      <c r="DF138" s="353" t="str">
        <f>IFERROR(Tableau1[[#This Row],[Total Price A facturer]]-Tableau1[[#This Row],[Total Price Facturé]],"")</f>
        <v/>
      </c>
      <c r="DG138" s="76">
        <f>Tableau1[[#This Row],[Total Item Quantity]]-Tableau1[[#This Row],[Total item réceptionné]]</f>
        <v>0</v>
      </c>
      <c r="DH138" s="167"/>
      <c r="DI138" s="167"/>
    </row>
    <row r="139" spans="1:113" s="74" customFormat="1">
      <c r="A139" s="77" t="str">
        <f>CONCATENATE(Tableau1[[#This Row],[PO Number (Header)]],"-",Tableau1[[#This Row],[Line]])</f>
        <v>-</v>
      </c>
      <c r="B139" s="77"/>
      <c r="C139" s="450"/>
      <c r="D139" s="102"/>
      <c r="E139" s="77"/>
      <c r="F139" s="77"/>
      <c r="G139" s="77"/>
      <c r="H139" s="77"/>
      <c r="I139" s="452"/>
      <c r="J139" s="452"/>
      <c r="K139" s="453"/>
      <c r="L139" s="453"/>
      <c r="M139" s="77"/>
      <c r="N139" s="77"/>
      <c r="O139" s="77"/>
      <c r="P139" s="77"/>
      <c r="Q139" s="395"/>
      <c r="R139" s="395"/>
      <c r="S139" s="77"/>
      <c r="T139" s="77"/>
      <c r="U139" s="77"/>
      <c r="V139" s="77"/>
      <c r="W139" s="167"/>
      <c r="X139" s="167"/>
      <c r="Y139" s="167" t="str">
        <f>IF(ISBLANK(Tableau1[[#This Row],[PO Number (Header)]]),"",Tableau1[[#This Row],[Line Total]]/Tableau1[[#This Row],[Total Item Quantity]])</f>
        <v/>
      </c>
      <c r="Z139" s="167" t="str">
        <f>IF(ISNA(VLOOKUP(Tableau1[[#This Row],[Unique_AIB_ID]],UO_List[Unique_AIB_ID],1,FALSE)),IF(ISBLANK(Tableau1[[#This Row],[PO Number (Header)]]),"","FAUX"),"VRAI")</f>
        <v/>
      </c>
      <c r="AA139" s="167"/>
      <c r="AB139" s="162" t="e">
        <f>VLOOKUP(Tableau1[[#This Row],[Unique_AIB_ID]],UO_List[[Unique_AIB_ID]:[OLGA F6]],3,FALSE)</f>
        <v>#N/A</v>
      </c>
      <c r="AC139" s="162" t="s">
        <v>790</v>
      </c>
      <c r="AD139" s="83">
        <f>SUMPRODUCT(1*(EXACT(CONCATENATE(Tableau1[[#This Row],[PO Number (Header)]],"-",Tableau1[[#This Row],[Line]]),UO_List[Unique_AIB_ID]))*(UO_List[Qté Réception 03/2020]))</f>
        <v>0</v>
      </c>
      <c r="AE139" s="84"/>
      <c r="AF139" s="357"/>
      <c r="AG139" s="351" t="str">
        <f>IFERROR(Tableau1[[#This Row],[Qté Facturé 01/2018]]*Tableau1[[#This Row],[Unit Price (calcul)]],"")</f>
        <v/>
      </c>
      <c r="AH139" s="356" t="str">
        <f>IFERROR(IF(Tableau1[[#This Row],[Montant Facturé 01/2018]]&gt;0,Tableau1[[#This Row],[Montant Facturé 01/2018]]/Taux_Change_SII,""),"")</f>
        <v/>
      </c>
      <c r="AI139" s="351"/>
      <c r="AJ139" s="83">
        <f>SUMPRODUCT(1*(EXACT(CONCATENATE(Tableau1[[#This Row],[PO Number (Header)]],"-",Tableau1[[#This Row],[Line]]),UO_List[Unique_AIB_ID]))*(UO_List[Qté Réception 02/2020]))</f>
        <v>0</v>
      </c>
      <c r="AK139" s="83">
        <f>SUMPRODUCT(1*(EXACT(CONCATENATE(Tableau1[[#This Row],[PO Number (Header)]],"-",Tableau1[[#This Row],[Line]]),UO_List[Unique_AIB_ID]))*(UO_List[Qté Réception 02/2020]))</f>
        <v>0</v>
      </c>
      <c r="AL139" s="357"/>
      <c r="AM139" s="351" t="str">
        <f>IFERROR(Tableau1[[#This Row],[Qté Facturé 02/2018]]*Tableau1[[#This Row],[Unit Price (calcul)]],"")</f>
        <v/>
      </c>
      <c r="AN139" s="351" t="str">
        <f>IFERROR(IF(Tableau1[[#This Row],[Montant Facturé 02/2018]]&gt;0,Tableau1[[#This Row],[Montant Facturé 02/2018]]/Taux_Change_SII,""),"")</f>
        <v/>
      </c>
      <c r="AO139" s="351"/>
      <c r="AP139" s="83">
        <f>SUMPRODUCT(1*(EXACT(CONCATENATE(Tableau1[[#This Row],[PO Number (Header)]],"-",Tableau1[[#This Row],[Line]]),UO_List[Unique_AIB_ID]))*(UO_List[Qté Réception 00/2020]))</f>
        <v>0</v>
      </c>
      <c r="AQ139" s="84"/>
      <c r="AR139" s="357"/>
      <c r="AS139" s="351" t="str">
        <f>IFERROR(Tableau1[[#This Row],[Qté Facturé 03/2018]]*Tableau1[[#This Row],[Unit Price (calcul)]],"")</f>
        <v/>
      </c>
      <c r="AT139" s="351" t="str">
        <f>IFERROR(IF(Tableau1[[#This Row],[Montant Facturé 03/2018]]&gt;0,Tableau1[[#This Row],[Montant Facturé 03/2018]]/Taux_Change_SII,""),"")</f>
        <v/>
      </c>
      <c r="AU139" s="351"/>
      <c r="AV139" s="83">
        <f>SUMPRODUCT(1*(EXACT(CONCATENATE(Tableau1[[#This Row],[PO Number (Header)]],"-",Tableau1[[#This Row],[Line]]),UO_List[Unique_AIB_ID]))*(UO_List[Qté Réception 04/2020]))</f>
        <v>0</v>
      </c>
      <c r="AW139" s="84"/>
      <c r="AX139" s="351"/>
      <c r="AY139" s="351" t="str">
        <f>IFERROR(Tableau1[[#This Row],[Qté Facturé 04/2018]]*Tableau1[[#This Row],[Unit Price (calcul)]],"")</f>
        <v/>
      </c>
      <c r="AZ139" s="351" t="str">
        <f>IFERROR(IF(Tableau1[[#This Row],[Montant Facturé 04/2018]]&gt;0,Tableau1[[#This Row],[Montant Facturé 04/2018]]/Taux_Change_SII,""),"")</f>
        <v/>
      </c>
      <c r="BA139" s="351"/>
      <c r="BB139" s="83">
        <f>SUMPRODUCT(1*(EXACT(CONCATENATE(Tableau1[[#This Row],[PO Number (Header)]],"-",Tableau1[[#This Row],[Line]]),UO_List[Unique_AIB_ID]))*(UO_List[Qté Réception 05/2020]))</f>
        <v>0</v>
      </c>
      <c r="BC139" s="84"/>
      <c r="BD139" s="351"/>
      <c r="BE139" s="351" t="str">
        <f>IFERROR(Tableau1[[#This Row],[Qté Facturé 05/2018]]*Tableau1[[#This Row],[Unit Price (calcul)]],"")</f>
        <v/>
      </c>
      <c r="BF139" s="351" t="str">
        <f>IFERROR(IF(Tableau1[[#This Row],[Montant Facturé 05/2018]]&gt;0,Tableau1[[#This Row],[Montant Facturé 05/2018]]/Taux_Change_SII,""),"")</f>
        <v/>
      </c>
      <c r="BG139" s="351"/>
      <c r="BH139" s="83">
        <f>SUMPRODUCT(1*(EXACT(CONCATENATE(Tableau1[[#This Row],[PO Number (Header)]],"-",Tableau1[[#This Row],[Line]]),UO_List[Unique_AIB_ID]))*(UO_List[Qté Réception 06/2020]))</f>
        <v>0</v>
      </c>
      <c r="BI139" s="84"/>
      <c r="BJ139" s="351"/>
      <c r="BK139" s="351" t="str">
        <f>IFERROR(Tableau1[[#This Row],[Qté Facturé 06/2018]]*Tableau1[[#This Row],[Unit Price (calcul)]],"")</f>
        <v/>
      </c>
      <c r="BL139" s="351" t="str">
        <f>IFERROR(IF(Tableau1[[#This Row],[Montant Facturé 06/2018]]&gt;0,Tableau1[[#This Row],[Montant Facturé 06/2018]]/Taux_Change_SII,""),"")</f>
        <v/>
      </c>
      <c r="BM139" s="351"/>
      <c r="BN139" s="83">
        <f>SUMPRODUCT(1*(EXACT(CONCATENATE(Tableau1[[#This Row],[PO Number (Header)]],"-",Tableau1[[#This Row],[Line]]),UO_List[Unique_AIB_ID]))*(UO_List[Qté Réception 07/2020]))</f>
        <v>0</v>
      </c>
      <c r="BO139" s="84"/>
      <c r="BP139" s="351"/>
      <c r="BQ139" s="351" t="str">
        <f>IFERROR(Tableau1[[#This Row],[Qté Facturé 07/2018]]*Tableau1[[#This Row],[Unit Price (calcul)]],"")</f>
        <v/>
      </c>
      <c r="BR139" s="351" t="str">
        <f>IFERROR(IF(Tableau1[[#This Row],[Montant Facturé 07/2018]]&gt;0,Tableau1[[#This Row],[Montant Facturé 07/2018]]/Taux_Change_SII,""),"")</f>
        <v/>
      </c>
      <c r="BS139" s="351"/>
      <c r="BT139" s="83">
        <f>SUMPRODUCT(1*(EXACT(CONCATENATE(Tableau1[[#This Row],[PO Number (Header)]],"-",Tableau1[[#This Row],[Line]]),UO_List[Unique_AIB_ID]))*(UO_List[Qté Réception 08/2020]))</f>
        <v>0</v>
      </c>
      <c r="BU139" s="84"/>
      <c r="BV139" s="351"/>
      <c r="BW139" s="351" t="str">
        <f>IFERROR(Tableau1[[#This Row],[Qté Facturé 08/2018]]*Tableau1[[#This Row],[Unit Price (calcul)]],"")</f>
        <v/>
      </c>
      <c r="BX139" s="351" t="str">
        <f>IFERROR(IF(Tableau1[[#This Row],[Montant Facturé 08/2018]]&gt;0,Tableau1[[#This Row],[Montant Facturé 08/2018]]/Taux_Change_SII,""),"")</f>
        <v/>
      </c>
      <c r="BY139" s="351"/>
      <c r="BZ139" s="83">
        <f>SUMPRODUCT(1*(EXACT(CONCATENATE(Tableau1[[#This Row],[PO Number (Header)]],"-",Tableau1[[#This Row],[Line]]),UO_List[Unique_AIB_ID]))*(UO_List[Qté Réception 09/2020]))</f>
        <v>0</v>
      </c>
      <c r="CA139" s="83"/>
      <c r="CB139" s="351"/>
      <c r="CC139" s="351" t="str">
        <f>IFERROR(Tableau1[[#This Row],[Qté Facturé 09/2018]]*Tableau1[[#This Row],[Unit Price (calcul)]],"")</f>
        <v/>
      </c>
      <c r="CD139" s="351" t="str">
        <f>IFERROR(IF(Tableau1[[#This Row],[Montant Facturé 09/2018]]&gt;0,Tableau1[[#This Row],[Montant Facturé 09/2018]]/Taux_Change_SII,""),"")</f>
        <v/>
      </c>
      <c r="CE139" s="351"/>
      <c r="CF139" s="83">
        <f>SUMPRODUCT(1*(EXACT(CONCATENATE(Tableau1[[#This Row],[PO Number (Header)]],"-",Tableau1[[#This Row],[Line]]),UO_List[Unique_AIB_ID]))*(UO_List[Qté Réception 10/2020]))</f>
        <v>0</v>
      </c>
      <c r="CG139" s="84">
        <v>0</v>
      </c>
      <c r="CH139" s="351"/>
      <c r="CI139" s="351" t="str">
        <f>IFERROR(Tableau1[[#This Row],[Qté Facturé 10/2018]]*Tableau1[[#This Row],[Unit Price (calcul)]],"")</f>
        <v/>
      </c>
      <c r="CJ139" s="351" t="str">
        <f>IFERROR(IF(Tableau1[[#This Row],[Montant Facturé 10/2018]]&gt;0,Tableau1[[#This Row],[Montant Facturé 10/2018]]/Taux_Change_SII,""),"")</f>
        <v/>
      </c>
      <c r="CK139" s="351"/>
      <c r="CL139" s="83">
        <f>SUMPRODUCT(1*(EXACT(CONCATENATE(Tableau1[[#This Row],[PO Number (Header)]],"-",Tableau1[[#This Row],[Line]]),UO_List[Unique_AIB_ID]))*(UO_List[Qté Réception 11/2020]))</f>
        <v>0</v>
      </c>
      <c r="CM139" s="84"/>
      <c r="CN139" s="351"/>
      <c r="CO139" s="351" t="str">
        <f>IFERROR(Tableau1[[#This Row],[Qté Facturé 11/2018]]*Tableau1[[#This Row],[Unit Price (calcul)]],"")</f>
        <v/>
      </c>
      <c r="CP139" s="351" t="str">
        <f>IFERROR(IF(Tableau1[[#This Row],[Montant Facturé 11/2018]]&gt;0,Tableau1[[#This Row],[Montant Facturé 11/2018]]/Taux_Change_SII,""),"")</f>
        <v/>
      </c>
      <c r="CQ139" s="351"/>
      <c r="CR139" s="83">
        <f>SUMPRODUCT(1*(EXACT(CONCATENATE(Tableau1[[#This Row],[PO Number (Header)]],"-",Tableau1[[#This Row],[Line]]),UO_List[Unique_AIB_ID]))*(UO_List[Qté Réception 12/2020]))</f>
        <v>0</v>
      </c>
      <c r="CS139" s="84"/>
      <c r="CT139" s="351"/>
      <c r="CU139" s="351" t="str">
        <f>IFERROR(Tableau1[[#This Row],[Qté Facturé 12/2018]]*Tableau1[[#This Row],[Unit Price (calcul)]],"")</f>
        <v/>
      </c>
      <c r="CV139" s="351" t="str">
        <f>IFERROR(IF(Tableau1[[#This Row],[Montant Facturé 12/2018]]&gt;0,Tableau1[[#This Row],[Montant Facturé 12/2018]]/Taux_Change_SII,""),"")</f>
        <v/>
      </c>
      <c r="CW139" s="351"/>
      <c r="CX13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3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3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39" s="352" t="str">
        <f>IFERROR(Tableau1[[#This Row],[Total item réceptionné]]*Tableau1[[#This Row],[Unit Price (calcul)]],"")</f>
        <v/>
      </c>
      <c r="DB139" s="352" t="str">
        <f>IFERROR(Tableau1[[#This Row],[Total item à Facturer]]*Tableau1[[#This Row],[Unit Price (calcul)]],"")</f>
        <v/>
      </c>
      <c r="DC13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39" s="352" t="str">
        <f>IFERROR(Tableau1[[#This Row],[Line Total]]-Tableau1[[#This Row],[Total Price Réceptionné]],"")</f>
        <v/>
      </c>
      <c r="DE139" s="352" t="str">
        <f>IFERROR(Tableau1[[#This Row],[Total Price Réceptionné]]-Tableau1[[#This Row],[Total Price A facturer]],"")</f>
        <v/>
      </c>
      <c r="DF139" s="353" t="str">
        <f>IFERROR(Tableau1[[#This Row],[Total Price A facturer]]-Tableau1[[#This Row],[Total Price Facturé]],"")</f>
        <v/>
      </c>
      <c r="DG139" s="76">
        <f>Tableau1[[#This Row],[Total Item Quantity]]-Tableau1[[#This Row],[Total item réceptionné]]</f>
        <v>0</v>
      </c>
      <c r="DH139" s="167"/>
      <c r="DI139" s="167"/>
    </row>
    <row r="140" spans="1:113" s="74" customFormat="1">
      <c r="A140" s="77" t="str">
        <f>CONCATENATE(Tableau1[[#This Row],[PO Number (Header)]],"-",Tableau1[[#This Row],[Line]])</f>
        <v>-</v>
      </c>
      <c r="B140" s="77"/>
      <c r="C140" s="450"/>
      <c r="D140" s="102"/>
      <c r="E140" s="77"/>
      <c r="F140" s="77"/>
      <c r="G140" s="77"/>
      <c r="H140" s="77"/>
      <c r="I140" s="452"/>
      <c r="J140" s="452"/>
      <c r="K140" s="453"/>
      <c r="L140" s="453"/>
      <c r="M140" s="77"/>
      <c r="N140" s="77"/>
      <c r="O140" s="77"/>
      <c r="P140" s="77"/>
      <c r="Q140" s="395"/>
      <c r="R140" s="395"/>
      <c r="S140" s="77"/>
      <c r="T140" s="77"/>
      <c r="U140" s="77"/>
      <c r="V140" s="77"/>
      <c r="W140" s="167"/>
      <c r="X140" s="167"/>
      <c r="Y140" s="167" t="str">
        <f>IF(ISBLANK(Tableau1[[#This Row],[PO Number (Header)]]),"",Tableau1[[#This Row],[Line Total]]/Tableau1[[#This Row],[Total Item Quantity]])</f>
        <v/>
      </c>
      <c r="Z140" s="167" t="str">
        <f>IF(ISNA(VLOOKUP(Tableau1[[#This Row],[Unique_AIB_ID]],UO_List[Unique_AIB_ID],1,FALSE)),IF(ISBLANK(Tableau1[[#This Row],[PO Number (Header)]]),"","FAUX"),"VRAI")</f>
        <v/>
      </c>
      <c r="AA140" s="167"/>
      <c r="AB140" s="162" t="e">
        <f>VLOOKUP(Tableau1[[#This Row],[Unique_AIB_ID]],UO_List[[Unique_AIB_ID]:[OLGA F6]],3,FALSE)</f>
        <v>#N/A</v>
      </c>
      <c r="AC140" s="162" t="s">
        <v>790</v>
      </c>
      <c r="AD140" s="83">
        <f>SUMPRODUCT(1*(EXACT(CONCATENATE(Tableau1[[#This Row],[PO Number (Header)]],"-",Tableau1[[#This Row],[Line]]),UO_List[Unique_AIB_ID]))*(UO_List[Qté Réception 03/2020]))</f>
        <v>0</v>
      </c>
      <c r="AE140" s="84"/>
      <c r="AF140" s="357"/>
      <c r="AG140" s="351" t="str">
        <f>IFERROR(Tableau1[[#This Row],[Qté Facturé 01/2018]]*Tableau1[[#This Row],[Unit Price (calcul)]],"")</f>
        <v/>
      </c>
      <c r="AH140" s="356" t="str">
        <f>IFERROR(IF(Tableau1[[#This Row],[Montant Facturé 01/2018]]&gt;0,Tableau1[[#This Row],[Montant Facturé 01/2018]]/Taux_Change_SII,""),"")</f>
        <v/>
      </c>
      <c r="AI140" s="351"/>
      <c r="AJ140" s="83">
        <f>SUMPRODUCT(1*(EXACT(CONCATENATE(Tableau1[[#This Row],[PO Number (Header)]],"-",Tableau1[[#This Row],[Line]]),UO_List[Unique_AIB_ID]))*(UO_List[Qté Réception 02/2020]))</f>
        <v>0</v>
      </c>
      <c r="AK140" s="83">
        <f>SUMPRODUCT(1*(EXACT(CONCATENATE(Tableau1[[#This Row],[PO Number (Header)]],"-",Tableau1[[#This Row],[Line]]),UO_List[Unique_AIB_ID]))*(UO_List[Qté Réception 02/2020]))</f>
        <v>0</v>
      </c>
      <c r="AL140" s="357"/>
      <c r="AM140" s="351" t="str">
        <f>IFERROR(Tableau1[[#This Row],[Qté Facturé 02/2018]]*Tableau1[[#This Row],[Unit Price (calcul)]],"")</f>
        <v/>
      </c>
      <c r="AN140" s="351" t="str">
        <f>IFERROR(IF(Tableau1[[#This Row],[Montant Facturé 02/2018]]&gt;0,Tableau1[[#This Row],[Montant Facturé 02/2018]]/Taux_Change_SII,""),"")</f>
        <v/>
      </c>
      <c r="AO140" s="351"/>
      <c r="AP140" s="83">
        <f>SUMPRODUCT(1*(EXACT(CONCATENATE(Tableau1[[#This Row],[PO Number (Header)]],"-",Tableau1[[#This Row],[Line]]),UO_List[Unique_AIB_ID]))*(UO_List[Qté Réception 00/2020]))</f>
        <v>0</v>
      </c>
      <c r="AQ140" s="84"/>
      <c r="AR140" s="357"/>
      <c r="AS140" s="351" t="str">
        <f>IFERROR(Tableau1[[#This Row],[Qté Facturé 03/2018]]*Tableau1[[#This Row],[Unit Price (calcul)]],"")</f>
        <v/>
      </c>
      <c r="AT140" s="351" t="str">
        <f>IFERROR(IF(Tableau1[[#This Row],[Montant Facturé 03/2018]]&gt;0,Tableau1[[#This Row],[Montant Facturé 03/2018]]/Taux_Change_SII,""),"")</f>
        <v/>
      </c>
      <c r="AU140" s="351"/>
      <c r="AV140" s="83">
        <f>SUMPRODUCT(1*(EXACT(CONCATENATE(Tableau1[[#This Row],[PO Number (Header)]],"-",Tableau1[[#This Row],[Line]]),UO_List[Unique_AIB_ID]))*(UO_List[Qté Réception 04/2020]))</f>
        <v>0</v>
      </c>
      <c r="AW140" s="84"/>
      <c r="AX140" s="351"/>
      <c r="AY140" s="351" t="str">
        <f>IFERROR(Tableau1[[#This Row],[Qté Facturé 04/2018]]*Tableau1[[#This Row],[Unit Price (calcul)]],"")</f>
        <v/>
      </c>
      <c r="AZ140" s="351" t="str">
        <f>IFERROR(IF(Tableau1[[#This Row],[Montant Facturé 04/2018]]&gt;0,Tableau1[[#This Row],[Montant Facturé 04/2018]]/Taux_Change_SII,""),"")</f>
        <v/>
      </c>
      <c r="BA140" s="351"/>
      <c r="BB140" s="83">
        <f>SUMPRODUCT(1*(EXACT(CONCATENATE(Tableau1[[#This Row],[PO Number (Header)]],"-",Tableau1[[#This Row],[Line]]),UO_List[Unique_AIB_ID]))*(UO_List[Qté Réception 05/2020]))</f>
        <v>0</v>
      </c>
      <c r="BC140" s="84"/>
      <c r="BD140" s="351"/>
      <c r="BE140" s="351" t="str">
        <f>IFERROR(Tableau1[[#This Row],[Qté Facturé 05/2018]]*Tableau1[[#This Row],[Unit Price (calcul)]],"")</f>
        <v/>
      </c>
      <c r="BF140" s="351" t="str">
        <f>IFERROR(IF(Tableau1[[#This Row],[Montant Facturé 05/2018]]&gt;0,Tableau1[[#This Row],[Montant Facturé 05/2018]]/Taux_Change_SII,""),"")</f>
        <v/>
      </c>
      <c r="BG140" s="351"/>
      <c r="BH140" s="83">
        <f>SUMPRODUCT(1*(EXACT(CONCATENATE(Tableau1[[#This Row],[PO Number (Header)]],"-",Tableau1[[#This Row],[Line]]),UO_List[Unique_AIB_ID]))*(UO_List[Qté Réception 06/2020]))</f>
        <v>0</v>
      </c>
      <c r="BI140" s="84"/>
      <c r="BJ140" s="351"/>
      <c r="BK140" s="351" t="str">
        <f>IFERROR(Tableau1[[#This Row],[Qté Facturé 06/2018]]*Tableau1[[#This Row],[Unit Price (calcul)]],"")</f>
        <v/>
      </c>
      <c r="BL140" s="351" t="str">
        <f>IFERROR(IF(Tableau1[[#This Row],[Montant Facturé 06/2018]]&gt;0,Tableau1[[#This Row],[Montant Facturé 06/2018]]/Taux_Change_SII,""),"")</f>
        <v/>
      </c>
      <c r="BM140" s="351"/>
      <c r="BN140" s="83">
        <f>SUMPRODUCT(1*(EXACT(CONCATENATE(Tableau1[[#This Row],[PO Number (Header)]],"-",Tableau1[[#This Row],[Line]]),UO_List[Unique_AIB_ID]))*(UO_List[Qté Réception 07/2020]))</f>
        <v>0</v>
      </c>
      <c r="BO140" s="84"/>
      <c r="BP140" s="351"/>
      <c r="BQ140" s="351" t="str">
        <f>IFERROR(Tableau1[[#This Row],[Qté Facturé 07/2018]]*Tableau1[[#This Row],[Unit Price (calcul)]],"")</f>
        <v/>
      </c>
      <c r="BR140" s="351" t="str">
        <f>IFERROR(IF(Tableau1[[#This Row],[Montant Facturé 07/2018]]&gt;0,Tableau1[[#This Row],[Montant Facturé 07/2018]]/Taux_Change_SII,""),"")</f>
        <v/>
      </c>
      <c r="BS140" s="351"/>
      <c r="BT140" s="83">
        <f>SUMPRODUCT(1*(EXACT(CONCATENATE(Tableau1[[#This Row],[PO Number (Header)]],"-",Tableau1[[#This Row],[Line]]),UO_List[Unique_AIB_ID]))*(UO_List[Qté Réception 08/2020]))</f>
        <v>0</v>
      </c>
      <c r="BU140" s="84"/>
      <c r="BV140" s="351"/>
      <c r="BW140" s="351" t="str">
        <f>IFERROR(Tableau1[[#This Row],[Qté Facturé 08/2018]]*Tableau1[[#This Row],[Unit Price (calcul)]],"")</f>
        <v/>
      </c>
      <c r="BX140" s="351" t="str">
        <f>IFERROR(IF(Tableau1[[#This Row],[Montant Facturé 08/2018]]&gt;0,Tableau1[[#This Row],[Montant Facturé 08/2018]]/Taux_Change_SII,""),"")</f>
        <v/>
      </c>
      <c r="BY140" s="351"/>
      <c r="BZ140" s="83">
        <f>SUMPRODUCT(1*(EXACT(CONCATENATE(Tableau1[[#This Row],[PO Number (Header)]],"-",Tableau1[[#This Row],[Line]]),UO_List[Unique_AIB_ID]))*(UO_List[Qté Réception 09/2020]))</f>
        <v>0</v>
      </c>
      <c r="CA140" s="84">
        <v>0</v>
      </c>
      <c r="CB140" s="351"/>
      <c r="CC140" s="351" t="str">
        <f>IFERROR(Tableau1[[#This Row],[Qté Facturé 09/2018]]*Tableau1[[#This Row],[Unit Price (calcul)]],"")</f>
        <v/>
      </c>
      <c r="CD140" s="351" t="str">
        <f>IFERROR(IF(Tableau1[[#This Row],[Montant Facturé 09/2018]]&gt;0,Tableau1[[#This Row],[Montant Facturé 09/2018]]/Taux_Change_SII,""),"")</f>
        <v/>
      </c>
      <c r="CE140" s="351"/>
      <c r="CF140" s="83">
        <f>SUMPRODUCT(1*(EXACT(CONCATENATE(Tableau1[[#This Row],[PO Number (Header)]],"-",Tableau1[[#This Row],[Line]]),UO_List[Unique_AIB_ID]))*(UO_List[Qté Réception 10/2020]))</f>
        <v>0</v>
      </c>
      <c r="CG140" s="84"/>
      <c r="CH140" s="84"/>
      <c r="CI140" s="488" t="str">
        <f>IFERROR(Tableau1[[#This Row],[Qté Facturé 10/2018]]*Tableau1[[#This Row],[Unit Price (calcul)]],"")</f>
        <v/>
      </c>
      <c r="CJ140" s="351" t="str">
        <f>IFERROR(IF(Tableau1[[#This Row],[Montant Facturé 10/2018]]&gt;0,Tableau1[[#This Row],[Montant Facturé 10/2018]]/Taux_Change_SII,""),"")</f>
        <v/>
      </c>
      <c r="CK140" s="351"/>
      <c r="CL140" s="83">
        <f>SUMPRODUCT(1*(EXACT(CONCATENATE(Tableau1[[#This Row],[PO Number (Header)]],"-",Tableau1[[#This Row],[Line]]),UO_List[Unique_AIB_ID]))*(UO_List[Qté Réception 11/2020]))</f>
        <v>0</v>
      </c>
      <c r="CM140" s="84"/>
      <c r="CN140" s="351"/>
      <c r="CO140" s="351" t="str">
        <f>IFERROR(Tableau1[[#This Row],[Qté Facturé 11/2018]]*Tableau1[[#This Row],[Unit Price (calcul)]],"")</f>
        <v/>
      </c>
      <c r="CP140" s="351" t="str">
        <f>IFERROR(IF(Tableau1[[#This Row],[Montant Facturé 11/2018]]&gt;0,Tableau1[[#This Row],[Montant Facturé 11/2018]]/Taux_Change_SII,""),"")</f>
        <v/>
      </c>
      <c r="CQ140" s="351"/>
      <c r="CR140" s="83">
        <f>SUMPRODUCT(1*(EXACT(CONCATENATE(Tableau1[[#This Row],[PO Number (Header)]],"-",Tableau1[[#This Row],[Line]]),UO_List[Unique_AIB_ID]))*(UO_List[Qté Réception 12/2020]))</f>
        <v>0</v>
      </c>
      <c r="CS140" s="84"/>
      <c r="CT140" s="351"/>
      <c r="CU140" s="351" t="str">
        <f>IFERROR(Tableau1[[#This Row],[Qté Facturé 12/2018]]*Tableau1[[#This Row],[Unit Price (calcul)]],"")</f>
        <v/>
      </c>
      <c r="CV140" s="351" t="str">
        <f>IFERROR(IF(Tableau1[[#This Row],[Montant Facturé 12/2018]]&gt;0,Tableau1[[#This Row],[Montant Facturé 12/2018]]/Taux_Change_SII,""),"")</f>
        <v/>
      </c>
      <c r="CW140" s="351"/>
      <c r="CX14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0" s="352" t="str">
        <f>IFERROR(Tableau1[[#This Row],[Total item réceptionné]]*Tableau1[[#This Row],[Unit Price (calcul)]],"")</f>
        <v/>
      </c>
      <c r="DB140" s="352" t="str">
        <f>IFERROR(Tableau1[[#This Row],[Total item à Facturer]]*Tableau1[[#This Row],[Unit Price (calcul)]],"")</f>
        <v/>
      </c>
      <c r="DC14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0" s="352" t="str">
        <f>IFERROR(Tableau1[[#This Row],[Line Total]]-Tableau1[[#This Row],[Total Price Réceptionné]],"")</f>
        <v/>
      </c>
      <c r="DE140" s="352" t="str">
        <f>IFERROR(Tableau1[[#This Row],[Total Price Réceptionné]]-Tableau1[[#This Row],[Total Price A facturer]],"")</f>
        <v/>
      </c>
      <c r="DF140" s="353" t="str">
        <f>IFERROR(Tableau1[[#This Row],[Total Price A facturer]]-Tableau1[[#This Row],[Total Price Facturé]],"")</f>
        <v/>
      </c>
      <c r="DG140" s="76">
        <f>Tableau1[[#This Row],[Total Item Quantity]]-Tableau1[[#This Row],[Total item réceptionné]]</f>
        <v>0</v>
      </c>
      <c r="DH140" s="167"/>
      <c r="DI140" s="167"/>
    </row>
    <row r="141" spans="1:113" s="74" customFormat="1">
      <c r="A141" s="77" t="str">
        <f>CONCATENATE(Tableau1[[#This Row],[PO Number (Header)]],"-",Tableau1[[#This Row],[Line]])</f>
        <v>-</v>
      </c>
      <c r="B141" s="77"/>
      <c r="C141" s="450"/>
      <c r="D141" s="102"/>
      <c r="E141" s="77"/>
      <c r="F141" s="77"/>
      <c r="G141" s="77"/>
      <c r="H141" s="77"/>
      <c r="I141" s="452"/>
      <c r="J141" s="452"/>
      <c r="K141" s="453"/>
      <c r="L141" s="453"/>
      <c r="M141" s="77"/>
      <c r="N141" s="77"/>
      <c r="O141" s="77"/>
      <c r="P141" s="77"/>
      <c r="Q141" s="395"/>
      <c r="R141" s="395"/>
      <c r="S141" s="77"/>
      <c r="T141" s="77"/>
      <c r="U141" s="77"/>
      <c r="V141" s="77"/>
      <c r="W141" s="167"/>
      <c r="X141" s="167"/>
      <c r="Y141" s="167" t="str">
        <f>IF(ISBLANK(Tableau1[[#This Row],[PO Number (Header)]]),"",Tableau1[[#This Row],[Line Total]]/Tableau1[[#This Row],[Total Item Quantity]])</f>
        <v/>
      </c>
      <c r="Z141" s="167" t="str">
        <f>IF(ISNA(VLOOKUP(Tableau1[[#This Row],[Unique_AIB_ID]],UO_List[Unique_AIB_ID],1,FALSE)),IF(ISBLANK(Tableau1[[#This Row],[PO Number (Header)]]),"","FAUX"),"VRAI")</f>
        <v/>
      </c>
      <c r="AA141" s="167"/>
      <c r="AB141" s="162" t="e">
        <f>VLOOKUP(Tableau1[[#This Row],[Unique_AIB_ID]],UO_List[[Unique_AIB_ID]:[OLGA F6]],3,FALSE)</f>
        <v>#N/A</v>
      </c>
      <c r="AC141" s="162" t="s">
        <v>790</v>
      </c>
      <c r="AD141" s="83">
        <f>SUMPRODUCT(1*(EXACT(CONCATENATE(Tableau1[[#This Row],[PO Number (Header)]],"-",Tableau1[[#This Row],[Line]]),UO_List[Unique_AIB_ID]))*(UO_List[Qté Réception 03/2020]))</f>
        <v>0</v>
      </c>
      <c r="AE141" s="84"/>
      <c r="AF141" s="357"/>
      <c r="AG141" s="351" t="str">
        <f>IFERROR(Tableau1[[#This Row],[Qté Facturé 01/2018]]*Tableau1[[#This Row],[Unit Price (calcul)]],"")</f>
        <v/>
      </c>
      <c r="AH141" s="356" t="str">
        <f>IFERROR(IF(Tableau1[[#This Row],[Montant Facturé 01/2018]]&gt;0,Tableau1[[#This Row],[Montant Facturé 01/2018]]/Taux_Change_SII,""),"")</f>
        <v/>
      </c>
      <c r="AI141" s="351"/>
      <c r="AJ141" s="83">
        <f>SUMPRODUCT(1*(EXACT(CONCATENATE(Tableau1[[#This Row],[PO Number (Header)]],"-",Tableau1[[#This Row],[Line]]),UO_List[Unique_AIB_ID]))*(UO_List[Qté Réception 02/2020]))</f>
        <v>0</v>
      </c>
      <c r="AK141" s="83">
        <f>SUMPRODUCT(1*(EXACT(CONCATENATE(Tableau1[[#This Row],[PO Number (Header)]],"-",Tableau1[[#This Row],[Line]]),UO_List[Unique_AIB_ID]))*(UO_List[Qté Réception 02/2020]))</f>
        <v>0</v>
      </c>
      <c r="AL141" s="357"/>
      <c r="AM141" s="351" t="str">
        <f>IFERROR(Tableau1[[#This Row],[Qté Facturé 02/2018]]*Tableau1[[#This Row],[Unit Price (calcul)]],"")</f>
        <v/>
      </c>
      <c r="AN141" s="351" t="str">
        <f>IFERROR(IF(Tableau1[[#This Row],[Montant Facturé 02/2018]]&gt;0,Tableau1[[#This Row],[Montant Facturé 02/2018]]/Taux_Change_SII,""),"")</f>
        <v/>
      </c>
      <c r="AO141" s="351"/>
      <c r="AP141" s="83">
        <f>SUMPRODUCT(1*(EXACT(CONCATENATE(Tableau1[[#This Row],[PO Number (Header)]],"-",Tableau1[[#This Row],[Line]]),UO_List[Unique_AIB_ID]))*(UO_List[Qté Réception 00/2020]))</f>
        <v>0</v>
      </c>
      <c r="AQ141" s="84"/>
      <c r="AR141" s="357"/>
      <c r="AS141" s="351" t="str">
        <f>IFERROR(Tableau1[[#This Row],[Qté Facturé 03/2018]]*Tableau1[[#This Row],[Unit Price (calcul)]],"")</f>
        <v/>
      </c>
      <c r="AT141" s="351" t="str">
        <f>IFERROR(IF(Tableau1[[#This Row],[Montant Facturé 03/2018]]&gt;0,Tableau1[[#This Row],[Montant Facturé 03/2018]]/Taux_Change_SII,""),"")</f>
        <v/>
      </c>
      <c r="AU141" s="351"/>
      <c r="AV141" s="83">
        <f>SUMPRODUCT(1*(EXACT(CONCATENATE(Tableau1[[#This Row],[PO Number (Header)]],"-",Tableau1[[#This Row],[Line]]),UO_List[Unique_AIB_ID]))*(UO_List[Qté Réception 04/2020]))</f>
        <v>0</v>
      </c>
      <c r="AW141" s="84"/>
      <c r="AX141" s="351"/>
      <c r="AY141" s="351" t="str">
        <f>IFERROR(Tableau1[[#This Row],[Qté Facturé 04/2018]]*Tableau1[[#This Row],[Unit Price (calcul)]],"")</f>
        <v/>
      </c>
      <c r="AZ141" s="351" t="str">
        <f>IFERROR(IF(Tableau1[[#This Row],[Montant Facturé 04/2018]]&gt;0,Tableau1[[#This Row],[Montant Facturé 04/2018]]/Taux_Change_SII,""),"")</f>
        <v/>
      </c>
      <c r="BA141" s="351"/>
      <c r="BB141" s="83">
        <f>SUMPRODUCT(1*(EXACT(CONCATENATE(Tableau1[[#This Row],[PO Number (Header)]],"-",Tableau1[[#This Row],[Line]]),UO_List[Unique_AIB_ID]))*(UO_List[Qté Réception 05/2020]))</f>
        <v>0</v>
      </c>
      <c r="BC141" s="84"/>
      <c r="BD141" s="351"/>
      <c r="BE141" s="351" t="str">
        <f>IFERROR(Tableau1[[#This Row],[Qté Facturé 05/2018]]*Tableau1[[#This Row],[Unit Price (calcul)]],"")</f>
        <v/>
      </c>
      <c r="BF141" s="351" t="str">
        <f>IFERROR(IF(Tableau1[[#This Row],[Montant Facturé 05/2018]]&gt;0,Tableau1[[#This Row],[Montant Facturé 05/2018]]/Taux_Change_SII,""),"")</f>
        <v/>
      </c>
      <c r="BG141" s="351"/>
      <c r="BH141" s="83">
        <f>SUMPRODUCT(1*(EXACT(CONCATENATE(Tableau1[[#This Row],[PO Number (Header)]],"-",Tableau1[[#This Row],[Line]]),UO_List[Unique_AIB_ID]))*(UO_List[Qté Réception 06/2020]))</f>
        <v>0</v>
      </c>
      <c r="BI141" s="84"/>
      <c r="BJ141" s="351"/>
      <c r="BK141" s="351" t="str">
        <f>IFERROR(Tableau1[[#This Row],[Qté Facturé 06/2018]]*Tableau1[[#This Row],[Unit Price (calcul)]],"")</f>
        <v/>
      </c>
      <c r="BL141" s="351" t="str">
        <f>IFERROR(IF(Tableau1[[#This Row],[Montant Facturé 06/2018]]&gt;0,Tableau1[[#This Row],[Montant Facturé 06/2018]]/Taux_Change_SII,""),"")</f>
        <v/>
      </c>
      <c r="BM141" s="351"/>
      <c r="BN141" s="83">
        <f>SUMPRODUCT(1*(EXACT(CONCATENATE(Tableau1[[#This Row],[PO Number (Header)]],"-",Tableau1[[#This Row],[Line]]),UO_List[Unique_AIB_ID]))*(UO_List[Qté Réception 07/2020]))</f>
        <v>0</v>
      </c>
      <c r="BO141" s="84"/>
      <c r="BP141" s="351"/>
      <c r="BQ141" s="351" t="str">
        <f>IFERROR(Tableau1[[#This Row],[Qté Facturé 07/2018]]*Tableau1[[#This Row],[Unit Price (calcul)]],"")</f>
        <v/>
      </c>
      <c r="BR141" s="351" t="str">
        <f>IFERROR(IF(Tableau1[[#This Row],[Montant Facturé 07/2018]]&gt;0,Tableau1[[#This Row],[Montant Facturé 07/2018]]/Taux_Change_SII,""),"")</f>
        <v/>
      </c>
      <c r="BS141" s="351"/>
      <c r="BT141" s="83">
        <f>SUMPRODUCT(1*(EXACT(CONCATENATE(Tableau1[[#This Row],[PO Number (Header)]],"-",Tableau1[[#This Row],[Line]]),UO_List[Unique_AIB_ID]))*(UO_List[Qté Réception 08/2020]))</f>
        <v>0</v>
      </c>
      <c r="BU141" s="84"/>
      <c r="BV141" s="351"/>
      <c r="BW141" s="351" t="str">
        <f>IFERROR(Tableau1[[#This Row],[Qté Facturé 08/2018]]*Tableau1[[#This Row],[Unit Price (calcul)]],"")</f>
        <v/>
      </c>
      <c r="BX141" s="351" t="str">
        <f>IFERROR(IF(Tableau1[[#This Row],[Montant Facturé 08/2018]]&gt;0,Tableau1[[#This Row],[Montant Facturé 08/2018]]/Taux_Change_SII,""),"")</f>
        <v/>
      </c>
      <c r="BY141" s="351"/>
      <c r="BZ141" s="83">
        <f>SUMPRODUCT(1*(EXACT(CONCATENATE(Tableau1[[#This Row],[PO Number (Header)]],"-",Tableau1[[#This Row],[Line]]),UO_List[Unique_AIB_ID]))*(UO_List[Qté Réception 09/2020]))</f>
        <v>0</v>
      </c>
      <c r="CA141" s="84">
        <v>0</v>
      </c>
      <c r="CB141" s="351"/>
      <c r="CC141" s="351" t="str">
        <f>IFERROR(Tableau1[[#This Row],[Qté Facturé 09/2018]]*Tableau1[[#This Row],[Unit Price (calcul)]],"")</f>
        <v/>
      </c>
      <c r="CD141" s="351" t="str">
        <f>IFERROR(IF(Tableau1[[#This Row],[Montant Facturé 09/2018]]&gt;0,Tableau1[[#This Row],[Montant Facturé 09/2018]]/Taux_Change_SII,""),"")</f>
        <v/>
      </c>
      <c r="CE141" s="351"/>
      <c r="CF141" s="83">
        <f>SUMPRODUCT(1*(EXACT(CONCATENATE(Tableau1[[#This Row],[PO Number (Header)]],"-",Tableau1[[#This Row],[Line]]),UO_List[Unique_AIB_ID]))*(UO_List[Qté Réception 10/2020]))</f>
        <v>0</v>
      </c>
      <c r="CG141" s="84">
        <v>0</v>
      </c>
      <c r="CH141" s="351"/>
      <c r="CI141" s="351" t="str">
        <f>IFERROR(Tableau1[[#This Row],[Qté Facturé 10/2018]]*Tableau1[[#This Row],[Unit Price (calcul)]],"")</f>
        <v/>
      </c>
      <c r="CJ141" s="351" t="str">
        <f>IFERROR(IF(Tableau1[[#This Row],[Montant Facturé 10/2018]]&gt;0,Tableau1[[#This Row],[Montant Facturé 10/2018]]/Taux_Change_SII,""),"")</f>
        <v/>
      </c>
      <c r="CK141" s="351"/>
      <c r="CL141" s="83">
        <f>SUMPRODUCT(1*(EXACT(CONCATENATE(Tableau1[[#This Row],[PO Number (Header)]],"-",Tableau1[[#This Row],[Line]]),UO_List[Unique_AIB_ID]))*(UO_List[Qté Réception 11/2020]))</f>
        <v>0</v>
      </c>
      <c r="CM141" s="84"/>
      <c r="CN141" s="351"/>
      <c r="CO141" s="351" t="str">
        <f>IFERROR(Tableau1[[#This Row],[Qté Facturé 11/2018]]*Tableau1[[#This Row],[Unit Price (calcul)]],"")</f>
        <v/>
      </c>
      <c r="CP141" s="351" t="str">
        <f>IFERROR(IF(Tableau1[[#This Row],[Montant Facturé 11/2018]]&gt;0,Tableau1[[#This Row],[Montant Facturé 11/2018]]/Taux_Change_SII,""),"")</f>
        <v/>
      </c>
      <c r="CQ141" s="351"/>
      <c r="CR141" s="83">
        <f>SUMPRODUCT(1*(EXACT(CONCATENATE(Tableau1[[#This Row],[PO Number (Header)]],"-",Tableau1[[#This Row],[Line]]),UO_List[Unique_AIB_ID]))*(UO_List[Qté Réception 12/2020]))</f>
        <v>0</v>
      </c>
      <c r="CS141" s="84"/>
      <c r="CT141" s="351"/>
      <c r="CU141" s="351" t="str">
        <f>IFERROR(Tableau1[[#This Row],[Qté Facturé 12/2018]]*Tableau1[[#This Row],[Unit Price (calcul)]],"")</f>
        <v/>
      </c>
      <c r="CV141" s="351" t="str">
        <f>IFERROR(IF(Tableau1[[#This Row],[Montant Facturé 12/2018]]&gt;0,Tableau1[[#This Row],[Montant Facturé 12/2018]]/Taux_Change_SII,""),"")</f>
        <v/>
      </c>
      <c r="CW141" s="351"/>
      <c r="CX14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1" s="352" t="str">
        <f>IFERROR(Tableau1[[#This Row],[Total item réceptionné]]*Tableau1[[#This Row],[Unit Price (calcul)]],"")</f>
        <v/>
      </c>
      <c r="DB141" s="352" t="str">
        <f>IFERROR(Tableau1[[#This Row],[Total item à Facturer]]*Tableau1[[#This Row],[Unit Price (calcul)]],"")</f>
        <v/>
      </c>
      <c r="DC14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1" s="352" t="str">
        <f>IFERROR(Tableau1[[#This Row],[Line Total]]-Tableau1[[#This Row],[Total Price Réceptionné]],"")</f>
        <v/>
      </c>
      <c r="DE141" s="352" t="str">
        <f>IFERROR(Tableau1[[#This Row],[Total Price Réceptionné]]-Tableau1[[#This Row],[Total Price A facturer]],"")</f>
        <v/>
      </c>
      <c r="DF141" s="353" t="str">
        <f>IFERROR(Tableau1[[#This Row],[Total Price A facturer]]-Tableau1[[#This Row],[Total Price Facturé]],"")</f>
        <v/>
      </c>
      <c r="DG141" s="76">
        <f>Tableau1[[#This Row],[Total Item Quantity]]-Tableau1[[#This Row],[Total item réceptionné]]</f>
        <v>0</v>
      </c>
      <c r="DH141" s="167"/>
      <c r="DI141" s="167"/>
    </row>
    <row r="142" spans="1:113" s="74" customFormat="1">
      <c r="A142" s="77" t="str">
        <f>CONCATENATE(Tableau1[[#This Row],[PO Number (Header)]],"-",Tableau1[[#This Row],[Line]])</f>
        <v>-</v>
      </c>
      <c r="B142" s="77"/>
      <c r="C142" s="450"/>
      <c r="D142" s="102"/>
      <c r="E142" s="77"/>
      <c r="F142" s="77"/>
      <c r="G142" s="77"/>
      <c r="H142" s="77"/>
      <c r="I142" s="452"/>
      <c r="J142" s="452"/>
      <c r="K142" s="453"/>
      <c r="L142" s="453"/>
      <c r="M142" s="77"/>
      <c r="N142" s="77"/>
      <c r="O142" s="77"/>
      <c r="P142" s="77"/>
      <c r="Q142" s="395"/>
      <c r="R142" s="395"/>
      <c r="S142" s="77"/>
      <c r="T142" s="77"/>
      <c r="U142" s="77"/>
      <c r="V142" s="77"/>
      <c r="W142" s="167"/>
      <c r="X142" s="167"/>
      <c r="Y142" s="167" t="str">
        <f>IF(ISBLANK(Tableau1[[#This Row],[PO Number (Header)]]),"",Tableau1[[#This Row],[Line Total]]/Tableau1[[#This Row],[Total Item Quantity]])</f>
        <v/>
      </c>
      <c r="Z142" s="167" t="str">
        <f>IF(ISNA(VLOOKUP(Tableau1[[#This Row],[Unique_AIB_ID]],UO_List[Unique_AIB_ID],1,FALSE)),IF(ISBLANK(Tableau1[[#This Row],[PO Number (Header)]]),"","FAUX"),"VRAI")</f>
        <v/>
      </c>
      <c r="AA142" s="167"/>
      <c r="AB142" s="162" t="e">
        <f>VLOOKUP(Tableau1[[#This Row],[Unique_AIB_ID]],UO_List[[Unique_AIB_ID]:[OLGA F6]],3,FALSE)</f>
        <v>#N/A</v>
      </c>
      <c r="AC142" s="162" t="s">
        <v>790</v>
      </c>
      <c r="AD142" s="83">
        <f>SUMPRODUCT(1*(EXACT(CONCATENATE(Tableau1[[#This Row],[PO Number (Header)]],"-",Tableau1[[#This Row],[Line]]),UO_List[Unique_AIB_ID]))*(UO_List[Qté Réception 03/2020]))</f>
        <v>0</v>
      </c>
      <c r="AE142" s="84"/>
      <c r="AF142" s="357"/>
      <c r="AG142" s="351" t="str">
        <f>IFERROR(Tableau1[[#This Row],[Qté Facturé 01/2018]]*Tableau1[[#This Row],[Unit Price (calcul)]],"")</f>
        <v/>
      </c>
      <c r="AH142" s="356" t="str">
        <f>IFERROR(IF(Tableau1[[#This Row],[Montant Facturé 01/2018]]&gt;0,Tableau1[[#This Row],[Montant Facturé 01/2018]]/Taux_Change_SII,""),"")</f>
        <v/>
      </c>
      <c r="AI142" s="351"/>
      <c r="AJ142" s="83">
        <f>SUMPRODUCT(1*(EXACT(CONCATENATE(Tableau1[[#This Row],[PO Number (Header)]],"-",Tableau1[[#This Row],[Line]]),UO_List[Unique_AIB_ID]))*(UO_List[Qté Réception 02/2020]))</f>
        <v>0</v>
      </c>
      <c r="AK142" s="83">
        <f>SUMPRODUCT(1*(EXACT(CONCATENATE(Tableau1[[#This Row],[PO Number (Header)]],"-",Tableau1[[#This Row],[Line]]),UO_List[Unique_AIB_ID]))*(UO_List[Qté Réception 02/2020]))</f>
        <v>0</v>
      </c>
      <c r="AL142" s="357"/>
      <c r="AM142" s="351" t="str">
        <f>IFERROR(Tableau1[[#This Row],[Qté Facturé 02/2018]]*Tableau1[[#This Row],[Unit Price (calcul)]],"")</f>
        <v/>
      </c>
      <c r="AN142" s="351" t="str">
        <f>IFERROR(IF(Tableau1[[#This Row],[Montant Facturé 02/2018]]&gt;0,Tableau1[[#This Row],[Montant Facturé 02/2018]]/Taux_Change_SII,""),"")</f>
        <v/>
      </c>
      <c r="AO142" s="351"/>
      <c r="AP142" s="83">
        <f>SUMPRODUCT(1*(EXACT(CONCATENATE(Tableau1[[#This Row],[PO Number (Header)]],"-",Tableau1[[#This Row],[Line]]),UO_List[Unique_AIB_ID]))*(UO_List[Qté Réception 00/2020]))</f>
        <v>0</v>
      </c>
      <c r="AQ142" s="84"/>
      <c r="AR142" s="357"/>
      <c r="AS142" s="351" t="str">
        <f>IFERROR(Tableau1[[#This Row],[Qté Facturé 03/2018]]*Tableau1[[#This Row],[Unit Price (calcul)]],"")</f>
        <v/>
      </c>
      <c r="AT142" s="351" t="str">
        <f>IFERROR(IF(Tableau1[[#This Row],[Montant Facturé 03/2018]]&gt;0,Tableau1[[#This Row],[Montant Facturé 03/2018]]/Taux_Change_SII,""),"")</f>
        <v/>
      </c>
      <c r="AU142" s="351"/>
      <c r="AV142" s="83">
        <f>SUMPRODUCT(1*(EXACT(CONCATENATE(Tableau1[[#This Row],[PO Number (Header)]],"-",Tableau1[[#This Row],[Line]]),UO_List[Unique_AIB_ID]))*(UO_List[Qté Réception 04/2020]))</f>
        <v>0</v>
      </c>
      <c r="AW142" s="84"/>
      <c r="AX142" s="351"/>
      <c r="AY142" s="351" t="str">
        <f>IFERROR(Tableau1[[#This Row],[Qté Facturé 04/2018]]*Tableau1[[#This Row],[Unit Price (calcul)]],"")</f>
        <v/>
      </c>
      <c r="AZ142" s="351" t="str">
        <f>IFERROR(IF(Tableau1[[#This Row],[Montant Facturé 04/2018]]&gt;0,Tableau1[[#This Row],[Montant Facturé 04/2018]]/Taux_Change_SII,""),"")</f>
        <v/>
      </c>
      <c r="BA142" s="351"/>
      <c r="BB142" s="83">
        <f>SUMPRODUCT(1*(EXACT(CONCATENATE(Tableau1[[#This Row],[PO Number (Header)]],"-",Tableau1[[#This Row],[Line]]),UO_List[Unique_AIB_ID]))*(UO_List[Qté Réception 05/2020]))</f>
        <v>0</v>
      </c>
      <c r="BC142" s="84"/>
      <c r="BD142" s="351"/>
      <c r="BE142" s="351" t="str">
        <f>IFERROR(Tableau1[[#This Row],[Qté Facturé 05/2018]]*Tableau1[[#This Row],[Unit Price (calcul)]],"")</f>
        <v/>
      </c>
      <c r="BF142" s="351" t="str">
        <f>IFERROR(IF(Tableau1[[#This Row],[Montant Facturé 05/2018]]&gt;0,Tableau1[[#This Row],[Montant Facturé 05/2018]]/Taux_Change_SII,""),"")</f>
        <v/>
      </c>
      <c r="BG142" s="351"/>
      <c r="BH142" s="83">
        <f>SUMPRODUCT(1*(EXACT(CONCATENATE(Tableau1[[#This Row],[PO Number (Header)]],"-",Tableau1[[#This Row],[Line]]),UO_List[Unique_AIB_ID]))*(UO_List[Qté Réception 06/2020]))</f>
        <v>0</v>
      </c>
      <c r="BI142" s="84"/>
      <c r="BJ142" s="351"/>
      <c r="BK142" s="351" t="str">
        <f>IFERROR(Tableau1[[#This Row],[Qté Facturé 06/2018]]*Tableau1[[#This Row],[Unit Price (calcul)]],"")</f>
        <v/>
      </c>
      <c r="BL142" s="351" t="str">
        <f>IFERROR(IF(Tableau1[[#This Row],[Montant Facturé 06/2018]]&gt;0,Tableau1[[#This Row],[Montant Facturé 06/2018]]/Taux_Change_SII,""),"")</f>
        <v/>
      </c>
      <c r="BM142" s="351"/>
      <c r="BN142" s="83">
        <f>SUMPRODUCT(1*(EXACT(CONCATENATE(Tableau1[[#This Row],[PO Number (Header)]],"-",Tableau1[[#This Row],[Line]]),UO_List[Unique_AIB_ID]))*(UO_List[Qté Réception 07/2020]))</f>
        <v>0</v>
      </c>
      <c r="BO142" s="84"/>
      <c r="BP142" s="351"/>
      <c r="BQ142" s="351" t="str">
        <f>IFERROR(Tableau1[[#This Row],[Qté Facturé 07/2018]]*Tableau1[[#This Row],[Unit Price (calcul)]],"")</f>
        <v/>
      </c>
      <c r="BR142" s="351" t="str">
        <f>IFERROR(IF(Tableau1[[#This Row],[Montant Facturé 07/2018]]&gt;0,Tableau1[[#This Row],[Montant Facturé 07/2018]]/Taux_Change_SII,""),"")</f>
        <v/>
      </c>
      <c r="BS142" s="351"/>
      <c r="BT142" s="83">
        <f>SUMPRODUCT(1*(EXACT(CONCATENATE(Tableau1[[#This Row],[PO Number (Header)]],"-",Tableau1[[#This Row],[Line]]),UO_List[Unique_AIB_ID]))*(UO_List[Qté Réception 08/2020]))</f>
        <v>0</v>
      </c>
      <c r="BU142" s="84"/>
      <c r="BV142" s="351"/>
      <c r="BW142" s="351" t="str">
        <f>IFERROR(Tableau1[[#This Row],[Qté Facturé 08/2018]]*Tableau1[[#This Row],[Unit Price (calcul)]],"")</f>
        <v/>
      </c>
      <c r="BX142" s="351" t="str">
        <f>IFERROR(IF(Tableau1[[#This Row],[Montant Facturé 08/2018]]&gt;0,Tableau1[[#This Row],[Montant Facturé 08/2018]]/Taux_Change_SII,""),"")</f>
        <v/>
      </c>
      <c r="BY142" s="351"/>
      <c r="BZ142" s="83">
        <f>SUMPRODUCT(1*(EXACT(CONCATENATE(Tableau1[[#This Row],[PO Number (Header)]],"-",Tableau1[[#This Row],[Line]]),UO_List[Unique_AIB_ID]))*(UO_List[Qté Réception 09/2020]))</f>
        <v>0</v>
      </c>
      <c r="CA142" s="83"/>
      <c r="CB142" s="351"/>
      <c r="CC142" s="351" t="str">
        <f>IFERROR(Tableau1[[#This Row],[Qté Facturé 09/2018]]*Tableau1[[#This Row],[Unit Price (calcul)]],"")</f>
        <v/>
      </c>
      <c r="CD142" s="351" t="str">
        <f>IFERROR(IF(Tableau1[[#This Row],[Montant Facturé 09/2018]]&gt;0,Tableau1[[#This Row],[Montant Facturé 09/2018]]/Taux_Change_SII,""),"")</f>
        <v/>
      </c>
      <c r="CE142" s="351"/>
      <c r="CF142" s="83">
        <f>SUMPRODUCT(1*(EXACT(CONCATENATE(Tableau1[[#This Row],[PO Number (Header)]],"-",Tableau1[[#This Row],[Line]]),UO_List[Unique_AIB_ID]))*(UO_List[Qté Réception 10/2020]))</f>
        <v>0</v>
      </c>
      <c r="CG142" s="84">
        <v>0</v>
      </c>
      <c r="CH142" s="351"/>
      <c r="CI142" s="351" t="str">
        <f>IFERROR(Tableau1[[#This Row],[Qté Facturé 10/2018]]*Tableau1[[#This Row],[Unit Price (calcul)]],"")</f>
        <v/>
      </c>
      <c r="CJ142" s="351" t="str">
        <f>IFERROR(IF(Tableau1[[#This Row],[Montant Facturé 10/2018]]&gt;0,Tableau1[[#This Row],[Montant Facturé 10/2018]]/Taux_Change_SII,""),"")</f>
        <v/>
      </c>
      <c r="CK142" s="351"/>
      <c r="CL142" s="83">
        <f>SUMPRODUCT(1*(EXACT(CONCATENATE(Tableau1[[#This Row],[PO Number (Header)]],"-",Tableau1[[#This Row],[Line]]),UO_List[Unique_AIB_ID]))*(UO_List[Qté Réception 11/2020]))</f>
        <v>0</v>
      </c>
      <c r="CM142" s="84"/>
      <c r="CN142" s="351"/>
      <c r="CO142" s="351" t="str">
        <f>IFERROR(Tableau1[[#This Row],[Qté Facturé 11/2018]]*Tableau1[[#This Row],[Unit Price (calcul)]],"")</f>
        <v/>
      </c>
      <c r="CP142" s="351" t="str">
        <f>IFERROR(IF(Tableau1[[#This Row],[Montant Facturé 11/2018]]&gt;0,Tableau1[[#This Row],[Montant Facturé 11/2018]]/Taux_Change_SII,""),"")</f>
        <v/>
      </c>
      <c r="CQ142" s="351"/>
      <c r="CR142" s="83">
        <f>SUMPRODUCT(1*(EXACT(CONCATENATE(Tableau1[[#This Row],[PO Number (Header)]],"-",Tableau1[[#This Row],[Line]]),UO_List[Unique_AIB_ID]))*(UO_List[Qté Réception 12/2020]))</f>
        <v>0</v>
      </c>
      <c r="CS142" s="84"/>
      <c r="CT142" s="351"/>
      <c r="CU142" s="351" t="str">
        <f>IFERROR(Tableau1[[#This Row],[Qté Facturé 12/2018]]*Tableau1[[#This Row],[Unit Price (calcul)]],"")</f>
        <v/>
      </c>
      <c r="CV142" s="351" t="str">
        <f>IFERROR(IF(Tableau1[[#This Row],[Montant Facturé 12/2018]]&gt;0,Tableau1[[#This Row],[Montant Facturé 12/2018]]/Taux_Change_SII,""),"")</f>
        <v/>
      </c>
      <c r="CW142" s="351"/>
      <c r="CX14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2" s="352" t="str">
        <f>IFERROR(Tableau1[[#This Row],[Total item réceptionné]]*Tableau1[[#This Row],[Unit Price (calcul)]],"")</f>
        <v/>
      </c>
      <c r="DB142" s="352" t="str">
        <f>IFERROR(Tableau1[[#This Row],[Total item à Facturer]]*Tableau1[[#This Row],[Unit Price (calcul)]],"")</f>
        <v/>
      </c>
      <c r="DC14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2" s="352" t="str">
        <f>IFERROR(Tableau1[[#This Row],[Line Total]]-Tableau1[[#This Row],[Total Price Réceptionné]],"")</f>
        <v/>
      </c>
      <c r="DE142" s="352" t="str">
        <f>IFERROR(Tableau1[[#This Row],[Total Price Réceptionné]]-Tableau1[[#This Row],[Total Price A facturer]],"")</f>
        <v/>
      </c>
      <c r="DF142" s="353" t="str">
        <f>IFERROR(Tableau1[[#This Row],[Total Price A facturer]]-Tableau1[[#This Row],[Total Price Facturé]],"")</f>
        <v/>
      </c>
      <c r="DG142" s="76">
        <f>Tableau1[[#This Row],[Total Item Quantity]]-Tableau1[[#This Row],[Total item réceptionné]]</f>
        <v>0</v>
      </c>
      <c r="DH142" s="167"/>
      <c r="DI142" s="167"/>
    </row>
    <row r="143" spans="1:113" s="74" customFormat="1">
      <c r="A143" s="77" t="str">
        <f>CONCATENATE(Tableau1[[#This Row],[PO Number (Header)]],"-",Tableau1[[#This Row],[Line]])</f>
        <v>-</v>
      </c>
      <c r="B143" s="77"/>
      <c r="C143" s="450"/>
      <c r="D143" s="102"/>
      <c r="E143" s="77"/>
      <c r="F143" s="77"/>
      <c r="G143" s="77"/>
      <c r="H143" s="77"/>
      <c r="I143" s="452"/>
      <c r="J143" s="452"/>
      <c r="K143" s="453"/>
      <c r="L143" s="453"/>
      <c r="M143" s="77"/>
      <c r="N143" s="77"/>
      <c r="O143" s="77"/>
      <c r="P143" s="77"/>
      <c r="Q143" s="395"/>
      <c r="R143" s="395"/>
      <c r="S143" s="77"/>
      <c r="T143" s="77"/>
      <c r="U143" s="77"/>
      <c r="V143" s="77"/>
      <c r="W143" s="167"/>
      <c r="X143" s="167"/>
      <c r="Y143" s="167" t="str">
        <f>IF(ISBLANK(Tableau1[[#This Row],[PO Number (Header)]]),"",Tableau1[[#This Row],[Line Total]]/Tableau1[[#This Row],[Total Item Quantity]])</f>
        <v/>
      </c>
      <c r="Z143" s="167" t="str">
        <f>IF(ISNA(VLOOKUP(Tableau1[[#This Row],[Unique_AIB_ID]],UO_List[Unique_AIB_ID],1,FALSE)),IF(ISBLANK(Tableau1[[#This Row],[PO Number (Header)]]),"","FAUX"),"VRAI")</f>
        <v/>
      </c>
      <c r="AA143" s="167"/>
      <c r="AB143" s="162" t="e">
        <f>VLOOKUP(Tableau1[[#This Row],[Unique_AIB_ID]],UO_List[[Unique_AIB_ID]:[OLGA F6]],3,FALSE)</f>
        <v>#N/A</v>
      </c>
      <c r="AC143" s="162" t="s">
        <v>790</v>
      </c>
      <c r="AD143" s="83">
        <f>SUMPRODUCT(1*(EXACT(CONCATENATE(Tableau1[[#This Row],[PO Number (Header)]],"-",Tableau1[[#This Row],[Line]]),UO_List[Unique_AIB_ID]))*(UO_List[Qté Réception 03/2020]))</f>
        <v>0</v>
      </c>
      <c r="AE143" s="84"/>
      <c r="AF143" s="357"/>
      <c r="AG143" s="351" t="str">
        <f>IFERROR(Tableau1[[#This Row],[Qté Facturé 01/2018]]*Tableau1[[#This Row],[Unit Price (calcul)]],"")</f>
        <v/>
      </c>
      <c r="AH143" s="356" t="str">
        <f>IFERROR(IF(Tableau1[[#This Row],[Montant Facturé 01/2018]]&gt;0,Tableau1[[#This Row],[Montant Facturé 01/2018]]/Taux_Change_SII,""),"")</f>
        <v/>
      </c>
      <c r="AI143" s="351"/>
      <c r="AJ143" s="83">
        <f>SUMPRODUCT(1*(EXACT(CONCATENATE(Tableau1[[#This Row],[PO Number (Header)]],"-",Tableau1[[#This Row],[Line]]),UO_List[Unique_AIB_ID]))*(UO_List[Qté Réception 02/2020]))</f>
        <v>0</v>
      </c>
      <c r="AK143" s="83">
        <f>SUMPRODUCT(1*(EXACT(CONCATENATE(Tableau1[[#This Row],[PO Number (Header)]],"-",Tableau1[[#This Row],[Line]]),UO_List[Unique_AIB_ID]))*(UO_List[Qté Réception 02/2020]))</f>
        <v>0</v>
      </c>
      <c r="AL143" s="357"/>
      <c r="AM143" s="351" t="str">
        <f>IFERROR(Tableau1[[#This Row],[Qté Facturé 02/2018]]*Tableau1[[#This Row],[Unit Price (calcul)]],"")</f>
        <v/>
      </c>
      <c r="AN143" s="351" t="str">
        <f>IFERROR(IF(Tableau1[[#This Row],[Montant Facturé 02/2018]]&gt;0,Tableau1[[#This Row],[Montant Facturé 02/2018]]/Taux_Change_SII,""),"")</f>
        <v/>
      </c>
      <c r="AO143" s="351"/>
      <c r="AP143" s="83">
        <f>SUMPRODUCT(1*(EXACT(CONCATENATE(Tableau1[[#This Row],[PO Number (Header)]],"-",Tableau1[[#This Row],[Line]]),UO_List[Unique_AIB_ID]))*(UO_List[Qté Réception 00/2020]))</f>
        <v>0</v>
      </c>
      <c r="AQ143" s="84"/>
      <c r="AR143" s="357"/>
      <c r="AS143" s="351" t="str">
        <f>IFERROR(Tableau1[[#This Row],[Qté Facturé 03/2018]]*Tableau1[[#This Row],[Unit Price (calcul)]],"")</f>
        <v/>
      </c>
      <c r="AT143" s="351" t="str">
        <f>IFERROR(IF(Tableau1[[#This Row],[Montant Facturé 03/2018]]&gt;0,Tableau1[[#This Row],[Montant Facturé 03/2018]]/Taux_Change_SII,""),"")</f>
        <v/>
      </c>
      <c r="AU143" s="351"/>
      <c r="AV143" s="83">
        <f>SUMPRODUCT(1*(EXACT(CONCATENATE(Tableau1[[#This Row],[PO Number (Header)]],"-",Tableau1[[#This Row],[Line]]),UO_List[Unique_AIB_ID]))*(UO_List[Qté Réception 04/2020]))</f>
        <v>0</v>
      </c>
      <c r="AW143" s="84"/>
      <c r="AX143" s="351"/>
      <c r="AY143" s="351" t="str">
        <f>IFERROR(Tableau1[[#This Row],[Qté Facturé 04/2018]]*Tableau1[[#This Row],[Unit Price (calcul)]],"")</f>
        <v/>
      </c>
      <c r="AZ143" s="351" t="str">
        <f>IFERROR(IF(Tableau1[[#This Row],[Montant Facturé 04/2018]]&gt;0,Tableau1[[#This Row],[Montant Facturé 04/2018]]/Taux_Change_SII,""),"")</f>
        <v/>
      </c>
      <c r="BA143" s="351"/>
      <c r="BB143" s="83">
        <f>SUMPRODUCT(1*(EXACT(CONCATENATE(Tableau1[[#This Row],[PO Number (Header)]],"-",Tableau1[[#This Row],[Line]]),UO_List[Unique_AIB_ID]))*(UO_List[Qté Réception 05/2020]))</f>
        <v>0</v>
      </c>
      <c r="BC143" s="84"/>
      <c r="BD143" s="351"/>
      <c r="BE143" s="351" t="str">
        <f>IFERROR(Tableau1[[#This Row],[Qté Facturé 05/2018]]*Tableau1[[#This Row],[Unit Price (calcul)]],"")</f>
        <v/>
      </c>
      <c r="BF143" s="351" t="str">
        <f>IFERROR(IF(Tableau1[[#This Row],[Montant Facturé 05/2018]]&gt;0,Tableau1[[#This Row],[Montant Facturé 05/2018]]/Taux_Change_SII,""),"")</f>
        <v/>
      </c>
      <c r="BG143" s="351"/>
      <c r="BH143" s="83">
        <f>SUMPRODUCT(1*(EXACT(CONCATENATE(Tableau1[[#This Row],[PO Number (Header)]],"-",Tableau1[[#This Row],[Line]]),UO_List[Unique_AIB_ID]))*(UO_List[Qté Réception 06/2020]))</f>
        <v>0</v>
      </c>
      <c r="BI143" s="84"/>
      <c r="BJ143" s="351"/>
      <c r="BK143" s="351" t="str">
        <f>IFERROR(Tableau1[[#This Row],[Qté Facturé 06/2018]]*Tableau1[[#This Row],[Unit Price (calcul)]],"")</f>
        <v/>
      </c>
      <c r="BL143" s="351" t="str">
        <f>IFERROR(IF(Tableau1[[#This Row],[Montant Facturé 06/2018]]&gt;0,Tableau1[[#This Row],[Montant Facturé 06/2018]]/Taux_Change_SII,""),"")</f>
        <v/>
      </c>
      <c r="BM143" s="351"/>
      <c r="BN143" s="83">
        <f>SUMPRODUCT(1*(EXACT(CONCATENATE(Tableau1[[#This Row],[PO Number (Header)]],"-",Tableau1[[#This Row],[Line]]),UO_List[Unique_AIB_ID]))*(UO_List[Qté Réception 07/2020]))</f>
        <v>0</v>
      </c>
      <c r="BO143" s="84"/>
      <c r="BP143" s="351"/>
      <c r="BQ143" s="351" t="str">
        <f>IFERROR(Tableau1[[#This Row],[Qté Facturé 07/2018]]*Tableau1[[#This Row],[Unit Price (calcul)]],"")</f>
        <v/>
      </c>
      <c r="BR143" s="351" t="str">
        <f>IFERROR(IF(Tableau1[[#This Row],[Montant Facturé 07/2018]]&gt;0,Tableau1[[#This Row],[Montant Facturé 07/2018]]/Taux_Change_SII,""),"")</f>
        <v/>
      </c>
      <c r="BS143" s="351"/>
      <c r="BT143" s="83">
        <f>SUMPRODUCT(1*(EXACT(CONCATENATE(Tableau1[[#This Row],[PO Number (Header)]],"-",Tableau1[[#This Row],[Line]]),UO_List[Unique_AIB_ID]))*(UO_List[Qté Réception 08/2020]))</f>
        <v>0</v>
      </c>
      <c r="BU143" s="84"/>
      <c r="BV143" s="351"/>
      <c r="BW143" s="351" t="str">
        <f>IFERROR(Tableau1[[#This Row],[Qté Facturé 08/2018]]*Tableau1[[#This Row],[Unit Price (calcul)]],"")</f>
        <v/>
      </c>
      <c r="BX143" s="351" t="str">
        <f>IFERROR(IF(Tableau1[[#This Row],[Montant Facturé 08/2018]]&gt;0,Tableau1[[#This Row],[Montant Facturé 08/2018]]/Taux_Change_SII,""),"")</f>
        <v/>
      </c>
      <c r="BY143" s="351"/>
      <c r="BZ143" s="83">
        <f>SUMPRODUCT(1*(EXACT(CONCATENATE(Tableau1[[#This Row],[PO Number (Header)]],"-",Tableau1[[#This Row],[Line]]),UO_List[Unique_AIB_ID]))*(UO_List[Qté Réception 09/2020]))</f>
        <v>0</v>
      </c>
      <c r="CA143" s="83"/>
      <c r="CB143" s="351"/>
      <c r="CC143" s="351" t="str">
        <f>IFERROR(Tableau1[[#This Row],[Qté Facturé 09/2018]]*Tableau1[[#This Row],[Unit Price (calcul)]],"")</f>
        <v/>
      </c>
      <c r="CD143" s="351" t="str">
        <f>IFERROR(IF(Tableau1[[#This Row],[Montant Facturé 09/2018]]&gt;0,Tableau1[[#This Row],[Montant Facturé 09/2018]]/Taux_Change_SII,""),"")</f>
        <v/>
      </c>
      <c r="CE143" s="351"/>
      <c r="CF143" s="83">
        <f>SUMPRODUCT(1*(EXACT(CONCATENATE(Tableau1[[#This Row],[PO Number (Header)]],"-",Tableau1[[#This Row],[Line]]),UO_List[Unique_AIB_ID]))*(UO_List[Qté Réception 10/2020]))</f>
        <v>0</v>
      </c>
      <c r="CG143" s="84">
        <v>0</v>
      </c>
      <c r="CH143" s="351"/>
      <c r="CI143" s="351" t="str">
        <f>IFERROR(Tableau1[[#This Row],[Qté Facturé 10/2018]]*Tableau1[[#This Row],[Unit Price (calcul)]],"")</f>
        <v/>
      </c>
      <c r="CJ143" s="351" t="str">
        <f>IFERROR(IF(Tableau1[[#This Row],[Montant Facturé 10/2018]]&gt;0,Tableau1[[#This Row],[Montant Facturé 10/2018]]/Taux_Change_SII,""),"")</f>
        <v/>
      </c>
      <c r="CK143" s="351"/>
      <c r="CL143" s="83">
        <f>SUMPRODUCT(1*(EXACT(CONCATENATE(Tableau1[[#This Row],[PO Number (Header)]],"-",Tableau1[[#This Row],[Line]]),UO_List[Unique_AIB_ID]))*(UO_List[Qté Réception 11/2020]))</f>
        <v>0</v>
      </c>
      <c r="CM143" s="84"/>
      <c r="CN143" s="351"/>
      <c r="CO143" s="351" t="str">
        <f>IFERROR(Tableau1[[#This Row],[Qté Facturé 11/2018]]*Tableau1[[#This Row],[Unit Price (calcul)]],"")</f>
        <v/>
      </c>
      <c r="CP143" s="351" t="str">
        <f>IFERROR(IF(Tableau1[[#This Row],[Montant Facturé 11/2018]]&gt;0,Tableau1[[#This Row],[Montant Facturé 11/2018]]/Taux_Change_SII,""),"")</f>
        <v/>
      </c>
      <c r="CQ143" s="351"/>
      <c r="CR143" s="83">
        <f>SUMPRODUCT(1*(EXACT(CONCATENATE(Tableau1[[#This Row],[PO Number (Header)]],"-",Tableau1[[#This Row],[Line]]),UO_List[Unique_AIB_ID]))*(UO_List[Qté Réception 12/2020]))</f>
        <v>0</v>
      </c>
      <c r="CS143" s="84"/>
      <c r="CT143" s="351"/>
      <c r="CU143" s="351" t="str">
        <f>IFERROR(Tableau1[[#This Row],[Qté Facturé 12/2018]]*Tableau1[[#This Row],[Unit Price (calcul)]],"")</f>
        <v/>
      </c>
      <c r="CV143" s="351" t="str">
        <f>IFERROR(IF(Tableau1[[#This Row],[Montant Facturé 12/2018]]&gt;0,Tableau1[[#This Row],[Montant Facturé 12/2018]]/Taux_Change_SII,""),"")</f>
        <v/>
      </c>
      <c r="CW143" s="351"/>
      <c r="CX14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3" s="352" t="str">
        <f>IFERROR(Tableau1[[#This Row],[Total item réceptionné]]*Tableau1[[#This Row],[Unit Price (calcul)]],"")</f>
        <v/>
      </c>
      <c r="DB143" s="352" t="str">
        <f>IFERROR(Tableau1[[#This Row],[Total item à Facturer]]*Tableau1[[#This Row],[Unit Price (calcul)]],"")</f>
        <v/>
      </c>
      <c r="DC14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3" s="352" t="str">
        <f>IFERROR(Tableau1[[#This Row],[Line Total]]-Tableau1[[#This Row],[Total Price Réceptionné]],"")</f>
        <v/>
      </c>
      <c r="DE143" s="352" t="str">
        <f>IFERROR(Tableau1[[#This Row],[Total Price Réceptionné]]-Tableau1[[#This Row],[Total Price A facturer]],"")</f>
        <v/>
      </c>
      <c r="DF143" s="353" t="str">
        <f>IFERROR(Tableau1[[#This Row],[Total Price A facturer]]-Tableau1[[#This Row],[Total Price Facturé]],"")</f>
        <v/>
      </c>
      <c r="DG143" s="76">
        <f>Tableau1[[#This Row],[Total Item Quantity]]-Tableau1[[#This Row],[Total item réceptionné]]</f>
        <v>0</v>
      </c>
      <c r="DH143" s="167"/>
      <c r="DI143" s="167"/>
    </row>
    <row r="144" spans="1:113" s="74" customFormat="1">
      <c r="A144" s="77" t="str">
        <f>CONCATENATE(Tableau1[[#This Row],[PO Number (Header)]],"-",Tableau1[[#This Row],[Line]])</f>
        <v>-</v>
      </c>
      <c r="B144" s="77"/>
      <c r="C144" s="450"/>
      <c r="D144" s="102"/>
      <c r="E144" s="77"/>
      <c r="F144" s="77"/>
      <c r="G144" s="77"/>
      <c r="H144" s="77"/>
      <c r="I144" s="452"/>
      <c r="J144" s="452"/>
      <c r="K144" s="453"/>
      <c r="L144" s="453"/>
      <c r="M144" s="77"/>
      <c r="N144" s="77"/>
      <c r="O144" s="77"/>
      <c r="P144" s="77"/>
      <c r="Q144" s="395"/>
      <c r="R144" s="395"/>
      <c r="S144" s="77"/>
      <c r="T144" s="77"/>
      <c r="U144" s="77"/>
      <c r="V144" s="77"/>
      <c r="W144" s="167"/>
      <c r="X144" s="167"/>
      <c r="Y144" s="167" t="str">
        <f>IF(ISBLANK(Tableau1[[#This Row],[PO Number (Header)]]),"",Tableau1[[#This Row],[Line Total]]/Tableau1[[#This Row],[Total Item Quantity]])</f>
        <v/>
      </c>
      <c r="Z144" s="167" t="str">
        <f>IF(ISNA(VLOOKUP(Tableau1[[#This Row],[Unique_AIB_ID]],UO_List[Unique_AIB_ID],1,FALSE)),IF(ISBLANK(Tableau1[[#This Row],[PO Number (Header)]]),"","FAUX"),"VRAI")</f>
        <v/>
      </c>
      <c r="AA144" s="167"/>
      <c r="AB144" s="162" t="e">
        <f>VLOOKUP(Tableau1[[#This Row],[Unique_AIB_ID]],UO_List[[Unique_AIB_ID]:[OLGA F6]],3,FALSE)</f>
        <v>#N/A</v>
      </c>
      <c r="AC144" s="162" t="s">
        <v>790</v>
      </c>
      <c r="AD144" s="83">
        <f>SUMPRODUCT(1*(EXACT(CONCATENATE(Tableau1[[#This Row],[PO Number (Header)]],"-",Tableau1[[#This Row],[Line]]),UO_List[Unique_AIB_ID]))*(UO_List[Qté Réception 03/2020]))</f>
        <v>0</v>
      </c>
      <c r="AE144" s="84"/>
      <c r="AF144" s="357"/>
      <c r="AG144" s="351" t="str">
        <f>IFERROR(Tableau1[[#This Row],[Qté Facturé 01/2018]]*Tableau1[[#This Row],[Unit Price (calcul)]],"")</f>
        <v/>
      </c>
      <c r="AH144" s="356" t="str">
        <f>IFERROR(IF(Tableau1[[#This Row],[Montant Facturé 01/2018]]&gt;0,Tableau1[[#This Row],[Montant Facturé 01/2018]]/Taux_Change_SII,""),"")</f>
        <v/>
      </c>
      <c r="AI144" s="351"/>
      <c r="AJ144" s="83">
        <f>SUMPRODUCT(1*(EXACT(CONCATENATE(Tableau1[[#This Row],[PO Number (Header)]],"-",Tableau1[[#This Row],[Line]]),UO_List[Unique_AIB_ID]))*(UO_List[Qté Réception 02/2020]))</f>
        <v>0</v>
      </c>
      <c r="AK144" s="83">
        <f>SUMPRODUCT(1*(EXACT(CONCATENATE(Tableau1[[#This Row],[PO Number (Header)]],"-",Tableau1[[#This Row],[Line]]),UO_List[Unique_AIB_ID]))*(UO_List[Qté Réception 02/2020]))</f>
        <v>0</v>
      </c>
      <c r="AL144" s="357"/>
      <c r="AM144" s="351" t="str">
        <f>IFERROR(Tableau1[[#This Row],[Qté Facturé 02/2018]]*Tableau1[[#This Row],[Unit Price (calcul)]],"")</f>
        <v/>
      </c>
      <c r="AN144" s="351" t="str">
        <f>IFERROR(IF(Tableau1[[#This Row],[Montant Facturé 02/2018]]&gt;0,Tableau1[[#This Row],[Montant Facturé 02/2018]]/Taux_Change_SII,""),"")</f>
        <v/>
      </c>
      <c r="AO144" s="351"/>
      <c r="AP144" s="83">
        <f>SUMPRODUCT(1*(EXACT(CONCATENATE(Tableau1[[#This Row],[PO Number (Header)]],"-",Tableau1[[#This Row],[Line]]),UO_List[Unique_AIB_ID]))*(UO_List[Qté Réception 00/2020]))</f>
        <v>0</v>
      </c>
      <c r="AQ144" s="84"/>
      <c r="AR144" s="357"/>
      <c r="AS144" s="351" t="str">
        <f>IFERROR(Tableau1[[#This Row],[Qté Facturé 03/2018]]*Tableau1[[#This Row],[Unit Price (calcul)]],"")</f>
        <v/>
      </c>
      <c r="AT144" s="351" t="str">
        <f>IFERROR(IF(Tableau1[[#This Row],[Montant Facturé 03/2018]]&gt;0,Tableau1[[#This Row],[Montant Facturé 03/2018]]/Taux_Change_SII,""),"")</f>
        <v/>
      </c>
      <c r="AU144" s="351"/>
      <c r="AV144" s="83">
        <f>SUMPRODUCT(1*(EXACT(CONCATENATE(Tableau1[[#This Row],[PO Number (Header)]],"-",Tableau1[[#This Row],[Line]]),UO_List[Unique_AIB_ID]))*(UO_List[Qté Réception 04/2020]))</f>
        <v>0</v>
      </c>
      <c r="AW144" s="84"/>
      <c r="AX144" s="351"/>
      <c r="AY144" s="351" t="str">
        <f>IFERROR(Tableau1[[#This Row],[Qté Facturé 04/2018]]*Tableau1[[#This Row],[Unit Price (calcul)]],"")</f>
        <v/>
      </c>
      <c r="AZ144" s="351" t="str">
        <f>IFERROR(IF(Tableau1[[#This Row],[Montant Facturé 04/2018]]&gt;0,Tableau1[[#This Row],[Montant Facturé 04/2018]]/Taux_Change_SII,""),"")</f>
        <v/>
      </c>
      <c r="BA144" s="351"/>
      <c r="BB144" s="83">
        <f>SUMPRODUCT(1*(EXACT(CONCATENATE(Tableau1[[#This Row],[PO Number (Header)]],"-",Tableau1[[#This Row],[Line]]),UO_List[Unique_AIB_ID]))*(UO_List[Qté Réception 05/2020]))</f>
        <v>0</v>
      </c>
      <c r="BC144" s="84"/>
      <c r="BD144" s="351"/>
      <c r="BE144" s="351" t="str">
        <f>IFERROR(Tableau1[[#This Row],[Qté Facturé 05/2018]]*Tableau1[[#This Row],[Unit Price (calcul)]],"")</f>
        <v/>
      </c>
      <c r="BF144" s="351" t="str">
        <f>IFERROR(IF(Tableau1[[#This Row],[Montant Facturé 05/2018]]&gt;0,Tableau1[[#This Row],[Montant Facturé 05/2018]]/Taux_Change_SII,""),"")</f>
        <v/>
      </c>
      <c r="BG144" s="351"/>
      <c r="BH144" s="83">
        <f>SUMPRODUCT(1*(EXACT(CONCATENATE(Tableau1[[#This Row],[PO Number (Header)]],"-",Tableau1[[#This Row],[Line]]),UO_List[Unique_AIB_ID]))*(UO_List[Qté Réception 06/2020]))</f>
        <v>0</v>
      </c>
      <c r="BI144" s="84"/>
      <c r="BJ144" s="351"/>
      <c r="BK144" s="351" t="str">
        <f>IFERROR(Tableau1[[#This Row],[Qté Facturé 06/2018]]*Tableau1[[#This Row],[Unit Price (calcul)]],"")</f>
        <v/>
      </c>
      <c r="BL144" s="351" t="str">
        <f>IFERROR(IF(Tableau1[[#This Row],[Montant Facturé 06/2018]]&gt;0,Tableau1[[#This Row],[Montant Facturé 06/2018]]/Taux_Change_SII,""),"")</f>
        <v/>
      </c>
      <c r="BM144" s="351"/>
      <c r="BN144" s="83">
        <f>SUMPRODUCT(1*(EXACT(CONCATENATE(Tableau1[[#This Row],[PO Number (Header)]],"-",Tableau1[[#This Row],[Line]]),UO_List[Unique_AIB_ID]))*(UO_List[Qté Réception 07/2020]))</f>
        <v>0</v>
      </c>
      <c r="BO144" s="84"/>
      <c r="BP144" s="351"/>
      <c r="BQ144" s="351" t="str">
        <f>IFERROR(Tableau1[[#This Row],[Qté Facturé 07/2018]]*Tableau1[[#This Row],[Unit Price (calcul)]],"")</f>
        <v/>
      </c>
      <c r="BR144" s="351" t="str">
        <f>IFERROR(IF(Tableau1[[#This Row],[Montant Facturé 07/2018]]&gt;0,Tableau1[[#This Row],[Montant Facturé 07/2018]]/Taux_Change_SII,""),"")</f>
        <v/>
      </c>
      <c r="BS144" s="351"/>
      <c r="BT144" s="83">
        <f>SUMPRODUCT(1*(EXACT(CONCATENATE(Tableau1[[#This Row],[PO Number (Header)]],"-",Tableau1[[#This Row],[Line]]),UO_List[Unique_AIB_ID]))*(UO_List[Qté Réception 08/2020]))</f>
        <v>0</v>
      </c>
      <c r="BU144" s="84"/>
      <c r="BV144" s="351"/>
      <c r="BW144" s="351" t="str">
        <f>IFERROR(Tableau1[[#This Row],[Qté Facturé 08/2018]]*Tableau1[[#This Row],[Unit Price (calcul)]],"")</f>
        <v/>
      </c>
      <c r="BX144" s="351" t="str">
        <f>IFERROR(IF(Tableau1[[#This Row],[Montant Facturé 08/2018]]&gt;0,Tableau1[[#This Row],[Montant Facturé 08/2018]]/Taux_Change_SII,""),"")</f>
        <v/>
      </c>
      <c r="BY144" s="351"/>
      <c r="BZ144" s="83">
        <f>SUMPRODUCT(1*(EXACT(CONCATENATE(Tableau1[[#This Row],[PO Number (Header)]],"-",Tableau1[[#This Row],[Line]]),UO_List[Unique_AIB_ID]))*(UO_List[Qté Réception 09/2020]))</f>
        <v>0</v>
      </c>
      <c r="CA144" s="84">
        <v>0</v>
      </c>
      <c r="CB144" s="351"/>
      <c r="CC144" s="351" t="str">
        <f>IFERROR(Tableau1[[#This Row],[Qté Facturé 09/2018]]*Tableau1[[#This Row],[Unit Price (calcul)]],"")</f>
        <v/>
      </c>
      <c r="CD144" s="351" t="str">
        <f>IFERROR(IF(Tableau1[[#This Row],[Montant Facturé 09/2018]]&gt;0,Tableau1[[#This Row],[Montant Facturé 09/2018]]/Taux_Change_SII,""),"")</f>
        <v/>
      </c>
      <c r="CE144" s="351"/>
      <c r="CF144" s="83">
        <f>SUMPRODUCT(1*(EXACT(CONCATENATE(Tableau1[[#This Row],[PO Number (Header)]],"-",Tableau1[[#This Row],[Line]]),UO_List[Unique_AIB_ID]))*(UO_List[Qté Réception 10/2020]))</f>
        <v>0</v>
      </c>
      <c r="CG144" s="84">
        <v>0</v>
      </c>
      <c r="CH144" s="351"/>
      <c r="CI144" s="351" t="str">
        <f>IFERROR(Tableau1[[#This Row],[Qté Facturé 10/2018]]*Tableau1[[#This Row],[Unit Price (calcul)]],"")</f>
        <v/>
      </c>
      <c r="CJ144" s="351" t="str">
        <f>IFERROR(IF(Tableau1[[#This Row],[Montant Facturé 10/2018]]&gt;0,Tableau1[[#This Row],[Montant Facturé 10/2018]]/Taux_Change_SII,""),"")</f>
        <v/>
      </c>
      <c r="CK144" s="351"/>
      <c r="CL144" s="83">
        <f>SUMPRODUCT(1*(EXACT(CONCATENATE(Tableau1[[#This Row],[PO Number (Header)]],"-",Tableau1[[#This Row],[Line]]),UO_List[Unique_AIB_ID]))*(UO_List[Qté Réception 11/2020]))</f>
        <v>0</v>
      </c>
      <c r="CM144" s="84"/>
      <c r="CN144" s="351"/>
      <c r="CO144" s="351" t="str">
        <f>IFERROR(Tableau1[[#This Row],[Qté Facturé 11/2018]]*Tableau1[[#This Row],[Unit Price (calcul)]],"")</f>
        <v/>
      </c>
      <c r="CP144" s="351" t="str">
        <f>IFERROR(IF(Tableau1[[#This Row],[Montant Facturé 11/2018]]&gt;0,Tableau1[[#This Row],[Montant Facturé 11/2018]]/Taux_Change_SII,""),"")</f>
        <v/>
      </c>
      <c r="CQ144" s="351"/>
      <c r="CR144" s="83">
        <f>SUMPRODUCT(1*(EXACT(CONCATENATE(Tableau1[[#This Row],[PO Number (Header)]],"-",Tableau1[[#This Row],[Line]]),UO_List[Unique_AIB_ID]))*(UO_List[Qté Réception 12/2020]))</f>
        <v>0</v>
      </c>
      <c r="CS144" s="84"/>
      <c r="CT144" s="351"/>
      <c r="CU144" s="351" t="str">
        <f>IFERROR(Tableau1[[#This Row],[Qté Facturé 12/2018]]*Tableau1[[#This Row],[Unit Price (calcul)]],"")</f>
        <v/>
      </c>
      <c r="CV144" s="351" t="str">
        <f>IFERROR(IF(Tableau1[[#This Row],[Montant Facturé 12/2018]]&gt;0,Tableau1[[#This Row],[Montant Facturé 12/2018]]/Taux_Change_SII,""),"")</f>
        <v/>
      </c>
      <c r="CW144" s="351"/>
      <c r="CX14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4" s="352" t="str">
        <f>IFERROR(Tableau1[[#This Row],[Total item réceptionné]]*Tableau1[[#This Row],[Unit Price (calcul)]],"")</f>
        <v/>
      </c>
      <c r="DB144" s="352" t="str">
        <f>IFERROR(Tableau1[[#This Row],[Total item à Facturer]]*Tableau1[[#This Row],[Unit Price (calcul)]],"")</f>
        <v/>
      </c>
      <c r="DC14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4" s="352" t="str">
        <f>IFERROR(Tableau1[[#This Row],[Line Total]]-Tableau1[[#This Row],[Total Price Réceptionné]],"")</f>
        <v/>
      </c>
      <c r="DE144" s="352" t="str">
        <f>IFERROR(Tableau1[[#This Row],[Total Price Réceptionné]]-Tableau1[[#This Row],[Total Price A facturer]],"")</f>
        <v/>
      </c>
      <c r="DF144" s="353" t="str">
        <f>IFERROR(Tableau1[[#This Row],[Total Price A facturer]]-Tableau1[[#This Row],[Total Price Facturé]],"")</f>
        <v/>
      </c>
      <c r="DG144" s="76">
        <f>Tableau1[[#This Row],[Total Item Quantity]]-Tableau1[[#This Row],[Total item réceptionné]]</f>
        <v>0</v>
      </c>
      <c r="DH144" s="167"/>
      <c r="DI144" s="167"/>
    </row>
    <row r="145" spans="1:113" s="74" customFormat="1">
      <c r="A145" s="77" t="str">
        <f>CONCATENATE(Tableau1[[#This Row],[PO Number (Header)]],"-",Tableau1[[#This Row],[Line]])</f>
        <v>-</v>
      </c>
      <c r="B145" s="77"/>
      <c r="C145" s="450"/>
      <c r="D145" s="102"/>
      <c r="E145" s="77"/>
      <c r="F145" s="77"/>
      <c r="G145" s="77"/>
      <c r="H145" s="77"/>
      <c r="I145" s="452"/>
      <c r="J145" s="452"/>
      <c r="K145" s="453"/>
      <c r="L145" s="453"/>
      <c r="M145" s="77"/>
      <c r="N145" s="77"/>
      <c r="O145" s="77"/>
      <c r="P145" s="77"/>
      <c r="Q145" s="395"/>
      <c r="R145" s="395"/>
      <c r="S145" s="77"/>
      <c r="T145" s="77"/>
      <c r="U145" s="77"/>
      <c r="V145" s="77"/>
      <c r="W145" s="167"/>
      <c r="X145" s="167"/>
      <c r="Y145" s="167" t="str">
        <f>IF(ISBLANK(Tableau1[[#This Row],[PO Number (Header)]]),"",Tableau1[[#This Row],[Line Total]]/Tableau1[[#This Row],[Total Item Quantity]])</f>
        <v/>
      </c>
      <c r="Z145" s="167" t="str">
        <f>IF(ISNA(VLOOKUP(Tableau1[[#This Row],[Unique_AIB_ID]],UO_List[Unique_AIB_ID],1,FALSE)),IF(ISBLANK(Tableau1[[#This Row],[PO Number (Header)]]),"","FAUX"),"VRAI")</f>
        <v/>
      </c>
      <c r="AA145" s="167"/>
      <c r="AB145" s="162" t="e">
        <f>VLOOKUP(Tableau1[[#This Row],[Unique_AIB_ID]],UO_List[[Unique_AIB_ID]:[OLGA F6]],3,FALSE)</f>
        <v>#N/A</v>
      </c>
      <c r="AC145" s="162" t="s">
        <v>790</v>
      </c>
      <c r="AD145" s="83">
        <f>SUMPRODUCT(1*(EXACT(CONCATENATE(Tableau1[[#This Row],[PO Number (Header)]],"-",Tableau1[[#This Row],[Line]]),UO_List[Unique_AIB_ID]))*(UO_List[Qté Réception 03/2020]))</f>
        <v>0</v>
      </c>
      <c r="AE145" s="84"/>
      <c r="AF145" s="357"/>
      <c r="AG145" s="351" t="str">
        <f>IFERROR(Tableau1[[#This Row],[Qté Facturé 01/2018]]*Tableau1[[#This Row],[Unit Price (calcul)]],"")</f>
        <v/>
      </c>
      <c r="AH145" s="356" t="str">
        <f>IFERROR(IF(Tableau1[[#This Row],[Montant Facturé 01/2018]]&gt;0,Tableau1[[#This Row],[Montant Facturé 01/2018]]/Taux_Change_SII,""),"")</f>
        <v/>
      </c>
      <c r="AI145" s="351"/>
      <c r="AJ145" s="83">
        <f>SUMPRODUCT(1*(EXACT(CONCATENATE(Tableau1[[#This Row],[PO Number (Header)]],"-",Tableau1[[#This Row],[Line]]),UO_List[Unique_AIB_ID]))*(UO_List[Qté Réception 02/2020]))</f>
        <v>0</v>
      </c>
      <c r="AK145" s="83">
        <f>SUMPRODUCT(1*(EXACT(CONCATENATE(Tableau1[[#This Row],[PO Number (Header)]],"-",Tableau1[[#This Row],[Line]]),UO_List[Unique_AIB_ID]))*(UO_List[Qté Réception 02/2020]))</f>
        <v>0</v>
      </c>
      <c r="AL145" s="357"/>
      <c r="AM145" s="351" t="str">
        <f>IFERROR(Tableau1[[#This Row],[Qté Facturé 02/2018]]*Tableau1[[#This Row],[Unit Price (calcul)]],"")</f>
        <v/>
      </c>
      <c r="AN145" s="351" t="str">
        <f>IFERROR(IF(Tableau1[[#This Row],[Montant Facturé 02/2018]]&gt;0,Tableau1[[#This Row],[Montant Facturé 02/2018]]/Taux_Change_SII,""),"")</f>
        <v/>
      </c>
      <c r="AO145" s="351"/>
      <c r="AP145" s="83">
        <f>SUMPRODUCT(1*(EXACT(CONCATENATE(Tableau1[[#This Row],[PO Number (Header)]],"-",Tableau1[[#This Row],[Line]]),UO_List[Unique_AIB_ID]))*(UO_List[Qté Réception 00/2020]))</f>
        <v>0</v>
      </c>
      <c r="AQ145" s="84"/>
      <c r="AR145" s="357"/>
      <c r="AS145" s="351" t="str">
        <f>IFERROR(Tableau1[[#This Row],[Qté Facturé 03/2018]]*Tableau1[[#This Row],[Unit Price (calcul)]],"")</f>
        <v/>
      </c>
      <c r="AT145" s="351" t="str">
        <f>IFERROR(IF(Tableau1[[#This Row],[Montant Facturé 03/2018]]&gt;0,Tableau1[[#This Row],[Montant Facturé 03/2018]]/Taux_Change_SII,""),"")</f>
        <v/>
      </c>
      <c r="AU145" s="351"/>
      <c r="AV145" s="83">
        <f>SUMPRODUCT(1*(EXACT(CONCATENATE(Tableau1[[#This Row],[PO Number (Header)]],"-",Tableau1[[#This Row],[Line]]),UO_List[Unique_AIB_ID]))*(UO_List[Qté Réception 04/2020]))</f>
        <v>0</v>
      </c>
      <c r="AW145" s="84"/>
      <c r="AX145" s="351"/>
      <c r="AY145" s="351" t="str">
        <f>IFERROR(Tableau1[[#This Row],[Qté Facturé 04/2018]]*Tableau1[[#This Row],[Unit Price (calcul)]],"")</f>
        <v/>
      </c>
      <c r="AZ145" s="351" t="str">
        <f>IFERROR(IF(Tableau1[[#This Row],[Montant Facturé 04/2018]]&gt;0,Tableau1[[#This Row],[Montant Facturé 04/2018]]/Taux_Change_SII,""),"")</f>
        <v/>
      </c>
      <c r="BA145" s="351"/>
      <c r="BB145" s="83">
        <f>SUMPRODUCT(1*(EXACT(CONCATENATE(Tableau1[[#This Row],[PO Number (Header)]],"-",Tableau1[[#This Row],[Line]]),UO_List[Unique_AIB_ID]))*(UO_List[Qté Réception 05/2020]))</f>
        <v>0</v>
      </c>
      <c r="BC145" s="84"/>
      <c r="BD145" s="351"/>
      <c r="BE145" s="351" t="str">
        <f>IFERROR(Tableau1[[#This Row],[Qté Facturé 05/2018]]*Tableau1[[#This Row],[Unit Price (calcul)]],"")</f>
        <v/>
      </c>
      <c r="BF145" s="351" t="str">
        <f>IFERROR(IF(Tableau1[[#This Row],[Montant Facturé 05/2018]]&gt;0,Tableau1[[#This Row],[Montant Facturé 05/2018]]/Taux_Change_SII,""),"")</f>
        <v/>
      </c>
      <c r="BG145" s="351"/>
      <c r="BH145" s="83">
        <f>SUMPRODUCT(1*(EXACT(CONCATENATE(Tableau1[[#This Row],[PO Number (Header)]],"-",Tableau1[[#This Row],[Line]]),UO_List[Unique_AIB_ID]))*(UO_List[Qté Réception 06/2020]))</f>
        <v>0</v>
      </c>
      <c r="BI145" s="84"/>
      <c r="BJ145" s="351"/>
      <c r="BK145" s="351" t="str">
        <f>IFERROR(Tableau1[[#This Row],[Qté Facturé 06/2018]]*Tableau1[[#This Row],[Unit Price (calcul)]],"")</f>
        <v/>
      </c>
      <c r="BL145" s="351" t="str">
        <f>IFERROR(IF(Tableau1[[#This Row],[Montant Facturé 06/2018]]&gt;0,Tableau1[[#This Row],[Montant Facturé 06/2018]]/Taux_Change_SII,""),"")</f>
        <v/>
      </c>
      <c r="BM145" s="351"/>
      <c r="BN145" s="83">
        <f>SUMPRODUCT(1*(EXACT(CONCATENATE(Tableau1[[#This Row],[PO Number (Header)]],"-",Tableau1[[#This Row],[Line]]),UO_List[Unique_AIB_ID]))*(UO_List[Qté Réception 07/2020]))</f>
        <v>0</v>
      </c>
      <c r="BO145" s="84"/>
      <c r="BP145" s="351"/>
      <c r="BQ145" s="351" t="str">
        <f>IFERROR(Tableau1[[#This Row],[Qté Facturé 07/2018]]*Tableau1[[#This Row],[Unit Price (calcul)]],"")</f>
        <v/>
      </c>
      <c r="BR145" s="351" t="str">
        <f>IFERROR(IF(Tableau1[[#This Row],[Montant Facturé 07/2018]]&gt;0,Tableau1[[#This Row],[Montant Facturé 07/2018]]/Taux_Change_SII,""),"")</f>
        <v/>
      </c>
      <c r="BS145" s="351"/>
      <c r="BT145" s="83">
        <f>SUMPRODUCT(1*(EXACT(CONCATENATE(Tableau1[[#This Row],[PO Number (Header)]],"-",Tableau1[[#This Row],[Line]]),UO_List[Unique_AIB_ID]))*(UO_List[Qté Réception 08/2020]))</f>
        <v>0</v>
      </c>
      <c r="BU145" s="84"/>
      <c r="BV145" s="351"/>
      <c r="BW145" s="351" t="str">
        <f>IFERROR(Tableau1[[#This Row],[Qté Facturé 08/2018]]*Tableau1[[#This Row],[Unit Price (calcul)]],"")</f>
        <v/>
      </c>
      <c r="BX145" s="351" t="str">
        <f>IFERROR(IF(Tableau1[[#This Row],[Montant Facturé 08/2018]]&gt;0,Tableau1[[#This Row],[Montant Facturé 08/2018]]/Taux_Change_SII,""),"")</f>
        <v/>
      </c>
      <c r="BY145" s="351"/>
      <c r="BZ145" s="83">
        <f>SUMPRODUCT(1*(EXACT(CONCATENATE(Tableau1[[#This Row],[PO Number (Header)]],"-",Tableau1[[#This Row],[Line]]),UO_List[Unique_AIB_ID]))*(UO_List[Qté Réception 09/2020]))</f>
        <v>0</v>
      </c>
      <c r="CA145" s="84">
        <v>0</v>
      </c>
      <c r="CB145" s="351"/>
      <c r="CC145" s="351" t="str">
        <f>IFERROR(Tableau1[[#This Row],[Qté Facturé 09/2018]]*Tableau1[[#This Row],[Unit Price (calcul)]],"")</f>
        <v/>
      </c>
      <c r="CD145" s="351" t="str">
        <f>IFERROR(IF(Tableau1[[#This Row],[Montant Facturé 09/2018]]&gt;0,Tableau1[[#This Row],[Montant Facturé 09/2018]]/Taux_Change_SII,""),"")</f>
        <v/>
      </c>
      <c r="CE145" s="351"/>
      <c r="CF145" s="83">
        <f>SUMPRODUCT(1*(EXACT(CONCATENATE(Tableau1[[#This Row],[PO Number (Header)]],"-",Tableau1[[#This Row],[Line]]),UO_List[Unique_AIB_ID]))*(UO_List[Qté Réception 10/2020]))</f>
        <v>0</v>
      </c>
      <c r="CG145" s="84">
        <v>0</v>
      </c>
      <c r="CH145" s="351"/>
      <c r="CI145" s="351" t="str">
        <f>IFERROR(Tableau1[[#This Row],[Qté Facturé 10/2018]]*Tableau1[[#This Row],[Unit Price (calcul)]],"")</f>
        <v/>
      </c>
      <c r="CJ145" s="351" t="str">
        <f>IFERROR(IF(Tableau1[[#This Row],[Montant Facturé 10/2018]]&gt;0,Tableau1[[#This Row],[Montant Facturé 10/2018]]/Taux_Change_SII,""),"")</f>
        <v/>
      </c>
      <c r="CK145" s="351"/>
      <c r="CL145" s="83">
        <f>SUMPRODUCT(1*(EXACT(CONCATENATE(Tableau1[[#This Row],[PO Number (Header)]],"-",Tableau1[[#This Row],[Line]]),UO_List[Unique_AIB_ID]))*(UO_List[Qté Réception 11/2020]))</f>
        <v>0</v>
      </c>
      <c r="CM145" s="84"/>
      <c r="CN145" s="351"/>
      <c r="CO145" s="351" t="str">
        <f>IFERROR(Tableau1[[#This Row],[Qté Facturé 11/2018]]*Tableau1[[#This Row],[Unit Price (calcul)]],"")</f>
        <v/>
      </c>
      <c r="CP145" s="351" t="str">
        <f>IFERROR(IF(Tableau1[[#This Row],[Montant Facturé 11/2018]]&gt;0,Tableau1[[#This Row],[Montant Facturé 11/2018]]/Taux_Change_SII,""),"")</f>
        <v/>
      </c>
      <c r="CQ145" s="351"/>
      <c r="CR145" s="83">
        <f>SUMPRODUCT(1*(EXACT(CONCATENATE(Tableau1[[#This Row],[PO Number (Header)]],"-",Tableau1[[#This Row],[Line]]),UO_List[Unique_AIB_ID]))*(UO_List[Qté Réception 12/2020]))</f>
        <v>0</v>
      </c>
      <c r="CS145" s="84"/>
      <c r="CT145" s="351"/>
      <c r="CU145" s="351" t="str">
        <f>IFERROR(Tableau1[[#This Row],[Qté Facturé 12/2018]]*Tableau1[[#This Row],[Unit Price (calcul)]],"")</f>
        <v/>
      </c>
      <c r="CV145" s="351" t="str">
        <f>IFERROR(IF(Tableau1[[#This Row],[Montant Facturé 12/2018]]&gt;0,Tableau1[[#This Row],[Montant Facturé 12/2018]]/Taux_Change_SII,""),"")</f>
        <v/>
      </c>
      <c r="CW145" s="351"/>
      <c r="CX14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5" s="352" t="str">
        <f>IFERROR(Tableau1[[#This Row],[Total item réceptionné]]*Tableau1[[#This Row],[Unit Price (calcul)]],"")</f>
        <v/>
      </c>
      <c r="DB145" s="352" t="str">
        <f>IFERROR(Tableau1[[#This Row],[Total item à Facturer]]*Tableau1[[#This Row],[Unit Price (calcul)]],"")</f>
        <v/>
      </c>
      <c r="DC14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5" s="352" t="str">
        <f>IFERROR(Tableau1[[#This Row],[Line Total]]-Tableau1[[#This Row],[Total Price Réceptionné]],"")</f>
        <v/>
      </c>
      <c r="DE145" s="352" t="str">
        <f>IFERROR(Tableau1[[#This Row],[Total Price Réceptionné]]-Tableau1[[#This Row],[Total Price A facturer]],"")</f>
        <v/>
      </c>
      <c r="DF145" s="353" t="str">
        <f>IFERROR(Tableau1[[#This Row],[Total Price A facturer]]-Tableau1[[#This Row],[Total Price Facturé]],"")</f>
        <v/>
      </c>
      <c r="DG145" s="76">
        <f>Tableau1[[#This Row],[Total Item Quantity]]-Tableau1[[#This Row],[Total item réceptionné]]</f>
        <v>0</v>
      </c>
      <c r="DH145" s="167"/>
      <c r="DI145" s="167"/>
    </row>
    <row r="146" spans="1:113" s="74" customFormat="1">
      <c r="A146" s="77" t="str">
        <f>CONCATENATE(Tableau1[[#This Row],[PO Number (Header)]],"-",Tableau1[[#This Row],[Line]])</f>
        <v>-</v>
      </c>
      <c r="B146" s="77"/>
      <c r="C146" s="450"/>
      <c r="D146" s="102"/>
      <c r="E146" s="77"/>
      <c r="F146" s="77"/>
      <c r="G146" s="77"/>
      <c r="H146" s="77"/>
      <c r="I146" s="452"/>
      <c r="J146" s="452"/>
      <c r="K146" s="453"/>
      <c r="L146" s="453"/>
      <c r="M146" s="77"/>
      <c r="N146" s="77"/>
      <c r="O146" s="77"/>
      <c r="P146" s="77"/>
      <c r="Q146" s="395"/>
      <c r="R146" s="395"/>
      <c r="S146" s="77"/>
      <c r="T146" s="77"/>
      <c r="U146" s="77"/>
      <c r="V146" s="77"/>
      <c r="W146" s="167"/>
      <c r="X146" s="167"/>
      <c r="Y146" s="167" t="str">
        <f>IF(ISBLANK(Tableau1[[#This Row],[PO Number (Header)]]),"",Tableau1[[#This Row],[Line Total]]/Tableau1[[#This Row],[Total Item Quantity]])</f>
        <v/>
      </c>
      <c r="Z146" s="167" t="str">
        <f>IF(ISNA(VLOOKUP(Tableau1[[#This Row],[Unique_AIB_ID]],UO_List[Unique_AIB_ID],1,FALSE)),IF(ISBLANK(Tableau1[[#This Row],[PO Number (Header)]]),"","FAUX"),"VRAI")</f>
        <v/>
      </c>
      <c r="AA146" s="167"/>
      <c r="AB146" s="162" t="e">
        <f>VLOOKUP(Tableau1[[#This Row],[Unique_AIB_ID]],UO_List[[Unique_AIB_ID]:[OLGA F6]],3,FALSE)</f>
        <v>#N/A</v>
      </c>
      <c r="AC146" s="162" t="s">
        <v>790</v>
      </c>
      <c r="AD146" s="83">
        <f>SUMPRODUCT(1*(EXACT(CONCATENATE(Tableau1[[#This Row],[PO Number (Header)]],"-",Tableau1[[#This Row],[Line]]),UO_List[Unique_AIB_ID]))*(UO_List[Qté Réception 03/2020]))</f>
        <v>0</v>
      </c>
      <c r="AE146" s="84"/>
      <c r="AF146" s="357"/>
      <c r="AG146" s="351" t="str">
        <f>IFERROR(Tableau1[[#This Row],[Qté Facturé 01/2018]]*Tableau1[[#This Row],[Unit Price (calcul)]],"")</f>
        <v/>
      </c>
      <c r="AH146" s="356" t="str">
        <f>IFERROR(IF(Tableau1[[#This Row],[Montant Facturé 01/2018]]&gt;0,Tableau1[[#This Row],[Montant Facturé 01/2018]]/Taux_Change_SII,""),"")</f>
        <v/>
      </c>
      <c r="AI146" s="351"/>
      <c r="AJ146" s="83">
        <f>SUMPRODUCT(1*(EXACT(CONCATENATE(Tableau1[[#This Row],[PO Number (Header)]],"-",Tableau1[[#This Row],[Line]]),UO_List[Unique_AIB_ID]))*(UO_List[Qté Réception 02/2020]))</f>
        <v>0</v>
      </c>
      <c r="AK146" s="83">
        <f>SUMPRODUCT(1*(EXACT(CONCATENATE(Tableau1[[#This Row],[PO Number (Header)]],"-",Tableau1[[#This Row],[Line]]),UO_List[Unique_AIB_ID]))*(UO_List[Qté Réception 02/2020]))</f>
        <v>0</v>
      </c>
      <c r="AL146" s="357"/>
      <c r="AM146" s="351" t="str">
        <f>IFERROR(Tableau1[[#This Row],[Qté Facturé 02/2018]]*Tableau1[[#This Row],[Unit Price (calcul)]],"")</f>
        <v/>
      </c>
      <c r="AN146" s="351" t="str">
        <f>IFERROR(IF(Tableau1[[#This Row],[Montant Facturé 02/2018]]&gt;0,Tableau1[[#This Row],[Montant Facturé 02/2018]]/Taux_Change_SII,""),"")</f>
        <v/>
      </c>
      <c r="AO146" s="351"/>
      <c r="AP146" s="83">
        <f>SUMPRODUCT(1*(EXACT(CONCATENATE(Tableau1[[#This Row],[PO Number (Header)]],"-",Tableau1[[#This Row],[Line]]),UO_List[Unique_AIB_ID]))*(UO_List[Qté Réception 00/2020]))</f>
        <v>0</v>
      </c>
      <c r="AQ146" s="84"/>
      <c r="AR146" s="357"/>
      <c r="AS146" s="351" t="str">
        <f>IFERROR(Tableau1[[#This Row],[Qté Facturé 03/2018]]*Tableau1[[#This Row],[Unit Price (calcul)]],"")</f>
        <v/>
      </c>
      <c r="AT146" s="351" t="str">
        <f>IFERROR(IF(Tableau1[[#This Row],[Montant Facturé 03/2018]]&gt;0,Tableau1[[#This Row],[Montant Facturé 03/2018]]/Taux_Change_SII,""),"")</f>
        <v/>
      </c>
      <c r="AU146" s="351"/>
      <c r="AV146" s="83">
        <f>SUMPRODUCT(1*(EXACT(CONCATENATE(Tableau1[[#This Row],[PO Number (Header)]],"-",Tableau1[[#This Row],[Line]]),UO_List[Unique_AIB_ID]))*(UO_List[Qté Réception 04/2020]))</f>
        <v>0</v>
      </c>
      <c r="AW146" s="84"/>
      <c r="AX146" s="351"/>
      <c r="AY146" s="351" t="str">
        <f>IFERROR(Tableau1[[#This Row],[Qté Facturé 04/2018]]*Tableau1[[#This Row],[Unit Price (calcul)]],"")</f>
        <v/>
      </c>
      <c r="AZ146" s="351" t="str">
        <f>IFERROR(IF(Tableau1[[#This Row],[Montant Facturé 04/2018]]&gt;0,Tableau1[[#This Row],[Montant Facturé 04/2018]]/Taux_Change_SII,""),"")</f>
        <v/>
      </c>
      <c r="BA146" s="351"/>
      <c r="BB146" s="83">
        <f>SUMPRODUCT(1*(EXACT(CONCATENATE(Tableau1[[#This Row],[PO Number (Header)]],"-",Tableau1[[#This Row],[Line]]),UO_List[Unique_AIB_ID]))*(UO_List[Qté Réception 05/2020]))</f>
        <v>0</v>
      </c>
      <c r="BC146" s="84"/>
      <c r="BD146" s="351"/>
      <c r="BE146" s="351" t="str">
        <f>IFERROR(Tableau1[[#This Row],[Qté Facturé 05/2018]]*Tableau1[[#This Row],[Unit Price (calcul)]],"")</f>
        <v/>
      </c>
      <c r="BF146" s="351" t="str">
        <f>IFERROR(IF(Tableau1[[#This Row],[Montant Facturé 05/2018]]&gt;0,Tableau1[[#This Row],[Montant Facturé 05/2018]]/Taux_Change_SII,""),"")</f>
        <v/>
      </c>
      <c r="BG146" s="351"/>
      <c r="BH146" s="83">
        <f>SUMPRODUCT(1*(EXACT(CONCATENATE(Tableau1[[#This Row],[PO Number (Header)]],"-",Tableau1[[#This Row],[Line]]),UO_List[Unique_AIB_ID]))*(UO_List[Qté Réception 06/2020]))</f>
        <v>0</v>
      </c>
      <c r="BI146" s="84"/>
      <c r="BJ146" s="351"/>
      <c r="BK146" s="351" t="str">
        <f>IFERROR(Tableau1[[#This Row],[Qté Facturé 06/2018]]*Tableau1[[#This Row],[Unit Price (calcul)]],"")</f>
        <v/>
      </c>
      <c r="BL146" s="351" t="str">
        <f>IFERROR(IF(Tableau1[[#This Row],[Montant Facturé 06/2018]]&gt;0,Tableau1[[#This Row],[Montant Facturé 06/2018]]/Taux_Change_SII,""),"")</f>
        <v/>
      </c>
      <c r="BM146" s="351"/>
      <c r="BN146" s="83">
        <f>SUMPRODUCT(1*(EXACT(CONCATENATE(Tableau1[[#This Row],[PO Number (Header)]],"-",Tableau1[[#This Row],[Line]]),UO_List[Unique_AIB_ID]))*(UO_List[Qté Réception 07/2020]))</f>
        <v>0</v>
      </c>
      <c r="BO146" s="84"/>
      <c r="BP146" s="351"/>
      <c r="BQ146" s="351" t="str">
        <f>IFERROR(Tableau1[[#This Row],[Qté Facturé 07/2018]]*Tableau1[[#This Row],[Unit Price (calcul)]],"")</f>
        <v/>
      </c>
      <c r="BR146" s="351" t="str">
        <f>IFERROR(IF(Tableau1[[#This Row],[Montant Facturé 07/2018]]&gt;0,Tableau1[[#This Row],[Montant Facturé 07/2018]]/Taux_Change_SII,""),"")</f>
        <v/>
      </c>
      <c r="BS146" s="351"/>
      <c r="BT146" s="83">
        <f>SUMPRODUCT(1*(EXACT(CONCATENATE(Tableau1[[#This Row],[PO Number (Header)]],"-",Tableau1[[#This Row],[Line]]),UO_List[Unique_AIB_ID]))*(UO_List[Qté Réception 08/2020]))</f>
        <v>0</v>
      </c>
      <c r="BU146" s="84"/>
      <c r="BV146" s="351"/>
      <c r="BW146" s="351" t="str">
        <f>IFERROR(Tableau1[[#This Row],[Qté Facturé 08/2018]]*Tableau1[[#This Row],[Unit Price (calcul)]],"")</f>
        <v/>
      </c>
      <c r="BX146" s="351" t="str">
        <f>IFERROR(IF(Tableau1[[#This Row],[Montant Facturé 08/2018]]&gt;0,Tableau1[[#This Row],[Montant Facturé 08/2018]]/Taux_Change_SII,""),"")</f>
        <v/>
      </c>
      <c r="BY146" s="351"/>
      <c r="BZ146" s="83">
        <f>SUMPRODUCT(1*(EXACT(CONCATENATE(Tableau1[[#This Row],[PO Number (Header)]],"-",Tableau1[[#This Row],[Line]]),UO_List[Unique_AIB_ID]))*(UO_List[Qté Réception 09/2020]))</f>
        <v>0</v>
      </c>
      <c r="CA146" s="84">
        <v>0</v>
      </c>
      <c r="CB146" s="351"/>
      <c r="CC146" s="351" t="str">
        <f>IFERROR(Tableau1[[#This Row],[Qté Facturé 09/2018]]*Tableau1[[#This Row],[Unit Price (calcul)]],"")</f>
        <v/>
      </c>
      <c r="CD146" s="351" t="str">
        <f>IFERROR(IF(Tableau1[[#This Row],[Montant Facturé 09/2018]]&gt;0,Tableau1[[#This Row],[Montant Facturé 09/2018]]/Taux_Change_SII,""),"")</f>
        <v/>
      </c>
      <c r="CE146" s="351"/>
      <c r="CF146" s="83">
        <f>SUMPRODUCT(1*(EXACT(CONCATENATE(Tableau1[[#This Row],[PO Number (Header)]],"-",Tableau1[[#This Row],[Line]]),UO_List[Unique_AIB_ID]))*(UO_List[Qté Réception 10/2020]))</f>
        <v>0</v>
      </c>
      <c r="CG146" s="84">
        <v>0</v>
      </c>
      <c r="CH146" s="351"/>
      <c r="CI146" s="351" t="str">
        <f>IFERROR(Tableau1[[#This Row],[Qté Facturé 10/2018]]*Tableau1[[#This Row],[Unit Price (calcul)]],"")</f>
        <v/>
      </c>
      <c r="CJ146" s="351" t="str">
        <f>IFERROR(IF(Tableau1[[#This Row],[Montant Facturé 10/2018]]&gt;0,Tableau1[[#This Row],[Montant Facturé 10/2018]]/Taux_Change_SII,""),"")</f>
        <v/>
      </c>
      <c r="CK146" s="351"/>
      <c r="CL146" s="83">
        <f>SUMPRODUCT(1*(EXACT(CONCATENATE(Tableau1[[#This Row],[PO Number (Header)]],"-",Tableau1[[#This Row],[Line]]),UO_List[Unique_AIB_ID]))*(UO_List[Qté Réception 11/2020]))</f>
        <v>0</v>
      </c>
      <c r="CM146" s="84"/>
      <c r="CN146" s="351"/>
      <c r="CO146" s="351" t="str">
        <f>IFERROR(Tableau1[[#This Row],[Qté Facturé 11/2018]]*Tableau1[[#This Row],[Unit Price (calcul)]],"")</f>
        <v/>
      </c>
      <c r="CP146" s="351" t="str">
        <f>IFERROR(IF(Tableau1[[#This Row],[Montant Facturé 11/2018]]&gt;0,Tableau1[[#This Row],[Montant Facturé 11/2018]]/Taux_Change_SII,""),"")</f>
        <v/>
      </c>
      <c r="CQ146" s="351"/>
      <c r="CR146" s="83">
        <f>SUMPRODUCT(1*(EXACT(CONCATENATE(Tableau1[[#This Row],[PO Number (Header)]],"-",Tableau1[[#This Row],[Line]]),UO_List[Unique_AIB_ID]))*(UO_List[Qté Réception 12/2020]))</f>
        <v>0</v>
      </c>
      <c r="CS146" s="84"/>
      <c r="CT146" s="351"/>
      <c r="CU146" s="351" t="str">
        <f>IFERROR(Tableau1[[#This Row],[Qté Facturé 12/2018]]*Tableau1[[#This Row],[Unit Price (calcul)]],"")</f>
        <v/>
      </c>
      <c r="CV146" s="351" t="str">
        <f>IFERROR(IF(Tableau1[[#This Row],[Montant Facturé 12/2018]]&gt;0,Tableau1[[#This Row],[Montant Facturé 12/2018]]/Taux_Change_SII,""),"")</f>
        <v/>
      </c>
      <c r="CW146" s="351"/>
      <c r="CX14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6" s="352" t="str">
        <f>IFERROR(Tableau1[[#This Row],[Total item réceptionné]]*Tableau1[[#This Row],[Unit Price (calcul)]],"")</f>
        <v/>
      </c>
      <c r="DB146" s="352" t="str">
        <f>IFERROR(Tableau1[[#This Row],[Total item à Facturer]]*Tableau1[[#This Row],[Unit Price (calcul)]],"")</f>
        <v/>
      </c>
      <c r="DC14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6" s="352" t="str">
        <f>IFERROR(Tableau1[[#This Row],[Line Total]]-Tableau1[[#This Row],[Total Price Réceptionné]],"")</f>
        <v/>
      </c>
      <c r="DE146" s="352" t="str">
        <f>IFERROR(Tableau1[[#This Row],[Total Price Réceptionné]]-Tableau1[[#This Row],[Total Price A facturer]],"")</f>
        <v/>
      </c>
      <c r="DF146" s="353" t="str">
        <f>IFERROR(Tableau1[[#This Row],[Total Price A facturer]]-Tableau1[[#This Row],[Total Price Facturé]],"")</f>
        <v/>
      </c>
      <c r="DG146" s="76">
        <f>Tableau1[[#This Row],[Total Item Quantity]]-Tableau1[[#This Row],[Total item réceptionné]]</f>
        <v>0</v>
      </c>
      <c r="DH146" s="167"/>
      <c r="DI146" s="167"/>
    </row>
    <row r="147" spans="1:113" s="74" customFormat="1">
      <c r="A147" s="77" t="str">
        <f>CONCATENATE(Tableau1[[#This Row],[PO Number (Header)]],"-",Tableau1[[#This Row],[Line]])</f>
        <v>-</v>
      </c>
      <c r="B147" s="77"/>
      <c r="C147" s="450"/>
      <c r="D147" s="102"/>
      <c r="E147" s="77"/>
      <c r="F147" s="77"/>
      <c r="G147" s="77"/>
      <c r="H147" s="77"/>
      <c r="I147" s="452"/>
      <c r="J147" s="452"/>
      <c r="K147" s="453"/>
      <c r="L147" s="453"/>
      <c r="M147" s="77"/>
      <c r="N147" s="77"/>
      <c r="O147" s="77"/>
      <c r="P147" s="77"/>
      <c r="Q147" s="395"/>
      <c r="R147" s="395"/>
      <c r="S147" s="77"/>
      <c r="T147" s="77"/>
      <c r="U147" s="77"/>
      <c r="V147" s="77"/>
      <c r="W147" s="167"/>
      <c r="X147" s="167"/>
      <c r="Y147" s="167" t="str">
        <f>IF(ISBLANK(Tableau1[[#This Row],[PO Number (Header)]]),"",Tableau1[[#This Row],[Line Total]]/Tableau1[[#This Row],[Total Item Quantity]])</f>
        <v/>
      </c>
      <c r="Z147" s="167" t="str">
        <f>IF(ISNA(VLOOKUP(Tableau1[[#This Row],[Unique_AIB_ID]],UO_List[Unique_AIB_ID],1,FALSE)),IF(ISBLANK(Tableau1[[#This Row],[PO Number (Header)]]),"","FAUX"),"VRAI")</f>
        <v/>
      </c>
      <c r="AA147" s="167"/>
      <c r="AB147" s="162" t="e">
        <f>VLOOKUP(Tableau1[[#This Row],[Unique_AIB_ID]],UO_List[[Unique_AIB_ID]:[OLGA F6]],3,FALSE)</f>
        <v>#N/A</v>
      </c>
      <c r="AC147" s="162" t="s">
        <v>790</v>
      </c>
      <c r="AD147" s="83">
        <f>SUMPRODUCT(1*(EXACT(CONCATENATE(Tableau1[[#This Row],[PO Number (Header)]],"-",Tableau1[[#This Row],[Line]]),UO_List[Unique_AIB_ID]))*(UO_List[Qté Réception 03/2020]))</f>
        <v>0</v>
      </c>
      <c r="AE147" s="84"/>
      <c r="AF147" s="357"/>
      <c r="AG147" s="351" t="str">
        <f>IFERROR(Tableau1[[#This Row],[Qté Facturé 01/2018]]*Tableau1[[#This Row],[Unit Price (calcul)]],"")</f>
        <v/>
      </c>
      <c r="AH147" s="356" t="str">
        <f>IFERROR(IF(Tableau1[[#This Row],[Montant Facturé 01/2018]]&gt;0,Tableau1[[#This Row],[Montant Facturé 01/2018]]/Taux_Change_SII,""),"")</f>
        <v/>
      </c>
      <c r="AI147" s="351"/>
      <c r="AJ147" s="83">
        <f>SUMPRODUCT(1*(EXACT(CONCATENATE(Tableau1[[#This Row],[PO Number (Header)]],"-",Tableau1[[#This Row],[Line]]),UO_List[Unique_AIB_ID]))*(UO_List[Qté Réception 02/2020]))</f>
        <v>0</v>
      </c>
      <c r="AK147" s="83">
        <f>SUMPRODUCT(1*(EXACT(CONCATENATE(Tableau1[[#This Row],[PO Number (Header)]],"-",Tableau1[[#This Row],[Line]]),UO_List[Unique_AIB_ID]))*(UO_List[Qté Réception 02/2020]))</f>
        <v>0</v>
      </c>
      <c r="AL147" s="357"/>
      <c r="AM147" s="351" t="str">
        <f>IFERROR(Tableau1[[#This Row],[Qté Facturé 02/2018]]*Tableau1[[#This Row],[Unit Price (calcul)]],"")</f>
        <v/>
      </c>
      <c r="AN147" s="351" t="str">
        <f>IFERROR(IF(Tableau1[[#This Row],[Montant Facturé 02/2018]]&gt;0,Tableau1[[#This Row],[Montant Facturé 02/2018]]/Taux_Change_SII,""),"")</f>
        <v/>
      </c>
      <c r="AO147" s="351"/>
      <c r="AP147" s="83">
        <f>SUMPRODUCT(1*(EXACT(CONCATENATE(Tableau1[[#This Row],[PO Number (Header)]],"-",Tableau1[[#This Row],[Line]]),UO_List[Unique_AIB_ID]))*(UO_List[Qté Réception 00/2020]))</f>
        <v>0</v>
      </c>
      <c r="AQ147" s="84"/>
      <c r="AR147" s="357"/>
      <c r="AS147" s="351" t="str">
        <f>IFERROR(Tableau1[[#This Row],[Qté Facturé 03/2018]]*Tableau1[[#This Row],[Unit Price (calcul)]],"")</f>
        <v/>
      </c>
      <c r="AT147" s="351" t="str">
        <f>IFERROR(IF(Tableau1[[#This Row],[Montant Facturé 03/2018]]&gt;0,Tableau1[[#This Row],[Montant Facturé 03/2018]]/Taux_Change_SII,""),"")</f>
        <v/>
      </c>
      <c r="AU147" s="351"/>
      <c r="AV147" s="83">
        <f>SUMPRODUCT(1*(EXACT(CONCATENATE(Tableau1[[#This Row],[PO Number (Header)]],"-",Tableau1[[#This Row],[Line]]),UO_List[Unique_AIB_ID]))*(UO_List[Qté Réception 04/2020]))</f>
        <v>0</v>
      </c>
      <c r="AW147" s="84"/>
      <c r="AX147" s="351"/>
      <c r="AY147" s="351" t="str">
        <f>IFERROR(Tableau1[[#This Row],[Qté Facturé 04/2018]]*Tableau1[[#This Row],[Unit Price (calcul)]],"")</f>
        <v/>
      </c>
      <c r="AZ147" s="351" t="str">
        <f>IFERROR(IF(Tableau1[[#This Row],[Montant Facturé 04/2018]]&gt;0,Tableau1[[#This Row],[Montant Facturé 04/2018]]/Taux_Change_SII,""),"")</f>
        <v/>
      </c>
      <c r="BA147" s="351"/>
      <c r="BB147" s="83">
        <f>SUMPRODUCT(1*(EXACT(CONCATENATE(Tableau1[[#This Row],[PO Number (Header)]],"-",Tableau1[[#This Row],[Line]]),UO_List[Unique_AIB_ID]))*(UO_List[Qté Réception 05/2020]))</f>
        <v>0</v>
      </c>
      <c r="BC147" s="84"/>
      <c r="BD147" s="351"/>
      <c r="BE147" s="351" t="str">
        <f>IFERROR(Tableau1[[#This Row],[Qté Facturé 05/2018]]*Tableau1[[#This Row],[Unit Price (calcul)]],"")</f>
        <v/>
      </c>
      <c r="BF147" s="351" t="str">
        <f>IFERROR(IF(Tableau1[[#This Row],[Montant Facturé 05/2018]]&gt;0,Tableau1[[#This Row],[Montant Facturé 05/2018]]/Taux_Change_SII,""),"")</f>
        <v/>
      </c>
      <c r="BG147" s="351"/>
      <c r="BH147" s="83">
        <f>SUMPRODUCT(1*(EXACT(CONCATENATE(Tableau1[[#This Row],[PO Number (Header)]],"-",Tableau1[[#This Row],[Line]]),UO_List[Unique_AIB_ID]))*(UO_List[Qté Réception 06/2020]))</f>
        <v>0</v>
      </c>
      <c r="BI147" s="84"/>
      <c r="BJ147" s="351"/>
      <c r="BK147" s="351" t="str">
        <f>IFERROR(Tableau1[[#This Row],[Qté Facturé 06/2018]]*Tableau1[[#This Row],[Unit Price (calcul)]],"")</f>
        <v/>
      </c>
      <c r="BL147" s="351" t="str">
        <f>IFERROR(IF(Tableau1[[#This Row],[Montant Facturé 06/2018]]&gt;0,Tableau1[[#This Row],[Montant Facturé 06/2018]]/Taux_Change_SII,""),"")</f>
        <v/>
      </c>
      <c r="BM147" s="351"/>
      <c r="BN147" s="83">
        <f>SUMPRODUCT(1*(EXACT(CONCATENATE(Tableau1[[#This Row],[PO Number (Header)]],"-",Tableau1[[#This Row],[Line]]),UO_List[Unique_AIB_ID]))*(UO_List[Qté Réception 07/2020]))</f>
        <v>0</v>
      </c>
      <c r="BO147" s="84"/>
      <c r="BP147" s="351"/>
      <c r="BQ147" s="351" t="str">
        <f>IFERROR(Tableau1[[#This Row],[Qté Facturé 07/2018]]*Tableau1[[#This Row],[Unit Price (calcul)]],"")</f>
        <v/>
      </c>
      <c r="BR147" s="351" t="str">
        <f>IFERROR(IF(Tableau1[[#This Row],[Montant Facturé 07/2018]]&gt;0,Tableau1[[#This Row],[Montant Facturé 07/2018]]/Taux_Change_SII,""),"")</f>
        <v/>
      </c>
      <c r="BS147" s="351"/>
      <c r="BT147" s="83">
        <f>SUMPRODUCT(1*(EXACT(CONCATENATE(Tableau1[[#This Row],[PO Number (Header)]],"-",Tableau1[[#This Row],[Line]]),UO_List[Unique_AIB_ID]))*(UO_List[Qté Réception 08/2020]))</f>
        <v>0</v>
      </c>
      <c r="BU147" s="84"/>
      <c r="BV147" s="351"/>
      <c r="BW147" s="351" t="str">
        <f>IFERROR(Tableau1[[#This Row],[Qté Facturé 08/2018]]*Tableau1[[#This Row],[Unit Price (calcul)]],"")</f>
        <v/>
      </c>
      <c r="BX147" s="351" t="str">
        <f>IFERROR(IF(Tableau1[[#This Row],[Montant Facturé 08/2018]]&gt;0,Tableau1[[#This Row],[Montant Facturé 08/2018]]/Taux_Change_SII,""),"")</f>
        <v/>
      </c>
      <c r="BY147" s="351"/>
      <c r="BZ147" s="83">
        <f>SUMPRODUCT(1*(EXACT(CONCATENATE(Tableau1[[#This Row],[PO Number (Header)]],"-",Tableau1[[#This Row],[Line]]),UO_List[Unique_AIB_ID]))*(UO_List[Qté Réception 09/2020]))</f>
        <v>0</v>
      </c>
      <c r="CA147" s="84">
        <v>0</v>
      </c>
      <c r="CB147" s="351"/>
      <c r="CC147" s="351" t="str">
        <f>IFERROR(Tableau1[[#This Row],[Qté Facturé 09/2018]]*Tableau1[[#This Row],[Unit Price (calcul)]],"")</f>
        <v/>
      </c>
      <c r="CD147" s="351" t="str">
        <f>IFERROR(IF(Tableau1[[#This Row],[Montant Facturé 09/2018]]&gt;0,Tableau1[[#This Row],[Montant Facturé 09/2018]]/Taux_Change_SII,""),"")</f>
        <v/>
      </c>
      <c r="CE147" s="351"/>
      <c r="CF147" s="83">
        <f>SUMPRODUCT(1*(EXACT(CONCATENATE(Tableau1[[#This Row],[PO Number (Header)]],"-",Tableau1[[#This Row],[Line]]),UO_List[Unique_AIB_ID]))*(UO_List[Qté Réception 10/2020]))</f>
        <v>0</v>
      </c>
      <c r="CG147" s="84">
        <v>0</v>
      </c>
      <c r="CH147" s="351"/>
      <c r="CI147" s="351" t="str">
        <f>IFERROR(Tableau1[[#This Row],[Qté Facturé 10/2018]]*Tableau1[[#This Row],[Unit Price (calcul)]],"")</f>
        <v/>
      </c>
      <c r="CJ147" s="351" t="str">
        <f>IFERROR(IF(Tableau1[[#This Row],[Montant Facturé 10/2018]]&gt;0,Tableau1[[#This Row],[Montant Facturé 10/2018]]/Taux_Change_SII,""),"")</f>
        <v/>
      </c>
      <c r="CK147" s="351"/>
      <c r="CL147" s="83">
        <f>SUMPRODUCT(1*(EXACT(CONCATENATE(Tableau1[[#This Row],[PO Number (Header)]],"-",Tableau1[[#This Row],[Line]]),UO_List[Unique_AIB_ID]))*(UO_List[Qté Réception 11/2020]))</f>
        <v>0</v>
      </c>
      <c r="CM147" s="84"/>
      <c r="CN147" s="351"/>
      <c r="CO147" s="351" t="str">
        <f>IFERROR(Tableau1[[#This Row],[Qté Facturé 11/2018]]*Tableau1[[#This Row],[Unit Price (calcul)]],"")</f>
        <v/>
      </c>
      <c r="CP147" s="351" t="str">
        <f>IFERROR(IF(Tableau1[[#This Row],[Montant Facturé 11/2018]]&gt;0,Tableau1[[#This Row],[Montant Facturé 11/2018]]/Taux_Change_SII,""),"")</f>
        <v/>
      </c>
      <c r="CQ147" s="351"/>
      <c r="CR147" s="83">
        <f>SUMPRODUCT(1*(EXACT(CONCATENATE(Tableau1[[#This Row],[PO Number (Header)]],"-",Tableau1[[#This Row],[Line]]),UO_List[Unique_AIB_ID]))*(UO_List[Qté Réception 12/2020]))</f>
        <v>0</v>
      </c>
      <c r="CS147" s="84"/>
      <c r="CT147" s="351"/>
      <c r="CU147" s="351" t="str">
        <f>IFERROR(Tableau1[[#This Row],[Qté Facturé 12/2018]]*Tableau1[[#This Row],[Unit Price (calcul)]],"")</f>
        <v/>
      </c>
      <c r="CV147" s="351" t="str">
        <f>IFERROR(IF(Tableau1[[#This Row],[Montant Facturé 12/2018]]&gt;0,Tableau1[[#This Row],[Montant Facturé 12/2018]]/Taux_Change_SII,""),"")</f>
        <v/>
      </c>
      <c r="CW147" s="351"/>
      <c r="CX14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7" s="352" t="str">
        <f>IFERROR(Tableau1[[#This Row],[Total item réceptionné]]*Tableau1[[#This Row],[Unit Price (calcul)]],"")</f>
        <v/>
      </c>
      <c r="DB147" s="352" t="str">
        <f>IFERROR(Tableau1[[#This Row],[Total item à Facturer]]*Tableau1[[#This Row],[Unit Price (calcul)]],"")</f>
        <v/>
      </c>
      <c r="DC14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7" s="352" t="str">
        <f>IFERROR(Tableau1[[#This Row],[Line Total]]-Tableau1[[#This Row],[Total Price Réceptionné]],"")</f>
        <v/>
      </c>
      <c r="DE147" s="352" t="str">
        <f>IFERROR(Tableau1[[#This Row],[Total Price Réceptionné]]-Tableau1[[#This Row],[Total Price A facturer]],"")</f>
        <v/>
      </c>
      <c r="DF147" s="353" t="str">
        <f>IFERROR(Tableau1[[#This Row],[Total Price A facturer]]-Tableau1[[#This Row],[Total Price Facturé]],"")</f>
        <v/>
      </c>
      <c r="DG147" s="76">
        <f>Tableau1[[#This Row],[Total Item Quantity]]-Tableau1[[#This Row],[Total item réceptionné]]</f>
        <v>0</v>
      </c>
      <c r="DH147" s="167"/>
      <c r="DI147" s="167"/>
    </row>
    <row r="148" spans="1:113" s="74" customFormat="1">
      <c r="A148" s="77" t="str">
        <f>CONCATENATE(Tableau1[[#This Row],[PO Number (Header)]],"-",Tableau1[[#This Row],[Line]])</f>
        <v>-</v>
      </c>
      <c r="B148" s="77"/>
      <c r="C148" s="450"/>
      <c r="D148" s="102"/>
      <c r="E148" s="77"/>
      <c r="F148" s="77"/>
      <c r="G148" s="77"/>
      <c r="H148" s="77"/>
      <c r="I148" s="452"/>
      <c r="J148" s="452"/>
      <c r="K148" s="453"/>
      <c r="L148" s="453"/>
      <c r="M148" s="77"/>
      <c r="N148" s="77"/>
      <c r="O148" s="77"/>
      <c r="P148" s="77"/>
      <c r="Q148" s="395"/>
      <c r="R148" s="395"/>
      <c r="S148" s="77"/>
      <c r="T148" s="77"/>
      <c r="U148" s="77"/>
      <c r="V148" s="77"/>
      <c r="W148" s="167"/>
      <c r="X148" s="167"/>
      <c r="Y148" s="167" t="str">
        <f>IF(ISBLANK(Tableau1[[#This Row],[PO Number (Header)]]),"",Tableau1[[#This Row],[Line Total]]/Tableau1[[#This Row],[Total Item Quantity]])</f>
        <v/>
      </c>
      <c r="Z148" s="167" t="str">
        <f>IF(ISNA(VLOOKUP(Tableau1[[#This Row],[Unique_AIB_ID]],UO_List[Unique_AIB_ID],1,FALSE)),IF(ISBLANK(Tableau1[[#This Row],[PO Number (Header)]]),"","FAUX"),"VRAI")</f>
        <v/>
      </c>
      <c r="AA148" s="167"/>
      <c r="AB148" s="162" t="e">
        <f>VLOOKUP(Tableau1[[#This Row],[Unique_AIB_ID]],UO_List[[Unique_AIB_ID]:[OLGA F6]],3,FALSE)</f>
        <v>#N/A</v>
      </c>
      <c r="AC148" s="162" t="s">
        <v>790</v>
      </c>
      <c r="AD148" s="83">
        <f>SUMPRODUCT(1*(EXACT(CONCATENATE(Tableau1[[#This Row],[PO Number (Header)]],"-",Tableau1[[#This Row],[Line]]),UO_List[Unique_AIB_ID]))*(UO_List[Qté Réception 03/2020]))</f>
        <v>0</v>
      </c>
      <c r="AE148" s="84"/>
      <c r="AF148" s="357"/>
      <c r="AG148" s="351" t="str">
        <f>IFERROR(Tableau1[[#This Row],[Qté Facturé 01/2018]]*Tableau1[[#This Row],[Unit Price (calcul)]],"")</f>
        <v/>
      </c>
      <c r="AH148" s="356" t="str">
        <f>IFERROR(IF(Tableau1[[#This Row],[Montant Facturé 01/2018]]&gt;0,Tableau1[[#This Row],[Montant Facturé 01/2018]]/Taux_Change_SII,""),"")</f>
        <v/>
      </c>
      <c r="AI148" s="351"/>
      <c r="AJ148" s="83">
        <f>SUMPRODUCT(1*(EXACT(CONCATENATE(Tableau1[[#This Row],[PO Number (Header)]],"-",Tableau1[[#This Row],[Line]]),UO_List[Unique_AIB_ID]))*(UO_List[Qté Réception 02/2020]))</f>
        <v>0</v>
      </c>
      <c r="AK148" s="83">
        <f>SUMPRODUCT(1*(EXACT(CONCATENATE(Tableau1[[#This Row],[PO Number (Header)]],"-",Tableau1[[#This Row],[Line]]),UO_List[Unique_AIB_ID]))*(UO_List[Qté Réception 02/2020]))</f>
        <v>0</v>
      </c>
      <c r="AL148" s="357"/>
      <c r="AM148" s="351" t="str">
        <f>IFERROR(Tableau1[[#This Row],[Qté Facturé 02/2018]]*Tableau1[[#This Row],[Unit Price (calcul)]],"")</f>
        <v/>
      </c>
      <c r="AN148" s="351" t="str">
        <f>IFERROR(IF(Tableau1[[#This Row],[Montant Facturé 02/2018]]&gt;0,Tableau1[[#This Row],[Montant Facturé 02/2018]]/Taux_Change_SII,""),"")</f>
        <v/>
      </c>
      <c r="AO148" s="351"/>
      <c r="AP148" s="83">
        <f>SUMPRODUCT(1*(EXACT(CONCATENATE(Tableau1[[#This Row],[PO Number (Header)]],"-",Tableau1[[#This Row],[Line]]),UO_List[Unique_AIB_ID]))*(UO_List[Qté Réception 00/2020]))</f>
        <v>0</v>
      </c>
      <c r="AQ148" s="84"/>
      <c r="AR148" s="357"/>
      <c r="AS148" s="351" t="str">
        <f>IFERROR(Tableau1[[#This Row],[Qté Facturé 03/2018]]*Tableau1[[#This Row],[Unit Price (calcul)]],"")</f>
        <v/>
      </c>
      <c r="AT148" s="351" t="str">
        <f>IFERROR(IF(Tableau1[[#This Row],[Montant Facturé 03/2018]]&gt;0,Tableau1[[#This Row],[Montant Facturé 03/2018]]/Taux_Change_SII,""),"")</f>
        <v/>
      </c>
      <c r="AU148" s="351"/>
      <c r="AV148" s="83">
        <f>SUMPRODUCT(1*(EXACT(CONCATENATE(Tableau1[[#This Row],[PO Number (Header)]],"-",Tableau1[[#This Row],[Line]]),UO_List[Unique_AIB_ID]))*(UO_List[Qté Réception 04/2020]))</f>
        <v>0</v>
      </c>
      <c r="AW148" s="84"/>
      <c r="AX148" s="351"/>
      <c r="AY148" s="351" t="str">
        <f>IFERROR(Tableau1[[#This Row],[Qté Facturé 04/2018]]*Tableau1[[#This Row],[Unit Price (calcul)]],"")</f>
        <v/>
      </c>
      <c r="AZ148" s="351" t="str">
        <f>IFERROR(IF(Tableau1[[#This Row],[Montant Facturé 04/2018]]&gt;0,Tableau1[[#This Row],[Montant Facturé 04/2018]]/Taux_Change_SII,""),"")</f>
        <v/>
      </c>
      <c r="BA148" s="351"/>
      <c r="BB148" s="83">
        <f>SUMPRODUCT(1*(EXACT(CONCATENATE(Tableau1[[#This Row],[PO Number (Header)]],"-",Tableau1[[#This Row],[Line]]),UO_List[Unique_AIB_ID]))*(UO_List[Qté Réception 05/2020]))</f>
        <v>0</v>
      </c>
      <c r="BC148" s="84"/>
      <c r="BD148" s="351"/>
      <c r="BE148" s="351" t="str">
        <f>IFERROR(Tableau1[[#This Row],[Qté Facturé 05/2018]]*Tableau1[[#This Row],[Unit Price (calcul)]],"")</f>
        <v/>
      </c>
      <c r="BF148" s="351" t="str">
        <f>IFERROR(IF(Tableau1[[#This Row],[Montant Facturé 05/2018]]&gt;0,Tableau1[[#This Row],[Montant Facturé 05/2018]]/Taux_Change_SII,""),"")</f>
        <v/>
      </c>
      <c r="BG148" s="351"/>
      <c r="BH148" s="83">
        <f>SUMPRODUCT(1*(EXACT(CONCATENATE(Tableau1[[#This Row],[PO Number (Header)]],"-",Tableau1[[#This Row],[Line]]),UO_List[Unique_AIB_ID]))*(UO_List[Qté Réception 06/2020]))</f>
        <v>0</v>
      </c>
      <c r="BI148" s="84"/>
      <c r="BJ148" s="351"/>
      <c r="BK148" s="351" t="str">
        <f>IFERROR(Tableau1[[#This Row],[Qté Facturé 06/2018]]*Tableau1[[#This Row],[Unit Price (calcul)]],"")</f>
        <v/>
      </c>
      <c r="BL148" s="351" t="str">
        <f>IFERROR(IF(Tableau1[[#This Row],[Montant Facturé 06/2018]]&gt;0,Tableau1[[#This Row],[Montant Facturé 06/2018]]/Taux_Change_SII,""),"")</f>
        <v/>
      </c>
      <c r="BM148" s="351"/>
      <c r="BN148" s="83">
        <f>SUMPRODUCT(1*(EXACT(CONCATENATE(Tableau1[[#This Row],[PO Number (Header)]],"-",Tableau1[[#This Row],[Line]]),UO_List[Unique_AIB_ID]))*(UO_List[Qté Réception 07/2020]))</f>
        <v>0</v>
      </c>
      <c r="BO148" s="84"/>
      <c r="BP148" s="351"/>
      <c r="BQ148" s="351" t="str">
        <f>IFERROR(Tableau1[[#This Row],[Qté Facturé 07/2018]]*Tableau1[[#This Row],[Unit Price (calcul)]],"")</f>
        <v/>
      </c>
      <c r="BR148" s="351" t="str">
        <f>IFERROR(IF(Tableau1[[#This Row],[Montant Facturé 07/2018]]&gt;0,Tableau1[[#This Row],[Montant Facturé 07/2018]]/Taux_Change_SII,""),"")</f>
        <v/>
      </c>
      <c r="BS148" s="351"/>
      <c r="BT148" s="83">
        <f>SUMPRODUCT(1*(EXACT(CONCATENATE(Tableau1[[#This Row],[PO Number (Header)]],"-",Tableau1[[#This Row],[Line]]),UO_List[Unique_AIB_ID]))*(UO_List[Qté Réception 08/2020]))</f>
        <v>0</v>
      </c>
      <c r="BU148" s="84"/>
      <c r="BV148" s="351"/>
      <c r="BW148" s="351" t="str">
        <f>IFERROR(Tableau1[[#This Row],[Qté Facturé 08/2018]]*Tableau1[[#This Row],[Unit Price (calcul)]],"")</f>
        <v/>
      </c>
      <c r="BX148" s="351" t="str">
        <f>IFERROR(IF(Tableau1[[#This Row],[Montant Facturé 08/2018]]&gt;0,Tableau1[[#This Row],[Montant Facturé 08/2018]]/Taux_Change_SII,""),"")</f>
        <v/>
      </c>
      <c r="BY148" s="351"/>
      <c r="BZ148" s="83">
        <f>SUMPRODUCT(1*(EXACT(CONCATENATE(Tableau1[[#This Row],[PO Number (Header)]],"-",Tableau1[[#This Row],[Line]]),UO_List[Unique_AIB_ID]))*(UO_List[Qté Réception 09/2020]))</f>
        <v>0</v>
      </c>
      <c r="CA148" s="84">
        <v>0</v>
      </c>
      <c r="CB148" s="351"/>
      <c r="CC148" s="351" t="str">
        <f>IFERROR(Tableau1[[#This Row],[Qté Facturé 09/2018]]*Tableau1[[#This Row],[Unit Price (calcul)]],"")</f>
        <v/>
      </c>
      <c r="CD148" s="351" t="str">
        <f>IFERROR(IF(Tableau1[[#This Row],[Montant Facturé 09/2018]]&gt;0,Tableau1[[#This Row],[Montant Facturé 09/2018]]/Taux_Change_SII,""),"")</f>
        <v/>
      </c>
      <c r="CE148" s="351"/>
      <c r="CF148" s="83">
        <f>SUMPRODUCT(1*(EXACT(CONCATENATE(Tableau1[[#This Row],[PO Number (Header)]],"-",Tableau1[[#This Row],[Line]]),UO_List[Unique_AIB_ID]))*(UO_List[Qté Réception 10/2020]))</f>
        <v>0</v>
      </c>
      <c r="CG148" s="84">
        <v>0</v>
      </c>
      <c r="CH148" s="351"/>
      <c r="CI148" s="351" t="str">
        <f>IFERROR(Tableau1[[#This Row],[Qté Facturé 10/2018]]*Tableau1[[#This Row],[Unit Price (calcul)]],"")</f>
        <v/>
      </c>
      <c r="CJ148" s="351" t="str">
        <f>IFERROR(IF(Tableau1[[#This Row],[Montant Facturé 10/2018]]&gt;0,Tableau1[[#This Row],[Montant Facturé 10/2018]]/Taux_Change_SII,""),"")</f>
        <v/>
      </c>
      <c r="CK148" s="351"/>
      <c r="CL148" s="83">
        <f>SUMPRODUCT(1*(EXACT(CONCATENATE(Tableau1[[#This Row],[PO Number (Header)]],"-",Tableau1[[#This Row],[Line]]),UO_List[Unique_AIB_ID]))*(UO_List[Qté Réception 11/2020]))</f>
        <v>0</v>
      </c>
      <c r="CM148" s="84"/>
      <c r="CN148" s="351"/>
      <c r="CO148" s="351" t="str">
        <f>IFERROR(Tableau1[[#This Row],[Qté Facturé 11/2018]]*Tableau1[[#This Row],[Unit Price (calcul)]],"")</f>
        <v/>
      </c>
      <c r="CP148" s="351" t="str">
        <f>IFERROR(IF(Tableau1[[#This Row],[Montant Facturé 11/2018]]&gt;0,Tableau1[[#This Row],[Montant Facturé 11/2018]]/Taux_Change_SII,""),"")</f>
        <v/>
      </c>
      <c r="CQ148" s="351"/>
      <c r="CR148" s="83">
        <f>SUMPRODUCT(1*(EXACT(CONCATENATE(Tableau1[[#This Row],[PO Number (Header)]],"-",Tableau1[[#This Row],[Line]]),UO_List[Unique_AIB_ID]))*(UO_List[Qté Réception 12/2020]))</f>
        <v>0</v>
      </c>
      <c r="CS148" s="84"/>
      <c r="CT148" s="351"/>
      <c r="CU148" s="351" t="str">
        <f>IFERROR(Tableau1[[#This Row],[Qté Facturé 12/2018]]*Tableau1[[#This Row],[Unit Price (calcul)]],"")</f>
        <v/>
      </c>
      <c r="CV148" s="351" t="str">
        <f>IFERROR(IF(Tableau1[[#This Row],[Montant Facturé 12/2018]]&gt;0,Tableau1[[#This Row],[Montant Facturé 12/2018]]/Taux_Change_SII,""),"")</f>
        <v/>
      </c>
      <c r="CW148" s="351"/>
      <c r="CX14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8" s="352" t="str">
        <f>IFERROR(Tableau1[[#This Row],[Total item réceptionné]]*Tableau1[[#This Row],[Unit Price (calcul)]],"")</f>
        <v/>
      </c>
      <c r="DB148" s="352" t="str">
        <f>IFERROR(Tableau1[[#This Row],[Total item à Facturer]]*Tableau1[[#This Row],[Unit Price (calcul)]],"")</f>
        <v/>
      </c>
      <c r="DC14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8" s="352" t="str">
        <f>IFERROR(Tableau1[[#This Row],[Line Total]]-Tableau1[[#This Row],[Total Price Réceptionné]],"")</f>
        <v/>
      </c>
      <c r="DE148" s="352" t="str">
        <f>IFERROR(Tableau1[[#This Row],[Total Price Réceptionné]]-Tableau1[[#This Row],[Total Price A facturer]],"")</f>
        <v/>
      </c>
      <c r="DF148" s="353" t="str">
        <f>IFERROR(Tableau1[[#This Row],[Total Price A facturer]]-Tableau1[[#This Row],[Total Price Facturé]],"")</f>
        <v/>
      </c>
      <c r="DG148" s="76">
        <f>Tableau1[[#This Row],[Total Item Quantity]]-Tableau1[[#This Row],[Total item réceptionné]]</f>
        <v>0</v>
      </c>
      <c r="DH148" s="167"/>
      <c r="DI148" s="167"/>
    </row>
    <row r="149" spans="1:113" s="74" customFormat="1">
      <c r="A149" s="77" t="str">
        <f>CONCATENATE(Tableau1[[#This Row],[PO Number (Header)]],"-",Tableau1[[#This Row],[Line]])</f>
        <v>-</v>
      </c>
      <c r="B149" s="77"/>
      <c r="C149" s="450"/>
      <c r="D149" s="102"/>
      <c r="E149" s="77"/>
      <c r="F149" s="77"/>
      <c r="G149" s="77"/>
      <c r="H149" s="77"/>
      <c r="I149" s="452"/>
      <c r="J149" s="452"/>
      <c r="K149" s="453"/>
      <c r="L149" s="453"/>
      <c r="M149" s="77"/>
      <c r="N149" s="77"/>
      <c r="O149" s="77"/>
      <c r="P149" s="77"/>
      <c r="Q149" s="395"/>
      <c r="R149" s="395"/>
      <c r="S149" s="77"/>
      <c r="T149" s="77"/>
      <c r="U149" s="77"/>
      <c r="V149" s="77"/>
      <c r="W149" s="167"/>
      <c r="X149" s="167"/>
      <c r="Y149" s="167" t="str">
        <f>IF(ISBLANK(Tableau1[[#This Row],[PO Number (Header)]]),"",Tableau1[[#This Row],[Line Total]]/Tableau1[[#This Row],[Total Item Quantity]])</f>
        <v/>
      </c>
      <c r="Z149" s="167" t="str">
        <f>IF(ISNA(VLOOKUP(Tableau1[[#This Row],[Unique_AIB_ID]],UO_List[Unique_AIB_ID],1,FALSE)),IF(ISBLANK(Tableau1[[#This Row],[PO Number (Header)]]),"","FAUX"),"VRAI")</f>
        <v/>
      </c>
      <c r="AA149" s="167"/>
      <c r="AB149" s="162" t="e">
        <f>VLOOKUP(Tableau1[[#This Row],[Unique_AIB_ID]],UO_List[[Unique_AIB_ID]:[OLGA F6]],3,FALSE)</f>
        <v>#N/A</v>
      </c>
      <c r="AC149" s="162" t="s">
        <v>790</v>
      </c>
      <c r="AD149" s="83">
        <f>SUMPRODUCT(1*(EXACT(CONCATENATE(Tableau1[[#This Row],[PO Number (Header)]],"-",Tableau1[[#This Row],[Line]]),UO_List[Unique_AIB_ID]))*(UO_List[Qté Réception 03/2020]))</f>
        <v>0</v>
      </c>
      <c r="AE149" s="84"/>
      <c r="AF149" s="357"/>
      <c r="AG149" s="351" t="str">
        <f>IFERROR(Tableau1[[#This Row],[Qté Facturé 01/2018]]*Tableau1[[#This Row],[Unit Price (calcul)]],"")</f>
        <v/>
      </c>
      <c r="AH149" s="356" t="str">
        <f>IFERROR(IF(Tableau1[[#This Row],[Montant Facturé 01/2018]]&gt;0,Tableau1[[#This Row],[Montant Facturé 01/2018]]/Taux_Change_SII,""),"")</f>
        <v/>
      </c>
      <c r="AI149" s="351"/>
      <c r="AJ149" s="83">
        <f>SUMPRODUCT(1*(EXACT(CONCATENATE(Tableau1[[#This Row],[PO Number (Header)]],"-",Tableau1[[#This Row],[Line]]),UO_List[Unique_AIB_ID]))*(UO_List[Qté Réception 02/2020]))</f>
        <v>0</v>
      </c>
      <c r="AK149" s="83">
        <f>SUMPRODUCT(1*(EXACT(CONCATENATE(Tableau1[[#This Row],[PO Number (Header)]],"-",Tableau1[[#This Row],[Line]]),UO_List[Unique_AIB_ID]))*(UO_List[Qté Réception 02/2020]))</f>
        <v>0</v>
      </c>
      <c r="AL149" s="357"/>
      <c r="AM149" s="351" t="str">
        <f>IFERROR(Tableau1[[#This Row],[Qté Facturé 02/2018]]*Tableau1[[#This Row],[Unit Price (calcul)]],"")</f>
        <v/>
      </c>
      <c r="AN149" s="351" t="str">
        <f>IFERROR(IF(Tableau1[[#This Row],[Montant Facturé 02/2018]]&gt;0,Tableau1[[#This Row],[Montant Facturé 02/2018]]/Taux_Change_SII,""),"")</f>
        <v/>
      </c>
      <c r="AO149" s="351"/>
      <c r="AP149" s="83">
        <f>SUMPRODUCT(1*(EXACT(CONCATENATE(Tableau1[[#This Row],[PO Number (Header)]],"-",Tableau1[[#This Row],[Line]]),UO_List[Unique_AIB_ID]))*(UO_List[Qté Réception 00/2020]))</f>
        <v>0</v>
      </c>
      <c r="AQ149" s="84"/>
      <c r="AR149" s="357"/>
      <c r="AS149" s="351" t="str">
        <f>IFERROR(Tableau1[[#This Row],[Qté Facturé 03/2018]]*Tableau1[[#This Row],[Unit Price (calcul)]],"")</f>
        <v/>
      </c>
      <c r="AT149" s="351" t="str">
        <f>IFERROR(IF(Tableau1[[#This Row],[Montant Facturé 03/2018]]&gt;0,Tableau1[[#This Row],[Montant Facturé 03/2018]]/Taux_Change_SII,""),"")</f>
        <v/>
      </c>
      <c r="AU149" s="351"/>
      <c r="AV149" s="83">
        <f>SUMPRODUCT(1*(EXACT(CONCATENATE(Tableau1[[#This Row],[PO Number (Header)]],"-",Tableau1[[#This Row],[Line]]),UO_List[Unique_AIB_ID]))*(UO_List[Qté Réception 04/2020]))</f>
        <v>0</v>
      </c>
      <c r="AW149" s="84"/>
      <c r="AX149" s="351"/>
      <c r="AY149" s="351" t="str">
        <f>IFERROR(Tableau1[[#This Row],[Qté Facturé 04/2018]]*Tableau1[[#This Row],[Unit Price (calcul)]],"")</f>
        <v/>
      </c>
      <c r="AZ149" s="351" t="str">
        <f>IFERROR(IF(Tableau1[[#This Row],[Montant Facturé 04/2018]]&gt;0,Tableau1[[#This Row],[Montant Facturé 04/2018]]/Taux_Change_SII,""),"")</f>
        <v/>
      </c>
      <c r="BA149" s="351"/>
      <c r="BB149" s="83">
        <f>SUMPRODUCT(1*(EXACT(CONCATENATE(Tableau1[[#This Row],[PO Number (Header)]],"-",Tableau1[[#This Row],[Line]]),UO_List[Unique_AIB_ID]))*(UO_List[Qté Réception 05/2020]))</f>
        <v>0</v>
      </c>
      <c r="BC149" s="84"/>
      <c r="BD149" s="351"/>
      <c r="BE149" s="351" t="str">
        <f>IFERROR(Tableau1[[#This Row],[Qté Facturé 05/2018]]*Tableau1[[#This Row],[Unit Price (calcul)]],"")</f>
        <v/>
      </c>
      <c r="BF149" s="351" t="str">
        <f>IFERROR(IF(Tableau1[[#This Row],[Montant Facturé 05/2018]]&gt;0,Tableau1[[#This Row],[Montant Facturé 05/2018]]/Taux_Change_SII,""),"")</f>
        <v/>
      </c>
      <c r="BG149" s="351"/>
      <c r="BH149" s="83">
        <f>SUMPRODUCT(1*(EXACT(CONCATENATE(Tableau1[[#This Row],[PO Number (Header)]],"-",Tableau1[[#This Row],[Line]]),UO_List[Unique_AIB_ID]))*(UO_List[Qté Réception 06/2020]))</f>
        <v>0</v>
      </c>
      <c r="BI149" s="84"/>
      <c r="BJ149" s="351"/>
      <c r="BK149" s="351" t="str">
        <f>IFERROR(Tableau1[[#This Row],[Qté Facturé 06/2018]]*Tableau1[[#This Row],[Unit Price (calcul)]],"")</f>
        <v/>
      </c>
      <c r="BL149" s="351" t="str">
        <f>IFERROR(IF(Tableau1[[#This Row],[Montant Facturé 06/2018]]&gt;0,Tableau1[[#This Row],[Montant Facturé 06/2018]]/Taux_Change_SII,""),"")</f>
        <v/>
      </c>
      <c r="BM149" s="351"/>
      <c r="BN149" s="83">
        <f>SUMPRODUCT(1*(EXACT(CONCATENATE(Tableau1[[#This Row],[PO Number (Header)]],"-",Tableau1[[#This Row],[Line]]),UO_List[Unique_AIB_ID]))*(UO_List[Qté Réception 07/2020]))</f>
        <v>0</v>
      </c>
      <c r="BO149" s="84"/>
      <c r="BP149" s="351"/>
      <c r="BQ149" s="351" t="str">
        <f>IFERROR(Tableau1[[#This Row],[Qté Facturé 07/2018]]*Tableau1[[#This Row],[Unit Price (calcul)]],"")</f>
        <v/>
      </c>
      <c r="BR149" s="351" t="str">
        <f>IFERROR(IF(Tableau1[[#This Row],[Montant Facturé 07/2018]]&gt;0,Tableau1[[#This Row],[Montant Facturé 07/2018]]/Taux_Change_SII,""),"")</f>
        <v/>
      </c>
      <c r="BS149" s="351"/>
      <c r="BT149" s="83">
        <f>SUMPRODUCT(1*(EXACT(CONCATENATE(Tableau1[[#This Row],[PO Number (Header)]],"-",Tableau1[[#This Row],[Line]]),UO_List[Unique_AIB_ID]))*(UO_List[Qté Réception 08/2020]))</f>
        <v>0</v>
      </c>
      <c r="BU149" s="84"/>
      <c r="BV149" s="351"/>
      <c r="BW149" s="351" t="str">
        <f>IFERROR(Tableau1[[#This Row],[Qté Facturé 08/2018]]*Tableau1[[#This Row],[Unit Price (calcul)]],"")</f>
        <v/>
      </c>
      <c r="BX149" s="351" t="str">
        <f>IFERROR(IF(Tableau1[[#This Row],[Montant Facturé 08/2018]]&gt;0,Tableau1[[#This Row],[Montant Facturé 08/2018]]/Taux_Change_SII,""),"")</f>
        <v/>
      </c>
      <c r="BY149" s="351"/>
      <c r="BZ149" s="83">
        <f>SUMPRODUCT(1*(EXACT(CONCATENATE(Tableau1[[#This Row],[PO Number (Header)]],"-",Tableau1[[#This Row],[Line]]),UO_List[Unique_AIB_ID]))*(UO_List[Qté Réception 09/2020]))</f>
        <v>0</v>
      </c>
      <c r="CA149" s="84">
        <v>0</v>
      </c>
      <c r="CB149" s="351"/>
      <c r="CC149" s="351" t="str">
        <f>IFERROR(Tableau1[[#This Row],[Qté Facturé 09/2018]]*Tableau1[[#This Row],[Unit Price (calcul)]],"")</f>
        <v/>
      </c>
      <c r="CD149" s="351" t="str">
        <f>IFERROR(IF(Tableau1[[#This Row],[Montant Facturé 09/2018]]&gt;0,Tableau1[[#This Row],[Montant Facturé 09/2018]]/Taux_Change_SII,""),"")</f>
        <v/>
      </c>
      <c r="CE149" s="351"/>
      <c r="CF149" s="83">
        <f>SUMPRODUCT(1*(EXACT(CONCATENATE(Tableau1[[#This Row],[PO Number (Header)]],"-",Tableau1[[#This Row],[Line]]),UO_List[Unique_AIB_ID]))*(UO_List[Qté Réception 10/2020]))</f>
        <v>0</v>
      </c>
      <c r="CG149" s="84">
        <v>0</v>
      </c>
      <c r="CH149" s="351"/>
      <c r="CI149" s="351" t="str">
        <f>IFERROR(Tableau1[[#This Row],[Qté Facturé 10/2018]]*Tableau1[[#This Row],[Unit Price (calcul)]],"")</f>
        <v/>
      </c>
      <c r="CJ149" s="351" t="str">
        <f>IFERROR(IF(Tableau1[[#This Row],[Montant Facturé 10/2018]]&gt;0,Tableau1[[#This Row],[Montant Facturé 10/2018]]/Taux_Change_SII,""),"")</f>
        <v/>
      </c>
      <c r="CK149" s="351"/>
      <c r="CL149" s="83">
        <f>SUMPRODUCT(1*(EXACT(CONCATENATE(Tableau1[[#This Row],[PO Number (Header)]],"-",Tableau1[[#This Row],[Line]]),UO_List[Unique_AIB_ID]))*(UO_List[Qté Réception 11/2020]))</f>
        <v>0</v>
      </c>
      <c r="CM149" s="84"/>
      <c r="CN149" s="351"/>
      <c r="CO149" s="351" t="str">
        <f>IFERROR(Tableau1[[#This Row],[Qté Facturé 11/2018]]*Tableau1[[#This Row],[Unit Price (calcul)]],"")</f>
        <v/>
      </c>
      <c r="CP149" s="351" t="str">
        <f>IFERROR(IF(Tableau1[[#This Row],[Montant Facturé 11/2018]]&gt;0,Tableau1[[#This Row],[Montant Facturé 11/2018]]/Taux_Change_SII,""),"")</f>
        <v/>
      </c>
      <c r="CQ149" s="351"/>
      <c r="CR149" s="83">
        <f>SUMPRODUCT(1*(EXACT(CONCATENATE(Tableau1[[#This Row],[PO Number (Header)]],"-",Tableau1[[#This Row],[Line]]),UO_List[Unique_AIB_ID]))*(UO_List[Qté Réception 12/2020]))</f>
        <v>0</v>
      </c>
      <c r="CS149" s="84"/>
      <c r="CT149" s="351"/>
      <c r="CU149" s="351" t="str">
        <f>IFERROR(Tableau1[[#This Row],[Qté Facturé 12/2018]]*Tableau1[[#This Row],[Unit Price (calcul)]],"")</f>
        <v/>
      </c>
      <c r="CV149" s="351" t="str">
        <f>IFERROR(IF(Tableau1[[#This Row],[Montant Facturé 12/2018]]&gt;0,Tableau1[[#This Row],[Montant Facturé 12/2018]]/Taux_Change_SII,""),"")</f>
        <v/>
      </c>
      <c r="CW149" s="351"/>
      <c r="CX14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4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4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49" s="352" t="str">
        <f>IFERROR(Tableau1[[#This Row],[Total item réceptionné]]*Tableau1[[#This Row],[Unit Price (calcul)]],"")</f>
        <v/>
      </c>
      <c r="DB149" s="352" t="str">
        <f>IFERROR(Tableau1[[#This Row],[Total item à Facturer]]*Tableau1[[#This Row],[Unit Price (calcul)]],"")</f>
        <v/>
      </c>
      <c r="DC14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49" s="352" t="str">
        <f>IFERROR(Tableau1[[#This Row],[Line Total]]-Tableau1[[#This Row],[Total Price Réceptionné]],"")</f>
        <v/>
      </c>
      <c r="DE149" s="352" t="str">
        <f>IFERROR(Tableau1[[#This Row],[Total Price Réceptionné]]-Tableau1[[#This Row],[Total Price A facturer]],"")</f>
        <v/>
      </c>
      <c r="DF149" s="353" t="str">
        <f>IFERROR(Tableau1[[#This Row],[Total Price A facturer]]-Tableau1[[#This Row],[Total Price Facturé]],"")</f>
        <v/>
      </c>
      <c r="DG149" s="76">
        <f>Tableau1[[#This Row],[Total Item Quantity]]-Tableau1[[#This Row],[Total item réceptionné]]</f>
        <v>0</v>
      </c>
      <c r="DH149" s="167"/>
      <c r="DI149" s="167"/>
    </row>
    <row r="150" spans="1:113" s="74" customFormat="1">
      <c r="A150" s="77" t="str">
        <f>CONCATENATE(Tableau1[[#This Row],[PO Number (Header)]],"-",Tableau1[[#This Row],[Line]])</f>
        <v>-</v>
      </c>
      <c r="B150" s="77"/>
      <c r="C150" s="450"/>
      <c r="D150" s="102"/>
      <c r="E150" s="77"/>
      <c r="F150" s="77"/>
      <c r="G150" s="77"/>
      <c r="H150" s="77"/>
      <c r="I150" s="452"/>
      <c r="J150" s="452"/>
      <c r="K150" s="453"/>
      <c r="L150" s="453"/>
      <c r="M150" s="77"/>
      <c r="N150" s="77"/>
      <c r="O150" s="77"/>
      <c r="P150" s="77"/>
      <c r="Q150" s="395"/>
      <c r="R150" s="395"/>
      <c r="S150" s="77"/>
      <c r="T150" s="77"/>
      <c r="U150" s="77"/>
      <c r="V150" s="77"/>
      <c r="W150" s="167"/>
      <c r="X150" s="167"/>
      <c r="Y150" s="167" t="str">
        <f>IF(ISBLANK(Tableau1[[#This Row],[PO Number (Header)]]),"",Tableau1[[#This Row],[Line Total]]/Tableau1[[#This Row],[Total Item Quantity]])</f>
        <v/>
      </c>
      <c r="Z150" s="167" t="str">
        <f>IF(ISNA(VLOOKUP(Tableau1[[#This Row],[Unique_AIB_ID]],UO_List[Unique_AIB_ID],1,FALSE)),IF(ISBLANK(Tableau1[[#This Row],[PO Number (Header)]]),"","FAUX"),"VRAI")</f>
        <v/>
      </c>
      <c r="AA150" s="167"/>
      <c r="AB150" s="162" t="e">
        <f>VLOOKUP(Tableau1[[#This Row],[Unique_AIB_ID]],UO_List[[Unique_AIB_ID]:[OLGA F6]],3,FALSE)</f>
        <v>#N/A</v>
      </c>
      <c r="AC150" s="162" t="s">
        <v>790</v>
      </c>
      <c r="AD150" s="83">
        <f>SUMPRODUCT(1*(EXACT(CONCATENATE(Tableau1[[#This Row],[PO Number (Header)]],"-",Tableau1[[#This Row],[Line]]),UO_List[Unique_AIB_ID]))*(UO_List[Qté Réception 03/2020]))</f>
        <v>0</v>
      </c>
      <c r="AE150" s="84"/>
      <c r="AF150" s="357"/>
      <c r="AG150" s="351" t="str">
        <f>IFERROR(Tableau1[[#This Row],[Qté Facturé 01/2018]]*Tableau1[[#This Row],[Unit Price (calcul)]],"")</f>
        <v/>
      </c>
      <c r="AH150" s="356" t="str">
        <f>IFERROR(IF(Tableau1[[#This Row],[Montant Facturé 01/2018]]&gt;0,Tableau1[[#This Row],[Montant Facturé 01/2018]]/Taux_Change_SII,""),"")</f>
        <v/>
      </c>
      <c r="AI150" s="351"/>
      <c r="AJ150" s="83">
        <f>SUMPRODUCT(1*(EXACT(CONCATENATE(Tableau1[[#This Row],[PO Number (Header)]],"-",Tableau1[[#This Row],[Line]]),UO_List[Unique_AIB_ID]))*(UO_List[Qté Réception 02/2020]))</f>
        <v>0</v>
      </c>
      <c r="AK150" s="83">
        <f>SUMPRODUCT(1*(EXACT(CONCATENATE(Tableau1[[#This Row],[PO Number (Header)]],"-",Tableau1[[#This Row],[Line]]),UO_List[Unique_AIB_ID]))*(UO_List[Qté Réception 02/2020]))</f>
        <v>0</v>
      </c>
      <c r="AL150" s="357"/>
      <c r="AM150" s="351" t="str">
        <f>IFERROR(Tableau1[[#This Row],[Qté Facturé 02/2018]]*Tableau1[[#This Row],[Unit Price (calcul)]],"")</f>
        <v/>
      </c>
      <c r="AN150" s="351" t="str">
        <f>IFERROR(IF(Tableau1[[#This Row],[Montant Facturé 02/2018]]&gt;0,Tableau1[[#This Row],[Montant Facturé 02/2018]]/Taux_Change_SII,""),"")</f>
        <v/>
      </c>
      <c r="AO150" s="351"/>
      <c r="AP150" s="83">
        <f>SUMPRODUCT(1*(EXACT(CONCATENATE(Tableau1[[#This Row],[PO Number (Header)]],"-",Tableau1[[#This Row],[Line]]),UO_List[Unique_AIB_ID]))*(UO_List[Qté Réception 00/2020]))</f>
        <v>0</v>
      </c>
      <c r="AQ150" s="84"/>
      <c r="AR150" s="357"/>
      <c r="AS150" s="351" t="str">
        <f>IFERROR(Tableau1[[#This Row],[Qté Facturé 03/2018]]*Tableau1[[#This Row],[Unit Price (calcul)]],"")</f>
        <v/>
      </c>
      <c r="AT150" s="351" t="str">
        <f>IFERROR(IF(Tableau1[[#This Row],[Montant Facturé 03/2018]]&gt;0,Tableau1[[#This Row],[Montant Facturé 03/2018]]/Taux_Change_SII,""),"")</f>
        <v/>
      </c>
      <c r="AU150" s="351"/>
      <c r="AV150" s="83">
        <f>SUMPRODUCT(1*(EXACT(CONCATENATE(Tableau1[[#This Row],[PO Number (Header)]],"-",Tableau1[[#This Row],[Line]]),UO_List[Unique_AIB_ID]))*(UO_List[Qté Réception 04/2020]))</f>
        <v>0</v>
      </c>
      <c r="AW150" s="84"/>
      <c r="AX150" s="351"/>
      <c r="AY150" s="351" t="str">
        <f>IFERROR(Tableau1[[#This Row],[Qté Facturé 04/2018]]*Tableau1[[#This Row],[Unit Price (calcul)]],"")</f>
        <v/>
      </c>
      <c r="AZ150" s="351" t="str">
        <f>IFERROR(IF(Tableau1[[#This Row],[Montant Facturé 04/2018]]&gt;0,Tableau1[[#This Row],[Montant Facturé 04/2018]]/Taux_Change_SII,""),"")</f>
        <v/>
      </c>
      <c r="BA150" s="351"/>
      <c r="BB150" s="83">
        <f>SUMPRODUCT(1*(EXACT(CONCATENATE(Tableau1[[#This Row],[PO Number (Header)]],"-",Tableau1[[#This Row],[Line]]),UO_List[Unique_AIB_ID]))*(UO_List[Qté Réception 05/2020]))</f>
        <v>0</v>
      </c>
      <c r="BC150" s="84"/>
      <c r="BD150" s="351"/>
      <c r="BE150" s="351" t="str">
        <f>IFERROR(Tableau1[[#This Row],[Qté Facturé 05/2018]]*Tableau1[[#This Row],[Unit Price (calcul)]],"")</f>
        <v/>
      </c>
      <c r="BF150" s="351" t="str">
        <f>IFERROR(IF(Tableau1[[#This Row],[Montant Facturé 05/2018]]&gt;0,Tableau1[[#This Row],[Montant Facturé 05/2018]]/Taux_Change_SII,""),"")</f>
        <v/>
      </c>
      <c r="BG150" s="351"/>
      <c r="BH150" s="83">
        <f>SUMPRODUCT(1*(EXACT(CONCATENATE(Tableau1[[#This Row],[PO Number (Header)]],"-",Tableau1[[#This Row],[Line]]),UO_List[Unique_AIB_ID]))*(UO_List[Qté Réception 06/2020]))</f>
        <v>0</v>
      </c>
      <c r="BI150" s="84"/>
      <c r="BJ150" s="351"/>
      <c r="BK150" s="351" t="str">
        <f>IFERROR(Tableau1[[#This Row],[Qté Facturé 06/2018]]*Tableau1[[#This Row],[Unit Price (calcul)]],"")</f>
        <v/>
      </c>
      <c r="BL150" s="351" t="str">
        <f>IFERROR(IF(Tableau1[[#This Row],[Montant Facturé 06/2018]]&gt;0,Tableau1[[#This Row],[Montant Facturé 06/2018]]/Taux_Change_SII,""),"")</f>
        <v/>
      </c>
      <c r="BM150" s="351"/>
      <c r="BN150" s="83">
        <f>SUMPRODUCT(1*(EXACT(CONCATENATE(Tableau1[[#This Row],[PO Number (Header)]],"-",Tableau1[[#This Row],[Line]]),UO_List[Unique_AIB_ID]))*(UO_List[Qté Réception 07/2020]))</f>
        <v>0</v>
      </c>
      <c r="BO150" s="84"/>
      <c r="BP150" s="351"/>
      <c r="BQ150" s="351" t="str">
        <f>IFERROR(Tableau1[[#This Row],[Qté Facturé 07/2018]]*Tableau1[[#This Row],[Unit Price (calcul)]],"")</f>
        <v/>
      </c>
      <c r="BR150" s="351" t="str">
        <f>IFERROR(IF(Tableau1[[#This Row],[Montant Facturé 07/2018]]&gt;0,Tableau1[[#This Row],[Montant Facturé 07/2018]]/Taux_Change_SII,""),"")</f>
        <v/>
      </c>
      <c r="BS150" s="351"/>
      <c r="BT150" s="83">
        <f>SUMPRODUCT(1*(EXACT(CONCATENATE(Tableau1[[#This Row],[PO Number (Header)]],"-",Tableau1[[#This Row],[Line]]),UO_List[Unique_AIB_ID]))*(UO_List[Qté Réception 08/2020]))</f>
        <v>0</v>
      </c>
      <c r="BU150" s="84"/>
      <c r="BV150" s="351"/>
      <c r="BW150" s="351" t="str">
        <f>IFERROR(Tableau1[[#This Row],[Qté Facturé 08/2018]]*Tableau1[[#This Row],[Unit Price (calcul)]],"")</f>
        <v/>
      </c>
      <c r="BX150" s="351" t="str">
        <f>IFERROR(IF(Tableau1[[#This Row],[Montant Facturé 08/2018]]&gt;0,Tableau1[[#This Row],[Montant Facturé 08/2018]]/Taux_Change_SII,""),"")</f>
        <v/>
      </c>
      <c r="BY150" s="351"/>
      <c r="BZ150" s="83">
        <f>SUMPRODUCT(1*(EXACT(CONCATENATE(Tableau1[[#This Row],[PO Number (Header)]],"-",Tableau1[[#This Row],[Line]]),UO_List[Unique_AIB_ID]))*(UO_List[Qté Réception 09/2020]))</f>
        <v>0</v>
      </c>
      <c r="CA150" s="84">
        <v>0</v>
      </c>
      <c r="CB150" s="351"/>
      <c r="CC150" s="351" t="str">
        <f>IFERROR(Tableau1[[#This Row],[Qté Facturé 09/2018]]*Tableau1[[#This Row],[Unit Price (calcul)]],"")</f>
        <v/>
      </c>
      <c r="CD150" s="351" t="str">
        <f>IFERROR(IF(Tableau1[[#This Row],[Montant Facturé 09/2018]]&gt;0,Tableau1[[#This Row],[Montant Facturé 09/2018]]/Taux_Change_SII,""),"")</f>
        <v/>
      </c>
      <c r="CE150" s="351"/>
      <c r="CF150" s="83">
        <f>SUMPRODUCT(1*(EXACT(CONCATENATE(Tableau1[[#This Row],[PO Number (Header)]],"-",Tableau1[[#This Row],[Line]]),UO_List[Unique_AIB_ID]))*(UO_List[Qté Réception 10/2020]))</f>
        <v>0</v>
      </c>
      <c r="CG150" s="84">
        <v>0</v>
      </c>
      <c r="CH150" s="351"/>
      <c r="CI150" s="351" t="str">
        <f>IFERROR(Tableau1[[#This Row],[Qté Facturé 10/2018]]*Tableau1[[#This Row],[Unit Price (calcul)]],"")</f>
        <v/>
      </c>
      <c r="CJ150" s="351" t="str">
        <f>IFERROR(IF(Tableau1[[#This Row],[Montant Facturé 10/2018]]&gt;0,Tableau1[[#This Row],[Montant Facturé 10/2018]]/Taux_Change_SII,""),"")</f>
        <v/>
      </c>
      <c r="CK150" s="351"/>
      <c r="CL150" s="83">
        <f>SUMPRODUCT(1*(EXACT(CONCATENATE(Tableau1[[#This Row],[PO Number (Header)]],"-",Tableau1[[#This Row],[Line]]),UO_List[Unique_AIB_ID]))*(UO_List[Qté Réception 11/2020]))</f>
        <v>0</v>
      </c>
      <c r="CM150" s="84"/>
      <c r="CN150" s="351"/>
      <c r="CO150" s="351" t="str">
        <f>IFERROR(Tableau1[[#This Row],[Qté Facturé 11/2018]]*Tableau1[[#This Row],[Unit Price (calcul)]],"")</f>
        <v/>
      </c>
      <c r="CP150" s="351" t="str">
        <f>IFERROR(IF(Tableau1[[#This Row],[Montant Facturé 11/2018]]&gt;0,Tableau1[[#This Row],[Montant Facturé 11/2018]]/Taux_Change_SII,""),"")</f>
        <v/>
      </c>
      <c r="CQ150" s="351"/>
      <c r="CR150" s="83">
        <f>SUMPRODUCT(1*(EXACT(CONCATENATE(Tableau1[[#This Row],[PO Number (Header)]],"-",Tableau1[[#This Row],[Line]]),UO_List[Unique_AIB_ID]))*(UO_List[Qté Réception 12/2020]))</f>
        <v>0</v>
      </c>
      <c r="CS150" s="84"/>
      <c r="CT150" s="351"/>
      <c r="CU150" s="351" t="str">
        <f>IFERROR(Tableau1[[#This Row],[Qté Facturé 12/2018]]*Tableau1[[#This Row],[Unit Price (calcul)]],"")</f>
        <v/>
      </c>
      <c r="CV150" s="351" t="str">
        <f>IFERROR(IF(Tableau1[[#This Row],[Montant Facturé 12/2018]]&gt;0,Tableau1[[#This Row],[Montant Facturé 12/2018]]/Taux_Change_SII,""),"")</f>
        <v/>
      </c>
      <c r="CW150" s="351"/>
      <c r="CX15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0" s="352" t="str">
        <f>IFERROR(Tableau1[[#This Row],[Total item réceptionné]]*Tableau1[[#This Row],[Unit Price (calcul)]],"")</f>
        <v/>
      </c>
      <c r="DB150" s="352" t="str">
        <f>IFERROR(Tableau1[[#This Row],[Total item à Facturer]]*Tableau1[[#This Row],[Unit Price (calcul)]],"")</f>
        <v/>
      </c>
      <c r="DC15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0" s="352" t="str">
        <f>IFERROR(Tableau1[[#This Row],[Line Total]]-Tableau1[[#This Row],[Total Price Réceptionné]],"")</f>
        <v/>
      </c>
      <c r="DE150" s="352" t="str">
        <f>IFERROR(Tableau1[[#This Row],[Total Price Réceptionné]]-Tableau1[[#This Row],[Total Price A facturer]],"")</f>
        <v/>
      </c>
      <c r="DF150" s="353" t="str">
        <f>IFERROR(Tableau1[[#This Row],[Total Price A facturer]]-Tableau1[[#This Row],[Total Price Facturé]],"")</f>
        <v/>
      </c>
      <c r="DG150" s="76">
        <f>Tableau1[[#This Row],[Total Item Quantity]]-Tableau1[[#This Row],[Total item réceptionné]]</f>
        <v>0</v>
      </c>
      <c r="DH150" s="167"/>
      <c r="DI150" s="167"/>
    </row>
    <row r="151" spans="1:113" s="74" customFormat="1">
      <c r="A151" s="77" t="str">
        <f>CONCATENATE(Tableau1[[#This Row],[PO Number (Header)]],"-",Tableau1[[#This Row],[Line]])</f>
        <v>-</v>
      </c>
      <c r="B151" s="77"/>
      <c r="C151" s="450"/>
      <c r="D151" s="102"/>
      <c r="E151" s="77"/>
      <c r="F151" s="77"/>
      <c r="G151" s="77"/>
      <c r="H151" s="77"/>
      <c r="I151" s="452"/>
      <c r="J151" s="452"/>
      <c r="K151" s="453"/>
      <c r="L151" s="453"/>
      <c r="M151" s="77"/>
      <c r="N151" s="77"/>
      <c r="O151" s="77"/>
      <c r="P151" s="77"/>
      <c r="Q151" s="395"/>
      <c r="R151" s="395"/>
      <c r="S151" s="77"/>
      <c r="T151" s="77"/>
      <c r="U151" s="77"/>
      <c r="V151" s="77"/>
      <c r="W151" s="167"/>
      <c r="X151" s="167"/>
      <c r="Y151" s="167" t="str">
        <f>IF(ISBLANK(Tableau1[[#This Row],[PO Number (Header)]]),"",Tableau1[[#This Row],[Line Total]]/Tableau1[[#This Row],[Total Item Quantity]])</f>
        <v/>
      </c>
      <c r="Z151" s="167" t="str">
        <f>IF(ISNA(VLOOKUP(Tableau1[[#This Row],[Unique_AIB_ID]],UO_List[Unique_AIB_ID],1,FALSE)),IF(ISBLANK(Tableau1[[#This Row],[PO Number (Header)]]),"","FAUX"),"VRAI")</f>
        <v/>
      </c>
      <c r="AA151" s="167"/>
      <c r="AB151" s="162" t="e">
        <f>VLOOKUP(Tableau1[[#This Row],[Unique_AIB_ID]],UO_List[[Unique_AIB_ID]:[OLGA F6]],3,FALSE)</f>
        <v>#N/A</v>
      </c>
      <c r="AC151" s="162" t="s">
        <v>790</v>
      </c>
      <c r="AD151" s="83">
        <f>SUMPRODUCT(1*(EXACT(CONCATENATE(Tableau1[[#This Row],[PO Number (Header)]],"-",Tableau1[[#This Row],[Line]]),UO_List[Unique_AIB_ID]))*(UO_List[Qté Réception 03/2020]))</f>
        <v>0</v>
      </c>
      <c r="AE151" s="84"/>
      <c r="AF151" s="357"/>
      <c r="AG151" s="351" t="str">
        <f>IFERROR(Tableau1[[#This Row],[Qté Facturé 01/2018]]*Tableau1[[#This Row],[Unit Price (calcul)]],"")</f>
        <v/>
      </c>
      <c r="AH151" s="356" t="str">
        <f>IFERROR(IF(Tableau1[[#This Row],[Montant Facturé 01/2018]]&gt;0,Tableau1[[#This Row],[Montant Facturé 01/2018]]/Taux_Change_SII,""),"")</f>
        <v/>
      </c>
      <c r="AI151" s="351"/>
      <c r="AJ151" s="83">
        <f>SUMPRODUCT(1*(EXACT(CONCATENATE(Tableau1[[#This Row],[PO Number (Header)]],"-",Tableau1[[#This Row],[Line]]),UO_List[Unique_AIB_ID]))*(UO_List[Qté Réception 02/2020]))</f>
        <v>0</v>
      </c>
      <c r="AK151" s="83">
        <f>SUMPRODUCT(1*(EXACT(CONCATENATE(Tableau1[[#This Row],[PO Number (Header)]],"-",Tableau1[[#This Row],[Line]]),UO_List[Unique_AIB_ID]))*(UO_List[Qté Réception 02/2020]))</f>
        <v>0</v>
      </c>
      <c r="AL151" s="357"/>
      <c r="AM151" s="351" t="str">
        <f>IFERROR(Tableau1[[#This Row],[Qté Facturé 02/2018]]*Tableau1[[#This Row],[Unit Price (calcul)]],"")</f>
        <v/>
      </c>
      <c r="AN151" s="351" t="str">
        <f>IFERROR(IF(Tableau1[[#This Row],[Montant Facturé 02/2018]]&gt;0,Tableau1[[#This Row],[Montant Facturé 02/2018]]/Taux_Change_SII,""),"")</f>
        <v/>
      </c>
      <c r="AO151" s="351"/>
      <c r="AP151" s="83">
        <f>SUMPRODUCT(1*(EXACT(CONCATENATE(Tableau1[[#This Row],[PO Number (Header)]],"-",Tableau1[[#This Row],[Line]]),UO_List[Unique_AIB_ID]))*(UO_List[Qté Réception 00/2020]))</f>
        <v>0</v>
      </c>
      <c r="AQ151" s="84"/>
      <c r="AR151" s="357"/>
      <c r="AS151" s="351" t="str">
        <f>IFERROR(Tableau1[[#This Row],[Qté Facturé 03/2018]]*Tableau1[[#This Row],[Unit Price (calcul)]],"")</f>
        <v/>
      </c>
      <c r="AT151" s="351" t="str">
        <f>IFERROR(IF(Tableau1[[#This Row],[Montant Facturé 03/2018]]&gt;0,Tableau1[[#This Row],[Montant Facturé 03/2018]]/Taux_Change_SII,""),"")</f>
        <v/>
      </c>
      <c r="AU151" s="351"/>
      <c r="AV151" s="83">
        <f>SUMPRODUCT(1*(EXACT(CONCATENATE(Tableau1[[#This Row],[PO Number (Header)]],"-",Tableau1[[#This Row],[Line]]),UO_List[Unique_AIB_ID]))*(UO_List[Qté Réception 04/2020]))</f>
        <v>0</v>
      </c>
      <c r="AW151" s="84"/>
      <c r="AX151" s="351"/>
      <c r="AY151" s="351" t="str">
        <f>IFERROR(Tableau1[[#This Row],[Qté Facturé 04/2018]]*Tableau1[[#This Row],[Unit Price (calcul)]],"")</f>
        <v/>
      </c>
      <c r="AZ151" s="351" t="str">
        <f>IFERROR(IF(Tableau1[[#This Row],[Montant Facturé 04/2018]]&gt;0,Tableau1[[#This Row],[Montant Facturé 04/2018]]/Taux_Change_SII,""),"")</f>
        <v/>
      </c>
      <c r="BA151" s="351"/>
      <c r="BB151" s="83">
        <f>SUMPRODUCT(1*(EXACT(CONCATENATE(Tableau1[[#This Row],[PO Number (Header)]],"-",Tableau1[[#This Row],[Line]]),UO_List[Unique_AIB_ID]))*(UO_List[Qté Réception 05/2020]))</f>
        <v>0</v>
      </c>
      <c r="BC151" s="84"/>
      <c r="BD151" s="351"/>
      <c r="BE151" s="351" t="str">
        <f>IFERROR(Tableau1[[#This Row],[Qté Facturé 05/2018]]*Tableau1[[#This Row],[Unit Price (calcul)]],"")</f>
        <v/>
      </c>
      <c r="BF151" s="351" t="str">
        <f>IFERROR(IF(Tableau1[[#This Row],[Montant Facturé 05/2018]]&gt;0,Tableau1[[#This Row],[Montant Facturé 05/2018]]/Taux_Change_SII,""),"")</f>
        <v/>
      </c>
      <c r="BG151" s="351"/>
      <c r="BH151" s="83">
        <f>SUMPRODUCT(1*(EXACT(CONCATENATE(Tableau1[[#This Row],[PO Number (Header)]],"-",Tableau1[[#This Row],[Line]]),UO_List[Unique_AIB_ID]))*(UO_List[Qté Réception 06/2020]))</f>
        <v>0</v>
      </c>
      <c r="BI151" s="84"/>
      <c r="BJ151" s="351"/>
      <c r="BK151" s="351" t="str">
        <f>IFERROR(Tableau1[[#This Row],[Qté Facturé 06/2018]]*Tableau1[[#This Row],[Unit Price (calcul)]],"")</f>
        <v/>
      </c>
      <c r="BL151" s="351" t="str">
        <f>IFERROR(IF(Tableau1[[#This Row],[Montant Facturé 06/2018]]&gt;0,Tableau1[[#This Row],[Montant Facturé 06/2018]]/Taux_Change_SII,""),"")</f>
        <v/>
      </c>
      <c r="BM151" s="351"/>
      <c r="BN151" s="83">
        <f>SUMPRODUCT(1*(EXACT(CONCATENATE(Tableau1[[#This Row],[PO Number (Header)]],"-",Tableau1[[#This Row],[Line]]),UO_List[Unique_AIB_ID]))*(UO_List[Qté Réception 07/2020]))</f>
        <v>0</v>
      </c>
      <c r="BO151" s="84"/>
      <c r="BP151" s="351"/>
      <c r="BQ151" s="351" t="str">
        <f>IFERROR(Tableau1[[#This Row],[Qté Facturé 07/2018]]*Tableau1[[#This Row],[Unit Price (calcul)]],"")</f>
        <v/>
      </c>
      <c r="BR151" s="351" t="str">
        <f>IFERROR(IF(Tableau1[[#This Row],[Montant Facturé 07/2018]]&gt;0,Tableau1[[#This Row],[Montant Facturé 07/2018]]/Taux_Change_SII,""),"")</f>
        <v/>
      </c>
      <c r="BS151" s="351"/>
      <c r="BT151" s="83">
        <f>SUMPRODUCT(1*(EXACT(CONCATENATE(Tableau1[[#This Row],[PO Number (Header)]],"-",Tableau1[[#This Row],[Line]]),UO_List[Unique_AIB_ID]))*(UO_List[Qté Réception 08/2020]))</f>
        <v>0</v>
      </c>
      <c r="BU151" s="84"/>
      <c r="BV151" s="351"/>
      <c r="BW151" s="351" t="str">
        <f>IFERROR(Tableau1[[#This Row],[Qté Facturé 08/2018]]*Tableau1[[#This Row],[Unit Price (calcul)]],"")</f>
        <v/>
      </c>
      <c r="BX151" s="351" t="str">
        <f>IFERROR(IF(Tableau1[[#This Row],[Montant Facturé 08/2018]]&gt;0,Tableau1[[#This Row],[Montant Facturé 08/2018]]/Taux_Change_SII,""),"")</f>
        <v/>
      </c>
      <c r="BY151" s="351"/>
      <c r="BZ151" s="83">
        <f>SUMPRODUCT(1*(EXACT(CONCATENATE(Tableau1[[#This Row],[PO Number (Header)]],"-",Tableau1[[#This Row],[Line]]),UO_List[Unique_AIB_ID]))*(UO_List[Qté Réception 09/2020]))</f>
        <v>0</v>
      </c>
      <c r="CA151" s="84">
        <v>0</v>
      </c>
      <c r="CB151" s="351"/>
      <c r="CC151" s="351" t="str">
        <f>IFERROR(Tableau1[[#This Row],[Qté Facturé 09/2018]]*Tableau1[[#This Row],[Unit Price (calcul)]],"")</f>
        <v/>
      </c>
      <c r="CD151" s="351" t="str">
        <f>IFERROR(IF(Tableau1[[#This Row],[Montant Facturé 09/2018]]&gt;0,Tableau1[[#This Row],[Montant Facturé 09/2018]]/Taux_Change_SII,""),"")</f>
        <v/>
      </c>
      <c r="CE151" s="351"/>
      <c r="CF151" s="83">
        <f>SUMPRODUCT(1*(EXACT(CONCATENATE(Tableau1[[#This Row],[PO Number (Header)]],"-",Tableau1[[#This Row],[Line]]),UO_List[Unique_AIB_ID]))*(UO_List[Qté Réception 10/2020]))</f>
        <v>0</v>
      </c>
      <c r="CG151" s="84">
        <v>0</v>
      </c>
      <c r="CH151" s="351"/>
      <c r="CI151" s="351" t="str">
        <f>IFERROR(Tableau1[[#This Row],[Qté Facturé 10/2018]]*Tableau1[[#This Row],[Unit Price (calcul)]],"")</f>
        <v/>
      </c>
      <c r="CJ151" s="351" t="str">
        <f>IFERROR(IF(Tableau1[[#This Row],[Montant Facturé 10/2018]]&gt;0,Tableau1[[#This Row],[Montant Facturé 10/2018]]/Taux_Change_SII,""),"")</f>
        <v/>
      </c>
      <c r="CK151" s="351"/>
      <c r="CL151" s="83">
        <f>SUMPRODUCT(1*(EXACT(CONCATENATE(Tableau1[[#This Row],[PO Number (Header)]],"-",Tableau1[[#This Row],[Line]]),UO_List[Unique_AIB_ID]))*(UO_List[Qté Réception 11/2020]))</f>
        <v>0</v>
      </c>
      <c r="CM151" s="84"/>
      <c r="CN151" s="351"/>
      <c r="CO151" s="351" t="str">
        <f>IFERROR(Tableau1[[#This Row],[Qté Facturé 11/2018]]*Tableau1[[#This Row],[Unit Price (calcul)]],"")</f>
        <v/>
      </c>
      <c r="CP151" s="351" t="str">
        <f>IFERROR(IF(Tableau1[[#This Row],[Montant Facturé 11/2018]]&gt;0,Tableau1[[#This Row],[Montant Facturé 11/2018]]/Taux_Change_SII,""),"")</f>
        <v/>
      </c>
      <c r="CQ151" s="351"/>
      <c r="CR151" s="83">
        <f>SUMPRODUCT(1*(EXACT(CONCATENATE(Tableau1[[#This Row],[PO Number (Header)]],"-",Tableau1[[#This Row],[Line]]),UO_List[Unique_AIB_ID]))*(UO_List[Qté Réception 12/2020]))</f>
        <v>0</v>
      </c>
      <c r="CS151" s="84"/>
      <c r="CT151" s="351"/>
      <c r="CU151" s="351" t="str">
        <f>IFERROR(Tableau1[[#This Row],[Qté Facturé 12/2018]]*Tableau1[[#This Row],[Unit Price (calcul)]],"")</f>
        <v/>
      </c>
      <c r="CV151" s="351" t="str">
        <f>IFERROR(IF(Tableau1[[#This Row],[Montant Facturé 12/2018]]&gt;0,Tableau1[[#This Row],[Montant Facturé 12/2018]]/Taux_Change_SII,""),"")</f>
        <v/>
      </c>
      <c r="CW151" s="351"/>
      <c r="CX15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1" s="352" t="str">
        <f>IFERROR(Tableau1[[#This Row],[Total item réceptionné]]*Tableau1[[#This Row],[Unit Price (calcul)]],"")</f>
        <v/>
      </c>
      <c r="DB151" s="352" t="str">
        <f>IFERROR(Tableau1[[#This Row],[Total item à Facturer]]*Tableau1[[#This Row],[Unit Price (calcul)]],"")</f>
        <v/>
      </c>
      <c r="DC15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1" s="352" t="str">
        <f>IFERROR(Tableau1[[#This Row],[Line Total]]-Tableau1[[#This Row],[Total Price Réceptionné]],"")</f>
        <v/>
      </c>
      <c r="DE151" s="352" t="str">
        <f>IFERROR(Tableau1[[#This Row],[Total Price Réceptionné]]-Tableau1[[#This Row],[Total Price A facturer]],"")</f>
        <v/>
      </c>
      <c r="DF151" s="353" t="str">
        <f>IFERROR(Tableau1[[#This Row],[Total Price A facturer]]-Tableau1[[#This Row],[Total Price Facturé]],"")</f>
        <v/>
      </c>
      <c r="DG151" s="76">
        <f>Tableau1[[#This Row],[Total Item Quantity]]-Tableau1[[#This Row],[Total item réceptionné]]</f>
        <v>0</v>
      </c>
      <c r="DH151" s="167"/>
      <c r="DI151" s="167"/>
    </row>
    <row r="152" spans="1:113" s="74" customFormat="1">
      <c r="A152" s="77" t="str">
        <f>CONCATENATE(Tableau1[[#This Row],[PO Number (Header)]],"-",Tableau1[[#This Row],[Line]])</f>
        <v>-</v>
      </c>
      <c r="B152" s="77"/>
      <c r="C152" s="450"/>
      <c r="D152" s="102"/>
      <c r="E152" s="77"/>
      <c r="F152" s="77"/>
      <c r="G152" s="77"/>
      <c r="H152" s="77"/>
      <c r="I152" s="452"/>
      <c r="J152" s="452"/>
      <c r="K152" s="453"/>
      <c r="L152" s="453"/>
      <c r="M152" s="77"/>
      <c r="N152" s="77"/>
      <c r="O152" s="77"/>
      <c r="P152" s="77"/>
      <c r="Q152" s="395"/>
      <c r="R152" s="395"/>
      <c r="S152" s="77"/>
      <c r="T152" s="77"/>
      <c r="U152" s="77"/>
      <c r="V152" s="77"/>
      <c r="W152" s="167"/>
      <c r="X152" s="167"/>
      <c r="Y152" s="167" t="str">
        <f>IF(ISBLANK(Tableau1[[#This Row],[PO Number (Header)]]),"",Tableau1[[#This Row],[Line Total]]/Tableau1[[#This Row],[Total Item Quantity]])</f>
        <v/>
      </c>
      <c r="Z152" s="167" t="str">
        <f>IF(ISNA(VLOOKUP(Tableau1[[#This Row],[Unique_AIB_ID]],UO_List[Unique_AIB_ID],1,FALSE)),IF(ISBLANK(Tableau1[[#This Row],[PO Number (Header)]]),"","FAUX"),"VRAI")</f>
        <v/>
      </c>
      <c r="AA152" s="167" t="s">
        <v>634</v>
      </c>
      <c r="AB152" s="162" t="e">
        <f>VLOOKUP(Tableau1[[#This Row],[Unique_AIB_ID]],UO_List[[Unique_AIB_ID]:[OLGA F6]],3,FALSE)</f>
        <v>#N/A</v>
      </c>
      <c r="AC152" s="162" t="s">
        <v>820</v>
      </c>
      <c r="AD152" s="83">
        <f>SUMPRODUCT(1*(EXACT(CONCATENATE(Tableau1[[#This Row],[PO Number (Header)]],"-",Tableau1[[#This Row],[Line]]),UO_List[Unique_AIB_ID]))*(UO_List[Qté Réception 03/2020]))</f>
        <v>0</v>
      </c>
      <c r="AE152" s="84"/>
      <c r="AF152" s="357"/>
      <c r="AG152" s="351" t="str">
        <f>IFERROR(Tableau1[[#This Row],[Qté Facturé 01/2018]]*Tableau1[[#This Row],[Unit Price (calcul)]],"")</f>
        <v/>
      </c>
      <c r="AH152" s="356" t="str">
        <f>IFERROR(IF(Tableau1[[#This Row],[Montant Facturé 01/2018]]&gt;0,Tableau1[[#This Row],[Montant Facturé 01/2018]]/Taux_Change_SII,""),"")</f>
        <v/>
      </c>
      <c r="AI152" s="351"/>
      <c r="AJ152" s="83">
        <f>SUMPRODUCT(1*(EXACT(CONCATENATE(Tableau1[[#This Row],[PO Number (Header)]],"-",Tableau1[[#This Row],[Line]]),UO_List[Unique_AIB_ID]))*(UO_List[Qté Réception 02/2020]))</f>
        <v>0</v>
      </c>
      <c r="AK152" s="83">
        <f>SUMPRODUCT(1*(EXACT(CONCATENATE(Tableau1[[#This Row],[PO Number (Header)]],"-",Tableau1[[#This Row],[Line]]),UO_List[Unique_AIB_ID]))*(UO_List[Qté Réception 02/2020]))</f>
        <v>0</v>
      </c>
      <c r="AL152" s="357"/>
      <c r="AM152" s="351" t="str">
        <f>IFERROR(Tableau1[[#This Row],[Qté Facturé 02/2018]]*Tableau1[[#This Row],[Unit Price (calcul)]],"")</f>
        <v/>
      </c>
      <c r="AN152" s="351" t="str">
        <f>IFERROR(IF(Tableau1[[#This Row],[Montant Facturé 02/2018]]&gt;0,Tableau1[[#This Row],[Montant Facturé 02/2018]]/Taux_Change_SII,""),"")</f>
        <v/>
      </c>
      <c r="AO152" s="351"/>
      <c r="AP152" s="83">
        <f>SUMPRODUCT(1*(EXACT(CONCATENATE(Tableau1[[#This Row],[PO Number (Header)]],"-",Tableau1[[#This Row],[Line]]),UO_List[Unique_AIB_ID]))*(UO_List[Qté Réception 00/2020]))</f>
        <v>0</v>
      </c>
      <c r="AQ152" s="84"/>
      <c r="AR152" s="357"/>
      <c r="AS152" s="351" t="str">
        <f>IFERROR(Tableau1[[#This Row],[Qté Facturé 03/2018]]*Tableau1[[#This Row],[Unit Price (calcul)]],"")</f>
        <v/>
      </c>
      <c r="AT152" s="351" t="str">
        <f>IFERROR(IF(Tableau1[[#This Row],[Montant Facturé 03/2018]]&gt;0,Tableau1[[#This Row],[Montant Facturé 03/2018]]/Taux_Change_SII,""),"")</f>
        <v/>
      </c>
      <c r="AU152" s="351"/>
      <c r="AV152" s="83">
        <f>SUMPRODUCT(1*(EXACT(CONCATENATE(Tableau1[[#This Row],[PO Number (Header)]],"-",Tableau1[[#This Row],[Line]]),UO_List[Unique_AIB_ID]))*(UO_List[Qté Réception 04/2020]))</f>
        <v>0</v>
      </c>
      <c r="AW152" s="84"/>
      <c r="AX152" s="351"/>
      <c r="AY152" s="351" t="str">
        <f>IFERROR(Tableau1[[#This Row],[Qté Facturé 04/2018]]*Tableau1[[#This Row],[Unit Price (calcul)]],"")</f>
        <v/>
      </c>
      <c r="AZ152" s="351" t="str">
        <f>IFERROR(IF(Tableau1[[#This Row],[Montant Facturé 04/2018]]&gt;0,Tableau1[[#This Row],[Montant Facturé 04/2018]]/Taux_Change_SII,""),"")</f>
        <v/>
      </c>
      <c r="BA152" s="351"/>
      <c r="BB152" s="83">
        <f>SUMPRODUCT(1*(EXACT(CONCATENATE(Tableau1[[#This Row],[PO Number (Header)]],"-",Tableau1[[#This Row],[Line]]),UO_List[Unique_AIB_ID]))*(UO_List[Qté Réception 05/2020]))</f>
        <v>0</v>
      </c>
      <c r="BC152" s="84"/>
      <c r="BD152" s="351"/>
      <c r="BE152" s="351" t="str">
        <f>IFERROR(Tableau1[[#This Row],[Qté Facturé 05/2018]]*Tableau1[[#This Row],[Unit Price (calcul)]],"")</f>
        <v/>
      </c>
      <c r="BF152" s="351" t="str">
        <f>IFERROR(IF(Tableau1[[#This Row],[Montant Facturé 05/2018]]&gt;0,Tableau1[[#This Row],[Montant Facturé 05/2018]]/Taux_Change_SII,""),"")</f>
        <v/>
      </c>
      <c r="BG152" s="351"/>
      <c r="BH152" s="83">
        <f>SUMPRODUCT(1*(EXACT(CONCATENATE(Tableau1[[#This Row],[PO Number (Header)]],"-",Tableau1[[#This Row],[Line]]),UO_List[Unique_AIB_ID]))*(UO_List[Qté Réception 06/2020]))</f>
        <v>0</v>
      </c>
      <c r="BI152" s="84"/>
      <c r="BJ152" s="351"/>
      <c r="BK152" s="351" t="str">
        <f>IFERROR(Tableau1[[#This Row],[Qté Facturé 06/2018]]*Tableau1[[#This Row],[Unit Price (calcul)]],"")</f>
        <v/>
      </c>
      <c r="BL152" s="351" t="str">
        <f>IFERROR(IF(Tableau1[[#This Row],[Montant Facturé 06/2018]]&gt;0,Tableau1[[#This Row],[Montant Facturé 06/2018]]/Taux_Change_SII,""),"")</f>
        <v/>
      </c>
      <c r="BM152" s="351"/>
      <c r="BN152" s="83">
        <f>SUMPRODUCT(1*(EXACT(CONCATENATE(Tableau1[[#This Row],[PO Number (Header)]],"-",Tableau1[[#This Row],[Line]]),UO_List[Unique_AIB_ID]))*(UO_List[Qté Réception 07/2020]))</f>
        <v>0</v>
      </c>
      <c r="BO152" s="84">
        <v>0</v>
      </c>
      <c r="BP152" s="351"/>
      <c r="BQ152" s="351" t="str">
        <f>IFERROR(Tableau1[[#This Row],[Qté Facturé 07/2018]]*Tableau1[[#This Row],[Unit Price (calcul)]],"")</f>
        <v/>
      </c>
      <c r="BR152" s="351" t="str">
        <f>IFERROR(IF(Tableau1[[#This Row],[Montant Facturé 07/2018]]&gt;0,Tableau1[[#This Row],[Montant Facturé 07/2018]]/Taux_Change_SII,""),"")</f>
        <v/>
      </c>
      <c r="BS152" s="351"/>
      <c r="BT152" s="83">
        <f>SUMPRODUCT(1*(EXACT(CONCATENATE(Tableau1[[#This Row],[PO Number (Header)]],"-",Tableau1[[#This Row],[Line]]),UO_List[Unique_AIB_ID]))*(UO_List[Qté Réception 08/2020]))</f>
        <v>0</v>
      </c>
      <c r="BU152" s="84"/>
      <c r="BV152" s="351"/>
      <c r="BW152" s="351" t="str">
        <f>IFERROR(Tableau1[[#This Row],[Qté Facturé 08/2018]]*Tableau1[[#This Row],[Unit Price (calcul)]],"")</f>
        <v/>
      </c>
      <c r="BX152" s="351" t="str">
        <f>IFERROR(IF(Tableau1[[#This Row],[Montant Facturé 08/2018]]&gt;0,Tableau1[[#This Row],[Montant Facturé 08/2018]]/Taux_Change_SII,""),"")</f>
        <v/>
      </c>
      <c r="BY152" s="351"/>
      <c r="BZ152" s="83">
        <f>SUMPRODUCT(1*(EXACT(CONCATENATE(Tableau1[[#This Row],[PO Number (Header)]],"-",Tableau1[[#This Row],[Line]]),UO_List[Unique_AIB_ID]))*(UO_List[Qté Réception 09/2020]))</f>
        <v>0</v>
      </c>
      <c r="CA152" s="84">
        <v>0</v>
      </c>
      <c r="CB152" s="351"/>
      <c r="CC152" s="351" t="str">
        <f>IFERROR(Tableau1[[#This Row],[Qté Facturé 09/2018]]*Tableau1[[#This Row],[Unit Price (calcul)]],"")</f>
        <v/>
      </c>
      <c r="CD152" s="351" t="str">
        <f>IFERROR(IF(Tableau1[[#This Row],[Montant Facturé 09/2018]]&gt;0,Tableau1[[#This Row],[Montant Facturé 09/2018]]/Taux_Change_SII,""),"")</f>
        <v/>
      </c>
      <c r="CE152" s="351"/>
      <c r="CF152" s="83">
        <f>SUMPRODUCT(1*(EXACT(CONCATENATE(Tableau1[[#This Row],[PO Number (Header)]],"-",Tableau1[[#This Row],[Line]]),UO_List[Unique_AIB_ID]))*(UO_List[Qté Réception 10/2020]))</f>
        <v>0</v>
      </c>
      <c r="CG152" s="84">
        <v>0</v>
      </c>
      <c r="CH152" s="351">
        <v>2</v>
      </c>
      <c r="CI152" s="488" t="str">
        <f>IFERROR(Tableau1[[#This Row],[Qté Facturé 10/2018]]*Tableau1[[#This Row],[Unit Price (calcul)]],"")</f>
        <v/>
      </c>
      <c r="CJ152" s="351" t="str">
        <f>IFERROR(IF(Tableau1[[#This Row],[Montant Facturé 10/2018]]&gt;0,Tableau1[[#This Row],[Montant Facturé 10/2018]]/Taux_Change_SII,""),"")</f>
        <v/>
      </c>
      <c r="CK152" s="351"/>
      <c r="CL152" s="83">
        <f>SUMPRODUCT(1*(EXACT(CONCATENATE(Tableau1[[#This Row],[PO Number (Header)]],"-",Tableau1[[#This Row],[Line]]),UO_List[Unique_AIB_ID]))*(UO_List[Qté Réception 11/2020]))</f>
        <v>0</v>
      </c>
      <c r="CM152" s="84"/>
      <c r="CN152" s="351"/>
      <c r="CO152" s="351" t="str">
        <f>IFERROR(Tableau1[[#This Row],[Qté Facturé 11/2018]]*Tableau1[[#This Row],[Unit Price (calcul)]],"")</f>
        <v/>
      </c>
      <c r="CP152" s="351" t="str">
        <f>IFERROR(IF(Tableau1[[#This Row],[Montant Facturé 11/2018]]&gt;0,Tableau1[[#This Row],[Montant Facturé 11/2018]]/Taux_Change_SII,""),"")</f>
        <v/>
      </c>
      <c r="CQ152" s="351"/>
      <c r="CR152" s="83">
        <f>SUMPRODUCT(1*(EXACT(CONCATENATE(Tableau1[[#This Row],[PO Number (Header)]],"-",Tableau1[[#This Row],[Line]]),UO_List[Unique_AIB_ID]))*(UO_List[Qté Réception 12/2020]))</f>
        <v>0</v>
      </c>
      <c r="CS152" s="84"/>
      <c r="CT152" s="351"/>
      <c r="CU152" s="351" t="str">
        <f>IFERROR(Tableau1[[#This Row],[Qté Facturé 12/2018]]*Tableau1[[#This Row],[Unit Price (calcul)]],"")</f>
        <v/>
      </c>
      <c r="CV152" s="351" t="str">
        <f>IFERROR(IF(Tableau1[[#This Row],[Montant Facturé 12/2018]]&gt;0,Tableau1[[#This Row],[Montant Facturé 12/2018]]/Taux_Change_SII,""),"")</f>
        <v/>
      </c>
      <c r="CW152" s="351"/>
      <c r="CX15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2</v>
      </c>
      <c r="DA152" s="352" t="str">
        <f>IFERROR(Tableau1[[#This Row],[Total item réceptionné]]*Tableau1[[#This Row],[Unit Price (calcul)]],"")</f>
        <v/>
      </c>
      <c r="DB152" s="352" t="str">
        <f>IFERROR(Tableau1[[#This Row],[Total item à Facturer]]*Tableau1[[#This Row],[Unit Price (calcul)]],"")</f>
        <v/>
      </c>
      <c r="DC15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2" s="352" t="str">
        <f>IFERROR(Tableau1[[#This Row],[Line Total]]-Tableau1[[#This Row],[Total Price Réceptionné]],"")</f>
        <v/>
      </c>
      <c r="DE152" s="352" t="str">
        <f>IFERROR(Tableau1[[#This Row],[Total Price Réceptionné]]-Tableau1[[#This Row],[Total Price A facturer]],"")</f>
        <v/>
      </c>
      <c r="DF152" s="353" t="str">
        <f>IFERROR(Tableau1[[#This Row],[Total Price A facturer]]-Tableau1[[#This Row],[Total Price Facturé]],"")</f>
        <v/>
      </c>
      <c r="DG152" s="76">
        <f>Tableau1[[#This Row],[Total Item Quantity]]-Tableau1[[#This Row],[Total item réceptionné]]</f>
        <v>0</v>
      </c>
      <c r="DH152" s="167"/>
      <c r="DI152" s="167"/>
    </row>
    <row r="153" spans="1:113" s="74" customFormat="1">
      <c r="A153" s="77" t="str">
        <f>CONCATENATE(Tableau1[[#This Row],[PO Number (Header)]],"-",Tableau1[[#This Row],[Line]])</f>
        <v>-</v>
      </c>
      <c r="B153" s="77"/>
      <c r="C153" s="450"/>
      <c r="D153" s="102"/>
      <c r="E153" s="77"/>
      <c r="F153" s="77"/>
      <c r="G153" s="77"/>
      <c r="H153" s="77"/>
      <c r="I153" s="452"/>
      <c r="J153" s="452"/>
      <c r="K153" s="453"/>
      <c r="L153" s="453"/>
      <c r="M153" s="77"/>
      <c r="N153" s="77"/>
      <c r="O153" s="77"/>
      <c r="P153" s="77"/>
      <c r="Q153" s="395"/>
      <c r="R153" s="395"/>
      <c r="S153" s="77"/>
      <c r="T153" s="77"/>
      <c r="U153" s="77"/>
      <c r="V153" s="77"/>
      <c r="W153" s="167"/>
      <c r="X153" s="167"/>
      <c r="Y153" s="167" t="str">
        <f>IF(ISBLANK(Tableau1[[#This Row],[PO Number (Header)]]),"",Tableau1[[#This Row],[Line Total]]/Tableau1[[#This Row],[Total Item Quantity]])</f>
        <v/>
      </c>
      <c r="Z153" s="167" t="str">
        <f>IF(ISNA(VLOOKUP(Tableau1[[#This Row],[Unique_AIB_ID]],UO_List[Unique_AIB_ID],1,FALSE)),IF(ISBLANK(Tableau1[[#This Row],[PO Number (Header)]]),"","FAUX"),"VRAI")</f>
        <v/>
      </c>
      <c r="AA153" s="167"/>
      <c r="AB153" s="162" t="e">
        <f>VLOOKUP(Tableau1[[#This Row],[Unique_AIB_ID]],UO_List[[Unique_AIB_ID]:[OLGA F6]],3,FALSE)</f>
        <v>#N/A</v>
      </c>
      <c r="AC153" s="162" t="s">
        <v>791</v>
      </c>
      <c r="AD153" s="83">
        <f>SUMPRODUCT(1*(EXACT(CONCATENATE(Tableau1[[#This Row],[PO Number (Header)]],"-",Tableau1[[#This Row],[Line]]),UO_List[Unique_AIB_ID]))*(UO_List[Qté Réception 03/2020]))</f>
        <v>0</v>
      </c>
      <c r="AE153" s="84"/>
      <c r="AF153" s="357"/>
      <c r="AG153" s="351" t="str">
        <f>IFERROR(Tableau1[[#This Row],[Qté Facturé 01/2018]]*Tableau1[[#This Row],[Unit Price (calcul)]],"")</f>
        <v/>
      </c>
      <c r="AH153" s="356" t="str">
        <f>IFERROR(IF(Tableau1[[#This Row],[Montant Facturé 01/2018]]&gt;0,Tableau1[[#This Row],[Montant Facturé 01/2018]]/Taux_Change_SII,""),"")</f>
        <v/>
      </c>
      <c r="AI153" s="351"/>
      <c r="AJ153" s="83">
        <f>SUMPRODUCT(1*(EXACT(CONCATENATE(Tableau1[[#This Row],[PO Number (Header)]],"-",Tableau1[[#This Row],[Line]]),UO_List[Unique_AIB_ID]))*(UO_List[Qté Réception 02/2020]))</f>
        <v>0</v>
      </c>
      <c r="AK153" s="83">
        <f>SUMPRODUCT(1*(EXACT(CONCATENATE(Tableau1[[#This Row],[PO Number (Header)]],"-",Tableau1[[#This Row],[Line]]),UO_List[Unique_AIB_ID]))*(UO_List[Qté Réception 02/2020]))</f>
        <v>0</v>
      </c>
      <c r="AL153" s="357"/>
      <c r="AM153" s="351" t="str">
        <f>IFERROR(Tableau1[[#This Row],[Qté Facturé 02/2018]]*Tableau1[[#This Row],[Unit Price (calcul)]],"")</f>
        <v/>
      </c>
      <c r="AN153" s="351" t="str">
        <f>IFERROR(IF(Tableau1[[#This Row],[Montant Facturé 02/2018]]&gt;0,Tableau1[[#This Row],[Montant Facturé 02/2018]]/Taux_Change_SII,""),"")</f>
        <v/>
      </c>
      <c r="AO153" s="351"/>
      <c r="AP153" s="83">
        <f>SUMPRODUCT(1*(EXACT(CONCATENATE(Tableau1[[#This Row],[PO Number (Header)]],"-",Tableau1[[#This Row],[Line]]),UO_List[Unique_AIB_ID]))*(UO_List[Qté Réception 00/2020]))</f>
        <v>0</v>
      </c>
      <c r="AQ153" s="84"/>
      <c r="AR153" s="357"/>
      <c r="AS153" s="351" t="str">
        <f>IFERROR(Tableau1[[#This Row],[Qté Facturé 03/2018]]*Tableau1[[#This Row],[Unit Price (calcul)]],"")</f>
        <v/>
      </c>
      <c r="AT153" s="351" t="str">
        <f>IFERROR(IF(Tableau1[[#This Row],[Montant Facturé 03/2018]]&gt;0,Tableau1[[#This Row],[Montant Facturé 03/2018]]/Taux_Change_SII,""),"")</f>
        <v/>
      </c>
      <c r="AU153" s="351"/>
      <c r="AV153" s="83">
        <f>SUMPRODUCT(1*(EXACT(CONCATENATE(Tableau1[[#This Row],[PO Number (Header)]],"-",Tableau1[[#This Row],[Line]]),UO_List[Unique_AIB_ID]))*(UO_List[Qté Réception 04/2020]))</f>
        <v>0</v>
      </c>
      <c r="AW153" s="84"/>
      <c r="AX153" s="351"/>
      <c r="AY153" s="351" t="str">
        <f>IFERROR(Tableau1[[#This Row],[Qté Facturé 04/2018]]*Tableau1[[#This Row],[Unit Price (calcul)]],"")</f>
        <v/>
      </c>
      <c r="AZ153" s="351" t="str">
        <f>IFERROR(IF(Tableau1[[#This Row],[Montant Facturé 04/2018]]&gt;0,Tableau1[[#This Row],[Montant Facturé 04/2018]]/Taux_Change_SII,""),"")</f>
        <v/>
      </c>
      <c r="BA153" s="351"/>
      <c r="BB153" s="83">
        <f>SUMPRODUCT(1*(EXACT(CONCATENATE(Tableau1[[#This Row],[PO Number (Header)]],"-",Tableau1[[#This Row],[Line]]),UO_List[Unique_AIB_ID]))*(UO_List[Qté Réception 05/2020]))</f>
        <v>0</v>
      </c>
      <c r="BC153" s="84"/>
      <c r="BD153" s="351"/>
      <c r="BE153" s="351" t="str">
        <f>IFERROR(Tableau1[[#This Row],[Qté Facturé 05/2018]]*Tableau1[[#This Row],[Unit Price (calcul)]],"")</f>
        <v/>
      </c>
      <c r="BF153" s="351" t="str">
        <f>IFERROR(IF(Tableau1[[#This Row],[Montant Facturé 05/2018]]&gt;0,Tableau1[[#This Row],[Montant Facturé 05/2018]]/Taux_Change_SII,""),"")</f>
        <v/>
      </c>
      <c r="BG153" s="351"/>
      <c r="BH153" s="83">
        <f>SUMPRODUCT(1*(EXACT(CONCATENATE(Tableau1[[#This Row],[PO Number (Header)]],"-",Tableau1[[#This Row],[Line]]),UO_List[Unique_AIB_ID]))*(UO_List[Qté Réception 06/2020]))</f>
        <v>0</v>
      </c>
      <c r="BI153" s="84"/>
      <c r="BJ153" s="351"/>
      <c r="BK153" s="351" t="str">
        <f>IFERROR(Tableau1[[#This Row],[Qté Facturé 06/2018]]*Tableau1[[#This Row],[Unit Price (calcul)]],"")</f>
        <v/>
      </c>
      <c r="BL153" s="351" t="str">
        <f>IFERROR(IF(Tableau1[[#This Row],[Montant Facturé 06/2018]]&gt;0,Tableau1[[#This Row],[Montant Facturé 06/2018]]/Taux_Change_SII,""),"")</f>
        <v/>
      </c>
      <c r="BM153" s="351"/>
      <c r="BN153" s="83">
        <f>SUMPRODUCT(1*(EXACT(CONCATENATE(Tableau1[[#This Row],[PO Number (Header)]],"-",Tableau1[[#This Row],[Line]]),UO_List[Unique_AIB_ID]))*(UO_List[Qté Réception 07/2020]))</f>
        <v>0</v>
      </c>
      <c r="BO153" s="84">
        <v>0</v>
      </c>
      <c r="BP153" s="351"/>
      <c r="BQ153" s="351" t="str">
        <f>IFERROR(Tableau1[[#This Row],[Qté Facturé 07/2018]]*Tableau1[[#This Row],[Unit Price (calcul)]],"")</f>
        <v/>
      </c>
      <c r="BR153" s="351" t="str">
        <f>IFERROR(IF(Tableau1[[#This Row],[Montant Facturé 07/2018]]&gt;0,Tableau1[[#This Row],[Montant Facturé 07/2018]]/Taux_Change_SII,""),"")</f>
        <v/>
      </c>
      <c r="BS153" s="351"/>
      <c r="BT153" s="83">
        <f>SUMPRODUCT(1*(EXACT(CONCATENATE(Tableau1[[#This Row],[PO Number (Header)]],"-",Tableau1[[#This Row],[Line]]),UO_List[Unique_AIB_ID]))*(UO_List[Qté Réception 08/2020]))</f>
        <v>0</v>
      </c>
      <c r="BU153" s="84"/>
      <c r="BV153" s="351"/>
      <c r="BW153" s="351" t="str">
        <f>IFERROR(Tableau1[[#This Row],[Qté Facturé 08/2018]]*Tableau1[[#This Row],[Unit Price (calcul)]],"")</f>
        <v/>
      </c>
      <c r="BX153" s="351" t="str">
        <f>IFERROR(IF(Tableau1[[#This Row],[Montant Facturé 08/2018]]&gt;0,Tableau1[[#This Row],[Montant Facturé 08/2018]]/Taux_Change_SII,""),"")</f>
        <v/>
      </c>
      <c r="BY153" s="351"/>
      <c r="BZ153" s="83">
        <f>SUMPRODUCT(1*(EXACT(CONCATENATE(Tableau1[[#This Row],[PO Number (Header)]],"-",Tableau1[[#This Row],[Line]]),UO_List[Unique_AIB_ID]))*(UO_List[Qté Réception 09/2020]))</f>
        <v>0</v>
      </c>
      <c r="CA153" s="84">
        <v>0</v>
      </c>
      <c r="CB153" s="351"/>
      <c r="CC153" s="351" t="str">
        <f>IFERROR(Tableau1[[#This Row],[Qté Facturé 09/2018]]*Tableau1[[#This Row],[Unit Price (calcul)]],"")</f>
        <v/>
      </c>
      <c r="CD153" s="351" t="str">
        <f>IFERROR(IF(Tableau1[[#This Row],[Montant Facturé 09/2018]]&gt;0,Tableau1[[#This Row],[Montant Facturé 09/2018]]/Taux_Change_SII,""),"")</f>
        <v/>
      </c>
      <c r="CE153" s="351"/>
      <c r="CF153" s="83">
        <f>SUMPRODUCT(1*(EXACT(CONCATENATE(Tableau1[[#This Row],[PO Number (Header)]],"-",Tableau1[[#This Row],[Line]]),UO_List[Unique_AIB_ID]))*(UO_List[Qté Réception 10/2020]))</f>
        <v>0</v>
      </c>
      <c r="CG153" s="84"/>
      <c r="CH153" s="84"/>
      <c r="CI153" s="488" t="str">
        <f>IFERROR(Tableau1[[#This Row],[Qté Facturé 10/2018]]*Tableau1[[#This Row],[Unit Price (calcul)]],"")</f>
        <v/>
      </c>
      <c r="CJ153" s="351" t="str">
        <f>IFERROR(IF(Tableau1[[#This Row],[Montant Facturé 10/2018]]&gt;0,Tableau1[[#This Row],[Montant Facturé 10/2018]]/Taux_Change_SII,""),"")</f>
        <v/>
      </c>
      <c r="CK153" s="351"/>
      <c r="CL153" s="83">
        <f>SUMPRODUCT(1*(EXACT(CONCATENATE(Tableau1[[#This Row],[PO Number (Header)]],"-",Tableau1[[#This Row],[Line]]),UO_List[Unique_AIB_ID]))*(UO_List[Qté Réception 11/2020]))</f>
        <v>0</v>
      </c>
      <c r="CM153" s="84"/>
      <c r="CN153" s="351"/>
      <c r="CO153" s="351" t="str">
        <f>IFERROR(Tableau1[[#This Row],[Qté Facturé 11/2018]]*Tableau1[[#This Row],[Unit Price (calcul)]],"")</f>
        <v/>
      </c>
      <c r="CP153" s="351" t="str">
        <f>IFERROR(IF(Tableau1[[#This Row],[Montant Facturé 11/2018]]&gt;0,Tableau1[[#This Row],[Montant Facturé 11/2018]]/Taux_Change_SII,""),"")</f>
        <v/>
      </c>
      <c r="CQ153" s="351"/>
      <c r="CR153" s="83">
        <f>SUMPRODUCT(1*(EXACT(CONCATENATE(Tableau1[[#This Row],[PO Number (Header)]],"-",Tableau1[[#This Row],[Line]]),UO_List[Unique_AIB_ID]))*(UO_List[Qté Réception 12/2020]))</f>
        <v>0</v>
      </c>
      <c r="CS153" s="84"/>
      <c r="CT153" s="351"/>
      <c r="CU153" s="351" t="str">
        <f>IFERROR(Tableau1[[#This Row],[Qté Facturé 12/2018]]*Tableau1[[#This Row],[Unit Price (calcul)]],"")</f>
        <v/>
      </c>
      <c r="CV153" s="351" t="str">
        <f>IFERROR(IF(Tableau1[[#This Row],[Montant Facturé 12/2018]]&gt;0,Tableau1[[#This Row],[Montant Facturé 12/2018]]/Taux_Change_SII,""),"")</f>
        <v/>
      </c>
      <c r="CW153" s="351"/>
      <c r="CX15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3" s="352" t="str">
        <f>IFERROR(Tableau1[[#This Row],[Total item réceptionné]]*Tableau1[[#This Row],[Unit Price (calcul)]],"")</f>
        <v/>
      </c>
      <c r="DB153" s="352" t="str">
        <f>IFERROR(Tableau1[[#This Row],[Total item à Facturer]]*Tableau1[[#This Row],[Unit Price (calcul)]],"")</f>
        <v/>
      </c>
      <c r="DC15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3" s="352" t="str">
        <f>IFERROR(Tableau1[[#This Row],[Line Total]]-Tableau1[[#This Row],[Total Price Réceptionné]],"")</f>
        <v/>
      </c>
      <c r="DE153" s="352" t="str">
        <f>IFERROR(Tableau1[[#This Row],[Total Price Réceptionné]]-Tableau1[[#This Row],[Total Price A facturer]],"")</f>
        <v/>
      </c>
      <c r="DF153" s="353" t="str">
        <f>IFERROR(Tableau1[[#This Row],[Total Price A facturer]]-Tableau1[[#This Row],[Total Price Facturé]],"")</f>
        <v/>
      </c>
      <c r="DG153" s="76">
        <f>Tableau1[[#This Row],[Total Item Quantity]]-Tableau1[[#This Row],[Total item réceptionné]]</f>
        <v>0</v>
      </c>
      <c r="DH153" s="167"/>
      <c r="DI153" s="167"/>
    </row>
    <row r="154" spans="1:113" s="74" customFormat="1">
      <c r="A154" s="77" t="str">
        <f>CONCATENATE(Tableau1[[#This Row],[PO Number (Header)]],"-",Tableau1[[#This Row],[Line]])</f>
        <v>-</v>
      </c>
      <c r="B154" s="77"/>
      <c r="C154" s="450"/>
      <c r="D154" s="102"/>
      <c r="E154" s="77"/>
      <c r="F154" s="77"/>
      <c r="G154" s="77"/>
      <c r="H154" s="77"/>
      <c r="I154" s="452"/>
      <c r="J154" s="452"/>
      <c r="K154" s="453"/>
      <c r="L154" s="453"/>
      <c r="M154" s="77"/>
      <c r="N154" s="77"/>
      <c r="O154" s="77"/>
      <c r="P154" s="77"/>
      <c r="Q154" s="395"/>
      <c r="R154" s="395"/>
      <c r="S154" s="77"/>
      <c r="T154" s="77"/>
      <c r="U154" s="77"/>
      <c r="V154" s="77"/>
      <c r="W154" s="167"/>
      <c r="X154" s="167"/>
      <c r="Y154" s="167" t="str">
        <f>IF(ISBLANK(Tableau1[[#This Row],[PO Number (Header)]]),"",Tableau1[[#This Row],[Line Total]]/Tableau1[[#This Row],[Total Item Quantity]])</f>
        <v/>
      </c>
      <c r="Z154" s="167" t="str">
        <f>IF(ISNA(VLOOKUP(Tableau1[[#This Row],[Unique_AIB_ID]],UO_List[Unique_AIB_ID],1,FALSE)),IF(ISBLANK(Tableau1[[#This Row],[PO Number (Header)]]),"","FAUX"),"VRAI")</f>
        <v/>
      </c>
      <c r="AA154" s="167"/>
      <c r="AB154" s="162" t="e">
        <f>VLOOKUP(Tableau1[[#This Row],[Unique_AIB_ID]],UO_List[[Unique_AIB_ID]:[OLGA F6]],3,FALSE)</f>
        <v>#N/A</v>
      </c>
      <c r="AC154" s="162" t="s">
        <v>821</v>
      </c>
      <c r="AD154" s="83">
        <f>SUMPRODUCT(1*(EXACT(CONCATENATE(Tableau1[[#This Row],[PO Number (Header)]],"-",Tableau1[[#This Row],[Line]]),UO_List[Unique_AIB_ID]))*(UO_List[Qté Réception 03/2020]))</f>
        <v>0</v>
      </c>
      <c r="AE154" s="84"/>
      <c r="AF154" s="357"/>
      <c r="AG154" s="351" t="str">
        <f>IFERROR(Tableau1[[#This Row],[Qté Facturé 01/2018]]*Tableau1[[#This Row],[Unit Price (calcul)]],"")</f>
        <v/>
      </c>
      <c r="AH154" s="356" t="str">
        <f>IFERROR(IF(Tableau1[[#This Row],[Montant Facturé 01/2018]]&gt;0,Tableau1[[#This Row],[Montant Facturé 01/2018]]/Taux_Change_SII,""),"")</f>
        <v/>
      </c>
      <c r="AI154" s="351"/>
      <c r="AJ154" s="83">
        <f>SUMPRODUCT(1*(EXACT(CONCATENATE(Tableau1[[#This Row],[PO Number (Header)]],"-",Tableau1[[#This Row],[Line]]),UO_List[Unique_AIB_ID]))*(UO_List[Qté Réception 02/2020]))</f>
        <v>0</v>
      </c>
      <c r="AK154" s="83">
        <f>SUMPRODUCT(1*(EXACT(CONCATENATE(Tableau1[[#This Row],[PO Number (Header)]],"-",Tableau1[[#This Row],[Line]]),UO_List[Unique_AIB_ID]))*(UO_List[Qté Réception 02/2020]))</f>
        <v>0</v>
      </c>
      <c r="AL154" s="357"/>
      <c r="AM154" s="351" t="str">
        <f>IFERROR(Tableau1[[#This Row],[Qté Facturé 02/2018]]*Tableau1[[#This Row],[Unit Price (calcul)]],"")</f>
        <v/>
      </c>
      <c r="AN154" s="351" t="str">
        <f>IFERROR(IF(Tableau1[[#This Row],[Montant Facturé 02/2018]]&gt;0,Tableau1[[#This Row],[Montant Facturé 02/2018]]/Taux_Change_SII,""),"")</f>
        <v/>
      </c>
      <c r="AO154" s="351"/>
      <c r="AP154" s="83">
        <f>SUMPRODUCT(1*(EXACT(CONCATENATE(Tableau1[[#This Row],[PO Number (Header)]],"-",Tableau1[[#This Row],[Line]]),UO_List[Unique_AIB_ID]))*(UO_List[Qté Réception 00/2020]))</f>
        <v>0</v>
      </c>
      <c r="AQ154" s="84"/>
      <c r="AR154" s="357"/>
      <c r="AS154" s="351" t="str">
        <f>IFERROR(Tableau1[[#This Row],[Qté Facturé 03/2018]]*Tableau1[[#This Row],[Unit Price (calcul)]],"")</f>
        <v/>
      </c>
      <c r="AT154" s="351" t="str">
        <f>IFERROR(IF(Tableau1[[#This Row],[Montant Facturé 03/2018]]&gt;0,Tableau1[[#This Row],[Montant Facturé 03/2018]]/Taux_Change_SII,""),"")</f>
        <v/>
      </c>
      <c r="AU154" s="351"/>
      <c r="AV154" s="83">
        <f>SUMPRODUCT(1*(EXACT(CONCATENATE(Tableau1[[#This Row],[PO Number (Header)]],"-",Tableau1[[#This Row],[Line]]),UO_List[Unique_AIB_ID]))*(UO_List[Qté Réception 04/2020]))</f>
        <v>0</v>
      </c>
      <c r="AW154" s="84"/>
      <c r="AX154" s="351"/>
      <c r="AY154" s="351" t="str">
        <f>IFERROR(Tableau1[[#This Row],[Qté Facturé 04/2018]]*Tableau1[[#This Row],[Unit Price (calcul)]],"")</f>
        <v/>
      </c>
      <c r="AZ154" s="351" t="str">
        <f>IFERROR(IF(Tableau1[[#This Row],[Montant Facturé 04/2018]]&gt;0,Tableau1[[#This Row],[Montant Facturé 04/2018]]/Taux_Change_SII,""),"")</f>
        <v/>
      </c>
      <c r="BA154" s="351"/>
      <c r="BB154" s="83">
        <f>SUMPRODUCT(1*(EXACT(CONCATENATE(Tableau1[[#This Row],[PO Number (Header)]],"-",Tableau1[[#This Row],[Line]]),UO_List[Unique_AIB_ID]))*(UO_List[Qté Réception 05/2020]))</f>
        <v>0</v>
      </c>
      <c r="BC154" s="84"/>
      <c r="BD154" s="351"/>
      <c r="BE154" s="351" t="str">
        <f>IFERROR(Tableau1[[#This Row],[Qté Facturé 05/2018]]*Tableau1[[#This Row],[Unit Price (calcul)]],"")</f>
        <v/>
      </c>
      <c r="BF154" s="351" t="str">
        <f>IFERROR(IF(Tableau1[[#This Row],[Montant Facturé 05/2018]]&gt;0,Tableau1[[#This Row],[Montant Facturé 05/2018]]/Taux_Change_SII,""),"")</f>
        <v/>
      </c>
      <c r="BG154" s="351"/>
      <c r="BH154" s="83">
        <f>SUMPRODUCT(1*(EXACT(CONCATENATE(Tableau1[[#This Row],[PO Number (Header)]],"-",Tableau1[[#This Row],[Line]]),UO_List[Unique_AIB_ID]))*(UO_List[Qté Réception 06/2020]))</f>
        <v>0</v>
      </c>
      <c r="BI154" s="84"/>
      <c r="BJ154" s="351"/>
      <c r="BK154" s="351" t="str">
        <f>IFERROR(Tableau1[[#This Row],[Qté Facturé 06/2018]]*Tableau1[[#This Row],[Unit Price (calcul)]],"")</f>
        <v/>
      </c>
      <c r="BL154" s="351" t="str">
        <f>IFERROR(IF(Tableau1[[#This Row],[Montant Facturé 06/2018]]&gt;0,Tableau1[[#This Row],[Montant Facturé 06/2018]]/Taux_Change_SII,""),"")</f>
        <v/>
      </c>
      <c r="BM154" s="351"/>
      <c r="BN154" s="83">
        <f>SUMPRODUCT(1*(EXACT(CONCATENATE(Tableau1[[#This Row],[PO Number (Header)]],"-",Tableau1[[#This Row],[Line]]),UO_List[Unique_AIB_ID]))*(UO_List[Qté Réception 07/2020]))</f>
        <v>0</v>
      </c>
      <c r="BO154" s="84"/>
      <c r="BP154" s="351"/>
      <c r="BQ154" s="351" t="str">
        <f>IFERROR(Tableau1[[#This Row],[Qté Facturé 07/2018]]*Tableau1[[#This Row],[Unit Price (calcul)]],"")</f>
        <v/>
      </c>
      <c r="BR154" s="351" t="str">
        <f>IFERROR(IF(Tableau1[[#This Row],[Montant Facturé 07/2018]]&gt;0,Tableau1[[#This Row],[Montant Facturé 07/2018]]/Taux_Change_SII,""),"")</f>
        <v/>
      </c>
      <c r="BS154" s="351"/>
      <c r="BT154" s="83">
        <f>SUMPRODUCT(1*(EXACT(CONCATENATE(Tableau1[[#This Row],[PO Number (Header)]],"-",Tableau1[[#This Row],[Line]]),UO_List[Unique_AIB_ID]))*(UO_List[Qté Réception 08/2020]))</f>
        <v>0</v>
      </c>
      <c r="BU154" s="84"/>
      <c r="BV154" s="351"/>
      <c r="BW154" s="351" t="str">
        <f>IFERROR(Tableau1[[#This Row],[Qté Facturé 08/2018]]*Tableau1[[#This Row],[Unit Price (calcul)]],"")</f>
        <v/>
      </c>
      <c r="BX154" s="351" t="str">
        <f>IFERROR(IF(Tableau1[[#This Row],[Montant Facturé 08/2018]]&gt;0,Tableau1[[#This Row],[Montant Facturé 08/2018]]/Taux_Change_SII,""),"")</f>
        <v/>
      </c>
      <c r="BY154" s="351"/>
      <c r="BZ154" s="83"/>
      <c r="CA154" s="84"/>
      <c r="CB154" s="351"/>
      <c r="CC154" s="351" t="str">
        <f>IFERROR(Tableau1[[#This Row],[Qté Facturé 09/2018]]*Tableau1[[#This Row],[Unit Price (calcul)]],"")</f>
        <v/>
      </c>
      <c r="CD154" s="351" t="str">
        <f>IFERROR(IF(Tableau1[[#This Row],[Montant Facturé 09/2018]]&gt;0,Tableau1[[#This Row],[Montant Facturé 09/2018]]/Taux_Change_SII,""),"")</f>
        <v/>
      </c>
      <c r="CE154" s="351"/>
      <c r="CF154" s="83">
        <f>SUMPRODUCT(1*(EXACT(CONCATENATE(Tableau1[[#This Row],[PO Number (Header)]],"-",Tableau1[[#This Row],[Line]]),UO_List[Unique_AIB_ID]))*(UO_List[Qté Réception 10/2020]))</f>
        <v>0</v>
      </c>
      <c r="CG154" s="84">
        <v>0</v>
      </c>
      <c r="CH154" s="351">
        <v>1</v>
      </c>
      <c r="CI154" s="488" t="str">
        <f>IFERROR(Tableau1[[#This Row],[Qté Facturé 10/2018]]*Tableau1[[#This Row],[Unit Price (calcul)]],"")</f>
        <v/>
      </c>
      <c r="CJ154" s="351" t="str">
        <f>IFERROR(IF(Tableau1[[#This Row],[Montant Facturé 10/2018]]&gt;0,Tableau1[[#This Row],[Montant Facturé 10/2018]]/Taux_Change_SII,""),"")</f>
        <v/>
      </c>
      <c r="CK154" s="351"/>
      <c r="CL154" s="83">
        <f>SUMPRODUCT(1*(EXACT(CONCATENATE(Tableau1[[#This Row],[PO Number (Header)]],"-",Tableau1[[#This Row],[Line]]),UO_List[Unique_AIB_ID]))*(UO_List[Qté Réception 11/2020]))</f>
        <v>0</v>
      </c>
      <c r="CM154" s="84"/>
      <c r="CN154" s="351"/>
      <c r="CO154" s="351" t="str">
        <f>IFERROR(Tableau1[[#This Row],[Qté Facturé 11/2018]]*Tableau1[[#This Row],[Unit Price (calcul)]],"")</f>
        <v/>
      </c>
      <c r="CP154" s="351" t="str">
        <f>IFERROR(IF(Tableau1[[#This Row],[Montant Facturé 11/2018]]&gt;0,Tableau1[[#This Row],[Montant Facturé 11/2018]]/Taux_Change_SII,""),"")</f>
        <v/>
      </c>
      <c r="CQ154" s="351"/>
      <c r="CR154" s="83">
        <f>SUMPRODUCT(1*(EXACT(CONCATENATE(Tableau1[[#This Row],[PO Number (Header)]],"-",Tableau1[[#This Row],[Line]]),UO_List[Unique_AIB_ID]))*(UO_List[Qté Réception 12/2020]))</f>
        <v>0</v>
      </c>
      <c r="CS154" s="84"/>
      <c r="CT154" s="351"/>
      <c r="CU154" s="351" t="str">
        <f>IFERROR(Tableau1[[#This Row],[Qté Facturé 12/2018]]*Tableau1[[#This Row],[Unit Price (calcul)]],"")</f>
        <v/>
      </c>
      <c r="CV154" s="351" t="str">
        <f>IFERROR(IF(Tableau1[[#This Row],[Montant Facturé 12/2018]]&gt;0,Tableau1[[#This Row],[Montant Facturé 12/2018]]/Taux_Change_SII,""),"")</f>
        <v/>
      </c>
      <c r="CW154" s="351"/>
      <c r="CX15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1</v>
      </c>
      <c r="DA154" s="352" t="str">
        <f>IFERROR(Tableau1[[#This Row],[Total item réceptionné]]*Tableau1[[#This Row],[Unit Price (calcul)]],"")</f>
        <v/>
      </c>
      <c r="DB154" s="352" t="str">
        <f>IFERROR(Tableau1[[#This Row],[Total item à Facturer]]*Tableau1[[#This Row],[Unit Price (calcul)]],"")</f>
        <v/>
      </c>
      <c r="DC15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4" s="352" t="str">
        <f>IFERROR(Tableau1[[#This Row],[Line Total]]-Tableau1[[#This Row],[Total Price Réceptionné]],"")</f>
        <v/>
      </c>
      <c r="DE154" s="352" t="str">
        <f>IFERROR(Tableau1[[#This Row],[Total Price Réceptionné]]-Tableau1[[#This Row],[Total Price A facturer]],"")</f>
        <v/>
      </c>
      <c r="DF154" s="353" t="str">
        <f>IFERROR(Tableau1[[#This Row],[Total Price A facturer]]-Tableau1[[#This Row],[Total Price Facturé]],"")</f>
        <v/>
      </c>
      <c r="DG154" s="76">
        <f>Tableau1[[#This Row],[Total Item Quantity]]-Tableau1[[#This Row],[Total item réceptionné]]</f>
        <v>0</v>
      </c>
      <c r="DH154" s="167"/>
      <c r="DI154" s="167"/>
    </row>
    <row r="155" spans="1:113" s="74" customFormat="1">
      <c r="A155" s="77" t="str">
        <f>CONCATENATE(Tableau1[[#This Row],[PO Number (Header)]],"-",Tableau1[[#This Row],[Line]])</f>
        <v>-</v>
      </c>
      <c r="B155" s="77"/>
      <c r="C155" s="450"/>
      <c r="D155" s="102"/>
      <c r="E155" s="77"/>
      <c r="F155" s="77"/>
      <c r="G155" s="77"/>
      <c r="H155" s="77"/>
      <c r="I155" s="452"/>
      <c r="J155" s="452"/>
      <c r="K155" s="453"/>
      <c r="L155" s="453"/>
      <c r="M155" s="77"/>
      <c r="N155" s="77"/>
      <c r="O155" s="77"/>
      <c r="P155" s="77"/>
      <c r="Q155" s="395"/>
      <c r="R155" s="395"/>
      <c r="S155" s="77"/>
      <c r="T155" s="77"/>
      <c r="U155" s="77"/>
      <c r="V155" s="77"/>
      <c r="W155" s="167"/>
      <c r="X155" s="167"/>
      <c r="Y155" s="167" t="str">
        <f>IF(ISBLANK(Tableau1[[#This Row],[PO Number (Header)]]),"",Tableau1[[#This Row],[Line Total]]/Tableau1[[#This Row],[Total Item Quantity]])</f>
        <v/>
      </c>
      <c r="Z155" s="167" t="str">
        <f>IF(ISNA(VLOOKUP(Tableau1[[#This Row],[Unique_AIB_ID]],UO_List[Unique_AIB_ID],1,FALSE)),IF(ISBLANK(Tableau1[[#This Row],[PO Number (Header)]]),"","FAUX"),"VRAI")</f>
        <v/>
      </c>
      <c r="AA155" s="167"/>
      <c r="AB155" s="162" t="e">
        <f>VLOOKUP(Tableau1[[#This Row],[Unique_AIB_ID]],UO_List[[Unique_AIB_ID]:[OLGA F6]],3,FALSE)</f>
        <v>#N/A</v>
      </c>
      <c r="AC155" s="162" t="s">
        <v>822</v>
      </c>
      <c r="AD155" s="83">
        <f>SUMPRODUCT(1*(EXACT(CONCATENATE(Tableau1[[#This Row],[PO Number (Header)]],"-",Tableau1[[#This Row],[Line]]),UO_List[Unique_AIB_ID]))*(UO_List[Qté Réception 03/2020]))</f>
        <v>0</v>
      </c>
      <c r="AE155" s="84"/>
      <c r="AF155" s="357"/>
      <c r="AG155" s="351" t="str">
        <f>IFERROR(Tableau1[[#This Row],[Qté Facturé 01/2018]]*Tableau1[[#This Row],[Unit Price (calcul)]],"")</f>
        <v/>
      </c>
      <c r="AH155" s="356" t="str">
        <f>IFERROR(IF(Tableau1[[#This Row],[Montant Facturé 01/2018]]&gt;0,Tableau1[[#This Row],[Montant Facturé 01/2018]]/Taux_Change_SII,""),"")</f>
        <v/>
      </c>
      <c r="AI155" s="351"/>
      <c r="AJ155" s="83">
        <f>SUMPRODUCT(1*(EXACT(CONCATENATE(Tableau1[[#This Row],[PO Number (Header)]],"-",Tableau1[[#This Row],[Line]]),UO_List[Unique_AIB_ID]))*(UO_List[Qté Réception 02/2020]))</f>
        <v>0</v>
      </c>
      <c r="AK155" s="83">
        <f>SUMPRODUCT(1*(EXACT(CONCATENATE(Tableau1[[#This Row],[PO Number (Header)]],"-",Tableau1[[#This Row],[Line]]),UO_List[Unique_AIB_ID]))*(UO_List[Qté Réception 02/2020]))</f>
        <v>0</v>
      </c>
      <c r="AL155" s="357"/>
      <c r="AM155" s="351" t="str">
        <f>IFERROR(Tableau1[[#This Row],[Qté Facturé 02/2018]]*Tableau1[[#This Row],[Unit Price (calcul)]],"")</f>
        <v/>
      </c>
      <c r="AN155" s="351" t="str">
        <f>IFERROR(IF(Tableau1[[#This Row],[Montant Facturé 02/2018]]&gt;0,Tableau1[[#This Row],[Montant Facturé 02/2018]]/Taux_Change_SII,""),"")</f>
        <v/>
      </c>
      <c r="AO155" s="351"/>
      <c r="AP155" s="83">
        <f>SUMPRODUCT(1*(EXACT(CONCATENATE(Tableau1[[#This Row],[PO Number (Header)]],"-",Tableau1[[#This Row],[Line]]),UO_List[Unique_AIB_ID]))*(UO_List[Qté Réception 00/2020]))</f>
        <v>0</v>
      </c>
      <c r="AQ155" s="84"/>
      <c r="AR155" s="357"/>
      <c r="AS155" s="351" t="str">
        <f>IFERROR(Tableau1[[#This Row],[Qté Facturé 03/2018]]*Tableau1[[#This Row],[Unit Price (calcul)]],"")</f>
        <v/>
      </c>
      <c r="AT155" s="351" t="str">
        <f>IFERROR(IF(Tableau1[[#This Row],[Montant Facturé 03/2018]]&gt;0,Tableau1[[#This Row],[Montant Facturé 03/2018]]/Taux_Change_SII,""),"")</f>
        <v/>
      </c>
      <c r="AU155" s="351"/>
      <c r="AV155" s="83">
        <f>SUMPRODUCT(1*(EXACT(CONCATENATE(Tableau1[[#This Row],[PO Number (Header)]],"-",Tableau1[[#This Row],[Line]]),UO_List[Unique_AIB_ID]))*(UO_List[Qté Réception 04/2020]))</f>
        <v>0</v>
      </c>
      <c r="AW155" s="84"/>
      <c r="AX155" s="351"/>
      <c r="AY155" s="351" t="str">
        <f>IFERROR(Tableau1[[#This Row],[Qté Facturé 04/2018]]*Tableau1[[#This Row],[Unit Price (calcul)]],"")</f>
        <v/>
      </c>
      <c r="AZ155" s="351" t="str">
        <f>IFERROR(IF(Tableau1[[#This Row],[Montant Facturé 04/2018]]&gt;0,Tableau1[[#This Row],[Montant Facturé 04/2018]]/Taux_Change_SII,""),"")</f>
        <v/>
      </c>
      <c r="BA155" s="351"/>
      <c r="BB155" s="83">
        <f>SUMPRODUCT(1*(EXACT(CONCATENATE(Tableau1[[#This Row],[PO Number (Header)]],"-",Tableau1[[#This Row],[Line]]),UO_List[Unique_AIB_ID]))*(UO_List[Qté Réception 05/2020]))</f>
        <v>0</v>
      </c>
      <c r="BC155" s="84"/>
      <c r="BD155" s="351"/>
      <c r="BE155" s="351" t="str">
        <f>IFERROR(Tableau1[[#This Row],[Qté Facturé 05/2018]]*Tableau1[[#This Row],[Unit Price (calcul)]],"")</f>
        <v/>
      </c>
      <c r="BF155" s="351" t="str">
        <f>IFERROR(IF(Tableau1[[#This Row],[Montant Facturé 05/2018]]&gt;0,Tableau1[[#This Row],[Montant Facturé 05/2018]]/Taux_Change_SII,""),"")</f>
        <v/>
      </c>
      <c r="BG155" s="351"/>
      <c r="BH155" s="83">
        <f>SUMPRODUCT(1*(EXACT(CONCATENATE(Tableau1[[#This Row],[PO Number (Header)]],"-",Tableau1[[#This Row],[Line]]),UO_List[Unique_AIB_ID]))*(UO_List[Qté Réception 06/2020]))</f>
        <v>0</v>
      </c>
      <c r="BI155" s="84"/>
      <c r="BJ155" s="351"/>
      <c r="BK155" s="351" t="str">
        <f>IFERROR(Tableau1[[#This Row],[Qté Facturé 06/2018]]*Tableau1[[#This Row],[Unit Price (calcul)]],"")</f>
        <v/>
      </c>
      <c r="BL155" s="351" t="str">
        <f>IFERROR(IF(Tableau1[[#This Row],[Montant Facturé 06/2018]]&gt;0,Tableau1[[#This Row],[Montant Facturé 06/2018]]/Taux_Change_SII,""),"")</f>
        <v/>
      </c>
      <c r="BM155" s="351"/>
      <c r="BN155" s="83">
        <f>SUMPRODUCT(1*(EXACT(CONCATENATE(Tableau1[[#This Row],[PO Number (Header)]],"-",Tableau1[[#This Row],[Line]]),UO_List[Unique_AIB_ID]))*(UO_List[Qté Réception 07/2020]))</f>
        <v>0</v>
      </c>
      <c r="BO155" s="84"/>
      <c r="BP155" s="351"/>
      <c r="BQ155" s="351" t="str">
        <f>IFERROR(Tableau1[[#This Row],[Qté Facturé 07/2018]]*Tableau1[[#This Row],[Unit Price (calcul)]],"")</f>
        <v/>
      </c>
      <c r="BR155" s="351" t="str">
        <f>IFERROR(IF(Tableau1[[#This Row],[Montant Facturé 07/2018]]&gt;0,Tableau1[[#This Row],[Montant Facturé 07/2018]]/Taux_Change_SII,""),"")</f>
        <v/>
      </c>
      <c r="BS155" s="351"/>
      <c r="BT155" s="83">
        <f>SUMPRODUCT(1*(EXACT(CONCATENATE(Tableau1[[#This Row],[PO Number (Header)]],"-",Tableau1[[#This Row],[Line]]),UO_List[Unique_AIB_ID]))*(UO_List[Qté Réception 08/2020]))</f>
        <v>0</v>
      </c>
      <c r="BU155" s="84"/>
      <c r="BV155" s="351"/>
      <c r="BW155" s="351" t="str">
        <f>IFERROR(Tableau1[[#This Row],[Qté Facturé 08/2018]]*Tableau1[[#This Row],[Unit Price (calcul)]],"")</f>
        <v/>
      </c>
      <c r="BX155" s="351" t="str">
        <f>IFERROR(IF(Tableau1[[#This Row],[Montant Facturé 08/2018]]&gt;0,Tableau1[[#This Row],[Montant Facturé 08/2018]]/Taux_Change_SII,""),"")</f>
        <v/>
      </c>
      <c r="BY155" s="351"/>
      <c r="BZ155" s="83">
        <f>SUMPRODUCT(1*(EXACT(CONCATENATE(Tableau1[[#This Row],[PO Number (Header)]],"-",Tableau1[[#This Row],[Line]]),UO_List[Unique_AIB_ID]))*(UO_List[Qté Réception 09/2020]))</f>
        <v>0</v>
      </c>
      <c r="CA155" s="84">
        <v>0</v>
      </c>
      <c r="CB155" s="351">
        <v>-2</v>
      </c>
      <c r="CC155" s="351" t="str">
        <f>IFERROR(Tableau1[[#This Row],[Qté Facturé 09/2018]]*Tableau1[[#This Row],[Unit Price (calcul)]],"")</f>
        <v/>
      </c>
      <c r="CD155" s="351" t="str">
        <f>IFERROR(IF(Tableau1[[#This Row],[Montant Facturé 09/2018]]&gt;0,Tableau1[[#This Row],[Montant Facturé 09/2018]]/Taux_Change_SII,""),"")</f>
        <v/>
      </c>
      <c r="CE155" s="351"/>
      <c r="CF155" s="83">
        <f>SUMPRODUCT(1*(EXACT(CONCATENATE(Tableau1[[#This Row],[PO Number (Header)]],"-",Tableau1[[#This Row],[Line]]),UO_List[Unique_AIB_ID]))*(UO_List[Qté Réception 10/2020]))</f>
        <v>0</v>
      </c>
      <c r="CG155" s="84">
        <v>0</v>
      </c>
      <c r="CH155" s="351">
        <v>2</v>
      </c>
      <c r="CI155" s="488" t="str">
        <f>IFERROR(Tableau1[[#This Row],[Qté Facturé 10/2018]]*Tableau1[[#This Row],[Unit Price (calcul)]],"")</f>
        <v/>
      </c>
      <c r="CJ155" s="351" t="str">
        <f>IFERROR(IF(Tableau1[[#This Row],[Montant Facturé 10/2018]]&gt;0,Tableau1[[#This Row],[Montant Facturé 10/2018]]/Taux_Change_SII,""),"")</f>
        <v/>
      </c>
      <c r="CK155" s="351"/>
      <c r="CL155" s="83">
        <f>SUMPRODUCT(1*(EXACT(CONCATENATE(Tableau1[[#This Row],[PO Number (Header)]],"-",Tableau1[[#This Row],[Line]]),UO_List[Unique_AIB_ID]))*(UO_List[Qté Réception 11/2020]))</f>
        <v>0</v>
      </c>
      <c r="CM155" s="84"/>
      <c r="CN155" s="351"/>
      <c r="CO155" s="351" t="str">
        <f>IFERROR(Tableau1[[#This Row],[Qté Facturé 11/2018]]*Tableau1[[#This Row],[Unit Price (calcul)]],"")</f>
        <v/>
      </c>
      <c r="CP155" s="351" t="str">
        <f>IFERROR(IF(Tableau1[[#This Row],[Montant Facturé 11/2018]]&gt;0,Tableau1[[#This Row],[Montant Facturé 11/2018]]/Taux_Change_SII,""),"")</f>
        <v/>
      </c>
      <c r="CQ155" s="351"/>
      <c r="CR155" s="83">
        <f>SUMPRODUCT(1*(EXACT(CONCATENATE(Tableau1[[#This Row],[PO Number (Header)]],"-",Tableau1[[#This Row],[Line]]),UO_List[Unique_AIB_ID]))*(UO_List[Qté Réception 12/2020]))</f>
        <v>0</v>
      </c>
      <c r="CS155" s="84"/>
      <c r="CT155" s="351"/>
      <c r="CU155" s="351" t="str">
        <f>IFERROR(Tableau1[[#This Row],[Qté Facturé 12/2018]]*Tableau1[[#This Row],[Unit Price (calcul)]],"")</f>
        <v/>
      </c>
      <c r="CV155" s="351" t="str">
        <f>IFERROR(IF(Tableau1[[#This Row],[Montant Facturé 12/2018]]&gt;0,Tableau1[[#This Row],[Montant Facturé 12/2018]]/Taux_Change_SII,""),"")</f>
        <v/>
      </c>
      <c r="CW155" s="351"/>
      <c r="CX15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5" s="352" t="str">
        <f>IFERROR(Tableau1[[#This Row],[Total item réceptionné]]*Tableau1[[#This Row],[Unit Price (calcul)]],"")</f>
        <v/>
      </c>
      <c r="DB155" s="352" t="str">
        <f>IFERROR(Tableau1[[#This Row],[Total item à Facturer]]*Tableau1[[#This Row],[Unit Price (calcul)]],"")</f>
        <v/>
      </c>
      <c r="DC15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5" s="352" t="str">
        <f>IFERROR(Tableau1[[#This Row],[Line Total]]-Tableau1[[#This Row],[Total Price Réceptionné]],"")</f>
        <v/>
      </c>
      <c r="DE155" s="352" t="str">
        <f>IFERROR(Tableau1[[#This Row],[Total Price Réceptionné]]-Tableau1[[#This Row],[Total Price A facturer]],"")</f>
        <v/>
      </c>
      <c r="DF155" s="353" t="str">
        <f>IFERROR(Tableau1[[#This Row],[Total Price A facturer]]-Tableau1[[#This Row],[Total Price Facturé]],"")</f>
        <v/>
      </c>
      <c r="DG155" s="76">
        <f>Tableau1[[#This Row],[Total Item Quantity]]-Tableau1[[#This Row],[Total item réceptionné]]</f>
        <v>0</v>
      </c>
      <c r="DH155" s="167"/>
      <c r="DI155" s="167"/>
    </row>
    <row r="156" spans="1:113" s="74" customFormat="1">
      <c r="A156" s="77" t="str">
        <f>CONCATENATE(Tableau1[[#This Row],[PO Number (Header)]],"-",Tableau1[[#This Row],[Line]])</f>
        <v>-</v>
      </c>
      <c r="B156" s="77"/>
      <c r="C156" s="450"/>
      <c r="D156" s="102"/>
      <c r="E156" s="77"/>
      <c r="F156" s="77"/>
      <c r="G156" s="77"/>
      <c r="H156" s="77"/>
      <c r="I156" s="452"/>
      <c r="J156" s="452"/>
      <c r="K156" s="453"/>
      <c r="L156" s="453"/>
      <c r="M156" s="77"/>
      <c r="N156" s="77"/>
      <c r="O156" s="77"/>
      <c r="P156" s="77"/>
      <c r="Q156" s="395"/>
      <c r="R156" s="395"/>
      <c r="S156" s="77"/>
      <c r="T156" s="77"/>
      <c r="U156" s="77"/>
      <c r="V156" s="77"/>
      <c r="W156" s="167"/>
      <c r="X156" s="167"/>
      <c r="Y156" s="167" t="str">
        <f>IF(ISBLANK(Tableau1[[#This Row],[PO Number (Header)]]),"",Tableau1[[#This Row],[Line Total]]/Tableau1[[#This Row],[Total Item Quantity]])</f>
        <v/>
      </c>
      <c r="Z156" s="167" t="str">
        <f>IF(ISNA(VLOOKUP(Tableau1[[#This Row],[Unique_AIB_ID]],UO_List[Unique_AIB_ID],1,FALSE)),IF(ISBLANK(Tableau1[[#This Row],[PO Number (Header)]]),"","FAUX"),"VRAI")</f>
        <v/>
      </c>
      <c r="AA156" s="167"/>
      <c r="AB156" s="162" t="e">
        <f>VLOOKUP(Tableau1[[#This Row],[Unique_AIB_ID]],UO_List[[Unique_AIB_ID]:[OLGA F6]],3,FALSE)</f>
        <v>#N/A</v>
      </c>
      <c r="AC156" s="162" t="s">
        <v>823</v>
      </c>
      <c r="AD156" s="83">
        <f>SUMPRODUCT(1*(EXACT(CONCATENATE(Tableau1[[#This Row],[PO Number (Header)]],"-",Tableau1[[#This Row],[Line]]),UO_List[Unique_AIB_ID]))*(UO_List[Qté Réception 03/2020]))</f>
        <v>0</v>
      </c>
      <c r="AE156" s="84"/>
      <c r="AF156" s="357"/>
      <c r="AG156" s="351" t="str">
        <f>IFERROR(Tableau1[[#This Row],[Qté Facturé 01/2018]]*Tableau1[[#This Row],[Unit Price (calcul)]],"")</f>
        <v/>
      </c>
      <c r="AH156" s="356" t="str">
        <f>IFERROR(IF(Tableau1[[#This Row],[Montant Facturé 01/2018]]&gt;0,Tableau1[[#This Row],[Montant Facturé 01/2018]]/Taux_Change_SII,""),"")</f>
        <v/>
      </c>
      <c r="AI156" s="351"/>
      <c r="AJ156" s="83">
        <f>SUMPRODUCT(1*(EXACT(CONCATENATE(Tableau1[[#This Row],[PO Number (Header)]],"-",Tableau1[[#This Row],[Line]]),UO_List[Unique_AIB_ID]))*(UO_List[Qté Réception 02/2020]))</f>
        <v>0</v>
      </c>
      <c r="AK156" s="83">
        <f>SUMPRODUCT(1*(EXACT(CONCATENATE(Tableau1[[#This Row],[PO Number (Header)]],"-",Tableau1[[#This Row],[Line]]),UO_List[Unique_AIB_ID]))*(UO_List[Qté Réception 02/2020]))</f>
        <v>0</v>
      </c>
      <c r="AL156" s="357"/>
      <c r="AM156" s="351" t="str">
        <f>IFERROR(Tableau1[[#This Row],[Qté Facturé 02/2018]]*Tableau1[[#This Row],[Unit Price (calcul)]],"")</f>
        <v/>
      </c>
      <c r="AN156" s="351" t="str">
        <f>IFERROR(IF(Tableau1[[#This Row],[Montant Facturé 02/2018]]&gt;0,Tableau1[[#This Row],[Montant Facturé 02/2018]]/Taux_Change_SII,""),"")</f>
        <v/>
      </c>
      <c r="AO156" s="351"/>
      <c r="AP156" s="83">
        <f>SUMPRODUCT(1*(EXACT(CONCATENATE(Tableau1[[#This Row],[PO Number (Header)]],"-",Tableau1[[#This Row],[Line]]),UO_List[Unique_AIB_ID]))*(UO_List[Qté Réception 00/2020]))</f>
        <v>0</v>
      </c>
      <c r="AQ156" s="84"/>
      <c r="AR156" s="357"/>
      <c r="AS156" s="351" t="str">
        <f>IFERROR(Tableau1[[#This Row],[Qté Facturé 03/2018]]*Tableau1[[#This Row],[Unit Price (calcul)]],"")</f>
        <v/>
      </c>
      <c r="AT156" s="351" t="str">
        <f>IFERROR(IF(Tableau1[[#This Row],[Montant Facturé 03/2018]]&gt;0,Tableau1[[#This Row],[Montant Facturé 03/2018]]/Taux_Change_SII,""),"")</f>
        <v/>
      </c>
      <c r="AU156" s="351"/>
      <c r="AV156" s="83">
        <f>SUMPRODUCT(1*(EXACT(CONCATENATE(Tableau1[[#This Row],[PO Number (Header)]],"-",Tableau1[[#This Row],[Line]]),UO_List[Unique_AIB_ID]))*(UO_List[Qté Réception 04/2020]))</f>
        <v>0</v>
      </c>
      <c r="AW156" s="84"/>
      <c r="AX156" s="351"/>
      <c r="AY156" s="351" t="str">
        <f>IFERROR(Tableau1[[#This Row],[Qté Facturé 04/2018]]*Tableau1[[#This Row],[Unit Price (calcul)]],"")</f>
        <v/>
      </c>
      <c r="AZ156" s="351" t="str">
        <f>IFERROR(IF(Tableau1[[#This Row],[Montant Facturé 04/2018]]&gt;0,Tableau1[[#This Row],[Montant Facturé 04/2018]]/Taux_Change_SII,""),"")</f>
        <v/>
      </c>
      <c r="BA156" s="351"/>
      <c r="BB156" s="83">
        <f>SUMPRODUCT(1*(EXACT(CONCATENATE(Tableau1[[#This Row],[PO Number (Header)]],"-",Tableau1[[#This Row],[Line]]),UO_List[Unique_AIB_ID]))*(UO_List[Qté Réception 05/2020]))</f>
        <v>0</v>
      </c>
      <c r="BC156" s="84"/>
      <c r="BD156" s="351"/>
      <c r="BE156" s="351" t="str">
        <f>IFERROR(Tableau1[[#This Row],[Qté Facturé 05/2018]]*Tableau1[[#This Row],[Unit Price (calcul)]],"")</f>
        <v/>
      </c>
      <c r="BF156" s="351" t="str">
        <f>IFERROR(IF(Tableau1[[#This Row],[Montant Facturé 05/2018]]&gt;0,Tableau1[[#This Row],[Montant Facturé 05/2018]]/Taux_Change_SII,""),"")</f>
        <v/>
      </c>
      <c r="BG156" s="351"/>
      <c r="BH156" s="83">
        <f>SUMPRODUCT(1*(EXACT(CONCATENATE(Tableau1[[#This Row],[PO Number (Header)]],"-",Tableau1[[#This Row],[Line]]),UO_List[Unique_AIB_ID]))*(UO_List[Qté Réception 06/2020]))</f>
        <v>0</v>
      </c>
      <c r="BI156" s="84"/>
      <c r="BJ156" s="351"/>
      <c r="BK156" s="351" t="str">
        <f>IFERROR(Tableau1[[#This Row],[Qté Facturé 06/2018]]*Tableau1[[#This Row],[Unit Price (calcul)]],"")</f>
        <v/>
      </c>
      <c r="BL156" s="351" t="str">
        <f>IFERROR(IF(Tableau1[[#This Row],[Montant Facturé 06/2018]]&gt;0,Tableau1[[#This Row],[Montant Facturé 06/2018]]/Taux_Change_SII,""),"")</f>
        <v/>
      </c>
      <c r="BM156" s="351"/>
      <c r="BN156" s="83">
        <f>SUMPRODUCT(1*(EXACT(CONCATENATE(Tableau1[[#This Row],[PO Number (Header)]],"-",Tableau1[[#This Row],[Line]]),UO_List[Unique_AIB_ID]))*(UO_List[Qté Réception 07/2020]))</f>
        <v>0</v>
      </c>
      <c r="BO156" s="84"/>
      <c r="BP156" s="351"/>
      <c r="BQ156" s="351" t="str">
        <f>IFERROR(Tableau1[[#This Row],[Qté Facturé 07/2018]]*Tableau1[[#This Row],[Unit Price (calcul)]],"")</f>
        <v/>
      </c>
      <c r="BR156" s="351" t="str">
        <f>IFERROR(IF(Tableau1[[#This Row],[Montant Facturé 07/2018]]&gt;0,Tableau1[[#This Row],[Montant Facturé 07/2018]]/Taux_Change_SII,""),"")</f>
        <v/>
      </c>
      <c r="BS156" s="351"/>
      <c r="BT156" s="83">
        <f>SUMPRODUCT(1*(EXACT(CONCATENATE(Tableau1[[#This Row],[PO Number (Header)]],"-",Tableau1[[#This Row],[Line]]),UO_List[Unique_AIB_ID]))*(UO_List[Qté Réception 08/2020]))</f>
        <v>0</v>
      </c>
      <c r="BU156" s="84"/>
      <c r="BV156" s="351"/>
      <c r="BW156" s="351" t="str">
        <f>IFERROR(Tableau1[[#This Row],[Qté Facturé 08/2018]]*Tableau1[[#This Row],[Unit Price (calcul)]],"")</f>
        <v/>
      </c>
      <c r="BX156" s="351" t="str">
        <f>IFERROR(IF(Tableau1[[#This Row],[Montant Facturé 08/2018]]&gt;0,Tableau1[[#This Row],[Montant Facturé 08/2018]]/Taux_Change_SII,""),"")</f>
        <v/>
      </c>
      <c r="BY156" s="351"/>
      <c r="BZ156" s="83">
        <f>SUMPRODUCT(1*(EXACT(CONCATENATE(Tableau1[[#This Row],[PO Number (Header)]],"-",Tableau1[[#This Row],[Line]]),UO_List[Unique_AIB_ID]))*(UO_List[Qté Réception 09/2020]))</f>
        <v>0</v>
      </c>
      <c r="CA156" s="84">
        <v>0</v>
      </c>
      <c r="CB156" s="351">
        <v>-5</v>
      </c>
      <c r="CC156" s="351" t="str">
        <f>IFERROR(Tableau1[[#This Row],[Qté Facturé 09/2018]]*Tableau1[[#This Row],[Unit Price (calcul)]],"")</f>
        <v/>
      </c>
      <c r="CD156" s="351" t="str">
        <f>IFERROR(IF(Tableau1[[#This Row],[Montant Facturé 09/2018]]&gt;0,Tableau1[[#This Row],[Montant Facturé 09/2018]]/Taux_Change_SII,""),"")</f>
        <v/>
      </c>
      <c r="CE156" s="351"/>
      <c r="CF156" s="83">
        <f>SUMPRODUCT(1*(EXACT(CONCATENATE(Tableau1[[#This Row],[PO Number (Header)]],"-",Tableau1[[#This Row],[Line]]),UO_List[Unique_AIB_ID]))*(UO_List[Qté Réception 10/2020]))</f>
        <v>0</v>
      </c>
      <c r="CG156" s="84">
        <v>0</v>
      </c>
      <c r="CH156" s="351">
        <v>5</v>
      </c>
      <c r="CI156" s="488" t="str">
        <f>IFERROR(Tableau1[[#This Row],[Qté Facturé 10/2018]]*Tableau1[[#This Row],[Unit Price (calcul)]],"")</f>
        <v/>
      </c>
      <c r="CJ156" s="351" t="str">
        <f>IFERROR(IF(Tableau1[[#This Row],[Montant Facturé 10/2018]]&gt;0,Tableau1[[#This Row],[Montant Facturé 10/2018]]/Taux_Change_SII,""),"")</f>
        <v/>
      </c>
      <c r="CK156" s="351"/>
      <c r="CL156" s="83">
        <f>SUMPRODUCT(1*(EXACT(CONCATENATE(Tableau1[[#This Row],[PO Number (Header)]],"-",Tableau1[[#This Row],[Line]]),UO_List[Unique_AIB_ID]))*(UO_List[Qté Réception 11/2020]))</f>
        <v>0</v>
      </c>
      <c r="CM156" s="84"/>
      <c r="CN156" s="351"/>
      <c r="CO156" s="351" t="str">
        <f>IFERROR(Tableau1[[#This Row],[Qté Facturé 11/2018]]*Tableau1[[#This Row],[Unit Price (calcul)]],"")</f>
        <v/>
      </c>
      <c r="CP156" s="351" t="str">
        <f>IFERROR(IF(Tableau1[[#This Row],[Montant Facturé 11/2018]]&gt;0,Tableau1[[#This Row],[Montant Facturé 11/2018]]/Taux_Change_SII,""),"")</f>
        <v/>
      </c>
      <c r="CQ156" s="351"/>
      <c r="CR156" s="83">
        <f>SUMPRODUCT(1*(EXACT(CONCATENATE(Tableau1[[#This Row],[PO Number (Header)]],"-",Tableau1[[#This Row],[Line]]),UO_List[Unique_AIB_ID]))*(UO_List[Qté Réception 12/2020]))</f>
        <v>0</v>
      </c>
      <c r="CS156" s="84"/>
      <c r="CT156" s="351"/>
      <c r="CU156" s="351" t="str">
        <f>IFERROR(Tableau1[[#This Row],[Qté Facturé 12/2018]]*Tableau1[[#This Row],[Unit Price (calcul)]],"")</f>
        <v/>
      </c>
      <c r="CV156" s="351" t="str">
        <f>IFERROR(IF(Tableau1[[#This Row],[Montant Facturé 12/2018]]&gt;0,Tableau1[[#This Row],[Montant Facturé 12/2018]]/Taux_Change_SII,""),"")</f>
        <v/>
      </c>
      <c r="CW156" s="351"/>
      <c r="CX15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6" s="352" t="str">
        <f>IFERROR(Tableau1[[#This Row],[Total item réceptionné]]*Tableau1[[#This Row],[Unit Price (calcul)]],"")</f>
        <v/>
      </c>
      <c r="DB156" s="352" t="str">
        <f>IFERROR(Tableau1[[#This Row],[Total item à Facturer]]*Tableau1[[#This Row],[Unit Price (calcul)]],"")</f>
        <v/>
      </c>
      <c r="DC15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6" s="352" t="str">
        <f>IFERROR(Tableau1[[#This Row],[Line Total]]-Tableau1[[#This Row],[Total Price Réceptionné]],"")</f>
        <v/>
      </c>
      <c r="DE156" s="352" t="str">
        <f>IFERROR(Tableau1[[#This Row],[Total Price Réceptionné]]-Tableau1[[#This Row],[Total Price A facturer]],"")</f>
        <v/>
      </c>
      <c r="DF156" s="353" t="str">
        <f>IFERROR(Tableau1[[#This Row],[Total Price A facturer]]-Tableau1[[#This Row],[Total Price Facturé]],"")</f>
        <v/>
      </c>
      <c r="DG156" s="76">
        <f>Tableau1[[#This Row],[Total Item Quantity]]-Tableau1[[#This Row],[Total item réceptionné]]</f>
        <v>0</v>
      </c>
      <c r="DH156" s="167"/>
      <c r="DI156" s="167"/>
    </row>
    <row r="157" spans="1:113" s="74" customFormat="1">
      <c r="A157" s="77" t="str">
        <f>CONCATENATE(Tableau1[[#This Row],[PO Number (Header)]],"-",Tableau1[[#This Row],[Line]])</f>
        <v>-</v>
      </c>
      <c r="B157" s="77"/>
      <c r="C157" s="450"/>
      <c r="D157" s="102"/>
      <c r="E157" s="77"/>
      <c r="F157" s="77"/>
      <c r="G157" s="77"/>
      <c r="H157" s="77"/>
      <c r="I157" s="452"/>
      <c r="J157" s="452"/>
      <c r="K157" s="453"/>
      <c r="L157" s="453"/>
      <c r="M157" s="77"/>
      <c r="N157" s="77"/>
      <c r="O157" s="77"/>
      <c r="P157" s="77"/>
      <c r="Q157" s="395"/>
      <c r="R157" s="395"/>
      <c r="S157" s="77"/>
      <c r="T157" s="77"/>
      <c r="U157" s="77"/>
      <c r="V157" s="77"/>
      <c r="W157" s="167"/>
      <c r="X157" s="167"/>
      <c r="Y157" s="167" t="str">
        <f>IF(ISBLANK(Tableau1[[#This Row],[PO Number (Header)]]),"",Tableau1[[#This Row],[Line Total]]/Tableau1[[#This Row],[Total Item Quantity]])</f>
        <v/>
      </c>
      <c r="Z157" s="167" t="str">
        <f>IF(ISNA(VLOOKUP(Tableau1[[#This Row],[Unique_AIB_ID]],UO_List[Unique_AIB_ID],1,FALSE)),IF(ISBLANK(Tableau1[[#This Row],[PO Number (Header)]]),"","FAUX"),"VRAI")</f>
        <v/>
      </c>
      <c r="AA157" s="167"/>
      <c r="AB157" s="162" t="e">
        <f>VLOOKUP(Tableau1[[#This Row],[Unique_AIB_ID]],UO_List[[Unique_AIB_ID]:[OLGA F6]],3,FALSE)</f>
        <v>#N/A</v>
      </c>
      <c r="AC157" s="162" t="s">
        <v>824</v>
      </c>
      <c r="AD157" s="83">
        <f>SUMPRODUCT(1*(EXACT(CONCATENATE(Tableau1[[#This Row],[PO Number (Header)]],"-",Tableau1[[#This Row],[Line]]),UO_List[Unique_AIB_ID]))*(UO_List[Qté Réception 03/2020]))</f>
        <v>0</v>
      </c>
      <c r="AE157" s="84"/>
      <c r="AF157" s="357"/>
      <c r="AG157" s="351" t="str">
        <f>IFERROR(Tableau1[[#This Row],[Qté Facturé 01/2018]]*Tableau1[[#This Row],[Unit Price (calcul)]],"")</f>
        <v/>
      </c>
      <c r="AH157" s="356" t="str">
        <f>IFERROR(IF(Tableau1[[#This Row],[Montant Facturé 01/2018]]&gt;0,Tableau1[[#This Row],[Montant Facturé 01/2018]]/Taux_Change_SII,""),"")</f>
        <v/>
      </c>
      <c r="AI157" s="351"/>
      <c r="AJ157" s="83">
        <f>SUMPRODUCT(1*(EXACT(CONCATENATE(Tableau1[[#This Row],[PO Number (Header)]],"-",Tableau1[[#This Row],[Line]]),UO_List[Unique_AIB_ID]))*(UO_List[Qté Réception 02/2020]))</f>
        <v>0</v>
      </c>
      <c r="AK157" s="83">
        <f>SUMPRODUCT(1*(EXACT(CONCATENATE(Tableau1[[#This Row],[PO Number (Header)]],"-",Tableau1[[#This Row],[Line]]),UO_List[Unique_AIB_ID]))*(UO_List[Qté Réception 02/2020]))</f>
        <v>0</v>
      </c>
      <c r="AL157" s="357"/>
      <c r="AM157" s="351" t="str">
        <f>IFERROR(Tableau1[[#This Row],[Qté Facturé 02/2018]]*Tableau1[[#This Row],[Unit Price (calcul)]],"")</f>
        <v/>
      </c>
      <c r="AN157" s="351" t="str">
        <f>IFERROR(IF(Tableau1[[#This Row],[Montant Facturé 02/2018]]&gt;0,Tableau1[[#This Row],[Montant Facturé 02/2018]]/Taux_Change_SII,""),"")</f>
        <v/>
      </c>
      <c r="AO157" s="351"/>
      <c r="AP157" s="83">
        <f>SUMPRODUCT(1*(EXACT(CONCATENATE(Tableau1[[#This Row],[PO Number (Header)]],"-",Tableau1[[#This Row],[Line]]),UO_List[Unique_AIB_ID]))*(UO_List[Qté Réception 00/2020]))</f>
        <v>0</v>
      </c>
      <c r="AQ157" s="84"/>
      <c r="AR157" s="357"/>
      <c r="AS157" s="351" t="str">
        <f>IFERROR(Tableau1[[#This Row],[Qté Facturé 03/2018]]*Tableau1[[#This Row],[Unit Price (calcul)]],"")</f>
        <v/>
      </c>
      <c r="AT157" s="351" t="str">
        <f>IFERROR(IF(Tableau1[[#This Row],[Montant Facturé 03/2018]]&gt;0,Tableau1[[#This Row],[Montant Facturé 03/2018]]/Taux_Change_SII,""),"")</f>
        <v/>
      </c>
      <c r="AU157" s="351"/>
      <c r="AV157" s="83">
        <f>SUMPRODUCT(1*(EXACT(CONCATENATE(Tableau1[[#This Row],[PO Number (Header)]],"-",Tableau1[[#This Row],[Line]]),UO_List[Unique_AIB_ID]))*(UO_List[Qté Réception 04/2020]))</f>
        <v>0</v>
      </c>
      <c r="AW157" s="84"/>
      <c r="AX157" s="351"/>
      <c r="AY157" s="351" t="str">
        <f>IFERROR(Tableau1[[#This Row],[Qté Facturé 04/2018]]*Tableau1[[#This Row],[Unit Price (calcul)]],"")</f>
        <v/>
      </c>
      <c r="AZ157" s="351" t="str">
        <f>IFERROR(IF(Tableau1[[#This Row],[Montant Facturé 04/2018]]&gt;0,Tableau1[[#This Row],[Montant Facturé 04/2018]]/Taux_Change_SII,""),"")</f>
        <v/>
      </c>
      <c r="BA157" s="351"/>
      <c r="BB157" s="83">
        <f>SUMPRODUCT(1*(EXACT(CONCATENATE(Tableau1[[#This Row],[PO Number (Header)]],"-",Tableau1[[#This Row],[Line]]),UO_List[Unique_AIB_ID]))*(UO_List[Qté Réception 05/2020]))</f>
        <v>0</v>
      </c>
      <c r="BC157" s="84"/>
      <c r="BD157" s="351"/>
      <c r="BE157" s="351" t="str">
        <f>IFERROR(Tableau1[[#This Row],[Qté Facturé 05/2018]]*Tableau1[[#This Row],[Unit Price (calcul)]],"")</f>
        <v/>
      </c>
      <c r="BF157" s="351" t="str">
        <f>IFERROR(IF(Tableau1[[#This Row],[Montant Facturé 05/2018]]&gt;0,Tableau1[[#This Row],[Montant Facturé 05/2018]]/Taux_Change_SII,""),"")</f>
        <v/>
      </c>
      <c r="BG157" s="351"/>
      <c r="BH157" s="83">
        <f>SUMPRODUCT(1*(EXACT(CONCATENATE(Tableau1[[#This Row],[PO Number (Header)]],"-",Tableau1[[#This Row],[Line]]),UO_List[Unique_AIB_ID]))*(UO_List[Qté Réception 06/2020]))</f>
        <v>0</v>
      </c>
      <c r="BI157" s="84"/>
      <c r="BJ157" s="351"/>
      <c r="BK157" s="351" t="str">
        <f>IFERROR(Tableau1[[#This Row],[Qté Facturé 06/2018]]*Tableau1[[#This Row],[Unit Price (calcul)]],"")</f>
        <v/>
      </c>
      <c r="BL157" s="351" t="str">
        <f>IFERROR(IF(Tableau1[[#This Row],[Montant Facturé 06/2018]]&gt;0,Tableau1[[#This Row],[Montant Facturé 06/2018]]/Taux_Change_SII,""),"")</f>
        <v/>
      </c>
      <c r="BM157" s="351"/>
      <c r="BN157" s="83">
        <f>SUMPRODUCT(1*(EXACT(CONCATENATE(Tableau1[[#This Row],[PO Number (Header)]],"-",Tableau1[[#This Row],[Line]]),UO_List[Unique_AIB_ID]))*(UO_List[Qté Réception 07/2020]))</f>
        <v>0</v>
      </c>
      <c r="BO157" s="84"/>
      <c r="BP157" s="351"/>
      <c r="BQ157" s="351" t="str">
        <f>IFERROR(Tableau1[[#This Row],[Qté Facturé 07/2018]]*Tableau1[[#This Row],[Unit Price (calcul)]],"")</f>
        <v/>
      </c>
      <c r="BR157" s="351" t="str">
        <f>IFERROR(IF(Tableau1[[#This Row],[Montant Facturé 07/2018]]&gt;0,Tableau1[[#This Row],[Montant Facturé 07/2018]]/Taux_Change_SII,""),"")</f>
        <v/>
      </c>
      <c r="BS157" s="351"/>
      <c r="BT157" s="83">
        <f>SUMPRODUCT(1*(EXACT(CONCATENATE(Tableau1[[#This Row],[PO Number (Header)]],"-",Tableau1[[#This Row],[Line]]),UO_List[Unique_AIB_ID]))*(UO_List[Qté Réception 08/2020]))</f>
        <v>0</v>
      </c>
      <c r="BU157" s="84"/>
      <c r="BV157" s="351"/>
      <c r="BW157" s="351" t="str">
        <f>IFERROR(Tableau1[[#This Row],[Qté Facturé 08/2018]]*Tableau1[[#This Row],[Unit Price (calcul)]],"")</f>
        <v/>
      </c>
      <c r="BX157" s="351" t="str">
        <f>IFERROR(IF(Tableau1[[#This Row],[Montant Facturé 08/2018]]&gt;0,Tableau1[[#This Row],[Montant Facturé 08/2018]]/Taux_Change_SII,""),"")</f>
        <v/>
      </c>
      <c r="BY157" s="351"/>
      <c r="BZ157" s="83">
        <f>SUMPRODUCT(1*(EXACT(CONCATENATE(Tableau1[[#This Row],[PO Number (Header)]],"-",Tableau1[[#This Row],[Line]]),UO_List[Unique_AIB_ID]))*(UO_List[Qté Réception 09/2020]))</f>
        <v>0</v>
      </c>
      <c r="CA157" s="84">
        <v>0</v>
      </c>
      <c r="CB157" s="351">
        <v>-10</v>
      </c>
      <c r="CC157" s="351" t="str">
        <f>IFERROR(Tableau1[[#This Row],[Qté Facturé 09/2018]]*Tableau1[[#This Row],[Unit Price (calcul)]],"")</f>
        <v/>
      </c>
      <c r="CD157" s="351" t="str">
        <f>IFERROR(IF(Tableau1[[#This Row],[Montant Facturé 09/2018]]&gt;0,Tableau1[[#This Row],[Montant Facturé 09/2018]]/Taux_Change_SII,""),"")</f>
        <v/>
      </c>
      <c r="CE157" s="351"/>
      <c r="CF157" s="83">
        <f>SUMPRODUCT(1*(EXACT(CONCATENATE(Tableau1[[#This Row],[PO Number (Header)]],"-",Tableau1[[#This Row],[Line]]),UO_List[Unique_AIB_ID]))*(UO_List[Qté Réception 10/2020]))</f>
        <v>0</v>
      </c>
      <c r="CG157" s="84">
        <v>0</v>
      </c>
      <c r="CH157" s="351">
        <v>10</v>
      </c>
      <c r="CI157" s="488" t="str">
        <f>IFERROR(Tableau1[[#This Row],[Qté Facturé 10/2018]]*Tableau1[[#This Row],[Unit Price (calcul)]],"")</f>
        <v/>
      </c>
      <c r="CJ157" s="351" t="str">
        <f>IFERROR(IF(Tableau1[[#This Row],[Montant Facturé 10/2018]]&gt;0,Tableau1[[#This Row],[Montant Facturé 10/2018]]/Taux_Change_SII,""),"")</f>
        <v/>
      </c>
      <c r="CK157" s="351"/>
      <c r="CL157" s="83">
        <f>SUMPRODUCT(1*(EXACT(CONCATENATE(Tableau1[[#This Row],[PO Number (Header)]],"-",Tableau1[[#This Row],[Line]]),UO_List[Unique_AIB_ID]))*(UO_List[Qté Réception 11/2020]))</f>
        <v>0</v>
      </c>
      <c r="CM157" s="84"/>
      <c r="CN157" s="351"/>
      <c r="CO157" s="351" t="str">
        <f>IFERROR(Tableau1[[#This Row],[Qté Facturé 11/2018]]*Tableau1[[#This Row],[Unit Price (calcul)]],"")</f>
        <v/>
      </c>
      <c r="CP157" s="351" t="str">
        <f>IFERROR(IF(Tableau1[[#This Row],[Montant Facturé 11/2018]]&gt;0,Tableau1[[#This Row],[Montant Facturé 11/2018]]/Taux_Change_SII,""),"")</f>
        <v/>
      </c>
      <c r="CQ157" s="351"/>
      <c r="CR157" s="83">
        <f>SUMPRODUCT(1*(EXACT(CONCATENATE(Tableau1[[#This Row],[PO Number (Header)]],"-",Tableau1[[#This Row],[Line]]),UO_List[Unique_AIB_ID]))*(UO_List[Qté Réception 12/2020]))</f>
        <v>0</v>
      </c>
      <c r="CS157" s="84"/>
      <c r="CT157" s="351"/>
      <c r="CU157" s="351" t="str">
        <f>IFERROR(Tableau1[[#This Row],[Qté Facturé 12/2018]]*Tableau1[[#This Row],[Unit Price (calcul)]],"")</f>
        <v/>
      </c>
      <c r="CV157" s="351" t="str">
        <f>IFERROR(IF(Tableau1[[#This Row],[Montant Facturé 12/2018]]&gt;0,Tableau1[[#This Row],[Montant Facturé 12/2018]]/Taux_Change_SII,""),"")</f>
        <v/>
      </c>
      <c r="CW157" s="351"/>
      <c r="CX15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7" s="352" t="str">
        <f>IFERROR(Tableau1[[#This Row],[Total item réceptionné]]*Tableau1[[#This Row],[Unit Price (calcul)]],"")</f>
        <v/>
      </c>
      <c r="DB157" s="352" t="str">
        <f>IFERROR(Tableau1[[#This Row],[Total item à Facturer]]*Tableau1[[#This Row],[Unit Price (calcul)]],"")</f>
        <v/>
      </c>
      <c r="DC15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7" s="352" t="str">
        <f>IFERROR(Tableau1[[#This Row],[Line Total]]-Tableau1[[#This Row],[Total Price Réceptionné]],"")</f>
        <v/>
      </c>
      <c r="DE157" s="352" t="str">
        <f>IFERROR(Tableau1[[#This Row],[Total Price Réceptionné]]-Tableau1[[#This Row],[Total Price A facturer]],"")</f>
        <v/>
      </c>
      <c r="DF157" s="353" t="str">
        <f>IFERROR(Tableau1[[#This Row],[Total Price A facturer]]-Tableau1[[#This Row],[Total Price Facturé]],"")</f>
        <v/>
      </c>
      <c r="DG157" s="76">
        <f>Tableau1[[#This Row],[Total Item Quantity]]-Tableau1[[#This Row],[Total item réceptionné]]</f>
        <v>0</v>
      </c>
      <c r="DH157" s="167"/>
      <c r="DI157" s="167"/>
    </row>
    <row r="158" spans="1:113" s="74" customFormat="1">
      <c r="A158" s="77" t="str">
        <f>CONCATENATE(Tableau1[[#This Row],[PO Number (Header)]],"-",Tableau1[[#This Row],[Line]])</f>
        <v>-</v>
      </c>
      <c r="B158" s="77"/>
      <c r="C158" s="450"/>
      <c r="D158" s="102"/>
      <c r="E158" s="77"/>
      <c r="F158" s="77"/>
      <c r="G158" s="77"/>
      <c r="H158" s="77"/>
      <c r="I158" s="452"/>
      <c r="J158" s="452"/>
      <c r="K158" s="453"/>
      <c r="L158" s="453"/>
      <c r="M158" s="77"/>
      <c r="N158" s="77"/>
      <c r="O158" s="77"/>
      <c r="P158" s="77"/>
      <c r="Q158" s="395"/>
      <c r="R158" s="395"/>
      <c r="S158" s="77"/>
      <c r="T158" s="77"/>
      <c r="U158" s="77"/>
      <c r="V158" s="77"/>
      <c r="W158" s="167"/>
      <c r="X158" s="167"/>
      <c r="Y158" s="167" t="str">
        <f>IF(ISBLANK(Tableau1[[#This Row],[PO Number (Header)]]),"",Tableau1[[#This Row],[Line Total]]/Tableau1[[#This Row],[Total Item Quantity]])</f>
        <v/>
      </c>
      <c r="Z158" s="167" t="str">
        <f>IF(ISNA(VLOOKUP(Tableau1[[#This Row],[Unique_AIB_ID]],UO_List[Unique_AIB_ID],1,FALSE)),IF(ISBLANK(Tableau1[[#This Row],[PO Number (Header)]]),"","FAUX"),"VRAI")</f>
        <v/>
      </c>
      <c r="AA158" s="167"/>
      <c r="AB158" s="162" t="e">
        <f>VLOOKUP(Tableau1[[#This Row],[Unique_AIB_ID]],UO_List[[Unique_AIB_ID]:[OLGA F6]],3,FALSE)</f>
        <v>#N/A</v>
      </c>
      <c r="AC158" s="162" t="s">
        <v>793</v>
      </c>
      <c r="AD158" s="83">
        <f>SUMPRODUCT(1*(EXACT(CONCATENATE(Tableau1[[#This Row],[PO Number (Header)]],"-",Tableau1[[#This Row],[Line]]),UO_List[Unique_AIB_ID]))*(UO_List[Qté Réception 03/2020]))</f>
        <v>0</v>
      </c>
      <c r="AE158" s="84"/>
      <c r="AF158" s="357"/>
      <c r="AG158" s="351" t="str">
        <f>IFERROR(Tableau1[[#This Row],[Qté Facturé 01/2018]]*Tableau1[[#This Row],[Unit Price (calcul)]],"")</f>
        <v/>
      </c>
      <c r="AH158" s="356" t="str">
        <f>IFERROR(IF(Tableau1[[#This Row],[Montant Facturé 01/2018]]&gt;0,Tableau1[[#This Row],[Montant Facturé 01/2018]]/Taux_Change_SII,""),"")</f>
        <v/>
      </c>
      <c r="AI158" s="351"/>
      <c r="AJ158" s="83">
        <f>SUMPRODUCT(1*(EXACT(CONCATENATE(Tableau1[[#This Row],[PO Number (Header)]],"-",Tableau1[[#This Row],[Line]]),UO_List[Unique_AIB_ID]))*(UO_List[Qté Réception 02/2020]))</f>
        <v>0</v>
      </c>
      <c r="AK158" s="83">
        <f>SUMPRODUCT(1*(EXACT(CONCATENATE(Tableau1[[#This Row],[PO Number (Header)]],"-",Tableau1[[#This Row],[Line]]),UO_List[Unique_AIB_ID]))*(UO_List[Qté Réception 02/2020]))</f>
        <v>0</v>
      </c>
      <c r="AL158" s="357"/>
      <c r="AM158" s="351" t="str">
        <f>IFERROR(Tableau1[[#This Row],[Qté Facturé 02/2018]]*Tableau1[[#This Row],[Unit Price (calcul)]],"")</f>
        <v/>
      </c>
      <c r="AN158" s="351" t="str">
        <f>IFERROR(IF(Tableau1[[#This Row],[Montant Facturé 02/2018]]&gt;0,Tableau1[[#This Row],[Montant Facturé 02/2018]]/Taux_Change_SII,""),"")</f>
        <v/>
      </c>
      <c r="AO158" s="351"/>
      <c r="AP158" s="83">
        <f>SUMPRODUCT(1*(EXACT(CONCATENATE(Tableau1[[#This Row],[PO Number (Header)]],"-",Tableau1[[#This Row],[Line]]),UO_List[Unique_AIB_ID]))*(UO_List[Qté Réception 00/2020]))</f>
        <v>0</v>
      </c>
      <c r="AQ158" s="84"/>
      <c r="AR158" s="357"/>
      <c r="AS158" s="351" t="str">
        <f>IFERROR(Tableau1[[#This Row],[Qté Facturé 03/2018]]*Tableau1[[#This Row],[Unit Price (calcul)]],"")</f>
        <v/>
      </c>
      <c r="AT158" s="351" t="str">
        <f>IFERROR(IF(Tableau1[[#This Row],[Montant Facturé 03/2018]]&gt;0,Tableau1[[#This Row],[Montant Facturé 03/2018]]/Taux_Change_SII,""),"")</f>
        <v/>
      </c>
      <c r="AU158" s="351"/>
      <c r="AV158" s="83">
        <f>SUMPRODUCT(1*(EXACT(CONCATENATE(Tableau1[[#This Row],[PO Number (Header)]],"-",Tableau1[[#This Row],[Line]]),UO_List[Unique_AIB_ID]))*(UO_List[Qté Réception 04/2020]))</f>
        <v>0</v>
      </c>
      <c r="AW158" s="84"/>
      <c r="AX158" s="351"/>
      <c r="AY158" s="351" t="str">
        <f>IFERROR(Tableau1[[#This Row],[Qté Facturé 04/2018]]*Tableau1[[#This Row],[Unit Price (calcul)]],"")</f>
        <v/>
      </c>
      <c r="AZ158" s="351" t="str">
        <f>IFERROR(IF(Tableau1[[#This Row],[Montant Facturé 04/2018]]&gt;0,Tableau1[[#This Row],[Montant Facturé 04/2018]]/Taux_Change_SII,""),"")</f>
        <v/>
      </c>
      <c r="BA158" s="351"/>
      <c r="BB158" s="83">
        <f>SUMPRODUCT(1*(EXACT(CONCATENATE(Tableau1[[#This Row],[PO Number (Header)]],"-",Tableau1[[#This Row],[Line]]),UO_List[Unique_AIB_ID]))*(UO_List[Qté Réception 05/2020]))</f>
        <v>0</v>
      </c>
      <c r="BC158" s="84"/>
      <c r="BD158" s="351"/>
      <c r="BE158" s="351" t="str">
        <f>IFERROR(Tableau1[[#This Row],[Qté Facturé 05/2018]]*Tableau1[[#This Row],[Unit Price (calcul)]],"")</f>
        <v/>
      </c>
      <c r="BF158" s="351" t="str">
        <f>IFERROR(IF(Tableau1[[#This Row],[Montant Facturé 05/2018]]&gt;0,Tableau1[[#This Row],[Montant Facturé 05/2018]]/Taux_Change_SII,""),"")</f>
        <v/>
      </c>
      <c r="BG158" s="351"/>
      <c r="BH158" s="83">
        <f>SUMPRODUCT(1*(EXACT(CONCATENATE(Tableau1[[#This Row],[PO Number (Header)]],"-",Tableau1[[#This Row],[Line]]),UO_List[Unique_AIB_ID]))*(UO_List[Qté Réception 06/2020]))</f>
        <v>0</v>
      </c>
      <c r="BI158" s="84"/>
      <c r="BJ158" s="351"/>
      <c r="BK158" s="351" t="str">
        <f>IFERROR(Tableau1[[#This Row],[Qté Facturé 06/2018]]*Tableau1[[#This Row],[Unit Price (calcul)]],"")</f>
        <v/>
      </c>
      <c r="BL158" s="351" t="str">
        <f>IFERROR(IF(Tableau1[[#This Row],[Montant Facturé 06/2018]]&gt;0,Tableau1[[#This Row],[Montant Facturé 06/2018]]/Taux_Change_SII,""),"")</f>
        <v/>
      </c>
      <c r="BM158" s="351"/>
      <c r="BN158" s="83">
        <f>SUMPRODUCT(1*(EXACT(CONCATENATE(Tableau1[[#This Row],[PO Number (Header)]],"-",Tableau1[[#This Row],[Line]]),UO_List[Unique_AIB_ID]))*(UO_List[Qté Réception 07/2020]))</f>
        <v>0</v>
      </c>
      <c r="BO158" s="84">
        <v>0</v>
      </c>
      <c r="BP158" s="351"/>
      <c r="BQ158" s="351" t="str">
        <f>IFERROR(Tableau1[[#This Row],[Qté Facturé 07/2018]]*Tableau1[[#This Row],[Unit Price (calcul)]],"")</f>
        <v/>
      </c>
      <c r="BR158" s="351" t="str">
        <f>IFERROR(IF(Tableau1[[#This Row],[Montant Facturé 07/2018]]&gt;0,Tableau1[[#This Row],[Montant Facturé 07/2018]]/Taux_Change_SII,""),"")</f>
        <v/>
      </c>
      <c r="BS158" s="351"/>
      <c r="BT158" s="83">
        <f>SUMPRODUCT(1*(EXACT(CONCATENATE(Tableau1[[#This Row],[PO Number (Header)]],"-",Tableau1[[#This Row],[Line]]),UO_List[Unique_AIB_ID]))*(UO_List[Qté Réception 08/2020]))</f>
        <v>0</v>
      </c>
      <c r="BU158" s="84"/>
      <c r="BV158" s="351"/>
      <c r="BW158" s="351" t="str">
        <f>IFERROR(Tableau1[[#This Row],[Qté Facturé 08/2018]]*Tableau1[[#This Row],[Unit Price (calcul)]],"")</f>
        <v/>
      </c>
      <c r="BX158" s="351" t="str">
        <f>IFERROR(IF(Tableau1[[#This Row],[Montant Facturé 08/2018]]&gt;0,Tableau1[[#This Row],[Montant Facturé 08/2018]]/Taux_Change_SII,""),"")</f>
        <v/>
      </c>
      <c r="BY158" s="351"/>
      <c r="BZ158" s="83">
        <f>SUMPRODUCT(1*(EXACT(CONCATENATE(Tableau1[[#This Row],[PO Number (Header)]],"-",Tableau1[[#This Row],[Line]]),UO_List[Unique_AIB_ID]))*(UO_List[Qté Réception 09/2020]))</f>
        <v>0</v>
      </c>
      <c r="CA158" s="84">
        <v>0</v>
      </c>
      <c r="CB158" s="351"/>
      <c r="CC158" s="351" t="str">
        <f>IFERROR(Tableau1[[#This Row],[Qté Facturé 09/2018]]*Tableau1[[#This Row],[Unit Price (calcul)]],"")</f>
        <v/>
      </c>
      <c r="CD158" s="351" t="str">
        <f>IFERROR(IF(Tableau1[[#This Row],[Montant Facturé 09/2018]]&gt;0,Tableau1[[#This Row],[Montant Facturé 09/2018]]/Taux_Change_SII,""),"")</f>
        <v/>
      </c>
      <c r="CE158" s="351"/>
      <c r="CF158" s="83">
        <f>SUMPRODUCT(1*(EXACT(CONCATENATE(Tableau1[[#This Row],[PO Number (Header)]],"-",Tableau1[[#This Row],[Line]]),UO_List[Unique_AIB_ID]))*(UO_List[Qté Réception 10/2020]))</f>
        <v>0</v>
      </c>
      <c r="CG158" s="84">
        <v>0</v>
      </c>
      <c r="CH158" s="351"/>
      <c r="CI158" s="351" t="str">
        <f>IFERROR(Tableau1[[#This Row],[Qté Facturé 10/2018]]*Tableau1[[#This Row],[Unit Price (calcul)]],"")</f>
        <v/>
      </c>
      <c r="CJ158" s="351" t="str">
        <f>IFERROR(IF(Tableau1[[#This Row],[Montant Facturé 10/2018]]&gt;0,Tableau1[[#This Row],[Montant Facturé 10/2018]]/Taux_Change_SII,""),"")</f>
        <v/>
      </c>
      <c r="CK158" s="351"/>
      <c r="CL158" s="83">
        <f>SUMPRODUCT(1*(EXACT(CONCATENATE(Tableau1[[#This Row],[PO Number (Header)]],"-",Tableau1[[#This Row],[Line]]),UO_List[Unique_AIB_ID]))*(UO_List[Qté Réception 11/2020]))</f>
        <v>0</v>
      </c>
      <c r="CM158" s="84"/>
      <c r="CN158" s="351"/>
      <c r="CO158" s="351" t="str">
        <f>IFERROR(Tableau1[[#This Row],[Qté Facturé 11/2018]]*Tableau1[[#This Row],[Unit Price (calcul)]],"")</f>
        <v/>
      </c>
      <c r="CP158" s="351" t="str">
        <f>IFERROR(IF(Tableau1[[#This Row],[Montant Facturé 11/2018]]&gt;0,Tableau1[[#This Row],[Montant Facturé 11/2018]]/Taux_Change_SII,""),"")</f>
        <v/>
      </c>
      <c r="CQ158" s="351"/>
      <c r="CR158" s="83">
        <f>SUMPRODUCT(1*(EXACT(CONCATENATE(Tableau1[[#This Row],[PO Number (Header)]],"-",Tableau1[[#This Row],[Line]]),UO_List[Unique_AIB_ID]))*(UO_List[Qté Réception 12/2020]))</f>
        <v>0</v>
      </c>
      <c r="CS158" s="84"/>
      <c r="CT158" s="351"/>
      <c r="CU158" s="351" t="str">
        <f>IFERROR(Tableau1[[#This Row],[Qté Facturé 12/2018]]*Tableau1[[#This Row],[Unit Price (calcul)]],"")</f>
        <v/>
      </c>
      <c r="CV158" s="351" t="str">
        <f>IFERROR(IF(Tableau1[[#This Row],[Montant Facturé 12/2018]]&gt;0,Tableau1[[#This Row],[Montant Facturé 12/2018]]/Taux_Change_SII,""),"")</f>
        <v/>
      </c>
      <c r="CW158" s="351"/>
      <c r="CX15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8" s="352" t="str">
        <f>IFERROR(Tableau1[[#This Row],[Total item réceptionné]]*Tableau1[[#This Row],[Unit Price (calcul)]],"")</f>
        <v/>
      </c>
      <c r="DB158" s="352" t="str">
        <f>IFERROR(Tableau1[[#This Row],[Total item à Facturer]]*Tableau1[[#This Row],[Unit Price (calcul)]],"")</f>
        <v/>
      </c>
      <c r="DC15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8" s="352" t="str">
        <f>IFERROR(Tableau1[[#This Row],[Line Total]]-Tableau1[[#This Row],[Total Price Réceptionné]],"")</f>
        <v/>
      </c>
      <c r="DE158" s="352" t="str">
        <f>IFERROR(Tableau1[[#This Row],[Total Price Réceptionné]]-Tableau1[[#This Row],[Total Price A facturer]],"")</f>
        <v/>
      </c>
      <c r="DF158" s="353" t="str">
        <f>IFERROR(Tableau1[[#This Row],[Total Price A facturer]]-Tableau1[[#This Row],[Total Price Facturé]],"")</f>
        <v/>
      </c>
      <c r="DG158" s="76">
        <f>Tableau1[[#This Row],[Total Item Quantity]]-Tableau1[[#This Row],[Total item réceptionné]]</f>
        <v>0</v>
      </c>
      <c r="DH158" s="167"/>
      <c r="DI158" s="167"/>
    </row>
    <row r="159" spans="1:113" s="74" customFormat="1">
      <c r="A159" s="77" t="str">
        <f>CONCATENATE(Tableau1[[#This Row],[PO Number (Header)]],"-",Tableau1[[#This Row],[Line]])</f>
        <v>-</v>
      </c>
      <c r="B159" s="77"/>
      <c r="C159" s="450"/>
      <c r="D159" s="102"/>
      <c r="E159" s="77"/>
      <c r="F159" s="77"/>
      <c r="G159" s="77"/>
      <c r="H159" s="77"/>
      <c r="I159" s="452"/>
      <c r="J159" s="452"/>
      <c r="K159" s="453"/>
      <c r="L159" s="453"/>
      <c r="M159" s="77"/>
      <c r="N159" s="77"/>
      <c r="O159" s="77"/>
      <c r="P159" s="77"/>
      <c r="Q159" s="395"/>
      <c r="R159" s="395"/>
      <c r="S159" s="77"/>
      <c r="T159" s="77"/>
      <c r="U159" s="77"/>
      <c r="V159" s="77"/>
      <c r="W159" s="167"/>
      <c r="X159" s="167"/>
      <c r="Y159" s="167" t="str">
        <f>IF(ISBLANK(Tableau1[[#This Row],[PO Number (Header)]]),"",Tableau1[[#This Row],[Line Total]]/Tableau1[[#This Row],[Total Item Quantity]])</f>
        <v/>
      </c>
      <c r="Z159" s="167" t="str">
        <f>IF(ISNA(VLOOKUP(Tableau1[[#This Row],[Unique_AIB_ID]],UO_List[Unique_AIB_ID],1,FALSE)),IF(ISBLANK(Tableau1[[#This Row],[PO Number (Header)]]),"","FAUX"),"VRAI")</f>
        <v/>
      </c>
      <c r="AA159" s="167"/>
      <c r="AB159" s="162" t="e">
        <f>VLOOKUP(Tableau1[[#This Row],[Unique_AIB_ID]],UO_List[[Unique_AIB_ID]:[OLGA F6]],3,FALSE)</f>
        <v>#N/A</v>
      </c>
      <c r="AC159" s="162" t="s">
        <v>795</v>
      </c>
      <c r="AD159" s="83">
        <f>SUMPRODUCT(1*(EXACT(CONCATENATE(Tableau1[[#This Row],[PO Number (Header)]],"-",Tableau1[[#This Row],[Line]]),UO_List[Unique_AIB_ID]))*(UO_List[Qté Réception 03/2020]))</f>
        <v>0</v>
      </c>
      <c r="AE159" s="84"/>
      <c r="AF159" s="357"/>
      <c r="AG159" s="351" t="str">
        <f>IFERROR(Tableau1[[#This Row],[Qté Facturé 01/2018]]*Tableau1[[#This Row],[Unit Price (calcul)]],"")</f>
        <v/>
      </c>
      <c r="AH159" s="356" t="str">
        <f>IFERROR(IF(Tableau1[[#This Row],[Montant Facturé 01/2018]]&gt;0,Tableau1[[#This Row],[Montant Facturé 01/2018]]/Taux_Change_SII,""),"")</f>
        <v/>
      </c>
      <c r="AI159" s="351"/>
      <c r="AJ159" s="83">
        <f>SUMPRODUCT(1*(EXACT(CONCATENATE(Tableau1[[#This Row],[PO Number (Header)]],"-",Tableau1[[#This Row],[Line]]),UO_List[Unique_AIB_ID]))*(UO_List[Qté Réception 02/2020]))</f>
        <v>0</v>
      </c>
      <c r="AK159" s="83">
        <f>SUMPRODUCT(1*(EXACT(CONCATENATE(Tableau1[[#This Row],[PO Number (Header)]],"-",Tableau1[[#This Row],[Line]]),UO_List[Unique_AIB_ID]))*(UO_List[Qté Réception 02/2020]))</f>
        <v>0</v>
      </c>
      <c r="AL159" s="357"/>
      <c r="AM159" s="351" t="str">
        <f>IFERROR(Tableau1[[#This Row],[Qté Facturé 02/2018]]*Tableau1[[#This Row],[Unit Price (calcul)]],"")</f>
        <v/>
      </c>
      <c r="AN159" s="351" t="str">
        <f>IFERROR(IF(Tableau1[[#This Row],[Montant Facturé 02/2018]]&gt;0,Tableau1[[#This Row],[Montant Facturé 02/2018]]/Taux_Change_SII,""),"")</f>
        <v/>
      </c>
      <c r="AO159" s="351"/>
      <c r="AP159" s="83">
        <f>SUMPRODUCT(1*(EXACT(CONCATENATE(Tableau1[[#This Row],[PO Number (Header)]],"-",Tableau1[[#This Row],[Line]]),UO_List[Unique_AIB_ID]))*(UO_List[Qté Réception 00/2020]))</f>
        <v>0</v>
      </c>
      <c r="AQ159" s="84"/>
      <c r="AR159" s="357"/>
      <c r="AS159" s="351" t="str">
        <f>IFERROR(Tableau1[[#This Row],[Qté Facturé 03/2018]]*Tableau1[[#This Row],[Unit Price (calcul)]],"")</f>
        <v/>
      </c>
      <c r="AT159" s="351" t="str">
        <f>IFERROR(IF(Tableau1[[#This Row],[Montant Facturé 03/2018]]&gt;0,Tableau1[[#This Row],[Montant Facturé 03/2018]]/Taux_Change_SII,""),"")</f>
        <v/>
      </c>
      <c r="AU159" s="351"/>
      <c r="AV159" s="83">
        <f>SUMPRODUCT(1*(EXACT(CONCATENATE(Tableau1[[#This Row],[PO Number (Header)]],"-",Tableau1[[#This Row],[Line]]),UO_List[Unique_AIB_ID]))*(UO_List[Qté Réception 04/2020]))</f>
        <v>0</v>
      </c>
      <c r="AW159" s="84"/>
      <c r="AX159" s="351"/>
      <c r="AY159" s="351" t="str">
        <f>IFERROR(Tableau1[[#This Row],[Qté Facturé 04/2018]]*Tableau1[[#This Row],[Unit Price (calcul)]],"")</f>
        <v/>
      </c>
      <c r="AZ159" s="351" t="str">
        <f>IFERROR(IF(Tableau1[[#This Row],[Montant Facturé 04/2018]]&gt;0,Tableau1[[#This Row],[Montant Facturé 04/2018]]/Taux_Change_SII,""),"")</f>
        <v/>
      </c>
      <c r="BA159" s="351"/>
      <c r="BB159" s="83">
        <f>SUMPRODUCT(1*(EXACT(CONCATENATE(Tableau1[[#This Row],[PO Number (Header)]],"-",Tableau1[[#This Row],[Line]]),UO_List[Unique_AIB_ID]))*(UO_List[Qté Réception 05/2020]))</f>
        <v>0</v>
      </c>
      <c r="BC159" s="84"/>
      <c r="BD159" s="351"/>
      <c r="BE159" s="351" t="str">
        <f>IFERROR(Tableau1[[#This Row],[Qté Facturé 05/2018]]*Tableau1[[#This Row],[Unit Price (calcul)]],"")</f>
        <v/>
      </c>
      <c r="BF159" s="351" t="str">
        <f>IFERROR(IF(Tableau1[[#This Row],[Montant Facturé 05/2018]]&gt;0,Tableau1[[#This Row],[Montant Facturé 05/2018]]/Taux_Change_SII,""),"")</f>
        <v/>
      </c>
      <c r="BG159" s="351"/>
      <c r="BH159" s="83">
        <f>SUMPRODUCT(1*(EXACT(CONCATENATE(Tableau1[[#This Row],[PO Number (Header)]],"-",Tableau1[[#This Row],[Line]]),UO_List[Unique_AIB_ID]))*(UO_List[Qté Réception 06/2020]))</f>
        <v>0</v>
      </c>
      <c r="BI159" s="84"/>
      <c r="BJ159" s="351"/>
      <c r="BK159" s="351" t="str">
        <f>IFERROR(Tableau1[[#This Row],[Qté Facturé 06/2018]]*Tableau1[[#This Row],[Unit Price (calcul)]],"")</f>
        <v/>
      </c>
      <c r="BL159" s="351" t="str">
        <f>IFERROR(IF(Tableau1[[#This Row],[Montant Facturé 06/2018]]&gt;0,Tableau1[[#This Row],[Montant Facturé 06/2018]]/Taux_Change_SII,""),"")</f>
        <v/>
      </c>
      <c r="BM159" s="351"/>
      <c r="BN159" s="83">
        <f>SUMPRODUCT(1*(EXACT(CONCATENATE(Tableau1[[#This Row],[PO Number (Header)]],"-",Tableau1[[#This Row],[Line]]),UO_List[Unique_AIB_ID]))*(UO_List[Qté Réception 07/2020]))</f>
        <v>0</v>
      </c>
      <c r="BO159" s="84">
        <v>0</v>
      </c>
      <c r="BP159" s="351"/>
      <c r="BQ159" s="351" t="str">
        <f>IFERROR(Tableau1[[#This Row],[Qté Facturé 07/2018]]*Tableau1[[#This Row],[Unit Price (calcul)]],"")</f>
        <v/>
      </c>
      <c r="BR159" s="351" t="str">
        <f>IFERROR(IF(Tableau1[[#This Row],[Montant Facturé 07/2018]]&gt;0,Tableau1[[#This Row],[Montant Facturé 07/2018]]/Taux_Change_SII,""),"")</f>
        <v/>
      </c>
      <c r="BS159" s="351"/>
      <c r="BT159" s="83">
        <f>SUMPRODUCT(1*(EXACT(CONCATENATE(Tableau1[[#This Row],[PO Number (Header)]],"-",Tableau1[[#This Row],[Line]]),UO_List[Unique_AIB_ID]))*(UO_List[Qté Réception 08/2020]))</f>
        <v>0</v>
      </c>
      <c r="BU159" s="84"/>
      <c r="BV159" s="351"/>
      <c r="BW159" s="351" t="str">
        <f>IFERROR(Tableau1[[#This Row],[Qté Facturé 08/2018]]*Tableau1[[#This Row],[Unit Price (calcul)]],"")</f>
        <v/>
      </c>
      <c r="BX159" s="351" t="str">
        <f>IFERROR(IF(Tableau1[[#This Row],[Montant Facturé 08/2018]]&gt;0,Tableau1[[#This Row],[Montant Facturé 08/2018]]/Taux_Change_SII,""),"")</f>
        <v/>
      </c>
      <c r="BY159" s="351"/>
      <c r="BZ159" s="83">
        <f>SUMPRODUCT(1*(EXACT(CONCATENATE(Tableau1[[#This Row],[PO Number (Header)]],"-",Tableau1[[#This Row],[Line]]),UO_List[Unique_AIB_ID]))*(UO_List[Qté Réception 09/2020]))</f>
        <v>0</v>
      </c>
      <c r="CA159" s="84">
        <v>0</v>
      </c>
      <c r="CB159" s="351"/>
      <c r="CC159" s="351" t="str">
        <f>IFERROR(Tableau1[[#This Row],[Qté Facturé 09/2018]]*Tableau1[[#This Row],[Unit Price (calcul)]],"")</f>
        <v/>
      </c>
      <c r="CD159" s="351" t="str">
        <f>IFERROR(IF(Tableau1[[#This Row],[Montant Facturé 09/2018]]&gt;0,Tableau1[[#This Row],[Montant Facturé 09/2018]]/Taux_Change_SII,""),"")</f>
        <v/>
      </c>
      <c r="CE159" s="351"/>
      <c r="CF159" s="83">
        <f>SUMPRODUCT(1*(EXACT(CONCATENATE(Tableau1[[#This Row],[PO Number (Header)]],"-",Tableau1[[#This Row],[Line]]),UO_List[Unique_AIB_ID]))*(UO_List[Qté Réception 10/2020]))</f>
        <v>0</v>
      </c>
      <c r="CG159" s="84"/>
      <c r="CH159" s="84"/>
      <c r="CI159" s="488" t="str">
        <f>IFERROR(Tableau1[[#This Row],[Qté Facturé 10/2018]]*Tableau1[[#This Row],[Unit Price (calcul)]],"")</f>
        <v/>
      </c>
      <c r="CJ159" s="351" t="str">
        <f>IFERROR(IF(Tableau1[[#This Row],[Montant Facturé 10/2018]]&gt;0,Tableau1[[#This Row],[Montant Facturé 10/2018]]/Taux_Change_SII,""),"")</f>
        <v/>
      </c>
      <c r="CK159" s="351"/>
      <c r="CL159" s="83">
        <f>SUMPRODUCT(1*(EXACT(CONCATENATE(Tableau1[[#This Row],[PO Number (Header)]],"-",Tableau1[[#This Row],[Line]]),UO_List[Unique_AIB_ID]))*(UO_List[Qté Réception 11/2020]))</f>
        <v>0</v>
      </c>
      <c r="CM159" s="84"/>
      <c r="CN159" s="351"/>
      <c r="CO159" s="351" t="str">
        <f>IFERROR(Tableau1[[#This Row],[Qté Facturé 11/2018]]*Tableau1[[#This Row],[Unit Price (calcul)]],"")</f>
        <v/>
      </c>
      <c r="CP159" s="351" t="str">
        <f>IFERROR(IF(Tableau1[[#This Row],[Montant Facturé 11/2018]]&gt;0,Tableau1[[#This Row],[Montant Facturé 11/2018]]/Taux_Change_SII,""),"")</f>
        <v/>
      </c>
      <c r="CQ159" s="351"/>
      <c r="CR159" s="83">
        <f>SUMPRODUCT(1*(EXACT(CONCATENATE(Tableau1[[#This Row],[PO Number (Header)]],"-",Tableau1[[#This Row],[Line]]),UO_List[Unique_AIB_ID]))*(UO_List[Qté Réception 12/2020]))</f>
        <v>0</v>
      </c>
      <c r="CS159" s="84"/>
      <c r="CT159" s="351"/>
      <c r="CU159" s="351" t="str">
        <f>IFERROR(Tableau1[[#This Row],[Qté Facturé 12/2018]]*Tableau1[[#This Row],[Unit Price (calcul)]],"")</f>
        <v/>
      </c>
      <c r="CV159" s="351" t="str">
        <f>IFERROR(IF(Tableau1[[#This Row],[Montant Facturé 12/2018]]&gt;0,Tableau1[[#This Row],[Montant Facturé 12/2018]]/Taux_Change_SII,""),"")</f>
        <v/>
      </c>
      <c r="CW159" s="351"/>
      <c r="CX15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5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5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59" s="352" t="str">
        <f>IFERROR(Tableau1[[#This Row],[Total item réceptionné]]*Tableau1[[#This Row],[Unit Price (calcul)]],"")</f>
        <v/>
      </c>
      <c r="DB159" s="352" t="str">
        <f>IFERROR(Tableau1[[#This Row],[Total item à Facturer]]*Tableau1[[#This Row],[Unit Price (calcul)]],"")</f>
        <v/>
      </c>
      <c r="DC15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59" s="352" t="str">
        <f>IFERROR(Tableau1[[#This Row],[Line Total]]-Tableau1[[#This Row],[Total Price Réceptionné]],"")</f>
        <v/>
      </c>
      <c r="DE159" s="352" t="str">
        <f>IFERROR(Tableau1[[#This Row],[Total Price Réceptionné]]-Tableau1[[#This Row],[Total Price A facturer]],"")</f>
        <v/>
      </c>
      <c r="DF159" s="353" t="str">
        <f>IFERROR(Tableau1[[#This Row],[Total Price A facturer]]-Tableau1[[#This Row],[Total Price Facturé]],"")</f>
        <v/>
      </c>
      <c r="DG159" s="76">
        <f>Tableau1[[#This Row],[Total Item Quantity]]-Tableau1[[#This Row],[Total item réceptionné]]</f>
        <v>0</v>
      </c>
      <c r="DH159" s="167"/>
      <c r="DI159" s="167"/>
    </row>
    <row r="160" spans="1:113" s="74" customFormat="1">
      <c r="A160" s="77" t="str">
        <f>CONCATENATE(Tableau1[[#This Row],[PO Number (Header)]],"-",Tableau1[[#This Row],[Line]])</f>
        <v>-</v>
      </c>
      <c r="B160" s="77"/>
      <c r="C160" s="450"/>
      <c r="D160" s="102"/>
      <c r="E160" s="77"/>
      <c r="F160" s="77"/>
      <c r="G160" s="77"/>
      <c r="H160" s="77"/>
      <c r="I160" s="452"/>
      <c r="J160" s="452"/>
      <c r="K160" s="453"/>
      <c r="L160" s="453"/>
      <c r="M160" s="77"/>
      <c r="N160" s="77"/>
      <c r="O160" s="77"/>
      <c r="P160" s="77"/>
      <c r="Q160" s="395"/>
      <c r="R160" s="395"/>
      <c r="S160" s="77"/>
      <c r="T160" s="77"/>
      <c r="U160" s="77"/>
      <c r="V160" s="77"/>
      <c r="W160" s="167"/>
      <c r="X160" s="167"/>
      <c r="Y160" s="167" t="str">
        <f>IF(ISBLANK(Tableau1[[#This Row],[PO Number (Header)]]),"",Tableau1[[#This Row],[Line Total]]/Tableau1[[#This Row],[Total Item Quantity]])</f>
        <v/>
      </c>
      <c r="Z160" s="167" t="str">
        <f>IF(ISNA(VLOOKUP(Tableau1[[#This Row],[Unique_AIB_ID]],UO_List[Unique_AIB_ID],1,FALSE)),IF(ISBLANK(Tableau1[[#This Row],[PO Number (Header)]]),"","FAUX"),"VRAI")</f>
        <v/>
      </c>
      <c r="AA160" s="167"/>
      <c r="AB160" s="162" t="e">
        <f>VLOOKUP(Tableau1[[#This Row],[Unique_AIB_ID]],UO_List[[Unique_AIB_ID]:[OLGA F6]],3,FALSE)</f>
        <v>#N/A</v>
      </c>
      <c r="AC160" s="162" t="s">
        <v>794</v>
      </c>
      <c r="AD160" s="83">
        <f>SUMPRODUCT(1*(EXACT(CONCATENATE(Tableau1[[#This Row],[PO Number (Header)]],"-",Tableau1[[#This Row],[Line]]),UO_List[Unique_AIB_ID]))*(UO_List[Qté Réception 03/2020]))</f>
        <v>0</v>
      </c>
      <c r="AE160" s="84"/>
      <c r="AF160" s="357"/>
      <c r="AG160" s="351" t="str">
        <f>IFERROR(Tableau1[[#This Row],[Qté Facturé 01/2018]]*Tableau1[[#This Row],[Unit Price (calcul)]],"")</f>
        <v/>
      </c>
      <c r="AH160" s="356" t="str">
        <f>IFERROR(IF(Tableau1[[#This Row],[Montant Facturé 01/2018]]&gt;0,Tableau1[[#This Row],[Montant Facturé 01/2018]]/Taux_Change_SII,""),"")</f>
        <v/>
      </c>
      <c r="AI160" s="351"/>
      <c r="AJ160" s="83">
        <f>SUMPRODUCT(1*(EXACT(CONCATENATE(Tableau1[[#This Row],[PO Number (Header)]],"-",Tableau1[[#This Row],[Line]]),UO_List[Unique_AIB_ID]))*(UO_List[Qté Réception 02/2020]))</f>
        <v>0</v>
      </c>
      <c r="AK160" s="83">
        <f>SUMPRODUCT(1*(EXACT(CONCATENATE(Tableau1[[#This Row],[PO Number (Header)]],"-",Tableau1[[#This Row],[Line]]),UO_List[Unique_AIB_ID]))*(UO_List[Qté Réception 02/2020]))</f>
        <v>0</v>
      </c>
      <c r="AL160" s="357"/>
      <c r="AM160" s="351" t="str">
        <f>IFERROR(Tableau1[[#This Row],[Qté Facturé 02/2018]]*Tableau1[[#This Row],[Unit Price (calcul)]],"")</f>
        <v/>
      </c>
      <c r="AN160" s="351" t="str">
        <f>IFERROR(IF(Tableau1[[#This Row],[Montant Facturé 02/2018]]&gt;0,Tableau1[[#This Row],[Montant Facturé 02/2018]]/Taux_Change_SII,""),"")</f>
        <v/>
      </c>
      <c r="AO160" s="351"/>
      <c r="AP160" s="83">
        <f>SUMPRODUCT(1*(EXACT(CONCATENATE(Tableau1[[#This Row],[PO Number (Header)]],"-",Tableau1[[#This Row],[Line]]),UO_List[Unique_AIB_ID]))*(UO_List[Qté Réception 00/2020]))</f>
        <v>0</v>
      </c>
      <c r="AQ160" s="84"/>
      <c r="AR160" s="357"/>
      <c r="AS160" s="351" t="str">
        <f>IFERROR(Tableau1[[#This Row],[Qté Facturé 03/2018]]*Tableau1[[#This Row],[Unit Price (calcul)]],"")</f>
        <v/>
      </c>
      <c r="AT160" s="351" t="str">
        <f>IFERROR(IF(Tableau1[[#This Row],[Montant Facturé 03/2018]]&gt;0,Tableau1[[#This Row],[Montant Facturé 03/2018]]/Taux_Change_SII,""),"")</f>
        <v/>
      </c>
      <c r="AU160" s="351"/>
      <c r="AV160" s="83">
        <f>SUMPRODUCT(1*(EXACT(CONCATENATE(Tableau1[[#This Row],[PO Number (Header)]],"-",Tableau1[[#This Row],[Line]]),UO_List[Unique_AIB_ID]))*(UO_List[Qté Réception 04/2020]))</f>
        <v>0</v>
      </c>
      <c r="AW160" s="84"/>
      <c r="AX160" s="351"/>
      <c r="AY160" s="351" t="str">
        <f>IFERROR(Tableau1[[#This Row],[Qté Facturé 04/2018]]*Tableau1[[#This Row],[Unit Price (calcul)]],"")</f>
        <v/>
      </c>
      <c r="AZ160" s="351" t="str">
        <f>IFERROR(IF(Tableau1[[#This Row],[Montant Facturé 04/2018]]&gt;0,Tableau1[[#This Row],[Montant Facturé 04/2018]]/Taux_Change_SII,""),"")</f>
        <v/>
      </c>
      <c r="BA160" s="351"/>
      <c r="BB160" s="83">
        <f>SUMPRODUCT(1*(EXACT(CONCATENATE(Tableau1[[#This Row],[PO Number (Header)]],"-",Tableau1[[#This Row],[Line]]),UO_List[Unique_AIB_ID]))*(UO_List[Qté Réception 05/2020]))</f>
        <v>0</v>
      </c>
      <c r="BC160" s="84"/>
      <c r="BD160" s="351"/>
      <c r="BE160" s="351" t="str">
        <f>IFERROR(Tableau1[[#This Row],[Qté Facturé 05/2018]]*Tableau1[[#This Row],[Unit Price (calcul)]],"")</f>
        <v/>
      </c>
      <c r="BF160" s="351" t="str">
        <f>IFERROR(IF(Tableau1[[#This Row],[Montant Facturé 05/2018]]&gt;0,Tableau1[[#This Row],[Montant Facturé 05/2018]]/Taux_Change_SII,""),"")</f>
        <v/>
      </c>
      <c r="BG160" s="351"/>
      <c r="BH160" s="83">
        <f>SUMPRODUCT(1*(EXACT(CONCATENATE(Tableau1[[#This Row],[PO Number (Header)]],"-",Tableau1[[#This Row],[Line]]),UO_List[Unique_AIB_ID]))*(UO_List[Qté Réception 06/2020]))</f>
        <v>0</v>
      </c>
      <c r="BI160" s="84"/>
      <c r="BJ160" s="351"/>
      <c r="BK160" s="351" t="str">
        <f>IFERROR(Tableau1[[#This Row],[Qté Facturé 06/2018]]*Tableau1[[#This Row],[Unit Price (calcul)]],"")</f>
        <v/>
      </c>
      <c r="BL160" s="351" t="str">
        <f>IFERROR(IF(Tableau1[[#This Row],[Montant Facturé 06/2018]]&gt;0,Tableau1[[#This Row],[Montant Facturé 06/2018]]/Taux_Change_SII,""),"")</f>
        <v/>
      </c>
      <c r="BM160" s="351"/>
      <c r="BN160" s="83">
        <f>SUMPRODUCT(1*(EXACT(CONCATENATE(Tableau1[[#This Row],[PO Number (Header)]],"-",Tableau1[[#This Row],[Line]]),UO_List[Unique_AIB_ID]))*(UO_List[Qté Réception 07/2020]))</f>
        <v>0</v>
      </c>
      <c r="BO160" s="84">
        <v>0</v>
      </c>
      <c r="BP160" s="351"/>
      <c r="BQ160" s="351" t="str">
        <f>IFERROR(Tableau1[[#This Row],[Qté Facturé 07/2018]]*Tableau1[[#This Row],[Unit Price (calcul)]],"")</f>
        <v/>
      </c>
      <c r="BR160" s="351" t="str">
        <f>IFERROR(IF(Tableau1[[#This Row],[Montant Facturé 07/2018]]&gt;0,Tableau1[[#This Row],[Montant Facturé 07/2018]]/Taux_Change_SII,""),"")</f>
        <v/>
      </c>
      <c r="BS160" s="351"/>
      <c r="BT160" s="83">
        <f>SUMPRODUCT(1*(EXACT(CONCATENATE(Tableau1[[#This Row],[PO Number (Header)]],"-",Tableau1[[#This Row],[Line]]),UO_List[Unique_AIB_ID]))*(UO_List[Qté Réception 08/2020]))</f>
        <v>0</v>
      </c>
      <c r="BU160" s="84"/>
      <c r="BV160" s="351"/>
      <c r="BW160" s="351" t="str">
        <f>IFERROR(Tableau1[[#This Row],[Qté Facturé 08/2018]]*Tableau1[[#This Row],[Unit Price (calcul)]],"")</f>
        <v/>
      </c>
      <c r="BX160" s="351" t="str">
        <f>IFERROR(IF(Tableau1[[#This Row],[Montant Facturé 08/2018]]&gt;0,Tableau1[[#This Row],[Montant Facturé 08/2018]]/Taux_Change_SII,""),"")</f>
        <v/>
      </c>
      <c r="BY160" s="351"/>
      <c r="BZ160" s="83">
        <f>SUMPRODUCT(1*(EXACT(CONCATENATE(Tableau1[[#This Row],[PO Number (Header)]],"-",Tableau1[[#This Row],[Line]]),UO_List[Unique_AIB_ID]))*(UO_List[Qté Réception 09/2020]))</f>
        <v>0</v>
      </c>
      <c r="CA160" s="83"/>
      <c r="CB160" s="351"/>
      <c r="CC160" s="351" t="str">
        <f>IFERROR(Tableau1[[#This Row],[Qté Facturé 09/2018]]*Tableau1[[#This Row],[Unit Price (calcul)]],"")</f>
        <v/>
      </c>
      <c r="CD160" s="351" t="str">
        <f>IFERROR(IF(Tableau1[[#This Row],[Montant Facturé 09/2018]]&gt;0,Tableau1[[#This Row],[Montant Facturé 09/2018]]/Taux_Change_SII,""),"")</f>
        <v/>
      </c>
      <c r="CE160" s="351"/>
      <c r="CF160" s="83">
        <f>SUMPRODUCT(1*(EXACT(CONCATENATE(Tableau1[[#This Row],[PO Number (Header)]],"-",Tableau1[[#This Row],[Line]]),UO_List[Unique_AIB_ID]))*(UO_List[Qté Réception 10/2020]))</f>
        <v>0</v>
      </c>
      <c r="CG160" s="84"/>
      <c r="CH160" s="84"/>
      <c r="CI160" s="488" t="str">
        <f>IFERROR(Tableau1[[#This Row],[Qté Facturé 10/2018]]*Tableau1[[#This Row],[Unit Price (calcul)]],"")</f>
        <v/>
      </c>
      <c r="CJ160" s="351" t="str">
        <f>IFERROR(IF(Tableau1[[#This Row],[Montant Facturé 10/2018]]&gt;0,Tableau1[[#This Row],[Montant Facturé 10/2018]]/Taux_Change_SII,""),"")</f>
        <v/>
      </c>
      <c r="CK160" s="351"/>
      <c r="CL160" s="83">
        <f>SUMPRODUCT(1*(EXACT(CONCATENATE(Tableau1[[#This Row],[PO Number (Header)]],"-",Tableau1[[#This Row],[Line]]),UO_List[Unique_AIB_ID]))*(UO_List[Qté Réception 11/2020]))</f>
        <v>0</v>
      </c>
      <c r="CM160" s="84"/>
      <c r="CN160" s="351"/>
      <c r="CO160" s="351" t="str">
        <f>IFERROR(Tableau1[[#This Row],[Qté Facturé 11/2018]]*Tableau1[[#This Row],[Unit Price (calcul)]],"")</f>
        <v/>
      </c>
      <c r="CP160" s="351" t="str">
        <f>IFERROR(IF(Tableau1[[#This Row],[Montant Facturé 11/2018]]&gt;0,Tableau1[[#This Row],[Montant Facturé 11/2018]]/Taux_Change_SII,""),"")</f>
        <v/>
      </c>
      <c r="CQ160" s="351"/>
      <c r="CR160" s="83">
        <f>SUMPRODUCT(1*(EXACT(CONCATENATE(Tableau1[[#This Row],[PO Number (Header)]],"-",Tableau1[[#This Row],[Line]]),UO_List[Unique_AIB_ID]))*(UO_List[Qté Réception 12/2020]))</f>
        <v>0</v>
      </c>
      <c r="CS160" s="84"/>
      <c r="CT160" s="351"/>
      <c r="CU160" s="351" t="str">
        <f>IFERROR(Tableau1[[#This Row],[Qté Facturé 12/2018]]*Tableau1[[#This Row],[Unit Price (calcul)]],"")</f>
        <v/>
      </c>
      <c r="CV160" s="351" t="str">
        <f>IFERROR(IF(Tableau1[[#This Row],[Montant Facturé 12/2018]]&gt;0,Tableau1[[#This Row],[Montant Facturé 12/2018]]/Taux_Change_SII,""),"")</f>
        <v/>
      </c>
      <c r="CW160" s="351"/>
      <c r="CX16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0" s="352" t="str">
        <f>IFERROR(Tableau1[[#This Row],[Total item réceptionné]]*Tableau1[[#This Row],[Unit Price (calcul)]],"")</f>
        <v/>
      </c>
      <c r="DB160" s="352" t="str">
        <f>IFERROR(Tableau1[[#This Row],[Total item à Facturer]]*Tableau1[[#This Row],[Unit Price (calcul)]],"")</f>
        <v/>
      </c>
      <c r="DC16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0" s="352" t="str">
        <f>IFERROR(Tableau1[[#This Row],[Line Total]]-Tableau1[[#This Row],[Total Price Réceptionné]],"")</f>
        <v/>
      </c>
      <c r="DE160" s="352" t="str">
        <f>IFERROR(Tableau1[[#This Row],[Total Price Réceptionné]]-Tableau1[[#This Row],[Total Price A facturer]],"")</f>
        <v/>
      </c>
      <c r="DF160" s="353" t="str">
        <f>IFERROR(Tableau1[[#This Row],[Total Price A facturer]]-Tableau1[[#This Row],[Total Price Facturé]],"")</f>
        <v/>
      </c>
      <c r="DG160" s="76">
        <f>Tableau1[[#This Row],[Total Item Quantity]]-Tableau1[[#This Row],[Total item réceptionné]]</f>
        <v>0</v>
      </c>
      <c r="DH160" s="167"/>
      <c r="DI160" s="167"/>
    </row>
    <row r="161" spans="1:113" s="74" customFormat="1">
      <c r="A161" s="77" t="str">
        <f>CONCATENATE(Tableau1[[#This Row],[PO Number (Header)]],"-",Tableau1[[#This Row],[Line]])</f>
        <v>-</v>
      </c>
      <c r="B161" s="77"/>
      <c r="C161" s="450"/>
      <c r="D161" s="102"/>
      <c r="E161" s="77"/>
      <c r="F161" s="77"/>
      <c r="G161" s="77"/>
      <c r="H161" s="77"/>
      <c r="I161" s="452"/>
      <c r="J161" s="452"/>
      <c r="K161" s="453"/>
      <c r="L161" s="453"/>
      <c r="M161" s="77"/>
      <c r="N161" s="77"/>
      <c r="O161" s="77"/>
      <c r="P161" s="77"/>
      <c r="Q161" s="395"/>
      <c r="R161" s="395"/>
      <c r="S161" s="77"/>
      <c r="T161" s="77"/>
      <c r="U161" s="77"/>
      <c r="V161" s="77"/>
      <c r="W161" s="167"/>
      <c r="X161" s="167"/>
      <c r="Y161" s="167" t="str">
        <f>IF(ISBLANK(Tableau1[[#This Row],[PO Number (Header)]]),"",Tableau1[[#This Row],[Line Total]]/Tableau1[[#This Row],[Total Item Quantity]])</f>
        <v/>
      </c>
      <c r="Z161" s="167" t="str">
        <f>IF(ISNA(VLOOKUP(Tableau1[[#This Row],[Unique_AIB_ID]],UO_List[Unique_AIB_ID],1,FALSE)),IF(ISBLANK(Tableau1[[#This Row],[PO Number (Header)]]),"","FAUX"),"VRAI")</f>
        <v/>
      </c>
      <c r="AA161" s="167"/>
      <c r="AB161" s="162" t="e">
        <f>VLOOKUP(Tableau1[[#This Row],[Unique_AIB_ID]],UO_List[[Unique_AIB_ID]:[OLGA F6]],3,FALSE)</f>
        <v>#N/A</v>
      </c>
      <c r="AC161" s="162" t="s">
        <v>792</v>
      </c>
      <c r="AD161" s="83">
        <f>SUMPRODUCT(1*(EXACT(CONCATENATE(Tableau1[[#This Row],[PO Number (Header)]],"-",Tableau1[[#This Row],[Line]]),UO_List[Unique_AIB_ID]))*(UO_List[Qté Réception 03/2020]))</f>
        <v>0</v>
      </c>
      <c r="AE161" s="84"/>
      <c r="AF161" s="357"/>
      <c r="AG161" s="351" t="str">
        <f>IFERROR(Tableau1[[#This Row],[Qté Facturé 01/2018]]*Tableau1[[#This Row],[Unit Price (calcul)]],"")</f>
        <v/>
      </c>
      <c r="AH161" s="356" t="str">
        <f>IFERROR(IF(Tableau1[[#This Row],[Montant Facturé 01/2018]]&gt;0,Tableau1[[#This Row],[Montant Facturé 01/2018]]/Taux_Change_SII,""),"")</f>
        <v/>
      </c>
      <c r="AI161" s="351"/>
      <c r="AJ161" s="83">
        <f>SUMPRODUCT(1*(EXACT(CONCATENATE(Tableau1[[#This Row],[PO Number (Header)]],"-",Tableau1[[#This Row],[Line]]),UO_List[Unique_AIB_ID]))*(UO_List[Qté Réception 02/2020]))</f>
        <v>0</v>
      </c>
      <c r="AK161" s="83">
        <f>SUMPRODUCT(1*(EXACT(CONCATENATE(Tableau1[[#This Row],[PO Number (Header)]],"-",Tableau1[[#This Row],[Line]]),UO_List[Unique_AIB_ID]))*(UO_List[Qté Réception 02/2020]))</f>
        <v>0</v>
      </c>
      <c r="AL161" s="357"/>
      <c r="AM161" s="351" t="str">
        <f>IFERROR(Tableau1[[#This Row],[Qté Facturé 02/2018]]*Tableau1[[#This Row],[Unit Price (calcul)]],"")</f>
        <v/>
      </c>
      <c r="AN161" s="351" t="str">
        <f>IFERROR(IF(Tableau1[[#This Row],[Montant Facturé 02/2018]]&gt;0,Tableau1[[#This Row],[Montant Facturé 02/2018]]/Taux_Change_SII,""),"")</f>
        <v/>
      </c>
      <c r="AO161" s="351"/>
      <c r="AP161" s="83">
        <f>SUMPRODUCT(1*(EXACT(CONCATENATE(Tableau1[[#This Row],[PO Number (Header)]],"-",Tableau1[[#This Row],[Line]]),UO_List[Unique_AIB_ID]))*(UO_List[Qté Réception 00/2020]))</f>
        <v>0</v>
      </c>
      <c r="AQ161" s="84"/>
      <c r="AR161" s="357"/>
      <c r="AS161" s="351" t="str">
        <f>IFERROR(Tableau1[[#This Row],[Qté Facturé 03/2018]]*Tableau1[[#This Row],[Unit Price (calcul)]],"")</f>
        <v/>
      </c>
      <c r="AT161" s="351" t="str">
        <f>IFERROR(IF(Tableau1[[#This Row],[Montant Facturé 03/2018]]&gt;0,Tableau1[[#This Row],[Montant Facturé 03/2018]]/Taux_Change_SII,""),"")</f>
        <v/>
      </c>
      <c r="AU161" s="351"/>
      <c r="AV161" s="83">
        <f>SUMPRODUCT(1*(EXACT(CONCATENATE(Tableau1[[#This Row],[PO Number (Header)]],"-",Tableau1[[#This Row],[Line]]),UO_List[Unique_AIB_ID]))*(UO_List[Qté Réception 04/2020]))</f>
        <v>0</v>
      </c>
      <c r="AW161" s="84"/>
      <c r="AX161" s="351"/>
      <c r="AY161" s="351" t="str">
        <f>IFERROR(Tableau1[[#This Row],[Qté Facturé 04/2018]]*Tableau1[[#This Row],[Unit Price (calcul)]],"")</f>
        <v/>
      </c>
      <c r="AZ161" s="351" t="str">
        <f>IFERROR(IF(Tableau1[[#This Row],[Montant Facturé 04/2018]]&gt;0,Tableau1[[#This Row],[Montant Facturé 04/2018]]/Taux_Change_SII,""),"")</f>
        <v/>
      </c>
      <c r="BA161" s="351"/>
      <c r="BB161" s="83">
        <f>SUMPRODUCT(1*(EXACT(CONCATENATE(Tableau1[[#This Row],[PO Number (Header)]],"-",Tableau1[[#This Row],[Line]]),UO_List[Unique_AIB_ID]))*(UO_List[Qté Réception 05/2020]))</f>
        <v>0</v>
      </c>
      <c r="BC161" s="84"/>
      <c r="BD161" s="351"/>
      <c r="BE161" s="351" t="str">
        <f>IFERROR(Tableau1[[#This Row],[Qté Facturé 05/2018]]*Tableau1[[#This Row],[Unit Price (calcul)]],"")</f>
        <v/>
      </c>
      <c r="BF161" s="351" t="str">
        <f>IFERROR(IF(Tableau1[[#This Row],[Montant Facturé 05/2018]]&gt;0,Tableau1[[#This Row],[Montant Facturé 05/2018]]/Taux_Change_SII,""),"")</f>
        <v/>
      </c>
      <c r="BG161" s="351"/>
      <c r="BH161" s="83">
        <f>SUMPRODUCT(1*(EXACT(CONCATENATE(Tableau1[[#This Row],[PO Number (Header)]],"-",Tableau1[[#This Row],[Line]]),UO_List[Unique_AIB_ID]))*(UO_List[Qté Réception 06/2020]))</f>
        <v>0</v>
      </c>
      <c r="BI161" s="84"/>
      <c r="BJ161" s="351"/>
      <c r="BK161" s="351" t="str">
        <f>IFERROR(Tableau1[[#This Row],[Qté Facturé 06/2018]]*Tableau1[[#This Row],[Unit Price (calcul)]],"")</f>
        <v/>
      </c>
      <c r="BL161" s="351" t="str">
        <f>IFERROR(IF(Tableau1[[#This Row],[Montant Facturé 06/2018]]&gt;0,Tableau1[[#This Row],[Montant Facturé 06/2018]]/Taux_Change_SII,""),"")</f>
        <v/>
      </c>
      <c r="BM161" s="351"/>
      <c r="BN161" s="83">
        <f>SUMPRODUCT(1*(EXACT(CONCATENATE(Tableau1[[#This Row],[PO Number (Header)]],"-",Tableau1[[#This Row],[Line]]),UO_List[Unique_AIB_ID]))*(UO_List[Qté Réception 07/2020]))</f>
        <v>0</v>
      </c>
      <c r="BO161" s="84">
        <v>0</v>
      </c>
      <c r="BP161" s="351"/>
      <c r="BQ161" s="351" t="str">
        <f>IFERROR(Tableau1[[#This Row],[Qté Facturé 07/2018]]*Tableau1[[#This Row],[Unit Price (calcul)]],"")</f>
        <v/>
      </c>
      <c r="BR161" s="351" t="str">
        <f>IFERROR(IF(Tableau1[[#This Row],[Montant Facturé 07/2018]]&gt;0,Tableau1[[#This Row],[Montant Facturé 07/2018]]/Taux_Change_SII,""),"")</f>
        <v/>
      </c>
      <c r="BS161" s="351"/>
      <c r="BT161" s="83">
        <f>SUMPRODUCT(1*(EXACT(CONCATENATE(Tableau1[[#This Row],[PO Number (Header)]],"-",Tableau1[[#This Row],[Line]]),UO_List[Unique_AIB_ID]))*(UO_List[Qté Réception 08/2020]))</f>
        <v>0</v>
      </c>
      <c r="BU161" s="84"/>
      <c r="BV161" s="351"/>
      <c r="BW161" s="351" t="str">
        <f>IFERROR(Tableau1[[#This Row],[Qté Facturé 08/2018]]*Tableau1[[#This Row],[Unit Price (calcul)]],"")</f>
        <v/>
      </c>
      <c r="BX161" s="351" t="str">
        <f>IFERROR(IF(Tableau1[[#This Row],[Montant Facturé 08/2018]]&gt;0,Tableau1[[#This Row],[Montant Facturé 08/2018]]/Taux_Change_SII,""),"")</f>
        <v/>
      </c>
      <c r="BY161" s="351"/>
      <c r="BZ161" s="83">
        <f>SUMPRODUCT(1*(EXACT(CONCATENATE(Tableau1[[#This Row],[PO Number (Header)]],"-",Tableau1[[#This Row],[Line]]),UO_List[Unique_AIB_ID]))*(UO_List[Qté Réception 09/2020]))</f>
        <v>0</v>
      </c>
      <c r="CA161" s="84">
        <v>0</v>
      </c>
      <c r="CB161" s="351"/>
      <c r="CC161" s="351" t="str">
        <f>IFERROR(Tableau1[[#This Row],[Qté Facturé 09/2018]]*Tableau1[[#This Row],[Unit Price (calcul)]],"")</f>
        <v/>
      </c>
      <c r="CD161" s="351" t="str">
        <f>IFERROR(IF(Tableau1[[#This Row],[Montant Facturé 09/2018]]&gt;0,Tableau1[[#This Row],[Montant Facturé 09/2018]]/Taux_Change_SII,""),"")</f>
        <v/>
      </c>
      <c r="CE161" s="351"/>
      <c r="CF161" s="83">
        <f>SUMPRODUCT(1*(EXACT(CONCATENATE(Tableau1[[#This Row],[PO Number (Header)]],"-",Tableau1[[#This Row],[Line]]),UO_List[Unique_AIB_ID]))*(UO_List[Qté Réception 10/2020]))</f>
        <v>0</v>
      </c>
      <c r="CG161" s="84"/>
      <c r="CH161" s="84"/>
      <c r="CI161" s="488" t="str">
        <f>IFERROR(Tableau1[[#This Row],[Qté Facturé 10/2018]]*Tableau1[[#This Row],[Unit Price (calcul)]],"")</f>
        <v/>
      </c>
      <c r="CJ161" s="351" t="str">
        <f>IFERROR(IF(Tableau1[[#This Row],[Montant Facturé 10/2018]]&gt;0,Tableau1[[#This Row],[Montant Facturé 10/2018]]/Taux_Change_SII,""),"")</f>
        <v/>
      </c>
      <c r="CK161" s="351"/>
      <c r="CL161" s="83">
        <f>SUMPRODUCT(1*(EXACT(CONCATENATE(Tableau1[[#This Row],[PO Number (Header)]],"-",Tableau1[[#This Row],[Line]]),UO_List[Unique_AIB_ID]))*(UO_List[Qté Réception 11/2020]))</f>
        <v>0</v>
      </c>
      <c r="CM161" s="84"/>
      <c r="CN161" s="351"/>
      <c r="CO161" s="351" t="str">
        <f>IFERROR(Tableau1[[#This Row],[Qté Facturé 11/2018]]*Tableau1[[#This Row],[Unit Price (calcul)]],"")</f>
        <v/>
      </c>
      <c r="CP161" s="351" t="str">
        <f>IFERROR(IF(Tableau1[[#This Row],[Montant Facturé 11/2018]]&gt;0,Tableau1[[#This Row],[Montant Facturé 11/2018]]/Taux_Change_SII,""),"")</f>
        <v/>
      </c>
      <c r="CQ161" s="351"/>
      <c r="CR161" s="83">
        <f>SUMPRODUCT(1*(EXACT(CONCATENATE(Tableau1[[#This Row],[PO Number (Header)]],"-",Tableau1[[#This Row],[Line]]),UO_List[Unique_AIB_ID]))*(UO_List[Qté Réception 12/2020]))</f>
        <v>0</v>
      </c>
      <c r="CS161" s="84"/>
      <c r="CT161" s="351"/>
      <c r="CU161" s="351" t="str">
        <f>IFERROR(Tableau1[[#This Row],[Qté Facturé 12/2018]]*Tableau1[[#This Row],[Unit Price (calcul)]],"")</f>
        <v/>
      </c>
      <c r="CV161" s="351" t="str">
        <f>IFERROR(IF(Tableau1[[#This Row],[Montant Facturé 12/2018]]&gt;0,Tableau1[[#This Row],[Montant Facturé 12/2018]]/Taux_Change_SII,""),"")</f>
        <v/>
      </c>
      <c r="CW161" s="351"/>
      <c r="CX16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1" s="352" t="str">
        <f>IFERROR(Tableau1[[#This Row],[Total item réceptionné]]*Tableau1[[#This Row],[Unit Price (calcul)]],"")</f>
        <v/>
      </c>
      <c r="DB161" s="352" t="str">
        <f>IFERROR(Tableau1[[#This Row],[Total item à Facturer]]*Tableau1[[#This Row],[Unit Price (calcul)]],"")</f>
        <v/>
      </c>
      <c r="DC16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1" s="352" t="str">
        <f>IFERROR(Tableau1[[#This Row],[Line Total]]-Tableau1[[#This Row],[Total Price Réceptionné]],"")</f>
        <v/>
      </c>
      <c r="DE161" s="352" t="str">
        <f>IFERROR(Tableau1[[#This Row],[Total Price Réceptionné]]-Tableau1[[#This Row],[Total Price A facturer]],"")</f>
        <v/>
      </c>
      <c r="DF161" s="353" t="str">
        <f>IFERROR(Tableau1[[#This Row],[Total Price A facturer]]-Tableau1[[#This Row],[Total Price Facturé]],"")</f>
        <v/>
      </c>
      <c r="DG161" s="76">
        <f>Tableau1[[#This Row],[Total Item Quantity]]-Tableau1[[#This Row],[Total item réceptionné]]</f>
        <v>0</v>
      </c>
      <c r="DH161" s="167"/>
      <c r="DI161" s="167"/>
    </row>
    <row r="162" spans="1:113" s="74" customFormat="1">
      <c r="A162" s="77" t="str">
        <f>CONCATENATE(Tableau1[[#This Row],[PO Number (Header)]],"-",Tableau1[[#This Row],[Line]])</f>
        <v>-</v>
      </c>
      <c r="B162" s="454"/>
      <c r="C162" s="455"/>
      <c r="D162" s="454"/>
      <c r="E162" s="455"/>
      <c r="F162" s="454"/>
      <c r="G162" s="455"/>
      <c r="H162" s="454"/>
      <c r="I162" s="455"/>
      <c r="J162" s="454"/>
      <c r="K162" s="455"/>
      <c r="L162" s="454"/>
      <c r="M162" s="455"/>
      <c r="N162" s="454"/>
      <c r="O162" s="455"/>
      <c r="P162" s="454"/>
      <c r="Q162" s="485"/>
      <c r="R162" s="395"/>
      <c r="S162" s="455"/>
      <c r="T162" s="454"/>
      <c r="U162" s="455"/>
      <c r="V162" s="454"/>
      <c r="W162" s="167"/>
      <c r="X162" s="167"/>
      <c r="Y162" s="167" t="str">
        <f>IF(ISBLANK(Tableau1[[#This Row],[PO Number (Header)]]),"",Tableau1[[#This Row],[Line Total]]/Tableau1[[#This Row],[Total Item Quantity]])</f>
        <v/>
      </c>
      <c r="Z162" s="167" t="str">
        <f>IF(ISNA(VLOOKUP(Tableau1[[#This Row],[Unique_AIB_ID]],UO_List[Unique_AIB_ID],1,FALSE)),IF(ISBLANK(Tableau1[[#This Row],[PO Number (Header)]]),"","FAUX"),"VRAI")</f>
        <v/>
      </c>
      <c r="AA162" s="167"/>
      <c r="AB162" s="162" t="e">
        <f>VLOOKUP(Tableau1[[#This Row],[Unique_AIB_ID]],UO_List[[Unique_AIB_ID]:[OLGA F6]],3,FALSE)</f>
        <v>#N/A</v>
      </c>
      <c r="AC162" s="162" t="s">
        <v>807</v>
      </c>
      <c r="AD162" s="83">
        <f>SUMPRODUCT(1*(EXACT(CONCATENATE(Tableau1[[#This Row],[PO Number (Header)]],"-",Tableau1[[#This Row],[Line]]),UO_List[Unique_AIB_ID]))*(UO_List[Qté Réception 03/2020]))</f>
        <v>0</v>
      </c>
      <c r="AE162" s="84"/>
      <c r="AF162" s="357"/>
      <c r="AG162" s="351" t="str">
        <f>IFERROR(Tableau1[[#This Row],[Qté Facturé 01/2018]]*Tableau1[[#This Row],[Unit Price (calcul)]],"")</f>
        <v/>
      </c>
      <c r="AH162" s="356" t="str">
        <f>IFERROR(IF(Tableau1[[#This Row],[Montant Facturé 01/2018]]&gt;0,Tableau1[[#This Row],[Montant Facturé 01/2018]]/Taux_Change_SII,""),"")</f>
        <v/>
      </c>
      <c r="AI162" s="351"/>
      <c r="AJ162" s="83">
        <f>SUMPRODUCT(1*(EXACT(CONCATENATE(Tableau1[[#This Row],[PO Number (Header)]],"-",Tableau1[[#This Row],[Line]]),UO_List[Unique_AIB_ID]))*(UO_List[Qté Réception 02/2020]))</f>
        <v>0</v>
      </c>
      <c r="AK162" s="83">
        <f>SUMPRODUCT(1*(EXACT(CONCATENATE(Tableau1[[#This Row],[PO Number (Header)]],"-",Tableau1[[#This Row],[Line]]),UO_List[Unique_AIB_ID]))*(UO_List[Qté Réception 02/2020]))</f>
        <v>0</v>
      </c>
      <c r="AL162" s="357"/>
      <c r="AM162" s="351" t="str">
        <f>IFERROR(Tableau1[[#This Row],[Qté Facturé 02/2018]]*Tableau1[[#This Row],[Unit Price (calcul)]],"")</f>
        <v/>
      </c>
      <c r="AN162" s="351" t="str">
        <f>IFERROR(IF(Tableau1[[#This Row],[Montant Facturé 02/2018]]&gt;0,Tableau1[[#This Row],[Montant Facturé 02/2018]]/Taux_Change_SII,""),"")</f>
        <v/>
      </c>
      <c r="AO162" s="351"/>
      <c r="AP162" s="83">
        <f>SUMPRODUCT(1*(EXACT(CONCATENATE(Tableau1[[#This Row],[PO Number (Header)]],"-",Tableau1[[#This Row],[Line]]),UO_List[Unique_AIB_ID]))*(UO_List[Qté Réception 00/2020]))</f>
        <v>0</v>
      </c>
      <c r="AQ162" s="84"/>
      <c r="AR162" s="357"/>
      <c r="AS162" s="351" t="str">
        <f>IFERROR(Tableau1[[#This Row],[Qté Facturé 03/2018]]*Tableau1[[#This Row],[Unit Price (calcul)]],"")</f>
        <v/>
      </c>
      <c r="AT162" s="351" t="str">
        <f>IFERROR(IF(Tableau1[[#This Row],[Montant Facturé 03/2018]]&gt;0,Tableau1[[#This Row],[Montant Facturé 03/2018]]/Taux_Change_SII,""),"")</f>
        <v/>
      </c>
      <c r="AU162" s="351"/>
      <c r="AV162" s="83">
        <f>SUMPRODUCT(1*(EXACT(CONCATENATE(Tableau1[[#This Row],[PO Number (Header)]],"-",Tableau1[[#This Row],[Line]]),UO_List[Unique_AIB_ID]))*(UO_List[Qté Réception 04/2020]))</f>
        <v>0</v>
      </c>
      <c r="AW162" s="84"/>
      <c r="AX162" s="351"/>
      <c r="AY162" s="351" t="str">
        <f>IFERROR(Tableau1[[#This Row],[Qté Facturé 04/2018]]*Tableau1[[#This Row],[Unit Price (calcul)]],"")</f>
        <v/>
      </c>
      <c r="AZ162" s="351" t="str">
        <f>IFERROR(IF(Tableau1[[#This Row],[Montant Facturé 04/2018]]&gt;0,Tableau1[[#This Row],[Montant Facturé 04/2018]]/Taux_Change_SII,""),"")</f>
        <v/>
      </c>
      <c r="BA162" s="351"/>
      <c r="BB162" s="83">
        <f>SUMPRODUCT(1*(EXACT(CONCATENATE(Tableau1[[#This Row],[PO Number (Header)]],"-",Tableau1[[#This Row],[Line]]),UO_List[Unique_AIB_ID]))*(UO_List[Qté Réception 05/2020]))</f>
        <v>0</v>
      </c>
      <c r="BC162" s="84"/>
      <c r="BD162" s="351"/>
      <c r="BE162" s="351" t="str">
        <f>IFERROR(Tableau1[[#This Row],[Qté Facturé 05/2018]]*Tableau1[[#This Row],[Unit Price (calcul)]],"")</f>
        <v/>
      </c>
      <c r="BF162" s="351" t="str">
        <f>IFERROR(IF(Tableau1[[#This Row],[Montant Facturé 05/2018]]&gt;0,Tableau1[[#This Row],[Montant Facturé 05/2018]]/Taux_Change_SII,""),"")</f>
        <v/>
      </c>
      <c r="BG162" s="351"/>
      <c r="BH162" s="83">
        <f>SUMPRODUCT(1*(EXACT(CONCATENATE(Tableau1[[#This Row],[PO Number (Header)]],"-",Tableau1[[#This Row],[Line]]),UO_List[Unique_AIB_ID]))*(UO_List[Qté Réception 06/2020]))</f>
        <v>0</v>
      </c>
      <c r="BI162" s="84"/>
      <c r="BJ162" s="351"/>
      <c r="BK162" s="351" t="str">
        <f>IFERROR(Tableau1[[#This Row],[Qté Facturé 06/2018]]*Tableau1[[#This Row],[Unit Price (calcul)]],"")</f>
        <v/>
      </c>
      <c r="BL162" s="351" t="str">
        <f>IFERROR(IF(Tableau1[[#This Row],[Montant Facturé 06/2018]]&gt;0,Tableau1[[#This Row],[Montant Facturé 06/2018]]/Taux_Change_SII,""),"")</f>
        <v/>
      </c>
      <c r="BM162" s="351"/>
      <c r="BN162" s="83">
        <f>SUMPRODUCT(1*(EXACT(CONCATENATE(Tableau1[[#This Row],[PO Number (Header)]],"-",Tableau1[[#This Row],[Line]]),UO_List[Unique_AIB_ID]))*(UO_List[Qté Réception 07/2020]))</f>
        <v>0</v>
      </c>
      <c r="BO162" s="84">
        <v>0</v>
      </c>
      <c r="BP162" s="351"/>
      <c r="BQ162" s="351" t="str">
        <f>IFERROR(Tableau1[[#This Row],[Qté Facturé 07/2018]]*Tableau1[[#This Row],[Unit Price (calcul)]],"")</f>
        <v/>
      </c>
      <c r="BR162" s="351" t="str">
        <f>IFERROR(IF(Tableau1[[#This Row],[Montant Facturé 07/2018]]&gt;0,Tableau1[[#This Row],[Montant Facturé 07/2018]]/Taux_Change_SII,""),"")</f>
        <v/>
      </c>
      <c r="BS162" s="351"/>
      <c r="BT162" s="83">
        <f>SUMPRODUCT(1*(EXACT(CONCATENATE(Tableau1[[#This Row],[PO Number (Header)]],"-",Tableau1[[#This Row],[Line]]),UO_List[Unique_AIB_ID]))*(UO_List[Qté Réception 08/2020]))</f>
        <v>0</v>
      </c>
      <c r="BU162" s="84"/>
      <c r="BV162" s="351"/>
      <c r="BW162" s="351" t="str">
        <f>IFERROR(Tableau1[[#This Row],[Qté Facturé 08/2018]]*Tableau1[[#This Row],[Unit Price (calcul)]],"")</f>
        <v/>
      </c>
      <c r="BX162" s="351" t="str">
        <f>IFERROR(IF(Tableau1[[#This Row],[Montant Facturé 08/2018]]&gt;0,Tableau1[[#This Row],[Montant Facturé 08/2018]]/Taux_Change_SII,""),"")</f>
        <v/>
      </c>
      <c r="BY162" s="351"/>
      <c r="BZ162" s="83">
        <f>SUMPRODUCT(1*(EXACT(CONCATENATE(Tableau1[[#This Row],[PO Number (Header)]],"-",Tableau1[[#This Row],[Line]]),UO_List[Unique_AIB_ID]))*(UO_List[Qté Réception 09/2020]))</f>
        <v>0</v>
      </c>
      <c r="CA162" s="83"/>
      <c r="CB162" s="351"/>
      <c r="CC162" s="351" t="str">
        <f>IFERROR(Tableau1[[#This Row],[Qté Facturé 09/2018]]*Tableau1[[#This Row],[Unit Price (calcul)]],"")</f>
        <v/>
      </c>
      <c r="CD162" s="351" t="str">
        <f>IFERROR(IF(Tableau1[[#This Row],[Montant Facturé 09/2018]]&gt;0,Tableau1[[#This Row],[Montant Facturé 09/2018]]/Taux_Change_SII,""),"")</f>
        <v/>
      </c>
      <c r="CE162" s="351"/>
      <c r="CF162" s="83">
        <f>SUMPRODUCT(1*(EXACT(CONCATENATE(Tableau1[[#This Row],[PO Number (Header)]],"-",Tableau1[[#This Row],[Line]]),UO_List[Unique_AIB_ID]))*(UO_List[Qté Réception 10/2020]))</f>
        <v>0</v>
      </c>
      <c r="CG162" s="84">
        <v>0</v>
      </c>
      <c r="CH162" s="351"/>
      <c r="CI162" s="351" t="str">
        <f>IFERROR(Tableau1[[#This Row],[Qté Facturé 10/2018]]*Tableau1[[#This Row],[Unit Price (calcul)]],"")</f>
        <v/>
      </c>
      <c r="CJ162" s="351" t="str">
        <f>IFERROR(IF(Tableau1[[#This Row],[Montant Facturé 10/2018]]&gt;0,Tableau1[[#This Row],[Montant Facturé 10/2018]]/Taux_Change_SII,""),"")</f>
        <v/>
      </c>
      <c r="CK162" s="351"/>
      <c r="CL162" s="83">
        <f>SUMPRODUCT(1*(EXACT(CONCATENATE(Tableau1[[#This Row],[PO Number (Header)]],"-",Tableau1[[#This Row],[Line]]),UO_List[Unique_AIB_ID]))*(UO_List[Qté Réception 11/2020]))</f>
        <v>0</v>
      </c>
      <c r="CM162" s="84"/>
      <c r="CN162" s="351"/>
      <c r="CO162" s="351" t="str">
        <f>IFERROR(Tableau1[[#This Row],[Qté Facturé 11/2018]]*Tableau1[[#This Row],[Unit Price (calcul)]],"")</f>
        <v/>
      </c>
      <c r="CP162" s="351" t="str">
        <f>IFERROR(IF(Tableau1[[#This Row],[Montant Facturé 11/2018]]&gt;0,Tableau1[[#This Row],[Montant Facturé 11/2018]]/Taux_Change_SII,""),"")</f>
        <v/>
      </c>
      <c r="CQ162" s="351"/>
      <c r="CR162" s="83">
        <f>SUMPRODUCT(1*(EXACT(CONCATENATE(Tableau1[[#This Row],[PO Number (Header)]],"-",Tableau1[[#This Row],[Line]]),UO_List[Unique_AIB_ID]))*(UO_List[Qté Réception 12/2020]))</f>
        <v>0</v>
      </c>
      <c r="CS162" s="84"/>
      <c r="CT162" s="351"/>
      <c r="CU162" s="351" t="str">
        <f>IFERROR(Tableau1[[#This Row],[Qté Facturé 12/2018]]*Tableau1[[#This Row],[Unit Price (calcul)]],"")</f>
        <v/>
      </c>
      <c r="CV162" s="351" t="str">
        <f>IFERROR(IF(Tableau1[[#This Row],[Montant Facturé 12/2018]]&gt;0,Tableau1[[#This Row],[Montant Facturé 12/2018]]/Taux_Change_SII,""),"")</f>
        <v/>
      </c>
      <c r="CW162" s="351"/>
      <c r="CX16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2" s="352" t="str">
        <f>IFERROR(Tableau1[[#This Row],[Total item réceptionné]]*Tableau1[[#This Row],[Unit Price (calcul)]],"")</f>
        <v/>
      </c>
      <c r="DB162" s="352" t="str">
        <f>IFERROR(Tableau1[[#This Row],[Total item à Facturer]]*Tableau1[[#This Row],[Unit Price (calcul)]],"")</f>
        <v/>
      </c>
      <c r="DC16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2" s="352" t="str">
        <f>IFERROR(Tableau1[[#This Row],[Line Total]]-Tableau1[[#This Row],[Total Price Réceptionné]],"")</f>
        <v/>
      </c>
      <c r="DE162" s="352" t="str">
        <f>IFERROR(Tableau1[[#This Row],[Total Price Réceptionné]]-Tableau1[[#This Row],[Total Price A facturer]],"")</f>
        <v/>
      </c>
      <c r="DF162" s="353" t="str">
        <f>IFERROR(Tableau1[[#This Row],[Total Price A facturer]]-Tableau1[[#This Row],[Total Price Facturé]],"")</f>
        <v/>
      </c>
      <c r="DG162" s="76">
        <f>Tableau1[[#This Row],[Total Item Quantity]]-Tableau1[[#This Row],[Total item réceptionné]]</f>
        <v>0</v>
      </c>
      <c r="DH162" s="167"/>
      <c r="DI162" s="167"/>
    </row>
    <row r="163" spans="1:113" s="74" customFormat="1">
      <c r="A163" s="77" t="str">
        <f>CONCATENATE(Tableau1[[#This Row],[PO Number (Header)]],"-",Tableau1[[#This Row],[Line]])</f>
        <v>-</v>
      </c>
      <c r="B163" s="455"/>
      <c r="C163" s="455"/>
      <c r="D163" s="455"/>
      <c r="E163" s="455"/>
      <c r="F163" s="455"/>
      <c r="G163" s="455"/>
      <c r="H163" s="455"/>
      <c r="I163" s="455"/>
      <c r="J163" s="455"/>
      <c r="K163" s="455"/>
      <c r="L163" s="455"/>
      <c r="M163" s="455"/>
      <c r="N163" s="455"/>
      <c r="O163" s="455"/>
      <c r="P163" s="455"/>
      <c r="Q163" s="485"/>
      <c r="R163" s="395"/>
      <c r="S163" s="455"/>
      <c r="T163" s="455"/>
      <c r="U163" s="455"/>
      <c r="V163" s="455"/>
      <c r="W163" s="167"/>
      <c r="X163" s="167"/>
      <c r="Y163" s="167" t="str">
        <f>IF(ISBLANK(Tableau1[[#This Row],[PO Number (Header)]]),"",Tableau1[[#This Row],[Line Total]]/Tableau1[[#This Row],[Total Item Quantity]])</f>
        <v/>
      </c>
      <c r="Z163" s="167" t="str">
        <f>IF(ISNA(VLOOKUP(Tableau1[[#This Row],[Unique_AIB_ID]],UO_List[Unique_AIB_ID],1,FALSE)),IF(ISBLANK(Tableau1[[#This Row],[PO Number (Header)]]),"","FAUX"),"VRAI")</f>
        <v/>
      </c>
      <c r="AA163" s="167"/>
      <c r="AB163" s="162" t="e">
        <f>VLOOKUP(Tableau1[[#This Row],[Unique_AIB_ID]],UO_List[[Unique_AIB_ID]:[OLGA F6]],3,FALSE)</f>
        <v>#N/A</v>
      </c>
      <c r="AC163" s="162" t="s">
        <v>807</v>
      </c>
      <c r="AD163" s="83">
        <f>SUMPRODUCT(1*(EXACT(CONCATENATE(Tableau1[[#This Row],[PO Number (Header)]],"-",Tableau1[[#This Row],[Line]]),UO_List[Unique_AIB_ID]))*(UO_List[Qté Réception 03/2020]))</f>
        <v>0</v>
      </c>
      <c r="AE163" s="84"/>
      <c r="AF163" s="357"/>
      <c r="AG163" s="351" t="str">
        <f>IFERROR(Tableau1[[#This Row],[Qté Facturé 01/2018]]*Tableau1[[#This Row],[Unit Price (calcul)]],"")</f>
        <v/>
      </c>
      <c r="AH163" s="356" t="str">
        <f>IFERROR(IF(Tableau1[[#This Row],[Montant Facturé 01/2018]]&gt;0,Tableau1[[#This Row],[Montant Facturé 01/2018]]/Taux_Change_SII,""),"")</f>
        <v/>
      </c>
      <c r="AI163" s="351"/>
      <c r="AJ163" s="83">
        <f>SUMPRODUCT(1*(EXACT(CONCATENATE(Tableau1[[#This Row],[PO Number (Header)]],"-",Tableau1[[#This Row],[Line]]),UO_List[Unique_AIB_ID]))*(UO_List[Qté Réception 02/2020]))</f>
        <v>0</v>
      </c>
      <c r="AK163" s="83">
        <f>SUMPRODUCT(1*(EXACT(CONCATENATE(Tableau1[[#This Row],[PO Number (Header)]],"-",Tableau1[[#This Row],[Line]]),UO_List[Unique_AIB_ID]))*(UO_List[Qté Réception 02/2020]))</f>
        <v>0</v>
      </c>
      <c r="AL163" s="357"/>
      <c r="AM163" s="351" t="str">
        <f>IFERROR(Tableau1[[#This Row],[Qté Facturé 02/2018]]*Tableau1[[#This Row],[Unit Price (calcul)]],"")</f>
        <v/>
      </c>
      <c r="AN163" s="351" t="str">
        <f>IFERROR(IF(Tableau1[[#This Row],[Montant Facturé 02/2018]]&gt;0,Tableau1[[#This Row],[Montant Facturé 02/2018]]/Taux_Change_SII,""),"")</f>
        <v/>
      </c>
      <c r="AO163" s="351"/>
      <c r="AP163" s="83">
        <f>SUMPRODUCT(1*(EXACT(CONCATENATE(Tableau1[[#This Row],[PO Number (Header)]],"-",Tableau1[[#This Row],[Line]]),UO_List[Unique_AIB_ID]))*(UO_List[Qté Réception 00/2020]))</f>
        <v>0</v>
      </c>
      <c r="AQ163" s="84"/>
      <c r="AR163" s="357"/>
      <c r="AS163" s="351" t="str">
        <f>IFERROR(Tableau1[[#This Row],[Qté Facturé 03/2018]]*Tableau1[[#This Row],[Unit Price (calcul)]],"")</f>
        <v/>
      </c>
      <c r="AT163" s="351" t="str">
        <f>IFERROR(IF(Tableau1[[#This Row],[Montant Facturé 03/2018]]&gt;0,Tableau1[[#This Row],[Montant Facturé 03/2018]]/Taux_Change_SII,""),"")</f>
        <v/>
      </c>
      <c r="AU163" s="351"/>
      <c r="AV163" s="83">
        <f>SUMPRODUCT(1*(EXACT(CONCATENATE(Tableau1[[#This Row],[PO Number (Header)]],"-",Tableau1[[#This Row],[Line]]),UO_List[Unique_AIB_ID]))*(UO_List[Qté Réception 04/2020]))</f>
        <v>0</v>
      </c>
      <c r="AW163" s="84"/>
      <c r="AX163" s="351"/>
      <c r="AY163" s="351" t="str">
        <f>IFERROR(Tableau1[[#This Row],[Qté Facturé 04/2018]]*Tableau1[[#This Row],[Unit Price (calcul)]],"")</f>
        <v/>
      </c>
      <c r="AZ163" s="351" t="str">
        <f>IFERROR(IF(Tableau1[[#This Row],[Montant Facturé 04/2018]]&gt;0,Tableau1[[#This Row],[Montant Facturé 04/2018]]/Taux_Change_SII,""),"")</f>
        <v/>
      </c>
      <c r="BA163" s="351"/>
      <c r="BB163" s="83">
        <f>SUMPRODUCT(1*(EXACT(CONCATENATE(Tableau1[[#This Row],[PO Number (Header)]],"-",Tableau1[[#This Row],[Line]]),UO_List[Unique_AIB_ID]))*(UO_List[Qté Réception 05/2020]))</f>
        <v>0</v>
      </c>
      <c r="BC163" s="84"/>
      <c r="BD163" s="351"/>
      <c r="BE163" s="351" t="str">
        <f>IFERROR(Tableau1[[#This Row],[Qté Facturé 05/2018]]*Tableau1[[#This Row],[Unit Price (calcul)]],"")</f>
        <v/>
      </c>
      <c r="BF163" s="351" t="str">
        <f>IFERROR(IF(Tableau1[[#This Row],[Montant Facturé 05/2018]]&gt;0,Tableau1[[#This Row],[Montant Facturé 05/2018]]/Taux_Change_SII,""),"")</f>
        <v/>
      </c>
      <c r="BG163" s="351"/>
      <c r="BH163" s="83">
        <f>SUMPRODUCT(1*(EXACT(CONCATENATE(Tableau1[[#This Row],[PO Number (Header)]],"-",Tableau1[[#This Row],[Line]]),UO_List[Unique_AIB_ID]))*(UO_List[Qté Réception 06/2020]))</f>
        <v>0</v>
      </c>
      <c r="BI163" s="84"/>
      <c r="BJ163" s="351"/>
      <c r="BK163" s="351" t="str">
        <f>IFERROR(Tableau1[[#This Row],[Qté Facturé 06/2018]]*Tableau1[[#This Row],[Unit Price (calcul)]],"")</f>
        <v/>
      </c>
      <c r="BL163" s="351" t="str">
        <f>IFERROR(IF(Tableau1[[#This Row],[Montant Facturé 06/2018]]&gt;0,Tableau1[[#This Row],[Montant Facturé 06/2018]]/Taux_Change_SII,""),"")</f>
        <v/>
      </c>
      <c r="BM163" s="351"/>
      <c r="BN163" s="83">
        <f>SUMPRODUCT(1*(EXACT(CONCATENATE(Tableau1[[#This Row],[PO Number (Header)]],"-",Tableau1[[#This Row],[Line]]),UO_List[Unique_AIB_ID]))*(UO_List[Qté Réception 07/2020]))</f>
        <v>0</v>
      </c>
      <c r="BO163" s="84">
        <v>0</v>
      </c>
      <c r="BP163" s="351"/>
      <c r="BQ163" s="351" t="str">
        <f>IFERROR(Tableau1[[#This Row],[Qté Facturé 07/2018]]*Tableau1[[#This Row],[Unit Price (calcul)]],"")</f>
        <v/>
      </c>
      <c r="BR163" s="351" t="str">
        <f>IFERROR(IF(Tableau1[[#This Row],[Montant Facturé 07/2018]]&gt;0,Tableau1[[#This Row],[Montant Facturé 07/2018]]/Taux_Change_SII,""),"")</f>
        <v/>
      </c>
      <c r="BS163" s="351"/>
      <c r="BT163" s="83">
        <f>SUMPRODUCT(1*(EXACT(CONCATENATE(Tableau1[[#This Row],[PO Number (Header)]],"-",Tableau1[[#This Row],[Line]]),UO_List[Unique_AIB_ID]))*(UO_List[Qté Réception 08/2020]))</f>
        <v>0</v>
      </c>
      <c r="BU163" s="84"/>
      <c r="BV163" s="351"/>
      <c r="BW163" s="351" t="str">
        <f>IFERROR(Tableau1[[#This Row],[Qté Facturé 08/2018]]*Tableau1[[#This Row],[Unit Price (calcul)]],"")</f>
        <v/>
      </c>
      <c r="BX163" s="351" t="str">
        <f>IFERROR(IF(Tableau1[[#This Row],[Montant Facturé 08/2018]]&gt;0,Tableau1[[#This Row],[Montant Facturé 08/2018]]/Taux_Change_SII,""),"")</f>
        <v/>
      </c>
      <c r="BY163" s="351"/>
      <c r="BZ163" s="83">
        <f>SUMPRODUCT(1*(EXACT(CONCATENATE(Tableau1[[#This Row],[PO Number (Header)]],"-",Tableau1[[#This Row],[Line]]),UO_List[Unique_AIB_ID]))*(UO_List[Qté Réception 09/2020]))</f>
        <v>0</v>
      </c>
      <c r="CA163" s="84">
        <v>0</v>
      </c>
      <c r="CB163" s="351"/>
      <c r="CC163" s="351" t="str">
        <f>IFERROR(Tableau1[[#This Row],[Qté Facturé 09/2018]]*Tableau1[[#This Row],[Unit Price (calcul)]],"")</f>
        <v/>
      </c>
      <c r="CD163" s="351" t="str">
        <f>IFERROR(IF(Tableau1[[#This Row],[Montant Facturé 09/2018]]&gt;0,Tableau1[[#This Row],[Montant Facturé 09/2018]]/Taux_Change_SII,""),"")</f>
        <v/>
      </c>
      <c r="CE163" s="351"/>
      <c r="CF163" s="83">
        <f>SUMPRODUCT(1*(EXACT(CONCATENATE(Tableau1[[#This Row],[PO Number (Header)]],"-",Tableau1[[#This Row],[Line]]),UO_List[Unique_AIB_ID]))*(UO_List[Qté Réception 10/2020]))</f>
        <v>0</v>
      </c>
      <c r="CG163" s="84">
        <v>0</v>
      </c>
      <c r="CH163" s="351"/>
      <c r="CI163" s="351" t="str">
        <f>IFERROR(Tableau1[[#This Row],[Qté Facturé 10/2018]]*Tableau1[[#This Row],[Unit Price (calcul)]],"")</f>
        <v/>
      </c>
      <c r="CJ163" s="351" t="str">
        <f>IFERROR(IF(Tableau1[[#This Row],[Montant Facturé 10/2018]]&gt;0,Tableau1[[#This Row],[Montant Facturé 10/2018]]/Taux_Change_SII,""),"")</f>
        <v/>
      </c>
      <c r="CK163" s="351"/>
      <c r="CL163" s="83">
        <f>SUMPRODUCT(1*(EXACT(CONCATENATE(Tableau1[[#This Row],[PO Number (Header)]],"-",Tableau1[[#This Row],[Line]]),UO_List[Unique_AIB_ID]))*(UO_List[Qté Réception 11/2020]))</f>
        <v>0</v>
      </c>
      <c r="CM163" s="84"/>
      <c r="CN163" s="351"/>
      <c r="CO163" s="351" t="str">
        <f>IFERROR(Tableau1[[#This Row],[Qté Facturé 11/2018]]*Tableau1[[#This Row],[Unit Price (calcul)]],"")</f>
        <v/>
      </c>
      <c r="CP163" s="351" t="str">
        <f>IFERROR(IF(Tableau1[[#This Row],[Montant Facturé 11/2018]]&gt;0,Tableau1[[#This Row],[Montant Facturé 11/2018]]/Taux_Change_SII,""),"")</f>
        <v/>
      </c>
      <c r="CQ163" s="351"/>
      <c r="CR163" s="83">
        <f>SUMPRODUCT(1*(EXACT(CONCATENATE(Tableau1[[#This Row],[PO Number (Header)]],"-",Tableau1[[#This Row],[Line]]),UO_List[Unique_AIB_ID]))*(UO_List[Qté Réception 12/2020]))</f>
        <v>0</v>
      </c>
      <c r="CS163" s="84"/>
      <c r="CT163" s="351"/>
      <c r="CU163" s="351" t="str">
        <f>IFERROR(Tableau1[[#This Row],[Qté Facturé 12/2018]]*Tableau1[[#This Row],[Unit Price (calcul)]],"")</f>
        <v/>
      </c>
      <c r="CV163" s="351" t="str">
        <f>IFERROR(IF(Tableau1[[#This Row],[Montant Facturé 12/2018]]&gt;0,Tableau1[[#This Row],[Montant Facturé 12/2018]]/Taux_Change_SII,""),"")</f>
        <v/>
      </c>
      <c r="CW163" s="351"/>
      <c r="CX16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3" s="352" t="str">
        <f>IFERROR(Tableau1[[#This Row],[Total item réceptionné]]*Tableau1[[#This Row],[Unit Price (calcul)]],"")</f>
        <v/>
      </c>
      <c r="DB163" s="352" t="str">
        <f>IFERROR(Tableau1[[#This Row],[Total item à Facturer]]*Tableau1[[#This Row],[Unit Price (calcul)]],"")</f>
        <v/>
      </c>
      <c r="DC16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3" s="352" t="str">
        <f>IFERROR(Tableau1[[#This Row],[Line Total]]-Tableau1[[#This Row],[Total Price Réceptionné]],"")</f>
        <v/>
      </c>
      <c r="DE163" s="352" t="str">
        <f>IFERROR(Tableau1[[#This Row],[Total Price Réceptionné]]-Tableau1[[#This Row],[Total Price A facturer]],"")</f>
        <v/>
      </c>
      <c r="DF163" s="353" t="str">
        <f>IFERROR(Tableau1[[#This Row],[Total Price A facturer]]-Tableau1[[#This Row],[Total Price Facturé]],"")</f>
        <v/>
      </c>
      <c r="DG163" s="76">
        <f>Tableau1[[#This Row],[Total Item Quantity]]-Tableau1[[#This Row],[Total item réceptionné]]</f>
        <v>0</v>
      </c>
      <c r="DH163" s="167"/>
      <c r="DI163" s="167"/>
    </row>
    <row r="164" spans="1:113" s="74" customFormat="1">
      <c r="A164" s="379" t="str">
        <f>CONCATENATE(Tableau1[[#This Row],[PO Number (Header)]],"-",Tableau1[[#This Row],[Line]])</f>
        <v>-</v>
      </c>
      <c r="B164" s="454"/>
      <c r="C164" s="455"/>
      <c r="D164" s="454"/>
      <c r="E164" s="455"/>
      <c r="F164" s="454"/>
      <c r="G164" s="455"/>
      <c r="H164" s="454"/>
      <c r="I164" s="455"/>
      <c r="J164" s="454"/>
      <c r="K164" s="455"/>
      <c r="L164" s="454"/>
      <c r="M164" s="455"/>
      <c r="N164" s="454"/>
      <c r="O164" s="455"/>
      <c r="P164" s="454"/>
      <c r="Q164" s="485"/>
      <c r="R164" s="395"/>
      <c r="S164" s="455"/>
      <c r="T164" s="454"/>
      <c r="U164" s="455"/>
      <c r="V164" s="454"/>
      <c r="W164" s="167"/>
      <c r="X164" s="167"/>
      <c r="Y164" s="171" t="str">
        <f>IF(ISBLANK(Tableau1[[#This Row],[PO Number (Header)]]),"",Tableau1[[#This Row],[Line Total]]/Tableau1[[#This Row],[Total Item Quantity]])</f>
        <v/>
      </c>
      <c r="Z164" s="171" t="str">
        <f>IF(ISNA(VLOOKUP(Tableau1[[#This Row],[Unique_AIB_ID]],UO_List[Unique_AIB_ID],1,FALSE)),IF(ISBLANK(Tableau1[[#This Row],[PO Number (Header)]]),"","FAUX"),"VRAI")</f>
        <v/>
      </c>
      <c r="AA164" s="167"/>
      <c r="AB164" s="380" t="e">
        <f>VLOOKUP(Tableau1[[#This Row],[Unique_AIB_ID]],UO_List[[Unique_AIB_ID]:[OLGA F6]],3,FALSE)</f>
        <v>#N/A</v>
      </c>
      <c r="AC164" s="162" t="s">
        <v>808</v>
      </c>
      <c r="AD164" s="339">
        <f>SUMPRODUCT(1*(EXACT(CONCATENATE(Tableau1[[#This Row],[PO Number (Header)]],"-",Tableau1[[#This Row],[Line]]),UO_List[Unique_AIB_ID]))*(UO_List[Qté Réception 03/2020]))</f>
        <v>0</v>
      </c>
      <c r="AE164" s="76"/>
      <c r="AF164" s="340"/>
      <c r="AG164" s="352" t="str">
        <f>IFERROR(Tableau1[[#This Row],[Qté Facturé 01/2018]]*Tableau1[[#This Row],[Unit Price (calcul)]],"")</f>
        <v/>
      </c>
      <c r="AH164" s="356" t="str">
        <f>IFERROR(IF(Tableau1[[#This Row],[Montant Facturé 01/2018]]&gt;0,Tableau1[[#This Row],[Montant Facturé 01/2018]]/Taux_Change_SII,""),"")</f>
        <v/>
      </c>
      <c r="AI164" s="352"/>
      <c r="AJ164" s="339">
        <f>SUMPRODUCT(1*(EXACT(CONCATENATE(Tableau1[[#This Row],[PO Number (Header)]],"-",Tableau1[[#This Row],[Line]]),UO_List[Unique_AIB_ID]))*(UO_List[Qté Réception 02/2020]))</f>
        <v>0</v>
      </c>
      <c r="AK164" s="83">
        <f>SUMPRODUCT(1*(EXACT(CONCATENATE(Tableau1[[#This Row],[PO Number (Header)]],"-",Tableau1[[#This Row],[Line]]),UO_List[Unique_AIB_ID]))*(UO_List[Qté Réception 02/2020]))</f>
        <v>0</v>
      </c>
      <c r="AL164" s="340"/>
      <c r="AM164" s="352" t="str">
        <f>IFERROR(Tableau1[[#This Row],[Qté Facturé 02/2018]]*Tableau1[[#This Row],[Unit Price (calcul)]],"")</f>
        <v/>
      </c>
      <c r="AN164" s="351" t="str">
        <f>IFERROR(IF(Tableau1[[#This Row],[Montant Facturé 02/2018]]&gt;0,Tableau1[[#This Row],[Montant Facturé 02/2018]]/Taux_Change_SII,""),"")</f>
        <v/>
      </c>
      <c r="AO164" s="352"/>
      <c r="AP164" s="339">
        <f>SUMPRODUCT(1*(EXACT(CONCATENATE(Tableau1[[#This Row],[PO Number (Header)]],"-",Tableau1[[#This Row],[Line]]),UO_List[Unique_AIB_ID]))*(UO_List[Qté Réception 00/2020]))</f>
        <v>0</v>
      </c>
      <c r="AQ164" s="76"/>
      <c r="AR164" s="340"/>
      <c r="AS164" s="352" t="str">
        <f>IFERROR(Tableau1[[#This Row],[Qté Facturé 03/2018]]*Tableau1[[#This Row],[Unit Price (calcul)]],"")</f>
        <v/>
      </c>
      <c r="AT164" s="351" t="str">
        <f>IFERROR(IF(Tableau1[[#This Row],[Montant Facturé 03/2018]]&gt;0,Tableau1[[#This Row],[Montant Facturé 03/2018]]/Taux_Change_SII,""),"")</f>
        <v/>
      </c>
      <c r="AU164" s="352"/>
      <c r="AV164" s="339">
        <f>SUMPRODUCT(1*(EXACT(CONCATENATE(Tableau1[[#This Row],[PO Number (Header)]],"-",Tableau1[[#This Row],[Line]]),UO_List[Unique_AIB_ID]))*(UO_List[Qté Réception 04/2020]))</f>
        <v>0</v>
      </c>
      <c r="AW164" s="76"/>
      <c r="AX164" s="352"/>
      <c r="AY164" s="352" t="str">
        <f>IFERROR(Tableau1[[#This Row],[Qté Facturé 04/2018]]*Tableau1[[#This Row],[Unit Price (calcul)]],"")</f>
        <v/>
      </c>
      <c r="AZ164" s="351" t="str">
        <f>IFERROR(IF(Tableau1[[#This Row],[Montant Facturé 04/2018]]&gt;0,Tableau1[[#This Row],[Montant Facturé 04/2018]]/Taux_Change_SII,""),"")</f>
        <v/>
      </c>
      <c r="BA164" s="352"/>
      <c r="BB164" s="339">
        <f>SUMPRODUCT(1*(EXACT(CONCATENATE(Tableau1[[#This Row],[PO Number (Header)]],"-",Tableau1[[#This Row],[Line]]),UO_List[Unique_AIB_ID]))*(UO_List[Qté Réception 05/2020]))</f>
        <v>0</v>
      </c>
      <c r="BC164" s="76"/>
      <c r="BD164" s="352"/>
      <c r="BE164" s="352" t="str">
        <f>IFERROR(Tableau1[[#This Row],[Qté Facturé 05/2018]]*Tableau1[[#This Row],[Unit Price (calcul)]],"")</f>
        <v/>
      </c>
      <c r="BF164" s="351" t="str">
        <f>IFERROR(IF(Tableau1[[#This Row],[Montant Facturé 05/2018]]&gt;0,Tableau1[[#This Row],[Montant Facturé 05/2018]]/Taux_Change_SII,""),"")</f>
        <v/>
      </c>
      <c r="BG164" s="352"/>
      <c r="BH164" s="339">
        <f>SUMPRODUCT(1*(EXACT(CONCATENATE(Tableau1[[#This Row],[PO Number (Header)]],"-",Tableau1[[#This Row],[Line]]),UO_List[Unique_AIB_ID]))*(UO_List[Qté Réception 06/2020]))</f>
        <v>0</v>
      </c>
      <c r="BI164" s="76"/>
      <c r="BJ164" s="352"/>
      <c r="BK164" s="352" t="str">
        <f>IFERROR(Tableau1[[#This Row],[Qté Facturé 06/2018]]*Tableau1[[#This Row],[Unit Price (calcul)]],"")</f>
        <v/>
      </c>
      <c r="BL164" s="351" t="str">
        <f>IFERROR(IF(Tableau1[[#This Row],[Montant Facturé 06/2018]]&gt;0,Tableau1[[#This Row],[Montant Facturé 06/2018]]/Taux_Change_SII,""),"")</f>
        <v/>
      </c>
      <c r="BM164" s="352"/>
      <c r="BN164" s="339">
        <f>SUMPRODUCT(1*(EXACT(CONCATENATE(Tableau1[[#This Row],[PO Number (Header)]],"-",Tableau1[[#This Row],[Line]]),UO_List[Unique_AIB_ID]))*(UO_List[Qté Réception 07/2020]))</f>
        <v>0</v>
      </c>
      <c r="BO164" s="76">
        <v>0</v>
      </c>
      <c r="BP164" s="352"/>
      <c r="BQ164" s="352" t="str">
        <f>IFERROR(Tableau1[[#This Row],[Qté Facturé 07/2018]]*Tableau1[[#This Row],[Unit Price (calcul)]],"")</f>
        <v/>
      </c>
      <c r="BR164" s="351" t="str">
        <f>IFERROR(IF(Tableau1[[#This Row],[Montant Facturé 07/2018]]&gt;0,Tableau1[[#This Row],[Montant Facturé 07/2018]]/Taux_Change_SII,""),"")</f>
        <v/>
      </c>
      <c r="BS164" s="352"/>
      <c r="BT164" s="339">
        <f>SUMPRODUCT(1*(EXACT(CONCATENATE(Tableau1[[#This Row],[PO Number (Header)]],"-",Tableau1[[#This Row],[Line]]),UO_List[Unique_AIB_ID]))*(UO_List[Qté Réception 08/2020]))</f>
        <v>0</v>
      </c>
      <c r="BU164" s="76"/>
      <c r="BV164" s="352"/>
      <c r="BW164" s="352" t="str">
        <f>IFERROR(Tableau1[[#This Row],[Qté Facturé 08/2018]]*Tableau1[[#This Row],[Unit Price (calcul)]],"")</f>
        <v/>
      </c>
      <c r="BX164" s="351" t="str">
        <f>IFERROR(IF(Tableau1[[#This Row],[Montant Facturé 08/2018]]&gt;0,Tableau1[[#This Row],[Montant Facturé 08/2018]]/Taux_Change_SII,""),"")</f>
        <v/>
      </c>
      <c r="BY164" s="352"/>
      <c r="BZ164" s="339">
        <f>SUMPRODUCT(1*(EXACT(CONCATENATE(Tableau1[[#This Row],[PO Number (Header)]],"-",Tableau1[[#This Row],[Line]]),UO_List[Unique_AIB_ID]))*(UO_List[Qté Réception 09/2020]))</f>
        <v>0</v>
      </c>
      <c r="CA164" s="76">
        <v>0</v>
      </c>
      <c r="CB164" s="352"/>
      <c r="CC164" s="352" t="str">
        <f>IFERROR(Tableau1[[#This Row],[Qté Facturé 09/2018]]*Tableau1[[#This Row],[Unit Price (calcul)]],"")</f>
        <v/>
      </c>
      <c r="CD164" s="351" t="str">
        <f>IFERROR(IF(Tableau1[[#This Row],[Montant Facturé 09/2018]]&gt;0,Tableau1[[#This Row],[Montant Facturé 09/2018]]/Taux_Change_SII,""),"")</f>
        <v/>
      </c>
      <c r="CE164" s="352"/>
      <c r="CF164" s="339">
        <f>SUMPRODUCT(1*(EXACT(CONCATENATE(Tableau1[[#This Row],[PO Number (Header)]],"-",Tableau1[[#This Row],[Line]]),UO_List[Unique_AIB_ID]))*(UO_List[Qté Réception 10/2020]))</f>
        <v>0</v>
      </c>
      <c r="CG164" s="76"/>
      <c r="CH164" s="76"/>
      <c r="CI164" s="488" t="str">
        <f>IFERROR(Tableau1[[#This Row],[Qté Facturé 10/2018]]*Tableau1[[#This Row],[Unit Price (calcul)]],"")</f>
        <v/>
      </c>
      <c r="CJ164" s="351" t="str">
        <f>IFERROR(IF(Tableau1[[#This Row],[Montant Facturé 10/2018]]&gt;0,Tableau1[[#This Row],[Montant Facturé 10/2018]]/Taux_Change_SII,""),"")</f>
        <v/>
      </c>
      <c r="CK164" s="352"/>
      <c r="CL164" s="339">
        <f>SUMPRODUCT(1*(EXACT(CONCATENATE(Tableau1[[#This Row],[PO Number (Header)]],"-",Tableau1[[#This Row],[Line]]),UO_List[Unique_AIB_ID]))*(UO_List[Qté Réception 11/2020]))</f>
        <v>0</v>
      </c>
      <c r="CM164" s="76"/>
      <c r="CN164" s="352"/>
      <c r="CO164" s="352" t="str">
        <f>IFERROR(Tableau1[[#This Row],[Qté Facturé 11/2018]]*Tableau1[[#This Row],[Unit Price (calcul)]],"")</f>
        <v/>
      </c>
      <c r="CP164" s="351" t="str">
        <f>IFERROR(IF(Tableau1[[#This Row],[Montant Facturé 11/2018]]&gt;0,Tableau1[[#This Row],[Montant Facturé 11/2018]]/Taux_Change_SII,""),"")</f>
        <v/>
      </c>
      <c r="CQ164" s="352"/>
      <c r="CR164" s="339">
        <f>SUMPRODUCT(1*(EXACT(CONCATENATE(Tableau1[[#This Row],[PO Number (Header)]],"-",Tableau1[[#This Row],[Line]]),UO_List[Unique_AIB_ID]))*(UO_List[Qté Réception 12/2020]))</f>
        <v>0</v>
      </c>
      <c r="CS164" s="76"/>
      <c r="CT164" s="352"/>
      <c r="CU164" s="352" t="str">
        <f>IFERROR(Tableau1[[#This Row],[Qté Facturé 12/2018]]*Tableau1[[#This Row],[Unit Price (calcul)]],"")</f>
        <v/>
      </c>
      <c r="CV164" s="351" t="str">
        <f>IFERROR(IF(Tableau1[[#This Row],[Montant Facturé 12/2018]]&gt;0,Tableau1[[#This Row],[Montant Facturé 12/2018]]/Taux_Change_SII,""),"")</f>
        <v/>
      </c>
      <c r="CW164" s="352"/>
      <c r="CX164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4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4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4" s="352" t="str">
        <f>IFERROR(Tableau1[[#This Row],[Total item réceptionné]]*Tableau1[[#This Row],[Unit Price (calcul)]],"")</f>
        <v/>
      </c>
      <c r="DB164" s="352" t="str">
        <f>IFERROR(Tableau1[[#This Row],[Total item à Facturer]]*Tableau1[[#This Row],[Unit Price (calcul)]],"")</f>
        <v/>
      </c>
      <c r="DC164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4" s="352" t="str">
        <f>IFERROR(Tableau1[[#This Row],[Line Total]]-Tableau1[[#This Row],[Total Price Réceptionné]],"")</f>
        <v/>
      </c>
      <c r="DE164" s="352" t="str">
        <f>IFERROR(Tableau1[[#This Row],[Total Price Réceptionné]]-Tableau1[[#This Row],[Total Price A facturer]],"")</f>
        <v/>
      </c>
      <c r="DF164" s="381" t="str">
        <f>IFERROR(Tableau1[[#This Row],[Total Price A facturer]]-Tableau1[[#This Row],[Total Price Facturé]],"")</f>
        <v/>
      </c>
      <c r="DG164" s="340">
        <f>Tableau1[[#This Row],[Total Item Quantity]]-Tableau1[[#This Row],[Total item réceptionné]]</f>
        <v>0</v>
      </c>
      <c r="DH164" s="167"/>
      <c r="DI164" s="167"/>
    </row>
    <row r="165" spans="1:113" s="74" customFormat="1">
      <c r="A165" s="379" t="str">
        <f>CONCATENATE(Tableau1[[#This Row],[PO Number (Header)]],"-",Tableau1[[#This Row],[Line]])</f>
        <v>-</v>
      </c>
      <c r="B165" s="455"/>
      <c r="C165" s="455"/>
      <c r="D165" s="455"/>
      <c r="E165" s="455"/>
      <c r="F165" s="455"/>
      <c r="G165" s="455"/>
      <c r="H165" s="455"/>
      <c r="I165" s="455"/>
      <c r="J165" s="455"/>
      <c r="K165" s="455"/>
      <c r="L165" s="455"/>
      <c r="M165" s="455"/>
      <c r="N165" s="455"/>
      <c r="O165" s="455"/>
      <c r="P165" s="455"/>
      <c r="Q165" s="485"/>
      <c r="R165" s="395"/>
      <c r="S165" s="455"/>
      <c r="T165" s="455"/>
      <c r="U165" s="455"/>
      <c r="V165" s="455"/>
      <c r="W165" s="167"/>
      <c r="X165" s="167"/>
      <c r="Y165" s="171" t="str">
        <f>IF(ISBLANK(Tableau1[[#This Row],[PO Number (Header)]]),"",Tableau1[[#This Row],[Line Total]]/Tableau1[[#This Row],[Total Item Quantity]])</f>
        <v/>
      </c>
      <c r="Z165" s="171" t="str">
        <f>IF(ISNA(VLOOKUP(Tableau1[[#This Row],[Unique_AIB_ID]],UO_List[Unique_AIB_ID],1,FALSE)),IF(ISBLANK(Tableau1[[#This Row],[PO Number (Header)]]),"","FAUX"),"VRAI")</f>
        <v/>
      </c>
      <c r="AA165" s="167"/>
      <c r="AB165" s="380" t="e">
        <f>VLOOKUP(Tableau1[[#This Row],[Unique_AIB_ID]],UO_List[[Unique_AIB_ID]:[OLGA F6]],3,FALSE)</f>
        <v>#N/A</v>
      </c>
      <c r="AC165" s="162" t="s">
        <v>808</v>
      </c>
      <c r="AD165" s="339">
        <f>SUMPRODUCT(1*(EXACT(CONCATENATE(Tableau1[[#This Row],[PO Number (Header)]],"-",Tableau1[[#This Row],[Line]]),UO_List[Unique_AIB_ID]))*(UO_List[Qté Réception 03/2020]))</f>
        <v>0</v>
      </c>
      <c r="AE165" s="76"/>
      <c r="AF165" s="340"/>
      <c r="AG165" s="352" t="str">
        <f>IFERROR(Tableau1[[#This Row],[Qté Facturé 01/2018]]*Tableau1[[#This Row],[Unit Price (calcul)]],"")</f>
        <v/>
      </c>
      <c r="AH165" s="356" t="str">
        <f>IFERROR(IF(Tableau1[[#This Row],[Montant Facturé 01/2018]]&gt;0,Tableau1[[#This Row],[Montant Facturé 01/2018]]/Taux_Change_SII,""),"")</f>
        <v/>
      </c>
      <c r="AI165" s="352"/>
      <c r="AJ165" s="339">
        <f>SUMPRODUCT(1*(EXACT(CONCATENATE(Tableau1[[#This Row],[PO Number (Header)]],"-",Tableau1[[#This Row],[Line]]),UO_List[Unique_AIB_ID]))*(UO_List[Qté Réception 02/2020]))</f>
        <v>0</v>
      </c>
      <c r="AK165" s="83">
        <f>SUMPRODUCT(1*(EXACT(CONCATENATE(Tableau1[[#This Row],[PO Number (Header)]],"-",Tableau1[[#This Row],[Line]]),UO_List[Unique_AIB_ID]))*(UO_List[Qté Réception 02/2020]))</f>
        <v>0</v>
      </c>
      <c r="AL165" s="340"/>
      <c r="AM165" s="352" t="str">
        <f>IFERROR(Tableau1[[#This Row],[Qté Facturé 02/2018]]*Tableau1[[#This Row],[Unit Price (calcul)]],"")</f>
        <v/>
      </c>
      <c r="AN165" s="351" t="str">
        <f>IFERROR(IF(Tableau1[[#This Row],[Montant Facturé 02/2018]]&gt;0,Tableau1[[#This Row],[Montant Facturé 02/2018]]/Taux_Change_SII,""),"")</f>
        <v/>
      </c>
      <c r="AO165" s="352"/>
      <c r="AP165" s="339">
        <f>SUMPRODUCT(1*(EXACT(CONCATENATE(Tableau1[[#This Row],[PO Number (Header)]],"-",Tableau1[[#This Row],[Line]]),UO_List[Unique_AIB_ID]))*(UO_List[Qté Réception 00/2020]))</f>
        <v>0</v>
      </c>
      <c r="AQ165" s="76"/>
      <c r="AR165" s="340"/>
      <c r="AS165" s="352" t="str">
        <f>IFERROR(Tableau1[[#This Row],[Qté Facturé 03/2018]]*Tableau1[[#This Row],[Unit Price (calcul)]],"")</f>
        <v/>
      </c>
      <c r="AT165" s="351" t="str">
        <f>IFERROR(IF(Tableau1[[#This Row],[Montant Facturé 03/2018]]&gt;0,Tableau1[[#This Row],[Montant Facturé 03/2018]]/Taux_Change_SII,""),"")</f>
        <v/>
      </c>
      <c r="AU165" s="352"/>
      <c r="AV165" s="339">
        <f>SUMPRODUCT(1*(EXACT(CONCATENATE(Tableau1[[#This Row],[PO Number (Header)]],"-",Tableau1[[#This Row],[Line]]),UO_List[Unique_AIB_ID]))*(UO_List[Qté Réception 04/2020]))</f>
        <v>0</v>
      </c>
      <c r="AW165" s="76"/>
      <c r="AX165" s="352"/>
      <c r="AY165" s="352" t="str">
        <f>IFERROR(Tableau1[[#This Row],[Qté Facturé 04/2018]]*Tableau1[[#This Row],[Unit Price (calcul)]],"")</f>
        <v/>
      </c>
      <c r="AZ165" s="351" t="str">
        <f>IFERROR(IF(Tableau1[[#This Row],[Montant Facturé 04/2018]]&gt;0,Tableau1[[#This Row],[Montant Facturé 04/2018]]/Taux_Change_SII,""),"")</f>
        <v/>
      </c>
      <c r="BA165" s="352"/>
      <c r="BB165" s="339">
        <f>SUMPRODUCT(1*(EXACT(CONCATENATE(Tableau1[[#This Row],[PO Number (Header)]],"-",Tableau1[[#This Row],[Line]]),UO_List[Unique_AIB_ID]))*(UO_List[Qté Réception 05/2020]))</f>
        <v>0</v>
      </c>
      <c r="BC165" s="76"/>
      <c r="BD165" s="352"/>
      <c r="BE165" s="352" t="str">
        <f>IFERROR(Tableau1[[#This Row],[Qté Facturé 05/2018]]*Tableau1[[#This Row],[Unit Price (calcul)]],"")</f>
        <v/>
      </c>
      <c r="BF165" s="351" t="str">
        <f>IFERROR(IF(Tableau1[[#This Row],[Montant Facturé 05/2018]]&gt;0,Tableau1[[#This Row],[Montant Facturé 05/2018]]/Taux_Change_SII,""),"")</f>
        <v/>
      </c>
      <c r="BG165" s="352"/>
      <c r="BH165" s="339">
        <f>SUMPRODUCT(1*(EXACT(CONCATENATE(Tableau1[[#This Row],[PO Number (Header)]],"-",Tableau1[[#This Row],[Line]]),UO_List[Unique_AIB_ID]))*(UO_List[Qté Réception 06/2020]))</f>
        <v>0</v>
      </c>
      <c r="BI165" s="76"/>
      <c r="BJ165" s="352"/>
      <c r="BK165" s="352" t="str">
        <f>IFERROR(Tableau1[[#This Row],[Qté Facturé 06/2018]]*Tableau1[[#This Row],[Unit Price (calcul)]],"")</f>
        <v/>
      </c>
      <c r="BL165" s="351" t="str">
        <f>IFERROR(IF(Tableau1[[#This Row],[Montant Facturé 06/2018]]&gt;0,Tableau1[[#This Row],[Montant Facturé 06/2018]]/Taux_Change_SII,""),"")</f>
        <v/>
      </c>
      <c r="BM165" s="352"/>
      <c r="BN165" s="339">
        <f>SUMPRODUCT(1*(EXACT(CONCATENATE(Tableau1[[#This Row],[PO Number (Header)]],"-",Tableau1[[#This Row],[Line]]),UO_List[Unique_AIB_ID]))*(UO_List[Qté Réception 07/2020]))</f>
        <v>0</v>
      </c>
      <c r="BO165" s="76">
        <v>0</v>
      </c>
      <c r="BP165" s="352"/>
      <c r="BQ165" s="352" t="str">
        <f>IFERROR(Tableau1[[#This Row],[Qté Facturé 07/2018]]*Tableau1[[#This Row],[Unit Price (calcul)]],"")</f>
        <v/>
      </c>
      <c r="BR165" s="351" t="str">
        <f>IFERROR(IF(Tableau1[[#This Row],[Montant Facturé 07/2018]]&gt;0,Tableau1[[#This Row],[Montant Facturé 07/2018]]/Taux_Change_SII,""),"")</f>
        <v/>
      </c>
      <c r="BS165" s="352"/>
      <c r="BT165" s="339">
        <f>SUMPRODUCT(1*(EXACT(CONCATENATE(Tableau1[[#This Row],[PO Number (Header)]],"-",Tableau1[[#This Row],[Line]]),UO_List[Unique_AIB_ID]))*(UO_List[Qté Réception 08/2020]))</f>
        <v>0</v>
      </c>
      <c r="BU165" s="76"/>
      <c r="BV165" s="352"/>
      <c r="BW165" s="352" t="str">
        <f>IFERROR(Tableau1[[#This Row],[Qté Facturé 08/2018]]*Tableau1[[#This Row],[Unit Price (calcul)]],"")</f>
        <v/>
      </c>
      <c r="BX165" s="351" t="str">
        <f>IFERROR(IF(Tableau1[[#This Row],[Montant Facturé 08/2018]]&gt;0,Tableau1[[#This Row],[Montant Facturé 08/2018]]/Taux_Change_SII,""),"")</f>
        <v/>
      </c>
      <c r="BY165" s="352"/>
      <c r="BZ165" s="339">
        <f>SUMPRODUCT(1*(EXACT(CONCATENATE(Tableau1[[#This Row],[PO Number (Header)]],"-",Tableau1[[#This Row],[Line]]),UO_List[Unique_AIB_ID]))*(UO_List[Qté Réception 09/2020]))</f>
        <v>0</v>
      </c>
      <c r="CA165" s="76">
        <v>0</v>
      </c>
      <c r="CB165" s="352"/>
      <c r="CC165" s="352" t="str">
        <f>IFERROR(Tableau1[[#This Row],[Qté Facturé 09/2018]]*Tableau1[[#This Row],[Unit Price (calcul)]],"")</f>
        <v/>
      </c>
      <c r="CD165" s="351" t="str">
        <f>IFERROR(IF(Tableau1[[#This Row],[Montant Facturé 09/2018]]&gt;0,Tableau1[[#This Row],[Montant Facturé 09/2018]]/Taux_Change_SII,""),"")</f>
        <v/>
      </c>
      <c r="CE165" s="352"/>
      <c r="CF165" s="339">
        <f>SUMPRODUCT(1*(EXACT(CONCATENATE(Tableau1[[#This Row],[PO Number (Header)]],"-",Tableau1[[#This Row],[Line]]),UO_List[Unique_AIB_ID]))*(UO_List[Qté Réception 10/2020]))</f>
        <v>0</v>
      </c>
      <c r="CG165" s="76"/>
      <c r="CH165" s="76"/>
      <c r="CI165" s="488" t="str">
        <f>IFERROR(Tableau1[[#This Row],[Qté Facturé 10/2018]]*Tableau1[[#This Row],[Unit Price (calcul)]],"")</f>
        <v/>
      </c>
      <c r="CJ165" s="351" t="str">
        <f>IFERROR(IF(Tableau1[[#This Row],[Montant Facturé 10/2018]]&gt;0,Tableau1[[#This Row],[Montant Facturé 10/2018]]/Taux_Change_SII,""),"")</f>
        <v/>
      </c>
      <c r="CK165" s="352"/>
      <c r="CL165" s="339">
        <f>SUMPRODUCT(1*(EXACT(CONCATENATE(Tableau1[[#This Row],[PO Number (Header)]],"-",Tableau1[[#This Row],[Line]]),UO_List[Unique_AIB_ID]))*(UO_List[Qté Réception 11/2020]))</f>
        <v>0</v>
      </c>
      <c r="CM165" s="76"/>
      <c r="CN165" s="352"/>
      <c r="CO165" s="352" t="str">
        <f>IFERROR(Tableau1[[#This Row],[Qté Facturé 11/2018]]*Tableau1[[#This Row],[Unit Price (calcul)]],"")</f>
        <v/>
      </c>
      <c r="CP165" s="351" t="str">
        <f>IFERROR(IF(Tableau1[[#This Row],[Montant Facturé 11/2018]]&gt;0,Tableau1[[#This Row],[Montant Facturé 11/2018]]/Taux_Change_SII,""),"")</f>
        <v/>
      </c>
      <c r="CQ165" s="352"/>
      <c r="CR165" s="339">
        <f>SUMPRODUCT(1*(EXACT(CONCATENATE(Tableau1[[#This Row],[PO Number (Header)]],"-",Tableau1[[#This Row],[Line]]),UO_List[Unique_AIB_ID]))*(UO_List[Qté Réception 12/2020]))</f>
        <v>0</v>
      </c>
      <c r="CS165" s="76"/>
      <c r="CT165" s="352"/>
      <c r="CU165" s="352" t="str">
        <f>IFERROR(Tableau1[[#This Row],[Qté Facturé 12/2018]]*Tableau1[[#This Row],[Unit Price (calcul)]],"")</f>
        <v/>
      </c>
      <c r="CV165" s="351" t="str">
        <f>IFERROR(IF(Tableau1[[#This Row],[Montant Facturé 12/2018]]&gt;0,Tableau1[[#This Row],[Montant Facturé 12/2018]]/Taux_Change_SII,""),"")</f>
        <v/>
      </c>
      <c r="CW165" s="352"/>
      <c r="CX165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5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5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5" s="352" t="str">
        <f>IFERROR(Tableau1[[#This Row],[Total item réceptionné]]*Tableau1[[#This Row],[Unit Price (calcul)]],"")</f>
        <v/>
      </c>
      <c r="DB165" s="352" t="str">
        <f>IFERROR(Tableau1[[#This Row],[Total item à Facturer]]*Tableau1[[#This Row],[Unit Price (calcul)]],"")</f>
        <v/>
      </c>
      <c r="DC165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5" s="352" t="str">
        <f>IFERROR(Tableau1[[#This Row],[Line Total]]-Tableau1[[#This Row],[Total Price Réceptionné]],"")</f>
        <v/>
      </c>
      <c r="DE165" s="352" t="str">
        <f>IFERROR(Tableau1[[#This Row],[Total Price Réceptionné]]-Tableau1[[#This Row],[Total Price A facturer]],"")</f>
        <v/>
      </c>
      <c r="DF165" s="381" t="str">
        <f>IFERROR(Tableau1[[#This Row],[Total Price A facturer]]-Tableau1[[#This Row],[Total Price Facturé]],"")</f>
        <v/>
      </c>
      <c r="DG165" s="340">
        <f>Tableau1[[#This Row],[Total Item Quantity]]-Tableau1[[#This Row],[Total item réceptionné]]</f>
        <v>0</v>
      </c>
      <c r="DH165" s="167"/>
      <c r="DI165" s="167"/>
    </row>
    <row r="166" spans="1:113" s="74" customFormat="1">
      <c r="A166" s="379" t="str">
        <f>CONCATENATE(Tableau1[[#This Row],[PO Number (Header)]],"-",Tableau1[[#This Row],[Line]])</f>
        <v>-</v>
      </c>
      <c r="B166" s="454"/>
      <c r="C166" s="455"/>
      <c r="D166" s="454"/>
      <c r="E166" s="455"/>
      <c r="F166" s="454"/>
      <c r="G166" s="455"/>
      <c r="H166" s="454"/>
      <c r="I166" s="455"/>
      <c r="J166" s="454"/>
      <c r="K166" s="455"/>
      <c r="L166" s="454"/>
      <c r="M166" s="455"/>
      <c r="N166" s="454"/>
      <c r="O166" s="455"/>
      <c r="P166" s="454"/>
      <c r="Q166" s="485"/>
      <c r="R166" s="395"/>
      <c r="S166" s="455"/>
      <c r="T166" s="454"/>
      <c r="U166" s="455"/>
      <c r="V166" s="454"/>
      <c r="W166" s="167"/>
      <c r="X166" s="167"/>
      <c r="Y166" s="171" t="str">
        <f>IF(ISBLANK(Tableau1[[#This Row],[PO Number (Header)]]),"",Tableau1[[#This Row],[Line Total]]/Tableau1[[#This Row],[Total Item Quantity]])</f>
        <v/>
      </c>
      <c r="Z166" s="171" t="str">
        <f>IF(ISNA(VLOOKUP(Tableau1[[#This Row],[Unique_AIB_ID]],UO_List[Unique_AIB_ID],1,FALSE)),IF(ISBLANK(Tableau1[[#This Row],[PO Number (Header)]]),"","FAUX"),"VRAI")</f>
        <v/>
      </c>
      <c r="AA166" s="167"/>
      <c r="AB166" s="380" t="e">
        <f>VLOOKUP(Tableau1[[#This Row],[Unique_AIB_ID]],UO_List[[Unique_AIB_ID]:[OLGA F6]],3,FALSE)</f>
        <v>#N/A</v>
      </c>
      <c r="AC166" s="162" t="s">
        <v>808</v>
      </c>
      <c r="AD166" s="339">
        <f>SUMPRODUCT(1*(EXACT(CONCATENATE(Tableau1[[#This Row],[PO Number (Header)]],"-",Tableau1[[#This Row],[Line]]),UO_List[Unique_AIB_ID]))*(UO_List[Qté Réception 03/2020]))</f>
        <v>0</v>
      </c>
      <c r="AE166" s="76"/>
      <c r="AF166" s="340"/>
      <c r="AG166" s="352" t="str">
        <f>IFERROR(Tableau1[[#This Row],[Qté Facturé 01/2018]]*Tableau1[[#This Row],[Unit Price (calcul)]],"")</f>
        <v/>
      </c>
      <c r="AH166" s="356" t="str">
        <f>IFERROR(IF(Tableau1[[#This Row],[Montant Facturé 01/2018]]&gt;0,Tableau1[[#This Row],[Montant Facturé 01/2018]]/Taux_Change_SII,""),"")</f>
        <v/>
      </c>
      <c r="AI166" s="352"/>
      <c r="AJ166" s="339">
        <f>SUMPRODUCT(1*(EXACT(CONCATENATE(Tableau1[[#This Row],[PO Number (Header)]],"-",Tableau1[[#This Row],[Line]]),UO_List[Unique_AIB_ID]))*(UO_List[Qté Réception 02/2020]))</f>
        <v>0</v>
      </c>
      <c r="AK166" s="83">
        <f>SUMPRODUCT(1*(EXACT(CONCATENATE(Tableau1[[#This Row],[PO Number (Header)]],"-",Tableau1[[#This Row],[Line]]),UO_List[Unique_AIB_ID]))*(UO_List[Qté Réception 02/2020]))</f>
        <v>0</v>
      </c>
      <c r="AL166" s="340"/>
      <c r="AM166" s="352" t="str">
        <f>IFERROR(Tableau1[[#This Row],[Qté Facturé 02/2018]]*Tableau1[[#This Row],[Unit Price (calcul)]],"")</f>
        <v/>
      </c>
      <c r="AN166" s="351" t="str">
        <f>IFERROR(IF(Tableau1[[#This Row],[Montant Facturé 02/2018]]&gt;0,Tableau1[[#This Row],[Montant Facturé 02/2018]]/Taux_Change_SII,""),"")</f>
        <v/>
      </c>
      <c r="AO166" s="352"/>
      <c r="AP166" s="339">
        <f>SUMPRODUCT(1*(EXACT(CONCATENATE(Tableau1[[#This Row],[PO Number (Header)]],"-",Tableau1[[#This Row],[Line]]),UO_List[Unique_AIB_ID]))*(UO_List[Qté Réception 00/2020]))</f>
        <v>0</v>
      </c>
      <c r="AQ166" s="76"/>
      <c r="AR166" s="340"/>
      <c r="AS166" s="352" t="str">
        <f>IFERROR(Tableau1[[#This Row],[Qté Facturé 03/2018]]*Tableau1[[#This Row],[Unit Price (calcul)]],"")</f>
        <v/>
      </c>
      <c r="AT166" s="351" t="str">
        <f>IFERROR(IF(Tableau1[[#This Row],[Montant Facturé 03/2018]]&gt;0,Tableau1[[#This Row],[Montant Facturé 03/2018]]/Taux_Change_SII,""),"")</f>
        <v/>
      </c>
      <c r="AU166" s="352"/>
      <c r="AV166" s="339">
        <f>SUMPRODUCT(1*(EXACT(CONCATENATE(Tableau1[[#This Row],[PO Number (Header)]],"-",Tableau1[[#This Row],[Line]]),UO_List[Unique_AIB_ID]))*(UO_List[Qté Réception 04/2020]))</f>
        <v>0</v>
      </c>
      <c r="AW166" s="76"/>
      <c r="AX166" s="352"/>
      <c r="AY166" s="352" t="str">
        <f>IFERROR(Tableau1[[#This Row],[Qté Facturé 04/2018]]*Tableau1[[#This Row],[Unit Price (calcul)]],"")</f>
        <v/>
      </c>
      <c r="AZ166" s="351" t="str">
        <f>IFERROR(IF(Tableau1[[#This Row],[Montant Facturé 04/2018]]&gt;0,Tableau1[[#This Row],[Montant Facturé 04/2018]]/Taux_Change_SII,""),"")</f>
        <v/>
      </c>
      <c r="BA166" s="352"/>
      <c r="BB166" s="339">
        <f>SUMPRODUCT(1*(EXACT(CONCATENATE(Tableau1[[#This Row],[PO Number (Header)]],"-",Tableau1[[#This Row],[Line]]),UO_List[Unique_AIB_ID]))*(UO_List[Qté Réception 05/2020]))</f>
        <v>0</v>
      </c>
      <c r="BC166" s="76"/>
      <c r="BD166" s="352"/>
      <c r="BE166" s="352" t="str">
        <f>IFERROR(Tableau1[[#This Row],[Qté Facturé 05/2018]]*Tableau1[[#This Row],[Unit Price (calcul)]],"")</f>
        <v/>
      </c>
      <c r="BF166" s="351" t="str">
        <f>IFERROR(IF(Tableau1[[#This Row],[Montant Facturé 05/2018]]&gt;0,Tableau1[[#This Row],[Montant Facturé 05/2018]]/Taux_Change_SII,""),"")</f>
        <v/>
      </c>
      <c r="BG166" s="352"/>
      <c r="BH166" s="339">
        <f>SUMPRODUCT(1*(EXACT(CONCATENATE(Tableau1[[#This Row],[PO Number (Header)]],"-",Tableau1[[#This Row],[Line]]),UO_List[Unique_AIB_ID]))*(UO_List[Qté Réception 06/2020]))</f>
        <v>0</v>
      </c>
      <c r="BI166" s="76"/>
      <c r="BJ166" s="352"/>
      <c r="BK166" s="352" t="str">
        <f>IFERROR(Tableau1[[#This Row],[Qté Facturé 06/2018]]*Tableau1[[#This Row],[Unit Price (calcul)]],"")</f>
        <v/>
      </c>
      <c r="BL166" s="351" t="str">
        <f>IFERROR(IF(Tableau1[[#This Row],[Montant Facturé 06/2018]]&gt;0,Tableau1[[#This Row],[Montant Facturé 06/2018]]/Taux_Change_SII,""),"")</f>
        <v/>
      </c>
      <c r="BM166" s="352"/>
      <c r="BN166" s="339">
        <f>SUMPRODUCT(1*(EXACT(CONCATENATE(Tableau1[[#This Row],[PO Number (Header)]],"-",Tableau1[[#This Row],[Line]]),UO_List[Unique_AIB_ID]))*(UO_List[Qté Réception 07/2020]))</f>
        <v>0</v>
      </c>
      <c r="BO166" s="76">
        <v>0</v>
      </c>
      <c r="BP166" s="352"/>
      <c r="BQ166" s="352" t="str">
        <f>IFERROR(Tableau1[[#This Row],[Qté Facturé 07/2018]]*Tableau1[[#This Row],[Unit Price (calcul)]],"")</f>
        <v/>
      </c>
      <c r="BR166" s="351" t="str">
        <f>IFERROR(IF(Tableau1[[#This Row],[Montant Facturé 07/2018]]&gt;0,Tableau1[[#This Row],[Montant Facturé 07/2018]]/Taux_Change_SII,""),"")</f>
        <v/>
      </c>
      <c r="BS166" s="352"/>
      <c r="BT166" s="339">
        <f>SUMPRODUCT(1*(EXACT(CONCATENATE(Tableau1[[#This Row],[PO Number (Header)]],"-",Tableau1[[#This Row],[Line]]),UO_List[Unique_AIB_ID]))*(UO_List[Qté Réception 08/2020]))</f>
        <v>0</v>
      </c>
      <c r="BU166" s="76"/>
      <c r="BV166" s="352"/>
      <c r="BW166" s="352" t="str">
        <f>IFERROR(Tableau1[[#This Row],[Qté Facturé 08/2018]]*Tableau1[[#This Row],[Unit Price (calcul)]],"")</f>
        <v/>
      </c>
      <c r="BX166" s="351" t="str">
        <f>IFERROR(IF(Tableau1[[#This Row],[Montant Facturé 08/2018]]&gt;0,Tableau1[[#This Row],[Montant Facturé 08/2018]]/Taux_Change_SII,""),"")</f>
        <v/>
      </c>
      <c r="BY166" s="352"/>
      <c r="BZ166" s="339">
        <f>SUMPRODUCT(1*(EXACT(CONCATENATE(Tableau1[[#This Row],[PO Number (Header)]],"-",Tableau1[[#This Row],[Line]]),UO_List[Unique_AIB_ID]))*(UO_List[Qté Réception 09/2020]))</f>
        <v>0</v>
      </c>
      <c r="CA166" s="76">
        <v>0</v>
      </c>
      <c r="CB166" s="352"/>
      <c r="CC166" s="352" t="str">
        <f>IFERROR(Tableau1[[#This Row],[Qté Facturé 09/2018]]*Tableau1[[#This Row],[Unit Price (calcul)]],"")</f>
        <v/>
      </c>
      <c r="CD166" s="351" t="str">
        <f>IFERROR(IF(Tableau1[[#This Row],[Montant Facturé 09/2018]]&gt;0,Tableau1[[#This Row],[Montant Facturé 09/2018]]/Taux_Change_SII,""),"")</f>
        <v/>
      </c>
      <c r="CE166" s="352"/>
      <c r="CF166" s="339">
        <f>SUMPRODUCT(1*(EXACT(CONCATENATE(Tableau1[[#This Row],[PO Number (Header)]],"-",Tableau1[[#This Row],[Line]]),UO_List[Unique_AIB_ID]))*(UO_List[Qté Réception 10/2020]))</f>
        <v>0</v>
      </c>
      <c r="CG166" s="76"/>
      <c r="CH166" s="76"/>
      <c r="CI166" s="488" t="str">
        <f>IFERROR(Tableau1[[#This Row],[Qté Facturé 10/2018]]*Tableau1[[#This Row],[Unit Price (calcul)]],"")</f>
        <v/>
      </c>
      <c r="CJ166" s="351" t="str">
        <f>IFERROR(IF(Tableau1[[#This Row],[Montant Facturé 10/2018]]&gt;0,Tableau1[[#This Row],[Montant Facturé 10/2018]]/Taux_Change_SII,""),"")</f>
        <v/>
      </c>
      <c r="CK166" s="352"/>
      <c r="CL166" s="339">
        <f>SUMPRODUCT(1*(EXACT(CONCATENATE(Tableau1[[#This Row],[PO Number (Header)]],"-",Tableau1[[#This Row],[Line]]),UO_List[Unique_AIB_ID]))*(UO_List[Qté Réception 11/2020]))</f>
        <v>0</v>
      </c>
      <c r="CM166" s="76"/>
      <c r="CN166" s="352"/>
      <c r="CO166" s="352" t="str">
        <f>IFERROR(Tableau1[[#This Row],[Qté Facturé 11/2018]]*Tableau1[[#This Row],[Unit Price (calcul)]],"")</f>
        <v/>
      </c>
      <c r="CP166" s="351" t="str">
        <f>IFERROR(IF(Tableau1[[#This Row],[Montant Facturé 11/2018]]&gt;0,Tableau1[[#This Row],[Montant Facturé 11/2018]]/Taux_Change_SII,""),"")</f>
        <v/>
      </c>
      <c r="CQ166" s="352"/>
      <c r="CR166" s="339">
        <f>SUMPRODUCT(1*(EXACT(CONCATENATE(Tableau1[[#This Row],[PO Number (Header)]],"-",Tableau1[[#This Row],[Line]]),UO_List[Unique_AIB_ID]))*(UO_List[Qté Réception 12/2020]))</f>
        <v>0</v>
      </c>
      <c r="CS166" s="76"/>
      <c r="CT166" s="352"/>
      <c r="CU166" s="352" t="str">
        <f>IFERROR(Tableau1[[#This Row],[Qté Facturé 12/2018]]*Tableau1[[#This Row],[Unit Price (calcul)]],"")</f>
        <v/>
      </c>
      <c r="CV166" s="351" t="str">
        <f>IFERROR(IF(Tableau1[[#This Row],[Montant Facturé 12/2018]]&gt;0,Tableau1[[#This Row],[Montant Facturé 12/2018]]/Taux_Change_SII,""),"")</f>
        <v/>
      </c>
      <c r="CW166" s="352"/>
      <c r="CX166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6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6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6" s="352" t="str">
        <f>IFERROR(Tableau1[[#This Row],[Total item réceptionné]]*Tableau1[[#This Row],[Unit Price (calcul)]],"")</f>
        <v/>
      </c>
      <c r="DB166" s="352" t="str">
        <f>IFERROR(Tableau1[[#This Row],[Total item à Facturer]]*Tableau1[[#This Row],[Unit Price (calcul)]],"")</f>
        <v/>
      </c>
      <c r="DC166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6" s="352" t="str">
        <f>IFERROR(Tableau1[[#This Row],[Line Total]]-Tableau1[[#This Row],[Total Price Réceptionné]],"")</f>
        <v/>
      </c>
      <c r="DE166" s="352" t="str">
        <f>IFERROR(Tableau1[[#This Row],[Total Price Réceptionné]]-Tableau1[[#This Row],[Total Price A facturer]],"")</f>
        <v/>
      </c>
      <c r="DF166" s="381" t="str">
        <f>IFERROR(Tableau1[[#This Row],[Total Price A facturer]]-Tableau1[[#This Row],[Total Price Facturé]],"")</f>
        <v/>
      </c>
      <c r="DG166" s="340">
        <f>Tableau1[[#This Row],[Total Item Quantity]]-Tableau1[[#This Row],[Total item réceptionné]]</f>
        <v>0</v>
      </c>
      <c r="DH166" s="167"/>
      <c r="DI166" s="167"/>
    </row>
    <row r="167" spans="1:113" s="74" customFormat="1">
      <c r="A167" s="379" t="str">
        <f>CONCATENATE(Tableau1[[#This Row],[PO Number (Header)]],"-",Tableau1[[#This Row],[Line]])</f>
        <v>-</v>
      </c>
      <c r="B167" s="455"/>
      <c r="C167" s="455"/>
      <c r="D167" s="455"/>
      <c r="E167" s="455"/>
      <c r="F167" s="455"/>
      <c r="G167" s="455"/>
      <c r="H167" s="455"/>
      <c r="I167" s="455"/>
      <c r="J167" s="455"/>
      <c r="K167" s="455"/>
      <c r="L167" s="455"/>
      <c r="M167" s="455"/>
      <c r="N167" s="455"/>
      <c r="O167" s="455"/>
      <c r="P167" s="455"/>
      <c r="Q167" s="485"/>
      <c r="R167" s="395"/>
      <c r="S167" s="455"/>
      <c r="T167" s="455"/>
      <c r="U167" s="455"/>
      <c r="V167" s="455"/>
      <c r="W167" s="167"/>
      <c r="X167" s="167"/>
      <c r="Y167" s="171" t="str">
        <f>IF(ISBLANK(Tableau1[[#This Row],[PO Number (Header)]]),"",Tableau1[[#This Row],[Line Total]]/Tableau1[[#This Row],[Total Item Quantity]])</f>
        <v/>
      </c>
      <c r="Z167" s="171" t="str">
        <f>IF(ISNA(VLOOKUP(Tableau1[[#This Row],[Unique_AIB_ID]],UO_List[Unique_AIB_ID],1,FALSE)),IF(ISBLANK(Tableau1[[#This Row],[PO Number (Header)]]),"","FAUX"),"VRAI")</f>
        <v/>
      </c>
      <c r="AA167" s="167"/>
      <c r="AB167" s="380" t="e">
        <f>VLOOKUP(Tableau1[[#This Row],[Unique_AIB_ID]],UO_List[[Unique_AIB_ID]:[OLGA F6]],3,FALSE)</f>
        <v>#N/A</v>
      </c>
      <c r="AC167" s="162" t="s">
        <v>808</v>
      </c>
      <c r="AD167" s="339">
        <f>SUMPRODUCT(1*(EXACT(CONCATENATE(Tableau1[[#This Row],[PO Number (Header)]],"-",Tableau1[[#This Row],[Line]]),UO_List[Unique_AIB_ID]))*(UO_List[Qté Réception 03/2020]))</f>
        <v>0</v>
      </c>
      <c r="AE167" s="76"/>
      <c r="AF167" s="340"/>
      <c r="AG167" s="352" t="str">
        <f>IFERROR(Tableau1[[#This Row],[Qté Facturé 01/2018]]*Tableau1[[#This Row],[Unit Price (calcul)]],"")</f>
        <v/>
      </c>
      <c r="AH167" s="356" t="str">
        <f>IFERROR(IF(Tableau1[[#This Row],[Montant Facturé 01/2018]]&gt;0,Tableau1[[#This Row],[Montant Facturé 01/2018]]/Taux_Change_SII,""),"")</f>
        <v/>
      </c>
      <c r="AI167" s="352"/>
      <c r="AJ167" s="339">
        <f>SUMPRODUCT(1*(EXACT(CONCATENATE(Tableau1[[#This Row],[PO Number (Header)]],"-",Tableau1[[#This Row],[Line]]),UO_List[Unique_AIB_ID]))*(UO_List[Qté Réception 02/2020]))</f>
        <v>0</v>
      </c>
      <c r="AK167" s="83">
        <f>SUMPRODUCT(1*(EXACT(CONCATENATE(Tableau1[[#This Row],[PO Number (Header)]],"-",Tableau1[[#This Row],[Line]]),UO_List[Unique_AIB_ID]))*(UO_List[Qté Réception 02/2020]))</f>
        <v>0</v>
      </c>
      <c r="AL167" s="340"/>
      <c r="AM167" s="352" t="str">
        <f>IFERROR(Tableau1[[#This Row],[Qté Facturé 02/2018]]*Tableau1[[#This Row],[Unit Price (calcul)]],"")</f>
        <v/>
      </c>
      <c r="AN167" s="351" t="str">
        <f>IFERROR(IF(Tableau1[[#This Row],[Montant Facturé 02/2018]]&gt;0,Tableau1[[#This Row],[Montant Facturé 02/2018]]/Taux_Change_SII,""),"")</f>
        <v/>
      </c>
      <c r="AO167" s="352"/>
      <c r="AP167" s="339">
        <f>SUMPRODUCT(1*(EXACT(CONCATENATE(Tableau1[[#This Row],[PO Number (Header)]],"-",Tableau1[[#This Row],[Line]]),UO_List[Unique_AIB_ID]))*(UO_List[Qté Réception 00/2020]))</f>
        <v>0</v>
      </c>
      <c r="AQ167" s="76"/>
      <c r="AR167" s="340"/>
      <c r="AS167" s="352" t="str">
        <f>IFERROR(Tableau1[[#This Row],[Qté Facturé 03/2018]]*Tableau1[[#This Row],[Unit Price (calcul)]],"")</f>
        <v/>
      </c>
      <c r="AT167" s="351" t="str">
        <f>IFERROR(IF(Tableau1[[#This Row],[Montant Facturé 03/2018]]&gt;0,Tableau1[[#This Row],[Montant Facturé 03/2018]]/Taux_Change_SII,""),"")</f>
        <v/>
      </c>
      <c r="AU167" s="352"/>
      <c r="AV167" s="339">
        <f>SUMPRODUCT(1*(EXACT(CONCATENATE(Tableau1[[#This Row],[PO Number (Header)]],"-",Tableau1[[#This Row],[Line]]),UO_List[Unique_AIB_ID]))*(UO_List[Qté Réception 04/2020]))</f>
        <v>0</v>
      </c>
      <c r="AW167" s="76"/>
      <c r="AX167" s="352"/>
      <c r="AY167" s="352" t="str">
        <f>IFERROR(Tableau1[[#This Row],[Qté Facturé 04/2018]]*Tableau1[[#This Row],[Unit Price (calcul)]],"")</f>
        <v/>
      </c>
      <c r="AZ167" s="351" t="str">
        <f>IFERROR(IF(Tableau1[[#This Row],[Montant Facturé 04/2018]]&gt;0,Tableau1[[#This Row],[Montant Facturé 04/2018]]/Taux_Change_SII,""),"")</f>
        <v/>
      </c>
      <c r="BA167" s="352"/>
      <c r="BB167" s="339">
        <f>SUMPRODUCT(1*(EXACT(CONCATENATE(Tableau1[[#This Row],[PO Number (Header)]],"-",Tableau1[[#This Row],[Line]]),UO_List[Unique_AIB_ID]))*(UO_List[Qté Réception 05/2020]))</f>
        <v>0</v>
      </c>
      <c r="BC167" s="76"/>
      <c r="BD167" s="352"/>
      <c r="BE167" s="352" t="str">
        <f>IFERROR(Tableau1[[#This Row],[Qté Facturé 05/2018]]*Tableau1[[#This Row],[Unit Price (calcul)]],"")</f>
        <v/>
      </c>
      <c r="BF167" s="351" t="str">
        <f>IFERROR(IF(Tableau1[[#This Row],[Montant Facturé 05/2018]]&gt;0,Tableau1[[#This Row],[Montant Facturé 05/2018]]/Taux_Change_SII,""),"")</f>
        <v/>
      </c>
      <c r="BG167" s="352"/>
      <c r="BH167" s="339">
        <f>SUMPRODUCT(1*(EXACT(CONCATENATE(Tableau1[[#This Row],[PO Number (Header)]],"-",Tableau1[[#This Row],[Line]]),UO_List[Unique_AIB_ID]))*(UO_List[Qté Réception 06/2020]))</f>
        <v>0</v>
      </c>
      <c r="BI167" s="76"/>
      <c r="BJ167" s="352"/>
      <c r="BK167" s="352" t="str">
        <f>IFERROR(Tableau1[[#This Row],[Qté Facturé 06/2018]]*Tableau1[[#This Row],[Unit Price (calcul)]],"")</f>
        <v/>
      </c>
      <c r="BL167" s="351" t="str">
        <f>IFERROR(IF(Tableau1[[#This Row],[Montant Facturé 06/2018]]&gt;0,Tableau1[[#This Row],[Montant Facturé 06/2018]]/Taux_Change_SII,""),"")</f>
        <v/>
      </c>
      <c r="BM167" s="352"/>
      <c r="BN167" s="339">
        <f>SUMPRODUCT(1*(EXACT(CONCATENATE(Tableau1[[#This Row],[PO Number (Header)]],"-",Tableau1[[#This Row],[Line]]),UO_List[Unique_AIB_ID]))*(UO_List[Qté Réception 07/2020]))</f>
        <v>0</v>
      </c>
      <c r="BO167" s="76">
        <v>0</v>
      </c>
      <c r="BP167" s="352"/>
      <c r="BQ167" s="352" t="str">
        <f>IFERROR(Tableau1[[#This Row],[Qté Facturé 07/2018]]*Tableau1[[#This Row],[Unit Price (calcul)]],"")</f>
        <v/>
      </c>
      <c r="BR167" s="351" t="str">
        <f>IFERROR(IF(Tableau1[[#This Row],[Montant Facturé 07/2018]]&gt;0,Tableau1[[#This Row],[Montant Facturé 07/2018]]/Taux_Change_SII,""),"")</f>
        <v/>
      </c>
      <c r="BS167" s="352"/>
      <c r="BT167" s="339">
        <f>SUMPRODUCT(1*(EXACT(CONCATENATE(Tableau1[[#This Row],[PO Number (Header)]],"-",Tableau1[[#This Row],[Line]]),UO_List[Unique_AIB_ID]))*(UO_List[Qté Réception 08/2020]))</f>
        <v>0</v>
      </c>
      <c r="BU167" s="76"/>
      <c r="BV167" s="352"/>
      <c r="BW167" s="352" t="str">
        <f>IFERROR(Tableau1[[#This Row],[Qté Facturé 08/2018]]*Tableau1[[#This Row],[Unit Price (calcul)]],"")</f>
        <v/>
      </c>
      <c r="BX167" s="351" t="str">
        <f>IFERROR(IF(Tableau1[[#This Row],[Montant Facturé 08/2018]]&gt;0,Tableau1[[#This Row],[Montant Facturé 08/2018]]/Taux_Change_SII,""),"")</f>
        <v/>
      </c>
      <c r="BY167" s="352"/>
      <c r="BZ167" s="339">
        <f>SUMPRODUCT(1*(EXACT(CONCATENATE(Tableau1[[#This Row],[PO Number (Header)]],"-",Tableau1[[#This Row],[Line]]),UO_List[Unique_AIB_ID]))*(UO_List[Qté Réception 09/2020]))</f>
        <v>0</v>
      </c>
      <c r="CA167" s="76">
        <v>0</v>
      </c>
      <c r="CB167" s="352"/>
      <c r="CC167" s="352" t="str">
        <f>IFERROR(Tableau1[[#This Row],[Qté Facturé 09/2018]]*Tableau1[[#This Row],[Unit Price (calcul)]],"")</f>
        <v/>
      </c>
      <c r="CD167" s="351" t="str">
        <f>IFERROR(IF(Tableau1[[#This Row],[Montant Facturé 09/2018]]&gt;0,Tableau1[[#This Row],[Montant Facturé 09/2018]]/Taux_Change_SII,""),"")</f>
        <v/>
      </c>
      <c r="CE167" s="352"/>
      <c r="CF167" s="339">
        <f>SUMPRODUCT(1*(EXACT(CONCATENATE(Tableau1[[#This Row],[PO Number (Header)]],"-",Tableau1[[#This Row],[Line]]),UO_List[Unique_AIB_ID]))*(UO_List[Qté Réception 10/2020]))</f>
        <v>0</v>
      </c>
      <c r="CG167" s="76"/>
      <c r="CH167" s="76"/>
      <c r="CI167" s="488" t="str">
        <f>IFERROR(Tableau1[[#This Row],[Qté Facturé 10/2018]]*Tableau1[[#This Row],[Unit Price (calcul)]],"")</f>
        <v/>
      </c>
      <c r="CJ167" s="351" t="str">
        <f>IFERROR(IF(Tableau1[[#This Row],[Montant Facturé 10/2018]]&gt;0,Tableau1[[#This Row],[Montant Facturé 10/2018]]/Taux_Change_SII,""),"")</f>
        <v/>
      </c>
      <c r="CK167" s="352"/>
      <c r="CL167" s="339">
        <f>SUMPRODUCT(1*(EXACT(CONCATENATE(Tableau1[[#This Row],[PO Number (Header)]],"-",Tableau1[[#This Row],[Line]]),UO_List[Unique_AIB_ID]))*(UO_List[Qté Réception 11/2020]))</f>
        <v>0</v>
      </c>
      <c r="CM167" s="76"/>
      <c r="CN167" s="352"/>
      <c r="CO167" s="352" t="str">
        <f>IFERROR(Tableau1[[#This Row],[Qté Facturé 11/2018]]*Tableau1[[#This Row],[Unit Price (calcul)]],"")</f>
        <v/>
      </c>
      <c r="CP167" s="351" t="str">
        <f>IFERROR(IF(Tableau1[[#This Row],[Montant Facturé 11/2018]]&gt;0,Tableau1[[#This Row],[Montant Facturé 11/2018]]/Taux_Change_SII,""),"")</f>
        <v/>
      </c>
      <c r="CQ167" s="352"/>
      <c r="CR167" s="339">
        <f>SUMPRODUCT(1*(EXACT(CONCATENATE(Tableau1[[#This Row],[PO Number (Header)]],"-",Tableau1[[#This Row],[Line]]),UO_List[Unique_AIB_ID]))*(UO_List[Qté Réception 12/2020]))</f>
        <v>0</v>
      </c>
      <c r="CS167" s="76"/>
      <c r="CT167" s="352"/>
      <c r="CU167" s="352" t="str">
        <f>IFERROR(Tableau1[[#This Row],[Qté Facturé 12/2018]]*Tableau1[[#This Row],[Unit Price (calcul)]],"")</f>
        <v/>
      </c>
      <c r="CV167" s="351" t="str">
        <f>IFERROR(IF(Tableau1[[#This Row],[Montant Facturé 12/2018]]&gt;0,Tableau1[[#This Row],[Montant Facturé 12/2018]]/Taux_Change_SII,""),"")</f>
        <v/>
      </c>
      <c r="CW167" s="352"/>
      <c r="CX167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7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7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7" s="352" t="str">
        <f>IFERROR(Tableau1[[#This Row],[Total item réceptionné]]*Tableau1[[#This Row],[Unit Price (calcul)]],"")</f>
        <v/>
      </c>
      <c r="DB167" s="352" t="str">
        <f>IFERROR(Tableau1[[#This Row],[Total item à Facturer]]*Tableau1[[#This Row],[Unit Price (calcul)]],"")</f>
        <v/>
      </c>
      <c r="DC167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7" s="352" t="str">
        <f>IFERROR(Tableau1[[#This Row],[Line Total]]-Tableau1[[#This Row],[Total Price Réceptionné]],"")</f>
        <v/>
      </c>
      <c r="DE167" s="352" t="str">
        <f>IFERROR(Tableau1[[#This Row],[Total Price Réceptionné]]-Tableau1[[#This Row],[Total Price A facturer]],"")</f>
        <v/>
      </c>
      <c r="DF167" s="381" t="str">
        <f>IFERROR(Tableau1[[#This Row],[Total Price A facturer]]-Tableau1[[#This Row],[Total Price Facturé]],"")</f>
        <v/>
      </c>
      <c r="DG167" s="340">
        <f>Tableau1[[#This Row],[Total Item Quantity]]-Tableau1[[#This Row],[Total item réceptionné]]</f>
        <v>0</v>
      </c>
      <c r="DH167" s="167"/>
      <c r="DI167" s="167"/>
    </row>
    <row r="168" spans="1:113" s="74" customFormat="1">
      <c r="A168" s="379" t="str">
        <f>CONCATENATE(Tableau1[[#This Row],[PO Number (Header)]],"-",Tableau1[[#This Row],[Line]])</f>
        <v>-</v>
      </c>
      <c r="B168" s="454"/>
      <c r="C168" s="455"/>
      <c r="D168" s="454"/>
      <c r="E168" s="455"/>
      <c r="F168" s="454"/>
      <c r="G168" s="455"/>
      <c r="H168" s="454"/>
      <c r="I168" s="455"/>
      <c r="J168" s="454"/>
      <c r="K168" s="455"/>
      <c r="L168" s="454"/>
      <c r="M168" s="455"/>
      <c r="N168" s="454"/>
      <c r="O168" s="455"/>
      <c r="P168" s="454"/>
      <c r="Q168" s="485"/>
      <c r="R168" s="395"/>
      <c r="S168" s="455"/>
      <c r="T168" s="454"/>
      <c r="U168" s="455"/>
      <c r="V168" s="454"/>
      <c r="W168" s="167"/>
      <c r="X168" s="167"/>
      <c r="Y168" s="171" t="str">
        <f>IF(ISBLANK(Tableau1[[#This Row],[PO Number (Header)]]),"",Tableau1[[#This Row],[Line Total]]/Tableau1[[#This Row],[Total Item Quantity]])</f>
        <v/>
      </c>
      <c r="Z168" s="171" t="str">
        <f>IF(ISNA(VLOOKUP(Tableau1[[#This Row],[Unique_AIB_ID]],UO_List[Unique_AIB_ID],1,FALSE)),IF(ISBLANK(Tableau1[[#This Row],[PO Number (Header)]]),"","FAUX"),"VRAI")</f>
        <v/>
      </c>
      <c r="AA168" s="167"/>
      <c r="AB168" s="380" t="e">
        <f>VLOOKUP(Tableau1[[#This Row],[Unique_AIB_ID]],UO_List[[Unique_AIB_ID]:[OLGA F6]],3,FALSE)</f>
        <v>#N/A</v>
      </c>
      <c r="AC168" s="162" t="s">
        <v>808</v>
      </c>
      <c r="AD168" s="339">
        <f>SUMPRODUCT(1*(EXACT(CONCATENATE(Tableau1[[#This Row],[PO Number (Header)]],"-",Tableau1[[#This Row],[Line]]),UO_List[Unique_AIB_ID]))*(UO_List[Qté Réception 03/2020]))</f>
        <v>0</v>
      </c>
      <c r="AE168" s="76"/>
      <c r="AF168" s="340"/>
      <c r="AG168" s="352" t="str">
        <f>IFERROR(Tableau1[[#This Row],[Qté Facturé 01/2018]]*Tableau1[[#This Row],[Unit Price (calcul)]],"")</f>
        <v/>
      </c>
      <c r="AH168" s="356" t="str">
        <f>IFERROR(IF(Tableau1[[#This Row],[Montant Facturé 01/2018]]&gt;0,Tableau1[[#This Row],[Montant Facturé 01/2018]]/Taux_Change_SII,""),"")</f>
        <v/>
      </c>
      <c r="AI168" s="352"/>
      <c r="AJ168" s="339">
        <f>SUMPRODUCT(1*(EXACT(CONCATENATE(Tableau1[[#This Row],[PO Number (Header)]],"-",Tableau1[[#This Row],[Line]]),UO_List[Unique_AIB_ID]))*(UO_List[Qté Réception 02/2020]))</f>
        <v>0</v>
      </c>
      <c r="AK168" s="83">
        <f>SUMPRODUCT(1*(EXACT(CONCATENATE(Tableau1[[#This Row],[PO Number (Header)]],"-",Tableau1[[#This Row],[Line]]),UO_List[Unique_AIB_ID]))*(UO_List[Qté Réception 02/2020]))</f>
        <v>0</v>
      </c>
      <c r="AL168" s="340"/>
      <c r="AM168" s="352" t="str">
        <f>IFERROR(Tableau1[[#This Row],[Qté Facturé 02/2018]]*Tableau1[[#This Row],[Unit Price (calcul)]],"")</f>
        <v/>
      </c>
      <c r="AN168" s="351" t="str">
        <f>IFERROR(IF(Tableau1[[#This Row],[Montant Facturé 02/2018]]&gt;0,Tableau1[[#This Row],[Montant Facturé 02/2018]]/Taux_Change_SII,""),"")</f>
        <v/>
      </c>
      <c r="AO168" s="352"/>
      <c r="AP168" s="339">
        <f>SUMPRODUCT(1*(EXACT(CONCATENATE(Tableau1[[#This Row],[PO Number (Header)]],"-",Tableau1[[#This Row],[Line]]),UO_List[Unique_AIB_ID]))*(UO_List[Qté Réception 00/2020]))</f>
        <v>0</v>
      </c>
      <c r="AQ168" s="76"/>
      <c r="AR168" s="340"/>
      <c r="AS168" s="352" t="str">
        <f>IFERROR(Tableau1[[#This Row],[Qté Facturé 03/2018]]*Tableau1[[#This Row],[Unit Price (calcul)]],"")</f>
        <v/>
      </c>
      <c r="AT168" s="351" t="str">
        <f>IFERROR(IF(Tableau1[[#This Row],[Montant Facturé 03/2018]]&gt;0,Tableau1[[#This Row],[Montant Facturé 03/2018]]/Taux_Change_SII,""),"")</f>
        <v/>
      </c>
      <c r="AU168" s="352"/>
      <c r="AV168" s="339">
        <f>SUMPRODUCT(1*(EXACT(CONCATENATE(Tableau1[[#This Row],[PO Number (Header)]],"-",Tableau1[[#This Row],[Line]]),UO_List[Unique_AIB_ID]))*(UO_List[Qté Réception 04/2020]))</f>
        <v>0</v>
      </c>
      <c r="AW168" s="76"/>
      <c r="AX168" s="352"/>
      <c r="AY168" s="352" t="str">
        <f>IFERROR(Tableau1[[#This Row],[Qté Facturé 04/2018]]*Tableau1[[#This Row],[Unit Price (calcul)]],"")</f>
        <v/>
      </c>
      <c r="AZ168" s="351" t="str">
        <f>IFERROR(IF(Tableau1[[#This Row],[Montant Facturé 04/2018]]&gt;0,Tableau1[[#This Row],[Montant Facturé 04/2018]]/Taux_Change_SII,""),"")</f>
        <v/>
      </c>
      <c r="BA168" s="352"/>
      <c r="BB168" s="339">
        <f>SUMPRODUCT(1*(EXACT(CONCATENATE(Tableau1[[#This Row],[PO Number (Header)]],"-",Tableau1[[#This Row],[Line]]),UO_List[Unique_AIB_ID]))*(UO_List[Qté Réception 05/2020]))</f>
        <v>0</v>
      </c>
      <c r="BC168" s="76"/>
      <c r="BD168" s="352"/>
      <c r="BE168" s="352" t="str">
        <f>IFERROR(Tableau1[[#This Row],[Qté Facturé 05/2018]]*Tableau1[[#This Row],[Unit Price (calcul)]],"")</f>
        <v/>
      </c>
      <c r="BF168" s="351" t="str">
        <f>IFERROR(IF(Tableau1[[#This Row],[Montant Facturé 05/2018]]&gt;0,Tableau1[[#This Row],[Montant Facturé 05/2018]]/Taux_Change_SII,""),"")</f>
        <v/>
      </c>
      <c r="BG168" s="352"/>
      <c r="BH168" s="339">
        <f>SUMPRODUCT(1*(EXACT(CONCATENATE(Tableau1[[#This Row],[PO Number (Header)]],"-",Tableau1[[#This Row],[Line]]),UO_List[Unique_AIB_ID]))*(UO_List[Qté Réception 06/2020]))</f>
        <v>0</v>
      </c>
      <c r="BI168" s="76"/>
      <c r="BJ168" s="352"/>
      <c r="BK168" s="352" t="str">
        <f>IFERROR(Tableau1[[#This Row],[Qté Facturé 06/2018]]*Tableau1[[#This Row],[Unit Price (calcul)]],"")</f>
        <v/>
      </c>
      <c r="BL168" s="351" t="str">
        <f>IFERROR(IF(Tableau1[[#This Row],[Montant Facturé 06/2018]]&gt;0,Tableau1[[#This Row],[Montant Facturé 06/2018]]/Taux_Change_SII,""),"")</f>
        <v/>
      </c>
      <c r="BM168" s="352"/>
      <c r="BN168" s="339">
        <f>SUMPRODUCT(1*(EXACT(CONCATENATE(Tableau1[[#This Row],[PO Number (Header)]],"-",Tableau1[[#This Row],[Line]]),UO_List[Unique_AIB_ID]))*(UO_List[Qté Réception 07/2020]))</f>
        <v>0</v>
      </c>
      <c r="BO168" s="76">
        <v>0</v>
      </c>
      <c r="BP168" s="352"/>
      <c r="BQ168" s="352" t="str">
        <f>IFERROR(Tableau1[[#This Row],[Qté Facturé 07/2018]]*Tableau1[[#This Row],[Unit Price (calcul)]],"")</f>
        <v/>
      </c>
      <c r="BR168" s="351" t="str">
        <f>IFERROR(IF(Tableau1[[#This Row],[Montant Facturé 07/2018]]&gt;0,Tableau1[[#This Row],[Montant Facturé 07/2018]]/Taux_Change_SII,""),"")</f>
        <v/>
      </c>
      <c r="BS168" s="352"/>
      <c r="BT168" s="339">
        <f>SUMPRODUCT(1*(EXACT(CONCATENATE(Tableau1[[#This Row],[PO Number (Header)]],"-",Tableau1[[#This Row],[Line]]),UO_List[Unique_AIB_ID]))*(UO_List[Qté Réception 08/2020]))</f>
        <v>0</v>
      </c>
      <c r="BU168" s="76"/>
      <c r="BV168" s="352"/>
      <c r="BW168" s="352" t="str">
        <f>IFERROR(Tableau1[[#This Row],[Qté Facturé 08/2018]]*Tableau1[[#This Row],[Unit Price (calcul)]],"")</f>
        <v/>
      </c>
      <c r="BX168" s="351" t="str">
        <f>IFERROR(IF(Tableau1[[#This Row],[Montant Facturé 08/2018]]&gt;0,Tableau1[[#This Row],[Montant Facturé 08/2018]]/Taux_Change_SII,""),"")</f>
        <v/>
      </c>
      <c r="BY168" s="352"/>
      <c r="BZ168" s="339">
        <f>SUMPRODUCT(1*(EXACT(CONCATENATE(Tableau1[[#This Row],[PO Number (Header)]],"-",Tableau1[[#This Row],[Line]]),UO_List[Unique_AIB_ID]))*(UO_List[Qté Réception 09/2020]))</f>
        <v>0</v>
      </c>
      <c r="CA168" s="76">
        <v>0</v>
      </c>
      <c r="CB168" s="352"/>
      <c r="CC168" s="352" t="str">
        <f>IFERROR(Tableau1[[#This Row],[Qté Facturé 09/2018]]*Tableau1[[#This Row],[Unit Price (calcul)]],"")</f>
        <v/>
      </c>
      <c r="CD168" s="351" t="str">
        <f>IFERROR(IF(Tableau1[[#This Row],[Montant Facturé 09/2018]]&gt;0,Tableau1[[#This Row],[Montant Facturé 09/2018]]/Taux_Change_SII,""),"")</f>
        <v/>
      </c>
      <c r="CE168" s="352"/>
      <c r="CF168" s="339">
        <f>SUMPRODUCT(1*(EXACT(CONCATENATE(Tableau1[[#This Row],[PO Number (Header)]],"-",Tableau1[[#This Row],[Line]]),UO_List[Unique_AIB_ID]))*(UO_List[Qté Réception 10/2020]))</f>
        <v>0</v>
      </c>
      <c r="CG168" s="76"/>
      <c r="CH168" s="76"/>
      <c r="CI168" s="488" t="str">
        <f>IFERROR(Tableau1[[#This Row],[Qté Facturé 10/2018]]*Tableau1[[#This Row],[Unit Price (calcul)]],"")</f>
        <v/>
      </c>
      <c r="CJ168" s="351" t="str">
        <f>IFERROR(IF(Tableau1[[#This Row],[Montant Facturé 10/2018]]&gt;0,Tableau1[[#This Row],[Montant Facturé 10/2018]]/Taux_Change_SII,""),"")</f>
        <v/>
      </c>
      <c r="CK168" s="352"/>
      <c r="CL168" s="339">
        <f>SUMPRODUCT(1*(EXACT(CONCATENATE(Tableau1[[#This Row],[PO Number (Header)]],"-",Tableau1[[#This Row],[Line]]),UO_List[Unique_AIB_ID]))*(UO_List[Qté Réception 11/2020]))</f>
        <v>0</v>
      </c>
      <c r="CM168" s="76"/>
      <c r="CN168" s="352"/>
      <c r="CO168" s="352" t="str">
        <f>IFERROR(Tableau1[[#This Row],[Qté Facturé 11/2018]]*Tableau1[[#This Row],[Unit Price (calcul)]],"")</f>
        <v/>
      </c>
      <c r="CP168" s="351" t="str">
        <f>IFERROR(IF(Tableau1[[#This Row],[Montant Facturé 11/2018]]&gt;0,Tableau1[[#This Row],[Montant Facturé 11/2018]]/Taux_Change_SII,""),"")</f>
        <v/>
      </c>
      <c r="CQ168" s="352"/>
      <c r="CR168" s="339">
        <f>SUMPRODUCT(1*(EXACT(CONCATENATE(Tableau1[[#This Row],[PO Number (Header)]],"-",Tableau1[[#This Row],[Line]]),UO_List[Unique_AIB_ID]))*(UO_List[Qté Réception 12/2020]))</f>
        <v>0</v>
      </c>
      <c r="CS168" s="76"/>
      <c r="CT168" s="352"/>
      <c r="CU168" s="352" t="str">
        <f>IFERROR(Tableau1[[#This Row],[Qté Facturé 12/2018]]*Tableau1[[#This Row],[Unit Price (calcul)]],"")</f>
        <v/>
      </c>
      <c r="CV168" s="351" t="str">
        <f>IFERROR(IF(Tableau1[[#This Row],[Montant Facturé 12/2018]]&gt;0,Tableau1[[#This Row],[Montant Facturé 12/2018]]/Taux_Change_SII,""),"")</f>
        <v/>
      </c>
      <c r="CW168" s="352"/>
      <c r="CX168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8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8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8" s="352" t="str">
        <f>IFERROR(Tableau1[[#This Row],[Total item réceptionné]]*Tableau1[[#This Row],[Unit Price (calcul)]],"")</f>
        <v/>
      </c>
      <c r="DB168" s="352" t="str">
        <f>IFERROR(Tableau1[[#This Row],[Total item à Facturer]]*Tableau1[[#This Row],[Unit Price (calcul)]],"")</f>
        <v/>
      </c>
      <c r="DC168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8" s="352" t="str">
        <f>IFERROR(Tableau1[[#This Row],[Line Total]]-Tableau1[[#This Row],[Total Price Réceptionné]],"")</f>
        <v/>
      </c>
      <c r="DE168" s="352" t="str">
        <f>IFERROR(Tableau1[[#This Row],[Total Price Réceptionné]]-Tableau1[[#This Row],[Total Price A facturer]],"")</f>
        <v/>
      </c>
      <c r="DF168" s="381" t="str">
        <f>IFERROR(Tableau1[[#This Row],[Total Price A facturer]]-Tableau1[[#This Row],[Total Price Facturé]],"")</f>
        <v/>
      </c>
      <c r="DG168" s="340">
        <f>Tableau1[[#This Row],[Total Item Quantity]]-Tableau1[[#This Row],[Total item réceptionné]]</f>
        <v>0</v>
      </c>
      <c r="DH168" s="167"/>
      <c r="DI168" s="167"/>
    </row>
    <row r="169" spans="1:113" s="74" customFormat="1">
      <c r="A169" s="379" t="str">
        <f>CONCATENATE(Tableau1[[#This Row],[PO Number (Header)]],"-",Tableau1[[#This Row],[Line]])</f>
        <v>-</v>
      </c>
      <c r="B169" s="455"/>
      <c r="C169" s="455"/>
      <c r="D169" s="455"/>
      <c r="E169" s="455"/>
      <c r="F169" s="455"/>
      <c r="G169" s="455"/>
      <c r="H169" s="455"/>
      <c r="I169" s="455"/>
      <c r="J169" s="455"/>
      <c r="K169" s="455"/>
      <c r="L169" s="455"/>
      <c r="M169" s="455"/>
      <c r="N169" s="455"/>
      <c r="O169" s="455"/>
      <c r="P169" s="455"/>
      <c r="Q169" s="485"/>
      <c r="R169" s="395"/>
      <c r="S169" s="455"/>
      <c r="T169" s="455"/>
      <c r="U169" s="455"/>
      <c r="V169" s="455"/>
      <c r="W169" s="167"/>
      <c r="X169" s="167"/>
      <c r="Y169" s="171" t="str">
        <f>IF(ISBLANK(Tableau1[[#This Row],[PO Number (Header)]]),"",Tableau1[[#This Row],[Line Total]]/Tableau1[[#This Row],[Total Item Quantity]])</f>
        <v/>
      </c>
      <c r="Z169" s="171" t="str">
        <f>IF(ISNA(VLOOKUP(Tableau1[[#This Row],[Unique_AIB_ID]],UO_List[Unique_AIB_ID],1,FALSE)),IF(ISBLANK(Tableau1[[#This Row],[PO Number (Header)]]),"","FAUX"),"VRAI")</f>
        <v/>
      </c>
      <c r="AA169" s="167"/>
      <c r="AB169" s="380" t="e">
        <f>VLOOKUP(Tableau1[[#This Row],[Unique_AIB_ID]],UO_List[[Unique_AIB_ID]:[OLGA F6]],3,FALSE)</f>
        <v>#N/A</v>
      </c>
      <c r="AC169" s="162" t="s">
        <v>808</v>
      </c>
      <c r="AD169" s="339">
        <f>SUMPRODUCT(1*(EXACT(CONCATENATE(Tableau1[[#This Row],[PO Number (Header)]],"-",Tableau1[[#This Row],[Line]]),UO_List[Unique_AIB_ID]))*(UO_List[Qté Réception 03/2020]))</f>
        <v>0</v>
      </c>
      <c r="AE169" s="76"/>
      <c r="AF169" s="340"/>
      <c r="AG169" s="352" t="str">
        <f>IFERROR(Tableau1[[#This Row],[Qté Facturé 01/2018]]*Tableau1[[#This Row],[Unit Price (calcul)]],"")</f>
        <v/>
      </c>
      <c r="AH169" s="356" t="str">
        <f>IFERROR(IF(Tableau1[[#This Row],[Montant Facturé 01/2018]]&gt;0,Tableau1[[#This Row],[Montant Facturé 01/2018]]/Taux_Change_SII,""),"")</f>
        <v/>
      </c>
      <c r="AI169" s="352"/>
      <c r="AJ169" s="339">
        <f>SUMPRODUCT(1*(EXACT(CONCATENATE(Tableau1[[#This Row],[PO Number (Header)]],"-",Tableau1[[#This Row],[Line]]),UO_List[Unique_AIB_ID]))*(UO_List[Qté Réception 02/2020]))</f>
        <v>0</v>
      </c>
      <c r="AK169" s="83">
        <f>SUMPRODUCT(1*(EXACT(CONCATENATE(Tableau1[[#This Row],[PO Number (Header)]],"-",Tableau1[[#This Row],[Line]]),UO_List[Unique_AIB_ID]))*(UO_List[Qté Réception 02/2020]))</f>
        <v>0</v>
      </c>
      <c r="AL169" s="340"/>
      <c r="AM169" s="352" t="str">
        <f>IFERROR(Tableau1[[#This Row],[Qté Facturé 02/2018]]*Tableau1[[#This Row],[Unit Price (calcul)]],"")</f>
        <v/>
      </c>
      <c r="AN169" s="351" t="str">
        <f>IFERROR(IF(Tableau1[[#This Row],[Montant Facturé 02/2018]]&gt;0,Tableau1[[#This Row],[Montant Facturé 02/2018]]/Taux_Change_SII,""),"")</f>
        <v/>
      </c>
      <c r="AO169" s="352"/>
      <c r="AP169" s="339">
        <f>SUMPRODUCT(1*(EXACT(CONCATENATE(Tableau1[[#This Row],[PO Number (Header)]],"-",Tableau1[[#This Row],[Line]]),UO_List[Unique_AIB_ID]))*(UO_List[Qté Réception 00/2020]))</f>
        <v>0</v>
      </c>
      <c r="AQ169" s="76"/>
      <c r="AR169" s="340"/>
      <c r="AS169" s="352" t="str">
        <f>IFERROR(Tableau1[[#This Row],[Qté Facturé 03/2018]]*Tableau1[[#This Row],[Unit Price (calcul)]],"")</f>
        <v/>
      </c>
      <c r="AT169" s="351" t="str">
        <f>IFERROR(IF(Tableau1[[#This Row],[Montant Facturé 03/2018]]&gt;0,Tableau1[[#This Row],[Montant Facturé 03/2018]]/Taux_Change_SII,""),"")</f>
        <v/>
      </c>
      <c r="AU169" s="352"/>
      <c r="AV169" s="339">
        <f>SUMPRODUCT(1*(EXACT(CONCATENATE(Tableau1[[#This Row],[PO Number (Header)]],"-",Tableau1[[#This Row],[Line]]),UO_List[Unique_AIB_ID]))*(UO_List[Qté Réception 04/2020]))</f>
        <v>0</v>
      </c>
      <c r="AW169" s="76"/>
      <c r="AX169" s="352"/>
      <c r="AY169" s="352" t="str">
        <f>IFERROR(Tableau1[[#This Row],[Qté Facturé 04/2018]]*Tableau1[[#This Row],[Unit Price (calcul)]],"")</f>
        <v/>
      </c>
      <c r="AZ169" s="351" t="str">
        <f>IFERROR(IF(Tableau1[[#This Row],[Montant Facturé 04/2018]]&gt;0,Tableau1[[#This Row],[Montant Facturé 04/2018]]/Taux_Change_SII,""),"")</f>
        <v/>
      </c>
      <c r="BA169" s="352"/>
      <c r="BB169" s="339">
        <f>SUMPRODUCT(1*(EXACT(CONCATENATE(Tableau1[[#This Row],[PO Number (Header)]],"-",Tableau1[[#This Row],[Line]]),UO_List[Unique_AIB_ID]))*(UO_List[Qté Réception 05/2020]))</f>
        <v>0</v>
      </c>
      <c r="BC169" s="76"/>
      <c r="BD169" s="352"/>
      <c r="BE169" s="352" t="str">
        <f>IFERROR(Tableau1[[#This Row],[Qté Facturé 05/2018]]*Tableau1[[#This Row],[Unit Price (calcul)]],"")</f>
        <v/>
      </c>
      <c r="BF169" s="351" t="str">
        <f>IFERROR(IF(Tableau1[[#This Row],[Montant Facturé 05/2018]]&gt;0,Tableau1[[#This Row],[Montant Facturé 05/2018]]/Taux_Change_SII,""),"")</f>
        <v/>
      </c>
      <c r="BG169" s="352"/>
      <c r="BH169" s="339">
        <f>SUMPRODUCT(1*(EXACT(CONCATENATE(Tableau1[[#This Row],[PO Number (Header)]],"-",Tableau1[[#This Row],[Line]]),UO_List[Unique_AIB_ID]))*(UO_List[Qté Réception 06/2020]))</f>
        <v>0</v>
      </c>
      <c r="BI169" s="76"/>
      <c r="BJ169" s="352"/>
      <c r="BK169" s="352" t="str">
        <f>IFERROR(Tableau1[[#This Row],[Qté Facturé 06/2018]]*Tableau1[[#This Row],[Unit Price (calcul)]],"")</f>
        <v/>
      </c>
      <c r="BL169" s="351" t="str">
        <f>IFERROR(IF(Tableau1[[#This Row],[Montant Facturé 06/2018]]&gt;0,Tableau1[[#This Row],[Montant Facturé 06/2018]]/Taux_Change_SII,""),"")</f>
        <v/>
      </c>
      <c r="BM169" s="352"/>
      <c r="BN169" s="339">
        <f>SUMPRODUCT(1*(EXACT(CONCATENATE(Tableau1[[#This Row],[PO Number (Header)]],"-",Tableau1[[#This Row],[Line]]),UO_List[Unique_AIB_ID]))*(UO_List[Qté Réception 07/2020]))</f>
        <v>0</v>
      </c>
      <c r="BO169" s="76">
        <v>0</v>
      </c>
      <c r="BP169" s="352"/>
      <c r="BQ169" s="352" t="str">
        <f>IFERROR(Tableau1[[#This Row],[Qté Facturé 07/2018]]*Tableau1[[#This Row],[Unit Price (calcul)]],"")</f>
        <v/>
      </c>
      <c r="BR169" s="351" t="str">
        <f>IFERROR(IF(Tableau1[[#This Row],[Montant Facturé 07/2018]]&gt;0,Tableau1[[#This Row],[Montant Facturé 07/2018]]/Taux_Change_SII,""),"")</f>
        <v/>
      </c>
      <c r="BS169" s="352"/>
      <c r="BT169" s="339">
        <f>SUMPRODUCT(1*(EXACT(CONCATENATE(Tableau1[[#This Row],[PO Number (Header)]],"-",Tableau1[[#This Row],[Line]]),UO_List[Unique_AIB_ID]))*(UO_List[Qté Réception 08/2020]))</f>
        <v>0</v>
      </c>
      <c r="BU169" s="76"/>
      <c r="BV169" s="352"/>
      <c r="BW169" s="352" t="str">
        <f>IFERROR(Tableau1[[#This Row],[Qté Facturé 08/2018]]*Tableau1[[#This Row],[Unit Price (calcul)]],"")</f>
        <v/>
      </c>
      <c r="BX169" s="351" t="str">
        <f>IFERROR(IF(Tableau1[[#This Row],[Montant Facturé 08/2018]]&gt;0,Tableau1[[#This Row],[Montant Facturé 08/2018]]/Taux_Change_SII,""),"")</f>
        <v/>
      </c>
      <c r="BY169" s="352"/>
      <c r="BZ169" s="339">
        <f>SUMPRODUCT(1*(EXACT(CONCATENATE(Tableau1[[#This Row],[PO Number (Header)]],"-",Tableau1[[#This Row],[Line]]),UO_List[Unique_AIB_ID]))*(UO_List[Qté Réception 09/2020]))</f>
        <v>0</v>
      </c>
      <c r="CA169" s="76">
        <v>0</v>
      </c>
      <c r="CB169" s="352"/>
      <c r="CC169" s="352" t="str">
        <f>IFERROR(Tableau1[[#This Row],[Qté Facturé 09/2018]]*Tableau1[[#This Row],[Unit Price (calcul)]],"")</f>
        <v/>
      </c>
      <c r="CD169" s="351" t="str">
        <f>IFERROR(IF(Tableau1[[#This Row],[Montant Facturé 09/2018]]&gt;0,Tableau1[[#This Row],[Montant Facturé 09/2018]]/Taux_Change_SII,""),"")</f>
        <v/>
      </c>
      <c r="CE169" s="352"/>
      <c r="CF169" s="339">
        <f>SUMPRODUCT(1*(EXACT(CONCATENATE(Tableau1[[#This Row],[PO Number (Header)]],"-",Tableau1[[#This Row],[Line]]),UO_List[Unique_AIB_ID]))*(UO_List[Qté Réception 10/2020]))</f>
        <v>0</v>
      </c>
      <c r="CG169" s="76"/>
      <c r="CH169" s="76"/>
      <c r="CI169" s="488" t="str">
        <f>IFERROR(Tableau1[[#This Row],[Qté Facturé 10/2018]]*Tableau1[[#This Row],[Unit Price (calcul)]],"")</f>
        <v/>
      </c>
      <c r="CJ169" s="351" t="str">
        <f>IFERROR(IF(Tableau1[[#This Row],[Montant Facturé 10/2018]]&gt;0,Tableau1[[#This Row],[Montant Facturé 10/2018]]/Taux_Change_SII,""),"")</f>
        <v/>
      </c>
      <c r="CK169" s="352"/>
      <c r="CL169" s="339">
        <f>SUMPRODUCT(1*(EXACT(CONCATENATE(Tableau1[[#This Row],[PO Number (Header)]],"-",Tableau1[[#This Row],[Line]]),UO_List[Unique_AIB_ID]))*(UO_List[Qté Réception 11/2020]))</f>
        <v>0</v>
      </c>
      <c r="CM169" s="76"/>
      <c r="CN169" s="352"/>
      <c r="CO169" s="352" t="str">
        <f>IFERROR(Tableau1[[#This Row],[Qté Facturé 11/2018]]*Tableau1[[#This Row],[Unit Price (calcul)]],"")</f>
        <v/>
      </c>
      <c r="CP169" s="351" t="str">
        <f>IFERROR(IF(Tableau1[[#This Row],[Montant Facturé 11/2018]]&gt;0,Tableau1[[#This Row],[Montant Facturé 11/2018]]/Taux_Change_SII,""),"")</f>
        <v/>
      </c>
      <c r="CQ169" s="352"/>
      <c r="CR169" s="339">
        <f>SUMPRODUCT(1*(EXACT(CONCATENATE(Tableau1[[#This Row],[PO Number (Header)]],"-",Tableau1[[#This Row],[Line]]),UO_List[Unique_AIB_ID]))*(UO_List[Qté Réception 12/2020]))</f>
        <v>0</v>
      </c>
      <c r="CS169" s="76"/>
      <c r="CT169" s="352"/>
      <c r="CU169" s="352" t="str">
        <f>IFERROR(Tableau1[[#This Row],[Qté Facturé 12/2018]]*Tableau1[[#This Row],[Unit Price (calcul)]],"")</f>
        <v/>
      </c>
      <c r="CV169" s="351" t="str">
        <f>IFERROR(IF(Tableau1[[#This Row],[Montant Facturé 12/2018]]&gt;0,Tableau1[[#This Row],[Montant Facturé 12/2018]]/Taux_Change_SII,""),"")</f>
        <v/>
      </c>
      <c r="CW169" s="352"/>
      <c r="CX169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69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69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69" s="352" t="str">
        <f>IFERROR(Tableau1[[#This Row],[Total item réceptionné]]*Tableau1[[#This Row],[Unit Price (calcul)]],"")</f>
        <v/>
      </c>
      <c r="DB169" s="352" t="str">
        <f>IFERROR(Tableau1[[#This Row],[Total item à Facturer]]*Tableau1[[#This Row],[Unit Price (calcul)]],"")</f>
        <v/>
      </c>
      <c r="DC169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69" s="352" t="str">
        <f>IFERROR(Tableau1[[#This Row],[Line Total]]-Tableau1[[#This Row],[Total Price Réceptionné]],"")</f>
        <v/>
      </c>
      <c r="DE169" s="352" t="str">
        <f>IFERROR(Tableau1[[#This Row],[Total Price Réceptionné]]-Tableau1[[#This Row],[Total Price A facturer]],"")</f>
        <v/>
      </c>
      <c r="DF169" s="381" t="str">
        <f>IFERROR(Tableau1[[#This Row],[Total Price A facturer]]-Tableau1[[#This Row],[Total Price Facturé]],"")</f>
        <v/>
      </c>
      <c r="DG169" s="340">
        <f>Tableau1[[#This Row],[Total Item Quantity]]-Tableau1[[#This Row],[Total item réceptionné]]</f>
        <v>0</v>
      </c>
      <c r="DH169" s="167"/>
      <c r="DI169" s="167"/>
    </row>
    <row r="170" spans="1:113" s="74" customFormat="1">
      <c r="A170" s="379" t="str">
        <f>CONCATENATE(Tableau1[[#This Row],[PO Number (Header)]],"-",Tableau1[[#This Row],[Line]])</f>
        <v>-</v>
      </c>
      <c r="B170" s="454"/>
      <c r="C170" s="455"/>
      <c r="D170" s="454"/>
      <c r="E170" s="455"/>
      <c r="F170" s="454"/>
      <c r="G170" s="455"/>
      <c r="H170" s="454"/>
      <c r="I170" s="455"/>
      <c r="J170" s="454"/>
      <c r="K170" s="455"/>
      <c r="L170" s="454"/>
      <c r="M170" s="455"/>
      <c r="N170" s="454"/>
      <c r="O170" s="455"/>
      <c r="P170" s="454"/>
      <c r="Q170" s="485"/>
      <c r="R170" s="395"/>
      <c r="S170" s="455"/>
      <c r="T170" s="454"/>
      <c r="U170" s="455"/>
      <c r="V170" s="454"/>
      <c r="W170" s="167"/>
      <c r="X170" s="167"/>
      <c r="Y170" s="171" t="str">
        <f>IF(ISBLANK(Tableau1[[#This Row],[PO Number (Header)]]),"",Tableau1[[#This Row],[Line Total]]/Tableau1[[#This Row],[Total Item Quantity]])</f>
        <v/>
      </c>
      <c r="Z170" s="171" t="str">
        <f>IF(ISNA(VLOOKUP(Tableau1[[#This Row],[Unique_AIB_ID]],UO_List[Unique_AIB_ID],1,FALSE)),IF(ISBLANK(Tableau1[[#This Row],[PO Number (Header)]]),"","FAUX"),"VRAI")</f>
        <v/>
      </c>
      <c r="AA170" s="167"/>
      <c r="AB170" s="380" t="e">
        <f>VLOOKUP(Tableau1[[#This Row],[Unique_AIB_ID]],UO_List[[Unique_AIB_ID]:[OLGA F6]],3,FALSE)</f>
        <v>#N/A</v>
      </c>
      <c r="AC170" s="162" t="s">
        <v>808</v>
      </c>
      <c r="AD170" s="339">
        <f>SUMPRODUCT(1*(EXACT(CONCATENATE(Tableau1[[#This Row],[PO Number (Header)]],"-",Tableau1[[#This Row],[Line]]),UO_List[Unique_AIB_ID]))*(UO_List[Qté Réception 03/2020]))</f>
        <v>0</v>
      </c>
      <c r="AE170" s="76"/>
      <c r="AF170" s="340"/>
      <c r="AG170" s="352" t="str">
        <f>IFERROR(Tableau1[[#This Row],[Qté Facturé 01/2018]]*Tableau1[[#This Row],[Unit Price (calcul)]],"")</f>
        <v/>
      </c>
      <c r="AH170" s="356" t="str">
        <f>IFERROR(IF(Tableau1[[#This Row],[Montant Facturé 01/2018]]&gt;0,Tableau1[[#This Row],[Montant Facturé 01/2018]]/Taux_Change_SII,""),"")</f>
        <v/>
      </c>
      <c r="AI170" s="352"/>
      <c r="AJ170" s="339">
        <f>SUMPRODUCT(1*(EXACT(CONCATENATE(Tableau1[[#This Row],[PO Number (Header)]],"-",Tableau1[[#This Row],[Line]]),UO_List[Unique_AIB_ID]))*(UO_List[Qté Réception 02/2020]))</f>
        <v>0</v>
      </c>
      <c r="AK170" s="83">
        <f>SUMPRODUCT(1*(EXACT(CONCATENATE(Tableau1[[#This Row],[PO Number (Header)]],"-",Tableau1[[#This Row],[Line]]),UO_List[Unique_AIB_ID]))*(UO_List[Qté Réception 02/2020]))</f>
        <v>0</v>
      </c>
      <c r="AL170" s="340"/>
      <c r="AM170" s="352" t="str">
        <f>IFERROR(Tableau1[[#This Row],[Qté Facturé 02/2018]]*Tableau1[[#This Row],[Unit Price (calcul)]],"")</f>
        <v/>
      </c>
      <c r="AN170" s="351" t="str">
        <f>IFERROR(IF(Tableau1[[#This Row],[Montant Facturé 02/2018]]&gt;0,Tableau1[[#This Row],[Montant Facturé 02/2018]]/Taux_Change_SII,""),"")</f>
        <v/>
      </c>
      <c r="AO170" s="352"/>
      <c r="AP170" s="339">
        <f>SUMPRODUCT(1*(EXACT(CONCATENATE(Tableau1[[#This Row],[PO Number (Header)]],"-",Tableau1[[#This Row],[Line]]),UO_List[Unique_AIB_ID]))*(UO_List[Qté Réception 00/2020]))</f>
        <v>0</v>
      </c>
      <c r="AQ170" s="76"/>
      <c r="AR170" s="340"/>
      <c r="AS170" s="352" t="str">
        <f>IFERROR(Tableau1[[#This Row],[Qté Facturé 03/2018]]*Tableau1[[#This Row],[Unit Price (calcul)]],"")</f>
        <v/>
      </c>
      <c r="AT170" s="351" t="str">
        <f>IFERROR(IF(Tableau1[[#This Row],[Montant Facturé 03/2018]]&gt;0,Tableau1[[#This Row],[Montant Facturé 03/2018]]/Taux_Change_SII,""),"")</f>
        <v/>
      </c>
      <c r="AU170" s="352"/>
      <c r="AV170" s="339">
        <f>SUMPRODUCT(1*(EXACT(CONCATENATE(Tableau1[[#This Row],[PO Number (Header)]],"-",Tableau1[[#This Row],[Line]]),UO_List[Unique_AIB_ID]))*(UO_List[Qté Réception 04/2020]))</f>
        <v>0</v>
      </c>
      <c r="AW170" s="76"/>
      <c r="AX170" s="352"/>
      <c r="AY170" s="352" t="str">
        <f>IFERROR(Tableau1[[#This Row],[Qté Facturé 04/2018]]*Tableau1[[#This Row],[Unit Price (calcul)]],"")</f>
        <v/>
      </c>
      <c r="AZ170" s="351" t="str">
        <f>IFERROR(IF(Tableau1[[#This Row],[Montant Facturé 04/2018]]&gt;0,Tableau1[[#This Row],[Montant Facturé 04/2018]]/Taux_Change_SII,""),"")</f>
        <v/>
      </c>
      <c r="BA170" s="352"/>
      <c r="BB170" s="339">
        <f>SUMPRODUCT(1*(EXACT(CONCATENATE(Tableau1[[#This Row],[PO Number (Header)]],"-",Tableau1[[#This Row],[Line]]),UO_List[Unique_AIB_ID]))*(UO_List[Qté Réception 05/2020]))</f>
        <v>0</v>
      </c>
      <c r="BC170" s="76"/>
      <c r="BD170" s="352"/>
      <c r="BE170" s="352" t="str">
        <f>IFERROR(Tableau1[[#This Row],[Qté Facturé 05/2018]]*Tableau1[[#This Row],[Unit Price (calcul)]],"")</f>
        <v/>
      </c>
      <c r="BF170" s="351" t="str">
        <f>IFERROR(IF(Tableau1[[#This Row],[Montant Facturé 05/2018]]&gt;0,Tableau1[[#This Row],[Montant Facturé 05/2018]]/Taux_Change_SII,""),"")</f>
        <v/>
      </c>
      <c r="BG170" s="352"/>
      <c r="BH170" s="339">
        <f>SUMPRODUCT(1*(EXACT(CONCATENATE(Tableau1[[#This Row],[PO Number (Header)]],"-",Tableau1[[#This Row],[Line]]),UO_List[Unique_AIB_ID]))*(UO_List[Qté Réception 06/2020]))</f>
        <v>0</v>
      </c>
      <c r="BI170" s="76"/>
      <c r="BJ170" s="352"/>
      <c r="BK170" s="352" t="str">
        <f>IFERROR(Tableau1[[#This Row],[Qté Facturé 06/2018]]*Tableau1[[#This Row],[Unit Price (calcul)]],"")</f>
        <v/>
      </c>
      <c r="BL170" s="351" t="str">
        <f>IFERROR(IF(Tableau1[[#This Row],[Montant Facturé 06/2018]]&gt;0,Tableau1[[#This Row],[Montant Facturé 06/2018]]/Taux_Change_SII,""),"")</f>
        <v/>
      </c>
      <c r="BM170" s="352"/>
      <c r="BN170" s="339">
        <f>SUMPRODUCT(1*(EXACT(CONCATENATE(Tableau1[[#This Row],[PO Number (Header)]],"-",Tableau1[[#This Row],[Line]]),UO_List[Unique_AIB_ID]))*(UO_List[Qté Réception 07/2020]))</f>
        <v>0</v>
      </c>
      <c r="BO170" s="76">
        <v>0</v>
      </c>
      <c r="BP170" s="352"/>
      <c r="BQ170" s="352" t="str">
        <f>IFERROR(Tableau1[[#This Row],[Qté Facturé 07/2018]]*Tableau1[[#This Row],[Unit Price (calcul)]],"")</f>
        <v/>
      </c>
      <c r="BR170" s="351" t="str">
        <f>IFERROR(IF(Tableau1[[#This Row],[Montant Facturé 07/2018]]&gt;0,Tableau1[[#This Row],[Montant Facturé 07/2018]]/Taux_Change_SII,""),"")</f>
        <v/>
      </c>
      <c r="BS170" s="352"/>
      <c r="BT170" s="339">
        <f>SUMPRODUCT(1*(EXACT(CONCATENATE(Tableau1[[#This Row],[PO Number (Header)]],"-",Tableau1[[#This Row],[Line]]),UO_List[Unique_AIB_ID]))*(UO_List[Qté Réception 08/2020]))</f>
        <v>0</v>
      </c>
      <c r="BU170" s="76"/>
      <c r="BV170" s="352"/>
      <c r="BW170" s="352" t="str">
        <f>IFERROR(Tableau1[[#This Row],[Qté Facturé 08/2018]]*Tableau1[[#This Row],[Unit Price (calcul)]],"")</f>
        <v/>
      </c>
      <c r="BX170" s="351" t="str">
        <f>IFERROR(IF(Tableau1[[#This Row],[Montant Facturé 08/2018]]&gt;0,Tableau1[[#This Row],[Montant Facturé 08/2018]]/Taux_Change_SII,""),"")</f>
        <v/>
      </c>
      <c r="BY170" s="352"/>
      <c r="BZ170" s="339">
        <f>SUMPRODUCT(1*(EXACT(CONCATENATE(Tableau1[[#This Row],[PO Number (Header)]],"-",Tableau1[[#This Row],[Line]]),UO_List[Unique_AIB_ID]))*(UO_List[Qté Réception 09/2020]))</f>
        <v>0</v>
      </c>
      <c r="CA170" s="76">
        <v>0</v>
      </c>
      <c r="CB170" s="352"/>
      <c r="CC170" s="352" t="str">
        <f>IFERROR(Tableau1[[#This Row],[Qté Facturé 09/2018]]*Tableau1[[#This Row],[Unit Price (calcul)]],"")</f>
        <v/>
      </c>
      <c r="CD170" s="351" t="str">
        <f>IFERROR(IF(Tableau1[[#This Row],[Montant Facturé 09/2018]]&gt;0,Tableau1[[#This Row],[Montant Facturé 09/2018]]/Taux_Change_SII,""),"")</f>
        <v/>
      </c>
      <c r="CE170" s="352"/>
      <c r="CF170" s="339">
        <f>SUMPRODUCT(1*(EXACT(CONCATENATE(Tableau1[[#This Row],[PO Number (Header)]],"-",Tableau1[[#This Row],[Line]]),UO_List[Unique_AIB_ID]))*(UO_List[Qté Réception 10/2020]))</f>
        <v>0</v>
      </c>
      <c r="CG170" s="76"/>
      <c r="CH170" s="76"/>
      <c r="CI170" s="488" t="str">
        <f>IFERROR(Tableau1[[#This Row],[Qté Facturé 10/2018]]*Tableau1[[#This Row],[Unit Price (calcul)]],"")</f>
        <v/>
      </c>
      <c r="CJ170" s="351" t="str">
        <f>IFERROR(IF(Tableau1[[#This Row],[Montant Facturé 10/2018]]&gt;0,Tableau1[[#This Row],[Montant Facturé 10/2018]]/Taux_Change_SII,""),"")</f>
        <v/>
      </c>
      <c r="CK170" s="352"/>
      <c r="CL170" s="339">
        <f>SUMPRODUCT(1*(EXACT(CONCATENATE(Tableau1[[#This Row],[PO Number (Header)]],"-",Tableau1[[#This Row],[Line]]),UO_List[Unique_AIB_ID]))*(UO_List[Qté Réception 11/2020]))</f>
        <v>0</v>
      </c>
      <c r="CM170" s="76"/>
      <c r="CN170" s="352"/>
      <c r="CO170" s="352" t="str">
        <f>IFERROR(Tableau1[[#This Row],[Qté Facturé 11/2018]]*Tableau1[[#This Row],[Unit Price (calcul)]],"")</f>
        <v/>
      </c>
      <c r="CP170" s="351" t="str">
        <f>IFERROR(IF(Tableau1[[#This Row],[Montant Facturé 11/2018]]&gt;0,Tableau1[[#This Row],[Montant Facturé 11/2018]]/Taux_Change_SII,""),"")</f>
        <v/>
      </c>
      <c r="CQ170" s="352"/>
      <c r="CR170" s="339">
        <f>SUMPRODUCT(1*(EXACT(CONCATENATE(Tableau1[[#This Row],[PO Number (Header)]],"-",Tableau1[[#This Row],[Line]]),UO_List[Unique_AIB_ID]))*(UO_List[Qté Réception 12/2020]))</f>
        <v>0</v>
      </c>
      <c r="CS170" s="76"/>
      <c r="CT170" s="352"/>
      <c r="CU170" s="352" t="str">
        <f>IFERROR(Tableau1[[#This Row],[Qté Facturé 12/2018]]*Tableau1[[#This Row],[Unit Price (calcul)]],"")</f>
        <v/>
      </c>
      <c r="CV170" s="351" t="str">
        <f>IFERROR(IF(Tableau1[[#This Row],[Montant Facturé 12/2018]]&gt;0,Tableau1[[#This Row],[Montant Facturé 12/2018]]/Taux_Change_SII,""),"")</f>
        <v/>
      </c>
      <c r="CW170" s="352"/>
      <c r="CX170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0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0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0" s="352" t="str">
        <f>IFERROR(Tableau1[[#This Row],[Total item réceptionné]]*Tableau1[[#This Row],[Unit Price (calcul)]],"")</f>
        <v/>
      </c>
      <c r="DB170" s="352" t="str">
        <f>IFERROR(Tableau1[[#This Row],[Total item à Facturer]]*Tableau1[[#This Row],[Unit Price (calcul)]],"")</f>
        <v/>
      </c>
      <c r="DC170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0" s="352" t="str">
        <f>IFERROR(Tableau1[[#This Row],[Line Total]]-Tableau1[[#This Row],[Total Price Réceptionné]],"")</f>
        <v/>
      </c>
      <c r="DE170" s="352" t="str">
        <f>IFERROR(Tableau1[[#This Row],[Total Price Réceptionné]]-Tableau1[[#This Row],[Total Price A facturer]],"")</f>
        <v/>
      </c>
      <c r="DF170" s="381" t="str">
        <f>IFERROR(Tableau1[[#This Row],[Total Price A facturer]]-Tableau1[[#This Row],[Total Price Facturé]],"")</f>
        <v/>
      </c>
      <c r="DG170" s="340">
        <f>Tableau1[[#This Row],[Total Item Quantity]]-Tableau1[[#This Row],[Total item réceptionné]]</f>
        <v>0</v>
      </c>
      <c r="DH170" s="167"/>
      <c r="DI170" s="167"/>
    </row>
    <row r="171" spans="1:113" s="74" customFormat="1">
      <c r="A171" s="379" t="str">
        <f>CONCATENATE(Tableau1[[#This Row],[PO Number (Header)]],"-",Tableau1[[#This Row],[Line]])</f>
        <v>-</v>
      </c>
      <c r="B171" s="455"/>
      <c r="C171" s="455"/>
      <c r="D171" s="455"/>
      <c r="E171" s="455"/>
      <c r="F171" s="455"/>
      <c r="G171" s="455"/>
      <c r="H171" s="455"/>
      <c r="I171" s="455"/>
      <c r="J171" s="455"/>
      <c r="K171" s="455"/>
      <c r="L171" s="455"/>
      <c r="M171" s="455"/>
      <c r="N171" s="455"/>
      <c r="O171" s="455"/>
      <c r="P171" s="455"/>
      <c r="Q171" s="485"/>
      <c r="R171" s="395"/>
      <c r="S171" s="455"/>
      <c r="T171" s="455"/>
      <c r="U171" s="455"/>
      <c r="V171" s="455"/>
      <c r="W171" s="167"/>
      <c r="X171" s="167"/>
      <c r="Y171" s="171" t="str">
        <f>IF(ISBLANK(Tableau1[[#This Row],[PO Number (Header)]]),"",Tableau1[[#This Row],[Line Total]]/Tableau1[[#This Row],[Total Item Quantity]])</f>
        <v/>
      </c>
      <c r="Z171" s="171" t="str">
        <f>IF(ISNA(VLOOKUP(Tableau1[[#This Row],[Unique_AIB_ID]],UO_List[Unique_AIB_ID],1,FALSE)),IF(ISBLANK(Tableau1[[#This Row],[PO Number (Header)]]),"","FAUX"),"VRAI")</f>
        <v/>
      </c>
      <c r="AA171" s="167"/>
      <c r="AB171" s="380" t="e">
        <f>VLOOKUP(Tableau1[[#This Row],[Unique_AIB_ID]],UO_List[[Unique_AIB_ID]:[OLGA F6]],3,FALSE)</f>
        <v>#N/A</v>
      </c>
      <c r="AC171" s="162" t="s">
        <v>808</v>
      </c>
      <c r="AD171" s="339">
        <f>SUMPRODUCT(1*(EXACT(CONCATENATE(Tableau1[[#This Row],[PO Number (Header)]],"-",Tableau1[[#This Row],[Line]]),UO_List[Unique_AIB_ID]))*(UO_List[Qté Réception 03/2020]))</f>
        <v>0</v>
      </c>
      <c r="AE171" s="76"/>
      <c r="AF171" s="340"/>
      <c r="AG171" s="352" t="str">
        <f>IFERROR(Tableau1[[#This Row],[Qté Facturé 01/2018]]*Tableau1[[#This Row],[Unit Price (calcul)]],"")</f>
        <v/>
      </c>
      <c r="AH171" s="356" t="str">
        <f>IFERROR(IF(Tableau1[[#This Row],[Montant Facturé 01/2018]]&gt;0,Tableau1[[#This Row],[Montant Facturé 01/2018]]/Taux_Change_SII,""),"")</f>
        <v/>
      </c>
      <c r="AI171" s="352"/>
      <c r="AJ171" s="339">
        <f>SUMPRODUCT(1*(EXACT(CONCATENATE(Tableau1[[#This Row],[PO Number (Header)]],"-",Tableau1[[#This Row],[Line]]),UO_List[Unique_AIB_ID]))*(UO_List[Qté Réception 02/2020]))</f>
        <v>0</v>
      </c>
      <c r="AK171" s="83">
        <f>SUMPRODUCT(1*(EXACT(CONCATENATE(Tableau1[[#This Row],[PO Number (Header)]],"-",Tableau1[[#This Row],[Line]]),UO_List[Unique_AIB_ID]))*(UO_List[Qté Réception 02/2020]))</f>
        <v>0</v>
      </c>
      <c r="AL171" s="340"/>
      <c r="AM171" s="352" t="str">
        <f>IFERROR(Tableau1[[#This Row],[Qté Facturé 02/2018]]*Tableau1[[#This Row],[Unit Price (calcul)]],"")</f>
        <v/>
      </c>
      <c r="AN171" s="351" t="str">
        <f>IFERROR(IF(Tableau1[[#This Row],[Montant Facturé 02/2018]]&gt;0,Tableau1[[#This Row],[Montant Facturé 02/2018]]/Taux_Change_SII,""),"")</f>
        <v/>
      </c>
      <c r="AO171" s="352"/>
      <c r="AP171" s="339">
        <f>SUMPRODUCT(1*(EXACT(CONCATENATE(Tableau1[[#This Row],[PO Number (Header)]],"-",Tableau1[[#This Row],[Line]]),UO_List[Unique_AIB_ID]))*(UO_List[Qté Réception 00/2020]))</f>
        <v>0</v>
      </c>
      <c r="AQ171" s="76"/>
      <c r="AR171" s="340"/>
      <c r="AS171" s="352" t="str">
        <f>IFERROR(Tableau1[[#This Row],[Qté Facturé 03/2018]]*Tableau1[[#This Row],[Unit Price (calcul)]],"")</f>
        <v/>
      </c>
      <c r="AT171" s="351" t="str">
        <f>IFERROR(IF(Tableau1[[#This Row],[Montant Facturé 03/2018]]&gt;0,Tableau1[[#This Row],[Montant Facturé 03/2018]]/Taux_Change_SII,""),"")</f>
        <v/>
      </c>
      <c r="AU171" s="352"/>
      <c r="AV171" s="339">
        <f>SUMPRODUCT(1*(EXACT(CONCATENATE(Tableau1[[#This Row],[PO Number (Header)]],"-",Tableau1[[#This Row],[Line]]),UO_List[Unique_AIB_ID]))*(UO_List[Qté Réception 04/2020]))</f>
        <v>0</v>
      </c>
      <c r="AW171" s="76"/>
      <c r="AX171" s="352"/>
      <c r="AY171" s="352" t="str">
        <f>IFERROR(Tableau1[[#This Row],[Qté Facturé 04/2018]]*Tableau1[[#This Row],[Unit Price (calcul)]],"")</f>
        <v/>
      </c>
      <c r="AZ171" s="351" t="str">
        <f>IFERROR(IF(Tableau1[[#This Row],[Montant Facturé 04/2018]]&gt;0,Tableau1[[#This Row],[Montant Facturé 04/2018]]/Taux_Change_SII,""),"")</f>
        <v/>
      </c>
      <c r="BA171" s="352"/>
      <c r="BB171" s="339">
        <f>SUMPRODUCT(1*(EXACT(CONCATENATE(Tableau1[[#This Row],[PO Number (Header)]],"-",Tableau1[[#This Row],[Line]]),UO_List[Unique_AIB_ID]))*(UO_List[Qté Réception 05/2020]))</f>
        <v>0</v>
      </c>
      <c r="BC171" s="76"/>
      <c r="BD171" s="352"/>
      <c r="BE171" s="352" t="str">
        <f>IFERROR(Tableau1[[#This Row],[Qté Facturé 05/2018]]*Tableau1[[#This Row],[Unit Price (calcul)]],"")</f>
        <v/>
      </c>
      <c r="BF171" s="351" t="str">
        <f>IFERROR(IF(Tableau1[[#This Row],[Montant Facturé 05/2018]]&gt;0,Tableau1[[#This Row],[Montant Facturé 05/2018]]/Taux_Change_SII,""),"")</f>
        <v/>
      </c>
      <c r="BG171" s="352"/>
      <c r="BH171" s="339">
        <f>SUMPRODUCT(1*(EXACT(CONCATENATE(Tableau1[[#This Row],[PO Number (Header)]],"-",Tableau1[[#This Row],[Line]]),UO_List[Unique_AIB_ID]))*(UO_List[Qté Réception 06/2020]))</f>
        <v>0</v>
      </c>
      <c r="BI171" s="76"/>
      <c r="BJ171" s="352"/>
      <c r="BK171" s="352" t="str">
        <f>IFERROR(Tableau1[[#This Row],[Qté Facturé 06/2018]]*Tableau1[[#This Row],[Unit Price (calcul)]],"")</f>
        <v/>
      </c>
      <c r="BL171" s="351" t="str">
        <f>IFERROR(IF(Tableau1[[#This Row],[Montant Facturé 06/2018]]&gt;0,Tableau1[[#This Row],[Montant Facturé 06/2018]]/Taux_Change_SII,""),"")</f>
        <v/>
      </c>
      <c r="BM171" s="352"/>
      <c r="BN171" s="339">
        <f>SUMPRODUCT(1*(EXACT(CONCATENATE(Tableau1[[#This Row],[PO Number (Header)]],"-",Tableau1[[#This Row],[Line]]),UO_List[Unique_AIB_ID]))*(UO_List[Qté Réception 07/2020]))</f>
        <v>0</v>
      </c>
      <c r="BO171" s="76">
        <v>0</v>
      </c>
      <c r="BP171" s="352"/>
      <c r="BQ171" s="352" t="str">
        <f>IFERROR(Tableau1[[#This Row],[Qté Facturé 07/2018]]*Tableau1[[#This Row],[Unit Price (calcul)]],"")</f>
        <v/>
      </c>
      <c r="BR171" s="351" t="str">
        <f>IFERROR(IF(Tableau1[[#This Row],[Montant Facturé 07/2018]]&gt;0,Tableau1[[#This Row],[Montant Facturé 07/2018]]/Taux_Change_SII,""),"")</f>
        <v/>
      </c>
      <c r="BS171" s="352"/>
      <c r="BT171" s="339">
        <f>SUMPRODUCT(1*(EXACT(CONCATENATE(Tableau1[[#This Row],[PO Number (Header)]],"-",Tableau1[[#This Row],[Line]]),UO_List[Unique_AIB_ID]))*(UO_List[Qté Réception 08/2020]))</f>
        <v>0</v>
      </c>
      <c r="BU171" s="76"/>
      <c r="BV171" s="352"/>
      <c r="BW171" s="352" t="str">
        <f>IFERROR(Tableau1[[#This Row],[Qté Facturé 08/2018]]*Tableau1[[#This Row],[Unit Price (calcul)]],"")</f>
        <v/>
      </c>
      <c r="BX171" s="351" t="str">
        <f>IFERROR(IF(Tableau1[[#This Row],[Montant Facturé 08/2018]]&gt;0,Tableau1[[#This Row],[Montant Facturé 08/2018]]/Taux_Change_SII,""),"")</f>
        <v/>
      </c>
      <c r="BY171" s="352"/>
      <c r="BZ171" s="339">
        <f>SUMPRODUCT(1*(EXACT(CONCATENATE(Tableau1[[#This Row],[PO Number (Header)]],"-",Tableau1[[#This Row],[Line]]),UO_List[Unique_AIB_ID]))*(UO_List[Qté Réception 09/2020]))</f>
        <v>0</v>
      </c>
      <c r="CA171" s="76">
        <v>0</v>
      </c>
      <c r="CB171" s="352"/>
      <c r="CC171" s="352" t="str">
        <f>IFERROR(Tableau1[[#This Row],[Qté Facturé 09/2018]]*Tableau1[[#This Row],[Unit Price (calcul)]],"")</f>
        <v/>
      </c>
      <c r="CD171" s="351" t="str">
        <f>IFERROR(IF(Tableau1[[#This Row],[Montant Facturé 09/2018]]&gt;0,Tableau1[[#This Row],[Montant Facturé 09/2018]]/Taux_Change_SII,""),"")</f>
        <v/>
      </c>
      <c r="CE171" s="352"/>
      <c r="CF171" s="339">
        <f>SUMPRODUCT(1*(EXACT(CONCATENATE(Tableau1[[#This Row],[PO Number (Header)]],"-",Tableau1[[#This Row],[Line]]),UO_List[Unique_AIB_ID]))*(UO_List[Qté Réception 10/2020]))</f>
        <v>0</v>
      </c>
      <c r="CG171" s="76"/>
      <c r="CH171" s="76"/>
      <c r="CI171" s="488" t="str">
        <f>IFERROR(Tableau1[[#This Row],[Qté Facturé 10/2018]]*Tableau1[[#This Row],[Unit Price (calcul)]],"")</f>
        <v/>
      </c>
      <c r="CJ171" s="351" t="str">
        <f>IFERROR(IF(Tableau1[[#This Row],[Montant Facturé 10/2018]]&gt;0,Tableau1[[#This Row],[Montant Facturé 10/2018]]/Taux_Change_SII,""),"")</f>
        <v/>
      </c>
      <c r="CK171" s="352"/>
      <c r="CL171" s="339">
        <f>SUMPRODUCT(1*(EXACT(CONCATENATE(Tableau1[[#This Row],[PO Number (Header)]],"-",Tableau1[[#This Row],[Line]]),UO_List[Unique_AIB_ID]))*(UO_List[Qté Réception 11/2020]))</f>
        <v>0</v>
      </c>
      <c r="CM171" s="76"/>
      <c r="CN171" s="352"/>
      <c r="CO171" s="352" t="str">
        <f>IFERROR(Tableau1[[#This Row],[Qté Facturé 11/2018]]*Tableau1[[#This Row],[Unit Price (calcul)]],"")</f>
        <v/>
      </c>
      <c r="CP171" s="351" t="str">
        <f>IFERROR(IF(Tableau1[[#This Row],[Montant Facturé 11/2018]]&gt;0,Tableau1[[#This Row],[Montant Facturé 11/2018]]/Taux_Change_SII,""),"")</f>
        <v/>
      </c>
      <c r="CQ171" s="352"/>
      <c r="CR171" s="339">
        <f>SUMPRODUCT(1*(EXACT(CONCATENATE(Tableau1[[#This Row],[PO Number (Header)]],"-",Tableau1[[#This Row],[Line]]),UO_List[Unique_AIB_ID]))*(UO_List[Qté Réception 12/2020]))</f>
        <v>0</v>
      </c>
      <c r="CS171" s="76"/>
      <c r="CT171" s="352"/>
      <c r="CU171" s="352" t="str">
        <f>IFERROR(Tableau1[[#This Row],[Qté Facturé 12/2018]]*Tableau1[[#This Row],[Unit Price (calcul)]],"")</f>
        <v/>
      </c>
      <c r="CV171" s="351" t="str">
        <f>IFERROR(IF(Tableau1[[#This Row],[Montant Facturé 12/2018]]&gt;0,Tableau1[[#This Row],[Montant Facturé 12/2018]]/Taux_Change_SII,""),"")</f>
        <v/>
      </c>
      <c r="CW171" s="352"/>
      <c r="CX171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1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1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1" s="352" t="str">
        <f>IFERROR(Tableau1[[#This Row],[Total item réceptionné]]*Tableau1[[#This Row],[Unit Price (calcul)]],"")</f>
        <v/>
      </c>
      <c r="DB171" s="352" t="str">
        <f>IFERROR(Tableau1[[#This Row],[Total item à Facturer]]*Tableau1[[#This Row],[Unit Price (calcul)]],"")</f>
        <v/>
      </c>
      <c r="DC171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1" s="352" t="str">
        <f>IFERROR(Tableau1[[#This Row],[Line Total]]-Tableau1[[#This Row],[Total Price Réceptionné]],"")</f>
        <v/>
      </c>
      <c r="DE171" s="352" t="str">
        <f>IFERROR(Tableau1[[#This Row],[Total Price Réceptionné]]-Tableau1[[#This Row],[Total Price A facturer]],"")</f>
        <v/>
      </c>
      <c r="DF171" s="381" t="str">
        <f>IFERROR(Tableau1[[#This Row],[Total Price A facturer]]-Tableau1[[#This Row],[Total Price Facturé]],"")</f>
        <v/>
      </c>
      <c r="DG171" s="340">
        <f>Tableau1[[#This Row],[Total Item Quantity]]-Tableau1[[#This Row],[Total item réceptionné]]</f>
        <v>0</v>
      </c>
      <c r="DH171" s="167"/>
      <c r="DI171" s="167"/>
    </row>
    <row r="172" spans="1:113" s="74" customFormat="1">
      <c r="A172" s="379" t="str">
        <f>CONCATENATE(Tableau1[[#This Row],[PO Number (Header)]],"-",Tableau1[[#This Row],[Line]])</f>
        <v>-</v>
      </c>
      <c r="B172" s="454"/>
      <c r="C172" s="455"/>
      <c r="D172" s="454"/>
      <c r="E172" s="455"/>
      <c r="F172" s="454"/>
      <c r="G172" s="455"/>
      <c r="H172" s="454"/>
      <c r="I172" s="455"/>
      <c r="J172" s="454"/>
      <c r="K172" s="455"/>
      <c r="L172" s="454"/>
      <c r="M172" s="455"/>
      <c r="N172" s="454"/>
      <c r="O172" s="455"/>
      <c r="P172" s="454"/>
      <c r="Q172" s="485"/>
      <c r="R172" s="395"/>
      <c r="S172" s="455"/>
      <c r="T172" s="454"/>
      <c r="U172" s="455"/>
      <c r="V172" s="454"/>
      <c r="W172" s="167"/>
      <c r="X172" s="167"/>
      <c r="Y172" s="171" t="str">
        <f>IF(ISBLANK(Tableau1[[#This Row],[PO Number (Header)]]),"",Tableau1[[#This Row],[Line Total]]/Tableau1[[#This Row],[Total Item Quantity]])</f>
        <v/>
      </c>
      <c r="Z172" s="171" t="str">
        <f>IF(ISNA(VLOOKUP(Tableau1[[#This Row],[Unique_AIB_ID]],UO_List[Unique_AIB_ID],1,FALSE)),IF(ISBLANK(Tableau1[[#This Row],[PO Number (Header)]]),"","FAUX"),"VRAI")</f>
        <v/>
      </c>
      <c r="AA172" s="167"/>
      <c r="AB172" s="380" t="e">
        <f>VLOOKUP(Tableau1[[#This Row],[Unique_AIB_ID]],UO_List[[Unique_AIB_ID]:[OLGA F6]],3,FALSE)</f>
        <v>#N/A</v>
      </c>
      <c r="AC172" s="162" t="s">
        <v>808</v>
      </c>
      <c r="AD172" s="339">
        <f>SUMPRODUCT(1*(EXACT(CONCATENATE(Tableau1[[#This Row],[PO Number (Header)]],"-",Tableau1[[#This Row],[Line]]),UO_List[Unique_AIB_ID]))*(UO_List[Qté Réception 03/2020]))</f>
        <v>0</v>
      </c>
      <c r="AE172" s="76"/>
      <c r="AF172" s="340"/>
      <c r="AG172" s="352" t="str">
        <f>IFERROR(Tableau1[[#This Row],[Qté Facturé 01/2018]]*Tableau1[[#This Row],[Unit Price (calcul)]],"")</f>
        <v/>
      </c>
      <c r="AH172" s="356" t="str">
        <f>IFERROR(IF(Tableau1[[#This Row],[Montant Facturé 01/2018]]&gt;0,Tableau1[[#This Row],[Montant Facturé 01/2018]]/Taux_Change_SII,""),"")</f>
        <v/>
      </c>
      <c r="AI172" s="352"/>
      <c r="AJ172" s="339">
        <f>SUMPRODUCT(1*(EXACT(CONCATENATE(Tableau1[[#This Row],[PO Number (Header)]],"-",Tableau1[[#This Row],[Line]]),UO_List[Unique_AIB_ID]))*(UO_List[Qté Réception 02/2020]))</f>
        <v>0</v>
      </c>
      <c r="AK172" s="83">
        <f>SUMPRODUCT(1*(EXACT(CONCATENATE(Tableau1[[#This Row],[PO Number (Header)]],"-",Tableau1[[#This Row],[Line]]),UO_List[Unique_AIB_ID]))*(UO_List[Qté Réception 02/2020]))</f>
        <v>0</v>
      </c>
      <c r="AL172" s="340"/>
      <c r="AM172" s="352" t="str">
        <f>IFERROR(Tableau1[[#This Row],[Qté Facturé 02/2018]]*Tableau1[[#This Row],[Unit Price (calcul)]],"")</f>
        <v/>
      </c>
      <c r="AN172" s="351" t="str">
        <f>IFERROR(IF(Tableau1[[#This Row],[Montant Facturé 02/2018]]&gt;0,Tableau1[[#This Row],[Montant Facturé 02/2018]]/Taux_Change_SII,""),"")</f>
        <v/>
      </c>
      <c r="AO172" s="352"/>
      <c r="AP172" s="339">
        <f>SUMPRODUCT(1*(EXACT(CONCATENATE(Tableau1[[#This Row],[PO Number (Header)]],"-",Tableau1[[#This Row],[Line]]),UO_List[Unique_AIB_ID]))*(UO_List[Qté Réception 00/2020]))</f>
        <v>0</v>
      </c>
      <c r="AQ172" s="76"/>
      <c r="AR172" s="340"/>
      <c r="AS172" s="352" t="str">
        <f>IFERROR(Tableau1[[#This Row],[Qté Facturé 03/2018]]*Tableau1[[#This Row],[Unit Price (calcul)]],"")</f>
        <v/>
      </c>
      <c r="AT172" s="351" t="str">
        <f>IFERROR(IF(Tableau1[[#This Row],[Montant Facturé 03/2018]]&gt;0,Tableau1[[#This Row],[Montant Facturé 03/2018]]/Taux_Change_SII,""),"")</f>
        <v/>
      </c>
      <c r="AU172" s="352"/>
      <c r="AV172" s="339">
        <f>SUMPRODUCT(1*(EXACT(CONCATENATE(Tableau1[[#This Row],[PO Number (Header)]],"-",Tableau1[[#This Row],[Line]]),UO_List[Unique_AIB_ID]))*(UO_List[Qté Réception 04/2020]))</f>
        <v>0</v>
      </c>
      <c r="AW172" s="76"/>
      <c r="AX172" s="352"/>
      <c r="AY172" s="352" t="str">
        <f>IFERROR(Tableau1[[#This Row],[Qté Facturé 04/2018]]*Tableau1[[#This Row],[Unit Price (calcul)]],"")</f>
        <v/>
      </c>
      <c r="AZ172" s="351" t="str">
        <f>IFERROR(IF(Tableau1[[#This Row],[Montant Facturé 04/2018]]&gt;0,Tableau1[[#This Row],[Montant Facturé 04/2018]]/Taux_Change_SII,""),"")</f>
        <v/>
      </c>
      <c r="BA172" s="352"/>
      <c r="BB172" s="339">
        <f>SUMPRODUCT(1*(EXACT(CONCATENATE(Tableau1[[#This Row],[PO Number (Header)]],"-",Tableau1[[#This Row],[Line]]),UO_List[Unique_AIB_ID]))*(UO_List[Qté Réception 05/2020]))</f>
        <v>0</v>
      </c>
      <c r="BC172" s="76"/>
      <c r="BD172" s="352"/>
      <c r="BE172" s="352" t="str">
        <f>IFERROR(Tableau1[[#This Row],[Qté Facturé 05/2018]]*Tableau1[[#This Row],[Unit Price (calcul)]],"")</f>
        <v/>
      </c>
      <c r="BF172" s="351" t="str">
        <f>IFERROR(IF(Tableau1[[#This Row],[Montant Facturé 05/2018]]&gt;0,Tableau1[[#This Row],[Montant Facturé 05/2018]]/Taux_Change_SII,""),"")</f>
        <v/>
      </c>
      <c r="BG172" s="352"/>
      <c r="BH172" s="339">
        <f>SUMPRODUCT(1*(EXACT(CONCATENATE(Tableau1[[#This Row],[PO Number (Header)]],"-",Tableau1[[#This Row],[Line]]),UO_List[Unique_AIB_ID]))*(UO_List[Qté Réception 06/2020]))</f>
        <v>0</v>
      </c>
      <c r="BI172" s="76"/>
      <c r="BJ172" s="352"/>
      <c r="BK172" s="352" t="str">
        <f>IFERROR(Tableau1[[#This Row],[Qté Facturé 06/2018]]*Tableau1[[#This Row],[Unit Price (calcul)]],"")</f>
        <v/>
      </c>
      <c r="BL172" s="351" t="str">
        <f>IFERROR(IF(Tableau1[[#This Row],[Montant Facturé 06/2018]]&gt;0,Tableau1[[#This Row],[Montant Facturé 06/2018]]/Taux_Change_SII,""),"")</f>
        <v/>
      </c>
      <c r="BM172" s="352"/>
      <c r="BN172" s="339">
        <f>SUMPRODUCT(1*(EXACT(CONCATENATE(Tableau1[[#This Row],[PO Number (Header)]],"-",Tableau1[[#This Row],[Line]]),UO_List[Unique_AIB_ID]))*(UO_List[Qté Réception 07/2020]))</f>
        <v>0</v>
      </c>
      <c r="BO172" s="76">
        <v>0</v>
      </c>
      <c r="BP172" s="352"/>
      <c r="BQ172" s="352" t="str">
        <f>IFERROR(Tableau1[[#This Row],[Qté Facturé 07/2018]]*Tableau1[[#This Row],[Unit Price (calcul)]],"")</f>
        <v/>
      </c>
      <c r="BR172" s="351" t="str">
        <f>IFERROR(IF(Tableau1[[#This Row],[Montant Facturé 07/2018]]&gt;0,Tableau1[[#This Row],[Montant Facturé 07/2018]]/Taux_Change_SII,""),"")</f>
        <v/>
      </c>
      <c r="BS172" s="352"/>
      <c r="BT172" s="339">
        <f>SUMPRODUCT(1*(EXACT(CONCATENATE(Tableau1[[#This Row],[PO Number (Header)]],"-",Tableau1[[#This Row],[Line]]),UO_List[Unique_AIB_ID]))*(UO_List[Qté Réception 08/2020]))</f>
        <v>0</v>
      </c>
      <c r="BU172" s="76"/>
      <c r="BV172" s="352"/>
      <c r="BW172" s="352" t="str">
        <f>IFERROR(Tableau1[[#This Row],[Qté Facturé 08/2018]]*Tableau1[[#This Row],[Unit Price (calcul)]],"")</f>
        <v/>
      </c>
      <c r="BX172" s="351" t="str">
        <f>IFERROR(IF(Tableau1[[#This Row],[Montant Facturé 08/2018]]&gt;0,Tableau1[[#This Row],[Montant Facturé 08/2018]]/Taux_Change_SII,""),"")</f>
        <v/>
      </c>
      <c r="BY172" s="352"/>
      <c r="BZ172" s="339">
        <f>SUMPRODUCT(1*(EXACT(CONCATENATE(Tableau1[[#This Row],[PO Number (Header)]],"-",Tableau1[[#This Row],[Line]]),UO_List[Unique_AIB_ID]))*(UO_List[Qté Réception 09/2020]))</f>
        <v>0</v>
      </c>
      <c r="CA172" s="76">
        <v>0</v>
      </c>
      <c r="CB172" s="352"/>
      <c r="CC172" s="352" t="str">
        <f>IFERROR(Tableau1[[#This Row],[Qté Facturé 09/2018]]*Tableau1[[#This Row],[Unit Price (calcul)]],"")</f>
        <v/>
      </c>
      <c r="CD172" s="351" t="str">
        <f>IFERROR(IF(Tableau1[[#This Row],[Montant Facturé 09/2018]]&gt;0,Tableau1[[#This Row],[Montant Facturé 09/2018]]/Taux_Change_SII,""),"")</f>
        <v/>
      </c>
      <c r="CE172" s="352"/>
      <c r="CF172" s="339">
        <f>SUMPRODUCT(1*(EXACT(CONCATENATE(Tableau1[[#This Row],[PO Number (Header)]],"-",Tableau1[[#This Row],[Line]]),UO_List[Unique_AIB_ID]))*(UO_List[Qté Réception 10/2020]))</f>
        <v>0</v>
      </c>
      <c r="CG172" s="76"/>
      <c r="CH172" s="76"/>
      <c r="CI172" s="488" t="str">
        <f>IFERROR(Tableau1[[#This Row],[Qté Facturé 10/2018]]*Tableau1[[#This Row],[Unit Price (calcul)]],"")</f>
        <v/>
      </c>
      <c r="CJ172" s="351" t="str">
        <f>IFERROR(IF(Tableau1[[#This Row],[Montant Facturé 10/2018]]&gt;0,Tableau1[[#This Row],[Montant Facturé 10/2018]]/Taux_Change_SII,""),"")</f>
        <v/>
      </c>
      <c r="CK172" s="352"/>
      <c r="CL172" s="339">
        <f>SUMPRODUCT(1*(EXACT(CONCATENATE(Tableau1[[#This Row],[PO Number (Header)]],"-",Tableau1[[#This Row],[Line]]),UO_List[Unique_AIB_ID]))*(UO_List[Qté Réception 11/2020]))</f>
        <v>0</v>
      </c>
      <c r="CM172" s="76"/>
      <c r="CN172" s="352"/>
      <c r="CO172" s="352" t="str">
        <f>IFERROR(Tableau1[[#This Row],[Qté Facturé 11/2018]]*Tableau1[[#This Row],[Unit Price (calcul)]],"")</f>
        <v/>
      </c>
      <c r="CP172" s="351" t="str">
        <f>IFERROR(IF(Tableau1[[#This Row],[Montant Facturé 11/2018]]&gt;0,Tableau1[[#This Row],[Montant Facturé 11/2018]]/Taux_Change_SII,""),"")</f>
        <v/>
      </c>
      <c r="CQ172" s="352"/>
      <c r="CR172" s="339">
        <f>SUMPRODUCT(1*(EXACT(CONCATENATE(Tableau1[[#This Row],[PO Number (Header)]],"-",Tableau1[[#This Row],[Line]]),UO_List[Unique_AIB_ID]))*(UO_List[Qté Réception 12/2020]))</f>
        <v>0</v>
      </c>
      <c r="CS172" s="76"/>
      <c r="CT172" s="352"/>
      <c r="CU172" s="352" t="str">
        <f>IFERROR(Tableau1[[#This Row],[Qté Facturé 12/2018]]*Tableau1[[#This Row],[Unit Price (calcul)]],"")</f>
        <v/>
      </c>
      <c r="CV172" s="351" t="str">
        <f>IFERROR(IF(Tableau1[[#This Row],[Montant Facturé 12/2018]]&gt;0,Tableau1[[#This Row],[Montant Facturé 12/2018]]/Taux_Change_SII,""),"")</f>
        <v/>
      </c>
      <c r="CW172" s="352"/>
      <c r="CX172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2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2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2" s="352" t="str">
        <f>IFERROR(Tableau1[[#This Row],[Total item réceptionné]]*Tableau1[[#This Row],[Unit Price (calcul)]],"")</f>
        <v/>
      </c>
      <c r="DB172" s="352" t="str">
        <f>IFERROR(Tableau1[[#This Row],[Total item à Facturer]]*Tableau1[[#This Row],[Unit Price (calcul)]],"")</f>
        <v/>
      </c>
      <c r="DC172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2" s="352" t="str">
        <f>IFERROR(Tableau1[[#This Row],[Line Total]]-Tableau1[[#This Row],[Total Price Réceptionné]],"")</f>
        <v/>
      </c>
      <c r="DE172" s="352" t="str">
        <f>IFERROR(Tableau1[[#This Row],[Total Price Réceptionné]]-Tableau1[[#This Row],[Total Price A facturer]],"")</f>
        <v/>
      </c>
      <c r="DF172" s="381" t="str">
        <f>IFERROR(Tableau1[[#This Row],[Total Price A facturer]]-Tableau1[[#This Row],[Total Price Facturé]],"")</f>
        <v/>
      </c>
      <c r="DG172" s="340">
        <f>Tableau1[[#This Row],[Total Item Quantity]]-Tableau1[[#This Row],[Total item réceptionné]]</f>
        <v>0</v>
      </c>
      <c r="DH172" s="167"/>
      <c r="DI172" s="167"/>
    </row>
    <row r="173" spans="1:113" s="74" customFormat="1">
      <c r="A173" s="379" t="str">
        <f>CONCATENATE(Tableau1[[#This Row],[PO Number (Header)]],"-",Tableau1[[#This Row],[Line]])</f>
        <v>-</v>
      </c>
      <c r="B173" s="455"/>
      <c r="C173" s="455"/>
      <c r="D173" s="455"/>
      <c r="E173" s="455"/>
      <c r="F173" s="455"/>
      <c r="G173" s="455"/>
      <c r="H173" s="455"/>
      <c r="I173" s="455"/>
      <c r="J173" s="455"/>
      <c r="K173" s="455"/>
      <c r="L173" s="455"/>
      <c r="M173" s="455"/>
      <c r="N173" s="455"/>
      <c r="O173" s="455"/>
      <c r="P173" s="455"/>
      <c r="Q173" s="485"/>
      <c r="R173" s="395"/>
      <c r="S173" s="455"/>
      <c r="T173" s="455"/>
      <c r="U173" s="455"/>
      <c r="V173" s="455"/>
      <c r="W173" s="167"/>
      <c r="X173" s="167"/>
      <c r="Y173" s="171" t="str">
        <f>IF(ISBLANK(Tableau1[[#This Row],[PO Number (Header)]]),"",Tableau1[[#This Row],[Line Total]]/Tableau1[[#This Row],[Total Item Quantity]])</f>
        <v/>
      </c>
      <c r="Z173" s="171" t="str">
        <f>IF(ISNA(VLOOKUP(Tableau1[[#This Row],[Unique_AIB_ID]],UO_List[Unique_AIB_ID],1,FALSE)),IF(ISBLANK(Tableau1[[#This Row],[PO Number (Header)]]),"","FAUX"),"VRAI")</f>
        <v/>
      </c>
      <c r="AA173" s="167"/>
      <c r="AB173" s="380" t="e">
        <f>VLOOKUP(Tableau1[[#This Row],[Unique_AIB_ID]],UO_List[[Unique_AIB_ID]:[OLGA F6]],3,FALSE)</f>
        <v>#N/A</v>
      </c>
      <c r="AC173" s="162" t="s">
        <v>808</v>
      </c>
      <c r="AD173" s="339">
        <f>SUMPRODUCT(1*(EXACT(CONCATENATE(Tableau1[[#This Row],[PO Number (Header)]],"-",Tableau1[[#This Row],[Line]]),UO_List[Unique_AIB_ID]))*(UO_List[Qté Réception 03/2020]))</f>
        <v>0</v>
      </c>
      <c r="AE173" s="76"/>
      <c r="AF173" s="340"/>
      <c r="AG173" s="352" t="str">
        <f>IFERROR(Tableau1[[#This Row],[Qté Facturé 01/2018]]*Tableau1[[#This Row],[Unit Price (calcul)]],"")</f>
        <v/>
      </c>
      <c r="AH173" s="356" t="str">
        <f>IFERROR(IF(Tableau1[[#This Row],[Montant Facturé 01/2018]]&gt;0,Tableau1[[#This Row],[Montant Facturé 01/2018]]/Taux_Change_SII,""),"")</f>
        <v/>
      </c>
      <c r="AI173" s="352"/>
      <c r="AJ173" s="339">
        <f>SUMPRODUCT(1*(EXACT(CONCATENATE(Tableau1[[#This Row],[PO Number (Header)]],"-",Tableau1[[#This Row],[Line]]),UO_List[Unique_AIB_ID]))*(UO_List[Qté Réception 02/2020]))</f>
        <v>0</v>
      </c>
      <c r="AK173" s="83">
        <f>SUMPRODUCT(1*(EXACT(CONCATENATE(Tableau1[[#This Row],[PO Number (Header)]],"-",Tableau1[[#This Row],[Line]]),UO_List[Unique_AIB_ID]))*(UO_List[Qté Réception 02/2020]))</f>
        <v>0</v>
      </c>
      <c r="AL173" s="340"/>
      <c r="AM173" s="352" t="str">
        <f>IFERROR(Tableau1[[#This Row],[Qté Facturé 02/2018]]*Tableau1[[#This Row],[Unit Price (calcul)]],"")</f>
        <v/>
      </c>
      <c r="AN173" s="351" t="str">
        <f>IFERROR(IF(Tableau1[[#This Row],[Montant Facturé 02/2018]]&gt;0,Tableau1[[#This Row],[Montant Facturé 02/2018]]/Taux_Change_SII,""),"")</f>
        <v/>
      </c>
      <c r="AO173" s="352"/>
      <c r="AP173" s="339">
        <f>SUMPRODUCT(1*(EXACT(CONCATENATE(Tableau1[[#This Row],[PO Number (Header)]],"-",Tableau1[[#This Row],[Line]]),UO_List[Unique_AIB_ID]))*(UO_List[Qté Réception 00/2020]))</f>
        <v>0</v>
      </c>
      <c r="AQ173" s="76"/>
      <c r="AR173" s="340"/>
      <c r="AS173" s="352" t="str">
        <f>IFERROR(Tableau1[[#This Row],[Qté Facturé 03/2018]]*Tableau1[[#This Row],[Unit Price (calcul)]],"")</f>
        <v/>
      </c>
      <c r="AT173" s="351" t="str">
        <f>IFERROR(IF(Tableau1[[#This Row],[Montant Facturé 03/2018]]&gt;0,Tableau1[[#This Row],[Montant Facturé 03/2018]]/Taux_Change_SII,""),"")</f>
        <v/>
      </c>
      <c r="AU173" s="352"/>
      <c r="AV173" s="339">
        <f>SUMPRODUCT(1*(EXACT(CONCATENATE(Tableau1[[#This Row],[PO Number (Header)]],"-",Tableau1[[#This Row],[Line]]),UO_List[Unique_AIB_ID]))*(UO_List[Qté Réception 04/2020]))</f>
        <v>0</v>
      </c>
      <c r="AW173" s="76"/>
      <c r="AX173" s="352"/>
      <c r="AY173" s="352" t="str">
        <f>IFERROR(Tableau1[[#This Row],[Qté Facturé 04/2018]]*Tableau1[[#This Row],[Unit Price (calcul)]],"")</f>
        <v/>
      </c>
      <c r="AZ173" s="351" t="str">
        <f>IFERROR(IF(Tableau1[[#This Row],[Montant Facturé 04/2018]]&gt;0,Tableau1[[#This Row],[Montant Facturé 04/2018]]/Taux_Change_SII,""),"")</f>
        <v/>
      </c>
      <c r="BA173" s="352"/>
      <c r="BB173" s="339">
        <f>SUMPRODUCT(1*(EXACT(CONCATENATE(Tableau1[[#This Row],[PO Number (Header)]],"-",Tableau1[[#This Row],[Line]]),UO_List[Unique_AIB_ID]))*(UO_List[Qté Réception 05/2020]))</f>
        <v>0</v>
      </c>
      <c r="BC173" s="76"/>
      <c r="BD173" s="352"/>
      <c r="BE173" s="352" t="str">
        <f>IFERROR(Tableau1[[#This Row],[Qté Facturé 05/2018]]*Tableau1[[#This Row],[Unit Price (calcul)]],"")</f>
        <v/>
      </c>
      <c r="BF173" s="351" t="str">
        <f>IFERROR(IF(Tableau1[[#This Row],[Montant Facturé 05/2018]]&gt;0,Tableau1[[#This Row],[Montant Facturé 05/2018]]/Taux_Change_SII,""),"")</f>
        <v/>
      </c>
      <c r="BG173" s="352"/>
      <c r="BH173" s="339">
        <f>SUMPRODUCT(1*(EXACT(CONCATENATE(Tableau1[[#This Row],[PO Number (Header)]],"-",Tableau1[[#This Row],[Line]]),UO_List[Unique_AIB_ID]))*(UO_List[Qté Réception 06/2020]))</f>
        <v>0</v>
      </c>
      <c r="BI173" s="76"/>
      <c r="BJ173" s="352"/>
      <c r="BK173" s="352" t="str">
        <f>IFERROR(Tableau1[[#This Row],[Qté Facturé 06/2018]]*Tableau1[[#This Row],[Unit Price (calcul)]],"")</f>
        <v/>
      </c>
      <c r="BL173" s="351" t="str">
        <f>IFERROR(IF(Tableau1[[#This Row],[Montant Facturé 06/2018]]&gt;0,Tableau1[[#This Row],[Montant Facturé 06/2018]]/Taux_Change_SII,""),"")</f>
        <v/>
      </c>
      <c r="BM173" s="352"/>
      <c r="BN173" s="339">
        <f>SUMPRODUCT(1*(EXACT(CONCATENATE(Tableau1[[#This Row],[PO Number (Header)]],"-",Tableau1[[#This Row],[Line]]),UO_List[Unique_AIB_ID]))*(UO_List[Qté Réception 07/2020]))</f>
        <v>0</v>
      </c>
      <c r="BO173" s="76">
        <v>0</v>
      </c>
      <c r="BP173" s="352"/>
      <c r="BQ173" s="352" t="str">
        <f>IFERROR(Tableau1[[#This Row],[Qté Facturé 07/2018]]*Tableau1[[#This Row],[Unit Price (calcul)]],"")</f>
        <v/>
      </c>
      <c r="BR173" s="351" t="str">
        <f>IFERROR(IF(Tableau1[[#This Row],[Montant Facturé 07/2018]]&gt;0,Tableau1[[#This Row],[Montant Facturé 07/2018]]/Taux_Change_SII,""),"")</f>
        <v/>
      </c>
      <c r="BS173" s="352"/>
      <c r="BT173" s="339">
        <f>SUMPRODUCT(1*(EXACT(CONCATENATE(Tableau1[[#This Row],[PO Number (Header)]],"-",Tableau1[[#This Row],[Line]]),UO_List[Unique_AIB_ID]))*(UO_List[Qté Réception 08/2020]))</f>
        <v>0</v>
      </c>
      <c r="BU173" s="76"/>
      <c r="BV173" s="352"/>
      <c r="BW173" s="352" t="str">
        <f>IFERROR(Tableau1[[#This Row],[Qté Facturé 08/2018]]*Tableau1[[#This Row],[Unit Price (calcul)]],"")</f>
        <v/>
      </c>
      <c r="BX173" s="351" t="str">
        <f>IFERROR(IF(Tableau1[[#This Row],[Montant Facturé 08/2018]]&gt;0,Tableau1[[#This Row],[Montant Facturé 08/2018]]/Taux_Change_SII,""),"")</f>
        <v/>
      </c>
      <c r="BY173" s="352"/>
      <c r="BZ173" s="339">
        <f>SUMPRODUCT(1*(EXACT(CONCATENATE(Tableau1[[#This Row],[PO Number (Header)]],"-",Tableau1[[#This Row],[Line]]),UO_List[Unique_AIB_ID]))*(UO_List[Qté Réception 09/2020]))</f>
        <v>0</v>
      </c>
      <c r="CA173" s="76">
        <v>0</v>
      </c>
      <c r="CB173" s="352"/>
      <c r="CC173" s="352" t="str">
        <f>IFERROR(Tableau1[[#This Row],[Qté Facturé 09/2018]]*Tableau1[[#This Row],[Unit Price (calcul)]],"")</f>
        <v/>
      </c>
      <c r="CD173" s="351" t="str">
        <f>IFERROR(IF(Tableau1[[#This Row],[Montant Facturé 09/2018]]&gt;0,Tableau1[[#This Row],[Montant Facturé 09/2018]]/Taux_Change_SII,""),"")</f>
        <v/>
      </c>
      <c r="CE173" s="352"/>
      <c r="CF173" s="339">
        <f>SUMPRODUCT(1*(EXACT(CONCATENATE(Tableau1[[#This Row],[PO Number (Header)]],"-",Tableau1[[#This Row],[Line]]),UO_List[Unique_AIB_ID]))*(UO_List[Qté Réception 10/2020]))</f>
        <v>0</v>
      </c>
      <c r="CG173" s="76"/>
      <c r="CH173" s="76"/>
      <c r="CI173" s="488" t="str">
        <f>IFERROR(Tableau1[[#This Row],[Qté Facturé 10/2018]]*Tableau1[[#This Row],[Unit Price (calcul)]],"")</f>
        <v/>
      </c>
      <c r="CJ173" s="351" t="str">
        <f>IFERROR(IF(Tableau1[[#This Row],[Montant Facturé 10/2018]]&gt;0,Tableau1[[#This Row],[Montant Facturé 10/2018]]/Taux_Change_SII,""),"")</f>
        <v/>
      </c>
      <c r="CK173" s="352"/>
      <c r="CL173" s="339">
        <f>SUMPRODUCT(1*(EXACT(CONCATENATE(Tableau1[[#This Row],[PO Number (Header)]],"-",Tableau1[[#This Row],[Line]]),UO_List[Unique_AIB_ID]))*(UO_List[Qté Réception 11/2020]))</f>
        <v>0</v>
      </c>
      <c r="CM173" s="76"/>
      <c r="CN173" s="352"/>
      <c r="CO173" s="352" t="str">
        <f>IFERROR(Tableau1[[#This Row],[Qté Facturé 11/2018]]*Tableau1[[#This Row],[Unit Price (calcul)]],"")</f>
        <v/>
      </c>
      <c r="CP173" s="351" t="str">
        <f>IFERROR(IF(Tableau1[[#This Row],[Montant Facturé 11/2018]]&gt;0,Tableau1[[#This Row],[Montant Facturé 11/2018]]/Taux_Change_SII,""),"")</f>
        <v/>
      </c>
      <c r="CQ173" s="352"/>
      <c r="CR173" s="339">
        <f>SUMPRODUCT(1*(EXACT(CONCATENATE(Tableau1[[#This Row],[PO Number (Header)]],"-",Tableau1[[#This Row],[Line]]),UO_List[Unique_AIB_ID]))*(UO_List[Qté Réception 12/2020]))</f>
        <v>0</v>
      </c>
      <c r="CS173" s="76"/>
      <c r="CT173" s="352"/>
      <c r="CU173" s="352" t="str">
        <f>IFERROR(Tableau1[[#This Row],[Qté Facturé 12/2018]]*Tableau1[[#This Row],[Unit Price (calcul)]],"")</f>
        <v/>
      </c>
      <c r="CV173" s="351" t="str">
        <f>IFERROR(IF(Tableau1[[#This Row],[Montant Facturé 12/2018]]&gt;0,Tableau1[[#This Row],[Montant Facturé 12/2018]]/Taux_Change_SII,""),"")</f>
        <v/>
      </c>
      <c r="CW173" s="352"/>
      <c r="CX173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3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3" s="382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3" s="352" t="str">
        <f>IFERROR(Tableau1[[#This Row],[Total item réceptionné]]*Tableau1[[#This Row],[Unit Price (calcul)]],"")</f>
        <v/>
      </c>
      <c r="DB173" s="352" t="str">
        <f>IFERROR(Tableau1[[#This Row],[Total item à Facturer]]*Tableau1[[#This Row],[Unit Price (calcul)]],"")</f>
        <v/>
      </c>
      <c r="DC173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3" s="352" t="str">
        <f>IFERROR(Tableau1[[#This Row],[Line Total]]-Tableau1[[#This Row],[Total Price Réceptionné]],"")</f>
        <v/>
      </c>
      <c r="DE173" s="352" t="str">
        <f>IFERROR(Tableau1[[#This Row],[Total Price Réceptionné]]-Tableau1[[#This Row],[Total Price A facturer]],"")</f>
        <v/>
      </c>
      <c r="DF173" s="381" t="str">
        <f>IFERROR(Tableau1[[#This Row],[Total Price A facturer]]-Tableau1[[#This Row],[Total Price Facturé]],"")</f>
        <v/>
      </c>
      <c r="DG173" s="340">
        <f>Tableau1[[#This Row],[Total Item Quantity]]-Tableau1[[#This Row],[Total item réceptionné]]</f>
        <v>0</v>
      </c>
      <c r="DH173" s="167"/>
      <c r="DI173" s="167"/>
    </row>
    <row r="174" spans="1:113" s="74" customFormat="1">
      <c r="A174" s="77" t="str">
        <f>CONCATENATE(Tableau1[[#This Row],[PO Number (Header)]],"-",Tableau1[[#This Row],[Line]])</f>
        <v>-</v>
      </c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395"/>
      <c r="R174" s="395"/>
      <c r="S174" s="77"/>
      <c r="T174" s="77"/>
      <c r="U174" s="77"/>
      <c r="V174" s="77"/>
      <c r="W174" s="167"/>
      <c r="X174" s="167"/>
      <c r="Y174" s="167" t="str">
        <f>IF(ISBLANK(Tableau1[[#This Row],[PO Number (Header)]]),"",Tableau1[[#This Row],[Line Total]]/Tableau1[[#This Row],[Total Item Quantity]])</f>
        <v/>
      </c>
      <c r="Z174" s="167" t="str">
        <f>IF(ISNA(VLOOKUP(Tableau1[[#This Row],[Unique_AIB_ID]],UO_List[Unique_AIB_ID],1,FALSE)),IF(ISBLANK(Tableau1[[#This Row],[PO Number (Header)]]),"","FAUX"),"VRAI")</f>
        <v/>
      </c>
      <c r="AA174" s="167"/>
      <c r="AB174" s="162" t="e">
        <f>VLOOKUP(Tableau1[[#This Row],[Unique_AIB_ID]],UO_List[[Unique_AIB_ID]:[OLGA F6]],3,FALSE)</f>
        <v>#N/A</v>
      </c>
      <c r="AC174" s="162" t="s">
        <v>809</v>
      </c>
      <c r="AD174" s="83">
        <f>SUMPRODUCT(1*(EXACT(CONCATENATE(Tableau1[[#This Row],[PO Number (Header)]],"-",Tableau1[[#This Row],[Line]]),UO_List[Unique_AIB_ID]))*(UO_List[Qté Réception 03/2020]))</f>
        <v>0</v>
      </c>
      <c r="AE174" s="84"/>
      <c r="AF174" s="357"/>
      <c r="AG174" s="351" t="str">
        <f>IFERROR(Tableau1[[#This Row],[Qté Facturé 01/2018]]*Tableau1[[#This Row],[Unit Price (calcul)]],"")</f>
        <v/>
      </c>
      <c r="AH174" s="356" t="str">
        <f>IFERROR(IF(Tableau1[[#This Row],[Montant Facturé 01/2018]]&gt;0,Tableau1[[#This Row],[Montant Facturé 01/2018]]/Taux_Change_SII,""),"")</f>
        <v/>
      </c>
      <c r="AI174" s="351"/>
      <c r="AJ174" s="83">
        <f>SUMPRODUCT(1*(EXACT(CONCATENATE(Tableau1[[#This Row],[PO Number (Header)]],"-",Tableau1[[#This Row],[Line]]),UO_List[Unique_AIB_ID]))*(UO_List[Qté Réception 02/2020]))</f>
        <v>0</v>
      </c>
      <c r="AK174" s="83">
        <f>SUMPRODUCT(1*(EXACT(CONCATENATE(Tableau1[[#This Row],[PO Number (Header)]],"-",Tableau1[[#This Row],[Line]]),UO_List[Unique_AIB_ID]))*(UO_List[Qté Réception 02/2020]))</f>
        <v>0</v>
      </c>
      <c r="AL174" s="357"/>
      <c r="AM174" s="351" t="str">
        <f>IFERROR(Tableau1[[#This Row],[Qté Facturé 02/2018]]*Tableau1[[#This Row],[Unit Price (calcul)]],"")</f>
        <v/>
      </c>
      <c r="AN174" s="351" t="str">
        <f>IFERROR(IF(Tableau1[[#This Row],[Montant Facturé 02/2018]]&gt;0,Tableau1[[#This Row],[Montant Facturé 02/2018]]/Taux_Change_SII,""),"")</f>
        <v/>
      </c>
      <c r="AO174" s="351"/>
      <c r="AP174" s="83">
        <f>SUMPRODUCT(1*(EXACT(CONCATENATE(Tableau1[[#This Row],[PO Number (Header)]],"-",Tableau1[[#This Row],[Line]]),UO_List[Unique_AIB_ID]))*(UO_List[Qté Réception 00/2020]))</f>
        <v>0</v>
      </c>
      <c r="AQ174" s="84">
        <v>0</v>
      </c>
      <c r="AR174" s="357"/>
      <c r="AS174" s="351" t="str">
        <f>IFERROR(Tableau1[[#This Row],[Qté Facturé 03/2018]]*Tableau1[[#This Row],[Unit Price (calcul)]],"")</f>
        <v/>
      </c>
      <c r="AT174" s="351" t="str">
        <f>IFERROR(IF(Tableau1[[#This Row],[Montant Facturé 03/2018]]&gt;0,Tableau1[[#This Row],[Montant Facturé 03/2018]]/Taux_Change_SII,""),"")</f>
        <v/>
      </c>
      <c r="AU174" s="351"/>
      <c r="AV174" s="83">
        <f>SUMPRODUCT(1*(EXACT(CONCATENATE(Tableau1[[#This Row],[PO Number (Header)]],"-",Tableau1[[#This Row],[Line]]),UO_List[Unique_AIB_ID]))*(UO_List[Qté Réception 04/2020]))</f>
        <v>0</v>
      </c>
      <c r="AW174" s="84">
        <v>0</v>
      </c>
      <c r="AX174" s="351"/>
      <c r="AY174" s="351" t="str">
        <f>IFERROR(Tableau1[[#This Row],[Qté Facturé 04/2018]]*Tableau1[[#This Row],[Unit Price (calcul)]],"")</f>
        <v/>
      </c>
      <c r="AZ174" s="351" t="str">
        <f>IFERROR(IF(Tableau1[[#This Row],[Montant Facturé 04/2018]]&gt;0,Tableau1[[#This Row],[Montant Facturé 04/2018]]/Taux_Change_SII,""),"")</f>
        <v/>
      </c>
      <c r="BA174" s="351"/>
      <c r="BB174" s="83">
        <f>SUMPRODUCT(1*(EXACT(CONCATENATE(Tableau1[[#This Row],[PO Number (Header)]],"-",Tableau1[[#This Row],[Line]]),UO_List[Unique_AIB_ID]))*(UO_List[Qté Réception 05/2020]))</f>
        <v>0</v>
      </c>
      <c r="BC174" s="84"/>
      <c r="BD174" s="351"/>
      <c r="BE174" s="351" t="str">
        <f>IFERROR(Tableau1[[#This Row],[Qté Facturé 05/2018]]*Tableau1[[#This Row],[Unit Price (calcul)]],"")</f>
        <v/>
      </c>
      <c r="BF174" s="351" t="str">
        <f>IFERROR(IF(Tableau1[[#This Row],[Montant Facturé 05/2018]]&gt;0,Tableau1[[#This Row],[Montant Facturé 05/2018]]/Taux_Change_SII,""),"")</f>
        <v/>
      </c>
      <c r="BG174" s="351"/>
      <c r="BH174" s="83">
        <f>SUMPRODUCT(1*(EXACT(CONCATENATE(Tableau1[[#This Row],[PO Number (Header)]],"-",Tableau1[[#This Row],[Line]]),UO_List[Unique_AIB_ID]))*(UO_List[Qté Réception 06/2020]))</f>
        <v>0</v>
      </c>
      <c r="BI174" s="84"/>
      <c r="BJ174" s="351"/>
      <c r="BK174" s="351" t="str">
        <f>IFERROR(Tableau1[[#This Row],[Qté Facturé 06/2018]]*Tableau1[[#This Row],[Unit Price (calcul)]],"")</f>
        <v/>
      </c>
      <c r="BL174" s="351" t="str">
        <f>IFERROR(IF(Tableau1[[#This Row],[Montant Facturé 06/2018]]&gt;0,Tableau1[[#This Row],[Montant Facturé 06/2018]]/Taux_Change_SII,""),"")</f>
        <v/>
      </c>
      <c r="BM174" s="351"/>
      <c r="BN174" s="83">
        <f>SUMPRODUCT(1*(EXACT(CONCATENATE(Tableau1[[#This Row],[PO Number (Header)]],"-",Tableau1[[#This Row],[Line]]),UO_List[Unique_AIB_ID]))*(UO_List[Qté Réception 07/2020]))</f>
        <v>0</v>
      </c>
      <c r="BO174" s="84">
        <v>0</v>
      </c>
      <c r="BP174" s="351"/>
      <c r="BQ174" s="351" t="str">
        <f>IFERROR(Tableau1[[#This Row],[Qté Facturé 07/2018]]*Tableau1[[#This Row],[Unit Price (calcul)]],"")</f>
        <v/>
      </c>
      <c r="BR174" s="351" t="str">
        <f>IFERROR(IF(Tableau1[[#This Row],[Montant Facturé 07/2018]]&gt;0,Tableau1[[#This Row],[Montant Facturé 07/2018]]/Taux_Change_SII,""),"")</f>
        <v/>
      </c>
      <c r="BS174" s="351"/>
      <c r="BT174" s="83">
        <f>SUMPRODUCT(1*(EXACT(CONCATENATE(Tableau1[[#This Row],[PO Number (Header)]],"-",Tableau1[[#This Row],[Line]]),UO_List[Unique_AIB_ID]))*(UO_List[Qté Réception 08/2020]))</f>
        <v>0</v>
      </c>
      <c r="BU174" s="84"/>
      <c r="BV174" s="351"/>
      <c r="BW174" s="351" t="str">
        <f>IFERROR(Tableau1[[#This Row],[Qté Facturé 08/2018]]*Tableau1[[#This Row],[Unit Price (calcul)]],"")</f>
        <v/>
      </c>
      <c r="BX174" s="351" t="str">
        <f>IFERROR(IF(Tableau1[[#This Row],[Montant Facturé 08/2018]]&gt;0,Tableau1[[#This Row],[Montant Facturé 08/2018]]/Taux_Change_SII,""),"")</f>
        <v/>
      </c>
      <c r="BY174" s="351"/>
      <c r="BZ174" s="83">
        <f>SUMPRODUCT(1*(EXACT(CONCATENATE(Tableau1[[#This Row],[PO Number (Header)]],"-",Tableau1[[#This Row],[Line]]),UO_List[Unique_AIB_ID]))*(UO_List[Qté Réception 09/2020]))</f>
        <v>0</v>
      </c>
      <c r="CA174" s="84">
        <v>0</v>
      </c>
      <c r="CB174" s="351"/>
      <c r="CC174" s="351" t="str">
        <f>IFERROR(Tableau1[[#This Row],[Qté Facturé 09/2018]]*Tableau1[[#This Row],[Unit Price (calcul)]],"")</f>
        <v/>
      </c>
      <c r="CD174" s="351" t="str">
        <f>IFERROR(IF(Tableau1[[#This Row],[Montant Facturé 09/2018]]&gt;0,Tableau1[[#This Row],[Montant Facturé 09/2018]]/Taux_Change_SII,""),"")</f>
        <v/>
      </c>
      <c r="CE174" s="351"/>
      <c r="CF174" s="83">
        <f>SUMPRODUCT(1*(EXACT(CONCATENATE(Tableau1[[#This Row],[PO Number (Header)]],"-",Tableau1[[#This Row],[Line]]),UO_List[Unique_AIB_ID]))*(UO_List[Qté Réception 10/2020]))</f>
        <v>0</v>
      </c>
      <c r="CG174" s="84"/>
      <c r="CH174" s="84"/>
      <c r="CI174" s="488" t="str">
        <f>IFERROR(Tableau1[[#This Row],[Qté Facturé 10/2018]]*Tableau1[[#This Row],[Unit Price (calcul)]],"")</f>
        <v/>
      </c>
      <c r="CJ174" s="351" t="str">
        <f>IFERROR(IF(Tableau1[[#This Row],[Montant Facturé 10/2018]]&gt;0,Tableau1[[#This Row],[Montant Facturé 10/2018]]/Taux_Change_SII,""),"")</f>
        <v/>
      </c>
      <c r="CK174" s="351"/>
      <c r="CL174" s="83">
        <f>SUMPRODUCT(1*(EXACT(CONCATENATE(Tableau1[[#This Row],[PO Number (Header)]],"-",Tableau1[[#This Row],[Line]]),UO_List[Unique_AIB_ID]))*(UO_List[Qté Réception 11/2020]))</f>
        <v>0</v>
      </c>
      <c r="CM174" s="84"/>
      <c r="CN174" s="351"/>
      <c r="CO174" s="351" t="str">
        <f>IFERROR(Tableau1[[#This Row],[Qté Facturé 11/2018]]*Tableau1[[#This Row],[Unit Price (calcul)]],"")</f>
        <v/>
      </c>
      <c r="CP174" s="351" t="str">
        <f>IFERROR(IF(Tableau1[[#This Row],[Montant Facturé 11/2018]]&gt;0,Tableau1[[#This Row],[Montant Facturé 11/2018]]/Taux_Change_SII,""),"")</f>
        <v/>
      </c>
      <c r="CQ174" s="351"/>
      <c r="CR174" s="83">
        <f>SUMPRODUCT(1*(EXACT(CONCATENATE(Tableau1[[#This Row],[PO Number (Header)]],"-",Tableau1[[#This Row],[Line]]),UO_List[Unique_AIB_ID]))*(UO_List[Qté Réception 12/2020]))</f>
        <v>0</v>
      </c>
      <c r="CS174" s="84"/>
      <c r="CT174" s="351"/>
      <c r="CU174" s="351" t="str">
        <f>IFERROR(Tableau1[[#This Row],[Qté Facturé 12/2018]]*Tableau1[[#This Row],[Unit Price (calcul)]],"")</f>
        <v/>
      </c>
      <c r="CV174" s="351" t="str">
        <f>IFERROR(IF(Tableau1[[#This Row],[Montant Facturé 12/2018]]&gt;0,Tableau1[[#This Row],[Montant Facturé 12/2018]]/Taux_Change_SII,""),"")</f>
        <v/>
      </c>
      <c r="CW174" s="351"/>
      <c r="CX17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4" s="352" t="str">
        <f>IFERROR(Tableau1[[#This Row],[Total item réceptionné]]*Tableau1[[#This Row],[Unit Price (calcul)]],"")</f>
        <v/>
      </c>
      <c r="DB174" s="352" t="str">
        <f>IFERROR(Tableau1[[#This Row],[Total item à Facturer]]*Tableau1[[#This Row],[Unit Price (calcul)]],"")</f>
        <v/>
      </c>
      <c r="DC17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4" s="352" t="str">
        <f>IFERROR(Tableau1[[#This Row],[Line Total]]-Tableau1[[#This Row],[Total Price Réceptionné]],"")</f>
        <v/>
      </c>
      <c r="DE174" s="352" t="str">
        <f>IFERROR(Tableau1[[#This Row],[Total Price Réceptionné]]-Tableau1[[#This Row],[Total Price A facturer]],"")</f>
        <v/>
      </c>
      <c r="DF174" s="353" t="str">
        <f>IFERROR(Tableau1[[#This Row],[Total Price A facturer]]-Tableau1[[#This Row],[Total Price Facturé]],"")</f>
        <v/>
      </c>
      <c r="DG174" s="76">
        <f>Tableau1[[#This Row],[Total Item Quantity]]-Tableau1[[#This Row],[Total item réceptionné]]</f>
        <v>0</v>
      </c>
      <c r="DH174" s="167"/>
      <c r="DI174" s="167"/>
    </row>
    <row r="175" spans="1:113" s="74" customFormat="1">
      <c r="A175" s="77" t="str">
        <f>CONCATENATE(Tableau1[[#This Row],[PO Number (Header)]],"-",Tableau1[[#This Row],[Line]])</f>
        <v>-</v>
      </c>
      <c r="B175" s="463"/>
      <c r="C175" s="464"/>
      <c r="D175" s="465"/>
      <c r="E175" s="464"/>
      <c r="F175" s="454"/>
      <c r="G175" s="464"/>
      <c r="H175" s="466"/>
      <c r="I175" s="466"/>
      <c r="J175" s="466"/>
      <c r="K175" s="467"/>
      <c r="L175" s="467"/>
      <c r="M175" s="466"/>
      <c r="N175" s="77"/>
      <c r="O175" s="77"/>
      <c r="P175" s="77"/>
      <c r="Q175" s="395"/>
      <c r="R175" s="395"/>
      <c r="S175" s="77"/>
      <c r="T175" s="77"/>
      <c r="U175" s="77"/>
      <c r="V175" s="77"/>
      <c r="W175" s="167"/>
      <c r="X175" s="167"/>
      <c r="Y175" s="167" t="str">
        <f>IF(ISBLANK(Tableau1[[#This Row],[PO Number (Header)]]),"",Tableau1[[#This Row],[Line Total]]/Tableau1[[#This Row],[Total Item Quantity]])</f>
        <v/>
      </c>
      <c r="Z175" s="167" t="str">
        <f>IF(ISNA(VLOOKUP(Tableau1[[#This Row],[Unique_AIB_ID]],UO_List[Unique_AIB_ID],1,FALSE)),IF(ISBLANK(Tableau1[[#This Row],[PO Number (Header)]]),"","FAUX"),"VRAI")</f>
        <v/>
      </c>
      <c r="AA175" s="167"/>
      <c r="AB175" s="162" t="e">
        <f>VLOOKUP(Tableau1[[#This Row],[Unique_AIB_ID]],UO_List[[Unique_AIB_ID]:[OLGA F6]],3,FALSE)</f>
        <v>#N/A</v>
      </c>
      <c r="AC175" s="162" t="s">
        <v>813</v>
      </c>
      <c r="AD175" s="83">
        <f>SUMPRODUCT(1*(EXACT(CONCATENATE(Tableau1[[#This Row],[PO Number (Header)]],"-",Tableau1[[#This Row],[Line]]),UO_List[Unique_AIB_ID]))*(UO_List[Qté Réception 03/2020]))</f>
        <v>0</v>
      </c>
      <c r="AE175" s="84"/>
      <c r="AF175" s="357"/>
      <c r="AG175" s="351" t="str">
        <f>IFERROR(Tableau1[[#This Row],[Qté Facturé 01/2018]]*Tableau1[[#This Row],[Unit Price (calcul)]],"")</f>
        <v/>
      </c>
      <c r="AH175" s="356" t="str">
        <f>IFERROR(IF(Tableau1[[#This Row],[Montant Facturé 01/2018]]&gt;0,Tableau1[[#This Row],[Montant Facturé 01/2018]]/Taux_Change_SII,""),"")</f>
        <v/>
      </c>
      <c r="AI175" s="351"/>
      <c r="AJ175" s="83">
        <f>SUMPRODUCT(1*(EXACT(CONCATENATE(Tableau1[[#This Row],[PO Number (Header)]],"-",Tableau1[[#This Row],[Line]]),UO_List[Unique_AIB_ID]))*(UO_List[Qté Réception 02/2020]))</f>
        <v>0</v>
      </c>
      <c r="AK175" s="83">
        <f>SUMPRODUCT(1*(EXACT(CONCATENATE(Tableau1[[#This Row],[PO Number (Header)]],"-",Tableau1[[#This Row],[Line]]),UO_List[Unique_AIB_ID]))*(UO_List[Qté Réception 02/2020]))</f>
        <v>0</v>
      </c>
      <c r="AL175" s="357"/>
      <c r="AM175" s="351" t="str">
        <f>IFERROR(Tableau1[[#This Row],[Qté Facturé 02/2018]]*Tableau1[[#This Row],[Unit Price (calcul)]],"")</f>
        <v/>
      </c>
      <c r="AN175" s="351" t="str">
        <f>IFERROR(IF(Tableau1[[#This Row],[Montant Facturé 02/2018]]&gt;0,Tableau1[[#This Row],[Montant Facturé 02/2018]]/Taux_Change_SII,""),"")</f>
        <v/>
      </c>
      <c r="AO175" s="351"/>
      <c r="AP175" s="83">
        <f>SUMPRODUCT(1*(EXACT(CONCATENATE(Tableau1[[#This Row],[PO Number (Header)]],"-",Tableau1[[#This Row],[Line]]),UO_List[Unique_AIB_ID]))*(UO_List[Qté Réception 00/2020]))</f>
        <v>0</v>
      </c>
      <c r="AQ175" s="84">
        <v>0</v>
      </c>
      <c r="AR175" s="357"/>
      <c r="AS175" s="351" t="str">
        <f>IFERROR(Tableau1[[#This Row],[Qté Facturé 03/2018]]*Tableau1[[#This Row],[Unit Price (calcul)]],"")</f>
        <v/>
      </c>
      <c r="AT175" s="351" t="str">
        <f>IFERROR(IF(Tableau1[[#This Row],[Montant Facturé 03/2018]]&gt;0,Tableau1[[#This Row],[Montant Facturé 03/2018]]/Taux_Change_SII,""),"")</f>
        <v/>
      </c>
      <c r="AU175" s="351"/>
      <c r="AV175" s="83">
        <f>SUMPRODUCT(1*(EXACT(CONCATENATE(Tableau1[[#This Row],[PO Number (Header)]],"-",Tableau1[[#This Row],[Line]]),UO_List[Unique_AIB_ID]))*(UO_List[Qté Réception 04/2020]))</f>
        <v>0</v>
      </c>
      <c r="AW175" s="84">
        <v>0</v>
      </c>
      <c r="AX175" s="351"/>
      <c r="AY175" s="351" t="str">
        <f>IFERROR(Tableau1[[#This Row],[Qté Facturé 04/2018]]*Tableau1[[#This Row],[Unit Price (calcul)]],"")</f>
        <v/>
      </c>
      <c r="AZ175" s="351" t="str">
        <f>IFERROR(IF(Tableau1[[#This Row],[Montant Facturé 04/2018]]&gt;0,Tableau1[[#This Row],[Montant Facturé 04/2018]]/Taux_Change_SII,""),"")</f>
        <v/>
      </c>
      <c r="BA175" s="351"/>
      <c r="BB175" s="83">
        <f>SUMPRODUCT(1*(EXACT(CONCATENATE(Tableau1[[#This Row],[PO Number (Header)]],"-",Tableau1[[#This Row],[Line]]),UO_List[Unique_AIB_ID]))*(UO_List[Qté Réception 05/2020]))</f>
        <v>0</v>
      </c>
      <c r="BC175" s="84"/>
      <c r="BD175" s="351"/>
      <c r="BE175" s="351" t="str">
        <f>IFERROR(Tableau1[[#This Row],[Qté Facturé 05/2018]]*Tableau1[[#This Row],[Unit Price (calcul)]],"")</f>
        <v/>
      </c>
      <c r="BF175" s="351" t="str">
        <f>IFERROR(IF(Tableau1[[#This Row],[Montant Facturé 05/2018]]&gt;0,Tableau1[[#This Row],[Montant Facturé 05/2018]]/Taux_Change_SII,""),"")</f>
        <v/>
      </c>
      <c r="BG175" s="351"/>
      <c r="BH175" s="83">
        <f>SUMPRODUCT(1*(EXACT(CONCATENATE(Tableau1[[#This Row],[PO Number (Header)]],"-",Tableau1[[#This Row],[Line]]),UO_List[Unique_AIB_ID]))*(UO_List[Qté Réception 06/2020]))</f>
        <v>0</v>
      </c>
      <c r="BI175" s="84"/>
      <c r="BJ175" s="351"/>
      <c r="BK175" s="351" t="str">
        <f>IFERROR(Tableau1[[#This Row],[Qté Facturé 06/2018]]*Tableau1[[#This Row],[Unit Price (calcul)]],"")</f>
        <v/>
      </c>
      <c r="BL175" s="351" t="str">
        <f>IFERROR(IF(Tableau1[[#This Row],[Montant Facturé 06/2018]]&gt;0,Tableau1[[#This Row],[Montant Facturé 06/2018]]/Taux_Change_SII,""),"")</f>
        <v/>
      </c>
      <c r="BM175" s="351"/>
      <c r="BN175" s="83">
        <f>SUMPRODUCT(1*(EXACT(CONCATENATE(Tableau1[[#This Row],[PO Number (Header)]],"-",Tableau1[[#This Row],[Line]]),UO_List[Unique_AIB_ID]))*(UO_List[Qté Réception 07/2020]))</f>
        <v>0</v>
      </c>
      <c r="BO175" s="84">
        <v>0</v>
      </c>
      <c r="BP175" s="351"/>
      <c r="BQ175" s="351" t="str">
        <f>IFERROR(Tableau1[[#This Row],[Qté Facturé 07/2018]]*Tableau1[[#This Row],[Unit Price (calcul)]],"")</f>
        <v/>
      </c>
      <c r="BR175" s="351" t="str">
        <f>IFERROR(IF(Tableau1[[#This Row],[Montant Facturé 07/2018]]&gt;0,Tableau1[[#This Row],[Montant Facturé 07/2018]]/Taux_Change_SII,""),"")</f>
        <v/>
      </c>
      <c r="BS175" s="351"/>
      <c r="BT175" s="83">
        <f>SUMPRODUCT(1*(EXACT(CONCATENATE(Tableau1[[#This Row],[PO Number (Header)]],"-",Tableau1[[#This Row],[Line]]),UO_List[Unique_AIB_ID]))*(UO_List[Qté Réception 08/2020]))</f>
        <v>0</v>
      </c>
      <c r="BU175" s="84"/>
      <c r="BV175" s="351"/>
      <c r="BW175" s="351" t="str">
        <f>IFERROR(Tableau1[[#This Row],[Qté Facturé 08/2018]]*Tableau1[[#This Row],[Unit Price (calcul)]],"")</f>
        <v/>
      </c>
      <c r="BX175" s="351" t="str">
        <f>IFERROR(IF(Tableau1[[#This Row],[Montant Facturé 08/2018]]&gt;0,Tableau1[[#This Row],[Montant Facturé 08/2018]]/Taux_Change_SII,""),"")</f>
        <v/>
      </c>
      <c r="BY175" s="351"/>
      <c r="BZ175" s="83">
        <f>SUMPRODUCT(1*(EXACT(CONCATENATE(Tableau1[[#This Row],[PO Number (Header)]],"-",Tableau1[[#This Row],[Line]]),UO_List[Unique_AIB_ID]))*(UO_List[Qté Réception 09/2020]))</f>
        <v>0</v>
      </c>
      <c r="CA175" s="84">
        <v>0</v>
      </c>
      <c r="CB175" s="351"/>
      <c r="CC175" s="351" t="str">
        <f>IFERROR(Tableau1[[#This Row],[Qté Facturé 09/2018]]*Tableau1[[#This Row],[Unit Price (calcul)]],"")</f>
        <v/>
      </c>
      <c r="CD175" s="351" t="str">
        <f>IFERROR(IF(Tableau1[[#This Row],[Montant Facturé 09/2018]]&gt;0,Tableau1[[#This Row],[Montant Facturé 09/2018]]/Taux_Change_SII,""),"")</f>
        <v/>
      </c>
      <c r="CE175" s="351"/>
      <c r="CF175" s="83">
        <f>SUMPRODUCT(1*(EXACT(CONCATENATE(Tableau1[[#This Row],[PO Number (Header)]],"-",Tableau1[[#This Row],[Line]]),UO_List[Unique_AIB_ID]))*(UO_List[Qté Réception 10/2020]))</f>
        <v>0</v>
      </c>
      <c r="CG175" s="84">
        <v>0</v>
      </c>
      <c r="CH175" s="351"/>
      <c r="CI175" s="351" t="str">
        <f>IFERROR(Tableau1[[#This Row],[Qté Facturé 10/2018]]*Tableau1[[#This Row],[Unit Price (calcul)]],"")</f>
        <v/>
      </c>
      <c r="CJ175" s="351" t="str">
        <f>IFERROR(IF(Tableau1[[#This Row],[Montant Facturé 10/2018]]&gt;0,Tableau1[[#This Row],[Montant Facturé 10/2018]]/Taux_Change_SII,""),"")</f>
        <v/>
      </c>
      <c r="CK175" s="351"/>
      <c r="CL175" s="83">
        <f>SUMPRODUCT(1*(EXACT(CONCATENATE(Tableau1[[#This Row],[PO Number (Header)]],"-",Tableau1[[#This Row],[Line]]),UO_List[Unique_AIB_ID]))*(UO_List[Qté Réception 11/2020]))</f>
        <v>0</v>
      </c>
      <c r="CM175" s="84"/>
      <c r="CN175" s="351"/>
      <c r="CO175" s="351" t="str">
        <f>IFERROR(Tableau1[[#This Row],[Qté Facturé 11/2018]]*Tableau1[[#This Row],[Unit Price (calcul)]],"")</f>
        <v/>
      </c>
      <c r="CP175" s="351" t="str">
        <f>IFERROR(IF(Tableau1[[#This Row],[Montant Facturé 11/2018]]&gt;0,Tableau1[[#This Row],[Montant Facturé 11/2018]]/Taux_Change_SII,""),"")</f>
        <v/>
      </c>
      <c r="CQ175" s="351"/>
      <c r="CR175" s="83">
        <f>SUMPRODUCT(1*(EXACT(CONCATENATE(Tableau1[[#This Row],[PO Number (Header)]],"-",Tableau1[[#This Row],[Line]]),UO_List[Unique_AIB_ID]))*(UO_List[Qté Réception 12/2020]))</f>
        <v>0</v>
      </c>
      <c r="CS175" s="84"/>
      <c r="CT175" s="351"/>
      <c r="CU175" s="351" t="str">
        <f>IFERROR(Tableau1[[#This Row],[Qté Facturé 12/2018]]*Tableau1[[#This Row],[Unit Price (calcul)]],"")</f>
        <v/>
      </c>
      <c r="CV175" s="351" t="str">
        <f>IFERROR(IF(Tableau1[[#This Row],[Montant Facturé 12/2018]]&gt;0,Tableau1[[#This Row],[Montant Facturé 12/2018]]/Taux_Change_SII,""),"")</f>
        <v/>
      </c>
      <c r="CW175" s="351"/>
      <c r="CX17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5" s="352" t="str">
        <f>IFERROR(Tableau1[[#This Row],[Total item réceptionné]]*Tableau1[[#This Row],[Unit Price (calcul)]],"")</f>
        <v/>
      </c>
      <c r="DB175" s="352" t="str">
        <f>IFERROR(Tableau1[[#This Row],[Total item à Facturer]]*Tableau1[[#This Row],[Unit Price (calcul)]],"")</f>
        <v/>
      </c>
      <c r="DC17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5" s="352" t="str">
        <f>IFERROR(Tableau1[[#This Row],[Line Total]]-Tableau1[[#This Row],[Total Price Réceptionné]],"")</f>
        <v/>
      </c>
      <c r="DE175" s="352" t="str">
        <f>IFERROR(Tableau1[[#This Row],[Total Price Réceptionné]]-Tableau1[[#This Row],[Total Price A facturer]],"")</f>
        <v/>
      </c>
      <c r="DF175" s="353" t="str">
        <f>IFERROR(Tableau1[[#This Row],[Total Price A facturer]]-Tableau1[[#This Row],[Total Price Facturé]],"")</f>
        <v/>
      </c>
      <c r="DG175" s="76">
        <f>Tableau1[[#This Row],[Total Item Quantity]]-Tableau1[[#This Row],[Total item réceptionné]]</f>
        <v>0</v>
      </c>
      <c r="DH175" s="167"/>
      <c r="DI175" s="167"/>
    </row>
    <row r="176" spans="1:113" s="74" customFormat="1">
      <c r="A176" s="77" t="str">
        <f>CONCATENATE(Tableau1[[#This Row],[PO Number (Header)]],"-",Tableau1[[#This Row],[Line]])</f>
        <v>-</v>
      </c>
      <c r="B176" s="397"/>
      <c r="D176" s="397"/>
      <c r="F176" s="454"/>
      <c r="N176" s="77"/>
      <c r="O176" s="77"/>
      <c r="P176" s="77"/>
      <c r="Q176" s="395"/>
      <c r="R176" s="395"/>
      <c r="S176" s="77"/>
      <c r="T176" s="77"/>
      <c r="U176" s="77"/>
      <c r="V176" s="77"/>
      <c r="W176" s="167"/>
      <c r="X176" s="167"/>
      <c r="Y176" s="167" t="str">
        <f>IF(ISBLANK(Tableau1[[#This Row],[PO Number (Header)]]),"",Tableau1[[#This Row],[Line Total]]/Tableau1[[#This Row],[Total Item Quantity]])</f>
        <v/>
      </c>
      <c r="Z176" s="167" t="str">
        <f>IF(ISNA(VLOOKUP(Tableau1[[#This Row],[Unique_AIB_ID]],UO_List[Unique_AIB_ID],1,FALSE)),IF(ISBLANK(Tableau1[[#This Row],[PO Number (Header)]]),"","FAUX"),"VRAI")</f>
        <v/>
      </c>
      <c r="AA176" s="167"/>
      <c r="AB176" s="162" t="e">
        <f>VLOOKUP(Tableau1[[#This Row],[Unique_AIB_ID]],UO_List[[Unique_AIB_ID]:[OLGA F6]],3,FALSE)</f>
        <v>#N/A</v>
      </c>
      <c r="AC176" s="162" t="s">
        <v>813</v>
      </c>
      <c r="AD176" s="83">
        <f>SUMPRODUCT(1*(EXACT(CONCATENATE(Tableau1[[#This Row],[PO Number (Header)]],"-",Tableau1[[#This Row],[Line]]),UO_List[Unique_AIB_ID]))*(UO_List[Qté Réception 03/2020]))</f>
        <v>0</v>
      </c>
      <c r="AE176" s="84"/>
      <c r="AF176" s="357"/>
      <c r="AG176" s="351" t="str">
        <f>IFERROR(Tableau1[[#This Row],[Qté Facturé 01/2018]]*Tableau1[[#This Row],[Unit Price (calcul)]],"")</f>
        <v/>
      </c>
      <c r="AH176" s="356" t="str">
        <f>IFERROR(IF(Tableau1[[#This Row],[Montant Facturé 01/2018]]&gt;0,Tableau1[[#This Row],[Montant Facturé 01/2018]]/Taux_Change_SII,""),"")</f>
        <v/>
      </c>
      <c r="AI176" s="351"/>
      <c r="AJ176" s="83">
        <f>SUMPRODUCT(1*(EXACT(CONCATENATE(Tableau1[[#This Row],[PO Number (Header)]],"-",Tableau1[[#This Row],[Line]]),UO_List[Unique_AIB_ID]))*(UO_List[Qté Réception 02/2020]))</f>
        <v>0</v>
      </c>
      <c r="AK176" s="83">
        <f>SUMPRODUCT(1*(EXACT(CONCATENATE(Tableau1[[#This Row],[PO Number (Header)]],"-",Tableau1[[#This Row],[Line]]),UO_List[Unique_AIB_ID]))*(UO_List[Qté Réception 02/2020]))</f>
        <v>0</v>
      </c>
      <c r="AL176" s="357"/>
      <c r="AM176" s="351" t="str">
        <f>IFERROR(Tableau1[[#This Row],[Qté Facturé 02/2018]]*Tableau1[[#This Row],[Unit Price (calcul)]],"")</f>
        <v/>
      </c>
      <c r="AN176" s="351" t="str">
        <f>IFERROR(IF(Tableau1[[#This Row],[Montant Facturé 02/2018]]&gt;0,Tableau1[[#This Row],[Montant Facturé 02/2018]]/Taux_Change_SII,""),"")</f>
        <v/>
      </c>
      <c r="AO176" s="351"/>
      <c r="AP176" s="83">
        <f>SUMPRODUCT(1*(EXACT(CONCATENATE(Tableau1[[#This Row],[PO Number (Header)]],"-",Tableau1[[#This Row],[Line]]),UO_List[Unique_AIB_ID]))*(UO_List[Qté Réception 00/2020]))</f>
        <v>0</v>
      </c>
      <c r="AQ176" s="84">
        <v>0</v>
      </c>
      <c r="AR176" s="357"/>
      <c r="AS176" s="351" t="str">
        <f>IFERROR(Tableau1[[#This Row],[Qté Facturé 03/2018]]*Tableau1[[#This Row],[Unit Price (calcul)]],"")</f>
        <v/>
      </c>
      <c r="AT176" s="351" t="str">
        <f>IFERROR(IF(Tableau1[[#This Row],[Montant Facturé 03/2018]]&gt;0,Tableau1[[#This Row],[Montant Facturé 03/2018]]/Taux_Change_SII,""),"")</f>
        <v/>
      </c>
      <c r="AU176" s="351"/>
      <c r="AV176" s="83">
        <f>SUMPRODUCT(1*(EXACT(CONCATENATE(Tableau1[[#This Row],[PO Number (Header)]],"-",Tableau1[[#This Row],[Line]]),UO_List[Unique_AIB_ID]))*(UO_List[Qté Réception 04/2020]))</f>
        <v>0</v>
      </c>
      <c r="AW176" s="84">
        <v>0</v>
      </c>
      <c r="AX176" s="351"/>
      <c r="AY176" s="351" t="str">
        <f>IFERROR(Tableau1[[#This Row],[Qté Facturé 04/2018]]*Tableau1[[#This Row],[Unit Price (calcul)]],"")</f>
        <v/>
      </c>
      <c r="AZ176" s="351" t="str">
        <f>IFERROR(IF(Tableau1[[#This Row],[Montant Facturé 04/2018]]&gt;0,Tableau1[[#This Row],[Montant Facturé 04/2018]]/Taux_Change_SII,""),"")</f>
        <v/>
      </c>
      <c r="BA176" s="351"/>
      <c r="BB176" s="83">
        <f>SUMPRODUCT(1*(EXACT(CONCATENATE(Tableau1[[#This Row],[PO Number (Header)]],"-",Tableau1[[#This Row],[Line]]),UO_List[Unique_AIB_ID]))*(UO_List[Qté Réception 05/2020]))</f>
        <v>0</v>
      </c>
      <c r="BC176" s="84"/>
      <c r="BD176" s="351"/>
      <c r="BE176" s="351" t="str">
        <f>IFERROR(Tableau1[[#This Row],[Qté Facturé 05/2018]]*Tableau1[[#This Row],[Unit Price (calcul)]],"")</f>
        <v/>
      </c>
      <c r="BF176" s="351" t="str">
        <f>IFERROR(IF(Tableau1[[#This Row],[Montant Facturé 05/2018]]&gt;0,Tableau1[[#This Row],[Montant Facturé 05/2018]]/Taux_Change_SII,""),"")</f>
        <v/>
      </c>
      <c r="BG176" s="351"/>
      <c r="BH176" s="83">
        <f>SUMPRODUCT(1*(EXACT(CONCATENATE(Tableau1[[#This Row],[PO Number (Header)]],"-",Tableau1[[#This Row],[Line]]),UO_List[Unique_AIB_ID]))*(UO_List[Qté Réception 06/2020]))</f>
        <v>0</v>
      </c>
      <c r="BI176" s="84"/>
      <c r="BJ176" s="351"/>
      <c r="BK176" s="351" t="str">
        <f>IFERROR(Tableau1[[#This Row],[Qté Facturé 06/2018]]*Tableau1[[#This Row],[Unit Price (calcul)]],"")</f>
        <v/>
      </c>
      <c r="BL176" s="351" t="str">
        <f>IFERROR(IF(Tableau1[[#This Row],[Montant Facturé 06/2018]]&gt;0,Tableau1[[#This Row],[Montant Facturé 06/2018]]/Taux_Change_SII,""),"")</f>
        <v/>
      </c>
      <c r="BM176" s="351"/>
      <c r="BN176" s="83">
        <f>SUMPRODUCT(1*(EXACT(CONCATENATE(Tableau1[[#This Row],[PO Number (Header)]],"-",Tableau1[[#This Row],[Line]]),UO_List[Unique_AIB_ID]))*(UO_List[Qté Réception 07/2020]))</f>
        <v>0</v>
      </c>
      <c r="BO176" s="84">
        <v>0</v>
      </c>
      <c r="BP176" s="351"/>
      <c r="BQ176" s="351" t="str">
        <f>IFERROR(Tableau1[[#This Row],[Qté Facturé 07/2018]]*Tableau1[[#This Row],[Unit Price (calcul)]],"")</f>
        <v/>
      </c>
      <c r="BR176" s="351" t="str">
        <f>IFERROR(IF(Tableau1[[#This Row],[Montant Facturé 07/2018]]&gt;0,Tableau1[[#This Row],[Montant Facturé 07/2018]]/Taux_Change_SII,""),"")</f>
        <v/>
      </c>
      <c r="BS176" s="351"/>
      <c r="BT176" s="83">
        <f>SUMPRODUCT(1*(EXACT(CONCATENATE(Tableau1[[#This Row],[PO Number (Header)]],"-",Tableau1[[#This Row],[Line]]),UO_List[Unique_AIB_ID]))*(UO_List[Qté Réception 08/2020]))</f>
        <v>0</v>
      </c>
      <c r="BU176" s="84"/>
      <c r="BV176" s="351"/>
      <c r="BW176" s="351" t="str">
        <f>IFERROR(Tableau1[[#This Row],[Qté Facturé 08/2018]]*Tableau1[[#This Row],[Unit Price (calcul)]],"")</f>
        <v/>
      </c>
      <c r="BX176" s="351" t="str">
        <f>IFERROR(IF(Tableau1[[#This Row],[Montant Facturé 08/2018]]&gt;0,Tableau1[[#This Row],[Montant Facturé 08/2018]]/Taux_Change_SII,""),"")</f>
        <v/>
      </c>
      <c r="BY176" s="351"/>
      <c r="BZ176" s="83">
        <f>SUMPRODUCT(1*(EXACT(CONCATENATE(Tableau1[[#This Row],[PO Number (Header)]],"-",Tableau1[[#This Row],[Line]]),UO_List[Unique_AIB_ID]))*(UO_List[Qté Réception 09/2020]))</f>
        <v>0</v>
      </c>
      <c r="CA176" s="84">
        <v>0</v>
      </c>
      <c r="CB176" s="351"/>
      <c r="CC176" s="351" t="str">
        <f>IFERROR(Tableau1[[#This Row],[Qté Facturé 09/2018]]*Tableau1[[#This Row],[Unit Price (calcul)]],"")</f>
        <v/>
      </c>
      <c r="CD176" s="351" t="str">
        <f>IFERROR(IF(Tableau1[[#This Row],[Montant Facturé 09/2018]]&gt;0,Tableau1[[#This Row],[Montant Facturé 09/2018]]/Taux_Change_SII,""),"")</f>
        <v/>
      </c>
      <c r="CE176" s="351"/>
      <c r="CF176" s="83">
        <f>SUMPRODUCT(1*(EXACT(CONCATENATE(Tableau1[[#This Row],[PO Number (Header)]],"-",Tableau1[[#This Row],[Line]]),UO_List[Unique_AIB_ID]))*(UO_List[Qté Réception 10/2020]))</f>
        <v>0</v>
      </c>
      <c r="CG176" s="84">
        <v>0</v>
      </c>
      <c r="CH176" s="351"/>
      <c r="CI176" s="351" t="str">
        <f>IFERROR(Tableau1[[#This Row],[Qté Facturé 10/2018]]*Tableau1[[#This Row],[Unit Price (calcul)]],"")</f>
        <v/>
      </c>
      <c r="CJ176" s="351" t="str">
        <f>IFERROR(IF(Tableau1[[#This Row],[Montant Facturé 10/2018]]&gt;0,Tableau1[[#This Row],[Montant Facturé 10/2018]]/Taux_Change_SII,""),"")</f>
        <v/>
      </c>
      <c r="CK176" s="351"/>
      <c r="CL176" s="83">
        <f>SUMPRODUCT(1*(EXACT(CONCATENATE(Tableau1[[#This Row],[PO Number (Header)]],"-",Tableau1[[#This Row],[Line]]),UO_List[Unique_AIB_ID]))*(UO_List[Qté Réception 11/2020]))</f>
        <v>0</v>
      </c>
      <c r="CM176" s="84"/>
      <c r="CN176" s="351"/>
      <c r="CO176" s="351" t="str">
        <f>IFERROR(Tableau1[[#This Row],[Qté Facturé 11/2018]]*Tableau1[[#This Row],[Unit Price (calcul)]],"")</f>
        <v/>
      </c>
      <c r="CP176" s="351" t="str">
        <f>IFERROR(IF(Tableau1[[#This Row],[Montant Facturé 11/2018]]&gt;0,Tableau1[[#This Row],[Montant Facturé 11/2018]]/Taux_Change_SII,""),"")</f>
        <v/>
      </c>
      <c r="CQ176" s="351"/>
      <c r="CR176" s="83">
        <f>SUMPRODUCT(1*(EXACT(CONCATENATE(Tableau1[[#This Row],[PO Number (Header)]],"-",Tableau1[[#This Row],[Line]]),UO_List[Unique_AIB_ID]))*(UO_List[Qté Réception 12/2020]))</f>
        <v>0</v>
      </c>
      <c r="CS176" s="84"/>
      <c r="CT176" s="351"/>
      <c r="CU176" s="351" t="str">
        <f>IFERROR(Tableau1[[#This Row],[Qté Facturé 12/2018]]*Tableau1[[#This Row],[Unit Price (calcul)]],"")</f>
        <v/>
      </c>
      <c r="CV176" s="351" t="str">
        <f>IFERROR(IF(Tableau1[[#This Row],[Montant Facturé 12/2018]]&gt;0,Tableau1[[#This Row],[Montant Facturé 12/2018]]/Taux_Change_SII,""),"")</f>
        <v/>
      </c>
      <c r="CW176" s="351"/>
      <c r="CX17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6" s="352" t="str">
        <f>IFERROR(Tableau1[[#This Row],[Total item réceptionné]]*Tableau1[[#This Row],[Unit Price (calcul)]],"")</f>
        <v/>
      </c>
      <c r="DB176" s="352" t="str">
        <f>IFERROR(Tableau1[[#This Row],[Total item à Facturer]]*Tableau1[[#This Row],[Unit Price (calcul)]],"")</f>
        <v/>
      </c>
      <c r="DC17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6" s="352" t="str">
        <f>IFERROR(Tableau1[[#This Row],[Line Total]]-Tableau1[[#This Row],[Total Price Réceptionné]],"")</f>
        <v/>
      </c>
      <c r="DE176" s="352" t="str">
        <f>IFERROR(Tableau1[[#This Row],[Total Price Réceptionné]]-Tableau1[[#This Row],[Total Price A facturer]],"")</f>
        <v/>
      </c>
      <c r="DF176" s="353" t="str">
        <f>IFERROR(Tableau1[[#This Row],[Total Price A facturer]]-Tableau1[[#This Row],[Total Price Facturé]],"")</f>
        <v/>
      </c>
      <c r="DG176" s="76">
        <f>Tableau1[[#This Row],[Total Item Quantity]]-Tableau1[[#This Row],[Total item réceptionné]]</f>
        <v>0</v>
      </c>
      <c r="DH176" s="167"/>
      <c r="DI176" s="167"/>
    </row>
    <row r="177" spans="1:113" s="74" customFormat="1">
      <c r="A177" s="77" t="str">
        <f>CONCATENATE(Tableau1[[#This Row],[PO Number (Header)]],"-",Tableau1[[#This Row],[Line]])</f>
        <v>-</v>
      </c>
      <c r="B177" s="77"/>
      <c r="C177" s="77"/>
      <c r="D177" s="77"/>
      <c r="E177" s="77"/>
      <c r="F177" s="454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395"/>
      <c r="R177" s="395"/>
      <c r="S177" s="77"/>
      <c r="T177" s="77"/>
      <c r="U177" s="77"/>
      <c r="V177" s="77"/>
      <c r="W177" s="167"/>
      <c r="X177" s="167"/>
      <c r="Y177" s="167" t="str">
        <f>IF(ISBLANK(Tableau1[[#This Row],[PO Number (Header)]]),"",Tableau1[[#This Row],[Line Total]]/Tableau1[[#This Row],[Total Item Quantity]])</f>
        <v/>
      </c>
      <c r="Z177" s="167" t="str">
        <f>IF(ISNA(VLOOKUP(Tableau1[[#This Row],[Unique_AIB_ID]],UO_List[Unique_AIB_ID],1,FALSE)),IF(ISBLANK(Tableau1[[#This Row],[PO Number (Header)]]),"","FAUX"),"VRAI")</f>
        <v/>
      </c>
      <c r="AA177" s="167"/>
      <c r="AB177" s="162" t="e">
        <f>VLOOKUP(Tableau1[[#This Row],[Unique_AIB_ID]],UO_List[[Unique_AIB_ID]:[OLGA F6]],3,FALSE)</f>
        <v>#N/A</v>
      </c>
      <c r="AC177" s="162" t="s">
        <v>825</v>
      </c>
      <c r="AD177" s="83">
        <f>SUMPRODUCT(1*(EXACT(CONCATENATE(Tableau1[[#This Row],[PO Number (Header)]],"-",Tableau1[[#This Row],[Line]]),UO_List[Unique_AIB_ID]))*(UO_List[Qté Réception 03/2020]))</f>
        <v>0</v>
      </c>
      <c r="AE177" s="84"/>
      <c r="AF177" s="357"/>
      <c r="AG177" s="351" t="str">
        <f>IFERROR(Tableau1[[#This Row],[Qté Facturé 01/2018]]*Tableau1[[#This Row],[Unit Price (calcul)]],"")</f>
        <v/>
      </c>
      <c r="AH177" s="356" t="str">
        <f>IFERROR(IF(Tableau1[[#This Row],[Montant Facturé 01/2018]]&gt;0,Tableau1[[#This Row],[Montant Facturé 01/2018]]/Taux_Change_SII,""),"")</f>
        <v/>
      </c>
      <c r="AI177" s="351"/>
      <c r="AJ177" s="83">
        <f>SUMPRODUCT(1*(EXACT(CONCATENATE(Tableau1[[#This Row],[PO Number (Header)]],"-",Tableau1[[#This Row],[Line]]),UO_List[Unique_AIB_ID]))*(UO_List[Qté Réception 02/2020]))</f>
        <v>0</v>
      </c>
      <c r="AK177" s="83">
        <f>SUMPRODUCT(1*(EXACT(CONCATENATE(Tableau1[[#This Row],[PO Number (Header)]],"-",Tableau1[[#This Row],[Line]]),UO_List[Unique_AIB_ID]))*(UO_List[Qté Réception 02/2020]))</f>
        <v>0</v>
      </c>
      <c r="AL177" s="357"/>
      <c r="AM177" s="351" t="str">
        <f>IFERROR(Tableau1[[#This Row],[Qté Facturé 02/2018]]*Tableau1[[#This Row],[Unit Price (calcul)]],"")</f>
        <v/>
      </c>
      <c r="AN177" s="351" t="str">
        <f>IFERROR(IF(Tableau1[[#This Row],[Montant Facturé 02/2018]]&gt;0,Tableau1[[#This Row],[Montant Facturé 02/2018]]/Taux_Change_SII,""),"")</f>
        <v/>
      </c>
      <c r="AO177" s="351"/>
      <c r="AP177" s="83">
        <f>SUMPRODUCT(1*(EXACT(CONCATENATE(Tableau1[[#This Row],[PO Number (Header)]],"-",Tableau1[[#This Row],[Line]]),UO_List[Unique_AIB_ID]))*(UO_List[Qté Réception 00/2020]))</f>
        <v>0</v>
      </c>
      <c r="AQ177" s="84">
        <v>0</v>
      </c>
      <c r="AR177" s="357"/>
      <c r="AS177" s="351" t="str">
        <f>IFERROR(Tableau1[[#This Row],[Qté Facturé 03/2018]]*Tableau1[[#This Row],[Unit Price (calcul)]],"")</f>
        <v/>
      </c>
      <c r="AT177" s="351" t="str">
        <f>IFERROR(IF(Tableau1[[#This Row],[Montant Facturé 03/2018]]&gt;0,Tableau1[[#This Row],[Montant Facturé 03/2018]]/Taux_Change_SII,""),"")</f>
        <v/>
      </c>
      <c r="AU177" s="351"/>
      <c r="AV177" s="83">
        <f>SUMPRODUCT(1*(EXACT(CONCATENATE(Tableau1[[#This Row],[PO Number (Header)]],"-",Tableau1[[#This Row],[Line]]),UO_List[Unique_AIB_ID]))*(UO_List[Qté Réception 04/2020]))</f>
        <v>0</v>
      </c>
      <c r="AW177" s="84">
        <v>0</v>
      </c>
      <c r="AX177" s="351"/>
      <c r="AY177" s="351" t="str">
        <f>IFERROR(Tableau1[[#This Row],[Qté Facturé 04/2018]]*Tableau1[[#This Row],[Unit Price (calcul)]],"")</f>
        <v/>
      </c>
      <c r="AZ177" s="351" t="str">
        <f>IFERROR(IF(Tableau1[[#This Row],[Montant Facturé 04/2018]]&gt;0,Tableau1[[#This Row],[Montant Facturé 04/2018]]/Taux_Change_SII,""),"")</f>
        <v/>
      </c>
      <c r="BA177" s="351"/>
      <c r="BB177" s="83">
        <f>SUMPRODUCT(1*(EXACT(CONCATENATE(Tableau1[[#This Row],[PO Number (Header)]],"-",Tableau1[[#This Row],[Line]]),UO_List[Unique_AIB_ID]))*(UO_List[Qté Réception 05/2020]))</f>
        <v>0</v>
      </c>
      <c r="BC177" s="84"/>
      <c r="BD177" s="351"/>
      <c r="BE177" s="351" t="str">
        <f>IFERROR(Tableau1[[#This Row],[Qté Facturé 05/2018]]*Tableau1[[#This Row],[Unit Price (calcul)]],"")</f>
        <v/>
      </c>
      <c r="BF177" s="351" t="str">
        <f>IFERROR(IF(Tableau1[[#This Row],[Montant Facturé 05/2018]]&gt;0,Tableau1[[#This Row],[Montant Facturé 05/2018]]/Taux_Change_SII,""),"")</f>
        <v/>
      </c>
      <c r="BG177" s="351"/>
      <c r="BH177" s="83">
        <f>SUMPRODUCT(1*(EXACT(CONCATENATE(Tableau1[[#This Row],[PO Number (Header)]],"-",Tableau1[[#This Row],[Line]]),UO_List[Unique_AIB_ID]))*(UO_List[Qté Réception 06/2020]))</f>
        <v>0</v>
      </c>
      <c r="BI177" s="84"/>
      <c r="BJ177" s="351"/>
      <c r="BK177" s="351" t="str">
        <f>IFERROR(Tableau1[[#This Row],[Qté Facturé 06/2018]]*Tableau1[[#This Row],[Unit Price (calcul)]],"")</f>
        <v/>
      </c>
      <c r="BL177" s="351" t="str">
        <f>IFERROR(IF(Tableau1[[#This Row],[Montant Facturé 06/2018]]&gt;0,Tableau1[[#This Row],[Montant Facturé 06/2018]]/Taux_Change_SII,""),"")</f>
        <v/>
      </c>
      <c r="BM177" s="351"/>
      <c r="BN177" s="83">
        <f>SUMPRODUCT(1*(EXACT(CONCATENATE(Tableau1[[#This Row],[PO Number (Header)]],"-",Tableau1[[#This Row],[Line]]),UO_List[Unique_AIB_ID]))*(UO_List[Qté Réception 07/2020]))</f>
        <v>0</v>
      </c>
      <c r="BO177" s="84">
        <v>0</v>
      </c>
      <c r="BP177" s="351"/>
      <c r="BQ177" s="351" t="str">
        <f>IFERROR(Tableau1[[#This Row],[Qté Facturé 07/2018]]*Tableau1[[#This Row],[Unit Price (calcul)]],"")</f>
        <v/>
      </c>
      <c r="BR177" s="351" t="str">
        <f>IFERROR(IF(Tableau1[[#This Row],[Montant Facturé 07/2018]]&gt;0,Tableau1[[#This Row],[Montant Facturé 07/2018]]/Taux_Change_SII,""),"")</f>
        <v/>
      </c>
      <c r="BS177" s="351"/>
      <c r="BT177" s="83">
        <f>SUMPRODUCT(1*(EXACT(CONCATENATE(Tableau1[[#This Row],[PO Number (Header)]],"-",Tableau1[[#This Row],[Line]]),UO_List[Unique_AIB_ID]))*(UO_List[Qté Réception 08/2020]))</f>
        <v>0</v>
      </c>
      <c r="BU177" s="84"/>
      <c r="BV177" s="351"/>
      <c r="BW177" s="351" t="str">
        <f>IFERROR(Tableau1[[#This Row],[Qté Facturé 08/2018]]*Tableau1[[#This Row],[Unit Price (calcul)]],"")</f>
        <v/>
      </c>
      <c r="BX177" s="351" t="str">
        <f>IFERROR(IF(Tableau1[[#This Row],[Montant Facturé 08/2018]]&gt;0,Tableau1[[#This Row],[Montant Facturé 08/2018]]/Taux_Change_SII,""),"")</f>
        <v/>
      </c>
      <c r="BY177" s="351"/>
      <c r="BZ177" s="83">
        <f>SUMPRODUCT(1*(EXACT(CONCATENATE(Tableau1[[#This Row],[PO Number (Header)]],"-",Tableau1[[#This Row],[Line]]),UO_List[Unique_AIB_ID]))*(UO_List[Qté Réception 09/2020]))</f>
        <v>0</v>
      </c>
      <c r="CA177" s="84">
        <v>0</v>
      </c>
      <c r="CB177" s="351"/>
      <c r="CC177" s="351" t="str">
        <f>IFERROR(Tableau1[[#This Row],[Qté Facturé 09/2018]]*Tableau1[[#This Row],[Unit Price (calcul)]],"")</f>
        <v/>
      </c>
      <c r="CD177" s="351" t="str">
        <f>IFERROR(IF(Tableau1[[#This Row],[Montant Facturé 09/2018]]&gt;0,Tableau1[[#This Row],[Montant Facturé 09/2018]]/Taux_Change_SII,""),"")</f>
        <v/>
      </c>
      <c r="CE177" s="351"/>
      <c r="CF177" s="83">
        <f>SUMPRODUCT(1*(EXACT(CONCATENATE(Tableau1[[#This Row],[PO Number (Header)]],"-",Tableau1[[#This Row],[Line]]),UO_List[Unique_AIB_ID]))*(UO_List[Qté Réception 10/2020]))</f>
        <v>0</v>
      </c>
      <c r="CG177" s="84"/>
      <c r="CH177" s="84"/>
      <c r="CI177" s="351" t="str">
        <f>IFERROR(Tableau1[[#This Row],[Qté Facturé 10/2018]]*Tableau1[[#This Row],[Unit Price (calcul)]],"")</f>
        <v/>
      </c>
      <c r="CJ177" s="351" t="str">
        <f>IFERROR(IF(Tableau1[[#This Row],[Montant Facturé 10/2018]]&gt;0,Tableau1[[#This Row],[Montant Facturé 10/2018]]/Taux_Change_SII,""),"")</f>
        <v/>
      </c>
      <c r="CK177" s="351"/>
      <c r="CL177" s="83">
        <f>SUMPRODUCT(1*(EXACT(CONCATENATE(Tableau1[[#This Row],[PO Number (Header)]],"-",Tableau1[[#This Row],[Line]]),UO_List[Unique_AIB_ID]))*(UO_List[Qté Réception 11/2020]))</f>
        <v>0</v>
      </c>
      <c r="CM177" s="84"/>
      <c r="CN177" s="351"/>
      <c r="CO177" s="351" t="str">
        <f>IFERROR(Tableau1[[#This Row],[Qté Facturé 11/2018]]*Tableau1[[#This Row],[Unit Price (calcul)]],"")</f>
        <v/>
      </c>
      <c r="CP177" s="351" t="str">
        <f>IFERROR(IF(Tableau1[[#This Row],[Montant Facturé 11/2018]]&gt;0,Tableau1[[#This Row],[Montant Facturé 11/2018]]/Taux_Change_SII,""),"")</f>
        <v/>
      </c>
      <c r="CQ177" s="351"/>
      <c r="CR177" s="83">
        <f>SUMPRODUCT(1*(EXACT(CONCATENATE(Tableau1[[#This Row],[PO Number (Header)]],"-",Tableau1[[#This Row],[Line]]),UO_List[Unique_AIB_ID]))*(UO_List[Qté Réception 12/2020]))</f>
        <v>0</v>
      </c>
      <c r="CS177" s="84"/>
      <c r="CT177" s="351"/>
      <c r="CU177" s="351" t="str">
        <f>IFERROR(Tableau1[[#This Row],[Qté Facturé 12/2018]]*Tableau1[[#This Row],[Unit Price (calcul)]],"")</f>
        <v/>
      </c>
      <c r="CV177" s="351" t="str">
        <f>IFERROR(IF(Tableau1[[#This Row],[Montant Facturé 12/2018]]&gt;0,Tableau1[[#This Row],[Montant Facturé 12/2018]]/Taux_Change_SII,""),"")</f>
        <v/>
      </c>
      <c r="CW177" s="351"/>
      <c r="CX17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7" s="352" t="str">
        <f>IFERROR(Tableau1[[#This Row],[Total item réceptionné]]*Tableau1[[#This Row],[Unit Price (calcul)]],"")</f>
        <v/>
      </c>
      <c r="DB177" s="352" t="str">
        <f>IFERROR(Tableau1[[#This Row],[Total item à Facturer]]*Tableau1[[#This Row],[Unit Price (calcul)]],"")</f>
        <v/>
      </c>
      <c r="DC17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7" s="352" t="str">
        <f>IFERROR(Tableau1[[#This Row],[Line Total]]-Tableau1[[#This Row],[Total Price Réceptionné]],"")</f>
        <v/>
      </c>
      <c r="DE177" s="352" t="str">
        <f>IFERROR(Tableau1[[#This Row],[Total Price Réceptionné]]-Tableau1[[#This Row],[Total Price A facturer]],"")</f>
        <v/>
      </c>
      <c r="DF177" s="353" t="str">
        <f>IFERROR(Tableau1[[#This Row],[Total Price A facturer]]-Tableau1[[#This Row],[Total Price Facturé]],"")</f>
        <v/>
      </c>
      <c r="DG177" s="76">
        <f>Tableau1[[#This Row],[Total Item Quantity]]-Tableau1[[#This Row],[Total item réceptionné]]</f>
        <v>0</v>
      </c>
      <c r="DH177" s="167"/>
      <c r="DI177" s="167"/>
    </row>
    <row r="178" spans="1:113" s="74" customFormat="1">
      <c r="A178" s="77" t="str">
        <f>CONCATENATE(Tableau1[[#This Row],[PO Number (Header)]],"-",Tableau1[[#This Row],[Line]])</f>
        <v>-</v>
      </c>
      <c r="B178" s="77"/>
      <c r="C178" s="77"/>
      <c r="D178" s="77"/>
      <c r="E178" s="77"/>
      <c r="F178" s="454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395"/>
      <c r="R178" s="395"/>
      <c r="S178" s="77"/>
      <c r="T178" s="77"/>
      <c r="U178" s="77"/>
      <c r="V178" s="77"/>
      <c r="W178" s="167"/>
      <c r="X178" s="167"/>
      <c r="Y178" s="167" t="str">
        <f>IF(ISBLANK(Tableau1[[#This Row],[PO Number (Header)]]),"",Tableau1[[#This Row],[Line Total]]/Tableau1[[#This Row],[Total Item Quantity]])</f>
        <v/>
      </c>
      <c r="Z178" s="167" t="str">
        <f>IF(ISNA(VLOOKUP(Tableau1[[#This Row],[Unique_AIB_ID]],UO_List[Unique_AIB_ID],1,FALSE)),IF(ISBLANK(Tableau1[[#This Row],[PO Number (Header)]]),"","FAUX"),"VRAI")</f>
        <v/>
      </c>
      <c r="AA178" s="167"/>
      <c r="AB178" s="162" t="e">
        <f>VLOOKUP(Tableau1[[#This Row],[Unique_AIB_ID]],UO_List[[Unique_AIB_ID]:[OLGA F6]],3,FALSE)</f>
        <v>#N/A</v>
      </c>
      <c r="AC178" s="162" t="s">
        <v>813</v>
      </c>
      <c r="AD178" s="83">
        <f>SUMPRODUCT(1*(EXACT(CONCATENATE(Tableau1[[#This Row],[PO Number (Header)]],"-",Tableau1[[#This Row],[Line]]),UO_List[Unique_AIB_ID]))*(UO_List[Qté Réception 03/2020]))</f>
        <v>0</v>
      </c>
      <c r="AE178" s="84"/>
      <c r="AF178" s="357"/>
      <c r="AG178" s="351" t="str">
        <f>IFERROR(Tableau1[[#This Row],[Qté Facturé 01/2018]]*Tableau1[[#This Row],[Unit Price (calcul)]],"")</f>
        <v/>
      </c>
      <c r="AH178" s="356" t="str">
        <f>IFERROR(IF(Tableau1[[#This Row],[Montant Facturé 01/2018]]&gt;0,Tableau1[[#This Row],[Montant Facturé 01/2018]]/Taux_Change_SII,""),"")</f>
        <v/>
      </c>
      <c r="AI178" s="351"/>
      <c r="AJ178" s="83">
        <f>SUMPRODUCT(1*(EXACT(CONCATENATE(Tableau1[[#This Row],[PO Number (Header)]],"-",Tableau1[[#This Row],[Line]]),UO_List[Unique_AIB_ID]))*(UO_List[Qté Réception 02/2020]))</f>
        <v>0</v>
      </c>
      <c r="AK178" s="83">
        <f>SUMPRODUCT(1*(EXACT(CONCATENATE(Tableau1[[#This Row],[PO Number (Header)]],"-",Tableau1[[#This Row],[Line]]),UO_List[Unique_AIB_ID]))*(UO_List[Qté Réception 02/2020]))</f>
        <v>0</v>
      </c>
      <c r="AL178" s="357"/>
      <c r="AM178" s="351" t="str">
        <f>IFERROR(Tableau1[[#This Row],[Qté Facturé 02/2018]]*Tableau1[[#This Row],[Unit Price (calcul)]],"")</f>
        <v/>
      </c>
      <c r="AN178" s="351" t="str">
        <f>IFERROR(IF(Tableau1[[#This Row],[Montant Facturé 02/2018]]&gt;0,Tableau1[[#This Row],[Montant Facturé 02/2018]]/Taux_Change_SII,""),"")</f>
        <v/>
      </c>
      <c r="AO178" s="351"/>
      <c r="AP178" s="83">
        <f>SUMPRODUCT(1*(EXACT(CONCATENATE(Tableau1[[#This Row],[PO Number (Header)]],"-",Tableau1[[#This Row],[Line]]),UO_List[Unique_AIB_ID]))*(UO_List[Qté Réception 00/2020]))</f>
        <v>0</v>
      </c>
      <c r="AQ178" s="84">
        <v>0</v>
      </c>
      <c r="AR178" s="357"/>
      <c r="AS178" s="351" t="str">
        <f>IFERROR(Tableau1[[#This Row],[Qté Facturé 03/2018]]*Tableau1[[#This Row],[Unit Price (calcul)]],"")</f>
        <v/>
      </c>
      <c r="AT178" s="351" t="str">
        <f>IFERROR(IF(Tableau1[[#This Row],[Montant Facturé 03/2018]]&gt;0,Tableau1[[#This Row],[Montant Facturé 03/2018]]/Taux_Change_SII,""),"")</f>
        <v/>
      </c>
      <c r="AU178" s="351"/>
      <c r="AV178" s="83">
        <f>SUMPRODUCT(1*(EXACT(CONCATENATE(Tableau1[[#This Row],[PO Number (Header)]],"-",Tableau1[[#This Row],[Line]]),UO_List[Unique_AIB_ID]))*(UO_List[Qté Réception 04/2020]))</f>
        <v>0</v>
      </c>
      <c r="AW178" s="84">
        <v>0</v>
      </c>
      <c r="AX178" s="351"/>
      <c r="AY178" s="351" t="str">
        <f>IFERROR(Tableau1[[#This Row],[Qté Facturé 04/2018]]*Tableau1[[#This Row],[Unit Price (calcul)]],"")</f>
        <v/>
      </c>
      <c r="AZ178" s="351" t="str">
        <f>IFERROR(IF(Tableau1[[#This Row],[Montant Facturé 04/2018]]&gt;0,Tableau1[[#This Row],[Montant Facturé 04/2018]]/Taux_Change_SII,""),"")</f>
        <v/>
      </c>
      <c r="BA178" s="351"/>
      <c r="BB178" s="83">
        <f>SUMPRODUCT(1*(EXACT(CONCATENATE(Tableau1[[#This Row],[PO Number (Header)]],"-",Tableau1[[#This Row],[Line]]),UO_List[Unique_AIB_ID]))*(UO_List[Qté Réception 05/2020]))</f>
        <v>0</v>
      </c>
      <c r="BC178" s="84"/>
      <c r="BD178" s="351"/>
      <c r="BE178" s="351" t="str">
        <f>IFERROR(Tableau1[[#This Row],[Qté Facturé 05/2018]]*Tableau1[[#This Row],[Unit Price (calcul)]],"")</f>
        <v/>
      </c>
      <c r="BF178" s="351" t="str">
        <f>IFERROR(IF(Tableau1[[#This Row],[Montant Facturé 05/2018]]&gt;0,Tableau1[[#This Row],[Montant Facturé 05/2018]]/Taux_Change_SII,""),"")</f>
        <v/>
      </c>
      <c r="BG178" s="351"/>
      <c r="BH178" s="83">
        <f>SUMPRODUCT(1*(EXACT(CONCATENATE(Tableau1[[#This Row],[PO Number (Header)]],"-",Tableau1[[#This Row],[Line]]),UO_List[Unique_AIB_ID]))*(UO_List[Qté Réception 06/2020]))</f>
        <v>0</v>
      </c>
      <c r="BI178" s="84"/>
      <c r="BJ178" s="351"/>
      <c r="BK178" s="351" t="str">
        <f>IFERROR(Tableau1[[#This Row],[Qté Facturé 06/2018]]*Tableau1[[#This Row],[Unit Price (calcul)]],"")</f>
        <v/>
      </c>
      <c r="BL178" s="351" t="str">
        <f>IFERROR(IF(Tableau1[[#This Row],[Montant Facturé 06/2018]]&gt;0,Tableau1[[#This Row],[Montant Facturé 06/2018]]/Taux_Change_SII,""),"")</f>
        <v/>
      </c>
      <c r="BM178" s="351"/>
      <c r="BN178" s="83">
        <f>SUMPRODUCT(1*(EXACT(CONCATENATE(Tableau1[[#This Row],[PO Number (Header)]],"-",Tableau1[[#This Row],[Line]]),UO_List[Unique_AIB_ID]))*(UO_List[Qté Réception 07/2020]))</f>
        <v>0</v>
      </c>
      <c r="BO178" s="84">
        <v>0</v>
      </c>
      <c r="BP178" s="351"/>
      <c r="BQ178" s="351" t="str">
        <f>IFERROR(Tableau1[[#This Row],[Qté Facturé 07/2018]]*Tableau1[[#This Row],[Unit Price (calcul)]],"")</f>
        <v/>
      </c>
      <c r="BR178" s="351" t="str">
        <f>IFERROR(IF(Tableau1[[#This Row],[Montant Facturé 07/2018]]&gt;0,Tableau1[[#This Row],[Montant Facturé 07/2018]]/Taux_Change_SII,""),"")</f>
        <v/>
      </c>
      <c r="BS178" s="351"/>
      <c r="BT178" s="83">
        <f>SUMPRODUCT(1*(EXACT(CONCATENATE(Tableau1[[#This Row],[PO Number (Header)]],"-",Tableau1[[#This Row],[Line]]),UO_List[Unique_AIB_ID]))*(UO_List[Qté Réception 08/2020]))</f>
        <v>0</v>
      </c>
      <c r="BU178" s="84"/>
      <c r="BV178" s="351"/>
      <c r="BW178" s="351" t="str">
        <f>IFERROR(Tableau1[[#This Row],[Qté Facturé 08/2018]]*Tableau1[[#This Row],[Unit Price (calcul)]],"")</f>
        <v/>
      </c>
      <c r="BX178" s="351" t="str">
        <f>IFERROR(IF(Tableau1[[#This Row],[Montant Facturé 08/2018]]&gt;0,Tableau1[[#This Row],[Montant Facturé 08/2018]]/Taux_Change_SII,""),"")</f>
        <v/>
      </c>
      <c r="BY178" s="351"/>
      <c r="BZ178" s="83">
        <f>SUMPRODUCT(1*(EXACT(CONCATENATE(Tableau1[[#This Row],[PO Number (Header)]],"-",Tableau1[[#This Row],[Line]]),UO_List[Unique_AIB_ID]))*(UO_List[Qté Réception 09/2020]))</f>
        <v>0</v>
      </c>
      <c r="CA178" s="84">
        <v>0</v>
      </c>
      <c r="CB178" s="351"/>
      <c r="CC178" s="351" t="str">
        <f>IFERROR(Tableau1[[#This Row],[Qté Facturé 09/2018]]*Tableau1[[#This Row],[Unit Price (calcul)]],"")</f>
        <v/>
      </c>
      <c r="CD178" s="351" t="str">
        <f>IFERROR(IF(Tableau1[[#This Row],[Montant Facturé 09/2018]]&gt;0,Tableau1[[#This Row],[Montant Facturé 09/2018]]/Taux_Change_SII,""),"")</f>
        <v/>
      </c>
      <c r="CE178" s="351"/>
      <c r="CF178" s="83">
        <f>SUMPRODUCT(1*(EXACT(CONCATENATE(Tableau1[[#This Row],[PO Number (Header)]],"-",Tableau1[[#This Row],[Line]]),UO_List[Unique_AIB_ID]))*(UO_List[Qté Réception 10/2020]))</f>
        <v>0</v>
      </c>
      <c r="CG178" s="84">
        <v>0</v>
      </c>
      <c r="CH178" s="351"/>
      <c r="CI178" s="351" t="str">
        <f>IFERROR(Tableau1[[#This Row],[Qté Facturé 10/2018]]*Tableau1[[#This Row],[Unit Price (calcul)]],"")</f>
        <v/>
      </c>
      <c r="CJ178" s="351" t="str">
        <f>IFERROR(IF(Tableau1[[#This Row],[Montant Facturé 10/2018]]&gt;0,Tableau1[[#This Row],[Montant Facturé 10/2018]]/Taux_Change_SII,""),"")</f>
        <v/>
      </c>
      <c r="CK178" s="351"/>
      <c r="CL178" s="83">
        <f>SUMPRODUCT(1*(EXACT(CONCATENATE(Tableau1[[#This Row],[PO Number (Header)]],"-",Tableau1[[#This Row],[Line]]),UO_List[Unique_AIB_ID]))*(UO_List[Qté Réception 11/2020]))</f>
        <v>0</v>
      </c>
      <c r="CM178" s="84"/>
      <c r="CN178" s="351"/>
      <c r="CO178" s="351" t="str">
        <f>IFERROR(Tableau1[[#This Row],[Qté Facturé 11/2018]]*Tableau1[[#This Row],[Unit Price (calcul)]],"")</f>
        <v/>
      </c>
      <c r="CP178" s="351" t="str">
        <f>IFERROR(IF(Tableau1[[#This Row],[Montant Facturé 11/2018]]&gt;0,Tableau1[[#This Row],[Montant Facturé 11/2018]]/Taux_Change_SII,""),"")</f>
        <v/>
      </c>
      <c r="CQ178" s="351"/>
      <c r="CR178" s="83">
        <f>SUMPRODUCT(1*(EXACT(CONCATENATE(Tableau1[[#This Row],[PO Number (Header)]],"-",Tableau1[[#This Row],[Line]]),UO_List[Unique_AIB_ID]))*(UO_List[Qté Réception 12/2020]))</f>
        <v>0</v>
      </c>
      <c r="CS178" s="84"/>
      <c r="CT178" s="351"/>
      <c r="CU178" s="351" t="str">
        <f>IFERROR(Tableau1[[#This Row],[Qté Facturé 12/2018]]*Tableau1[[#This Row],[Unit Price (calcul)]],"")</f>
        <v/>
      </c>
      <c r="CV178" s="351" t="str">
        <f>IFERROR(IF(Tableau1[[#This Row],[Montant Facturé 12/2018]]&gt;0,Tableau1[[#This Row],[Montant Facturé 12/2018]]/Taux_Change_SII,""),"")</f>
        <v/>
      </c>
      <c r="CW178" s="351"/>
      <c r="CX17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8" s="352" t="str">
        <f>IFERROR(Tableau1[[#This Row],[Total item réceptionné]]*Tableau1[[#This Row],[Unit Price (calcul)]],"")</f>
        <v/>
      </c>
      <c r="DB178" s="352" t="str">
        <f>IFERROR(Tableau1[[#This Row],[Total item à Facturer]]*Tableau1[[#This Row],[Unit Price (calcul)]],"")</f>
        <v/>
      </c>
      <c r="DC17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8" s="352" t="str">
        <f>IFERROR(Tableau1[[#This Row],[Line Total]]-Tableau1[[#This Row],[Total Price Réceptionné]],"")</f>
        <v/>
      </c>
      <c r="DE178" s="352" t="str">
        <f>IFERROR(Tableau1[[#This Row],[Total Price Réceptionné]]-Tableau1[[#This Row],[Total Price A facturer]],"")</f>
        <v/>
      </c>
      <c r="DF178" s="353" t="str">
        <f>IFERROR(Tableau1[[#This Row],[Total Price A facturer]]-Tableau1[[#This Row],[Total Price Facturé]],"")</f>
        <v/>
      </c>
      <c r="DG178" s="76">
        <f>Tableau1[[#This Row],[Total Item Quantity]]-Tableau1[[#This Row],[Total item réceptionné]]</f>
        <v>0</v>
      </c>
      <c r="DH178" s="167"/>
      <c r="DI178" s="167"/>
    </row>
    <row r="179" spans="1:113" s="74" customFormat="1">
      <c r="A179" s="77" t="str">
        <f>CONCATENATE(Tableau1[[#This Row],[PO Number (Header)]],"-",Tableau1[[#This Row],[Line]])</f>
        <v>-</v>
      </c>
      <c r="B179" s="468"/>
      <c r="C179" s="469"/>
      <c r="D179" s="470"/>
      <c r="E179" s="469"/>
      <c r="F179" s="454"/>
      <c r="G179" s="469"/>
      <c r="H179" s="471"/>
      <c r="I179" s="471"/>
      <c r="J179" s="471"/>
      <c r="K179" s="472"/>
      <c r="L179" s="472"/>
      <c r="M179" s="471"/>
      <c r="N179" s="77"/>
      <c r="O179" s="77"/>
      <c r="P179" s="77"/>
      <c r="Q179" s="395"/>
      <c r="R179" s="395"/>
      <c r="S179" s="77"/>
      <c r="T179" s="77"/>
      <c r="U179" s="77"/>
      <c r="V179" s="77"/>
      <c r="W179" s="167"/>
      <c r="X179" s="167"/>
      <c r="Y179" s="167" t="str">
        <f>IF(ISBLANK(Tableau1[[#This Row],[PO Number (Header)]]),"",Tableau1[[#This Row],[Line Total]]/Tableau1[[#This Row],[Total Item Quantity]])</f>
        <v/>
      </c>
      <c r="Z179" s="167" t="str">
        <f>IF(ISNA(VLOOKUP(Tableau1[[#This Row],[Unique_AIB_ID]],UO_List[Unique_AIB_ID],1,FALSE)),IF(ISBLANK(Tableau1[[#This Row],[PO Number (Header)]]),"","FAUX"),"VRAI")</f>
        <v/>
      </c>
      <c r="AA179" s="167"/>
      <c r="AB179" s="162" t="s">
        <v>691</v>
      </c>
      <c r="AC179" s="162" t="s">
        <v>825</v>
      </c>
      <c r="AD179" s="83">
        <f>SUMPRODUCT(1*(EXACT(CONCATENATE(Tableau1[[#This Row],[PO Number (Header)]],"-",Tableau1[[#This Row],[Line]]),UO_List[Unique_AIB_ID]))*(UO_List[Qté Réception 03/2020]))</f>
        <v>0</v>
      </c>
      <c r="AE179" s="84"/>
      <c r="AF179" s="357"/>
      <c r="AG179" s="351" t="str">
        <f>IFERROR(Tableau1[[#This Row],[Qté Facturé 01/2018]]*Tableau1[[#This Row],[Unit Price (calcul)]],"")</f>
        <v/>
      </c>
      <c r="AH179" s="356" t="str">
        <f>IFERROR(IF(Tableau1[[#This Row],[Montant Facturé 01/2018]]&gt;0,Tableau1[[#This Row],[Montant Facturé 01/2018]]/Taux_Change_SII,""),"")</f>
        <v/>
      </c>
      <c r="AI179" s="351"/>
      <c r="AJ179" s="83">
        <f>SUMPRODUCT(1*(EXACT(CONCATENATE(Tableau1[[#This Row],[PO Number (Header)]],"-",Tableau1[[#This Row],[Line]]),UO_List[Unique_AIB_ID]))*(UO_List[Qté Réception 02/2020]))</f>
        <v>0</v>
      </c>
      <c r="AK179" s="83">
        <f>SUMPRODUCT(1*(EXACT(CONCATENATE(Tableau1[[#This Row],[PO Number (Header)]],"-",Tableau1[[#This Row],[Line]]),UO_List[Unique_AIB_ID]))*(UO_List[Qté Réception 02/2020]))</f>
        <v>0</v>
      </c>
      <c r="AL179" s="357"/>
      <c r="AM179" s="351" t="str">
        <f>IFERROR(Tableau1[[#This Row],[Qté Facturé 02/2018]]*Tableau1[[#This Row],[Unit Price (calcul)]],"")</f>
        <v/>
      </c>
      <c r="AN179" s="351" t="str">
        <f>IFERROR(IF(Tableau1[[#This Row],[Montant Facturé 02/2018]]&gt;0,Tableau1[[#This Row],[Montant Facturé 02/2018]]/Taux_Change_SII,""),"")</f>
        <v/>
      </c>
      <c r="AO179" s="351"/>
      <c r="AP179" s="83">
        <f>SUMPRODUCT(1*(EXACT(CONCATENATE(Tableau1[[#This Row],[PO Number (Header)]],"-",Tableau1[[#This Row],[Line]]),UO_List[Unique_AIB_ID]))*(UO_List[Qté Réception 00/2020]))</f>
        <v>0</v>
      </c>
      <c r="AQ179" s="84">
        <v>0</v>
      </c>
      <c r="AR179" s="357"/>
      <c r="AS179" s="351" t="str">
        <f>IFERROR(Tableau1[[#This Row],[Qté Facturé 03/2018]]*Tableau1[[#This Row],[Unit Price (calcul)]],"")</f>
        <v/>
      </c>
      <c r="AT179" s="351" t="str">
        <f>IFERROR(IF(Tableau1[[#This Row],[Montant Facturé 03/2018]]&gt;0,Tableau1[[#This Row],[Montant Facturé 03/2018]]/Taux_Change_SII,""),"")</f>
        <v/>
      </c>
      <c r="AU179" s="351"/>
      <c r="AV179" s="83">
        <f>SUMPRODUCT(1*(EXACT(CONCATENATE(Tableau1[[#This Row],[PO Number (Header)]],"-",Tableau1[[#This Row],[Line]]),UO_List[Unique_AIB_ID]))*(UO_List[Qté Réception 04/2020]))</f>
        <v>0</v>
      </c>
      <c r="AW179" s="84">
        <v>0</v>
      </c>
      <c r="AX179" s="351"/>
      <c r="AY179" s="351" t="str">
        <f>IFERROR(Tableau1[[#This Row],[Qté Facturé 04/2018]]*Tableau1[[#This Row],[Unit Price (calcul)]],"")</f>
        <v/>
      </c>
      <c r="AZ179" s="351" t="str">
        <f>IFERROR(IF(Tableau1[[#This Row],[Montant Facturé 04/2018]]&gt;0,Tableau1[[#This Row],[Montant Facturé 04/2018]]/Taux_Change_SII,""),"")</f>
        <v/>
      </c>
      <c r="BA179" s="351"/>
      <c r="BB179" s="83">
        <f>SUMPRODUCT(1*(EXACT(CONCATENATE(Tableau1[[#This Row],[PO Number (Header)]],"-",Tableau1[[#This Row],[Line]]),UO_List[Unique_AIB_ID]))*(UO_List[Qté Réception 05/2020]))</f>
        <v>0</v>
      </c>
      <c r="BC179" s="84"/>
      <c r="BD179" s="351"/>
      <c r="BE179" s="351" t="str">
        <f>IFERROR(Tableau1[[#This Row],[Qté Facturé 05/2018]]*Tableau1[[#This Row],[Unit Price (calcul)]],"")</f>
        <v/>
      </c>
      <c r="BF179" s="351" t="str">
        <f>IFERROR(IF(Tableau1[[#This Row],[Montant Facturé 05/2018]]&gt;0,Tableau1[[#This Row],[Montant Facturé 05/2018]]/Taux_Change_SII,""),"")</f>
        <v/>
      </c>
      <c r="BG179" s="351"/>
      <c r="BH179" s="83">
        <f>SUMPRODUCT(1*(EXACT(CONCATENATE(Tableau1[[#This Row],[PO Number (Header)]],"-",Tableau1[[#This Row],[Line]]),UO_List[Unique_AIB_ID]))*(UO_List[Qté Réception 06/2020]))</f>
        <v>0</v>
      </c>
      <c r="BI179" s="84"/>
      <c r="BJ179" s="351"/>
      <c r="BK179" s="351" t="str">
        <f>IFERROR(Tableau1[[#This Row],[Qté Facturé 06/2018]]*Tableau1[[#This Row],[Unit Price (calcul)]],"")</f>
        <v/>
      </c>
      <c r="BL179" s="351" t="str">
        <f>IFERROR(IF(Tableau1[[#This Row],[Montant Facturé 06/2018]]&gt;0,Tableau1[[#This Row],[Montant Facturé 06/2018]]/Taux_Change_SII,""),"")</f>
        <v/>
      </c>
      <c r="BM179" s="351"/>
      <c r="BN179" s="83">
        <f>SUMPRODUCT(1*(EXACT(CONCATENATE(Tableau1[[#This Row],[PO Number (Header)]],"-",Tableau1[[#This Row],[Line]]),UO_List[Unique_AIB_ID]))*(UO_List[Qté Réception 07/2020]))</f>
        <v>0</v>
      </c>
      <c r="BO179" s="84">
        <v>0</v>
      </c>
      <c r="BP179" s="351"/>
      <c r="BQ179" s="351" t="str">
        <f>IFERROR(Tableau1[[#This Row],[Qté Facturé 07/2018]]*Tableau1[[#This Row],[Unit Price (calcul)]],"")</f>
        <v/>
      </c>
      <c r="BR179" s="351" t="str">
        <f>IFERROR(IF(Tableau1[[#This Row],[Montant Facturé 07/2018]]&gt;0,Tableau1[[#This Row],[Montant Facturé 07/2018]]/Taux_Change_SII,""),"")</f>
        <v/>
      </c>
      <c r="BS179" s="351"/>
      <c r="BT179" s="83">
        <f>SUMPRODUCT(1*(EXACT(CONCATENATE(Tableau1[[#This Row],[PO Number (Header)]],"-",Tableau1[[#This Row],[Line]]),UO_List[Unique_AIB_ID]))*(UO_List[Qté Réception 08/2020]))</f>
        <v>0</v>
      </c>
      <c r="BU179" s="84"/>
      <c r="BV179" s="351"/>
      <c r="BW179" s="351" t="str">
        <f>IFERROR(Tableau1[[#This Row],[Qté Facturé 08/2018]]*Tableau1[[#This Row],[Unit Price (calcul)]],"")</f>
        <v/>
      </c>
      <c r="BX179" s="351" t="str">
        <f>IFERROR(IF(Tableau1[[#This Row],[Montant Facturé 08/2018]]&gt;0,Tableau1[[#This Row],[Montant Facturé 08/2018]]/Taux_Change_SII,""),"")</f>
        <v/>
      </c>
      <c r="BY179" s="351"/>
      <c r="BZ179" s="83">
        <f>SUMPRODUCT(1*(EXACT(CONCATENATE(Tableau1[[#This Row],[PO Number (Header)]],"-",Tableau1[[#This Row],[Line]]),UO_List[Unique_AIB_ID]))*(UO_List[Qté Réception 09/2020]))</f>
        <v>0</v>
      </c>
      <c r="CA179" s="84">
        <v>0</v>
      </c>
      <c r="CB179" s="351"/>
      <c r="CC179" s="351" t="str">
        <f>IFERROR(Tableau1[[#This Row],[Qté Facturé 09/2018]]*Tableau1[[#This Row],[Unit Price (calcul)]],"")</f>
        <v/>
      </c>
      <c r="CD179" s="351" t="str">
        <f>IFERROR(IF(Tableau1[[#This Row],[Montant Facturé 09/2018]]&gt;0,Tableau1[[#This Row],[Montant Facturé 09/2018]]/Taux_Change_SII,""),"")</f>
        <v/>
      </c>
      <c r="CE179" s="351"/>
      <c r="CF179" s="83">
        <f>SUMPRODUCT(1*(EXACT(CONCATENATE(Tableau1[[#This Row],[PO Number (Header)]],"-",Tableau1[[#This Row],[Line]]),UO_List[Unique_AIB_ID]))*(UO_List[Qté Réception 10/2020]))</f>
        <v>0</v>
      </c>
      <c r="CG179" s="84"/>
      <c r="CH179" s="84"/>
      <c r="CI179" s="351" t="str">
        <f>IFERROR(Tableau1[[#This Row],[Qté Facturé 10/2018]]*Tableau1[[#This Row],[Unit Price (calcul)]],"")</f>
        <v/>
      </c>
      <c r="CJ179" s="351" t="str">
        <f>IFERROR(IF(Tableau1[[#This Row],[Montant Facturé 10/2018]]&gt;0,Tableau1[[#This Row],[Montant Facturé 10/2018]]/Taux_Change_SII,""),"")</f>
        <v/>
      </c>
      <c r="CK179" s="351"/>
      <c r="CL179" s="83">
        <f>SUMPRODUCT(1*(EXACT(CONCATENATE(Tableau1[[#This Row],[PO Number (Header)]],"-",Tableau1[[#This Row],[Line]]),UO_List[Unique_AIB_ID]))*(UO_List[Qté Réception 11/2020]))</f>
        <v>0</v>
      </c>
      <c r="CM179" s="84"/>
      <c r="CN179" s="351"/>
      <c r="CO179" s="351" t="str">
        <f>IFERROR(Tableau1[[#This Row],[Qté Facturé 11/2018]]*Tableau1[[#This Row],[Unit Price (calcul)]],"")</f>
        <v/>
      </c>
      <c r="CP179" s="351" t="str">
        <f>IFERROR(IF(Tableau1[[#This Row],[Montant Facturé 11/2018]]&gt;0,Tableau1[[#This Row],[Montant Facturé 11/2018]]/Taux_Change_SII,""),"")</f>
        <v/>
      </c>
      <c r="CQ179" s="351"/>
      <c r="CR179" s="83">
        <f>SUMPRODUCT(1*(EXACT(CONCATENATE(Tableau1[[#This Row],[PO Number (Header)]],"-",Tableau1[[#This Row],[Line]]),UO_List[Unique_AIB_ID]))*(UO_List[Qté Réception 12/2020]))</f>
        <v>0</v>
      </c>
      <c r="CS179" s="84"/>
      <c r="CT179" s="351"/>
      <c r="CU179" s="351" t="str">
        <f>IFERROR(Tableau1[[#This Row],[Qté Facturé 12/2018]]*Tableau1[[#This Row],[Unit Price (calcul)]],"")</f>
        <v/>
      </c>
      <c r="CV179" s="351" t="str">
        <f>IFERROR(IF(Tableau1[[#This Row],[Montant Facturé 12/2018]]&gt;0,Tableau1[[#This Row],[Montant Facturé 12/2018]]/Taux_Change_SII,""),"")</f>
        <v/>
      </c>
      <c r="CW179" s="351"/>
      <c r="CX17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7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7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79" s="352" t="str">
        <f>IFERROR(Tableau1[[#This Row],[Total item réceptionné]]*Tableau1[[#This Row],[Unit Price (calcul)]],"")</f>
        <v/>
      </c>
      <c r="DB179" s="352" t="str">
        <f>IFERROR(Tableau1[[#This Row],[Total item à Facturer]]*Tableau1[[#This Row],[Unit Price (calcul)]],"")</f>
        <v/>
      </c>
      <c r="DC17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79" s="352" t="str">
        <f>IFERROR(Tableau1[[#This Row],[Line Total]]-Tableau1[[#This Row],[Total Price Réceptionné]],"")</f>
        <v/>
      </c>
      <c r="DE179" s="352" t="str">
        <f>IFERROR(Tableau1[[#This Row],[Total Price Réceptionné]]-Tableau1[[#This Row],[Total Price A facturer]],"")</f>
        <v/>
      </c>
      <c r="DF179" s="353" t="str">
        <f>IFERROR(Tableau1[[#This Row],[Total Price A facturer]]-Tableau1[[#This Row],[Total Price Facturé]],"")</f>
        <v/>
      </c>
      <c r="DG179" s="76">
        <f>Tableau1[[#This Row],[Total Item Quantity]]-Tableau1[[#This Row],[Total item réceptionné]]</f>
        <v>0</v>
      </c>
      <c r="DH179" s="167"/>
      <c r="DI179" s="167"/>
    </row>
    <row r="180" spans="1:113" s="74" customFormat="1">
      <c r="A180" s="77" t="str">
        <f>CONCATENATE(Tableau1[[#This Row],[PO Number (Header)]],"-",Tableau1[[#This Row],[Line]])</f>
        <v>-</v>
      </c>
      <c r="B180" s="397"/>
      <c r="D180" s="397"/>
      <c r="F180" s="454"/>
      <c r="N180" s="77"/>
      <c r="O180" s="77"/>
      <c r="P180" s="77"/>
      <c r="Q180" s="395"/>
      <c r="R180" s="395"/>
      <c r="S180" s="77"/>
      <c r="T180" s="77"/>
      <c r="U180" s="77"/>
      <c r="V180" s="77"/>
      <c r="W180" s="167"/>
      <c r="X180" s="167"/>
      <c r="Y180" s="167" t="str">
        <f>IF(ISBLANK(Tableau1[[#This Row],[PO Number (Header)]]),"",Tableau1[[#This Row],[Line Total]]/Tableau1[[#This Row],[Total Item Quantity]])</f>
        <v/>
      </c>
      <c r="Z180" s="167" t="str">
        <f>IF(ISNA(VLOOKUP(Tableau1[[#This Row],[Unique_AIB_ID]],UO_List[Unique_AIB_ID],1,FALSE)),IF(ISBLANK(Tableau1[[#This Row],[PO Number (Header)]]),"","FAUX"),"VRAI")</f>
        <v/>
      </c>
      <c r="AA180" s="167"/>
      <c r="AB180" s="162" t="s">
        <v>691</v>
      </c>
      <c r="AC180" s="162" t="s">
        <v>825</v>
      </c>
      <c r="AD180" s="83">
        <f>SUMPRODUCT(1*(EXACT(CONCATENATE(Tableau1[[#This Row],[PO Number (Header)]],"-",Tableau1[[#This Row],[Line]]),UO_List[Unique_AIB_ID]))*(UO_List[Qté Réception 03/2020]))</f>
        <v>0</v>
      </c>
      <c r="AE180" s="84"/>
      <c r="AF180" s="357"/>
      <c r="AG180" s="351" t="str">
        <f>IFERROR(Tableau1[[#This Row],[Qté Facturé 01/2018]]*Tableau1[[#This Row],[Unit Price (calcul)]],"")</f>
        <v/>
      </c>
      <c r="AH180" s="356" t="str">
        <f>IFERROR(IF(Tableau1[[#This Row],[Montant Facturé 01/2018]]&gt;0,Tableau1[[#This Row],[Montant Facturé 01/2018]]/Taux_Change_SII,""),"")</f>
        <v/>
      </c>
      <c r="AI180" s="351"/>
      <c r="AJ180" s="83">
        <f>SUMPRODUCT(1*(EXACT(CONCATENATE(Tableau1[[#This Row],[PO Number (Header)]],"-",Tableau1[[#This Row],[Line]]),UO_List[Unique_AIB_ID]))*(UO_List[Qté Réception 02/2020]))</f>
        <v>0</v>
      </c>
      <c r="AK180" s="83">
        <f>SUMPRODUCT(1*(EXACT(CONCATENATE(Tableau1[[#This Row],[PO Number (Header)]],"-",Tableau1[[#This Row],[Line]]),UO_List[Unique_AIB_ID]))*(UO_List[Qté Réception 02/2020]))</f>
        <v>0</v>
      </c>
      <c r="AL180" s="357"/>
      <c r="AM180" s="351" t="str">
        <f>IFERROR(Tableau1[[#This Row],[Qté Facturé 02/2018]]*Tableau1[[#This Row],[Unit Price (calcul)]],"")</f>
        <v/>
      </c>
      <c r="AN180" s="351" t="str">
        <f>IFERROR(IF(Tableau1[[#This Row],[Montant Facturé 02/2018]]&gt;0,Tableau1[[#This Row],[Montant Facturé 02/2018]]/Taux_Change_SII,""),"")</f>
        <v/>
      </c>
      <c r="AO180" s="351"/>
      <c r="AP180" s="83">
        <f>SUMPRODUCT(1*(EXACT(CONCATENATE(Tableau1[[#This Row],[PO Number (Header)]],"-",Tableau1[[#This Row],[Line]]),UO_List[Unique_AIB_ID]))*(UO_List[Qté Réception 00/2020]))</f>
        <v>0</v>
      </c>
      <c r="AQ180" s="84">
        <v>0</v>
      </c>
      <c r="AR180" s="357"/>
      <c r="AS180" s="351" t="str">
        <f>IFERROR(Tableau1[[#This Row],[Qté Facturé 03/2018]]*Tableau1[[#This Row],[Unit Price (calcul)]],"")</f>
        <v/>
      </c>
      <c r="AT180" s="351" t="str">
        <f>IFERROR(IF(Tableau1[[#This Row],[Montant Facturé 03/2018]]&gt;0,Tableau1[[#This Row],[Montant Facturé 03/2018]]/Taux_Change_SII,""),"")</f>
        <v/>
      </c>
      <c r="AU180" s="351"/>
      <c r="AV180" s="83">
        <f>SUMPRODUCT(1*(EXACT(CONCATENATE(Tableau1[[#This Row],[PO Number (Header)]],"-",Tableau1[[#This Row],[Line]]),UO_List[Unique_AIB_ID]))*(UO_List[Qté Réception 04/2020]))</f>
        <v>0</v>
      </c>
      <c r="AW180" s="84">
        <v>0</v>
      </c>
      <c r="AX180" s="351"/>
      <c r="AY180" s="351" t="str">
        <f>IFERROR(Tableau1[[#This Row],[Qté Facturé 04/2018]]*Tableau1[[#This Row],[Unit Price (calcul)]],"")</f>
        <v/>
      </c>
      <c r="AZ180" s="351" t="str">
        <f>IFERROR(IF(Tableau1[[#This Row],[Montant Facturé 04/2018]]&gt;0,Tableau1[[#This Row],[Montant Facturé 04/2018]]/Taux_Change_SII,""),"")</f>
        <v/>
      </c>
      <c r="BA180" s="351"/>
      <c r="BB180" s="83">
        <f>SUMPRODUCT(1*(EXACT(CONCATENATE(Tableau1[[#This Row],[PO Number (Header)]],"-",Tableau1[[#This Row],[Line]]),UO_List[Unique_AIB_ID]))*(UO_List[Qté Réception 05/2020]))</f>
        <v>0</v>
      </c>
      <c r="BC180" s="84"/>
      <c r="BD180" s="351"/>
      <c r="BE180" s="351" t="str">
        <f>IFERROR(Tableau1[[#This Row],[Qté Facturé 05/2018]]*Tableau1[[#This Row],[Unit Price (calcul)]],"")</f>
        <v/>
      </c>
      <c r="BF180" s="351" t="str">
        <f>IFERROR(IF(Tableau1[[#This Row],[Montant Facturé 05/2018]]&gt;0,Tableau1[[#This Row],[Montant Facturé 05/2018]]/Taux_Change_SII,""),"")</f>
        <v/>
      </c>
      <c r="BG180" s="351"/>
      <c r="BH180" s="83">
        <f>SUMPRODUCT(1*(EXACT(CONCATENATE(Tableau1[[#This Row],[PO Number (Header)]],"-",Tableau1[[#This Row],[Line]]),UO_List[Unique_AIB_ID]))*(UO_List[Qté Réception 06/2020]))</f>
        <v>0</v>
      </c>
      <c r="BI180" s="84"/>
      <c r="BJ180" s="351"/>
      <c r="BK180" s="351" t="str">
        <f>IFERROR(Tableau1[[#This Row],[Qté Facturé 06/2018]]*Tableau1[[#This Row],[Unit Price (calcul)]],"")</f>
        <v/>
      </c>
      <c r="BL180" s="351" t="str">
        <f>IFERROR(IF(Tableau1[[#This Row],[Montant Facturé 06/2018]]&gt;0,Tableau1[[#This Row],[Montant Facturé 06/2018]]/Taux_Change_SII,""),"")</f>
        <v/>
      </c>
      <c r="BM180" s="351"/>
      <c r="BN180" s="83">
        <f>SUMPRODUCT(1*(EXACT(CONCATENATE(Tableau1[[#This Row],[PO Number (Header)]],"-",Tableau1[[#This Row],[Line]]),UO_List[Unique_AIB_ID]))*(UO_List[Qté Réception 07/2020]))</f>
        <v>0</v>
      </c>
      <c r="BO180" s="84">
        <v>0</v>
      </c>
      <c r="BP180" s="351"/>
      <c r="BQ180" s="351" t="str">
        <f>IFERROR(Tableau1[[#This Row],[Qté Facturé 07/2018]]*Tableau1[[#This Row],[Unit Price (calcul)]],"")</f>
        <v/>
      </c>
      <c r="BR180" s="351" t="str">
        <f>IFERROR(IF(Tableau1[[#This Row],[Montant Facturé 07/2018]]&gt;0,Tableau1[[#This Row],[Montant Facturé 07/2018]]/Taux_Change_SII,""),"")</f>
        <v/>
      </c>
      <c r="BS180" s="351"/>
      <c r="BT180" s="83">
        <f>SUMPRODUCT(1*(EXACT(CONCATENATE(Tableau1[[#This Row],[PO Number (Header)]],"-",Tableau1[[#This Row],[Line]]),UO_List[Unique_AIB_ID]))*(UO_List[Qté Réception 08/2020]))</f>
        <v>0</v>
      </c>
      <c r="BU180" s="84"/>
      <c r="BV180" s="351"/>
      <c r="BW180" s="351" t="str">
        <f>IFERROR(Tableau1[[#This Row],[Qté Facturé 08/2018]]*Tableau1[[#This Row],[Unit Price (calcul)]],"")</f>
        <v/>
      </c>
      <c r="BX180" s="351" t="str">
        <f>IFERROR(IF(Tableau1[[#This Row],[Montant Facturé 08/2018]]&gt;0,Tableau1[[#This Row],[Montant Facturé 08/2018]]/Taux_Change_SII,""),"")</f>
        <v/>
      </c>
      <c r="BY180" s="351"/>
      <c r="BZ180" s="83">
        <f>SUMPRODUCT(1*(EXACT(CONCATENATE(Tableau1[[#This Row],[PO Number (Header)]],"-",Tableau1[[#This Row],[Line]]),UO_List[Unique_AIB_ID]))*(UO_List[Qté Réception 09/2020]))</f>
        <v>0</v>
      </c>
      <c r="CA180" s="84">
        <v>0</v>
      </c>
      <c r="CB180" s="351"/>
      <c r="CC180" s="351" t="str">
        <f>IFERROR(Tableau1[[#This Row],[Qté Facturé 09/2018]]*Tableau1[[#This Row],[Unit Price (calcul)]],"")</f>
        <v/>
      </c>
      <c r="CD180" s="351" t="str">
        <f>IFERROR(IF(Tableau1[[#This Row],[Montant Facturé 09/2018]]&gt;0,Tableau1[[#This Row],[Montant Facturé 09/2018]]/Taux_Change_SII,""),"")</f>
        <v/>
      </c>
      <c r="CE180" s="351"/>
      <c r="CF180" s="83">
        <f>SUMPRODUCT(1*(EXACT(CONCATENATE(Tableau1[[#This Row],[PO Number (Header)]],"-",Tableau1[[#This Row],[Line]]),UO_List[Unique_AIB_ID]))*(UO_List[Qté Réception 10/2020]))</f>
        <v>0</v>
      </c>
      <c r="CG180" s="84"/>
      <c r="CH180" s="84"/>
      <c r="CI180" s="351" t="str">
        <f>IFERROR(Tableau1[[#This Row],[Qté Facturé 10/2018]]*Tableau1[[#This Row],[Unit Price (calcul)]],"")</f>
        <v/>
      </c>
      <c r="CJ180" s="351" t="str">
        <f>IFERROR(IF(Tableau1[[#This Row],[Montant Facturé 10/2018]]&gt;0,Tableau1[[#This Row],[Montant Facturé 10/2018]]/Taux_Change_SII,""),"")</f>
        <v/>
      </c>
      <c r="CK180" s="351"/>
      <c r="CL180" s="83">
        <f>SUMPRODUCT(1*(EXACT(CONCATENATE(Tableau1[[#This Row],[PO Number (Header)]],"-",Tableau1[[#This Row],[Line]]),UO_List[Unique_AIB_ID]))*(UO_List[Qté Réception 11/2020]))</f>
        <v>0</v>
      </c>
      <c r="CM180" s="84"/>
      <c r="CN180" s="351"/>
      <c r="CO180" s="351" t="str">
        <f>IFERROR(Tableau1[[#This Row],[Qté Facturé 11/2018]]*Tableau1[[#This Row],[Unit Price (calcul)]],"")</f>
        <v/>
      </c>
      <c r="CP180" s="351" t="str">
        <f>IFERROR(IF(Tableau1[[#This Row],[Montant Facturé 11/2018]]&gt;0,Tableau1[[#This Row],[Montant Facturé 11/2018]]/Taux_Change_SII,""),"")</f>
        <v/>
      </c>
      <c r="CQ180" s="351"/>
      <c r="CR180" s="83">
        <f>SUMPRODUCT(1*(EXACT(CONCATENATE(Tableau1[[#This Row],[PO Number (Header)]],"-",Tableau1[[#This Row],[Line]]),UO_List[Unique_AIB_ID]))*(UO_List[Qté Réception 12/2020]))</f>
        <v>0</v>
      </c>
      <c r="CS180" s="84"/>
      <c r="CT180" s="351"/>
      <c r="CU180" s="351" t="str">
        <f>IFERROR(Tableau1[[#This Row],[Qté Facturé 12/2018]]*Tableau1[[#This Row],[Unit Price (calcul)]],"")</f>
        <v/>
      </c>
      <c r="CV180" s="351" t="str">
        <f>IFERROR(IF(Tableau1[[#This Row],[Montant Facturé 12/2018]]&gt;0,Tableau1[[#This Row],[Montant Facturé 12/2018]]/Taux_Change_SII,""),"")</f>
        <v/>
      </c>
      <c r="CW180" s="351"/>
      <c r="CX18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0" s="352" t="str">
        <f>IFERROR(Tableau1[[#This Row],[Total item réceptionné]]*Tableau1[[#This Row],[Unit Price (calcul)]],"")</f>
        <v/>
      </c>
      <c r="DB180" s="352" t="str">
        <f>IFERROR(Tableau1[[#This Row],[Total item à Facturer]]*Tableau1[[#This Row],[Unit Price (calcul)]],"")</f>
        <v/>
      </c>
      <c r="DC18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0" s="352" t="str">
        <f>IFERROR(Tableau1[[#This Row],[Line Total]]-Tableau1[[#This Row],[Total Price Réceptionné]],"")</f>
        <v/>
      </c>
      <c r="DE180" s="352" t="str">
        <f>IFERROR(Tableau1[[#This Row],[Total Price Réceptionné]]-Tableau1[[#This Row],[Total Price A facturer]],"")</f>
        <v/>
      </c>
      <c r="DF180" s="353" t="str">
        <f>IFERROR(Tableau1[[#This Row],[Total Price A facturer]]-Tableau1[[#This Row],[Total Price Facturé]],"")</f>
        <v/>
      </c>
      <c r="DG180" s="76">
        <f>Tableau1[[#This Row],[Total Item Quantity]]-Tableau1[[#This Row],[Total item réceptionné]]</f>
        <v>0</v>
      </c>
      <c r="DH180" s="167"/>
      <c r="DI180" s="167"/>
    </row>
    <row r="181" spans="1:113" s="74" customFormat="1">
      <c r="A181" s="77" t="str">
        <f>CONCATENATE(Tableau1[[#This Row],[PO Number (Header)]],"-",Tableau1[[#This Row],[Line]])</f>
        <v>-</v>
      </c>
      <c r="B181" s="77"/>
      <c r="C181" s="77"/>
      <c r="D181" s="77"/>
      <c r="E181" s="77"/>
      <c r="F181" s="454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395"/>
      <c r="R181" s="395"/>
      <c r="S181" s="77"/>
      <c r="T181" s="77"/>
      <c r="U181" s="77"/>
      <c r="V181" s="77"/>
      <c r="W181" s="167"/>
      <c r="X181" s="167"/>
      <c r="Y181" s="167" t="str">
        <f>IF(ISBLANK(Tableau1[[#This Row],[PO Number (Header)]]),"",Tableau1[[#This Row],[Line Total]]/Tableau1[[#This Row],[Total Item Quantity]])</f>
        <v/>
      </c>
      <c r="Z181" s="167" t="str">
        <f>IF(ISNA(VLOOKUP(Tableau1[[#This Row],[Unique_AIB_ID]],UO_List[Unique_AIB_ID],1,FALSE)),IF(ISBLANK(Tableau1[[#This Row],[PO Number (Header)]]),"","FAUX"),"VRAI")</f>
        <v/>
      </c>
      <c r="AA181" s="167"/>
      <c r="AB181" s="162" t="s">
        <v>691</v>
      </c>
      <c r="AC181" s="162" t="s">
        <v>825</v>
      </c>
      <c r="AD181" s="83">
        <f>SUMPRODUCT(1*(EXACT(CONCATENATE(Tableau1[[#This Row],[PO Number (Header)]],"-",Tableau1[[#This Row],[Line]]),UO_List[Unique_AIB_ID]))*(UO_List[Qté Réception 03/2020]))</f>
        <v>0</v>
      </c>
      <c r="AE181" s="84"/>
      <c r="AF181" s="357"/>
      <c r="AG181" s="351" t="str">
        <f>IFERROR(Tableau1[[#This Row],[Qté Facturé 01/2018]]*Tableau1[[#This Row],[Unit Price (calcul)]],"")</f>
        <v/>
      </c>
      <c r="AH181" s="356" t="str">
        <f>IFERROR(IF(Tableau1[[#This Row],[Montant Facturé 01/2018]]&gt;0,Tableau1[[#This Row],[Montant Facturé 01/2018]]/Taux_Change_SII,""),"")</f>
        <v/>
      </c>
      <c r="AI181" s="351"/>
      <c r="AJ181" s="83">
        <f>SUMPRODUCT(1*(EXACT(CONCATENATE(Tableau1[[#This Row],[PO Number (Header)]],"-",Tableau1[[#This Row],[Line]]),UO_List[Unique_AIB_ID]))*(UO_List[Qté Réception 02/2020]))</f>
        <v>0</v>
      </c>
      <c r="AK181" s="83">
        <f>SUMPRODUCT(1*(EXACT(CONCATENATE(Tableau1[[#This Row],[PO Number (Header)]],"-",Tableau1[[#This Row],[Line]]),UO_List[Unique_AIB_ID]))*(UO_List[Qté Réception 02/2020]))</f>
        <v>0</v>
      </c>
      <c r="AL181" s="357"/>
      <c r="AM181" s="351" t="str">
        <f>IFERROR(Tableau1[[#This Row],[Qté Facturé 02/2018]]*Tableau1[[#This Row],[Unit Price (calcul)]],"")</f>
        <v/>
      </c>
      <c r="AN181" s="351" t="str">
        <f>IFERROR(IF(Tableau1[[#This Row],[Montant Facturé 02/2018]]&gt;0,Tableau1[[#This Row],[Montant Facturé 02/2018]]/Taux_Change_SII,""),"")</f>
        <v/>
      </c>
      <c r="AO181" s="351"/>
      <c r="AP181" s="83">
        <f>SUMPRODUCT(1*(EXACT(CONCATENATE(Tableau1[[#This Row],[PO Number (Header)]],"-",Tableau1[[#This Row],[Line]]),UO_List[Unique_AIB_ID]))*(UO_List[Qté Réception 00/2020]))</f>
        <v>0</v>
      </c>
      <c r="AQ181" s="84">
        <v>0</v>
      </c>
      <c r="AR181" s="357"/>
      <c r="AS181" s="351" t="str">
        <f>IFERROR(Tableau1[[#This Row],[Qté Facturé 03/2018]]*Tableau1[[#This Row],[Unit Price (calcul)]],"")</f>
        <v/>
      </c>
      <c r="AT181" s="351" t="str">
        <f>IFERROR(IF(Tableau1[[#This Row],[Montant Facturé 03/2018]]&gt;0,Tableau1[[#This Row],[Montant Facturé 03/2018]]/Taux_Change_SII,""),"")</f>
        <v/>
      </c>
      <c r="AU181" s="351"/>
      <c r="AV181" s="83">
        <f>SUMPRODUCT(1*(EXACT(CONCATENATE(Tableau1[[#This Row],[PO Number (Header)]],"-",Tableau1[[#This Row],[Line]]),UO_List[Unique_AIB_ID]))*(UO_List[Qté Réception 04/2020]))</f>
        <v>0</v>
      </c>
      <c r="AW181" s="84">
        <v>0</v>
      </c>
      <c r="AX181" s="351"/>
      <c r="AY181" s="351" t="str">
        <f>IFERROR(Tableau1[[#This Row],[Qté Facturé 04/2018]]*Tableau1[[#This Row],[Unit Price (calcul)]],"")</f>
        <v/>
      </c>
      <c r="AZ181" s="351" t="str">
        <f>IFERROR(IF(Tableau1[[#This Row],[Montant Facturé 04/2018]]&gt;0,Tableau1[[#This Row],[Montant Facturé 04/2018]]/Taux_Change_SII,""),"")</f>
        <v/>
      </c>
      <c r="BA181" s="351"/>
      <c r="BB181" s="83">
        <f>SUMPRODUCT(1*(EXACT(CONCATENATE(Tableau1[[#This Row],[PO Number (Header)]],"-",Tableau1[[#This Row],[Line]]),UO_List[Unique_AIB_ID]))*(UO_List[Qté Réception 05/2020]))</f>
        <v>0</v>
      </c>
      <c r="BC181" s="84"/>
      <c r="BD181" s="351"/>
      <c r="BE181" s="351" t="str">
        <f>IFERROR(Tableau1[[#This Row],[Qté Facturé 05/2018]]*Tableau1[[#This Row],[Unit Price (calcul)]],"")</f>
        <v/>
      </c>
      <c r="BF181" s="351" t="str">
        <f>IFERROR(IF(Tableau1[[#This Row],[Montant Facturé 05/2018]]&gt;0,Tableau1[[#This Row],[Montant Facturé 05/2018]]/Taux_Change_SII,""),"")</f>
        <v/>
      </c>
      <c r="BG181" s="351"/>
      <c r="BH181" s="83">
        <f>SUMPRODUCT(1*(EXACT(CONCATENATE(Tableau1[[#This Row],[PO Number (Header)]],"-",Tableau1[[#This Row],[Line]]),UO_List[Unique_AIB_ID]))*(UO_List[Qté Réception 06/2020]))</f>
        <v>0</v>
      </c>
      <c r="BI181" s="84"/>
      <c r="BJ181" s="351"/>
      <c r="BK181" s="351" t="str">
        <f>IFERROR(Tableau1[[#This Row],[Qté Facturé 06/2018]]*Tableau1[[#This Row],[Unit Price (calcul)]],"")</f>
        <v/>
      </c>
      <c r="BL181" s="351" t="str">
        <f>IFERROR(IF(Tableau1[[#This Row],[Montant Facturé 06/2018]]&gt;0,Tableau1[[#This Row],[Montant Facturé 06/2018]]/Taux_Change_SII,""),"")</f>
        <v/>
      </c>
      <c r="BM181" s="351"/>
      <c r="BN181" s="83">
        <f>SUMPRODUCT(1*(EXACT(CONCATENATE(Tableau1[[#This Row],[PO Number (Header)]],"-",Tableau1[[#This Row],[Line]]),UO_List[Unique_AIB_ID]))*(UO_List[Qté Réception 07/2020]))</f>
        <v>0</v>
      </c>
      <c r="BO181" s="84">
        <v>0</v>
      </c>
      <c r="BP181" s="351"/>
      <c r="BQ181" s="351" t="str">
        <f>IFERROR(Tableau1[[#This Row],[Qté Facturé 07/2018]]*Tableau1[[#This Row],[Unit Price (calcul)]],"")</f>
        <v/>
      </c>
      <c r="BR181" s="351" t="str">
        <f>IFERROR(IF(Tableau1[[#This Row],[Montant Facturé 07/2018]]&gt;0,Tableau1[[#This Row],[Montant Facturé 07/2018]]/Taux_Change_SII,""),"")</f>
        <v/>
      </c>
      <c r="BS181" s="351"/>
      <c r="BT181" s="83">
        <f>SUMPRODUCT(1*(EXACT(CONCATENATE(Tableau1[[#This Row],[PO Number (Header)]],"-",Tableau1[[#This Row],[Line]]),UO_List[Unique_AIB_ID]))*(UO_List[Qté Réception 08/2020]))</f>
        <v>0</v>
      </c>
      <c r="BU181" s="84"/>
      <c r="BV181" s="351"/>
      <c r="BW181" s="351" t="str">
        <f>IFERROR(Tableau1[[#This Row],[Qté Facturé 08/2018]]*Tableau1[[#This Row],[Unit Price (calcul)]],"")</f>
        <v/>
      </c>
      <c r="BX181" s="351" t="str">
        <f>IFERROR(IF(Tableau1[[#This Row],[Montant Facturé 08/2018]]&gt;0,Tableau1[[#This Row],[Montant Facturé 08/2018]]/Taux_Change_SII,""),"")</f>
        <v/>
      </c>
      <c r="BY181" s="351"/>
      <c r="BZ181" s="83">
        <f>SUMPRODUCT(1*(EXACT(CONCATENATE(Tableau1[[#This Row],[PO Number (Header)]],"-",Tableau1[[#This Row],[Line]]),UO_List[Unique_AIB_ID]))*(UO_List[Qté Réception 09/2020]))</f>
        <v>0</v>
      </c>
      <c r="CA181" s="84">
        <v>0</v>
      </c>
      <c r="CB181" s="351"/>
      <c r="CC181" s="351" t="str">
        <f>IFERROR(Tableau1[[#This Row],[Qté Facturé 09/2018]]*Tableau1[[#This Row],[Unit Price (calcul)]],"")</f>
        <v/>
      </c>
      <c r="CD181" s="351" t="str">
        <f>IFERROR(IF(Tableau1[[#This Row],[Montant Facturé 09/2018]]&gt;0,Tableau1[[#This Row],[Montant Facturé 09/2018]]/Taux_Change_SII,""),"")</f>
        <v/>
      </c>
      <c r="CE181" s="351"/>
      <c r="CF181" s="83">
        <f>SUMPRODUCT(1*(EXACT(CONCATENATE(Tableau1[[#This Row],[PO Number (Header)]],"-",Tableau1[[#This Row],[Line]]),UO_List[Unique_AIB_ID]))*(UO_List[Qté Réception 10/2020]))</f>
        <v>0</v>
      </c>
      <c r="CG181" s="84"/>
      <c r="CH181" s="84"/>
      <c r="CI181" s="351" t="str">
        <f>IFERROR(Tableau1[[#This Row],[Qté Facturé 10/2018]]*Tableau1[[#This Row],[Unit Price (calcul)]],"")</f>
        <v/>
      </c>
      <c r="CJ181" s="351" t="str">
        <f>IFERROR(IF(Tableau1[[#This Row],[Montant Facturé 10/2018]]&gt;0,Tableau1[[#This Row],[Montant Facturé 10/2018]]/Taux_Change_SII,""),"")</f>
        <v/>
      </c>
      <c r="CK181" s="351"/>
      <c r="CL181" s="83">
        <f>SUMPRODUCT(1*(EXACT(CONCATENATE(Tableau1[[#This Row],[PO Number (Header)]],"-",Tableau1[[#This Row],[Line]]),UO_List[Unique_AIB_ID]))*(UO_List[Qté Réception 11/2020]))</f>
        <v>0</v>
      </c>
      <c r="CM181" s="84"/>
      <c r="CN181" s="351"/>
      <c r="CO181" s="351" t="str">
        <f>IFERROR(Tableau1[[#This Row],[Qté Facturé 11/2018]]*Tableau1[[#This Row],[Unit Price (calcul)]],"")</f>
        <v/>
      </c>
      <c r="CP181" s="351" t="str">
        <f>IFERROR(IF(Tableau1[[#This Row],[Montant Facturé 11/2018]]&gt;0,Tableau1[[#This Row],[Montant Facturé 11/2018]]/Taux_Change_SII,""),"")</f>
        <v/>
      </c>
      <c r="CQ181" s="351"/>
      <c r="CR181" s="83">
        <f>SUMPRODUCT(1*(EXACT(CONCATENATE(Tableau1[[#This Row],[PO Number (Header)]],"-",Tableau1[[#This Row],[Line]]),UO_List[Unique_AIB_ID]))*(UO_List[Qté Réception 12/2020]))</f>
        <v>0</v>
      </c>
      <c r="CS181" s="84"/>
      <c r="CT181" s="351"/>
      <c r="CU181" s="351" t="str">
        <f>IFERROR(Tableau1[[#This Row],[Qté Facturé 12/2018]]*Tableau1[[#This Row],[Unit Price (calcul)]],"")</f>
        <v/>
      </c>
      <c r="CV181" s="351" t="str">
        <f>IFERROR(IF(Tableau1[[#This Row],[Montant Facturé 12/2018]]&gt;0,Tableau1[[#This Row],[Montant Facturé 12/2018]]/Taux_Change_SII,""),"")</f>
        <v/>
      </c>
      <c r="CW181" s="351"/>
      <c r="CX18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1" s="352" t="str">
        <f>IFERROR(Tableau1[[#This Row],[Total item réceptionné]]*Tableau1[[#This Row],[Unit Price (calcul)]],"")</f>
        <v/>
      </c>
      <c r="DB181" s="352" t="str">
        <f>IFERROR(Tableau1[[#This Row],[Total item à Facturer]]*Tableau1[[#This Row],[Unit Price (calcul)]],"")</f>
        <v/>
      </c>
      <c r="DC18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1" s="352" t="str">
        <f>IFERROR(Tableau1[[#This Row],[Line Total]]-Tableau1[[#This Row],[Total Price Réceptionné]],"")</f>
        <v/>
      </c>
      <c r="DE181" s="352" t="str">
        <f>IFERROR(Tableau1[[#This Row],[Total Price Réceptionné]]-Tableau1[[#This Row],[Total Price A facturer]],"")</f>
        <v/>
      </c>
      <c r="DF181" s="353" t="str">
        <f>IFERROR(Tableau1[[#This Row],[Total Price A facturer]]-Tableau1[[#This Row],[Total Price Facturé]],"")</f>
        <v/>
      </c>
      <c r="DG181" s="76">
        <f>Tableau1[[#This Row],[Total Item Quantity]]-Tableau1[[#This Row],[Total item réceptionné]]</f>
        <v>0</v>
      </c>
      <c r="DH181" s="167"/>
      <c r="DI181" s="167"/>
    </row>
    <row r="182" spans="1:113" s="74" customFormat="1">
      <c r="A182" s="77" t="str">
        <f>CONCATENATE(Tableau1[[#This Row],[PO Number (Header)]],"-",Tableau1[[#This Row],[Line]])</f>
        <v>-</v>
      </c>
      <c r="B182" s="77"/>
      <c r="C182" s="77"/>
      <c r="D182" s="77"/>
      <c r="E182" s="77"/>
      <c r="F182" s="454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395"/>
      <c r="R182" s="395"/>
      <c r="S182" s="77"/>
      <c r="T182" s="77"/>
      <c r="U182" s="77"/>
      <c r="V182" s="77"/>
      <c r="W182" s="167"/>
      <c r="X182" s="167"/>
      <c r="Y182" s="167" t="str">
        <f>IF(ISBLANK(Tableau1[[#This Row],[PO Number (Header)]]),"",Tableau1[[#This Row],[Line Total]]/Tableau1[[#This Row],[Total Item Quantity]])</f>
        <v/>
      </c>
      <c r="Z182" s="167" t="str">
        <f>IF(ISNA(VLOOKUP(Tableau1[[#This Row],[Unique_AIB_ID]],UO_List[Unique_AIB_ID],1,FALSE)),IF(ISBLANK(Tableau1[[#This Row],[PO Number (Header)]]),"","FAUX"),"VRAI")</f>
        <v/>
      </c>
      <c r="AA182" s="167"/>
      <c r="AB182" s="162" t="e">
        <f>VLOOKUP(Tableau1[[#This Row],[Unique_AIB_ID]],UO_List[[Unique_AIB_ID]:[OLGA F6]],3,FALSE)</f>
        <v>#N/A</v>
      </c>
      <c r="AC182" s="162" t="s">
        <v>825</v>
      </c>
      <c r="AD182" s="83">
        <f>SUMPRODUCT(1*(EXACT(CONCATENATE(Tableau1[[#This Row],[PO Number (Header)]],"-",Tableau1[[#This Row],[Line]]),UO_List[Unique_AIB_ID]))*(UO_List[Qté Réception 03/2020]))</f>
        <v>0</v>
      </c>
      <c r="AE182" s="84"/>
      <c r="AF182" s="357"/>
      <c r="AG182" s="351" t="str">
        <f>IFERROR(Tableau1[[#This Row],[Qté Facturé 01/2018]]*Tableau1[[#This Row],[Unit Price (calcul)]],"")</f>
        <v/>
      </c>
      <c r="AH182" s="356" t="str">
        <f>IFERROR(IF(Tableau1[[#This Row],[Montant Facturé 01/2018]]&gt;0,Tableau1[[#This Row],[Montant Facturé 01/2018]]/Taux_Change_SII,""),"")</f>
        <v/>
      </c>
      <c r="AI182" s="351"/>
      <c r="AJ182" s="83">
        <f>SUMPRODUCT(1*(EXACT(CONCATENATE(Tableau1[[#This Row],[PO Number (Header)]],"-",Tableau1[[#This Row],[Line]]),UO_List[Unique_AIB_ID]))*(UO_List[Qté Réception 02/2020]))</f>
        <v>0</v>
      </c>
      <c r="AK182" s="83">
        <f>SUMPRODUCT(1*(EXACT(CONCATENATE(Tableau1[[#This Row],[PO Number (Header)]],"-",Tableau1[[#This Row],[Line]]),UO_List[Unique_AIB_ID]))*(UO_List[Qté Réception 02/2020]))</f>
        <v>0</v>
      </c>
      <c r="AL182" s="357"/>
      <c r="AM182" s="351" t="str">
        <f>IFERROR(Tableau1[[#This Row],[Qté Facturé 02/2018]]*Tableau1[[#This Row],[Unit Price (calcul)]],"")</f>
        <v/>
      </c>
      <c r="AN182" s="351" t="str">
        <f>IFERROR(IF(Tableau1[[#This Row],[Montant Facturé 02/2018]]&gt;0,Tableau1[[#This Row],[Montant Facturé 02/2018]]/Taux_Change_SII,""),"")</f>
        <v/>
      </c>
      <c r="AO182" s="351"/>
      <c r="AP182" s="83">
        <f>SUMPRODUCT(1*(EXACT(CONCATENATE(Tableau1[[#This Row],[PO Number (Header)]],"-",Tableau1[[#This Row],[Line]]),UO_List[Unique_AIB_ID]))*(UO_List[Qté Réception 00/2020]))</f>
        <v>0</v>
      </c>
      <c r="AQ182" s="84">
        <v>0</v>
      </c>
      <c r="AR182" s="357"/>
      <c r="AS182" s="351" t="str">
        <f>IFERROR(Tableau1[[#This Row],[Qté Facturé 03/2018]]*Tableau1[[#This Row],[Unit Price (calcul)]],"")</f>
        <v/>
      </c>
      <c r="AT182" s="351" t="str">
        <f>IFERROR(IF(Tableau1[[#This Row],[Montant Facturé 03/2018]]&gt;0,Tableau1[[#This Row],[Montant Facturé 03/2018]]/Taux_Change_SII,""),"")</f>
        <v/>
      </c>
      <c r="AU182" s="351"/>
      <c r="AV182" s="83">
        <f>SUMPRODUCT(1*(EXACT(CONCATENATE(Tableau1[[#This Row],[PO Number (Header)]],"-",Tableau1[[#This Row],[Line]]),UO_List[Unique_AIB_ID]))*(UO_List[Qté Réception 04/2020]))</f>
        <v>0</v>
      </c>
      <c r="AW182" s="84">
        <v>0</v>
      </c>
      <c r="AX182" s="351"/>
      <c r="AY182" s="351" t="str">
        <f>IFERROR(Tableau1[[#This Row],[Qté Facturé 04/2018]]*Tableau1[[#This Row],[Unit Price (calcul)]],"")</f>
        <v/>
      </c>
      <c r="AZ182" s="351" t="str">
        <f>IFERROR(IF(Tableau1[[#This Row],[Montant Facturé 04/2018]]&gt;0,Tableau1[[#This Row],[Montant Facturé 04/2018]]/Taux_Change_SII,""),"")</f>
        <v/>
      </c>
      <c r="BA182" s="351"/>
      <c r="BB182" s="83">
        <f>SUMPRODUCT(1*(EXACT(CONCATENATE(Tableau1[[#This Row],[PO Number (Header)]],"-",Tableau1[[#This Row],[Line]]),UO_List[Unique_AIB_ID]))*(UO_List[Qté Réception 05/2020]))</f>
        <v>0</v>
      </c>
      <c r="BC182" s="84"/>
      <c r="BD182" s="351"/>
      <c r="BE182" s="351" t="str">
        <f>IFERROR(Tableau1[[#This Row],[Qté Facturé 05/2018]]*Tableau1[[#This Row],[Unit Price (calcul)]],"")</f>
        <v/>
      </c>
      <c r="BF182" s="351" t="str">
        <f>IFERROR(IF(Tableau1[[#This Row],[Montant Facturé 05/2018]]&gt;0,Tableau1[[#This Row],[Montant Facturé 05/2018]]/Taux_Change_SII,""),"")</f>
        <v/>
      </c>
      <c r="BG182" s="351"/>
      <c r="BH182" s="83">
        <f>SUMPRODUCT(1*(EXACT(CONCATENATE(Tableau1[[#This Row],[PO Number (Header)]],"-",Tableau1[[#This Row],[Line]]),UO_List[Unique_AIB_ID]))*(UO_List[Qté Réception 06/2020]))</f>
        <v>0</v>
      </c>
      <c r="BI182" s="84"/>
      <c r="BJ182" s="351"/>
      <c r="BK182" s="351" t="str">
        <f>IFERROR(Tableau1[[#This Row],[Qté Facturé 06/2018]]*Tableau1[[#This Row],[Unit Price (calcul)]],"")</f>
        <v/>
      </c>
      <c r="BL182" s="351" t="str">
        <f>IFERROR(IF(Tableau1[[#This Row],[Montant Facturé 06/2018]]&gt;0,Tableau1[[#This Row],[Montant Facturé 06/2018]]/Taux_Change_SII,""),"")</f>
        <v/>
      </c>
      <c r="BM182" s="351"/>
      <c r="BN182" s="83">
        <f>SUMPRODUCT(1*(EXACT(CONCATENATE(Tableau1[[#This Row],[PO Number (Header)]],"-",Tableau1[[#This Row],[Line]]),UO_List[Unique_AIB_ID]))*(UO_List[Qté Réception 07/2020]))</f>
        <v>0</v>
      </c>
      <c r="BO182" s="84">
        <v>0</v>
      </c>
      <c r="BP182" s="351"/>
      <c r="BQ182" s="351" t="str">
        <f>IFERROR(Tableau1[[#This Row],[Qté Facturé 07/2018]]*Tableau1[[#This Row],[Unit Price (calcul)]],"")</f>
        <v/>
      </c>
      <c r="BR182" s="351" t="str">
        <f>IFERROR(IF(Tableau1[[#This Row],[Montant Facturé 07/2018]]&gt;0,Tableau1[[#This Row],[Montant Facturé 07/2018]]/Taux_Change_SII,""),"")</f>
        <v/>
      </c>
      <c r="BS182" s="351"/>
      <c r="BT182" s="83">
        <f>SUMPRODUCT(1*(EXACT(CONCATENATE(Tableau1[[#This Row],[PO Number (Header)]],"-",Tableau1[[#This Row],[Line]]),UO_List[Unique_AIB_ID]))*(UO_List[Qté Réception 08/2020]))</f>
        <v>0</v>
      </c>
      <c r="BU182" s="84"/>
      <c r="BV182" s="351"/>
      <c r="BW182" s="351" t="str">
        <f>IFERROR(Tableau1[[#This Row],[Qté Facturé 08/2018]]*Tableau1[[#This Row],[Unit Price (calcul)]],"")</f>
        <v/>
      </c>
      <c r="BX182" s="351" t="str">
        <f>IFERROR(IF(Tableau1[[#This Row],[Montant Facturé 08/2018]]&gt;0,Tableau1[[#This Row],[Montant Facturé 08/2018]]/Taux_Change_SII,""),"")</f>
        <v/>
      </c>
      <c r="BY182" s="351"/>
      <c r="BZ182" s="83">
        <f>SUMPRODUCT(1*(EXACT(CONCATENATE(Tableau1[[#This Row],[PO Number (Header)]],"-",Tableau1[[#This Row],[Line]]),UO_List[Unique_AIB_ID]))*(UO_List[Qté Réception 09/2020]))</f>
        <v>0</v>
      </c>
      <c r="CA182" s="84">
        <v>0</v>
      </c>
      <c r="CB182" s="351"/>
      <c r="CC182" s="351" t="str">
        <f>IFERROR(Tableau1[[#This Row],[Qté Facturé 09/2018]]*Tableau1[[#This Row],[Unit Price (calcul)]],"")</f>
        <v/>
      </c>
      <c r="CD182" s="351" t="str">
        <f>IFERROR(IF(Tableau1[[#This Row],[Montant Facturé 09/2018]]&gt;0,Tableau1[[#This Row],[Montant Facturé 09/2018]]/Taux_Change_SII,""),"")</f>
        <v/>
      </c>
      <c r="CE182" s="351"/>
      <c r="CF182" s="83">
        <f>SUMPRODUCT(1*(EXACT(CONCATENATE(Tableau1[[#This Row],[PO Number (Header)]],"-",Tableau1[[#This Row],[Line]]),UO_List[Unique_AIB_ID]))*(UO_List[Qté Réception 10/2020]))</f>
        <v>0</v>
      </c>
      <c r="CG182" s="84"/>
      <c r="CH182" s="84"/>
      <c r="CI182" s="351" t="str">
        <f>IFERROR(Tableau1[[#This Row],[Qté Facturé 10/2018]]*Tableau1[[#This Row],[Unit Price (calcul)]],"")</f>
        <v/>
      </c>
      <c r="CJ182" s="351" t="str">
        <f>IFERROR(IF(Tableau1[[#This Row],[Montant Facturé 10/2018]]&gt;0,Tableau1[[#This Row],[Montant Facturé 10/2018]]/Taux_Change_SII,""),"")</f>
        <v/>
      </c>
      <c r="CK182" s="351"/>
      <c r="CL182" s="83">
        <f>SUMPRODUCT(1*(EXACT(CONCATENATE(Tableau1[[#This Row],[PO Number (Header)]],"-",Tableau1[[#This Row],[Line]]),UO_List[Unique_AIB_ID]))*(UO_List[Qté Réception 11/2020]))</f>
        <v>0</v>
      </c>
      <c r="CM182" s="84"/>
      <c r="CN182" s="351"/>
      <c r="CO182" s="351" t="str">
        <f>IFERROR(Tableau1[[#This Row],[Qté Facturé 11/2018]]*Tableau1[[#This Row],[Unit Price (calcul)]],"")</f>
        <v/>
      </c>
      <c r="CP182" s="351" t="str">
        <f>IFERROR(IF(Tableau1[[#This Row],[Montant Facturé 11/2018]]&gt;0,Tableau1[[#This Row],[Montant Facturé 11/2018]]/Taux_Change_SII,""),"")</f>
        <v/>
      </c>
      <c r="CQ182" s="351"/>
      <c r="CR182" s="83">
        <f>SUMPRODUCT(1*(EXACT(CONCATENATE(Tableau1[[#This Row],[PO Number (Header)]],"-",Tableau1[[#This Row],[Line]]),UO_List[Unique_AIB_ID]))*(UO_List[Qté Réception 12/2020]))</f>
        <v>0</v>
      </c>
      <c r="CS182" s="84"/>
      <c r="CT182" s="351"/>
      <c r="CU182" s="351" t="str">
        <f>IFERROR(Tableau1[[#This Row],[Qté Facturé 12/2018]]*Tableau1[[#This Row],[Unit Price (calcul)]],"")</f>
        <v/>
      </c>
      <c r="CV182" s="351" t="str">
        <f>IFERROR(IF(Tableau1[[#This Row],[Montant Facturé 12/2018]]&gt;0,Tableau1[[#This Row],[Montant Facturé 12/2018]]/Taux_Change_SII,""),"")</f>
        <v/>
      </c>
      <c r="CW182" s="351"/>
      <c r="CX18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2" s="352" t="str">
        <f>IFERROR(Tableau1[[#This Row],[Total item réceptionné]]*Tableau1[[#This Row],[Unit Price (calcul)]],"")</f>
        <v/>
      </c>
      <c r="DB182" s="352" t="str">
        <f>IFERROR(Tableau1[[#This Row],[Total item à Facturer]]*Tableau1[[#This Row],[Unit Price (calcul)]],"")</f>
        <v/>
      </c>
      <c r="DC18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2" s="352" t="str">
        <f>IFERROR(Tableau1[[#This Row],[Line Total]]-Tableau1[[#This Row],[Total Price Réceptionné]],"")</f>
        <v/>
      </c>
      <c r="DE182" s="352" t="str">
        <f>IFERROR(Tableau1[[#This Row],[Total Price Réceptionné]]-Tableau1[[#This Row],[Total Price A facturer]],"")</f>
        <v/>
      </c>
      <c r="DF182" s="353" t="str">
        <f>IFERROR(Tableau1[[#This Row],[Total Price A facturer]]-Tableau1[[#This Row],[Total Price Facturé]],"")</f>
        <v/>
      </c>
      <c r="DG182" s="76">
        <f>Tableau1[[#This Row],[Total Item Quantity]]-Tableau1[[#This Row],[Total item réceptionné]]</f>
        <v>0</v>
      </c>
      <c r="DH182" s="167"/>
      <c r="DI182" s="167"/>
    </row>
    <row r="183" spans="1:113" s="74" customFormat="1">
      <c r="A183" s="77" t="str">
        <f>CONCATENATE(Tableau1[[#This Row],[PO Number (Header)]],"-",Tableau1[[#This Row],[Line]])</f>
        <v>-</v>
      </c>
      <c r="B183" s="473"/>
      <c r="C183" s="474"/>
      <c r="D183" s="473"/>
      <c r="E183" s="474"/>
      <c r="F183" s="454"/>
      <c r="G183" s="474"/>
      <c r="H183" s="474"/>
      <c r="I183" s="474"/>
      <c r="J183" s="474"/>
      <c r="K183" s="474"/>
      <c r="L183" s="474"/>
      <c r="M183" s="474"/>
      <c r="N183" s="77"/>
      <c r="O183" s="77"/>
      <c r="P183" s="77"/>
      <c r="Q183" s="395"/>
      <c r="R183" s="395"/>
      <c r="S183" s="77"/>
      <c r="T183" s="77"/>
      <c r="U183" s="77"/>
      <c r="V183" s="77"/>
      <c r="W183" s="167"/>
      <c r="X183" s="167"/>
      <c r="Y183" s="167" t="str">
        <f>IF(ISBLANK(Tableau1[[#This Row],[PO Number (Header)]]),"",Tableau1[[#This Row],[Line Total]]/Tableau1[[#This Row],[Total Item Quantity]])</f>
        <v/>
      </c>
      <c r="Z183" s="167" t="str">
        <f>IF(ISNA(VLOOKUP(Tableau1[[#This Row],[Unique_AIB_ID]],UO_List[Unique_AIB_ID],1,FALSE)),IF(ISBLANK(Tableau1[[#This Row],[PO Number (Header)]]),"","FAUX"),"VRAI")</f>
        <v/>
      </c>
      <c r="AA183" s="167"/>
      <c r="AB183" s="162" t="e">
        <f>VLOOKUP(Tableau1[[#This Row],[Unique_AIB_ID]],UO_List[[Unique_AIB_ID]:[OLGA F6]],3,FALSE)</f>
        <v>#N/A</v>
      </c>
      <c r="AC183" s="162" t="s">
        <v>813</v>
      </c>
      <c r="AD183" s="83">
        <f>SUMPRODUCT(1*(EXACT(CONCATENATE(Tableau1[[#This Row],[PO Number (Header)]],"-",Tableau1[[#This Row],[Line]]),UO_List[Unique_AIB_ID]))*(UO_List[Qté Réception 03/2020]))</f>
        <v>0</v>
      </c>
      <c r="AE183" s="84"/>
      <c r="AF183" s="357"/>
      <c r="AG183" s="351" t="str">
        <f>IFERROR(Tableau1[[#This Row],[Qté Facturé 01/2018]]*Tableau1[[#This Row],[Unit Price (calcul)]],"")</f>
        <v/>
      </c>
      <c r="AH183" s="356" t="str">
        <f>IFERROR(IF(Tableau1[[#This Row],[Montant Facturé 01/2018]]&gt;0,Tableau1[[#This Row],[Montant Facturé 01/2018]]/Taux_Change_SII,""),"")</f>
        <v/>
      </c>
      <c r="AI183" s="351"/>
      <c r="AJ183" s="83">
        <f>SUMPRODUCT(1*(EXACT(CONCATENATE(Tableau1[[#This Row],[PO Number (Header)]],"-",Tableau1[[#This Row],[Line]]),UO_List[Unique_AIB_ID]))*(UO_List[Qté Réception 02/2020]))</f>
        <v>0</v>
      </c>
      <c r="AK183" s="83">
        <f>SUMPRODUCT(1*(EXACT(CONCATENATE(Tableau1[[#This Row],[PO Number (Header)]],"-",Tableau1[[#This Row],[Line]]),UO_List[Unique_AIB_ID]))*(UO_List[Qté Réception 02/2020]))</f>
        <v>0</v>
      </c>
      <c r="AL183" s="357"/>
      <c r="AM183" s="351" t="str">
        <f>IFERROR(Tableau1[[#This Row],[Qté Facturé 02/2018]]*Tableau1[[#This Row],[Unit Price (calcul)]],"")</f>
        <v/>
      </c>
      <c r="AN183" s="351" t="str">
        <f>IFERROR(IF(Tableau1[[#This Row],[Montant Facturé 02/2018]]&gt;0,Tableau1[[#This Row],[Montant Facturé 02/2018]]/Taux_Change_SII,""),"")</f>
        <v/>
      </c>
      <c r="AO183" s="351"/>
      <c r="AP183" s="83">
        <f>SUMPRODUCT(1*(EXACT(CONCATENATE(Tableau1[[#This Row],[PO Number (Header)]],"-",Tableau1[[#This Row],[Line]]),UO_List[Unique_AIB_ID]))*(UO_List[Qté Réception 00/2020]))</f>
        <v>0</v>
      </c>
      <c r="AQ183" s="84">
        <v>0</v>
      </c>
      <c r="AR183" s="357"/>
      <c r="AS183" s="351" t="str">
        <f>IFERROR(Tableau1[[#This Row],[Qté Facturé 03/2018]]*Tableau1[[#This Row],[Unit Price (calcul)]],"")</f>
        <v/>
      </c>
      <c r="AT183" s="351" t="str">
        <f>IFERROR(IF(Tableau1[[#This Row],[Montant Facturé 03/2018]]&gt;0,Tableau1[[#This Row],[Montant Facturé 03/2018]]/Taux_Change_SII,""),"")</f>
        <v/>
      </c>
      <c r="AU183" s="351"/>
      <c r="AV183" s="83">
        <f>SUMPRODUCT(1*(EXACT(CONCATENATE(Tableau1[[#This Row],[PO Number (Header)]],"-",Tableau1[[#This Row],[Line]]),UO_List[Unique_AIB_ID]))*(UO_List[Qté Réception 04/2020]))</f>
        <v>0</v>
      </c>
      <c r="AW183" s="84">
        <v>0</v>
      </c>
      <c r="AX183" s="351"/>
      <c r="AY183" s="351" t="str">
        <f>IFERROR(Tableau1[[#This Row],[Qté Facturé 04/2018]]*Tableau1[[#This Row],[Unit Price (calcul)]],"")</f>
        <v/>
      </c>
      <c r="AZ183" s="351" t="str">
        <f>IFERROR(IF(Tableau1[[#This Row],[Montant Facturé 04/2018]]&gt;0,Tableau1[[#This Row],[Montant Facturé 04/2018]]/Taux_Change_SII,""),"")</f>
        <v/>
      </c>
      <c r="BA183" s="351"/>
      <c r="BB183" s="83">
        <f>SUMPRODUCT(1*(EXACT(CONCATENATE(Tableau1[[#This Row],[PO Number (Header)]],"-",Tableau1[[#This Row],[Line]]),UO_List[Unique_AIB_ID]))*(UO_List[Qté Réception 05/2020]))</f>
        <v>0</v>
      </c>
      <c r="BC183" s="84"/>
      <c r="BD183" s="351"/>
      <c r="BE183" s="351" t="str">
        <f>IFERROR(Tableau1[[#This Row],[Qté Facturé 05/2018]]*Tableau1[[#This Row],[Unit Price (calcul)]],"")</f>
        <v/>
      </c>
      <c r="BF183" s="351" t="str">
        <f>IFERROR(IF(Tableau1[[#This Row],[Montant Facturé 05/2018]]&gt;0,Tableau1[[#This Row],[Montant Facturé 05/2018]]/Taux_Change_SII,""),"")</f>
        <v/>
      </c>
      <c r="BG183" s="351"/>
      <c r="BH183" s="83">
        <f>SUMPRODUCT(1*(EXACT(CONCATENATE(Tableau1[[#This Row],[PO Number (Header)]],"-",Tableau1[[#This Row],[Line]]),UO_List[Unique_AIB_ID]))*(UO_List[Qté Réception 06/2020]))</f>
        <v>0</v>
      </c>
      <c r="BI183" s="84"/>
      <c r="BJ183" s="351"/>
      <c r="BK183" s="351" t="str">
        <f>IFERROR(Tableau1[[#This Row],[Qté Facturé 06/2018]]*Tableau1[[#This Row],[Unit Price (calcul)]],"")</f>
        <v/>
      </c>
      <c r="BL183" s="351" t="str">
        <f>IFERROR(IF(Tableau1[[#This Row],[Montant Facturé 06/2018]]&gt;0,Tableau1[[#This Row],[Montant Facturé 06/2018]]/Taux_Change_SII,""),"")</f>
        <v/>
      </c>
      <c r="BM183" s="351"/>
      <c r="BN183" s="83">
        <f>SUMPRODUCT(1*(EXACT(CONCATENATE(Tableau1[[#This Row],[PO Number (Header)]],"-",Tableau1[[#This Row],[Line]]),UO_List[Unique_AIB_ID]))*(UO_List[Qté Réception 07/2020]))</f>
        <v>0</v>
      </c>
      <c r="BO183" s="84">
        <v>0</v>
      </c>
      <c r="BP183" s="351"/>
      <c r="BQ183" s="351" t="str">
        <f>IFERROR(Tableau1[[#This Row],[Qté Facturé 07/2018]]*Tableau1[[#This Row],[Unit Price (calcul)]],"")</f>
        <v/>
      </c>
      <c r="BR183" s="351" t="str">
        <f>IFERROR(IF(Tableau1[[#This Row],[Montant Facturé 07/2018]]&gt;0,Tableau1[[#This Row],[Montant Facturé 07/2018]]/Taux_Change_SII,""),"")</f>
        <v/>
      </c>
      <c r="BS183" s="351"/>
      <c r="BT183" s="83">
        <f>SUMPRODUCT(1*(EXACT(CONCATENATE(Tableau1[[#This Row],[PO Number (Header)]],"-",Tableau1[[#This Row],[Line]]),UO_List[Unique_AIB_ID]))*(UO_List[Qté Réception 08/2020]))</f>
        <v>0</v>
      </c>
      <c r="BU183" s="84"/>
      <c r="BV183" s="351"/>
      <c r="BW183" s="351" t="str">
        <f>IFERROR(Tableau1[[#This Row],[Qté Facturé 08/2018]]*Tableau1[[#This Row],[Unit Price (calcul)]],"")</f>
        <v/>
      </c>
      <c r="BX183" s="351" t="str">
        <f>IFERROR(IF(Tableau1[[#This Row],[Montant Facturé 08/2018]]&gt;0,Tableau1[[#This Row],[Montant Facturé 08/2018]]/Taux_Change_SII,""),"")</f>
        <v/>
      </c>
      <c r="BY183" s="351"/>
      <c r="BZ183" s="83">
        <f>SUMPRODUCT(1*(EXACT(CONCATENATE(Tableau1[[#This Row],[PO Number (Header)]],"-",Tableau1[[#This Row],[Line]]),UO_List[Unique_AIB_ID]))*(UO_List[Qté Réception 09/2020]))</f>
        <v>0</v>
      </c>
      <c r="CA183" s="84">
        <v>0</v>
      </c>
      <c r="CB183" s="351"/>
      <c r="CC183" s="351" t="str">
        <f>IFERROR(Tableau1[[#This Row],[Qté Facturé 09/2018]]*Tableau1[[#This Row],[Unit Price (calcul)]],"")</f>
        <v/>
      </c>
      <c r="CD183" s="351" t="str">
        <f>IFERROR(IF(Tableau1[[#This Row],[Montant Facturé 09/2018]]&gt;0,Tableau1[[#This Row],[Montant Facturé 09/2018]]/Taux_Change_SII,""),"")</f>
        <v/>
      </c>
      <c r="CE183" s="351"/>
      <c r="CF183" s="83">
        <f>SUMPRODUCT(1*(EXACT(CONCATENATE(Tableau1[[#This Row],[PO Number (Header)]],"-",Tableau1[[#This Row],[Line]]),UO_List[Unique_AIB_ID]))*(UO_List[Qté Réception 10/2020]))</f>
        <v>0</v>
      </c>
      <c r="CG183" s="84">
        <v>0</v>
      </c>
      <c r="CH183" s="351"/>
      <c r="CI183" s="351" t="str">
        <f>IFERROR(Tableau1[[#This Row],[Qté Facturé 10/2018]]*Tableau1[[#This Row],[Unit Price (calcul)]],"")</f>
        <v/>
      </c>
      <c r="CJ183" s="351" t="str">
        <f>IFERROR(IF(Tableau1[[#This Row],[Montant Facturé 10/2018]]&gt;0,Tableau1[[#This Row],[Montant Facturé 10/2018]]/Taux_Change_SII,""),"")</f>
        <v/>
      </c>
      <c r="CK183" s="351"/>
      <c r="CL183" s="83">
        <f>SUMPRODUCT(1*(EXACT(CONCATENATE(Tableau1[[#This Row],[PO Number (Header)]],"-",Tableau1[[#This Row],[Line]]),UO_List[Unique_AIB_ID]))*(UO_List[Qté Réception 11/2020]))</f>
        <v>0</v>
      </c>
      <c r="CM183" s="84"/>
      <c r="CN183" s="351"/>
      <c r="CO183" s="351" t="str">
        <f>IFERROR(Tableau1[[#This Row],[Qté Facturé 11/2018]]*Tableau1[[#This Row],[Unit Price (calcul)]],"")</f>
        <v/>
      </c>
      <c r="CP183" s="351" t="str">
        <f>IFERROR(IF(Tableau1[[#This Row],[Montant Facturé 11/2018]]&gt;0,Tableau1[[#This Row],[Montant Facturé 11/2018]]/Taux_Change_SII,""),"")</f>
        <v/>
      </c>
      <c r="CQ183" s="351"/>
      <c r="CR183" s="83">
        <f>SUMPRODUCT(1*(EXACT(CONCATENATE(Tableau1[[#This Row],[PO Number (Header)]],"-",Tableau1[[#This Row],[Line]]),UO_List[Unique_AIB_ID]))*(UO_List[Qté Réception 12/2020]))</f>
        <v>0</v>
      </c>
      <c r="CS183" s="84"/>
      <c r="CT183" s="351"/>
      <c r="CU183" s="351" t="str">
        <f>IFERROR(Tableau1[[#This Row],[Qté Facturé 12/2018]]*Tableau1[[#This Row],[Unit Price (calcul)]],"")</f>
        <v/>
      </c>
      <c r="CV183" s="351" t="str">
        <f>IFERROR(IF(Tableau1[[#This Row],[Montant Facturé 12/2018]]&gt;0,Tableau1[[#This Row],[Montant Facturé 12/2018]]/Taux_Change_SII,""),"")</f>
        <v/>
      </c>
      <c r="CW183" s="351"/>
      <c r="CX18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3" s="352" t="str">
        <f>IFERROR(Tableau1[[#This Row],[Total item réceptionné]]*Tableau1[[#This Row],[Unit Price (calcul)]],"")</f>
        <v/>
      </c>
      <c r="DB183" s="352" t="str">
        <f>IFERROR(Tableau1[[#This Row],[Total item à Facturer]]*Tableau1[[#This Row],[Unit Price (calcul)]],"")</f>
        <v/>
      </c>
      <c r="DC18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3" s="352" t="str">
        <f>IFERROR(Tableau1[[#This Row],[Line Total]]-Tableau1[[#This Row],[Total Price Réceptionné]],"")</f>
        <v/>
      </c>
      <c r="DE183" s="352" t="str">
        <f>IFERROR(Tableau1[[#This Row],[Total Price Réceptionné]]-Tableau1[[#This Row],[Total Price A facturer]],"")</f>
        <v/>
      </c>
      <c r="DF183" s="353" t="str">
        <f>IFERROR(Tableau1[[#This Row],[Total Price A facturer]]-Tableau1[[#This Row],[Total Price Facturé]],"")</f>
        <v/>
      </c>
      <c r="DG183" s="76">
        <f>Tableau1[[#This Row],[Total Item Quantity]]-Tableau1[[#This Row],[Total item réceptionné]]</f>
        <v>0</v>
      </c>
      <c r="DH183" s="167"/>
      <c r="DI183" s="167"/>
    </row>
    <row r="184" spans="1:113" s="81" customFormat="1">
      <c r="A184" s="69" t="str">
        <f>CONCATENATE(Tableau1[[#This Row],[PO Number (Header)]],"-",Tableau1[[#This Row],[Line]])</f>
        <v>-</v>
      </c>
      <c r="B184" s="447"/>
      <c r="D184" s="447"/>
      <c r="F184" s="454"/>
      <c r="N184" s="69"/>
      <c r="O184" s="69"/>
      <c r="P184" s="69"/>
      <c r="Q184" s="395"/>
      <c r="R184" s="395"/>
      <c r="S184" s="69"/>
      <c r="T184" s="69"/>
      <c r="U184" s="69"/>
      <c r="V184" s="69"/>
      <c r="W184" s="170"/>
      <c r="X184" s="170"/>
      <c r="Y184" s="167" t="str">
        <f>IF(ISBLANK(Tableau1[[#This Row],[PO Number (Header)]]),"",Tableau1[[#This Row],[Line Total]]/Tableau1[[#This Row],[Total Item Quantity]])</f>
        <v/>
      </c>
      <c r="Z184" s="170" t="str">
        <f>IF(ISNA(VLOOKUP(Tableau1[[#This Row],[Unique_AIB_ID]],UO_List[Unique_AIB_ID],1,FALSE)),IF(ISBLANK(Tableau1[[#This Row],[PO Number (Header)]]),"","FAUX"),"VRAI")</f>
        <v/>
      </c>
      <c r="AA184" s="170"/>
      <c r="AB184" s="165" t="e">
        <f>VLOOKUP(Tableau1[[#This Row],[Unique_AIB_ID]],UO_List[[Unique_AIB_ID]:[OLGA F6]],3,FALSE)</f>
        <v>#N/A</v>
      </c>
      <c r="AC184" s="162" t="s">
        <v>825</v>
      </c>
      <c r="AD184" s="83">
        <f>SUMPRODUCT(1*(EXACT(CONCATENATE(Tableau1[[#This Row],[PO Number (Header)]],"-",Tableau1[[#This Row],[Line]]),UO_List[Unique_AIB_ID]))*(UO_List[Qté Réception 03/2020]))</f>
        <v>0</v>
      </c>
      <c r="AE184" s="84"/>
      <c r="AF184" s="357"/>
      <c r="AG184" s="351" t="str">
        <f>IFERROR(Tableau1[[#This Row],[Qté Facturé 01/2018]]*Tableau1[[#This Row],[Unit Price (calcul)]],"")</f>
        <v/>
      </c>
      <c r="AH184" s="356" t="str">
        <f>IFERROR(IF(Tableau1[[#This Row],[Montant Facturé 01/2018]]&gt;0,Tableau1[[#This Row],[Montant Facturé 01/2018]]/Taux_Change_SII,""),"")</f>
        <v/>
      </c>
      <c r="AI184" s="351"/>
      <c r="AJ184" s="83">
        <f>SUMPRODUCT(1*(EXACT(CONCATENATE(Tableau1[[#This Row],[PO Number (Header)]],"-",Tableau1[[#This Row],[Line]]),UO_List[Unique_AIB_ID]))*(UO_List[Qté Réception 02/2020]))</f>
        <v>0</v>
      </c>
      <c r="AK184" s="83">
        <f>SUMPRODUCT(1*(EXACT(CONCATENATE(Tableau1[[#This Row],[PO Number (Header)]],"-",Tableau1[[#This Row],[Line]]),UO_List[Unique_AIB_ID]))*(UO_List[Qté Réception 02/2020]))</f>
        <v>0</v>
      </c>
      <c r="AL184" s="357"/>
      <c r="AM184" s="351" t="str">
        <f>IFERROR(Tableau1[[#This Row],[Qté Facturé 02/2018]]*Tableau1[[#This Row],[Unit Price (calcul)]],"")</f>
        <v/>
      </c>
      <c r="AN184" s="351" t="str">
        <f>IFERROR(IF(Tableau1[[#This Row],[Montant Facturé 02/2018]]&gt;0,Tableau1[[#This Row],[Montant Facturé 02/2018]]/Taux_Change_SII,""),"")</f>
        <v/>
      </c>
      <c r="AO184" s="351"/>
      <c r="AP184" s="83">
        <f>SUMPRODUCT(1*(EXACT(CONCATENATE(Tableau1[[#This Row],[PO Number (Header)]],"-",Tableau1[[#This Row],[Line]]),UO_List[Unique_AIB_ID]))*(UO_List[Qté Réception 00/2020]))</f>
        <v>0</v>
      </c>
      <c r="AQ184" s="84">
        <v>0</v>
      </c>
      <c r="AR184" s="357"/>
      <c r="AS184" s="351" t="str">
        <f>IFERROR(Tableau1[[#This Row],[Qté Facturé 03/2018]]*Tableau1[[#This Row],[Unit Price (calcul)]],"")</f>
        <v/>
      </c>
      <c r="AT184" s="351" t="str">
        <f>IFERROR(IF(Tableau1[[#This Row],[Montant Facturé 03/2018]]&gt;0,Tableau1[[#This Row],[Montant Facturé 03/2018]]/Taux_Change_SII,""),"")</f>
        <v/>
      </c>
      <c r="AU184" s="351"/>
      <c r="AV184" s="83">
        <f>SUMPRODUCT(1*(EXACT(CONCATENATE(Tableau1[[#This Row],[PO Number (Header)]],"-",Tableau1[[#This Row],[Line]]),UO_List[Unique_AIB_ID]))*(UO_List[Qté Réception 04/2020]))</f>
        <v>0</v>
      </c>
      <c r="AW184" s="84">
        <v>0</v>
      </c>
      <c r="AX184" s="351"/>
      <c r="AY184" s="351" t="str">
        <f>IFERROR(Tableau1[[#This Row],[Qté Facturé 04/2018]]*Tableau1[[#This Row],[Unit Price (calcul)]],"")</f>
        <v/>
      </c>
      <c r="AZ184" s="351" t="str">
        <f>IFERROR(IF(Tableau1[[#This Row],[Montant Facturé 04/2018]]&gt;0,Tableau1[[#This Row],[Montant Facturé 04/2018]]/Taux_Change_SII,""),"")</f>
        <v/>
      </c>
      <c r="BA184" s="351"/>
      <c r="BB184" s="83">
        <f>SUMPRODUCT(1*(EXACT(CONCATENATE(Tableau1[[#This Row],[PO Number (Header)]],"-",Tableau1[[#This Row],[Line]]),UO_List[Unique_AIB_ID]))*(UO_List[Qté Réception 05/2020]))</f>
        <v>0</v>
      </c>
      <c r="BC184" s="84"/>
      <c r="BD184" s="351"/>
      <c r="BE184" s="351" t="str">
        <f>IFERROR(Tableau1[[#This Row],[Qté Facturé 05/2018]]*Tableau1[[#This Row],[Unit Price (calcul)]],"")</f>
        <v/>
      </c>
      <c r="BF184" s="351" t="str">
        <f>IFERROR(IF(Tableau1[[#This Row],[Montant Facturé 05/2018]]&gt;0,Tableau1[[#This Row],[Montant Facturé 05/2018]]/Taux_Change_SII,""),"")</f>
        <v/>
      </c>
      <c r="BG184" s="351"/>
      <c r="BH184" s="83">
        <f>SUMPRODUCT(1*(EXACT(CONCATENATE(Tableau1[[#This Row],[PO Number (Header)]],"-",Tableau1[[#This Row],[Line]]),UO_List[Unique_AIB_ID]))*(UO_List[Qté Réception 06/2020]))</f>
        <v>0</v>
      </c>
      <c r="BI184" s="84"/>
      <c r="BJ184" s="351"/>
      <c r="BK184" s="351" t="str">
        <f>IFERROR(Tableau1[[#This Row],[Qté Facturé 06/2018]]*Tableau1[[#This Row],[Unit Price (calcul)]],"")</f>
        <v/>
      </c>
      <c r="BL184" s="351" t="str">
        <f>IFERROR(IF(Tableau1[[#This Row],[Montant Facturé 06/2018]]&gt;0,Tableau1[[#This Row],[Montant Facturé 06/2018]]/Taux_Change_SII,""),"")</f>
        <v/>
      </c>
      <c r="BM184" s="351"/>
      <c r="BN184" s="83">
        <f>SUMPRODUCT(1*(EXACT(CONCATENATE(Tableau1[[#This Row],[PO Number (Header)]],"-",Tableau1[[#This Row],[Line]]),UO_List[Unique_AIB_ID]))*(UO_List[Qté Réception 07/2020]))</f>
        <v>0</v>
      </c>
      <c r="BO184" s="84">
        <v>0</v>
      </c>
      <c r="BP184" s="351"/>
      <c r="BQ184" s="351" t="str">
        <f>IFERROR(Tableau1[[#This Row],[Qté Facturé 07/2018]]*Tableau1[[#This Row],[Unit Price (calcul)]],"")</f>
        <v/>
      </c>
      <c r="BR184" s="351" t="str">
        <f>IFERROR(IF(Tableau1[[#This Row],[Montant Facturé 07/2018]]&gt;0,Tableau1[[#This Row],[Montant Facturé 07/2018]]/Taux_Change_SII,""),"")</f>
        <v/>
      </c>
      <c r="BS184" s="351"/>
      <c r="BT184" s="83">
        <f>SUMPRODUCT(1*(EXACT(CONCATENATE(Tableau1[[#This Row],[PO Number (Header)]],"-",Tableau1[[#This Row],[Line]]),UO_List[Unique_AIB_ID]))*(UO_List[Qté Réception 08/2020]))</f>
        <v>0</v>
      </c>
      <c r="BU184" s="84"/>
      <c r="BV184" s="351"/>
      <c r="BW184" s="351" t="str">
        <f>IFERROR(Tableau1[[#This Row],[Qté Facturé 08/2018]]*Tableau1[[#This Row],[Unit Price (calcul)]],"")</f>
        <v/>
      </c>
      <c r="BX184" s="351" t="str">
        <f>IFERROR(IF(Tableau1[[#This Row],[Montant Facturé 08/2018]]&gt;0,Tableau1[[#This Row],[Montant Facturé 08/2018]]/Taux_Change_SII,""),"")</f>
        <v/>
      </c>
      <c r="BY184" s="351"/>
      <c r="BZ184" s="83">
        <f>SUMPRODUCT(1*(EXACT(CONCATENATE(Tableau1[[#This Row],[PO Number (Header)]],"-",Tableau1[[#This Row],[Line]]),UO_List[Unique_AIB_ID]))*(UO_List[Qté Réception 09/2020]))</f>
        <v>0</v>
      </c>
      <c r="CA184" s="84">
        <v>0</v>
      </c>
      <c r="CB184" s="351"/>
      <c r="CC184" s="351" t="str">
        <f>IFERROR(Tableau1[[#This Row],[Qté Facturé 09/2018]]*Tableau1[[#This Row],[Unit Price (calcul)]],"")</f>
        <v/>
      </c>
      <c r="CD184" s="351" t="str">
        <f>IFERROR(IF(Tableau1[[#This Row],[Montant Facturé 09/2018]]&gt;0,Tableau1[[#This Row],[Montant Facturé 09/2018]]/Taux_Change_SII,""),"")</f>
        <v/>
      </c>
      <c r="CE184" s="351"/>
      <c r="CF184" s="83">
        <f>SUMPRODUCT(1*(EXACT(CONCATENATE(Tableau1[[#This Row],[PO Number (Header)]],"-",Tableau1[[#This Row],[Line]]),UO_List[Unique_AIB_ID]))*(UO_List[Qté Réception 10/2020]))</f>
        <v>0</v>
      </c>
      <c r="CG184" s="84"/>
      <c r="CH184" s="84"/>
      <c r="CI184" s="351" t="str">
        <f>IFERROR(Tableau1[[#This Row],[Qté Facturé 10/2018]]*Tableau1[[#This Row],[Unit Price (calcul)]],"")</f>
        <v/>
      </c>
      <c r="CJ184" s="351" t="str">
        <f>IFERROR(IF(Tableau1[[#This Row],[Montant Facturé 10/2018]]&gt;0,Tableau1[[#This Row],[Montant Facturé 10/2018]]/Taux_Change_SII,""),"")</f>
        <v/>
      </c>
      <c r="CK184" s="351"/>
      <c r="CL184" s="83">
        <f>SUMPRODUCT(1*(EXACT(CONCATENATE(Tableau1[[#This Row],[PO Number (Header)]],"-",Tableau1[[#This Row],[Line]]),UO_List[Unique_AIB_ID]))*(UO_List[Qté Réception 11/2020]))</f>
        <v>0</v>
      </c>
      <c r="CM184" s="84"/>
      <c r="CN184" s="351"/>
      <c r="CO184" s="351" t="str">
        <f>IFERROR(Tableau1[[#This Row],[Qté Facturé 11/2018]]*Tableau1[[#This Row],[Unit Price (calcul)]],"")</f>
        <v/>
      </c>
      <c r="CP184" s="351" t="str">
        <f>IFERROR(IF(Tableau1[[#This Row],[Montant Facturé 11/2018]]&gt;0,Tableau1[[#This Row],[Montant Facturé 11/2018]]/Taux_Change_SII,""),"")</f>
        <v/>
      </c>
      <c r="CQ184" s="351"/>
      <c r="CR184" s="83">
        <f>SUMPRODUCT(1*(EXACT(CONCATENATE(Tableau1[[#This Row],[PO Number (Header)]],"-",Tableau1[[#This Row],[Line]]),UO_List[Unique_AIB_ID]))*(UO_List[Qté Réception 12/2020]))</f>
        <v>0</v>
      </c>
      <c r="CS184" s="84"/>
      <c r="CT184" s="351"/>
      <c r="CU184" s="351" t="str">
        <f>IFERROR(Tableau1[[#This Row],[Qté Facturé 12/2018]]*Tableau1[[#This Row],[Unit Price (calcul)]],"")</f>
        <v/>
      </c>
      <c r="CV184" s="351" t="str">
        <f>IFERROR(IF(Tableau1[[#This Row],[Montant Facturé 12/2018]]&gt;0,Tableau1[[#This Row],[Montant Facturé 12/2018]]/Taux_Change_SII,""),"")</f>
        <v/>
      </c>
      <c r="CW184" s="351"/>
      <c r="CX184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4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4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4" s="352" t="str">
        <f>IFERROR(Tableau1[[#This Row],[Total item réceptionné]]*Tableau1[[#This Row],[Unit Price (calcul)]],"")</f>
        <v/>
      </c>
      <c r="DB184" s="352" t="str">
        <f>IFERROR(Tableau1[[#This Row],[Total item à Facturer]]*Tableau1[[#This Row],[Unit Price (calcul)]],"")</f>
        <v/>
      </c>
      <c r="DC184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4" s="352" t="str">
        <f>IFERROR(Tableau1[[#This Row],[Line Total]]-Tableau1[[#This Row],[Total Price Réceptionné]],"")</f>
        <v/>
      </c>
      <c r="DE184" s="352" t="str">
        <f>IFERROR(Tableau1[[#This Row],[Total Price Réceptionné]]-Tableau1[[#This Row],[Total Price A facturer]],"")</f>
        <v/>
      </c>
      <c r="DF184" s="353" t="str">
        <f>IFERROR(Tableau1[[#This Row],[Total Price A facturer]]-Tableau1[[#This Row],[Total Price Facturé]],"")</f>
        <v/>
      </c>
      <c r="DG184" s="76">
        <f>Tableau1[[#This Row],[Total Item Quantity]]-Tableau1[[#This Row],[Total item réceptionné]]</f>
        <v>0</v>
      </c>
      <c r="DH184" s="170"/>
      <c r="DI184" s="167"/>
    </row>
    <row r="185" spans="1:113" s="74" customFormat="1">
      <c r="A185" s="77" t="str">
        <f>CONCATENATE(Tableau1[[#This Row],[PO Number (Header)]],"-",Tableau1[[#This Row],[Line]])</f>
        <v>-</v>
      </c>
      <c r="B185" s="475"/>
      <c r="C185" s="476"/>
      <c r="D185" s="475"/>
      <c r="E185" s="476"/>
      <c r="F185" s="454"/>
      <c r="G185" s="476"/>
      <c r="H185" s="476"/>
      <c r="I185" s="476"/>
      <c r="J185" s="476"/>
      <c r="K185" s="476"/>
      <c r="L185" s="476"/>
      <c r="M185" s="476"/>
      <c r="N185" s="77"/>
      <c r="O185" s="77"/>
      <c r="P185" s="77"/>
      <c r="Q185" s="395"/>
      <c r="R185" s="395"/>
      <c r="S185" s="77"/>
      <c r="T185" s="77"/>
      <c r="U185" s="77"/>
      <c r="V185" s="77"/>
      <c r="W185" s="167"/>
      <c r="X185" s="167"/>
      <c r="Y185" s="167" t="str">
        <f>IF(ISBLANK(Tableau1[[#This Row],[PO Number (Header)]]),"",Tableau1[[#This Row],[Line Total]]/Tableau1[[#This Row],[Total Item Quantity]])</f>
        <v/>
      </c>
      <c r="Z185" s="167" t="str">
        <f>IF(ISNA(VLOOKUP(Tableau1[[#This Row],[Unique_AIB_ID]],UO_List[Unique_AIB_ID],1,FALSE)),IF(ISBLANK(Tableau1[[#This Row],[PO Number (Header)]]),"","FAUX"),"VRAI")</f>
        <v/>
      </c>
      <c r="AA185" s="167"/>
      <c r="AB185" s="162" t="e">
        <f>VLOOKUP(Tableau1[[#This Row],[Unique_AIB_ID]],UO_List[[Unique_AIB_ID]:[OLGA F6]],3,FALSE)</f>
        <v>#N/A</v>
      </c>
      <c r="AC185" s="162" t="s">
        <v>813</v>
      </c>
      <c r="AD185" s="83">
        <f>SUMPRODUCT(1*(EXACT(CONCATENATE(Tableau1[[#This Row],[PO Number (Header)]],"-",Tableau1[[#This Row],[Line]]),UO_List[Unique_AIB_ID]))*(UO_List[Qté Réception 03/2020]))</f>
        <v>0</v>
      </c>
      <c r="AE185" s="84"/>
      <c r="AF185" s="357"/>
      <c r="AG185" s="351" t="str">
        <f>IFERROR(Tableau1[[#This Row],[Qté Facturé 01/2018]]*Tableau1[[#This Row],[Unit Price (calcul)]],"")</f>
        <v/>
      </c>
      <c r="AH185" s="356" t="str">
        <f>IFERROR(IF(Tableau1[[#This Row],[Montant Facturé 01/2018]]&gt;0,Tableau1[[#This Row],[Montant Facturé 01/2018]]/Taux_Change_SII,""),"")</f>
        <v/>
      </c>
      <c r="AI185" s="351"/>
      <c r="AJ185" s="83">
        <f>SUMPRODUCT(1*(EXACT(CONCATENATE(Tableau1[[#This Row],[PO Number (Header)]],"-",Tableau1[[#This Row],[Line]]),UO_List[Unique_AIB_ID]))*(UO_List[Qté Réception 02/2020]))</f>
        <v>0</v>
      </c>
      <c r="AK185" s="83">
        <f>SUMPRODUCT(1*(EXACT(CONCATENATE(Tableau1[[#This Row],[PO Number (Header)]],"-",Tableau1[[#This Row],[Line]]),UO_List[Unique_AIB_ID]))*(UO_List[Qté Réception 02/2020]))</f>
        <v>0</v>
      </c>
      <c r="AL185" s="357"/>
      <c r="AM185" s="351" t="str">
        <f>IFERROR(Tableau1[[#This Row],[Qté Facturé 02/2018]]*Tableau1[[#This Row],[Unit Price (calcul)]],"")</f>
        <v/>
      </c>
      <c r="AN185" s="351" t="str">
        <f>IFERROR(IF(Tableau1[[#This Row],[Montant Facturé 02/2018]]&gt;0,Tableau1[[#This Row],[Montant Facturé 02/2018]]/Taux_Change_SII,""),"")</f>
        <v/>
      </c>
      <c r="AO185" s="351"/>
      <c r="AP185" s="83">
        <f>SUMPRODUCT(1*(EXACT(CONCATENATE(Tableau1[[#This Row],[PO Number (Header)]],"-",Tableau1[[#This Row],[Line]]),UO_List[Unique_AIB_ID]))*(UO_List[Qté Réception 00/2020]))</f>
        <v>0</v>
      </c>
      <c r="AQ185" s="84">
        <v>0</v>
      </c>
      <c r="AR185" s="357"/>
      <c r="AS185" s="351" t="str">
        <f>IFERROR(Tableau1[[#This Row],[Qté Facturé 03/2018]]*Tableau1[[#This Row],[Unit Price (calcul)]],"")</f>
        <v/>
      </c>
      <c r="AT185" s="351" t="str">
        <f>IFERROR(IF(Tableau1[[#This Row],[Montant Facturé 03/2018]]&gt;0,Tableau1[[#This Row],[Montant Facturé 03/2018]]/Taux_Change_SII,""),"")</f>
        <v/>
      </c>
      <c r="AU185" s="351"/>
      <c r="AV185" s="83">
        <f>SUMPRODUCT(1*(EXACT(CONCATENATE(Tableau1[[#This Row],[PO Number (Header)]],"-",Tableau1[[#This Row],[Line]]),UO_List[Unique_AIB_ID]))*(UO_List[Qté Réception 04/2020]))</f>
        <v>0</v>
      </c>
      <c r="AW185" s="84">
        <v>0</v>
      </c>
      <c r="AX185" s="351"/>
      <c r="AY185" s="351" t="str">
        <f>IFERROR(Tableau1[[#This Row],[Qté Facturé 04/2018]]*Tableau1[[#This Row],[Unit Price (calcul)]],"")</f>
        <v/>
      </c>
      <c r="AZ185" s="351" t="str">
        <f>IFERROR(IF(Tableau1[[#This Row],[Montant Facturé 04/2018]]&gt;0,Tableau1[[#This Row],[Montant Facturé 04/2018]]/Taux_Change_SII,""),"")</f>
        <v/>
      </c>
      <c r="BA185" s="351"/>
      <c r="BB185" s="83">
        <f>SUMPRODUCT(1*(EXACT(CONCATENATE(Tableau1[[#This Row],[PO Number (Header)]],"-",Tableau1[[#This Row],[Line]]),UO_List[Unique_AIB_ID]))*(UO_List[Qté Réception 05/2020]))</f>
        <v>0</v>
      </c>
      <c r="BC185" s="84"/>
      <c r="BD185" s="351"/>
      <c r="BE185" s="351" t="str">
        <f>IFERROR(Tableau1[[#This Row],[Qté Facturé 05/2018]]*Tableau1[[#This Row],[Unit Price (calcul)]],"")</f>
        <v/>
      </c>
      <c r="BF185" s="351" t="str">
        <f>IFERROR(IF(Tableau1[[#This Row],[Montant Facturé 05/2018]]&gt;0,Tableau1[[#This Row],[Montant Facturé 05/2018]]/Taux_Change_SII,""),"")</f>
        <v/>
      </c>
      <c r="BG185" s="351"/>
      <c r="BH185" s="83">
        <f>SUMPRODUCT(1*(EXACT(CONCATENATE(Tableau1[[#This Row],[PO Number (Header)]],"-",Tableau1[[#This Row],[Line]]),UO_List[Unique_AIB_ID]))*(UO_List[Qté Réception 06/2020]))</f>
        <v>0</v>
      </c>
      <c r="BI185" s="84"/>
      <c r="BJ185" s="351"/>
      <c r="BK185" s="351" t="str">
        <f>IFERROR(Tableau1[[#This Row],[Qté Facturé 06/2018]]*Tableau1[[#This Row],[Unit Price (calcul)]],"")</f>
        <v/>
      </c>
      <c r="BL185" s="351" t="str">
        <f>IFERROR(IF(Tableau1[[#This Row],[Montant Facturé 06/2018]]&gt;0,Tableau1[[#This Row],[Montant Facturé 06/2018]]/Taux_Change_SII,""),"")</f>
        <v/>
      </c>
      <c r="BM185" s="351"/>
      <c r="BN185" s="83">
        <f>SUMPRODUCT(1*(EXACT(CONCATENATE(Tableau1[[#This Row],[PO Number (Header)]],"-",Tableau1[[#This Row],[Line]]),UO_List[Unique_AIB_ID]))*(UO_List[Qté Réception 07/2020]))</f>
        <v>0</v>
      </c>
      <c r="BO185" s="84">
        <v>0</v>
      </c>
      <c r="BP185" s="351"/>
      <c r="BQ185" s="351" t="str">
        <f>IFERROR(Tableau1[[#This Row],[Qté Facturé 07/2018]]*Tableau1[[#This Row],[Unit Price (calcul)]],"")</f>
        <v/>
      </c>
      <c r="BR185" s="351" t="str">
        <f>IFERROR(IF(Tableau1[[#This Row],[Montant Facturé 07/2018]]&gt;0,Tableau1[[#This Row],[Montant Facturé 07/2018]]/Taux_Change_SII,""),"")</f>
        <v/>
      </c>
      <c r="BS185" s="351"/>
      <c r="BT185" s="83">
        <f>SUMPRODUCT(1*(EXACT(CONCATENATE(Tableau1[[#This Row],[PO Number (Header)]],"-",Tableau1[[#This Row],[Line]]),UO_List[Unique_AIB_ID]))*(UO_List[Qté Réception 08/2020]))</f>
        <v>0</v>
      </c>
      <c r="BU185" s="84"/>
      <c r="BV185" s="351"/>
      <c r="BW185" s="351" t="str">
        <f>IFERROR(Tableau1[[#This Row],[Qté Facturé 08/2018]]*Tableau1[[#This Row],[Unit Price (calcul)]],"")</f>
        <v/>
      </c>
      <c r="BX185" s="351" t="str">
        <f>IFERROR(IF(Tableau1[[#This Row],[Montant Facturé 08/2018]]&gt;0,Tableau1[[#This Row],[Montant Facturé 08/2018]]/Taux_Change_SII,""),"")</f>
        <v/>
      </c>
      <c r="BY185" s="351"/>
      <c r="BZ185" s="83">
        <f>SUMPRODUCT(1*(EXACT(CONCATENATE(Tableau1[[#This Row],[PO Number (Header)]],"-",Tableau1[[#This Row],[Line]]),UO_List[Unique_AIB_ID]))*(UO_List[Qté Réception 09/2020]))</f>
        <v>0</v>
      </c>
      <c r="CA185" s="84">
        <v>0</v>
      </c>
      <c r="CB185" s="351"/>
      <c r="CC185" s="351" t="str">
        <f>IFERROR(Tableau1[[#This Row],[Qté Facturé 09/2018]]*Tableau1[[#This Row],[Unit Price (calcul)]],"")</f>
        <v/>
      </c>
      <c r="CD185" s="351" t="str">
        <f>IFERROR(IF(Tableau1[[#This Row],[Montant Facturé 09/2018]]&gt;0,Tableau1[[#This Row],[Montant Facturé 09/2018]]/Taux_Change_SII,""),"")</f>
        <v/>
      </c>
      <c r="CE185" s="351"/>
      <c r="CF185" s="83">
        <f>SUMPRODUCT(1*(EXACT(CONCATENATE(Tableau1[[#This Row],[PO Number (Header)]],"-",Tableau1[[#This Row],[Line]]),UO_List[Unique_AIB_ID]))*(UO_List[Qté Réception 10/2020]))</f>
        <v>0</v>
      </c>
      <c r="CG185" s="84">
        <v>0</v>
      </c>
      <c r="CH185" s="351"/>
      <c r="CI185" s="351" t="str">
        <f>IFERROR(Tableau1[[#This Row],[Qté Facturé 10/2018]]*Tableau1[[#This Row],[Unit Price (calcul)]],"")</f>
        <v/>
      </c>
      <c r="CJ185" s="351" t="str">
        <f>IFERROR(IF(Tableau1[[#This Row],[Montant Facturé 10/2018]]&gt;0,Tableau1[[#This Row],[Montant Facturé 10/2018]]/Taux_Change_SII,""),"")</f>
        <v/>
      </c>
      <c r="CK185" s="351"/>
      <c r="CL185" s="83">
        <f>SUMPRODUCT(1*(EXACT(CONCATENATE(Tableau1[[#This Row],[PO Number (Header)]],"-",Tableau1[[#This Row],[Line]]),UO_List[Unique_AIB_ID]))*(UO_List[Qté Réception 11/2020]))</f>
        <v>0</v>
      </c>
      <c r="CM185" s="84"/>
      <c r="CN185" s="351"/>
      <c r="CO185" s="351" t="str">
        <f>IFERROR(Tableau1[[#This Row],[Qté Facturé 11/2018]]*Tableau1[[#This Row],[Unit Price (calcul)]],"")</f>
        <v/>
      </c>
      <c r="CP185" s="351" t="str">
        <f>IFERROR(IF(Tableau1[[#This Row],[Montant Facturé 11/2018]]&gt;0,Tableau1[[#This Row],[Montant Facturé 11/2018]]/Taux_Change_SII,""),"")</f>
        <v/>
      </c>
      <c r="CQ185" s="351"/>
      <c r="CR185" s="83">
        <f>SUMPRODUCT(1*(EXACT(CONCATENATE(Tableau1[[#This Row],[PO Number (Header)]],"-",Tableau1[[#This Row],[Line]]),UO_List[Unique_AIB_ID]))*(UO_List[Qté Réception 12/2020]))</f>
        <v>0</v>
      </c>
      <c r="CS185" s="84"/>
      <c r="CT185" s="351"/>
      <c r="CU185" s="351" t="str">
        <f>IFERROR(Tableau1[[#This Row],[Qté Facturé 12/2018]]*Tableau1[[#This Row],[Unit Price (calcul)]],"")</f>
        <v/>
      </c>
      <c r="CV185" s="351" t="str">
        <f>IFERROR(IF(Tableau1[[#This Row],[Montant Facturé 12/2018]]&gt;0,Tableau1[[#This Row],[Montant Facturé 12/2018]]/Taux_Change_SII,""),"")</f>
        <v/>
      </c>
      <c r="CW185" s="351"/>
      <c r="CX185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5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5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5" s="352" t="str">
        <f>IFERROR(Tableau1[[#This Row],[Total item réceptionné]]*Tableau1[[#This Row],[Unit Price (calcul)]],"")</f>
        <v/>
      </c>
      <c r="DB185" s="352" t="str">
        <f>IFERROR(Tableau1[[#This Row],[Total item à Facturer]]*Tableau1[[#This Row],[Unit Price (calcul)]],"")</f>
        <v/>
      </c>
      <c r="DC185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5" s="352" t="str">
        <f>IFERROR(Tableau1[[#This Row],[Line Total]]-Tableau1[[#This Row],[Total Price Réceptionné]],"")</f>
        <v/>
      </c>
      <c r="DE185" s="352" t="str">
        <f>IFERROR(Tableau1[[#This Row],[Total Price Réceptionné]]-Tableau1[[#This Row],[Total Price A facturer]],"")</f>
        <v/>
      </c>
      <c r="DF185" s="353" t="str">
        <f>IFERROR(Tableau1[[#This Row],[Total Price A facturer]]-Tableau1[[#This Row],[Total Price Facturé]],"")</f>
        <v/>
      </c>
      <c r="DG185" s="76">
        <f>Tableau1[[#This Row],[Total Item Quantity]]-Tableau1[[#This Row],[Total item réceptionné]]</f>
        <v>0</v>
      </c>
      <c r="DH185" s="167"/>
      <c r="DI185" s="167"/>
    </row>
    <row r="186" spans="1:113" s="74" customFormat="1">
      <c r="A186" s="77" t="str">
        <f>CONCATENATE(Tableau1[[#This Row],[PO Number (Header)]],"-",Tableau1[[#This Row],[Line]])</f>
        <v>-</v>
      </c>
      <c r="B186" s="397"/>
      <c r="D186" s="397"/>
      <c r="F186" s="454"/>
      <c r="N186" s="77"/>
      <c r="O186" s="77"/>
      <c r="P186" s="77"/>
      <c r="Q186" s="395"/>
      <c r="R186" s="395"/>
      <c r="S186" s="77"/>
      <c r="T186" s="77"/>
      <c r="U186" s="77"/>
      <c r="V186" s="77"/>
      <c r="W186" s="167"/>
      <c r="X186" s="167"/>
      <c r="Y186" s="167" t="str">
        <f>IF(ISBLANK(Tableau1[[#This Row],[PO Number (Header)]]),"",Tableau1[[#This Row],[Line Total]]/Tableau1[[#This Row],[Total Item Quantity]])</f>
        <v/>
      </c>
      <c r="Z186" s="167" t="str">
        <f>IF(ISNA(VLOOKUP(Tableau1[[#This Row],[Unique_AIB_ID]],UO_List[Unique_AIB_ID],1,FALSE)),IF(ISBLANK(Tableau1[[#This Row],[PO Number (Header)]]),"","FAUX"),"VRAI")</f>
        <v/>
      </c>
      <c r="AA186" s="167"/>
      <c r="AB186" s="162" t="e">
        <f>VLOOKUP(Tableau1[[#This Row],[Unique_AIB_ID]],UO_List[[Unique_AIB_ID]:[OLGA F6]],3,FALSE)</f>
        <v>#N/A</v>
      </c>
      <c r="AC186" s="162" t="s">
        <v>813</v>
      </c>
      <c r="AD186" s="83">
        <f>SUMPRODUCT(1*(EXACT(CONCATENATE(Tableau1[[#This Row],[PO Number (Header)]],"-",Tableau1[[#This Row],[Line]]),UO_List[Unique_AIB_ID]))*(UO_List[Qté Réception 03/2020]))</f>
        <v>0</v>
      </c>
      <c r="AE186" s="84"/>
      <c r="AF186" s="357"/>
      <c r="AG186" s="351" t="str">
        <f>IFERROR(Tableau1[[#This Row],[Qté Facturé 01/2018]]*Tableau1[[#This Row],[Unit Price (calcul)]],"")</f>
        <v/>
      </c>
      <c r="AH186" s="356" t="str">
        <f>IFERROR(IF(Tableau1[[#This Row],[Montant Facturé 01/2018]]&gt;0,Tableau1[[#This Row],[Montant Facturé 01/2018]]/Taux_Change_SII,""),"")</f>
        <v/>
      </c>
      <c r="AI186" s="351"/>
      <c r="AJ186" s="83">
        <f>SUMPRODUCT(1*(EXACT(CONCATENATE(Tableau1[[#This Row],[PO Number (Header)]],"-",Tableau1[[#This Row],[Line]]),UO_List[Unique_AIB_ID]))*(UO_List[Qté Réception 02/2020]))</f>
        <v>0</v>
      </c>
      <c r="AK186" s="83">
        <f>SUMPRODUCT(1*(EXACT(CONCATENATE(Tableau1[[#This Row],[PO Number (Header)]],"-",Tableau1[[#This Row],[Line]]),UO_List[Unique_AIB_ID]))*(UO_List[Qté Réception 02/2020]))</f>
        <v>0</v>
      </c>
      <c r="AL186" s="357"/>
      <c r="AM186" s="351" t="str">
        <f>IFERROR(Tableau1[[#This Row],[Qté Facturé 02/2018]]*Tableau1[[#This Row],[Unit Price (calcul)]],"")</f>
        <v/>
      </c>
      <c r="AN186" s="351" t="str">
        <f>IFERROR(IF(Tableau1[[#This Row],[Montant Facturé 02/2018]]&gt;0,Tableau1[[#This Row],[Montant Facturé 02/2018]]/Taux_Change_SII,""),"")</f>
        <v/>
      </c>
      <c r="AO186" s="351"/>
      <c r="AP186" s="83">
        <f>SUMPRODUCT(1*(EXACT(CONCATENATE(Tableau1[[#This Row],[PO Number (Header)]],"-",Tableau1[[#This Row],[Line]]),UO_List[Unique_AIB_ID]))*(UO_List[Qté Réception 00/2020]))</f>
        <v>0</v>
      </c>
      <c r="AQ186" s="84">
        <v>0</v>
      </c>
      <c r="AR186" s="357"/>
      <c r="AS186" s="351" t="str">
        <f>IFERROR(Tableau1[[#This Row],[Qté Facturé 03/2018]]*Tableau1[[#This Row],[Unit Price (calcul)]],"")</f>
        <v/>
      </c>
      <c r="AT186" s="351" t="str">
        <f>IFERROR(IF(Tableau1[[#This Row],[Montant Facturé 03/2018]]&gt;0,Tableau1[[#This Row],[Montant Facturé 03/2018]]/Taux_Change_SII,""),"")</f>
        <v/>
      </c>
      <c r="AU186" s="351"/>
      <c r="AV186" s="83">
        <f>SUMPRODUCT(1*(EXACT(CONCATENATE(Tableau1[[#This Row],[PO Number (Header)]],"-",Tableau1[[#This Row],[Line]]),UO_List[Unique_AIB_ID]))*(UO_List[Qté Réception 04/2020]))</f>
        <v>0</v>
      </c>
      <c r="AW186" s="84">
        <v>0</v>
      </c>
      <c r="AX186" s="351"/>
      <c r="AY186" s="351" t="str">
        <f>IFERROR(Tableau1[[#This Row],[Qté Facturé 04/2018]]*Tableau1[[#This Row],[Unit Price (calcul)]],"")</f>
        <v/>
      </c>
      <c r="AZ186" s="351" t="str">
        <f>IFERROR(IF(Tableau1[[#This Row],[Montant Facturé 04/2018]]&gt;0,Tableau1[[#This Row],[Montant Facturé 04/2018]]/Taux_Change_SII,""),"")</f>
        <v/>
      </c>
      <c r="BA186" s="351"/>
      <c r="BB186" s="83">
        <f>SUMPRODUCT(1*(EXACT(CONCATENATE(Tableau1[[#This Row],[PO Number (Header)]],"-",Tableau1[[#This Row],[Line]]),UO_List[Unique_AIB_ID]))*(UO_List[Qté Réception 05/2020]))</f>
        <v>0</v>
      </c>
      <c r="BC186" s="84"/>
      <c r="BD186" s="351"/>
      <c r="BE186" s="351" t="str">
        <f>IFERROR(Tableau1[[#This Row],[Qté Facturé 05/2018]]*Tableau1[[#This Row],[Unit Price (calcul)]],"")</f>
        <v/>
      </c>
      <c r="BF186" s="351" t="str">
        <f>IFERROR(IF(Tableau1[[#This Row],[Montant Facturé 05/2018]]&gt;0,Tableau1[[#This Row],[Montant Facturé 05/2018]]/Taux_Change_SII,""),"")</f>
        <v/>
      </c>
      <c r="BG186" s="351"/>
      <c r="BH186" s="83">
        <f>SUMPRODUCT(1*(EXACT(CONCATENATE(Tableau1[[#This Row],[PO Number (Header)]],"-",Tableau1[[#This Row],[Line]]),UO_List[Unique_AIB_ID]))*(UO_List[Qté Réception 06/2020]))</f>
        <v>0</v>
      </c>
      <c r="BI186" s="84"/>
      <c r="BJ186" s="351"/>
      <c r="BK186" s="351" t="str">
        <f>IFERROR(Tableau1[[#This Row],[Qté Facturé 06/2018]]*Tableau1[[#This Row],[Unit Price (calcul)]],"")</f>
        <v/>
      </c>
      <c r="BL186" s="351" t="str">
        <f>IFERROR(IF(Tableau1[[#This Row],[Montant Facturé 06/2018]]&gt;0,Tableau1[[#This Row],[Montant Facturé 06/2018]]/Taux_Change_SII,""),"")</f>
        <v/>
      </c>
      <c r="BM186" s="351"/>
      <c r="BN186" s="83">
        <f>SUMPRODUCT(1*(EXACT(CONCATENATE(Tableau1[[#This Row],[PO Number (Header)]],"-",Tableau1[[#This Row],[Line]]),UO_List[Unique_AIB_ID]))*(UO_List[Qté Réception 07/2020]))</f>
        <v>0</v>
      </c>
      <c r="BO186" s="84">
        <v>0</v>
      </c>
      <c r="BP186" s="351"/>
      <c r="BQ186" s="351" t="str">
        <f>IFERROR(Tableau1[[#This Row],[Qté Facturé 07/2018]]*Tableau1[[#This Row],[Unit Price (calcul)]],"")</f>
        <v/>
      </c>
      <c r="BR186" s="351" t="str">
        <f>IFERROR(IF(Tableau1[[#This Row],[Montant Facturé 07/2018]]&gt;0,Tableau1[[#This Row],[Montant Facturé 07/2018]]/Taux_Change_SII,""),"")</f>
        <v/>
      </c>
      <c r="BS186" s="351"/>
      <c r="BT186" s="83">
        <f>SUMPRODUCT(1*(EXACT(CONCATENATE(Tableau1[[#This Row],[PO Number (Header)]],"-",Tableau1[[#This Row],[Line]]),UO_List[Unique_AIB_ID]))*(UO_List[Qté Réception 08/2020]))</f>
        <v>0</v>
      </c>
      <c r="BU186" s="84"/>
      <c r="BV186" s="351"/>
      <c r="BW186" s="351" t="str">
        <f>IFERROR(Tableau1[[#This Row],[Qté Facturé 08/2018]]*Tableau1[[#This Row],[Unit Price (calcul)]],"")</f>
        <v/>
      </c>
      <c r="BX186" s="351" t="str">
        <f>IFERROR(IF(Tableau1[[#This Row],[Montant Facturé 08/2018]]&gt;0,Tableau1[[#This Row],[Montant Facturé 08/2018]]/Taux_Change_SII,""),"")</f>
        <v/>
      </c>
      <c r="BY186" s="351"/>
      <c r="BZ186" s="83">
        <f>SUMPRODUCT(1*(EXACT(CONCATENATE(Tableau1[[#This Row],[PO Number (Header)]],"-",Tableau1[[#This Row],[Line]]),UO_List[Unique_AIB_ID]))*(UO_List[Qté Réception 09/2020]))</f>
        <v>0</v>
      </c>
      <c r="CA186" s="84">
        <v>0</v>
      </c>
      <c r="CB186" s="351"/>
      <c r="CC186" s="351" t="str">
        <f>IFERROR(Tableau1[[#This Row],[Qté Facturé 09/2018]]*Tableau1[[#This Row],[Unit Price (calcul)]],"")</f>
        <v/>
      </c>
      <c r="CD186" s="351" t="str">
        <f>IFERROR(IF(Tableau1[[#This Row],[Montant Facturé 09/2018]]&gt;0,Tableau1[[#This Row],[Montant Facturé 09/2018]]/Taux_Change_SII,""),"")</f>
        <v/>
      </c>
      <c r="CE186" s="351"/>
      <c r="CF186" s="83">
        <f>SUMPRODUCT(1*(EXACT(CONCATENATE(Tableau1[[#This Row],[PO Number (Header)]],"-",Tableau1[[#This Row],[Line]]),UO_List[Unique_AIB_ID]))*(UO_List[Qté Réception 10/2020]))</f>
        <v>0</v>
      </c>
      <c r="CG186" s="84">
        <v>0</v>
      </c>
      <c r="CH186" s="351"/>
      <c r="CI186" s="351" t="str">
        <f>IFERROR(Tableau1[[#This Row],[Qté Facturé 10/2018]]*Tableau1[[#This Row],[Unit Price (calcul)]],"")</f>
        <v/>
      </c>
      <c r="CJ186" s="351" t="str">
        <f>IFERROR(IF(Tableau1[[#This Row],[Montant Facturé 10/2018]]&gt;0,Tableau1[[#This Row],[Montant Facturé 10/2018]]/Taux_Change_SII,""),"")</f>
        <v/>
      </c>
      <c r="CK186" s="351"/>
      <c r="CL186" s="83">
        <f>SUMPRODUCT(1*(EXACT(CONCATENATE(Tableau1[[#This Row],[PO Number (Header)]],"-",Tableau1[[#This Row],[Line]]),UO_List[Unique_AIB_ID]))*(UO_List[Qté Réception 11/2020]))</f>
        <v>0</v>
      </c>
      <c r="CM186" s="84"/>
      <c r="CN186" s="351"/>
      <c r="CO186" s="351" t="str">
        <f>IFERROR(Tableau1[[#This Row],[Qté Facturé 11/2018]]*Tableau1[[#This Row],[Unit Price (calcul)]],"")</f>
        <v/>
      </c>
      <c r="CP186" s="351" t="str">
        <f>IFERROR(IF(Tableau1[[#This Row],[Montant Facturé 11/2018]]&gt;0,Tableau1[[#This Row],[Montant Facturé 11/2018]]/Taux_Change_SII,""),"")</f>
        <v/>
      </c>
      <c r="CQ186" s="351"/>
      <c r="CR186" s="83">
        <f>SUMPRODUCT(1*(EXACT(CONCATENATE(Tableau1[[#This Row],[PO Number (Header)]],"-",Tableau1[[#This Row],[Line]]),UO_List[Unique_AIB_ID]))*(UO_List[Qté Réception 12/2020]))</f>
        <v>0</v>
      </c>
      <c r="CS186" s="84"/>
      <c r="CT186" s="351"/>
      <c r="CU186" s="351" t="str">
        <f>IFERROR(Tableau1[[#This Row],[Qté Facturé 12/2018]]*Tableau1[[#This Row],[Unit Price (calcul)]],"")</f>
        <v/>
      </c>
      <c r="CV186" s="351" t="str">
        <f>IFERROR(IF(Tableau1[[#This Row],[Montant Facturé 12/2018]]&gt;0,Tableau1[[#This Row],[Montant Facturé 12/2018]]/Taux_Change_SII,""),"")</f>
        <v/>
      </c>
      <c r="CW186" s="351"/>
      <c r="CX186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6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6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6" s="352" t="str">
        <f>IFERROR(Tableau1[[#This Row],[Total item réceptionné]]*Tableau1[[#This Row],[Unit Price (calcul)]],"")</f>
        <v/>
      </c>
      <c r="DB186" s="352" t="str">
        <f>IFERROR(Tableau1[[#This Row],[Total item à Facturer]]*Tableau1[[#This Row],[Unit Price (calcul)]],"")</f>
        <v/>
      </c>
      <c r="DC186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6" s="352" t="str">
        <f>IFERROR(Tableau1[[#This Row],[Line Total]]-Tableau1[[#This Row],[Total Price Réceptionné]],"")</f>
        <v/>
      </c>
      <c r="DE186" s="352" t="str">
        <f>IFERROR(Tableau1[[#This Row],[Total Price Réceptionné]]-Tableau1[[#This Row],[Total Price A facturer]],"")</f>
        <v/>
      </c>
      <c r="DF186" s="353" t="str">
        <f>IFERROR(Tableau1[[#This Row],[Total Price A facturer]]-Tableau1[[#This Row],[Total Price Facturé]],"")</f>
        <v/>
      </c>
      <c r="DG186" s="76">
        <f>Tableau1[[#This Row],[Total Item Quantity]]-Tableau1[[#This Row],[Total item réceptionné]]</f>
        <v>0</v>
      </c>
      <c r="DH186" s="167"/>
      <c r="DI186" s="167"/>
    </row>
    <row r="187" spans="1:113" s="74" customFormat="1">
      <c r="A187" s="77" t="str">
        <f>CONCATENATE(Tableau1[[#This Row],[PO Number (Header)]],"-",Tableau1[[#This Row],[Line]])</f>
        <v>-</v>
      </c>
      <c r="B187" s="405"/>
      <c r="D187" s="397"/>
      <c r="F187" s="454"/>
      <c r="N187" s="77"/>
      <c r="O187" s="77"/>
      <c r="P187" s="77"/>
      <c r="Q187" s="395"/>
      <c r="R187" s="395"/>
      <c r="S187" s="77"/>
      <c r="T187" s="77"/>
      <c r="U187" s="77"/>
      <c r="V187" s="77"/>
      <c r="W187" s="167"/>
      <c r="X187" s="167"/>
      <c r="Y187" s="167" t="str">
        <f>IF(ISBLANK(Tableau1[[#This Row],[PO Number (Header)]]),"",Tableau1[[#This Row],[Line Total]]/Tableau1[[#This Row],[Total Item Quantity]])</f>
        <v/>
      </c>
      <c r="Z187" s="167" t="str">
        <f>IF(ISNA(VLOOKUP(Tableau1[[#This Row],[Unique_AIB_ID]],UO_List[Unique_AIB_ID],1,FALSE)),IF(ISBLANK(Tableau1[[#This Row],[PO Number (Header)]]),"","FAUX"),"VRAI")</f>
        <v/>
      </c>
      <c r="AA187" s="167"/>
      <c r="AB187" s="162" t="e">
        <f>VLOOKUP(Tableau1[[#This Row],[Unique_AIB_ID]],UO_List[[Unique_AIB_ID]:[OLGA F6]],3,FALSE)</f>
        <v>#N/A</v>
      </c>
      <c r="AC187" s="162" t="s">
        <v>814</v>
      </c>
      <c r="AD187" s="83">
        <f>SUMPRODUCT(1*(EXACT(CONCATENATE(Tableau1[[#This Row],[PO Number (Header)]],"-",Tableau1[[#This Row],[Line]]),UO_List[Unique_AIB_ID]))*(UO_List[Qté Réception 03/2020]))</f>
        <v>0</v>
      </c>
      <c r="AE187" s="84"/>
      <c r="AF187" s="357"/>
      <c r="AG187" s="351" t="str">
        <f>IFERROR(Tableau1[[#This Row],[Qté Facturé 01/2018]]*Tableau1[[#This Row],[Unit Price (calcul)]],"")</f>
        <v/>
      </c>
      <c r="AH187" s="356" t="str">
        <f>IFERROR(IF(Tableau1[[#This Row],[Montant Facturé 01/2018]]&gt;0,Tableau1[[#This Row],[Montant Facturé 01/2018]]/Taux_Change_SII,""),"")</f>
        <v/>
      </c>
      <c r="AI187" s="351"/>
      <c r="AJ187" s="83">
        <f>SUMPRODUCT(1*(EXACT(CONCATENATE(Tableau1[[#This Row],[PO Number (Header)]],"-",Tableau1[[#This Row],[Line]]),UO_List[Unique_AIB_ID]))*(UO_List[Qté Réception 02/2020]))</f>
        <v>0</v>
      </c>
      <c r="AK187" s="83">
        <f>SUMPRODUCT(1*(EXACT(CONCATENATE(Tableau1[[#This Row],[PO Number (Header)]],"-",Tableau1[[#This Row],[Line]]),UO_List[Unique_AIB_ID]))*(UO_List[Qté Réception 02/2020]))</f>
        <v>0</v>
      </c>
      <c r="AL187" s="357"/>
      <c r="AM187" s="351" t="str">
        <f>IFERROR(Tableau1[[#This Row],[Qté Facturé 02/2018]]*Tableau1[[#This Row],[Unit Price (calcul)]],"")</f>
        <v/>
      </c>
      <c r="AN187" s="351" t="str">
        <f>IFERROR(IF(Tableau1[[#This Row],[Montant Facturé 02/2018]]&gt;0,Tableau1[[#This Row],[Montant Facturé 02/2018]]/Taux_Change_SII,""),"")</f>
        <v/>
      </c>
      <c r="AO187" s="351"/>
      <c r="AP187" s="83">
        <f>SUMPRODUCT(1*(EXACT(CONCATENATE(Tableau1[[#This Row],[PO Number (Header)]],"-",Tableau1[[#This Row],[Line]]),UO_List[Unique_AIB_ID]))*(UO_List[Qté Réception 00/2020]))</f>
        <v>0</v>
      </c>
      <c r="AQ187" s="84">
        <v>0</v>
      </c>
      <c r="AR187" s="357"/>
      <c r="AS187" s="351" t="str">
        <f>IFERROR(Tableau1[[#This Row],[Qté Facturé 03/2018]]*Tableau1[[#This Row],[Unit Price (calcul)]],"")</f>
        <v/>
      </c>
      <c r="AT187" s="351" t="str">
        <f>IFERROR(IF(Tableau1[[#This Row],[Montant Facturé 03/2018]]&gt;0,Tableau1[[#This Row],[Montant Facturé 03/2018]]/Taux_Change_SII,""),"")</f>
        <v/>
      </c>
      <c r="AU187" s="351"/>
      <c r="AV187" s="83">
        <f>SUMPRODUCT(1*(EXACT(CONCATENATE(Tableau1[[#This Row],[PO Number (Header)]],"-",Tableau1[[#This Row],[Line]]),UO_List[Unique_AIB_ID]))*(UO_List[Qté Réception 04/2020]))</f>
        <v>0</v>
      </c>
      <c r="AW187" s="84">
        <v>0</v>
      </c>
      <c r="AX187" s="351"/>
      <c r="AY187" s="351" t="str">
        <f>IFERROR(Tableau1[[#This Row],[Qté Facturé 04/2018]]*Tableau1[[#This Row],[Unit Price (calcul)]],"")</f>
        <v/>
      </c>
      <c r="AZ187" s="351" t="str">
        <f>IFERROR(IF(Tableau1[[#This Row],[Montant Facturé 04/2018]]&gt;0,Tableau1[[#This Row],[Montant Facturé 04/2018]]/Taux_Change_SII,""),"")</f>
        <v/>
      </c>
      <c r="BA187" s="351"/>
      <c r="BB187" s="83">
        <f>SUMPRODUCT(1*(EXACT(CONCATENATE(Tableau1[[#This Row],[PO Number (Header)]],"-",Tableau1[[#This Row],[Line]]),UO_List[Unique_AIB_ID]))*(UO_List[Qté Réception 05/2020]))</f>
        <v>0</v>
      </c>
      <c r="BC187" s="84"/>
      <c r="BD187" s="351"/>
      <c r="BE187" s="351" t="str">
        <f>IFERROR(Tableau1[[#This Row],[Qté Facturé 05/2018]]*Tableau1[[#This Row],[Unit Price (calcul)]],"")</f>
        <v/>
      </c>
      <c r="BF187" s="351" t="str">
        <f>IFERROR(IF(Tableau1[[#This Row],[Montant Facturé 05/2018]]&gt;0,Tableau1[[#This Row],[Montant Facturé 05/2018]]/Taux_Change_SII,""),"")</f>
        <v/>
      </c>
      <c r="BG187" s="351"/>
      <c r="BH187" s="83">
        <f>SUMPRODUCT(1*(EXACT(CONCATENATE(Tableau1[[#This Row],[PO Number (Header)]],"-",Tableau1[[#This Row],[Line]]),UO_List[Unique_AIB_ID]))*(UO_List[Qté Réception 06/2020]))</f>
        <v>0</v>
      </c>
      <c r="BI187" s="84"/>
      <c r="BJ187" s="351"/>
      <c r="BK187" s="351" t="str">
        <f>IFERROR(Tableau1[[#This Row],[Qté Facturé 06/2018]]*Tableau1[[#This Row],[Unit Price (calcul)]],"")</f>
        <v/>
      </c>
      <c r="BL187" s="351" t="str">
        <f>IFERROR(IF(Tableau1[[#This Row],[Montant Facturé 06/2018]]&gt;0,Tableau1[[#This Row],[Montant Facturé 06/2018]]/Taux_Change_SII,""),"")</f>
        <v/>
      </c>
      <c r="BM187" s="351"/>
      <c r="BN187" s="83">
        <f>SUMPRODUCT(1*(EXACT(CONCATENATE(Tableau1[[#This Row],[PO Number (Header)]],"-",Tableau1[[#This Row],[Line]]),UO_List[Unique_AIB_ID]))*(UO_List[Qté Réception 07/2020]))</f>
        <v>0</v>
      </c>
      <c r="BO187" s="84">
        <v>0</v>
      </c>
      <c r="BP187" s="351"/>
      <c r="BQ187" s="351" t="str">
        <f>IFERROR(Tableau1[[#This Row],[Qté Facturé 07/2018]]*Tableau1[[#This Row],[Unit Price (calcul)]],"")</f>
        <v/>
      </c>
      <c r="BR187" s="351" t="str">
        <f>IFERROR(IF(Tableau1[[#This Row],[Montant Facturé 07/2018]]&gt;0,Tableau1[[#This Row],[Montant Facturé 07/2018]]/Taux_Change_SII,""),"")</f>
        <v/>
      </c>
      <c r="BS187" s="351"/>
      <c r="BT187" s="83">
        <f>SUMPRODUCT(1*(EXACT(CONCATENATE(Tableau1[[#This Row],[PO Number (Header)]],"-",Tableau1[[#This Row],[Line]]),UO_List[Unique_AIB_ID]))*(UO_List[Qté Réception 08/2020]))</f>
        <v>0</v>
      </c>
      <c r="BU187" s="84"/>
      <c r="BV187" s="351"/>
      <c r="BW187" s="351" t="str">
        <f>IFERROR(Tableau1[[#This Row],[Qté Facturé 08/2018]]*Tableau1[[#This Row],[Unit Price (calcul)]],"")</f>
        <v/>
      </c>
      <c r="BX187" s="351" t="str">
        <f>IFERROR(IF(Tableau1[[#This Row],[Montant Facturé 08/2018]]&gt;0,Tableau1[[#This Row],[Montant Facturé 08/2018]]/Taux_Change_SII,""),"")</f>
        <v/>
      </c>
      <c r="BY187" s="351"/>
      <c r="BZ187" s="83">
        <f>SUMPRODUCT(1*(EXACT(CONCATENATE(Tableau1[[#This Row],[PO Number (Header)]],"-",Tableau1[[#This Row],[Line]]),UO_List[Unique_AIB_ID]))*(UO_List[Qté Réception 09/2020]))</f>
        <v>0</v>
      </c>
      <c r="CA187" s="84">
        <v>0</v>
      </c>
      <c r="CB187" s="351"/>
      <c r="CC187" s="351" t="str">
        <f>IFERROR(Tableau1[[#This Row],[Qté Facturé 09/2018]]*Tableau1[[#This Row],[Unit Price (calcul)]],"")</f>
        <v/>
      </c>
      <c r="CD187" s="351" t="str">
        <f>IFERROR(IF(Tableau1[[#This Row],[Montant Facturé 09/2018]]&gt;0,Tableau1[[#This Row],[Montant Facturé 09/2018]]/Taux_Change_SII,""),"")</f>
        <v/>
      </c>
      <c r="CE187" s="351"/>
      <c r="CF187" s="83">
        <f>SUMPRODUCT(1*(EXACT(CONCATENATE(Tableau1[[#This Row],[PO Number (Header)]],"-",Tableau1[[#This Row],[Line]]),UO_List[Unique_AIB_ID]))*(UO_List[Qté Réception 10/2020]))</f>
        <v>0</v>
      </c>
      <c r="CG187" s="84">
        <v>0</v>
      </c>
      <c r="CH187" s="351"/>
      <c r="CI187" s="351" t="str">
        <f>IFERROR(Tableau1[[#This Row],[Qté Facturé 10/2018]]*Tableau1[[#This Row],[Unit Price (calcul)]],"")</f>
        <v/>
      </c>
      <c r="CJ187" s="351" t="str">
        <f>IFERROR(IF(Tableau1[[#This Row],[Montant Facturé 10/2018]]&gt;0,Tableau1[[#This Row],[Montant Facturé 10/2018]]/Taux_Change_SII,""),"")</f>
        <v/>
      </c>
      <c r="CK187" s="351"/>
      <c r="CL187" s="83">
        <f>SUMPRODUCT(1*(EXACT(CONCATENATE(Tableau1[[#This Row],[PO Number (Header)]],"-",Tableau1[[#This Row],[Line]]),UO_List[Unique_AIB_ID]))*(UO_List[Qté Réception 11/2020]))</f>
        <v>0</v>
      </c>
      <c r="CM187" s="84"/>
      <c r="CN187" s="351"/>
      <c r="CO187" s="351" t="str">
        <f>IFERROR(Tableau1[[#This Row],[Qté Facturé 11/2018]]*Tableau1[[#This Row],[Unit Price (calcul)]],"")</f>
        <v/>
      </c>
      <c r="CP187" s="351" t="str">
        <f>IFERROR(IF(Tableau1[[#This Row],[Montant Facturé 11/2018]]&gt;0,Tableau1[[#This Row],[Montant Facturé 11/2018]]/Taux_Change_SII,""),"")</f>
        <v/>
      </c>
      <c r="CQ187" s="351"/>
      <c r="CR187" s="83">
        <f>SUMPRODUCT(1*(EXACT(CONCATENATE(Tableau1[[#This Row],[PO Number (Header)]],"-",Tableau1[[#This Row],[Line]]),UO_List[Unique_AIB_ID]))*(UO_List[Qté Réception 12/2020]))</f>
        <v>0</v>
      </c>
      <c r="CS187" s="84"/>
      <c r="CT187" s="351"/>
      <c r="CU187" s="351" t="str">
        <f>IFERROR(Tableau1[[#This Row],[Qté Facturé 12/2018]]*Tableau1[[#This Row],[Unit Price (calcul)]],"")</f>
        <v/>
      </c>
      <c r="CV187" s="351" t="str">
        <f>IFERROR(IF(Tableau1[[#This Row],[Montant Facturé 12/2018]]&gt;0,Tableau1[[#This Row],[Montant Facturé 12/2018]]/Taux_Change_SII,""),"")</f>
        <v/>
      </c>
      <c r="CW187" s="351"/>
      <c r="CX187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7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7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7" s="352" t="str">
        <f>IFERROR(Tableau1[[#This Row],[Total item réceptionné]]*Tableau1[[#This Row],[Unit Price (calcul)]],"")</f>
        <v/>
      </c>
      <c r="DB187" s="352" t="str">
        <f>IFERROR(Tableau1[[#This Row],[Total item à Facturer]]*Tableau1[[#This Row],[Unit Price (calcul)]],"")</f>
        <v/>
      </c>
      <c r="DC187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7" s="352" t="str">
        <f>IFERROR(Tableau1[[#This Row],[Line Total]]-Tableau1[[#This Row],[Total Price Réceptionné]],"")</f>
        <v/>
      </c>
      <c r="DE187" s="352" t="str">
        <f>IFERROR(Tableau1[[#This Row],[Total Price Réceptionné]]-Tableau1[[#This Row],[Total Price A facturer]],"")</f>
        <v/>
      </c>
      <c r="DF187" s="353" t="str">
        <f>IFERROR(Tableau1[[#This Row],[Total Price A facturer]]-Tableau1[[#This Row],[Total Price Facturé]],"")</f>
        <v/>
      </c>
      <c r="DG187" s="76">
        <f>Tableau1[[#This Row],[Total Item Quantity]]-Tableau1[[#This Row],[Total item réceptionné]]</f>
        <v>0</v>
      </c>
      <c r="DH187" s="167"/>
      <c r="DI187" s="167"/>
    </row>
    <row r="188" spans="1:113" s="81" customFormat="1">
      <c r="A188" s="69" t="str">
        <f>CONCATENATE(Tableau1[[#This Row],[PO Number (Header)]],"-",Tableau1[[#This Row],[Line]])</f>
        <v>-</v>
      </c>
      <c r="B188" s="447"/>
      <c r="D188" s="447"/>
      <c r="F188" s="454"/>
      <c r="N188" s="69"/>
      <c r="O188" s="69"/>
      <c r="P188" s="69"/>
      <c r="Q188" s="395"/>
      <c r="R188" s="395"/>
      <c r="S188" s="69"/>
      <c r="T188" s="69"/>
      <c r="U188" s="69"/>
      <c r="V188" s="69"/>
      <c r="W188" s="170"/>
      <c r="X188" s="170"/>
      <c r="Y188" s="167" t="str">
        <f>IF(ISBLANK(Tableau1[[#This Row],[PO Number (Header)]]),"",Tableau1[[#This Row],[Line Total]]/Tableau1[[#This Row],[Total Item Quantity]])</f>
        <v/>
      </c>
      <c r="Z188" s="170" t="str">
        <f>IF(ISNA(VLOOKUP(Tableau1[[#This Row],[Unique_AIB_ID]],UO_List[Unique_AIB_ID],1,FALSE)),IF(ISBLANK(Tableau1[[#This Row],[PO Number (Header)]]),"","FAUX"),"VRAI")</f>
        <v/>
      </c>
      <c r="AA188" s="170"/>
      <c r="AB188" s="165" t="e">
        <f>VLOOKUP(Tableau1[[#This Row],[Unique_AIB_ID]],UO_List[[Unique_AIB_ID]:[OLGA F6]],3,FALSE)</f>
        <v>#N/A</v>
      </c>
      <c r="AC188" s="165" t="s">
        <v>815</v>
      </c>
      <c r="AD188" s="83">
        <f>SUMPRODUCT(1*(EXACT(CONCATENATE(Tableau1[[#This Row],[PO Number (Header)]],"-",Tableau1[[#This Row],[Line]]),UO_List[Unique_AIB_ID]))*(UO_List[Qté Réception 03/2020]))</f>
        <v>0</v>
      </c>
      <c r="AE188" s="84"/>
      <c r="AF188" s="357"/>
      <c r="AG188" s="351" t="str">
        <f>IFERROR(Tableau1[[#This Row],[Qté Facturé 01/2018]]*Tableau1[[#This Row],[Unit Price (calcul)]],"")</f>
        <v/>
      </c>
      <c r="AH188" s="356" t="str">
        <f>IFERROR(IF(Tableau1[[#This Row],[Montant Facturé 01/2018]]&gt;0,Tableau1[[#This Row],[Montant Facturé 01/2018]]/Taux_Change_SII,""),"")</f>
        <v/>
      </c>
      <c r="AI188" s="351"/>
      <c r="AJ188" s="83">
        <f>SUMPRODUCT(1*(EXACT(CONCATENATE(Tableau1[[#This Row],[PO Number (Header)]],"-",Tableau1[[#This Row],[Line]]),UO_List[Unique_AIB_ID]))*(UO_List[Qté Réception 02/2020]))</f>
        <v>0</v>
      </c>
      <c r="AK188" s="83">
        <f>SUMPRODUCT(1*(EXACT(CONCATENATE(Tableau1[[#This Row],[PO Number (Header)]],"-",Tableau1[[#This Row],[Line]]),UO_List[Unique_AIB_ID]))*(UO_List[Qté Réception 02/2020]))</f>
        <v>0</v>
      </c>
      <c r="AL188" s="357"/>
      <c r="AM188" s="351" t="str">
        <f>IFERROR(Tableau1[[#This Row],[Qté Facturé 02/2018]]*Tableau1[[#This Row],[Unit Price (calcul)]],"")</f>
        <v/>
      </c>
      <c r="AN188" s="351" t="str">
        <f>IFERROR(IF(Tableau1[[#This Row],[Montant Facturé 02/2018]]&gt;0,Tableau1[[#This Row],[Montant Facturé 02/2018]]/Taux_Change_SII,""),"")</f>
        <v/>
      </c>
      <c r="AO188" s="351"/>
      <c r="AP188" s="83">
        <f>SUMPRODUCT(1*(EXACT(CONCATENATE(Tableau1[[#This Row],[PO Number (Header)]],"-",Tableau1[[#This Row],[Line]]),UO_List[Unique_AIB_ID]))*(UO_List[Qté Réception 00/2020]))</f>
        <v>0</v>
      </c>
      <c r="AQ188" s="84">
        <v>0</v>
      </c>
      <c r="AR188" s="357"/>
      <c r="AS188" s="351" t="str">
        <f>IFERROR(Tableau1[[#This Row],[Qté Facturé 03/2018]]*Tableau1[[#This Row],[Unit Price (calcul)]],"")</f>
        <v/>
      </c>
      <c r="AT188" s="351" t="str">
        <f>IFERROR(IF(Tableau1[[#This Row],[Montant Facturé 03/2018]]&gt;0,Tableau1[[#This Row],[Montant Facturé 03/2018]]/Taux_Change_SII,""),"")</f>
        <v/>
      </c>
      <c r="AU188" s="351"/>
      <c r="AV188" s="83">
        <f>SUMPRODUCT(1*(EXACT(CONCATENATE(Tableau1[[#This Row],[PO Number (Header)]],"-",Tableau1[[#This Row],[Line]]),UO_List[Unique_AIB_ID]))*(UO_List[Qté Réception 04/2020]))</f>
        <v>0</v>
      </c>
      <c r="AW188" s="84">
        <v>0</v>
      </c>
      <c r="AX188" s="351"/>
      <c r="AY188" s="351" t="str">
        <f>IFERROR(Tableau1[[#This Row],[Qté Facturé 04/2018]]*Tableau1[[#This Row],[Unit Price (calcul)]],"")</f>
        <v/>
      </c>
      <c r="AZ188" s="351" t="str">
        <f>IFERROR(IF(Tableau1[[#This Row],[Montant Facturé 04/2018]]&gt;0,Tableau1[[#This Row],[Montant Facturé 04/2018]]/Taux_Change_SII,""),"")</f>
        <v/>
      </c>
      <c r="BA188" s="351"/>
      <c r="BB188" s="83">
        <f>SUMPRODUCT(1*(EXACT(CONCATENATE(Tableau1[[#This Row],[PO Number (Header)]],"-",Tableau1[[#This Row],[Line]]),UO_List[Unique_AIB_ID]))*(UO_List[Qté Réception 05/2020]))</f>
        <v>0</v>
      </c>
      <c r="BC188" s="84"/>
      <c r="BD188" s="351"/>
      <c r="BE188" s="351" t="str">
        <f>IFERROR(Tableau1[[#This Row],[Qté Facturé 05/2018]]*Tableau1[[#This Row],[Unit Price (calcul)]],"")</f>
        <v/>
      </c>
      <c r="BF188" s="351" t="str">
        <f>IFERROR(IF(Tableau1[[#This Row],[Montant Facturé 05/2018]]&gt;0,Tableau1[[#This Row],[Montant Facturé 05/2018]]/Taux_Change_SII,""),"")</f>
        <v/>
      </c>
      <c r="BG188" s="351"/>
      <c r="BH188" s="83">
        <f>SUMPRODUCT(1*(EXACT(CONCATENATE(Tableau1[[#This Row],[PO Number (Header)]],"-",Tableau1[[#This Row],[Line]]),UO_List[Unique_AIB_ID]))*(UO_List[Qté Réception 06/2020]))</f>
        <v>0</v>
      </c>
      <c r="BI188" s="84"/>
      <c r="BJ188" s="351"/>
      <c r="BK188" s="351" t="str">
        <f>IFERROR(Tableau1[[#This Row],[Qté Facturé 06/2018]]*Tableau1[[#This Row],[Unit Price (calcul)]],"")</f>
        <v/>
      </c>
      <c r="BL188" s="351" t="str">
        <f>IFERROR(IF(Tableau1[[#This Row],[Montant Facturé 06/2018]]&gt;0,Tableau1[[#This Row],[Montant Facturé 06/2018]]/Taux_Change_SII,""),"")</f>
        <v/>
      </c>
      <c r="BM188" s="351"/>
      <c r="BN188" s="83">
        <f>SUMPRODUCT(1*(EXACT(CONCATENATE(Tableau1[[#This Row],[PO Number (Header)]],"-",Tableau1[[#This Row],[Line]]),UO_List[Unique_AIB_ID]))*(UO_List[Qté Réception 07/2020]))</f>
        <v>0</v>
      </c>
      <c r="BO188" s="84">
        <v>0</v>
      </c>
      <c r="BP188" s="351"/>
      <c r="BQ188" s="351" t="str">
        <f>IFERROR(Tableau1[[#This Row],[Qté Facturé 07/2018]]*Tableau1[[#This Row],[Unit Price (calcul)]],"")</f>
        <v/>
      </c>
      <c r="BR188" s="351" t="str">
        <f>IFERROR(IF(Tableau1[[#This Row],[Montant Facturé 07/2018]]&gt;0,Tableau1[[#This Row],[Montant Facturé 07/2018]]/Taux_Change_SII,""),"")</f>
        <v/>
      </c>
      <c r="BS188" s="351"/>
      <c r="BT188" s="83">
        <f>SUMPRODUCT(1*(EXACT(CONCATENATE(Tableau1[[#This Row],[PO Number (Header)]],"-",Tableau1[[#This Row],[Line]]),UO_List[Unique_AIB_ID]))*(UO_List[Qté Réception 08/2020]))</f>
        <v>0</v>
      </c>
      <c r="BU188" s="84"/>
      <c r="BV188" s="351"/>
      <c r="BW188" s="351" t="str">
        <f>IFERROR(Tableau1[[#This Row],[Qté Facturé 08/2018]]*Tableau1[[#This Row],[Unit Price (calcul)]],"")</f>
        <v/>
      </c>
      <c r="BX188" s="351" t="str">
        <f>IFERROR(IF(Tableau1[[#This Row],[Montant Facturé 08/2018]]&gt;0,Tableau1[[#This Row],[Montant Facturé 08/2018]]/Taux_Change_SII,""),"")</f>
        <v/>
      </c>
      <c r="BY188" s="351"/>
      <c r="BZ188" s="83">
        <f>SUMPRODUCT(1*(EXACT(CONCATENATE(Tableau1[[#This Row],[PO Number (Header)]],"-",Tableau1[[#This Row],[Line]]),UO_List[Unique_AIB_ID]))*(UO_List[Qté Réception 09/2020]))</f>
        <v>0</v>
      </c>
      <c r="CA188" s="84">
        <v>0</v>
      </c>
      <c r="CB188" s="351"/>
      <c r="CC188" s="351" t="str">
        <f>IFERROR(Tableau1[[#This Row],[Qté Facturé 09/2018]]*Tableau1[[#This Row],[Unit Price (calcul)]],"")</f>
        <v/>
      </c>
      <c r="CD188" s="351" t="str">
        <f>IFERROR(IF(Tableau1[[#This Row],[Montant Facturé 09/2018]]&gt;0,Tableau1[[#This Row],[Montant Facturé 09/2018]]/Taux_Change_SII,""),"")</f>
        <v/>
      </c>
      <c r="CE188" s="351"/>
      <c r="CF188" s="83">
        <f>SUMPRODUCT(1*(EXACT(CONCATENATE(Tableau1[[#This Row],[PO Number (Header)]],"-",Tableau1[[#This Row],[Line]]),UO_List[Unique_AIB_ID]))*(UO_List[Qté Réception 10/2020]))</f>
        <v>0</v>
      </c>
      <c r="CG188" s="84"/>
      <c r="CH188" s="84"/>
      <c r="CI188" s="488" t="str">
        <f>IFERROR(Tableau1[[#This Row],[Qté Facturé 10/2018]]*Tableau1[[#This Row],[Unit Price (calcul)]],"")</f>
        <v/>
      </c>
      <c r="CJ188" s="351" t="str">
        <f>IFERROR(IF(Tableau1[[#This Row],[Montant Facturé 10/2018]]&gt;0,Tableau1[[#This Row],[Montant Facturé 10/2018]]/Taux_Change_SII,""),"")</f>
        <v/>
      </c>
      <c r="CK188" s="351"/>
      <c r="CL188" s="83">
        <f>SUMPRODUCT(1*(EXACT(CONCATENATE(Tableau1[[#This Row],[PO Number (Header)]],"-",Tableau1[[#This Row],[Line]]),UO_List[Unique_AIB_ID]))*(UO_List[Qté Réception 11/2020]))</f>
        <v>0</v>
      </c>
      <c r="CM188" s="84"/>
      <c r="CN188" s="351"/>
      <c r="CO188" s="351" t="str">
        <f>IFERROR(Tableau1[[#This Row],[Qté Facturé 11/2018]]*Tableau1[[#This Row],[Unit Price (calcul)]],"")</f>
        <v/>
      </c>
      <c r="CP188" s="351" t="str">
        <f>IFERROR(IF(Tableau1[[#This Row],[Montant Facturé 11/2018]]&gt;0,Tableau1[[#This Row],[Montant Facturé 11/2018]]/Taux_Change_SII,""),"")</f>
        <v/>
      </c>
      <c r="CQ188" s="351"/>
      <c r="CR188" s="83">
        <f>SUMPRODUCT(1*(EXACT(CONCATENATE(Tableau1[[#This Row],[PO Number (Header)]],"-",Tableau1[[#This Row],[Line]]),UO_List[Unique_AIB_ID]))*(UO_List[Qté Réception 12/2020]))</f>
        <v>0</v>
      </c>
      <c r="CS188" s="84"/>
      <c r="CT188" s="351"/>
      <c r="CU188" s="351" t="str">
        <f>IFERROR(Tableau1[[#This Row],[Qté Facturé 12/2018]]*Tableau1[[#This Row],[Unit Price (calcul)]],"")</f>
        <v/>
      </c>
      <c r="CV188" s="351" t="str">
        <f>IFERROR(IF(Tableau1[[#This Row],[Montant Facturé 12/2018]]&gt;0,Tableau1[[#This Row],[Montant Facturé 12/2018]]/Taux_Change_SII,""),"")</f>
        <v/>
      </c>
      <c r="CW188" s="351"/>
      <c r="CX188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8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8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8" s="352" t="str">
        <f>IFERROR(Tableau1[[#This Row],[Total item réceptionné]]*Tableau1[[#This Row],[Unit Price (calcul)]],"")</f>
        <v/>
      </c>
      <c r="DB188" s="352" t="str">
        <f>IFERROR(Tableau1[[#This Row],[Total item à Facturer]]*Tableau1[[#This Row],[Unit Price (calcul)]],"")</f>
        <v/>
      </c>
      <c r="DC188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8" s="352" t="str">
        <f>IFERROR(Tableau1[[#This Row],[Line Total]]-Tableau1[[#This Row],[Total Price Réceptionné]],"")</f>
        <v/>
      </c>
      <c r="DE188" s="352" t="str">
        <f>IFERROR(Tableau1[[#This Row],[Total Price Réceptionné]]-Tableau1[[#This Row],[Total Price A facturer]],"")</f>
        <v/>
      </c>
      <c r="DF188" s="353" t="str">
        <f>IFERROR(Tableau1[[#This Row],[Total Price A facturer]]-Tableau1[[#This Row],[Total Price Facturé]],"")</f>
        <v/>
      </c>
      <c r="DG188" s="76">
        <f>Tableau1[[#This Row],[Total Item Quantity]]-Tableau1[[#This Row],[Total item réceptionné]]</f>
        <v>0</v>
      </c>
      <c r="DH188" s="170"/>
      <c r="DI188" s="167"/>
    </row>
    <row r="189" spans="1:113" s="74" customFormat="1">
      <c r="A189" s="77" t="str">
        <f>CONCATENATE(Tableau1[[#This Row],[PO Number (Header)]],"-",Tableau1[[#This Row],[Line]])</f>
        <v>-</v>
      </c>
      <c r="B189" s="406"/>
      <c r="C189" s="158"/>
      <c r="D189" s="406"/>
      <c r="E189" s="69"/>
      <c r="F189" s="489"/>
      <c r="G189" s="77"/>
      <c r="H189" s="77"/>
      <c r="I189" s="158"/>
      <c r="J189" s="77"/>
      <c r="K189" s="486"/>
      <c r="L189" s="158"/>
      <c r="M189" s="158"/>
      <c r="N189" s="77"/>
      <c r="O189" s="77"/>
      <c r="P189" s="77"/>
      <c r="Q189" s="395"/>
      <c r="R189" s="395"/>
      <c r="S189" s="77"/>
      <c r="T189" s="77"/>
      <c r="U189" s="77"/>
      <c r="V189" s="77"/>
      <c r="W189" s="167"/>
      <c r="X189" s="167"/>
      <c r="Y189" s="167" t="str">
        <f>IF(ISBLANK(Tableau1[[#This Row],[PO Number (Header)]]),"",Tableau1[[#This Row],[Line Total]]/Tableau1[[#This Row],[Total Item Quantity]])</f>
        <v/>
      </c>
      <c r="Z189" s="167" t="str">
        <f>IF(ISNA(VLOOKUP(Tableau1[[#This Row],[Unique_AIB_ID]],UO_List[Unique_AIB_ID],1,FALSE)),IF(ISBLANK(Tableau1[[#This Row],[PO Number (Header)]]),"","FAUX"),"VRAI")</f>
        <v/>
      </c>
      <c r="AA189" s="167"/>
      <c r="AB189" s="162" t="e">
        <f>VLOOKUP(Tableau1[[#This Row],[Unique_AIB_ID]],UO_List[[Unique_AIB_ID]:[OLGA F6]],3,FALSE)</f>
        <v>#N/A</v>
      </c>
      <c r="AC189" s="162"/>
      <c r="AD189" s="83">
        <f>SUMPRODUCT(1*(EXACT(CONCATENATE(Tableau1[[#This Row],[PO Number (Header)]],"-",Tableau1[[#This Row],[Line]]),UO_List[Unique_AIB_ID]))*(UO_List[Qté Réception 03/2020]))</f>
        <v>0</v>
      </c>
      <c r="AE189" s="84"/>
      <c r="AF189" s="357"/>
      <c r="AG189" s="351" t="str">
        <f>IFERROR(Tableau1[[#This Row],[Qté Facturé 01/2018]]*Tableau1[[#This Row],[Unit Price (calcul)]],"")</f>
        <v/>
      </c>
      <c r="AH189" s="356" t="str">
        <f>IFERROR(IF(Tableau1[[#This Row],[Montant Facturé 01/2018]]&gt;0,Tableau1[[#This Row],[Montant Facturé 01/2018]]/Taux_Change_SII,""),"")</f>
        <v/>
      </c>
      <c r="AI189" s="351"/>
      <c r="AJ189" s="83">
        <f>SUMPRODUCT(1*(EXACT(CONCATENATE(Tableau1[[#This Row],[PO Number (Header)]],"-",Tableau1[[#This Row],[Line]]),UO_List[Unique_AIB_ID]))*(UO_List[Qté Réception 02/2020]))</f>
        <v>0</v>
      </c>
      <c r="AK189" s="83">
        <f>SUMPRODUCT(1*(EXACT(CONCATENATE(Tableau1[[#This Row],[PO Number (Header)]],"-",Tableau1[[#This Row],[Line]]),UO_List[Unique_AIB_ID]))*(UO_List[Qté Réception 02/2020]))</f>
        <v>0</v>
      </c>
      <c r="AL189" s="357"/>
      <c r="AM189" s="351" t="str">
        <f>IFERROR(Tableau1[[#This Row],[Qté Facturé 02/2018]]*Tableau1[[#This Row],[Unit Price (calcul)]],"")</f>
        <v/>
      </c>
      <c r="AN189" s="351" t="str">
        <f>IFERROR(IF(Tableau1[[#This Row],[Montant Facturé 02/2018]]&gt;0,Tableau1[[#This Row],[Montant Facturé 02/2018]]/Taux_Change_SII,""),"")</f>
        <v/>
      </c>
      <c r="AO189" s="351"/>
      <c r="AP189" s="83">
        <f>SUMPRODUCT(1*(EXACT(CONCATENATE(Tableau1[[#This Row],[PO Number (Header)]],"-",Tableau1[[#This Row],[Line]]),UO_List[Unique_AIB_ID]))*(UO_List[Qté Réception 00/2020]))</f>
        <v>0</v>
      </c>
      <c r="AQ189" s="84">
        <v>0</v>
      </c>
      <c r="AR189" s="357"/>
      <c r="AS189" s="351" t="str">
        <f>IFERROR(Tableau1[[#This Row],[Qté Facturé 03/2018]]*Tableau1[[#This Row],[Unit Price (calcul)]],"")</f>
        <v/>
      </c>
      <c r="AT189" s="351" t="str">
        <f>IFERROR(IF(Tableau1[[#This Row],[Montant Facturé 03/2018]]&gt;0,Tableau1[[#This Row],[Montant Facturé 03/2018]]/Taux_Change_SII,""),"")</f>
        <v/>
      </c>
      <c r="AU189" s="351"/>
      <c r="AV189" s="83">
        <f>SUMPRODUCT(1*(EXACT(CONCATENATE(Tableau1[[#This Row],[PO Number (Header)]],"-",Tableau1[[#This Row],[Line]]),UO_List[Unique_AIB_ID]))*(UO_List[Qté Réception 04/2020]))</f>
        <v>0</v>
      </c>
      <c r="AW189" s="84">
        <v>0</v>
      </c>
      <c r="AX189" s="351"/>
      <c r="AY189" s="351" t="str">
        <f>IFERROR(Tableau1[[#This Row],[Qté Facturé 04/2018]]*Tableau1[[#This Row],[Unit Price (calcul)]],"")</f>
        <v/>
      </c>
      <c r="AZ189" s="351" t="str">
        <f>IFERROR(IF(Tableau1[[#This Row],[Montant Facturé 04/2018]]&gt;0,Tableau1[[#This Row],[Montant Facturé 04/2018]]/Taux_Change_SII,""),"")</f>
        <v/>
      </c>
      <c r="BA189" s="351"/>
      <c r="BB189" s="83">
        <f>SUMPRODUCT(1*(EXACT(CONCATENATE(Tableau1[[#This Row],[PO Number (Header)]],"-",Tableau1[[#This Row],[Line]]),UO_List[Unique_AIB_ID]))*(UO_List[Qté Réception 05/2020]))</f>
        <v>0</v>
      </c>
      <c r="BC189" s="84"/>
      <c r="BD189" s="351"/>
      <c r="BE189" s="351" t="str">
        <f>IFERROR(Tableau1[[#This Row],[Qté Facturé 05/2018]]*Tableau1[[#This Row],[Unit Price (calcul)]],"")</f>
        <v/>
      </c>
      <c r="BF189" s="351" t="str">
        <f>IFERROR(IF(Tableau1[[#This Row],[Montant Facturé 05/2018]]&gt;0,Tableau1[[#This Row],[Montant Facturé 05/2018]]/Taux_Change_SII,""),"")</f>
        <v/>
      </c>
      <c r="BG189" s="351"/>
      <c r="BH189" s="83">
        <f>SUMPRODUCT(1*(EXACT(CONCATENATE(Tableau1[[#This Row],[PO Number (Header)]],"-",Tableau1[[#This Row],[Line]]),UO_List[Unique_AIB_ID]))*(UO_List[Qté Réception 06/2020]))</f>
        <v>0</v>
      </c>
      <c r="BI189" s="84"/>
      <c r="BJ189" s="351"/>
      <c r="BK189" s="351" t="str">
        <f>IFERROR(Tableau1[[#This Row],[Qté Facturé 06/2018]]*Tableau1[[#This Row],[Unit Price (calcul)]],"")</f>
        <v/>
      </c>
      <c r="BL189" s="351" t="str">
        <f>IFERROR(IF(Tableau1[[#This Row],[Montant Facturé 06/2018]]&gt;0,Tableau1[[#This Row],[Montant Facturé 06/2018]]/Taux_Change_SII,""),"")</f>
        <v/>
      </c>
      <c r="BM189" s="351"/>
      <c r="BN189" s="83">
        <f>SUMPRODUCT(1*(EXACT(CONCATENATE(Tableau1[[#This Row],[PO Number (Header)]],"-",Tableau1[[#This Row],[Line]]),UO_List[Unique_AIB_ID]))*(UO_List[Qté Réception 07/2020]))</f>
        <v>0</v>
      </c>
      <c r="BO189" s="84">
        <v>0</v>
      </c>
      <c r="BP189" s="351"/>
      <c r="BQ189" s="351" t="str">
        <f>IFERROR(Tableau1[[#This Row],[Qté Facturé 07/2018]]*Tableau1[[#This Row],[Unit Price (calcul)]],"")</f>
        <v/>
      </c>
      <c r="BR189" s="351" t="str">
        <f>IFERROR(IF(Tableau1[[#This Row],[Montant Facturé 07/2018]]&gt;0,Tableau1[[#This Row],[Montant Facturé 07/2018]]/Taux_Change_SII,""),"")</f>
        <v/>
      </c>
      <c r="BS189" s="351"/>
      <c r="BT189" s="83">
        <f>SUMPRODUCT(1*(EXACT(CONCATENATE(Tableau1[[#This Row],[PO Number (Header)]],"-",Tableau1[[#This Row],[Line]]),UO_List[Unique_AIB_ID]))*(UO_List[Qté Réception 08/2020]))</f>
        <v>0</v>
      </c>
      <c r="BU189" s="84"/>
      <c r="BV189" s="351"/>
      <c r="BW189" s="351" t="str">
        <f>IFERROR(Tableau1[[#This Row],[Qté Facturé 08/2018]]*Tableau1[[#This Row],[Unit Price (calcul)]],"")</f>
        <v/>
      </c>
      <c r="BX189" s="351" t="str">
        <f>IFERROR(IF(Tableau1[[#This Row],[Montant Facturé 08/2018]]&gt;0,Tableau1[[#This Row],[Montant Facturé 08/2018]]/Taux_Change_SII,""),"")</f>
        <v/>
      </c>
      <c r="BY189" s="351"/>
      <c r="BZ189" s="83">
        <f>SUMPRODUCT(1*(EXACT(CONCATENATE(Tableau1[[#This Row],[PO Number (Header)]],"-",Tableau1[[#This Row],[Line]]),UO_List[Unique_AIB_ID]))*(UO_List[Qté Réception 09/2020]))</f>
        <v>0</v>
      </c>
      <c r="CA189" s="84">
        <v>0</v>
      </c>
      <c r="CB189" s="351"/>
      <c r="CC189" s="351" t="str">
        <f>IFERROR(Tableau1[[#This Row],[Qté Facturé 09/2018]]*Tableau1[[#This Row],[Unit Price (calcul)]],"")</f>
        <v/>
      </c>
      <c r="CD189" s="351" t="str">
        <f>IFERROR(IF(Tableau1[[#This Row],[Montant Facturé 09/2018]]&gt;0,Tableau1[[#This Row],[Montant Facturé 09/2018]]/Taux_Change_SII,""),"")</f>
        <v/>
      </c>
      <c r="CE189" s="351"/>
      <c r="CF189" s="83">
        <f>SUMPRODUCT(1*(EXACT(CONCATENATE(Tableau1[[#This Row],[PO Number (Header)]],"-",Tableau1[[#This Row],[Line]]),UO_List[Unique_AIB_ID]))*(UO_List[Qté Réception 10/2020]))</f>
        <v>0</v>
      </c>
      <c r="CG189" s="84">
        <v>0</v>
      </c>
      <c r="CH189" s="351"/>
      <c r="CI189" s="351" t="str">
        <f>IFERROR(Tableau1[[#This Row],[Qté Facturé 10/2018]]*Tableau1[[#This Row],[Unit Price (calcul)]],"")</f>
        <v/>
      </c>
      <c r="CJ189" s="351" t="str">
        <f>IFERROR(IF(Tableau1[[#This Row],[Montant Facturé 10/2018]]&gt;0,Tableau1[[#This Row],[Montant Facturé 10/2018]]/Taux_Change_SII,""),"")</f>
        <v/>
      </c>
      <c r="CK189" s="351"/>
      <c r="CL189" s="83">
        <f>SUMPRODUCT(1*(EXACT(CONCATENATE(Tableau1[[#This Row],[PO Number (Header)]],"-",Tableau1[[#This Row],[Line]]),UO_List[Unique_AIB_ID]))*(UO_List[Qté Réception 11/2020]))</f>
        <v>0</v>
      </c>
      <c r="CM189" s="84"/>
      <c r="CN189" s="351"/>
      <c r="CO189" s="351" t="str">
        <f>IFERROR(Tableau1[[#This Row],[Qté Facturé 11/2018]]*Tableau1[[#This Row],[Unit Price (calcul)]],"")</f>
        <v/>
      </c>
      <c r="CP189" s="351" t="str">
        <f>IFERROR(IF(Tableau1[[#This Row],[Montant Facturé 11/2018]]&gt;0,Tableau1[[#This Row],[Montant Facturé 11/2018]]/Taux_Change_SII,""),"")</f>
        <v/>
      </c>
      <c r="CQ189" s="351"/>
      <c r="CR189" s="83">
        <f>SUMPRODUCT(1*(EXACT(CONCATENATE(Tableau1[[#This Row],[PO Number (Header)]],"-",Tableau1[[#This Row],[Line]]),UO_List[Unique_AIB_ID]))*(UO_List[Qté Réception 12/2020]))</f>
        <v>0</v>
      </c>
      <c r="CS189" s="84"/>
      <c r="CT189" s="351"/>
      <c r="CU189" s="351" t="str">
        <f>IFERROR(Tableau1[[#This Row],[Qté Facturé 12/2018]]*Tableau1[[#This Row],[Unit Price (calcul)]],"")</f>
        <v/>
      </c>
      <c r="CV189" s="351" t="str">
        <f>IFERROR(IF(Tableau1[[#This Row],[Montant Facturé 12/2018]]&gt;0,Tableau1[[#This Row],[Montant Facturé 12/2018]]/Taux_Change_SII,""),"")</f>
        <v/>
      </c>
      <c r="CW189" s="351"/>
      <c r="CX189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89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89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89" s="352" t="str">
        <f>IFERROR(Tableau1[[#This Row],[Total item réceptionné]]*Tableau1[[#This Row],[Unit Price (calcul)]],"")</f>
        <v/>
      </c>
      <c r="DB189" s="352" t="str">
        <f>IFERROR(Tableau1[[#This Row],[Total item à Facturer]]*Tableau1[[#This Row],[Unit Price (calcul)]],"")</f>
        <v/>
      </c>
      <c r="DC189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89" s="352" t="str">
        <f>IFERROR(Tableau1[[#This Row],[Line Total]]-Tableau1[[#This Row],[Total Price Réceptionné]],"")</f>
        <v/>
      </c>
      <c r="DE189" s="352" t="str">
        <f>IFERROR(Tableau1[[#This Row],[Total Price Réceptionné]]-Tableau1[[#This Row],[Total Price A facturer]],"")</f>
        <v/>
      </c>
      <c r="DF189" s="353" t="str">
        <f>IFERROR(Tableau1[[#This Row],[Total Price A facturer]]-Tableau1[[#This Row],[Total Price Facturé]],"")</f>
        <v/>
      </c>
      <c r="DG189" s="76">
        <f>Tableau1[[#This Row],[Total Item Quantity]]-Tableau1[[#This Row],[Total item réceptionné]]</f>
        <v>0</v>
      </c>
      <c r="DH189" s="167"/>
      <c r="DI189" s="167"/>
    </row>
    <row r="190" spans="1:113" s="74" customFormat="1">
      <c r="A190" s="77" t="str">
        <f>CONCATENATE(Tableau1[[#This Row],[PO Number (Header)]],"-",Tableau1[[#This Row],[Line]])</f>
        <v>-</v>
      </c>
      <c r="B190" s="110"/>
      <c r="C190" s="111"/>
      <c r="D190" s="110"/>
      <c r="E190" s="119"/>
      <c r="F190" s="490"/>
      <c r="G190" s="105"/>
      <c r="H190" s="105"/>
      <c r="I190" s="111"/>
      <c r="J190" s="105"/>
      <c r="K190" s="112"/>
      <c r="L190" s="111"/>
      <c r="M190" s="111"/>
      <c r="N190" s="77"/>
      <c r="O190" s="77"/>
      <c r="P190" s="77"/>
      <c r="Q190" s="77"/>
      <c r="R190" s="77"/>
      <c r="S190" s="77"/>
      <c r="T190" s="77"/>
      <c r="U190" s="77"/>
      <c r="V190" s="77"/>
      <c r="W190" s="167"/>
      <c r="X190" s="167"/>
      <c r="Y190" s="167" t="str">
        <f>IF(ISBLANK(Tableau1[[#This Row],[PO Number (Header)]]),"",Tableau1[[#This Row],[Line Total]]/Tableau1[[#This Row],[Total Item Quantity]])</f>
        <v/>
      </c>
      <c r="Z190" s="167" t="str">
        <f>IF(ISNA(VLOOKUP(Tableau1[[#This Row],[Unique_AIB_ID]],UO_List[Unique_AIB_ID],1,FALSE)),IF(ISBLANK(Tableau1[[#This Row],[PO Number (Header)]]),"","FAUX"),"VRAI")</f>
        <v/>
      </c>
      <c r="AA190" s="167"/>
      <c r="AB190" s="162" t="e">
        <f>VLOOKUP(Tableau1[[#This Row],[Unique_AIB_ID]],UO_List[[Unique_AIB_ID]:[OLGA F6]],3,FALSE)</f>
        <v>#N/A</v>
      </c>
      <c r="AC190" s="162"/>
      <c r="AD190" s="83">
        <f>SUMPRODUCT(1*(EXACT(CONCATENATE(Tableau1[[#This Row],[PO Number (Header)]],"-",Tableau1[[#This Row],[Line]]),UO_List[Unique_AIB_ID]))*(UO_List[Qté Réception 03/2020]))</f>
        <v>0</v>
      </c>
      <c r="AE190" s="84"/>
      <c r="AF190" s="357"/>
      <c r="AG190" s="351" t="str">
        <f>IFERROR(Tableau1[[#This Row],[Qté Facturé 01/2018]]*Tableau1[[#This Row],[Unit Price (calcul)]],"")</f>
        <v/>
      </c>
      <c r="AH190" s="356" t="str">
        <f>IFERROR(IF(Tableau1[[#This Row],[Montant Facturé 01/2018]]&gt;0,Tableau1[[#This Row],[Montant Facturé 01/2018]]/Taux_Change_SII,""),"")</f>
        <v/>
      </c>
      <c r="AI190" s="351"/>
      <c r="AJ190" s="83">
        <f>SUMPRODUCT(1*(EXACT(CONCATENATE(Tableau1[[#This Row],[PO Number (Header)]],"-",Tableau1[[#This Row],[Line]]),UO_List[Unique_AIB_ID]))*(UO_List[Qté Réception 02/2020]))</f>
        <v>0</v>
      </c>
      <c r="AK190" s="83">
        <f>SUMPRODUCT(1*(EXACT(CONCATENATE(Tableau1[[#This Row],[PO Number (Header)]],"-",Tableau1[[#This Row],[Line]]),UO_List[Unique_AIB_ID]))*(UO_List[Qté Réception 02/2020]))</f>
        <v>0</v>
      </c>
      <c r="AL190" s="357"/>
      <c r="AM190" s="351" t="str">
        <f>IFERROR(Tableau1[[#This Row],[Qté Facturé 02/2018]]*Tableau1[[#This Row],[Unit Price (calcul)]],"")</f>
        <v/>
      </c>
      <c r="AN190" s="351" t="str">
        <f>IFERROR(IF(Tableau1[[#This Row],[Montant Facturé 02/2018]]&gt;0,Tableau1[[#This Row],[Montant Facturé 02/2018]]/Taux_Change_SII,""),"")</f>
        <v/>
      </c>
      <c r="AO190" s="351"/>
      <c r="AP190" s="83">
        <f>SUMPRODUCT(1*(EXACT(CONCATENATE(Tableau1[[#This Row],[PO Number (Header)]],"-",Tableau1[[#This Row],[Line]]),UO_List[Unique_AIB_ID]))*(UO_List[Qté Réception 00/2020]))</f>
        <v>0</v>
      </c>
      <c r="AQ190" s="84">
        <v>0</v>
      </c>
      <c r="AR190" s="357"/>
      <c r="AS190" s="351" t="str">
        <f>IFERROR(Tableau1[[#This Row],[Qté Facturé 03/2018]]*Tableau1[[#This Row],[Unit Price (calcul)]],"")</f>
        <v/>
      </c>
      <c r="AT190" s="351" t="str">
        <f>IFERROR(IF(Tableau1[[#This Row],[Montant Facturé 03/2018]]&gt;0,Tableau1[[#This Row],[Montant Facturé 03/2018]]/Taux_Change_SII,""),"")</f>
        <v/>
      </c>
      <c r="AU190" s="351"/>
      <c r="AV190" s="83">
        <f>SUMPRODUCT(1*(EXACT(CONCATENATE(Tableau1[[#This Row],[PO Number (Header)]],"-",Tableau1[[#This Row],[Line]]),UO_List[Unique_AIB_ID]))*(UO_List[Qté Réception 04/2020]))</f>
        <v>0</v>
      </c>
      <c r="AW190" s="84">
        <v>0</v>
      </c>
      <c r="AX190" s="351"/>
      <c r="AY190" s="351" t="str">
        <f>IFERROR(Tableau1[[#This Row],[Qté Facturé 04/2018]]*Tableau1[[#This Row],[Unit Price (calcul)]],"")</f>
        <v/>
      </c>
      <c r="AZ190" s="351" t="str">
        <f>IFERROR(IF(Tableau1[[#This Row],[Montant Facturé 04/2018]]&gt;0,Tableau1[[#This Row],[Montant Facturé 04/2018]]/Taux_Change_SII,""),"")</f>
        <v/>
      </c>
      <c r="BA190" s="351"/>
      <c r="BB190" s="83">
        <f>SUMPRODUCT(1*(EXACT(CONCATENATE(Tableau1[[#This Row],[PO Number (Header)]],"-",Tableau1[[#This Row],[Line]]),UO_List[Unique_AIB_ID]))*(UO_List[Qté Réception 05/2020]))</f>
        <v>0</v>
      </c>
      <c r="BC190" s="84"/>
      <c r="BD190" s="351"/>
      <c r="BE190" s="351" t="str">
        <f>IFERROR(Tableau1[[#This Row],[Qté Facturé 05/2018]]*Tableau1[[#This Row],[Unit Price (calcul)]],"")</f>
        <v/>
      </c>
      <c r="BF190" s="351" t="str">
        <f>IFERROR(IF(Tableau1[[#This Row],[Montant Facturé 05/2018]]&gt;0,Tableau1[[#This Row],[Montant Facturé 05/2018]]/Taux_Change_SII,""),"")</f>
        <v/>
      </c>
      <c r="BG190" s="351"/>
      <c r="BH190" s="83">
        <f>SUMPRODUCT(1*(EXACT(CONCATENATE(Tableau1[[#This Row],[PO Number (Header)]],"-",Tableau1[[#This Row],[Line]]),UO_List[Unique_AIB_ID]))*(UO_List[Qté Réception 06/2020]))</f>
        <v>0</v>
      </c>
      <c r="BI190" s="84"/>
      <c r="BJ190" s="351"/>
      <c r="BK190" s="351" t="str">
        <f>IFERROR(Tableau1[[#This Row],[Qté Facturé 06/2018]]*Tableau1[[#This Row],[Unit Price (calcul)]],"")</f>
        <v/>
      </c>
      <c r="BL190" s="351" t="str">
        <f>IFERROR(IF(Tableau1[[#This Row],[Montant Facturé 06/2018]]&gt;0,Tableau1[[#This Row],[Montant Facturé 06/2018]]/Taux_Change_SII,""),"")</f>
        <v/>
      </c>
      <c r="BM190" s="351"/>
      <c r="BN190" s="83">
        <f>SUMPRODUCT(1*(EXACT(CONCATENATE(Tableau1[[#This Row],[PO Number (Header)]],"-",Tableau1[[#This Row],[Line]]),UO_List[Unique_AIB_ID]))*(UO_List[Qté Réception 07/2020]))</f>
        <v>0</v>
      </c>
      <c r="BO190" s="84">
        <v>0</v>
      </c>
      <c r="BP190" s="351"/>
      <c r="BQ190" s="351" t="str">
        <f>IFERROR(Tableau1[[#This Row],[Qté Facturé 07/2018]]*Tableau1[[#This Row],[Unit Price (calcul)]],"")</f>
        <v/>
      </c>
      <c r="BR190" s="351" t="str">
        <f>IFERROR(IF(Tableau1[[#This Row],[Montant Facturé 07/2018]]&gt;0,Tableau1[[#This Row],[Montant Facturé 07/2018]]/Taux_Change_SII,""),"")</f>
        <v/>
      </c>
      <c r="BS190" s="351"/>
      <c r="BT190" s="83">
        <f>SUMPRODUCT(1*(EXACT(CONCATENATE(Tableau1[[#This Row],[PO Number (Header)]],"-",Tableau1[[#This Row],[Line]]),UO_List[Unique_AIB_ID]))*(UO_List[Qté Réception 08/2020]))</f>
        <v>0</v>
      </c>
      <c r="BU190" s="84"/>
      <c r="BV190" s="351"/>
      <c r="BW190" s="351" t="str">
        <f>IFERROR(Tableau1[[#This Row],[Qté Facturé 08/2018]]*Tableau1[[#This Row],[Unit Price (calcul)]],"")</f>
        <v/>
      </c>
      <c r="BX190" s="351" t="str">
        <f>IFERROR(IF(Tableau1[[#This Row],[Montant Facturé 08/2018]]&gt;0,Tableau1[[#This Row],[Montant Facturé 08/2018]]/Taux_Change_SII,""),"")</f>
        <v/>
      </c>
      <c r="BY190" s="351"/>
      <c r="BZ190" s="83">
        <f>SUMPRODUCT(1*(EXACT(CONCATENATE(Tableau1[[#This Row],[PO Number (Header)]],"-",Tableau1[[#This Row],[Line]]),UO_List[Unique_AIB_ID]))*(UO_List[Qté Réception 09/2020]))</f>
        <v>0</v>
      </c>
      <c r="CA190" s="84">
        <v>0</v>
      </c>
      <c r="CB190" s="351"/>
      <c r="CC190" s="351" t="str">
        <f>IFERROR(Tableau1[[#This Row],[Qté Facturé 09/2018]]*Tableau1[[#This Row],[Unit Price (calcul)]],"")</f>
        <v/>
      </c>
      <c r="CD190" s="351" t="str">
        <f>IFERROR(IF(Tableau1[[#This Row],[Montant Facturé 09/2018]]&gt;0,Tableau1[[#This Row],[Montant Facturé 09/2018]]/Taux_Change_SII,""),"")</f>
        <v/>
      </c>
      <c r="CE190" s="351"/>
      <c r="CF190" s="83">
        <f>SUMPRODUCT(1*(EXACT(CONCATENATE(Tableau1[[#This Row],[PO Number (Header)]],"-",Tableau1[[#This Row],[Line]]),UO_List[Unique_AIB_ID]))*(UO_List[Qté Réception 10/2020]))</f>
        <v>0</v>
      </c>
      <c r="CG190" s="84">
        <v>0</v>
      </c>
      <c r="CH190" s="351"/>
      <c r="CI190" s="351" t="str">
        <f>IFERROR(Tableau1[[#This Row],[Qté Facturé 10/2018]]*Tableau1[[#This Row],[Unit Price (calcul)]],"")</f>
        <v/>
      </c>
      <c r="CJ190" s="351" t="str">
        <f>IFERROR(IF(Tableau1[[#This Row],[Montant Facturé 10/2018]]&gt;0,Tableau1[[#This Row],[Montant Facturé 10/2018]]/Taux_Change_SII,""),"")</f>
        <v/>
      </c>
      <c r="CK190" s="351"/>
      <c r="CL190" s="83">
        <f>SUMPRODUCT(1*(EXACT(CONCATENATE(Tableau1[[#This Row],[PO Number (Header)]],"-",Tableau1[[#This Row],[Line]]),UO_List[Unique_AIB_ID]))*(UO_List[Qté Réception 11/2020]))</f>
        <v>0</v>
      </c>
      <c r="CM190" s="84"/>
      <c r="CN190" s="351"/>
      <c r="CO190" s="351" t="str">
        <f>IFERROR(Tableau1[[#This Row],[Qté Facturé 11/2018]]*Tableau1[[#This Row],[Unit Price (calcul)]],"")</f>
        <v/>
      </c>
      <c r="CP190" s="351" t="str">
        <f>IFERROR(IF(Tableau1[[#This Row],[Montant Facturé 11/2018]]&gt;0,Tableau1[[#This Row],[Montant Facturé 11/2018]]/Taux_Change_SII,""),"")</f>
        <v/>
      </c>
      <c r="CQ190" s="351"/>
      <c r="CR190" s="83">
        <f>SUMPRODUCT(1*(EXACT(CONCATENATE(Tableau1[[#This Row],[PO Number (Header)]],"-",Tableau1[[#This Row],[Line]]),UO_List[Unique_AIB_ID]))*(UO_List[Qté Réception 12/2020]))</f>
        <v>0</v>
      </c>
      <c r="CS190" s="84"/>
      <c r="CT190" s="351"/>
      <c r="CU190" s="351" t="str">
        <f>IFERROR(Tableau1[[#This Row],[Qté Facturé 12/2018]]*Tableau1[[#This Row],[Unit Price (calcul)]],"")</f>
        <v/>
      </c>
      <c r="CV190" s="351" t="str">
        <f>IFERROR(IF(Tableau1[[#This Row],[Montant Facturé 12/2018]]&gt;0,Tableau1[[#This Row],[Montant Facturé 12/2018]]/Taux_Change_SII,""),"")</f>
        <v/>
      </c>
      <c r="CW190" s="351"/>
      <c r="CX190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90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90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90" s="352" t="str">
        <f>IFERROR(Tableau1[[#This Row],[Total item réceptionné]]*Tableau1[[#This Row],[Unit Price (calcul)]],"")</f>
        <v/>
      </c>
      <c r="DB190" s="352" t="str">
        <f>IFERROR(Tableau1[[#This Row],[Total item à Facturer]]*Tableau1[[#This Row],[Unit Price (calcul)]],"")</f>
        <v/>
      </c>
      <c r="DC190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90" s="352" t="str">
        <f>IFERROR(Tableau1[[#This Row],[Line Total]]-Tableau1[[#This Row],[Total Price Réceptionné]],"")</f>
        <v/>
      </c>
      <c r="DE190" s="352" t="str">
        <f>IFERROR(Tableau1[[#This Row],[Total Price Réceptionné]]-Tableau1[[#This Row],[Total Price A facturer]],"")</f>
        <v/>
      </c>
      <c r="DF190" s="353" t="str">
        <f>IFERROR(Tableau1[[#This Row],[Total Price A facturer]]-Tableau1[[#This Row],[Total Price Facturé]],"")</f>
        <v/>
      </c>
      <c r="DG190" s="76">
        <f>Tableau1[[#This Row],[Total Item Quantity]]-Tableau1[[#This Row],[Total item réceptionné]]</f>
        <v>0</v>
      </c>
      <c r="DH190" s="167"/>
      <c r="DI190" s="167"/>
    </row>
    <row r="191" spans="1:113" s="74" customFormat="1">
      <c r="A191" s="77" t="str">
        <f>CONCATENATE(Tableau1[[#This Row],[PO Number (Header)]],"-",Tableau1[[#This Row],[Line]])</f>
        <v>-</v>
      </c>
      <c r="B191" s="110"/>
      <c r="C191" s="111"/>
      <c r="D191" s="110"/>
      <c r="E191" s="119"/>
      <c r="F191" s="490"/>
      <c r="G191" s="105"/>
      <c r="H191" s="105"/>
      <c r="I191" s="111"/>
      <c r="J191" s="105"/>
      <c r="K191" s="112"/>
      <c r="L191" s="111"/>
      <c r="M191" s="111"/>
      <c r="N191" s="77"/>
      <c r="O191" s="77"/>
      <c r="P191" s="77"/>
      <c r="Q191" s="77"/>
      <c r="R191" s="77"/>
      <c r="S191" s="77"/>
      <c r="T191" s="77"/>
      <c r="U191" s="77"/>
      <c r="V191" s="77"/>
      <c r="W191" s="167"/>
      <c r="X191" s="167"/>
      <c r="Y191" s="167" t="str">
        <f>IF(ISBLANK(Tableau1[[#This Row],[PO Number (Header)]]),"",Tableau1[[#This Row],[Line Total]]/Tableau1[[#This Row],[Total Item Quantity]])</f>
        <v/>
      </c>
      <c r="Z191" s="167" t="str">
        <f>IF(ISNA(VLOOKUP(Tableau1[[#This Row],[Unique_AIB_ID]],UO_List[Unique_AIB_ID],1,FALSE)),IF(ISBLANK(Tableau1[[#This Row],[PO Number (Header)]]),"","FAUX"),"VRAI")</f>
        <v/>
      </c>
      <c r="AA191" s="167"/>
      <c r="AB191" s="162" t="e">
        <f>VLOOKUP(Tableau1[[#This Row],[Unique_AIB_ID]],UO_List[[Unique_AIB_ID]:[OLGA F6]],3,FALSE)</f>
        <v>#N/A</v>
      </c>
      <c r="AC191" s="162"/>
      <c r="AD191" s="83">
        <f>SUMPRODUCT(1*(EXACT(CONCATENATE(Tableau1[[#This Row],[PO Number (Header)]],"-",Tableau1[[#This Row],[Line]]),UO_List[Unique_AIB_ID]))*(UO_List[Qté Réception 03/2020]))</f>
        <v>0</v>
      </c>
      <c r="AE191" s="84"/>
      <c r="AF191" s="357"/>
      <c r="AG191" s="351" t="str">
        <f>IFERROR(Tableau1[[#This Row],[Qté Facturé 01/2018]]*Tableau1[[#This Row],[Unit Price (calcul)]],"")</f>
        <v/>
      </c>
      <c r="AH191" s="356" t="str">
        <f>IFERROR(IF(Tableau1[[#This Row],[Montant Facturé 01/2018]]&gt;0,Tableau1[[#This Row],[Montant Facturé 01/2018]]/Taux_Change_SII,""),"")</f>
        <v/>
      </c>
      <c r="AI191" s="351"/>
      <c r="AJ191" s="83">
        <f>SUMPRODUCT(1*(EXACT(CONCATENATE(Tableau1[[#This Row],[PO Number (Header)]],"-",Tableau1[[#This Row],[Line]]),UO_List[Unique_AIB_ID]))*(UO_List[Qté Réception 02/2020]))</f>
        <v>0</v>
      </c>
      <c r="AK191" s="83">
        <f>SUMPRODUCT(1*(EXACT(CONCATENATE(Tableau1[[#This Row],[PO Number (Header)]],"-",Tableau1[[#This Row],[Line]]),UO_List[Unique_AIB_ID]))*(UO_List[Qté Réception 02/2020]))</f>
        <v>0</v>
      </c>
      <c r="AL191" s="357"/>
      <c r="AM191" s="351" t="str">
        <f>IFERROR(Tableau1[[#This Row],[Qté Facturé 02/2018]]*Tableau1[[#This Row],[Unit Price (calcul)]],"")</f>
        <v/>
      </c>
      <c r="AN191" s="351" t="str">
        <f>IFERROR(IF(Tableau1[[#This Row],[Montant Facturé 02/2018]]&gt;0,Tableau1[[#This Row],[Montant Facturé 02/2018]]/Taux_Change_SII,""),"")</f>
        <v/>
      </c>
      <c r="AO191" s="351"/>
      <c r="AP191" s="83">
        <f>SUMPRODUCT(1*(EXACT(CONCATENATE(Tableau1[[#This Row],[PO Number (Header)]],"-",Tableau1[[#This Row],[Line]]),UO_List[Unique_AIB_ID]))*(UO_List[Qté Réception 00/2020]))</f>
        <v>0</v>
      </c>
      <c r="AQ191" s="84">
        <v>0</v>
      </c>
      <c r="AR191" s="357"/>
      <c r="AS191" s="351" t="str">
        <f>IFERROR(Tableau1[[#This Row],[Qté Facturé 03/2018]]*Tableau1[[#This Row],[Unit Price (calcul)]],"")</f>
        <v/>
      </c>
      <c r="AT191" s="351" t="str">
        <f>IFERROR(IF(Tableau1[[#This Row],[Montant Facturé 03/2018]]&gt;0,Tableau1[[#This Row],[Montant Facturé 03/2018]]/Taux_Change_SII,""),"")</f>
        <v/>
      </c>
      <c r="AU191" s="351"/>
      <c r="AV191" s="83">
        <f>SUMPRODUCT(1*(EXACT(CONCATENATE(Tableau1[[#This Row],[PO Number (Header)]],"-",Tableau1[[#This Row],[Line]]),UO_List[Unique_AIB_ID]))*(UO_List[Qté Réception 04/2020]))</f>
        <v>0</v>
      </c>
      <c r="AW191" s="84">
        <v>0</v>
      </c>
      <c r="AX191" s="351"/>
      <c r="AY191" s="351" t="str">
        <f>IFERROR(Tableau1[[#This Row],[Qté Facturé 04/2018]]*Tableau1[[#This Row],[Unit Price (calcul)]],"")</f>
        <v/>
      </c>
      <c r="AZ191" s="351" t="str">
        <f>IFERROR(IF(Tableau1[[#This Row],[Montant Facturé 04/2018]]&gt;0,Tableau1[[#This Row],[Montant Facturé 04/2018]]/Taux_Change_SII,""),"")</f>
        <v/>
      </c>
      <c r="BA191" s="351"/>
      <c r="BB191" s="83">
        <f>SUMPRODUCT(1*(EXACT(CONCATENATE(Tableau1[[#This Row],[PO Number (Header)]],"-",Tableau1[[#This Row],[Line]]),UO_List[Unique_AIB_ID]))*(UO_List[Qté Réception 05/2020]))</f>
        <v>0</v>
      </c>
      <c r="BC191" s="84"/>
      <c r="BD191" s="351"/>
      <c r="BE191" s="351" t="str">
        <f>IFERROR(Tableau1[[#This Row],[Qté Facturé 05/2018]]*Tableau1[[#This Row],[Unit Price (calcul)]],"")</f>
        <v/>
      </c>
      <c r="BF191" s="351" t="str">
        <f>IFERROR(IF(Tableau1[[#This Row],[Montant Facturé 05/2018]]&gt;0,Tableau1[[#This Row],[Montant Facturé 05/2018]]/Taux_Change_SII,""),"")</f>
        <v/>
      </c>
      <c r="BG191" s="351"/>
      <c r="BH191" s="83">
        <f>SUMPRODUCT(1*(EXACT(CONCATENATE(Tableau1[[#This Row],[PO Number (Header)]],"-",Tableau1[[#This Row],[Line]]),UO_List[Unique_AIB_ID]))*(UO_List[Qté Réception 06/2020]))</f>
        <v>0</v>
      </c>
      <c r="BI191" s="84"/>
      <c r="BJ191" s="351"/>
      <c r="BK191" s="351" t="str">
        <f>IFERROR(Tableau1[[#This Row],[Qté Facturé 06/2018]]*Tableau1[[#This Row],[Unit Price (calcul)]],"")</f>
        <v/>
      </c>
      <c r="BL191" s="351" t="str">
        <f>IFERROR(IF(Tableau1[[#This Row],[Montant Facturé 06/2018]]&gt;0,Tableau1[[#This Row],[Montant Facturé 06/2018]]/Taux_Change_SII,""),"")</f>
        <v/>
      </c>
      <c r="BM191" s="351"/>
      <c r="BN191" s="83">
        <f>SUMPRODUCT(1*(EXACT(CONCATENATE(Tableau1[[#This Row],[PO Number (Header)]],"-",Tableau1[[#This Row],[Line]]),UO_List[Unique_AIB_ID]))*(UO_List[Qté Réception 07/2020]))</f>
        <v>0</v>
      </c>
      <c r="BO191" s="84">
        <v>0</v>
      </c>
      <c r="BP191" s="351"/>
      <c r="BQ191" s="351" t="str">
        <f>IFERROR(Tableau1[[#This Row],[Qté Facturé 07/2018]]*Tableau1[[#This Row],[Unit Price (calcul)]],"")</f>
        <v/>
      </c>
      <c r="BR191" s="351" t="str">
        <f>IFERROR(IF(Tableau1[[#This Row],[Montant Facturé 07/2018]]&gt;0,Tableau1[[#This Row],[Montant Facturé 07/2018]]/Taux_Change_SII,""),"")</f>
        <v/>
      </c>
      <c r="BS191" s="351"/>
      <c r="BT191" s="83">
        <f>SUMPRODUCT(1*(EXACT(CONCATENATE(Tableau1[[#This Row],[PO Number (Header)]],"-",Tableau1[[#This Row],[Line]]),UO_List[Unique_AIB_ID]))*(UO_List[Qté Réception 08/2020]))</f>
        <v>0</v>
      </c>
      <c r="BU191" s="84"/>
      <c r="BV191" s="351"/>
      <c r="BW191" s="351" t="str">
        <f>IFERROR(Tableau1[[#This Row],[Qté Facturé 08/2018]]*Tableau1[[#This Row],[Unit Price (calcul)]],"")</f>
        <v/>
      </c>
      <c r="BX191" s="351" t="str">
        <f>IFERROR(IF(Tableau1[[#This Row],[Montant Facturé 08/2018]]&gt;0,Tableau1[[#This Row],[Montant Facturé 08/2018]]/Taux_Change_SII,""),"")</f>
        <v/>
      </c>
      <c r="BY191" s="351"/>
      <c r="BZ191" s="83">
        <f>SUMPRODUCT(1*(EXACT(CONCATENATE(Tableau1[[#This Row],[PO Number (Header)]],"-",Tableau1[[#This Row],[Line]]),UO_List[Unique_AIB_ID]))*(UO_List[Qté Réception 09/2020]))</f>
        <v>0</v>
      </c>
      <c r="CA191" s="84">
        <v>0</v>
      </c>
      <c r="CB191" s="351"/>
      <c r="CC191" s="351" t="str">
        <f>IFERROR(Tableau1[[#This Row],[Qté Facturé 09/2018]]*Tableau1[[#This Row],[Unit Price (calcul)]],"")</f>
        <v/>
      </c>
      <c r="CD191" s="351" t="str">
        <f>IFERROR(IF(Tableau1[[#This Row],[Montant Facturé 09/2018]]&gt;0,Tableau1[[#This Row],[Montant Facturé 09/2018]]/Taux_Change_SII,""),"")</f>
        <v/>
      </c>
      <c r="CE191" s="351"/>
      <c r="CF191" s="83">
        <f>SUMPRODUCT(1*(EXACT(CONCATENATE(Tableau1[[#This Row],[PO Number (Header)]],"-",Tableau1[[#This Row],[Line]]),UO_List[Unique_AIB_ID]))*(UO_List[Qté Réception 10/2020]))</f>
        <v>0</v>
      </c>
      <c r="CG191" s="84">
        <v>0</v>
      </c>
      <c r="CH191" s="351"/>
      <c r="CI191" s="351" t="str">
        <f>IFERROR(Tableau1[[#This Row],[Qté Facturé 10/2018]]*Tableau1[[#This Row],[Unit Price (calcul)]],"")</f>
        <v/>
      </c>
      <c r="CJ191" s="351" t="str">
        <f>IFERROR(IF(Tableau1[[#This Row],[Montant Facturé 10/2018]]&gt;0,Tableau1[[#This Row],[Montant Facturé 10/2018]]/Taux_Change_SII,""),"")</f>
        <v/>
      </c>
      <c r="CK191" s="351"/>
      <c r="CL191" s="83">
        <f>SUMPRODUCT(1*(EXACT(CONCATENATE(Tableau1[[#This Row],[PO Number (Header)]],"-",Tableau1[[#This Row],[Line]]),UO_List[Unique_AIB_ID]))*(UO_List[Qté Réception 11/2020]))</f>
        <v>0</v>
      </c>
      <c r="CM191" s="84"/>
      <c r="CN191" s="351"/>
      <c r="CO191" s="351" t="str">
        <f>IFERROR(Tableau1[[#This Row],[Qté Facturé 11/2018]]*Tableau1[[#This Row],[Unit Price (calcul)]],"")</f>
        <v/>
      </c>
      <c r="CP191" s="351" t="str">
        <f>IFERROR(IF(Tableau1[[#This Row],[Montant Facturé 11/2018]]&gt;0,Tableau1[[#This Row],[Montant Facturé 11/2018]]/Taux_Change_SII,""),"")</f>
        <v/>
      </c>
      <c r="CQ191" s="351"/>
      <c r="CR191" s="83">
        <f>SUMPRODUCT(1*(EXACT(CONCATENATE(Tableau1[[#This Row],[PO Number (Header)]],"-",Tableau1[[#This Row],[Line]]),UO_List[Unique_AIB_ID]))*(UO_List[Qté Réception 12/2020]))</f>
        <v>0</v>
      </c>
      <c r="CS191" s="84"/>
      <c r="CT191" s="351"/>
      <c r="CU191" s="351" t="str">
        <f>IFERROR(Tableau1[[#This Row],[Qté Facturé 12/2018]]*Tableau1[[#This Row],[Unit Price (calcul)]],"")</f>
        <v/>
      </c>
      <c r="CV191" s="351" t="str">
        <f>IFERROR(IF(Tableau1[[#This Row],[Montant Facturé 12/2018]]&gt;0,Tableau1[[#This Row],[Montant Facturé 12/2018]]/Taux_Change_SII,""),"")</f>
        <v/>
      </c>
      <c r="CW191" s="351"/>
      <c r="CX191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91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91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91" s="352" t="str">
        <f>IFERROR(Tableau1[[#This Row],[Total item réceptionné]]*Tableau1[[#This Row],[Unit Price (calcul)]],"")</f>
        <v/>
      </c>
      <c r="DB191" s="352" t="str">
        <f>IFERROR(Tableau1[[#This Row],[Total item à Facturer]]*Tableau1[[#This Row],[Unit Price (calcul)]],"")</f>
        <v/>
      </c>
      <c r="DC191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91" s="352" t="str">
        <f>IFERROR(Tableau1[[#This Row],[Line Total]]-Tableau1[[#This Row],[Total Price Réceptionné]],"")</f>
        <v/>
      </c>
      <c r="DE191" s="352" t="str">
        <f>IFERROR(Tableau1[[#This Row],[Total Price Réceptionné]]-Tableau1[[#This Row],[Total Price A facturer]],"")</f>
        <v/>
      </c>
      <c r="DF191" s="353" t="str">
        <f>IFERROR(Tableau1[[#This Row],[Total Price A facturer]]-Tableau1[[#This Row],[Total Price Facturé]],"")</f>
        <v/>
      </c>
      <c r="DG191" s="76">
        <f>Tableau1[[#This Row],[Total Item Quantity]]-Tableau1[[#This Row],[Total item réceptionné]]</f>
        <v>0</v>
      </c>
      <c r="DH191" s="167"/>
      <c r="DI191" s="167"/>
    </row>
    <row r="192" spans="1:113" s="81" customFormat="1">
      <c r="A192" s="69" t="str">
        <f>CONCATENATE(Tableau1[[#This Row],[PO Number (Header)]],"-",Tableau1[[#This Row],[Line]])</f>
        <v>-</v>
      </c>
      <c r="B192" s="117"/>
      <c r="C192" s="118"/>
      <c r="D192" s="109"/>
      <c r="E192" s="119"/>
      <c r="F192" s="491"/>
      <c r="G192" s="120"/>
      <c r="H192" s="120"/>
      <c r="I192" s="119"/>
      <c r="J192" s="121"/>
      <c r="K192" s="122"/>
      <c r="L192" s="120"/>
      <c r="M192" s="123"/>
      <c r="N192" s="69"/>
      <c r="O192" s="69"/>
      <c r="P192" s="69"/>
      <c r="Q192" s="69"/>
      <c r="R192" s="69"/>
      <c r="S192" s="69"/>
      <c r="T192" s="69"/>
      <c r="U192" s="69"/>
      <c r="V192" s="69"/>
      <c r="W192" s="170"/>
      <c r="X192" s="170"/>
      <c r="Y192" s="167" t="str">
        <f>IF(ISBLANK(Tableau1[[#This Row],[PO Number (Header)]]),"",Tableau1[[#This Row],[Line Total]]/Tableau1[[#This Row],[Total Item Quantity]])</f>
        <v/>
      </c>
      <c r="Z192" s="170" t="str">
        <f>IF(ISNA(VLOOKUP(Tableau1[[#This Row],[Unique_AIB_ID]],UO_List[Unique_AIB_ID],1,FALSE)),IF(ISBLANK(Tableau1[[#This Row],[PO Number (Header)]]),"","FAUX"),"VRAI")</f>
        <v/>
      </c>
      <c r="AA192" s="170"/>
      <c r="AB192" s="165" t="e">
        <f>VLOOKUP(Tableau1[[#This Row],[Unique_AIB_ID]],UO_List[[Unique_AIB_ID]:[OLGA F6]],3,FALSE)</f>
        <v>#N/A</v>
      </c>
      <c r="AC192" s="165"/>
      <c r="AD192" s="83">
        <f>SUMPRODUCT(1*(EXACT(CONCATENATE(Tableau1[[#This Row],[PO Number (Header)]],"-",Tableau1[[#This Row],[Line]]),UO_List[Unique_AIB_ID]))*(UO_List[Qté Réception 03/2020]))</f>
        <v>0</v>
      </c>
      <c r="AE192" s="84"/>
      <c r="AF192" s="357"/>
      <c r="AG192" s="351" t="str">
        <f>IFERROR(Tableau1[[#This Row],[Qté Facturé 01/2018]]*Tableau1[[#This Row],[Unit Price (calcul)]],"")</f>
        <v/>
      </c>
      <c r="AH192" s="356" t="str">
        <f>IFERROR(IF(Tableau1[[#This Row],[Montant Facturé 01/2018]]&gt;0,Tableau1[[#This Row],[Montant Facturé 01/2018]]/Taux_Change_SII,""),"")</f>
        <v/>
      </c>
      <c r="AI192" s="351"/>
      <c r="AJ192" s="83">
        <f>SUMPRODUCT(1*(EXACT(CONCATENATE(Tableau1[[#This Row],[PO Number (Header)]],"-",Tableau1[[#This Row],[Line]]),UO_List[Unique_AIB_ID]))*(UO_List[Qté Réception 02/2020]))</f>
        <v>0</v>
      </c>
      <c r="AK192" s="83">
        <f>SUMPRODUCT(1*(EXACT(CONCATENATE(Tableau1[[#This Row],[PO Number (Header)]],"-",Tableau1[[#This Row],[Line]]),UO_List[Unique_AIB_ID]))*(UO_List[Qté Réception 02/2020]))</f>
        <v>0</v>
      </c>
      <c r="AL192" s="357"/>
      <c r="AM192" s="351" t="str">
        <f>IFERROR(Tableau1[[#This Row],[Qté Facturé 02/2018]]*Tableau1[[#This Row],[Unit Price (calcul)]],"")</f>
        <v/>
      </c>
      <c r="AN192" s="351" t="str">
        <f>IFERROR(IF(Tableau1[[#This Row],[Montant Facturé 02/2018]]&gt;0,Tableau1[[#This Row],[Montant Facturé 02/2018]]/Taux_Change_SII,""),"")</f>
        <v/>
      </c>
      <c r="AO192" s="351"/>
      <c r="AP192" s="83">
        <f>SUMPRODUCT(1*(EXACT(CONCATENATE(Tableau1[[#This Row],[PO Number (Header)]],"-",Tableau1[[#This Row],[Line]]),UO_List[Unique_AIB_ID]))*(UO_List[Qté Réception 00/2020]))</f>
        <v>0</v>
      </c>
      <c r="AQ192" s="84">
        <v>0</v>
      </c>
      <c r="AR192" s="357"/>
      <c r="AS192" s="351" t="str">
        <f>IFERROR(Tableau1[[#This Row],[Qté Facturé 03/2018]]*Tableau1[[#This Row],[Unit Price (calcul)]],"")</f>
        <v/>
      </c>
      <c r="AT192" s="351" t="str">
        <f>IFERROR(IF(Tableau1[[#This Row],[Montant Facturé 03/2018]]&gt;0,Tableau1[[#This Row],[Montant Facturé 03/2018]]/Taux_Change_SII,""),"")</f>
        <v/>
      </c>
      <c r="AU192" s="351"/>
      <c r="AV192" s="83">
        <f>SUMPRODUCT(1*(EXACT(CONCATENATE(Tableau1[[#This Row],[PO Number (Header)]],"-",Tableau1[[#This Row],[Line]]),UO_List[Unique_AIB_ID]))*(UO_List[Qté Réception 04/2020]))</f>
        <v>0</v>
      </c>
      <c r="AW192" s="84">
        <v>0</v>
      </c>
      <c r="AX192" s="351"/>
      <c r="AY192" s="351" t="str">
        <f>IFERROR(Tableau1[[#This Row],[Qté Facturé 04/2018]]*Tableau1[[#This Row],[Unit Price (calcul)]],"")</f>
        <v/>
      </c>
      <c r="AZ192" s="351" t="str">
        <f>IFERROR(IF(Tableau1[[#This Row],[Montant Facturé 04/2018]]&gt;0,Tableau1[[#This Row],[Montant Facturé 04/2018]]/Taux_Change_SII,""),"")</f>
        <v/>
      </c>
      <c r="BA192" s="351"/>
      <c r="BB192" s="83">
        <f>SUMPRODUCT(1*(EXACT(CONCATENATE(Tableau1[[#This Row],[PO Number (Header)]],"-",Tableau1[[#This Row],[Line]]),UO_List[Unique_AIB_ID]))*(UO_List[Qté Réception 05/2020]))</f>
        <v>0</v>
      </c>
      <c r="BC192" s="84"/>
      <c r="BD192" s="351"/>
      <c r="BE192" s="351" t="str">
        <f>IFERROR(Tableau1[[#This Row],[Qté Facturé 05/2018]]*Tableau1[[#This Row],[Unit Price (calcul)]],"")</f>
        <v/>
      </c>
      <c r="BF192" s="351" t="str">
        <f>IFERROR(IF(Tableau1[[#This Row],[Montant Facturé 05/2018]]&gt;0,Tableau1[[#This Row],[Montant Facturé 05/2018]]/Taux_Change_SII,""),"")</f>
        <v/>
      </c>
      <c r="BG192" s="351"/>
      <c r="BH192" s="83">
        <f>SUMPRODUCT(1*(EXACT(CONCATENATE(Tableau1[[#This Row],[PO Number (Header)]],"-",Tableau1[[#This Row],[Line]]),UO_List[Unique_AIB_ID]))*(UO_List[Qté Réception 06/2020]))</f>
        <v>0</v>
      </c>
      <c r="BI192" s="84"/>
      <c r="BJ192" s="351"/>
      <c r="BK192" s="351" t="str">
        <f>IFERROR(Tableau1[[#This Row],[Qté Facturé 06/2018]]*Tableau1[[#This Row],[Unit Price (calcul)]],"")</f>
        <v/>
      </c>
      <c r="BL192" s="351" t="str">
        <f>IFERROR(IF(Tableau1[[#This Row],[Montant Facturé 06/2018]]&gt;0,Tableau1[[#This Row],[Montant Facturé 06/2018]]/Taux_Change_SII,""),"")</f>
        <v/>
      </c>
      <c r="BM192" s="351"/>
      <c r="BN192" s="83">
        <f>SUMPRODUCT(1*(EXACT(CONCATENATE(Tableau1[[#This Row],[PO Number (Header)]],"-",Tableau1[[#This Row],[Line]]),UO_List[Unique_AIB_ID]))*(UO_List[Qté Réception 07/2020]))</f>
        <v>0</v>
      </c>
      <c r="BO192" s="84">
        <v>0</v>
      </c>
      <c r="BP192" s="351"/>
      <c r="BQ192" s="351" t="str">
        <f>IFERROR(Tableau1[[#This Row],[Qté Facturé 07/2018]]*Tableau1[[#This Row],[Unit Price (calcul)]],"")</f>
        <v/>
      </c>
      <c r="BR192" s="351" t="str">
        <f>IFERROR(IF(Tableau1[[#This Row],[Montant Facturé 07/2018]]&gt;0,Tableau1[[#This Row],[Montant Facturé 07/2018]]/Taux_Change_SII,""),"")</f>
        <v/>
      </c>
      <c r="BS192" s="351"/>
      <c r="BT192" s="83">
        <f>SUMPRODUCT(1*(EXACT(CONCATENATE(Tableau1[[#This Row],[PO Number (Header)]],"-",Tableau1[[#This Row],[Line]]),UO_List[Unique_AIB_ID]))*(UO_List[Qté Réception 08/2020]))</f>
        <v>0</v>
      </c>
      <c r="BU192" s="84"/>
      <c r="BV192" s="351"/>
      <c r="BW192" s="351" t="str">
        <f>IFERROR(Tableau1[[#This Row],[Qté Facturé 08/2018]]*Tableau1[[#This Row],[Unit Price (calcul)]],"")</f>
        <v/>
      </c>
      <c r="BX192" s="351" t="str">
        <f>IFERROR(IF(Tableau1[[#This Row],[Montant Facturé 08/2018]]&gt;0,Tableau1[[#This Row],[Montant Facturé 08/2018]]/Taux_Change_SII,""),"")</f>
        <v/>
      </c>
      <c r="BY192" s="351"/>
      <c r="BZ192" s="83">
        <f>SUMPRODUCT(1*(EXACT(CONCATENATE(Tableau1[[#This Row],[PO Number (Header)]],"-",Tableau1[[#This Row],[Line]]),UO_List[Unique_AIB_ID]))*(UO_List[Qté Réception 09/2020]))</f>
        <v>0</v>
      </c>
      <c r="CA192" s="84">
        <v>0</v>
      </c>
      <c r="CB192" s="351"/>
      <c r="CC192" s="351" t="str">
        <f>IFERROR(Tableau1[[#This Row],[Qté Facturé 09/2018]]*Tableau1[[#This Row],[Unit Price (calcul)]],"")</f>
        <v/>
      </c>
      <c r="CD192" s="351" t="str">
        <f>IFERROR(IF(Tableau1[[#This Row],[Montant Facturé 09/2018]]&gt;0,Tableau1[[#This Row],[Montant Facturé 09/2018]]/Taux_Change_SII,""),"")</f>
        <v/>
      </c>
      <c r="CE192" s="351"/>
      <c r="CF192" s="83">
        <f>SUMPRODUCT(1*(EXACT(CONCATENATE(Tableau1[[#This Row],[PO Number (Header)]],"-",Tableau1[[#This Row],[Line]]),UO_List[Unique_AIB_ID]))*(UO_List[Qté Réception 10/2020]))</f>
        <v>0</v>
      </c>
      <c r="CG192" s="84">
        <v>0</v>
      </c>
      <c r="CH192" s="351"/>
      <c r="CI192" s="351" t="str">
        <f>IFERROR(Tableau1[[#This Row],[Qté Facturé 10/2018]]*Tableau1[[#This Row],[Unit Price (calcul)]],"")</f>
        <v/>
      </c>
      <c r="CJ192" s="351" t="str">
        <f>IFERROR(IF(Tableau1[[#This Row],[Montant Facturé 10/2018]]&gt;0,Tableau1[[#This Row],[Montant Facturé 10/2018]]/Taux_Change_SII,""),"")</f>
        <v/>
      </c>
      <c r="CK192" s="351"/>
      <c r="CL192" s="83">
        <f>SUMPRODUCT(1*(EXACT(CONCATENATE(Tableau1[[#This Row],[PO Number (Header)]],"-",Tableau1[[#This Row],[Line]]),UO_List[Unique_AIB_ID]))*(UO_List[Qté Réception 11/2020]))</f>
        <v>0</v>
      </c>
      <c r="CM192" s="84"/>
      <c r="CN192" s="351"/>
      <c r="CO192" s="351" t="str">
        <f>IFERROR(Tableau1[[#This Row],[Qté Facturé 11/2018]]*Tableau1[[#This Row],[Unit Price (calcul)]],"")</f>
        <v/>
      </c>
      <c r="CP192" s="351" t="str">
        <f>IFERROR(IF(Tableau1[[#This Row],[Montant Facturé 11/2018]]&gt;0,Tableau1[[#This Row],[Montant Facturé 11/2018]]/Taux_Change_SII,""),"")</f>
        <v/>
      </c>
      <c r="CQ192" s="351"/>
      <c r="CR192" s="83">
        <f>SUMPRODUCT(1*(EXACT(CONCATENATE(Tableau1[[#This Row],[PO Number (Header)]],"-",Tableau1[[#This Row],[Line]]),UO_List[Unique_AIB_ID]))*(UO_List[Qté Réception 12/2020]))</f>
        <v>0</v>
      </c>
      <c r="CS192" s="84"/>
      <c r="CT192" s="351"/>
      <c r="CU192" s="351" t="str">
        <f>IFERROR(Tableau1[[#This Row],[Qté Facturé 12/2018]]*Tableau1[[#This Row],[Unit Price (calcul)]],"")</f>
        <v/>
      </c>
      <c r="CV192" s="351" t="str">
        <f>IFERROR(IF(Tableau1[[#This Row],[Montant Facturé 12/2018]]&gt;0,Tableau1[[#This Row],[Montant Facturé 12/2018]]/Taux_Change_SII,""),"")</f>
        <v/>
      </c>
      <c r="CW192" s="351"/>
      <c r="CX192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92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92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92" s="352" t="str">
        <f>IFERROR(Tableau1[[#This Row],[Total item réceptionné]]*Tableau1[[#This Row],[Unit Price (calcul)]],"")</f>
        <v/>
      </c>
      <c r="DB192" s="352" t="str">
        <f>IFERROR(Tableau1[[#This Row],[Total item à Facturer]]*Tableau1[[#This Row],[Unit Price (calcul)]],"")</f>
        <v/>
      </c>
      <c r="DC192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92" s="352" t="str">
        <f>IFERROR(Tableau1[[#This Row],[Line Total]]-Tableau1[[#This Row],[Total Price Réceptionné]],"")</f>
        <v/>
      </c>
      <c r="DE192" s="352" t="str">
        <f>IFERROR(Tableau1[[#This Row],[Total Price Réceptionné]]-Tableau1[[#This Row],[Total Price A facturer]],"")</f>
        <v/>
      </c>
      <c r="DF192" s="353" t="str">
        <f>IFERROR(Tableau1[[#This Row],[Total Price A facturer]]-Tableau1[[#This Row],[Total Price Facturé]],"")</f>
        <v/>
      </c>
      <c r="DG192" s="76">
        <f>Tableau1[[#This Row],[Total Item Quantity]]-Tableau1[[#This Row],[Total item réceptionné]]</f>
        <v>0</v>
      </c>
      <c r="DH192" s="170"/>
      <c r="DI192" s="167"/>
    </row>
    <row r="193" spans="1:114" s="81" customFormat="1">
      <c r="A193" s="77" t="str">
        <f>CONCATENATE(Tableau1[[#This Row],[PO Number (Header)]],"-",Tableau1[[#This Row],[Line]])</f>
        <v>-</v>
      </c>
      <c r="B193" s="104"/>
      <c r="C193" s="105"/>
      <c r="D193" s="104"/>
      <c r="E193" s="105"/>
      <c r="F193" s="492"/>
      <c r="G193" s="105"/>
      <c r="H193" s="105"/>
      <c r="I193" s="105"/>
      <c r="J193" s="105"/>
      <c r="K193" s="108"/>
      <c r="L193" s="105"/>
      <c r="M193" s="105"/>
      <c r="N193" s="77"/>
      <c r="O193" s="77"/>
      <c r="P193" s="77"/>
      <c r="Q193" s="77"/>
      <c r="R193" s="77"/>
      <c r="S193" s="77"/>
      <c r="T193" s="77"/>
      <c r="U193" s="77"/>
      <c r="V193" s="77"/>
      <c r="W193" s="167"/>
      <c r="X193" s="167"/>
      <c r="Y193" s="167" t="str">
        <f>IF(ISBLANK(Tableau1[[#This Row],[PO Number (Header)]]),"",Tableau1[[#This Row],[Line Total]]/Tableau1[[#This Row],[Total Item Quantity]])</f>
        <v/>
      </c>
      <c r="Z193" s="167" t="str">
        <f>IF(ISNA(VLOOKUP(Tableau1[[#This Row],[Unique_AIB_ID]],UO_List[Unique_AIB_ID],1,FALSE)),IF(ISBLANK(Tableau1[[#This Row],[PO Number (Header)]]),"","FAUX"),"VRAI")</f>
        <v/>
      </c>
      <c r="AA193" s="167"/>
      <c r="AB193" s="162" t="e">
        <f>VLOOKUP(Tableau1[[#This Row],[Unique_AIB_ID]],UO_List[[Unique_AIB_ID]:[OLGA F6]],3,FALSE)</f>
        <v>#N/A</v>
      </c>
      <c r="AC193" s="162"/>
      <c r="AD193" s="83">
        <f>SUMPRODUCT(1*(EXACT(CONCATENATE(Tableau1[[#This Row],[PO Number (Header)]],"-",Tableau1[[#This Row],[Line]]),UO_List[Unique_AIB_ID]))*(UO_List[Qté Réception 03/2020]))</f>
        <v>0</v>
      </c>
      <c r="AE193" s="84"/>
      <c r="AF193" s="357"/>
      <c r="AG193" s="351" t="str">
        <f>IFERROR(Tableau1[[#This Row],[Qté Facturé 01/2018]]*Tableau1[[#This Row],[Unit Price (calcul)]],"")</f>
        <v/>
      </c>
      <c r="AH193" s="356" t="str">
        <f>IFERROR(IF(Tableau1[[#This Row],[Montant Facturé 01/2018]]&gt;0,Tableau1[[#This Row],[Montant Facturé 01/2018]]/Taux_Change_SII,""),"")</f>
        <v/>
      </c>
      <c r="AI193" s="351"/>
      <c r="AJ193" s="83">
        <f>SUMPRODUCT(1*(EXACT(CONCATENATE(Tableau1[[#This Row],[PO Number (Header)]],"-",Tableau1[[#This Row],[Line]]),UO_List[Unique_AIB_ID]))*(UO_List[Qté Réception 02/2020]))</f>
        <v>0</v>
      </c>
      <c r="AK193" s="83">
        <f>SUMPRODUCT(1*(EXACT(CONCATENATE(Tableau1[[#This Row],[PO Number (Header)]],"-",Tableau1[[#This Row],[Line]]),UO_List[Unique_AIB_ID]))*(UO_List[Qté Réception 02/2020]))</f>
        <v>0</v>
      </c>
      <c r="AL193" s="357"/>
      <c r="AM193" s="351" t="str">
        <f>IFERROR(Tableau1[[#This Row],[Qté Facturé 02/2018]]*Tableau1[[#This Row],[Unit Price (calcul)]],"")</f>
        <v/>
      </c>
      <c r="AN193" s="351" t="str">
        <f>IFERROR(IF(Tableau1[[#This Row],[Montant Facturé 02/2018]]&gt;0,Tableau1[[#This Row],[Montant Facturé 02/2018]]/Taux_Change_SII,""),"")</f>
        <v/>
      </c>
      <c r="AO193" s="351"/>
      <c r="AP193" s="83">
        <f>SUMPRODUCT(1*(EXACT(CONCATENATE(Tableau1[[#This Row],[PO Number (Header)]],"-",Tableau1[[#This Row],[Line]]),UO_List[Unique_AIB_ID]))*(UO_List[Qté Réception 00/2020]))</f>
        <v>0</v>
      </c>
      <c r="AQ193" s="84">
        <v>0</v>
      </c>
      <c r="AR193" s="357"/>
      <c r="AS193" s="351" t="str">
        <f>IFERROR(Tableau1[[#This Row],[Qté Facturé 03/2018]]*Tableau1[[#This Row],[Unit Price (calcul)]],"")</f>
        <v/>
      </c>
      <c r="AT193" s="351" t="str">
        <f>IFERROR(IF(Tableau1[[#This Row],[Montant Facturé 03/2018]]&gt;0,Tableau1[[#This Row],[Montant Facturé 03/2018]]/Taux_Change_SII,""),"")</f>
        <v/>
      </c>
      <c r="AU193" s="351"/>
      <c r="AV193" s="83">
        <f>SUMPRODUCT(1*(EXACT(CONCATENATE(Tableau1[[#This Row],[PO Number (Header)]],"-",Tableau1[[#This Row],[Line]]),UO_List[Unique_AIB_ID]))*(UO_List[Qté Réception 04/2020]))</f>
        <v>0</v>
      </c>
      <c r="AW193" s="84">
        <v>0</v>
      </c>
      <c r="AX193" s="351"/>
      <c r="AY193" s="351" t="str">
        <f>IFERROR(Tableau1[[#This Row],[Qté Facturé 04/2018]]*Tableau1[[#This Row],[Unit Price (calcul)]],"")</f>
        <v/>
      </c>
      <c r="AZ193" s="351" t="str">
        <f>IFERROR(IF(Tableau1[[#This Row],[Montant Facturé 04/2018]]&gt;0,Tableau1[[#This Row],[Montant Facturé 04/2018]]/Taux_Change_SII,""),"")</f>
        <v/>
      </c>
      <c r="BA193" s="351"/>
      <c r="BB193" s="83">
        <f>SUMPRODUCT(1*(EXACT(CONCATENATE(Tableau1[[#This Row],[PO Number (Header)]],"-",Tableau1[[#This Row],[Line]]),UO_List[Unique_AIB_ID]))*(UO_List[Qté Réception 05/2020]))</f>
        <v>0</v>
      </c>
      <c r="BC193" s="84"/>
      <c r="BD193" s="351"/>
      <c r="BE193" s="351" t="str">
        <f>IFERROR(Tableau1[[#This Row],[Qté Facturé 05/2018]]*Tableau1[[#This Row],[Unit Price (calcul)]],"")</f>
        <v/>
      </c>
      <c r="BF193" s="351" t="str">
        <f>IFERROR(IF(Tableau1[[#This Row],[Montant Facturé 05/2018]]&gt;0,Tableau1[[#This Row],[Montant Facturé 05/2018]]/Taux_Change_SII,""),"")</f>
        <v/>
      </c>
      <c r="BG193" s="351"/>
      <c r="BH193" s="83">
        <f>SUMPRODUCT(1*(EXACT(CONCATENATE(Tableau1[[#This Row],[PO Number (Header)]],"-",Tableau1[[#This Row],[Line]]),UO_List[Unique_AIB_ID]))*(UO_List[Qté Réception 06/2020]))</f>
        <v>0</v>
      </c>
      <c r="BI193" s="84"/>
      <c r="BJ193" s="351"/>
      <c r="BK193" s="351" t="str">
        <f>IFERROR(Tableau1[[#This Row],[Qté Facturé 06/2018]]*Tableau1[[#This Row],[Unit Price (calcul)]],"")</f>
        <v/>
      </c>
      <c r="BL193" s="351" t="str">
        <f>IFERROR(IF(Tableau1[[#This Row],[Montant Facturé 06/2018]]&gt;0,Tableau1[[#This Row],[Montant Facturé 06/2018]]/Taux_Change_SII,""),"")</f>
        <v/>
      </c>
      <c r="BM193" s="351"/>
      <c r="BN193" s="83">
        <f>SUMPRODUCT(1*(EXACT(CONCATENATE(Tableau1[[#This Row],[PO Number (Header)]],"-",Tableau1[[#This Row],[Line]]),UO_List[Unique_AIB_ID]))*(UO_List[Qté Réception 07/2020]))</f>
        <v>0</v>
      </c>
      <c r="BO193" s="84">
        <v>0</v>
      </c>
      <c r="BP193" s="351"/>
      <c r="BQ193" s="351" t="str">
        <f>IFERROR(Tableau1[[#This Row],[Qté Facturé 07/2018]]*Tableau1[[#This Row],[Unit Price (calcul)]],"")</f>
        <v/>
      </c>
      <c r="BR193" s="351" t="str">
        <f>IFERROR(IF(Tableau1[[#This Row],[Montant Facturé 07/2018]]&gt;0,Tableau1[[#This Row],[Montant Facturé 07/2018]]/Taux_Change_SII,""),"")</f>
        <v/>
      </c>
      <c r="BS193" s="351"/>
      <c r="BT193" s="83">
        <f>SUMPRODUCT(1*(EXACT(CONCATENATE(Tableau1[[#This Row],[PO Number (Header)]],"-",Tableau1[[#This Row],[Line]]),UO_List[Unique_AIB_ID]))*(UO_List[Qté Réception 08/2020]))</f>
        <v>0</v>
      </c>
      <c r="BU193" s="84"/>
      <c r="BV193" s="351"/>
      <c r="BW193" s="351" t="str">
        <f>IFERROR(Tableau1[[#This Row],[Qté Facturé 08/2018]]*Tableau1[[#This Row],[Unit Price (calcul)]],"")</f>
        <v/>
      </c>
      <c r="BX193" s="351" t="str">
        <f>IFERROR(IF(Tableau1[[#This Row],[Montant Facturé 08/2018]]&gt;0,Tableau1[[#This Row],[Montant Facturé 08/2018]]/Taux_Change_SII,""),"")</f>
        <v/>
      </c>
      <c r="BY193" s="351"/>
      <c r="BZ193" s="83">
        <f>SUMPRODUCT(1*(EXACT(CONCATENATE(Tableau1[[#This Row],[PO Number (Header)]],"-",Tableau1[[#This Row],[Line]]),UO_List[Unique_AIB_ID]))*(UO_List[Qté Réception 09/2020]))</f>
        <v>0</v>
      </c>
      <c r="CA193" s="84">
        <v>0</v>
      </c>
      <c r="CB193" s="351"/>
      <c r="CC193" s="351" t="str">
        <f>IFERROR(Tableau1[[#This Row],[Qté Facturé 09/2018]]*Tableau1[[#This Row],[Unit Price (calcul)]],"")</f>
        <v/>
      </c>
      <c r="CD193" s="351" t="str">
        <f>IFERROR(IF(Tableau1[[#This Row],[Montant Facturé 09/2018]]&gt;0,Tableau1[[#This Row],[Montant Facturé 09/2018]]/Taux_Change_SII,""),"")</f>
        <v/>
      </c>
      <c r="CE193" s="351"/>
      <c r="CF193" s="83">
        <f>SUMPRODUCT(1*(EXACT(CONCATENATE(Tableau1[[#This Row],[PO Number (Header)]],"-",Tableau1[[#This Row],[Line]]),UO_List[Unique_AIB_ID]))*(UO_List[Qté Réception 10/2020]))</f>
        <v>0</v>
      </c>
      <c r="CG193" s="84">
        <v>0</v>
      </c>
      <c r="CH193" s="351"/>
      <c r="CI193" s="351" t="str">
        <f>IFERROR(Tableau1[[#This Row],[Qté Facturé 10/2018]]*Tableau1[[#This Row],[Unit Price (calcul)]],"")</f>
        <v/>
      </c>
      <c r="CJ193" s="351" t="str">
        <f>IFERROR(IF(Tableau1[[#This Row],[Montant Facturé 10/2018]]&gt;0,Tableau1[[#This Row],[Montant Facturé 10/2018]]/Taux_Change_SII,""),"")</f>
        <v/>
      </c>
      <c r="CK193" s="351"/>
      <c r="CL193" s="83">
        <f>SUMPRODUCT(1*(EXACT(CONCATENATE(Tableau1[[#This Row],[PO Number (Header)]],"-",Tableau1[[#This Row],[Line]]),UO_List[Unique_AIB_ID]))*(UO_List[Qté Réception 11/2020]))</f>
        <v>0</v>
      </c>
      <c r="CM193" s="84"/>
      <c r="CN193" s="351"/>
      <c r="CO193" s="351" t="str">
        <f>IFERROR(Tableau1[[#This Row],[Qté Facturé 11/2018]]*Tableau1[[#This Row],[Unit Price (calcul)]],"")</f>
        <v/>
      </c>
      <c r="CP193" s="351" t="str">
        <f>IFERROR(IF(Tableau1[[#This Row],[Montant Facturé 11/2018]]&gt;0,Tableau1[[#This Row],[Montant Facturé 11/2018]]/Taux_Change_SII,""),"")</f>
        <v/>
      </c>
      <c r="CQ193" s="351"/>
      <c r="CR193" s="83">
        <f>SUMPRODUCT(1*(EXACT(CONCATENATE(Tableau1[[#This Row],[PO Number (Header)]],"-",Tableau1[[#This Row],[Line]]),UO_List[Unique_AIB_ID]))*(UO_List[Qté Réception 12/2020]))</f>
        <v>0</v>
      </c>
      <c r="CS193" s="84"/>
      <c r="CT193" s="351"/>
      <c r="CU193" s="351" t="str">
        <f>IFERROR(Tableau1[[#This Row],[Qté Facturé 12/2018]]*Tableau1[[#This Row],[Unit Price (calcul)]],"")</f>
        <v/>
      </c>
      <c r="CV193" s="351" t="str">
        <f>IFERROR(IF(Tableau1[[#This Row],[Montant Facturé 12/2018]]&gt;0,Tableau1[[#This Row],[Montant Facturé 12/2018]]/Taux_Change_SII,""),"")</f>
        <v/>
      </c>
      <c r="CW193" s="351"/>
      <c r="CX193" s="76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93" s="76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93" s="59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93" s="352" t="str">
        <f>IFERROR(Tableau1[[#This Row],[Total item réceptionné]]*Tableau1[[#This Row],[Unit Price (calcul)]],"")</f>
        <v/>
      </c>
      <c r="DB193" s="352" t="str">
        <f>IFERROR(Tableau1[[#This Row],[Total item à Facturer]]*Tableau1[[#This Row],[Unit Price (calcul)]],"")</f>
        <v/>
      </c>
      <c r="DC193" s="353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93" s="352" t="str">
        <f>IFERROR(Tableau1[[#This Row],[Line Total]]-Tableau1[[#This Row],[Total Price Réceptionné]],"")</f>
        <v/>
      </c>
      <c r="DE193" s="352" t="str">
        <f>IFERROR(Tableau1[[#This Row],[Total Price Réceptionné]]-Tableau1[[#This Row],[Total Price A facturer]],"")</f>
        <v/>
      </c>
      <c r="DF193" s="353" t="str">
        <f>IFERROR(Tableau1[[#This Row],[Total Price A facturer]]-Tableau1[[#This Row],[Total Price Facturé]],"")</f>
        <v/>
      </c>
      <c r="DG193" s="76">
        <f>Tableau1[[#This Row],[Total Item Quantity]]-Tableau1[[#This Row],[Total item réceptionné]]</f>
        <v>0</v>
      </c>
      <c r="DH193" s="167"/>
      <c r="DI193" s="167"/>
    </row>
    <row r="194" spans="1:114">
      <c r="A194" s="379" t="str">
        <f>CONCATENATE(Tableau1[[#This Row],[PO Number (Header)]],"-",Tableau1[[#This Row],[Line]])</f>
        <v>-</v>
      </c>
      <c r="B194" s="104"/>
      <c r="C194" s="105"/>
      <c r="D194" s="104"/>
      <c r="E194" s="105"/>
      <c r="F194" s="492"/>
      <c r="G194" s="105"/>
      <c r="H194" s="105"/>
      <c r="I194" s="105"/>
      <c r="J194" s="105"/>
      <c r="K194" s="108"/>
      <c r="L194" s="105"/>
      <c r="M194" s="105"/>
      <c r="N194" s="77"/>
      <c r="O194" s="77"/>
      <c r="P194" s="379"/>
      <c r="Q194" s="77"/>
      <c r="R194" s="77"/>
      <c r="S194" s="77"/>
      <c r="T194" s="77"/>
      <c r="U194" s="77"/>
      <c r="V194" s="77"/>
      <c r="W194" s="167"/>
      <c r="X194" s="167"/>
      <c r="Y194" s="171" t="str">
        <f>IF(ISBLANK(Tableau1[[#This Row],[PO Number (Header)]]),"",Tableau1[[#This Row],[Line Total]]/Tableau1[[#This Row],[Total Item Quantity]])</f>
        <v/>
      </c>
      <c r="Z194" s="171" t="str">
        <f>IF(ISNA(VLOOKUP(Tableau1[[#This Row],[Unique_AIB_ID]],UO_List[Unique_AIB_ID],1,FALSE)),IF(ISBLANK(Tableau1[[#This Row],[PO Number (Header)]]),"","FAUX"),"VRAI")</f>
        <v/>
      </c>
      <c r="AA194" s="167"/>
      <c r="AB194" s="380" t="e">
        <f>VLOOKUP(Tableau1[[#This Row],[Unique_AIB_ID]],UO_List[[Unique_AIB_ID]:[OLGA F6]],3,FALSE)</f>
        <v>#N/A</v>
      </c>
      <c r="AC194" s="162"/>
      <c r="AD194" s="340">
        <f>SUMPRODUCT(1*(EXACT(CONCATENATE(Tableau1[[#This Row],[PO Number (Header)]],"-",Tableau1[[#This Row],[Line]]),UO_List[Unique_AIB_ID]))*(UO_List[Qté Réception 03/2020]))</f>
        <v>0</v>
      </c>
      <c r="AE194" s="76"/>
      <c r="AF194" s="340"/>
      <c r="AG194" s="352" t="str">
        <f>IFERROR(Tableau1[[#This Row],[Qté Facturé 01/2018]]*Tableau1[[#This Row],[Unit Price (calcul)]],"")</f>
        <v/>
      </c>
      <c r="AH194" s="356" t="str">
        <f>IFERROR(IF(Tableau1[[#This Row],[Montant Facturé 01/2018]]&gt;0,Tableau1[[#This Row],[Montant Facturé 01/2018]]/Taux_Change_SII,""),"")</f>
        <v/>
      </c>
      <c r="AI194" s="352"/>
      <c r="AJ194" s="340">
        <f>SUMPRODUCT(1*(EXACT(CONCATENATE(Tableau1[[#This Row],[PO Number (Header)]],"-",Tableau1[[#This Row],[Line]]),UO_List[Unique_AIB_ID]))*(UO_List[Qté Réception 02/2020]))</f>
        <v>0</v>
      </c>
      <c r="AK194" s="83">
        <f>SUMPRODUCT(1*(EXACT(CONCATENATE(Tableau1[[#This Row],[PO Number (Header)]],"-",Tableau1[[#This Row],[Line]]),UO_List[Unique_AIB_ID]))*(UO_List[Qté Réception 02/2020]))</f>
        <v>0</v>
      </c>
      <c r="AL194" s="340"/>
      <c r="AM194" s="352" t="str">
        <f>IFERROR(Tableau1[[#This Row],[Qté Facturé 02/2018]]*Tableau1[[#This Row],[Unit Price (calcul)]],"")</f>
        <v/>
      </c>
      <c r="AN194" s="351" t="str">
        <f>IFERROR(IF(Tableau1[[#This Row],[Montant Facturé 02/2018]]&gt;0,Tableau1[[#This Row],[Montant Facturé 02/2018]]/Taux_Change_SII,""),"")</f>
        <v/>
      </c>
      <c r="AO194" s="352"/>
      <c r="AP194" s="340">
        <f>SUMPRODUCT(1*(EXACT(CONCATENATE(Tableau1[[#This Row],[PO Number (Header)]],"-",Tableau1[[#This Row],[Line]]),UO_List[Unique_AIB_ID]))*(UO_List[Qté Réception 00/2020]))</f>
        <v>0</v>
      </c>
      <c r="AQ194" s="76"/>
      <c r="AR194" s="340"/>
      <c r="AS194" s="352" t="str">
        <f>IFERROR(Tableau1[[#This Row],[Qté Facturé 03/2018]]*Tableau1[[#This Row],[Unit Price (calcul)]],"")</f>
        <v/>
      </c>
      <c r="AT194" s="351" t="str">
        <f>IFERROR(IF(Tableau1[[#This Row],[Montant Facturé 03/2018]]&gt;0,Tableau1[[#This Row],[Montant Facturé 03/2018]]/Taux_Change_SII,""),"")</f>
        <v/>
      </c>
      <c r="AU194" s="352"/>
      <c r="AV194" s="340">
        <f>SUMPRODUCT(1*(EXACT(CONCATENATE(Tableau1[[#This Row],[PO Number (Header)]],"-",Tableau1[[#This Row],[Line]]),UO_List[Unique_AIB_ID]))*(UO_List[Qté Réception 04/2020]))</f>
        <v>0</v>
      </c>
      <c r="AW194" s="76"/>
      <c r="AX194" s="352"/>
      <c r="AY194" s="352" t="str">
        <f>IFERROR(Tableau1[[#This Row],[Qté Facturé 04/2018]]*Tableau1[[#This Row],[Unit Price (calcul)]],"")</f>
        <v/>
      </c>
      <c r="AZ194" s="351" t="str">
        <f>IFERROR(IF(Tableau1[[#This Row],[Montant Facturé 04/2018]]&gt;0,Tableau1[[#This Row],[Montant Facturé 04/2018]]/Taux_Change_SII,""),"")</f>
        <v/>
      </c>
      <c r="BA194" s="352"/>
      <c r="BB194" s="340">
        <f>SUMPRODUCT(1*(EXACT(CONCATENATE(Tableau1[[#This Row],[PO Number (Header)]],"-",Tableau1[[#This Row],[Line]]),UO_List[Unique_AIB_ID]))*(UO_List[Qté Réception 05/2020]))</f>
        <v>0</v>
      </c>
      <c r="BC194" s="76"/>
      <c r="BD194" s="352"/>
      <c r="BE194" s="352" t="str">
        <f>IFERROR(Tableau1[[#This Row],[Qté Facturé 05/2018]]*Tableau1[[#This Row],[Unit Price (calcul)]],"")</f>
        <v/>
      </c>
      <c r="BF194" s="351" t="str">
        <f>IFERROR(IF(Tableau1[[#This Row],[Montant Facturé 05/2018]]&gt;0,Tableau1[[#This Row],[Montant Facturé 05/2018]]/Taux_Change_SII,""),"")</f>
        <v/>
      </c>
      <c r="BG194" s="352"/>
      <c r="BH194" s="340">
        <f>SUMPRODUCT(1*(EXACT(CONCATENATE(Tableau1[[#This Row],[PO Number (Header)]],"-",Tableau1[[#This Row],[Line]]),UO_List[Unique_AIB_ID]))*(UO_List[Qté Réception 06/2020]))</f>
        <v>0</v>
      </c>
      <c r="BI194" s="76"/>
      <c r="BJ194" s="352"/>
      <c r="BK194" s="352" t="str">
        <f>IFERROR(Tableau1[[#This Row],[Qté Facturé 06/2018]]*Tableau1[[#This Row],[Unit Price (calcul)]],"")</f>
        <v/>
      </c>
      <c r="BL194" s="351" t="str">
        <f>IFERROR(IF(Tableau1[[#This Row],[Montant Facturé 06/2018]]&gt;0,Tableau1[[#This Row],[Montant Facturé 06/2018]]/Taux_Change_SII,""),"")</f>
        <v/>
      </c>
      <c r="BM194" s="352"/>
      <c r="BN194" s="340">
        <f>SUMPRODUCT(1*(EXACT(CONCATENATE(Tableau1[[#This Row],[PO Number (Header)]],"-",Tableau1[[#This Row],[Line]]),UO_List[Unique_AIB_ID]))*(UO_List[Qté Réception 07/2020]))</f>
        <v>0</v>
      </c>
      <c r="BO194" s="76"/>
      <c r="BP194" s="352"/>
      <c r="BQ194" s="352" t="str">
        <f>IFERROR(Tableau1[[#This Row],[Qté Facturé 07/2018]]*Tableau1[[#This Row],[Unit Price (calcul)]],"")</f>
        <v/>
      </c>
      <c r="BR194" s="351" t="str">
        <f>IFERROR(IF(Tableau1[[#This Row],[Montant Facturé 07/2018]]&gt;0,Tableau1[[#This Row],[Montant Facturé 07/2018]]/Taux_Change_SII,""),"")</f>
        <v/>
      </c>
      <c r="BS194" s="352"/>
      <c r="BT194" s="340">
        <f>SUMPRODUCT(1*(EXACT(CONCATENATE(Tableau1[[#This Row],[PO Number (Header)]],"-",Tableau1[[#This Row],[Line]]),UO_List[Unique_AIB_ID]))*(UO_List[Qté Réception 08/2020]))</f>
        <v>0</v>
      </c>
      <c r="BU194" s="76"/>
      <c r="BV194" s="352"/>
      <c r="BW194" s="352" t="str">
        <f>IFERROR(Tableau1[[#This Row],[Qté Facturé 08/2018]]*Tableau1[[#This Row],[Unit Price (calcul)]],"")</f>
        <v/>
      </c>
      <c r="BX194" s="351" t="str">
        <f>IFERROR(IF(Tableau1[[#This Row],[Montant Facturé 08/2018]]&gt;0,Tableau1[[#This Row],[Montant Facturé 08/2018]]/Taux_Change_SII,""),"")</f>
        <v/>
      </c>
      <c r="BY194" s="352"/>
      <c r="BZ194" s="340">
        <f>SUMPRODUCT(1*(EXACT(CONCATENATE(Tableau1[[#This Row],[PO Number (Header)]],"-",Tableau1[[#This Row],[Line]]),UO_List[Unique_AIB_ID]))*(UO_List[Qté Réception 09/2020]))</f>
        <v>0</v>
      </c>
      <c r="CA194" s="76"/>
      <c r="CB194" s="352"/>
      <c r="CC194" s="352" t="str">
        <f>IFERROR(Tableau1[[#This Row],[Qté Facturé 09/2018]]*Tableau1[[#This Row],[Unit Price (calcul)]],"")</f>
        <v/>
      </c>
      <c r="CD194" s="351" t="str">
        <f>IFERROR(IF(Tableau1[[#This Row],[Montant Facturé 09/2018]]&gt;0,Tableau1[[#This Row],[Montant Facturé 09/2018]]/Taux_Change_SII,""),"")</f>
        <v/>
      </c>
      <c r="CE194" s="352"/>
      <c r="CF194" s="340">
        <f>SUMPRODUCT(1*(EXACT(CONCATENATE(Tableau1[[#This Row],[PO Number (Header)]],"-",Tableau1[[#This Row],[Line]]),UO_List[Unique_AIB_ID]))*(UO_List[Qté Réception 10/2020]))</f>
        <v>0</v>
      </c>
      <c r="CG194" s="76"/>
      <c r="CH194" s="352"/>
      <c r="CI194" s="352" t="str">
        <f>IFERROR(Tableau1[[#This Row],[Qté Facturé 10/2018]]*Tableau1[[#This Row],[Unit Price (calcul)]],"")</f>
        <v/>
      </c>
      <c r="CJ194" s="351" t="str">
        <f>IFERROR(IF(Tableau1[[#This Row],[Montant Facturé 10/2018]]&gt;0,Tableau1[[#This Row],[Montant Facturé 10/2018]]/Taux_Change_SII,""),"")</f>
        <v/>
      </c>
      <c r="CK194" s="352"/>
      <c r="CL194" s="340">
        <f>SUMPRODUCT(1*(EXACT(CONCATENATE(Tableau1[[#This Row],[PO Number (Header)]],"-",Tableau1[[#This Row],[Line]]),UO_List[Unique_AIB_ID]))*(UO_List[Qté Réception 11/2020]))</f>
        <v>0</v>
      </c>
      <c r="CM194" s="76"/>
      <c r="CN194" s="352"/>
      <c r="CO194" s="352" t="str">
        <f>IFERROR(Tableau1[[#This Row],[Qté Facturé 11/2018]]*Tableau1[[#This Row],[Unit Price (calcul)]],"")</f>
        <v/>
      </c>
      <c r="CP194" s="351" t="str">
        <f>IFERROR(IF(Tableau1[[#This Row],[Montant Facturé 11/2018]]&gt;0,Tableau1[[#This Row],[Montant Facturé 11/2018]]/Taux_Change_SII,""),"")</f>
        <v/>
      </c>
      <c r="CQ194" s="352"/>
      <c r="CR194" s="340">
        <f>SUMPRODUCT(1*(EXACT(CONCATENATE(Tableau1[[#This Row],[PO Number (Header)]],"-",Tableau1[[#This Row],[Line]]),UO_List[Unique_AIB_ID]))*(UO_List[Qté Réception 12/2020]))</f>
        <v>0</v>
      </c>
      <c r="CS194" s="76"/>
      <c r="CT194" s="352"/>
      <c r="CU194" s="352" t="str">
        <f>IFERROR(Tableau1[[#This Row],[Qté Facturé 12/2018]]*Tableau1[[#This Row],[Unit Price (calcul)]],"")</f>
        <v/>
      </c>
      <c r="CV194" s="351" t="str">
        <f>IFERROR(IF(Tableau1[[#This Row],[Montant Facturé 12/2018]]&gt;0,Tableau1[[#This Row],[Montant Facturé 12/2018]]/Taux_Change_SII,""),"")</f>
        <v/>
      </c>
      <c r="CW194" s="352"/>
      <c r="CX194" s="340">
        <f>Tableau1[[#This Row],[Qté Réception 01/2018]]+Tableau1[[#This Row],[Qté Réception 02/2018]]+Tableau1[[#This Row],[Qté Réception 03/2018]]+Tableau1[[#This Row],[Qté Réception 04/2018]]+Tableau1[[#This Row],[Qté Réception 05/2018]]+Tableau1[[#This Row],[Qté Réception 06/2018]]+Tableau1[[#This Row],[Qté Réception 07/2018]]+Tableau1[[#This Row],[Qté Réception 08/2018]]+Tableau1[[#This Row],[Qté Réception 09/2018]]+Tableau1[[#This Row],[Qté Réception 10/2018]]+Tableau1[[#This Row],[Qté Réception 11/2018]]+Tableau1[[#This Row],[Qté Réception 12/2018]]</f>
        <v>0</v>
      </c>
      <c r="CY194" s="340">
        <f>Tableau1[[#This Row],[Qté A facturer 01/2018]]+Tableau1[[#This Row],[Qté A facturer 02/2018]]+Tableau1[[#This Row],[Qté A facturer 03/2018]]+Tableau1[[#This Row],[Qté A facturer 04/2018]]+Tableau1[[#This Row],[Qté A facturer 05/2018]]+Tableau1[[#This Row],[Qté A facturer 06/2018]]+Tableau1[[#This Row],[Qté A facturer 07/2018]]+Tableau1[[#This Row],[Qté A facturer 08/2018]]+Tableau1[[#This Row],[Qté A facturer 09/2018]]+Tableau1[[#This Row],[Qté A facturer 10/2018]]+Tableau1[[#This Row],[Qté A facturer 11/2018]]+Tableau1[[#This Row],[Qté A facturer 12/2018]]</f>
        <v>0</v>
      </c>
      <c r="CZ194" s="340">
        <f>Tableau1[[#This Row],[Qté Facturé 01/2018]]+Tableau1[[#This Row],[Qté Facturé 02/2018]]+Tableau1[[#This Row],[Qté Facturé 03/2018]]+Tableau1[[#This Row],[Qté Facturé 04/2018]]+Tableau1[[#This Row],[Qté Facturé 05/2018]]+Tableau1[[#This Row],[Qté Facturé 06/2018]]+Tableau1[[#This Row],[Qté Facturé 07/2018]]+Tableau1[[#This Row],[Qté Facturé 08/2018]]+Tableau1[[#This Row],[Qté Facturé 09/2018]]+Tableau1[[#This Row],[Qté Facturé 10/2018]]+Tableau1[[#This Row],[Qté Facturé 11/2018]]+Tableau1[[#This Row],[Qté Facturé 12/2018]]</f>
        <v>0</v>
      </c>
      <c r="DA194" s="352" t="str">
        <f>IFERROR(Tableau1[[#This Row],[Total item réceptionné]]*Tableau1[[#This Row],[Unit Price (calcul)]],"")</f>
        <v/>
      </c>
      <c r="DB194" s="352" t="str">
        <f>IFERROR(Tableau1[[#This Row],[Total item à Facturer]]*Tableau1[[#This Row],[Unit Price (calcul)]],"")</f>
        <v/>
      </c>
      <c r="DC194" s="381" t="str">
        <f>IFERROR(Tableau1[[#This Row],[Montant Facturé 01/2018]]+Tableau1[[#This Row],[Montant Facturé 02/2018]]+Tableau1[[#This Row],[Montant Facturé 03/2018]]+Tableau1[[#This Row],[Montant Facturé 04/2018]]+Tableau1[[#This Row],[Montant Facturé 05/2018]]+Tableau1[[#This Row],[Montant Facturé 06/2018]]+Tableau1[[#This Row],[Montant Facturé 07/2018]]+Tableau1[[#This Row],[Montant Facturé 08/2018]]+Tableau1[[#This Row],[Montant Facturé 09/2018]]+Tableau1[[#This Row],[Montant Facturé 10/2018]]+Tableau1[[#This Row],[Montant Facturé 11/2018]]+Tableau1[[#This Row],[Montant Facturé 12/2018]],"")</f>
        <v/>
      </c>
      <c r="DD194" s="352" t="str">
        <f>IFERROR(Tableau1[[#This Row],[Line Total]]-Tableau1[[#This Row],[Total Price Réceptionné]],"")</f>
        <v/>
      </c>
      <c r="DE194" s="352" t="str">
        <f>IFERROR(Tableau1[[#This Row],[Total Price Réceptionné]]-Tableau1[[#This Row],[Total Price A facturer]],"")</f>
        <v/>
      </c>
      <c r="DF194" s="381" t="str">
        <f>IFERROR(Tableau1[[#This Row],[Total Price A facturer]]-Tableau1[[#This Row],[Total Price Facturé]],"")</f>
        <v/>
      </c>
      <c r="DG194" s="340">
        <f>Tableau1[[#This Row],[Total Item Quantity]]-Tableau1[[#This Row],[Total item réceptionné]]</f>
        <v>0</v>
      </c>
      <c r="DH194" s="167"/>
      <c r="DI194" s="167"/>
      <c r="DJ194" s="158" t="e">
        <f>SUBTOTAL(9,#REF!)</f>
        <v>#REF!</v>
      </c>
    </row>
    <row r="195" spans="1:114">
      <c r="A195" s="103"/>
      <c r="B195" s="103"/>
      <c r="C195" s="103"/>
      <c r="D195" s="103"/>
      <c r="E195" s="103"/>
      <c r="F195" s="385"/>
      <c r="G195" s="103"/>
      <c r="H195" s="103"/>
      <c r="I195" s="103"/>
      <c r="J195" s="103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Y195" s="7"/>
      <c r="Z195" s="7"/>
      <c r="AA195" s="7"/>
      <c r="AB195" s="7"/>
      <c r="AC195" s="7"/>
      <c r="AD195" s="7">
        <f>SUBTOTAL(9,Tableau1[Qté Réception 01/2018])</f>
        <v>112.2</v>
      </c>
      <c r="AE195" s="7">
        <f>SUBTOTAL(9,Tableau1[Qté A facturer 01/2018])</f>
        <v>112.2</v>
      </c>
      <c r="AF195" s="7">
        <f>SUBTOTAL(9,Tableau1[Qté Facturé 01/2018])</f>
        <v>112.2</v>
      </c>
      <c r="AG195" s="7">
        <f>SUBTOTAL(9,Tableau1[Montant Facturé 01/2018])</f>
        <v>178285</v>
      </c>
      <c r="AH195" s="7"/>
      <c r="AI195" s="7">
        <f>SUBTOTAL(9,Tableau1[Statut facturation 01/2018])</f>
        <v>0</v>
      </c>
      <c r="AJ195" s="7">
        <f>SUBTOTAL(9,Tableau1[Qté Réception 02/2018])</f>
        <v>0</v>
      </c>
      <c r="AK195" s="7">
        <f>SUBTOTAL(9,Tableau1[Qté A facturer 02/2018])</f>
        <v>0</v>
      </c>
      <c r="AL195" s="7">
        <f>SUBTOTAL(9,Tableau1[Qté Facturé 02/2018])</f>
        <v>0</v>
      </c>
      <c r="AM195" s="7">
        <f>SUBTOTAL(9,Tableau1[Montant Facturé 02/2018])</f>
        <v>0</v>
      </c>
      <c r="AN195" s="7"/>
      <c r="AO195" s="7">
        <f>SUBTOTAL(9,Tableau1[Statut facturation 02/20182])</f>
        <v>0</v>
      </c>
      <c r="AP195" s="7">
        <f>SUBTOTAL(9,Tableau1[Qté Réception 03/2018])</f>
        <v>0</v>
      </c>
      <c r="AQ195" s="7">
        <f>SUBTOTAL(9,Tableau1[Qté A facturer 03/2018])</f>
        <v>0</v>
      </c>
      <c r="AR195" s="7">
        <f>SUBTOTAL(9,Tableau1[Qté Facturé 03/2018])</f>
        <v>0</v>
      </c>
      <c r="AS195" s="7">
        <f>SUBTOTAL(9,Tableau1[Montant Facturé 03/2018])</f>
        <v>0</v>
      </c>
      <c r="AT195" s="7"/>
      <c r="AU195" s="7">
        <f>SUBTOTAL(9,Tableau1[Statut facturation 03/20182])</f>
        <v>0</v>
      </c>
      <c r="AV195" s="7">
        <f>SUBTOTAL(9,Tableau1[Qté Réception 04/2018])</f>
        <v>0</v>
      </c>
      <c r="AW195" s="7">
        <f>SUBTOTAL(9,Tableau1[Qté A facturer 04/2018])</f>
        <v>0</v>
      </c>
      <c r="AX195" s="7">
        <f>SUBTOTAL(9,Tableau1[Qté Facturé 04/2018])</f>
        <v>0</v>
      </c>
      <c r="AY195" s="7">
        <f>SUBTOTAL(9,Tableau1[Montant Facturé 04/2018])</f>
        <v>0</v>
      </c>
      <c r="AZ195" s="7"/>
      <c r="BA195" s="7">
        <f>SUBTOTAL(9,Tableau1[Statut facturation 04/2018])</f>
        <v>0</v>
      </c>
      <c r="BB195" s="7">
        <f>SUBTOTAL(9,Tableau1[Qté Réception 05/2018])</f>
        <v>0</v>
      </c>
      <c r="BC195" s="7">
        <f>SUBTOTAL(9,Tableau1[Qté A facturer 05/2018])</f>
        <v>0</v>
      </c>
      <c r="BD195" s="7">
        <f>SUBTOTAL(9,Tableau1[Qté Facturé 05/2018])</f>
        <v>0</v>
      </c>
      <c r="BE195" s="7">
        <f>SUBTOTAL(9,Tableau1[Montant Facturé 05/2018])</f>
        <v>0</v>
      </c>
      <c r="BF195" s="7">
        <f>SUBTOTAL(9,Tableau1[Montant Facturé 05/2018 €])</f>
        <v>0</v>
      </c>
      <c r="BG195" s="7">
        <f>SUBTOTAL(9,Tableau1[Statut facturation 05/2018])</f>
        <v>0</v>
      </c>
      <c r="BH195" s="7">
        <f>SUBTOTAL(9,Tableau1[Qté Réception 06/2018])</f>
        <v>0</v>
      </c>
      <c r="BI195" s="7">
        <f>SUBTOTAL(9,Tableau1[Qté A facturer 06/2018])</f>
        <v>0</v>
      </c>
      <c r="BJ195" s="7">
        <f>SUBTOTAL(9,Tableau1[Qté Facturé 06/2018])</f>
        <v>0</v>
      </c>
      <c r="BK195" s="7">
        <f>SUBTOTAL(9,Tableau1[Montant Facturé 06/2018])</f>
        <v>0</v>
      </c>
      <c r="BL195" s="7"/>
      <c r="BM195" s="7">
        <f>SUBTOTAL(9,Tableau1[Statut facturation 06/2018])</f>
        <v>0</v>
      </c>
      <c r="BN195" s="7">
        <f>SUBTOTAL(9,Tableau1[Qté Réception 07/2018])</f>
        <v>5</v>
      </c>
      <c r="BO195" s="7">
        <f>SUBTOTAL(9,Tableau1[Qté A facturer 07/2018])</f>
        <v>0</v>
      </c>
      <c r="BP195" s="7">
        <f>SUBTOTAL(9,Tableau1[Qté Facturé 07/2018])</f>
        <v>0</v>
      </c>
      <c r="BQ195" s="7">
        <f>SUBTOTAL(9,Tableau1[Montant Facturé 07/2018])</f>
        <v>0</v>
      </c>
      <c r="BR195" s="7"/>
      <c r="BS195" s="7">
        <f>SUBTOTAL(9,Tableau1[Statut facturation 07/2018])</f>
        <v>0</v>
      </c>
      <c r="BT195" s="7">
        <f>SUBTOTAL(9,Tableau1[Qté Réception 08/2018])</f>
        <v>15</v>
      </c>
      <c r="BU195" s="7">
        <f>SUBTOTAL(9,Tableau1[Qté A facturer 08/2018])</f>
        <v>0</v>
      </c>
      <c r="BV195" s="7">
        <f>SUBTOTAL(9,Tableau1[Qté Facturé 08/2018])</f>
        <v>0</v>
      </c>
      <c r="BW195" s="7">
        <f>SUBTOTAL(9,Tableau1[Montant Facturé 08/2018])</f>
        <v>0</v>
      </c>
      <c r="BX195" s="7"/>
      <c r="BY195" s="7">
        <f>SUBTOTAL(9,Tableau1[Statut facturation 08/2018])</f>
        <v>0</v>
      </c>
      <c r="BZ195" s="7">
        <f>SUBTOTAL(9,Tableau1[Qté Réception 09/2018])</f>
        <v>0</v>
      </c>
      <c r="CA195" s="7">
        <f>SUBTOTAL(9,Tableau1[Qté A facturer 09/2018])</f>
        <v>0</v>
      </c>
      <c r="CB195" s="7">
        <f>SUBTOTAL(9,Tableau1[Qté Facturé 09/2018])</f>
        <v>-19</v>
      </c>
      <c r="CC195" s="7">
        <f>SUBTOTAL(9,Tableau1[Montant Facturé 09/2018])</f>
        <v>0</v>
      </c>
      <c r="CD195" s="477">
        <f>SUM(CD92:CD162)</f>
        <v>0</v>
      </c>
      <c r="CE195" s="7">
        <f>SUBTOTAL(9,Tableau1[Statut facturation 09/2018])</f>
        <v>0</v>
      </c>
      <c r="CF195" s="7">
        <f>SUBTOTAL(9,Tableau1[Qté Réception 10/2018])</f>
        <v>0</v>
      </c>
      <c r="CG195" s="7">
        <f>SUBTOTAL(9,Tableau1[Qté A facturer 10/2018])</f>
        <v>0</v>
      </c>
      <c r="CH195" s="7">
        <f>SUBTOTAL(9,Tableau1[Qté Facturé 10/2018])</f>
        <v>20</v>
      </c>
      <c r="CI195" s="7">
        <f>SUBTOTAL(9,Tableau1[Montant Facturé 10/2018])</f>
        <v>0</v>
      </c>
      <c r="CJ195" s="7"/>
      <c r="CK195" s="7">
        <f>SUBTOTAL(9,Tableau1[Statut facturation 10/2018])</f>
        <v>0</v>
      </c>
      <c r="CL195" s="7">
        <f>SUBTOTAL(9,Tableau1[Qté Réception 11/2018])</f>
        <v>0</v>
      </c>
      <c r="CM195" s="7">
        <f>SUBTOTAL(9,Tableau1[Qté A facturer 11/2018])</f>
        <v>0</v>
      </c>
      <c r="CN195" s="7">
        <f>SUBTOTAL(9,Tableau1[Qté Facturé 11/2018])</f>
        <v>0</v>
      </c>
      <c r="CO195" s="7">
        <f>SUBTOTAL(9,Tableau1[Montant Facturé 11/2018])</f>
        <v>0</v>
      </c>
      <c r="CP195" s="7"/>
      <c r="CQ195" s="7">
        <f>SUBTOTAL(9,Tableau1[Statut facturation 11/2018])</f>
        <v>0</v>
      </c>
      <c r="CR195" s="7">
        <f>SUBTOTAL(9,Tableau1[Qté Réception 12/2018])</f>
        <v>0</v>
      </c>
      <c r="CS195" s="7">
        <f>SUBTOTAL(9,Tableau1[Qté A facturer 12/2018])</f>
        <v>0</v>
      </c>
      <c r="CT195" s="7">
        <f>SUBTOTAL(9,Tableau1[Qté Facturé 12/2018])</f>
        <v>0</v>
      </c>
      <c r="CU195" s="7">
        <f>SUBTOTAL(9,Tableau1[Montant Facturé 12/2018])</f>
        <v>0</v>
      </c>
      <c r="CV195" s="7"/>
      <c r="CW195" s="7">
        <f>SUBTOTAL(9,Tableau1[Statut facturation 12/2018])</f>
        <v>0</v>
      </c>
      <c r="CX195" s="158">
        <f>SUBTOTAL(9,Tableau1[Statut facturation 12/2018])</f>
        <v>0</v>
      </c>
      <c r="CY195" s="158">
        <f>SUBTOTAL(9,Tableau1[Total item réceptionné])</f>
        <v>132.19999999999999</v>
      </c>
      <c r="CZ195" s="158">
        <f>SUBTOTAL(9,Tableau1[Total item à Facturer])</f>
        <v>112.2</v>
      </c>
      <c r="DA195" s="158">
        <f>SUBTOTAL(9,Tableau1[Total item Facturé])</f>
        <v>113.2</v>
      </c>
      <c r="DB195" s="158">
        <f>SUBTOTAL(9,Tableau1[Total Price Réceptionné])</f>
        <v>205425</v>
      </c>
      <c r="DC195" s="158">
        <f>SUBTOTAL(9,Tableau1[Total Price A facturer])</f>
        <v>178285</v>
      </c>
      <c r="DD195" s="158">
        <f>SUBTOTAL(9,Tableau1[Total Price Facturé])</f>
        <v>178285</v>
      </c>
      <c r="DE195" s="158">
        <f>SUBTOTAL(9,Tableau1[Montant restant à réceptionner])</f>
        <v>550485</v>
      </c>
      <c r="DF195" s="158">
        <f>SUBTOTAL(9,Tableau1[Facturation à valider])</f>
        <v>27140</v>
      </c>
      <c r="DG195" s="158">
        <f>SUBTOTAL(9,Tableau1[Facturation à envoyer])</f>
        <v>0</v>
      </c>
      <c r="DH195" s="158">
        <f>SUBTOTAL(9,Tableau1[Total items restant à receptionner])</f>
        <v>299.8</v>
      </c>
      <c r="DI195" s="7">
        <f>SUBTOTAL(9,Tableau1[Poste Clos])</f>
        <v>0</v>
      </c>
    </row>
    <row r="196" spans="1:114">
      <c r="AE196" s="55"/>
      <c r="AF196" s="55"/>
      <c r="AG196" s="55"/>
      <c r="AH196" s="55"/>
      <c r="AI196" s="55"/>
    </row>
    <row r="200" spans="1:114">
      <c r="AI200"/>
    </row>
    <row r="201" spans="1:114">
      <c r="AI201"/>
    </row>
    <row r="349" spans="6:6"/>
    <row r="365" spans="37:47"/>
    <row r="414" spans="68:68"/>
    <row r="415" spans="68:68"/>
  </sheetData>
  <conditionalFormatting sqref="CX5:CZ89 CX164:CZ194">
    <cfRule type="cellIs" dxfId="5" priority="7" operator="greaterThan">
      <formula>$H5</formula>
    </cfRule>
  </conditionalFormatting>
  <conditionalFormatting sqref="CX90:CZ163">
    <cfRule type="cellIs" dxfId="4" priority="6" operator="greaterThan">
      <formula>$H90</formula>
    </cfRule>
  </conditionalFormatting>
  <conditionalFormatting sqref="Q190:Q192">
    <cfRule type="expression" dxfId="3" priority="5">
      <formula>Q190=CX190</formula>
    </cfRule>
  </conditionalFormatting>
  <conditionalFormatting sqref="Q46:Q174">
    <cfRule type="expression" dxfId="2" priority="3">
      <formula>Q46=CX46</formula>
    </cfRule>
  </conditionalFormatting>
  <conditionalFormatting sqref="Q175:Q189">
    <cfRule type="expression" dxfId="1" priority="2">
      <formula>Q175=CX175</formula>
    </cfRule>
  </conditionalFormatting>
  <conditionalFormatting sqref="Q5:Q45">
    <cfRule type="expression" dxfId="0" priority="1">
      <formula>Q5=CX5</formula>
    </cfRule>
  </conditionalFormatting>
  <dataValidations disablePrompts="1" count="3">
    <dataValidation type="list" allowBlank="1" showInputMessage="1" showErrorMessage="1" sqref="AU5:AU60">
      <formula1>"OK, KO,LANCE"</formula1>
    </dataValidation>
    <dataValidation type="list" allowBlank="1" showInputMessage="1" showErrorMessage="1" sqref="CE5:CE194 BY5:BY194 BS5:BS194 BM5:BM194 BG5:BG194 BA5:BA194 AO5:AO194 AI5:AI194 CK5:CK194 CW5:CW194 CQ5:CQ194 AU61:AU194">
      <formula1>"OK, KO"</formula1>
    </dataValidation>
    <dataValidation type="list" allowBlank="1" showInputMessage="1" showErrorMessage="1" sqref="DH5:DH194">
      <formula1>"X"</formula1>
    </dataValidation>
  </dataValidations>
  <pageMargins left="0.7" right="0.7" top="0.75" bottom="0.75" header="0.3" footer="0.3"/>
  <pageSetup paperSize="9" scale="18" orientation="landscape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paramètres!$B$10:$C$10</xm:f>
          </x14:formula1>
          <xm:sqref>AA5:AA194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9" tint="-0.249977111117893"/>
  </sheetPr>
  <dimension ref="A1:R65"/>
  <sheetViews>
    <sheetView zoomScale="55" zoomScaleNormal="55" workbookViewId="0">
      <selection activeCell="H79" sqref="H79"/>
    </sheetView>
  </sheetViews>
  <sheetFormatPr baseColWidth="10" defaultRowHeight="15"/>
  <cols>
    <col min="1" max="1" width="25.85546875" style="26" customWidth="1"/>
    <col min="2" max="2" width="10" customWidth="1"/>
    <col min="3" max="3" width="12.140625" customWidth="1"/>
    <col min="4" max="4" width="9" customWidth="1"/>
    <col min="5" max="5" width="7.42578125" customWidth="1"/>
    <col min="6" max="6" width="14.5703125" customWidth="1"/>
    <col min="7" max="10" width="12" customWidth="1"/>
    <col min="11" max="11" width="13.5703125" style="26" hidden="1" customWidth="1"/>
    <col min="12" max="13" width="13.5703125" hidden="1" customWidth="1"/>
    <col min="14" max="14" width="13.5703125" style="26" customWidth="1"/>
    <col min="15" max="15" width="17.140625" bestFit="1" customWidth="1"/>
    <col min="16" max="16" width="17.5703125" customWidth="1"/>
  </cols>
  <sheetData>
    <row r="1" spans="1:18">
      <c r="A1"/>
    </row>
    <row r="2" spans="1:18">
      <c r="A2"/>
      <c r="H2" s="26"/>
      <c r="I2" s="26"/>
      <c r="J2" s="26"/>
      <c r="L2" s="26"/>
      <c r="M2" s="26"/>
      <c r="O2" s="26"/>
      <c r="P2" s="26"/>
      <c r="Q2" s="26"/>
      <c r="R2" s="26"/>
    </row>
    <row r="3" spans="1:18">
      <c r="A3"/>
    </row>
    <row r="4" spans="1:18">
      <c r="A4"/>
    </row>
    <row r="6" spans="1:18">
      <c r="A6" s="174" t="s">
        <v>755</v>
      </c>
      <c r="B6" s="174" t="s">
        <v>212</v>
      </c>
      <c r="K6"/>
    </row>
    <row r="7" spans="1:18">
      <c r="A7" s="174" t="s">
        <v>205</v>
      </c>
      <c r="B7" s="158" t="s">
        <v>210</v>
      </c>
      <c r="C7" s="158" t="s">
        <v>211</v>
      </c>
      <c r="D7" s="158" t="s">
        <v>209</v>
      </c>
      <c r="E7" s="158" t="s">
        <v>206</v>
      </c>
      <c r="F7" s="158" t="s">
        <v>207</v>
      </c>
      <c r="K7"/>
    </row>
    <row r="8" spans="1:18">
      <c r="A8" s="336">
        <v>43555</v>
      </c>
      <c r="B8" s="175">
        <v>30360</v>
      </c>
      <c r="C8" s="175">
        <v>13480</v>
      </c>
      <c r="D8" s="175">
        <v>501040</v>
      </c>
      <c r="E8" s="175"/>
      <c r="F8" s="175">
        <v>544880</v>
      </c>
      <c r="K8"/>
    </row>
    <row r="9" spans="1:18">
      <c r="A9" s="336">
        <v>43646</v>
      </c>
      <c r="B9" s="175">
        <v>588081.6</v>
      </c>
      <c r="C9" s="175"/>
      <c r="D9" s="175">
        <v>15180</v>
      </c>
      <c r="E9" s="175"/>
      <c r="F9" s="175">
        <v>603261.6</v>
      </c>
      <c r="K9"/>
    </row>
    <row r="10" spans="1:18">
      <c r="A10" s="336">
        <v>43738</v>
      </c>
      <c r="B10" s="175">
        <v>603197.19999999995</v>
      </c>
      <c r="C10" s="175"/>
      <c r="D10" s="175"/>
      <c r="E10" s="175"/>
      <c r="F10" s="175">
        <v>603197.19999999995</v>
      </c>
      <c r="K10"/>
    </row>
    <row r="11" spans="1:18">
      <c r="A11" s="336">
        <v>43830</v>
      </c>
      <c r="B11" s="175">
        <v>603197.19999999995</v>
      </c>
      <c r="C11" s="175"/>
      <c r="D11" s="175"/>
      <c r="E11" s="175"/>
      <c r="F11" s="175">
        <v>603197.19999999995</v>
      </c>
      <c r="K11"/>
    </row>
    <row r="12" spans="1:18">
      <c r="A12" s="176" t="s">
        <v>206</v>
      </c>
      <c r="B12" s="175"/>
      <c r="C12" s="175"/>
      <c r="D12" s="175"/>
      <c r="E12" s="175">
        <v>0</v>
      </c>
      <c r="F12" s="175">
        <v>0</v>
      </c>
    </row>
    <row r="13" spans="1:18">
      <c r="A13" s="176" t="s">
        <v>207</v>
      </c>
      <c r="B13" s="175">
        <v>1824835.9999999998</v>
      </c>
      <c r="C13" s="175">
        <v>13480</v>
      </c>
      <c r="D13" s="175">
        <v>516220</v>
      </c>
      <c r="E13" s="175">
        <v>0</v>
      </c>
      <c r="F13" s="175">
        <v>2354536</v>
      </c>
    </row>
    <row r="14" spans="1:18">
      <c r="A14"/>
    </row>
    <row r="15" spans="1:18">
      <c r="A15"/>
    </row>
    <row r="16" spans="1:18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48" spans="1:4">
      <c r="A48" s="174" t="s">
        <v>205</v>
      </c>
      <c r="B48" s="158" t="s">
        <v>70</v>
      </c>
      <c r="C48" s="158" t="s">
        <v>20</v>
      </c>
      <c r="D48" s="158" t="s">
        <v>68</v>
      </c>
    </row>
    <row r="49" spans="1:4">
      <c r="A49" s="176" t="s">
        <v>206</v>
      </c>
      <c r="B49" s="175">
        <v>0</v>
      </c>
      <c r="C49" s="175">
        <v>0</v>
      </c>
      <c r="D49" s="175">
        <v>0</v>
      </c>
    </row>
    <row r="50" spans="1:4">
      <c r="A50" s="176" t="s">
        <v>687</v>
      </c>
      <c r="B50" s="175">
        <v>481676</v>
      </c>
      <c r="C50" s="175">
        <v>165340</v>
      </c>
      <c r="D50" s="175">
        <v>0</v>
      </c>
    </row>
    <row r="51" spans="1:4">
      <c r="A51" s="176" t="s">
        <v>685</v>
      </c>
      <c r="B51" s="175">
        <v>1500120</v>
      </c>
      <c r="C51" s="175">
        <v>189720</v>
      </c>
      <c r="D51" s="175">
        <v>0</v>
      </c>
    </row>
    <row r="52" spans="1:4">
      <c r="A52" s="176" t="s">
        <v>686</v>
      </c>
      <c r="B52" s="175">
        <v>372740</v>
      </c>
      <c r="C52" s="175">
        <v>0</v>
      </c>
      <c r="D52" s="175">
        <v>0</v>
      </c>
    </row>
    <row r="53" spans="1:4">
      <c r="A53" s="176" t="s">
        <v>207</v>
      </c>
      <c r="B53" s="175">
        <v>2354536</v>
      </c>
      <c r="C53" s="175">
        <v>355060</v>
      </c>
      <c r="D53" s="175">
        <v>0</v>
      </c>
    </row>
    <row r="54" spans="1:4">
      <c r="A54"/>
    </row>
    <row r="55" spans="1:4">
      <c r="A55"/>
    </row>
    <row r="56" spans="1:4">
      <c r="A56"/>
    </row>
    <row r="57" spans="1:4">
      <c r="A57"/>
    </row>
    <row r="58" spans="1:4">
      <c r="A58"/>
    </row>
    <row r="59" spans="1:4">
      <c r="A59"/>
    </row>
    <row r="60" spans="1:4">
      <c r="A60"/>
    </row>
    <row r="61" spans="1:4">
      <c r="A61"/>
    </row>
    <row r="62" spans="1:4">
      <c r="A62"/>
    </row>
    <row r="63" spans="1:4">
      <c r="A63"/>
    </row>
    <row r="64" spans="1:4">
      <c r="A64"/>
    </row>
    <row r="65" spans="1:1">
      <c r="A65"/>
    </row>
  </sheetData>
  <pageMargins left="0.7" right="0.7" top="0.75" bottom="0.75" header="0.3" footer="0.3"/>
  <pageSetup paperSize="9"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4" tint="-0.249977111117893"/>
  </sheetPr>
  <dimension ref="A3:G10"/>
  <sheetViews>
    <sheetView workbookViewId="0">
      <selection activeCell="F23" sqref="F23"/>
    </sheetView>
  </sheetViews>
  <sheetFormatPr baseColWidth="10" defaultRowHeight="15"/>
  <cols>
    <col min="1" max="1" width="16.85546875" customWidth="1"/>
    <col min="4" max="4" width="15.42578125" bestFit="1" customWidth="1"/>
    <col min="5" max="5" width="17.5703125" bestFit="1" customWidth="1"/>
    <col min="6" max="6" width="28.5703125" customWidth="1"/>
    <col min="7" max="7" width="12.42578125" customWidth="1"/>
  </cols>
  <sheetData>
    <row r="3" spans="1:7" ht="15.75" thickBot="1"/>
    <row r="4" spans="1:7" ht="15.75" thickBot="1">
      <c r="A4" s="282" t="s">
        <v>215</v>
      </c>
      <c r="B4" s="283" t="s">
        <v>625</v>
      </c>
      <c r="C4" s="283" t="s">
        <v>627</v>
      </c>
      <c r="D4" s="283" t="s">
        <v>87</v>
      </c>
      <c r="E4" s="283" t="s">
        <v>628</v>
      </c>
      <c r="F4" s="283" t="s">
        <v>650</v>
      </c>
      <c r="G4" s="284" t="s">
        <v>626</v>
      </c>
    </row>
    <row r="5" spans="1:7">
      <c r="A5" s="279" t="str">
        <f>paramètres!C8</f>
        <v>SkyConseil</v>
      </c>
      <c r="B5" s="280">
        <f>SUMIF(UO_List[Company],'Co-contracting Follow-up'!A5,UO_List[Montant TOTAL])</f>
        <v>0</v>
      </c>
      <c r="C5" s="280">
        <f>SUMIF(UO_List[Company],'Co-contracting Follow-up'!A5,UO_List[Total jour])</f>
        <v>0</v>
      </c>
      <c r="D5" s="280">
        <f>SUMIF('Capacitaire '!$C$29:$C$56,'Co-contracting Follow-up'!A5,'Capacitaire '!$AB$29:$AB$56)</f>
        <v>0</v>
      </c>
      <c r="E5" s="280">
        <v>100</v>
      </c>
      <c r="F5" s="280" t="e">
        <f>E5/C5*D5</f>
        <v>#DIV/0!</v>
      </c>
      <c r="G5" s="281" t="e">
        <f>E5-F5</f>
        <v>#DIV/0!</v>
      </c>
    </row>
    <row r="6" spans="1:7">
      <c r="A6" s="274">
        <f>paramètres!D8</f>
        <v>0</v>
      </c>
      <c r="B6" s="273"/>
      <c r="C6" s="273"/>
      <c r="D6" s="273">
        <f>SUMIF('Capacitaire '!$C$29:$C$56,'Co-contracting Follow-up'!A6,'Capacitaire '!$AB$29:$AB$56)</f>
        <v>0</v>
      </c>
      <c r="E6" s="273">
        <f>SUMIF(UO_List[Company],'Co-contracting Follow-up'!A6,UO_List[Montant total réceptionné])</f>
        <v>0</v>
      </c>
      <c r="F6" s="273" t="e">
        <f t="shared" ref="F6:F10" si="0">D6/C6*B6</f>
        <v>#DIV/0!</v>
      </c>
      <c r="G6" s="275" t="e">
        <f t="shared" ref="G6:G10" si="1">E6-F6</f>
        <v>#DIV/0!</v>
      </c>
    </row>
    <row r="7" spans="1:7">
      <c r="A7" s="274">
        <f>paramètres!E8</f>
        <v>0</v>
      </c>
      <c r="B7" s="273"/>
      <c r="C7" s="273"/>
      <c r="D7" s="273">
        <f>SUMIF('Capacitaire '!$C$29:$C$56,'Co-contracting Follow-up'!A7,'Capacitaire '!$AB$29:$AB$56)</f>
        <v>0</v>
      </c>
      <c r="E7" s="273">
        <f>SUMIF(UO_List[Company],'Co-contracting Follow-up'!A7,UO_List[Montant total réceptionné])</f>
        <v>0</v>
      </c>
      <c r="F7" s="273" t="e">
        <f t="shared" si="0"/>
        <v>#DIV/0!</v>
      </c>
      <c r="G7" s="275" t="e">
        <f t="shared" si="1"/>
        <v>#DIV/0!</v>
      </c>
    </row>
    <row r="8" spans="1:7">
      <c r="A8" s="274">
        <f>paramètres!F10</f>
        <v>0</v>
      </c>
      <c r="B8" s="273"/>
      <c r="C8" s="273"/>
      <c r="D8" s="273">
        <f>SUMIF('Capacitaire '!$C$29:$C$56,'Co-contracting Follow-up'!A8,'Capacitaire '!$AB$29:$AB$56)</f>
        <v>0</v>
      </c>
      <c r="E8" s="273">
        <f>SUMIF(UO_List[Company],'Co-contracting Follow-up'!A8,UO_List[Montant total réceptionné])</f>
        <v>0</v>
      </c>
      <c r="F8" s="273" t="e">
        <f t="shared" si="0"/>
        <v>#DIV/0!</v>
      </c>
      <c r="G8" s="275" t="e">
        <f t="shared" si="1"/>
        <v>#DIV/0!</v>
      </c>
    </row>
    <row r="9" spans="1:7">
      <c r="A9" s="274">
        <f>paramètres!G8</f>
        <v>0</v>
      </c>
      <c r="B9" s="273"/>
      <c r="C9" s="273"/>
      <c r="D9" s="273">
        <f>SUMIF('Capacitaire '!$C$29:$C$56,'Co-contracting Follow-up'!A9,'Capacitaire '!$AB$29:$AB$56)</f>
        <v>0</v>
      </c>
      <c r="E9" s="273">
        <f>SUMIF(UO_List[Company],'Co-contracting Follow-up'!A9,UO_List[Montant total réceptionné])</f>
        <v>0</v>
      </c>
      <c r="F9" s="273" t="e">
        <f t="shared" si="0"/>
        <v>#DIV/0!</v>
      </c>
      <c r="G9" s="275" t="e">
        <f t="shared" si="1"/>
        <v>#DIV/0!</v>
      </c>
    </row>
    <row r="10" spans="1:7" ht="15.75" thickBot="1">
      <c r="A10" s="276">
        <f>paramètres!H8</f>
        <v>0</v>
      </c>
      <c r="B10" s="277"/>
      <c r="C10" s="277"/>
      <c r="D10" s="277">
        <f>SUMIF('Capacitaire '!$C$29:$C$56,'Co-contracting Follow-up'!A10,'Capacitaire '!$AB$29:$AB$56)</f>
        <v>0</v>
      </c>
      <c r="E10" s="277">
        <f>SUMIF(UO_List[Company],'Co-contracting Follow-up'!A10,UO_List[Montant total réceptionné])</f>
        <v>0</v>
      </c>
      <c r="F10" s="277" t="e">
        <f t="shared" si="0"/>
        <v>#DIV/0!</v>
      </c>
      <c r="G10" s="278" t="e">
        <f t="shared" si="1"/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0" tint="-0.499984740745262"/>
  </sheetPr>
  <dimension ref="A3:I171"/>
  <sheetViews>
    <sheetView workbookViewId="0">
      <selection activeCell="D3" sqref="D3"/>
    </sheetView>
  </sheetViews>
  <sheetFormatPr baseColWidth="10" defaultRowHeight="15"/>
  <cols>
    <col min="1" max="1" width="19.5703125" bestFit="1" customWidth="1"/>
    <col min="2" max="2" width="18.42578125" customWidth="1"/>
    <col min="3" max="3" width="17.85546875" customWidth="1"/>
    <col min="4" max="4" width="22.140625" customWidth="1"/>
  </cols>
  <sheetData>
    <row r="3" spans="1:9">
      <c r="A3" s="174" t="s">
        <v>205</v>
      </c>
      <c r="B3" s="158" t="s">
        <v>239</v>
      </c>
      <c r="C3" s="158" t="s">
        <v>240</v>
      </c>
      <c r="D3" s="158" t="s">
        <v>241</v>
      </c>
    </row>
    <row r="4" spans="1:9">
      <c r="A4" s="176" t="s">
        <v>238</v>
      </c>
      <c r="B4" s="175">
        <v>3958.2099999999991</v>
      </c>
      <c r="C4" s="175">
        <v>144.84</v>
      </c>
      <c r="D4" s="175">
        <v>4103.05</v>
      </c>
    </row>
    <row r="5" spans="1:9">
      <c r="A5" s="181">
        <v>60</v>
      </c>
      <c r="B5" s="175">
        <v>2.5</v>
      </c>
      <c r="C5" s="175">
        <v>0</v>
      </c>
      <c r="D5" s="175">
        <v>2.5</v>
      </c>
    </row>
    <row r="6" spans="1:9">
      <c r="A6" s="181">
        <v>180</v>
      </c>
      <c r="B6" s="175">
        <v>113.12999999999998</v>
      </c>
      <c r="C6" s="175">
        <v>0</v>
      </c>
      <c r="D6" s="175">
        <v>113.12999999999998</v>
      </c>
      <c r="I6">
        <f>GETPIVOTDATA("Somme de realWork",$A$3,"idResource",60,"projectCode","2768-04")</f>
        <v>2.5</v>
      </c>
    </row>
    <row r="7" spans="1:9">
      <c r="A7" s="181">
        <v>229</v>
      </c>
      <c r="B7" s="175">
        <v>61.699999999999996</v>
      </c>
      <c r="C7" s="175">
        <v>1.3</v>
      </c>
      <c r="D7" s="175">
        <v>62.999999999999993</v>
      </c>
    </row>
    <row r="8" spans="1:9">
      <c r="A8" s="181">
        <v>235</v>
      </c>
      <c r="B8" s="175">
        <v>146.30000000000001</v>
      </c>
      <c r="C8" s="175">
        <v>0</v>
      </c>
      <c r="D8" s="175">
        <v>146.30000000000001</v>
      </c>
    </row>
    <row r="9" spans="1:9">
      <c r="A9" s="181">
        <v>257</v>
      </c>
      <c r="B9" s="175">
        <v>186.49999999999997</v>
      </c>
      <c r="C9" s="175">
        <v>0</v>
      </c>
      <c r="D9" s="175">
        <v>186.49999999999997</v>
      </c>
    </row>
    <row r="10" spans="1:9">
      <c r="A10" s="181">
        <v>290</v>
      </c>
      <c r="B10" s="175">
        <v>88.45</v>
      </c>
      <c r="C10" s="175">
        <v>0</v>
      </c>
      <c r="D10" s="175">
        <v>88.45</v>
      </c>
    </row>
    <row r="11" spans="1:9">
      <c r="A11" s="181">
        <v>291</v>
      </c>
      <c r="B11" s="175">
        <v>204.5</v>
      </c>
      <c r="C11" s="175">
        <v>0</v>
      </c>
      <c r="D11" s="175">
        <v>204.5</v>
      </c>
    </row>
    <row r="12" spans="1:9">
      <c r="A12" s="181">
        <v>393</v>
      </c>
      <c r="B12" s="175">
        <v>180.50000000000003</v>
      </c>
      <c r="C12" s="175">
        <v>0</v>
      </c>
      <c r="D12" s="175">
        <v>180.50000000000003</v>
      </c>
    </row>
    <row r="13" spans="1:9">
      <c r="A13" s="181">
        <v>396</v>
      </c>
      <c r="B13" s="175">
        <v>0.5</v>
      </c>
      <c r="C13" s="175">
        <v>0</v>
      </c>
      <c r="D13" s="175">
        <v>0.5</v>
      </c>
    </row>
    <row r="14" spans="1:9">
      <c r="A14" s="181">
        <v>402</v>
      </c>
      <c r="B14" s="175">
        <v>186.7</v>
      </c>
      <c r="C14" s="175">
        <v>1.4000000000000001</v>
      </c>
      <c r="D14" s="175">
        <v>188.1</v>
      </c>
    </row>
    <row r="15" spans="1:9">
      <c r="A15" s="181">
        <v>416</v>
      </c>
      <c r="B15" s="175">
        <v>82.4</v>
      </c>
      <c r="C15" s="175">
        <v>0</v>
      </c>
      <c r="D15" s="175">
        <v>82.4</v>
      </c>
    </row>
    <row r="16" spans="1:9">
      <c r="A16" s="181">
        <v>431</v>
      </c>
      <c r="B16" s="175">
        <v>28.5</v>
      </c>
      <c r="C16" s="175">
        <v>0</v>
      </c>
      <c r="D16" s="175">
        <v>28.5</v>
      </c>
    </row>
    <row r="17" spans="1:4">
      <c r="A17" s="181">
        <v>588</v>
      </c>
      <c r="B17" s="175">
        <v>158.25000000000003</v>
      </c>
      <c r="C17" s="175">
        <v>0</v>
      </c>
      <c r="D17" s="175">
        <v>158.25000000000003</v>
      </c>
    </row>
    <row r="18" spans="1:4">
      <c r="A18" s="181">
        <v>666</v>
      </c>
      <c r="B18" s="175">
        <v>9</v>
      </c>
      <c r="C18" s="175">
        <v>0</v>
      </c>
      <c r="D18" s="175">
        <v>9</v>
      </c>
    </row>
    <row r="19" spans="1:4">
      <c r="A19" s="181">
        <v>965</v>
      </c>
      <c r="B19" s="175">
        <v>106.5</v>
      </c>
      <c r="C19" s="175">
        <v>0</v>
      </c>
      <c r="D19" s="175">
        <v>106.5</v>
      </c>
    </row>
    <row r="20" spans="1:4">
      <c r="A20" s="181">
        <v>983</v>
      </c>
      <c r="B20" s="175">
        <v>98.399999999999977</v>
      </c>
      <c r="C20" s="175">
        <v>0</v>
      </c>
      <c r="D20" s="175">
        <v>98.399999999999977</v>
      </c>
    </row>
    <row r="21" spans="1:4">
      <c r="A21" s="181">
        <v>1036</v>
      </c>
      <c r="B21" s="175">
        <v>141.00000000000003</v>
      </c>
      <c r="C21" s="175">
        <v>54.95</v>
      </c>
      <c r="D21" s="175">
        <v>195.95</v>
      </c>
    </row>
    <row r="22" spans="1:4">
      <c r="A22" s="181">
        <v>1039</v>
      </c>
      <c r="B22" s="175">
        <v>183.30000000000004</v>
      </c>
      <c r="C22" s="175">
        <v>0</v>
      </c>
      <c r="D22" s="175">
        <v>183.30000000000004</v>
      </c>
    </row>
    <row r="23" spans="1:4">
      <c r="A23" s="181">
        <v>1164</v>
      </c>
      <c r="B23" s="175">
        <v>142.81999999999996</v>
      </c>
      <c r="C23" s="175">
        <v>0</v>
      </c>
      <c r="D23" s="175">
        <v>142.81999999999996</v>
      </c>
    </row>
    <row r="24" spans="1:4">
      <c r="A24" s="181">
        <v>1506</v>
      </c>
      <c r="B24" s="175">
        <v>173.28999999999996</v>
      </c>
      <c r="C24" s="175">
        <v>0</v>
      </c>
      <c r="D24" s="175">
        <v>173.28999999999996</v>
      </c>
    </row>
    <row r="25" spans="1:4">
      <c r="A25" s="181">
        <v>1667</v>
      </c>
      <c r="B25" s="175">
        <v>191.25000000000003</v>
      </c>
      <c r="C25" s="175">
        <v>14.2</v>
      </c>
      <c r="D25" s="175">
        <v>205.45000000000002</v>
      </c>
    </row>
    <row r="26" spans="1:4">
      <c r="A26" s="181">
        <v>1735</v>
      </c>
      <c r="B26" s="175">
        <v>197.35</v>
      </c>
      <c r="C26" s="175">
        <v>39</v>
      </c>
      <c r="D26" s="175">
        <v>236.35</v>
      </c>
    </row>
    <row r="27" spans="1:4">
      <c r="A27" s="181">
        <v>1890</v>
      </c>
      <c r="B27" s="175">
        <v>88</v>
      </c>
      <c r="C27" s="175">
        <v>0</v>
      </c>
      <c r="D27" s="175">
        <v>88</v>
      </c>
    </row>
    <row r="28" spans="1:4">
      <c r="A28" s="181">
        <v>1969</v>
      </c>
      <c r="B28" s="175">
        <v>138.49999999999997</v>
      </c>
      <c r="C28" s="175">
        <v>0</v>
      </c>
      <c r="D28" s="175">
        <v>138.49999999999997</v>
      </c>
    </row>
    <row r="29" spans="1:4">
      <c r="A29" s="181">
        <v>2001</v>
      </c>
      <c r="B29" s="175">
        <v>175.39999999999998</v>
      </c>
      <c r="C29" s="175">
        <v>0</v>
      </c>
      <c r="D29" s="175">
        <v>175.39999999999998</v>
      </c>
    </row>
    <row r="30" spans="1:4">
      <c r="A30" s="181">
        <v>2017</v>
      </c>
      <c r="B30" s="175">
        <v>194.7</v>
      </c>
      <c r="C30" s="175">
        <v>0</v>
      </c>
      <c r="D30" s="175">
        <v>194.7</v>
      </c>
    </row>
    <row r="31" spans="1:4">
      <c r="A31" s="181">
        <v>2071</v>
      </c>
      <c r="B31" s="175">
        <v>178.5</v>
      </c>
      <c r="C31" s="175">
        <v>0</v>
      </c>
      <c r="D31" s="175">
        <v>178.5</v>
      </c>
    </row>
    <row r="32" spans="1:4">
      <c r="A32" s="181">
        <v>2264</v>
      </c>
      <c r="B32" s="175">
        <v>132.54000000000005</v>
      </c>
      <c r="C32" s="175">
        <v>13.490000000000002</v>
      </c>
      <c r="D32" s="175">
        <v>146.03000000000003</v>
      </c>
    </row>
    <row r="33" spans="1:4">
      <c r="A33" s="181">
        <v>2289</v>
      </c>
      <c r="B33" s="175">
        <v>103.99999999999999</v>
      </c>
      <c r="C33" s="175">
        <v>0</v>
      </c>
      <c r="D33" s="175">
        <v>103.99999999999999</v>
      </c>
    </row>
    <row r="34" spans="1:4">
      <c r="A34" s="181">
        <v>2359</v>
      </c>
      <c r="B34" s="175">
        <v>71.5</v>
      </c>
      <c r="C34" s="175"/>
      <c r="D34" s="175">
        <v>71.5</v>
      </c>
    </row>
    <row r="35" spans="1:4">
      <c r="A35" s="181">
        <v>2405</v>
      </c>
      <c r="B35" s="175">
        <v>58.099999999999994</v>
      </c>
      <c r="C35" s="175"/>
      <c r="D35" s="175">
        <v>58.099999999999994</v>
      </c>
    </row>
    <row r="36" spans="1:4">
      <c r="A36" s="181">
        <v>2416</v>
      </c>
      <c r="B36" s="175">
        <v>49.929999999999993</v>
      </c>
      <c r="C36" s="175"/>
      <c r="D36" s="175">
        <v>49.929999999999993</v>
      </c>
    </row>
    <row r="37" spans="1:4">
      <c r="A37" s="181">
        <v>2430</v>
      </c>
      <c r="B37" s="175">
        <v>43</v>
      </c>
      <c r="C37" s="175">
        <v>20.5</v>
      </c>
      <c r="D37" s="175">
        <v>63.5</v>
      </c>
    </row>
    <row r="38" spans="1:4">
      <c r="A38" s="181">
        <v>2471</v>
      </c>
      <c r="B38" s="175">
        <v>41.199999999999996</v>
      </c>
      <c r="C38" s="175"/>
      <c r="D38" s="175">
        <v>41.199999999999996</v>
      </c>
    </row>
    <row r="39" spans="1:4">
      <c r="A39" s="176" t="s">
        <v>237</v>
      </c>
      <c r="B39" s="175">
        <v>381.67999999999989</v>
      </c>
      <c r="C39" s="175">
        <v>26.5</v>
      </c>
      <c r="D39" s="175">
        <v>409.27999999999992</v>
      </c>
    </row>
    <row r="40" spans="1:4">
      <c r="A40" s="181">
        <v>60</v>
      </c>
      <c r="B40" s="175">
        <v>0</v>
      </c>
      <c r="C40" s="175">
        <v>0</v>
      </c>
      <c r="D40" s="175">
        <v>0</v>
      </c>
    </row>
    <row r="41" spans="1:4">
      <c r="A41" s="181">
        <v>180</v>
      </c>
      <c r="B41" s="175">
        <v>37.74</v>
      </c>
      <c r="C41" s="175">
        <v>0.5</v>
      </c>
      <c r="D41" s="175">
        <v>39.340000000000003</v>
      </c>
    </row>
    <row r="42" spans="1:4">
      <c r="A42" s="181">
        <v>215</v>
      </c>
      <c r="B42" s="175"/>
      <c r="C42" s="175"/>
      <c r="D42" s="175"/>
    </row>
    <row r="43" spans="1:4">
      <c r="A43" s="181">
        <v>229</v>
      </c>
      <c r="B43" s="175">
        <v>115.1</v>
      </c>
      <c r="C43" s="175">
        <v>16.3</v>
      </c>
      <c r="D43" s="175">
        <v>131.39999999999998</v>
      </c>
    </row>
    <row r="44" spans="1:4">
      <c r="A44" s="181">
        <v>235</v>
      </c>
      <c r="B44" s="175">
        <v>0.6</v>
      </c>
      <c r="C44" s="175">
        <v>0</v>
      </c>
      <c r="D44" s="175">
        <v>0.6</v>
      </c>
    </row>
    <row r="45" spans="1:4">
      <c r="A45" s="181">
        <v>257</v>
      </c>
      <c r="B45" s="175">
        <v>3</v>
      </c>
      <c r="C45" s="175">
        <v>0</v>
      </c>
      <c r="D45" s="175">
        <v>3</v>
      </c>
    </row>
    <row r="46" spans="1:4">
      <c r="A46" s="181">
        <v>290</v>
      </c>
      <c r="B46" s="175">
        <v>2.35</v>
      </c>
      <c r="C46" s="175">
        <v>0</v>
      </c>
      <c r="D46" s="175">
        <v>2.35</v>
      </c>
    </row>
    <row r="47" spans="1:4">
      <c r="A47" s="181">
        <v>291</v>
      </c>
      <c r="B47" s="175">
        <v>1.3</v>
      </c>
      <c r="C47" s="175">
        <v>0</v>
      </c>
      <c r="D47" s="175">
        <v>1.3</v>
      </c>
    </row>
    <row r="48" spans="1:4">
      <c r="A48" s="181">
        <v>393</v>
      </c>
      <c r="B48" s="175">
        <v>17.25</v>
      </c>
      <c r="C48" s="175">
        <v>0</v>
      </c>
      <c r="D48" s="175">
        <v>17.25</v>
      </c>
    </row>
    <row r="49" spans="1:4">
      <c r="A49" s="181">
        <v>402</v>
      </c>
      <c r="B49" s="175">
        <v>6.1</v>
      </c>
      <c r="C49" s="175">
        <v>0</v>
      </c>
      <c r="D49" s="175">
        <v>6.1</v>
      </c>
    </row>
    <row r="50" spans="1:4">
      <c r="A50" s="181">
        <v>416</v>
      </c>
      <c r="B50" s="175">
        <v>2.5499999999999998</v>
      </c>
      <c r="C50" s="175">
        <v>0</v>
      </c>
      <c r="D50" s="175">
        <v>2.5499999999999998</v>
      </c>
    </row>
    <row r="51" spans="1:4">
      <c r="A51" s="181">
        <v>431</v>
      </c>
      <c r="B51" s="175">
        <v>1.2</v>
      </c>
      <c r="C51" s="175">
        <v>0</v>
      </c>
      <c r="D51" s="175">
        <v>1.2</v>
      </c>
    </row>
    <row r="52" spans="1:4">
      <c r="A52" s="181">
        <v>588</v>
      </c>
      <c r="B52" s="175">
        <v>18.75</v>
      </c>
      <c r="C52" s="175">
        <v>0</v>
      </c>
      <c r="D52" s="175">
        <v>18.75</v>
      </c>
    </row>
    <row r="53" spans="1:4">
      <c r="A53" s="181">
        <v>666</v>
      </c>
      <c r="B53" s="175">
        <v>5.5</v>
      </c>
      <c r="C53" s="175">
        <v>0</v>
      </c>
      <c r="D53" s="175">
        <v>5.5</v>
      </c>
    </row>
    <row r="54" spans="1:4">
      <c r="A54" s="181">
        <v>958</v>
      </c>
      <c r="B54" s="175"/>
      <c r="C54" s="175"/>
      <c r="D54" s="175"/>
    </row>
    <row r="55" spans="1:4">
      <c r="A55" s="181">
        <v>965</v>
      </c>
      <c r="B55" s="175">
        <v>5</v>
      </c>
      <c r="C55" s="175">
        <v>0</v>
      </c>
      <c r="D55" s="175">
        <v>5</v>
      </c>
    </row>
    <row r="56" spans="1:4">
      <c r="A56" s="181">
        <v>966</v>
      </c>
      <c r="B56" s="175"/>
      <c r="C56" s="175"/>
      <c r="D56" s="175"/>
    </row>
    <row r="57" spans="1:4">
      <c r="A57" s="181">
        <v>983</v>
      </c>
      <c r="B57" s="175">
        <v>9.1</v>
      </c>
      <c r="C57" s="175">
        <v>0</v>
      </c>
      <c r="D57" s="175">
        <v>9.1</v>
      </c>
    </row>
    <row r="58" spans="1:4">
      <c r="A58" s="181">
        <v>1036</v>
      </c>
      <c r="B58" s="175">
        <v>0</v>
      </c>
      <c r="C58" s="175">
        <v>0</v>
      </c>
      <c r="D58" s="175">
        <v>0</v>
      </c>
    </row>
    <row r="59" spans="1:4">
      <c r="A59" s="181">
        <v>1039</v>
      </c>
      <c r="B59" s="175">
        <v>3.7</v>
      </c>
      <c r="C59" s="175">
        <v>0</v>
      </c>
      <c r="D59" s="175">
        <v>3.7</v>
      </c>
    </row>
    <row r="60" spans="1:4">
      <c r="A60" s="181">
        <v>1064</v>
      </c>
      <c r="B60" s="175">
        <v>0</v>
      </c>
      <c r="C60" s="175">
        <v>0</v>
      </c>
      <c r="D60" s="175">
        <v>0</v>
      </c>
    </row>
    <row r="61" spans="1:4">
      <c r="A61" s="181">
        <v>1097</v>
      </c>
      <c r="B61" s="175">
        <v>0</v>
      </c>
      <c r="C61" s="175">
        <v>0</v>
      </c>
      <c r="D61" s="175">
        <v>0</v>
      </c>
    </row>
    <row r="62" spans="1:4">
      <c r="A62" s="181">
        <v>1112</v>
      </c>
      <c r="B62" s="175"/>
      <c r="C62" s="175"/>
      <c r="D62" s="175"/>
    </row>
    <row r="63" spans="1:4">
      <c r="A63" s="181">
        <v>1164</v>
      </c>
      <c r="B63" s="175">
        <v>8.2799999999999994</v>
      </c>
      <c r="C63" s="175">
        <v>0</v>
      </c>
      <c r="D63" s="175">
        <v>8.2799999999999994</v>
      </c>
    </row>
    <row r="64" spans="1:4">
      <c r="A64" s="181">
        <v>1165</v>
      </c>
      <c r="B64" s="175"/>
      <c r="C64" s="175"/>
      <c r="D64" s="175"/>
    </row>
    <row r="65" spans="1:4">
      <c r="A65" s="181">
        <v>1506</v>
      </c>
      <c r="B65" s="175">
        <v>19.489999999999998</v>
      </c>
      <c r="C65" s="175">
        <v>0</v>
      </c>
      <c r="D65" s="175">
        <v>19.489999999999998</v>
      </c>
    </row>
    <row r="66" spans="1:4">
      <c r="A66" s="181">
        <v>1667</v>
      </c>
      <c r="B66" s="175">
        <v>0</v>
      </c>
      <c r="C66" s="175">
        <v>0</v>
      </c>
      <c r="D66" s="175">
        <v>0</v>
      </c>
    </row>
    <row r="67" spans="1:4">
      <c r="A67" s="181">
        <v>1689</v>
      </c>
      <c r="B67" s="175"/>
      <c r="C67" s="175"/>
      <c r="D67" s="175"/>
    </row>
    <row r="68" spans="1:4">
      <c r="A68" s="181">
        <v>1735</v>
      </c>
      <c r="B68" s="175">
        <v>12.9</v>
      </c>
      <c r="C68" s="175">
        <v>0</v>
      </c>
      <c r="D68" s="175">
        <v>12.9</v>
      </c>
    </row>
    <row r="69" spans="1:4">
      <c r="A69" s="181">
        <v>1969</v>
      </c>
      <c r="B69" s="175">
        <v>11</v>
      </c>
      <c r="C69" s="175">
        <v>0</v>
      </c>
      <c r="D69" s="175">
        <v>11</v>
      </c>
    </row>
    <row r="70" spans="1:4">
      <c r="A70" s="181">
        <v>2001</v>
      </c>
      <c r="B70" s="175">
        <v>38.4</v>
      </c>
      <c r="C70" s="175">
        <v>3.7</v>
      </c>
      <c r="D70" s="175">
        <v>42.1</v>
      </c>
    </row>
    <row r="71" spans="1:4">
      <c r="A71" s="181">
        <v>2017</v>
      </c>
      <c r="B71" s="175">
        <v>12.65</v>
      </c>
      <c r="C71" s="175">
        <v>0</v>
      </c>
      <c r="D71" s="175">
        <v>12.65</v>
      </c>
    </row>
    <row r="72" spans="1:4">
      <c r="A72" s="181">
        <v>2264</v>
      </c>
      <c r="B72" s="175">
        <v>11.15</v>
      </c>
      <c r="C72" s="175"/>
      <c r="D72" s="175">
        <v>11.15</v>
      </c>
    </row>
    <row r="73" spans="1:4">
      <c r="A73" s="181">
        <v>2289</v>
      </c>
      <c r="B73" s="175">
        <v>14.55</v>
      </c>
      <c r="C73" s="175">
        <v>0</v>
      </c>
      <c r="D73" s="175">
        <v>14.55</v>
      </c>
    </row>
    <row r="74" spans="1:4">
      <c r="A74" s="181">
        <v>2359</v>
      </c>
      <c r="B74" s="175">
        <v>17</v>
      </c>
      <c r="C74" s="175">
        <v>6</v>
      </c>
      <c r="D74" s="175">
        <v>23</v>
      </c>
    </row>
    <row r="75" spans="1:4">
      <c r="A75" s="181">
        <v>2405</v>
      </c>
      <c r="B75" s="175">
        <v>2.65</v>
      </c>
      <c r="C75" s="175"/>
      <c r="D75" s="175">
        <v>2.65</v>
      </c>
    </row>
    <row r="76" spans="1:4">
      <c r="A76" s="181">
        <v>2416</v>
      </c>
      <c r="B76" s="175">
        <v>3.57</v>
      </c>
      <c r="C76" s="175"/>
      <c r="D76" s="175">
        <v>3.57</v>
      </c>
    </row>
    <row r="77" spans="1:4">
      <c r="A77" s="181">
        <v>2471</v>
      </c>
      <c r="B77" s="175">
        <v>0.8</v>
      </c>
      <c r="C77" s="175"/>
      <c r="D77" s="175">
        <v>0.8</v>
      </c>
    </row>
    <row r="78" spans="1:4">
      <c r="A78" s="176" t="s">
        <v>235</v>
      </c>
      <c r="B78" s="175">
        <v>6992.3179200000004</v>
      </c>
      <c r="C78" s="175">
        <v>840.5</v>
      </c>
      <c r="D78" s="175">
        <v>7883.7679200000011</v>
      </c>
    </row>
    <row r="79" spans="1:4">
      <c r="A79" s="181">
        <v>60</v>
      </c>
      <c r="B79" s="175">
        <v>3.5</v>
      </c>
      <c r="C79" s="175">
        <v>0</v>
      </c>
      <c r="D79" s="175">
        <v>3.5</v>
      </c>
    </row>
    <row r="80" spans="1:4">
      <c r="A80" s="181">
        <v>195</v>
      </c>
      <c r="B80" s="175">
        <v>163</v>
      </c>
      <c r="C80" s="175">
        <v>5</v>
      </c>
      <c r="D80" s="175">
        <v>168</v>
      </c>
    </row>
    <row r="81" spans="1:4">
      <c r="A81" s="181">
        <v>197</v>
      </c>
      <c r="B81" s="175">
        <v>193.45</v>
      </c>
      <c r="C81" s="175">
        <v>9.25</v>
      </c>
      <c r="D81" s="175">
        <v>203.2</v>
      </c>
    </row>
    <row r="82" spans="1:4">
      <c r="A82" s="181">
        <v>214</v>
      </c>
      <c r="B82" s="175">
        <v>53</v>
      </c>
      <c r="C82" s="175">
        <v>4</v>
      </c>
      <c r="D82" s="175">
        <v>57</v>
      </c>
    </row>
    <row r="83" spans="1:4">
      <c r="A83" s="181">
        <v>217</v>
      </c>
      <c r="B83" s="175">
        <v>1.5</v>
      </c>
      <c r="C83" s="175">
        <v>0</v>
      </c>
      <c r="D83" s="175">
        <v>1.5</v>
      </c>
    </row>
    <row r="84" spans="1:4">
      <c r="A84" s="181">
        <v>222</v>
      </c>
      <c r="B84" s="175">
        <v>151.75000000000003</v>
      </c>
      <c r="C84" s="175">
        <v>30.3</v>
      </c>
      <c r="D84" s="175">
        <v>187.25</v>
      </c>
    </row>
    <row r="85" spans="1:4">
      <c r="A85" s="181">
        <v>235</v>
      </c>
      <c r="B85" s="175">
        <v>57.70000000000001</v>
      </c>
      <c r="C85" s="175">
        <v>14.9</v>
      </c>
      <c r="D85" s="175">
        <v>72.600000000000009</v>
      </c>
    </row>
    <row r="86" spans="1:4">
      <c r="A86" s="181">
        <v>264</v>
      </c>
      <c r="B86" s="175">
        <v>3</v>
      </c>
      <c r="C86" s="175">
        <v>0</v>
      </c>
      <c r="D86" s="175">
        <v>3</v>
      </c>
    </row>
    <row r="87" spans="1:4">
      <c r="A87" s="181">
        <v>300</v>
      </c>
      <c r="B87" s="175">
        <v>144.5</v>
      </c>
      <c r="C87" s="175">
        <v>13.399999999999999</v>
      </c>
      <c r="D87" s="175">
        <v>157.89999999999998</v>
      </c>
    </row>
    <row r="88" spans="1:4">
      <c r="A88" s="181">
        <v>306</v>
      </c>
      <c r="B88" s="175">
        <v>173</v>
      </c>
      <c r="C88" s="175">
        <v>10</v>
      </c>
      <c r="D88" s="175">
        <v>183</v>
      </c>
    </row>
    <row r="89" spans="1:4">
      <c r="A89" s="181">
        <v>433</v>
      </c>
      <c r="B89" s="175">
        <v>128.5</v>
      </c>
      <c r="C89" s="175">
        <v>0</v>
      </c>
      <c r="D89" s="175">
        <v>128.5</v>
      </c>
    </row>
    <row r="90" spans="1:4">
      <c r="A90" s="181">
        <v>527</v>
      </c>
      <c r="B90" s="175">
        <v>192.5</v>
      </c>
      <c r="C90" s="175">
        <v>15</v>
      </c>
      <c r="D90" s="175">
        <v>207.5</v>
      </c>
    </row>
    <row r="91" spans="1:4">
      <c r="A91" s="181">
        <v>666</v>
      </c>
      <c r="B91" s="175">
        <v>5.5</v>
      </c>
      <c r="C91" s="175">
        <v>0</v>
      </c>
      <c r="D91" s="175">
        <v>5.5</v>
      </c>
    </row>
    <row r="92" spans="1:4">
      <c r="A92" s="181">
        <v>828</v>
      </c>
      <c r="B92" s="175">
        <v>205.5</v>
      </c>
      <c r="C92" s="175">
        <v>39.25</v>
      </c>
      <c r="D92" s="175">
        <v>244.75</v>
      </c>
    </row>
    <row r="93" spans="1:4">
      <c r="A93" s="181">
        <v>881</v>
      </c>
      <c r="B93" s="175">
        <v>131.5</v>
      </c>
      <c r="C93" s="175">
        <v>11.5</v>
      </c>
      <c r="D93" s="175">
        <v>143</v>
      </c>
    </row>
    <row r="94" spans="1:4">
      <c r="A94" s="181">
        <v>938</v>
      </c>
      <c r="B94" s="175">
        <v>59.75</v>
      </c>
      <c r="C94" s="175">
        <v>0</v>
      </c>
      <c r="D94" s="175">
        <v>59.75</v>
      </c>
    </row>
    <row r="95" spans="1:4">
      <c r="A95" s="181">
        <v>942</v>
      </c>
      <c r="B95" s="175">
        <v>0.5</v>
      </c>
      <c r="C95" s="175"/>
      <c r="D95" s="175">
        <v>0.5</v>
      </c>
    </row>
    <row r="96" spans="1:4">
      <c r="A96" s="181">
        <v>947</v>
      </c>
      <c r="B96" s="175">
        <v>5.5</v>
      </c>
      <c r="C96" s="175">
        <v>0</v>
      </c>
      <c r="D96" s="175">
        <v>5.5</v>
      </c>
    </row>
    <row r="97" spans="1:4">
      <c r="A97" s="181">
        <v>1014</v>
      </c>
      <c r="B97" s="175">
        <v>186.72</v>
      </c>
      <c r="C97" s="175">
        <v>16.25</v>
      </c>
      <c r="D97" s="175">
        <v>207.71999999999997</v>
      </c>
    </row>
    <row r="98" spans="1:4">
      <c r="A98" s="181">
        <v>1084</v>
      </c>
      <c r="B98" s="175">
        <v>51.5</v>
      </c>
      <c r="C98" s="175">
        <v>0</v>
      </c>
      <c r="D98" s="175">
        <v>51.5</v>
      </c>
    </row>
    <row r="99" spans="1:4">
      <c r="A99" s="181">
        <v>1111</v>
      </c>
      <c r="B99" s="175">
        <v>132.5</v>
      </c>
      <c r="C99" s="175">
        <v>0</v>
      </c>
      <c r="D99" s="175">
        <v>132.5</v>
      </c>
    </row>
    <row r="100" spans="1:4">
      <c r="A100" s="181">
        <v>1251</v>
      </c>
      <c r="B100" s="175">
        <v>195.00000000000003</v>
      </c>
      <c r="C100" s="175">
        <v>17.2</v>
      </c>
      <c r="D100" s="175">
        <v>217.4</v>
      </c>
    </row>
    <row r="101" spans="1:4">
      <c r="A101" s="181">
        <v>1505</v>
      </c>
      <c r="B101" s="175">
        <v>99</v>
      </c>
      <c r="C101" s="175">
        <v>0</v>
      </c>
      <c r="D101" s="175">
        <v>99</v>
      </c>
    </row>
    <row r="102" spans="1:4">
      <c r="A102" s="181">
        <v>1551</v>
      </c>
      <c r="B102" s="175">
        <v>98</v>
      </c>
      <c r="C102" s="175">
        <v>52.5</v>
      </c>
      <c r="D102" s="175">
        <v>150.5</v>
      </c>
    </row>
    <row r="103" spans="1:4">
      <c r="A103" s="181">
        <v>1738</v>
      </c>
      <c r="B103" s="175">
        <v>133.5</v>
      </c>
      <c r="C103" s="175">
        <v>29.5</v>
      </c>
      <c r="D103" s="175">
        <v>163</v>
      </c>
    </row>
    <row r="104" spans="1:4">
      <c r="A104" s="181">
        <v>1795</v>
      </c>
      <c r="B104" s="175">
        <v>191.74999999999997</v>
      </c>
      <c r="C104" s="175">
        <v>8.5</v>
      </c>
      <c r="D104" s="175">
        <v>200.24999999999997</v>
      </c>
    </row>
    <row r="105" spans="1:4">
      <c r="A105" s="181">
        <v>1821</v>
      </c>
      <c r="B105" s="175">
        <v>183.50000000000003</v>
      </c>
      <c r="C105" s="175">
        <v>7.6499999999999995</v>
      </c>
      <c r="D105" s="175">
        <v>191.15</v>
      </c>
    </row>
    <row r="106" spans="1:4">
      <c r="A106" s="181">
        <v>1999</v>
      </c>
      <c r="B106" s="175">
        <v>181.24999999999997</v>
      </c>
      <c r="C106" s="175">
        <v>0</v>
      </c>
      <c r="D106" s="175">
        <v>181.24999999999997</v>
      </c>
    </row>
    <row r="107" spans="1:4">
      <c r="A107" s="181">
        <v>2028</v>
      </c>
      <c r="B107" s="175">
        <v>143.15000000000003</v>
      </c>
      <c r="C107" s="175">
        <v>12.5</v>
      </c>
      <c r="D107" s="175">
        <v>155.65000000000003</v>
      </c>
    </row>
    <row r="108" spans="1:4">
      <c r="A108" s="181">
        <v>2030</v>
      </c>
      <c r="B108" s="175">
        <v>202.6</v>
      </c>
      <c r="C108" s="175">
        <v>44.300000000000004</v>
      </c>
      <c r="D108" s="175">
        <v>251.40000000000003</v>
      </c>
    </row>
    <row r="109" spans="1:4">
      <c r="A109" s="181">
        <v>2033</v>
      </c>
      <c r="B109" s="175">
        <v>20.3</v>
      </c>
      <c r="C109" s="175">
        <v>0</v>
      </c>
      <c r="D109" s="175">
        <v>20.3</v>
      </c>
    </row>
    <row r="110" spans="1:4">
      <c r="A110" s="181">
        <v>2062</v>
      </c>
      <c r="B110" s="175">
        <v>215.00000000000003</v>
      </c>
      <c r="C110" s="175">
        <v>24.4</v>
      </c>
      <c r="D110" s="175">
        <v>239.9</v>
      </c>
    </row>
    <row r="111" spans="1:4">
      <c r="A111" s="181">
        <v>2075</v>
      </c>
      <c r="B111" s="175">
        <v>192.1</v>
      </c>
      <c r="C111" s="175">
        <v>9.5</v>
      </c>
      <c r="D111" s="175">
        <v>201.6</v>
      </c>
    </row>
    <row r="112" spans="1:4">
      <c r="A112" s="181">
        <v>2120</v>
      </c>
      <c r="B112" s="175">
        <v>201</v>
      </c>
      <c r="C112" s="175">
        <v>13.25</v>
      </c>
      <c r="D112" s="175">
        <v>214.24999999999997</v>
      </c>
    </row>
    <row r="113" spans="1:4">
      <c r="A113" s="181">
        <v>2122</v>
      </c>
      <c r="B113" s="175">
        <v>213.25</v>
      </c>
      <c r="C113" s="175">
        <v>10.55</v>
      </c>
      <c r="D113" s="175">
        <v>223.8</v>
      </c>
    </row>
    <row r="114" spans="1:4">
      <c r="A114" s="181">
        <v>2123</v>
      </c>
      <c r="B114" s="175">
        <v>185.5</v>
      </c>
      <c r="C114" s="175">
        <v>21.349999999999998</v>
      </c>
      <c r="D114" s="175">
        <v>206.85</v>
      </c>
    </row>
    <row r="115" spans="1:4">
      <c r="A115" s="181">
        <v>2124</v>
      </c>
      <c r="B115" s="175">
        <v>211.5</v>
      </c>
      <c r="C115" s="175">
        <v>16.5</v>
      </c>
      <c r="D115" s="175">
        <v>228</v>
      </c>
    </row>
    <row r="116" spans="1:4">
      <c r="A116" s="181">
        <v>2127</v>
      </c>
      <c r="B116" s="175">
        <v>173</v>
      </c>
      <c r="C116" s="175">
        <v>0</v>
      </c>
      <c r="D116" s="175">
        <v>173</v>
      </c>
    </row>
    <row r="117" spans="1:4">
      <c r="A117" s="181">
        <v>2142</v>
      </c>
      <c r="B117" s="175">
        <v>201.5</v>
      </c>
      <c r="C117" s="175">
        <v>6.8</v>
      </c>
      <c r="D117" s="175">
        <v>208.3</v>
      </c>
    </row>
    <row r="118" spans="1:4">
      <c r="A118" s="181">
        <v>2156</v>
      </c>
      <c r="B118" s="175">
        <v>34.799999999999997</v>
      </c>
      <c r="C118" s="175">
        <v>0</v>
      </c>
      <c r="D118" s="175">
        <v>34.799999999999997</v>
      </c>
    </row>
    <row r="119" spans="1:4">
      <c r="A119" s="181">
        <v>2160</v>
      </c>
      <c r="B119" s="175">
        <v>0.5</v>
      </c>
      <c r="C119" s="175"/>
      <c r="D119" s="175">
        <v>0.5</v>
      </c>
    </row>
    <row r="120" spans="1:4">
      <c r="A120" s="181">
        <v>2174</v>
      </c>
      <c r="B120" s="175">
        <v>0</v>
      </c>
      <c r="C120" s="175">
        <v>3.3</v>
      </c>
      <c r="D120" s="175">
        <v>3.3</v>
      </c>
    </row>
    <row r="121" spans="1:4">
      <c r="A121" s="181">
        <v>2175</v>
      </c>
      <c r="B121" s="175">
        <v>0</v>
      </c>
      <c r="C121" s="175">
        <v>0</v>
      </c>
      <c r="D121" s="175">
        <v>0</v>
      </c>
    </row>
    <row r="122" spans="1:4">
      <c r="A122" s="181">
        <v>2176</v>
      </c>
      <c r="B122" s="175">
        <v>0</v>
      </c>
      <c r="C122" s="175">
        <v>0</v>
      </c>
      <c r="D122" s="175">
        <v>10.4</v>
      </c>
    </row>
    <row r="123" spans="1:4">
      <c r="A123" s="181">
        <v>2177</v>
      </c>
      <c r="B123" s="175">
        <v>0.2</v>
      </c>
      <c r="C123" s="175">
        <v>59.400000000000006</v>
      </c>
      <c r="D123" s="175">
        <v>66.600000000000009</v>
      </c>
    </row>
    <row r="124" spans="1:4">
      <c r="A124" s="181">
        <v>2181</v>
      </c>
      <c r="B124" s="175">
        <v>175.49999999999997</v>
      </c>
      <c r="C124" s="175">
        <v>28.450000000000006</v>
      </c>
      <c r="D124" s="175">
        <v>203.94999999999996</v>
      </c>
    </row>
    <row r="125" spans="1:4">
      <c r="A125" s="181">
        <v>2184</v>
      </c>
      <c r="B125" s="175">
        <v>167.75</v>
      </c>
      <c r="C125" s="175">
        <v>19.049999999999997</v>
      </c>
      <c r="D125" s="175">
        <v>186.79999999999998</v>
      </c>
    </row>
    <row r="126" spans="1:4">
      <c r="A126" s="181">
        <v>2188</v>
      </c>
      <c r="B126" s="175">
        <v>182.5</v>
      </c>
      <c r="C126" s="175">
        <v>28.1</v>
      </c>
      <c r="D126" s="175">
        <v>210.60000000000002</v>
      </c>
    </row>
    <row r="127" spans="1:4">
      <c r="A127" s="181">
        <v>2201</v>
      </c>
      <c r="B127" s="175"/>
      <c r="C127" s="175">
        <v>2.7</v>
      </c>
      <c r="D127" s="175">
        <v>2.7</v>
      </c>
    </row>
    <row r="128" spans="1:4">
      <c r="A128" s="181">
        <v>2202</v>
      </c>
      <c r="B128" s="175">
        <v>0</v>
      </c>
      <c r="C128" s="175">
        <v>0</v>
      </c>
      <c r="D128" s="175">
        <v>0</v>
      </c>
    </row>
    <row r="129" spans="1:4">
      <c r="A129" s="181">
        <v>2203</v>
      </c>
      <c r="B129" s="175">
        <v>0</v>
      </c>
      <c r="C129" s="175">
        <v>0</v>
      </c>
      <c r="D129" s="175">
        <v>0</v>
      </c>
    </row>
    <row r="130" spans="1:4">
      <c r="A130" s="181">
        <v>2204</v>
      </c>
      <c r="B130" s="175">
        <v>0</v>
      </c>
      <c r="C130" s="175">
        <v>4</v>
      </c>
      <c r="D130" s="175">
        <v>4</v>
      </c>
    </row>
    <row r="131" spans="1:4">
      <c r="A131" s="181">
        <v>2220</v>
      </c>
      <c r="B131" s="175">
        <v>88.497919999999993</v>
      </c>
      <c r="C131" s="175">
        <v>0</v>
      </c>
      <c r="D131" s="175">
        <v>88.497919999999993</v>
      </c>
    </row>
    <row r="132" spans="1:4">
      <c r="A132" s="181">
        <v>2221</v>
      </c>
      <c r="B132" s="175">
        <v>155.50000000000003</v>
      </c>
      <c r="C132" s="175">
        <v>13.049999999999999</v>
      </c>
      <c r="D132" s="175">
        <v>168.55000000000004</v>
      </c>
    </row>
    <row r="133" spans="1:4">
      <c r="A133" s="181">
        <v>2226</v>
      </c>
      <c r="B133" s="175">
        <v>165.5</v>
      </c>
      <c r="C133" s="175">
        <v>15.75</v>
      </c>
      <c r="D133" s="175">
        <v>181.25</v>
      </c>
    </row>
    <row r="134" spans="1:4">
      <c r="A134" s="181">
        <v>2290</v>
      </c>
      <c r="B134" s="175">
        <v>17</v>
      </c>
      <c r="C134" s="175">
        <v>0</v>
      </c>
      <c r="D134" s="175">
        <v>17</v>
      </c>
    </row>
    <row r="135" spans="1:4">
      <c r="A135" s="181">
        <v>2291</v>
      </c>
      <c r="B135" s="175">
        <v>7</v>
      </c>
      <c r="C135" s="175">
        <v>0</v>
      </c>
      <c r="D135" s="175">
        <v>7</v>
      </c>
    </row>
    <row r="136" spans="1:4">
      <c r="A136" s="181">
        <v>2294</v>
      </c>
      <c r="B136" s="175">
        <v>19</v>
      </c>
      <c r="C136" s="175">
        <v>0</v>
      </c>
      <c r="D136" s="175">
        <v>19</v>
      </c>
    </row>
    <row r="137" spans="1:4">
      <c r="A137" s="181">
        <v>2295</v>
      </c>
      <c r="B137" s="175">
        <v>12.5</v>
      </c>
      <c r="C137" s="175">
        <v>0</v>
      </c>
      <c r="D137" s="175">
        <v>12.5</v>
      </c>
    </row>
    <row r="138" spans="1:4">
      <c r="A138" s="181">
        <v>2296</v>
      </c>
      <c r="B138" s="175">
        <v>14</v>
      </c>
      <c r="C138" s="175">
        <v>0</v>
      </c>
      <c r="D138" s="175">
        <v>14</v>
      </c>
    </row>
    <row r="139" spans="1:4">
      <c r="A139" s="181">
        <v>2297</v>
      </c>
      <c r="B139" s="175">
        <v>26</v>
      </c>
      <c r="C139" s="175">
        <v>0</v>
      </c>
      <c r="D139" s="175">
        <v>26</v>
      </c>
    </row>
    <row r="140" spans="1:4">
      <c r="A140" s="181">
        <v>2301</v>
      </c>
      <c r="B140" s="175">
        <v>0</v>
      </c>
      <c r="C140" s="175">
        <v>4</v>
      </c>
      <c r="D140" s="175">
        <v>4</v>
      </c>
    </row>
    <row r="141" spans="1:4">
      <c r="A141" s="181">
        <v>2302</v>
      </c>
      <c r="B141" s="175">
        <v>0</v>
      </c>
      <c r="C141" s="175">
        <v>0</v>
      </c>
      <c r="D141" s="175">
        <v>0</v>
      </c>
    </row>
    <row r="142" spans="1:4">
      <c r="A142" s="181">
        <v>2305</v>
      </c>
      <c r="B142" s="175"/>
      <c r="C142" s="175">
        <v>0</v>
      </c>
      <c r="D142" s="175">
        <v>12.9</v>
      </c>
    </row>
    <row r="143" spans="1:4">
      <c r="A143" s="181">
        <v>2315</v>
      </c>
      <c r="B143" s="175">
        <v>107.5</v>
      </c>
      <c r="C143" s="175">
        <v>15</v>
      </c>
      <c r="D143" s="175">
        <v>122.5</v>
      </c>
    </row>
    <row r="144" spans="1:4">
      <c r="A144" s="181">
        <v>2324</v>
      </c>
      <c r="B144" s="175">
        <v>96.999999999999986</v>
      </c>
      <c r="C144" s="175">
        <v>11.8</v>
      </c>
      <c r="D144" s="175">
        <v>108.79999999999997</v>
      </c>
    </row>
    <row r="145" spans="1:4">
      <c r="A145" s="181">
        <v>2339</v>
      </c>
      <c r="B145" s="175">
        <v>86</v>
      </c>
      <c r="C145" s="175">
        <v>13.5</v>
      </c>
      <c r="D145" s="175">
        <v>99.5</v>
      </c>
    </row>
    <row r="146" spans="1:4">
      <c r="A146" s="181">
        <v>2340</v>
      </c>
      <c r="B146" s="175">
        <v>99</v>
      </c>
      <c r="C146" s="175">
        <v>35</v>
      </c>
      <c r="D146" s="175">
        <v>134</v>
      </c>
    </row>
    <row r="147" spans="1:4">
      <c r="A147" s="181">
        <v>2362</v>
      </c>
      <c r="B147" s="175">
        <v>89.949999999999989</v>
      </c>
      <c r="C147" s="175">
        <v>21.25</v>
      </c>
      <c r="D147" s="175">
        <v>111.19999999999999</v>
      </c>
    </row>
    <row r="148" spans="1:4">
      <c r="A148" s="181">
        <v>2366</v>
      </c>
      <c r="B148" s="175">
        <v>84.5</v>
      </c>
      <c r="C148" s="175">
        <v>0</v>
      </c>
      <c r="D148" s="175">
        <v>84.5</v>
      </c>
    </row>
    <row r="149" spans="1:4">
      <c r="A149" s="181">
        <v>2383</v>
      </c>
      <c r="B149" s="175">
        <v>65</v>
      </c>
      <c r="C149" s="175">
        <v>18.399999999999999</v>
      </c>
      <c r="D149" s="175">
        <v>83.399999999999991</v>
      </c>
    </row>
    <row r="150" spans="1:4">
      <c r="A150" s="181">
        <v>2408</v>
      </c>
      <c r="B150" s="175">
        <v>64.349999999999994</v>
      </c>
      <c r="C150" s="175">
        <v>26.1</v>
      </c>
      <c r="D150" s="175">
        <v>90.45</v>
      </c>
    </row>
    <row r="151" spans="1:4">
      <c r="A151" s="181">
        <v>2443</v>
      </c>
      <c r="B151" s="175">
        <v>39.5</v>
      </c>
      <c r="C151" s="175">
        <v>16.600000000000001</v>
      </c>
      <c r="D151" s="175">
        <v>56.099999999999994</v>
      </c>
    </row>
    <row r="152" spans="1:4">
      <c r="A152" s="181">
        <v>2481</v>
      </c>
      <c r="B152" s="175">
        <v>28</v>
      </c>
      <c r="C152" s="175">
        <v>11</v>
      </c>
      <c r="D152" s="175">
        <v>39</v>
      </c>
    </row>
    <row r="153" spans="1:4">
      <c r="A153" s="181">
        <v>2485</v>
      </c>
      <c r="B153" s="175">
        <v>28.5</v>
      </c>
      <c r="C153" s="175">
        <v>5.2</v>
      </c>
      <c r="D153" s="175">
        <v>33.700000000000003</v>
      </c>
    </row>
    <row r="154" spans="1:4">
      <c r="A154" s="181">
        <v>2533</v>
      </c>
      <c r="B154" s="175">
        <v>20</v>
      </c>
      <c r="C154" s="175">
        <v>13</v>
      </c>
      <c r="D154" s="175">
        <v>33</v>
      </c>
    </row>
    <row r="155" spans="1:4">
      <c r="A155" s="181">
        <v>2540</v>
      </c>
      <c r="B155" s="175">
        <v>15</v>
      </c>
      <c r="C155" s="175">
        <v>10</v>
      </c>
      <c r="D155" s="175">
        <v>25</v>
      </c>
    </row>
    <row r="156" spans="1:4">
      <c r="A156" s="181">
        <v>2542</v>
      </c>
      <c r="B156" s="175">
        <v>16.5</v>
      </c>
      <c r="C156" s="175">
        <v>7.5</v>
      </c>
      <c r="D156" s="175">
        <v>24</v>
      </c>
    </row>
    <row r="157" spans="1:4">
      <c r="A157" s="181">
        <v>2573</v>
      </c>
      <c r="B157" s="175"/>
      <c r="C157" s="175">
        <v>15</v>
      </c>
      <c r="D157" s="175">
        <v>15</v>
      </c>
    </row>
    <row r="158" spans="1:4">
      <c r="A158" s="176" t="s">
        <v>236</v>
      </c>
      <c r="B158" s="175">
        <v>709.45</v>
      </c>
      <c r="C158" s="175">
        <v>57.95</v>
      </c>
      <c r="D158" s="175">
        <v>767.40000000000009</v>
      </c>
    </row>
    <row r="159" spans="1:4">
      <c r="A159" s="181">
        <v>195</v>
      </c>
      <c r="B159" s="175">
        <v>25</v>
      </c>
      <c r="C159" s="175">
        <v>4</v>
      </c>
      <c r="D159" s="175">
        <v>29</v>
      </c>
    </row>
    <row r="160" spans="1:4">
      <c r="A160" s="181">
        <v>362</v>
      </c>
      <c r="B160" s="175">
        <v>97</v>
      </c>
      <c r="C160" s="175">
        <v>0</v>
      </c>
      <c r="D160" s="175">
        <v>97</v>
      </c>
    </row>
    <row r="161" spans="1:4">
      <c r="A161" s="181">
        <v>881</v>
      </c>
      <c r="B161" s="175">
        <v>62.5</v>
      </c>
      <c r="C161" s="175">
        <v>6</v>
      </c>
      <c r="D161" s="175">
        <v>68.5</v>
      </c>
    </row>
    <row r="162" spans="1:4">
      <c r="A162" s="181">
        <v>1003</v>
      </c>
      <c r="B162" s="175">
        <v>21.5</v>
      </c>
      <c r="C162" s="175">
        <v>3</v>
      </c>
      <c r="D162" s="175">
        <v>24.5</v>
      </c>
    </row>
    <row r="163" spans="1:4">
      <c r="A163" s="181">
        <v>1120</v>
      </c>
      <c r="B163" s="175">
        <v>79</v>
      </c>
      <c r="C163" s="175">
        <v>14.2</v>
      </c>
      <c r="D163" s="175">
        <v>93.199999999999989</v>
      </c>
    </row>
    <row r="164" spans="1:4">
      <c r="A164" s="181">
        <v>1229</v>
      </c>
      <c r="B164" s="175">
        <v>31.5</v>
      </c>
      <c r="C164" s="175">
        <v>0</v>
      </c>
      <c r="D164" s="175">
        <v>31.5</v>
      </c>
    </row>
    <row r="165" spans="1:4">
      <c r="A165" s="181">
        <v>2135</v>
      </c>
      <c r="B165" s="175">
        <v>193.5</v>
      </c>
      <c r="C165" s="175">
        <v>15.5</v>
      </c>
      <c r="D165" s="175">
        <v>209</v>
      </c>
    </row>
    <row r="166" spans="1:4">
      <c r="A166" s="181">
        <v>2156</v>
      </c>
      <c r="B166" s="175">
        <v>64.2</v>
      </c>
      <c r="C166" s="175">
        <v>0</v>
      </c>
      <c r="D166" s="175">
        <v>64.2</v>
      </c>
    </row>
    <row r="167" spans="1:4">
      <c r="A167" s="181">
        <v>2178</v>
      </c>
      <c r="B167" s="175">
        <v>0</v>
      </c>
      <c r="C167" s="175">
        <v>0</v>
      </c>
      <c r="D167" s="175">
        <v>0</v>
      </c>
    </row>
    <row r="168" spans="1:4">
      <c r="A168" s="181">
        <v>2200</v>
      </c>
      <c r="B168" s="175">
        <v>0</v>
      </c>
      <c r="C168" s="175">
        <v>0</v>
      </c>
      <c r="D168" s="175">
        <v>0</v>
      </c>
    </row>
    <row r="169" spans="1:4">
      <c r="A169" s="181">
        <v>2266</v>
      </c>
      <c r="B169" s="175">
        <v>129.25</v>
      </c>
      <c r="C169" s="175">
        <v>15.25</v>
      </c>
      <c r="D169" s="175">
        <v>144.5</v>
      </c>
    </row>
    <row r="170" spans="1:4">
      <c r="A170" s="181">
        <v>2481</v>
      </c>
      <c r="B170" s="175">
        <v>6</v>
      </c>
      <c r="C170" s="175">
        <v>0</v>
      </c>
      <c r="D170" s="175">
        <v>6</v>
      </c>
    </row>
    <row r="171" spans="1:4">
      <c r="A171" s="176" t="s">
        <v>207</v>
      </c>
      <c r="B171" s="175">
        <v>12041.65792</v>
      </c>
      <c r="C171" s="175">
        <v>1069.79</v>
      </c>
      <c r="D171" s="175">
        <v>13163.497919999998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0" tint="-0.499984740745262"/>
  </sheetPr>
  <dimension ref="D5:K2842"/>
  <sheetViews>
    <sheetView topLeftCell="A82" workbookViewId="0">
      <selection activeCell="H8" sqref="H8"/>
    </sheetView>
  </sheetViews>
  <sheetFormatPr baseColWidth="10" defaultRowHeight="15"/>
  <cols>
    <col min="4" max="4" width="7" customWidth="1"/>
    <col min="5" max="5" width="10.5703125" bestFit="1" customWidth="1"/>
    <col min="6" max="6" width="12.42578125" bestFit="1" customWidth="1"/>
    <col min="7" max="7" width="15" style="158" bestFit="1" customWidth="1"/>
    <col min="8" max="8" width="10.85546875" style="158" bestFit="1" customWidth="1"/>
    <col min="9" max="9" width="10.5703125" style="158" bestFit="1" customWidth="1"/>
    <col min="10" max="10" width="14.5703125" style="158" bestFit="1" customWidth="1"/>
    <col min="11" max="11" width="13.5703125" style="158" bestFit="1" customWidth="1"/>
    <col min="12" max="12" width="10.5703125" bestFit="1" customWidth="1"/>
    <col min="13" max="13" width="9.5703125" bestFit="1" customWidth="1"/>
    <col min="14" max="14" width="11.42578125" bestFit="1" customWidth="1"/>
    <col min="15" max="15" width="12.5703125" bestFit="1" customWidth="1"/>
    <col min="16" max="16" width="12.42578125" bestFit="1" customWidth="1"/>
    <col min="17" max="17" width="12.5703125" bestFit="1" customWidth="1"/>
    <col min="18" max="18" width="7" bestFit="1" customWidth="1"/>
    <col min="19" max="19" width="10" bestFit="1" customWidth="1"/>
    <col min="20" max="20" width="7.5703125" bestFit="1" customWidth="1"/>
    <col min="21" max="21" width="6.42578125" bestFit="1" customWidth="1"/>
    <col min="22" max="22" width="7.42578125" bestFit="1" customWidth="1"/>
    <col min="23" max="23" width="5.5703125" bestFit="1" customWidth="1"/>
    <col min="24" max="24" width="17" bestFit="1" customWidth="1"/>
    <col min="25" max="25" width="12.5703125" bestFit="1" customWidth="1"/>
    <col min="26" max="26" width="11.140625" bestFit="1" customWidth="1"/>
    <col min="27" max="27" width="15.42578125" bestFit="1" customWidth="1"/>
    <col min="28" max="28" width="11.42578125" bestFit="1" customWidth="1"/>
    <col min="29" max="29" width="15.42578125" bestFit="1" customWidth="1"/>
    <col min="30" max="30" width="14.5703125" bestFit="1" customWidth="1"/>
    <col min="31" max="31" width="17.5703125" bestFit="1" customWidth="1"/>
    <col min="32" max="32" width="17" bestFit="1" customWidth="1"/>
    <col min="33" max="33" width="18" bestFit="1" customWidth="1"/>
    <col min="34" max="34" width="16.5703125" bestFit="1" customWidth="1"/>
    <col min="35" max="35" width="12.42578125" bestFit="1" customWidth="1"/>
    <col min="36" max="36" width="8.5703125" bestFit="1" customWidth="1"/>
    <col min="37" max="37" width="14" bestFit="1" customWidth="1"/>
    <col min="38" max="38" width="16.5703125" bestFit="1" customWidth="1"/>
    <col min="39" max="39" width="21.42578125" bestFit="1" customWidth="1"/>
    <col min="40" max="40" width="11.140625" bestFit="1" customWidth="1"/>
    <col min="41" max="43" width="12.42578125" bestFit="1" customWidth="1"/>
  </cols>
  <sheetData>
    <row r="5" spans="4:11">
      <c r="D5" t="s">
        <v>227</v>
      </c>
      <c r="E5" t="s">
        <v>228</v>
      </c>
      <c r="F5" t="s">
        <v>229</v>
      </c>
      <c r="G5" s="158" t="s">
        <v>230</v>
      </c>
      <c r="H5" s="158" t="s">
        <v>231</v>
      </c>
      <c r="I5" s="158" t="s">
        <v>232</v>
      </c>
      <c r="J5" s="158" t="s">
        <v>233</v>
      </c>
      <c r="K5" s="158" t="s">
        <v>234</v>
      </c>
    </row>
    <row r="6" spans="4:11">
      <c r="D6">
        <v>146830</v>
      </c>
      <c r="E6">
        <v>10783</v>
      </c>
      <c r="F6">
        <v>306</v>
      </c>
      <c r="G6" s="158">
        <v>8</v>
      </c>
      <c r="H6" s="158">
        <v>8</v>
      </c>
      <c r="I6" s="158">
        <v>0</v>
      </c>
      <c r="J6" s="158">
        <v>8</v>
      </c>
      <c r="K6" s="158" t="s">
        <v>235</v>
      </c>
    </row>
    <row r="7" spans="4:11">
      <c r="D7" s="158">
        <v>146831</v>
      </c>
      <c r="E7" s="158">
        <v>10783</v>
      </c>
      <c r="F7" s="158">
        <v>306</v>
      </c>
      <c r="G7" s="158">
        <v>8</v>
      </c>
      <c r="H7" s="158">
        <v>7.5</v>
      </c>
      <c r="I7" s="158">
        <v>1</v>
      </c>
      <c r="J7" s="158">
        <v>8.5</v>
      </c>
      <c r="K7" s="158" t="s">
        <v>235</v>
      </c>
    </row>
    <row r="8" spans="4:11">
      <c r="D8" s="158">
        <v>146832</v>
      </c>
      <c r="E8" s="158">
        <v>10783</v>
      </c>
      <c r="F8" s="158">
        <v>828</v>
      </c>
      <c r="G8" s="158">
        <v>16</v>
      </c>
      <c r="H8" s="158">
        <v>18.75</v>
      </c>
      <c r="I8" s="158">
        <v>2.25</v>
      </c>
      <c r="J8" s="158">
        <v>21</v>
      </c>
      <c r="K8" s="158" t="s">
        <v>235</v>
      </c>
    </row>
    <row r="9" spans="4:11">
      <c r="D9" s="158">
        <v>146841</v>
      </c>
      <c r="E9" s="158">
        <v>10783</v>
      </c>
      <c r="F9" s="158">
        <v>306</v>
      </c>
      <c r="G9" s="158">
        <v>3</v>
      </c>
      <c r="H9" s="158">
        <v>0.5</v>
      </c>
      <c r="I9" s="158">
        <v>0</v>
      </c>
      <c r="J9" s="158">
        <v>0.5</v>
      </c>
      <c r="K9" s="158" t="s">
        <v>235</v>
      </c>
    </row>
    <row r="10" spans="4:11">
      <c r="D10" s="158">
        <v>146843</v>
      </c>
      <c r="E10" s="158">
        <v>10783</v>
      </c>
      <c r="F10" s="158">
        <v>264</v>
      </c>
      <c r="G10" s="158">
        <v>0</v>
      </c>
      <c r="H10" s="158">
        <v>1.75</v>
      </c>
      <c r="I10" s="158">
        <v>0</v>
      </c>
      <c r="J10" s="158">
        <v>1.75</v>
      </c>
      <c r="K10" s="158" t="s">
        <v>235</v>
      </c>
    </row>
    <row r="11" spans="4:11">
      <c r="D11" s="158">
        <v>149925</v>
      </c>
      <c r="E11" s="158">
        <v>10011</v>
      </c>
      <c r="F11" s="158">
        <v>290</v>
      </c>
      <c r="H11" s="158">
        <v>0</v>
      </c>
      <c r="I11" s="158">
        <v>0</v>
      </c>
      <c r="J11" s="158">
        <v>0</v>
      </c>
      <c r="K11" s="158" t="s">
        <v>238</v>
      </c>
    </row>
    <row r="12" spans="4:11">
      <c r="D12" s="158">
        <v>149926</v>
      </c>
      <c r="E12" s="158">
        <v>10011</v>
      </c>
      <c r="F12" s="158">
        <v>180</v>
      </c>
      <c r="H12" s="158">
        <v>21.64</v>
      </c>
      <c r="I12" s="158">
        <v>0</v>
      </c>
      <c r="J12" s="158">
        <v>21.64</v>
      </c>
      <c r="K12" s="158" t="s">
        <v>238</v>
      </c>
    </row>
    <row r="13" spans="4:11">
      <c r="D13" s="158">
        <v>149927</v>
      </c>
      <c r="E13" s="158">
        <v>10011</v>
      </c>
      <c r="F13" s="158">
        <v>229</v>
      </c>
      <c r="H13" s="158">
        <v>12.3</v>
      </c>
      <c r="I13" s="158">
        <v>0</v>
      </c>
      <c r="J13" s="158">
        <v>12.3</v>
      </c>
      <c r="K13" s="158" t="s">
        <v>238</v>
      </c>
    </row>
    <row r="14" spans="4:11">
      <c r="D14" s="158">
        <v>149928</v>
      </c>
      <c r="E14" s="158">
        <v>10011</v>
      </c>
      <c r="F14" s="158">
        <v>431</v>
      </c>
      <c r="H14" s="158">
        <v>0</v>
      </c>
      <c r="I14" s="158">
        <v>0</v>
      </c>
      <c r="J14" s="158">
        <v>0</v>
      </c>
      <c r="K14" s="158" t="s">
        <v>238</v>
      </c>
    </row>
    <row r="15" spans="4:11">
      <c r="D15" s="158">
        <v>149929</v>
      </c>
      <c r="E15" s="158">
        <v>10011</v>
      </c>
      <c r="F15" s="158">
        <v>291</v>
      </c>
      <c r="H15" s="158">
        <v>0.6</v>
      </c>
      <c r="I15" s="158">
        <v>0</v>
      </c>
      <c r="J15" s="158">
        <v>0.6</v>
      </c>
      <c r="K15" s="158" t="s">
        <v>238</v>
      </c>
    </row>
    <row r="16" spans="4:11">
      <c r="D16" s="158">
        <v>149932</v>
      </c>
      <c r="E16" s="158">
        <v>10011</v>
      </c>
      <c r="F16" s="158">
        <v>983</v>
      </c>
      <c r="H16" s="158">
        <v>0</v>
      </c>
      <c r="I16" s="158">
        <v>0</v>
      </c>
      <c r="J16" s="158">
        <v>0</v>
      </c>
      <c r="K16" s="158" t="s">
        <v>238</v>
      </c>
    </row>
    <row r="17" spans="4:11">
      <c r="D17" s="158">
        <v>149933</v>
      </c>
      <c r="E17" s="158">
        <v>10011</v>
      </c>
      <c r="F17" s="158">
        <v>235</v>
      </c>
      <c r="H17" s="158">
        <v>1.6</v>
      </c>
      <c r="I17" s="158">
        <v>0</v>
      </c>
      <c r="J17" s="158">
        <v>1.6</v>
      </c>
      <c r="K17" s="158" t="s">
        <v>238</v>
      </c>
    </row>
    <row r="18" spans="4:11">
      <c r="D18" s="158">
        <v>149934</v>
      </c>
      <c r="E18" s="158">
        <v>10011</v>
      </c>
      <c r="F18" s="158">
        <v>416</v>
      </c>
      <c r="H18" s="158">
        <v>0.2</v>
      </c>
      <c r="I18" s="158">
        <v>0</v>
      </c>
      <c r="J18" s="158">
        <v>0.2</v>
      </c>
      <c r="K18" s="158" t="s">
        <v>238</v>
      </c>
    </row>
    <row r="19" spans="4:11">
      <c r="D19" s="158">
        <v>149935</v>
      </c>
      <c r="E19" s="158">
        <v>10011</v>
      </c>
      <c r="F19" s="158">
        <v>393</v>
      </c>
      <c r="H19" s="158">
        <v>1.7</v>
      </c>
      <c r="I19" s="158">
        <v>0</v>
      </c>
      <c r="J19" s="158">
        <v>1.7</v>
      </c>
      <c r="K19" s="158" t="s">
        <v>238</v>
      </c>
    </row>
    <row r="20" spans="4:11">
      <c r="D20" s="158">
        <v>149939</v>
      </c>
      <c r="E20" s="158">
        <v>10011</v>
      </c>
      <c r="F20" s="158">
        <v>431</v>
      </c>
      <c r="H20" s="158">
        <v>0</v>
      </c>
      <c r="I20" s="158">
        <v>0</v>
      </c>
      <c r="J20" s="158">
        <v>0</v>
      </c>
      <c r="K20" s="158" t="s">
        <v>238</v>
      </c>
    </row>
    <row r="21" spans="4:11">
      <c r="D21" s="158">
        <v>149940</v>
      </c>
      <c r="E21" s="158">
        <v>10011</v>
      </c>
      <c r="F21" s="158">
        <v>965</v>
      </c>
      <c r="H21" s="158">
        <v>0</v>
      </c>
      <c r="I21" s="158">
        <v>0</v>
      </c>
      <c r="J21" s="158">
        <v>0</v>
      </c>
      <c r="K21" s="158" t="s">
        <v>238</v>
      </c>
    </row>
    <row r="22" spans="4:11">
      <c r="D22" s="158">
        <v>149941</v>
      </c>
      <c r="E22" s="158">
        <v>10011</v>
      </c>
      <c r="F22" s="158">
        <v>588</v>
      </c>
      <c r="H22" s="158">
        <v>0.9</v>
      </c>
      <c r="I22" s="158">
        <v>0</v>
      </c>
      <c r="J22" s="158">
        <v>0.9</v>
      </c>
      <c r="K22" s="158" t="s">
        <v>238</v>
      </c>
    </row>
    <row r="23" spans="4:11">
      <c r="D23" s="158">
        <v>149942</v>
      </c>
      <c r="E23" s="158">
        <v>10011</v>
      </c>
      <c r="F23" s="158">
        <v>1039</v>
      </c>
      <c r="H23" s="158">
        <v>1.2</v>
      </c>
      <c r="I23" s="158">
        <v>0</v>
      </c>
      <c r="J23" s="158">
        <v>1.2</v>
      </c>
      <c r="K23" s="158" t="s">
        <v>238</v>
      </c>
    </row>
    <row r="24" spans="4:11">
      <c r="D24" s="158">
        <v>149943</v>
      </c>
      <c r="E24" s="158">
        <v>10011</v>
      </c>
      <c r="F24" s="158">
        <v>1036</v>
      </c>
      <c r="H24" s="158">
        <v>0.3</v>
      </c>
      <c r="I24" s="158">
        <v>0</v>
      </c>
      <c r="J24" s="158">
        <v>0.3</v>
      </c>
      <c r="K24" s="158" t="s">
        <v>238</v>
      </c>
    </row>
    <row r="25" spans="4:11">
      <c r="D25" s="158">
        <v>149944</v>
      </c>
      <c r="E25" s="158">
        <v>10011</v>
      </c>
      <c r="F25" s="158">
        <v>402</v>
      </c>
      <c r="H25" s="158">
        <v>1</v>
      </c>
      <c r="I25" s="158">
        <v>0</v>
      </c>
      <c r="J25" s="158">
        <v>1</v>
      </c>
      <c r="K25" s="158" t="s">
        <v>238</v>
      </c>
    </row>
    <row r="26" spans="4:11">
      <c r="D26" s="158">
        <v>149945</v>
      </c>
      <c r="E26" s="158">
        <v>10011</v>
      </c>
      <c r="F26" s="158">
        <v>1164</v>
      </c>
      <c r="H26" s="158">
        <v>1.04</v>
      </c>
      <c r="I26" s="158">
        <v>0</v>
      </c>
      <c r="J26" s="158">
        <v>1.04</v>
      </c>
      <c r="K26" s="158" t="s">
        <v>238</v>
      </c>
    </row>
    <row r="27" spans="4:11">
      <c r="D27" s="158">
        <v>149946</v>
      </c>
      <c r="E27" s="158">
        <v>10011</v>
      </c>
      <c r="F27" s="158">
        <v>1506</v>
      </c>
      <c r="H27" s="158">
        <v>0.6</v>
      </c>
      <c r="I27" s="158">
        <v>0</v>
      </c>
      <c r="J27" s="158">
        <v>0.6</v>
      </c>
      <c r="K27" s="158" t="s">
        <v>238</v>
      </c>
    </row>
    <row r="28" spans="4:11">
      <c r="D28" s="158">
        <v>149947</v>
      </c>
      <c r="E28" s="158">
        <v>10011</v>
      </c>
      <c r="F28" s="158">
        <v>257</v>
      </c>
      <c r="H28" s="158">
        <v>0.5</v>
      </c>
      <c r="I28" s="158">
        <v>0</v>
      </c>
      <c r="J28" s="158">
        <v>0.5</v>
      </c>
      <c r="K28" s="158" t="s">
        <v>238</v>
      </c>
    </row>
    <row r="29" spans="4:11">
      <c r="D29" s="158">
        <v>149948</v>
      </c>
      <c r="E29" s="158">
        <v>10011</v>
      </c>
      <c r="F29" s="158">
        <v>1667</v>
      </c>
      <c r="H29" s="158">
        <v>5.2</v>
      </c>
      <c r="I29" s="158">
        <v>0</v>
      </c>
      <c r="J29" s="158">
        <v>5.2</v>
      </c>
      <c r="K29" s="158" t="s">
        <v>238</v>
      </c>
    </row>
    <row r="30" spans="4:11">
      <c r="D30" s="158">
        <v>149950</v>
      </c>
      <c r="E30" s="158">
        <v>10011</v>
      </c>
      <c r="F30" s="158">
        <v>1735</v>
      </c>
      <c r="H30" s="158">
        <v>1.25</v>
      </c>
      <c r="I30" s="158">
        <v>0</v>
      </c>
      <c r="J30" s="158">
        <v>1.25</v>
      </c>
      <c r="K30" s="158" t="s">
        <v>238</v>
      </c>
    </row>
    <row r="31" spans="4:11">
      <c r="D31" s="158">
        <v>149955</v>
      </c>
      <c r="E31" s="158">
        <v>10011</v>
      </c>
      <c r="F31" s="158">
        <v>1969</v>
      </c>
      <c r="H31" s="158">
        <v>0.75</v>
      </c>
      <c r="I31" s="158">
        <v>0</v>
      </c>
      <c r="J31" s="158">
        <v>0.75</v>
      </c>
      <c r="K31" s="158" t="s">
        <v>238</v>
      </c>
    </row>
    <row r="32" spans="4:11">
      <c r="D32" s="158">
        <v>149956</v>
      </c>
      <c r="E32" s="158">
        <v>10011</v>
      </c>
      <c r="F32" s="158">
        <v>2001</v>
      </c>
      <c r="H32" s="158">
        <v>0.4</v>
      </c>
      <c r="I32" s="158">
        <v>0</v>
      </c>
      <c r="J32" s="158">
        <v>0.4</v>
      </c>
      <c r="K32" s="158" t="s">
        <v>238</v>
      </c>
    </row>
    <row r="33" spans="4:11">
      <c r="D33" s="158">
        <v>149957</v>
      </c>
      <c r="E33" s="158">
        <v>10011</v>
      </c>
      <c r="F33" s="158">
        <v>393</v>
      </c>
      <c r="H33" s="158">
        <v>0.25</v>
      </c>
      <c r="I33" s="158">
        <v>0</v>
      </c>
      <c r="J33" s="158">
        <v>0.25</v>
      </c>
      <c r="K33" s="158" t="s">
        <v>238</v>
      </c>
    </row>
    <row r="34" spans="4:11">
      <c r="D34" s="158">
        <v>149958</v>
      </c>
      <c r="E34" s="158">
        <v>10011</v>
      </c>
      <c r="F34" s="158">
        <v>2017</v>
      </c>
      <c r="H34" s="158">
        <v>1.3</v>
      </c>
      <c r="I34" s="158">
        <v>0</v>
      </c>
      <c r="J34" s="158">
        <v>1.3</v>
      </c>
      <c r="K34" s="158" t="s">
        <v>238</v>
      </c>
    </row>
    <row r="35" spans="4:11">
      <c r="D35" s="158">
        <v>149959</v>
      </c>
      <c r="E35" s="158">
        <v>10011</v>
      </c>
      <c r="F35" s="158">
        <v>2071</v>
      </c>
      <c r="H35" s="158">
        <v>0</v>
      </c>
      <c r="I35" s="158">
        <v>0</v>
      </c>
      <c r="J35" s="158">
        <v>0</v>
      </c>
      <c r="K35" s="158" t="s">
        <v>238</v>
      </c>
    </row>
    <row r="36" spans="4:11">
      <c r="D36" s="158">
        <v>149966</v>
      </c>
      <c r="E36" s="158">
        <v>10010</v>
      </c>
      <c r="F36" s="158">
        <v>290</v>
      </c>
      <c r="H36" s="158">
        <v>3.45</v>
      </c>
      <c r="I36" s="158">
        <v>0</v>
      </c>
      <c r="J36" s="158">
        <v>3.45</v>
      </c>
      <c r="K36" s="158" t="s">
        <v>238</v>
      </c>
    </row>
    <row r="37" spans="4:11">
      <c r="D37" s="158">
        <v>149967</v>
      </c>
      <c r="E37" s="158">
        <v>10010</v>
      </c>
      <c r="F37" s="158">
        <v>180</v>
      </c>
      <c r="H37" s="158">
        <v>2.57</v>
      </c>
      <c r="I37" s="158">
        <v>0</v>
      </c>
      <c r="J37" s="158">
        <v>2.57</v>
      </c>
      <c r="K37" s="158" t="s">
        <v>238</v>
      </c>
    </row>
    <row r="38" spans="4:11">
      <c r="D38" s="158">
        <v>149968</v>
      </c>
      <c r="E38" s="158">
        <v>10010</v>
      </c>
      <c r="F38" s="158">
        <v>229</v>
      </c>
      <c r="H38" s="158">
        <v>3.6</v>
      </c>
      <c r="I38" s="158">
        <v>0</v>
      </c>
      <c r="J38" s="158">
        <v>3.6</v>
      </c>
      <c r="K38" s="158" t="s">
        <v>238</v>
      </c>
    </row>
    <row r="39" spans="4:11">
      <c r="D39" s="158">
        <v>149969</v>
      </c>
      <c r="E39" s="158">
        <v>10010</v>
      </c>
      <c r="F39" s="158">
        <v>431</v>
      </c>
      <c r="H39" s="158">
        <v>0.5</v>
      </c>
      <c r="I39" s="158">
        <v>0</v>
      </c>
      <c r="J39" s="158">
        <v>0.5</v>
      </c>
      <c r="K39" s="158" t="s">
        <v>238</v>
      </c>
    </row>
    <row r="40" spans="4:11">
      <c r="D40" s="158">
        <v>149970</v>
      </c>
      <c r="E40" s="158">
        <v>10010</v>
      </c>
      <c r="F40" s="158">
        <v>291</v>
      </c>
      <c r="H40" s="158">
        <v>7.44</v>
      </c>
      <c r="I40" s="158">
        <v>0</v>
      </c>
      <c r="J40" s="158">
        <v>7.44</v>
      </c>
      <c r="K40" s="158" t="s">
        <v>238</v>
      </c>
    </row>
    <row r="41" spans="4:11">
      <c r="D41" s="158">
        <v>149971</v>
      </c>
      <c r="E41" s="158">
        <v>10010</v>
      </c>
      <c r="F41" s="158">
        <v>983</v>
      </c>
      <c r="H41" s="158">
        <v>3.7</v>
      </c>
      <c r="I41" s="158">
        <v>0</v>
      </c>
      <c r="J41" s="158">
        <v>3.7</v>
      </c>
      <c r="K41" s="158" t="s">
        <v>238</v>
      </c>
    </row>
    <row r="42" spans="4:11">
      <c r="D42" s="158">
        <v>149972</v>
      </c>
      <c r="E42" s="158">
        <v>10010</v>
      </c>
      <c r="F42" s="158">
        <v>235</v>
      </c>
      <c r="H42" s="158">
        <v>0.8</v>
      </c>
      <c r="I42" s="158">
        <v>0</v>
      </c>
      <c r="J42" s="158">
        <v>0.8</v>
      </c>
      <c r="K42" s="158" t="s">
        <v>238</v>
      </c>
    </row>
    <row r="43" spans="4:11">
      <c r="D43" s="158">
        <v>149973</v>
      </c>
      <c r="E43" s="158">
        <v>10010</v>
      </c>
      <c r="F43" s="158">
        <v>416</v>
      </c>
      <c r="H43" s="158">
        <v>2.75</v>
      </c>
      <c r="I43" s="158">
        <v>0</v>
      </c>
      <c r="J43" s="158">
        <v>2.75</v>
      </c>
      <c r="K43" s="158" t="s">
        <v>238</v>
      </c>
    </row>
    <row r="44" spans="4:11">
      <c r="D44" s="158">
        <v>149974</v>
      </c>
      <c r="E44" s="158">
        <v>10010</v>
      </c>
      <c r="F44" s="158">
        <v>393</v>
      </c>
      <c r="H44" s="158">
        <v>2.2000000000000002</v>
      </c>
      <c r="I44" s="158">
        <v>0</v>
      </c>
      <c r="J44" s="158">
        <v>2.2000000000000002</v>
      </c>
      <c r="K44" s="158" t="s">
        <v>238</v>
      </c>
    </row>
    <row r="45" spans="4:11">
      <c r="D45" s="158">
        <v>149975</v>
      </c>
      <c r="E45" s="158">
        <v>10010</v>
      </c>
      <c r="F45" s="158">
        <v>431</v>
      </c>
      <c r="H45" s="158">
        <v>0</v>
      </c>
      <c r="I45" s="158">
        <v>0</v>
      </c>
      <c r="J45" s="158">
        <v>0</v>
      </c>
      <c r="K45" s="158" t="s">
        <v>238</v>
      </c>
    </row>
    <row r="46" spans="4:11">
      <c r="D46" s="158">
        <v>149976</v>
      </c>
      <c r="E46" s="158">
        <v>10010</v>
      </c>
      <c r="F46" s="158">
        <v>965</v>
      </c>
      <c r="H46" s="158">
        <v>2.5499999999999998</v>
      </c>
      <c r="I46" s="158">
        <v>0</v>
      </c>
      <c r="J46" s="158">
        <v>2.5499999999999998</v>
      </c>
      <c r="K46" s="158" t="s">
        <v>238</v>
      </c>
    </row>
    <row r="47" spans="4:11">
      <c r="D47" s="158">
        <v>149977</v>
      </c>
      <c r="E47" s="158">
        <v>10010</v>
      </c>
      <c r="F47" s="158">
        <v>588</v>
      </c>
      <c r="H47" s="158">
        <v>4.8499999999999996</v>
      </c>
      <c r="I47" s="158">
        <v>0</v>
      </c>
      <c r="J47" s="158">
        <v>4.8499999999999996</v>
      </c>
      <c r="K47" s="158" t="s">
        <v>238</v>
      </c>
    </row>
    <row r="48" spans="4:11">
      <c r="D48" s="158">
        <v>149978</v>
      </c>
      <c r="E48" s="158">
        <v>10010</v>
      </c>
      <c r="F48" s="158">
        <v>1039</v>
      </c>
      <c r="H48" s="158">
        <v>5.6</v>
      </c>
      <c r="I48" s="158">
        <v>0</v>
      </c>
      <c r="J48" s="158">
        <v>5.6</v>
      </c>
      <c r="K48" s="158" t="s">
        <v>238</v>
      </c>
    </row>
    <row r="49" spans="4:11">
      <c r="D49" s="158">
        <v>149979</v>
      </c>
      <c r="E49" s="158">
        <v>10010</v>
      </c>
      <c r="F49" s="158">
        <v>1036</v>
      </c>
      <c r="H49" s="158">
        <v>3.4</v>
      </c>
      <c r="I49" s="158">
        <v>0</v>
      </c>
      <c r="J49" s="158">
        <v>3.4</v>
      </c>
      <c r="K49" s="158" t="s">
        <v>238</v>
      </c>
    </row>
    <row r="50" spans="4:11">
      <c r="D50" s="158">
        <v>149980</v>
      </c>
      <c r="E50" s="158">
        <v>10010</v>
      </c>
      <c r="F50" s="158">
        <v>402</v>
      </c>
      <c r="H50" s="158">
        <v>5.5</v>
      </c>
      <c r="I50" s="158">
        <v>0</v>
      </c>
      <c r="J50" s="158">
        <v>5.5</v>
      </c>
      <c r="K50" s="158" t="s">
        <v>238</v>
      </c>
    </row>
    <row r="51" spans="4:11">
      <c r="D51" s="158">
        <v>149981</v>
      </c>
      <c r="E51" s="158">
        <v>10010</v>
      </c>
      <c r="F51" s="158">
        <v>1164</v>
      </c>
      <c r="H51" s="158">
        <v>1.2</v>
      </c>
      <c r="I51" s="158">
        <v>0</v>
      </c>
      <c r="J51" s="158">
        <v>1.2</v>
      </c>
      <c r="K51" s="158" t="s">
        <v>238</v>
      </c>
    </row>
    <row r="52" spans="4:11">
      <c r="D52" s="158">
        <v>149982</v>
      </c>
      <c r="E52" s="158">
        <v>10010</v>
      </c>
      <c r="F52" s="158">
        <v>1506</v>
      </c>
      <c r="H52" s="158">
        <v>3.66</v>
      </c>
      <c r="I52" s="158">
        <v>0</v>
      </c>
      <c r="J52" s="158">
        <v>3.66</v>
      </c>
      <c r="K52" s="158" t="s">
        <v>238</v>
      </c>
    </row>
    <row r="53" spans="4:11">
      <c r="D53" s="158">
        <v>149983</v>
      </c>
      <c r="E53" s="158">
        <v>10010</v>
      </c>
      <c r="F53" s="158">
        <v>257</v>
      </c>
      <c r="H53" s="158">
        <v>3.6</v>
      </c>
      <c r="I53" s="158">
        <v>0</v>
      </c>
      <c r="J53" s="158">
        <v>3.6</v>
      </c>
      <c r="K53" s="158" t="s">
        <v>238</v>
      </c>
    </row>
    <row r="54" spans="4:11">
      <c r="D54" s="158">
        <v>149984</v>
      </c>
      <c r="E54" s="158">
        <v>10010</v>
      </c>
      <c r="F54" s="158">
        <v>1667</v>
      </c>
      <c r="H54" s="158">
        <v>6.1</v>
      </c>
      <c r="I54" s="158">
        <v>0</v>
      </c>
      <c r="J54" s="158">
        <v>6.1</v>
      </c>
      <c r="K54" s="158" t="s">
        <v>238</v>
      </c>
    </row>
    <row r="55" spans="4:11">
      <c r="D55" s="158">
        <v>149985</v>
      </c>
      <c r="E55" s="158">
        <v>10010</v>
      </c>
      <c r="F55" s="158">
        <v>1735</v>
      </c>
      <c r="H55" s="158">
        <v>4.3499999999999996</v>
      </c>
      <c r="I55" s="158">
        <v>0</v>
      </c>
      <c r="J55" s="158">
        <v>4.3499999999999996</v>
      </c>
      <c r="K55" s="158" t="s">
        <v>238</v>
      </c>
    </row>
    <row r="56" spans="4:11">
      <c r="D56" s="158">
        <v>149986</v>
      </c>
      <c r="E56" s="158">
        <v>10010</v>
      </c>
      <c r="F56" s="158">
        <v>1969</v>
      </c>
      <c r="H56" s="158">
        <v>4.4000000000000004</v>
      </c>
      <c r="I56" s="158">
        <v>0</v>
      </c>
      <c r="J56" s="158">
        <v>4.4000000000000004</v>
      </c>
      <c r="K56" s="158" t="s">
        <v>238</v>
      </c>
    </row>
    <row r="57" spans="4:11">
      <c r="D57" s="158">
        <v>149987</v>
      </c>
      <c r="E57" s="158">
        <v>10010</v>
      </c>
      <c r="F57" s="158">
        <v>2001</v>
      </c>
      <c r="H57" s="158">
        <v>4.3899999999999997</v>
      </c>
      <c r="I57" s="158">
        <v>0</v>
      </c>
      <c r="J57" s="158">
        <v>4.3899999999999997</v>
      </c>
      <c r="K57" s="158" t="s">
        <v>238</v>
      </c>
    </row>
    <row r="58" spans="4:11">
      <c r="D58" s="158">
        <v>149988</v>
      </c>
      <c r="E58" s="158">
        <v>10010</v>
      </c>
      <c r="F58" s="158">
        <v>393</v>
      </c>
      <c r="H58" s="158">
        <v>3.52</v>
      </c>
      <c r="I58" s="158">
        <v>0</v>
      </c>
      <c r="J58" s="158">
        <v>3.52</v>
      </c>
      <c r="K58" s="158" t="s">
        <v>238</v>
      </c>
    </row>
    <row r="59" spans="4:11">
      <c r="D59" s="158">
        <v>149989</v>
      </c>
      <c r="E59" s="158">
        <v>10010</v>
      </c>
      <c r="F59" s="158">
        <v>2017</v>
      </c>
      <c r="H59" s="158">
        <v>5.45</v>
      </c>
      <c r="I59" s="158">
        <v>0</v>
      </c>
      <c r="J59" s="158">
        <v>5.45</v>
      </c>
      <c r="K59" s="158" t="s">
        <v>238</v>
      </c>
    </row>
    <row r="60" spans="4:11">
      <c r="D60" s="158">
        <v>149990</v>
      </c>
      <c r="E60" s="158">
        <v>10010</v>
      </c>
      <c r="F60" s="158">
        <v>2071</v>
      </c>
      <c r="H60" s="158">
        <v>0</v>
      </c>
      <c r="I60" s="158">
        <v>0</v>
      </c>
      <c r="J60" s="158">
        <v>0</v>
      </c>
      <c r="K60" s="158" t="s">
        <v>238</v>
      </c>
    </row>
    <row r="61" spans="4:11">
      <c r="D61" s="158">
        <v>149992</v>
      </c>
      <c r="E61" s="158">
        <v>10010</v>
      </c>
      <c r="F61" s="158">
        <v>290</v>
      </c>
      <c r="H61" s="158">
        <v>1.9</v>
      </c>
      <c r="I61" s="158">
        <v>0</v>
      </c>
      <c r="J61" s="158">
        <v>1.9</v>
      </c>
      <c r="K61" s="158" t="s">
        <v>238</v>
      </c>
    </row>
    <row r="62" spans="4:11">
      <c r="D62" s="158">
        <v>149993</v>
      </c>
      <c r="E62" s="158">
        <v>10010</v>
      </c>
      <c r="F62" s="158">
        <v>180</v>
      </c>
      <c r="H62" s="158">
        <v>4.28</v>
      </c>
      <c r="I62" s="158">
        <v>0</v>
      </c>
      <c r="J62" s="158">
        <v>4.28</v>
      </c>
      <c r="K62" s="158" t="s">
        <v>238</v>
      </c>
    </row>
    <row r="63" spans="4:11">
      <c r="D63" s="158">
        <v>149999</v>
      </c>
      <c r="E63" s="158">
        <v>10010</v>
      </c>
      <c r="F63" s="158">
        <v>416</v>
      </c>
      <c r="H63" s="158">
        <v>3.5</v>
      </c>
      <c r="I63" s="158">
        <v>0</v>
      </c>
      <c r="J63" s="158">
        <v>3.5</v>
      </c>
      <c r="K63" s="158" t="s">
        <v>238</v>
      </c>
    </row>
    <row r="64" spans="4:11">
      <c r="D64" s="158">
        <v>150003</v>
      </c>
      <c r="E64" s="158">
        <v>10010</v>
      </c>
      <c r="F64" s="158">
        <v>588</v>
      </c>
      <c r="H64" s="158">
        <v>8.4</v>
      </c>
      <c r="I64" s="158">
        <v>0</v>
      </c>
      <c r="J64" s="158">
        <v>8.4</v>
      </c>
      <c r="K64" s="158" t="s">
        <v>238</v>
      </c>
    </row>
    <row r="65" spans="4:11">
      <c r="D65" s="158">
        <v>150004</v>
      </c>
      <c r="E65" s="158">
        <v>10010</v>
      </c>
      <c r="F65" s="158">
        <v>1039</v>
      </c>
      <c r="H65" s="158">
        <v>6.5</v>
      </c>
      <c r="I65" s="158">
        <v>0</v>
      </c>
      <c r="J65" s="158">
        <v>6.5</v>
      </c>
      <c r="K65" s="158" t="s">
        <v>238</v>
      </c>
    </row>
    <row r="66" spans="4:11">
      <c r="D66" s="158">
        <v>150007</v>
      </c>
      <c r="E66" s="158">
        <v>10010</v>
      </c>
      <c r="F66" s="158">
        <v>1164</v>
      </c>
      <c r="H66" s="158">
        <v>2.6</v>
      </c>
      <c r="I66" s="158">
        <v>0</v>
      </c>
      <c r="J66" s="158">
        <v>2.6</v>
      </c>
      <c r="K66" s="158" t="s">
        <v>238</v>
      </c>
    </row>
    <row r="67" spans="4:11">
      <c r="D67" s="158">
        <v>150010</v>
      </c>
      <c r="E67" s="158">
        <v>10010</v>
      </c>
      <c r="F67" s="158">
        <v>1667</v>
      </c>
      <c r="H67" s="158">
        <v>5.8</v>
      </c>
      <c r="I67" s="158">
        <v>0</v>
      </c>
      <c r="J67" s="158">
        <v>5.8</v>
      </c>
      <c r="K67" s="158" t="s">
        <v>238</v>
      </c>
    </row>
    <row r="68" spans="4:11">
      <c r="D68" s="158">
        <v>150018</v>
      </c>
      <c r="E68" s="158">
        <v>10010</v>
      </c>
      <c r="F68" s="158">
        <v>290</v>
      </c>
      <c r="H68" s="158">
        <v>80.650000000000006</v>
      </c>
      <c r="I68" s="158">
        <v>0</v>
      </c>
      <c r="J68" s="158">
        <v>80.650000000000006</v>
      </c>
      <c r="K68" s="158" t="s">
        <v>238</v>
      </c>
    </row>
    <row r="69" spans="4:11">
      <c r="D69" s="158">
        <v>150019</v>
      </c>
      <c r="E69" s="158">
        <v>10010</v>
      </c>
      <c r="F69" s="158">
        <v>180</v>
      </c>
      <c r="H69" s="158">
        <v>7.79</v>
      </c>
      <c r="I69" s="158">
        <v>0</v>
      </c>
      <c r="J69" s="158">
        <v>7.79</v>
      </c>
      <c r="K69" s="158" t="s">
        <v>238</v>
      </c>
    </row>
    <row r="70" spans="4:11">
      <c r="D70" s="158">
        <v>150020</v>
      </c>
      <c r="E70" s="158">
        <v>10010</v>
      </c>
      <c r="F70" s="158">
        <v>416</v>
      </c>
      <c r="H70" s="158">
        <v>2.8</v>
      </c>
      <c r="I70" s="158">
        <v>0</v>
      </c>
      <c r="J70" s="158">
        <v>2.8</v>
      </c>
      <c r="K70" s="158" t="s">
        <v>238</v>
      </c>
    </row>
    <row r="71" spans="4:11">
      <c r="D71" s="158">
        <v>150021</v>
      </c>
      <c r="E71" s="158">
        <v>10010</v>
      </c>
      <c r="F71" s="158">
        <v>588</v>
      </c>
      <c r="H71" s="158">
        <v>0.45</v>
      </c>
      <c r="I71" s="158">
        <v>0</v>
      </c>
      <c r="J71" s="158">
        <v>0.45</v>
      </c>
      <c r="K71" s="158" t="s">
        <v>238</v>
      </c>
    </row>
    <row r="72" spans="4:11">
      <c r="D72" s="158">
        <v>150022</v>
      </c>
      <c r="E72" s="158">
        <v>10010</v>
      </c>
      <c r="F72" s="158">
        <v>1039</v>
      </c>
      <c r="H72" s="158">
        <v>71.2</v>
      </c>
      <c r="I72" s="158">
        <v>0</v>
      </c>
      <c r="J72" s="158">
        <v>71.2</v>
      </c>
      <c r="K72" s="158" t="s">
        <v>238</v>
      </c>
    </row>
    <row r="73" spans="4:11">
      <c r="D73" s="158">
        <v>150023</v>
      </c>
      <c r="E73" s="158">
        <v>10010</v>
      </c>
      <c r="F73" s="158">
        <v>1164</v>
      </c>
      <c r="H73" s="158">
        <v>0.2</v>
      </c>
      <c r="I73" s="158">
        <v>0</v>
      </c>
      <c r="J73" s="158">
        <v>0.2</v>
      </c>
      <c r="K73" s="158" t="s">
        <v>238</v>
      </c>
    </row>
    <row r="74" spans="4:11">
      <c r="D74" s="158">
        <v>150024</v>
      </c>
      <c r="E74" s="158">
        <v>10010</v>
      </c>
      <c r="F74" s="158">
        <v>1667</v>
      </c>
      <c r="H74" s="158">
        <v>11.9</v>
      </c>
      <c r="I74" s="158">
        <v>0</v>
      </c>
      <c r="J74" s="158">
        <v>11.9</v>
      </c>
      <c r="K74" s="158" t="s">
        <v>238</v>
      </c>
    </row>
    <row r="75" spans="4:11">
      <c r="D75" s="158">
        <v>150026</v>
      </c>
      <c r="E75" s="158">
        <v>10010</v>
      </c>
      <c r="F75" s="158">
        <v>290</v>
      </c>
      <c r="H75" s="158">
        <v>0</v>
      </c>
      <c r="I75" s="158">
        <v>0</v>
      </c>
      <c r="J75" s="158">
        <v>0</v>
      </c>
      <c r="K75" s="158" t="s">
        <v>238</v>
      </c>
    </row>
    <row r="76" spans="4:11">
      <c r="D76" s="158">
        <v>150029</v>
      </c>
      <c r="E76" s="158">
        <v>10010</v>
      </c>
      <c r="F76" s="158">
        <v>588</v>
      </c>
      <c r="H76" s="158">
        <v>42</v>
      </c>
      <c r="I76" s="158">
        <v>0</v>
      </c>
      <c r="J76" s="158">
        <v>42</v>
      </c>
      <c r="K76" s="158" t="s">
        <v>238</v>
      </c>
    </row>
    <row r="77" spans="4:11">
      <c r="D77" s="158">
        <v>150030</v>
      </c>
      <c r="E77" s="158">
        <v>10010</v>
      </c>
      <c r="F77" s="158">
        <v>1039</v>
      </c>
      <c r="H77" s="158">
        <v>40.1</v>
      </c>
      <c r="I77" s="158">
        <v>0</v>
      </c>
      <c r="J77" s="158">
        <v>40.1</v>
      </c>
      <c r="K77" s="158" t="s">
        <v>238</v>
      </c>
    </row>
    <row r="78" spans="4:11">
      <c r="D78" s="158">
        <v>150032</v>
      </c>
      <c r="E78" s="158">
        <v>10010</v>
      </c>
      <c r="F78" s="158">
        <v>1667</v>
      </c>
      <c r="H78" s="158">
        <v>12.65</v>
      </c>
      <c r="I78" s="158">
        <v>0</v>
      </c>
      <c r="J78" s="158">
        <v>12.65</v>
      </c>
      <c r="K78" s="158" t="s">
        <v>238</v>
      </c>
    </row>
    <row r="79" spans="4:11">
      <c r="D79" s="158">
        <v>150033</v>
      </c>
      <c r="E79" s="158">
        <v>10019</v>
      </c>
      <c r="F79" s="158">
        <v>1036</v>
      </c>
      <c r="G79" s="158">
        <v>151.19999999999999</v>
      </c>
      <c r="H79" s="158">
        <v>96.25</v>
      </c>
      <c r="I79" s="158">
        <v>54.95</v>
      </c>
      <c r="J79" s="158">
        <v>151.19999999999999</v>
      </c>
      <c r="K79" s="158" t="s">
        <v>238</v>
      </c>
    </row>
    <row r="80" spans="4:11">
      <c r="D80" s="158">
        <v>150034</v>
      </c>
      <c r="E80" s="158">
        <v>10019</v>
      </c>
      <c r="F80" s="158">
        <v>1735</v>
      </c>
      <c r="G80" s="158">
        <v>151.19999999999999</v>
      </c>
      <c r="H80" s="158">
        <v>112.2</v>
      </c>
      <c r="I80" s="158">
        <v>39</v>
      </c>
      <c r="J80" s="158">
        <v>151.19999999999999</v>
      </c>
      <c r="K80" s="158" t="s">
        <v>238</v>
      </c>
    </row>
    <row r="81" spans="4:11">
      <c r="D81" s="158">
        <v>150035</v>
      </c>
      <c r="E81" s="158">
        <v>10019</v>
      </c>
      <c r="F81" s="158">
        <v>2071</v>
      </c>
      <c r="G81" s="158">
        <v>75.599999999999994</v>
      </c>
      <c r="H81" s="158">
        <v>90</v>
      </c>
      <c r="I81" s="158">
        <v>0</v>
      </c>
      <c r="J81" s="158">
        <v>90</v>
      </c>
      <c r="K81" s="158" t="s">
        <v>238</v>
      </c>
    </row>
    <row r="82" spans="4:11">
      <c r="D82" s="158">
        <v>150039</v>
      </c>
      <c r="E82" s="158">
        <v>10019</v>
      </c>
      <c r="F82" s="158">
        <v>2071</v>
      </c>
      <c r="G82" s="158">
        <v>109</v>
      </c>
      <c r="H82" s="158">
        <v>88.5</v>
      </c>
      <c r="I82" s="158">
        <v>0</v>
      </c>
      <c r="J82" s="158">
        <v>88.5</v>
      </c>
      <c r="K82" s="158" t="s">
        <v>238</v>
      </c>
    </row>
    <row r="83" spans="4:11">
      <c r="D83" s="158">
        <v>150041</v>
      </c>
      <c r="E83" s="158">
        <v>10012</v>
      </c>
      <c r="F83" s="158">
        <v>290</v>
      </c>
      <c r="H83" s="158">
        <v>0</v>
      </c>
      <c r="I83" s="158">
        <v>0</v>
      </c>
      <c r="J83" s="158">
        <v>0</v>
      </c>
      <c r="K83" s="158" t="s">
        <v>238</v>
      </c>
    </row>
    <row r="84" spans="4:11">
      <c r="D84" s="158">
        <v>150042</v>
      </c>
      <c r="E84" s="158">
        <v>10012</v>
      </c>
      <c r="F84" s="158">
        <v>180</v>
      </c>
      <c r="H84" s="158">
        <v>7.07</v>
      </c>
      <c r="I84" s="158">
        <v>0</v>
      </c>
      <c r="J84" s="158">
        <v>7.07</v>
      </c>
      <c r="K84" s="158" t="s">
        <v>238</v>
      </c>
    </row>
    <row r="85" spans="4:11">
      <c r="D85" s="158">
        <v>150043</v>
      </c>
      <c r="E85" s="158">
        <v>10012</v>
      </c>
      <c r="F85" s="158">
        <v>229</v>
      </c>
      <c r="H85" s="158">
        <v>1.5</v>
      </c>
      <c r="I85" s="158">
        <v>0</v>
      </c>
      <c r="J85" s="158">
        <v>1.5</v>
      </c>
      <c r="K85" s="158" t="s">
        <v>238</v>
      </c>
    </row>
    <row r="86" spans="4:11">
      <c r="D86" s="158">
        <v>150044</v>
      </c>
      <c r="E86" s="158">
        <v>10012</v>
      </c>
      <c r="F86" s="158">
        <v>431</v>
      </c>
      <c r="H86" s="158">
        <v>5.6</v>
      </c>
      <c r="I86" s="158">
        <v>0</v>
      </c>
      <c r="J86" s="158">
        <v>5.6</v>
      </c>
      <c r="K86" s="158" t="s">
        <v>238</v>
      </c>
    </row>
    <row r="87" spans="4:11">
      <c r="D87" s="158">
        <v>150045</v>
      </c>
      <c r="E87" s="158">
        <v>10012</v>
      </c>
      <c r="F87" s="158">
        <v>291</v>
      </c>
      <c r="H87" s="158">
        <v>34.840000000000003</v>
      </c>
      <c r="I87" s="158">
        <v>0</v>
      </c>
      <c r="J87" s="158">
        <v>34.840000000000003</v>
      </c>
      <c r="K87" s="158" t="s">
        <v>238</v>
      </c>
    </row>
    <row r="88" spans="4:11">
      <c r="D88" s="158">
        <v>150046</v>
      </c>
      <c r="E88" s="158">
        <v>10012</v>
      </c>
      <c r="F88" s="158">
        <v>983</v>
      </c>
      <c r="H88" s="158">
        <v>16.399999999999999</v>
      </c>
      <c r="I88" s="158">
        <v>0</v>
      </c>
      <c r="J88" s="158">
        <v>16.399999999999999</v>
      </c>
      <c r="K88" s="158" t="s">
        <v>238</v>
      </c>
    </row>
    <row r="89" spans="4:11">
      <c r="D89" s="158">
        <v>150047</v>
      </c>
      <c r="E89" s="158">
        <v>10012</v>
      </c>
      <c r="F89" s="158">
        <v>235</v>
      </c>
      <c r="H89" s="158">
        <v>23.6</v>
      </c>
      <c r="I89" s="158">
        <v>0</v>
      </c>
      <c r="J89" s="158">
        <v>23.6</v>
      </c>
      <c r="K89" s="158" t="s">
        <v>238</v>
      </c>
    </row>
    <row r="90" spans="4:11">
      <c r="D90" s="158">
        <v>150048</v>
      </c>
      <c r="E90" s="158">
        <v>10012</v>
      </c>
      <c r="F90" s="158">
        <v>416</v>
      </c>
      <c r="H90" s="158">
        <v>14.5</v>
      </c>
      <c r="I90" s="158">
        <v>0</v>
      </c>
      <c r="J90" s="158">
        <v>14.5</v>
      </c>
      <c r="K90" s="158" t="s">
        <v>238</v>
      </c>
    </row>
    <row r="91" spans="4:11">
      <c r="D91" s="158">
        <v>150049</v>
      </c>
      <c r="E91" s="158">
        <v>10012</v>
      </c>
      <c r="F91" s="158">
        <v>393</v>
      </c>
      <c r="H91" s="158">
        <v>32.450000000000003</v>
      </c>
      <c r="I91" s="158">
        <v>0</v>
      </c>
      <c r="J91" s="158">
        <v>32.450000000000003</v>
      </c>
      <c r="K91" s="158" t="s">
        <v>238</v>
      </c>
    </row>
    <row r="92" spans="4:11">
      <c r="D92" s="158">
        <v>150050</v>
      </c>
      <c r="E92" s="158">
        <v>10012</v>
      </c>
      <c r="F92" s="158">
        <v>431</v>
      </c>
      <c r="H92" s="158">
        <v>0</v>
      </c>
      <c r="I92" s="158">
        <v>0</v>
      </c>
      <c r="J92" s="158">
        <v>0</v>
      </c>
      <c r="K92" s="158" t="s">
        <v>238</v>
      </c>
    </row>
    <row r="93" spans="4:11">
      <c r="D93" s="158">
        <v>150051</v>
      </c>
      <c r="E93" s="158">
        <v>10012</v>
      </c>
      <c r="F93" s="158">
        <v>965</v>
      </c>
      <c r="H93" s="158">
        <v>12</v>
      </c>
      <c r="I93" s="158">
        <v>0</v>
      </c>
      <c r="J93" s="158">
        <v>12</v>
      </c>
      <c r="K93" s="158" t="s">
        <v>238</v>
      </c>
    </row>
    <row r="94" spans="4:11">
      <c r="D94" s="158">
        <v>150052</v>
      </c>
      <c r="E94" s="158">
        <v>10012</v>
      </c>
      <c r="F94" s="158">
        <v>588</v>
      </c>
      <c r="H94" s="158">
        <v>23.9</v>
      </c>
      <c r="I94" s="158">
        <v>0</v>
      </c>
      <c r="J94" s="158">
        <v>23.9</v>
      </c>
      <c r="K94" s="158" t="s">
        <v>238</v>
      </c>
    </row>
    <row r="95" spans="4:11">
      <c r="D95" s="158">
        <v>150053</v>
      </c>
      <c r="E95" s="158">
        <v>10012</v>
      </c>
      <c r="F95" s="158">
        <v>1039</v>
      </c>
      <c r="H95" s="158">
        <v>11.3</v>
      </c>
      <c r="I95" s="158">
        <v>0</v>
      </c>
      <c r="J95" s="158">
        <v>11.3</v>
      </c>
      <c r="K95" s="158" t="s">
        <v>238</v>
      </c>
    </row>
    <row r="96" spans="4:11">
      <c r="D96" s="158">
        <v>150054</v>
      </c>
      <c r="E96" s="158">
        <v>10012</v>
      </c>
      <c r="F96" s="158">
        <v>1036</v>
      </c>
      <c r="H96" s="158">
        <v>3</v>
      </c>
      <c r="I96" s="158">
        <v>0</v>
      </c>
      <c r="J96" s="158">
        <v>3</v>
      </c>
      <c r="K96" s="158" t="s">
        <v>238</v>
      </c>
    </row>
    <row r="97" spans="4:11">
      <c r="D97" s="158">
        <v>150055</v>
      </c>
      <c r="E97" s="158">
        <v>10012</v>
      </c>
      <c r="F97" s="158">
        <v>402</v>
      </c>
      <c r="H97" s="158">
        <v>8.9</v>
      </c>
      <c r="I97" s="158">
        <v>0</v>
      </c>
      <c r="J97" s="158">
        <v>8.9</v>
      </c>
      <c r="K97" s="158" t="s">
        <v>238</v>
      </c>
    </row>
    <row r="98" spans="4:11">
      <c r="D98" s="158">
        <v>150056</v>
      </c>
      <c r="E98" s="158">
        <v>10012</v>
      </c>
      <c r="F98" s="158">
        <v>1164</v>
      </c>
      <c r="H98" s="158">
        <v>24.68</v>
      </c>
      <c r="I98" s="158">
        <v>0</v>
      </c>
      <c r="J98" s="158">
        <v>24.68</v>
      </c>
      <c r="K98" s="158" t="s">
        <v>238</v>
      </c>
    </row>
    <row r="99" spans="4:11">
      <c r="D99" s="158">
        <v>150057</v>
      </c>
      <c r="E99" s="158">
        <v>10012</v>
      </c>
      <c r="F99" s="158">
        <v>1506</v>
      </c>
      <c r="H99" s="158">
        <v>47.68</v>
      </c>
      <c r="I99" s="158">
        <v>0</v>
      </c>
      <c r="J99" s="158">
        <v>47.68</v>
      </c>
      <c r="K99" s="158" t="s">
        <v>238</v>
      </c>
    </row>
    <row r="100" spans="4:11">
      <c r="D100" s="158">
        <v>150058</v>
      </c>
      <c r="E100" s="158">
        <v>10012</v>
      </c>
      <c r="F100" s="158">
        <v>257</v>
      </c>
      <c r="H100" s="158">
        <v>30.9</v>
      </c>
      <c r="I100" s="158">
        <v>0</v>
      </c>
      <c r="J100" s="158">
        <v>30.9</v>
      </c>
      <c r="K100" s="158" t="s">
        <v>238</v>
      </c>
    </row>
    <row r="101" spans="4:11">
      <c r="D101" s="158">
        <v>150059</v>
      </c>
      <c r="E101" s="158">
        <v>10012</v>
      </c>
      <c r="F101" s="158">
        <v>1667</v>
      </c>
      <c r="H101" s="158">
        <v>0</v>
      </c>
      <c r="I101" s="158">
        <v>0</v>
      </c>
      <c r="J101" s="158">
        <v>0</v>
      </c>
      <c r="K101" s="158" t="s">
        <v>238</v>
      </c>
    </row>
    <row r="102" spans="4:11">
      <c r="D102" s="158">
        <v>150060</v>
      </c>
      <c r="E102" s="158">
        <v>10012</v>
      </c>
      <c r="F102" s="158">
        <v>1735</v>
      </c>
      <c r="H102" s="158">
        <v>17.8</v>
      </c>
      <c r="I102" s="158">
        <v>0</v>
      </c>
      <c r="J102" s="158">
        <v>17.8</v>
      </c>
      <c r="K102" s="158" t="s">
        <v>238</v>
      </c>
    </row>
    <row r="103" spans="4:11">
      <c r="D103" s="158">
        <v>150061</v>
      </c>
      <c r="E103" s="158">
        <v>10012</v>
      </c>
      <c r="F103" s="158">
        <v>1969</v>
      </c>
      <c r="H103" s="158">
        <v>33.35</v>
      </c>
      <c r="I103" s="158">
        <v>0</v>
      </c>
      <c r="J103" s="158">
        <v>33.35</v>
      </c>
      <c r="K103" s="158" t="s">
        <v>238</v>
      </c>
    </row>
    <row r="104" spans="4:11">
      <c r="D104" s="158">
        <v>150062</v>
      </c>
      <c r="E104" s="158">
        <v>10012</v>
      </c>
      <c r="F104" s="158">
        <v>2001</v>
      </c>
      <c r="H104" s="158">
        <v>30.85</v>
      </c>
      <c r="I104" s="158">
        <v>0</v>
      </c>
      <c r="J104" s="158">
        <v>30.85</v>
      </c>
      <c r="K104" s="158" t="s">
        <v>238</v>
      </c>
    </row>
    <row r="105" spans="4:11">
      <c r="D105" s="158">
        <v>150063</v>
      </c>
      <c r="E105" s="158">
        <v>10012</v>
      </c>
      <c r="F105" s="158">
        <v>393</v>
      </c>
      <c r="H105" s="158">
        <v>3</v>
      </c>
      <c r="I105" s="158">
        <v>0</v>
      </c>
      <c r="J105" s="158">
        <v>3</v>
      </c>
      <c r="K105" s="158" t="s">
        <v>238</v>
      </c>
    </row>
    <row r="106" spans="4:11">
      <c r="D106" s="158">
        <v>150064</v>
      </c>
      <c r="E106" s="158">
        <v>10012</v>
      </c>
      <c r="F106" s="158">
        <v>2017</v>
      </c>
      <c r="H106" s="158">
        <v>26.6</v>
      </c>
      <c r="I106" s="158">
        <v>0</v>
      </c>
      <c r="J106" s="158">
        <v>26.6</v>
      </c>
      <c r="K106" s="158" t="s">
        <v>238</v>
      </c>
    </row>
    <row r="107" spans="4:11">
      <c r="D107" s="158">
        <v>150065</v>
      </c>
      <c r="E107" s="158">
        <v>10012</v>
      </c>
      <c r="F107" s="158">
        <v>2071</v>
      </c>
      <c r="H107" s="158">
        <v>0</v>
      </c>
      <c r="I107" s="158">
        <v>0</v>
      </c>
      <c r="J107" s="158">
        <v>0</v>
      </c>
      <c r="K107" s="158" t="s">
        <v>238</v>
      </c>
    </row>
    <row r="108" spans="4:11">
      <c r="D108" s="158">
        <v>150067</v>
      </c>
      <c r="E108" s="158">
        <v>10014</v>
      </c>
      <c r="F108" s="158">
        <v>290</v>
      </c>
      <c r="H108" s="158">
        <v>0</v>
      </c>
      <c r="I108" s="158">
        <v>0</v>
      </c>
      <c r="J108" s="158">
        <v>0</v>
      </c>
      <c r="K108" s="158" t="s">
        <v>238</v>
      </c>
    </row>
    <row r="109" spans="4:11">
      <c r="D109" s="158">
        <v>150068</v>
      </c>
      <c r="E109" s="158">
        <v>10014</v>
      </c>
      <c r="F109" s="158">
        <v>180</v>
      </c>
      <c r="H109" s="158">
        <v>2.4900000000000002</v>
      </c>
      <c r="I109" s="158">
        <v>0</v>
      </c>
      <c r="J109" s="158">
        <v>2.4900000000000002</v>
      </c>
      <c r="K109" s="158" t="s">
        <v>238</v>
      </c>
    </row>
    <row r="110" spans="4:11">
      <c r="D110" s="158">
        <v>150069</v>
      </c>
      <c r="E110" s="158">
        <v>10014</v>
      </c>
      <c r="F110" s="158">
        <v>229</v>
      </c>
      <c r="H110" s="158">
        <v>1.4</v>
      </c>
      <c r="I110" s="158">
        <v>0</v>
      </c>
      <c r="J110" s="158">
        <v>1.4</v>
      </c>
      <c r="K110" s="158" t="s">
        <v>238</v>
      </c>
    </row>
    <row r="111" spans="4:11">
      <c r="D111" s="158">
        <v>150070</v>
      </c>
      <c r="E111" s="158">
        <v>10014</v>
      </c>
      <c r="F111" s="158">
        <v>431</v>
      </c>
      <c r="H111" s="158">
        <v>4</v>
      </c>
      <c r="I111" s="158">
        <v>0</v>
      </c>
      <c r="J111" s="158">
        <v>4</v>
      </c>
      <c r="K111" s="158" t="s">
        <v>238</v>
      </c>
    </row>
    <row r="112" spans="4:11">
      <c r="D112" s="158">
        <v>150071</v>
      </c>
      <c r="E112" s="158">
        <v>10014</v>
      </c>
      <c r="F112" s="158">
        <v>291</v>
      </c>
      <c r="H112" s="158">
        <v>49.07</v>
      </c>
      <c r="I112" s="158">
        <v>0</v>
      </c>
      <c r="J112" s="158">
        <v>49.07</v>
      </c>
      <c r="K112" s="158" t="s">
        <v>238</v>
      </c>
    </row>
    <row r="113" spans="4:11">
      <c r="D113" s="158">
        <v>150072</v>
      </c>
      <c r="E113" s="158">
        <v>10014</v>
      </c>
      <c r="F113" s="158">
        <v>983</v>
      </c>
      <c r="H113" s="158">
        <v>22</v>
      </c>
      <c r="I113" s="158">
        <v>0</v>
      </c>
      <c r="J113" s="158">
        <v>22</v>
      </c>
      <c r="K113" s="158" t="s">
        <v>238</v>
      </c>
    </row>
    <row r="114" spans="4:11">
      <c r="D114" s="158">
        <v>150073</v>
      </c>
      <c r="E114" s="158">
        <v>10014</v>
      </c>
      <c r="F114" s="158">
        <v>235</v>
      </c>
      <c r="H114" s="158">
        <v>34.1</v>
      </c>
      <c r="I114" s="158">
        <v>0</v>
      </c>
      <c r="J114" s="158">
        <v>34.1</v>
      </c>
      <c r="K114" s="158" t="s">
        <v>238</v>
      </c>
    </row>
    <row r="115" spans="4:11">
      <c r="D115" s="158">
        <v>150074</v>
      </c>
      <c r="E115" s="158">
        <v>10014</v>
      </c>
      <c r="F115" s="158">
        <v>416</v>
      </c>
      <c r="H115" s="158">
        <v>15.25</v>
      </c>
      <c r="I115" s="158">
        <v>0</v>
      </c>
      <c r="J115" s="158">
        <v>15.25</v>
      </c>
      <c r="K115" s="158" t="s">
        <v>238</v>
      </c>
    </row>
    <row r="116" spans="4:11">
      <c r="D116" s="158">
        <v>150075</v>
      </c>
      <c r="E116" s="158">
        <v>10014</v>
      </c>
      <c r="F116" s="158">
        <v>393</v>
      </c>
      <c r="H116" s="158">
        <v>9.1999999999999993</v>
      </c>
      <c r="I116" s="158">
        <v>0</v>
      </c>
      <c r="J116" s="158">
        <v>9.1999999999999993</v>
      </c>
      <c r="K116" s="158" t="s">
        <v>238</v>
      </c>
    </row>
    <row r="117" spans="4:11">
      <c r="D117" s="158">
        <v>150076</v>
      </c>
      <c r="E117" s="158">
        <v>10014</v>
      </c>
      <c r="F117" s="158">
        <v>431</v>
      </c>
      <c r="H117" s="158">
        <v>0</v>
      </c>
      <c r="I117" s="158">
        <v>0</v>
      </c>
      <c r="J117" s="158">
        <v>0</v>
      </c>
      <c r="K117" s="158" t="s">
        <v>238</v>
      </c>
    </row>
    <row r="118" spans="4:11">
      <c r="D118" s="158">
        <v>150077</v>
      </c>
      <c r="E118" s="158">
        <v>10014</v>
      </c>
      <c r="F118" s="158">
        <v>965</v>
      </c>
      <c r="H118" s="158">
        <v>37.549999999999997</v>
      </c>
      <c r="I118" s="158">
        <v>0</v>
      </c>
      <c r="J118" s="158">
        <v>37.549999999999997</v>
      </c>
      <c r="K118" s="158" t="s">
        <v>238</v>
      </c>
    </row>
    <row r="119" spans="4:11">
      <c r="D119" s="158">
        <v>150078</v>
      </c>
      <c r="E119" s="158">
        <v>10014</v>
      </c>
      <c r="F119" s="158">
        <v>588</v>
      </c>
      <c r="H119" s="158">
        <v>37.65</v>
      </c>
      <c r="I119" s="158">
        <v>0</v>
      </c>
      <c r="J119" s="158">
        <v>37.65</v>
      </c>
      <c r="K119" s="158" t="s">
        <v>238</v>
      </c>
    </row>
    <row r="120" spans="4:11">
      <c r="D120" s="158">
        <v>150079</v>
      </c>
      <c r="E120" s="158">
        <v>10014</v>
      </c>
      <c r="F120" s="158">
        <v>1039</v>
      </c>
      <c r="H120" s="158">
        <v>18</v>
      </c>
      <c r="I120" s="158">
        <v>0</v>
      </c>
      <c r="J120" s="158">
        <v>18</v>
      </c>
      <c r="K120" s="158" t="s">
        <v>238</v>
      </c>
    </row>
    <row r="121" spans="4:11">
      <c r="D121" s="158">
        <v>150080</v>
      </c>
      <c r="E121" s="158">
        <v>10014</v>
      </c>
      <c r="F121" s="158">
        <v>1036</v>
      </c>
      <c r="H121" s="158">
        <v>2.4</v>
      </c>
      <c r="I121" s="158">
        <v>0</v>
      </c>
      <c r="J121" s="158">
        <v>2.4</v>
      </c>
      <c r="K121" s="158" t="s">
        <v>238</v>
      </c>
    </row>
    <row r="122" spans="4:11">
      <c r="D122" s="158">
        <v>150081</v>
      </c>
      <c r="E122" s="158">
        <v>10014</v>
      </c>
      <c r="F122" s="158">
        <v>402</v>
      </c>
      <c r="H122" s="158">
        <v>14.4</v>
      </c>
      <c r="I122" s="158">
        <v>0</v>
      </c>
      <c r="J122" s="158">
        <v>14.4</v>
      </c>
      <c r="K122" s="158" t="s">
        <v>238</v>
      </c>
    </row>
    <row r="123" spans="4:11">
      <c r="D123" s="158">
        <v>150082</v>
      </c>
      <c r="E123" s="158">
        <v>10014</v>
      </c>
      <c r="F123" s="158">
        <v>1164</v>
      </c>
      <c r="H123" s="158">
        <v>40.229999999999997</v>
      </c>
      <c r="I123" s="158">
        <v>0</v>
      </c>
      <c r="J123" s="158">
        <v>40.229999999999997</v>
      </c>
      <c r="K123" s="158" t="s">
        <v>238</v>
      </c>
    </row>
    <row r="124" spans="4:11">
      <c r="D124" s="158">
        <v>150083</v>
      </c>
      <c r="E124" s="158">
        <v>10014</v>
      </c>
      <c r="F124" s="158">
        <v>1506</v>
      </c>
      <c r="H124" s="158">
        <v>41.79</v>
      </c>
      <c r="I124" s="158">
        <v>0</v>
      </c>
      <c r="J124" s="158">
        <v>41.79</v>
      </c>
      <c r="K124" s="158" t="s">
        <v>238</v>
      </c>
    </row>
    <row r="125" spans="4:11">
      <c r="D125" s="158">
        <v>150084</v>
      </c>
      <c r="E125" s="158">
        <v>10014</v>
      </c>
      <c r="F125" s="158">
        <v>257</v>
      </c>
      <c r="H125" s="158">
        <v>53.1</v>
      </c>
      <c r="I125" s="158">
        <v>0</v>
      </c>
      <c r="J125" s="158">
        <v>53.1</v>
      </c>
      <c r="K125" s="158" t="s">
        <v>238</v>
      </c>
    </row>
    <row r="126" spans="4:11">
      <c r="D126" s="158">
        <v>150085</v>
      </c>
      <c r="E126" s="158">
        <v>10014</v>
      </c>
      <c r="F126" s="158">
        <v>1667</v>
      </c>
      <c r="H126" s="158">
        <v>0.75</v>
      </c>
      <c r="I126" s="158">
        <v>0</v>
      </c>
      <c r="J126" s="158">
        <v>0.75</v>
      </c>
      <c r="K126" s="158" t="s">
        <v>238</v>
      </c>
    </row>
    <row r="127" spans="4:11">
      <c r="D127" s="158">
        <v>150086</v>
      </c>
      <c r="E127" s="158">
        <v>10014</v>
      </c>
      <c r="F127" s="158">
        <v>1735</v>
      </c>
      <c r="H127" s="158">
        <v>16.899999999999999</v>
      </c>
      <c r="I127" s="158">
        <v>0</v>
      </c>
      <c r="J127" s="158">
        <v>16.899999999999999</v>
      </c>
      <c r="K127" s="158" t="s">
        <v>238</v>
      </c>
    </row>
    <row r="128" spans="4:11">
      <c r="D128" s="158">
        <v>150087</v>
      </c>
      <c r="E128" s="158">
        <v>10014</v>
      </c>
      <c r="F128" s="158">
        <v>1969</v>
      </c>
      <c r="H128" s="158">
        <v>45.5</v>
      </c>
      <c r="I128" s="158">
        <v>0</v>
      </c>
      <c r="J128" s="158">
        <v>45.5</v>
      </c>
      <c r="K128" s="158" t="s">
        <v>238</v>
      </c>
    </row>
    <row r="129" spans="4:11">
      <c r="D129" s="158">
        <v>150088</v>
      </c>
      <c r="E129" s="158">
        <v>10014</v>
      </c>
      <c r="F129" s="158">
        <v>2001</v>
      </c>
      <c r="H129" s="158">
        <v>41.13</v>
      </c>
      <c r="I129" s="158">
        <v>0</v>
      </c>
      <c r="J129" s="158">
        <v>41.13</v>
      </c>
      <c r="K129" s="158" t="s">
        <v>238</v>
      </c>
    </row>
    <row r="130" spans="4:11">
      <c r="D130" s="158">
        <v>150089</v>
      </c>
      <c r="E130" s="158">
        <v>10014</v>
      </c>
      <c r="F130" s="158">
        <v>393</v>
      </c>
      <c r="H130" s="158">
        <v>26.2</v>
      </c>
      <c r="I130" s="158">
        <v>0</v>
      </c>
      <c r="J130" s="158">
        <v>26.2</v>
      </c>
      <c r="K130" s="158" t="s">
        <v>238</v>
      </c>
    </row>
    <row r="131" spans="4:11">
      <c r="D131" s="158">
        <v>150090</v>
      </c>
      <c r="E131" s="158">
        <v>10014</v>
      </c>
      <c r="F131" s="158">
        <v>2017</v>
      </c>
      <c r="H131" s="158">
        <v>62.1</v>
      </c>
      <c r="I131" s="158">
        <v>0</v>
      </c>
      <c r="J131" s="158">
        <v>62.1</v>
      </c>
      <c r="K131" s="158" t="s">
        <v>238</v>
      </c>
    </row>
    <row r="132" spans="4:11">
      <c r="D132" s="158">
        <v>150091</v>
      </c>
      <c r="E132" s="158">
        <v>10014</v>
      </c>
      <c r="F132" s="158">
        <v>2071</v>
      </c>
      <c r="H132" s="158">
        <v>0</v>
      </c>
      <c r="I132" s="158">
        <v>0</v>
      </c>
      <c r="J132" s="158">
        <v>0</v>
      </c>
      <c r="K132" s="158" t="s">
        <v>238</v>
      </c>
    </row>
    <row r="133" spans="4:11">
      <c r="D133" s="158">
        <v>150093</v>
      </c>
      <c r="E133" s="158">
        <v>10014</v>
      </c>
      <c r="F133" s="158">
        <v>290</v>
      </c>
      <c r="H133" s="158">
        <v>0</v>
      </c>
      <c r="I133" s="158">
        <v>0</v>
      </c>
      <c r="J133" s="158">
        <v>0</v>
      </c>
      <c r="K133" s="158" t="s">
        <v>238</v>
      </c>
    </row>
    <row r="134" spans="4:11">
      <c r="D134" s="158">
        <v>150094</v>
      </c>
      <c r="E134" s="158">
        <v>10014</v>
      </c>
      <c r="F134" s="158">
        <v>180</v>
      </c>
      <c r="H134" s="158">
        <v>5.74</v>
      </c>
      <c r="I134" s="158">
        <v>0</v>
      </c>
      <c r="J134" s="158">
        <v>5.74</v>
      </c>
      <c r="K134" s="158" t="s">
        <v>238</v>
      </c>
    </row>
    <row r="135" spans="4:11">
      <c r="D135" s="158">
        <v>150095</v>
      </c>
      <c r="E135" s="158">
        <v>10014</v>
      </c>
      <c r="F135" s="158">
        <v>229</v>
      </c>
      <c r="H135" s="158">
        <v>5.5</v>
      </c>
      <c r="I135" s="158">
        <v>0</v>
      </c>
      <c r="J135" s="158">
        <v>5.5</v>
      </c>
      <c r="K135" s="158" t="s">
        <v>238</v>
      </c>
    </row>
    <row r="136" spans="4:11">
      <c r="D136" s="158">
        <v>150096</v>
      </c>
      <c r="E136" s="158">
        <v>10014</v>
      </c>
      <c r="F136" s="158">
        <v>431</v>
      </c>
      <c r="H136" s="158">
        <v>0.4</v>
      </c>
      <c r="I136" s="158">
        <v>0</v>
      </c>
      <c r="J136" s="158">
        <v>0.4</v>
      </c>
      <c r="K136" s="158" t="s">
        <v>238</v>
      </c>
    </row>
    <row r="137" spans="4:11">
      <c r="D137" s="158">
        <v>150097</v>
      </c>
      <c r="E137" s="158">
        <v>10014</v>
      </c>
      <c r="F137" s="158">
        <v>291</v>
      </c>
      <c r="H137" s="158">
        <v>15.8</v>
      </c>
      <c r="I137" s="158">
        <v>0</v>
      </c>
      <c r="J137" s="158">
        <v>15.8</v>
      </c>
      <c r="K137" s="158" t="s">
        <v>238</v>
      </c>
    </row>
    <row r="138" spans="4:11">
      <c r="D138" s="158">
        <v>150098</v>
      </c>
      <c r="E138" s="158">
        <v>10014</v>
      </c>
      <c r="F138" s="158">
        <v>983</v>
      </c>
      <c r="H138" s="158">
        <v>3</v>
      </c>
      <c r="I138" s="158">
        <v>0</v>
      </c>
      <c r="J138" s="158">
        <v>3</v>
      </c>
      <c r="K138" s="158" t="s">
        <v>238</v>
      </c>
    </row>
    <row r="139" spans="4:11">
      <c r="D139" s="158">
        <v>150099</v>
      </c>
      <c r="E139" s="158">
        <v>10014</v>
      </c>
      <c r="F139" s="158">
        <v>235</v>
      </c>
      <c r="H139" s="158">
        <v>8.9</v>
      </c>
      <c r="I139" s="158">
        <v>0</v>
      </c>
      <c r="J139" s="158">
        <v>8.9</v>
      </c>
      <c r="K139" s="158" t="s">
        <v>238</v>
      </c>
    </row>
    <row r="140" spans="4:11">
      <c r="D140" s="158">
        <v>150100</v>
      </c>
      <c r="E140" s="158">
        <v>10014</v>
      </c>
      <c r="F140" s="158">
        <v>416</v>
      </c>
      <c r="H140" s="158">
        <v>7.5</v>
      </c>
      <c r="I140" s="158">
        <v>0</v>
      </c>
      <c r="J140" s="158">
        <v>7.5</v>
      </c>
      <c r="K140" s="158" t="s">
        <v>238</v>
      </c>
    </row>
    <row r="141" spans="4:11">
      <c r="D141" s="158">
        <v>150101</v>
      </c>
      <c r="E141" s="158">
        <v>10014</v>
      </c>
      <c r="F141" s="158">
        <v>393</v>
      </c>
      <c r="H141" s="158">
        <v>4.09</v>
      </c>
      <c r="I141" s="158">
        <v>0</v>
      </c>
      <c r="J141" s="158">
        <v>4.09</v>
      </c>
      <c r="K141" s="158" t="s">
        <v>238</v>
      </c>
    </row>
    <row r="142" spans="4:11">
      <c r="D142" s="158">
        <v>150102</v>
      </c>
      <c r="E142" s="158">
        <v>10014</v>
      </c>
      <c r="F142" s="158">
        <v>431</v>
      </c>
      <c r="H142" s="158">
        <v>0</v>
      </c>
      <c r="I142" s="158">
        <v>0</v>
      </c>
      <c r="J142" s="158">
        <v>0</v>
      </c>
      <c r="K142" s="158" t="s">
        <v>238</v>
      </c>
    </row>
    <row r="143" spans="4:11">
      <c r="D143" s="158">
        <v>150103</v>
      </c>
      <c r="E143" s="158">
        <v>10014</v>
      </c>
      <c r="F143" s="158">
        <v>965</v>
      </c>
      <c r="H143" s="158">
        <v>0.7</v>
      </c>
      <c r="I143" s="158">
        <v>0</v>
      </c>
      <c r="J143" s="158">
        <v>0.7</v>
      </c>
      <c r="K143" s="158" t="s">
        <v>238</v>
      </c>
    </row>
    <row r="144" spans="4:11">
      <c r="D144" s="158">
        <v>150104</v>
      </c>
      <c r="E144" s="158">
        <v>10014</v>
      </c>
      <c r="F144" s="158">
        <v>588</v>
      </c>
      <c r="H144" s="158">
        <v>0.75</v>
      </c>
      <c r="I144" s="158">
        <v>0</v>
      </c>
      <c r="J144" s="158">
        <v>0.75</v>
      </c>
      <c r="K144" s="158" t="s">
        <v>238</v>
      </c>
    </row>
    <row r="145" spans="4:11">
      <c r="D145" s="158">
        <v>150105</v>
      </c>
      <c r="E145" s="158">
        <v>10014</v>
      </c>
      <c r="F145" s="158">
        <v>1039</v>
      </c>
      <c r="H145" s="158">
        <v>6.5</v>
      </c>
      <c r="I145" s="158">
        <v>0</v>
      </c>
      <c r="J145" s="158">
        <v>6.5</v>
      </c>
      <c r="K145" s="158" t="s">
        <v>238</v>
      </c>
    </row>
    <row r="146" spans="4:11">
      <c r="D146" s="158">
        <v>150106</v>
      </c>
      <c r="E146" s="158">
        <v>10014</v>
      </c>
      <c r="F146" s="158">
        <v>1036</v>
      </c>
      <c r="H146" s="158">
        <v>0.2</v>
      </c>
      <c r="I146" s="158">
        <v>0</v>
      </c>
      <c r="J146" s="158">
        <v>0.2</v>
      </c>
      <c r="K146" s="158" t="s">
        <v>238</v>
      </c>
    </row>
    <row r="147" spans="4:11">
      <c r="D147" s="158">
        <v>150107</v>
      </c>
      <c r="E147" s="158">
        <v>10014</v>
      </c>
      <c r="F147" s="158">
        <v>402</v>
      </c>
      <c r="H147" s="158">
        <v>7.1</v>
      </c>
      <c r="I147" s="158">
        <v>0</v>
      </c>
      <c r="J147" s="158">
        <v>7.1</v>
      </c>
      <c r="K147" s="158" t="s">
        <v>238</v>
      </c>
    </row>
    <row r="148" spans="4:11">
      <c r="D148" s="158">
        <v>150108</v>
      </c>
      <c r="E148" s="158">
        <v>10014</v>
      </c>
      <c r="F148" s="158">
        <v>1164</v>
      </c>
      <c r="H148" s="158">
        <v>5.63</v>
      </c>
      <c r="I148" s="158">
        <v>0</v>
      </c>
      <c r="J148" s="158">
        <v>5.63</v>
      </c>
      <c r="K148" s="158" t="s">
        <v>238</v>
      </c>
    </row>
    <row r="149" spans="4:11">
      <c r="D149" s="158">
        <v>150109</v>
      </c>
      <c r="E149" s="158">
        <v>10014</v>
      </c>
      <c r="F149" s="158">
        <v>1506</v>
      </c>
      <c r="H149" s="158">
        <v>1.99</v>
      </c>
      <c r="I149" s="158">
        <v>0</v>
      </c>
      <c r="J149" s="158">
        <v>1.99</v>
      </c>
      <c r="K149" s="158" t="s">
        <v>238</v>
      </c>
    </row>
    <row r="150" spans="4:11">
      <c r="D150" s="158">
        <v>150110</v>
      </c>
      <c r="E150" s="158">
        <v>10014</v>
      </c>
      <c r="F150" s="158">
        <v>257</v>
      </c>
      <c r="H150" s="158">
        <v>4.5</v>
      </c>
      <c r="I150" s="158">
        <v>0</v>
      </c>
      <c r="J150" s="158">
        <v>4.5</v>
      </c>
      <c r="K150" s="158" t="s">
        <v>238</v>
      </c>
    </row>
    <row r="151" spans="4:11">
      <c r="D151" s="158">
        <v>150111</v>
      </c>
      <c r="E151" s="158">
        <v>10014</v>
      </c>
      <c r="F151" s="158">
        <v>1667</v>
      </c>
      <c r="H151" s="158">
        <v>5.52</v>
      </c>
      <c r="I151" s="158">
        <v>0</v>
      </c>
      <c r="J151" s="158">
        <v>5.52</v>
      </c>
      <c r="K151" s="158" t="s">
        <v>238</v>
      </c>
    </row>
    <row r="152" spans="4:11">
      <c r="D152" s="158">
        <v>150112</v>
      </c>
      <c r="E152" s="158">
        <v>10014</v>
      </c>
      <c r="F152" s="158">
        <v>1735</v>
      </c>
      <c r="H152" s="158">
        <v>1.7</v>
      </c>
      <c r="I152" s="158">
        <v>0</v>
      </c>
      <c r="J152" s="158">
        <v>1.7</v>
      </c>
      <c r="K152" s="158" t="s">
        <v>238</v>
      </c>
    </row>
    <row r="153" spans="4:11">
      <c r="D153" s="158">
        <v>150113</v>
      </c>
      <c r="E153" s="158">
        <v>10014</v>
      </c>
      <c r="F153" s="158">
        <v>1969</v>
      </c>
      <c r="H153" s="158">
        <v>2.5</v>
      </c>
      <c r="I153" s="158">
        <v>0</v>
      </c>
      <c r="J153" s="158">
        <v>2.5</v>
      </c>
      <c r="K153" s="158" t="s">
        <v>238</v>
      </c>
    </row>
    <row r="154" spans="4:11">
      <c r="D154" s="158">
        <v>150114</v>
      </c>
      <c r="E154" s="158">
        <v>10014</v>
      </c>
      <c r="F154" s="158">
        <v>2001</v>
      </c>
      <c r="H154" s="158">
        <v>3.25</v>
      </c>
      <c r="I154" s="158">
        <v>0</v>
      </c>
      <c r="J154" s="158">
        <v>3.25</v>
      </c>
      <c r="K154" s="158" t="s">
        <v>238</v>
      </c>
    </row>
    <row r="155" spans="4:11">
      <c r="D155" s="158">
        <v>150115</v>
      </c>
      <c r="E155" s="158">
        <v>10014</v>
      </c>
      <c r="F155" s="158">
        <v>393</v>
      </c>
      <c r="H155" s="158">
        <v>0.65</v>
      </c>
      <c r="I155" s="158">
        <v>0</v>
      </c>
      <c r="J155" s="158">
        <v>0.65</v>
      </c>
      <c r="K155" s="158" t="s">
        <v>238</v>
      </c>
    </row>
    <row r="156" spans="4:11">
      <c r="D156" s="158">
        <v>150116</v>
      </c>
      <c r="E156" s="158">
        <v>10014</v>
      </c>
      <c r="F156" s="158">
        <v>2017</v>
      </c>
      <c r="H156" s="158">
        <v>7.35</v>
      </c>
      <c r="I156" s="158">
        <v>0</v>
      </c>
      <c r="J156" s="158">
        <v>7.35</v>
      </c>
      <c r="K156" s="158" t="s">
        <v>238</v>
      </c>
    </row>
    <row r="157" spans="4:11">
      <c r="D157" s="158">
        <v>150117</v>
      </c>
      <c r="E157" s="158">
        <v>10014</v>
      </c>
      <c r="F157" s="158">
        <v>2071</v>
      </c>
      <c r="H157" s="158">
        <v>0</v>
      </c>
      <c r="I157" s="158">
        <v>0</v>
      </c>
      <c r="J157" s="158">
        <v>0</v>
      </c>
      <c r="K157" s="158" t="s">
        <v>238</v>
      </c>
    </row>
    <row r="158" spans="4:11">
      <c r="D158" s="158">
        <v>150119</v>
      </c>
      <c r="E158" s="158">
        <v>10013</v>
      </c>
      <c r="F158" s="158">
        <v>290</v>
      </c>
      <c r="H158" s="158">
        <v>0</v>
      </c>
      <c r="I158" s="158">
        <v>0</v>
      </c>
      <c r="J158" s="158">
        <v>0</v>
      </c>
      <c r="K158" s="158" t="s">
        <v>238</v>
      </c>
    </row>
    <row r="159" spans="4:11">
      <c r="D159" s="158">
        <v>150120</v>
      </c>
      <c r="E159" s="158">
        <v>10013</v>
      </c>
      <c r="F159" s="158">
        <v>180</v>
      </c>
      <c r="H159" s="158">
        <v>0.83</v>
      </c>
      <c r="I159" s="158">
        <v>0</v>
      </c>
      <c r="J159" s="158">
        <v>0.83</v>
      </c>
      <c r="K159" s="158" t="s">
        <v>238</v>
      </c>
    </row>
    <row r="160" spans="4:11">
      <c r="D160" s="158">
        <v>150121</v>
      </c>
      <c r="E160" s="158">
        <v>10013</v>
      </c>
      <c r="F160" s="158">
        <v>229</v>
      </c>
      <c r="H160" s="158">
        <v>0</v>
      </c>
      <c r="I160" s="158">
        <v>0</v>
      </c>
      <c r="J160" s="158">
        <v>0</v>
      </c>
      <c r="K160" s="158" t="s">
        <v>238</v>
      </c>
    </row>
    <row r="161" spans="4:11">
      <c r="D161" s="158">
        <v>150122</v>
      </c>
      <c r="E161" s="158">
        <v>10013</v>
      </c>
      <c r="F161" s="158">
        <v>431</v>
      </c>
      <c r="H161" s="158">
        <v>0</v>
      </c>
      <c r="I161" s="158">
        <v>0</v>
      </c>
      <c r="J161" s="158">
        <v>0</v>
      </c>
      <c r="K161" s="158" t="s">
        <v>238</v>
      </c>
    </row>
    <row r="162" spans="4:11">
      <c r="D162" s="158">
        <v>150123</v>
      </c>
      <c r="E162" s="158">
        <v>10013</v>
      </c>
      <c r="F162" s="158">
        <v>291</v>
      </c>
      <c r="H162" s="158">
        <v>12.3</v>
      </c>
      <c r="I162" s="158">
        <v>0</v>
      </c>
      <c r="J162" s="158">
        <v>12.3</v>
      </c>
      <c r="K162" s="158" t="s">
        <v>238</v>
      </c>
    </row>
    <row r="163" spans="4:11">
      <c r="D163" s="158">
        <v>150124</v>
      </c>
      <c r="E163" s="158">
        <v>10013</v>
      </c>
      <c r="F163" s="158">
        <v>983</v>
      </c>
      <c r="H163" s="158">
        <v>2.8</v>
      </c>
      <c r="I163" s="158">
        <v>0</v>
      </c>
      <c r="J163" s="158">
        <v>2.8</v>
      </c>
      <c r="K163" s="158" t="s">
        <v>238</v>
      </c>
    </row>
    <row r="164" spans="4:11">
      <c r="D164" s="158">
        <v>150125</v>
      </c>
      <c r="E164" s="158">
        <v>10013</v>
      </c>
      <c r="F164" s="158">
        <v>235</v>
      </c>
      <c r="H164" s="158">
        <v>2.2000000000000002</v>
      </c>
      <c r="I164" s="158">
        <v>0</v>
      </c>
      <c r="J164" s="158">
        <v>2.2000000000000002</v>
      </c>
      <c r="K164" s="158" t="s">
        <v>238</v>
      </c>
    </row>
    <row r="165" spans="4:11">
      <c r="D165" s="158">
        <v>150126</v>
      </c>
      <c r="E165" s="158">
        <v>10013</v>
      </c>
      <c r="F165" s="158">
        <v>416</v>
      </c>
      <c r="H165" s="158">
        <v>3.35</v>
      </c>
      <c r="I165" s="158">
        <v>0</v>
      </c>
      <c r="J165" s="158">
        <v>3.35</v>
      </c>
      <c r="K165" s="158" t="s">
        <v>238</v>
      </c>
    </row>
    <row r="166" spans="4:11">
      <c r="D166" s="158">
        <v>150127</v>
      </c>
      <c r="E166" s="158">
        <v>10013</v>
      </c>
      <c r="F166" s="158">
        <v>393</v>
      </c>
      <c r="H166" s="158">
        <v>4.75</v>
      </c>
      <c r="I166" s="158">
        <v>0</v>
      </c>
      <c r="J166" s="158">
        <v>4.75</v>
      </c>
      <c r="K166" s="158" t="s">
        <v>238</v>
      </c>
    </row>
    <row r="167" spans="4:11">
      <c r="D167" s="158">
        <v>150128</v>
      </c>
      <c r="E167" s="158">
        <v>10013</v>
      </c>
      <c r="F167" s="158">
        <v>431</v>
      </c>
      <c r="H167" s="158">
        <v>0</v>
      </c>
      <c r="I167" s="158">
        <v>0</v>
      </c>
      <c r="J167" s="158">
        <v>0</v>
      </c>
      <c r="K167" s="158" t="s">
        <v>238</v>
      </c>
    </row>
    <row r="168" spans="4:11">
      <c r="D168" s="158">
        <v>150129</v>
      </c>
      <c r="E168" s="158">
        <v>10013</v>
      </c>
      <c r="F168" s="158">
        <v>965</v>
      </c>
      <c r="H168" s="158">
        <v>7.35</v>
      </c>
      <c r="I168" s="158">
        <v>0</v>
      </c>
      <c r="J168" s="158">
        <v>7.35</v>
      </c>
      <c r="K168" s="158" t="s">
        <v>238</v>
      </c>
    </row>
    <row r="169" spans="4:11">
      <c r="D169" s="158">
        <v>150130</v>
      </c>
      <c r="E169" s="158">
        <v>10013</v>
      </c>
      <c r="F169" s="158">
        <v>588</v>
      </c>
      <c r="H169" s="158">
        <v>1.1499999999999999</v>
      </c>
      <c r="I169" s="158">
        <v>0</v>
      </c>
      <c r="J169" s="158">
        <v>1.1499999999999999</v>
      </c>
      <c r="K169" s="158" t="s">
        <v>238</v>
      </c>
    </row>
    <row r="170" spans="4:11">
      <c r="D170" s="158">
        <v>150131</v>
      </c>
      <c r="E170" s="158">
        <v>10013</v>
      </c>
      <c r="F170" s="158">
        <v>1039</v>
      </c>
      <c r="H170" s="158">
        <v>1.9</v>
      </c>
      <c r="I170" s="158">
        <v>0</v>
      </c>
      <c r="J170" s="158">
        <v>1.9</v>
      </c>
      <c r="K170" s="158" t="s">
        <v>238</v>
      </c>
    </row>
    <row r="171" spans="4:11">
      <c r="D171" s="158">
        <v>150132</v>
      </c>
      <c r="E171" s="158">
        <v>10013</v>
      </c>
      <c r="F171" s="158">
        <v>1036</v>
      </c>
      <c r="H171" s="158">
        <v>0</v>
      </c>
      <c r="I171" s="158">
        <v>0</v>
      </c>
      <c r="J171" s="158">
        <v>0</v>
      </c>
      <c r="K171" s="158" t="s">
        <v>238</v>
      </c>
    </row>
    <row r="172" spans="4:11">
      <c r="D172" s="158">
        <v>150133</v>
      </c>
      <c r="E172" s="158">
        <v>10013</v>
      </c>
      <c r="F172" s="158">
        <v>402</v>
      </c>
      <c r="H172" s="158">
        <v>1.9</v>
      </c>
      <c r="I172" s="158">
        <v>0</v>
      </c>
      <c r="J172" s="158">
        <v>1.9</v>
      </c>
      <c r="K172" s="158" t="s">
        <v>238</v>
      </c>
    </row>
    <row r="173" spans="4:11">
      <c r="D173" s="158">
        <v>150134</v>
      </c>
      <c r="E173" s="158">
        <v>10013</v>
      </c>
      <c r="F173" s="158">
        <v>1164</v>
      </c>
      <c r="H173" s="158">
        <v>3.95</v>
      </c>
      <c r="I173" s="158">
        <v>0</v>
      </c>
      <c r="J173" s="158">
        <v>3.95</v>
      </c>
      <c r="K173" s="158" t="s">
        <v>238</v>
      </c>
    </row>
    <row r="174" spans="4:11">
      <c r="D174" s="158">
        <v>150135</v>
      </c>
      <c r="E174" s="158">
        <v>10013</v>
      </c>
      <c r="F174" s="158">
        <v>1506</v>
      </c>
      <c r="H174" s="158">
        <v>7.67</v>
      </c>
      <c r="I174" s="158">
        <v>0</v>
      </c>
      <c r="J174" s="158">
        <v>7.67</v>
      </c>
      <c r="K174" s="158" t="s">
        <v>238</v>
      </c>
    </row>
    <row r="175" spans="4:11">
      <c r="D175" s="158">
        <v>150136</v>
      </c>
      <c r="E175" s="158">
        <v>10013</v>
      </c>
      <c r="F175" s="158">
        <v>257</v>
      </c>
      <c r="H175" s="158">
        <v>5.8</v>
      </c>
      <c r="I175" s="158">
        <v>0</v>
      </c>
      <c r="J175" s="158">
        <v>5.8</v>
      </c>
      <c r="K175" s="158" t="s">
        <v>238</v>
      </c>
    </row>
    <row r="176" spans="4:11">
      <c r="D176" s="158">
        <v>150137</v>
      </c>
      <c r="E176" s="158">
        <v>10013</v>
      </c>
      <c r="F176" s="158">
        <v>1667</v>
      </c>
      <c r="H176" s="158">
        <v>0.5</v>
      </c>
      <c r="I176" s="158">
        <v>0</v>
      </c>
      <c r="J176" s="158">
        <v>0.5</v>
      </c>
      <c r="K176" s="158" t="s">
        <v>238</v>
      </c>
    </row>
    <row r="177" spans="4:11">
      <c r="D177" s="158">
        <v>150138</v>
      </c>
      <c r="E177" s="158">
        <v>10013</v>
      </c>
      <c r="F177" s="158">
        <v>1735</v>
      </c>
      <c r="H177" s="158">
        <v>2.95</v>
      </c>
      <c r="I177" s="158">
        <v>0</v>
      </c>
      <c r="J177" s="158">
        <v>2.95</v>
      </c>
      <c r="K177" s="158" t="s">
        <v>238</v>
      </c>
    </row>
    <row r="178" spans="4:11">
      <c r="D178" s="158">
        <v>150139</v>
      </c>
      <c r="E178" s="158">
        <v>10013</v>
      </c>
      <c r="F178" s="158">
        <v>1969</v>
      </c>
      <c r="H178" s="158">
        <v>8.1999999999999993</v>
      </c>
      <c r="I178" s="158">
        <v>0</v>
      </c>
      <c r="J178" s="158">
        <v>8.1999999999999993</v>
      </c>
      <c r="K178" s="158" t="s">
        <v>238</v>
      </c>
    </row>
    <row r="179" spans="4:11">
      <c r="D179" s="158">
        <v>150140</v>
      </c>
      <c r="E179" s="158">
        <v>10013</v>
      </c>
      <c r="F179" s="158">
        <v>2001</v>
      </c>
      <c r="H179" s="158">
        <v>3.8</v>
      </c>
      <c r="I179" s="158">
        <v>0</v>
      </c>
      <c r="J179" s="158">
        <v>3.8</v>
      </c>
      <c r="K179" s="158" t="s">
        <v>238</v>
      </c>
    </row>
    <row r="180" spans="4:11">
      <c r="D180" s="158">
        <v>150141</v>
      </c>
      <c r="E180" s="158">
        <v>10013</v>
      </c>
      <c r="F180" s="158">
        <v>393</v>
      </c>
      <c r="H180" s="158">
        <v>0</v>
      </c>
      <c r="I180" s="158">
        <v>0</v>
      </c>
      <c r="J180" s="158">
        <v>0</v>
      </c>
      <c r="K180" s="158" t="s">
        <v>238</v>
      </c>
    </row>
    <row r="181" spans="4:11">
      <c r="D181" s="158">
        <v>150142</v>
      </c>
      <c r="E181" s="158">
        <v>10013</v>
      </c>
      <c r="F181" s="158">
        <v>2017</v>
      </c>
      <c r="H181" s="158">
        <v>3.7</v>
      </c>
      <c r="I181" s="158">
        <v>0</v>
      </c>
      <c r="J181" s="158">
        <v>3.7</v>
      </c>
      <c r="K181" s="158" t="s">
        <v>238</v>
      </c>
    </row>
    <row r="182" spans="4:11">
      <c r="D182" s="158">
        <v>150143</v>
      </c>
      <c r="E182" s="158">
        <v>10013</v>
      </c>
      <c r="F182" s="158">
        <v>2071</v>
      </c>
      <c r="H182" s="158">
        <v>0</v>
      </c>
      <c r="I182" s="158">
        <v>0</v>
      </c>
      <c r="J182" s="158">
        <v>0</v>
      </c>
      <c r="K182" s="158" t="s">
        <v>238</v>
      </c>
    </row>
    <row r="183" spans="4:11">
      <c r="D183" s="158">
        <v>150145</v>
      </c>
      <c r="E183" s="158">
        <v>10015</v>
      </c>
      <c r="F183" s="158">
        <v>290</v>
      </c>
      <c r="H183" s="158">
        <v>0</v>
      </c>
      <c r="I183" s="158">
        <v>0</v>
      </c>
      <c r="J183" s="158">
        <v>0</v>
      </c>
      <c r="K183" s="158" t="s">
        <v>238</v>
      </c>
    </row>
    <row r="184" spans="4:11">
      <c r="D184" s="158">
        <v>150146</v>
      </c>
      <c r="E184" s="158">
        <v>10015</v>
      </c>
      <c r="F184" s="158">
        <v>180</v>
      </c>
      <c r="H184" s="158">
        <v>5.81</v>
      </c>
      <c r="I184" s="158">
        <v>0</v>
      </c>
      <c r="J184" s="158">
        <v>5.81</v>
      </c>
      <c r="K184" s="158" t="s">
        <v>238</v>
      </c>
    </row>
    <row r="185" spans="4:11">
      <c r="D185" s="158">
        <v>150147</v>
      </c>
      <c r="E185" s="158">
        <v>10015</v>
      </c>
      <c r="F185" s="158">
        <v>229</v>
      </c>
      <c r="H185" s="158">
        <v>0.2</v>
      </c>
      <c r="I185" s="158">
        <v>0</v>
      </c>
      <c r="J185" s="158">
        <v>0.2</v>
      </c>
      <c r="K185" s="158" t="s">
        <v>238</v>
      </c>
    </row>
    <row r="186" spans="4:11">
      <c r="D186" s="158">
        <v>150148</v>
      </c>
      <c r="E186" s="158">
        <v>10015</v>
      </c>
      <c r="F186" s="158">
        <v>431</v>
      </c>
      <c r="H186" s="158">
        <v>4.8</v>
      </c>
      <c r="I186" s="158">
        <v>0</v>
      </c>
      <c r="J186" s="158">
        <v>4.8</v>
      </c>
      <c r="K186" s="158" t="s">
        <v>238</v>
      </c>
    </row>
    <row r="187" spans="4:11">
      <c r="D187" s="158">
        <v>150149</v>
      </c>
      <c r="E187" s="158">
        <v>10015</v>
      </c>
      <c r="F187" s="158">
        <v>291</v>
      </c>
      <c r="H187" s="158">
        <v>25.65</v>
      </c>
      <c r="I187" s="158">
        <v>0</v>
      </c>
      <c r="J187" s="158">
        <v>25.65</v>
      </c>
      <c r="K187" s="158" t="s">
        <v>238</v>
      </c>
    </row>
    <row r="188" spans="4:11">
      <c r="D188" s="158">
        <v>150150</v>
      </c>
      <c r="E188" s="158">
        <v>10015</v>
      </c>
      <c r="F188" s="158">
        <v>983</v>
      </c>
      <c r="H188" s="158">
        <v>10.199999999999999</v>
      </c>
      <c r="I188" s="158">
        <v>0</v>
      </c>
      <c r="J188" s="158">
        <v>10.199999999999999</v>
      </c>
      <c r="K188" s="158" t="s">
        <v>238</v>
      </c>
    </row>
    <row r="189" spans="4:11">
      <c r="D189" s="158">
        <v>150151</v>
      </c>
      <c r="E189" s="158">
        <v>10015</v>
      </c>
      <c r="F189" s="158">
        <v>235</v>
      </c>
      <c r="H189" s="158">
        <v>32.6</v>
      </c>
      <c r="I189" s="158">
        <v>0</v>
      </c>
      <c r="J189" s="158">
        <v>32.6</v>
      </c>
      <c r="K189" s="158" t="s">
        <v>238</v>
      </c>
    </row>
    <row r="190" spans="4:11">
      <c r="D190" s="158">
        <v>150152</v>
      </c>
      <c r="E190" s="158">
        <v>10015</v>
      </c>
      <c r="F190" s="158">
        <v>416</v>
      </c>
      <c r="H190" s="158">
        <v>8</v>
      </c>
      <c r="I190" s="158">
        <v>0</v>
      </c>
      <c r="J190" s="158">
        <v>8</v>
      </c>
      <c r="K190" s="158" t="s">
        <v>238</v>
      </c>
    </row>
    <row r="191" spans="4:11">
      <c r="D191" s="158">
        <v>150153</v>
      </c>
      <c r="E191" s="158">
        <v>10015</v>
      </c>
      <c r="F191" s="158">
        <v>393</v>
      </c>
      <c r="H191" s="158">
        <v>15.2</v>
      </c>
      <c r="I191" s="158">
        <v>0</v>
      </c>
      <c r="J191" s="158">
        <v>15.2</v>
      </c>
      <c r="K191" s="158" t="s">
        <v>238</v>
      </c>
    </row>
    <row r="192" spans="4:11">
      <c r="D192" s="158">
        <v>150154</v>
      </c>
      <c r="E192" s="158">
        <v>10015</v>
      </c>
      <c r="F192" s="158">
        <v>431</v>
      </c>
      <c r="H192" s="158">
        <v>0</v>
      </c>
      <c r="I192" s="158">
        <v>0</v>
      </c>
      <c r="J192" s="158">
        <v>0</v>
      </c>
      <c r="K192" s="158" t="s">
        <v>238</v>
      </c>
    </row>
    <row r="193" spans="4:11">
      <c r="D193" s="158">
        <v>150155</v>
      </c>
      <c r="E193" s="158">
        <v>10015</v>
      </c>
      <c r="F193" s="158">
        <v>965</v>
      </c>
      <c r="H193" s="158">
        <v>16.8</v>
      </c>
      <c r="I193" s="158">
        <v>0</v>
      </c>
      <c r="J193" s="158">
        <v>16.8</v>
      </c>
      <c r="K193" s="158" t="s">
        <v>238</v>
      </c>
    </row>
    <row r="194" spans="4:11">
      <c r="D194" s="158">
        <v>150156</v>
      </c>
      <c r="E194" s="158">
        <v>10015</v>
      </c>
      <c r="F194" s="158">
        <v>588</v>
      </c>
      <c r="H194" s="158">
        <v>19.350000000000001</v>
      </c>
      <c r="I194" s="158">
        <v>0</v>
      </c>
      <c r="J194" s="158">
        <v>19.350000000000001</v>
      </c>
      <c r="K194" s="158" t="s">
        <v>238</v>
      </c>
    </row>
    <row r="195" spans="4:11">
      <c r="D195" s="158">
        <v>150157</v>
      </c>
      <c r="E195" s="158">
        <v>10015</v>
      </c>
      <c r="F195" s="158">
        <v>1039</v>
      </c>
      <c r="H195" s="158">
        <v>5.6</v>
      </c>
      <c r="I195" s="158">
        <v>0</v>
      </c>
      <c r="J195" s="158">
        <v>5.6</v>
      </c>
      <c r="K195" s="158" t="s">
        <v>238</v>
      </c>
    </row>
    <row r="196" spans="4:11">
      <c r="D196" s="158">
        <v>150158</v>
      </c>
      <c r="E196" s="158">
        <v>10015</v>
      </c>
      <c r="F196" s="158">
        <v>1036</v>
      </c>
      <c r="H196" s="158">
        <v>0</v>
      </c>
      <c r="I196" s="158">
        <v>0</v>
      </c>
      <c r="J196" s="158">
        <v>0</v>
      </c>
      <c r="K196" s="158" t="s">
        <v>238</v>
      </c>
    </row>
    <row r="197" spans="4:11">
      <c r="D197" s="158">
        <v>150159</v>
      </c>
      <c r="E197" s="158">
        <v>10015</v>
      </c>
      <c r="F197" s="158">
        <v>402</v>
      </c>
      <c r="H197" s="158">
        <v>14.2</v>
      </c>
      <c r="I197" s="158">
        <v>0</v>
      </c>
      <c r="J197" s="158">
        <v>14.2</v>
      </c>
      <c r="K197" s="158" t="s">
        <v>238</v>
      </c>
    </row>
    <row r="198" spans="4:11">
      <c r="D198" s="158">
        <v>150160</v>
      </c>
      <c r="E198" s="158">
        <v>10015</v>
      </c>
      <c r="F198" s="158">
        <v>1164</v>
      </c>
      <c r="H198" s="158">
        <v>13.23</v>
      </c>
      <c r="I198" s="158">
        <v>0</v>
      </c>
      <c r="J198" s="158">
        <v>13.23</v>
      </c>
      <c r="K198" s="158" t="s">
        <v>238</v>
      </c>
    </row>
    <row r="199" spans="4:11">
      <c r="D199" s="158">
        <v>150161</v>
      </c>
      <c r="E199" s="158">
        <v>10015</v>
      </c>
      <c r="F199" s="158">
        <v>1506</v>
      </c>
      <c r="H199" s="158">
        <v>34.96</v>
      </c>
      <c r="I199" s="158">
        <v>0</v>
      </c>
      <c r="J199" s="158">
        <v>34.96</v>
      </c>
      <c r="K199" s="158" t="s">
        <v>238</v>
      </c>
    </row>
    <row r="200" spans="4:11">
      <c r="D200" s="158">
        <v>150162</v>
      </c>
      <c r="E200" s="158">
        <v>10015</v>
      </c>
      <c r="F200" s="158">
        <v>257</v>
      </c>
      <c r="H200" s="158">
        <v>39.5</v>
      </c>
      <c r="I200" s="158">
        <v>0</v>
      </c>
      <c r="J200" s="158">
        <v>39.5</v>
      </c>
      <c r="K200" s="158" t="s">
        <v>238</v>
      </c>
    </row>
    <row r="201" spans="4:11">
      <c r="D201" s="158">
        <v>150163</v>
      </c>
      <c r="E201" s="158">
        <v>10015</v>
      </c>
      <c r="F201" s="158">
        <v>1667</v>
      </c>
      <c r="H201" s="158">
        <v>0</v>
      </c>
      <c r="I201" s="158">
        <v>0</v>
      </c>
      <c r="J201" s="158">
        <v>0</v>
      </c>
      <c r="K201" s="158" t="s">
        <v>238</v>
      </c>
    </row>
    <row r="202" spans="4:11">
      <c r="D202" s="158">
        <v>150164</v>
      </c>
      <c r="E202" s="158">
        <v>10015</v>
      </c>
      <c r="F202" s="158">
        <v>1735</v>
      </c>
      <c r="H202" s="158">
        <v>7.7</v>
      </c>
      <c r="I202" s="158">
        <v>0</v>
      </c>
      <c r="J202" s="158">
        <v>7.7</v>
      </c>
      <c r="K202" s="158" t="s">
        <v>238</v>
      </c>
    </row>
    <row r="203" spans="4:11">
      <c r="D203" s="158">
        <v>150165</v>
      </c>
      <c r="E203" s="158">
        <v>10015</v>
      </c>
      <c r="F203" s="158">
        <v>1969</v>
      </c>
      <c r="H203" s="158">
        <v>15.2</v>
      </c>
      <c r="I203" s="158">
        <v>0</v>
      </c>
      <c r="J203" s="158">
        <v>15.2</v>
      </c>
      <c r="K203" s="158" t="s">
        <v>238</v>
      </c>
    </row>
    <row r="204" spans="4:11">
      <c r="D204" s="158">
        <v>150166</v>
      </c>
      <c r="E204" s="158">
        <v>10015</v>
      </c>
      <c r="F204" s="158">
        <v>2001</v>
      </c>
      <c r="H204" s="158">
        <v>23.05</v>
      </c>
      <c r="I204" s="158">
        <v>0</v>
      </c>
      <c r="J204" s="158">
        <v>23.05</v>
      </c>
      <c r="K204" s="158" t="s">
        <v>238</v>
      </c>
    </row>
    <row r="205" spans="4:11">
      <c r="D205" s="158">
        <v>150167</v>
      </c>
      <c r="E205" s="158">
        <v>10015</v>
      </c>
      <c r="F205" s="158">
        <v>393</v>
      </c>
      <c r="H205" s="158">
        <v>10.85</v>
      </c>
      <c r="I205" s="158">
        <v>0</v>
      </c>
      <c r="J205" s="158">
        <v>10.85</v>
      </c>
      <c r="K205" s="158" t="s">
        <v>238</v>
      </c>
    </row>
    <row r="206" spans="4:11">
      <c r="D206" s="158">
        <v>150168</v>
      </c>
      <c r="E206" s="158">
        <v>10015</v>
      </c>
      <c r="F206" s="158">
        <v>2017</v>
      </c>
      <c r="H206" s="158">
        <v>7.75</v>
      </c>
      <c r="I206" s="158">
        <v>0</v>
      </c>
      <c r="J206" s="158">
        <v>7.75</v>
      </c>
      <c r="K206" s="158" t="s">
        <v>238</v>
      </c>
    </row>
    <row r="207" spans="4:11">
      <c r="D207" s="158">
        <v>150169</v>
      </c>
      <c r="E207" s="158">
        <v>10015</v>
      </c>
      <c r="F207" s="158">
        <v>2071</v>
      </c>
      <c r="H207" s="158">
        <v>0</v>
      </c>
      <c r="I207" s="158">
        <v>0</v>
      </c>
      <c r="J207" s="158">
        <v>0</v>
      </c>
      <c r="K207" s="158" t="s">
        <v>238</v>
      </c>
    </row>
    <row r="208" spans="4:11">
      <c r="D208" s="158">
        <v>150171</v>
      </c>
      <c r="E208" s="158">
        <v>10015</v>
      </c>
      <c r="F208" s="158">
        <v>290</v>
      </c>
      <c r="H208" s="158">
        <v>0</v>
      </c>
      <c r="I208" s="158">
        <v>0</v>
      </c>
      <c r="J208" s="158">
        <v>0</v>
      </c>
      <c r="K208" s="158" t="s">
        <v>238</v>
      </c>
    </row>
    <row r="209" spans="4:11">
      <c r="D209" s="158">
        <v>150172</v>
      </c>
      <c r="E209" s="158">
        <v>10015</v>
      </c>
      <c r="F209" s="158">
        <v>180</v>
      </c>
      <c r="H209" s="158">
        <v>6.78</v>
      </c>
      <c r="I209" s="158">
        <v>0</v>
      </c>
      <c r="J209" s="158">
        <v>6.78</v>
      </c>
      <c r="K209" s="158" t="s">
        <v>238</v>
      </c>
    </row>
    <row r="210" spans="4:11">
      <c r="D210" s="158">
        <v>150173</v>
      </c>
      <c r="E210" s="158">
        <v>10015</v>
      </c>
      <c r="F210" s="158">
        <v>229</v>
      </c>
      <c r="H210" s="158">
        <v>3.1</v>
      </c>
      <c r="I210" s="158">
        <v>0</v>
      </c>
      <c r="J210" s="158">
        <v>3.1</v>
      </c>
      <c r="K210" s="158" t="s">
        <v>238</v>
      </c>
    </row>
    <row r="211" spans="4:11">
      <c r="D211" s="158">
        <v>150174</v>
      </c>
      <c r="E211" s="158">
        <v>10015</v>
      </c>
      <c r="F211" s="158">
        <v>431</v>
      </c>
      <c r="H211" s="158">
        <v>0.1</v>
      </c>
      <c r="I211" s="158">
        <v>0</v>
      </c>
      <c r="J211" s="158">
        <v>0.1</v>
      </c>
      <c r="K211" s="158" t="s">
        <v>238</v>
      </c>
    </row>
    <row r="212" spans="4:11">
      <c r="D212" s="158">
        <v>150175</v>
      </c>
      <c r="E212" s="158">
        <v>10015</v>
      </c>
      <c r="F212" s="158">
        <v>291</v>
      </c>
      <c r="H212" s="158">
        <v>4.8499999999999996</v>
      </c>
      <c r="I212" s="158">
        <v>0</v>
      </c>
      <c r="J212" s="158">
        <v>4.8499999999999996</v>
      </c>
      <c r="K212" s="158" t="s">
        <v>238</v>
      </c>
    </row>
    <row r="213" spans="4:11">
      <c r="D213" s="158">
        <v>150176</v>
      </c>
      <c r="E213" s="158">
        <v>10015</v>
      </c>
      <c r="F213" s="158">
        <v>983</v>
      </c>
      <c r="H213" s="158">
        <v>3.3</v>
      </c>
      <c r="I213" s="158">
        <v>0</v>
      </c>
      <c r="J213" s="158">
        <v>3.3</v>
      </c>
      <c r="K213" s="158" t="s">
        <v>238</v>
      </c>
    </row>
    <row r="214" spans="4:11">
      <c r="D214" s="158">
        <v>150177</v>
      </c>
      <c r="E214" s="158">
        <v>10015</v>
      </c>
      <c r="F214" s="158">
        <v>235</v>
      </c>
      <c r="H214" s="158">
        <v>6.4</v>
      </c>
      <c r="I214" s="158">
        <v>0</v>
      </c>
      <c r="J214" s="158">
        <v>6.4</v>
      </c>
      <c r="K214" s="158" t="s">
        <v>238</v>
      </c>
    </row>
    <row r="215" spans="4:11">
      <c r="D215" s="158">
        <v>150178</v>
      </c>
      <c r="E215" s="158">
        <v>10015</v>
      </c>
      <c r="F215" s="158">
        <v>416</v>
      </c>
      <c r="H215" s="158">
        <v>3.65</v>
      </c>
      <c r="I215" s="158">
        <v>0</v>
      </c>
      <c r="J215" s="158">
        <v>3.65</v>
      </c>
      <c r="K215" s="158" t="s">
        <v>238</v>
      </c>
    </row>
    <row r="216" spans="4:11">
      <c r="D216" s="158">
        <v>150179</v>
      </c>
      <c r="E216" s="158">
        <v>10015</v>
      </c>
      <c r="F216" s="158">
        <v>393</v>
      </c>
      <c r="H216" s="158">
        <v>4.7</v>
      </c>
      <c r="I216" s="158">
        <v>0</v>
      </c>
      <c r="J216" s="158">
        <v>4.7</v>
      </c>
      <c r="K216" s="158" t="s">
        <v>238</v>
      </c>
    </row>
    <row r="217" spans="4:11">
      <c r="D217" s="158">
        <v>150180</v>
      </c>
      <c r="E217" s="158">
        <v>10015</v>
      </c>
      <c r="F217" s="158">
        <v>431</v>
      </c>
      <c r="H217" s="158">
        <v>0</v>
      </c>
      <c r="I217" s="158">
        <v>0</v>
      </c>
      <c r="J217" s="158">
        <v>0</v>
      </c>
      <c r="K217" s="158" t="s">
        <v>238</v>
      </c>
    </row>
    <row r="218" spans="4:11">
      <c r="D218" s="158">
        <v>150181</v>
      </c>
      <c r="E218" s="158">
        <v>10015</v>
      </c>
      <c r="F218" s="158">
        <v>965</v>
      </c>
      <c r="H218" s="158">
        <v>3.1</v>
      </c>
      <c r="I218" s="158">
        <v>0</v>
      </c>
      <c r="J218" s="158">
        <v>3.1</v>
      </c>
      <c r="K218" s="158" t="s">
        <v>238</v>
      </c>
    </row>
    <row r="219" spans="4:11">
      <c r="D219" s="158">
        <v>150182</v>
      </c>
      <c r="E219" s="158">
        <v>10015</v>
      </c>
      <c r="F219" s="158">
        <v>588</v>
      </c>
      <c r="H219" s="158">
        <v>2.75</v>
      </c>
      <c r="I219" s="158">
        <v>0</v>
      </c>
      <c r="J219" s="158">
        <v>2.75</v>
      </c>
      <c r="K219" s="158" t="s">
        <v>238</v>
      </c>
    </row>
    <row r="220" spans="4:11">
      <c r="D220" s="158">
        <v>150183</v>
      </c>
      <c r="E220" s="158">
        <v>10015</v>
      </c>
      <c r="F220" s="158">
        <v>1039</v>
      </c>
      <c r="H220" s="158">
        <v>0.4</v>
      </c>
      <c r="I220" s="158">
        <v>0</v>
      </c>
      <c r="J220" s="158">
        <v>0.4</v>
      </c>
      <c r="K220" s="158" t="s">
        <v>238</v>
      </c>
    </row>
    <row r="221" spans="4:11">
      <c r="D221" s="158">
        <v>150184</v>
      </c>
      <c r="E221" s="158">
        <v>10015</v>
      </c>
      <c r="F221" s="158">
        <v>1036</v>
      </c>
      <c r="H221" s="158">
        <v>0</v>
      </c>
      <c r="I221" s="158">
        <v>0</v>
      </c>
      <c r="J221" s="158">
        <v>0</v>
      </c>
      <c r="K221" s="158" t="s">
        <v>238</v>
      </c>
    </row>
    <row r="222" spans="4:11">
      <c r="D222" s="158">
        <v>150185</v>
      </c>
      <c r="E222" s="158">
        <v>10015</v>
      </c>
      <c r="F222" s="158">
        <v>402</v>
      </c>
      <c r="H222" s="158">
        <v>6.9</v>
      </c>
      <c r="I222" s="158">
        <v>0</v>
      </c>
      <c r="J222" s="158">
        <v>6.9</v>
      </c>
      <c r="K222" s="158" t="s">
        <v>238</v>
      </c>
    </row>
    <row r="223" spans="4:11">
      <c r="D223" s="158">
        <v>150186</v>
      </c>
      <c r="E223" s="158">
        <v>10015</v>
      </c>
      <c r="F223" s="158">
        <v>1164</v>
      </c>
      <c r="H223" s="158">
        <v>8.0299999999999994</v>
      </c>
      <c r="I223" s="158">
        <v>0</v>
      </c>
      <c r="J223" s="158">
        <v>8.0299999999999994</v>
      </c>
      <c r="K223" s="158" t="s">
        <v>238</v>
      </c>
    </row>
    <row r="224" spans="4:11">
      <c r="D224" s="158">
        <v>150187</v>
      </c>
      <c r="E224" s="158">
        <v>10015</v>
      </c>
      <c r="F224" s="158">
        <v>1506</v>
      </c>
      <c r="H224" s="158">
        <v>1.47</v>
      </c>
      <c r="I224" s="158">
        <v>0</v>
      </c>
      <c r="J224" s="158">
        <v>1.47</v>
      </c>
      <c r="K224" s="158" t="s">
        <v>238</v>
      </c>
    </row>
    <row r="225" spans="4:11">
      <c r="D225" s="158">
        <v>150188</v>
      </c>
      <c r="E225" s="158">
        <v>10015</v>
      </c>
      <c r="F225" s="158">
        <v>257</v>
      </c>
      <c r="H225" s="158">
        <v>1</v>
      </c>
      <c r="I225" s="158">
        <v>0</v>
      </c>
      <c r="J225" s="158">
        <v>1</v>
      </c>
      <c r="K225" s="158" t="s">
        <v>238</v>
      </c>
    </row>
    <row r="226" spans="4:11">
      <c r="D226" s="158">
        <v>150189</v>
      </c>
      <c r="E226" s="158">
        <v>10015</v>
      </c>
      <c r="F226" s="158">
        <v>1667</v>
      </c>
      <c r="H226" s="158">
        <v>5.85</v>
      </c>
      <c r="I226" s="158">
        <v>0</v>
      </c>
      <c r="J226" s="158">
        <v>5.85</v>
      </c>
      <c r="K226" s="158" t="s">
        <v>238</v>
      </c>
    </row>
    <row r="227" spans="4:11">
      <c r="D227" s="158">
        <v>150190</v>
      </c>
      <c r="E227" s="158">
        <v>10015</v>
      </c>
      <c r="F227" s="158">
        <v>1735</v>
      </c>
      <c r="H227" s="158">
        <v>1.1000000000000001</v>
      </c>
      <c r="I227" s="158">
        <v>0</v>
      </c>
      <c r="J227" s="158">
        <v>1.1000000000000001</v>
      </c>
      <c r="K227" s="158" t="s">
        <v>238</v>
      </c>
    </row>
    <row r="228" spans="4:11">
      <c r="D228" s="158">
        <v>150191</v>
      </c>
      <c r="E228" s="158">
        <v>10015</v>
      </c>
      <c r="F228" s="158">
        <v>1969</v>
      </c>
      <c r="H228" s="158">
        <v>1.75</v>
      </c>
      <c r="I228" s="158">
        <v>0</v>
      </c>
      <c r="J228" s="158">
        <v>1.75</v>
      </c>
      <c r="K228" s="158" t="s">
        <v>238</v>
      </c>
    </row>
    <row r="229" spans="4:11">
      <c r="D229" s="158">
        <v>150192</v>
      </c>
      <c r="E229" s="158">
        <v>10015</v>
      </c>
      <c r="F229" s="158">
        <v>2001</v>
      </c>
      <c r="H229" s="158">
        <v>3</v>
      </c>
      <c r="I229" s="158">
        <v>0</v>
      </c>
      <c r="J229" s="158">
        <v>3</v>
      </c>
      <c r="K229" s="158" t="s">
        <v>238</v>
      </c>
    </row>
    <row r="230" spans="4:11">
      <c r="D230" s="158">
        <v>150193</v>
      </c>
      <c r="E230" s="158">
        <v>10015</v>
      </c>
      <c r="F230" s="158">
        <v>393</v>
      </c>
      <c r="H230" s="158">
        <v>0.65</v>
      </c>
      <c r="I230" s="158">
        <v>0</v>
      </c>
      <c r="J230" s="158">
        <v>0.65</v>
      </c>
      <c r="K230" s="158" t="s">
        <v>238</v>
      </c>
    </row>
    <row r="231" spans="4:11">
      <c r="D231" s="158">
        <v>150194</v>
      </c>
      <c r="E231" s="158">
        <v>10015</v>
      </c>
      <c r="F231" s="158">
        <v>2017</v>
      </c>
      <c r="H231" s="158">
        <v>4.05</v>
      </c>
      <c r="I231" s="158">
        <v>0</v>
      </c>
      <c r="J231" s="158">
        <v>4.05</v>
      </c>
      <c r="K231" s="158" t="s">
        <v>238</v>
      </c>
    </row>
    <row r="232" spans="4:11">
      <c r="D232" s="158">
        <v>150195</v>
      </c>
      <c r="E232" s="158">
        <v>10015</v>
      </c>
      <c r="F232" s="158">
        <v>2071</v>
      </c>
      <c r="H232" s="158">
        <v>0</v>
      </c>
      <c r="I232" s="158">
        <v>0</v>
      </c>
      <c r="J232" s="158">
        <v>0</v>
      </c>
      <c r="K232" s="158" t="s">
        <v>238</v>
      </c>
    </row>
    <row r="233" spans="4:11">
      <c r="D233" s="158">
        <v>150197</v>
      </c>
      <c r="E233" s="158">
        <v>10015</v>
      </c>
      <c r="F233" s="158">
        <v>290</v>
      </c>
      <c r="H233" s="158">
        <v>0</v>
      </c>
      <c r="I233" s="158">
        <v>0</v>
      </c>
      <c r="J233" s="158">
        <v>0</v>
      </c>
      <c r="K233" s="158" t="s">
        <v>238</v>
      </c>
    </row>
    <row r="234" spans="4:11">
      <c r="D234" s="158">
        <v>150198</v>
      </c>
      <c r="E234" s="158">
        <v>10015</v>
      </c>
      <c r="F234" s="158">
        <v>180</v>
      </c>
      <c r="H234" s="158">
        <v>7.46</v>
      </c>
      <c r="I234" s="158">
        <v>0</v>
      </c>
      <c r="J234" s="158">
        <v>7.46</v>
      </c>
      <c r="K234" s="158" t="s">
        <v>238</v>
      </c>
    </row>
    <row r="235" spans="4:11">
      <c r="D235" s="158">
        <v>150199</v>
      </c>
      <c r="E235" s="158">
        <v>10015</v>
      </c>
      <c r="F235" s="158">
        <v>229</v>
      </c>
      <c r="H235" s="158">
        <v>0.2</v>
      </c>
      <c r="I235" s="158">
        <v>0</v>
      </c>
      <c r="J235" s="158">
        <v>0.2</v>
      </c>
      <c r="K235" s="158" t="s">
        <v>238</v>
      </c>
    </row>
    <row r="236" spans="4:11">
      <c r="D236" s="158">
        <v>150200</v>
      </c>
      <c r="E236" s="158">
        <v>10015</v>
      </c>
      <c r="F236" s="158">
        <v>431</v>
      </c>
      <c r="H236" s="158">
        <v>0</v>
      </c>
      <c r="I236" s="158">
        <v>0</v>
      </c>
      <c r="J236" s="158">
        <v>0</v>
      </c>
      <c r="K236" s="158" t="s">
        <v>238</v>
      </c>
    </row>
    <row r="237" spans="4:11">
      <c r="D237" s="158">
        <v>150201</v>
      </c>
      <c r="E237" s="158">
        <v>10015</v>
      </c>
      <c r="F237" s="158">
        <v>291</v>
      </c>
      <c r="H237" s="158">
        <v>3.6</v>
      </c>
      <c r="I237" s="158">
        <v>0</v>
      </c>
      <c r="J237" s="158">
        <v>3.6</v>
      </c>
      <c r="K237" s="158" t="s">
        <v>238</v>
      </c>
    </row>
    <row r="238" spans="4:11">
      <c r="D238" s="158">
        <v>150202</v>
      </c>
      <c r="E238" s="158">
        <v>10015</v>
      </c>
      <c r="F238" s="158">
        <v>983</v>
      </c>
      <c r="H238" s="158">
        <v>4</v>
      </c>
      <c r="I238" s="158">
        <v>0</v>
      </c>
      <c r="J238" s="158">
        <v>4</v>
      </c>
      <c r="K238" s="158" t="s">
        <v>238</v>
      </c>
    </row>
    <row r="239" spans="4:11">
      <c r="D239" s="158">
        <v>150203</v>
      </c>
      <c r="E239" s="158">
        <v>10015</v>
      </c>
      <c r="F239" s="158">
        <v>235</v>
      </c>
      <c r="H239" s="158">
        <v>3.3</v>
      </c>
      <c r="I239" s="158">
        <v>0</v>
      </c>
      <c r="J239" s="158">
        <v>3.3</v>
      </c>
      <c r="K239" s="158" t="s">
        <v>238</v>
      </c>
    </row>
    <row r="240" spans="4:11">
      <c r="D240" s="158">
        <v>150204</v>
      </c>
      <c r="E240" s="158">
        <v>10015</v>
      </c>
      <c r="F240" s="158">
        <v>416</v>
      </c>
      <c r="H240" s="158">
        <v>4.9000000000000004</v>
      </c>
      <c r="I240" s="158">
        <v>0</v>
      </c>
      <c r="J240" s="158">
        <v>4.9000000000000004</v>
      </c>
      <c r="K240" s="158" t="s">
        <v>238</v>
      </c>
    </row>
    <row r="241" spans="4:11">
      <c r="D241" s="158">
        <v>150205</v>
      </c>
      <c r="E241" s="158">
        <v>10015</v>
      </c>
      <c r="F241" s="158">
        <v>393</v>
      </c>
      <c r="H241" s="158">
        <v>10.15</v>
      </c>
      <c r="I241" s="158">
        <v>0</v>
      </c>
      <c r="J241" s="158">
        <v>10.15</v>
      </c>
      <c r="K241" s="158" t="s">
        <v>238</v>
      </c>
    </row>
    <row r="242" spans="4:11">
      <c r="D242" s="158">
        <v>150206</v>
      </c>
      <c r="E242" s="158">
        <v>10015</v>
      </c>
      <c r="F242" s="158">
        <v>431</v>
      </c>
      <c r="H242" s="158">
        <v>0</v>
      </c>
      <c r="I242" s="158">
        <v>0</v>
      </c>
      <c r="J242" s="158">
        <v>0</v>
      </c>
      <c r="K242" s="158" t="s">
        <v>238</v>
      </c>
    </row>
    <row r="243" spans="4:11">
      <c r="D243" s="158">
        <v>150207</v>
      </c>
      <c r="E243" s="158">
        <v>10015</v>
      </c>
      <c r="F243" s="158">
        <v>965</v>
      </c>
      <c r="H243" s="158">
        <v>0.8</v>
      </c>
      <c r="I243" s="158">
        <v>0</v>
      </c>
      <c r="J243" s="158">
        <v>0.8</v>
      </c>
      <c r="K243" s="158" t="s">
        <v>238</v>
      </c>
    </row>
    <row r="244" spans="4:11">
      <c r="D244" s="158">
        <v>150208</v>
      </c>
      <c r="E244" s="158">
        <v>10015</v>
      </c>
      <c r="F244" s="158">
        <v>588</v>
      </c>
      <c r="H244" s="158">
        <v>1.65</v>
      </c>
      <c r="I244" s="158">
        <v>0</v>
      </c>
      <c r="J244" s="158">
        <v>1.65</v>
      </c>
      <c r="K244" s="158" t="s">
        <v>238</v>
      </c>
    </row>
    <row r="245" spans="4:11">
      <c r="D245" s="158">
        <v>150209</v>
      </c>
      <c r="E245" s="158">
        <v>10015</v>
      </c>
      <c r="F245" s="158">
        <v>1039</v>
      </c>
      <c r="H245" s="158">
        <v>0.3</v>
      </c>
      <c r="I245" s="158">
        <v>0</v>
      </c>
      <c r="J245" s="158">
        <v>0.3</v>
      </c>
      <c r="K245" s="158" t="s">
        <v>238</v>
      </c>
    </row>
    <row r="246" spans="4:11">
      <c r="D246" s="158">
        <v>150210</v>
      </c>
      <c r="E246" s="158">
        <v>10015</v>
      </c>
      <c r="F246" s="158">
        <v>1036</v>
      </c>
      <c r="H246" s="158">
        <v>0</v>
      </c>
      <c r="I246" s="158">
        <v>0</v>
      </c>
      <c r="J246" s="158">
        <v>0</v>
      </c>
      <c r="K246" s="158" t="s">
        <v>238</v>
      </c>
    </row>
    <row r="247" spans="4:11">
      <c r="D247" s="158">
        <v>150211</v>
      </c>
      <c r="E247" s="158">
        <v>10015</v>
      </c>
      <c r="F247" s="158">
        <v>402</v>
      </c>
      <c r="H247" s="158">
        <v>1.4</v>
      </c>
      <c r="I247" s="158">
        <v>0</v>
      </c>
      <c r="J247" s="158">
        <v>1.4</v>
      </c>
      <c r="K247" s="158" t="s">
        <v>238</v>
      </c>
    </row>
    <row r="248" spans="4:11">
      <c r="D248" s="158">
        <v>150212</v>
      </c>
      <c r="E248" s="158">
        <v>10015</v>
      </c>
      <c r="F248" s="158">
        <v>1164</v>
      </c>
      <c r="H248" s="158">
        <v>1.75</v>
      </c>
      <c r="I248" s="158">
        <v>0</v>
      </c>
      <c r="J248" s="158">
        <v>1.75</v>
      </c>
      <c r="K248" s="158" t="s">
        <v>238</v>
      </c>
    </row>
    <row r="249" spans="4:11">
      <c r="D249" s="158">
        <v>150213</v>
      </c>
      <c r="E249" s="158">
        <v>10015</v>
      </c>
      <c r="F249" s="158">
        <v>1506</v>
      </c>
      <c r="H249" s="158">
        <v>2.15</v>
      </c>
      <c r="I249" s="158">
        <v>0</v>
      </c>
      <c r="J249" s="158">
        <v>2.15</v>
      </c>
      <c r="K249" s="158" t="s">
        <v>238</v>
      </c>
    </row>
    <row r="250" spans="4:11">
      <c r="D250" s="158">
        <v>150214</v>
      </c>
      <c r="E250" s="158">
        <v>10015</v>
      </c>
      <c r="F250" s="158">
        <v>257</v>
      </c>
      <c r="H250" s="158">
        <v>2.2000000000000002</v>
      </c>
      <c r="I250" s="158">
        <v>0</v>
      </c>
      <c r="J250" s="158">
        <v>2.2000000000000002</v>
      </c>
      <c r="K250" s="158" t="s">
        <v>238</v>
      </c>
    </row>
    <row r="251" spans="4:11">
      <c r="D251" s="158">
        <v>150215</v>
      </c>
      <c r="E251" s="158">
        <v>10015</v>
      </c>
      <c r="F251" s="158">
        <v>1667</v>
      </c>
      <c r="H251" s="158">
        <v>5.5</v>
      </c>
      <c r="I251" s="158">
        <v>0</v>
      </c>
      <c r="J251" s="158">
        <v>5.5</v>
      </c>
      <c r="K251" s="158" t="s">
        <v>238</v>
      </c>
    </row>
    <row r="252" spans="4:11">
      <c r="D252" s="158">
        <v>150216</v>
      </c>
      <c r="E252" s="158">
        <v>10015</v>
      </c>
      <c r="F252" s="158">
        <v>1735</v>
      </c>
      <c r="H252" s="158">
        <v>1.4</v>
      </c>
      <c r="I252" s="158">
        <v>0</v>
      </c>
      <c r="J252" s="158">
        <v>1.4</v>
      </c>
      <c r="K252" s="158" t="s">
        <v>238</v>
      </c>
    </row>
    <row r="253" spans="4:11">
      <c r="D253" s="158">
        <v>150217</v>
      </c>
      <c r="E253" s="158">
        <v>10015</v>
      </c>
      <c r="F253" s="158">
        <v>1969</v>
      </c>
      <c r="H253" s="158">
        <v>0.35</v>
      </c>
      <c r="I253" s="158">
        <v>0</v>
      </c>
      <c r="J253" s="158">
        <v>0.35</v>
      </c>
      <c r="K253" s="158" t="s">
        <v>238</v>
      </c>
    </row>
    <row r="254" spans="4:11">
      <c r="D254" s="158">
        <v>150218</v>
      </c>
      <c r="E254" s="158">
        <v>10015</v>
      </c>
      <c r="F254" s="158">
        <v>2001</v>
      </c>
      <c r="H254" s="158">
        <v>7.5</v>
      </c>
      <c r="I254" s="158">
        <v>0</v>
      </c>
      <c r="J254" s="158">
        <v>7.5</v>
      </c>
      <c r="K254" s="158" t="s">
        <v>238</v>
      </c>
    </row>
    <row r="255" spans="4:11">
      <c r="D255" s="158">
        <v>150219</v>
      </c>
      <c r="E255" s="158">
        <v>10015</v>
      </c>
      <c r="F255" s="158">
        <v>393</v>
      </c>
      <c r="H255" s="158">
        <v>0</v>
      </c>
      <c r="I255" s="158">
        <v>0</v>
      </c>
      <c r="J255" s="158">
        <v>0</v>
      </c>
      <c r="K255" s="158" t="s">
        <v>238</v>
      </c>
    </row>
    <row r="256" spans="4:11">
      <c r="D256" s="158">
        <v>150220</v>
      </c>
      <c r="E256" s="158">
        <v>10015</v>
      </c>
      <c r="F256" s="158">
        <v>2017</v>
      </c>
      <c r="H256" s="158">
        <v>5.6</v>
      </c>
      <c r="I256" s="158">
        <v>0</v>
      </c>
      <c r="J256" s="158">
        <v>5.6</v>
      </c>
      <c r="K256" s="158" t="s">
        <v>238</v>
      </c>
    </row>
    <row r="257" spans="4:11">
      <c r="D257" s="158">
        <v>150221</v>
      </c>
      <c r="E257" s="158">
        <v>10015</v>
      </c>
      <c r="F257" s="158">
        <v>2071</v>
      </c>
      <c r="H257" s="158">
        <v>0</v>
      </c>
      <c r="I257" s="158">
        <v>0</v>
      </c>
      <c r="J257" s="158">
        <v>0</v>
      </c>
      <c r="K257" s="158" t="s">
        <v>238</v>
      </c>
    </row>
    <row r="258" spans="4:11">
      <c r="D258" s="158">
        <v>150543</v>
      </c>
      <c r="E258" s="158">
        <v>10015</v>
      </c>
      <c r="F258" s="158">
        <v>290</v>
      </c>
      <c r="H258" s="158">
        <v>0</v>
      </c>
      <c r="I258" s="158">
        <v>0</v>
      </c>
      <c r="J258" s="158">
        <v>0</v>
      </c>
      <c r="K258" s="158" t="s">
        <v>238</v>
      </c>
    </row>
    <row r="259" spans="4:11">
      <c r="D259" s="158">
        <v>150544</v>
      </c>
      <c r="E259" s="158">
        <v>10015</v>
      </c>
      <c r="F259" s="158">
        <v>180</v>
      </c>
      <c r="H259" s="158">
        <v>11.85</v>
      </c>
      <c r="I259" s="158">
        <v>0</v>
      </c>
      <c r="J259" s="158">
        <v>11.85</v>
      </c>
      <c r="K259" s="158" t="s">
        <v>238</v>
      </c>
    </row>
    <row r="260" spans="4:11">
      <c r="D260" s="158">
        <v>150545</v>
      </c>
      <c r="E260" s="158">
        <v>10015</v>
      </c>
      <c r="F260" s="158">
        <v>229</v>
      </c>
      <c r="H260" s="158">
        <v>0</v>
      </c>
      <c r="I260" s="158">
        <v>0</v>
      </c>
      <c r="J260" s="158">
        <v>0</v>
      </c>
      <c r="K260" s="158" t="s">
        <v>238</v>
      </c>
    </row>
    <row r="261" spans="4:11">
      <c r="D261" s="158">
        <v>150546</v>
      </c>
      <c r="E261" s="158">
        <v>10015</v>
      </c>
      <c r="F261" s="158">
        <v>431</v>
      </c>
      <c r="H261" s="158">
        <v>7.6</v>
      </c>
      <c r="I261" s="158">
        <v>0</v>
      </c>
      <c r="J261" s="158">
        <v>7.6</v>
      </c>
      <c r="K261" s="158" t="s">
        <v>238</v>
      </c>
    </row>
    <row r="262" spans="4:11">
      <c r="D262" s="158">
        <v>150547</v>
      </c>
      <c r="E262" s="158">
        <v>10015</v>
      </c>
      <c r="F262" s="158">
        <v>291</v>
      </c>
      <c r="H262" s="158">
        <v>25.25</v>
      </c>
      <c r="I262" s="158">
        <v>0</v>
      </c>
      <c r="J262" s="158">
        <v>25.25</v>
      </c>
      <c r="K262" s="158" t="s">
        <v>238</v>
      </c>
    </row>
    <row r="263" spans="4:11">
      <c r="D263" s="158">
        <v>150548</v>
      </c>
      <c r="E263" s="158">
        <v>10015</v>
      </c>
      <c r="F263" s="158">
        <v>983</v>
      </c>
      <c r="H263" s="158">
        <v>23</v>
      </c>
      <c r="I263" s="158">
        <v>0</v>
      </c>
      <c r="J263" s="158">
        <v>23</v>
      </c>
      <c r="K263" s="158" t="s">
        <v>238</v>
      </c>
    </row>
    <row r="264" spans="4:11">
      <c r="D264" s="158">
        <v>150549</v>
      </c>
      <c r="E264" s="158">
        <v>10015</v>
      </c>
      <c r="F264" s="158">
        <v>235</v>
      </c>
      <c r="H264" s="158">
        <v>21.5</v>
      </c>
      <c r="I264" s="158">
        <v>0</v>
      </c>
      <c r="J264" s="158">
        <v>21.5</v>
      </c>
      <c r="K264" s="158" t="s">
        <v>238</v>
      </c>
    </row>
    <row r="265" spans="4:11">
      <c r="D265" s="158">
        <v>150550</v>
      </c>
      <c r="E265" s="158">
        <v>10015</v>
      </c>
      <c r="F265" s="158">
        <v>416</v>
      </c>
      <c r="H265" s="158">
        <v>3.9</v>
      </c>
      <c r="I265" s="158">
        <v>0</v>
      </c>
      <c r="J265" s="158">
        <v>3.9</v>
      </c>
      <c r="K265" s="158" t="s">
        <v>238</v>
      </c>
    </row>
    <row r="266" spans="4:11">
      <c r="D266" s="158">
        <v>150551</v>
      </c>
      <c r="E266" s="158">
        <v>10015</v>
      </c>
      <c r="F266" s="158">
        <v>393</v>
      </c>
      <c r="H266" s="158">
        <v>3</v>
      </c>
      <c r="I266" s="158">
        <v>0</v>
      </c>
      <c r="J266" s="158">
        <v>3</v>
      </c>
      <c r="K266" s="158" t="s">
        <v>238</v>
      </c>
    </row>
    <row r="267" spans="4:11">
      <c r="D267" s="158">
        <v>150552</v>
      </c>
      <c r="E267" s="158">
        <v>10015</v>
      </c>
      <c r="F267" s="158">
        <v>431</v>
      </c>
      <c r="H267" s="158">
        <v>1.8</v>
      </c>
      <c r="I267" s="158">
        <v>0</v>
      </c>
      <c r="J267" s="158">
        <v>1.8</v>
      </c>
      <c r="K267" s="158" t="s">
        <v>238</v>
      </c>
    </row>
    <row r="268" spans="4:11">
      <c r="D268" s="158">
        <v>150553</v>
      </c>
      <c r="E268" s="158">
        <v>10015</v>
      </c>
      <c r="F268" s="158">
        <v>965</v>
      </c>
      <c r="H268" s="158">
        <v>18.649999999999999</v>
      </c>
      <c r="I268" s="158">
        <v>0</v>
      </c>
      <c r="J268" s="158">
        <v>18.649999999999999</v>
      </c>
      <c r="K268" s="158" t="s">
        <v>238</v>
      </c>
    </row>
    <row r="269" spans="4:11">
      <c r="D269" s="158">
        <v>150554</v>
      </c>
      <c r="E269" s="158">
        <v>10015</v>
      </c>
      <c r="F269" s="158">
        <v>588</v>
      </c>
      <c r="H269" s="158">
        <v>7.8</v>
      </c>
      <c r="I269" s="158">
        <v>0</v>
      </c>
      <c r="J269" s="158">
        <v>7.8</v>
      </c>
      <c r="K269" s="158" t="s">
        <v>238</v>
      </c>
    </row>
    <row r="270" spans="4:11">
      <c r="D270" s="158">
        <v>150555</v>
      </c>
      <c r="E270" s="158">
        <v>10015</v>
      </c>
      <c r="F270" s="158">
        <v>1039</v>
      </c>
      <c r="H270" s="158">
        <v>3.3</v>
      </c>
      <c r="I270" s="158">
        <v>0</v>
      </c>
      <c r="J270" s="158">
        <v>3.3</v>
      </c>
      <c r="K270" s="158" t="s">
        <v>238</v>
      </c>
    </row>
    <row r="271" spans="4:11">
      <c r="D271" s="158">
        <v>150556</v>
      </c>
      <c r="E271" s="158">
        <v>10015</v>
      </c>
      <c r="F271" s="158">
        <v>1036</v>
      </c>
      <c r="H271" s="158">
        <v>2.15</v>
      </c>
      <c r="I271" s="158">
        <v>0</v>
      </c>
      <c r="J271" s="158">
        <v>2.15</v>
      </c>
      <c r="K271" s="158" t="s">
        <v>238</v>
      </c>
    </row>
    <row r="272" spans="4:11">
      <c r="D272" s="158">
        <v>150557</v>
      </c>
      <c r="E272" s="158">
        <v>10015</v>
      </c>
      <c r="F272" s="158">
        <v>402</v>
      </c>
      <c r="H272" s="158">
        <v>48.4</v>
      </c>
      <c r="I272" s="158">
        <v>0</v>
      </c>
      <c r="J272" s="158">
        <v>48.4</v>
      </c>
      <c r="K272" s="158" t="s">
        <v>238</v>
      </c>
    </row>
    <row r="273" spans="4:11">
      <c r="D273" s="158">
        <v>150558</v>
      </c>
      <c r="E273" s="158">
        <v>10015</v>
      </c>
      <c r="F273" s="158">
        <v>1164</v>
      </c>
      <c r="H273" s="158">
        <v>29.7</v>
      </c>
      <c r="I273" s="158">
        <v>0</v>
      </c>
      <c r="J273" s="158">
        <v>29.7</v>
      </c>
      <c r="K273" s="158" t="s">
        <v>238</v>
      </c>
    </row>
    <row r="274" spans="4:11">
      <c r="D274" s="158">
        <v>150559</v>
      </c>
      <c r="E274" s="158">
        <v>10015</v>
      </c>
      <c r="F274" s="158">
        <v>1506</v>
      </c>
      <c r="H274" s="158">
        <v>26.01</v>
      </c>
      <c r="I274" s="158">
        <v>0</v>
      </c>
      <c r="J274" s="158">
        <v>26.01</v>
      </c>
      <c r="K274" s="158" t="s">
        <v>238</v>
      </c>
    </row>
    <row r="275" spans="4:11">
      <c r="D275" s="158">
        <v>150560</v>
      </c>
      <c r="E275" s="158">
        <v>10015</v>
      </c>
      <c r="F275" s="158">
        <v>257</v>
      </c>
      <c r="H275" s="158">
        <v>32.299999999999997</v>
      </c>
      <c r="I275" s="158">
        <v>0</v>
      </c>
      <c r="J275" s="158">
        <v>32.299999999999997</v>
      </c>
      <c r="K275" s="158" t="s">
        <v>238</v>
      </c>
    </row>
    <row r="276" spans="4:11">
      <c r="D276" s="158">
        <v>150561</v>
      </c>
      <c r="E276" s="158">
        <v>10015</v>
      </c>
      <c r="F276" s="158">
        <v>1667</v>
      </c>
      <c r="H276" s="158">
        <v>0.9</v>
      </c>
      <c r="I276" s="158">
        <v>0</v>
      </c>
      <c r="J276" s="158">
        <v>0.9</v>
      </c>
      <c r="K276" s="158" t="s">
        <v>238</v>
      </c>
    </row>
    <row r="277" spans="4:11">
      <c r="D277" s="158">
        <v>150562</v>
      </c>
      <c r="E277" s="158">
        <v>10015</v>
      </c>
      <c r="F277" s="158">
        <v>1735</v>
      </c>
      <c r="H277" s="158">
        <v>23.9</v>
      </c>
      <c r="I277" s="158">
        <v>0</v>
      </c>
      <c r="J277" s="158">
        <v>23.9</v>
      </c>
      <c r="K277" s="158" t="s">
        <v>238</v>
      </c>
    </row>
    <row r="278" spans="4:11">
      <c r="D278" s="158">
        <v>150563</v>
      </c>
      <c r="E278" s="158">
        <v>10015</v>
      </c>
      <c r="F278" s="158">
        <v>1969</v>
      </c>
      <c r="H278" s="158">
        <v>11.75</v>
      </c>
      <c r="I278" s="158">
        <v>0</v>
      </c>
      <c r="J278" s="158">
        <v>11.75</v>
      </c>
      <c r="K278" s="158" t="s">
        <v>238</v>
      </c>
    </row>
    <row r="279" spans="4:11">
      <c r="D279" s="158">
        <v>150564</v>
      </c>
      <c r="E279" s="158">
        <v>10015</v>
      </c>
      <c r="F279" s="158">
        <v>2001</v>
      </c>
      <c r="H279" s="158">
        <v>30.65</v>
      </c>
      <c r="I279" s="158">
        <v>0</v>
      </c>
      <c r="J279" s="158">
        <v>30.65</v>
      </c>
      <c r="K279" s="158" t="s">
        <v>238</v>
      </c>
    </row>
    <row r="280" spans="4:11">
      <c r="D280" s="158">
        <v>150565</v>
      </c>
      <c r="E280" s="158">
        <v>10015</v>
      </c>
      <c r="F280" s="158">
        <v>393</v>
      </c>
      <c r="H280" s="158">
        <v>32.200000000000003</v>
      </c>
      <c r="I280" s="158">
        <v>0</v>
      </c>
      <c r="J280" s="158">
        <v>32.200000000000003</v>
      </c>
      <c r="K280" s="158" t="s">
        <v>238</v>
      </c>
    </row>
    <row r="281" spans="4:11">
      <c r="D281" s="158">
        <v>150566</v>
      </c>
      <c r="E281" s="158">
        <v>10015</v>
      </c>
      <c r="F281" s="158">
        <v>2017</v>
      </c>
      <c r="H281" s="158">
        <v>60.55</v>
      </c>
      <c r="I281" s="158">
        <v>0</v>
      </c>
      <c r="J281" s="158">
        <v>60.55</v>
      </c>
      <c r="K281" s="158" t="s">
        <v>238</v>
      </c>
    </row>
    <row r="282" spans="4:11">
      <c r="D282" s="158">
        <v>150567</v>
      </c>
      <c r="E282" s="158">
        <v>10015</v>
      </c>
      <c r="F282" s="158">
        <v>2071</v>
      </c>
      <c r="H282" s="158">
        <v>0</v>
      </c>
      <c r="I282" s="158">
        <v>0</v>
      </c>
      <c r="J282" s="158">
        <v>0</v>
      </c>
      <c r="K282" s="158" t="s">
        <v>238</v>
      </c>
    </row>
    <row r="283" spans="4:11">
      <c r="D283" s="158">
        <v>151983</v>
      </c>
      <c r="E283" s="158">
        <v>10011</v>
      </c>
      <c r="F283" s="158">
        <v>290</v>
      </c>
      <c r="H283" s="158">
        <v>0</v>
      </c>
      <c r="I283" s="158">
        <v>0</v>
      </c>
      <c r="J283" s="158">
        <v>0</v>
      </c>
      <c r="K283" s="158" t="s">
        <v>238</v>
      </c>
    </row>
    <row r="284" spans="4:11">
      <c r="D284" s="158">
        <v>151984</v>
      </c>
      <c r="E284" s="158">
        <v>10011</v>
      </c>
      <c r="F284" s="158">
        <v>180</v>
      </c>
      <c r="H284" s="158">
        <v>0.12</v>
      </c>
      <c r="I284" s="158">
        <v>0</v>
      </c>
      <c r="J284" s="158">
        <v>0.12</v>
      </c>
      <c r="K284" s="158" t="s">
        <v>238</v>
      </c>
    </row>
    <row r="285" spans="4:11">
      <c r="D285" s="158">
        <v>151985</v>
      </c>
      <c r="E285" s="158">
        <v>10011</v>
      </c>
      <c r="F285" s="158">
        <v>229</v>
      </c>
      <c r="H285" s="158">
        <v>6.5</v>
      </c>
      <c r="I285" s="158">
        <v>0</v>
      </c>
      <c r="J285" s="158">
        <v>6.5</v>
      </c>
      <c r="K285" s="158" t="s">
        <v>238</v>
      </c>
    </row>
    <row r="286" spans="4:11">
      <c r="D286" s="158">
        <v>151986</v>
      </c>
      <c r="E286" s="158">
        <v>10011</v>
      </c>
      <c r="F286" s="158">
        <v>431</v>
      </c>
      <c r="H286" s="158">
        <v>0</v>
      </c>
      <c r="I286" s="158">
        <v>0</v>
      </c>
      <c r="J286" s="158">
        <v>0</v>
      </c>
      <c r="K286" s="158" t="s">
        <v>238</v>
      </c>
    </row>
    <row r="287" spans="4:11">
      <c r="D287" s="158">
        <v>151987</v>
      </c>
      <c r="E287" s="158">
        <v>10011</v>
      </c>
      <c r="F287" s="158">
        <v>291</v>
      </c>
      <c r="H287" s="158">
        <v>4.75</v>
      </c>
      <c r="I287" s="158">
        <v>0</v>
      </c>
      <c r="J287" s="158">
        <v>4.75</v>
      </c>
      <c r="K287" s="158" t="s">
        <v>238</v>
      </c>
    </row>
    <row r="288" spans="4:11">
      <c r="D288" s="158">
        <v>151988</v>
      </c>
      <c r="E288" s="158">
        <v>10011</v>
      </c>
      <c r="F288" s="158">
        <v>983</v>
      </c>
      <c r="H288" s="158">
        <v>0</v>
      </c>
      <c r="I288" s="158">
        <v>0</v>
      </c>
      <c r="J288" s="158">
        <v>0</v>
      </c>
      <c r="K288" s="158" t="s">
        <v>238</v>
      </c>
    </row>
    <row r="289" spans="4:11">
      <c r="D289" s="158">
        <v>151989</v>
      </c>
      <c r="E289" s="158">
        <v>10011</v>
      </c>
      <c r="F289" s="158">
        <v>235</v>
      </c>
      <c r="H289" s="158">
        <v>0</v>
      </c>
      <c r="I289" s="158">
        <v>0</v>
      </c>
      <c r="J289" s="158">
        <v>0</v>
      </c>
      <c r="K289" s="158" t="s">
        <v>238</v>
      </c>
    </row>
    <row r="290" spans="4:11">
      <c r="D290" s="158">
        <v>151990</v>
      </c>
      <c r="E290" s="158">
        <v>10011</v>
      </c>
      <c r="F290" s="158">
        <v>416</v>
      </c>
      <c r="H290" s="158">
        <v>2.1</v>
      </c>
      <c r="I290" s="158">
        <v>0</v>
      </c>
      <c r="J290" s="158">
        <v>2.1</v>
      </c>
      <c r="K290" s="158" t="s">
        <v>238</v>
      </c>
    </row>
    <row r="291" spans="4:11">
      <c r="D291" s="158">
        <v>151991</v>
      </c>
      <c r="E291" s="158">
        <v>10011</v>
      </c>
      <c r="F291" s="158">
        <v>393</v>
      </c>
      <c r="H291" s="158">
        <v>3.47</v>
      </c>
      <c r="I291" s="158">
        <v>0</v>
      </c>
      <c r="J291" s="158">
        <v>3.47</v>
      </c>
      <c r="K291" s="158" t="s">
        <v>238</v>
      </c>
    </row>
    <row r="292" spans="4:11">
      <c r="D292" s="158">
        <v>151992</v>
      </c>
      <c r="E292" s="158">
        <v>10011</v>
      </c>
      <c r="F292" s="158">
        <v>431</v>
      </c>
      <c r="H292" s="158">
        <v>0</v>
      </c>
      <c r="I292" s="158">
        <v>0</v>
      </c>
      <c r="J292" s="158">
        <v>0</v>
      </c>
      <c r="K292" s="158" t="s">
        <v>238</v>
      </c>
    </row>
    <row r="293" spans="4:11">
      <c r="D293" s="158">
        <v>151993</v>
      </c>
      <c r="E293" s="158">
        <v>10011</v>
      </c>
      <c r="F293" s="158">
        <v>965</v>
      </c>
      <c r="H293" s="158">
        <v>1.1000000000000001</v>
      </c>
      <c r="I293" s="158">
        <v>0</v>
      </c>
      <c r="J293" s="158">
        <v>1.1000000000000001</v>
      </c>
      <c r="K293" s="158" t="s">
        <v>238</v>
      </c>
    </row>
    <row r="294" spans="4:11">
      <c r="D294" s="158">
        <v>151994</v>
      </c>
      <c r="E294" s="158">
        <v>10011</v>
      </c>
      <c r="F294" s="158">
        <v>588</v>
      </c>
      <c r="H294" s="158">
        <v>0.75</v>
      </c>
      <c r="I294" s="158">
        <v>0</v>
      </c>
      <c r="J294" s="158">
        <v>0.75</v>
      </c>
      <c r="K294" s="158" t="s">
        <v>238</v>
      </c>
    </row>
    <row r="295" spans="4:11">
      <c r="D295" s="158">
        <v>151995</v>
      </c>
      <c r="E295" s="158">
        <v>10011</v>
      </c>
      <c r="F295" s="158">
        <v>1039</v>
      </c>
      <c r="H295" s="158">
        <v>5.8</v>
      </c>
      <c r="I295" s="158">
        <v>0</v>
      </c>
      <c r="J295" s="158">
        <v>5.8</v>
      </c>
      <c r="K295" s="158" t="s">
        <v>238</v>
      </c>
    </row>
    <row r="296" spans="4:11">
      <c r="D296" s="158">
        <v>151996</v>
      </c>
      <c r="E296" s="158">
        <v>10011</v>
      </c>
      <c r="F296" s="158">
        <v>1036</v>
      </c>
      <c r="H296" s="158">
        <v>0.5</v>
      </c>
      <c r="I296" s="158">
        <v>0</v>
      </c>
      <c r="J296" s="158">
        <v>0.5</v>
      </c>
      <c r="K296" s="158" t="s">
        <v>238</v>
      </c>
    </row>
    <row r="297" spans="4:11">
      <c r="D297" s="158">
        <v>151997</v>
      </c>
      <c r="E297" s="158">
        <v>10011</v>
      </c>
      <c r="F297" s="158">
        <v>402</v>
      </c>
      <c r="H297" s="158">
        <v>0</v>
      </c>
      <c r="I297" s="158">
        <v>0</v>
      </c>
      <c r="J297" s="158">
        <v>0</v>
      </c>
      <c r="K297" s="158" t="s">
        <v>238</v>
      </c>
    </row>
    <row r="298" spans="4:11">
      <c r="D298" s="158">
        <v>151998</v>
      </c>
      <c r="E298" s="158">
        <v>10011</v>
      </c>
      <c r="F298" s="158">
        <v>1164</v>
      </c>
      <c r="H298" s="158">
        <v>1.5</v>
      </c>
      <c r="I298" s="158">
        <v>0</v>
      </c>
      <c r="J298" s="158">
        <v>1.5</v>
      </c>
      <c r="K298" s="158" t="s">
        <v>238</v>
      </c>
    </row>
    <row r="299" spans="4:11">
      <c r="D299" s="158">
        <v>151999</v>
      </c>
      <c r="E299" s="158">
        <v>10011</v>
      </c>
      <c r="F299" s="158">
        <v>1506</v>
      </c>
      <c r="H299" s="158">
        <v>0.97</v>
      </c>
      <c r="I299" s="158">
        <v>0</v>
      </c>
      <c r="J299" s="158">
        <v>0.97</v>
      </c>
      <c r="K299" s="158" t="s">
        <v>238</v>
      </c>
    </row>
    <row r="300" spans="4:11">
      <c r="D300" s="158">
        <v>152000</v>
      </c>
      <c r="E300" s="158">
        <v>10011</v>
      </c>
      <c r="F300" s="158">
        <v>257</v>
      </c>
      <c r="H300" s="158">
        <v>0.9</v>
      </c>
      <c r="I300" s="158">
        <v>0</v>
      </c>
      <c r="J300" s="158">
        <v>0.9</v>
      </c>
      <c r="K300" s="158" t="s">
        <v>238</v>
      </c>
    </row>
    <row r="301" spans="4:11">
      <c r="D301" s="158">
        <v>152001</v>
      </c>
      <c r="E301" s="158">
        <v>10011</v>
      </c>
      <c r="F301" s="158">
        <v>1667</v>
      </c>
      <c r="H301" s="158">
        <v>4.5</v>
      </c>
      <c r="I301" s="158">
        <v>0</v>
      </c>
      <c r="J301" s="158">
        <v>4.5</v>
      </c>
      <c r="K301" s="158" t="s">
        <v>238</v>
      </c>
    </row>
    <row r="302" spans="4:11">
      <c r="D302" s="158">
        <v>152002</v>
      </c>
      <c r="E302" s="158">
        <v>10011</v>
      </c>
      <c r="F302" s="158">
        <v>1735</v>
      </c>
      <c r="H302" s="158">
        <v>0.85</v>
      </c>
      <c r="I302" s="158">
        <v>0</v>
      </c>
      <c r="J302" s="158">
        <v>0.85</v>
      </c>
      <c r="K302" s="158" t="s">
        <v>238</v>
      </c>
    </row>
    <row r="303" spans="4:11">
      <c r="D303" s="158">
        <v>152003</v>
      </c>
      <c r="E303" s="158">
        <v>10011</v>
      </c>
      <c r="F303" s="158">
        <v>1969</v>
      </c>
      <c r="H303" s="158">
        <v>8.1999999999999993</v>
      </c>
      <c r="I303" s="158">
        <v>0</v>
      </c>
      <c r="J303" s="158">
        <v>8.1999999999999993</v>
      </c>
      <c r="K303" s="158" t="s">
        <v>238</v>
      </c>
    </row>
    <row r="304" spans="4:11">
      <c r="D304" s="158">
        <v>152004</v>
      </c>
      <c r="E304" s="158">
        <v>10011</v>
      </c>
      <c r="F304" s="158">
        <v>2001</v>
      </c>
      <c r="H304" s="158">
        <v>0</v>
      </c>
      <c r="I304" s="158">
        <v>0</v>
      </c>
      <c r="J304" s="158">
        <v>0</v>
      </c>
      <c r="K304" s="158" t="s">
        <v>238</v>
      </c>
    </row>
    <row r="305" spans="4:11">
      <c r="D305" s="158">
        <v>152005</v>
      </c>
      <c r="E305" s="158">
        <v>10011</v>
      </c>
      <c r="F305" s="158">
        <v>393</v>
      </c>
      <c r="H305" s="158">
        <v>0</v>
      </c>
      <c r="I305" s="158">
        <v>0</v>
      </c>
      <c r="J305" s="158">
        <v>0</v>
      </c>
      <c r="K305" s="158" t="s">
        <v>238</v>
      </c>
    </row>
    <row r="306" spans="4:11">
      <c r="D306" s="158">
        <v>152006</v>
      </c>
      <c r="E306" s="158">
        <v>10011</v>
      </c>
      <c r="F306" s="158">
        <v>2017</v>
      </c>
      <c r="H306" s="158">
        <v>0.3</v>
      </c>
      <c r="I306" s="158">
        <v>0</v>
      </c>
      <c r="J306" s="158">
        <v>0.3</v>
      </c>
      <c r="K306" s="158" t="s">
        <v>238</v>
      </c>
    </row>
    <row r="307" spans="4:11">
      <c r="D307" s="158">
        <v>152007</v>
      </c>
      <c r="E307" s="158">
        <v>10011</v>
      </c>
      <c r="F307" s="158">
        <v>2071</v>
      </c>
      <c r="H307" s="158">
        <v>0</v>
      </c>
      <c r="I307" s="158">
        <v>0</v>
      </c>
      <c r="J307" s="158">
        <v>0</v>
      </c>
      <c r="K307" s="158" t="s">
        <v>238</v>
      </c>
    </row>
    <row r="308" spans="4:11">
      <c r="D308" s="158">
        <v>152009</v>
      </c>
      <c r="E308" s="158">
        <v>10011</v>
      </c>
      <c r="F308" s="158">
        <v>290</v>
      </c>
      <c r="H308" s="158">
        <v>2.4500000000000002</v>
      </c>
      <c r="I308" s="158">
        <v>0</v>
      </c>
      <c r="J308" s="158">
        <v>2.4500000000000002</v>
      </c>
      <c r="K308" s="158" t="s">
        <v>238</v>
      </c>
    </row>
    <row r="309" spans="4:11">
      <c r="D309" s="158">
        <v>152010</v>
      </c>
      <c r="E309" s="158">
        <v>10011</v>
      </c>
      <c r="F309" s="158">
        <v>180</v>
      </c>
      <c r="H309" s="158">
        <v>8.89</v>
      </c>
      <c r="I309" s="158">
        <v>0</v>
      </c>
      <c r="J309" s="158">
        <v>8.89</v>
      </c>
      <c r="K309" s="158" t="s">
        <v>238</v>
      </c>
    </row>
    <row r="310" spans="4:11">
      <c r="D310" s="158">
        <v>152011</v>
      </c>
      <c r="E310" s="158">
        <v>10011</v>
      </c>
      <c r="F310" s="158">
        <v>229</v>
      </c>
      <c r="H310" s="158">
        <v>8.9</v>
      </c>
      <c r="I310" s="158">
        <v>0</v>
      </c>
      <c r="J310" s="158">
        <v>8.9</v>
      </c>
      <c r="K310" s="158" t="s">
        <v>238</v>
      </c>
    </row>
    <row r="311" spans="4:11">
      <c r="D311" s="158">
        <v>152012</v>
      </c>
      <c r="E311" s="158">
        <v>10011</v>
      </c>
      <c r="F311" s="158">
        <v>431</v>
      </c>
      <c r="H311" s="158">
        <v>3.2</v>
      </c>
      <c r="I311" s="158">
        <v>0</v>
      </c>
      <c r="J311" s="158">
        <v>3.2</v>
      </c>
      <c r="K311" s="158" t="s">
        <v>238</v>
      </c>
    </row>
    <row r="312" spans="4:11">
      <c r="D312" s="158">
        <v>152013</v>
      </c>
      <c r="E312" s="158">
        <v>10011</v>
      </c>
      <c r="F312" s="158">
        <v>291</v>
      </c>
      <c r="H312" s="158">
        <v>5.4</v>
      </c>
      <c r="I312" s="158">
        <v>0</v>
      </c>
      <c r="J312" s="158">
        <v>5.4</v>
      </c>
      <c r="K312" s="158" t="s">
        <v>238</v>
      </c>
    </row>
    <row r="313" spans="4:11">
      <c r="D313" s="158">
        <v>152014</v>
      </c>
      <c r="E313" s="158">
        <v>10011</v>
      </c>
      <c r="F313" s="158">
        <v>983</v>
      </c>
      <c r="H313" s="158">
        <v>4.5999999999999996</v>
      </c>
      <c r="I313" s="158">
        <v>0</v>
      </c>
      <c r="J313" s="158">
        <v>4.5999999999999996</v>
      </c>
      <c r="K313" s="158" t="s">
        <v>238</v>
      </c>
    </row>
    <row r="314" spans="4:11">
      <c r="D314" s="158">
        <v>152015</v>
      </c>
      <c r="E314" s="158">
        <v>10011</v>
      </c>
      <c r="F314" s="158">
        <v>235</v>
      </c>
      <c r="H314" s="158">
        <v>3.3</v>
      </c>
      <c r="I314" s="158">
        <v>0</v>
      </c>
      <c r="J314" s="158">
        <v>3.3</v>
      </c>
      <c r="K314" s="158" t="s">
        <v>238</v>
      </c>
    </row>
    <row r="315" spans="4:11">
      <c r="D315" s="158">
        <v>152016</v>
      </c>
      <c r="E315" s="158">
        <v>10011</v>
      </c>
      <c r="F315" s="158">
        <v>416</v>
      </c>
      <c r="H315" s="158">
        <v>3.85</v>
      </c>
      <c r="I315" s="158">
        <v>0</v>
      </c>
      <c r="J315" s="158">
        <v>3.85</v>
      </c>
      <c r="K315" s="158" t="s">
        <v>238</v>
      </c>
    </row>
    <row r="316" spans="4:11">
      <c r="D316" s="158">
        <v>152017</v>
      </c>
      <c r="E316" s="158">
        <v>10011</v>
      </c>
      <c r="F316" s="158">
        <v>393</v>
      </c>
      <c r="H316" s="158">
        <v>5.98</v>
      </c>
      <c r="I316" s="158">
        <v>0</v>
      </c>
      <c r="J316" s="158">
        <v>5.98</v>
      </c>
      <c r="K316" s="158" t="s">
        <v>238</v>
      </c>
    </row>
    <row r="317" spans="4:11">
      <c r="D317" s="158">
        <v>152018</v>
      </c>
      <c r="E317" s="158">
        <v>10011</v>
      </c>
      <c r="F317" s="158">
        <v>431</v>
      </c>
      <c r="H317" s="158">
        <v>0</v>
      </c>
      <c r="I317" s="158">
        <v>0</v>
      </c>
      <c r="J317" s="158">
        <v>0</v>
      </c>
      <c r="K317" s="158" t="s">
        <v>238</v>
      </c>
    </row>
    <row r="318" spans="4:11">
      <c r="D318" s="158">
        <v>152019</v>
      </c>
      <c r="E318" s="158">
        <v>10011</v>
      </c>
      <c r="F318" s="158">
        <v>965</v>
      </c>
      <c r="H318" s="158">
        <v>4.4000000000000004</v>
      </c>
      <c r="I318" s="158">
        <v>0</v>
      </c>
      <c r="J318" s="158">
        <v>4.4000000000000004</v>
      </c>
      <c r="K318" s="158" t="s">
        <v>238</v>
      </c>
    </row>
    <row r="319" spans="4:11">
      <c r="D319" s="158">
        <v>152020</v>
      </c>
      <c r="E319" s="158">
        <v>10011</v>
      </c>
      <c r="F319" s="158">
        <v>588</v>
      </c>
      <c r="H319" s="158">
        <v>3.3</v>
      </c>
      <c r="I319" s="158">
        <v>0</v>
      </c>
      <c r="J319" s="158">
        <v>3.3</v>
      </c>
      <c r="K319" s="158" t="s">
        <v>238</v>
      </c>
    </row>
    <row r="320" spans="4:11">
      <c r="D320" s="158">
        <v>152021</v>
      </c>
      <c r="E320" s="158">
        <v>10011</v>
      </c>
      <c r="F320" s="158">
        <v>1039</v>
      </c>
      <c r="H320" s="158">
        <v>4.3</v>
      </c>
      <c r="I320" s="158">
        <v>0</v>
      </c>
      <c r="J320" s="158">
        <v>4.3</v>
      </c>
      <c r="K320" s="158" t="s">
        <v>238</v>
      </c>
    </row>
    <row r="321" spans="4:11">
      <c r="D321" s="158">
        <v>152022</v>
      </c>
      <c r="E321" s="158">
        <v>10011</v>
      </c>
      <c r="F321" s="158">
        <v>1036</v>
      </c>
      <c r="H321" s="158">
        <v>10.15</v>
      </c>
      <c r="I321" s="158">
        <v>0</v>
      </c>
      <c r="J321" s="158">
        <v>10.15</v>
      </c>
      <c r="K321" s="158" t="s">
        <v>238</v>
      </c>
    </row>
    <row r="322" spans="4:11">
      <c r="D322" s="158">
        <v>152023</v>
      </c>
      <c r="E322" s="158">
        <v>10011</v>
      </c>
      <c r="F322" s="158">
        <v>402</v>
      </c>
      <c r="H322" s="158">
        <v>2.6</v>
      </c>
      <c r="I322" s="158">
        <v>0</v>
      </c>
      <c r="J322" s="158">
        <v>2.6</v>
      </c>
      <c r="K322" s="158" t="s">
        <v>238</v>
      </c>
    </row>
    <row r="323" spans="4:11">
      <c r="D323" s="158">
        <v>152024</v>
      </c>
      <c r="E323" s="158">
        <v>10011</v>
      </c>
      <c r="F323" s="158">
        <v>1164</v>
      </c>
      <c r="H323" s="158">
        <v>2.97</v>
      </c>
      <c r="I323" s="158">
        <v>0</v>
      </c>
      <c r="J323" s="158">
        <v>2.97</v>
      </c>
      <c r="K323" s="158" t="s">
        <v>238</v>
      </c>
    </row>
    <row r="324" spans="4:11">
      <c r="D324" s="158">
        <v>152025</v>
      </c>
      <c r="E324" s="158">
        <v>10011</v>
      </c>
      <c r="F324" s="158">
        <v>1506</v>
      </c>
      <c r="H324" s="158">
        <v>1.85</v>
      </c>
      <c r="I324" s="158">
        <v>0</v>
      </c>
      <c r="J324" s="158">
        <v>1.85</v>
      </c>
      <c r="K324" s="158" t="s">
        <v>238</v>
      </c>
    </row>
    <row r="325" spans="4:11">
      <c r="D325" s="158">
        <v>152026</v>
      </c>
      <c r="E325" s="158">
        <v>10011</v>
      </c>
      <c r="F325" s="158">
        <v>257</v>
      </c>
      <c r="H325" s="158">
        <v>6.2</v>
      </c>
      <c r="I325" s="158">
        <v>0</v>
      </c>
      <c r="J325" s="158">
        <v>6.2</v>
      </c>
      <c r="K325" s="158" t="s">
        <v>238</v>
      </c>
    </row>
    <row r="326" spans="4:11">
      <c r="D326" s="158">
        <v>152027</v>
      </c>
      <c r="E326" s="158">
        <v>10011</v>
      </c>
      <c r="F326" s="158">
        <v>1667</v>
      </c>
      <c r="H326" s="158">
        <v>4.78</v>
      </c>
      <c r="I326" s="158">
        <v>0</v>
      </c>
      <c r="J326" s="158">
        <v>4.78</v>
      </c>
      <c r="K326" s="158" t="s">
        <v>238</v>
      </c>
    </row>
    <row r="327" spans="4:11">
      <c r="D327" s="158">
        <v>152028</v>
      </c>
      <c r="E327" s="158">
        <v>10011</v>
      </c>
      <c r="F327" s="158">
        <v>1735</v>
      </c>
      <c r="H327" s="158">
        <v>4.3</v>
      </c>
      <c r="I327" s="158">
        <v>0</v>
      </c>
      <c r="J327" s="158">
        <v>4.3</v>
      </c>
      <c r="K327" s="158" t="s">
        <v>238</v>
      </c>
    </row>
    <row r="328" spans="4:11">
      <c r="D328" s="158">
        <v>152029</v>
      </c>
      <c r="E328" s="158">
        <v>10011</v>
      </c>
      <c r="F328" s="158">
        <v>1969</v>
      </c>
      <c r="H328" s="158">
        <v>4.75</v>
      </c>
      <c r="I328" s="158">
        <v>0</v>
      </c>
      <c r="J328" s="158">
        <v>4.75</v>
      </c>
      <c r="K328" s="158" t="s">
        <v>238</v>
      </c>
    </row>
    <row r="329" spans="4:11">
      <c r="D329" s="158">
        <v>152030</v>
      </c>
      <c r="E329" s="158">
        <v>10011</v>
      </c>
      <c r="F329" s="158">
        <v>2001</v>
      </c>
      <c r="H329" s="158">
        <v>2.1</v>
      </c>
      <c r="I329" s="158">
        <v>0</v>
      </c>
      <c r="J329" s="158">
        <v>2.1</v>
      </c>
      <c r="K329" s="158" t="s">
        <v>238</v>
      </c>
    </row>
    <row r="330" spans="4:11">
      <c r="D330" s="158">
        <v>152031</v>
      </c>
      <c r="E330" s="158">
        <v>10011</v>
      </c>
      <c r="F330" s="158">
        <v>393</v>
      </c>
      <c r="H330" s="158">
        <v>0</v>
      </c>
      <c r="I330" s="158">
        <v>0</v>
      </c>
      <c r="J330" s="158">
        <v>0</v>
      </c>
      <c r="K330" s="158" t="s">
        <v>238</v>
      </c>
    </row>
    <row r="331" spans="4:11">
      <c r="D331" s="158">
        <v>152032</v>
      </c>
      <c r="E331" s="158">
        <v>10011</v>
      </c>
      <c r="F331" s="158">
        <v>2017</v>
      </c>
      <c r="H331" s="158">
        <v>3.4</v>
      </c>
      <c r="I331" s="158">
        <v>0</v>
      </c>
      <c r="J331" s="158">
        <v>3.4</v>
      </c>
      <c r="K331" s="158" t="s">
        <v>238</v>
      </c>
    </row>
    <row r="332" spans="4:11">
      <c r="D332" s="158">
        <v>152033</v>
      </c>
      <c r="E332" s="158">
        <v>10011</v>
      </c>
      <c r="F332" s="158">
        <v>2071</v>
      </c>
      <c r="H332" s="158">
        <v>0</v>
      </c>
      <c r="I332" s="158">
        <v>0</v>
      </c>
      <c r="J332" s="158">
        <v>0</v>
      </c>
      <c r="K332" s="158" t="s">
        <v>238</v>
      </c>
    </row>
    <row r="333" spans="4:11">
      <c r="D333" s="158">
        <v>152035</v>
      </c>
      <c r="E333" s="158">
        <v>10011</v>
      </c>
      <c r="F333" s="158">
        <v>290</v>
      </c>
      <c r="H333" s="158">
        <v>0</v>
      </c>
      <c r="I333" s="158">
        <v>0</v>
      </c>
      <c r="J333" s="158">
        <v>0</v>
      </c>
      <c r="K333" s="158" t="s">
        <v>238</v>
      </c>
    </row>
    <row r="334" spans="4:11">
      <c r="D334" s="158">
        <v>152036</v>
      </c>
      <c r="E334" s="158">
        <v>10011</v>
      </c>
      <c r="F334" s="158">
        <v>180</v>
      </c>
      <c r="H334" s="158">
        <v>0</v>
      </c>
      <c r="I334" s="158">
        <v>0</v>
      </c>
      <c r="J334" s="158">
        <v>0</v>
      </c>
      <c r="K334" s="158" t="s">
        <v>238</v>
      </c>
    </row>
    <row r="335" spans="4:11">
      <c r="D335" s="158">
        <v>152037</v>
      </c>
      <c r="E335" s="158">
        <v>10011</v>
      </c>
      <c r="F335" s="158">
        <v>229</v>
      </c>
      <c r="H335" s="158">
        <v>3.5</v>
      </c>
      <c r="I335" s="158">
        <v>0</v>
      </c>
      <c r="J335" s="158">
        <v>3.5</v>
      </c>
      <c r="K335" s="158" t="s">
        <v>238</v>
      </c>
    </row>
    <row r="336" spans="4:11">
      <c r="D336" s="158">
        <v>152038</v>
      </c>
      <c r="E336" s="158">
        <v>10011</v>
      </c>
      <c r="F336" s="158">
        <v>431</v>
      </c>
      <c r="H336" s="158">
        <v>0.3</v>
      </c>
      <c r="I336" s="158">
        <v>0</v>
      </c>
      <c r="J336" s="158">
        <v>0.3</v>
      </c>
      <c r="K336" s="158" t="s">
        <v>238</v>
      </c>
    </row>
    <row r="337" spans="4:11">
      <c r="D337" s="158">
        <v>152039</v>
      </c>
      <c r="E337" s="158">
        <v>10011</v>
      </c>
      <c r="F337" s="158">
        <v>291</v>
      </c>
      <c r="H337" s="158">
        <v>0.3</v>
      </c>
      <c r="I337" s="158">
        <v>0</v>
      </c>
      <c r="J337" s="158">
        <v>0.3</v>
      </c>
      <c r="K337" s="158" t="s">
        <v>238</v>
      </c>
    </row>
    <row r="338" spans="4:11">
      <c r="D338" s="158">
        <v>152040</v>
      </c>
      <c r="E338" s="158">
        <v>10011</v>
      </c>
      <c r="F338" s="158">
        <v>983</v>
      </c>
      <c r="H338" s="158">
        <v>0.3</v>
      </c>
      <c r="I338" s="158">
        <v>0</v>
      </c>
      <c r="J338" s="158">
        <v>0.3</v>
      </c>
      <c r="K338" s="158" t="s">
        <v>238</v>
      </c>
    </row>
    <row r="339" spans="4:11">
      <c r="D339" s="158">
        <v>152041</v>
      </c>
      <c r="E339" s="158">
        <v>10011</v>
      </c>
      <c r="F339" s="158">
        <v>235</v>
      </c>
      <c r="H339" s="158">
        <v>0</v>
      </c>
      <c r="I339" s="158">
        <v>0</v>
      </c>
      <c r="J339" s="158">
        <v>0</v>
      </c>
      <c r="K339" s="158" t="s">
        <v>238</v>
      </c>
    </row>
    <row r="340" spans="4:11">
      <c r="D340" s="158">
        <v>152042</v>
      </c>
      <c r="E340" s="158">
        <v>10011</v>
      </c>
      <c r="F340" s="158">
        <v>416</v>
      </c>
      <c r="H340" s="158">
        <v>0</v>
      </c>
      <c r="I340" s="158">
        <v>0</v>
      </c>
      <c r="J340" s="158">
        <v>0</v>
      </c>
      <c r="K340" s="158" t="s">
        <v>238</v>
      </c>
    </row>
    <row r="341" spans="4:11">
      <c r="D341" s="158">
        <v>152043</v>
      </c>
      <c r="E341" s="158">
        <v>10011</v>
      </c>
      <c r="F341" s="158">
        <v>393</v>
      </c>
      <c r="H341" s="158">
        <v>0.2</v>
      </c>
      <c r="I341" s="158">
        <v>0</v>
      </c>
      <c r="J341" s="158">
        <v>0.2</v>
      </c>
      <c r="K341" s="158" t="s">
        <v>238</v>
      </c>
    </row>
    <row r="342" spans="4:11">
      <c r="D342" s="158">
        <v>152044</v>
      </c>
      <c r="E342" s="158">
        <v>10011</v>
      </c>
      <c r="F342" s="158">
        <v>431</v>
      </c>
      <c r="H342" s="158">
        <v>0</v>
      </c>
      <c r="I342" s="158">
        <v>0</v>
      </c>
      <c r="J342" s="158">
        <v>0</v>
      </c>
      <c r="K342" s="158" t="s">
        <v>238</v>
      </c>
    </row>
    <row r="343" spans="4:11">
      <c r="D343" s="158">
        <v>152045</v>
      </c>
      <c r="E343" s="158">
        <v>10011</v>
      </c>
      <c r="F343" s="158">
        <v>965</v>
      </c>
      <c r="H343" s="158">
        <v>1.1499999999999999</v>
      </c>
      <c r="I343" s="158">
        <v>0</v>
      </c>
      <c r="J343" s="158">
        <v>1.1499999999999999</v>
      </c>
      <c r="K343" s="158" t="s">
        <v>238</v>
      </c>
    </row>
    <row r="344" spans="4:11">
      <c r="D344" s="158">
        <v>152046</v>
      </c>
      <c r="E344" s="158">
        <v>10011</v>
      </c>
      <c r="F344" s="158">
        <v>588</v>
      </c>
      <c r="H344" s="158">
        <v>0</v>
      </c>
      <c r="I344" s="158">
        <v>0</v>
      </c>
      <c r="J344" s="158">
        <v>0</v>
      </c>
      <c r="K344" s="158" t="s">
        <v>238</v>
      </c>
    </row>
    <row r="345" spans="4:11">
      <c r="D345" s="158">
        <v>152047</v>
      </c>
      <c r="E345" s="158">
        <v>10011</v>
      </c>
      <c r="F345" s="158">
        <v>1039</v>
      </c>
      <c r="H345" s="158">
        <v>0.2</v>
      </c>
      <c r="I345" s="158">
        <v>0</v>
      </c>
      <c r="J345" s="158">
        <v>0.2</v>
      </c>
      <c r="K345" s="158" t="s">
        <v>238</v>
      </c>
    </row>
    <row r="346" spans="4:11">
      <c r="D346" s="158">
        <v>152048</v>
      </c>
      <c r="E346" s="158">
        <v>10011</v>
      </c>
      <c r="F346" s="158">
        <v>1036</v>
      </c>
      <c r="H346" s="158">
        <v>0</v>
      </c>
      <c r="I346" s="158">
        <v>0</v>
      </c>
      <c r="J346" s="158">
        <v>0</v>
      </c>
      <c r="K346" s="158" t="s">
        <v>238</v>
      </c>
    </row>
    <row r="347" spans="4:11">
      <c r="D347" s="158">
        <v>152049</v>
      </c>
      <c r="E347" s="158">
        <v>10011</v>
      </c>
      <c r="F347" s="158">
        <v>402</v>
      </c>
      <c r="H347" s="158">
        <v>0.8</v>
      </c>
      <c r="I347" s="158">
        <v>0</v>
      </c>
      <c r="J347" s="158">
        <v>0.8</v>
      </c>
      <c r="K347" s="158" t="s">
        <v>238</v>
      </c>
    </row>
    <row r="348" spans="4:11">
      <c r="D348" s="158">
        <v>152050</v>
      </c>
      <c r="E348" s="158">
        <v>10011</v>
      </c>
      <c r="F348" s="158">
        <v>1164</v>
      </c>
      <c r="H348" s="158">
        <v>0</v>
      </c>
      <c r="I348" s="158">
        <v>0</v>
      </c>
      <c r="J348" s="158">
        <v>0</v>
      </c>
      <c r="K348" s="158" t="s">
        <v>238</v>
      </c>
    </row>
    <row r="349" spans="4:11">
      <c r="D349" s="158">
        <v>152051</v>
      </c>
      <c r="E349" s="158">
        <v>10011</v>
      </c>
      <c r="F349" s="158">
        <v>1506</v>
      </c>
      <c r="H349" s="158">
        <v>0.7</v>
      </c>
      <c r="I349" s="158">
        <v>0</v>
      </c>
      <c r="J349" s="158">
        <v>0.7</v>
      </c>
      <c r="K349" s="158" t="s">
        <v>238</v>
      </c>
    </row>
    <row r="350" spans="4:11">
      <c r="D350" s="158">
        <v>152052</v>
      </c>
      <c r="E350" s="158">
        <v>10011</v>
      </c>
      <c r="F350" s="158">
        <v>257</v>
      </c>
      <c r="H350" s="158">
        <v>2.2000000000000002</v>
      </c>
      <c r="I350" s="158">
        <v>0</v>
      </c>
      <c r="J350" s="158">
        <v>2.2000000000000002</v>
      </c>
      <c r="K350" s="158" t="s">
        <v>238</v>
      </c>
    </row>
    <row r="351" spans="4:11">
      <c r="D351" s="158">
        <v>152053</v>
      </c>
      <c r="E351" s="158">
        <v>10011</v>
      </c>
      <c r="F351" s="158">
        <v>1667</v>
      </c>
      <c r="H351" s="158">
        <v>0.2</v>
      </c>
      <c r="I351" s="158">
        <v>0</v>
      </c>
      <c r="J351" s="158">
        <v>0.2</v>
      </c>
      <c r="K351" s="158" t="s">
        <v>238</v>
      </c>
    </row>
    <row r="352" spans="4:11">
      <c r="D352" s="158">
        <v>152054</v>
      </c>
      <c r="E352" s="158">
        <v>10011</v>
      </c>
      <c r="F352" s="158">
        <v>1735</v>
      </c>
      <c r="H352" s="158">
        <v>0</v>
      </c>
      <c r="I352" s="158">
        <v>0</v>
      </c>
      <c r="J352" s="158">
        <v>0</v>
      </c>
      <c r="K352" s="158" t="s">
        <v>238</v>
      </c>
    </row>
    <row r="353" spans="4:11">
      <c r="D353" s="158">
        <v>152055</v>
      </c>
      <c r="E353" s="158">
        <v>10011</v>
      </c>
      <c r="F353" s="158">
        <v>1969</v>
      </c>
      <c r="H353" s="158">
        <v>0.2</v>
      </c>
      <c r="I353" s="158">
        <v>0</v>
      </c>
      <c r="J353" s="158">
        <v>0.2</v>
      </c>
      <c r="K353" s="158" t="s">
        <v>238</v>
      </c>
    </row>
    <row r="354" spans="4:11">
      <c r="D354" s="158">
        <v>152056</v>
      </c>
      <c r="E354" s="158">
        <v>10011</v>
      </c>
      <c r="F354" s="158">
        <v>2001</v>
      </c>
      <c r="H354" s="158">
        <v>0.2</v>
      </c>
      <c r="I354" s="158">
        <v>0</v>
      </c>
      <c r="J354" s="158">
        <v>0.2</v>
      </c>
      <c r="K354" s="158" t="s">
        <v>238</v>
      </c>
    </row>
    <row r="355" spans="4:11">
      <c r="D355" s="158">
        <v>152057</v>
      </c>
      <c r="E355" s="158">
        <v>10011</v>
      </c>
      <c r="F355" s="158">
        <v>393</v>
      </c>
      <c r="H355" s="158">
        <v>0</v>
      </c>
      <c r="I355" s="158">
        <v>0</v>
      </c>
      <c r="J355" s="158">
        <v>0</v>
      </c>
      <c r="K355" s="158" t="s">
        <v>238</v>
      </c>
    </row>
    <row r="356" spans="4:11">
      <c r="D356" s="158">
        <v>152058</v>
      </c>
      <c r="E356" s="158">
        <v>10011</v>
      </c>
      <c r="F356" s="158">
        <v>2017</v>
      </c>
      <c r="H356" s="158">
        <v>0.2</v>
      </c>
      <c r="I356" s="158">
        <v>0</v>
      </c>
      <c r="J356" s="158">
        <v>0.2</v>
      </c>
      <c r="K356" s="158" t="s">
        <v>238</v>
      </c>
    </row>
    <row r="357" spans="4:11">
      <c r="D357" s="158">
        <v>152059</v>
      </c>
      <c r="E357" s="158">
        <v>10011</v>
      </c>
      <c r="F357" s="158">
        <v>2071</v>
      </c>
      <c r="H357" s="158">
        <v>0</v>
      </c>
      <c r="I357" s="158">
        <v>0</v>
      </c>
      <c r="J357" s="158">
        <v>0</v>
      </c>
      <c r="K357" s="158" t="s">
        <v>238</v>
      </c>
    </row>
    <row r="358" spans="4:11">
      <c r="D358" s="158">
        <v>152061</v>
      </c>
      <c r="E358" s="158">
        <v>10015</v>
      </c>
      <c r="F358" s="158">
        <v>290</v>
      </c>
      <c r="H358" s="158">
        <v>0</v>
      </c>
      <c r="I358" s="158">
        <v>0</v>
      </c>
      <c r="J358" s="158">
        <v>0</v>
      </c>
      <c r="K358" s="158" t="s">
        <v>238</v>
      </c>
    </row>
    <row r="359" spans="4:11">
      <c r="D359" s="158">
        <v>152062</v>
      </c>
      <c r="E359" s="158">
        <v>10015</v>
      </c>
      <c r="F359" s="158">
        <v>180</v>
      </c>
      <c r="H359" s="158">
        <v>11.02</v>
      </c>
      <c r="I359" s="158">
        <v>0</v>
      </c>
      <c r="J359" s="158">
        <v>11.02</v>
      </c>
      <c r="K359" s="158" t="s">
        <v>238</v>
      </c>
    </row>
    <row r="360" spans="4:11">
      <c r="D360" s="158">
        <v>152063</v>
      </c>
      <c r="E360" s="158">
        <v>10015</v>
      </c>
      <c r="F360" s="158">
        <v>229</v>
      </c>
      <c r="H360" s="158">
        <v>5.7</v>
      </c>
      <c r="I360" s="158">
        <v>0</v>
      </c>
      <c r="J360" s="158">
        <v>5.7</v>
      </c>
      <c r="K360" s="158" t="s">
        <v>238</v>
      </c>
    </row>
    <row r="361" spans="4:11">
      <c r="D361" s="158">
        <v>152064</v>
      </c>
      <c r="E361" s="158">
        <v>10015</v>
      </c>
      <c r="F361" s="158">
        <v>431</v>
      </c>
      <c r="H361" s="158">
        <v>0.2</v>
      </c>
      <c r="I361" s="158">
        <v>0</v>
      </c>
      <c r="J361" s="158">
        <v>0.2</v>
      </c>
      <c r="K361" s="158" t="s">
        <v>238</v>
      </c>
    </row>
    <row r="362" spans="4:11">
      <c r="D362" s="158">
        <v>152065</v>
      </c>
      <c r="E362" s="158">
        <v>10015</v>
      </c>
      <c r="F362" s="158">
        <v>291</v>
      </c>
      <c r="H362" s="158">
        <v>13.75</v>
      </c>
      <c r="I362" s="158">
        <v>0</v>
      </c>
      <c r="J362" s="158">
        <v>13.75</v>
      </c>
      <c r="K362" s="158" t="s">
        <v>238</v>
      </c>
    </row>
    <row r="363" spans="4:11">
      <c r="D363" s="158">
        <v>152066</v>
      </c>
      <c r="E363" s="158">
        <v>10015</v>
      </c>
      <c r="F363" s="158">
        <v>983</v>
      </c>
      <c r="H363" s="158">
        <v>2.8</v>
      </c>
      <c r="I363" s="158">
        <v>0</v>
      </c>
      <c r="J363" s="158">
        <v>2.8</v>
      </c>
      <c r="K363" s="158" t="s">
        <v>238</v>
      </c>
    </row>
    <row r="364" spans="4:11">
      <c r="D364" s="158">
        <v>152067</v>
      </c>
      <c r="E364" s="158">
        <v>10015</v>
      </c>
      <c r="F364" s="158">
        <v>235</v>
      </c>
      <c r="H364" s="158">
        <v>6.6</v>
      </c>
      <c r="I364" s="158">
        <v>0</v>
      </c>
      <c r="J364" s="158">
        <v>6.6</v>
      </c>
      <c r="K364" s="158" t="s">
        <v>238</v>
      </c>
    </row>
    <row r="365" spans="4:11">
      <c r="D365" s="158">
        <v>152068</v>
      </c>
      <c r="E365" s="158">
        <v>10015</v>
      </c>
      <c r="F365" s="158">
        <v>416</v>
      </c>
      <c r="H365" s="158">
        <v>3.8</v>
      </c>
      <c r="I365" s="158">
        <v>0</v>
      </c>
      <c r="J365" s="158">
        <v>3.8</v>
      </c>
      <c r="K365" s="158" t="s">
        <v>238</v>
      </c>
    </row>
    <row r="366" spans="4:11">
      <c r="D366" s="158">
        <v>152069</v>
      </c>
      <c r="E366" s="158">
        <v>10015</v>
      </c>
      <c r="F366" s="158">
        <v>393</v>
      </c>
      <c r="H366" s="158">
        <v>2.34</v>
      </c>
      <c r="I366" s="158">
        <v>0</v>
      </c>
      <c r="J366" s="158">
        <v>2.34</v>
      </c>
      <c r="K366" s="158" t="s">
        <v>238</v>
      </c>
    </row>
    <row r="367" spans="4:11">
      <c r="D367" s="158">
        <v>152070</v>
      </c>
      <c r="E367" s="158">
        <v>10015</v>
      </c>
      <c r="F367" s="158">
        <v>431</v>
      </c>
      <c r="H367" s="158">
        <v>0</v>
      </c>
      <c r="I367" s="158">
        <v>0</v>
      </c>
      <c r="J367" s="158">
        <v>0</v>
      </c>
      <c r="K367" s="158" t="s">
        <v>238</v>
      </c>
    </row>
    <row r="368" spans="4:11">
      <c r="D368" s="158">
        <v>152071</v>
      </c>
      <c r="E368" s="158">
        <v>10015</v>
      </c>
      <c r="F368" s="158">
        <v>965</v>
      </c>
      <c r="H368" s="158">
        <v>0.35</v>
      </c>
      <c r="I368" s="158">
        <v>0</v>
      </c>
      <c r="J368" s="158">
        <v>0.35</v>
      </c>
      <c r="K368" s="158" t="s">
        <v>238</v>
      </c>
    </row>
    <row r="369" spans="4:11">
      <c r="D369" s="158">
        <v>152072</v>
      </c>
      <c r="E369" s="158">
        <v>10015</v>
      </c>
      <c r="F369" s="158">
        <v>588</v>
      </c>
      <c r="H369" s="158">
        <v>2.6</v>
      </c>
      <c r="I369" s="158">
        <v>0</v>
      </c>
      <c r="J369" s="158">
        <v>2.6</v>
      </c>
      <c r="K369" s="158" t="s">
        <v>238</v>
      </c>
    </row>
    <row r="370" spans="4:11">
      <c r="D370" s="158">
        <v>152073</v>
      </c>
      <c r="E370" s="158">
        <v>10015</v>
      </c>
      <c r="F370" s="158">
        <v>1039</v>
      </c>
      <c r="H370" s="158">
        <v>0.9</v>
      </c>
      <c r="I370" s="158">
        <v>0</v>
      </c>
      <c r="J370" s="158">
        <v>0.9</v>
      </c>
      <c r="K370" s="158" t="s">
        <v>238</v>
      </c>
    </row>
    <row r="371" spans="4:11">
      <c r="D371" s="158">
        <v>152074</v>
      </c>
      <c r="E371" s="158">
        <v>10015</v>
      </c>
      <c r="F371" s="158">
        <v>1036</v>
      </c>
      <c r="H371" s="158">
        <v>0</v>
      </c>
      <c r="I371" s="158">
        <v>0</v>
      </c>
      <c r="J371" s="158">
        <v>0</v>
      </c>
      <c r="K371" s="158" t="s">
        <v>238</v>
      </c>
    </row>
    <row r="372" spans="4:11">
      <c r="D372" s="158">
        <v>152075</v>
      </c>
      <c r="E372" s="158">
        <v>10015</v>
      </c>
      <c r="F372" s="158">
        <v>402</v>
      </c>
      <c r="H372" s="158">
        <v>5.0999999999999996</v>
      </c>
      <c r="I372" s="158">
        <v>0</v>
      </c>
      <c r="J372" s="158">
        <v>5.0999999999999996</v>
      </c>
      <c r="K372" s="158" t="s">
        <v>238</v>
      </c>
    </row>
    <row r="373" spans="4:11">
      <c r="D373" s="158">
        <v>152076</v>
      </c>
      <c r="E373" s="158">
        <v>10015</v>
      </c>
      <c r="F373" s="158">
        <v>1164</v>
      </c>
      <c r="H373" s="158">
        <v>4.9800000000000004</v>
      </c>
      <c r="I373" s="158">
        <v>0</v>
      </c>
      <c r="J373" s="158">
        <v>4.9800000000000004</v>
      </c>
      <c r="K373" s="158" t="s">
        <v>238</v>
      </c>
    </row>
    <row r="374" spans="4:11">
      <c r="D374" s="158">
        <v>152077</v>
      </c>
      <c r="E374" s="158">
        <v>10015</v>
      </c>
      <c r="F374" s="158">
        <v>1506</v>
      </c>
      <c r="H374" s="158">
        <v>1.39</v>
      </c>
      <c r="I374" s="158">
        <v>0</v>
      </c>
      <c r="J374" s="158">
        <v>1.39</v>
      </c>
      <c r="K374" s="158" t="s">
        <v>238</v>
      </c>
    </row>
    <row r="375" spans="4:11">
      <c r="D375" s="158">
        <v>152078</v>
      </c>
      <c r="E375" s="158">
        <v>10015</v>
      </c>
      <c r="F375" s="158">
        <v>257</v>
      </c>
      <c r="H375" s="158">
        <v>2.1</v>
      </c>
      <c r="I375" s="158">
        <v>0</v>
      </c>
      <c r="J375" s="158">
        <v>2.1</v>
      </c>
      <c r="K375" s="158" t="s">
        <v>238</v>
      </c>
    </row>
    <row r="376" spans="4:11">
      <c r="D376" s="158">
        <v>152079</v>
      </c>
      <c r="E376" s="158">
        <v>10015</v>
      </c>
      <c r="F376" s="158">
        <v>1667</v>
      </c>
      <c r="H376" s="158">
        <v>5.8</v>
      </c>
      <c r="I376" s="158">
        <v>0</v>
      </c>
      <c r="J376" s="158">
        <v>5.8</v>
      </c>
      <c r="K376" s="158" t="s">
        <v>238</v>
      </c>
    </row>
    <row r="377" spans="4:11">
      <c r="D377" s="158">
        <v>152080</v>
      </c>
      <c r="E377" s="158">
        <v>10015</v>
      </c>
      <c r="F377" s="158">
        <v>1735</v>
      </c>
      <c r="H377" s="158">
        <v>0.9</v>
      </c>
      <c r="I377" s="158">
        <v>0</v>
      </c>
      <c r="J377" s="158">
        <v>0.9</v>
      </c>
      <c r="K377" s="158" t="s">
        <v>238</v>
      </c>
    </row>
    <row r="378" spans="4:11">
      <c r="D378" s="158">
        <v>152081</v>
      </c>
      <c r="E378" s="158">
        <v>10015</v>
      </c>
      <c r="F378" s="158">
        <v>1969</v>
      </c>
      <c r="H378" s="158">
        <v>1</v>
      </c>
      <c r="I378" s="158">
        <v>0</v>
      </c>
      <c r="J378" s="158">
        <v>1</v>
      </c>
      <c r="K378" s="158" t="s">
        <v>238</v>
      </c>
    </row>
    <row r="379" spans="4:11">
      <c r="D379" s="158">
        <v>152082</v>
      </c>
      <c r="E379" s="158">
        <v>10015</v>
      </c>
      <c r="F379" s="158">
        <v>2001</v>
      </c>
      <c r="H379" s="158">
        <v>3.7</v>
      </c>
      <c r="I379" s="158">
        <v>0</v>
      </c>
      <c r="J379" s="158">
        <v>3.7</v>
      </c>
      <c r="K379" s="158" t="s">
        <v>238</v>
      </c>
    </row>
    <row r="380" spans="4:11">
      <c r="D380" s="158">
        <v>152083</v>
      </c>
      <c r="E380" s="158">
        <v>10015</v>
      </c>
      <c r="F380" s="158">
        <v>393</v>
      </c>
      <c r="H380" s="158">
        <v>0</v>
      </c>
      <c r="I380" s="158">
        <v>0</v>
      </c>
      <c r="J380" s="158">
        <v>0</v>
      </c>
      <c r="K380" s="158" t="s">
        <v>238</v>
      </c>
    </row>
    <row r="381" spans="4:11">
      <c r="D381" s="158">
        <v>152084</v>
      </c>
      <c r="E381" s="158">
        <v>10015</v>
      </c>
      <c r="F381" s="158">
        <v>2017</v>
      </c>
      <c r="H381" s="158">
        <v>2.5</v>
      </c>
      <c r="I381" s="158">
        <v>0</v>
      </c>
      <c r="J381" s="158">
        <v>2.5</v>
      </c>
      <c r="K381" s="158" t="s">
        <v>238</v>
      </c>
    </row>
    <row r="382" spans="4:11">
      <c r="D382" s="158">
        <v>152085</v>
      </c>
      <c r="E382" s="158">
        <v>10015</v>
      </c>
      <c r="F382" s="158">
        <v>2071</v>
      </c>
      <c r="H382" s="158">
        <v>0</v>
      </c>
      <c r="I382" s="158">
        <v>0</v>
      </c>
      <c r="J382" s="158">
        <v>0</v>
      </c>
      <c r="K382" s="158" t="s">
        <v>238</v>
      </c>
    </row>
    <row r="383" spans="4:11">
      <c r="D383" s="158">
        <v>152088</v>
      </c>
      <c r="E383" s="158">
        <v>10096</v>
      </c>
      <c r="F383" s="158">
        <v>290</v>
      </c>
      <c r="H383" s="158">
        <v>2.35</v>
      </c>
      <c r="I383" s="158">
        <v>0</v>
      </c>
      <c r="J383" s="158">
        <v>2.35</v>
      </c>
      <c r="K383" s="158" t="s">
        <v>237</v>
      </c>
    </row>
    <row r="384" spans="4:11">
      <c r="D384" s="158">
        <v>152094</v>
      </c>
      <c r="E384" s="158">
        <v>10097</v>
      </c>
      <c r="F384" s="158">
        <v>290</v>
      </c>
      <c r="H384" s="158">
        <v>0</v>
      </c>
      <c r="I384" s="158">
        <v>0</v>
      </c>
      <c r="J384" s="158">
        <v>0</v>
      </c>
      <c r="K384" s="158" t="s">
        <v>237</v>
      </c>
    </row>
    <row r="385" spans="4:11">
      <c r="D385" s="158">
        <v>152095</v>
      </c>
      <c r="E385" s="158">
        <v>10097</v>
      </c>
      <c r="F385" s="158">
        <v>291</v>
      </c>
      <c r="H385" s="158">
        <v>1.3</v>
      </c>
      <c r="I385" s="158">
        <v>0</v>
      </c>
      <c r="J385" s="158">
        <v>1.3</v>
      </c>
      <c r="K385" s="158" t="s">
        <v>237</v>
      </c>
    </row>
    <row r="386" spans="4:11">
      <c r="D386" s="158">
        <v>152096</v>
      </c>
      <c r="E386" s="158">
        <v>10097</v>
      </c>
      <c r="F386" s="158">
        <v>966</v>
      </c>
      <c r="K386" s="158" t="s">
        <v>237</v>
      </c>
    </row>
    <row r="387" spans="4:11">
      <c r="D387" s="158">
        <v>152097</v>
      </c>
      <c r="E387" s="158">
        <v>10097</v>
      </c>
      <c r="F387" s="158">
        <v>983</v>
      </c>
      <c r="H387" s="158">
        <v>9.1</v>
      </c>
      <c r="I387" s="158">
        <v>0</v>
      </c>
      <c r="J387" s="158">
        <v>9.1</v>
      </c>
      <c r="K387" s="158" t="s">
        <v>237</v>
      </c>
    </row>
    <row r="388" spans="4:11">
      <c r="D388" s="158">
        <v>152098</v>
      </c>
      <c r="E388" s="158">
        <v>10097</v>
      </c>
      <c r="F388" s="158">
        <v>965</v>
      </c>
      <c r="H388" s="158">
        <v>1</v>
      </c>
      <c r="I388" s="158">
        <v>0</v>
      </c>
      <c r="J388" s="158">
        <v>1</v>
      </c>
      <c r="K388" s="158" t="s">
        <v>237</v>
      </c>
    </row>
    <row r="389" spans="4:11">
      <c r="D389" s="158">
        <v>152099</v>
      </c>
      <c r="E389" s="158">
        <v>10097</v>
      </c>
      <c r="F389" s="158">
        <v>402</v>
      </c>
      <c r="H389" s="158">
        <v>6.1</v>
      </c>
      <c r="I389" s="158">
        <v>0</v>
      </c>
      <c r="J389" s="158">
        <v>6.1</v>
      </c>
      <c r="K389" s="158" t="s">
        <v>237</v>
      </c>
    </row>
    <row r="390" spans="4:11">
      <c r="D390" s="158">
        <v>152100</v>
      </c>
      <c r="E390" s="158">
        <v>10097</v>
      </c>
      <c r="F390" s="158">
        <v>588</v>
      </c>
      <c r="H390" s="158">
        <v>16.850000000000001</v>
      </c>
      <c r="I390" s="158">
        <v>0</v>
      </c>
      <c r="J390" s="158">
        <v>16.850000000000001</v>
      </c>
      <c r="K390" s="158" t="s">
        <v>237</v>
      </c>
    </row>
    <row r="391" spans="4:11">
      <c r="D391" s="158">
        <v>152101</v>
      </c>
      <c r="E391" s="158">
        <v>10097</v>
      </c>
      <c r="F391" s="158">
        <v>1039</v>
      </c>
      <c r="H391" s="158">
        <v>1.9</v>
      </c>
      <c r="I391" s="158">
        <v>0</v>
      </c>
      <c r="J391" s="158">
        <v>1.9</v>
      </c>
      <c r="K391" s="158" t="s">
        <v>237</v>
      </c>
    </row>
    <row r="392" spans="4:11">
      <c r="D392" s="158">
        <v>152102</v>
      </c>
      <c r="E392" s="158">
        <v>10097</v>
      </c>
      <c r="F392" s="158">
        <v>1036</v>
      </c>
      <c r="H392" s="158">
        <v>0</v>
      </c>
      <c r="I392" s="158">
        <v>0</v>
      </c>
      <c r="J392" s="158">
        <v>0</v>
      </c>
      <c r="K392" s="158" t="s">
        <v>237</v>
      </c>
    </row>
    <row r="393" spans="4:11">
      <c r="D393" s="158">
        <v>152103</v>
      </c>
      <c r="E393" s="158">
        <v>10097</v>
      </c>
      <c r="F393" s="158">
        <v>958</v>
      </c>
      <c r="K393" s="158" t="s">
        <v>237</v>
      </c>
    </row>
    <row r="394" spans="4:11">
      <c r="D394" s="158">
        <v>152104</v>
      </c>
      <c r="E394" s="158">
        <v>10097</v>
      </c>
      <c r="F394" s="158">
        <v>180</v>
      </c>
      <c r="H394" s="158">
        <v>0.97</v>
      </c>
      <c r="I394" s="158">
        <v>0</v>
      </c>
      <c r="J394" s="158">
        <v>0.97</v>
      </c>
      <c r="K394" s="158" t="s">
        <v>237</v>
      </c>
    </row>
    <row r="395" spans="4:11">
      <c r="D395" s="158">
        <v>152105</v>
      </c>
      <c r="E395" s="158">
        <v>10097</v>
      </c>
      <c r="F395" s="158">
        <v>215</v>
      </c>
      <c r="K395" s="158" t="s">
        <v>237</v>
      </c>
    </row>
    <row r="396" spans="4:11">
      <c r="D396" s="158">
        <v>152106</v>
      </c>
      <c r="E396" s="158">
        <v>10097</v>
      </c>
      <c r="F396" s="158">
        <v>257</v>
      </c>
      <c r="H396" s="158">
        <v>3</v>
      </c>
      <c r="I396" s="158">
        <v>0</v>
      </c>
      <c r="J396" s="158">
        <v>3</v>
      </c>
      <c r="K396" s="158" t="s">
        <v>237</v>
      </c>
    </row>
    <row r="397" spans="4:11">
      <c r="D397" s="158">
        <v>152107</v>
      </c>
      <c r="E397" s="158">
        <v>10097</v>
      </c>
      <c r="F397" s="158">
        <v>235</v>
      </c>
      <c r="H397" s="158">
        <v>0.6</v>
      </c>
      <c r="I397" s="158">
        <v>0</v>
      </c>
      <c r="J397" s="158">
        <v>0.6</v>
      </c>
      <c r="K397" s="158" t="s">
        <v>237</v>
      </c>
    </row>
    <row r="398" spans="4:11">
      <c r="D398" s="158">
        <v>152108</v>
      </c>
      <c r="E398" s="158">
        <v>10097</v>
      </c>
      <c r="F398" s="158">
        <v>1097</v>
      </c>
      <c r="H398" s="158">
        <v>0</v>
      </c>
      <c r="I398" s="158">
        <v>0</v>
      </c>
      <c r="J398" s="158">
        <v>0</v>
      </c>
      <c r="K398" s="158" t="s">
        <v>237</v>
      </c>
    </row>
    <row r="399" spans="4:11">
      <c r="D399" s="158">
        <v>152109</v>
      </c>
      <c r="E399" s="158">
        <v>10097</v>
      </c>
      <c r="F399" s="158">
        <v>431</v>
      </c>
      <c r="H399" s="158">
        <v>1.2</v>
      </c>
      <c r="I399" s="158">
        <v>0</v>
      </c>
      <c r="J399" s="158">
        <v>1.2</v>
      </c>
      <c r="K399" s="158" t="s">
        <v>237</v>
      </c>
    </row>
    <row r="400" spans="4:11">
      <c r="D400" s="158">
        <v>152110</v>
      </c>
      <c r="E400" s="158">
        <v>10097</v>
      </c>
      <c r="F400" s="158">
        <v>1112</v>
      </c>
      <c r="K400" s="158" t="s">
        <v>237</v>
      </c>
    </row>
    <row r="401" spans="4:11">
      <c r="D401" s="158">
        <v>152111</v>
      </c>
      <c r="E401" s="158">
        <v>10097</v>
      </c>
      <c r="F401" s="158">
        <v>1164</v>
      </c>
      <c r="H401" s="158">
        <v>8.2799999999999994</v>
      </c>
      <c r="I401" s="158">
        <v>0</v>
      </c>
      <c r="J401" s="158">
        <v>8.2799999999999994</v>
      </c>
      <c r="K401" s="158" t="s">
        <v>237</v>
      </c>
    </row>
    <row r="402" spans="4:11">
      <c r="D402" s="158">
        <v>152112</v>
      </c>
      <c r="E402" s="158">
        <v>10097</v>
      </c>
      <c r="F402" s="158">
        <v>1165</v>
      </c>
      <c r="K402" s="158" t="s">
        <v>237</v>
      </c>
    </row>
    <row r="403" spans="4:11">
      <c r="D403" s="158">
        <v>152113</v>
      </c>
      <c r="E403" s="158">
        <v>10097</v>
      </c>
      <c r="F403" s="158">
        <v>416</v>
      </c>
      <c r="H403" s="158">
        <v>2.5499999999999998</v>
      </c>
      <c r="I403" s="158">
        <v>0</v>
      </c>
      <c r="J403" s="158">
        <v>2.5499999999999998</v>
      </c>
      <c r="K403" s="158" t="s">
        <v>237</v>
      </c>
    </row>
    <row r="404" spans="4:11">
      <c r="D404" s="158">
        <v>152114</v>
      </c>
      <c r="E404" s="158">
        <v>10097</v>
      </c>
      <c r="F404" s="158">
        <v>1506</v>
      </c>
      <c r="H404" s="158">
        <v>19.489999999999998</v>
      </c>
      <c r="I404" s="158">
        <v>0</v>
      </c>
      <c r="J404" s="158">
        <v>19.489999999999998</v>
      </c>
      <c r="K404" s="158" t="s">
        <v>237</v>
      </c>
    </row>
    <row r="405" spans="4:11">
      <c r="D405" s="158">
        <v>152115</v>
      </c>
      <c r="E405" s="158">
        <v>10097</v>
      </c>
      <c r="F405" s="158">
        <v>1667</v>
      </c>
      <c r="H405" s="158">
        <v>0</v>
      </c>
      <c r="I405" s="158">
        <v>0</v>
      </c>
      <c r="J405" s="158">
        <v>0</v>
      </c>
      <c r="K405" s="158" t="s">
        <v>237</v>
      </c>
    </row>
    <row r="406" spans="4:11">
      <c r="D406" s="158">
        <v>152116</v>
      </c>
      <c r="E406" s="158">
        <v>10097</v>
      </c>
      <c r="F406" s="158">
        <v>1689</v>
      </c>
      <c r="K406" s="158" t="s">
        <v>237</v>
      </c>
    </row>
    <row r="407" spans="4:11">
      <c r="D407" s="158">
        <v>152117</v>
      </c>
      <c r="E407" s="158">
        <v>10097</v>
      </c>
      <c r="F407" s="158">
        <v>1735</v>
      </c>
      <c r="H407" s="158">
        <v>12.9</v>
      </c>
      <c r="I407" s="158">
        <v>0</v>
      </c>
      <c r="J407" s="158">
        <v>12.9</v>
      </c>
      <c r="K407" s="158" t="s">
        <v>237</v>
      </c>
    </row>
    <row r="408" spans="4:11">
      <c r="D408" s="158">
        <v>152118</v>
      </c>
      <c r="E408" s="158">
        <v>10097</v>
      </c>
      <c r="F408" s="158">
        <v>1969</v>
      </c>
      <c r="H408" s="158">
        <v>11</v>
      </c>
      <c r="I408" s="158">
        <v>0</v>
      </c>
      <c r="J408" s="158">
        <v>11</v>
      </c>
      <c r="K408" s="158" t="s">
        <v>237</v>
      </c>
    </row>
    <row r="409" spans="4:11">
      <c r="D409" s="158">
        <v>152119</v>
      </c>
      <c r="E409" s="158">
        <v>10097</v>
      </c>
      <c r="F409" s="158">
        <v>2001</v>
      </c>
      <c r="H409" s="158">
        <v>16.3</v>
      </c>
      <c r="I409" s="158">
        <v>0</v>
      </c>
      <c r="J409" s="158">
        <v>16.3</v>
      </c>
      <c r="K409" s="158" t="s">
        <v>237</v>
      </c>
    </row>
    <row r="410" spans="4:11">
      <c r="D410" s="158">
        <v>152120</v>
      </c>
      <c r="E410" s="158">
        <v>10097</v>
      </c>
      <c r="F410" s="158">
        <v>393</v>
      </c>
      <c r="H410" s="158">
        <v>17.25</v>
      </c>
      <c r="I410" s="158">
        <v>0</v>
      </c>
      <c r="J410" s="158">
        <v>17.25</v>
      </c>
      <c r="K410" s="158" t="s">
        <v>237</v>
      </c>
    </row>
    <row r="411" spans="4:11">
      <c r="D411" s="158">
        <v>152121</v>
      </c>
      <c r="E411" s="158">
        <v>10097</v>
      </c>
      <c r="F411" s="158">
        <v>2017</v>
      </c>
      <c r="H411" s="158">
        <v>12.65</v>
      </c>
      <c r="I411" s="158">
        <v>0</v>
      </c>
      <c r="J411" s="158">
        <v>12.65</v>
      </c>
      <c r="K411" s="158" t="s">
        <v>237</v>
      </c>
    </row>
    <row r="412" spans="4:11">
      <c r="D412" s="158">
        <v>152196</v>
      </c>
      <c r="E412" s="158">
        <v>10100</v>
      </c>
      <c r="F412" s="158">
        <v>180</v>
      </c>
      <c r="H412" s="158">
        <v>3.62</v>
      </c>
      <c r="I412" s="158">
        <v>0</v>
      </c>
      <c r="J412" s="158">
        <v>3.62</v>
      </c>
      <c r="K412" s="158" t="s">
        <v>237</v>
      </c>
    </row>
    <row r="413" spans="4:11">
      <c r="D413" s="158">
        <v>152197</v>
      </c>
      <c r="E413" s="158">
        <v>10100</v>
      </c>
      <c r="F413" s="158">
        <v>290</v>
      </c>
      <c r="H413" s="158">
        <v>0</v>
      </c>
      <c r="I413" s="158">
        <v>0</v>
      </c>
      <c r="J413" s="158">
        <v>0</v>
      </c>
      <c r="K413" s="158" t="s">
        <v>237</v>
      </c>
    </row>
    <row r="414" spans="4:11">
      <c r="D414" s="158">
        <v>153495</v>
      </c>
      <c r="E414" s="158">
        <v>10020</v>
      </c>
      <c r="F414" s="158">
        <v>1667</v>
      </c>
      <c r="G414" s="158">
        <v>0</v>
      </c>
      <c r="H414" s="158">
        <v>6.8</v>
      </c>
      <c r="I414" s="158">
        <v>0</v>
      </c>
      <c r="J414" s="158">
        <v>6.8</v>
      </c>
      <c r="K414" s="158" t="s">
        <v>238</v>
      </c>
    </row>
    <row r="415" spans="4:11">
      <c r="D415" s="158">
        <v>153497</v>
      </c>
      <c r="E415" s="158">
        <v>10020</v>
      </c>
      <c r="F415" s="158">
        <v>402</v>
      </c>
      <c r="G415" s="158">
        <v>0</v>
      </c>
      <c r="H415" s="158">
        <v>0.5</v>
      </c>
      <c r="I415" s="158">
        <v>0</v>
      </c>
      <c r="J415" s="158">
        <v>0.5</v>
      </c>
      <c r="K415" s="158" t="s">
        <v>238</v>
      </c>
    </row>
    <row r="416" spans="4:11">
      <c r="D416" s="158">
        <v>153498</v>
      </c>
      <c r="E416" s="158">
        <v>10020</v>
      </c>
      <c r="F416" s="158">
        <v>229</v>
      </c>
      <c r="G416" s="158">
        <v>0</v>
      </c>
      <c r="H416" s="158">
        <v>0.4</v>
      </c>
      <c r="I416" s="158">
        <v>0</v>
      </c>
      <c r="J416" s="158">
        <v>0.4</v>
      </c>
      <c r="K416" s="158" t="s">
        <v>238</v>
      </c>
    </row>
    <row r="417" spans="4:11">
      <c r="D417" s="158">
        <v>153501</v>
      </c>
      <c r="E417" s="158">
        <v>10020</v>
      </c>
      <c r="F417" s="158">
        <v>1667</v>
      </c>
      <c r="G417" s="158">
        <v>0</v>
      </c>
      <c r="H417" s="158">
        <v>0.5</v>
      </c>
      <c r="I417" s="158">
        <v>0</v>
      </c>
      <c r="J417" s="158">
        <v>0.5</v>
      </c>
      <c r="K417" s="158" t="s">
        <v>238</v>
      </c>
    </row>
    <row r="418" spans="4:11">
      <c r="D418" s="158">
        <v>153502</v>
      </c>
      <c r="E418" s="158">
        <v>10020</v>
      </c>
      <c r="F418" s="158">
        <v>229</v>
      </c>
      <c r="G418" s="158">
        <v>0</v>
      </c>
      <c r="H418" s="158">
        <v>0</v>
      </c>
      <c r="I418" s="158">
        <v>0</v>
      </c>
      <c r="J418" s="158">
        <v>0</v>
      </c>
      <c r="K418" s="158" t="s">
        <v>238</v>
      </c>
    </row>
    <row r="419" spans="4:11">
      <c r="D419" s="158">
        <v>153503</v>
      </c>
      <c r="E419" s="158">
        <v>10020</v>
      </c>
      <c r="F419" s="158">
        <v>402</v>
      </c>
      <c r="G419" s="158">
        <v>0</v>
      </c>
      <c r="H419" s="158">
        <v>7.6</v>
      </c>
      <c r="I419" s="158">
        <v>0</v>
      </c>
      <c r="J419" s="158">
        <v>7.6</v>
      </c>
      <c r="K419" s="158" t="s">
        <v>238</v>
      </c>
    </row>
    <row r="420" spans="4:11">
      <c r="D420" s="158">
        <v>155929</v>
      </c>
      <c r="E420" s="158">
        <v>10639</v>
      </c>
      <c r="F420" s="158">
        <v>195</v>
      </c>
      <c r="G420" s="158">
        <v>0</v>
      </c>
      <c r="H420" s="158">
        <v>163</v>
      </c>
      <c r="I420" s="158">
        <v>5</v>
      </c>
      <c r="J420" s="158">
        <v>168</v>
      </c>
      <c r="K420" s="158" t="s">
        <v>235</v>
      </c>
    </row>
    <row r="421" spans="4:11">
      <c r="D421" s="158">
        <v>155930</v>
      </c>
      <c r="E421" s="158">
        <v>10639</v>
      </c>
      <c r="F421" s="158">
        <v>2124</v>
      </c>
      <c r="G421" s="158">
        <v>0</v>
      </c>
      <c r="H421" s="158">
        <v>211.5</v>
      </c>
      <c r="I421" s="158">
        <v>16.5</v>
      </c>
      <c r="J421" s="158">
        <v>228</v>
      </c>
      <c r="K421" s="158" t="s">
        <v>235</v>
      </c>
    </row>
    <row r="422" spans="4:11">
      <c r="D422" s="158">
        <v>155931</v>
      </c>
      <c r="E422" s="158">
        <v>10639</v>
      </c>
      <c r="F422" s="158">
        <v>881</v>
      </c>
      <c r="G422" s="158">
        <v>0</v>
      </c>
      <c r="H422" s="158">
        <v>131.5</v>
      </c>
      <c r="I422" s="158">
        <v>11.5</v>
      </c>
      <c r="J422" s="158">
        <v>143</v>
      </c>
      <c r="K422" s="158" t="s">
        <v>235</v>
      </c>
    </row>
    <row r="423" spans="4:11">
      <c r="D423" s="158">
        <v>155933</v>
      </c>
      <c r="E423" s="158">
        <v>10639</v>
      </c>
      <c r="F423" s="158">
        <v>433</v>
      </c>
      <c r="G423" s="158">
        <v>0</v>
      </c>
      <c r="H423" s="158">
        <v>128</v>
      </c>
      <c r="I423" s="158">
        <v>0</v>
      </c>
      <c r="J423" s="158">
        <v>128</v>
      </c>
      <c r="K423" s="158" t="s">
        <v>235</v>
      </c>
    </row>
    <row r="424" spans="4:11">
      <c r="D424" s="158">
        <v>155934</v>
      </c>
      <c r="E424" s="158">
        <v>10639</v>
      </c>
      <c r="F424" s="158">
        <v>1505</v>
      </c>
      <c r="G424" s="158">
        <v>0</v>
      </c>
      <c r="H424" s="158">
        <v>99</v>
      </c>
      <c r="I424" s="158">
        <v>0</v>
      </c>
      <c r="J424" s="158">
        <v>99</v>
      </c>
      <c r="K424" s="158" t="s">
        <v>235</v>
      </c>
    </row>
    <row r="425" spans="4:11">
      <c r="D425" s="158">
        <v>155935</v>
      </c>
      <c r="E425" s="158">
        <v>10639</v>
      </c>
      <c r="F425" s="158">
        <v>2122</v>
      </c>
      <c r="G425" s="158">
        <v>0</v>
      </c>
      <c r="H425" s="158">
        <v>45.25</v>
      </c>
      <c r="I425" s="158">
        <v>3</v>
      </c>
      <c r="J425" s="158">
        <v>48.25</v>
      </c>
      <c r="K425" s="158" t="s">
        <v>235</v>
      </c>
    </row>
    <row r="426" spans="4:11">
      <c r="D426" s="158">
        <v>156718</v>
      </c>
      <c r="E426" s="158">
        <v>10688</v>
      </c>
      <c r="F426" s="158">
        <v>2120</v>
      </c>
      <c r="G426" s="158">
        <v>8.3000000000000007</v>
      </c>
      <c r="H426" s="158">
        <v>8.3000000000000007</v>
      </c>
      <c r="I426" s="158">
        <v>0</v>
      </c>
      <c r="J426" s="158">
        <v>8.3000000000000007</v>
      </c>
      <c r="K426" s="158" t="s">
        <v>235</v>
      </c>
    </row>
    <row r="427" spans="4:11">
      <c r="D427" s="158">
        <v>156719</v>
      </c>
      <c r="E427" s="158">
        <v>10688</v>
      </c>
      <c r="F427" s="158">
        <v>2120</v>
      </c>
      <c r="G427" s="158">
        <v>15.5</v>
      </c>
      <c r="H427" s="158">
        <v>11.5</v>
      </c>
      <c r="I427" s="158">
        <v>0</v>
      </c>
      <c r="J427" s="158">
        <v>11.5</v>
      </c>
      <c r="K427" s="158" t="s">
        <v>235</v>
      </c>
    </row>
    <row r="428" spans="4:11">
      <c r="D428" s="158">
        <v>156720</v>
      </c>
      <c r="E428" s="158">
        <v>10688</v>
      </c>
      <c r="F428" s="158">
        <v>2120</v>
      </c>
      <c r="G428" s="158">
        <v>5.2</v>
      </c>
      <c r="H428" s="158">
        <v>3.2</v>
      </c>
      <c r="I428" s="158">
        <v>0</v>
      </c>
      <c r="J428" s="158">
        <v>3.2</v>
      </c>
      <c r="K428" s="158" t="s">
        <v>235</v>
      </c>
    </row>
    <row r="429" spans="4:11">
      <c r="D429" s="158">
        <v>157546</v>
      </c>
      <c r="E429" s="158">
        <v>11948</v>
      </c>
      <c r="F429" s="158">
        <v>1738</v>
      </c>
      <c r="G429" s="158">
        <v>4.2</v>
      </c>
      <c r="H429" s="158">
        <v>2.2999999999999998</v>
      </c>
      <c r="I429" s="158">
        <v>0</v>
      </c>
      <c r="J429" s="158">
        <v>2.2999999999999998</v>
      </c>
      <c r="K429" s="158" t="s">
        <v>235</v>
      </c>
    </row>
    <row r="430" spans="4:11">
      <c r="D430" s="158">
        <v>157547</v>
      </c>
      <c r="E430" s="158">
        <v>11948</v>
      </c>
      <c r="F430" s="158">
        <v>938</v>
      </c>
      <c r="G430" s="158">
        <v>1</v>
      </c>
      <c r="H430" s="158">
        <v>0.9</v>
      </c>
      <c r="I430" s="158">
        <v>0</v>
      </c>
      <c r="J430" s="158">
        <v>0.9</v>
      </c>
      <c r="K430" s="158" t="s">
        <v>235</v>
      </c>
    </row>
    <row r="431" spans="4:11">
      <c r="D431" s="158">
        <v>157914</v>
      </c>
      <c r="E431" s="158">
        <v>11334</v>
      </c>
      <c r="F431" s="158">
        <v>1014</v>
      </c>
      <c r="G431" s="158">
        <v>3.7</v>
      </c>
      <c r="H431" s="158">
        <v>18.899999999999999</v>
      </c>
      <c r="I431" s="158">
        <v>0</v>
      </c>
      <c r="J431" s="158">
        <v>18.899999999999999</v>
      </c>
      <c r="K431" s="158" t="s">
        <v>235</v>
      </c>
    </row>
    <row r="432" spans="4:11">
      <c r="D432" s="158">
        <v>157915</v>
      </c>
      <c r="E432" s="158">
        <v>10742</v>
      </c>
      <c r="F432" s="158">
        <v>1821</v>
      </c>
      <c r="G432" s="158">
        <v>3.7</v>
      </c>
      <c r="H432" s="158">
        <v>6</v>
      </c>
      <c r="I432" s="158">
        <v>0</v>
      </c>
      <c r="J432" s="158">
        <v>6</v>
      </c>
      <c r="K432" s="158" t="s">
        <v>235</v>
      </c>
    </row>
    <row r="433" spans="4:11">
      <c r="D433" s="158">
        <v>157917</v>
      </c>
      <c r="E433" s="158">
        <v>10742</v>
      </c>
      <c r="F433" s="158">
        <v>1821</v>
      </c>
      <c r="G433" s="158">
        <v>12.9</v>
      </c>
      <c r="H433" s="158">
        <v>20</v>
      </c>
      <c r="I433" s="158">
        <v>0</v>
      </c>
      <c r="J433" s="158">
        <v>20</v>
      </c>
      <c r="K433" s="158" t="s">
        <v>235</v>
      </c>
    </row>
    <row r="434" spans="4:11">
      <c r="D434" s="158">
        <v>157919</v>
      </c>
      <c r="E434" s="158">
        <v>10756</v>
      </c>
      <c r="F434" s="158">
        <v>2030</v>
      </c>
      <c r="G434" s="158">
        <v>9.3000000000000007</v>
      </c>
      <c r="H434" s="158">
        <v>26.9</v>
      </c>
      <c r="I434" s="158">
        <v>0</v>
      </c>
      <c r="J434" s="158">
        <v>26.9</v>
      </c>
      <c r="K434" s="158" t="s">
        <v>235</v>
      </c>
    </row>
    <row r="435" spans="4:11">
      <c r="D435" s="158">
        <v>158046</v>
      </c>
      <c r="E435" s="158">
        <v>10814</v>
      </c>
      <c r="F435" s="158">
        <v>1251</v>
      </c>
      <c r="G435" s="158">
        <v>31.1</v>
      </c>
      <c r="H435" s="158">
        <v>10</v>
      </c>
      <c r="I435" s="158">
        <v>0</v>
      </c>
      <c r="J435" s="158">
        <v>10</v>
      </c>
      <c r="K435" s="158" t="s">
        <v>235</v>
      </c>
    </row>
    <row r="436" spans="4:11">
      <c r="D436" s="158">
        <v>158053</v>
      </c>
      <c r="E436" s="158">
        <v>11307</v>
      </c>
      <c r="F436" s="158">
        <v>362</v>
      </c>
      <c r="G436" s="158">
        <v>2</v>
      </c>
      <c r="H436" s="158">
        <v>2</v>
      </c>
      <c r="I436" s="158">
        <v>0</v>
      </c>
      <c r="J436" s="158">
        <v>2</v>
      </c>
      <c r="K436" s="158" t="s">
        <v>236</v>
      </c>
    </row>
    <row r="437" spans="4:11">
      <c r="D437" s="158">
        <v>158054</v>
      </c>
      <c r="E437" s="158">
        <v>11307</v>
      </c>
      <c r="F437" s="158">
        <v>362</v>
      </c>
      <c r="G437" s="158">
        <v>2</v>
      </c>
      <c r="H437" s="158">
        <v>2.5</v>
      </c>
      <c r="I437" s="158">
        <v>0</v>
      </c>
      <c r="J437" s="158">
        <v>2.5</v>
      </c>
      <c r="K437" s="158" t="s">
        <v>236</v>
      </c>
    </row>
    <row r="438" spans="4:11">
      <c r="D438" s="158">
        <v>158058</v>
      </c>
      <c r="E438" s="158">
        <v>11307</v>
      </c>
      <c r="F438" s="158">
        <v>362</v>
      </c>
      <c r="G438" s="158">
        <v>4</v>
      </c>
      <c r="H438" s="158">
        <v>4.7</v>
      </c>
      <c r="I438" s="158">
        <v>0</v>
      </c>
      <c r="J438" s="158">
        <v>4.7</v>
      </c>
      <c r="K438" s="158" t="s">
        <v>236</v>
      </c>
    </row>
    <row r="439" spans="4:11">
      <c r="D439" s="158">
        <v>158061</v>
      </c>
      <c r="E439" s="158">
        <v>11307</v>
      </c>
      <c r="F439" s="158">
        <v>362</v>
      </c>
      <c r="G439" s="158">
        <v>4.5</v>
      </c>
      <c r="H439" s="158">
        <v>4.5</v>
      </c>
      <c r="I439" s="158">
        <v>0</v>
      </c>
      <c r="J439" s="158">
        <v>4.5</v>
      </c>
      <c r="K439" s="158" t="s">
        <v>236</v>
      </c>
    </row>
    <row r="440" spans="4:11">
      <c r="D440" s="158">
        <v>158062</v>
      </c>
      <c r="E440" s="158">
        <v>11307</v>
      </c>
      <c r="F440" s="158">
        <v>362</v>
      </c>
      <c r="G440" s="158">
        <v>2</v>
      </c>
      <c r="H440" s="158">
        <v>0.7</v>
      </c>
      <c r="I440" s="158">
        <v>0</v>
      </c>
      <c r="J440" s="158">
        <v>0.7</v>
      </c>
      <c r="K440" s="158" t="s">
        <v>236</v>
      </c>
    </row>
    <row r="441" spans="4:11">
      <c r="D441" s="158">
        <v>158065</v>
      </c>
      <c r="E441" s="158">
        <v>11307</v>
      </c>
      <c r="F441" s="158">
        <v>362</v>
      </c>
      <c r="G441" s="158">
        <v>12.8</v>
      </c>
      <c r="H441" s="158">
        <v>14.7</v>
      </c>
      <c r="I441" s="158">
        <v>0</v>
      </c>
      <c r="J441" s="158">
        <v>14.7</v>
      </c>
      <c r="K441" s="158" t="s">
        <v>236</v>
      </c>
    </row>
    <row r="442" spans="4:11">
      <c r="D442" s="158">
        <v>158112</v>
      </c>
      <c r="E442" s="158">
        <v>10719</v>
      </c>
      <c r="F442" s="158">
        <v>527</v>
      </c>
      <c r="G442" s="158">
        <v>52.3</v>
      </c>
      <c r="H442" s="158">
        <v>57</v>
      </c>
      <c r="I442" s="158">
        <v>0</v>
      </c>
      <c r="J442" s="158">
        <v>57</v>
      </c>
      <c r="K442" s="158" t="s">
        <v>235</v>
      </c>
    </row>
    <row r="443" spans="4:11">
      <c r="D443" s="158">
        <v>158237</v>
      </c>
      <c r="E443" s="158">
        <v>10763</v>
      </c>
      <c r="F443" s="158">
        <v>828</v>
      </c>
      <c r="H443" s="158">
        <v>23</v>
      </c>
      <c r="I443" s="158">
        <v>0</v>
      </c>
      <c r="J443" s="158">
        <v>23</v>
      </c>
      <c r="K443" s="158" t="s">
        <v>235</v>
      </c>
    </row>
    <row r="444" spans="4:11">
      <c r="D444" s="158">
        <v>158238</v>
      </c>
      <c r="E444" s="158">
        <v>10763</v>
      </c>
      <c r="F444" s="158">
        <v>306</v>
      </c>
      <c r="H444" s="158">
        <v>8.25</v>
      </c>
      <c r="I444" s="158">
        <v>0</v>
      </c>
      <c r="J444" s="158">
        <v>8.25</v>
      </c>
      <c r="K444" s="158" t="s">
        <v>235</v>
      </c>
    </row>
    <row r="445" spans="4:11">
      <c r="D445" s="158">
        <v>158239</v>
      </c>
      <c r="E445" s="158">
        <v>10763</v>
      </c>
      <c r="F445" s="158">
        <v>2033</v>
      </c>
      <c r="H445" s="158">
        <v>0</v>
      </c>
      <c r="I445" s="158">
        <v>0</v>
      </c>
      <c r="J445" s="158">
        <v>0</v>
      </c>
      <c r="K445" s="158" t="s">
        <v>235</v>
      </c>
    </row>
    <row r="446" spans="4:11">
      <c r="D446" s="158">
        <v>158458</v>
      </c>
      <c r="E446" s="158">
        <v>11307</v>
      </c>
      <c r="F446" s="158">
        <v>362</v>
      </c>
      <c r="G446" s="158">
        <v>2</v>
      </c>
      <c r="H446" s="158">
        <v>1.5</v>
      </c>
      <c r="I446" s="158">
        <v>0</v>
      </c>
      <c r="J446" s="158">
        <v>1.5</v>
      </c>
      <c r="K446" s="158" t="s">
        <v>236</v>
      </c>
    </row>
    <row r="447" spans="4:11">
      <c r="D447" s="158">
        <v>158460</v>
      </c>
      <c r="E447" s="158">
        <v>11308</v>
      </c>
      <c r="F447" s="158">
        <v>362</v>
      </c>
      <c r="G447" s="158">
        <v>3</v>
      </c>
      <c r="H447" s="158">
        <v>2.5</v>
      </c>
      <c r="I447" s="158">
        <v>0</v>
      </c>
      <c r="J447" s="158">
        <v>2.5</v>
      </c>
      <c r="K447" s="158" t="s">
        <v>236</v>
      </c>
    </row>
    <row r="448" spans="4:11">
      <c r="D448" s="158">
        <v>158461</v>
      </c>
      <c r="E448" s="158">
        <v>10720</v>
      </c>
      <c r="F448" s="158">
        <v>1738</v>
      </c>
      <c r="G448" s="158">
        <v>20</v>
      </c>
      <c r="H448" s="158">
        <v>31.05</v>
      </c>
      <c r="I448" s="158">
        <v>0</v>
      </c>
      <c r="J448" s="158">
        <v>31.05</v>
      </c>
      <c r="K448" s="158" t="s">
        <v>235</v>
      </c>
    </row>
    <row r="449" spans="4:11">
      <c r="D449" s="158">
        <v>158462</v>
      </c>
      <c r="E449" s="158">
        <v>10720</v>
      </c>
      <c r="F449" s="158">
        <v>938</v>
      </c>
      <c r="G449" s="158">
        <v>13.4</v>
      </c>
      <c r="H449" s="158">
        <v>12.7</v>
      </c>
      <c r="I449" s="158">
        <v>0</v>
      </c>
      <c r="J449" s="158">
        <v>12.7</v>
      </c>
      <c r="K449" s="158" t="s">
        <v>235</v>
      </c>
    </row>
    <row r="450" spans="4:11">
      <c r="D450" s="158">
        <v>158463</v>
      </c>
      <c r="E450" s="158">
        <v>10720</v>
      </c>
      <c r="F450" s="158">
        <v>828</v>
      </c>
      <c r="G450" s="158">
        <v>10</v>
      </c>
      <c r="H450" s="158">
        <v>14</v>
      </c>
      <c r="I450" s="158">
        <v>0</v>
      </c>
      <c r="J450" s="158">
        <v>14</v>
      </c>
      <c r="K450" s="158" t="s">
        <v>235</v>
      </c>
    </row>
    <row r="451" spans="4:11">
      <c r="D451" s="158">
        <v>158581</v>
      </c>
      <c r="E451" s="158">
        <v>10688</v>
      </c>
      <c r="F451" s="158">
        <v>2122</v>
      </c>
      <c r="H451" s="158">
        <v>1.5</v>
      </c>
      <c r="I451" s="158">
        <v>0</v>
      </c>
      <c r="J451" s="158">
        <v>1.5</v>
      </c>
      <c r="K451" s="158" t="s">
        <v>235</v>
      </c>
    </row>
    <row r="452" spans="4:11">
      <c r="D452" s="158">
        <v>158582</v>
      </c>
      <c r="E452" s="158">
        <v>10688</v>
      </c>
      <c r="F452" s="158">
        <v>2122</v>
      </c>
      <c r="H452" s="158">
        <v>3.5</v>
      </c>
      <c r="I452" s="158">
        <v>0</v>
      </c>
      <c r="J452" s="158">
        <v>3.5</v>
      </c>
      <c r="K452" s="158" t="s">
        <v>235</v>
      </c>
    </row>
    <row r="453" spans="4:11">
      <c r="D453" s="158">
        <v>158589</v>
      </c>
      <c r="E453" s="158">
        <v>10639</v>
      </c>
      <c r="F453" s="158">
        <v>828</v>
      </c>
      <c r="H453" s="158">
        <v>9</v>
      </c>
      <c r="I453" s="158">
        <v>0</v>
      </c>
      <c r="J453" s="158">
        <v>9</v>
      </c>
      <c r="K453" s="158" t="s">
        <v>235</v>
      </c>
    </row>
    <row r="454" spans="4:11">
      <c r="D454" s="158">
        <v>158590</v>
      </c>
      <c r="E454" s="158">
        <v>10639</v>
      </c>
      <c r="F454" s="158">
        <v>2062</v>
      </c>
      <c r="H454" s="158">
        <v>9.0500000000000007</v>
      </c>
      <c r="I454" s="158">
        <v>0</v>
      </c>
      <c r="J454" s="158">
        <v>9.0500000000000007</v>
      </c>
      <c r="K454" s="158" t="s">
        <v>235</v>
      </c>
    </row>
    <row r="455" spans="4:11">
      <c r="D455" s="158">
        <v>158591</v>
      </c>
      <c r="E455" s="158">
        <v>10639</v>
      </c>
      <c r="F455" s="158">
        <v>306</v>
      </c>
      <c r="H455" s="158">
        <v>6.25</v>
      </c>
      <c r="I455" s="158">
        <v>0</v>
      </c>
      <c r="J455" s="158">
        <v>6.25</v>
      </c>
      <c r="K455" s="158" t="s">
        <v>235</v>
      </c>
    </row>
    <row r="456" spans="4:11">
      <c r="D456" s="158">
        <v>158592</v>
      </c>
      <c r="E456" s="158">
        <v>10639</v>
      </c>
      <c r="F456" s="158">
        <v>1014</v>
      </c>
      <c r="H456" s="158">
        <v>5.3</v>
      </c>
      <c r="I456" s="158">
        <v>0</v>
      </c>
      <c r="J456" s="158">
        <v>5.3</v>
      </c>
      <c r="K456" s="158" t="s">
        <v>235</v>
      </c>
    </row>
    <row r="457" spans="4:11">
      <c r="D457" s="158">
        <v>158593</v>
      </c>
      <c r="E457" s="158">
        <v>10639</v>
      </c>
      <c r="F457" s="158">
        <v>197</v>
      </c>
      <c r="H457" s="158">
        <v>10.85</v>
      </c>
      <c r="I457" s="158">
        <v>0</v>
      </c>
      <c r="J457" s="158">
        <v>10.85</v>
      </c>
      <c r="K457" s="158" t="s">
        <v>235</v>
      </c>
    </row>
    <row r="458" spans="4:11">
      <c r="D458" s="158">
        <v>158594</v>
      </c>
      <c r="E458" s="158">
        <v>10639</v>
      </c>
      <c r="F458" s="158">
        <v>1821</v>
      </c>
      <c r="H458" s="158">
        <v>8.8000000000000007</v>
      </c>
      <c r="I458" s="158">
        <v>0</v>
      </c>
      <c r="J458" s="158">
        <v>8.8000000000000007</v>
      </c>
      <c r="K458" s="158" t="s">
        <v>235</v>
      </c>
    </row>
    <row r="459" spans="4:11">
      <c r="D459" s="158">
        <v>158595</v>
      </c>
      <c r="E459" s="158">
        <v>10639</v>
      </c>
      <c r="F459" s="158">
        <v>938</v>
      </c>
      <c r="H459" s="158">
        <v>5.35</v>
      </c>
      <c r="I459" s="158">
        <v>0</v>
      </c>
      <c r="J459" s="158">
        <v>5.35</v>
      </c>
      <c r="K459" s="158" t="s">
        <v>235</v>
      </c>
    </row>
    <row r="460" spans="4:11">
      <c r="D460" s="158">
        <v>158596</v>
      </c>
      <c r="E460" s="158">
        <v>10639</v>
      </c>
      <c r="F460" s="158">
        <v>1738</v>
      </c>
      <c r="H460" s="158">
        <v>8.0500000000000007</v>
      </c>
      <c r="I460" s="158">
        <v>0</v>
      </c>
      <c r="J460" s="158">
        <v>8.0500000000000007</v>
      </c>
      <c r="K460" s="158" t="s">
        <v>235</v>
      </c>
    </row>
    <row r="461" spans="4:11">
      <c r="D461" s="158">
        <v>158597</v>
      </c>
      <c r="E461" s="158">
        <v>10639</v>
      </c>
      <c r="F461" s="158">
        <v>222</v>
      </c>
      <c r="H461" s="158">
        <v>7.9</v>
      </c>
      <c r="I461" s="158">
        <v>0</v>
      </c>
      <c r="J461" s="158">
        <v>7.9</v>
      </c>
      <c r="K461" s="158" t="s">
        <v>235</v>
      </c>
    </row>
    <row r="462" spans="4:11">
      <c r="D462" s="158">
        <v>158598</v>
      </c>
      <c r="E462" s="158">
        <v>10639</v>
      </c>
      <c r="F462" s="158">
        <v>2030</v>
      </c>
      <c r="H462" s="158">
        <v>3.95</v>
      </c>
      <c r="I462" s="158">
        <v>0</v>
      </c>
      <c r="J462" s="158">
        <v>3.95</v>
      </c>
      <c r="K462" s="158" t="s">
        <v>235</v>
      </c>
    </row>
    <row r="463" spans="4:11">
      <c r="D463" s="158">
        <v>158599</v>
      </c>
      <c r="E463" s="158">
        <v>10639</v>
      </c>
      <c r="F463" s="158">
        <v>2033</v>
      </c>
      <c r="H463" s="158">
        <v>9.5</v>
      </c>
      <c r="I463" s="158">
        <v>0</v>
      </c>
      <c r="J463" s="158">
        <v>9.5</v>
      </c>
      <c r="K463" s="158" t="s">
        <v>235</v>
      </c>
    </row>
    <row r="464" spans="4:11">
      <c r="D464" s="158">
        <v>158601</v>
      </c>
      <c r="E464" s="158">
        <v>11948</v>
      </c>
      <c r="F464" s="158">
        <v>1821</v>
      </c>
      <c r="G464" s="158">
        <v>2.6</v>
      </c>
      <c r="H464" s="158">
        <v>0</v>
      </c>
      <c r="I464" s="158">
        <v>0</v>
      </c>
      <c r="J464" s="158">
        <v>0</v>
      </c>
      <c r="K464" s="158" t="s">
        <v>235</v>
      </c>
    </row>
    <row r="465" spans="4:11">
      <c r="D465" s="158">
        <v>158602</v>
      </c>
      <c r="E465" s="158">
        <v>11948</v>
      </c>
      <c r="F465" s="158">
        <v>197</v>
      </c>
      <c r="G465" s="158">
        <v>2.6</v>
      </c>
      <c r="H465" s="158">
        <v>1.25</v>
      </c>
      <c r="I465" s="158">
        <v>0</v>
      </c>
      <c r="J465" s="158">
        <v>1.25</v>
      </c>
      <c r="K465" s="158" t="s">
        <v>235</v>
      </c>
    </row>
    <row r="466" spans="4:11">
      <c r="D466" s="158">
        <v>158603</v>
      </c>
      <c r="E466" s="158">
        <v>11948</v>
      </c>
      <c r="F466" s="158">
        <v>197</v>
      </c>
      <c r="G466" s="158">
        <v>2.6</v>
      </c>
      <c r="H466" s="158">
        <v>8.5</v>
      </c>
      <c r="I466" s="158">
        <v>0</v>
      </c>
      <c r="J466" s="158">
        <v>8.5</v>
      </c>
      <c r="K466" s="158" t="s">
        <v>235</v>
      </c>
    </row>
    <row r="467" spans="4:11">
      <c r="D467" s="158">
        <v>158604</v>
      </c>
      <c r="E467" s="158">
        <v>11948</v>
      </c>
      <c r="F467" s="158">
        <v>1738</v>
      </c>
      <c r="G467" s="158">
        <v>2.6</v>
      </c>
      <c r="H467" s="158">
        <v>0.6</v>
      </c>
      <c r="I467" s="158">
        <v>0</v>
      </c>
      <c r="J467" s="158">
        <v>0.6</v>
      </c>
      <c r="K467" s="158" t="s">
        <v>235</v>
      </c>
    </row>
    <row r="468" spans="4:11">
      <c r="D468" s="158">
        <v>158605</v>
      </c>
      <c r="E468" s="158">
        <v>11948</v>
      </c>
      <c r="F468" s="158">
        <v>828</v>
      </c>
      <c r="G468" s="158">
        <v>2.6</v>
      </c>
      <c r="H468" s="158">
        <v>2.25</v>
      </c>
      <c r="I468" s="158">
        <v>0</v>
      </c>
      <c r="J468" s="158">
        <v>2.25</v>
      </c>
      <c r="K468" s="158" t="s">
        <v>235</v>
      </c>
    </row>
    <row r="469" spans="4:11">
      <c r="D469" s="158">
        <v>158606</v>
      </c>
      <c r="E469" s="158">
        <v>11948</v>
      </c>
      <c r="F469" s="158">
        <v>828</v>
      </c>
      <c r="G469" s="158">
        <v>2.6</v>
      </c>
      <c r="H469" s="158">
        <v>2.5</v>
      </c>
      <c r="I469" s="158">
        <v>0</v>
      </c>
      <c r="J469" s="158">
        <v>2.5</v>
      </c>
      <c r="K469" s="158" t="s">
        <v>235</v>
      </c>
    </row>
    <row r="470" spans="4:11">
      <c r="D470" s="158">
        <v>158607</v>
      </c>
      <c r="E470" s="158">
        <v>11948</v>
      </c>
      <c r="F470" s="158">
        <v>828</v>
      </c>
      <c r="G470" s="158">
        <v>2.6</v>
      </c>
      <c r="H470" s="158">
        <v>0</v>
      </c>
      <c r="I470" s="158">
        <v>0</v>
      </c>
      <c r="J470" s="158">
        <v>0</v>
      </c>
      <c r="K470" s="158" t="s">
        <v>235</v>
      </c>
    </row>
    <row r="471" spans="4:11">
      <c r="D471" s="158">
        <v>158608</v>
      </c>
      <c r="E471" s="158">
        <v>11948</v>
      </c>
      <c r="F471" s="158">
        <v>828</v>
      </c>
      <c r="G471" s="158">
        <v>2.6</v>
      </c>
      <c r="H471" s="158">
        <v>0</v>
      </c>
      <c r="I471" s="158">
        <v>0</v>
      </c>
      <c r="J471" s="158">
        <v>0</v>
      </c>
      <c r="K471" s="158" t="s">
        <v>235</v>
      </c>
    </row>
    <row r="472" spans="4:11">
      <c r="D472" s="158">
        <v>158609</v>
      </c>
      <c r="E472" s="158">
        <v>11948</v>
      </c>
      <c r="F472" s="158">
        <v>197</v>
      </c>
      <c r="G472" s="158">
        <v>2.6</v>
      </c>
      <c r="H472" s="158">
        <v>1.85</v>
      </c>
      <c r="I472" s="158">
        <v>0</v>
      </c>
      <c r="J472" s="158">
        <v>1.85</v>
      </c>
      <c r="K472" s="158" t="s">
        <v>235</v>
      </c>
    </row>
    <row r="473" spans="4:11">
      <c r="D473" s="158">
        <v>158610</v>
      </c>
      <c r="E473" s="158">
        <v>11948</v>
      </c>
      <c r="F473" s="158">
        <v>1821</v>
      </c>
      <c r="G473" s="158">
        <v>4.5999999999999996</v>
      </c>
      <c r="H473" s="158">
        <v>4</v>
      </c>
      <c r="I473" s="158">
        <v>0</v>
      </c>
      <c r="J473" s="158">
        <v>4</v>
      </c>
      <c r="K473" s="158" t="s">
        <v>235</v>
      </c>
    </row>
    <row r="474" spans="4:11">
      <c r="D474" s="158">
        <v>158611</v>
      </c>
      <c r="E474" s="158">
        <v>11948</v>
      </c>
      <c r="F474" s="158">
        <v>1821</v>
      </c>
      <c r="G474" s="158">
        <v>2.6</v>
      </c>
      <c r="H474" s="158">
        <v>6.2</v>
      </c>
      <c r="I474" s="158">
        <v>0</v>
      </c>
      <c r="J474" s="158">
        <v>6.2</v>
      </c>
      <c r="K474" s="158" t="s">
        <v>235</v>
      </c>
    </row>
    <row r="475" spans="4:11">
      <c r="D475" s="158">
        <v>158612</v>
      </c>
      <c r="E475" s="158">
        <v>11948</v>
      </c>
      <c r="F475" s="158">
        <v>197</v>
      </c>
      <c r="G475" s="158">
        <v>2.6</v>
      </c>
      <c r="H475" s="158">
        <v>0</v>
      </c>
      <c r="I475" s="158">
        <v>0</v>
      </c>
      <c r="J475" s="158">
        <v>0</v>
      </c>
      <c r="K475" s="158" t="s">
        <v>235</v>
      </c>
    </row>
    <row r="476" spans="4:11">
      <c r="D476" s="158">
        <v>158613</v>
      </c>
      <c r="E476" s="158">
        <v>11948</v>
      </c>
      <c r="F476" s="158">
        <v>222</v>
      </c>
      <c r="G476" s="158">
        <v>2.6</v>
      </c>
      <c r="H476" s="158">
        <v>1</v>
      </c>
      <c r="I476" s="158">
        <v>0</v>
      </c>
      <c r="J476" s="158">
        <v>1</v>
      </c>
      <c r="K476" s="158" t="s">
        <v>235</v>
      </c>
    </row>
    <row r="477" spans="4:11">
      <c r="D477" s="158">
        <v>158614</v>
      </c>
      <c r="E477" s="158">
        <v>11948</v>
      </c>
      <c r="F477" s="158">
        <v>222</v>
      </c>
      <c r="G477" s="158">
        <v>2.6</v>
      </c>
      <c r="H477" s="158">
        <v>11.85</v>
      </c>
      <c r="I477" s="158">
        <v>0</v>
      </c>
      <c r="J477" s="158">
        <v>11.85</v>
      </c>
      <c r="K477" s="158" t="s">
        <v>235</v>
      </c>
    </row>
    <row r="478" spans="4:11">
      <c r="D478" s="158">
        <v>158617</v>
      </c>
      <c r="E478" s="158">
        <v>11948</v>
      </c>
      <c r="F478" s="158">
        <v>222</v>
      </c>
      <c r="G478" s="158">
        <v>2.6</v>
      </c>
      <c r="H478" s="158">
        <v>0</v>
      </c>
      <c r="I478" s="158">
        <v>0</v>
      </c>
      <c r="J478" s="158">
        <v>0</v>
      </c>
      <c r="K478" s="158" t="s">
        <v>235</v>
      </c>
    </row>
    <row r="479" spans="4:11">
      <c r="D479" s="158">
        <v>158618</v>
      </c>
      <c r="E479" s="158">
        <v>11948</v>
      </c>
      <c r="F479" s="158">
        <v>222</v>
      </c>
      <c r="G479" s="158">
        <v>2.6</v>
      </c>
      <c r="H479" s="158">
        <v>0</v>
      </c>
      <c r="I479" s="158">
        <v>0</v>
      </c>
      <c r="J479" s="158">
        <v>0</v>
      </c>
      <c r="K479" s="158" t="s">
        <v>235</v>
      </c>
    </row>
    <row r="480" spans="4:11">
      <c r="D480" s="158">
        <v>158620</v>
      </c>
      <c r="E480" s="158">
        <v>11948</v>
      </c>
      <c r="F480" s="158">
        <v>1738</v>
      </c>
      <c r="G480" s="158">
        <v>2.6</v>
      </c>
      <c r="H480" s="158">
        <v>0.9</v>
      </c>
      <c r="I480" s="158">
        <v>0</v>
      </c>
      <c r="J480" s="158">
        <v>0.9</v>
      </c>
      <c r="K480" s="158" t="s">
        <v>235</v>
      </c>
    </row>
    <row r="481" spans="4:11">
      <c r="D481" s="158">
        <v>158621</v>
      </c>
      <c r="E481" s="158">
        <v>11948</v>
      </c>
      <c r="F481" s="158">
        <v>1738</v>
      </c>
      <c r="G481" s="158">
        <v>2.6</v>
      </c>
      <c r="H481" s="158">
        <v>0.3</v>
      </c>
      <c r="I481" s="158">
        <v>0</v>
      </c>
      <c r="J481" s="158">
        <v>0.3</v>
      </c>
      <c r="K481" s="158" t="s">
        <v>235</v>
      </c>
    </row>
    <row r="482" spans="4:11">
      <c r="D482" s="158">
        <v>158622</v>
      </c>
      <c r="E482" s="158">
        <v>11948</v>
      </c>
      <c r="F482" s="158">
        <v>1738</v>
      </c>
      <c r="G482" s="158">
        <v>2.6</v>
      </c>
      <c r="H482" s="158">
        <v>0.2</v>
      </c>
      <c r="I482" s="158">
        <v>0</v>
      </c>
      <c r="J482" s="158">
        <v>0.2</v>
      </c>
      <c r="K482" s="158" t="s">
        <v>235</v>
      </c>
    </row>
    <row r="483" spans="4:11">
      <c r="D483" s="158">
        <v>158623</v>
      </c>
      <c r="E483" s="158">
        <v>11948</v>
      </c>
      <c r="F483" s="158">
        <v>222</v>
      </c>
      <c r="G483" s="158">
        <v>2.6</v>
      </c>
      <c r="H483" s="158">
        <v>1.5</v>
      </c>
      <c r="I483" s="158">
        <v>0</v>
      </c>
      <c r="J483" s="158">
        <v>1.5</v>
      </c>
      <c r="K483" s="158" t="s">
        <v>235</v>
      </c>
    </row>
    <row r="484" spans="4:11">
      <c r="D484" s="158">
        <v>158624</v>
      </c>
      <c r="E484" s="158">
        <v>11948</v>
      </c>
      <c r="F484" s="158">
        <v>222</v>
      </c>
      <c r="G484" s="158">
        <v>5.2</v>
      </c>
      <c r="H484" s="158">
        <v>4.75</v>
      </c>
      <c r="I484" s="158">
        <v>0</v>
      </c>
      <c r="J484" s="158">
        <v>4.75</v>
      </c>
      <c r="K484" s="158" t="s">
        <v>235</v>
      </c>
    </row>
    <row r="485" spans="4:11">
      <c r="D485" s="158">
        <v>158625</v>
      </c>
      <c r="E485" s="158">
        <v>11948</v>
      </c>
      <c r="F485" s="158">
        <v>2030</v>
      </c>
      <c r="G485" s="158">
        <v>7.7</v>
      </c>
      <c r="H485" s="158">
        <v>14.65</v>
      </c>
      <c r="I485" s="158">
        <v>0</v>
      </c>
      <c r="J485" s="158">
        <v>14.65</v>
      </c>
      <c r="K485" s="158" t="s">
        <v>235</v>
      </c>
    </row>
    <row r="486" spans="4:11">
      <c r="D486" s="158">
        <v>158626</v>
      </c>
      <c r="E486" s="158">
        <v>11948</v>
      </c>
      <c r="F486" s="158">
        <v>2062</v>
      </c>
      <c r="G486" s="158">
        <v>2.6</v>
      </c>
      <c r="H486" s="158">
        <v>7.02</v>
      </c>
      <c r="I486" s="158">
        <v>0</v>
      </c>
      <c r="J486" s="158">
        <v>7.02</v>
      </c>
      <c r="K486" s="158" t="s">
        <v>235</v>
      </c>
    </row>
    <row r="487" spans="4:11">
      <c r="D487" s="158">
        <v>158637</v>
      </c>
      <c r="E487" s="158">
        <v>11948</v>
      </c>
      <c r="F487" s="158">
        <v>2062</v>
      </c>
      <c r="G487" s="158">
        <v>2.6</v>
      </c>
      <c r="H487" s="158">
        <v>7.38</v>
      </c>
      <c r="I487" s="158">
        <v>0</v>
      </c>
      <c r="J487" s="158">
        <v>7.38</v>
      </c>
      <c r="K487" s="158" t="s">
        <v>235</v>
      </c>
    </row>
    <row r="488" spans="4:11">
      <c r="D488" s="158">
        <v>158638</v>
      </c>
      <c r="E488" s="158">
        <v>11948</v>
      </c>
      <c r="F488" s="158">
        <v>2062</v>
      </c>
      <c r="H488" s="158">
        <v>0.4</v>
      </c>
      <c r="I488" s="158">
        <v>0</v>
      </c>
      <c r="J488" s="158">
        <v>0.4</v>
      </c>
      <c r="K488" s="158" t="s">
        <v>235</v>
      </c>
    </row>
    <row r="489" spans="4:11">
      <c r="D489" s="158">
        <v>158639</v>
      </c>
      <c r="E489" s="158">
        <v>11948</v>
      </c>
      <c r="F489" s="158">
        <v>1014</v>
      </c>
      <c r="G489" s="158">
        <v>2.6</v>
      </c>
      <c r="H489" s="158">
        <v>0.6</v>
      </c>
      <c r="I489" s="158">
        <v>0</v>
      </c>
      <c r="J489" s="158">
        <v>0.6</v>
      </c>
      <c r="K489" s="158" t="s">
        <v>235</v>
      </c>
    </row>
    <row r="490" spans="4:11">
      <c r="D490" s="158">
        <v>158640</v>
      </c>
      <c r="E490" s="158">
        <v>11948</v>
      </c>
      <c r="F490" s="158">
        <v>1014</v>
      </c>
      <c r="G490" s="158">
        <v>2.6</v>
      </c>
      <c r="H490" s="158">
        <v>4.4000000000000004</v>
      </c>
      <c r="I490" s="158">
        <v>0</v>
      </c>
      <c r="J490" s="158">
        <v>4.4000000000000004</v>
      </c>
      <c r="K490" s="158" t="s">
        <v>235</v>
      </c>
    </row>
    <row r="491" spans="4:11">
      <c r="D491" s="158">
        <v>158641</v>
      </c>
      <c r="E491" s="158">
        <v>10763</v>
      </c>
      <c r="F491" s="158">
        <v>828</v>
      </c>
      <c r="G491" s="158">
        <v>9.8000000000000007</v>
      </c>
      <c r="H491" s="158">
        <v>8</v>
      </c>
      <c r="I491" s="158">
        <v>0</v>
      </c>
      <c r="J491" s="158">
        <v>8</v>
      </c>
      <c r="K491" s="158" t="s">
        <v>235</v>
      </c>
    </row>
    <row r="492" spans="4:11">
      <c r="D492" s="158">
        <v>158644</v>
      </c>
      <c r="E492" s="158">
        <v>11948</v>
      </c>
      <c r="F492" s="158">
        <v>1014</v>
      </c>
      <c r="G492" s="158">
        <v>3.9</v>
      </c>
      <c r="H492" s="158">
        <v>4</v>
      </c>
      <c r="I492" s="158">
        <v>0</v>
      </c>
      <c r="J492" s="158">
        <v>4</v>
      </c>
      <c r="K492" s="158" t="s">
        <v>235</v>
      </c>
    </row>
    <row r="493" spans="4:11">
      <c r="D493" s="158">
        <v>158645</v>
      </c>
      <c r="E493" s="158">
        <v>11948</v>
      </c>
      <c r="F493" s="158">
        <v>2062</v>
      </c>
      <c r="G493" s="158">
        <v>3.8</v>
      </c>
      <c r="H493" s="158">
        <v>7.5</v>
      </c>
      <c r="I493" s="158">
        <v>0</v>
      </c>
      <c r="J493" s="158">
        <v>7.5</v>
      </c>
      <c r="K493" s="158" t="s">
        <v>235</v>
      </c>
    </row>
    <row r="494" spans="4:11">
      <c r="D494" s="158">
        <v>158647</v>
      </c>
      <c r="E494" s="158">
        <v>11948</v>
      </c>
      <c r="F494" s="158">
        <v>197</v>
      </c>
      <c r="G494" s="158">
        <v>2.6</v>
      </c>
      <c r="H494" s="158">
        <v>1.95</v>
      </c>
      <c r="I494" s="158">
        <v>0</v>
      </c>
      <c r="J494" s="158">
        <v>1.95</v>
      </c>
      <c r="K494" s="158" t="s">
        <v>235</v>
      </c>
    </row>
    <row r="495" spans="4:11">
      <c r="D495" s="158">
        <v>158648</v>
      </c>
      <c r="E495" s="158">
        <v>11948</v>
      </c>
      <c r="F495" s="158">
        <v>1821</v>
      </c>
      <c r="G495" s="158">
        <v>2.6</v>
      </c>
      <c r="H495" s="158">
        <v>1</v>
      </c>
      <c r="I495" s="158">
        <v>0</v>
      </c>
      <c r="J495" s="158">
        <v>1</v>
      </c>
      <c r="K495" s="158" t="s">
        <v>235</v>
      </c>
    </row>
    <row r="496" spans="4:11">
      <c r="D496" s="158">
        <v>158649</v>
      </c>
      <c r="E496" s="158">
        <v>11948</v>
      </c>
      <c r="F496" s="158">
        <v>1821</v>
      </c>
      <c r="G496" s="158">
        <v>2.6</v>
      </c>
      <c r="H496" s="158">
        <v>0</v>
      </c>
      <c r="I496" s="158">
        <v>0</v>
      </c>
      <c r="J496" s="158">
        <v>0</v>
      </c>
      <c r="K496" s="158" t="s">
        <v>235</v>
      </c>
    </row>
    <row r="497" spans="4:11">
      <c r="D497" s="158">
        <v>158685</v>
      </c>
      <c r="E497" s="158">
        <v>11213</v>
      </c>
      <c r="F497" s="158">
        <v>197</v>
      </c>
      <c r="G497" s="158">
        <v>0</v>
      </c>
      <c r="H497" s="158">
        <v>4.95</v>
      </c>
      <c r="I497" s="158">
        <v>0</v>
      </c>
      <c r="J497" s="158">
        <v>4.95</v>
      </c>
      <c r="K497" s="158" t="s">
        <v>235</v>
      </c>
    </row>
    <row r="498" spans="4:11">
      <c r="D498" s="158">
        <v>158692</v>
      </c>
      <c r="E498" s="158">
        <v>11948</v>
      </c>
      <c r="F498" s="158">
        <v>1014</v>
      </c>
      <c r="G498" s="158">
        <v>2.6</v>
      </c>
      <c r="H498" s="158">
        <v>0.3</v>
      </c>
      <c r="I498" s="158">
        <v>0</v>
      </c>
      <c r="J498" s="158">
        <v>0.3</v>
      </c>
      <c r="K498" s="158" t="s">
        <v>235</v>
      </c>
    </row>
    <row r="499" spans="4:11">
      <c r="D499" s="158">
        <v>158707</v>
      </c>
      <c r="E499" s="158">
        <v>10796</v>
      </c>
      <c r="F499" s="158">
        <v>2075</v>
      </c>
      <c r="G499" s="158">
        <v>2.7</v>
      </c>
      <c r="H499" s="158">
        <v>4</v>
      </c>
      <c r="I499" s="158">
        <v>0</v>
      </c>
      <c r="J499" s="158">
        <v>4</v>
      </c>
      <c r="K499" s="158" t="s">
        <v>235</v>
      </c>
    </row>
    <row r="500" spans="4:11">
      <c r="D500" s="158">
        <v>158711</v>
      </c>
      <c r="E500" s="158">
        <v>10796</v>
      </c>
      <c r="F500" s="158">
        <v>1999</v>
      </c>
      <c r="G500" s="158">
        <v>2.5</v>
      </c>
      <c r="H500" s="158">
        <v>5.05</v>
      </c>
      <c r="I500" s="158">
        <v>0</v>
      </c>
      <c r="J500" s="158">
        <v>5.05</v>
      </c>
      <c r="K500" s="158" t="s">
        <v>235</v>
      </c>
    </row>
    <row r="501" spans="4:11">
      <c r="D501" s="158">
        <v>158712</v>
      </c>
      <c r="E501" s="158">
        <v>10796</v>
      </c>
      <c r="F501" s="158">
        <v>2075</v>
      </c>
      <c r="G501" s="158">
        <v>2.5</v>
      </c>
      <c r="H501" s="158">
        <v>2</v>
      </c>
      <c r="I501" s="158">
        <v>0</v>
      </c>
      <c r="J501" s="158">
        <v>2</v>
      </c>
      <c r="K501" s="158" t="s">
        <v>235</v>
      </c>
    </row>
    <row r="502" spans="4:11">
      <c r="D502" s="158">
        <v>158713</v>
      </c>
      <c r="E502" s="158">
        <v>10796</v>
      </c>
      <c r="F502" s="158">
        <v>1999</v>
      </c>
      <c r="G502" s="158">
        <v>2.5</v>
      </c>
      <c r="H502" s="158">
        <v>2.75</v>
      </c>
      <c r="I502" s="158">
        <v>0</v>
      </c>
      <c r="J502" s="158">
        <v>2.75</v>
      </c>
      <c r="K502" s="158" t="s">
        <v>235</v>
      </c>
    </row>
    <row r="503" spans="4:11">
      <c r="D503" s="158">
        <v>158714</v>
      </c>
      <c r="E503" s="158">
        <v>10796</v>
      </c>
      <c r="F503" s="158">
        <v>1999</v>
      </c>
      <c r="G503" s="158">
        <v>8</v>
      </c>
      <c r="H503" s="158">
        <v>5.85</v>
      </c>
      <c r="I503" s="158">
        <v>0</v>
      </c>
      <c r="J503" s="158">
        <v>5.85</v>
      </c>
      <c r="K503" s="158" t="s">
        <v>235</v>
      </c>
    </row>
    <row r="504" spans="4:11">
      <c r="D504" s="158">
        <v>158715</v>
      </c>
      <c r="E504" s="158">
        <v>10796</v>
      </c>
      <c r="F504" s="158">
        <v>2075</v>
      </c>
      <c r="G504" s="158">
        <v>7.5</v>
      </c>
      <c r="H504" s="158">
        <v>6.6</v>
      </c>
      <c r="I504" s="158">
        <v>0</v>
      </c>
      <c r="J504" s="158">
        <v>6.6</v>
      </c>
      <c r="K504" s="158" t="s">
        <v>235</v>
      </c>
    </row>
    <row r="505" spans="4:11">
      <c r="D505" s="158">
        <v>158718</v>
      </c>
      <c r="E505" s="158">
        <v>10796</v>
      </c>
      <c r="F505" s="158">
        <v>2075</v>
      </c>
      <c r="G505" s="158">
        <v>0</v>
      </c>
      <c r="H505" s="158">
        <v>2.2000000000000002</v>
      </c>
      <c r="I505" s="158">
        <v>0</v>
      </c>
      <c r="J505" s="158">
        <v>2.2000000000000002</v>
      </c>
      <c r="K505" s="158" t="s">
        <v>235</v>
      </c>
    </row>
    <row r="506" spans="4:11">
      <c r="D506" s="158">
        <v>158719</v>
      </c>
      <c r="E506" s="158">
        <v>10796</v>
      </c>
      <c r="F506" s="158">
        <v>1999</v>
      </c>
      <c r="G506" s="158">
        <v>2.5</v>
      </c>
      <c r="H506" s="158">
        <v>3.2</v>
      </c>
      <c r="I506" s="158">
        <v>0</v>
      </c>
      <c r="J506" s="158">
        <v>3.2</v>
      </c>
      <c r="K506" s="158" t="s">
        <v>235</v>
      </c>
    </row>
    <row r="507" spans="4:11">
      <c r="D507" s="158">
        <v>158735</v>
      </c>
      <c r="E507" s="158">
        <v>10692</v>
      </c>
      <c r="F507" s="158">
        <v>2123</v>
      </c>
      <c r="G507" s="158">
        <v>1.5</v>
      </c>
      <c r="H507" s="158">
        <v>7</v>
      </c>
      <c r="I507" s="158">
        <v>0</v>
      </c>
      <c r="J507" s="158">
        <v>7</v>
      </c>
      <c r="K507" s="158" t="s">
        <v>235</v>
      </c>
    </row>
    <row r="508" spans="4:11">
      <c r="D508" s="158">
        <v>158737</v>
      </c>
      <c r="E508" s="158">
        <v>10691</v>
      </c>
      <c r="F508" s="158">
        <v>2123</v>
      </c>
      <c r="G508" s="158">
        <v>1.5</v>
      </c>
      <c r="H508" s="158">
        <v>5.5</v>
      </c>
      <c r="I508" s="158">
        <v>0</v>
      </c>
      <c r="J508" s="158">
        <v>5.5</v>
      </c>
      <c r="K508" s="158" t="s">
        <v>235</v>
      </c>
    </row>
    <row r="509" spans="4:11">
      <c r="D509" s="158">
        <v>158738</v>
      </c>
      <c r="E509" s="158">
        <v>10691</v>
      </c>
      <c r="F509" s="158">
        <v>1795</v>
      </c>
      <c r="G509" s="158">
        <v>1.5</v>
      </c>
      <c r="H509" s="158">
        <v>1.5</v>
      </c>
      <c r="I509" s="158">
        <v>0</v>
      </c>
      <c r="J509" s="158">
        <v>1.5</v>
      </c>
      <c r="K509" s="158" t="s">
        <v>235</v>
      </c>
    </row>
    <row r="510" spans="4:11">
      <c r="D510" s="158">
        <v>158739</v>
      </c>
      <c r="E510" s="158">
        <v>11950</v>
      </c>
      <c r="F510" s="158">
        <v>1795</v>
      </c>
      <c r="G510" s="158">
        <v>4.0999999999999996</v>
      </c>
      <c r="H510" s="158">
        <v>5</v>
      </c>
      <c r="I510" s="158">
        <v>0</v>
      </c>
      <c r="J510" s="158">
        <v>5</v>
      </c>
      <c r="K510" s="158" t="s">
        <v>235</v>
      </c>
    </row>
    <row r="511" spans="4:11">
      <c r="D511" s="158">
        <v>158740</v>
      </c>
      <c r="E511" s="158">
        <v>11950</v>
      </c>
      <c r="F511" s="158">
        <v>1795</v>
      </c>
      <c r="G511" s="158">
        <v>8.3000000000000007</v>
      </c>
      <c r="H511" s="158">
        <v>5.25</v>
      </c>
      <c r="I511" s="158">
        <v>0</v>
      </c>
      <c r="J511" s="158">
        <v>5.25</v>
      </c>
      <c r="K511" s="158" t="s">
        <v>235</v>
      </c>
    </row>
    <row r="512" spans="4:11">
      <c r="D512" s="158">
        <v>158741</v>
      </c>
      <c r="E512" s="158">
        <v>11950</v>
      </c>
      <c r="F512" s="158">
        <v>1795</v>
      </c>
      <c r="G512" s="158">
        <v>5.2</v>
      </c>
      <c r="H512" s="158">
        <v>9.5</v>
      </c>
      <c r="I512" s="158">
        <v>0</v>
      </c>
      <c r="J512" s="158">
        <v>9.5</v>
      </c>
      <c r="K512" s="158" t="s">
        <v>235</v>
      </c>
    </row>
    <row r="513" spans="4:11">
      <c r="D513" s="158">
        <v>158743</v>
      </c>
      <c r="E513" s="158">
        <v>11950</v>
      </c>
      <c r="F513" s="158">
        <v>1795</v>
      </c>
      <c r="G513" s="158">
        <v>6.2</v>
      </c>
      <c r="H513" s="158">
        <v>5</v>
      </c>
      <c r="I513" s="158">
        <v>0</v>
      </c>
      <c r="J513" s="158">
        <v>5</v>
      </c>
      <c r="K513" s="158" t="s">
        <v>235</v>
      </c>
    </row>
    <row r="514" spans="4:11">
      <c r="D514" s="158">
        <v>158746</v>
      </c>
      <c r="E514" s="158">
        <v>11704</v>
      </c>
      <c r="F514" s="158">
        <v>1084</v>
      </c>
      <c r="G514" s="158">
        <v>15</v>
      </c>
      <c r="H514" s="158">
        <v>2</v>
      </c>
      <c r="I514" s="158">
        <v>0</v>
      </c>
      <c r="J514" s="158">
        <v>2</v>
      </c>
      <c r="K514" s="158" t="s">
        <v>235</v>
      </c>
    </row>
    <row r="515" spans="4:11">
      <c r="D515" s="158">
        <v>158757</v>
      </c>
      <c r="E515" s="158">
        <v>11704</v>
      </c>
      <c r="F515" s="158">
        <v>1084</v>
      </c>
      <c r="G515" s="158">
        <v>2</v>
      </c>
      <c r="H515" s="158">
        <v>0</v>
      </c>
      <c r="I515" s="158">
        <v>0</v>
      </c>
      <c r="J515" s="158">
        <v>0</v>
      </c>
      <c r="K515" s="158" t="s">
        <v>235</v>
      </c>
    </row>
    <row r="516" spans="4:11">
      <c r="D516" s="158">
        <v>158760</v>
      </c>
      <c r="E516" s="158">
        <v>11706</v>
      </c>
      <c r="F516" s="158">
        <v>1084</v>
      </c>
      <c r="G516" s="158">
        <v>4.0999999999999996</v>
      </c>
      <c r="H516" s="158">
        <v>5</v>
      </c>
      <c r="I516" s="158">
        <v>0</v>
      </c>
      <c r="J516" s="158">
        <v>5</v>
      </c>
      <c r="K516" s="158" t="s">
        <v>235</v>
      </c>
    </row>
    <row r="517" spans="4:11">
      <c r="D517" s="158">
        <v>158802</v>
      </c>
      <c r="E517" s="158">
        <v>10020</v>
      </c>
      <c r="F517" s="158">
        <v>402</v>
      </c>
      <c r="G517" s="158">
        <v>0</v>
      </c>
      <c r="H517" s="158">
        <v>10.3</v>
      </c>
      <c r="I517" s="158">
        <v>0</v>
      </c>
      <c r="J517" s="158">
        <v>10.3</v>
      </c>
      <c r="K517" s="158" t="s">
        <v>238</v>
      </c>
    </row>
    <row r="518" spans="4:11">
      <c r="D518" s="158">
        <v>158806</v>
      </c>
      <c r="E518" s="158">
        <v>10020</v>
      </c>
      <c r="F518" s="158">
        <v>229</v>
      </c>
      <c r="G518" s="158">
        <v>0</v>
      </c>
      <c r="H518" s="158">
        <v>0.7</v>
      </c>
      <c r="I518" s="158">
        <v>0</v>
      </c>
      <c r="J518" s="158">
        <v>0.7</v>
      </c>
      <c r="K518" s="158" t="s">
        <v>238</v>
      </c>
    </row>
    <row r="519" spans="4:11">
      <c r="D519" s="158">
        <v>158807</v>
      </c>
      <c r="E519" s="158">
        <v>10020</v>
      </c>
      <c r="F519" s="158">
        <v>1667</v>
      </c>
      <c r="G519" s="158">
        <v>0</v>
      </c>
      <c r="H519" s="158">
        <v>0.65</v>
      </c>
      <c r="I519" s="158">
        <v>0</v>
      </c>
      <c r="J519" s="158">
        <v>0.65</v>
      </c>
      <c r="K519" s="158" t="s">
        <v>238</v>
      </c>
    </row>
    <row r="520" spans="4:11">
      <c r="D520" s="158">
        <v>159018</v>
      </c>
      <c r="E520" s="158">
        <v>10719</v>
      </c>
      <c r="F520" s="158">
        <v>947</v>
      </c>
      <c r="H520" s="158">
        <v>2</v>
      </c>
      <c r="I520" s="158">
        <v>0</v>
      </c>
      <c r="J520" s="158">
        <v>2</v>
      </c>
      <c r="K520" s="158" t="s">
        <v>235</v>
      </c>
    </row>
    <row r="521" spans="4:11">
      <c r="D521" s="158">
        <v>159023</v>
      </c>
      <c r="E521" s="158">
        <v>11213</v>
      </c>
      <c r="F521" s="158">
        <v>1821</v>
      </c>
      <c r="G521" s="158">
        <v>0</v>
      </c>
      <c r="H521" s="158">
        <v>23</v>
      </c>
      <c r="I521" s="158">
        <v>0</v>
      </c>
      <c r="J521" s="158">
        <v>23</v>
      </c>
      <c r="K521" s="158" t="s">
        <v>235</v>
      </c>
    </row>
    <row r="522" spans="4:11">
      <c r="D522" s="158">
        <v>159028</v>
      </c>
      <c r="E522" s="158">
        <v>11213</v>
      </c>
      <c r="F522" s="158">
        <v>1738</v>
      </c>
      <c r="G522" s="158">
        <v>0</v>
      </c>
      <c r="H522" s="158">
        <v>0.2</v>
      </c>
      <c r="I522" s="158">
        <v>0</v>
      </c>
      <c r="J522" s="158">
        <v>0.2</v>
      </c>
      <c r="K522" s="158" t="s">
        <v>235</v>
      </c>
    </row>
    <row r="523" spans="4:11">
      <c r="D523" s="158">
        <v>159029</v>
      </c>
      <c r="E523" s="158">
        <v>10777</v>
      </c>
      <c r="F523" s="158">
        <v>197</v>
      </c>
      <c r="G523" s="158">
        <v>0.5</v>
      </c>
      <c r="H523" s="158">
        <v>4</v>
      </c>
      <c r="I523" s="158">
        <v>0</v>
      </c>
      <c r="J523" s="158">
        <v>4</v>
      </c>
      <c r="K523" s="158" t="s">
        <v>235</v>
      </c>
    </row>
    <row r="524" spans="4:11">
      <c r="D524" s="158">
        <v>159030</v>
      </c>
      <c r="E524" s="158">
        <v>11213</v>
      </c>
      <c r="F524" s="158">
        <v>197</v>
      </c>
      <c r="H524" s="158">
        <v>0</v>
      </c>
      <c r="I524" s="158">
        <v>0</v>
      </c>
      <c r="J524" s="158">
        <v>0</v>
      </c>
      <c r="K524" s="158" t="s">
        <v>235</v>
      </c>
    </row>
    <row r="525" spans="4:11">
      <c r="D525" s="158">
        <v>159031</v>
      </c>
      <c r="E525" s="158">
        <v>11948</v>
      </c>
      <c r="F525" s="158">
        <v>197</v>
      </c>
      <c r="G525" s="158">
        <v>3.1</v>
      </c>
      <c r="H525" s="158">
        <v>2.25</v>
      </c>
      <c r="I525" s="158">
        <v>0</v>
      </c>
      <c r="J525" s="158">
        <v>2.25</v>
      </c>
      <c r="K525" s="158" t="s">
        <v>235</v>
      </c>
    </row>
    <row r="526" spans="4:11">
      <c r="D526" s="158">
        <v>159032</v>
      </c>
      <c r="E526" s="158">
        <v>11213</v>
      </c>
      <c r="F526" s="158">
        <v>197</v>
      </c>
      <c r="G526" s="158">
        <v>0</v>
      </c>
      <c r="H526" s="158">
        <v>0</v>
      </c>
      <c r="I526" s="158">
        <v>0</v>
      </c>
      <c r="J526" s="158">
        <v>0</v>
      </c>
      <c r="K526" s="158" t="s">
        <v>235</v>
      </c>
    </row>
    <row r="527" spans="4:11">
      <c r="D527" s="158">
        <v>159033</v>
      </c>
      <c r="E527" s="158">
        <v>11213</v>
      </c>
      <c r="F527" s="158">
        <v>1821</v>
      </c>
      <c r="G527" s="158">
        <v>0</v>
      </c>
      <c r="H527" s="158">
        <v>0</v>
      </c>
      <c r="I527" s="158">
        <v>0</v>
      </c>
      <c r="J527" s="158">
        <v>0</v>
      </c>
      <c r="K527" s="158" t="s">
        <v>235</v>
      </c>
    </row>
    <row r="528" spans="4:11">
      <c r="D528" s="158">
        <v>159034</v>
      </c>
      <c r="E528" s="158">
        <v>10639</v>
      </c>
      <c r="F528" s="158">
        <v>938</v>
      </c>
      <c r="G528" s="158">
        <v>0</v>
      </c>
      <c r="H528" s="158">
        <v>25.65</v>
      </c>
      <c r="I528" s="158">
        <v>0</v>
      </c>
      <c r="J528" s="158">
        <v>25.65</v>
      </c>
      <c r="K528" s="158" t="s">
        <v>235</v>
      </c>
    </row>
    <row r="529" spans="4:11">
      <c r="D529" s="158">
        <v>159035</v>
      </c>
      <c r="E529" s="158">
        <v>10639</v>
      </c>
      <c r="F529" s="158">
        <v>306</v>
      </c>
      <c r="G529" s="158">
        <v>0</v>
      </c>
      <c r="H529" s="158">
        <v>17.75</v>
      </c>
      <c r="I529" s="158">
        <v>0</v>
      </c>
      <c r="J529" s="158">
        <v>17.75</v>
      </c>
      <c r="K529" s="158" t="s">
        <v>235</v>
      </c>
    </row>
    <row r="530" spans="4:11">
      <c r="D530" s="158">
        <v>159039</v>
      </c>
      <c r="E530" s="158">
        <v>11948</v>
      </c>
      <c r="F530" s="158">
        <v>1738</v>
      </c>
      <c r="G530" s="158">
        <v>4.7</v>
      </c>
      <c r="H530" s="158">
        <v>0.7</v>
      </c>
      <c r="I530" s="158">
        <v>0</v>
      </c>
      <c r="J530" s="158">
        <v>0.7</v>
      </c>
      <c r="K530" s="158" t="s">
        <v>235</v>
      </c>
    </row>
    <row r="531" spans="4:11">
      <c r="D531" s="158">
        <v>159040</v>
      </c>
      <c r="E531" s="158">
        <v>11948</v>
      </c>
      <c r="F531" s="158">
        <v>1738</v>
      </c>
      <c r="G531" s="158">
        <v>2.6</v>
      </c>
      <c r="H531" s="158">
        <v>0.3</v>
      </c>
      <c r="I531" s="158">
        <v>0</v>
      </c>
      <c r="J531" s="158">
        <v>0.3</v>
      </c>
      <c r="K531" s="158" t="s">
        <v>235</v>
      </c>
    </row>
    <row r="532" spans="4:11">
      <c r="D532" s="158">
        <v>159041</v>
      </c>
      <c r="E532" s="158">
        <v>11948</v>
      </c>
      <c r="F532" s="158">
        <v>1738</v>
      </c>
      <c r="G532" s="158">
        <v>4.7</v>
      </c>
      <c r="H532" s="158">
        <v>1.96</v>
      </c>
      <c r="I532" s="158">
        <v>0</v>
      </c>
      <c r="J532" s="158">
        <v>1.96</v>
      </c>
      <c r="K532" s="158" t="s">
        <v>235</v>
      </c>
    </row>
    <row r="533" spans="4:11">
      <c r="D533" s="158">
        <v>159042</v>
      </c>
      <c r="E533" s="158">
        <v>11948</v>
      </c>
      <c r="F533" s="158">
        <v>1738</v>
      </c>
      <c r="G533" s="158">
        <v>2.6</v>
      </c>
      <c r="H533" s="158">
        <v>0.94</v>
      </c>
      <c r="I533" s="158">
        <v>0</v>
      </c>
      <c r="J533" s="158">
        <v>0.94</v>
      </c>
      <c r="K533" s="158" t="s">
        <v>235</v>
      </c>
    </row>
    <row r="534" spans="4:11">
      <c r="D534" s="158">
        <v>159051</v>
      </c>
      <c r="E534" s="158">
        <v>10639</v>
      </c>
      <c r="F534" s="158">
        <v>666</v>
      </c>
      <c r="G534" s="158">
        <v>0</v>
      </c>
      <c r="H534" s="158">
        <v>5.5</v>
      </c>
      <c r="I534" s="158">
        <v>0</v>
      </c>
      <c r="J534" s="158">
        <v>5.5</v>
      </c>
      <c r="K534" s="158" t="s">
        <v>235</v>
      </c>
    </row>
    <row r="535" spans="4:11">
      <c r="D535" s="158">
        <v>159052</v>
      </c>
      <c r="E535" s="158">
        <v>10639</v>
      </c>
      <c r="F535" s="158">
        <v>60</v>
      </c>
      <c r="H535" s="158">
        <v>3.5</v>
      </c>
      <c r="I535" s="158">
        <v>0</v>
      </c>
      <c r="J535" s="158">
        <v>3.5</v>
      </c>
      <c r="K535" s="158" t="s">
        <v>235</v>
      </c>
    </row>
    <row r="536" spans="4:11">
      <c r="D536" s="158">
        <v>159160</v>
      </c>
      <c r="E536" s="158">
        <v>10639</v>
      </c>
      <c r="F536" s="158">
        <v>222</v>
      </c>
      <c r="H536" s="158">
        <v>5</v>
      </c>
      <c r="I536" s="158">
        <v>0</v>
      </c>
      <c r="J536" s="158">
        <v>5</v>
      </c>
      <c r="K536" s="158" t="s">
        <v>235</v>
      </c>
    </row>
    <row r="537" spans="4:11">
      <c r="D537" s="158">
        <v>159161</v>
      </c>
      <c r="E537" s="158">
        <v>10639</v>
      </c>
      <c r="F537" s="158">
        <v>1251</v>
      </c>
      <c r="H537" s="158">
        <v>0</v>
      </c>
      <c r="I537" s="158">
        <v>0</v>
      </c>
      <c r="J537" s="158">
        <v>0</v>
      </c>
      <c r="K537" s="158" t="s">
        <v>235</v>
      </c>
    </row>
    <row r="538" spans="4:11">
      <c r="D538" s="158">
        <v>159184</v>
      </c>
      <c r="E538" s="158">
        <v>10719</v>
      </c>
      <c r="F538" s="158">
        <v>527</v>
      </c>
      <c r="H538" s="158">
        <v>0</v>
      </c>
      <c r="I538" s="158">
        <v>0</v>
      </c>
      <c r="J538" s="158">
        <v>0</v>
      </c>
      <c r="K538" s="158" t="s">
        <v>235</v>
      </c>
    </row>
    <row r="539" spans="4:11">
      <c r="D539" s="158">
        <v>159185</v>
      </c>
      <c r="E539" s="158">
        <v>10719</v>
      </c>
      <c r="F539" s="158">
        <v>527</v>
      </c>
      <c r="H539" s="158">
        <v>0</v>
      </c>
      <c r="I539" s="158">
        <v>0</v>
      </c>
      <c r="J539" s="158">
        <v>0</v>
      </c>
      <c r="K539" s="158" t="s">
        <v>235</v>
      </c>
    </row>
    <row r="540" spans="4:11">
      <c r="D540" s="158">
        <v>159193</v>
      </c>
      <c r="E540" s="158">
        <v>10742</v>
      </c>
      <c r="F540" s="158">
        <v>938</v>
      </c>
      <c r="H540" s="158">
        <v>1</v>
      </c>
      <c r="I540" s="158">
        <v>0</v>
      </c>
      <c r="J540" s="158">
        <v>1</v>
      </c>
      <c r="K540" s="158" t="s">
        <v>235</v>
      </c>
    </row>
    <row r="541" spans="4:11">
      <c r="D541" s="158">
        <v>159194</v>
      </c>
      <c r="E541" s="158">
        <v>11213</v>
      </c>
      <c r="F541" s="158">
        <v>222</v>
      </c>
      <c r="G541" s="158">
        <v>0</v>
      </c>
      <c r="H541" s="158">
        <v>7.25</v>
      </c>
      <c r="I541" s="158">
        <v>25.8</v>
      </c>
      <c r="J541" s="158">
        <v>33.049999999999997</v>
      </c>
      <c r="K541" s="158" t="s">
        <v>235</v>
      </c>
    </row>
    <row r="542" spans="4:11">
      <c r="D542" s="158">
        <v>159195</v>
      </c>
      <c r="E542" s="158">
        <v>11213</v>
      </c>
      <c r="F542" s="158">
        <v>222</v>
      </c>
      <c r="H542" s="158">
        <v>1</v>
      </c>
      <c r="I542" s="158">
        <v>0</v>
      </c>
      <c r="J542" s="158">
        <v>1</v>
      </c>
      <c r="K542" s="158" t="s">
        <v>235</v>
      </c>
    </row>
    <row r="543" spans="4:11">
      <c r="D543" s="158">
        <v>159229</v>
      </c>
      <c r="E543" s="158">
        <v>11213</v>
      </c>
      <c r="F543" s="158">
        <v>1738</v>
      </c>
      <c r="G543" s="158">
        <v>0</v>
      </c>
      <c r="H543" s="158">
        <v>0.35</v>
      </c>
      <c r="I543" s="158">
        <v>0</v>
      </c>
      <c r="J543" s="158">
        <v>0.35</v>
      </c>
      <c r="K543" s="158" t="s">
        <v>235</v>
      </c>
    </row>
    <row r="544" spans="4:11">
      <c r="D544" s="158">
        <v>159241</v>
      </c>
      <c r="E544" s="158">
        <v>10720</v>
      </c>
      <c r="F544" s="158">
        <v>433</v>
      </c>
      <c r="H544" s="158">
        <v>0.5</v>
      </c>
      <c r="I544" s="158">
        <v>0</v>
      </c>
      <c r="J544" s="158">
        <v>0.5</v>
      </c>
      <c r="K544" s="158" t="s">
        <v>235</v>
      </c>
    </row>
    <row r="545" spans="4:11">
      <c r="D545" s="158">
        <v>159349</v>
      </c>
      <c r="E545" s="158">
        <v>10759</v>
      </c>
      <c r="F545" s="158">
        <v>2062</v>
      </c>
      <c r="G545" s="158">
        <v>5</v>
      </c>
      <c r="H545" s="158">
        <v>4.5</v>
      </c>
      <c r="I545" s="158">
        <v>0</v>
      </c>
      <c r="J545" s="158">
        <v>4.5</v>
      </c>
      <c r="K545" s="158" t="s">
        <v>235</v>
      </c>
    </row>
    <row r="546" spans="4:11">
      <c r="D546" s="158">
        <v>159369</v>
      </c>
      <c r="E546" s="158">
        <v>11213</v>
      </c>
      <c r="F546" s="158">
        <v>938</v>
      </c>
      <c r="G546" s="158">
        <v>0</v>
      </c>
      <c r="H546" s="158">
        <v>0</v>
      </c>
      <c r="I546" s="158">
        <v>0</v>
      </c>
      <c r="J546" s="158">
        <v>0</v>
      </c>
      <c r="K546" s="158" t="s">
        <v>235</v>
      </c>
    </row>
    <row r="547" spans="4:11">
      <c r="D547" s="158">
        <v>159370</v>
      </c>
      <c r="E547" s="158">
        <v>11334</v>
      </c>
      <c r="F547" s="158">
        <v>1014</v>
      </c>
      <c r="G547" s="158">
        <v>6</v>
      </c>
      <c r="H547" s="158">
        <v>7.15</v>
      </c>
      <c r="I547" s="158">
        <v>0</v>
      </c>
      <c r="J547" s="158">
        <v>7.15</v>
      </c>
      <c r="K547" s="158" t="s">
        <v>235</v>
      </c>
    </row>
    <row r="548" spans="4:11">
      <c r="D548" s="158">
        <v>159372</v>
      </c>
      <c r="E548" s="158">
        <v>10763</v>
      </c>
      <c r="F548" s="158">
        <v>1014</v>
      </c>
      <c r="G548" s="158">
        <v>4.5999999999999996</v>
      </c>
      <c r="H548" s="158">
        <v>4.7</v>
      </c>
      <c r="I548" s="158">
        <v>0</v>
      </c>
      <c r="J548" s="158">
        <v>4.7</v>
      </c>
      <c r="K548" s="158" t="s">
        <v>235</v>
      </c>
    </row>
    <row r="549" spans="4:11">
      <c r="D549" s="158">
        <v>159373</v>
      </c>
      <c r="E549" s="158">
        <v>10763</v>
      </c>
      <c r="F549" s="158">
        <v>306</v>
      </c>
      <c r="G549" s="158">
        <v>15</v>
      </c>
      <c r="H549" s="158">
        <v>18.5</v>
      </c>
      <c r="I549" s="158">
        <v>0</v>
      </c>
      <c r="J549" s="158">
        <v>18.5</v>
      </c>
      <c r="K549" s="158" t="s">
        <v>235</v>
      </c>
    </row>
    <row r="550" spans="4:11">
      <c r="D550" s="158">
        <v>159382</v>
      </c>
      <c r="E550" s="158">
        <v>10639</v>
      </c>
      <c r="F550" s="158">
        <v>2142</v>
      </c>
      <c r="G550" s="158">
        <v>0</v>
      </c>
      <c r="H550" s="158">
        <v>44.75</v>
      </c>
      <c r="I550" s="158">
        <v>0</v>
      </c>
      <c r="J550" s="158">
        <v>44.75</v>
      </c>
      <c r="K550" s="158" t="s">
        <v>235</v>
      </c>
    </row>
    <row r="551" spans="4:11">
      <c r="D551" s="158">
        <v>159383</v>
      </c>
      <c r="E551" s="158">
        <v>11213</v>
      </c>
      <c r="F551" s="158">
        <v>1014</v>
      </c>
      <c r="G551" s="158">
        <v>6.2</v>
      </c>
      <c r="H551" s="158">
        <v>3.7</v>
      </c>
      <c r="I551" s="158">
        <v>0</v>
      </c>
      <c r="J551" s="158">
        <v>3.7</v>
      </c>
      <c r="K551" s="158" t="s">
        <v>235</v>
      </c>
    </row>
    <row r="552" spans="4:11">
      <c r="D552" s="158">
        <v>159384</v>
      </c>
      <c r="E552" s="158">
        <v>11213</v>
      </c>
      <c r="F552" s="158">
        <v>2062</v>
      </c>
      <c r="G552" s="158">
        <v>6.2</v>
      </c>
      <c r="H552" s="158">
        <v>1.95</v>
      </c>
      <c r="I552" s="158">
        <v>0</v>
      </c>
      <c r="J552" s="158">
        <v>1.95</v>
      </c>
      <c r="K552" s="158" t="s">
        <v>235</v>
      </c>
    </row>
    <row r="553" spans="4:11">
      <c r="D553" s="158">
        <v>159385</v>
      </c>
      <c r="E553" s="158">
        <v>11214</v>
      </c>
      <c r="F553" s="158">
        <v>1014</v>
      </c>
      <c r="G553" s="158">
        <v>0</v>
      </c>
      <c r="H553" s="158">
        <v>0.9</v>
      </c>
      <c r="I553" s="158">
        <v>0</v>
      </c>
      <c r="J553" s="158">
        <v>0.9</v>
      </c>
      <c r="K553" s="158" t="s">
        <v>235</v>
      </c>
    </row>
    <row r="554" spans="4:11">
      <c r="D554" s="158">
        <v>159388</v>
      </c>
      <c r="E554" s="158">
        <v>11214</v>
      </c>
      <c r="F554" s="158">
        <v>2062</v>
      </c>
      <c r="G554" s="158">
        <v>0</v>
      </c>
      <c r="H554" s="158">
        <v>2.25</v>
      </c>
      <c r="I554" s="158">
        <v>0</v>
      </c>
      <c r="J554" s="158">
        <v>2.25</v>
      </c>
      <c r="K554" s="158" t="s">
        <v>235</v>
      </c>
    </row>
    <row r="555" spans="4:11">
      <c r="D555" s="158">
        <v>159389</v>
      </c>
      <c r="E555" s="158">
        <v>10759</v>
      </c>
      <c r="F555" s="158">
        <v>1014</v>
      </c>
      <c r="H555" s="158">
        <v>0.7</v>
      </c>
      <c r="I555" s="158">
        <v>0</v>
      </c>
      <c r="J555" s="158">
        <v>0.7</v>
      </c>
      <c r="K555" s="158" t="s">
        <v>235</v>
      </c>
    </row>
    <row r="556" spans="4:11">
      <c r="D556" s="158">
        <v>159390</v>
      </c>
      <c r="E556" s="158">
        <v>10096</v>
      </c>
      <c r="F556" s="158">
        <v>229</v>
      </c>
      <c r="H556" s="158">
        <v>1.8</v>
      </c>
      <c r="I556" s="158">
        <v>0</v>
      </c>
      <c r="J556" s="158">
        <v>1.8</v>
      </c>
      <c r="K556" s="158" t="s">
        <v>237</v>
      </c>
    </row>
    <row r="557" spans="4:11">
      <c r="D557" s="158">
        <v>159391</v>
      </c>
      <c r="E557" s="158">
        <v>10096</v>
      </c>
      <c r="F557" s="158">
        <v>965</v>
      </c>
      <c r="H557" s="158">
        <v>0</v>
      </c>
      <c r="I557" s="158">
        <v>0</v>
      </c>
      <c r="J557" s="158">
        <v>0</v>
      </c>
      <c r="K557" s="158" t="s">
        <v>237</v>
      </c>
    </row>
    <row r="558" spans="4:11">
      <c r="D558" s="158">
        <v>159393</v>
      </c>
      <c r="E558" s="158">
        <v>10096</v>
      </c>
      <c r="F558" s="158">
        <v>1039</v>
      </c>
      <c r="H558" s="158">
        <v>0</v>
      </c>
      <c r="I558" s="158">
        <v>0</v>
      </c>
      <c r="J558" s="158">
        <v>0</v>
      </c>
      <c r="K558" s="158" t="s">
        <v>237</v>
      </c>
    </row>
    <row r="559" spans="4:11">
      <c r="D559" s="158">
        <v>159394</v>
      </c>
      <c r="E559" s="158">
        <v>10011</v>
      </c>
      <c r="F559" s="158">
        <v>666</v>
      </c>
      <c r="G559" s="158">
        <v>0</v>
      </c>
      <c r="H559" s="158">
        <v>9</v>
      </c>
      <c r="I559" s="158">
        <v>0</v>
      </c>
      <c r="J559" s="158">
        <v>9</v>
      </c>
      <c r="K559" s="158" t="s">
        <v>238</v>
      </c>
    </row>
    <row r="560" spans="4:11">
      <c r="D560" s="158">
        <v>159395</v>
      </c>
      <c r="E560" s="158">
        <v>10096</v>
      </c>
      <c r="F560" s="158">
        <v>666</v>
      </c>
      <c r="G560" s="158">
        <v>0</v>
      </c>
      <c r="H560" s="158">
        <v>5.5</v>
      </c>
      <c r="I560" s="158">
        <v>0</v>
      </c>
      <c r="J560" s="158">
        <v>5.5</v>
      </c>
      <c r="K560" s="158" t="s">
        <v>237</v>
      </c>
    </row>
    <row r="561" spans="4:11">
      <c r="D561" s="158">
        <v>159396</v>
      </c>
      <c r="E561" s="158">
        <v>10096</v>
      </c>
      <c r="F561" s="158">
        <v>60</v>
      </c>
      <c r="H561" s="158">
        <v>0</v>
      </c>
      <c r="I561" s="158">
        <v>0</v>
      </c>
      <c r="J561" s="158">
        <v>0</v>
      </c>
      <c r="K561" s="158" t="s">
        <v>237</v>
      </c>
    </row>
    <row r="562" spans="4:11">
      <c r="D562" s="158">
        <v>159397</v>
      </c>
      <c r="E562" s="158">
        <v>10011</v>
      </c>
      <c r="F562" s="158">
        <v>60</v>
      </c>
      <c r="H562" s="158">
        <v>2.5</v>
      </c>
      <c r="I562" s="158">
        <v>0</v>
      </c>
      <c r="J562" s="158">
        <v>2.5</v>
      </c>
      <c r="K562" s="158" t="s">
        <v>238</v>
      </c>
    </row>
    <row r="563" spans="4:11">
      <c r="D563" s="158">
        <v>159423</v>
      </c>
      <c r="E563" s="158">
        <v>11213</v>
      </c>
      <c r="F563" s="158">
        <v>2062</v>
      </c>
      <c r="G563" s="158">
        <v>0</v>
      </c>
      <c r="H563" s="158">
        <v>8.4</v>
      </c>
      <c r="I563" s="158">
        <v>0</v>
      </c>
      <c r="J563" s="158">
        <v>8.4</v>
      </c>
      <c r="K563" s="158" t="s">
        <v>235</v>
      </c>
    </row>
    <row r="564" spans="4:11">
      <c r="D564" s="158">
        <v>159435</v>
      </c>
      <c r="E564" s="158">
        <v>11759</v>
      </c>
      <c r="F564" s="158">
        <v>1251</v>
      </c>
      <c r="G564" s="158">
        <v>10.3</v>
      </c>
      <c r="H564" s="158">
        <v>13.6</v>
      </c>
      <c r="I564" s="158">
        <v>0</v>
      </c>
      <c r="J564" s="158">
        <v>13.6</v>
      </c>
      <c r="K564" s="158" t="s">
        <v>235</v>
      </c>
    </row>
    <row r="565" spans="4:11">
      <c r="D565" s="158">
        <v>159441</v>
      </c>
      <c r="E565" s="158">
        <v>11213</v>
      </c>
      <c r="F565" s="158">
        <v>1014</v>
      </c>
      <c r="G565" s="158">
        <v>0</v>
      </c>
      <c r="H565" s="158">
        <v>1.35</v>
      </c>
      <c r="I565" s="158">
        <v>0</v>
      </c>
      <c r="J565" s="158">
        <v>1.35</v>
      </c>
      <c r="K565" s="158" t="s">
        <v>235</v>
      </c>
    </row>
    <row r="566" spans="4:11">
      <c r="D566" s="158">
        <v>159486</v>
      </c>
      <c r="E566" s="158">
        <v>10639</v>
      </c>
      <c r="F566" s="158">
        <v>2033</v>
      </c>
      <c r="G566" s="158">
        <v>20</v>
      </c>
      <c r="H566" s="158">
        <v>10.8</v>
      </c>
      <c r="I566" s="158">
        <v>0</v>
      </c>
      <c r="J566" s="158">
        <v>10.8</v>
      </c>
      <c r="K566" s="158" t="s">
        <v>235</v>
      </c>
    </row>
    <row r="567" spans="4:11">
      <c r="D567" s="158">
        <v>159496</v>
      </c>
      <c r="E567" s="158">
        <v>10763</v>
      </c>
      <c r="F567" s="158">
        <v>306</v>
      </c>
      <c r="G567" s="158">
        <v>17.600000000000001</v>
      </c>
      <c r="H567" s="158">
        <v>17</v>
      </c>
      <c r="I567" s="158">
        <v>0</v>
      </c>
      <c r="J567" s="158">
        <v>17</v>
      </c>
      <c r="K567" s="158" t="s">
        <v>235</v>
      </c>
    </row>
    <row r="568" spans="4:11">
      <c r="D568" s="158">
        <v>159498</v>
      </c>
      <c r="E568" s="158">
        <v>10763</v>
      </c>
      <c r="F568" s="158">
        <v>2062</v>
      </c>
      <c r="G568" s="158">
        <v>0</v>
      </c>
      <c r="H568" s="158">
        <v>1</v>
      </c>
      <c r="I568" s="158">
        <v>0</v>
      </c>
      <c r="J568" s="158">
        <v>1</v>
      </c>
      <c r="K568" s="158" t="s">
        <v>235</v>
      </c>
    </row>
    <row r="569" spans="4:11">
      <c r="D569" s="158">
        <v>159499</v>
      </c>
      <c r="E569" s="158">
        <v>10692</v>
      </c>
      <c r="F569" s="158">
        <v>2142</v>
      </c>
      <c r="G569" s="158">
        <v>1.6</v>
      </c>
      <c r="H569" s="158">
        <v>0.5</v>
      </c>
      <c r="I569" s="158">
        <v>0</v>
      </c>
      <c r="J569" s="158">
        <v>0.5</v>
      </c>
      <c r="K569" s="158" t="s">
        <v>235</v>
      </c>
    </row>
    <row r="570" spans="4:11">
      <c r="D570" s="158">
        <v>159500</v>
      </c>
      <c r="E570" s="158">
        <v>10691</v>
      </c>
      <c r="F570" s="158">
        <v>2142</v>
      </c>
      <c r="G570" s="158">
        <v>0.3</v>
      </c>
      <c r="H570" s="158">
        <v>3.5</v>
      </c>
      <c r="I570" s="158">
        <v>0</v>
      </c>
      <c r="J570" s="158">
        <v>3.5</v>
      </c>
      <c r="K570" s="158" t="s">
        <v>235</v>
      </c>
    </row>
    <row r="571" spans="4:11">
      <c r="D571" s="158">
        <v>159503</v>
      </c>
      <c r="E571" s="158">
        <v>10691</v>
      </c>
      <c r="F571" s="158">
        <v>2123</v>
      </c>
      <c r="G571" s="158">
        <v>2.1</v>
      </c>
      <c r="H571" s="158">
        <v>1</v>
      </c>
      <c r="I571" s="158">
        <v>0</v>
      </c>
      <c r="J571" s="158">
        <v>1</v>
      </c>
      <c r="K571" s="158" t="s">
        <v>235</v>
      </c>
    </row>
    <row r="572" spans="4:11">
      <c r="D572" s="158">
        <v>159504</v>
      </c>
      <c r="E572" s="158">
        <v>10691</v>
      </c>
      <c r="F572" s="158">
        <v>1795</v>
      </c>
      <c r="G572" s="158">
        <v>2.1</v>
      </c>
      <c r="H572" s="158">
        <v>0</v>
      </c>
      <c r="I572" s="158">
        <v>0</v>
      </c>
      <c r="J572" s="158">
        <v>0</v>
      </c>
      <c r="K572" s="158" t="s">
        <v>235</v>
      </c>
    </row>
    <row r="573" spans="4:11">
      <c r="D573" s="158">
        <v>159505</v>
      </c>
      <c r="E573" s="158">
        <v>10691</v>
      </c>
      <c r="F573" s="158">
        <v>2142</v>
      </c>
      <c r="G573" s="158">
        <v>1</v>
      </c>
      <c r="H573" s="158">
        <v>0</v>
      </c>
      <c r="I573" s="158">
        <v>0</v>
      </c>
      <c r="J573" s="158">
        <v>0</v>
      </c>
      <c r="K573" s="158" t="s">
        <v>235</v>
      </c>
    </row>
    <row r="574" spans="4:11">
      <c r="D574" s="158">
        <v>159506</v>
      </c>
      <c r="E574" s="158">
        <v>10691</v>
      </c>
      <c r="F574" s="158">
        <v>2123</v>
      </c>
      <c r="G574" s="158">
        <v>2</v>
      </c>
      <c r="H574" s="158">
        <v>0</v>
      </c>
      <c r="I574" s="158">
        <v>0</v>
      </c>
      <c r="J574" s="158">
        <v>0</v>
      </c>
      <c r="K574" s="158" t="s">
        <v>235</v>
      </c>
    </row>
    <row r="575" spans="4:11">
      <c r="D575" s="158">
        <v>159507</v>
      </c>
      <c r="E575" s="158">
        <v>10691</v>
      </c>
      <c r="F575" s="158">
        <v>2142</v>
      </c>
      <c r="G575" s="158">
        <v>1</v>
      </c>
      <c r="H575" s="158">
        <v>0.25</v>
      </c>
      <c r="I575" s="158">
        <v>0</v>
      </c>
      <c r="J575" s="158">
        <v>0.25</v>
      </c>
      <c r="K575" s="158" t="s">
        <v>235</v>
      </c>
    </row>
    <row r="576" spans="4:11">
      <c r="D576" s="158">
        <v>159508</v>
      </c>
      <c r="E576" s="158">
        <v>10691</v>
      </c>
      <c r="F576" s="158">
        <v>1795</v>
      </c>
      <c r="G576" s="158">
        <v>2</v>
      </c>
      <c r="H576" s="158">
        <v>3</v>
      </c>
      <c r="I576" s="158">
        <v>0</v>
      </c>
      <c r="J576" s="158">
        <v>3</v>
      </c>
      <c r="K576" s="158" t="s">
        <v>235</v>
      </c>
    </row>
    <row r="577" spans="4:11">
      <c r="D577" s="158">
        <v>159509</v>
      </c>
      <c r="E577" s="158">
        <v>10691</v>
      </c>
      <c r="F577" s="158">
        <v>2123</v>
      </c>
      <c r="G577" s="158">
        <v>2.5</v>
      </c>
      <c r="H577" s="158">
        <v>1.5</v>
      </c>
      <c r="I577" s="158">
        <v>0</v>
      </c>
      <c r="J577" s="158">
        <v>1.5</v>
      </c>
      <c r="K577" s="158" t="s">
        <v>235</v>
      </c>
    </row>
    <row r="578" spans="4:11">
      <c r="D578" s="158">
        <v>159510</v>
      </c>
      <c r="E578" s="158">
        <v>10691</v>
      </c>
      <c r="F578" s="158">
        <v>1795</v>
      </c>
      <c r="G578" s="158">
        <v>2.5</v>
      </c>
      <c r="H578" s="158">
        <v>0</v>
      </c>
      <c r="I578" s="158">
        <v>0</v>
      </c>
      <c r="J578" s="158">
        <v>0</v>
      </c>
      <c r="K578" s="158" t="s">
        <v>235</v>
      </c>
    </row>
    <row r="579" spans="4:11">
      <c r="D579" s="158">
        <v>159511</v>
      </c>
      <c r="E579" s="158">
        <v>10691</v>
      </c>
      <c r="F579" s="158">
        <v>2142</v>
      </c>
      <c r="G579" s="158">
        <v>1.2</v>
      </c>
      <c r="H579" s="158">
        <v>3.5</v>
      </c>
      <c r="I579" s="158">
        <v>0</v>
      </c>
      <c r="J579" s="158">
        <v>3.5</v>
      </c>
      <c r="K579" s="158" t="s">
        <v>235</v>
      </c>
    </row>
    <row r="580" spans="4:11">
      <c r="D580" s="158">
        <v>159512</v>
      </c>
      <c r="E580" s="158">
        <v>10691</v>
      </c>
      <c r="F580" s="158">
        <v>1795</v>
      </c>
      <c r="G580" s="158">
        <v>2</v>
      </c>
      <c r="H580" s="158">
        <v>0</v>
      </c>
      <c r="I580" s="158">
        <v>0</v>
      </c>
      <c r="J580" s="158">
        <v>0</v>
      </c>
      <c r="K580" s="158" t="s">
        <v>235</v>
      </c>
    </row>
    <row r="581" spans="4:11">
      <c r="D581" s="158">
        <v>159513</v>
      </c>
      <c r="E581" s="158">
        <v>10691</v>
      </c>
      <c r="F581" s="158">
        <v>2123</v>
      </c>
      <c r="G581" s="158">
        <v>0.5</v>
      </c>
      <c r="H581" s="158">
        <v>0</v>
      </c>
      <c r="I581" s="158">
        <v>0</v>
      </c>
      <c r="J581" s="158">
        <v>0</v>
      </c>
      <c r="K581" s="158" t="s">
        <v>235</v>
      </c>
    </row>
    <row r="582" spans="4:11">
      <c r="D582" s="158">
        <v>159514</v>
      </c>
      <c r="E582" s="158">
        <v>10691</v>
      </c>
      <c r="F582" s="158">
        <v>2142</v>
      </c>
      <c r="H582" s="158">
        <v>0</v>
      </c>
      <c r="I582" s="158">
        <v>0</v>
      </c>
      <c r="J582" s="158">
        <v>0</v>
      </c>
      <c r="K582" s="158" t="s">
        <v>235</v>
      </c>
    </row>
    <row r="583" spans="4:11">
      <c r="D583" s="158">
        <v>159533</v>
      </c>
      <c r="E583" s="158">
        <v>10694</v>
      </c>
      <c r="F583" s="158">
        <v>2075</v>
      </c>
      <c r="G583" s="158">
        <v>3.7</v>
      </c>
      <c r="H583" s="158">
        <v>3.1</v>
      </c>
      <c r="I583" s="158">
        <v>0</v>
      </c>
      <c r="J583" s="158">
        <v>3.1</v>
      </c>
      <c r="K583" s="158" t="s">
        <v>235</v>
      </c>
    </row>
    <row r="584" spans="4:11">
      <c r="D584" s="158">
        <v>159535</v>
      </c>
      <c r="E584" s="158">
        <v>11704</v>
      </c>
      <c r="F584" s="158">
        <v>2142</v>
      </c>
      <c r="G584" s="158">
        <v>0.5</v>
      </c>
      <c r="H584" s="158">
        <v>0.75</v>
      </c>
      <c r="I584" s="158">
        <v>0</v>
      </c>
      <c r="J584" s="158">
        <v>0.75</v>
      </c>
      <c r="K584" s="158" t="s">
        <v>235</v>
      </c>
    </row>
    <row r="585" spans="4:11">
      <c r="D585" s="158">
        <v>159540</v>
      </c>
      <c r="E585" s="158">
        <v>11704</v>
      </c>
      <c r="F585" s="158">
        <v>2142</v>
      </c>
      <c r="G585" s="158">
        <v>2.1</v>
      </c>
      <c r="H585" s="158">
        <v>1</v>
      </c>
      <c r="I585" s="158">
        <v>0</v>
      </c>
      <c r="J585" s="158">
        <v>1</v>
      </c>
      <c r="K585" s="158" t="s">
        <v>235</v>
      </c>
    </row>
    <row r="586" spans="4:11">
      <c r="D586" s="158">
        <v>159541</v>
      </c>
      <c r="E586" s="158">
        <v>11704</v>
      </c>
      <c r="F586" s="158">
        <v>2142</v>
      </c>
      <c r="G586" s="158">
        <v>2.8</v>
      </c>
      <c r="H586" s="158">
        <v>3.75</v>
      </c>
      <c r="I586" s="158">
        <v>0</v>
      </c>
      <c r="J586" s="158">
        <v>3.75</v>
      </c>
      <c r="K586" s="158" t="s">
        <v>235</v>
      </c>
    </row>
    <row r="587" spans="4:11">
      <c r="D587" s="158">
        <v>159542</v>
      </c>
      <c r="E587" s="158">
        <v>11704</v>
      </c>
      <c r="F587" s="158">
        <v>1084</v>
      </c>
      <c r="G587" s="158">
        <v>5</v>
      </c>
      <c r="H587" s="158">
        <v>0</v>
      </c>
      <c r="I587" s="158">
        <v>0</v>
      </c>
      <c r="J587" s="158">
        <v>0</v>
      </c>
      <c r="K587" s="158" t="s">
        <v>235</v>
      </c>
    </row>
    <row r="588" spans="4:11">
      <c r="D588" s="158">
        <v>159544</v>
      </c>
      <c r="E588" s="158">
        <v>11214</v>
      </c>
      <c r="F588" s="158">
        <v>828</v>
      </c>
      <c r="G588" s="158">
        <v>3.1</v>
      </c>
      <c r="H588" s="158">
        <v>1</v>
      </c>
      <c r="I588" s="158">
        <v>0</v>
      </c>
      <c r="J588" s="158">
        <v>1</v>
      </c>
      <c r="K588" s="158" t="s">
        <v>235</v>
      </c>
    </row>
    <row r="589" spans="4:11">
      <c r="D589" s="158">
        <v>159545</v>
      </c>
      <c r="E589" s="158">
        <v>10691</v>
      </c>
      <c r="F589" s="158">
        <v>1795</v>
      </c>
      <c r="G589" s="158">
        <v>4</v>
      </c>
      <c r="H589" s="158">
        <v>0</v>
      </c>
      <c r="I589" s="158">
        <v>0</v>
      </c>
      <c r="J589" s="158">
        <v>0</v>
      </c>
      <c r="K589" s="158" t="s">
        <v>235</v>
      </c>
    </row>
    <row r="590" spans="4:11">
      <c r="D590" s="158">
        <v>159546</v>
      </c>
      <c r="E590" s="158">
        <v>10691</v>
      </c>
      <c r="F590" s="158">
        <v>2123</v>
      </c>
      <c r="G590" s="158">
        <v>2</v>
      </c>
      <c r="H590" s="158">
        <v>0.25</v>
      </c>
      <c r="I590" s="158">
        <v>0</v>
      </c>
      <c r="J590" s="158">
        <v>0.25</v>
      </c>
      <c r="K590" s="158" t="s">
        <v>235</v>
      </c>
    </row>
    <row r="591" spans="4:11">
      <c r="D591" s="158">
        <v>159547</v>
      </c>
      <c r="E591" s="158">
        <v>10691</v>
      </c>
      <c r="F591" s="158">
        <v>2142</v>
      </c>
      <c r="G591" s="158">
        <v>1.8</v>
      </c>
      <c r="H591" s="158">
        <v>3</v>
      </c>
      <c r="I591" s="158">
        <v>0</v>
      </c>
      <c r="J591" s="158">
        <v>3</v>
      </c>
      <c r="K591" s="158" t="s">
        <v>235</v>
      </c>
    </row>
    <row r="592" spans="4:11">
      <c r="D592" s="158">
        <v>159548</v>
      </c>
      <c r="E592" s="158">
        <v>11751</v>
      </c>
      <c r="F592" s="158">
        <v>1795</v>
      </c>
      <c r="G592" s="158">
        <v>1</v>
      </c>
      <c r="H592" s="158">
        <v>0.5</v>
      </c>
      <c r="I592" s="158">
        <v>0</v>
      </c>
      <c r="J592" s="158">
        <v>0.5</v>
      </c>
      <c r="K592" s="158" t="s">
        <v>235</v>
      </c>
    </row>
    <row r="593" spans="4:11">
      <c r="D593" s="158">
        <v>159549</v>
      </c>
      <c r="E593" s="158">
        <v>11751</v>
      </c>
      <c r="F593" s="158">
        <v>2123</v>
      </c>
      <c r="G593" s="158">
        <v>1.5</v>
      </c>
      <c r="H593" s="158">
        <v>2</v>
      </c>
      <c r="I593" s="158">
        <v>0</v>
      </c>
      <c r="J593" s="158">
        <v>2</v>
      </c>
      <c r="K593" s="158" t="s">
        <v>235</v>
      </c>
    </row>
    <row r="594" spans="4:11">
      <c r="D594" s="158">
        <v>159550</v>
      </c>
      <c r="E594" s="158">
        <v>11751</v>
      </c>
      <c r="F594" s="158">
        <v>2142</v>
      </c>
      <c r="G594" s="158">
        <v>1.5</v>
      </c>
      <c r="H594" s="158">
        <v>1.5</v>
      </c>
      <c r="I594" s="158">
        <v>0</v>
      </c>
      <c r="J594" s="158">
        <v>1.5</v>
      </c>
      <c r="K594" s="158" t="s">
        <v>235</v>
      </c>
    </row>
    <row r="595" spans="4:11">
      <c r="D595" s="158">
        <v>159560</v>
      </c>
      <c r="E595" s="158">
        <v>10691</v>
      </c>
      <c r="F595" s="158">
        <v>1795</v>
      </c>
      <c r="G595" s="158">
        <v>1.5</v>
      </c>
      <c r="H595" s="158">
        <v>3.75</v>
      </c>
      <c r="I595" s="158">
        <v>0</v>
      </c>
      <c r="J595" s="158">
        <v>3.75</v>
      </c>
      <c r="K595" s="158" t="s">
        <v>235</v>
      </c>
    </row>
    <row r="596" spans="4:11">
      <c r="D596" s="158">
        <v>159561</v>
      </c>
      <c r="E596" s="158">
        <v>10691</v>
      </c>
      <c r="F596" s="158">
        <v>2123</v>
      </c>
      <c r="G596" s="158">
        <v>1.5</v>
      </c>
      <c r="H596" s="158">
        <v>5</v>
      </c>
      <c r="I596" s="158">
        <v>0</v>
      </c>
      <c r="J596" s="158">
        <v>5</v>
      </c>
      <c r="K596" s="158" t="s">
        <v>235</v>
      </c>
    </row>
    <row r="597" spans="4:11">
      <c r="D597" s="158">
        <v>159562</v>
      </c>
      <c r="E597" s="158">
        <v>10691</v>
      </c>
      <c r="F597" s="158">
        <v>2142</v>
      </c>
      <c r="G597" s="158">
        <v>0.7</v>
      </c>
      <c r="H597" s="158">
        <v>1</v>
      </c>
      <c r="I597" s="158">
        <v>0</v>
      </c>
      <c r="J597" s="158">
        <v>1</v>
      </c>
      <c r="K597" s="158" t="s">
        <v>235</v>
      </c>
    </row>
    <row r="598" spans="4:11">
      <c r="D598" s="158">
        <v>159563</v>
      </c>
      <c r="E598" s="158">
        <v>11214</v>
      </c>
      <c r="F598" s="158">
        <v>828</v>
      </c>
      <c r="G598" s="158">
        <v>3.1</v>
      </c>
      <c r="H598" s="158">
        <v>3.75</v>
      </c>
      <c r="I598" s="158">
        <v>0</v>
      </c>
      <c r="J598" s="158">
        <v>3.75</v>
      </c>
      <c r="K598" s="158" t="s">
        <v>235</v>
      </c>
    </row>
    <row r="599" spans="4:11">
      <c r="D599" s="158">
        <v>159586</v>
      </c>
      <c r="E599" s="158">
        <v>10691</v>
      </c>
      <c r="F599" s="158">
        <v>2142</v>
      </c>
      <c r="G599" s="158">
        <v>2</v>
      </c>
      <c r="H599" s="158">
        <v>0</v>
      </c>
      <c r="I599" s="158">
        <v>0</v>
      </c>
      <c r="J599" s="158">
        <v>0</v>
      </c>
      <c r="K599" s="158" t="s">
        <v>235</v>
      </c>
    </row>
    <row r="600" spans="4:11">
      <c r="D600" s="158">
        <v>159587</v>
      </c>
      <c r="E600" s="158">
        <v>10691</v>
      </c>
      <c r="F600" s="158">
        <v>1795</v>
      </c>
      <c r="G600" s="158">
        <v>1</v>
      </c>
      <c r="H600" s="158">
        <v>0</v>
      </c>
      <c r="I600" s="158">
        <v>0</v>
      </c>
      <c r="J600" s="158">
        <v>0</v>
      </c>
      <c r="K600" s="158" t="s">
        <v>235</v>
      </c>
    </row>
    <row r="601" spans="4:11">
      <c r="D601" s="158">
        <v>159588</v>
      </c>
      <c r="E601" s="158">
        <v>10691</v>
      </c>
      <c r="F601" s="158">
        <v>2123</v>
      </c>
      <c r="G601" s="158">
        <v>2</v>
      </c>
      <c r="H601" s="158">
        <v>0</v>
      </c>
      <c r="I601" s="158">
        <v>0</v>
      </c>
      <c r="J601" s="158">
        <v>0</v>
      </c>
      <c r="K601" s="158" t="s">
        <v>235</v>
      </c>
    </row>
    <row r="602" spans="4:11">
      <c r="D602" s="158">
        <v>159589</v>
      </c>
      <c r="E602" s="158">
        <v>10691</v>
      </c>
      <c r="F602" s="158">
        <v>2123</v>
      </c>
      <c r="G602" s="158">
        <v>0</v>
      </c>
      <c r="H602" s="158">
        <v>0</v>
      </c>
      <c r="I602" s="158">
        <v>0</v>
      </c>
      <c r="J602" s="158">
        <v>0</v>
      </c>
      <c r="K602" s="158" t="s">
        <v>235</v>
      </c>
    </row>
    <row r="603" spans="4:11">
      <c r="D603" s="158">
        <v>159590</v>
      </c>
      <c r="E603" s="158">
        <v>10691</v>
      </c>
      <c r="F603" s="158">
        <v>2142</v>
      </c>
      <c r="G603" s="158">
        <v>0</v>
      </c>
      <c r="H603" s="158">
        <v>0</v>
      </c>
      <c r="I603" s="158">
        <v>0</v>
      </c>
      <c r="J603" s="158">
        <v>0</v>
      </c>
      <c r="K603" s="158" t="s">
        <v>235</v>
      </c>
    </row>
    <row r="604" spans="4:11">
      <c r="D604" s="158">
        <v>159591</v>
      </c>
      <c r="E604" s="158">
        <v>10691</v>
      </c>
      <c r="F604" s="158">
        <v>1795</v>
      </c>
      <c r="G604" s="158">
        <v>1</v>
      </c>
      <c r="H604" s="158">
        <v>0</v>
      </c>
      <c r="I604" s="158">
        <v>0</v>
      </c>
      <c r="J604" s="158">
        <v>0</v>
      </c>
      <c r="K604" s="158" t="s">
        <v>235</v>
      </c>
    </row>
    <row r="605" spans="4:11">
      <c r="D605" s="158">
        <v>159592</v>
      </c>
      <c r="E605" s="158">
        <v>10691</v>
      </c>
      <c r="F605" s="158">
        <v>1795</v>
      </c>
      <c r="G605" s="158">
        <v>1</v>
      </c>
      <c r="H605" s="158">
        <v>0</v>
      </c>
      <c r="I605" s="158">
        <v>0</v>
      </c>
      <c r="J605" s="158">
        <v>0</v>
      </c>
      <c r="K605" s="158" t="s">
        <v>235</v>
      </c>
    </row>
    <row r="606" spans="4:11">
      <c r="D606" s="158">
        <v>159593</v>
      </c>
      <c r="E606" s="158">
        <v>10691</v>
      </c>
      <c r="F606" s="158">
        <v>2142</v>
      </c>
      <c r="G606" s="158">
        <v>3</v>
      </c>
      <c r="H606" s="158">
        <v>1.25</v>
      </c>
      <c r="I606" s="158">
        <v>0</v>
      </c>
      <c r="J606" s="158">
        <v>1.25</v>
      </c>
      <c r="K606" s="158" t="s">
        <v>235</v>
      </c>
    </row>
    <row r="607" spans="4:11">
      <c r="D607" s="158">
        <v>159597</v>
      </c>
      <c r="E607" s="158">
        <v>10691</v>
      </c>
      <c r="F607" s="158">
        <v>2123</v>
      </c>
      <c r="G607" s="158">
        <v>2.2000000000000002</v>
      </c>
      <c r="H607" s="158">
        <v>0</v>
      </c>
      <c r="I607" s="158">
        <v>0</v>
      </c>
      <c r="J607" s="158">
        <v>0</v>
      </c>
      <c r="K607" s="158" t="s">
        <v>235</v>
      </c>
    </row>
    <row r="608" spans="4:11">
      <c r="D608" s="158">
        <v>159598</v>
      </c>
      <c r="E608" s="158">
        <v>10691</v>
      </c>
      <c r="F608" s="158">
        <v>2142</v>
      </c>
      <c r="G608" s="158">
        <v>1</v>
      </c>
      <c r="H608" s="158">
        <v>1</v>
      </c>
      <c r="I608" s="158">
        <v>0</v>
      </c>
      <c r="J608" s="158">
        <v>1</v>
      </c>
      <c r="K608" s="158" t="s">
        <v>235</v>
      </c>
    </row>
    <row r="609" spans="4:11">
      <c r="D609" s="158">
        <v>159599</v>
      </c>
      <c r="E609" s="158">
        <v>10691</v>
      </c>
      <c r="F609" s="158">
        <v>2123</v>
      </c>
      <c r="G609" s="158">
        <v>2.1</v>
      </c>
      <c r="H609" s="158">
        <v>0</v>
      </c>
      <c r="I609" s="158">
        <v>0</v>
      </c>
      <c r="J609" s="158">
        <v>0</v>
      </c>
      <c r="K609" s="158" t="s">
        <v>235</v>
      </c>
    </row>
    <row r="610" spans="4:11">
      <c r="D610" s="158">
        <v>159600</v>
      </c>
      <c r="E610" s="158">
        <v>10691</v>
      </c>
      <c r="F610" s="158">
        <v>1795</v>
      </c>
      <c r="G610" s="158">
        <v>1</v>
      </c>
      <c r="H610" s="158">
        <v>0</v>
      </c>
      <c r="I610" s="158">
        <v>0</v>
      </c>
      <c r="J610" s="158">
        <v>0</v>
      </c>
      <c r="K610" s="158" t="s">
        <v>235</v>
      </c>
    </row>
    <row r="611" spans="4:11">
      <c r="D611" s="158">
        <v>159609</v>
      </c>
      <c r="E611" s="158">
        <v>10096</v>
      </c>
      <c r="F611" s="158">
        <v>588</v>
      </c>
      <c r="H611" s="158">
        <v>1.9</v>
      </c>
      <c r="I611" s="158">
        <v>0</v>
      </c>
      <c r="J611" s="158">
        <v>1.9</v>
      </c>
      <c r="K611" s="158" t="s">
        <v>237</v>
      </c>
    </row>
    <row r="612" spans="4:11">
      <c r="D612" s="158">
        <v>159810</v>
      </c>
      <c r="E612" s="158">
        <v>10720</v>
      </c>
      <c r="F612" s="158">
        <v>2030</v>
      </c>
      <c r="H612" s="158">
        <v>7.9</v>
      </c>
      <c r="I612" s="158">
        <v>0</v>
      </c>
      <c r="J612" s="158">
        <v>7.9</v>
      </c>
      <c r="K612" s="158" t="s">
        <v>235</v>
      </c>
    </row>
    <row r="613" spans="4:11">
      <c r="D613" s="158">
        <v>159886</v>
      </c>
      <c r="E613" s="158">
        <v>11705</v>
      </c>
      <c r="F613" s="158">
        <v>2142</v>
      </c>
      <c r="G613" s="158">
        <v>1.1000000000000001</v>
      </c>
      <c r="H613" s="158">
        <v>1.25</v>
      </c>
      <c r="I613" s="158">
        <v>0</v>
      </c>
      <c r="J613" s="158">
        <v>1.25</v>
      </c>
      <c r="K613" s="158" t="s">
        <v>235</v>
      </c>
    </row>
    <row r="614" spans="4:11">
      <c r="D614" s="158">
        <v>159887</v>
      </c>
      <c r="E614" s="158">
        <v>11706</v>
      </c>
      <c r="F614" s="158">
        <v>2142</v>
      </c>
      <c r="G614" s="158">
        <v>0</v>
      </c>
      <c r="H614" s="158">
        <v>0.75</v>
      </c>
      <c r="I614" s="158">
        <v>0</v>
      </c>
      <c r="J614" s="158">
        <v>0.75</v>
      </c>
      <c r="K614" s="158" t="s">
        <v>235</v>
      </c>
    </row>
    <row r="615" spans="4:11">
      <c r="D615" s="158">
        <v>159888</v>
      </c>
      <c r="E615" s="158">
        <v>11709</v>
      </c>
      <c r="F615" s="158">
        <v>2142</v>
      </c>
      <c r="G615" s="158">
        <v>0.6</v>
      </c>
      <c r="H615" s="158">
        <v>4</v>
      </c>
      <c r="I615" s="158">
        <v>0</v>
      </c>
      <c r="J615" s="158">
        <v>4</v>
      </c>
      <c r="K615" s="158" t="s">
        <v>235</v>
      </c>
    </row>
    <row r="616" spans="4:11">
      <c r="D616" s="158">
        <v>159889</v>
      </c>
      <c r="E616" s="158">
        <v>10639</v>
      </c>
      <c r="F616" s="158">
        <v>2142</v>
      </c>
      <c r="H616" s="158">
        <v>3</v>
      </c>
      <c r="I616" s="158">
        <v>0</v>
      </c>
      <c r="J616" s="158">
        <v>3</v>
      </c>
      <c r="K616" s="158" t="s">
        <v>235</v>
      </c>
    </row>
    <row r="617" spans="4:11">
      <c r="D617" s="158">
        <v>159890</v>
      </c>
      <c r="E617" s="158">
        <v>10639</v>
      </c>
      <c r="F617" s="158">
        <v>2123</v>
      </c>
      <c r="H617" s="158">
        <v>3</v>
      </c>
      <c r="I617" s="158">
        <v>0</v>
      </c>
      <c r="J617" s="158">
        <v>3</v>
      </c>
      <c r="K617" s="158" t="s">
        <v>235</v>
      </c>
    </row>
    <row r="618" spans="4:11">
      <c r="D618" s="158">
        <v>159891</v>
      </c>
      <c r="E618" s="158">
        <v>10639</v>
      </c>
      <c r="F618" s="158">
        <v>1795</v>
      </c>
      <c r="H618" s="158">
        <v>3.5</v>
      </c>
      <c r="I618" s="158">
        <v>0</v>
      </c>
      <c r="J618" s="158">
        <v>3.5</v>
      </c>
      <c r="K618" s="158" t="s">
        <v>235</v>
      </c>
    </row>
    <row r="619" spans="4:11">
      <c r="D619" s="158">
        <v>159892</v>
      </c>
      <c r="E619" s="158">
        <v>10639</v>
      </c>
      <c r="F619" s="158">
        <v>1084</v>
      </c>
      <c r="H619" s="158">
        <v>3</v>
      </c>
      <c r="I619" s="158">
        <v>0</v>
      </c>
      <c r="J619" s="158">
        <v>3</v>
      </c>
      <c r="K619" s="158" t="s">
        <v>235</v>
      </c>
    </row>
    <row r="620" spans="4:11">
      <c r="D620" s="158">
        <v>159893</v>
      </c>
      <c r="E620" s="158">
        <v>10639</v>
      </c>
      <c r="F620" s="158">
        <v>2120</v>
      </c>
      <c r="H620" s="158">
        <v>0</v>
      </c>
      <c r="I620" s="158">
        <v>0</v>
      </c>
      <c r="J620" s="158">
        <v>0</v>
      </c>
      <c r="K620" s="158" t="s">
        <v>235</v>
      </c>
    </row>
    <row r="621" spans="4:11">
      <c r="D621" s="158">
        <v>159894</v>
      </c>
      <c r="E621" s="158">
        <v>10639</v>
      </c>
      <c r="F621" s="158">
        <v>2122</v>
      </c>
      <c r="H621" s="158">
        <v>1</v>
      </c>
      <c r="I621" s="158">
        <v>0</v>
      </c>
      <c r="J621" s="158">
        <v>1</v>
      </c>
      <c r="K621" s="158" t="s">
        <v>235</v>
      </c>
    </row>
    <row r="622" spans="4:11">
      <c r="D622" s="158">
        <v>159895</v>
      </c>
      <c r="E622" s="158">
        <v>10639</v>
      </c>
      <c r="F622" s="158">
        <v>2075</v>
      </c>
      <c r="H622" s="158">
        <v>3.05</v>
      </c>
      <c r="I622" s="158">
        <v>0</v>
      </c>
      <c r="J622" s="158">
        <v>3.05</v>
      </c>
      <c r="K622" s="158" t="s">
        <v>235</v>
      </c>
    </row>
    <row r="623" spans="4:11">
      <c r="D623" s="158">
        <v>159896</v>
      </c>
      <c r="E623" s="158">
        <v>10639</v>
      </c>
      <c r="F623" s="158">
        <v>300</v>
      </c>
      <c r="H623" s="158">
        <v>2</v>
      </c>
      <c r="I623" s="158">
        <v>0</v>
      </c>
      <c r="J623" s="158">
        <v>2</v>
      </c>
      <c r="K623" s="158" t="s">
        <v>235</v>
      </c>
    </row>
    <row r="624" spans="4:11">
      <c r="D624" s="158">
        <v>159897</v>
      </c>
      <c r="E624" s="158">
        <v>10639</v>
      </c>
      <c r="F624" s="158">
        <v>1999</v>
      </c>
      <c r="H624" s="158">
        <v>1.6</v>
      </c>
      <c r="I624" s="158">
        <v>0</v>
      </c>
      <c r="J624" s="158">
        <v>1.6</v>
      </c>
      <c r="K624" s="158" t="s">
        <v>235</v>
      </c>
    </row>
    <row r="625" spans="4:11">
      <c r="D625" s="158">
        <v>159898</v>
      </c>
      <c r="E625" s="158">
        <v>10639</v>
      </c>
      <c r="F625" s="158">
        <v>1111</v>
      </c>
      <c r="H625" s="158">
        <v>0</v>
      </c>
      <c r="I625" s="158">
        <v>0</v>
      </c>
      <c r="J625" s="158">
        <v>0</v>
      </c>
      <c r="K625" s="158" t="s">
        <v>235</v>
      </c>
    </row>
    <row r="626" spans="4:11">
      <c r="D626" s="158">
        <v>159913</v>
      </c>
      <c r="E626" s="158">
        <v>10719</v>
      </c>
      <c r="F626" s="158">
        <v>306</v>
      </c>
      <c r="G626" s="158">
        <v>10</v>
      </c>
      <c r="H626" s="158">
        <v>13.5</v>
      </c>
      <c r="I626" s="158">
        <v>0</v>
      </c>
      <c r="J626" s="158">
        <v>13.5</v>
      </c>
      <c r="K626" s="158" t="s">
        <v>235</v>
      </c>
    </row>
    <row r="627" spans="4:11">
      <c r="D627" s="158">
        <v>159942</v>
      </c>
      <c r="E627" s="158">
        <v>11213</v>
      </c>
      <c r="F627" s="158">
        <v>1738</v>
      </c>
      <c r="G627" s="158">
        <v>0</v>
      </c>
      <c r="H627" s="158">
        <v>0.7</v>
      </c>
      <c r="I627" s="158">
        <v>0</v>
      </c>
      <c r="J627" s="158">
        <v>0.7</v>
      </c>
      <c r="K627" s="158" t="s">
        <v>235</v>
      </c>
    </row>
    <row r="628" spans="4:11">
      <c r="D628" s="158">
        <v>159960</v>
      </c>
      <c r="E628" s="158">
        <v>11213</v>
      </c>
      <c r="F628" s="158">
        <v>1738</v>
      </c>
      <c r="G628" s="158">
        <v>0</v>
      </c>
      <c r="H628" s="158">
        <v>0</v>
      </c>
      <c r="I628" s="158">
        <v>0</v>
      </c>
      <c r="J628" s="158">
        <v>0</v>
      </c>
      <c r="K628" s="158" t="s">
        <v>235</v>
      </c>
    </row>
    <row r="629" spans="4:11">
      <c r="D629" s="158">
        <v>159966</v>
      </c>
      <c r="E629" s="158">
        <v>11213</v>
      </c>
      <c r="F629" s="158">
        <v>1014</v>
      </c>
      <c r="G629" s="158">
        <v>0</v>
      </c>
      <c r="H629" s="158">
        <v>0</v>
      </c>
      <c r="I629" s="158">
        <v>0</v>
      </c>
      <c r="J629" s="158">
        <v>0</v>
      </c>
      <c r="K629" s="158" t="s">
        <v>235</v>
      </c>
    </row>
    <row r="630" spans="4:11">
      <c r="D630" s="158">
        <v>159967</v>
      </c>
      <c r="E630" s="158">
        <v>11213</v>
      </c>
      <c r="F630" s="158">
        <v>2062</v>
      </c>
      <c r="G630" s="158">
        <v>0</v>
      </c>
      <c r="H630" s="158">
        <v>3.1</v>
      </c>
      <c r="I630" s="158">
        <v>0</v>
      </c>
      <c r="J630" s="158">
        <v>3.1</v>
      </c>
      <c r="K630" s="158" t="s">
        <v>235</v>
      </c>
    </row>
    <row r="631" spans="4:11">
      <c r="D631" s="158">
        <v>159968</v>
      </c>
      <c r="E631" s="158">
        <v>11213</v>
      </c>
      <c r="F631" s="158">
        <v>1014</v>
      </c>
      <c r="G631" s="158">
        <v>0</v>
      </c>
      <c r="H631" s="158">
        <v>0</v>
      </c>
      <c r="I631" s="158">
        <v>0</v>
      </c>
      <c r="J631" s="158">
        <v>0</v>
      </c>
      <c r="K631" s="158" t="s">
        <v>235</v>
      </c>
    </row>
    <row r="632" spans="4:11">
      <c r="D632" s="158">
        <v>159969</v>
      </c>
      <c r="E632" s="158">
        <v>11213</v>
      </c>
      <c r="F632" s="158">
        <v>2062</v>
      </c>
      <c r="G632" s="158">
        <v>0</v>
      </c>
      <c r="H632" s="158">
        <v>1</v>
      </c>
      <c r="I632" s="158">
        <v>0</v>
      </c>
      <c r="J632" s="158">
        <v>1</v>
      </c>
      <c r="K632" s="158" t="s">
        <v>235</v>
      </c>
    </row>
    <row r="633" spans="4:11">
      <c r="D633" s="158">
        <v>160140</v>
      </c>
      <c r="E633" s="158">
        <v>11759</v>
      </c>
      <c r="F633" s="158">
        <v>1251</v>
      </c>
      <c r="G633" s="158">
        <v>6.2</v>
      </c>
      <c r="H633" s="158">
        <v>6.7</v>
      </c>
      <c r="I633" s="158">
        <v>0</v>
      </c>
      <c r="J633" s="158">
        <v>6.7</v>
      </c>
      <c r="K633" s="158" t="s">
        <v>235</v>
      </c>
    </row>
    <row r="634" spans="4:11">
      <c r="D634" s="158">
        <v>160141</v>
      </c>
      <c r="E634" s="158">
        <v>11759</v>
      </c>
      <c r="F634" s="158">
        <v>1251</v>
      </c>
      <c r="G634" s="158">
        <v>15.6</v>
      </c>
      <c r="H634" s="158">
        <v>15.5</v>
      </c>
      <c r="I634" s="158">
        <v>0</v>
      </c>
      <c r="J634" s="158">
        <v>15.5</v>
      </c>
      <c r="K634" s="158" t="s">
        <v>235</v>
      </c>
    </row>
    <row r="635" spans="4:11">
      <c r="D635" s="158">
        <v>160143</v>
      </c>
      <c r="E635" s="158">
        <v>11308</v>
      </c>
      <c r="F635" s="158">
        <v>362</v>
      </c>
      <c r="G635" s="158">
        <v>2.2000000000000002</v>
      </c>
      <c r="H635" s="158">
        <v>2.2000000000000002</v>
      </c>
      <c r="I635" s="158">
        <v>0</v>
      </c>
      <c r="J635" s="158">
        <v>2.2000000000000002</v>
      </c>
      <c r="K635" s="158" t="s">
        <v>236</v>
      </c>
    </row>
    <row r="636" spans="4:11">
      <c r="D636" s="158">
        <v>160193</v>
      </c>
      <c r="E636" s="158">
        <v>11715</v>
      </c>
      <c r="F636" s="158">
        <v>300</v>
      </c>
      <c r="G636" s="158">
        <v>4.0999999999999996</v>
      </c>
      <c r="H636" s="158">
        <v>5</v>
      </c>
      <c r="I636" s="158">
        <v>0</v>
      </c>
      <c r="J636" s="158">
        <v>5</v>
      </c>
      <c r="K636" s="158" t="s">
        <v>235</v>
      </c>
    </row>
    <row r="637" spans="4:11">
      <c r="D637" s="158">
        <v>160194</v>
      </c>
      <c r="E637" s="158">
        <v>11715</v>
      </c>
      <c r="F637" s="158">
        <v>300</v>
      </c>
      <c r="G637" s="158">
        <v>5</v>
      </c>
      <c r="H637" s="158">
        <v>2.5</v>
      </c>
      <c r="I637" s="158">
        <v>0</v>
      </c>
      <c r="J637" s="158">
        <v>2.5</v>
      </c>
      <c r="K637" s="158" t="s">
        <v>235</v>
      </c>
    </row>
    <row r="638" spans="4:11">
      <c r="D638" s="158">
        <v>160195</v>
      </c>
      <c r="E638" s="158">
        <v>11715</v>
      </c>
      <c r="F638" s="158">
        <v>300</v>
      </c>
      <c r="G638" s="158">
        <v>4.0999999999999996</v>
      </c>
      <c r="H638" s="158">
        <v>3</v>
      </c>
      <c r="I638" s="158">
        <v>0</v>
      </c>
      <c r="J638" s="158">
        <v>3</v>
      </c>
      <c r="K638" s="158" t="s">
        <v>235</v>
      </c>
    </row>
    <row r="639" spans="4:11">
      <c r="D639" s="158">
        <v>160196</v>
      </c>
      <c r="E639" s="158">
        <v>11715</v>
      </c>
      <c r="F639" s="158">
        <v>300</v>
      </c>
      <c r="G639" s="158">
        <v>4</v>
      </c>
      <c r="H639" s="158">
        <v>2</v>
      </c>
      <c r="I639" s="158">
        <v>0</v>
      </c>
      <c r="J639" s="158">
        <v>2</v>
      </c>
      <c r="K639" s="158" t="s">
        <v>235</v>
      </c>
    </row>
    <row r="640" spans="4:11">
      <c r="D640" s="158">
        <v>160198</v>
      </c>
      <c r="E640" s="158">
        <v>11715</v>
      </c>
      <c r="F640" s="158">
        <v>300</v>
      </c>
      <c r="G640" s="158">
        <v>0</v>
      </c>
      <c r="H640" s="158">
        <v>1</v>
      </c>
      <c r="I640" s="158">
        <v>0</v>
      </c>
      <c r="J640" s="158">
        <v>1</v>
      </c>
      <c r="K640" s="158" t="s">
        <v>235</v>
      </c>
    </row>
    <row r="641" spans="4:11">
      <c r="D641" s="158">
        <v>160199</v>
      </c>
      <c r="E641" s="158">
        <v>11715</v>
      </c>
      <c r="F641" s="158">
        <v>300</v>
      </c>
      <c r="G641" s="158">
        <v>0.55000000000000004</v>
      </c>
      <c r="H641" s="158">
        <v>2.5</v>
      </c>
      <c r="I641" s="158">
        <v>0.5</v>
      </c>
      <c r="J641" s="158">
        <v>3</v>
      </c>
      <c r="K641" s="158" t="s">
        <v>235</v>
      </c>
    </row>
    <row r="642" spans="4:11">
      <c r="D642" s="158">
        <v>160214</v>
      </c>
      <c r="E642" s="158">
        <v>11704</v>
      </c>
      <c r="F642" s="158">
        <v>1084</v>
      </c>
      <c r="G642" s="158">
        <v>0</v>
      </c>
      <c r="H642" s="158">
        <v>0</v>
      </c>
      <c r="I642" s="158">
        <v>0</v>
      </c>
      <c r="J642" s="158">
        <v>0</v>
      </c>
      <c r="K642" s="158" t="s">
        <v>235</v>
      </c>
    </row>
    <row r="643" spans="4:11">
      <c r="D643" s="158">
        <v>160215</v>
      </c>
      <c r="E643" s="158">
        <v>11704</v>
      </c>
      <c r="F643" s="158">
        <v>2142</v>
      </c>
      <c r="G643" s="158">
        <v>3.3</v>
      </c>
      <c r="H643" s="158">
        <v>9.75</v>
      </c>
      <c r="I643" s="158">
        <v>0</v>
      </c>
      <c r="J643" s="158">
        <v>9.75</v>
      </c>
      <c r="K643" s="158" t="s">
        <v>235</v>
      </c>
    </row>
    <row r="644" spans="4:11">
      <c r="D644" s="158">
        <v>160220</v>
      </c>
      <c r="E644" s="158">
        <v>11044</v>
      </c>
      <c r="F644" s="158">
        <v>2127</v>
      </c>
      <c r="H644" s="158">
        <v>70</v>
      </c>
      <c r="I644" s="158">
        <v>0</v>
      </c>
      <c r="J644" s="158">
        <v>70</v>
      </c>
      <c r="K644" s="158" t="s">
        <v>235</v>
      </c>
    </row>
    <row r="645" spans="4:11">
      <c r="D645" s="158">
        <v>160319</v>
      </c>
      <c r="E645" s="158">
        <v>11307</v>
      </c>
      <c r="F645" s="158">
        <v>1229</v>
      </c>
      <c r="G645" s="158">
        <v>0.5</v>
      </c>
      <c r="H645" s="158">
        <v>1.5</v>
      </c>
      <c r="I645" s="158">
        <v>0</v>
      </c>
      <c r="J645" s="158">
        <v>1.5</v>
      </c>
      <c r="K645" s="158" t="s">
        <v>236</v>
      </c>
    </row>
    <row r="646" spans="4:11">
      <c r="D646" s="158">
        <v>160320</v>
      </c>
      <c r="E646" s="158">
        <v>11307</v>
      </c>
      <c r="F646" s="158">
        <v>2135</v>
      </c>
      <c r="G646" s="158">
        <v>0.25</v>
      </c>
      <c r="H646" s="158">
        <v>0.5</v>
      </c>
      <c r="I646" s="158">
        <v>0</v>
      </c>
      <c r="J646" s="158">
        <v>0.5</v>
      </c>
      <c r="K646" s="158" t="s">
        <v>236</v>
      </c>
    </row>
    <row r="647" spans="4:11">
      <c r="D647" s="158">
        <v>160321</v>
      </c>
      <c r="E647" s="158">
        <v>11307</v>
      </c>
      <c r="F647" s="158">
        <v>1229</v>
      </c>
      <c r="G647" s="158">
        <v>5.75</v>
      </c>
      <c r="H647" s="158">
        <v>6.5</v>
      </c>
      <c r="I647" s="158">
        <v>0</v>
      </c>
      <c r="J647" s="158">
        <v>6.5</v>
      </c>
      <c r="K647" s="158" t="s">
        <v>236</v>
      </c>
    </row>
    <row r="648" spans="4:11">
      <c r="D648" s="158">
        <v>160324</v>
      </c>
      <c r="E648" s="158">
        <v>11307</v>
      </c>
      <c r="F648" s="158">
        <v>1229</v>
      </c>
      <c r="G648" s="158">
        <v>0.5</v>
      </c>
      <c r="H648" s="158">
        <v>1.5</v>
      </c>
      <c r="I648" s="158">
        <v>0</v>
      </c>
      <c r="J648" s="158">
        <v>1.5</v>
      </c>
      <c r="K648" s="158" t="s">
        <v>236</v>
      </c>
    </row>
    <row r="649" spans="4:11">
      <c r="D649" s="158">
        <v>160330</v>
      </c>
      <c r="E649" s="158">
        <v>11307</v>
      </c>
      <c r="F649" s="158">
        <v>1229</v>
      </c>
      <c r="G649" s="158">
        <v>1</v>
      </c>
      <c r="H649" s="158">
        <v>1</v>
      </c>
      <c r="I649" s="158">
        <v>0</v>
      </c>
      <c r="J649" s="158">
        <v>1</v>
      </c>
      <c r="K649" s="158" t="s">
        <v>236</v>
      </c>
    </row>
    <row r="650" spans="4:11">
      <c r="D650" s="158">
        <v>160331</v>
      </c>
      <c r="E650" s="158">
        <v>11307</v>
      </c>
      <c r="F650" s="158">
        <v>2135</v>
      </c>
      <c r="G650" s="158">
        <v>13.1</v>
      </c>
      <c r="H650" s="158">
        <v>13.25</v>
      </c>
      <c r="I650" s="158">
        <v>0</v>
      </c>
      <c r="J650" s="158">
        <v>13.25</v>
      </c>
      <c r="K650" s="158" t="s">
        <v>236</v>
      </c>
    </row>
    <row r="651" spans="4:11">
      <c r="D651" s="158">
        <v>160338</v>
      </c>
      <c r="E651" s="158">
        <v>11308</v>
      </c>
      <c r="F651" s="158">
        <v>362</v>
      </c>
      <c r="G651" s="158">
        <v>4</v>
      </c>
      <c r="H651" s="158">
        <v>3</v>
      </c>
      <c r="I651" s="158">
        <v>0</v>
      </c>
      <c r="J651" s="158">
        <v>3</v>
      </c>
      <c r="K651" s="158" t="s">
        <v>236</v>
      </c>
    </row>
    <row r="652" spans="4:11">
      <c r="D652" s="158">
        <v>160339</v>
      </c>
      <c r="E652" s="158">
        <v>11308</v>
      </c>
      <c r="F652" s="158">
        <v>362</v>
      </c>
      <c r="G652" s="158">
        <v>1</v>
      </c>
      <c r="H652" s="158">
        <v>0</v>
      </c>
      <c r="I652" s="158">
        <v>0</v>
      </c>
      <c r="J652" s="158">
        <v>0</v>
      </c>
      <c r="K652" s="158" t="s">
        <v>236</v>
      </c>
    </row>
    <row r="653" spans="4:11">
      <c r="D653" s="158">
        <v>160341</v>
      </c>
      <c r="E653" s="158">
        <v>11308</v>
      </c>
      <c r="F653" s="158">
        <v>362</v>
      </c>
      <c r="G653" s="158">
        <v>2</v>
      </c>
      <c r="H653" s="158">
        <v>0</v>
      </c>
      <c r="I653" s="158">
        <v>0</v>
      </c>
      <c r="J653" s="158">
        <v>0</v>
      </c>
      <c r="K653" s="158" t="s">
        <v>236</v>
      </c>
    </row>
    <row r="654" spans="4:11">
      <c r="D654" s="158">
        <v>160343</v>
      </c>
      <c r="E654" s="158">
        <v>11309</v>
      </c>
      <c r="F654" s="158">
        <v>362</v>
      </c>
      <c r="G654" s="158">
        <v>0</v>
      </c>
      <c r="H654" s="158">
        <v>0.2</v>
      </c>
      <c r="I654" s="158">
        <v>0</v>
      </c>
      <c r="J654" s="158">
        <v>0.2</v>
      </c>
      <c r="K654" s="158" t="s">
        <v>236</v>
      </c>
    </row>
    <row r="655" spans="4:11">
      <c r="D655" s="158">
        <v>160344</v>
      </c>
      <c r="E655" s="158">
        <v>11307</v>
      </c>
      <c r="F655" s="158">
        <v>2135</v>
      </c>
      <c r="G655" s="158">
        <v>7</v>
      </c>
      <c r="H655" s="158">
        <v>5</v>
      </c>
      <c r="I655" s="158">
        <v>0</v>
      </c>
      <c r="J655" s="158">
        <v>5</v>
      </c>
      <c r="K655" s="158" t="s">
        <v>236</v>
      </c>
    </row>
    <row r="656" spans="4:11">
      <c r="D656" s="158">
        <v>160389</v>
      </c>
      <c r="E656" s="158">
        <v>10797</v>
      </c>
      <c r="F656" s="158">
        <v>2075</v>
      </c>
      <c r="G656" s="158">
        <v>3.3</v>
      </c>
      <c r="H656" s="158">
        <v>6.25</v>
      </c>
      <c r="I656" s="158">
        <v>0</v>
      </c>
      <c r="J656" s="158">
        <v>6.25</v>
      </c>
      <c r="K656" s="158" t="s">
        <v>235</v>
      </c>
    </row>
    <row r="657" spans="4:11">
      <c r="D657" s="158">
        <v>160397</v>
      </c>
      <c r="E657" s="158">
        <v>10797</v>
      </c>
      <c r="F657" s="158">
        <v>1999</v>
      </c>
      <c r="H657" s="158">
        <v>0</v>
      </c>
      <c r="I657" s="158">
        <v>0</v>
      </c>
      <c r="J657" s="158">
        <v>0</v>
      </c>
      <c r="K657" s="158" t="s">
        <v>235</v>
      </c>
    </row>
    <row r="658" spans="4:11">
      <c r="D658" s="158">
        <v>160398</v>
      </c>
      <c r="E658" s="158">
        <v>10797</v>
      </c>
      <c r="F658" s="158">
        <v>2075</v>
      </c>
      <c r="H658" s="158">
        <v>0</v>
      </c>
      <c r="I658" s="158">
        <v>0</v>
      </c>
      <c r="J658" s="158">
        <v>0</v>
      </c>
      <c r="K658" s="158" t="s">
        <v>235</v>
      </c>
    </row>
    <row r="659" spans="4:11">
      <c r="D659" s="158">
        <v>160399</v>
      </c>
      <c r="E659" s="158">
        <v>10797</v>
      </c>
      <c r="F659" s="158">
        <v>1999</v>
      </c>
      <c r="H659" s="158">
        <v>0</v>
      </c>
      <c r="I659" s="158">
        <v>0</v>
      </c>
      <c r="J659" s="158">
        <v>0</v>
      </c>
      <c r="K659" s="158" t="s">
        <v>235</v>
      </c>
    </row>
    <row r="660" spans="4:11">
      <c r="D660" s="158">
        <v>160400</v>
      </c>
      <c r="E660" s="158">
        <v>10797</v>
      </c>
      <c r="F660" s="158">
        <v>2075</v>
      </c>
      <c r="H660" s="158">
        <v>0</v>
      </c>
      <c r="I660" s="158">
        <v>0</v>
      </c>
      <c r="J660" s="158">
        <v>0</v>
      </c>
      <c r="K660" s="158" t="s">
        <v>235</v>
      </c>
    </row>
    <row r="661" spans="4:11">
      <c r="D661" s="158">
        <v>160415</v>
      </c>
      <c r="E661" s="158">
        <v>10018</v>
      </c>
      <c r="F661" s="158">
        <v>290</v>
      </c>
      <c r="H661" s="158">
        <v>0</v>
      </c>
      <c r="I661" s="158">
        <v>0</v>
      </c>
      <c r="J661" s="158">
        <v>0</v>
      </c>
      <c r="K661" s="158" t="s">
        <v>238</v>
      </c>
    </row>
    <row r="662" spans="4:11">
      <c r="D662" s="158">
        <v>160416</v>
      </c>
      <c r="E662" s="158">
        <v>10018</v>
      </c>
      <c r="F662" s="158">
        <v>180</v>
      </c>
      <c r="H662" s="158">
        <v>0.76</v>
      </c>
      <c r="I662" s="158">
        <v>0</v>
      </c>
      <c r="J662" s="158">
        <v>0.76</v>
      </c>
      <c r="K662" s="158" t="s">
        <v>238</v>
      </c>
    </row>
    <row r="663" spans="4:11">
      <c r="D663" s="158">
        <v>160417</v>
      </c>
      <c r="E663" s="158">
        <v>10018</v>
      </c>
      <c r="F663" s="158">
        <v>229</v>
      </c>
      <c r="H663" s="158">
        <v>0</v>
      </c>
      <c r="I663" s="158">
        <v>0</v>
      </c>
      <c r="J663" s="158">
        <v>0</v>
      </c>
      <c r="K663" s="158" t="s">
        <v>238</v>
      </c>
    </row>
    <row r="664" spans="4:11">
      <c r="D664" s="158">
        <v>160418</v>
      </c>
      <c r="E664" s="158">
        <v>10018</v>
      </c>
      <c r="F664" s="158">
        <v>431</v>
      </c>
      <c r="H664" s="158">
        <v>0</v>
      </c>
      <c r="I664" s="158">
        <v>0</v>
      </c>
      <c r="J664" s="158">
        <v>0</v>
      </c>
      <c r="K664" s="158" t="s">
        <v>238</v>
      </c>
    </row>
    <row r="665" spans="4:11">
      <c r="D665" s="158">
        <v>160419</v>
      </c>
      <c r="E665" s="158">
        <v>10018</v>
      </c>
      <c r="F665" s="158">
        <v>291</v>
      </c>
      <c r="H665" s="158">
        <v>0.3</v>
      </c>
      <c r="I665" s="158">
        <v>0</v>
      </c>
      <c r="J665" s="158">
        <v>0.3</v>
      </c>
      <c r="K665" s="158" t="s">
        <v>238</v>
      </c>
    </row>
    <row r="666" spans="4:11">
      <c r="D666" s="158">
        <v>160420</v>
      </c>
      <c r="E666" s="158">
        <v>10018</v>
      </c>
      <c r="F666" s="158">
        <v>983</v>
      </c>
      <c r="H666" s="158">
        <v>2.2999999999999998</v>
      </c>
      <c r="I666" s="158">
        <v>0</v>
      </c>
      <c r="J666" s="158">
        <v>2.2999999999999998</v>
      </c>
      <c r="K666" s="158" t="s">
        <v>238</v>
      </c>
    </row>
    <row r="667" spans="4:11">
      <c r="D667" s="158">
        <v>160421</v>
      </c>
      <c r="E667" s="158">
        <v>10018</v>
      </c>
      <c r="F667" s="158">
        <v>235</v>
      </c>
      <c r="H667" s="158">
        <v>1.4</v>
      </c>
      <c r="I667" s="158">
        <v>0</v>
      </c>
      <c r="J667" s="158">
        <v>1.4</v>
      </c>
      <c r="K667" s="158" t="s">
        <v>238</v>
      </c>
    </row>
    <row r="668" spans="4:11">
      <c r="D668" s="158">
        <v>160422</v>
      </c>
      <c r="E668" s="158">
        <v>10018</v>
      </c>
      <c r="F668" s="158">
        <v>416</v>
      </c>
      <c r="H668" s="158">
        <v>0.4</v>
      </c>
      <c r="I668" s="158">
        <v>0</v>
      </c>
      <c r="J668" s="158">
        <v>0.4</v>
      </c>
      <c r="K668" s="158" t="s">
        <v>238</v>
      </c>
    </row>
    <row r="669" spans="4:11">
      <c r="D669" s="158">
        <v>160423</v>
      </c>
      <c r="E669" s="158">
        <v>10018</v>
      </c>
      <c r="F669" s="158">
        <v>393</v>
      </c>
      <c r="H669" s="158">
        <v>3.75</v>
      </c>
      <c r="I669" s="158">
        <v>0</v>
      </c>
      <c r="J669" s="158">
        <v>3.75</v>
      </c>
      <c r="K669" s="158" t="s">
        <v>238</v>
      </c>
    </row>
    <row r="670" spans="4:11">
      <c r="D670" s="158">
        <v>160424</v>
      </c>
      <c r="E670" s="158">
        <v>10018</v>
      </c>
      <c r="F670" s="158">
        <v>431</v>
      </c>
      <c r="H670" s="158">
        <v>0</v>
      </c>
      <c r="I670" s="158">
        <v>0</v>
      </c>
      <c r="J670" s="158">
        <v>0</v>
      </c>
      <c r="K670" s="158" t="s">
        <v>238</v>
      </c>
    </row>
    <row r="671" spans="4:11">
      <c r="D671" s="158">
        <v>160425</v>
      </c>
      <c r="E671" s="158">
        <v>10018</v>
      </c>
      <c r="F671" s="158">
        <v>965</v>
      </c>
      <c r="H671" s="158">
        <v>0</v>
      </c>
      <c r="I671" s="158">
        <v>0</v>
      </c>
      <c r="J671" s="158">
        <v>0</v>
      </c>
      <c r="K671" s="158" t="s">
        <v>238</v>
      </c>
    </row>
    <row r="672" spans="4:11">
      <c r="D672" s="158">
        <v>160426</v>
      </c>
      <c r="E672" s="158">
        <v>10018</v>
      </c>
      <c r="F672" s="158">
        <v>588</v>
      </c>
      <c r="H672" s="158">
        <v>0</v>
      </c>
      <c r="I672" s="158">
        <v>0</v>
      </c>
      <c r="J672" s="158">
        <v>0</v>
      </c>
      <c r="K672" s="158" t="s">
        <v>238</v>
      </c>
    </row>
    <row r="673" spans="4:11">
      <c r="D673" s="158">
        <v>160427</v>
      </c>
      <c r="E673" s="158">
        <v>10018</v>
      </c>
      <c r="F673" s="158">
        <v>1039</v>
      </c>
      <c r="H673" s="158">
        <v>0.2</v>
      </c>
      <c r="I673" s="158">
        <v>0</v>
      </c>
      <c r="J673" s="158">
        <v>0.2</v>
      </c>
      <c r="K673" s="158" t="s">
        <v>238</v>
      </c>
    </row>
    <row r="674" spans="4:11">
      <c r="D674" s="158">
        <v>160428</v>
      </c>
      <c r="E674" s="158">
        <v>10018</v>
      </c>
      <c r="F674" s="158">
        <v>1036</v>
      </c>
      <c r="H674" s="158">
        <v>0</v>
      </c>
      <c r="I674" s="158">
        <v>0</v>
      </c>
      <c r="J674" s="158">
        <v>0</v>
      </c>
      <c r="K674" s="158" t="s">
        <v>238</v>
      </c>
    </row>
    <row r="675" spans="4:11">
      <c r="D675" s="158">
        <v>160429</v>
      </c>
      <c r="E675" s="158">
        <v>10018</v>
      </c>
      <c r="F675" s="158">
        <v>402</v>
      </c>
      <c r="H675" s="158">
        <v>0</v>
      </c>
      <c r="I675" s="158">
        <v>0</v>
      </c>
      <c r="J675" s="158">
        <v>0</v>
      </c>
      <c r="K675" s="158" t="s">
        <v>238</v>
      </c>
    </row>
    <row r="676" spans="4:11">
      <c r="D676" s="158">
        <v>160430</v>
      </c>
      <c r="E676" s="158">
        <v>10018</v>
      </c>
      <c r="F676" s="158">
        <v>1164</v>
      </c>
      <c r="H676" s="158">
        <v>1.1299999999999999</v>
      </c>
      <c r="I676" s="158">
        <v>0</v>
      </c>
      <c r="J676" s="158">
        <v>1.1299999999999999</v>
      </c>
      <c r="K676" s="158" t="s">
        <v>238</v>
      </c>
    </row>
    <row r="677" spans="4:11">
      <c r="D677" s="158">
        <v>160431</v>
      </c>
      <c r="E677" s="158">
        <v>10018</v>
      </c>
      <c r="F677" s="158">
        <v>1506</v>
      </c>
      <c r="H677" s="158">
        <v>0.4</v>
      </c>
      <c r="I677" s="158">
        <v>0</v>
      </c>
      <c r="J677" s="158">
        <v>0.4</v>
      </c>
      <c r="K677" s="158" t="s">
        <v>238</v>
      </c>
    </row>
    <row r="678" spans="4:11">
      <c r="D678" s="158">
        <v>160432</v>
      </c>
      <c r="E678" s="158">
        <v>10018</v>
      </c>
      <c r="F678" s="158">
        <v>257</v>
      </c>
      <c r="H678" s="158">
        <v>1.4</v>
      </c>
      <c r="I678" s="158">
        <v>0</v>
      </c>
      <c r="J678" s="158">
        <v>1.4</v>
      </c>
      <c r="K678" s="158" t="s">
        <v>238</v>
      </c>
    </row>
    <row r="679" spans="4:11">
      <c r="D679" s="158">
        <v>160433</v>
      </c>
      <c r="E679" s="158">
        <v>10018</v>
      </c>
      <c r="F679" s="158">
        <v>1667</v>
      </c>
      <c r="H679" s="158">
        <v>2.4</v>
      </c>
      <c r="I679" s="158">
        <v>0</v>
      </c>
      <c r="J679" s="158">
        <v>2.4</v>
      </c>
      <c r="K679" s="158" t="s">
        <v>238</v>
      </c>
    </row>
    <row r="680" spans="4:11">
      <c r="D680" s="158">
        <v>160434</v>
      </c>
      <c r="E680" s="158">
        <v>10018</v>
      </c>
      <c r="F680" s="158">
        <v>1735</v>
      </c>
      <c r="H680" s="158">
        <v>0.05</v>
      </c>
      <c r="I680" s="158">
        <v>0</v>
      </c>
      <c r="J680" s="158">
        <v>0.05</v>
      </c>
      <c r="K680" s="158" t="s">
        <v>238</v>
      </c>
    </row>
    <row r="681" spans="4:11">
      <c r="D681" s="158">
        <v>160435</v>
      </c>
      <c r="E681" s="158">
        <v>10018</v>
      </c>
      <c r="F681" s="158">
        <v>1969</v>
      </c>
      <c r="H681" s="158">
        <v>0.6</v>
      </c>
      <c r="I681" s="158">
        <v>0</v>
      </c>
      <c r="J681" s="158">
        <v>0.6</v>
      </c>
      <c r="K681" s="158" t="s">
        <v>238</v>
      </c>
    </row>
    <row r="682" spans="4:11">
      <c r="D682" s="158">
        <v>160436</v>
      </c>
      <c r="E682" s="158">
        <v>10018</v>
      </c>
      <c r="F682" s="158">
        <v>2001</v>
      </c>
      <c r="H682" s="158">
        <v>5</v>
      </c>
      <c r="I682" s="158">
        <v>0</v>
      </c>
      <c r="J682" s="158">
        <v>5</v>
      </c>
      <c r="K682" s="158" t="s">
        <v>238</v>
      </c>
    </row>
    <row r="683" spans="4:11">
      <c r="D683" s="158">
        <v>160437</v>
      </c>
      <c r="E683" s="158">
        <v>10018</v>
      </c>
      <c r="F683" s="158">
        <v>393</v>
      </c>
      <c r="H683" s="158">
        <v>0</v>
      </c>
      <c r="I683" s="158">
        <v>0</v>
      </c>
      <c r="J683" s="158">
        <v>0</v>
      </c>
      <c r="K683" s="158" t="s">
        <v>238</v>
      </c>
    </row>
    <row r="684" spans="4:11">
      <c r="D684" s="158">
        <v>160438</v>
      </c>
      <c r="E684" s="158">
        <v>10018</v>
      </c>
      <c r="F684" s="158">
        <v>2017</v>
      </c>
      <c r="H684" s="158">
        <v>3.85</v>
      </c>
      <c r="I684" s="158">
        <v>0</v>
      </c>
      <c r="J684" s="158">
        <v>3.85</v>
      </c>
      <c r="K684" s="158" t="s">
        <v>238</v>
      </c>
    </row>
    <row r="685" spans="4:11">
      <c r="D685" s="158">
        <v>160439</v>
      </c>
      <c r="E685" s="158">
        <v>10018</v>
      </c>
      <c r="F685" s="158">
        <v>2071</v>
      </c>
      <c r="H685" s="158">
        <v>0</v>
      </c>
      <c r="I685" s="158">
        <v>0</v>
      </c>
      <c r="J685" s="158">
        <v>0</v>
      </c>
      <c r="K685" s="158" t="s">
        <v>238</v>
      </c>
    </row>
    <row r="686" spans="4:11">
      <c r="D686" s="158">
        <v>160441</v>
      </c>
      <c r="E686" s="158">
        <v>11948</v>
      </c>
      <c r="F686" s="158">
        <v>2030</v>
      </c>
      <c r="G686" s="158">
        <v>2.6</v>
      </c>
      <c r="H686" s="158">
        <v>1.4</v>
      </c>
      <c r="I686" s="158">
        <v>0</v>
      </c>
      <c r="J686" s="158">
        <v>1.4</v>
      </c>
      <c r="K686" s="158" t="s">
        <v>235</v>
      </c>
    </row>
    <row r="687" spans="4:11">
      <c r="D687" s="158">
        <v>160446</v>
      </c>
      <c r="E687" s="158">
        <v>10100</v>
      </c>
      <c r="F687" s="158">
        <v>180</v>
      </c>
      <c r="H687" s="158">
        <v>0</v>
      </c>
      <c r="I687" s="158">
        <v>0</v>
      </c>
      <c r="J687" s="158">
        <v>0</v>
      </c>
      <c r="K687" s="158" t="s">
        <v>237</v>
      </c>
    </row>
    <row r="688" spans="4:11">
      <c r="D688" s="158">
        <v>160447</v>
      </c>
      <c r="E688" s="158">
        <v>10100</v>
      </c>
      <c r="F688" s="158">
        <v>290</v>
      </c>
      <c r="H688" s="158">
        <v>0</v>
      </c>
      <c r="I688" s="158">
        <v>0</v>
      </c>
      <c r="J688" s="158">
        <v>0</v>
      </c>
      <c r="K688" s="158" t="s">
        <v>237</v>
      </c>
    </row>
    <row r="689" spans="4:11">
      <c r="D689" s="158">
        <v>160448</v>
      </c>
      <c r="E689" s="158">
        <v>10100</v>
      </c>
      <c r="F689" s="158">
        <v>229</v>
      </c>
      <c r="H689" s="158">
        <v>0</v>
      </c>
      <c r="I689" s="158">
        <v>0</v>
      </c>
      <c r="J689" s="158">
        <v>0</v>
      </c>
      <c r="K689" s="158" t="s">
        <v>237</v>
      </c>
    </row>
    <row r="690" spans="4:11">
      <c r="D690" s="158">
        <v>160620</v>
      </c>
      <c r="E690" s="158">
        <v>10103</v>
      </c>
      <c r="F690" s="158">
        <v>229</v>
      </c>
      <c r="H690" s="158">
        <v>9.3000000000000007</v>
      </c>
      <c r="I690" s="158">
        <v>0</v>
      </c>
      <c r="J690" s="158">
        <v>9.3000000000000007</v>
      </c>
      <c r="K690" s="158" t="s">
        <v>237</v>
      </c>
    </row>
    <row r="691" spans="4:11">
      <c r="D691" s="158">
        <v>160621</v>
      </c>
      <c r="E691" s="158">
        <v>10103</v>
      </c>
      <c r="F691" s="158">
        <v>965</v>
      </c>
      <c r="H691" s="158">
        <v>0</v>
      </c>
      <c r="I691" s="158">
        <v>0</v>
      </c>
      <c r="J691" s="158">
        <v>0</v>
      </c>
      <c r="K691" s="158" t="s">
        <v>237</v>
      </c>
    </row>
    <row r="692" spans="4:11">
      <c r="D692" s="158">
        <v>160676</v>
      </c>
      <c r="E692" s="158">
        <v>11044</v>
      </c>
      <c r="F692" s="158">
        <v>1111</v>
      </c>
      <c r="H692" s="158">
        <v>72</v>
      </c>
      <c r="I692" s="158">
        <v>0</v>
      </c>
      <c r="J692" s="158">
        <v>72</v>
      </c>
      <c r="K692" s="158" t="s">
        <v>235</v>
      </c>
    </row>
    <row r="693" spans="4:11">
      <c r="D693" s="158">
        <v>160719</v>
      </c>
      <c r="E693" s="158">
        <v>10814</v>
      </c>
      <c r="F693" s="158">
        <v>2156</v>
      </c>
      <c r="G693" s="158">
        <v>5.2</v>
      </c>
      <c r="H693" s="158">
        <v>6</v>
      </c>
      <c r="I693" s="158">
        <v>0</v>
      </c>
      <c r="J693" s="158">
        <v>6</v>
      </c>
      <c r="K693" s="158" t="s">
        <v>235</v>
      </c>
    </row>
    <row r="694" spans="4:11">
      <c r="D694" s="158">
        <v>160721</v>
      </c>
      <c r="E694" s="158">
        <v>10814</v>
      </c>
      <c r="F694" s="158">
        <v>2156</v>
      </c>
      <c r="G694" s="158">
        <v>8.4</v>
      </c>
      <c r="H694" s="158">
        <v>11.25</v>
      </c>
      <c r="I694" s="158">
        <v>0</v>
      </c>
      <c r="J694" s="158">
        <v>11.25</v>
      </c>
      <c r="K694" s="158" t="s">
        <v>235</v>
      </c>
    </row>
    <row r="695" spans="4:11">
      <c r="D695" s="158">
        <v>160722</v>
      </c>
      <c r="E695" s="158">
        <v>10814</v>
      </c>
      <c r="F695" s="158">
        <v>2122</v>
      </c>
      <c r="G695" s="158">
        <v>4</v>
      </c>
      <c r="H695" s="158">
        <v>6</v>
      </c>
      <c r="I695" s="158">
        <v>0</v>
      </c>
      <c r="J695" s="158">
        <v>6</v>
      </c>
      <c r="K695" s="158" t="s">
        <v>235</v>
      </c>
    </row>
    <row r="696" spans="4:11">
      <c r="D696" s="158">
        <v>160725</v>
      </c>
      <c r="E696" s="158">
        <v>10814</v>
      </c>
      <c r="F696" s="158">
        <v>2156</v>
      </c>
      <c r="G696" s="158">
        <v>2.5</v>
      </c>
      <c r="H696" s="158">
        <v>6.05</v>
      </c>
      <c r="I696" s="158">
        <v>0</v>
      </c>
      <c r="J696" s="158">
        <v>6.05</v>
      </c>
      <c r="K696" s="158" t="s">
        <v>235</v>
      </c>
    </row>
    <row r="697" spans="4:11">
      <c r="D697" s="158">
        <v>160726</v>
      </c>
      <c r="E697" s="158">
        <v>10814</v>
      </c>
      <c r="F697" s="158">
        <v>2122</v>
      </c>
      <c r="G697" s="158">
        <v>0</v>
      </c>
      <c r="H697" s="158">
        <v>1</v>
      </c>
      <c r="I697" s="158">
        <v>0</v>
      </c>
      <c r="J697" s="158">
        <v>1</v>
      </c>
      <c r="K697" s="158" t="s">
        <v>235</v>
      </c>
    </row>
    <row r="698" spans="4:11">
      <c r="D698" s="158">
        <v>160761</v>
      </c>
      <c r="E698" s="158">
        <v>10688</v>
      </c>
      <c r="F698" s="158">
        <v>2120</v>
      </c>
      <c r="G698" s="158">
        <v>8.3000000000000007</v>
      </c>
      <c r="H698" s="158">
        <v>5.5</v>
      </c>
      <c r="I698" s="158">
        <v>0</v>
      </c>
      <c r="J698" s="158">
        <v>5.5</v>
      </c>
      <c r="K698" s="158" t="s">
        <v>235</v>
      </c>
    </row>
    <row r="699" spans="4:11">
      <c r="D699" s="158">
        <v>160763</v>
      </c>
      <c r="E699" s="158">
        <v>10688</v>
      </c>
      <c r="F699" s="158">
        <v>2120</v>
      </c>
      <c r="G699" s="158">
        <v>15.5</v>
      </c>
      <c r="H699" s="158">
        <v>11.5</v>
      </c>
      <c r="I699" s="158">
        <v>0</v>
      </c>
      <c r="J699" s="158">
        <v>11.5</v>
      </c>
      <c r="K699" s="158" t="s">
        <v>235</v>
      </c>
    </row>
    <row r="700" spans="4:11">
      <c r="D700" s="158">
        <v>160765</v>
      </c>
      <c r="E700" s="158">
        <v>10688</v>
      </c>
      <c r="F700" s="158">
        <v>2120</v>
      </c>
      <c r="G700" s="158">
        <v>4.2</v>
      </c>
      <c r="H700" s="158">
        <v>2.75</v>
      </c>
      <c r="I700" s="158">
        <v>0</v>
      </c>
      <c r="J700" s="158">
        <v>2.75</v>
      </c>
      <c r="K700" s="158" t="s">
        <v>235</v>
      </c>
    </row>
    <row r="701" spans="4:11">
      <c r="D701" s="158">
        <v>160841</v>
      </c>
      <c r="E701" s="158">
        <v>10639</v>
      </c>
      <c r="F701" s="158">
        <v>2156</v>
      </c>
      <c r="G701" s="158">
        <v>1</v>
      </c>
      <c r="H701" s="158">
        <v>1.8</v>
      </c>
      <c r="I701" s="158">
        <v>0</v>
      </c>
      <c r="J701" s="158">
        <v>1.8</v>
      </c>
      <c r="K701" s="158" t="s">
        <v>235</v>
      </c>
    </row>
    <row r="702" spans="4:11">
      <c r="D702" s="158">
        <v>160882</v>
      </c>
      <c r="E702" s="158">
        <v>10758</v>
      </c>
      <c r="F702" s="158">
        <v>2062</v>
      </c>
      <c r="G702" s="158">
        <v>6.4</v>
      </c>
      <c r="H702" s="158">
        <v>3.05</v>
      </c>
      <c r="I702" s="158">
        <v>0</v>
      </c>
      <c r="J702" s="158">
        <v>3.05</v>
      </c>
      <c r="K702" s="158" t="s">
        <v>235</v>
      </c>
    </row>
    <row r="703" spans="4:11">
      <c r="D703" s="158">
        <v>160885</v>
      </c>
      <c r="E703" s="158">
        <v>10777</v>
      </c>
      <c r="F703" s="158">
        <v>938</v>
      </c>
      <c r="G703" s="158">
        <v>4.5</v>
      </c>
      <c r="H703" s="158">
        <v>2.8</v>
      </c>
      <c r="I703" s="158">
        <v>0</v>
      </c>
      <c r="J703" s="158">
        <v>2.8</v>
      </c>
      <c r="K703" s="158" t="s">
        <v>235</v>
      </c>
    </row>
    <row r="704" spans="4:11">
      <c r="D704" s="158">
        <v>160888</v>
      </c>
      <c r="E704" s="158">
        <v>10720</v>
      </c>
      <c r="F704" s="158">
        <v>1738</v>
      </c>
      <c r="G704" s="158">
        <v>0</v>
      </c>
      <c r="H704" s="158">
        <v>4.9000000000000004</v>
      </c>
      <c r="I704" s="158">
        <v>0</v>
      </c>
      <c r="J704" s="158">
        <v>4.9000000000000004</v>
      </c>
      <c r="K704" s="158" t="s">
        <v>235</v>
      </c>
    </row>
    <row r="705" spans="4:11">
      <c r="D705" s="158">
        <v>160890</v>
      </c>
      <c r="E705" s="158">
        <v>10720</v>
      </c>
      <c r="F705" s="158">
        <v>938</v>
      </c>
      <c r="G705" s="158">
        <v>0</v>
      </c>
      <c r="H705" s="158">
        <v>0.95</v>
      </c>
      <c r="I705" s="158">
        <v>0</v>
      </c>
      <c r="J705" s="158">
        <v>0.95</v>
      </c>
      <c r="K705" s="158" t="s">
        <v>235</v>
      </c>
    </row>
    <row r="706" spans="4:11">
      <c r="D706" s="158">
        <v>160999</v>
      </c>
      <c r="E706" s="158">
        <v>11213</v>
      </c>
      <c r="F706" s="158">
        <v>1821</v>
      </c>
      <c r="H706" s="158">
        <v>0</v>
      </c>
      <c r="I706" s="158">
        <v>0</v>
      </c>
      <c r="J706" s="158">
        <v>0</v>
      </c>
      <c r="K706" s="158" t="s">
        <v>235</v>
      </c>
    </row>
    <row r="707" spans="4:11">
      <c r="D707" s="158">
        <v>161000</v>
      </c>
      <c r="E707" s="158">
        <v>11213</v>
      </c>
      <c r="F707" s="158">
        <v>938</v>
      </c>
      <c r="H707" s="158">
        <v>0.35</v>
      </c>
      <c r="I707" s="158">
        <v>0</v>
      </c>
      <c r="J707" s="158">
        <v>0.35</v>
      </c>
      <c r="K707" s="158" t="s">
        <v>235</v>
      </c>
    </row>
    <row r="708" spans="4:11">
      <c r="D708" s="158">
        <v>161002</v>
      </c>
      <c r="E708" s="158">
        <v>11213</v>
      </c>
      <c r="F708" s="158">
        <v>1738</v>
      </c>
      <c r="H708" s="158">
        <v>0</v>
      </c>
      <c r="I708" s="158">
        <v>0</v>
      </c>
      <c r="J708" s="158">
        <v>0</v>
      </c>
      <c r="K708" s="158" t="s">
        <v>235</v>
      </c>
    </row>
    <row r="709" spans="4:11">
      <c r="D709" s="158">
        <v>161003</v>
      </c>
      <c r="E709" s="158">
        <v>11213</v>
      </c>
      <c r="F709" s="158">
        <v>828</v>
      </c>
      <c r="H709" s="158">
        <v>0</v>
      </c>
      <c r="I709" s="158">
        <v>0</v>
      </c>
      <c r="J709" s="158">
        <v>0</v>
      </c>
      <c r="K709" s="158" t="s">
        <v>235</v>
      </c>
    </row>
    <row r="710" spans="4:11">
      <c r="D710" s="158">
        <v>161004</v>
      </c>
      <c r="E710" s="158">
        <v>11213</v>
      </c>
      <c r="F710" s="158">
        <v>2062</v>
      </c>
      <c r="H710" s="158">
        <v>1.9</v>
      </c>
      <c r="I710" s="158">
        <v>0</v>
      </c>
      <c r="J710" s="158">
        <v>1.9</v>
      </c>
      <c r="K710" s="158" t="s">
        <v>235</v>
      </c>
    </row>
    <row r="711" spans="4:11">
      <c r="D711" s="158">
        <v>161006</v>
      </c>
      <c r="E711" s="158">
        <v>11213</v>
      </c>
      <c r="F711" s="158">
        <v>1014</v>
      </c>
      <c r="H711" s="158">
        <v>0</v>
      </c>
      <c r="I711" s="158">
        <v>0</v>
      </c>
      <c r="J711" s="158">
        <v>0</v>
      </c>
      <c r="K711" s="158" t="s">
        <v>235</v>
      </c>
    </row>
    <row r="712" spans="4:11">
      <c r="D712" s="158">
        <v>161007</v>
      </c>
      <c r="E712" s="158">
        <v>11213</v>
      </c>
      <c r="F712" s="158">
        <v>2030</v>
      </c>
      <c r="H712" s="158">
        <v>0</v>
      </c>
      <c r="I712" s="158">
        <v>0</v>
      </c>
      <c r="J712" s="158">
        <v>0</v>
      </c>
      <c r="K712" s="158" t="s">
        <v>235</v>
      </c>
    </row>
    <row r="713" spans="4:11">
      <c r="D713" s="158">
        <v>161008</v>
      </c>
      <c r="E713" s="158">
        <v>11213</v>
      </c>
      <c r="F713" s="158">
        <v>222</v>
      </c>
      <c r="H713" s="158">
        <v>1</v>
      </c>
      <c r="I713" s="158">
        <v>0</v>
      </c>
      <c r="J713" s="158">
        <v>1</v>
      </c>
      <c r="K713" s="158" t="s">
        <v>235</v>
      </c>
    </row>
    <row r="714" spans="4:11">
      <c r="D714" s="158">
        <v>161009</v>
      </c>
      <c r="E714" s="158">
        <v>11213</v>
      </c>
      <c r="F714" s="158">
        <v>197</v>
      </c>
      <c r="G714" s="158">
        <v>0</v>
      </c>
      <c r="H714" s="158">
        <v>2.25</v>
      </c>
      <c r="I714" s="158">
        <v>0</v>
      </c>
      <c r="J714" s="158">
        <v>2.25</v>
      </c>
      <c r="K714" s="158" t="s">
        <v>235</v>
      </c>
    </row>
    <row r="715" spans="4:11">
      <c r="D715" s="158">
        <v>161010</v>
      </c>
      <c r="E715" s="158">
        <v>11213</v>
      </c>
      <c r="F715" s="158">
        <v>1821</v>
      </c>
      <c r="H715" s="158">
        <v>0</v>
      </c>
      <c r="I715" s="158">
        <v>0</v>
      </c>
      <c r="J715" s="158">
        <v>0</v>
      </c>
      <c r="K715" s="158" t="s">
        <v>235</v>
      </c>
    </row>
    <row r="716" spans="4:11">
      <c r="D716" s="158">
        <v>161011</v>
      </c>
      <c r="E716" s="158">
        <v>11213</v>
      </c>
      <c r="F716" s="158">
        <v>938</v>
      </c>
      <c r="H716" s="158">
        <v>0.75</v>
      </c>
      <c r="I716" s="158">
        <v>0</v>
      </c>
      <c r="J716" s="158">
        <v>0.75</v>
      </c>
      <c r="K716" s="158" t="s">
        <v>235</v>
      </c>
    </row>
    <row r="717" spans="4:11">
      <c r="D717" s="158">
        <v>161012</v>
      </c>
      <c r="E717" s="158">
        <v>11213</v>
      </c>
      <c r="F717" s="158">
        <v>1738</v>
      </c>
      <c r="G717" s="158">
        <v>0</v>
      </c>
      <c r="H717" s="158">
        <v>0.5</v>
      </c>
      <c r="I717" s="158">
        <v>0</v>
      </c>
      <c r="J717" s="158">
        <v>0.5</v>
      </c>
      <c r="K717" s="158" t="s">
        <v>235</v>
      </c>
    </row>
    <row r="718" spans="4:11">
      <c r="D718" s="158">
        <v>161013</v>
      </c>
      <c r="E718" s="158">
        <v>11213</v>
      </c>
      <c r="F718" s="158">
        <v>828</v>
      </c>
      <c r="H718" s="158">
        <v>0</v>
      </c>
      <c r="I718" s="158">
        <v>0</v>
      </c>
      <c r="J718" s="158">
        <v>0</v>
      </c>
      <c r="K718" s="158" t="s">
        <v>235</v>
      </c>
    </row>
    <row r="719" spans="4:11">
      <c r="D719" s="158">
        <v>161014</v>
      </c>
      <c r="E719" s="158">
        <v>11213</v>
      </c>
      <c r="F719" s="158">
        <v>222</v>
      </c>
      <c r="G719" s="158">
        <v>0</v>
      </c>
      <c r="H719" s="158">
        <v>5.25</v>
      </c>
      <c r="I719" s="158">
        <v>0</v>
      </c>
      <c r="J719" s="158">
        <v>5.25</v>
      </c>
      <c r="K719" s="158" t="s">
        <v>235</v>
      </c>
    </row>
    <row r="720" spans="4:11">
      <c r="D720" s="158">
        <v>161015</v>
      </c>
      <c r="E720" s="158">
        <v>11213</v>
      </c>
      <c r="F720" s="158">
        <v>2030</v>
      </c>
      <c r="H720" s="158">
        <v>0.5</v>
      </c>
      <c r="I720" s="158">
        <v>0</v>
      </c>
      <c r="J720" s="158">
        <v>0.5</v>
      </c>
      <c r="K720" s="158" t="s">
        <v>235</v>
      </c>
    </row>
    <row r="721" spans="4:11">
      <c r="D721" s="158">
        <v>161017</v>
      </c>
      <c r="E721" s="158">
        <v>11213</v>
      </c>
      <c r="F721" s="158">
        <v>1821</v>
      </c>
      <c r="G721" s="158">
        <v>0</v>
      </c>
      <c r="H721" s="158">
        <v>0</v>
      </c>
      <c r="I721" s="158">
        <v>0</v>
      </c>
      <c r="J721" s="158">
        <v>0</v>
      </c>
      <c r="K721" s="158" t="s">
        <v>235</v>
      </c>
    </row>
    <row r="722" spans="4:11">
      <c r="D722" s="158">
        <v>161018</v>
      </c>
      <c r="E722" s="158">
        <v>11213</v>
      </c>
      <c r="F722" s="158">
        <v>197</v>
      </c>
      <c r="G722" s="158">
        <v>0</v>
      </c>
      <c r="H722" s="158">
        <v>2</v>
      </c>
      <c r="I722" s="158">
        <v>0</v>
      </c>
      <c r="J722" s="158">
        <v>2</v>
      </c>
      <c r="K722" s="158" t="s">
        <v>235</v>
      </c>
    </row>
    <row r="723" spans="4:11">
      <c r="D723" s="158">
        <v>161019</v>
      </c>
      <c r="E723" s="158">
        <v>11213</v>
      </c>
      <c r="F723" s="158">
        <v>828</v>
      </c>
      <c r="G723" s="158">
        <v>0</v>
      </c>
      <c r="H723" s="158">
        <v>2</v>
      </c>
      <c r="I723" s="158">
        <v>0</v>
      </c>
      <c r="J723" s="158">
        <v>2</v>
      </c>
      <c r="K723" s="158" t="s">
        <v>235</v>
      </c>
    </row>
    <row r="724" spans="4:11">
      <c r="D724" s="158">
        <v>161020</v>
      </c>
      <c r="E724" s="158">
        <v>11213</v>
      </c>
      <c r="F724" s="158">
        <v>2030</v>
      </c>
      <c r="G724" s="158">
        <v>0</v>
      </c>
      <c r="H724" s="158">
        <v>7.05</v>
      </c>
      <c r="I724" s="158">
        <v>0</v>
      </c>
      <c r="J724" s="158">
        <v>7.05</v>
      </c>
      <c r="K724" s="158" t="s">
        <v>235</v>
      </c>
    </row>
    <row r="725" spans="4:11">
      <c r="D725" s="158">
        <v>161021</v>
      </c>
      <c r="E725" s="158">
        <v>11213</v>
      </c>
      <c r="F725" s="158">
        <v>222</v>
      </c>
      <c r="G725" s="158">
        <v>0</v>
      </c>
      <c r="H725" s="158">
        <v>0</v>
      </c>
      <c r="I725" s="158">
        <v>0</v>
      </c>
      <c r="J725" s="158">
        <v>0</v>
      </c>
      <c r="K725" s="158" t="s">
        <v>235</v>
      </c>
    </row>
    <row r="726" spans="4:11">
      <c r="D726" s="158">
        <v>161022</v>
      </c>
      <c r="E726" s="158">
        <v>11213</v>
      </c>
      <c r="F726" s="158">
        <v>938</v>
      </c>
      <c r="H726" s="158">
        <v>0</v>
      </c>
      <c r="I726" s="158">
        <v>0</v>
      </c>
      <c r="J726" s="158">
        <v>0</v>
      </c>
      <c r="K726" s="158" t="s">
        <v>235</v>
      </c>
    </row>
    <row r="727" spans="4:11">
      <c r="D727" s="158">
        <v>161023</v>
      </c>
      <c r="E727" s="158">
        <v>11213</v>
      </c>
      <c r="F727" s="158">
        <v>1738</v>
      </c>
      <c r="G727" s="158">
        <v>0</v>
      </c>
      <c r="H727" s="158">
        <v>0.5</v>
      </c>
      <c r="I727" s="158">
        <v>0</v>
      </c>
      <c r="J727" s="158">
        <v>0.5</v>
      </c>
      <c r="K727" s="158" t="s">
        <v>235</v>
      </c>
    </row>
    <row r="728" spans="4:11">
      <c r="D728" s="158">
        <v>161024</v>
      </c>
      <c r="E728" s="158">
        <v>11213</v>
      </c>
      <c r="F728" s="158">
        <v>1014</v>
      </c>
      <c r="G728" s="158">
        <v>0</v>
      </c>
      <c r="H728" s="158">
        <v>2.1</v>
      </c>
      <c r="I728" s="158">
        <v>0</v>
      </c>
      <c r="J728" s="158">
        <v>2.1</v>
      </c>
      <c r="K728" s="158" t="s">
        <v>235</v>
      </c>
    </row>
    <row r="729" spans="4:11">
      <c r="D729" s="158">
        <v>161025</v>
      </c>
      <c r="E729" s="158">
        <v>11213</v>
      </c>
      <c r="F729" s="158">
        <v>2030</v>
      </c>
      <c r="G729" s="158">
        <v>0</v>
      </c>
      <c r="H729" s="158">
        <v>3.05</v>
      </c>
      <c r="I729" s="158">
        <v>0</v>
      </c>
      <c r="J729" s="158">
        <v>3.05</v>
      </c>
      <c r="K729" s="158" t="s">
        <v>235</v>
      </c>
    </row>
    <row r="730" spans="4:11">
      <c r="D730" s="158">
        <v>161026</v>
      </c>
      <c r="E730" s="158">
        <v>11213</v>
      </c>
      <c r="F730" s="158">
        <v>1014</v>
      </c>
      <c r="G730" s="158">
        <v>0</v>
      </c>
      <c r="H730" s="158">
        <v>0</v>
      </c>
      <c r="I730" s="158">
        <v>0</v>
      </c>
      <c r="J730" s="158">
        <v>0</v>
      </c>
      <c r="K730" s="158" t="s">
        <v>235</v>
      </c>
    </row>
    <row r="731" spans="4:11">
      <c r="D731" s="158">
        <v>161027</v>
      </c>
      <c r="E731" s="158">
        <v>11213</v>
      </c>
      <c r="F731" s="158">
        <v>2062</v>
      </c>
      <c r="H731" s="158">
        <v>0</v>
      </c>
      <c r="I731" s="158">
        <v>0</v>
      </c>
      <c r="J731" s="158">
        <v>0</v>
      </c>
      <c r="K731" s="158" t="s">
        <v>235</v>
      </c>
    </row>
    <row r="732" spans="4:11">
      <c r="D732" s="158">
        <v>161028</v>
      </c>
      <c r="E732" s="158">
        <v>11213</v>
      </c>
      <c r="F732" s="158">
        <v>1821</v>
      </c>
      <c r="H732" s="158">
        <v>1</v>
      </c>
      <c r="I732" s="158">
        <v>0</v>
      </c>
      <c r="J732" s="158">
        <v>1</v>
      </c>
      <c r="K732" s="158" t="s">
        <v>235</v>
      </c>
    </row>
    <row r="733" spans="4:11">
      <c r="D733" s="158">
        <v>161029</v>
      </c>
      <c r="E733" s="158">
        <v>11213</v>
      </c>
      <c r="F733" s="158">
        <v>197</v>
      </c>
      <c r="H733" s="158">
        <v>0</v>
      </c>
      <c r="I733" s="158">
        <v>0</v>
      </c>
      <c r="J733" s="158">
        <v>0</v>
      </c>
      <c r="K733" s="158" t="s">
        <v>235</v>
      </c>
    </row>
    <row r="734" spans="4:11">
      <c r="D734" s="158">
        <v>161030</v>
      </c>
      <c r="E734" s="158">
        <v>11213</v>
      </c>
      <c r="F734" s="158">
        <v>2030</v>
      </c>
      <c r="G734" s="158">
        <v>0</v>
      </c>
      <c r="H734" s="158">
        <v>1.8</v>
      </c>
      <c r="I734" s="158">
        <v>0</v>
      </c>
      <c r="J734" s="158">
        <v>1.8</v>
      </c>
      <c r="K734" s="158" t="s">
        <v>235</v>
      </c>
    </row>
    <row r="735" spans="4:11">
      <c r="D735" s="158">
        <v>161031</v>
      </c>
      <c r="E735" s="158">
        <v>11213</v>
      </c>
      <c r="F735" s="158">
        <v>222</v>
      </c>
      <c r="G735" s="158">
        <v>0</v>
      </c>
      <c r="H735" s="158">
        <v>0.75</v>
      </c>
      <c r="I735" s="158">
        <v>0</v>
      </c>
      <c r="J735" s="158">
        <v>0.75</v>
      </c>
      <c r="K735" s="158" t="s">
        <v>235</v>
      </c>
    </row>
    <row r="736" spans="4:11">
      <c r="D736" s="158">
        <v>161033</v>
      </c>
      <c r="E736" s="158">
        <v>11213</v>
      </c>
      <c r="F736" s="158">
        <v>828</v>
      </c>
      <c r="H736" s="158">
        <v>0</v>
      </c>
      <c r="I736" s="158">
        <v>0</v>
      </c>
      <c r="J736" s="158">
        <v>0</v>
      </c>
      <c r="K736" s="158" t="s">
        <v>235</v>
      </c>
    </row>
    <row r="737" spans="4:11">
      <c r="D737" s="158">
        <v>161034</v>
      </c>
      <c r="E737" s="158">
        <v>11213</v>
      </c>
      <c r="F737" s="158">
        <v>1014</v>
      </c>
      <c r="H737" s="158">
        <v>0</v>
      </c>
      <c r="I737" s="158">
        <v>0</v>
      </c>
      <c r="J737" s="158">
        <v>0</v>
      </c>
      <c r="K737" s="158" t="s">
        <v>235</v>
      </c>
    </row>
    <row r="738" spans="4:11">
      <c r="D738" s="158">
        <v>161035</v>
      </c>
      <c r="E738" s="158">
        <v>11213</v>
      </c>
      <c r="F738" s="158">
        <v>2062</v>
      </c>
      <c r="H738" s="158">
        <v>0.2</v>
      </c>
      <c r="I738" s="158">
        <v>0</v>
      </c>
      <c r="J738" s="158">
        <v>0.2</v>
      </c>
      <c r="K738" s="158" t="s">
        <v>235</v>
      </c>
    </row>
    <row r="739" spans="4:11">
      <c r="D739" s="158">
        <v>161036</v>
      </c>
      <c r="E739" s="158">
        <v>11213</v>
      </c>
      <c r="F739" s="158">
        <v>2030</v>
      </c>
      <c r="H739" s="158">
        <v>7.65</v>
      </c>
      <c r="I739" s="158">
        <v>0</v>
      </c>
      <c r="J739" s="158">
        <v>7.65</v>
      </c>
      <c r="K739" s="158" t="s">
        <v>235</v>
      </c>
    </row>
    <row r="740" spans="4:11">
      <c r="D740" s="158">
        <v>161037</v>
      </c>
      <c r="E740" s="158">
        <v>11213</v>
      </c>
      <c r="F740" s="158">
        <v>222</v>
      </c>
      <c r="H740" s="158">
        <v>0</v>
      </c>
      <c r="I740" s="158">
        <v>0</v>
      </c>
      <c r="J740" s="158">
        <v>0</v>
      </c>
      <c r="K740" s="158" t="s">
        <v>235</v>
      </c>
    </row>
    <row r="741" spans="4:11">
      <c r="D741" s="158">
        <v>161038</v>
      </c>
      <c r="E741" s="158">
        <v>11213</v>
      </c>
      <c r="F741" s="158">
        <v>1738</v>
      </c>
      <c r="H741" s="158">
        <v>0.8</v>
      </c>
      <c r="I741" s="158">
        <v>0</v>
      </c>
      <c r="J741" s="158">
        <v>0.8</v>
      </c>
      <c r="K741" s="158" t="s">
        <v>235</v>
      </c>
    </row>
    <row r="742" spans="4:11">
      <c r="D742" s="158">
        <v>161039</v>
      </c>
      <c r="E742" s="158">
        <v>11213</v>
      </c>
      <c r="F742" s="158">
        <v>938</v>
      </c>
      <c r="H742" s="158">
        <v>0.6</v>
      </c>
      <c r="I742" s="158">
        <v>0</v>
      </c>
      <c r="J742" s="158">
        <v>0.6</v>
      </c>
      <c r="K742" s="158" t="s">
        <v>235</v>
      </c>
    </row>
    <row r="743" spans="4:11">
      <c r="D743" s="158">
        <v>161040</v>
      </c>
      <c r="E743" s="158">
        <v>11213</v>
      </c>
      <c r="F743" s="158">
        <v>828</v>
      </c>
      <c r="H743" s="158">
        <v>0</v>
      </c>
      <c r="I743" s="158">
        <v>0</v>
      </c>
      <c r="J743" s="158">
        <v>0</v>
      </c>
      <c r="K743" s="158" t="s">
        <v>235</v>
      </c>
    </row>
    <row r="744" spans="4:11">
      <c r="D744" s="158">
        <v>161041</v>
      </c>
      <c r="E744" s="158">
        <v>11213</v>
      </c>
      <c r="F744" s="158">
        <v>1014</v>
      </c>
      <c r="G744" s="158">
        <v>0</v>
      </c>
      <c r="H744" s="158">
        <v>1.5</v>
      </c>
      <c r="I744" s="158">
        <v>0</v>
      </c>
      <c r="J744" s="158">
        <v>1.5</v>
      </c>
      <c r="K744" s="158" t="s">
        <v>235</v>
      </c>
    </row>
    <row r="745" spans="4:11">
      <c r="D745" s="158">
        <v>161042</v>
      </c>
      <c r="E745" s="158">
        <v>11213</v>
      </c>
      <c r="F745" s="158">
        <v>2062</v>
      </c>
      <c r="H745" s="158">
        <v>0</v>
      </c>
      <c r="I745" s="158">
        <v>0</v>
      </c>
      <c r="J745" s="158">
        <v>0</v>
      </c>
      <c r="K745" s="158" t="s">
        <v>235</v>
      </c>
    </row>
    <row r="746" spans="4:11">
      <c r="D746" s="158">
        <v>161043</v>
      </c>
      <c r="E746" s="158">
        <v>11213</v>
      </c>
      <c r="F746" s="158">
        <v>938</v>
      </c>
      <c r="H746" s="158">
        <v>0</v>
      </c>
      <c r="I746" s="158">
        <v>0</v>
      </c>
      <c r="J746" s="158">
        <v>0</v>
      </c>
      <c r="K746" s="158" t="s">
        <v>235</v>
      </c>
    </row>
    <row r="747" spans="4:11">
      <c r="D747" s="158">
        <v>161044</v>
      </c>
      <c r="E747" s="158">
        <v>11213</v>
      </c>
      <c r="F747" s="158">
        <v>197</v>
      </c>
      <c r="H747" s="158">
        <v>0.5</v>
      </c>
      <c r="I747" s="158">
        <v>0</v>
      </c>
      <c r="J747" s="158">
        <v>0.5</v>
      </c>
      <c r="K747" s="158" t="s">
        <v>235</v>
      </c>
    </row>
    <row r="748" spans="4:11">
      <c r="D748" s="158">
        <v>161045</v>
      </c>
      <c r="E748" s="158">
        <v>11213</v>
      </c>
      <c r="F748" s="158">
        <v>1821</v>
      </c>
      <c r="G748" s="158">
        <v>0</v>
      </c>
      <c r="H748" s="158">
        <v>7</v>
      </c>
      <c r="I748" s="158">
        <v>0</v>
      </c>
      <c r="J748" s="158">
        <v>7</v>
      </c>
      <c r="K748" s="158" t="s">
        <v>235</v>
      </c>
    </row>
    <row r="749" spans="4:11">
      <c r="D749" s="158">
        <v>161046</v>
      </c>
      <c r="E749" s="158">
        <v>11213</v>
      </c>
      <c r="F749" s="158">
        <v>2030</v>
      </c>
      <c r="H749" s="158">
        <v>0</v>
      </c>
      <c r="I749" s="158">
        <v>0</v>
      </c>
      <c r="J749" s="158">
        <v>0</v>
      </c>
      <c r="K749" s="158" t="s">
        <v>235</v>
      </c>
    </row>
    <row r="750" spans="4:11">
      <c r="D750" s="158">
        <v>161047</v>
      </c>
      <c r="E750" s="158">
        <v>11213</v>
      </c>
      <c r="F750" s="158">
        <v>222</v>
      </c>
      <c r="H750" s="158">
        <v>0</v>
      </c>
      <c r="I750" s="158">
        <v>0</v>
      </c>
      <c r="J750" s="158">
        <v>0</v>
      </c>
      <c r="K750" s="158" t="s">
        <v>235</v>
      </c>
    </row>
    <row r="751" spans="4:11">
      <c r="D751" s="158">
        <v>161048</v>
      </c>
      <c r="E751" s="158">
        <v>11213</v>
      </c>
      <c r="F751" s="158">
        <v>828</v>
      </c>
      <c r="G751" s="158">
        <v>0</v>
      </c>
      <c r="H751" s="158">
        <v>0</v>
      </c>
      <c r="I751" s="158">
        <v>0</v>
      </c>
      <c r="J751" s="158">
        <v>0</v>
      </c>
      <c r="K751" s="158" t="s">
        <v>235</v>
      </c>
    </row>
    <row r="752" spans="4:11">
      <c r="D752" s="158">
        <v>161074</v>
      </c>
      <c r="E752" s="158">
        <v>11218</v>
      </c>
      <c r="F752" s="158">
        <v>2062</v>
      </c>
      <c r="H752" s="158">
        <v>1.45</v>
      </c>
      <c r="I752" s="158">
        <v>0</v>
      </c>
      <c r="J752" s="158">
        <v>1.45</v>
      </c>
      <c r="K752" s="158" t="s">
        <v>235</v>
      </c>
    </row>
    <row r="753" spans="4:11">
      <c r="D753" s="158">
        <v>161081</v>
      </c>
      <c r="E753" s="158">
        <v>11219</v>
      </c>
      <c r="F753" s="158">
        <v>1014</v>
      </c>
      <c r="H753" s="158">
        <v>0</v>
      </c>
      <c r="I753" s="158">
        <v>0</v>
      </c>
      <c r="J753" s="158">
        <v>0</v>
      </c>
      <c r="K753" s="158" t="s">
        <v>235</v>
      </c>
    </row>
    <row r="754" spans="4:11">
      <c r="D754" s="158">
        <v>161082</v>
      </c>
      <c r="E754" s="158">
        <v>11219</v>
      </c>
      <c r="F754" s="158">
        <v>2062</v>
      </c>
      <c r="H754" s="158">
        <v>0.6</v>
      </c>
      <c r="I754" s="158">
        <v>0</v>
      </c>
      <c r="J754" s="158">
        <v>0.6</v>
      </c>
      <c r="K754" s="158" t="s">
        <v>235</v>
      </c>
    </row>
    <row r="755" spans="4:11">
      <c r="D755" s="158">
        <v>161083</v>
      </c>
      <c r="E755" s="158">
        <v>11219</v>
      </c>
      <c r="F755" s="158">
        <v>2030</v>
      </c>
      <c r="H755" s="158">
        <v>0</v>
      </c>
      <c r="I755" s="158">
        <v>0</v>
      </c>
      <c r="J755" s="158">
        <v>0</v>
      </c>
      <c r="K755" s="158" t="s">
        <v>235</v>
      </c>
    </row>
    <row r="756" spans="4:11">
      <c r="D756" s="158">
        <v>161084</v>
      </c>
      <c r="E756" s="158">
        <v>11219</v>
      </c>
      <c r="F756" s="158">
        <v>222</v>
      </c>
      <c r="H756" s="158">
        <v>0</v>
      </c>
      <c r="I756" s="158">
        <v>0</v>
      </c>
      <c r="J756" s="158">
        <v>0</v>
      </c>
      <c r="K756" s="158" t="s">
        <v>235</v>
      </c>
    </row>
    <row r="757" spans="4:11">
      <c r="D757" s="158">
        <v>161085</v>
      </c>
      <c r="E757" s="158">
        <v>11219</v>
      </c>
      <c r="F757" s="158">
        <v>197</v>
      </c>
      <c r="H757" s="158">
        <v>0.5</v>
      </c>
      <c r="I757" s="158">
        <v>0</v>
      </c>
      <c r="J757" s="158">
        <v>0.5</v>
      </c>
      <c r="K757" s="158" t="s">
        <v>235</v>
      </c>
    </row>
    <row r="758" spans="4:11">
      <c r="D758" s="158">
        <v>161086</v>
      </c>
      <c r="E758" s="158">
        <v>11219</v>
      </c>
      <c r="F758" s="158">
        <v>1821</v>
      </c>
      <c r="H758" s="158">
        <v>1.5</v>
      </c>
      <c r="I758" s="158">
        <v>0</v>
      </c>
      <c r="J758" s="158">
        <v>1.5</v>
      </c>
      <c r="K758" s="158" t="s">
        <v>235</v>
      </c>
    </row>
    <row r="759" spans="4:11">
      <c r="D759" s="158">
        <v>161087</v>
      </c>
      <c r="E759" s="158">
        <v>11219</v>
      </c>
      <c r="F759" s="158">
        <v>828</v>
      </c>
      <c r="H759" s="158">
        <v>0</v>
      </c>
      <c r="I759" s="158">
        <v>0</v>
      </c>
      <c r="J759" s="158">
        <v>0</v>
      </c>
      <c r="K759" s="158" t="s">
        <v>235</v>
      </c>
    </row>
    <row r="760" spans="4:11">
      <c r="D760" s="158">
        <v>161088</v>
      </c>
      <c r="E760" s="158">
        <v>11219</v>
      </c>
      <c r="F760" s="158">
        <v>938</v>
      </c>
      <c r="H760" s="158">
        <v>0</v>
      </c>
      <c r="I760" s="158">
        <v>0</v>
      </c>
      <c r="J760" s="158">
        <v>0</v>
      </c>
      <c r="K760" s="158" t="s">
        <v>235</v>
      </c>
    </row>
    <row r="761" spans="4:11">
      <c r="D761" s="158">
        <v>161089</v>
      </c>
      <c r="E761" s="158">
        <v>11219</v>
      </c>
      <c r="F761" s="158">
        <v>1738</v>
      </c>
      <c r="H761" s="158">
        <v>0</v>
      </c>
      <c r="I761" s="158">
        <v>0</v>
      </c>
      <c r="J761" s="158">
        <v>0</v>
      </c>
      <c r="K761" s="158" t="s">
        <v>235</v>
      </c>
    </row>
    <row r="762" spans="4:11">
      <c r="D762" s="158">
        <v>161090</v>
      </c>
      <c r="E762" s="158">
        <v>11220</v>
      </c>
      <c r="F762" s="158">
        <v>1014</v>
      </c>
      <c r="H762" s="158">
        <v>1.25</v>
      </c>
      <c r="I762" s="158">
        <v>0</v>
      </c>
      <c r="J762" s="158">
        <v>1.25</v>
      </c>
      <c r="K762" s="158" t="s">
        <v>235</v>
      </c>
    </row>
    <row r="763" spans="4:11">
      <c r="D763" s="158">
        <v>161091</v>
      </c>
      <c r="E763" s="158">
        <v>11220</v>
      </c>
      <c r="F763" s="158">
        <v>2062</v>
      </c>
      <c r="H763" s="158">
        <v>1.1000000000000001</v>
      </c>
      <c r="I763" s="158">
        <v>0</v>
      </c>
      <c r="J763" s="158">
        <v>1.6</v>
      </c>
      <c r="K763" s="158" t="s">
        <v>235</v>
      </c>
    </row>
    <row r="764" spans="4:11">
      <c r="D764" s="158">
        <v>161092</v>
      </c>
      <c r="E764" s="158">
        <v>11220</v>
      </c>
      <c r="F764" s="158">
        <v>1738</v>
      </c>
      <c r="H764" s="158">
        <v>0</v>
      </c>
      <c r="I764" s="158">
        <v>0</v>
      </c>
      <c r="J764" s="158">
        <v>0</v>
      </c>
      <c r="K764" s="158" t="s">
        <v>235</v>
      </c>
    </row>
    <row r="765" spans="4:11">
      <c r="D765" s="158">
        <v>161094</v>
      </c>
      <c r="E765" s="158">
        <v>11220</v>
      </c>
      <c r="F765" s="158">
        <v>1821</v>
      </c>
      <c r="H765" s="158">
        <v>0</v>
      </c>
      <c r="I765" s="158">
        <v>0</v>
      </c>
      <c r="J765" s="158">
        <v>0</v>
      </c>
      <c r="K765" s="158" t="s">
        <v>235</v>
      </c>
    </row>
    <row r="766" spans="4:11">
      <c r="D766" s="158">
        <v>161095</v>
      </c>
      <c r="E766" s="158">
        <v>11220</v>
      </c>
      <c r="F766" s="158">
        <v>197</v>
      </c>
      <c r="H766" s="158">
        <v>0</v>
      </c>
      <c r="I766" s="158">
        <v>0</v>
      </c>
      <c r="J766" s="158">
        <v>0</v>
      </c>
      <c r="K766" s="158" t="s">
        <v>235</v>
      </c>
    </row>
    <row r="767" spans="4:11">
      <c r="D767" s="158">
        <v>161096</v>
      </c>
      <c r="E767" s="158">
        <v>11220</v>
      </c>
      <c r="F767" s="158">
        <v>938</v>
      </c>
      <c r="H767" s="158">
        <v>0</v>
      </c>
      <c r="I767" s="158">
        <v>0</v>
      </c>
      <c r="J767" s="158">
        <v>0</v>
      </c>
      <c r="K767" s="158" t="s">
        <v>235</v>
      </c>
    </row>
    <row r="768" spans="4:11">
      <c r="D768" s="158">
        <v>161097</v>
      </c>
      <c r="E768" s="158">
        <v>11220</v>
      </c>
      <c r="F768" s="158">
        <v>828</v>
      </c>
      <c r="H768" s="158">
        <v>0</v>
      </c>
      <c r="I768" s="158">
        <v>0</v>
      </c>
      <c r="J768" s="158">
        <v>0</v>
      </c>
      <c r="K768" s="158" t="s">
        <v>235</v>
      </c>
    </row>
    <row r="769" spans="4:11">
      <c r="D769" s="158">
        <v>161098</v>
      </c>
      <c r="E769" s="158">
        <v>11220</v>
      </c>
      <c r="F769" s="158">
        <v>2030</v>
      </c>
      <c r="H769" s="158">
        <v>0</v>
      </c>
      <c r="I769" s="158">
        <v>0</v>
      </c>
      <c r="J769" s="158">
        <v>0</v>
      </c>
      <c r="K769" s="158" t="s">
        <v>235</v>
      </c>
    </row>
    <row r="770" spans="4:11">
      <c r="D770" s="158">
        <v>161099</v>
      </c>
      <c r="E770" s="158">
        <v>11220</v>
      </c>
      <c r="F770" s="158">
        <v>222</v>
      </c>
      <c r="H770" s="158">
        <v>0</v>
      </c>
      <c r="I770" s="158">
        <v>0</v>
      </c>
      <c r="J770" s="158">
        <v>0</v>
      </c>
      <c r="K770" s="158" t="s">
        <v>235</v>
      </c>
    </row>
    <row r="771" spans="4:11">
      <c r="D771" s="158">
        <v>161100</v>
      </c>
      <c r="E771" s="158">
        <v>11221</v>
      </c>
      <c r="F771" s="158">
        <v>222</v>
      </c>
      <c r="H771" s="158">
        <v>0</v>
      </c>
      <c r="I771" s="158">
        <v>0</v>
      </c>
      <c r="J771" s="158">
        <v>0</v>
      </c>
      <c r="K771" s="158" t="s">
        <v>235</v>
      </c>
    </row>
    <row r="772" spans="4:11">
      <c r="D772" s="158">
        <v>161101</v>
      </c>
      <c r="E772" s="158">
        <v>11221</v>
      </c>
      <c r="F772" s="158">
        <v>2030</v>
      </c>
      <c r="H772" s="158">
        <v>2.1</v>
      </c>
      <c r="I772" s="158">
        <v>0</v>
      </c>
      <c r="J772" s="158">
        <v>2.1</v>
      </c>
      <c r="K772" s="158" t="s">
        <v>235</v>
      </c>
    </row>
    <row r="773" spans="4:11">
      <c r="D773" s="158">
        <v>161102</v>
      </c>
      <c r="E773" s="158">
        <v>11221</v>
      </c>
      <c r="F773" s="158">
        <v>1014</v>
      </c>
      <c r="H773" s="158">
        <v>0</v>
      </c>
      <c r="I773" s="158">
        <v>0</v>
      </c>
      <c r="J773" s="158">
        <v>0</v>
      </c>
      <c r="K773" s="158" t="s">
        <v>235</v>
      </c>
    </row>
    <row r="774" spans="4:11">
      <c r="D774" s="158">
        <v>161103</v>
      </c>
      <c r="E774" s="158">
        <v>11221</v>
      </c>
      <c r="F774" s="158">
        <v>2062</v>
      </c>
      <c r="H774" s="158">
        <v>0.9</v>
      </c>
      <c r="I774" s="158">
        <v>0</v>
      </c>
      <c r="J774" s="158">
        <v>0.9</v>
      </c>
      <c r="K774" s="158" t="s">
        <v>235</v>
      </c>
    </row>
    <row r="775" spans="4:11">
      <c r="D775" s="158">
        <v>161104</v>
      </c>
      <c r="E775" s="158">
        <v>11221</v>
      </c>
      <c r="F775" s="158">
        <v>1821</v>
      </c>
      <c r="H775" s="158">
        <v>0</v>
      </c>
      <c r="I775" s="158">
        <v>0</v>
      </c>
      <c r="J775" s="158">
        <v>0</v>
      </c>
      <c r="K775" s="158" t="s">
        <v>235</v>
      </c>
    </row>
    <row r="776" spans="4:11">
      <c r="D776" s="158">
        <v>161105</v>
      </c>
      <c r="E776" s="158">
        <v>11221</v>
      </c>
      <c r="F776" s="158">
        <v>197</v>
      </c>
      <c r="H776" s="158">
        <v>0</v>
      </c>
      <c r="I776" s="158">
        <v>0</v>
      </c>
      <c r="J776" s="158">
        <v>0.5</v>
      </c>
      <c r="K776" s="158" t="s">
        <v>235</v>
      </c>
    </row>
    <row r="777" spans="4:11">
      <c r="D777" s="158">
        <v>161106</v>
      </c>
      <c r="E777" s="158">
        <v>11221</v>
      </c>
      <c r="F777" s="158">
        <v>828</v>
      </c>
      <c r="H777" s="158">
        <v>0</v>
      </c>
      <c r="I777" s="158">
        <v>0</v>
      </c>
      <c r="J777" s="158">
        <v>0</v>
      </c>
      <c r="K777" s="158" t="s">
        <v>235</v>
      </c>
    </row>
    <row r="778" spans="4:11">
      <c r="D778" s="158">
        <v>161107</v>
      </c>
      <c r="E778" s="158">
        <v>11221</v>
      </c>
      <c r="F778" s="158">
        <v>1738</v>
      </c>
      <c r="H778" s="158">
        <v>0</v>
      </c>
      <c r="I778" s="158">
        <v>0</v>
      </c>
      <c r="J778" s="158">
        <v>0</v>
      </c>
      <c r="K778" s="158" t="s">
        <v>235</v>
      </c>
    </row>
    <row r="779" spans="4:11">
      <c r="D779" s="158">
        <v>161108</v>
      </c>
      <c r="E779" s="158">
        <v>11221</v>
      </c>
      <c r="F779" s="158">
        <v>938</v>
      </c>
      <c r="H779" s="158">
        <v>0</v>
      </c>
      <c r="I779" s="158">
        <v>0</v>
      </c>
      <c r="J779" s="158">
        <v>0</v>
      </c>
      <c r="K779" s="158" t="s">
        <v>235</v>
      </c>
    </row>
    <row r="780" spans="4:11">
      <c r="D780" s="158">
        <v>161114</v>
      </c>
      <c r="E780" s="158">
        <v>11221</v>
      </c>
      <c r="F780" s="158">
        <v>1505</v>
      </c>
      <c r="H780" s="158">
        <v>0</v>
      </c>
      <c r="I780" s="158">
        <v>0</v>
      </c>
      <c r="J780" s="158">
        <v>0</v>
      </c>
      <c r="K780" s="158" t="s">
        <v>235</v>
      </c>
    </row>
    <row r="781" spans="4:11">
      <c r="D781" s="158">
        <v>161117</v>
      </c>
      <c r="E781" s="158">
        <v>10100</v>
      </c>
      <c r="F781" s="158">
        <v>229</v>
      </c>
      <c r="G781" s="158">
        <v>0</v>
      </c>
      <c r="H781" s="158">
        <v>6.4</v>
      </c>
      <c r="I781" s="158">
        <v>0</v>
      </c>
      <c r="J781" s="158">
        <v>6.4</v>
      </c>
      <c r="K781" s="158" t="s">
        <v>237</v>
      </c>
    </row>
    <row r="782" spans="4:11">
      <c r="D782" s="158">
        <v>161118</v>
      </c>
      <c r="E782" s="158">
        <v>10100</v>
      </c>
      <c r="F782" s="158">
        <v>180</v>
      </c>
      <c r="H782" s="158">
        <v>0.31</v>
      </c>
      <c r="I782" s="158">
        <v>0</v>
      </c>
      <c r="J782" s="158">
        <v>0.31</v>
      </c>
      <c r="K782" s="158" t="s">
        <v>237</v>
      </c>
    </row>
    <row r="783" spans="4:11">
      <c r="D783" s="158">
        <v>161381</v>
      </c>
      <c r="E783" s="158">
        <v>11705</v>
      </c>
      <c r="F783" s="158">
        <v>1084</v>
      </c>
      <c r="G783" s="158">
        <v>2.5</v>
      </c>
      <c r="H783" s="158">
        <v>0</v>
      </c>
      <c r="I783" s="158">
        <v>0</v>
      </c>
      <c r="J783" s="158">
        <v>0</v>
      </c>
      <c r="K783" s="158" t="s">
        <v>235</v>
      </c>
    </row>
    <row r="784" spans="4:11">
      <c r="D784" s="158">
        <v>161382</v>
      </c>
      <c r="E784" s="158">
        <v>11705</v>
      </c>
      <c r="F784" s="158">
        <v>1084</v>
      </c>
      <c r="G784" s="158">
        <v>1</v>
      </c>
      <c r="H784" s="158">
        <v>0</v>
      </c>
      <c r="I784" s="158">
        <v>0</v>
      </c>
      <c r="J784" s="158">
        <v>0</v>
      </c>
      <c r="K784" s="158" t="s">
        <v>235</v>
      </c>
    </row>
    <row r="785" spans="4:11">
      <c r="D785" s="158">
        <v>161490</v>
      </c>
      <c r="E785" s="158">
        <v>10639</v>
      </c>
      <c r="F785" s="158">
        <v>2028</v>
      </c>
      <c r="G785" s="158">
        <v>0</v>
      </c>
      <c r="H785" s="158">
        <v>105.85</v>
      </c>
      <c r="I785" s="158">
        <v>0</v>
      </c>
      <c r="J785" s="158">
        <v>105.85</v>
      </c>
      <c r="K785" s="158" t="s">
        <v>235</v>
      </c>
    </row>
    <row r="786" spans="4:11">
      <c r="D786" s="158">
        <v>161667</v>
      </c>
      <c r="E786" s="158">
        <v>11709</v>
      </c>
      <c r="F786" s="158">
        <v>2184</v>
      </c>
      <c r="G786" s="158">
        <v>1.5</v>
      </c>
      <c r="H786" s="158">
        <v>2.5</v>
      </c>
      <c r="I786" s="158">
        <v>0</v>
      </c>
      <c r="J786" s="158">
        <v>2.5</v>
      </c>
      <c r="K786" s="158" t="s">
        <v>235</v>
      </c>
    </row>
    <row r="787" spans="4:11">
      <c r="D787" s="158">
        <v>161668</v>
      </c>
      <c r="E787" s="158">
        <v>11705</v>
      </c>
      <c r="F787" s="158">
        <v>2184</v>
      </c>
      <c r="G787" s="158">
        <v>1</v>
      </c>
      <c r="H787" s="158">
        <v>2</v>
      </c>
      <c r="I787" s="158">
        <v>0</v>
      </c>
      <c r="J787" s="158">
        <v>2</v>
      </c>
      <c r="K787" s="158" t="s">
        <v>235</v>
      </c>
    </row>
    <row r="788" spans="4:11">
      <c r="D788" s="158">
        <v>161669</v>
      </c>
      <c r="E788" s="158">
        <v>11705</v>
      </c>
      <c r="F788" s="158">
        <v>2142</v>
      </c>
      <c r="H788" s="158">
        <v>0.75</v>
      </c>
      <c r="I788" s="158">
        <v>0</v>
      </c>
      <c r="J788" s="158">
        <v>0.75</v>
      </c>
      <c r="K788" s="158" t="s">
        <v>235</v>
      </c>
    </row>
    <row r="789" spans="4:11">
      <c r="D789" s="158">
        <v>161670</v>
      </c>
      <c r="E789" s="158">
        <v>11705</v>
      </c>
      <c r="F789" s="158">
        <v>2184</v>
      </c>
      <c r="H789" s="158">
        <v>3</v>
      </c>
      <c r="I789" s="158">
        <v>0</v>
      </c>
      <c r="J789" s="158">
        <v>3</v>
      </c>
      <c r="K789" s="158" t="s">
        <v>235</v>
      </c>
    </row>
    <row r="790" spans="4:11">
      <c r="D790" s="158">
        <v>161671</v>
      </c>
      <c r="E790" s="158">
        <v>11950</v>
      </c>
      <c r="F790" s="158">
        <v>2188</v>
      </c>
      <c r="H790" s="158">
        <v>0</v>
      </c>
      <c r="I790" s="158">
        <v>0</v>
      </c>
      <c r="J790" s="158">
        <v>0</v>
      </c>
      <c r="K790" s="158" t="s">
        <v>235</v>
      </c>
    </row>
    <row r="791" spans="4:11">
      <c r="D791" s="158">
        <v>161672</v>
      </c>
      <c r="E791" s="158">
        <v>11950</v>
      </c>
      <c r="F791" s="158">
        <v>2188</v>
      </c>
      <c r="H791" s="158">
        <v>0</v>
      </c>
      <c r="I791" s="158">
        <v>0</v>
      </c>
      <c r="J791" s="158">
        <v>0</v>
      </c>
      <c r="K791" s="158" t="s">
        <v>235</v>
      </c>
    </row>
    <row r="792" spans="4:11">
      <c r="D792" s="158">
        <v>161673</v>
      </c>
      <c r="E792" s="158">
        <v>11950</v>
      </c>
      <c r="F792" s="158">
        <v>2188</v>
      </c>
      <c r="H792" s="158">
        <v>0</v>
      </c>
      <c r="I792" s="158">
        <v>0</v>
      </c>
      <c r="J792" s="158">
        <v>0</v>
      </c>
      <c r="K792" s="158" t="s">
        <v>235</v>
      </c>
    </row>
    <row r="793" spans="4:11">
      <c r="D793" s="158">
        <v>161675</v>
      </c>
      <c r="E793" s="158">
        <v>11950</v>
      </c>
      <c r="F793" s="158">
        <v>2188</v>
      </c>
      <c r="H793" s="158">
        <v>0.25</v>
      </c>
      <c r="I793" s="158">
        <v>0</v>
      </c>
      <c r="J793" s="158">
        <v>0.25</v>
      </c>
      <c r="K793" s="158" t="s">
        <v>235</v>
      </c>
    </row>
    <row r="794" spans="4:11">
      <c r="D794" s="158">
        <v>161676</v>
      </c>
      <c r="E794" s="158">
        <v>11704</v>
      </c>
      <c r="F794" s="158">
        <v>2075</v>
      </c>
      <c r="H794" s="158">
        <v>3.1</v>
      </c>
      <c r="I794" s="158">
        <v>0</v>
      </c>
      <c r="J794" s="158">
        <v>3.1</v>
      </c>
      <c r="K794" s="158" t="s">
        <v>235</v>
      </c>
    </row>
    <row r="795" spans="4:11">
      <c r="D795" s="158">
        <v>161685</v>
      </c>
      <c r="E795" s="158">
        <v>10816</v>
      </c>
      <c r="F795" s="158">
        <v>2122</v>
      </c>
      <c r="G795" s="158">
        <v>8.3000000000000007</v>
      </c>
      <c r="H795" s="158">
        <v>4</v>
      </c>
      <c r="I795" s="158">
        <v>0</v>
      </c>
      <c r="J795" s="158">
        <v>4</v>
      </c>
      <c r="K795" s="158" t="s">
        <v>235</v>
      </c>
    </row>
    <row r="796" spans="4:11">
      <c r="D796" s="158">
        <v>161689</v>
      </c>
      <c r="E796" s="158">
        <v>10020</v>
      </c>
      <c r="F796" s="158">
        <v>402</v>
      </c>
      <c r="G796" s="158">
        <v>0</v>
      </c>
      <c r="H796" s="158">
        <v>7.8</v>
      </c>
      <c r="I796" s="158">
        <v>0</v>
      </c>
      <c r="J796" s="158">
        <v>7.8</v>
      </c>
      <c r="K796" s="158" t="s">
        <v>238</v>
      </c>
    </row>
    <row r="797" spans="4:11">
      <c r="D797" s="158">
        <v>161691</v>
      </c>
      <c r="E797" s="158">
        <v>10020</v>
      </c>
      <c r="F797" s="158">
        <v>229</v>
      </c>
      <c r="G797" s="158">
        <v>0</v>
      </c>
      <c r="H797" s="158">
        <v>0.4</v>
      </c>
      <c r="I797" s="158">
        <v>0</v>
      </c>
      <c r="J797" s="158">
        <v>0.4</v>
      </c>
      <c r="K797" s="158" t="s">
        <v>238</v>
      </c>
    </row>
    <row r="798" spans="4:11">
      <c r="D798" s="158">
        <v>161692</v>
      </c>
      <c r="E798" s="158">
        <v>10020</v>
      </c>
      <c r="F798" s="158">
        <v>1667</v>
      </c>
      <c r="G798" s="158">
        <v>0</v>
      </c>
      <c r="H798" s="158">
        <v>0.4</v>
      </c>
      <c r="I798" s="158">
        <v>0</v>
      </c>
      <c r="J798" s="158">
        <v>0.4</v>
      </c>
      <c r="K798" s="158" t="s">
        <v>238</v>
      </c>
    </row>
    <row r="799" spans="4:11">
      <c r="D799" s="158">
        <v>161694</v>
      </c>
      <c r="E799" s="158">
        <v>10020</v>
      </c>
      <c r="F799" s="158">
        <v>402</v>
      </c>
      <c r="G799" s="158">
        <v>0</v>
      </c>
      <c r="H799" s="158">
        <v>0.5</v>
      </c>
      <c r="I799" s="158">
        <v>0</v>
      </c>
      <c r="J799" s="158">
        <v>0.5</v>
      </c>
      <c r="K799" s="158" t="s">
        <v>238</v>
      </c>
    </row>
    <row r="800" spans="4:11">
      <c r="D800" s="158">
        <v>161695</v>
      </c>
      <c r="E800" s="158">
        <v>10020</v>
      </c>
      <c r="F800" s="158">
        <v>1667</v>
      </c>
      <c r="H800" s="158">
        <v>6.15</v>
      </c>
      <c r="I800" s="158">
        <v>0</v>
      </c>
      <c r="J800" s="158">
        <v>6.15</v>
      </c>
      <c r="K800" s="158" t="s">
        <v>238</v>
      </c>
    </row>
    <row r="801" spans="4:11">
      <c r="D801" s="158">
        <v>161696</v>
      </c>
      <c r="E801" s="158">
        <v>10020</v>
      </c>
      <c r="F801" s="158">
        <v>229</v>
      </c>
      <c r="H801" s="158">
        <v>0.4</v>
      </c>
      <c r="I801" s="158">
        <v>0</v>
      </c>
      <c r="J801" s="158">
        <v>0.4</v>
      </c>
      <c r="K801" s="158" t="s">
        <v>238</v>
      </c>
    </row>
    <row r="802" spans="4:11">
      <c r="D802" s="158">
        <v>161697</v>
      </c>
      <c r="E802" s="158">
        <v>10020</v>
      </c>
      <c r="F802" s="158">
        <v>1667</v>
      </c>
      <c r="G802" s="158">
        <v>0</v>
      </c>
      <c r="H802" s="158">
        <v>0.2</v>
      </c>
      <c r="I802" s="158">
        <v>0</v>
      </c>
      <c r="J802" s="158">
        <v>0.2</v>
      </c>
      <c r="K802" s="158" t="s">
        <v>238</v>
      </c>
    </row>
    <row r="803" spans="4:11">
      <c r="D803" s="158">
        <v>161722</v>
      </c>
      <c r="E803" s="158">
        <v>10692</v>
      </c>
      <c r="F803" s="158">
        <v>2123</v>
      </c>
      <c r="G803" s="158">
        <v>1</v>
      </c>
      <c r="H803" s="158">
        <v>1</v>
      </c>
      <c r="I803" s="158">
        <v>0</v>
      </c>
      <c r="J803" s="158">
        <v>1</v>
      </c>
      <c r="K803" s="158" t="s">
        <v>235</v>
      </c>
    </row>
    <row r="804" spans="4:11">
      <c r="D804" s="158">
        <v>161723</v>
      </c>
      <c r="E804" s="158">
        <v>10692</v>
      </c>
      <c r="F804" s="158">
        <v>2123</v>
      </c>
      <c r="G804" s="158">
        <v>5</v>
      </c>
      <c r="H804" s="158">
        <v>5.5</v>
      </c>
      <c r="I804" s="158">
        <v>0</v>
      </c>
      <c r="J804" s="158">
        <v>5.5</v>
      </c>
      <c r="K804" s="158" t="s">
        <v>235</v>
      </c>
    </row>
    <row r="805" spans="4:11">
      <c r="D805" s="158">
        <v>161724</v>
      </c>
      <c r="E805" s="158">
        <v>10692</v>
      </c>
      <c r="F805" s="158">
        <v>2123</v>
      </c>
      <c r="G805" s="158">
        <v>6.2</v>
      </c>
      <c r="H805" s="158">
        <v>2</v>
      </c>
      <c r="I805" s="158">
        <v>0</v>
      </c>
      <c r="J805" s="158">
        <v>2</v>
      </c>
      <c r="K805" s="158" t="s">
        <v>235</v>
      </c>
    </row>
    <row r="806" spans="4:11">
      <c r="D806" s="158">
        <v>161725</v>
      </c>
      <c r="E806" s="158">
        <v>10816</v>
      </c>
      <c r="F806" s="158">
        <v>2122</v>
      </c>
      <c r="G806" s="158">
        <v>0</v>
      </c>
      <c r="H806" s="158">
        <v>5</v>
      </c>
      <c r="I806" s="158">
        <v>0</v>
      </c>
      <c r="J806" s="158">
        <v>5</v>
      </c>
      <c r="K806" s="158" t="s">
        <v>235</v>
      </c>
    </row>
    <row r="807" spans="4:11">
      <c r="D807" s="158">
        <v>161735</v>
      </c>
      <c r="E807" s="158">
        <v>10692</v>
      </c>
      <c r="F807" s="158">
        <v>2123</v>
      </c>
      <c r="G807" s="158">
        <v>4.0999999999999996</v>
      </c>
      <c r="H807" s="158">
        <v>1.25</v>
      </c>
      <c r="I807" s="158">
        <v>0</v>
      </c>
      <c r="J807" s="158">
        <v>1.25</v>
      </c>
      <c r="K807" s="158" t="s">
        <v>235</v>
      </c>
    </row>
    <row r="808" spans="4:11">
      <c r="D808" s="158">
        <v>161736</v>
      </c>
      <c r="E808" s="158">
        <v>10692</v>
      </c>
      <c r="F808" s="158">
        <v>2142</v>
      </c>
      <c r="H808" s="158">
        <v>1.25</v>
      </c>
      <c r="I808" s="158">
        <v>0</v>
      </c>
      <c r="J808" s="158">
        <v>1.25</v>
      </c>
      <c r="K808" s="158" t="s">
        <v>235</v>
      </c>
    </row>
    <row r="809" spans="4:11">
      <c r="D809" s="158">
        <v>161737</v>
      </c>
      <c r="E809" s="158">
        <v>10692</v>
      </c>
      <c r="F809" s="158">
        <v>2142</v>
      </c>
      <c r="H809" s="158">
        <v>0</v>
      </c>
      <c r="I809" s="158">
        <v>0</v>
      </c>
      <c r="J809" s="158">
        <v>0</v>
      </c>
      <c r="K809" s="158" t="s">
        <v>235</v>
      </c>
    </row>
    <row r="810" spans="4:11">
      <c r="D810" s="158">
        <v>161738</v>
      </c>
      <c r="E810" s="158">
        <v>10692</v>
      </c>
      <c r="F810" s="158">
        <v>2142</v>
      </c>
      <c r="H810" s="158">
        <v>0</v>
      </c>
      <c r="I810" s="158">
        <v>0</v>
      </c>
      <c r="J810" s="158">
        <v>0</v>
      </c>
      <c r="K810" s="158" t="s">
        <v>235</v>
      </c>
    </row>
    <row r="811" spans="4:11">
      <c r="D811" s="158">
        <v>161739</v>
      </c>
      <c r="E811" s="158">
        <v>10692</v>
      </c>
      <c r="F811" s="158">
        <v>2142</v>
      </c>
      <c r="H811" s="158">
        <v>2.75</v>
      </c>
      <c r="I811" s="158">
        <v>0</v>
      </c>
      <c r="J811" s="158">
        <v>2.75</v>
      </c>
      <c r="K811" s="158" t="s">
        <v>235</v>
      </c>
    </row>
    <row r="812" spans="4:11">
      <c r="D812" s="158">
        <v>161743</v>
      </c>
      <c r="E812" s="158">
        <v>11711</v>
      </c>
      <c r="F812" s="158">
        <v>2122</v>
      </c>
      <c r="G812" s="158">
        <v>2.5</v>
      </c>
      <c r="H812" s="158">
        <v>4.25</v>
      </c>
      <c r="I812" s="158">
        <v>0</v>
      </c>
      <c r="J812" s="158">
        <v>4.25</v>
      </c>
      <c r="K812" s="158" t="s">
        <v>235</v>
      </c>
    </row>
    <row r="813" spans="4:11">
      <c r="D813" s="158">
        <v>161803</v>
      </c>
      <c r="E813" s="158">
        <v>11244</v>
      </c>
      <c r="F813" s="158">
        <v>1890</v>
      </c>
      <c r="G813" s="158">
        <v>0</v>
      </c>
      <c r="H813" s="158">
        <v>88</v>
      </c>
      <c r="I813" s="158">
        <v>0</v>
      </c>
      <c r="J813" s="158">
        <v>88</v>
      </c>
      <c r="K813" s="158" t="s">
        <v>238</v>
      </c>
    </row>
    <row r="814" spans="4:11">
      <c r="D814" s="158">
        <v>161866</v>
      </c>
      <c r="E814" s="158">
        <v>11213</v>
      </c>
      <c r="F814" s="158">
        <v>1738</v>
      </c>
      <c r="H814" s="158">
        <v>1.55</v>
      </c>
      <c r="I814" s="158">
        <v>0</v>
      </c>
      <c r="J814" s="158">
        <v>1.55</v>
      </c>
      <c r="K814" s="158" t="s">
        <v>235</v>
      </c>
    </row>
    <row r="815" spans="4:11">
      <c r="D815" s="158">
        <v>162137</v>
      </c>
      <c r="E815" s="158">
        <v>10719</v>
      </c>
      <c r="F815" s="158">
        <v>527</v>
      </c>
      <c r="G815" s="158">
        <v>56.3</v>
      </c>
      <c r="H815" s="158">
        <v>56</v>
      </c>
      <c r="I815" s="158">
        <v>0</v>
      </c>
      <c r="J815" s="158">
        <v>56</v>
      </c>
      <c r="K815" s="158" t="s">
        <v>235</v>
      </c>
    </row>
    <row r="816" spans="4:11">
      <c r="D816" s="158">
        <v>162138</v>
      </c>
      <c r="E816" s="158">
        <v>10719</v>
      </c>
      <c r="F816" s="158">
        <v>306</v>
      </c>
      <c r="G816" s="158">
        <v>6</v>
      </c>
      <c r="H816" s="158">
        <v>7.5</v>
      </c>
      <c r="I816" s="158">
        <v>0</v>
      </c>
      <c r="J816" s="158">
        <v>7.5</v>
      </c>
      <c r="K816" s="158" t="s">
        <v>235</v>
      </c>
    </row>
    <row r="817" spans="4:11">
      <c r="D817" s="158">
        <v>162139</v>
      </c>
      <c r="E817" s="158">
        <v>10719</v>
      </c>
      <c r="F817" s="158">
        <v>527</v>
      </c>
      <c r="G817" s="158">
        <v>54</v>
      </c>
      <c r="H817" s="158">
        <v>37</v>
      </c>
      <c r="I817" s="158">
        <v>0</v>
      </c>
      <c r="J817" s="158">
        <v>37</v>
      </c>
      <c r="K817" s="158" t="s">
        <v>235</v>
      </c>
    </row>
    <row r="818" spans="4:11">
      <c r="D818" s="158">
        <v>162140</v>
      </c>
      <c r="E818" s="158">
        <v>10719</v>
      </c>
      <c r="F818" s="158">
        <v>306</v>
      </c>
      <c r="G818" s="158">
        <v>8.3000000000000007</v>
      </c>
      <c r="H818" s="158">
        <v>17</v>
      </c>
      <c r="I818" s="158">
        <v>0</v>
      </c>
      <c r="J818" s="158">
        <v>17</v>
      </c>
      <c r="K818" s="158" t="s">
        <v>235</v>
      </c>
    </row>
    <row r="819" spans="4:11">
      <c r="D819" s="158">
        <v>162141</v>
      </c>
      <c r="E819" s="158">
        <v>10719</v>
      </c>
      <c r="F819" s="158">
        <v>527</v>
      </c>
      <c r="G819" s="158">
        <v>52.3</v>
      </c>
      <c r="H819" s="158">
        <v>42.5</v>
      </c>
      <c r="I819" s="158">
        <v>15</v>
      </c>
      <c r="J819" s="158">
        <v>57.5</v>
      </c>
      <c r="K819" s="158" t="s">
        <v>235</v>
      </c>
    </row>
    <row r="820" spans="4:11">
      <c r="D820" s="158">
        <v>162142</v>
      </c>
      <c r="E820" s="158">
        <v>10719</v>
      </c>
      <c r="F820" s="158">
        <v>306</v>
      </c>
      <c r="G820" s="158">
        <v>10</v>
      </c>
      <c r="H820" s="158">
        <v>5.5</v>
      </c>
      <c r="I820" s="158">
        <v>3</v>
      </c>
      <c r="J820" s="158">
        <v>8.5</v>
      </c>
      <c r="K820" s="158" t="s">
        <v>235</v>
      </c>
    </row>
    <row r="821" spans="4:11">
      <c r="D821" s="158">
        <v>162154</v>
      </c>
      <c r="E821" s="158">
        <v>11706</v>
      </c>
      <c r="F821" s="158">
        <v>2184</v>
      </c>
      <c r="G821" s="158">
        <v>0</v>
      </c>
      <c r="H821" s="158">
        <v>2.5</v>
      </c>
      <c r="I821" s="158">
        <v>0</v>
      </c>
      <c r="J821" s="158">
        <v>2.5</v>
      </c>
      <c r="K821" s="158" t="s">
        <v>235</v>
      </c>
    </row>
    <row r="822" spans="4:11">
      <c r="D822" s="158">
        <v>162157</v>
      </c>
      <c r="E822" s="158">
        <v>10639</v>
      </c>
      <c r="F822" s="158">
        <v>2184</v>
      </c>
      <c r="H822" s="158">
        <v>2</v>
      </c>
      <c r="I822" s="158">
        <v>0</v>
      </c>
      <c r="J822" s="158">
        <v>2</v>
      </c>
      <c r="K822" s="158" t="s">
        <v>235</v>
      </c>
    </row>
    <row r="823" spans="4:11">
      <c r="D823" s="158">
        <v>162158</v>
      </c>
      <c r="E823" s="158">
        <v>10639</v>
      </c>
      <c r="F823" s="158">
        <v>2188</v>
      </c>
      <c r="H823" s="158">
        <v>2.75</v>
      </c>
      <c r="I823" s="158">
        <v>0</v>
      </c>
      <c r="J823" s="158">
        <v>2.75</v>
      </c>
      <c r="K823" s="158" t="s">
        <v>235</v>
      </c>
    </row>
    <row r="824" spans="4:11">
      <c r="D824" s="158">
        <v>162175</v>
      </c>
      <c r="E824" s="158">
        <v>11214</v>
      </c>
      <c r="F824" s="158">
        <v>1738</v>
      </c>
      <c r="G824" s="158">
        <v>0</v>
      </c>
      <c r="H824" s="158">
        <v>0.75</v>
      </c>
      <c r="I824" s="158">
        <v>0.6</v>
      </c>
      <c r="J824" s="158">
        <v>1.35</v>
      </c>
      <c r="K824" s="158" t="s">
        <v>235</v>
      </c>
    </row>
    <row r="825" spans="4:11">
      <c r="D825" s="158">
        <v>162196</v>
      </c>
      <c r="E825" s="158">
        <v>11044</v>
      </c>
      <c r="F825" s="158">
        <v>2188</v>
      </c>
      <c r="H825" s="158">
        <v>16</v>
      </c>
      <c r="I825" s="158">
        <v>0</v>
      </c>
      <c r="J825" s="158">
        <v>16</v>
      </c>
      <c r="K825" s="158" t="s">
        <v>235</v>
      </c>
    </row>
    <row r="826" spans="4:11">
      <c r="D826" s="158">
        <v>162200</v>
      </c>
      <c r="E826" s="158">
        <v>11948</v>
      </c>
      <c r="F826" s="158">
        <v>1738</v>
      </c>
      <c r="G826" s="158">
        <v>5.2</v>
      </c>
      <c r="H826" s="158">
        <v>2.2000000000000002</v>
      </c>
      <c r="I826" s="158">
        <v>0</v>
      </c>
      <c r="J826" s="158">
        <v>2.2000000000000002</v>
      </c>
      <c r="K826" s="158" t="s">
        <v>235</v>
      </c>
    </row>
    <row r="827" spans="4:11">
      <c r="D827" s="158">
        <v>162201</v>
      </c>
      <c r="E827" s="158">
        <v>11948</v>
      </c>
      <c r="F827" s="158">
        <v>1738</v>
      </c>
      <c r="G827" s="158">
        <v>0</v>
      </c>
      <c r="H827" s="158">
        <v>0</v>
      </c>
      <c r="I827" s="158">
        <v>0</v>
      </c>
      <c r="J827" s="158">
        <v>0</v>
      </c>
      <c r="K827" s="158" t="s">
        <v>235</v>
      </c>
    </row>
    <row r="828" spans="4:11">
      <c r="D828" s="158">
        <v>162202</v>
      </c>
      <c r="E828" s="158">
        <v>11948</v>
      </c>
      <c r="F828" s="158">
        <v>2030</v>
      </c>
      <c r="G828" s="158">
        <v>2.6</v>
      </c>
      <c r="H828" s="158">
        <v>0</v>
      </c>
      <c r="I828" s="158">
        <v>0</v>
      </c>
      <c r="J828" s="158">
        <v>0</v>
      </c>
      <c r="K828" s="158" t="s">
        <v>235</v>
      </c>
    </row>
    <row r="829" spans="4:11">
      <c r="D829" s="158">
        <v>162203</v>
      </c>
      <c r="E829" s="158">
        <v>10725</v>
      </c>
      <c r="F829" s="158">
        <v>1738</v>
      </c>
      <c r="G829" s="158">
        <v>0</v>
      </c>
      <c r="H829" s="158">
        <v>0</v>
      </c>
      <c r="I829" s="158">
        <v>0</v>
      </c>
      <c r="J829" s="158">
        <v>0</v>
      </c>
      <c r="K829" s="158" t="s">
        <v>235</v>
      </c>
    </row>
    <row r="830" spans="4:11">
      <c r="D830" s="158">
        <v>162204</v>
      </c>
      <c r="E830" s="158">
        <v>10725</v>
      </c>
      <c r="F830" s="158">
        <v>1738</v>
      </c>
      <c r="G830" s="158">
        <v>2.5</v>
      </c>
      <c r="H830" s="158">
        <v>0</v>
      </c>
      <c r="I830" s="158">
        <v>0</v>
      </c>
      <c r="J830" s="158">
        <v>0</v>
      </c>
      <c r="K830" s="158" t="s">
        <v>235</v>
      </c>
    </row>
    <row r="831" spans="4:11">
      <c r="D831" s="158">
        <v>162208</v>
      </c>
      <c r="E831" s="158">
        <v>11948</v>
      </c>
      <c r="F831" s="158">
        <v>1738</v>
      </c>
      <c r="G831" s="158">
        <v>4.7</v>
      </c>
      <c r="H831" s="158">
        <v>0.25</v>
      </c>
      <c r="I831" s="158">
        <v>0</v>
      </c>
      <c r="J831" s="158">
        <v>0.25</v>
      </c>
      <c r="K831" s="158" t="s">
        <v>235</v>
      </c>
    </row>
    <row r="832" spans="4:11">
      <c r="D832" s="158">
        <v>162209</v>
      </c>
      <c r="E832" s="158">
        <v>11948</v>
      </c>
      <c r="F832" s="158">
        <v>1738</v>
      </c>
      <c r="G832" s="158">
        <v>0</v>
      </c>
      <c r="H832" s="158">
        <v>0</v>
      </c>
      <c r="I832" s="158">
        <v>0</v>
      </c>
      <c r="J832" s="158">
        <v>0</v>
      </c>
      <c r="K832" s="158" t="s">
        <v>235</v>
      </c>
    </row>
    <row r="833" spans="4:11">
      <c r="D833" s="158">
        <v>162210</v>
      </c>
      <c r="E833" s="158">
        <v>11948</v>
      </c>
      <c r="F833" s="158">
        <v>1738</v>
      </c>
      <c r="G833" s="158">
        <v>0</v>
      </c>
      <c r="H833" s="158">
        <v>0</v>
      </c>
      <c r="I833" s="158">
        <v>0</v>
      </c>
      <c r="J833" s="158">
        <v>0</v>
      </c>
      <c r="K833" s="158" t="s">
        <v>235</v>
      </c>
    </row>
    <row r="834" spans="4:11">
      <c r="D834" s="158">
        <v>162220</v>
      </c>
      <c r="E834" s="158">
        <v>10720</v>
      </c>
      <c r="F834" s="158">
        <v>1738</v>
      </c>
      <c r="G834" s="158">
        <v>19.05</v>
      </c>
      <c r="H834" s="158">
        <v>3.1</v>
      </c>
      <c r="I834" s="158">
        <v>0</v>
      </c>
      <c r="J834" s="158">
        <v>3.1</v>
      </c>
      <c r="K834" s="158" t="s">
        <v>235</v>
      </c>
    </row>
    <row r="835" spans="4:11">
      <c r="D835" s="158">
        <v>162223</v>
      </c>
      <c r="E835" s="158">
        <v>10720</v>
      </c>
      <c r="F835" s="158">
        <v>1738</v>
      </c>
      <c r="G835" s="158">
        <v>0</v>
      </c>
      <c r="H835" s="158">
        <v>1</v>
      </c>
      <c r="I835" s="158">
        <v>0</v>
      </c>
      <c r="J835" s="158">
        <v>1</v>
      </c>
      <c r="K835" s="158" t="s">
        <v>235</v>
      </c>
    </row>
    <row r="836" spans="4:11">
      <c r="D836" s="158">
        <v>162224</v>
      </c>
      <c r="E836" s="158">
        <v>10720</v>
      </c>
      <c r="F836" s="158">
        <v>1738</v>
      </c>
      <c r="G836" s="158">
        <v>0</v>
      </c>
      <c r="H836" s="158">
        <v>0</v>
      </c>
      <c r="I836" s="158">
        <v>0</v>
      </c>
      <c r="J836" s="158">
        <v>0</v>
      </c>
      <c r="K836" s="158" t="s">
        <v>235</v>
      </c>
    </row>
    <row r="837" spans="4:11">
      <c r="D837" s="158">
        <v>162225</v>
      </c>
      <c r="E837" s="158">
        <v>10720</v>
      </c>
      <c r="F837" s="158">
        <v>1738</v>
      </c>
      <c r="G837" s="158">
        <v>19.05</v>
      </c>
      <c r="H837" s="158">
        <v>4.6500000000000004</v>
      </c>
      <c r="I837" s="158">
        <v>0</v>
      </c>
      <c r="J837" s="158">
        <v>4.6500000000000004</v>
      </c>
      <c r="K837" s="158" t="s">
        <v>235</v>
      </c>
    </row>
    <row r="838" spans="4:11">
      <c r="D838" s="158">
        <v>162226</v>
      </c>
      <c r="E838" s="158">
        <v>10720</v>
      </c>
      <c r="F838" s="158">
        <v>1738</v>
      </c>
      <c r="G838" s="158">
        <v>0</v>
      </c>
      <c r="H838" s="158">
        <v>1</v>
      </c>
      <c r="I838" s="158">
        <v>0</v>
      </c>
      <c r="J838" s="158">
        <v>1</v>
      </c>
      <c r="K838" s="158" t="s">
        <v>235</v>
      </c>
    </row>
    <row r="839" spans="4:11">
      <c r="D839" s="158">
        <v>162227</v>
      </c>
      <c r="E839" s="158">
        <v>10720</v>
      </c>
      <c r="F839" s="158">
        <v>1738</v>
      </c>
      <c r="G839" s="158">
        <v>0</v>
      </c>
      <c r="H839" s="158">
        <v>0.75</v>
      </c>
      <c r="I839" s="158">
        <v>0</v>
      </c>
      <c r="J839" s="158">
        <v>0.75</v>
      </c>
      <c r="K839" s="158" t="s">
        <v>235</v>
      </c>
    </row>
    <row r="840" spans="4:11">
      <c r="D840" s="158">
        <v>162228</v>
      </c>
      <c r="E840" s="158">
        <v>10720</v>
      </c>
      <c r="F840" s="158">
        <v>938</v>
      </c>
      <c r="G840" s="158">
        <v>5</v>
      </c>
      <c r="H840" s="158">
        <v>4.4000000000000004</v>
      </c>
      <c r="I840" s="158">
        <v>0</v>
      </c>
      <c r="J840" s="158">
        <v>4.4000000000000004</v>
      </c>
      <c r="K840" s="158" t="s">
        <v>235</v>
      </c>
    </row>
    <row r="841" spans="4:11">
      <c r="D841" s="158">
        <v>162229</v>
      </c>
      <c r="E841" s="158">
        <v>10720</v>
      </c>
      <c r="F841" s="158">
        <v>1738</v>
      </c>
      <c r="G841" s="158">
        <v>0</v>
      </c>
      <c r="H841" s="158">
        <v>2.1</v>
      </c>
      <c r="I841" s="158">
        <v>1</v>
      </c>
      <c r="J841" s="158">
        <v>3.1</v>
      </c>
      <c r="K841" s="158" t="s">
        <v>235</v>
      </c>
    </row>
    <row r="842" spans="4:11">
      <c r="D842" s="158">
        <v>162230</v>
      </c>
      <c r="E842" s="158">
        <v>11948</v>
      </c>
      <c r="F842" s="158">
        <v>828</v>
      </c>
      <c r="G842" s="158">
        <v>2.6</v>
      </c>
      <c r="H842" s="158">
        <v>2.25</v>
      </c>
      <c r="I842" s="158">
        <v>0</v>
      </c>
      <c r="J842" s="158">
        <v>2.25</v>
      </c>
      <c r="K842" s="158" t="s">
        <v>235</v>
      </c>
    </row>
    <row r="843" spans="4:11">
      <c r="D843" s="158">
        <v>162231</v>
      </c>
      <c r="E843" s="158">
        <v>11948</v>
      </c>
      <c r="F843" s="158">
        <v>828</v>
      </c>
      <c r="G843" s="158">
        <v>2.6</v>
      </c>
      <c r="H843" s="158">
        <v>2.25</v>
      </c>
      <c r="I843" s="158">
        <v>0</v>
      </c>
      <c r="J843" s="158">
        <v>2.25</v>
      </c>
      <c r="K843" s="158" t="s">
        <v>235</v>
      </c>
    </row>
    <row r="844" spans="4:11">
      <c r="D844" s="158">
        <v>162232</v>
      </c>
      <c r="E844" s="158">
        <v>11948</v>
      </c>
      <c r="F844" s="158">
        <v>828</v>
      </c>
      <c r="G844" s="158">
        <v>2.6</v>
      </c>
      <c r="H844" s="158">
        <v>0.25</v>
      </c>
      <c r="I844" s="158">
        <v>0</v>
      </c>
      <c r="J844" s="158">
        <v>0.25</v>
      </c>
      <c r="K844" s="158" t="s">
        <v>235</v>
      </c>
    </row>
    <row r="845" spans="4:11">
      <c r="D845" s="158">
        <v>162233</v>
      </c>
      <c r="E845" s="158">
        <v>11948</v>
      </c>
      <c r="F845" s="158">
        <v>828</v>
      </c>
      <c r="G845" s="158">
        <v>2.6</v>
      </c>
      <c r="H845" s="158">
        <v>0.25</v>
      </c>
      <c r="I845" s="158">
        <v>0</v>
      </c>
      <c r="J845" s="158">
        <v>0.25</v>
      </c>
      <c r="K845" s="158" t="s">
        <v>235</v>
      </c>
    </row>
    <row r="846" spans="4:11">
      <c r="D846" s="158">
        <v>162241</v>
      </c>
      <c r="E846" s="158">
        <v>11948</v>
      </c>
      <c r="F846" s="158">
        <v>1821</v>
      </c>
      <c r="G846" s="158">
        <v>2.6</v>
      </c>
      <c r="H846" s="158">
        <v>1.5</v>
      </c>
      <c r="I846" s="158">
        <v>0</v>
      </c>
      <c r="J846" s="158">
        <v>1.5</v>
      </c>
      <c r="K846" s="158" t="s">
        <v>235</v>
      </c>
    </row>
    <row r="847" spans="4:11">
      <c r="D847" s="158">
        <v>162242</v>
      </c>
      <c r="E847" s="158">
        <v>11948</v>
      </c>
      <c r="F847" s="158">
        <v>1821</v>
      </c>
      <c r="G847" s="158">
        <v>2.6</v>
      </c>
      <c r="H847" s="158">
        <v>0</v>
      </c>
      <c r="I847" s="158">
        <v>0.1</v>
      </c>
      <c r="J847" s="158">
        <v>0.1</v>
      </c>
      <c r="K847" s="158" t="s">
        <v>235</v>
      </c>
    </row>
    <row r="848" spans="4:11">
      <c r="D848" s="158">
        <v>162243</v>
      </c>
      <c r="E848" s="158">
        <v>11948</v>
      </c>
      <c r="F848" s="158">
        <v>1821</v>
      </c>
      <c r="G848" s="158">
        <v>2.6</v>
      </c>
      <c r="H848" s="158">
        <v>0.5</v>
      </c>
      <c r="I848" s="158">
        <v>0.5</v>
      </c>
      <c r="J848" s="158">
        <v>1</v>
      </c>
      <c r="K848" s="158" t="s">
        <v>235</v>
      </c>
    </row>
    <row r="849" spans="4:11">
      <c r="D849" s="158">
        <v>162244</v>
      </c>
      <c r="E849" s="158">
        <v>10733</v>
      </c>
      <c r="F849" s="158">
        <v>828</v>
      </c>
      <c r="G849" s="158">
        <v>6.4</v>
      </c>
      <c r="H849" s="158">
        <v>1.75</v>
      </c>
      <c r="I849" s="158">
        <v>0</v>
      </c>
      <c r="J849" s="158">
        <v>1.75</v>
      </c>
      <c r="K849" s="158" t="s">
        <v>235</v>
      </c>
    </row>
    <row r="850" spans="4:11">
      <c r="D850" s="158">
        <v>162245</v>
      </c>
      <c r="E850" s="158">
        <v>10733</v>
      </c>
      <c r="F850" s="158">
        <v>828</v>
      </c>
      <c r="G850" s="158">
        <v>0</v>
      </c>
      <c r="H850" s="158">
        <v>0</v>
      </c>
      <c r="I850" s="158">
        <v>0</v>
      </c>
      <c r="J850" s="158">
        <v>0</v>
      </c>
      <c r="K850" s="158" t="s">
        <v>235</v>
      </c>
    </row>
    <row r="851" spans="4:11">
      <c r="D851" s="158">
        <v>162246</v>
      </c>
      <c r="E851" s="158">
        <v>10732</v>
      </c>
      <c r="F851" s="158">
        <v>1821</v>
      </c>
      <c r="G851" s="158">
        <v>2.25</v>
      </c>
      <c r="H851" s="158">
        <v>0</v>
      </c>
      <c r="I851" s="158">
        <v>0</v>
      </c>
      <c r="J851" s="158">
        <v>0</v>
      </c>
      <c r="K851" s="158" t="s">
        <v>235</v>
      </c>
    </row>
    <row r="852" spans="4:11">
      <c r="D852" s="158">
        <v>162247</v>
      </c>
      <c r="E852" s="158">
        <v>10734</v>
      </c>
      <c r="F852" s="158">
        <v>1821</v>
      </c>
      <c r="G852" s="158">
        <v>2.25</v>
      </c>
      <c r="H852" s="158">
        <v>4</v>
      </c>
      <c r="I852" s="158">
        <v>0</v>
      </c>
      <c r="J852" s="158">
        <v>4</v>
      </c>
      <c r="K852" s="158" t="s">
        <v>235</v>
      </c>
    </row>
    <row r="853" spans="4:11">
      <c r="D853" s="158">
        <v>162248</v>
      </c>
      <c r="E853" s="158">
        <v>10735</v>
      </c>
      <c r="F853" s="158">
        <v>1821</v>
      </c>
      <c r="G853" s="158">
        <v>2.25</v>
      </c>
      <c r="H853" s="158">
        <v>0</v>
      </c>
      <c r="I853" s="158">
        <v>0</v>
      </c>
      <c r="J853" s="158">
        <v>0</v>
      </c>
      <c r="K853" s="158" t="s">
        <v>235</v>
      </c>
    </row>
    <row r="854" spans="4:11">
      <c r="D854" s="158">
        <v>162250</v>
      </c>
      <c r="E854" s="158">
        <v>10732</v>
      </c>
      <c r="F854" s="158">
        <v>828</v>
      </c>
      <c r="G854" s="158">
        <v>0</v>
      </c>
      <c r="H854" s="158">
        <v>0.25</v>
      </c>
      <c r="I854" s="158">
        <v>0</v>
      </c>
      <c r="J854" s="158">
        <v>0.25</v>
      </c>
      <c r="K854" s="158" t="s">
        <v>235</v>
      </c>
    </row>
    <row r="855" spans="4:11">
      <c r="D855" s="158">
        <v>162253</v>
      </c>
      <c r="E855" s="158">
        <v>10733</v>
      </c>
      <c r="F855" s="158">
        <v>828</v>
      </c>
      <c r="G855" s="158">
        <v>13.5</v>
      </c>
      <c r="H855" s="158">
        <v>7.25</v>
      </c>
      <c r="I855" s="158">
        <v>0</v>
      </c>
      <c r="J855" s="158">
        <v>7.25</v>
      </c>
      <c r="K855" s="158" t="s">
        <v>235</v>
      </c>
    </row>
    <row r="856" spans="4:11">
      <c r="D856" s="158">
        <v>162254</v>
      </c>
      <c r="E856" s="158">
        <v>10733</v>
      </c>
      <c r="F856" s="158">
        <v>828</v>
      </c>
      <c r="G856" s="158">
        <v>0</v>
      </c>
      <c r="H856" s="158">
        <v>0</v>
      </c>
      <c r="I856" s="158">
        <v>0</v>
      </c>
      <c r="J856" s="158">
        <v>0</v>
      </c>
      <c r="K856" s="158" t="s">
        <v>235</v>
      </c>
    </row>
    <row r="857" spans="4:11">
      <c r="D857" s="158">
        <v>162264</v>
      </c>
      <c r="E857" s="158">
        <v>11214</v>
      </c>
      <c r="F857" s="158">
        <v>828</v>
      </c>
      <c r="G857" s="158">
        <v>3.1</v>
      </c>
      <c r="H857" s="158">
        <v>0</v>
      </c>
      <c r="I857" s="158">
        <v>0</v>
      </c>
      <c r="J857" s="158">
        <v>0</v>
      </c>
      <c r="K857" s="158" t="s">
        <v>235</v>
      </c>
    </row>
    <row r="858" spans="4:11">
      <c r="D858" s="158">
        <v>162265</v>
      </c>
      <c r="E858" s="158">
        <v>11948</v>
      </c>
      <c r="F858" s="158">
        <v>197</v>
      </c>
      <c r="G858" s="158">
        <v>2.6</v>
      </c>
      <c r="H858" s="158">
        <v>1.25</v>
      </c>
      <c r="I858" s="158">
        <v>0.4</v>
      </c>
      <c r="J858" s="158">
        <v>1.65</v>
      </c>
      <c r="K858" s="158" t="s">
        <v>235</v>
      </c>
    </row>
    <row r="859" spans="4:11">
      <c r="D859" s="158">
        <v>162266</v>
      </c>
      <c r="E859" s="158">
        <v>11948</v>
      </c>
      <c r="F859" s="158">
        <v>197</v>
      </c>
      <c r="G859" s="158">
        <v>2.6</v>
      </c>
      <c r="H859" s="158">
        <v>1.25</v>
      </c>
      <c r="I859" s="158">
        <v>0</v>
      </c>
      <c r="J859" s="158">
        <v>1.25</v>
      </c>
      <c r="K859" s="158" t="s">
        <v>235</v>
      </c>
    </row>
    <row r="860" spans="4:11">
      <c r="D860" s="158">
        <v>162267</v>
      </c>
      <c r="E860" s="158">
        <v>11948</v>
      </c>
      <c r="F860" s="158">
        <v>197</v>
      </c>
      <c r="G860" s="158">
        <v>2.6</v>
      </c>
      <c r="H860" s="158">
        <v>1</v>
      </c>
      <c r="I860" s="158">
        <v>0</v>
      </c>
      <c r="J860" s="158">
        <v>1</v>
      </c>
      <c r="K860" s="158" t="s">
        <v>235</v>
      </c>
    </row>
    <row r="861" spans="4:11">
      <c r="D861" s="158">
        <v>162268</v>
      </c>
      <c r="E861" s="158">
        <v>11948</v>
      </c>
      <c r="F861" s="158">
        <v>1821</v>
      </c>
      <c r="G861" s="158">
        <v>2.6</v>
      </c>
      <c r="H861" s="158">
        <v>0</v>
      </c>
      <c r="I861" s="158">
        <v>0</v>
      </c>
      <c r="J861" s="158">
        <v>0</v>
      </c>
      <c r="K861" s="158" t="s">
        <v>235</v>
      </c>
    </row>
    <row r="862" spans="4:11">
      <c r="D862" s="158">
        <v>162269</v>
      </c>
      <c r="E862" s="158">
        <v>11948</v>
      </c>
      <c r="F862" s="158">
        <v>1821</v>
      </c>
      <c r="G862" s="158">
        <v>2.6</v>
      </c>
      <c r="H862" s="158">
        <v>0</v>
      </c>
      <c r="I862" s="158">
        <v>0</v>
      </c>
      <c r="J862" s="158">
        <v>0</v>
      </c>
      <c r="K862" s="158" t="s">
        <v>235</v>
      </c>
    </row>
    <row r="863" spans="4:11">
      <c r="D863" s="158">
        <v>162270</v>
      </c>
      <c r="E863" s="158">
        <v>11948</v>
      </c>
      <c r="F863" s="158">
        <v>1821</v>
      </c>
      <c r="G863" s="158">
        <v>2.6</v>
      </c>
      <c r="H863" s="158">
        <v>0</v>
      </c>
      <c r="I863" s="158">
        <v>0</v>
      </c>
      <c r="J863" s="158">
        <v>0</v>
      </c>
      <c r="K863" s="158" t="s">
        <v>235</v>
      </c>
    </row>
    <row r="864" spans="4:11">
      <c r="D864" s="158">
        <v>162271</v>
      </c>
      <c r="E864" s="158">
        <v>10708</v>
      </c>
      <c r="F864" s="158">
        <v>1821</v>
      </c>
      <c r="G864" s="158">
        <v>2.5</v>
      </c>
      <c r="H864" s="158">
        <v>1.5</v>
      </c>
      <c r="I864" s="158">
        <v>0</v>
      </c>
      <c r="J864" s="158">
        <v>1.5</v>
      </c>
      <c r="K864" s="158" t="s">
        <v>235</v>
      </c>
    </row>
    <row r="865" spans="4:11">
      <c r="D865" s="158">
        <v>162272</v>
      </c>
      <c r="E865" s="158">
        <v>10738</v>
      </c>
      <c r="F865" s="158">
        <v>197</v>
      </c>
      <c r="G865" s="158">
        <v>9.3000000000000007</v>
      </c>
      <c r="H865" s="158">
        <v>2.5</v>
      </c>
      <c r="I865" s="158">
        <v>2</v>
      </c>
      <c r="J865" s="158">
        <v>4.5</v>
      </c>
      <c r="K865" s="158" t="s">
        <v>235</v>
      </c>
    </row>
    <row r="866" spans="4:11">
      <c r="D866" s="158">
        <v>162273</v>
      </c>
      <c r="E866" s="158">
        <v>10738</v>
      </c>
      <c r="F866" s="158">
        <v>197</v>
      </c>
      <c r="G866" s="158">
        <v>9.3000000000000007</v>
      </c>
      <c r="H866" s="158">
        <v>8.75</v>
      </c>
      <c r="I866" s="158">
        <v>0</v>
      </c>
      <c r="J866" s="158">
        <v>8.75</v>
      </c>
      <c r="K866" s="158" t="s">
        <v>235</v>
      </c>
    </row>
    <row r="867" spans="4:11">
      <c r="D867" s="158">
        <v>162274</v>
      </c>
      <c r="E867" s="158">
        <v>10738</v>
      </c>
      <c r="F867" s="158">
        <v>197</v>
      </c>
      <c r="G867" s="158">
        <v>9.3000000000000007</v>
      </c>
      <c r="H867" s="158">
        <v>10</v>
      </c>
      <c r="I867" s="158">
        <v>0</v>
      </c>
      <c r="J867" s="158">
        <v>10</v>
      </c>
      <c r="K867" s="158" t="s">
        <v>235</v>
      </c>
    </row>
    <row r="868" spans="4:11">
      <c r="D868" s="158">
        <v>162275</v>
      </c>
      <c r="E868" s="158">
        <v>10738</v>
      </c>
      <c r="F868" s="158">
        <v>197</v>
      </c>
      <c r="G868" s="158">
        <v>6.15</v>
      </c>
      <c r="H868" s="158">
        <v>6.75</v>
      </c>
      <c r="I868" s="158">
        <v>2.25</v>
      </c>
      <c r="J868" s="158">
        <v>9</v>
      </c>
      <c r="K868" s="158" t="s">
        <v>235</v>
      </c>
    </row>
    <row r="869" spans="4:11">
      <c r="D869" s="158">
        <v>162276</v>
      </c>
      <c r="E869" s="158">
        <v>11948</v>
      </c>
      <c r="F869" s="158">
        <v>197</v>
      </c>
      <c r="G869" s="158">
        <v>2.6</v>
      </c>
      <c r="H869" s="158">
        <v>8.5</v>
      </c>
      <c r="I869" s="158">
        <v>0</v>
      </c>
      <c r="J869" s="158">
        <v>8.5</v>
      </c>
      <c r="K869" s="158" t="s">
        <v>235</v>
      </c>
    </row>
    <row r="870" spans="4:11">
      <c r="D870" s="158">
        <v>162277</v>
      </c>
      <c r="E870" s="158">
        <v>11948</v>
      </c>
      <c r="F870" s="158">
        <v>197</v>
      </c>
      <c r="G870" s="158">
        <v>2.6</v>
      </c>
      <c r="H870" s="158">
        <v>8</v>
      </c>
      <c r="I870" s="158">
        <v>0</v>
      </c>
      <c r="J870" s="158">
        <v>8</v>
      </c>
      <c r="K870" s="158" t="s">
        <v>235</v>
      </c>
    </row>
    <row r="871" spans="4:11">
      <c r="D871" s="158">
        <v>162278</v>
      </c>
      <c r="E871" s="158">
        <v>11948</v>
      </c>
      <c r="F871" s="158">
        <v>197</v>
      </c>
      <c r="G871" s="158">
        <v>2.6</v>
      </c>
      <c r="H871" s="158">
        <v>6</v>
      </c>
      <c r="I871" s="158">
        <v>2.8</v>
      </c>
      <c r="J871" s="158">
        <v>8.8000000000000007</v>
      </c>
      <c r="K871" s="158" t="s">
        <v>235</v>
      </c>
    </row>
    <row r="872" spans="4:11">
      <c r="D872" s="158">
        <v>162279</v>
      </c>
      <c r="E872" s="158">
        <v>10739</v>
      </c>
      <c r="F872" s="158">
        <v>197</v>
      </c>
      <c r="G872" s="158">
        <v>2.25</v>
      </c>
      <c r="H872" s="158">
        <v>3</v>
      </c>
      <c r="I872" s="158">
        <v>0</v>
      </c>
      <c r="J872" s="158">
        <v>3</v>
      </c>
      <c r="K872" s="158" t="s">
        <v>235</v>
      </c>
    </row>
    <row r="873" spans="4:11">
      <c r="D873" s="158">
        <v>162280</v>
      </c>
      <c r="E873" s="158">
        <v>11948</v>
      </c>
      <c r="F873" s="158">
        <v>197</v>
      </c>
      <c r="G873" s="158">
        <v>2.6</v>
      </c>
      <c r="H873" s="158">
        <v>3</v>
      </c>
      <c r="I873" s="158">
        <v>0</v>
      </c>
      <c r="J873" s="158">
        <v>3</v>
      </c>
      <c r="K873" s="158" t="s">
        <v>235</v>
      </c>
    </row>
    <row r="874" spans="4:11">
      <c r="D874" s="158">
        <v>162281</v>
      </c>
      <c r="E874" s="158">
        <v>11948</v>
      </c>
      <c r="F874" s="158">
        <v>197</v>
      </c>
      <c r="G874" s="158">
        <v>2.6</v>
      </c>
      <c r="H874" s="158">
        <v>4</v>
      </c>
      <c r="I874" s="158">
        <v>0</v>
      </c>
      <c r="J874" s="158">
        <v>4</v>
      </c>
      <c r="K874" s="158" t="s">
        <v>235</v>
      </c>
    </row>
    <row r="875" spans="4:11">
      <c r="D875" s="158">
        <v>162282</v>
      </c>
      <c r="E875" s="158">
        <v>11948</v>
      </c>
      <c r="F875" s="158">
        <v>197</v>
      </c>
      <c r="G875" s="158">
        <v>2.6</v>
      </c>
      <c r="H875" s="158">
        <v>3.75</v>
      </c>
      <c r="I875" s="158">
        <v>0</v>
      </c>
      <c r="J875" s="158">
        <v>3.75</v>
      </c>
      <c r="K875" s="158" t="s">
        <v>235</v>
      </c>
    </row>
    <row r="876" spans="4:11">
      <c r="D876" s="158">
        <v>162283</v>
      </c>
      <c r="E876" s="158">
        <v>10740</v>
      </c>
      <c r="F876" s="158">
        <v>1821</v>
      </c>
      <c r="G876" s="158">
        <v>8.8000000000000007</v>
      </c>
      <c r="H876" s="158">
        <v>4</v>
      </c>
      <c r="I876" s="158">
        <v>0</v>
      </c>
      <c r="J876" s="158">
        <v>4</v>
      </c>
      <c r="K876" s="158" t="s">
        <v>235</v>
      </c>
    </row>
    <row r="877" spans="4:11">
      <c r="D877" s="158">
        <v>162284</v>
      </c>
      <c r="E877" s="158">
        <v>10740</v>
      </c>
      <c r="F877" s="158">
        <v>1821</v>
      </c>
      <c r="G877" s="158">
        <v>8.3000000000000007</v>
      </c>
      <c r="H877" s="158">
        <v>0</v>
      </c>
      <c r="I877" s="158">
        <v>0</v>
      </c>
      <c r="J877" s="158">
        <v>0</v>
      </c>
      <c r="K877" s="158" t="s">
        <v>235</v>
      </c>
    </row>
    <row r="878" spans="4:11">
      <c r="D878" s="158">
        <v>162285</v>
      </c>
      <c r="E878" s="158">
        <v>11948</v>
      </c>
      <c r="F878" s="158">
        <v>1821</v>
      </c>
      <c r="G878" s="158">
        <v>7.7</v>
      </c>
      <c r="H878" s="158">
        <v>4.25</v>
      </c>
      <c r="I878" s="158">
        <v>0</v>
      </c>
      <c r="J878" s="158">
        <v>4.25</v>
      </c>
      <c r="K878" s="158" t="s">
        <v>235</v>
      </c>
    </row>
    <row r="879" spans="4:11">
      <c r="D879" s="158">
        <v>162286</v>
      </c>
      <c r="E879" s="158">
        <v>11948</v>
      </c>
      <c r="F879" s="158">
        <v>1821</v>
      </c>
      <c r="G879" s="158">
        <v>7.7</v>
      </c>
      <c r="H879" s="158">
        <v>10.4</v>
      </c>
      <c r="I879" s="158">
        <v>0</v>
      </c>
      <c r="J879" s="158">
        <v>10.4</v>
      </c>
      <c r="K879" s="158" t="s">
        <v>235</v>
      </c>
    </row>
    <row r="880" spans="4:11">
      <c r="D880" s="158">
        <v>162287</v>
      </c>
      <c r="E880" s="158">
        <v>11948</v>
      </c>
      <c r="F880" s="158">
        <v>1821</v>
      </c>
      <c r="G880" s="158">
        <v>7.7</v>
      </c>
      <c r="H880" s="158">
        <v>3.5</v>
      </c>
      <c r="I880" s="158">
        <v>2.2000000000000002</v>
      </c>
      <c r="J880" s="158">
        <v>5.7</v>
      </c>
      <c r="K880" s="158" t="s">
        <v>235</v>
      </c>
    </row>
    <row r="881" spans="4:11">
      <c r="D881" s="158">
        <v>162288</v>
      </c>
      <c r="E881" s="158">
        <v>11948</v>
      </c>
      <c r="F881" s="158">
        <v>1821</v>
      </c>
      <c r="G881" s="158">
        <v>2.6</v>
      </c>
      <c r="H881" s="158">
        <v>3</v>
      </c>
      <c r="I881" s="158">
        <v>0</v>
      </c>
      <c r="J881" s="158">
        <v>3</v>
      </c>
      <c r="K881" s="158" t="s">
        <v>235</v>
      </c>
    </row>
    <row r="882" spans="4:11">
      <c r="D882" s="158">
        <v>162289</v>
      </c>
      <c r="E882" s="158">
        <v>11948</v>
      </c>
      <c r="F882" s="158">
        <v>1821</v>
      </c>
      <c r="G882" s="158">
        <v>2.6</v>
      </c>
      <c r="H882" s="158">
        <v>5</v>
      </c>
      <c r="I882" s="158">
        <v>0</v>
      </c>
      <c r="J882" s="158">
        <v>5</v>
      </c>
      <c r="K882" s="158" t="s">
        <v>235</v>
      </c>
    </row>
    <row r="883" spans="4:11">
      <c r="D883" s="158">
        <v>162290</v>
      </c>
      <c r="E883" s="158">
        <v>11948</v>
      </c>
      <c r="F883" s="158">
        <v>1821</v>
      </c>
      <c r="G883" s="158">
        <v>2.6</v>
      </c>
      <c r="H883" s="158">
        <v>1</v>
      </c>
      <c r="I883" s="158">
        <v>1.4</v>
      </c>
      <c r="J883" s="158">
        <v>2.4</v>
      </c>
      <c r="K883" s="158" t="s">
        <v>235</v>
      </c>
    </row>
    <row r="884" spans="4:11">
      <c r="D884" s="158">
        <v>162291</v>
      </c>
      <c r="E884" s="158">
        <v>10741</v>
      </c>
      <c r="F884" s="158">
        <v>1821</v>
      </c>
      <c r="G884" s="158">
        <v>2.5</v>
      </c>
      <c r="H884" s="158">
        <v>2.25</v>
      </c>
      <c r="I884" s="158">
        <v>0.25</v>
      </c>
      <c r="J884" s="158">
        <v>2.5</v>
      </c>
      <c r="K884" s="158" t="s">
        <v>235</v>
      </c>
    </row>
    <row r="885" spans="4:11">
      <c r="D885" s="158">
        <v>162292</v>
      </c>
      <c r="E885" s="158">
        <v>10741</v>
      </c>
      <c r="F885" s="158">
        <v>1821</v>
      </c>
      <c r="G885" s="158">
        <v>18.100000000000001</v>
      </c>
      <c r="H885" s="158">
        <v>14.3</v>
      </c>
      <c r="I885" s="158">
        <v>0</v>
      </c>
      <c r="J885" s="158">
        <v>14.3</v>
      </c>
      <c r="K885" s="158" t="s">
        <v>235</v>
      </c>
    </row>
    <row r="886" spans="4:11">
      <c r="D886" s="158">
        <v>162298</v>
      </c>
      <c r="E886" s="158">
        <v>11948</v>
      </c>
      <c r="F886" s="158">
        <v>222</v>
      </c>
      <c r="G886" s="158">
        <v>2.6</v>
      </c>
      <c r="H886" s="158">
        <v>8.1999999999999993</v>
      </c>
      <c r="I886" s="158">
        <v>3</v>
      </c>
      <c r="J886" s="158">
        <v>11.2</v>
      </c>
      <c r="K886" s="158" t="s">
        <v>235</v>
      </c>
    </row>
    <row r="887" spans="4:11">
      <c r="D887" s="158">
        <v>162299</v>
      </c>
      <c r="E887" s="158">
        <v>11948</v>
      </c>
      <c r="F887" s="158">
        <v>222</v>
      </c>
      <c r="G887" s="158">
        <v>2.6</v>
      </c>
      <c r="H887" s="158">
        <v>9</v>
      </c>
      <c r="I887" s="158">
        <v>0</v>
      </c>
      <c r="J887" s="158">
        <v>9</v>
      </c>
      <c r="K887" s="158" t="s">
        <v>235</v>
      </c>
    </row>
    <row r="888" spans="4:11">
      <c r="D888" s="158">
        <v>162300</v>
      </c>
      <c r="E888" s="158">
        <v>11948</v>
      </c>
      <c r="F888" s="158">
        <v>222</v>
      </c>
      <c r="G888" s="158">
        <v>2.6</v>
      </c>
      <c r="H888" s="158">
        <v>4.6500000000000004</v>
      </c>
      <c r="I888" s="158">
        <v>0</v>
      </c>
      <c r="J888" s="158">
        <v>4.6500000000000004</v>
      </c>
      <c r="K888" s="158" t="s">
        <v>235</v>
      </c>
    </row>
    <row r="889" spans="4:11">
      <c r="D889" s="158">
        <v>162301</v>
      </c>
      <c r="E889" s="158">
        <v>10745</v>
      </c>
      <c r="F889" s="158">
        <v>222</v>
      </c>
      <c r="G889" s="158">
        <v>2.25</v>
      </c>
      <c r="H889" s="158">
        <v>2.15</v>
      </c>
      <c r="I889" s="158">
        <v>0</v>
      </c>
      <c r="J889" s="158">
        <v>2.15</v>
      </c>
      <c r="K889" s="158" t="s">
        <v>235</v>
      </c>
    </row>
    <row r="890" spans="4:11">
      <c r="D890" s="158">
        <v>162302</v>
      </c>
      <c r="E890" s="158">
        <v>10745</v>
      </c>
      <c r="F890" s="158">
        <v>222</v>
      </c>
      <c r="G890" s="158">
        <v>19.3</v>
      </c>
      <c r="H890" s="158">
        <v>13.55</v>
      </c>
      <c r="I890" s="158">
        <v>0</v>
      </c>
      <c r="J890" s="158">
        <v>13.55</v>
      </c>
      <c r="K890" s="158" t="s">
        <v>235</v>
      </c>
    </row>
    <row r="891" spans="4:11">
      <c r="D891" s="158">
        <v>162303</v>
      </c>
      <c r="E891" s="158">
        <v>11948</v>
      </c>
      <c r="F891" s="158">
        <v>222</v>
      </c>
      <c r="G891" s="158">
        <v>2.6</v>
      </c>
      <c r="H891" s="158">
        <v>0</v>
      </c>
      <c r="I891" s="158">
        <v>0</v>
      </c>
      <c r="J891" s="158">
        <v>0</v>
      </c>
      <c r="K891" s="158" t="s">
        <v>235</v>
      </c>
    </row>
    <row r="892" spans="4:11">
      <c r="D892" s="158">
        <v>162304</v>
      </c>
      <c r="E892" s="158">
        <v>11948</v>
      </c>
      <c r="F892" s="158">
        <v>222</v>
      </c>
      <c r="G892" s="158">
        <v>2.6</v>
      </c>
      <c r="H892" s="158">
        <v>0</v>
      </c>
      <c r="I892" s="158">
        <v>0</v>
      </c>
      <c r="J892" s="158">
        <v>2.6</v>
      </c>
      <c r="K892" s="158" t="s">
        <v>235</v>
      </c>
    </row>
    <row r="893" spans="4:11">
      <c r="D893" s="158">
        <v>162305</v>
      </c>
      <c r="E893" s="158">
        <v>11948</v>
      </c>
      <c r="F893" s="158">
        <v>222</v>
      </c>
      <c r="G893" s="158">
        <v>2.6</v>
      </c>
      <c r="H893" s="158">
        <v>0</v>
      </c>
      <c r="I893" s="158">
        <v>0</v>
      </c>
      <c r="J893" s="158">
        <v>2.6</v>
      </c>
      <c r="K893" s="158" t="s">
        <v>235</v>
      </c>
    </row>
    <row r="894" spans="4:11">
      <c r="D894" s="158">
        <v>162306</v>
      </c>
      <c r="E894" s="158">
        <v>10746</v>
      </c>
      <c r="F894" s="158">
        <v>222</v>
      </c>
      <c r="G894" s="158">
        <v>2.25</v>
      </c>
      <c r="H894" s="158">
        <v>2.25</v>
      </c>
      <c r="I894" s="158">
        <v>0</v>
      </c>
      <c r="J894" s="158">
        <v>2.25</v>
      </c>
      <c r="K894" s="158" t="s">
        <v>235</v>
      </c>
    </row>
    <row r="895" spans="4:11">
      <c r="D895" s="158">
        <v>162315</v>
      </c>
      <c r="E895" s="158">
        <v>11948</v>
      </c>
      <c r="F895" s="158">
        <v>1738</v>
      </c>
      <c r="G895" s="158">
        <v>2.6</v>
      </c>
      <c r="H895" s="158">
        <v>0.6</v>
      </c>
      <c r="I895" s="158">
        <v>0</v>
      </c>
      <c r="J895" s="158">
        <v>0.6</v>
      </c>
      <c r="K895" s="158" t="s">
        <v>235</v>
      </c>
    </row>
    <row r="896" spans="4:11">
      <c r="D896" s="158">
        <v>162316</v>
      </c>
      <c r="E896" s="158">
        <v>11948</v>
      </c>
      <c r="F896" s="158">
        <v>2062</v>
      </c>
      <c r="G896" s="158">
        <v>2.6</v>
      </c>
      <c r="H896" s="158">
        <v>0.35</v>
      </c>
      <c r="I896" s="158">
        <v>0</v>
      </c>
      <c r="J896" s="158">
        <v>0.35</v>
      </c>
      <c r="K896" s="158" t="s">
        <v>235</v>
      </c>
    </row>
    <row r="897" spans="4:11">
      <c r="D897" s="158">
        <v>162317</v>
      </c>
      <c r="E897" s="158">
        <v>11948</v>
      </c>
      <c r="F897" s="158">
        <v>2062</v>
      </c>
      <c r="G897" s="158">
        <v>2.6</v>
      </c>
      <c r="H897" s="158">
        <v>0</v>
      </c>
      <c r="I897" s="158">
        <v>0.2</v>
      </c>
      <c r="J897" s="158">
        <v>0.2</v>
      </c>
      <c r="K897" s="158" t="s">
        <v>235</v>
      </c>
    </row>
    <row r="898" spans="4:11">
      <c r="D898" s="158">
        <v>162319</v>
      </c>
      <c r="E898" s="158">
        <v>11948</v>
      </c>
      <c r="F898" s="158">
        <v>1738</v>
      </c>
      <c r="G898" s="158">
        <v>2.6</v>
      </c>
      <c r="H898" s="158">
        <v>0</v>
      </c>
      <c r="I898" s="158">
        <v>0</v>
      </c>
      <c r="J898" s="158">
        <v>0</v>
      </c>
      <c r="K898" s="158" t="s">
        <v>235</v>
      </c>
    </row>
    <row r="899" spans="4:11">
      <c r="D899" s="158">
        <v>162320</v>
      </c>
      <c r="E899" s="158">
        <v>11948</v>
      </c>
      <c r="F899" s="158">
        <v>1738</v>
      </c>
      <c r="G899" s="158">
        <v>2.6</v>
      </c>
      <c r="H899" s="158">
        <v>0</v>
      </c>
      <c r="I899" s="158">
        <v>0</v>
      </c>
      <c r="J899" s="158">
        <v>0</v>
      </c>
      <c r="K899" s="158" t="s">
        <v>235</v>
      </c>
    </row>
    <row r="900" spans="4:11">
      <c r="D900" s="158">
        <v>162321</v>
      </c>
      <c r="E900" s="158">
        <v>11948</v>
      </c>
      <c r="F900" s="158">
        <v>1738</v>
      </c>
      <c r="G900" s="158">
        <v>2.6</v>
      </c>
      <c r="H900" s="158">
        <v>0</v>
      </c>
      <c r="I900" s="158">
        <v>0</v>
      </c>
      <c r="J900" s="158">
        <v>0</v>
      </c>
      <c r="K900" s="158" t="s">
        <v>235</v>
      </c>
    </row>
    <row r="901" spans="4:11">
      <c r="D901" s="158">
        <v>162322</v>
      </c>
      <c r="E901" s="158">
        <v>11948</v>
      </c>
      <c r="F901" s="158">
        <v>1738</v>
      </c>
      <c r="G901" s="158">
        <v>2.6</v>
      </c>
      <c r="H901" s="158">
        <v>0</v>
      </c>
      <c r="I901" s="158">
        <v>0</v>
      </c>
      <c r="J901" s="158">
        <v>0</v>
      </c>
      <c r="K901" s="158" t="s">
        <v>235</v>
      </c>
    </row>
    <row r="902" spans="4:11">
      <c r="D902" s="158">
        <v>162323</v>
      </c>
      <c r="E902" s="158">
        <v>11948</v>
      </c>
      <c r="F902" s="158">
        <v>1738</v>
      </c>
      <c r="G902" s="158">
        <v>2.6</v>
      </c>
      <c r="H902" s="158">
        <v>0.75</v>
      </c>
      <c r="I902" s="158">
        <v>0.6</v>
      </c>
      <c r="J902" s="158">
        <v>1.35</v>
      </c>
      <c r="K902" s="158" t="s">
        <v>235</v>
      </c>
    </row>
    <row r="903" spans="4:11">
      <c r="D903" s="158">
        <v>162325</v>
      </c>
      <c r="E903" s="158">
        <v>10720</v>
      </c>
      <c r="F903" s="158">
        <v>1738</v>
      </c>
      <c r="G903" s="158">
        <v>0</v>
      </c>
      <c r="H903" s="158">
        <v>1.35</v>
      </c>
      <c r="I903" s="158">
        <v>0</v>
      </c>
      <c r="J903" s="158">
        <v>1.35</v>
      </c>
      <c r="K903" s="158" t="s">
        <v>235</v>
      </c>
    </row>
    <row r="904" spans="4:11">
      <c r="D904" s="158">
        <v>162327</v>
      </c>
      <c r="E904" s="158">
        <v>10720</v>
      </c>
      <c r="F904" s="158">
        <v>1738</v>
      </c>
      <c r="G904" s="158">
        <v>0</v>
      </c>
      <c r="H904" s="158">
        <v>5.5</v>
      </c>
      <c r="I904" s="158">
        <v>0</v>
      </c>
      <c r="J904" s="158">
        <v>5.5</v>
      </c>
      <c r="K904" s="158" t="s">
        <v>235</v>
      </c>
    </row>
    <row r="905" spans="4:11">
      <c r="D905" s="158">
        <v>162329</v>
      </c>
      <c r="E905" s="158">
        <v>10720</v>
      </c>
      <c r="F905" s="158">
        <v>1738</v>
      </c>
      <c r="G905" s="158">
        <v>0</v>
      </c>
      <c r="H905" s="158">
        <v>0</v>
      </c>
      <c r="I905" s="158">
        <v>0</v>
      </c>
      <c r="J905" s="158">
        <v>0</v>
      </c>
      <c r="K905" s="158" t="s">
        <v>235</v>
      </c>
    </row>
    <row r="906" spans="4:11">
      <c r="D906" s="158">
        <v>162334</v>
      </c>
      <c r="E906" s="158">
        <v>11948</v>
      </c>
      <c r="F906" s="158">
        <v>2030</v>
      </c>
      <c r="H906" s="158">
        <v>0.55000000000000004</v>
      </c>
      <c r="I906" s="158">
        <v>0</v>
      </c>
      <c r="J906" s="158">
        <v>0.55000000000000004</v>
      </c>
      <c r="K906" s="158" t="s">
        <v>235</v>
      </c>
    </row>
    <row r="907" spans="4:11">
      <c r="D907" s="158">
        <v>162335</v>
      </c>
      <c r="E907" s="158">
        <v>11948</v>
      </c>
      <c r="F907" s="158">
        <v>222</v>
      </c>
      <c r="G907" s="158">
        <v>2.6</v>
      </c>
      <c r="H907" s="158">
        <v>2.5</v>
      </c>
      <c r="I907" s="158">
        <v>0</v>
      </c>
      <c r="J907" s="158">
        <v>2.5</v>
      </c>
      <c r="K907" s="158" t="s">
        <v>235</v>
      </c>
    </row>
    <row r="908" spans="4:11">
      <c r="D908" s="158">
        <v>162337</v>
      </c>
      <c r="E908" s="158">
        <v>11948</v>
      </c>
      <c r="F908" s="158">
        <v>2030</v>
      </c>
      <c r="H908" s="158">
        <v>0.3</v>
      </c>
      <c r="I908" s="158">
        <v>0</v>
      </c>
      <c r="J908" s="158">
        <v>0.3</v>
      </c>
      <c r="K908" s="158" t="s">
        <v>235</v>
      </c>
    </row>
    <row r="909" spans="4:11">
      <c r="D909" s="158">
        <v>162340</v>
      </c>
      <c r="E909" s="158">
        <v>11948</v>
      </c>
      <c r="F909" s="158">
        <v>2030</v>
      </c>
      <c r="G909" s="158">
        <v>2.6</v>
      </c>
      <c r="H909" s="158">
        <v>2.4</v>
      </c>
      <c r="I909" s="158">
        <v>0</v>
      </c>
      <c r="J909" s="158">
        <v>2.4</v>
      </c>
      <c r="K909" s="158" t="s">
        <v>235</v>
      </c>
    </row>
    <row r="910" spans="4:11">
      <c r="D910" s="158">
        <v>162342</v>
      </c>
      <c r="E910" s="158">
        <v>11948</v>
      </c>
      <c r="F910" s="158">
        <v>2030</v>
      </c>
      <c r="G910" s="158">
        <v>2.6</v>
      </c>
      <c r="H910" s="158">
        <v>1.5</v>
      </c>
      <c r="I910" s="158">
        <v>0.8</v>
      </c>
      <c r="J910" s="158">
        <v>2.2999999999999998</v>
      </c>
      <c r="K910" s="158" t="s">
        <v>235</v>
      </c>
    </row>
    <row r="911" spans="4:11">
      <c r="D911" s="158">
        <v>162344</v>
      </c>
      <c r="E911" s="158">
        <v>10752</v>
      </c>
      <c r="F911" s="158">
        <v>2030</v>
      </c>
      <c r="G911" s="158">
        <v>5</v>
      </c>
      <c r="H911" s="158">
        <v>0.9</v>
      </c>
      <c r="I911" s="158">
        <v>0</v>
      </c>
      <c r="J911" s="158">
        <v>0.9</v>
      </c>
      <c r="K911" s="158" t="s">
        <v>235</v>
      </c>
    </row>
    <row r="912" spans="4:11">
      <c r="D912" s="158">
        <v>162348</v>
      </c>
      <c r="E912" s="158">
        <v>11948</v>
      </c>
      <c r="F912" s="158">
        <v>222</v>
      </c>
      <c r="G912" s="158">
        <v>4.7</v>
      </c>
      <c r="H912" s="158">
        <v>7.75</v>
      </c>
      <c r="I912" s="158">
        <v>0</v>
      </c>
      <c r="J912" s="158">
        <v>7.75</v>
      </c>
      <c r="K912" s="158" t="s">
        <v>235</v>
      </c>
    </row>
    <row r="913" spans="4:11">
      <c r="D913" s="158">
        <v>162350</v>
      </c>
      <c r="E913" s="158">
        <v>11948</v>
      </c>
      <c r="F913" s="158">
        <v>222</v>
      </c>
      <c r="G913" s="158">
        <v>0</v>
      </c>
      <c r="H913" s="158">
        <v>5.0999999999999996</v>
      </c>
      <c r="I913" s="158">
        <v>0</v>
      </c>
      <c r="J913" s="158">
        <v>5.0999999999999996</v>
      </c>
      <c r="K913" s="158" t="s">
        <v>235</v>
      </c>
    </row>
    <row r="914" spans="4:11">
      <c r="D914" s="158">
        <v>162351</v>
      </c>
      <c r="E914" s="158">
        <v>11948</v>
      </c>
      <c r="F914" s="158">
        <v>2324</v>
      </c>
      <c r="G914" s="158">
        <v>4.7</v>
      </c>
      <c r="H914" s="158">
        <v>9.35</v>
      </c>
      <c r="I914" s="158">
        <v>3</v>
      </c>
      <c r="J914" s="158">
        <v>12.35</v>
      </c>
      <c r="K914" s="158" t="s">
        <v>235</v>
      </c>
    </row>
    <row r="915" spans="4:11">
      <c r="D915" s="158">
        <v>162352</v>
      </c>
      <c r="E915" s="158">
        <v>10720</v>
      </c>
      <c r="F915" s="158">
        <v>2177</v>
      </c>
      <c r="G915" s="158">
        <v>9</v>
      </c>
      <c r="H915" s="158">
        <v>0</v>
      </c>
      <c r="I915" s="158">
        <v>6.5</v>
      </c>
      <c r="J915" s="158">
        <v>6.5</v>
      </c>
      <c r="K915" s="158" t="s">
        <v>235</v>
      </c>
    </row>
    <row r="916" spans="4:11">
      <c r="D916" s="158">
        <v>162353</v>
      </c>
      <c r="E916" s="158">
        <v>10753</v>
      </c>
      <c r="F916" s="158">
        <v>222</v>
      </c>
      <c r="G916" s="158">
        <v>2.5</v>
      </c>
      <c r="H916" s="158">
        <v>2.2000000000000002</v>
      </c>
      <c r="I916" s="158">
        <v>0</v>
      </c>
      <c r="J916" s="158">
        <v>2.2000000000000002</v>
      </c>
      <c r="K916" s="158" t="s">
        <v>235</v>
      </c>
    </row>
    <row r="917" spans="4:11">
      <c r="D917" s="158">
        <v>162354</v>
      </c>
      <c r="E917" s="158">
        <v>10753</v>
      </c>
      <c r="F917" s="158">
        <v>222</v>
      </c>
      <c r="G917" s="158">
        <v>0</v>
      </c>
      <c r="H917" s="158">
        <v>0</v>
      </c>
      <c r="I917" s="158">
        <v>0</v>
      </c>
      <c r="J917" s="158">
        <v>0</v>
      </c>
      <c r="K917" s="158" t="s">
        <v>235</v>
      </c>
    </row>
    <row r="918" spans="4:11">
      <c r="D918" s="158">
        <v>162355</v>
      </c>
      <c r="E918" s="158">
        <v>10759</v>
      </c>
      <c r="F918" s="158">
        <v>2062</v>
      </c>
      <c r="G918" s="158">
        <v>5</v>
      </c>
      <c r="H918" s="158">
        <v>0.5</v>
      </c>
      <c r="I918" s="158">
        <v>0</v>
      </c>
      <c r="J918" s="158">
        <v>0.5</v>
      </c>
      <c r="K918" s="158" t="s">
        <v>235</v>
      </c>
    </row>
    <row r="919" spans="4:11">
      <c r="D919" s="158">
        <v>162356</v>
      </c>
      <c r="E919" s="158">
        <v>10763</v>
      </c>
      <c r="F919" s="158">
        <v>828</v>
      </c>
      <c r="G919" s="158">
        <v>28.4</v>
      </c>
      <c r="H919" s="158">
        <v>8</v>
      </c>
      <c r="I919" s="158">
        <v>28</v>
      </c>
      <c r="J919" s="158">
        <v>36</v>
      </c>
      <c r="K919" s="158" t="s">
        <v>235</v>
      </c>
    </row>
    <row r="920" spans="4:11">
      <c r="D920" s="158">
        <v>162364</v>
      </c>
      <c r="E920" s="158">
        <v>10760</v>
      </c>
      <c r="F920" s="158">
        <v>2062</v>
      </c>
      <c r="G920" s="158">
        <v>0</v>
      </c>
      <c r="H920" s="158">
        <v>0.3</v>
      </c>
      <c r="I920" s="158">
        <v>0</v>
      </c>
      <c r="J920" s="158">
        <v>0.3</v>
      </c>
      <c r="K920" s="158" t="s">
        <v>235</v>
      </c>
    </row>
    <row r="921" spans="4:11">
      <c r="D921" s="158">
        <v>162365</v>
      </c>
      <c r="E921" s="158">
        <v>10760</v>
      </c>
      <c r="F921" s="158">
        <v>1014</v>
      </c>
      <c r="G921" s="158">
        <v>6.4</v>
      </c>
      <c r="H921" s="158">
        <v>0.75</v>
      </c>
      <c r="I921" s="158">
        <v>0</v>
      </c>
      <c r="J921" s="158">
        <v>0.75</v>
      </c>
      <c r="K921" s="158" t="s">
        <v>235</v>
      </c>
    </row>
    <row r="922" spans="4:11">
      <c r="D922" s="158">
        <v>162366</v>
      </c>
      <c r="E922" s="158">
        <v>10720</v>
      </c>
      <c r="F922" s="158">
        <v>1738</v>
      </c>
      <c r="G922" s="158">
        <v>19.600000000000001</v>
      </c>
      <c r="H922" s="158">
        <v>6.2</v>
      </c>
      <c r="I922" s="158">
        <v>1</v>
      </c>
      <c r="J922" s="158">
        <v>7.2</v>
      </c>
      <c r="K922" s="158" t="s">
        <v>235</v>
      </c>
    </row>
    <row r="923" spans="4:11">
      <c r="D923" s="158">
        <v>162367</v>
      </c>
      <c r="E923" s="158">
        <v>10720</v>
      </c>
      <c r="F923" s="158">
        <v>938</v>
      </c>
      <c r="G923" s="158">
        <v>0</v>
      </c>
      <c r="H923" s="158">
        <v>2.5</v>
      </c>
      <c r="I923" s="158">
        <v>0</v>
      </c>
      <c r="J923" s="158">
        <v>2.5</v>
      </c>
      <c r="K923" s="158" t="s">
        <v>235</v>
      </c>
    </row>
    <row r="924" spans="4:11">
      <c r="D924" s="158">
        <v>162373</v>
      </c>
      <c r="E924" s="158">
        <v>11213</v>
      </c>
      <c r="F924" s="158">
        <v>1505</v>
      </c>
      <c r="H924" s="158">
        <v>0</v>
      </c>
      <c r="I924" s="158">
        <v>0</v>
      </c>
      <c r="J924" s="158">
        <v>0</v>
      </c>
      <c r="K924" s="158" t="s">
        <v>235</v>
      </c>
    </row>
    <row r="925" spans="4:11">
      <c r="D925" s="158">
        <v>162375</v>
      </c>
      <c r="E925" s="158">
        <v>10816</v>
      </c>
      <c r="F925" s="158">
        <v>2122</v>
      </c>
      <c r="G925" s="158">
        <v>3.5</v>
      </c>
      <c r="H925" s="158">
        <v>3.25</v>
      </c>
      <c r="I925" s="158">
        <v>0</v>
      </c>
      <c r="J925" s="158">
        <v>3.25</v>
      </c>
      <c r="K925" s="158" t="s">
        <v>235</v>
      </c>
    </row>
    <row r="926" spans="4:11">
      <c r="D926" s="158">
        <v>162645</v>
      </c>
      <c r="E926" s="158">
        <v>11307</v>
      </c>
      <c r="F926" s="158">
        <v>1229</v>
      </c>
      <c r="G926" s="158">
        <v>8</v>
      </c>
      <c r="H926" s="158">
        <v>11.05</v>
      </c>
      <c r="I926" s="158">
        <v>0</v>
      </c>
      <c r="J926" s="158">
        <v>11.05</v>
      </c>
      <c r="K926" s="158" t="s">
        <v>236</v>
      </c>
    </row>
    <row r="927" spans="4:11">
      <c r="D927" s="158">
        <v>162647</v>
      </c>
      <c r="E927" s="158">
        <v>10639</v>
      </c>
      <c r="F927" s="158">
        <v>2181</v>
      </c>
      <c r="G927" s="158">
        <v>0</v>
      </c>
      <c r="H927" s="158">
        <v>21.7</v>
      </c>
      <c r="I927" s="158">
        <v>0</v>
      </c>
      <c r="J927" s="158">
        <v>21.7</v>
      </c>
      <c r="K927" s="158" t="s">
        <v>235</v>
      </c>
    </row>
    <row r="928" spans="4:11">
      <c r="D928" s="158">
        <v>162648</v>
      </c>
      <c r="E928" s="158">
        <v>10639</v>
      </c>
      <c r="F928" s="158">
        <v>1999</v>
      </c>
      <c r="H928" s="158">
        <v>5.8</v>
      </c>
      <c r="I928" s="158">
        <v>0</v>
      </c>
      <c r="J928" s="158">
        <v>5.8</v>
      </c>
      <c r="K928" s="158" t="s">
        <v>235</v>
      </c>
    </row>
    <row r="929" spans="4:11">
      <c r="D929" s="158">
        <v>162649</v>
      </c>
      <c r="E929" s="158">
        <v>10639</v>
      </c>
      <c r="F929" s="158">
        <v>2184</v>
      </c>
      <c r="H929" s="158">
        <v>8</v>
      </c>
      <c r="I929" s="158">
        <v>0</v>
      </c>
      <c r="J929" s="158">
        <v>8</v>
      </c>
      <c r="K929" s="158" t="s">
        <v>235</v>
      </c>
    </row>
    <row r="930" spans="4:11">
      <c r="D930" s="158">
        <v>162650</v>
      </c>
      <c r="E930" s="158">
        <v>10639</v>
      </c>
      <c r="F930" s="158">
        <v>300</v>
      </c>
      <c r="H930" s="158">
        <v>0</v>
      </c>
      <c r="I930" s="158">
        <v>0</v>
      </c>
      <c r="J930" s="158">
        <v>0</v>
      </c>
      <c r="K930" s="158" t="s">
        <v>235</v>
      </c>
    </row>
    <row r="931" spans="4:11">
      <c r="D931" s="158">
        <v>162651</v>
      </c>
      <c r="E931" s="158">
        <v>10639</v>
      </c>
      <c r="F931" s="158">
        <v>1795</v>
      </c>
      <c r="H931" s="158">
        <v>1</v>
      </c>
      <c r="I931" s="158">
        <v>0</v>
      </c>
      <c r="J931" s="158">
        <v>1</v>
      </c>
      <c r="K931" s="158" t="s">
        <v>235</v>
      </c>
    </row>
    <row r="932" spans="4:11">
      <c r="D932" s="158">
        <v>162652</v>
      </c>
      <c r="E932" s="158">
        <v>10639</v>
      </c>
      <c r="F932" s="158">
        <v>1084</v>
      </c>
      <c r="H932" s="158">
        <v>0</v>
      </c>
      <c r="I932" s="158">
        <v>0</v>
      </c>
      <c r="J932" s="158">
        <v>0</v>
      </c>
      <c r="K932" s="158" t="s">
        <v>235</v>
      </c>
    </row>
    <row r="933" spans="4:11">
      <c r="D933" s="158">
        <v>162653</v>
      </c>
      <c r="E933" s="158">
        <v>10639</v>
      </c>
      <c r="F933" s="158">
        <v>2123</v>
      </c>
      <c r="H933" s="158">
        <v>0</v>
      </c>
      <c r="I933" s="158">
        <v>0</v>
      </c>
      <c r="J933" s="158">
        <v>0</v>
      </c>
      <c r="K933" s="158" t="s">
        <v>235</v>
      </c>
    </row>
    <row r="934" spans="4:11">
      <c r="D934" s="158">
        <v>162654</v>
      </c>
      <c r="E934" s="158">
        <v>10639</v>
      </c>
      <c r="F934" s="158">
        <v>2120</v>
      </c>
      <c r="H934" s="158">
        <v>0.25</v>
      </c>
      <c r="I934" s="158">
        <v>0</v>
      </c>
      <c r="J934" s="158">
        <v>0.25</v>
      </c>
      <c r="K934" s="158" t="s">
        <v>235</v>
      </c>
    </row>
    <row r="935" spans="4:11">
      <c r="D935" s="158">
        <v>162655</v>
      </c>
      <c r="E935" s="158">
        <v>10639</v>
      </c>
      <c r="F935" s="158">
        <v>1251</v>
      </c>
      <c r="H935" s="158">
        <v>0</v>
      </c>
      <c r="I935" s="158">
        <v>0</v>
      </c>
      <c r="J935" s="158">
        <v>0</v>
      </c>
      <c r="K935" s="158" t="s">
        <v>235</v>
      </c>
    </row>
    <row r="936" spans="4:11">
      <c r="D936" s="158">
        <v>162656</v>
      </c>
      <c r="E936" s="158">
        <v>10639</v>
      </c>
      <c r="F936" s="158">
        <v>2156</v>
      </c>
      <c r="H936" s="158">
        <v>5.7</v>
      </c>
      <c r="I936" s="158">
        <v>0</v>
      </c>
      <c r="J936" s="158">
        <v>5.7</v>
      </c>
      <c r="K936" s="158" t="s">
        <v>235</v>
      </c>
    </row>
    <row r="937" spans="4:11">
      <c r="D937" s="158">
        <v>162657</v>
      </c>
      <c r="E937" s="158">
        <v>11255</v>
      </c>
      <c r="F937" s="158">
        <v>881</v>
      </c>
      <c r="G937" s="158">
        <v>35.9</v>
      </c>
      <c r="H937" s="158">
        <v>62.5</v>
      </c>
      <c r="I937" s="158">
        <v>6</v>
      </c>
      <c r="J937" s="158">
        <v>68.5</v>
      </c>
      <c r="K937" s="158" t="s">
        <v>236</v>
      </c>
    </row>
    <row r="938" spans="4:11">
      <c r="D938" s="158">
        <v>162658</v>
      </c>
      <c r="E938" s="158">
        <v>11255</v>
      </c>
      <c r="F938" s="158">
        <v>195</v>
      </c>
      <c r="G938" s="158">
        <v>0</v>
      </c>
      <c r="H938" s="158">
        <v>25</v>
      </c>
      <c r="I938" s="158">
        <v>4</v>
      </c>
      <c r="J938" s="158">
        <v>29</v>
      </c>
      <c r="K938" s="158" t="s">
        <v>236</v>
      </c>
    </row>
    <row r="939" spans="4:11">
      <c r="D939" s="158">
        <v>162659</v>
      </c>
      <c r="E939" s="158">
        <v>11255</v>
      </c>
      <c r="F939" s="158">
        <v>362</v>
      </c>
      <c r="H939" s="158">
        <v>2</v>
      </c>
      <c r="I939" s="158">
        <v>0</v>
      </c>
      <c r="J939" s="158">
        <v>2</v>
      </c>
      <c r="K939" s="158" t="s">
        <v>236</v>
      </c>
    </row>
    <row r="940" spans="4:11">
      <c r="D940" s="158">
        <v>162660</v>
      </c>
      <c r="E940" s="158">
        <v>11255</v>
      </c>
      <c r="F940" s="158">
        <v>1229</v>
      </c>
      <c r="H940" s="158">
        <v>0.95</v>
      </c>
      <c r="I940" s="158">
        <v>0</v>
      </c>
      <c r="J940" s="158">
        <v>0.95</v>
      </c>
      <c r="K940" s="158" t="s">
        <v>236</v>
      </c>
    </row>
    <row r="941" spans="4:11">
      <c r="D941" s="158">
        <v>162661</v>
      </c>
      <c r="E941" s="158">
        <v>11255</v>
      </c>
      <c r="F941" s="158">
        <v>2135</v>
      </c>
      <c r="H941" s="158">
        <v>2.5</v>
      </c>
      <c r="I941" s="158">
        <v>0</v>
      </c>
      <c r="J941" s="158">
        <v>2.5</v>
      </c>
      <c r="K941" s="158" t="s">
        <v>236</v>
      </c>
    </row>
    <row r="942" spans="4:11">
      <c r="D942" s="158">
        <v>162662</v>
      </c>
      <c r="E942" s="158">
        <v>11255</v>
      </c>
      <c r="F942" s="158">
        <v>362</v>
      </c>
      <c r="H942" s="158">
        <v>0</v>
      </c>
      <c r="I942" s="158">
        <v>0</v>
      </c>
      <c r="J942" s="158">
        <v>0</v>
      </c>
      <c r="K942" s="158" t="s">
        <v>236</v>
      </c>
    </row>
    <row r="943" spans="4:11">
      <c r="D943" s="158">
        <v>162663</v>
      </c>
      <c r="E943" s="158">
        <v>11255</v>
      </c>
      <c r="F943" s="158">
        <v>2135</v>
      </c>
      <c r="H943" s="158">
        <v>5.5</v>
      </c>
      <c r="I943" s="158">
        <v>0</v>
      </c>
      <c r="J943" s="158">
        <v>5.5</v>
      </c>
      <c r="K943" s="158" t="s">
        <v>236</v>
      </c>
    </row>
    <row r="944" spans="4:11">
      <c r="D944" s="158">
        <v>162664</v>
      </c>
      <c r="E944" s="158">
        <v>11255</v>
      </c>
      <c r="F944" s="158">
        <v>1229</v>
      </c>
      <c r="H944" s="158">
        <v>9</v>
      </c>
      <c r="I944" s="158">
        <v>0</v>
      </c>
      <c r="J944" s="158">
        <v>9</v>
      </c>
      <c r="K944" s="158" t="s">
        <v>236</v>
      </c>
    </row>
    <row r="945" spans="4:11">
      <c r="D945" s="158">
        <v>162724</v>
      </c>
      <c r="E945" s="158">
        <v>10783</v>
      </c>
      <c r="F945" s="158">
        <v>197</v>
      </c>
      <c r="G945" s="158">
        <v>0</v>
      </c>
      <c r="H945" s="158">
        <v>5.35</v>
      </c>
      <c r="I945" s="158">
        <v>0</v>
      </c>
      <c r="J945" s="158">
        <v>5.35</v>
      </c>
      <c r="K945" s="158" t="s">
        <v>235</v>
      </c>
    </row>
    <row r="946" spans="4:11">
      <c r="D946" s="158">
        <v>162765</v>
      </c>
      <c r="E946" s="158">
        <v>10814</v>
      </c>
      <c r="F946" s="158">
        <v>2220</v>
      </c>
      <c r="G946" s="158">
        <v>0</v>
      </c>
      <c r="H946" s="158">
        <v>5.75</v>
      </c>
      <c r="I946" s="158">
        <v>0</v>
      </c>
      <c r="J946" s="158">
        <v>5.75</v>
      </c>
      <c r="K946" s="158" t="s">
        <v>235</v>
      </c>
    </row>
    <row r="947" spans="4:11">
      <c r="D947" s="158">
        <v>162768</v>
      </c>
      <c r="E947" s="158">
        <v>11255</v>
      </c>
      <c r="F947" s="158">
        <v>2156</v>
      </c>
      <c r="H947" s="158">
        <v>1.5</v>
      </c>
      <c r="I947" s="158">
        <v>0</v>
      </c>
      <c r="J947" s="158">
        <v>1.5</v>
      </c>
      <c r="K947" s="158" t="s">
        <v>236</v>
      </c>
    </row>
    <row r="948" spans="4:11">
      <c r="D948" s="158">
        <v>162771</v>
      </c>
      <c r="E948" s="158">
        <v>10639</v>
      </c>
      <c r="F948" s="158">
        <v>1251</v>
      </c>
      <c r="H948" s="158">
        <v>1.4</v>
      </c>
      <c r="I948" s="158">
        <v>0</v>
      </c>
      <c r="J948" s="158">
        <v>1.4</v>
      </c>
      <c r="K948" s="158" t="s">
        <v>235</v>
      </c>
    </row>
    <row r="949" spans="4:11">
      <c r="D949" s="158">
        <v>162793</v>
      </c>
      <c r="E949" s="158">
        <v>10740</v>
      </c>
      <c r="F949" s="158">
        <v>938</v>
      </c>
      <c r="G949" s="158">
        <v>1</v>
      </c>
      <c r="H949" s="158">
        <v>0.95</v>
      </c>
      <c r="I949" s="158">
        <v>0</v>
      </c>
      <c r="J949" s="158">
        <v>0.95</v>
      </c>
      <c r="K949" s="158" t="s">
        <v>235</v>
      </c>
    </row>
    <row r="950" spans="4:11">
      <c r="D950" s="158">
        <v>162794</v>
      </c>
      <c r="E950" s="158">
        <v>10690</v>
      </c>
      <c r="F950" s="158">
        <v>2184</v>
      </c>
      <c r="G950" s="158">
        <v>2</v>
      </c>
      <c r="H950" s="158">
        <v>2.5</v>
      </c>
      <c r="I950" s="158">
        <v>0</v>
      </c>
      <c r="J950" s="158">
        <v>2.5</v>
      </c>
      <c r="K950" s="158" t="s">
        <v>235</v>
      </c>
    </row>
    <row r="951" spans="4:11">
      <c r="D951" s="158">
        <v>162795</v>
      </c>
      <c r="E951" s="158">
        <v>10690</v>
      </c>
      <c r="F951" s="158">
        <v>2184</v>
      </c>
      <c r="G951" s="158">
        <v>2.5</v>
      </c>
      <c r="H951" s="158">
        <v>2.5</v>
      </c>
      <c r="I951" s="158">
        <v>0</v>
      </c>
      <c r="J951" s="158">
        <v>2.5</v>
      </c>
      <c r="K951" s="158" t="s">
        <v>235</v>
      </c>
    </row>
    <row r="952" spans="4:11">
      <c r="D952" s="158">
        <v>162796</v>
      </c>
      <c r="E952" s="158">
        <v>11612</v>
      </c>
      <c r="F952" s="158">
        <v>2062</v>
      </c>
      <c r="H952" s="158">
        <v>0.5</v>
      </c>
      <c r="I952" s="158">
        <v>0</v>
      </c>
      <c r="J952" s="158">
        <v>0.5</v>
      </c>
      <c r="K952" s="158" t="s">
        <v>235</v>
      </c>
    </row>
    <row r="953" spans="4:11">
      <c r="D953" s="158">
        <v>162797</v>
      </c>
      <c r="E953" s="158">
        <v>11612</v>
      </c>
      <c r="F953" s="158">
        <v>1014</v>
      </c>
      <c r="H953" s="158">
        <v>3.2</v>
      </c>
      <c r="I953" s="158">
        <v>0</v>
      </c>
      <c r="J953" s="158">
        <v>3.45</v>
      </c>
      <c r="K953" s="158" t="s">
        <v>235</v>
      </c>
    </row>
    <row r="954" spans="4:11">
      <c r="D954" s="158">
        <v>162801</v>
      </c>
      <c r="E954" s="158">
        <v>11704</v>
      </c>
      <c r="F954" s="158">
        <v>1084</v>
      </c>
      <c r="G954" s="158">
        <v>2.1</v>
      </c>
      <c r="H954" s="158">
        <v>2.5</v>
      </c>
      <c r="I954" s="158">
        <v>0</v>
      </c>
      <c r="J954" s="158">
        <v>2.5</v>
      </c>
      <c r="K954" s="158" t="s">
        <v>235</v>
      </c>
    </row>
    <row r="955" spans="4:11">
      <c r="D955" s="158">
        <v>162846</v>
      </c>
      <c r="E955" s="158">
        <v>10100</v>
      </c>
      <c r="F955" s="158">
        <v>229</v>
      </c>
      <c r="G955" s="158">
        <v>4.5</v>
      </c>
      <c r="H955" s="158">
        <v>6.8</v>
      </c>
      <c r="I955" s="158">
        <v>0</v>
      </c>
      <c r="J955" s="158">
        <v>6.8</v>
      </c>
      <c r="K955" s="158" t="s">
        <v>237</v>
      </c>
    </row>
    <row r="956" spans="4:11">
      <c r="D956" s="158">
        <v>162848</v>
      </c>
      <c r="E956" s="158">
        <v>10100</v>
      </c>
      <c r="F956" s="158">
        <v>180</v>
      </c>
      <c r="G956" s="158">
        <v>0.5</v>
      </c>
      <c r="H956" s="158">
        <v>0</v>
      </c>
      <c r="I956" s="158">
        <v>0</v>
      </c>
      <c r="J956" s="158">
        <v>0</v>
      </c>
      <c r="K956" s="158" t="s">
        <v>237</v>
      </c>
    </row>
    <row r="957" spans="4:11">
      <c r="D957" s="158">
        <v>162927</v>
      </c>
      <c r="E957" s="158">
        <v>11309</v>
      </c>
      <c r="F957" s="158">
        <v>2135</v>
      </c>
      <c r="G957" s="158">
        <v>6.9</v>
      </c>
      <c r="H957" s="158">
        <v>6.5</v>
      </c>
      <c r="I957" s="158">
        <v>0</v>
      </c>
      <c r="J957" s="158">
        <v>6.5</v>
      </c>
      <c r="K957" s="158" t="s">
        <v>236</v>
      </c>
    </row>
    <row r="958" spans="4:11">
      <c r="D958" s="158">
        <v>162928</v>
      </c>
      <c r="E958" s="158">
        <v>11307</v>
      </c>
      <c r="F958" s="158">
        <v>2135</v>
      </c>
      <c r="G958" s="158">
        <v>13.6</v>
      </c>
      <c r="H958" s="158">
        <v>13.5</v>
      </c>
      <c r="I958" s="158">
        <v>0</v>
      </c>
      <c r="J958" s="158">
        <v>13.5</v>
      </c>
      <c r="K958" s="158" t="s">
        <v>236</v>
      </c>
    </row>
    <row r="959" spans="4:11">
      <c r="D959" s="158">
        <v>162930</v>
      </c>
      <c r="E959" s="158">
        <v>11307</v>
      </c>
      <c r="F959" s="158">
        <v>362</v>
      </c>
      <c r="G959" s="158">
        <v>9</v>
      </c>
      <c r="H959" s="158">
        <v>14.5</v>
      </c>
      <c r="I959" s="158">
        <v>0</v>
      </c>
      <c r="J959" s="158">
        <v>14.5</v>
      </c>
      <c r="K959" s="158" t="s">
        <v>236</v>
      </c>
    </row>
    <row r="960" spans="4:11">
      <c r="D960" s="158">
        <v>162931</v>
      </c>
      <c r="E960" s="158">
        <v>11307</v>
      </c>
      <c r="F960" s="158">
        <v>2135</v>
      </c>
      <c r="G960" s="158">
        <v>11.7</v>
      </c>
      <c r="H960" s="158">
        <v>22.5</v>
      </c>
      <c r="I960" s="158">
        <v>0</v>
      </c>
      <c r="J960" s="158">
        <v>22.5</v>
      </c>
      <c r="K960" s="158" t="s">
        <v>236</v>
      </c>
    </row>
    <row r="961" spans="4:11">
      <c r="D961" s="158">
        <v>162934</v>
      </c>
      <c r="E961" s="158">
        <v>10783</v>
      </c>
      <c r="F961" s="158">
        <v>1014</v>
      </c>
      <c r="H961" s="158">
        <v>0.65</v>
      </c>
      <c r="I961" s="158">
        <v>0</v>
      </c>
      <c r="J961" s="158">
        <v>0.65</v>
      </c>
      <c r="K961" s="158" t="s">
        <v>235</v>
      </c>
    </row>
    <row r="962" spans="4:11">
      <c r="D962" s="158">
        <v>163287</v>
      </c>
      <c r="E962" s="158">
        <v>10639</v>
      </c>
      <c r="F962" s="158">
        <v>2030</v>
      </c>
      <c r="H962" s="158">
        <v>3</v>
      </c>
      <c r="I962" s="158">
        <v>0</v>
      </c>
      <c r="J962" s="158">
        <v>3</v>
      </c>
      <c r="K962" s="158" t="s">
        <v>235</v>
      </c>
    </row>
    <row r="963" spans="4:11">
      <c r="D963" s="158">
        <v>163313</v>
      </c>
      <c r="E963" s="158">
        <v>10639</v>
      </c>
      <c r="F963" s="158">
        <v>2075</v>
      </c>
      <c r="H963" s="158">
        <v>10.3</v>
      </c>
      <c r="I963" s="158">
        <v>0</v>
      </c>
      <c r="J963" s="158">
        <v>10.3</v>
      </c>
      <c r="K963" s="158" t="s">
        <v>235</v>
      </c>
    </row>
    <row r="964" spans="4:11">
      <c r="D964" s="158">
        <v>163467</v>
      </c>
      <c r="E964" s="158">
        <v>10816</v>
      </c>
      <c r="F964" s="158">
        <v>1999</v>
      </c>
      <c r="G964" s="158">
        <v>14.6</v>
      </c>
      <c r="H964" s="158">
        <v>15.5</v>
      </c>
      <c r="I964" s="158">
        <v>0</v>
      </c>
      <c r="J964" s="158">
        <v>15.5</v>
      </c>
      <c r="K964" s="158" t="s">
        <v>235</v>
      </c>
    </row>
    <row r="965" spans="4:11">
      <c r="D965" s="158">
        <v>163468</v>
      </c>
      <c r="E965" s="158">
        <v>10816</v>
      </c>
      <c r="F965" s="158">
        <v>2122</v>
      </c>
      <c r="G965" s="158">
        <v>3</v>
      </c>
      <c r="H965" s="158">
        <v>4</v>
      </c>
      <c r="I965" s="158">
        <v>0</v>
      </c>
      <c r="J965" s="158">
        <v>4</v>
      </c>
      <c r="K965" s="158" t="s">
        <v>235</v>
      </c>
    </row>
    <row r="966" spans="4:11">
      <c r="D966" s="158">
        <v>163471</v>
      </c>
      <c r="E966" s="158">
        <v>10815</v>
      </c>
      <c r="F966" s="158">
        <v>2220</v>
      </c>
      <c r="G966" s="158">
        <v>13.5</v>
      </c>
      <c r="H966" s="158">
        <v>14.25</v>
      </c>
      <c r="I966" s="158">
        <v>0</v>
      </c>
      <c r="J966" s="158">
        <v>14.25</v>
      </c>
      <c r="K966" s="158" t="s">
        <v>235</v>
      </c>
    </row>
    <row r="967" spans="4:11">
      <c r="D967" s="158">
        <v>163472</v>
      </c>
      <c r="E967" s="158">
        <v>10815</v>
      </c>
      <c r="F967" s="158">
        <v>2220</v>
      </c>
      <c r="G967" s="158">
        <v>11.9</v>
      </c>
      <c r="H967" s="158">
        <v>11.75</v>
      </c>
      <c r="I967" s="158">
        <v>0</v>
      </c>
      <c r="J967" s="158">
        <v>11.75</v>
      </c>
      <c r="K967" s="158" t="s">
        <v>235</v>
      </c>
    </row>
    <row r="968" spans="4:11">
      <c r="D968" s="158">
        <v>163478</v>
      </c>
      <c r="E968" s="158">
        <v>11309</v>
      </c>
      <c r="F968" s="158">
        <v>362</v>
      </c>
      <c r="G968" s="158">
        <v>6.9</v>
      </c>
      <c r="H968" s="158">
        <v>5</v>
      </c>
      <c r="I968" s="158">
        <v>0</v>
      </c>
      <c r="J968" s="158">
        <v>5</v>
      </c>
      <c r="K968" s="158" t="s">
        <v>236</v>
      </c>
    </row>
    <row r="969" spans="4:11">
      <c r="D969" s="158">
        <v>163500</v>
      </c>
      <c r="E969" s="158">
        <v>10797</v>
      </c>
      <c r="F969" s="158">
        <v>2075</v>
      </c>
      <c r="G969" s="158">
        <v>10.7</v>
      </c>
      <c r="H969" s="158">
        <v>20.2</v>
      </c>
      <c r="I969" s="158">
        <v>0</v>
      </c>
      <c r="J969" s="158">
        <v>20.2</v>
      </c>
      <c r="K969" s="158" t="s">
        <v>235</v>
      </c>
    </row>
    <row r="970" spans="4:11">
      <c r="D970" s="158">
        <v>163501</v>
      </c>
      <c r="E970" s="158">
        <v>10797</v>
      </c>
      <c r="F970" s="158">
        <v>1999</v>
      </c>
      <c r="G970" s="158">
        <v>1.2</v>
      </c>
      <c r="H970" s="158">
        <v>3</v>
      </c>
      <c r="I970" s="158">
        <v>0</v>
      </c>
      <c r="J970" s="158">
        <v>3</v>
      </c>
      <c r="K970" s="158" t="s">
        <v>235</v>
      </c>
    </row>
    <row r="971" spans="4:11">
      <c r="D971" s="158">
        <v>163502</v>
      </c>
      <c r="E971" s="158">
        <v>10761</v>
      </c>
      <c r="F971" s="158">
        <v>1014</v>
      </c>
      <c r="G971" s="158">
        <v>6.15</v>
      </c>
      <c r="H971" s="158">
        <v>2</v>
      </c>
      <c r="I971" s="158">
        <v>1.5</v>
      </c>
      <c r="J971" s="158">
        <v>3.5</v>
      </c>
      <c r="K971" s="158" t="s">
        <v>235</v>
      </c>
    </row>
    <row r="972" spans="4:11">
      <c r="D972" s="158">
        <v>163534</v>
      </c>
      <c r="E972" s="158">
        <v>10719</v>
      </c>
      <c r="F972" s="158">
        <v>947</v>
      </c>
      <c r="H972" s="158">
        <v>3.5</v>
      </c>
      <c r="I972" s="158">
        <v>0</v>
      </c>
      <c r="J972" s="158">
        <v>3.5</v>
      </c>
      <c r="K972" s="158" t="s">
        <v>235</v>
      </c>
    </row>
    <row r="973" spans="4:11">
      <c r="D973" s="158">
        <v>163540</v>
      </c>
      <c r="E973" s="158">
        <v>10783</v>
      </c>
      <c r="F973" s="158">
        <v>828</v>
      </c>
      <c r="H973" s="158">
        <v>1.75</v>
      </c>
      <c r="I973" s="158">
        <v>0</v>
      </c>
      <c r="J973" s="158">
        <v>1.75</v>
      </c>
      <c r="K973" s="158" t="s">
        <v>235</v>
      </c>
    </row>
    <row r="974" spans="4:11">
      <c r="D974" s="158">
        <v>163541</v>
      </c>
      <c r="E974" s="158">
        <v>10783</v>
      </c>
      <c r="F974" s="158">
        <v>1738</v>
      </c>
      <c r="H974" s="158">
        <v>0</v>
      </c>
      <c r="I974" s="158">
        <v>0</v>
      </c>
      <c r="J974" s="158">
        <v>0</v>
      </c>
      <c r="K974" s="158" t="s">
        <v>235</v>
      </c>
    </row>
    <row r="975" spans="4:11">
      <c r="D975" s="158">
        <v>163542</v>
      </c>
      <c r="E975" s="158">
        <v>10783</v>
      </c>
      <c r="F975" s="158">
        <v>197</v>
      </c>
      <c r="H975" s="158">
        <v>0.25</v>
      </c>
      <c r="I975" s="158">
        <v>0</v>
      </c>
      <c r="J975" s="158">
        <v>0.25</v>
      </c>
      <c r="K975" s="158" t="s">
        <v>235</v>
      </c>
    </row>
    <row r="976" spans="4:11">
      <c r="D976" s="158">
        <v>163543</v>
      </c>
      <c r="E976" s="158">
        <v>10783</v>
      </c>
      <c r="F976" s="158">
        <v>1821</v>
      </c>
      <c r="H976" s="158">
        <v>0</v>
      </c>
      <c r="I976" s="158">
        <v>0</v>
      </c>
      <c r="J976" s="158">
        <v>0</v>
      </c>
      <c r="K976" s="158" t="s">
        <v>235</v>
      </c>
    </row>
    <row r="977" spans="4:11">
      <c r="D977" s="158">
        <v>163544</v>
      </c>
      <c r="E977" s="158">
        <v>10783</v>
      </c>
      <c r="F977" s="158">
        <v>938</v>
      </c>
      <c r="H977" s="158">
        <v>0</v>
      </c>
      <c r="I977" s="158">
        <v>0</v>
      </c>
      <c r="J977" s="158">
        <v>0</v>
      </c>
      <c r="K977" s="158" t="s">
        <v>235</v>
      </c>
    </row>
    <row r="978" spans="4:11">
      <c r="D978" s="158">
        <v>163545</v>
      </c>
      <c r="E978" s="158">
        <v>10783</v>
      </c>
      <c r="F978" s="158">
        <v>2030</v>
      </c>
      <c r="H978" s="158">
        <v>0</v>
      </c>
      <c r="I978" s="158">
        <v>0</v>
      </c>
      <c r="J978" s="158">
        <v>0</v>
      </c>
      <c r="K978" s="158" t="s">
        <v>235</v>
      </c>
    </row>
    <row r="979" spans="4:11">
      <c r="D979" s="158">
        <v>163547</v>
      </c>
      <c r="E979" s="158">
        <v>10783</v>
      </c>
      <c r="F979" s="158">
        <v>222</v>
      </c>
      <c r="H979" s="158">
        <v>0</v>
      </c>
      <c r="I979" s="158">
        <v>0</v>
      </c>
      <c r="J979" s="158">
        <v>0</v>
      </c>
      <c r="K979" s="158" t="s">
        <v>235</v>
      </c>
    </row>
    <row r="980" spans="4:11">
      <c r="D980" s="158">
        <v>163548</v>
      </c>
      <c r="E980" s="158">
        <v>10783</v>
      </c>
      <c r="F980" s="158">
        <v>2062</v>
      </c>
      <c r="H980" s="158">
        <v>0.15</v>
      </c>
      <c r="I980" s="158">
        <v>0</v>
      </c>
      <c r="J980" s="158">
        <v>0.15</v>
      </c>
      <c r="K980" s="158" t="s">
        <v>235</v>
      </c>
    </row>
    <row r="981" spans="4:11">
      <c r="D981" s="158">
        <v>163550</v>
      </c>
      <c r="E981" s="158">
        <v>11213</v>
      </c>
      <c r="F981" s="158">
        <v>1014</v>
      </c>
      <c r="G981" s="158">
        <v>0</v>
      </c>
      <c r="H981" s="158">
        <v>0.45</v>
      </c>
      <c r="I981" s="158">
        <v>0</v>
      </c>
      <c r="J981" s="158">
        <v>0.45</v>
      </c>
      <c r="K981" s="158" t="s">
        <v>235</v>
      </c>
    </row>
    <row r="982" spans="4:11">
      <c r="D982" s="158">
        <v>163551</v>
      </c>
      <c r="E982" s="158">
        <v>11213</v>
      </c>
      <c r="F982" s="158">
        <v>2062</v>
      </c>
      <c r="H982" s="158">
        <v>1.95</v>
      </c>
      <c r="I982" s="158">
        <v>0</v>
      </c>
      <c r="J982" s="158">
        <v>1.95</v>
      </c>
      <c r="K982" s="158" t="s">
        <v>235</v>
      </c>
    </row>
    <row r="983" spans="4:11">
      <c r="D983" s="158">
        <v>163552</v>
      </c>
      <c r="E983" s="158">
        <v>11213</v>
      </c>
      <c r="F983" s="158">
        <v>1821</v>
      </c>
      <c r="H983" s="158">
        <v>0</v>
      </c>
      <c r="I983" s="158">
        <v>0</v>
      </c>
      <c r="J983" s="158">
        <v>0</v>
      </c>
      <c r="K983" s="158" t="s">
        <v>235</v>
      </c>
    </row>
    <row r="984" spans="4:11">
      <c r="D984" s="158">
        <v>163553</v>
      </c>
      <c r="E984" s="158">
        <v>11213</v>
      </c>
      <c r="F984" s="158">
        <v>197</v>
      </c>
      <c r="H984" s="158">
        <v>5.75</v>
      </c>
      <c r="I984" s="158">
        <v>0</v>
      </c>
      <c r="J984" s="158">
        <v>5.75</v>
      </c>
      <c r="K984" s="158" t="s">
        <v>235</v>
      </c>
    </row>
    <row r="985" spans="4:11">
      <c r="D985" s="158">
        <v>163554</v>
      </c>
      <c r="E985" s="158">
        <v>11213</v>
      </c>
      <c r="F985" s="158">
        <v>938</v>
      </c>
      <c r="H985" s="158">
        <v>0.45</v>
      </c>
      <c r="I985" s="158">
        <v>0</v>
      </c>
      <c r="J985" s="158">
        <v>0.45</v>
      </c>
      <c r="K985" s="158" t="s">
        <v>235</v>
      </c>
    </row>
    <row r="986" spans="4:11">
      <c r="D986" s="158">
        <v>163555</v>
      </c>
      <c r="E986" s="158">
        <v>11213</v>
      </c>
      <c r="F986" s="158">
        <v>1738</v>
      </c>
      <c r="H986" s="158">
        <v>1.3</v>
      </c>
      <c r="I986" s="158">
        <v>0</v>
      </c>
      <c r="J986" s="158">
        <v>1.3</v>
      </c>
      <c r="K986" s="158" t="s">
        <v>235</v>
      </c>
    </row>
    <row r="987" spans="4:11">
      <c r="D987" s="158">
        <v>163556</v>
      </c>
      <c r="E987" s="158">
        <v>11213</v>
      </c>
      <c r="F987" s="158">
        <v>2030</v>
      </c>
      <c r="H987" s="158">
        <v>0.3</v>
      </c>
      <c r="I987" s="158">
        <v>0</v>
      </c>
      <c r="J987" s="158">
        <v>0.3</v>
      </c>
      <c r="K987" s="158" t="s">
        <v>235</v>
      </c>
    </row>
    <row r="988" spans="4:11">
      <c r="D988" s="158">
        <v>163557</v>
      </c>
      <c r="E988" s="158">
        <v>11213</v>
      </c>
      <c r="F988" s="158">
        <v>828</v>
      </c>
      <c r="H988" s="158">
        <v>0</v>
      </c>
      <c r="I988" s="158">
        <v>0</v>
      </c>
      <c r="J988" s="158">
        <v>0</v>
      </c>
      <c r="K988" s="158" t="s">
        <v>235</v>
      </c>
    </row>
    <row r="989" spans="4:11">
      <c r="D989" s="158">
        <v>163561</v>
      </c>
      <c r="E989" s="158">
        <v>10752</v>
      </c>
      <c r="F989" s="158">
        <v>2030</v>
      </c>
      <c r="G989" s="158">
        <v>6.4</v>
      </c>
      <c r="H989" s="158">
        <v>1.8</v>
      </c>
      <c r="I989" s="158">
        <v>0</v>
      </c>
      <c r="J989" s="158">
        <v>1.8</v>
      </c>
      <c r="K989" s="158" t="s">
        <v>235</v>
      </c>
    </row>
    <row r="990" spans="4:11">
      <c r="D990" s="158">
        <v>163563</v>
      </c>
      <c r="E990" s="158">
        <v>10639</v>
      </c>
      <c r="F990" s="158">
        <v>1014</v>
      </c>
      <c r="G990" s="158">
        <v>0</v>
      </c>
      <c r="H990" s="158">
        <v>1.85</v>
      </c>
      <c r="I990" s="158">
        <v>4</v>
      </c>
      <c r="J990" s="158">
        <v>5.85</v>
      </c>
      <c r="K990" s="158" t="s">
        <v>235</v>
      </c>
    </row>
    <row r="991" spans="4:11">
      <c r="D991" s="158">
        <v>163652</v>
      </c>
      <c r="E991" s="158">
        <v>10783</v>
      </c>
      <c r="F991" s="158">
        <v>222</v>
      </c>
      <c r="H991" s="158">
        <v>0.5</v>
      </c>
      <c r="I991" s="158">
        <v>0</v>
      </c>
      <c r="J991" s="158">
        <v>0.5</v>
      </c>
      <c r="K991" s="158" t="s">
        <v>235</v>
      </c>
    </row>
    <row r="992" spans="4:11">
      <c r="D992" s="158">
        <v>163722</v>
      </c>
      <c r="E992" s="158">
        <v>10764</v>
      </c>
      <c r="F992" s="158">
        <v>2062</v>
      </c>
      <c r="G992" s="158">
        <v>2.5</v>
      </c>
      <c r="H992" s="158">
        <v>0.8</v>
      </c>
      <c r="I992" s="158">
        <v>0</v>
      </c>
      <c r="J992" s="158">
        <v>0.8</v>
      </c>
      <c r="K992" s="158" t="s">
        <v>235</v>
      </c>
    </row>
    <row r="993" spans="4:11">
      <c r="D993" s="158">
        <v>163726</v>
      </c>
      <c r="E993" s="158">
        <v>10754</v>
      </c>
      <c r="F993" s="158">
        <v>2030</v>
      </c>
      <c r="G993" s="158">
        <v>6.4</v>
      </c>
      <c r="H993" s="158">
        <v>1.2</v>
      </c>
      <c r="I993" s="158">
        <v>1.8</v>
      </c>
      <c r="J993" s="158">
        <v>3</v>
      </c>
      <c r="K993" s="158" t="s">
        <v>235</v>
      </c>
    </row>
    <row r="994" spans="4:11">
      <c r="D994" s="158">
        <v>163727</v>
      </c>
      <c r="E994" s="158">
        <v>10759</v>
      </c>
      <c r="F994" s="158">
        <v>2062</v>
      </c>
      <c r="G994" s="158">
        <v>5</v>
      </c>
      <c r="H994" s="158">
        <v>0.35</v>
      </c>
      <c r="I994" s="158">
        <v>0</v>
      </c>
      <c r="J994" s="158">
        <v>0.35</v>
      </c>
      <c r="K994" s="158" t="s">
        <v>235</v>
      </c>
    </row>
    <row r="995" spans="4:11">
      <c r="D995" s="158">
        <v>163737</v>
      </c>
      <c r="E995" s="158">
        <v>10783</v>
      </c>
      <c r="F995" s="158">
        <v>197</v>
      </c>
      <c r="H995" s="158">
        <v>0.5</v>
      </c>
      <c r="I995" s="158">
        <v>0</v>
      </c>
      <c r="J995" s="158">
        <v>0.5</v>
      </c>
      <c r="K995" s="158" t="s">
        <v>235</v>
      </c>
    </row>
    <row r="996" spans="4:11">
      <c r="D996" s="158">
        <v>163741</v>
      </c>
      <c r="E996" s="158">
        <v>10783</v>
      </c>
      <c r="F996" s="158">
        <v>2062</v>
      </c>
      <c r="G996" s="158">
        <v>0</v>
      </c>
      <c r="H996" s="158">
        <v>0.2</v>
      </c>
      <c r="I996" s="158">
        <v>0</v>
      </c>
      <c r="J996" s="158">
        <v>0.2</v>
      </c>
      <c r="K996" s="158" t="s">
        <v>235</v>
      </c>
    </row>
    <row r="997" spans="4:11">
      <c r="D997" s="158">
        <v>163742</v>
      </c>
      <c r="E997" s="158">
        <v>10783</v>
      </c>
      <c r="F997" s="158">
        <v>222</v>
      </c>
      <c r="G997" s="158">
        <v>0</v>
      </c>
      <c r="H997" s="158">
        <v>2.5</v>
      </c>
      <c r="I997" s="158">
        <v>0</v>
      </c>
      <c r="J997" s="158">
        <v>2.5</v>
      </c>
      <c r="K997" s="158" t="s">
        <v>235</v>
      </c>
    </row>
    <row r="998" spans="4:11">
      <c r="D998" s="158">
        <v>163743</v>
      </c>
      <c r="E998" s="158">
        <v>10783</v>
      </c>
      <c r="F998" s="158">
        <v>1014</v>
      </c>
      <c r="G998" s="158">
        <v>0</v>
      </c>
      <c r="H998" s="158">
        <v>0</v>
      </c>
      <c r="I998" s="158">
        <v>0</v>
      </c>
      <c r="J998" s="158">
        <v>0</v>
      </c>
      <c r="K998" s="158" t="s">
        <v>235</v>
      </c>
    </row>
    <row r="999" spans="4:11">
      <c r="D999" s="158">
        <v>163744</v>
      </c>
      <c r="E999" s="158">
        <v>10783</v>
      </c>
      <c r="F999" s="158">
        <v>2030</v>
      </c>
      <c r="G999" s="158">
        <v>0</v>
      </c>
      <c r="H999" s="158">
        <v>0.1</v>
      </c>
      <c r="I999" s="158">
        <v>0</v>
      </c>
      <c r="J999" s="158">
        <v>0.1</v>
      </c>
      <c r="K999" s="158" t="s">
        <v>235</v>
      </c>
    </row>
    <row r="1000" spans="4:11">
      <c r="D1000" s="158">
        <v>163745</v>
      </c>
      <c r="E1000" s="158">
        <v>10783</v>
      </c>
      <c r="F1000" s="158">
        <v>1821</v>
      </c>
      <c r="G1000" s="158">
        <v>0</v>
      </c>
      <c r="H1000" s="158">
        <v>1.8</v>
      </c>
      <c r="I1000" s="158">
        <v>0</v>
      </c>
      <c r="J1000" s="158">
        <v>1.8</v>
      </c>
      <c r="K1000" s="158" t="s">
        <v>235</v>
      </c>
    </row>
    <row r="1001" spans="4:11">
      <c r="D1001" s="158">
        <v>163746</v>
      </c>
      <c r="E1001" s="158">
        <v>10783</v>
      </c>
      <c r="F1001" s="158">
        <v>1738</v>
      </c>
      <c r="G1001" s="158">
        <v>0</v>
      </c>
      <c r="H1001" s="158">
        <v>0</v>
      </c>
      <c r="I1001" s="158">
        <v>0</v>
      </c>
      <c r="J1001" s="158">
        <v>0</v>
      </c>
      <c r="K1001" s="158" t="s">
        <v>235</v>
      </c>
    </row>
    <row r="1002" spans="4:11">
      <c r="D1002" s="158">
        <v>163784</v>
      </c>
      <c r="E1002" s="158">
        <v>10100</v>
      </c>
      <c r="F1002" s="158">
        <v>229</v>
      </c>
      <c r="H1002" s="158">
        <v>1</v>
      </c>
      <c r="I1002" s="158">
        <v>0</v>
      </c>
      <c r="J1002" s="158">
        <v>1</v>
      </c>
      <c r="K1002" s="158" t="s">
        <v>237</v>
      </c>
    </row>
    <row r="1003" spans="4:11">
      <c r="D1003" s="158">
        <v>163785</v>
      </c>
      <c r="E1003" s="158">
        <v>10100</v>
      </c>
      <c r="F1003" s="158">
        <v>229</v>
      </c>
      <c r="G1003" s="158">
        <v>0</v>
      </c>
      <c r="H1003" s="158">
        <v>4.3</v>
      </c>
      <c r="I1003" s="158">
        <v>0</v>
      </c>
      <c r="J1003" s="158">
        <v>4.3</v>
      </c>
      <c r="K1003" s="158" t="s">
        <v>237</v>
      </c>
    </row>
    <row r="1004" spans="4:11">
      <c r="D1004" s="158">
        <v>163787</v>
      </c>
      <c r="E1004" s="158">
        <v>10100</v>
      </c>
      <c r="F1004" s="158">
        <v>180</v>
      </c>
      <c r="H1004" s="158">
        <v>4.74</v>
      </c>
      <c r="I1004" s="158">
        <v>0</v>
      </c>
      <c r="J1004" s="158">
        <v>4.74</v>
      </c>
      <c r="K1004" s="158" t="s">
        <v>237</v>
      </c>
    </row>
    <row r="1005" spans="4:11">
      <c r="D1005" s="158">
        <v>163788</v>
      </c>
      <c r="E1005" s="158">
        <v>10100</v>
      </c>
      <c r="F1005" s="158">
        <v>180</v>
      </c>
      <c r="H1005" s="158">
        <v>5.59</v>
      </c>
      <c r="I1005" s="158">
        <v>0</v>
      </c>
      <c r="J1005" s="158">
        <v>5.59</v>
      </c>
      <c r="K1005" s="158" t="s">
        <v>237</v>
      </c>
    </row>
    <row r="1006" spans="4:11">
      <c r="D1006" s="158">
        <v>163795</v>
      </c>
      <c r="E1006" s="158">
        <v>10639</v>
      </c>
      <c r="F1006" s="158">
        <v>306</v>
      </c>
      <c r="H1006" s="158">
        <v>0</v>
      </c>
      <c r="I1006" s="158">
        <v>0</v>
      </c>
      <c r="J1006" s="158">
        <v>0</v>
      </c>
      <c r="K1006" s="158" t="s">
        <v>235</v>
      </c>
    </row>
    <row r="1007" spans="4:11">
      <c r="D1007" s="158">
        <v>163796</v>
      </c>
      <c r="E1007" s="158">
        <v>10639</v>
      </c>
      <c r="F1007" s="158">
        <v>938</v>
      </c>
      <c r="H1007" s="158">
        <v>0</v>
      </c>
      <c r="I1007" s="158">
        <v>0</v>
      </c>
      <c r="J1007" s="158">
        <v>0</v>
      </c>
      <c r="K1007" s="158" t="s">
        <v>235</v>
      </c>
    </row>
    <row r="1008" spans="4:11">
      <c r="D1008" s="158">
        <v>163797</v>
      </c>
      <c r="E1008" s="158">
        <v>10639</v>
      </c>
      <c r="F1008" s="158">
        <v>2062</v>
      </c>
      <c r="H1008" s="158">
        <v>1.2</v>
      </c>
      <c r="I1008" s="158">
        <v>0</v>
      </c>
      <c r="J1008" s="158">
        <v>1.2</v>
      </c>
      <c r="K1008" s="158" t="s">
        <v>235</v>
      </c>
    </row>
    <row r="1009" spans="4:11">
      <c r="D1009" s="158">
        <v>163798</v>
      </c>
      <c r="E1009" s="158">
        <v>10639</v>
      </c>
      <c r="F1009" s="158">
        <v>1014</v>
      </c>
      <c r="H1009" s="158">
        <v>0.65</v>
      </c>
      <c r="I1009" s="158">
        <v>0</v>
      </c>
      <c r="J1009" s="158">
        <v>0.65</v>
      </c>
      <c r="K1009" s="158" t="s">
        <v>235</v>
      </c>
    </row>
    <row r="1010" spans="4:11">
      <c r="D1010" s="158">
        <v>163799</v>
      </c>
      <c r="E1010" s="158">
        <v>10639</v>
      </c>
      <c r="F1010" s="158">
        <v>828</v>
      </c>
      <c r="H1010" s="158">
        <v>0</v>
      </c>
      <c r="I1010" s="158">
        <v>0</v>
      </c>
      <c r="J1010" s="158">
        <v>0</v>
      </c>
      <c r="K1010" s="158" t="s">
        <v>235</v>
      </c>
    </row>
    <row r="1011" spans="4:11">
      <c r="D1011" s="158">
        <v>163800</v>
      </c>
      <c r="E1011" s="158">
        <v>10639</v>
      </c>
      <c r="F1011" s="158">
        <v>1738</v>
      </c>
      <c r="H1011" s="158">
        <v>0.95</v>
      </c>
      <c r="I1011" s="158">
        <v>0</v>
      </c>
      <c r="J1011" s="158">
        <v>0.95</v>
      </c>
      <c r="K1011" s="158" t="s">
        <v>235</v>
      </c>
    </row>
    <row r="1012" spans="4:11">
      <c r="D1012" s="158">
        <v>163801</v>
      </c>
      <c r="E1012" s="158">
        <v>10639</v>
      </c>
      <c r="F1012" s="158">
        <v>2030</v>
      </c>
      <c r="H1012" s="158">
        <v>2.85</v>
      </c>
      <c r="I1012" s="158">
        <v>0</v>
      </c>
      <c r="J1012" s="158">
        <v>2.85</v>
      </c>
      <c r="K1012" s="158" t="s">
        <v>235</v>
      </c>
    </row>
    <row r="1013" spans="4:11">
      <c r="D1013" s="158">
        <v>163802</v>
      </c>
      <c r="E1013" s="158">
        <v>10639</v>
      </c>
      <c r="F1013" s="158">
        <v>197</v>
      </c>
      <c r="H1013" s="158">
        <v>0.75</v>
      </c>
      <c r="I1013" s="158">
        <v>0</v>
      </c>
      <c r="J1013" s="158">
        <v>0.75</v>
      </c>
      <c r="K1013" s="158" t="s">
        <v>235</v>
      </c>
    </row>
    <row r="1014" spans="4:11">
      <c r="D1014" s="158">
        <v>163803</v>
      </c>
      <c r="E1014" s="158">
        <v>10639</v>
      </c>
      <c r="F1014" s="158">
        <v>1821</v>
      </c>
      <c r="H1014" s="158">
        <v>0</v>
      </c>
      <c r="I1014" s="158">
        <v>0</v>
      </c>
      <c r="J1014" s="158">
        <v>0</v>
      </c>
      <c r="K1014" s="158" t="s">
        <v>235</v>
      </c>
    </row>
    <row r="1015" spans="4:11">
      <c r="D1015" s="158">
        <v>163804</v>
      </c>
      <c r="E1015" s="158">
        <v>10639</v>
      </c>
      <c r="F1015" s="158">
        <v>222</v>
      </c>
      <c r="H1015" s="158">
        <v>0</v>
      </c>
      <c r="I1015" s="158">
        <v>0</v>
      </c>
      <c r="J1015" s="158">
        <v>0</v>
      </c>
      <c r="K1015" s="158" t="s">
        <v>235</v>
      </c>
    </row>
    <row r="1016" spans="4:11">
      <c r="D1016" s="158">
        <v>163805</v>
      </c>
      <c r="E1016" s="158">
        <v>10639</v>
      </c>
      <c r="F1016" s="158">
        <v>2030</v>
      </c>
      <c r="H1016" s="158">
        <v>0</v>
      </c>
      <c r="I1016" s="158">
        <v>0</v>
      </c>
      <c r="J1016" s="158">
        <v>0</v>
      </c>
      <c r="K1016" s="158" t="s">
        <v>235</v>
      </c>
    </row>
    <row r="1017" spans="4:11">
      <c r="D1017" s="158">
        <v>163806</v>
      </c>
      <c r="E1017" s="158">
        <v>10639</v>
      </c>
      <c r="F1017" s="158">
        <v>1014</v>
      </c>
      <c r="H1017" s="158">
        <v>1.65</v>
      </c>
      <c r="I1017" s="158">
        <v>0</v>
      </c>
      <c r="J1017" s="158">
        <v>1.65</v>
      </c>
      <c r="K1017" s="158" t="s">
        <v>235</v>
      </c>
    </row>
    <row r="1018" spans="4:11">
      <c r="D1018" s="158">
        <v>163843</v>
      </c>
      <c r="E1018" s="158">
        <v>10020</v>
      </c>
      <c r="F1018" s="158">
        <v>1667</v>
      </c>
      <c r="G1018" s="158">
        <v>6.25</v>
      </c>
      <c r="H1018" s="158">
        <v>6.8</v>
      </c>
      <c r="I1018" s="158">
        <v>0</v>
      </c>
      <c r="J1018" s="158">
        <v>6.8</v>
      </c>
      <c r="K1018" s="158" t="s">
        <v>238</v>
      </c>
    </row>
    <row r="1019" spans="4:11">
      <c r="D1019" s="158">
        <v>163848</v>
      </c>
      <c r="E1019" s="158">
        <v>10783</v>
      </c>
      <c r="F1019" s="158">
        <v>197</v>
      </c>
      <c r="G1019" s="158">
        <v>2</v>
      </c>
      <c r="H1019" s="158">
        <v>9.25</v>
      </c>
      <c r="I1019" s="158">
        <v>0</v>
      </c>
      <c r="J1019" s="158">
        <v>9.25</v>
      </c>
      <c r="K1019" s="158" t="s">
        <v>235</v>
      </c>
    </row>
    <row r="1020" spans="4:11">
      <c r="D1020" s="158">
        <v>163849</v>
      </c>
      <c r="E1020" s="158">
        <v>10783</v>
      </c>
      <c r="F1020" s="158">
        <v>2062</v>
      </c>
      <c r="G1020" s="158">
        <v>0.25</v>
      </c>
      <c r="H1020" s="158">
        <v>0</v>
      </c>
      <c r="I1020" s="158">
        <v>0.25</v>
      </c>
      <c r="J1020" s="158">
        <v>0.25</v>
      </c>
      <c r="K1020" s="158" t="s">
        <v>235</v>
      </c>
    </row>
    <row r="1021" spans="4:11">
      <c r="D1021" s="158">
        <v>163850</v>
      </c>
      <c r="E1021" s="158">
        <v>10783</v>
      </c>
      <c r="F1021" s="158">
        <v>1014</v>
      </c>
      <c r="G1021" s="158">
        <v>0.5</v>
      </c>
      <c r="H1021" s="158">
        <v>1.45</v>
      </c>
      <c r="I1021" s="158">
        <v>0.25</v>
      </c>
      <c r="J1021" s="158">
        <v>1.7</v>
      </c>
      <c r="K1021" s="158" t="s">
        <v>235</v>
      </c>
    </row>
    <row r="1022" spans="4:11">
      <c r="D1022" s="158">
        <v>163851</v>
      </c>
      <c r="E1022" s="158">
        <v>10783</v>
      </c>
      <c r="F1022" s="158">
        <v>938</v>
      </c>
      <c r="G1022" s="158">
        <v>0</v>
      </c>
      <c r="H1022" s="158">
        <v>0</v>
      </c>
      <c r="I1022" s="158">
        <v>0</v>
      </c>
      <c r="J1022" s="158">
        <v>0</v>
      </c>
      <c r="K1022" s="158" t="s">
        <v>235</v>
      </c>
    </row>
    <row r="1023" spans="4:11">
      <c r="D1023" s="158">
        <v>163852</v>
      </c>
      <c r="E1023" s="158">
        <v>10783</v>
      </c>
      <c r="F1023" s="158">
        <v>1821</v>
      </c>
      <c r="G1023" s="158">
        <v>0</v>
      </c>
      <c r="H1023" s="158">
        <v>0.5</v>
      </c>
      <c r="I1023" s="158">
        <v>0</v>
      </c>
      <c r="J1023" s="158">
        <v>0.5</v>
      </c>
      <c r="K1023" s="158" t="s">
        <v>235</v>
      </c>
    </row>
    <row r="1024" spans="4:11">
      <c r="D1024" s="158">
        <v>163853</v>
      </c>
      <c r="E1024" s="158">
        <v>10783</v>
      </c>
      <c r="F1024" s="158">
        <v>197</v>
      </c>
      <c r="G1024" s="158">
        <v>0.75</v>
      </c>
      <c r="H1024" s="158">
        <v>0</v>
      </c>
      <c r="I1024" s="158">
        <v>0</v>
      </c>
      <c r="J1024" s="158">
        <v>0</v>
      </c>
      <c r="K1024" s="158" t="s">
        <v>235</v>
      </c>
    </row>
    <row r="1025" spans="4:11">
      <c r="D1025" s="158">
        <v>163876</v>
      </c>
      <c r="E1025" s="158">
        <v>10020</v>
      </c>
      <c r="F1025" s="158">
        <v>1667</v>
      </c>
      <c r="G1025" s="158">
        <v>0.4</v>
      </c>
      <c r="H1025" s="158">
        <v>0.8</v>
      </c>
      <c r="I1025" s="158">
        <v>0</v>
      </c>
      <c r="J1025" s="158">
        <v>0.8</v>
      </c>
      <c r="K1025" s="158" t="s">
        <v>238</v>
      </c>
    </row>
    <row r="1026" spans="4:11">
      <c r="D1026" s="158">
        <v>163877</v>
      </c>
      <c r="E1026" s="158">
        <v>10020</v>
      </c>
      <c r="F1026" s="158">
        <v>402</v>
      </c>
      <c r="G1026" s="158">
        <v>6.25</v>
      </c>
      <c r="H1026" s="158">
        <v>8.4</v>
      </c>
      <c r="I1026" s="158">
        <v>0</v>
      </c>
      <c r="J1026" s="158">
        <v>8.4</v>
      </c>
      <c r="K1026" s="158" t="s">
        <v>238</v>
      </c>
    </row>
    <row r="1027" spans="4:11">
      <c r="D1027" s="158">
        <v>163878</v>
      </c>
      <c r="E1027" s="158">
        <v>10020</v>
      </c>
      <c r="F1027" s="158">
        <v>229</v>
      </c>
      <c r="G1027" s="158">
        <v>0.3</v>
      </c>
      <c r="H1027" s="158">
        <v>0.5</v>
      </c>
      <c r="I1027" s="158">
        <v>0</v>
      </c>
      <c r="J1027" s="158">
        <v>0.5</v>
      </c>
      <c r="K1027" s="158" t="s">
        <v>238</v>
      </c>
    </row>
    <row r="1028" spans="4:11">
      <c r="D1028" s="158">
        <v>163893</v>
      </c>
      <c r="E1028" s="158">
        <v>11213</v>
      </c>
      <c r="F1028" s="158">
        <v>2177</v>
      </c>
      <c r="G1028" s="158">
        <v>24.8</v>
      </c>
      <c r="H1028" s="158">
        <v>0</v>
      </c>
      <c r="I1028" s="158">
        <v>0</v>
      </c>
      <c r="J1028" s="158">
        <v>0</v>
      </c>
      <c r="K1028" s="158" t="s">
        <v>235</v>
      </c>
    </row>
    <row r="1029" spans="4:11">
      <c r="D1029" s="158">
        <v>163894</v>
      </c>
      <c r="E1029" s="158">
        <v>10738</v>
      </c>
      <c r="F1029" s="158">
        <v>197</v>
      </c>
      <c r="G1029" s="158">
        <v>2.5</v>
      </c>
      <c r="H1029" s="158">
        <v>2.5</v>
      </c>
      <c r="I1029" s="158">
        <v>0</v>
      </c>
      <c r="J1029" s="158">
        <v>2.5</v>
      </c>
      <c r="K1029" s="158" t="s">
        <v>235</v>
      </c>
    </row>
    <row r="1030" spans="4:11">
      <c r="D1030" s="158">
        <v>163895</v>
      </c>
      <c r="E1030" s="158">
        <v>10738</v>
      </c>
      <c r="F1030" s="158">
        <v>2177</v>
      </c>
      <c r="G1030" s="158">
        <v>0</v>
      </c>
      <c r="H1030" s="158">
        <v>0</v>
      </c>
      <c r="I1030" s="158">
        <v>0</v>
      </c>
      <c r="J1030" s="158">
        <v>0</v>
      </c>
      <c r="K1030" s="158" t="s">
        <v>235</v>
      </c>
    </row>
    <row r="1031" spans="4:11">
      <c r="D1031" s="158">
        <v>163900</v>
      </c>
      <c r="E1031" s="158">
        <v>10773</v>
      </c>
      <c r="F1031" s="158">
        <v>1738</v>
      </c>
      <c r="G1031" s="158">
        <v>6.4</v>
      </c>
      <c r="H1031" s="158">
        <v>2.2000000000000002</v>
      </c>
      <c r="I1031" s="158">
        <v>0</v>
      </c>
      <c r="J1031" s="158">
        <v>2.2000000000000002</v>
      </c>
      <c r="K1031" s="158" t="s">
        <v>235</v>
      </c>
    </row>
    <row r="1032" spans="4:11">
      <c r="D1032" s="158">
        <v>163901</v>
      </c>
      <c r="E1032" s="158">
        <v>10720</v>
      </c>
      <c r="F1032" s="158">
        <v>2062</v>
      </c>
      <c r="G1032" s="158">
        <v>6.4</v>
      </c>
      <c r="H1032" s="158">
        <v>0</v>
      </c>
      <c r="I1032" s="158">
        <v>0</v>
      </c>
      <c r="J1032" s="158">
        <v>0</v>
      </c>
      <c r="K1032" s="158" t="s">
        <v>235</v>
      </c>
    </row>
    <row r="1033" spans="4:11">
      <c r="D1033" s="158">
        <v>163902</v>
      </c>
      <c r="E1033" s="158">
        <v>10720</v>
      </c>
      <c r="F1033" s="158">
        <v>2062</v>
      </c>
      <c r="G1033" s="158">
        <v>6.4</v>
      </c>
      <c r="H1033" s="158">
        <v>0</v>
      </c>
      <c r="I1033" s="158">
        <v>0</v>
      </c>
      <c r="J1033" s="158">
        <v>0</v>
      </c>
      <c r="K1033" s="158" t="s">
        <v>235</v>
      </c>
    </row>
    <row r="1034" spans="4:11">
      <c r="D1034" s="158">
        <v>163903</v>
      </c>
      <c r="E1034" s="158">
        <v>10720</v>
      </c>
      <c r="F1034" s="158">
        <v>1738</v>
      </c>
      <c r="G1034" s="158">
        <v>9.0500000000000007</v>
      </c>
      <c r="H1034" s="158">
        <v>1.75</v>
      </c>
      <c r="I1034" s="158">
        <v>0</v>
      </c>
      <c r="J1034" s="158">
        <v>1.75</v>
      </c>
      <c r="K1034" s="158" t="s">
        <v>235</v>
      </c>
    </row>
    <row r="1035" spans="4:11">
      <c r="D1035" s="158">
        <v>163904</v>
      </c>
      <c r="E1035" s="158">
        <v>10720</v>
      </c>
      <c r="F1035" s="158">
        <v>1738</v>
      </c>
      <c r="G1035" s="158">
        <v>0</v>
      </c>
      <c r="H1035" s="158">
        <v>1</v>
      </c>
      <c r="I1035" s="158">
        <v>0</v>
      </c>
      <c r="J1035" s="158">
        <v>1</v>
      </c>
      <c r="K1035" s="158" t="s">
        <v>235</v>
      </c>
    </row>
    <row r="1036" spans="4:11">
      <c r="D1036" s="158">
        <v>163905</v>
      </c>
      <c r="E1036" s="158">
        <v>10778</v>
      </c>
      <c r="F1036" s="158">
        <v>197</v>
      </c>
      <c r="G1036" s="158">
        <v>6</v>
      </c>
      <c r="H1036" s="158">
        <v>6.5</v>
      </c>
      <c r="I1036" s="158">
        <v>0</v>
      </c>
      <c r="J1036" s="158">
        <v>6.5</v>
      </c>
      <c r="K1036" s="158" t="s">
        <v>235</v>
      </c>
    </row>
    <row r="1037" spans="4:11">
      <c r="D1037" s="158">
        <v>163906</v>
      </c>
      <c r="E1037" s="158">
        <v>10779</v>
      </c>
      <c r="F1037" s="158">
        <v>1821</v>
      </c>
      <c r="G1037" s="158">
        <v>0</v>
      </c>
      <c r="H1037" s="158">
        <v>1</v>
      </c>
      <c r="I1037" s="158">
        <v>0</v>
      </c>
      <c r="J1037" s="158">
        <v>1</v>
      </c>
      <c r="K1037" s="158" t="s">
        <v>235</v>
      </c>
    </row>
    <row r="1038" spans="4:11">
      <c r="D1038" s="158">
        <v>163907</v>
      </c>
      <c r="E1038" s="158">
        <v>10780</v>
      </c>
      <c r="F1038" s="158">
        <v>1821</v>
      </c>
      <c r="G1038" s="158">
        <v>2.5</v>
      </c>
      <c r="H1038" s="158">
        <v>2.5</v>
      </c>
      <c r="I1038" s="158">
        <v>0</v>
      </c>
      <c r="J1038" s="158">
        <v>2.5</v>
      </c>
      <c r="K1038" s="158" t="s">
        <v>235</v>
      </c>
    </row>
    <row r="1039" spans="4:11">
      <c r="D1039" s="158">
        <v>163908</v>
      </c>
      <c r="E1039" s="158">
        <v>11221</v>
      </c>
      <c r="F1039" s="158">
        <v>2177</v>
      </c>
      <c r="G1039" s="158">
        <v>3.1</v>
      </c>
      <c r="H1039" s="158">
        <v>0</v>
      </c>
      <c r="I1039" s="158">
        <v>0</v>
      </c>
      <c r="J1039" s="158">
        <v>2</v>
      </c>
      <c r="K1039" s="158" t="s">
        <v>235</v>
      </c>
    </row>
    <row r="1040" spans="4:11">
      <c r="D1040" s="158">
        <v>163910</v>
      </c>
      <c r="E1040" s="158">
        <v>11948</v>
      </c>
      <c r="F1040" s="158">
        <v>1014</v>
      </c>
      <c r="G1040" s="158">
        <v>2.6</v>
      </c>
      <c r="H1040" s="158">
        <v>0</v>
      </c>
      <c r="I1040" s="158">
        <v>0</v>
      </c>
      <c r="J1040" s="158">
        <v>0</v>
      </c>
      <c r="K1040" s="158" t="s">
        <v>235</v>
      </c>
    </row>
    <row r="1041" spans="4:11">
      <c r="D1041" s="158">
        <v>163911</v>
      </c>
      <c r="E1041" s="158">
        <v>11948</v>
      </c>
      <c r="F1041" s="158">
        <v>2030</v>
      </c>
      <c r="G1041" s="158">
        <v>2.6</v>
      </c>
      <c r="H1041" s="158">
        <v>6.1</v>
      </c>
      <c r="I1041" s="158">
        <v>0</v>
      </c>
      <c r="J1041" s="158">
        <v>6.1</v>
      </c>
      <c r="K1041" s="158" t="s">
        <v>235</v>
      </c>
    </row>
    <row r="1042" spans="4:11">
      <c r="D1042" s="158">
        <v>163912</v>
      </c>
      <c r="E1042" s="158">
        <v>11948</v>
      </c>
      <c r="F1042" s="158">
        <v>1014</v>
      </c>
      <c r="G1042" s="158">
        <v>2.6</v>
      </c>
      <c r="H1042" s="158">
        <v>0</v>
      </c>
      <c r="I1042" s="158">
        <v>0</v>
      </c>
      <c r="J1042" s="158">
        <v>0</v>
      </c>
      <c r="K1042" s="158" t="s">
        <v>235</v>
      </c>
    </row>
    <row r="1043" spans="4:11">
      <c r="D1043" s="158">
        <v>163913</v>
      </c>
      <c r="E1043" s="158">
        <v>11948</v>
      </c>
      <c r="F1043" s="158">
        <v>197</v>
      </c>
      <c r="G1043" s="158">
        <v>2.6</v>
      </c>
      <c r="H1043" s="158">
        <v>0</v>
      </c>
      <c r="I1043" s="158">
        <v>0</v>
      </c>
      <c r="J1043" s="158">
        <v>0</v>
      </c>
      <c r="K1043" s="158" t="s">
        <v>235</v>
      </c>
    </row>
    <row r="1044" spans="4:11">
      <c r="D1044" s="158">
        <v>163914</v>
      </c>
      <c r="E1044" s="158">
        <v>11948</v>
      </c>
      <c r="F1044" s="158">
        <v>197</v>
      </c>
      <c r="G1044" s="158">
        <v>2.6</v>
      </c>
      <c r="H1044" s="158">
        <v>0</v>
      </c>
      <c r="I1044" s="158">
        <v>0</v>
      </c>
      <c r="J1044" s="158">
        <v>0</v>
      </c>
      <c r="K1044" s="158" t="s">
        <v>235</v>
      </c>
    </row>
    <row r="1045" spans="4:11">
      <c r="D1045" s="158">
        <v>163915</v>
      </c>
      <c r="E1045" s="158">
        <v>10740</v>
      </c>
      <c r="F1045" s="158">
        <v>1821</v>
      </c>
      <c r="G1045" s="158">
        <v>18.600000000000001</v>
      </c>
      <c r="H1045" s="158">
        <v>2.5</v>
      </c>
      <c r="I1045" s="158">
        <v>0</v>
      </c>
      <c r="J1045" s="158">
        <v>2.5</v>
      </c>
      <c r="K1045" s="158" t="s">
        <v>235</v>
      </c>
    </row>
    <row r="1046" spans="4:11">
      <c r="D1046" s="158">
        <v>163916</v>
      </c>
      <c r="E1046" s="158">
        <v>11948</v>
      </c>
      <c r="F1046" s="158">
        <v>2030</v>
      </c>
      <c r="G1046" s="158">
        <v>7.7</v>
      </c>
      <c r="H1046" s="158">
        <v>6.5</v>
      </c>
      <c r="I1046" s="158">
        <v>0</v>
      </c>
      <c r="J1046" s="158">
        <v>6.5</v>
      </c>
      <c r="K1046" s="158" t="s">
        <v>235</v>
      </c>
    </row>
    <row r="1047" spans="4:11">
      <c r="D1047" s="158">
        <v>163917</v>
      </c>
      <c r="E1047" s="158">
        <v>11948</v>
      </c>
      <c r="F1047" s="158">
        <v>2030</v>
      </c>
      <c r="G1047" s="158">
        <v>7.7</v>
      </c>
      <c r="H1047" s="158">
        <v>3.6</v>
      </c>
      <c r="I1047" s="158">
        <v>2.4</v>
      </c>
      <c r="J1047" s="158">
        <v>6</v>
      </c>
      <c r="K1047" s="158" t="s">
        <v>235</v>
      </c>
    </row>
    <row r="1048" spans="4:11">
      <c r="D1048" s="158">
        <v>163918</v>
      </c>
      <c r="E1048" s="158">
        <v>10754</v>
      </c>
      <c r="F1048" s="158">
        <v>2030</v>
      </c>
      <c r="G1048" s="158">
        <v>26.4</v>
      </c>
      <c r="H1048" s="158">
        <v>1.85</v>
      </c>
      <c r="I1048" s="158">
        <v>3</v>
      </c>
      <c r="J1048" s="158">
        <v>4.8499999999999996</v>
      </c>
      <c r="K1048" s="158" t="s">
        <v>235</v>
      </c>
    </row>
    <row r="1049" spans="4:11">
      <c r="D1049" s="158">
        <v>163921</v>
      </c>
      <c r="E1049" s="158">
        <v>10754</v>
      </c>
      <c r="F1049" s="158">
        <v>2030</v>
      </c>
      <c r="G1049" s="158">
        <v>12.9</v>
      </c>
      <c r="H1049" s="158">
        <v>3.35</v>
      </c>
      <c r="I1049" s="158">
        <v>5</v>
      </c>
      <c r="J1049" s="158">
        <v>8.35</v>
      </c>
      <c r="K1049" s="158" t="s">
        <v>235</v>
      </c>
    </row>
    <row r="1050" spans="4:11">
      <c r="D1050" s="158">
        <v>163922</v>
      </c>
      <c r="E1050" s="158">
        <v>11948</v>
      </c>
      <c r="F1050" s="158">
        <v>2030</v>
      </c>
      <c r="G1050" s="158">
        <v>7.7</v>
      </c>
      <c r="H1050" s="158">
        <v>2.1</v>
      </c>
      <c r="I1050" s="158">
        <v>0</v>
      </c>
      <c r="J1050" s="158">
        <v>2.1</v>
      </c>
      <c r="K1050" s="158" t="s">
        <v>235</v>
      </c>
    </row>
    <row r="1051" spans="4:11">
      <c r="D1051" s="158">
        <v>163923</v>
      </c>
      <c r="E1051" s="158">
        <v>11948</v>
      </c>
      <c r="F1051" s="158">
        <v>2030</v>
      </c>
      <c r="G1051" s="158">
        <v>2.6</v>
      </c>
      <c r="H1051" s="158">
        <v>2.2000000000000002</v>
      </c>
      <c r="I1051" s="158">
        <v>0</v>
      </c>
      <c r="J1051" s="158">
        <v>2.2000000000000002</v>
      </c>
      <c r="K1051" s="158" t="s">
        <v>235</v>
      </c>
    </row>
    <row r="1052" spans="4:11">
      <c r="D1052" s="158">
        <v>163924</v>
      </c>
      <c r="E1052" s="158">
        <v>11948</v>
      </c>
      <c r="F1052" s="158">
        <v>2030</v>
      </c>
      <c r="G1052" s="158">
        <v>2.6</v>
      </c>
      <c r="H1052" s="158">
        <v>1.3</v>
      </c>
      <c r="I1052" s="158">
        <v>0.7</v>
      </c>
      <c r="J1052" s="158">
        <v>2</v>
      </c>
      <c r="K1052" s="158" t="s">
        <v>235</v>
      </c>
    </row>
    <row r="1053" spans="4:11">
      <c r="D1053" s="158">
        <v>163925</v>
      </c>
      <c r="E1053" s="158">
        <v>10755</v>
      </c>
      <c r="F1053" s="158">
        <v>2030</v>
      </c>
      <c r="G1053" s="158">
        <v>7.25</v>
      </c>
      <c r="H1053" s="158">
        <v>0.6</v>
      </c>
      <c r="I1053" s="158">
        <v>4</v>
      </c>
      <c r="J1053" s="158">
        <v>4.5999999999999996</v>
      </c>
      <c r="K1053" s="158" t="s">
        <v>235</v>
      </c>
    </row>
    <row r="1054" spans="4:11">
      <c r="D1054" s="158">
        <v>163928</v>
      </c>
      <c r="E1054" s="158">
        <v>11948</v>
      </c>
      <c r="F1054" s="158">
        <v>2062</v>
      </c>
      <c r="G1054" s="158">
        <v>2.6</v>
      </c>
      <c r="H1054" s="158">
        <v>4.7300000000000004</v>
      </c>
      <c r="I1054" s="158">
        <v>0</v>
      </c>
      <c r="J1054" s="158">
        <v>4.7300000000000004</v>
      </c>
      <c r="K1054" s="158" t="s">
        <v>235</v>
      </c>
    </row>
    <row r="1055" spans="4:11">
      <c r="D1055" s="158">
        <v>163929</v>
      </c>
      <c r="E1055" s="158">
        <v>11948</v>
      </c>
      <c r="F1055" s="158">
        <v>2062</v>
      </c>
      <c r="G1055" s="158">
        <v>2.6</v>
      </c>
      <c r="H1055" s="158">
        <v>6.08</v>
      </c>
      <c r="I1055" s="158">
        <v>0</v>
      </c>
      <c r="J1055" s="158">
        <v>6.08</v>
      </c>
      <c r="K1055" s="158" t="s">
        <v>235</v>
      </c>
    </row>
    <row r="1056" spans="4:11">
      <c r="D1056" s="158">
        <v>163930</v>
      </c>
      <c r="E1056" s="158">
        <v>11948</v>
      </c>
      <c r="F1056" s="158">
        <v>1014</v>
      </c>
      <c r="G1056" s="158">
        <v>2.6</v>
      </c>
      <c r="H1056" s="158">
        <v>3</v>
      </c>
      <c r="I1056" s="158">
        <v>0</v>
      </c>
      <c r="J1056" s="158">
        <v>3</v>
      </c>
      <c r="K1056" s="158" t="s">
        <v>235</v>
      </c>
    </row>
    <row r="1057" spans="4:11">
      <c r="D1057" s="158">
        <v>163931</v>
      </c>
      <c r="E1057" s="158">
        <v>11948</v>
      </c>
      <c r="F1057" s="158">
        <v>1014</v>
      </c>
      <c r="G1057" s="158">
        <v>2.6</v>
      </c>
      <c r="H1057" s="158">
        <v>2.6</v>
      </c>
      <c r="I1057" s="158">
        <v>0</v>
      </c>
      <c r="J1057" s="158">
        <v>2.6</v>
      </c>
      <c r="K1057" s="158" t="s">
        <v>235</v>
      </c>
    </row>
    <row r="1058" spans="4:11">
      <c r="D1058" s="158">
        <v>163932</v>
      </c>
      <c r="E1058" s="158">
        <v>11948</v>
      </c>
      <c r="F1058" s="158">
        <v>2062</v>
      </c>
      <c r="G1058" s="158">
        <v>2.6</v>
      </c>
      <c r="H1058" s="158">
        <v>1.5</v>
      </c>
      <c r="I1058" s="158">
        <v>0</v>
      </c>
      <c r="J1058" s="158">
        <v>1.5</v>
      </c>
      <c r="K1058" s="158" t="s">
        <v>235</v>
      </c>
    </row>
    <row r="1059" spans="4:11">
      <c r="D1059" s="158">
        <v>163933</v>
      </c>
      <c r="E1059" s="158">
        <v>11948</v>
      </c>
      <c r="F1059" s="158">
        <v>2062</v>
      </c>
      <c r="G1059" s="158">
        <v>2.6</v>
      </c>
      <c r="H1059" s="158">
        <v>2.4</v>
      </c>
      <c r="I1059" s="158">
        <v>0</v>
      </c>
      <c r="J1059" s="158">
        <v>2.4</v>
      </c>
      <c r="K1059" s="158" t="s">
        <v>235</v>
      </c>
    </row>
    <row r="1060" spans="4:11">
      <c r="D1060" s="158">
        <v>163934</v>
      </c>
      <c r="E1060" s="158">
        <v>11948</v>
      </c>
      <c r="F1060" s="158">
        <v>1014</v>
      </c>
      <c r="G1060" s="158">
        <v>2.6</v>
      </c>
      <c r="H1060" s="158">
        <v>1</v>
      </c>
      <c r="I1060" s="158">
        <v>0</v>
      </c>
      <c r="J1060" s="158">
        <v>1</v>
      </c>
      <c r="K1060" s="158" t="s">
        <v>235</v>
      </c>
    </row>
    <row r="1061" spans="4:11">
      <c r="D1061" s="158">
        <v>163935</v>
      </c>
      <c r="E1061" s="158">
        <v>11948</v>
      </c>
      <c r="F1061" s="158">
        <v>1014</v>
      </c>
      <c r="G1061" s="158">
        <v>2.6</v>
      </c>
      <c r="H1061" s="158">
        <v>2.2999999999999998</v>
      </c>
      <c r="I1061" s="158">
        <v>0</v>
      </c>
      <c r="J1061" s="158">
        <v>2.2999999999999998</v>
      </c>
      <c r="K1061" s="158" t="s">
        <v>235</v>
      </c>
    </row>
    <row r="1062" spans="4:11">
      <c r="D1062" s="158">
        <v>163936</v>
      </c>
      <c r="E1062" s="158">
        <v>11948</v>
      </c>
      <c r="F1062" s="158">
        <v>2062</v>
      </c>
      <c r="G1062" s="158">
        <v>2.6</v>
      </c>
      <c r="H1062" s="158">
        <v>2.35</v>
      </c>
      <c r="I1062" s="158">
        <v>1.4</v>
      </c>
      <c r="J1062" s="158">
        <v>3.75</v>
      </c>
      <c r="K1062" s="158" t="s">
        <v>235</v>
      </c>
    </row>
    <row r="1063" spans="4:11">
      <c r="D1063" s="158">
        <v>163937</v>
      </c>
      <c r="E1063" s="158">
        <v>11948</v>
      </c>
      <c r="F1063" s="158">
        <v>2062</v>
      </c>
      <c r="G1063" s="158">
        <v>2.6</v>
      </c>
      <c r="H1063" s="158">
        <v>2.89</v>
      </c>
      <c r="I1063" s="158">
        <v>1.7</v>
      </c>
      <c r="J1063" s="158">
        <v>4.59</v>
      </c>
      <c r="K1063" s="158" t="s">
        <v>235</v>
      </c>
    </row>
    <row r="1064" spans="4:11">
      <c r="D1064" s="158">
        <v>163938</v>
      </c>
      <c r="E1064" s="158">
        <v>11948</v>
      </c>
      <c r="F1064" s="158">
        <v>1014</v>
      </c>
      <c r="G1064" s="158">
        <v>2.6</v>
      </c>
      <c r="H1064" s="158">
        <v>0</v>
      </c>
      <c r="I1064" s="158">
        <v>0.5</v>
      </c>
      <c r="J1064" s="158">
        <v>0.5</v>
      </c>
      <c r="K1064" s="158" t="s">
        <v>235</v>
      </c>
    </row>
    <row r="1065" spans="4:11">
      <c r="D1065" s="158">
        <v>163939</v>
      </c>
      <c r="E1065" s="158">
        <v>11948</v>
      </c>
      <c r="F1065" s="158">
        <v>1014</v>
      </c>
      <c r="G1065" s="158">
        <v>2.6</v>
      </c>
      <c r="H1065" s="158">
        <v>2.75</v>
      </c>
      <c r="I1065" s="158">
        <v>0.1</v>
      </c>
      <c r="J1065" s="158">
        <v>2.85</v>
      </c>
      <c r="K1065" s="158" t="s">
        <v>235</v>
      </c>
    </row>
    <row r="1066" spans="4:11">
      <c r="D1066" s="158">
        <v>163940</v>
      </c>
      <c r="E1066" s="158">
        <v>10758</v>
      </c>
      <c r="F1066" s="158">
        <v>2062</v>
      </c>
      <c r="G1066" s="158">
        <v>5.4</v>
      </c>
      <c r="H1066" s="158">
        <v>1.45</v>
      </c>
      <c r="I1066" s="158">
        <v>0</v>
      </c>
      <c r="J1066" s="158">
        <v>1.45</v>
      </c>
      <c r="K1066" s="158" t="s">
        <v>235</v>
      </c>
    </row>
    <row r="1067" spans="4:11">
      <c r="D1067" s="158">
        <v>163941</v>
      </c>
      <c r="E1067" s="158">
        <v>10758</v>
      </c>
      <c r="F1067" s="158">
        <v>2062</v>
      </c>
      <c r="G1067" s="158">
        <v>2.5</v>
      </c>
      <c r="H1067" s="158">
        <v>0</v>
      </c>
      <c r="I1067" s="158">
        <v>0</v>
      </c>
      <c r="J1067" s="158">
        <v>0</v>
      </c>
      <c r="K1067" s="158" t="s">
        <v>235</v>
      </c>
    </row>
    <row r="1068" spans="4:11">
      <c r="D1068" s="158">
        <v>163943</v>
      </c>
      <c r="E1068" s="158">
        <v>10759</v>
      </c>
      <c r="F1068" s="158">
        <v>2062</v>
      </c>
      <c r="G1068" s="158">
        <v>6.15</v>
      </c>
      <c r="H1068" s="158">
        <v>0.2</v>
      </c>
      <c r="I1068" s="158">
        <v>0</v>
      </c>
      <c r="J1068" s="158">
        <v>0.2</v>
      </c>
      <c r="K1068" s="158" t="s">
        <v>235</v>
      </c>
    </row>
    <row r="1069" spans="4:11">
      <c r="D1069" s="158">
        <v>163945</v>
      </c>
      <c r="E1069" s="158">
        <v>10763</v>
      </c>
      <c r="F1069" s="158">
        <v>1014</v>
      </c>
      <c r="G1069" s="158">
        <v>0</v>
      </c>
      <c r="H1069" s="158">
        <v>0.6</v>
      </c>
      <c r="I1069" s="158">
        <v>0</v>
      </c>
      <c r="J1069" s="158">
        <v>0.6</v>
      </c>
      <c r="K1069" s="158" t="s">
        <v>235</v>
      </c>
    </row>
    <row r="1070" spans="4:11">
      <c r="D1070" s="158">
        <v>163946</v>
      </c>
      <c r="E1070" s="158">
        <v>10763</v>
      </c>
      <c r="F1070" s="158">
        <v>828</v>
      </c>
      <c r="G1070" s="158">
        <v>18.600000000000001</v>
      </c>
      <c r="H1070" s="158">
        <v>11.5</v>
      </c>
      <c r="I1070" s="158">
        <v>0</v>
      </c>
      <c r="J1070" s="158">
        <v>11.5</v>
      </c>
      <c r="K1070" s="158" t="s">
        <v>235</v>
      </c>
    </row>
    <row r="1071" spans="4:11">
      <c r="D1071" s="158">
        <v>163947</v>
      </c>
      <c r="E1071" s="158">
        <v>10763</v>
      </c>
      <c r="F1071" s="158">
        <v>306</v>
      </c>
      <c r="G1071" s="158">
        <v>8.8000000000000007</v>
      </c>
      <c r="H1071" s="158">
        <v>7</v>
      </c>
      <c r="I1071" s="158">
        <v>6</v>
      </c>
      <c r="J1071" s="158">
        <v>13</v>
      </c>
      <c r="K1071" s="158" t="s">
        <v>235</v>
      </c>
    </row>
    <row r="1072" spans="4:11">
      <c r="D1072" s="158">
        <v>163948</v>
      </c>
      <c r="E1072" s="158">
        <v>10763</v>
      </c>
      <c r="F1072" s="158">
        <v>828</v>
      </c>
      <c r="G1072" s="158">
        <v>26.4</v>
      </c>
      <c r="H1072" s="158">
        <v>62.75</v>
      </c>
      <c r="I1072" s="158">
        <v>0</v>
      </c>
      <c r="J1072" s="158">
        <v>62.75</v>
      </c>
      <c r="K1072" s="158" t="s">
        <v>235</v>
      </c>
    </row>
    <row r="1073" spans="4:11">
      <c r="D1073" s="158">
        <v>163949</v>
      </c>
      <c r="E1073" s="158">
        <v>10763</v>
      </c>
      <c r="F1073" s="158">
        <v>2062</v>
      </c>
      <c r="G1073" s="158">
        <v>2</v>
      </c>
      <c r="H1073" s="158">
        <v>0.9</v>
      </c>
      <c r="I1073" s="158">
        <v>0.6</v>
      </c>
      <c r="J1073" s="158">
        <v>1.5</v>
      </c>
      <c r="K1073" s="158" t="s">
        <v>235</v>
      </c>
    </row>
    <row r="1074" spans="4:11">
      <c r="D1074" s="158">
        <v>163950</v>
      </c>
      <c r="E1074" s="158">
        <v>10764</v>
      </c>
      <c r="F1074" s="158">
        <v>1014</v>
      </c>
      <c r="G1074" s="158">
        <v>0</v>
      </c>
      <c r="H1074" s="158">
        <v>0.45</v>
      </c>
      <c r="I1074" s="158">
        <v>0</v>
      </c>
      <c r="J1074" s="158">
        <v>0.45</v>
      </c>
      <c r="K1074" s="158" t="s">
        <v>235</v>
      </c>
    </row>
    <row r="1075" spans="4:11">
      <c r="D1075" s="158">
        <v>163951</v>
      </c>
      <c r="E1075" s="158">
        <v>10764</v>
      </c>
      <c r="F1075" s="158">
        <v>2062</v>
      </c>
      <c r="G1075" s="158">
        <v>2.5</v>
      </c>
      <c r="H1075" s="158">
        <v>0</v>
      </c>
      <c r="I1075" s="158">
        <v>1</v>
      </c>
      <c r="J1075" s="158">
        <v>1</v>
      </c>
      <c r="K1075" s="158" t="s">
        <v>235</v>
      </c>
    </row>
    <row r="1076" spans="4:11">
      <c r="D1076" s="158">
        <v>163952</v>
      </c>
      <c r="E1076" s="158">
        <v>10764</v>
      </c>
      <c r="F1076" s="158">
        <v>2062</v>
      </c>
      <c r="G1076" s="158">
        <v>2.25</v>
      </c>
      <c r="H1076" s="158">
        <v>1.45</v>
      </c>
      <c r="I1076" s="158">
        <v>0</v>
      </c>
      <c r="J1076" s="158">
        <v>1.45</v>
      </c>
      <c r="K1076" s="158" t="s">
        <v>235</v>
      </c>
    </row>
    <row r="1077" spans="4:11">
      <c r="D1077" s="158">
        <v>163953</v>
      </c>
      <c r="E1077" s="158">
        <v>10768</v>
      </c>
      <c r="F1077" s="158">
        <v>1014</v>
      </c>
      <c r="G1077" s="158">
        <v>2.5</v>
      </c>
      <c r="H1077" s="158">
        <v>0.8</v>
      </c>
      <c r="I1077" s="158">
        <v>0</v>
      </c>
      <c r="J1077" s="158">
        <v>0.8</v>
      </c>
      <c r="K1077" s="158" t="s">
        <v>235</v>
      </c>
    </row>
    <row r="1078" spans="4:11">
      <c r="D1078" s="158">
        <v>163954</v>
      </c>
      <c r="E1078" s="158">
        <v>10768</v>
      </c>
      <c r="F1078" s="158">
        <v>1014</v>
      </c>
      <c r="G1078" s="158">
        <v>2.5</v>
      </c>
      <c r="H1078" s="158">
        <v>0</v>
      </c>
      <c r="I1078" s="158">
        <v>1.9</v>
      </c>
      <c r="J1078" s="158">
        <v>1.9</v>
      </c>
      <c r="K1078" s="158" t="s">
        <v>235</v>
      </c>
    </row>
    <row r="1079" spans="4:11">
      <c r="D1079" s="158">
        <v>163955</v>
      </c>
      <c r="E1079" s="158">
        <v>10768</v>
      </c>
      <c r="F1079" s="158">
        <v>1014</v>
      </c>
      <c r="G1079" s="158">
        <v>2.5</v>
      </c>
      <c r="H1079" s="158">
        <v>0.8</v>
      </c>
      <c r="I1079" s="158">
        <v>0</v>
      </c>
      <c r="J1079" s="158">
        <v>0.8</v>
      </c>
      <c r="K1079" s="158" t="s">
        <v>235</v>
      </c>
    </row>
    <row r="1080" spans="4:11">
      <c r="D1080" s="158">
        <v>163956</v>
      </c>
      <c r="E1080" s="158">
        <v>10768</v>
      </c>
      <c r="F1080" s="158">
        <v>1014</v>
      </c>
      <c r="G1080" s="158">
        <v>2.25</v>
      </c>
      <c r="H1080" s="158">
        <v>0.9</v>
      </c>
      <c r="I1080" s="158">
        <v>0</v>
      </c>
      <c r="J1080" s="158">
        <v>0.9</v>
      </c>
      <c r="K1080" s="158" t="s">
        <v>235</v>
      </c>
    </row>
    <row r="1081" spans="4:11">
      <c r="D1081" s="158">
        <v>163957</v>
      </c>
      <c r="E1081" s="158">
        <v>10769</v>
      </c>
      <c r="F1081" s="158">
        <v>2062</v>
      </c>
      <c r="G1081" s="158">
        <v>6.4</v>
      </c>
      <c r="H1081" s="158">
        <v>1</v>
      </c>
      <c r="I1081" s="158">
        <v>0</v>
      </c>
      <c r="J1081" s="158">
        <v>1</v>
      </c>
      <c r="K1081" s="158" t="s">
        <v>235</v>
      </c>
    </row>
    <row r="1082" spans="4:11">
      <c r="D1082" s="158">
        <v>163960</v>
      </c>
      <c r="E1082" s="158">
        <v>10759</v>
      </c>
      <c r="F1082" s="158">
        <v>2062</v>
      </c>
      <c r="G1082" s="158">
        <v>2.5</v>
      </c>
      <c r="H1082" s="158">
        <v>0</v>
      </c>
      <c r="I1082" s="158">
        <v>0</v>
      </c>
      <c r="J1082" s="158">
        <v>0</v>
      </c>
      <c r="K1082" s="158" t="s">
        <v>235</v>
      </c>
    </row>
    <row r="1083" spans="4:11">
      <c r="D1083" s="158">
        <v>163962</v>
      </c>
      <c r="E1083" s="158">
        <v>10778</v>
      </c>
      <c r="F1083" s="158">
        <v>197</v>
      </c>
      <c r="G1083" s="158">
        <v>2.5</v>
      </c>
      <c r="H1083" s="158">
        <v>2</v>
      </c>
      <c r="I1083" s="158">
        <v>0</v>
      </c>
      <c r="J1083" s="158">
        <v>2</v>
      </c>
      <c r="K1083" s="158" t="s">
        <v>235</v>
      </c>
    </row>
    <row r="1084" spans="4:11">
      <c r="D1084" s="158">
        <v>163963</v>
      </c>
      <c r="E1084" s="158">
        <v>11948</v>
      </c>
      <c r="F1084" s="158">
        <v>1014</v>
      </c>
      <c r="G1084" s="158">
        <v>3.9</v>
      </c>
      <c r="H1084" s="158">
        <v>3.6</v>
      </c>
      <c r="I1084" s="158">
        <v>0</v>
      </c>
      <c r="J1084" s="158">
        <v>3.6</v>
      </c>
      <c r="K1084" s="158" t="s">
        <v>235</v>
      </c>
    </row>
    <row r="1085" spans="4:11">
      <c r="D1085" s="158">
        <v>163964</v>
      </c>
      <c r="E1085" s="158">
        <v>11948</v>
      </c>
      <c r="F1085" s="158">
        <v>2062</v>
      </c>
      <c r="G1085" s="158">
        <v>3.8</v>
      </c>
      <c r="H1085" s="158">
        <v>5.2</v>
      </c>
      <c r="I1085" s="158">
        <v>0</v>
      </c>
      <c r="J1085" s="158">
        <v>5.2</v>
      </c>
      <c r="K1085" s="158" t="s">
        <v>235</v>
      </c>
    </row>
    <row r="1086" spans="4:11">
      <c r="D1086" s="158">
        <v>163965</v>
      </c>
      <c r="E1086" s="158">
        <v>11948</v>
      </c>
      <c r="F1086" s="158">
        <v>1014</v>
      </c>
      <c r="G1086" s="158">
        <v>3.9</v>
      </c>
      <c r="H1086" s="158">
        <v>3.95</v>
      </c>
      <c r="I1086" s="158">
        <v>0</v>
      </c>
      <c r="J1086" s="158">
        <v>3.95</v>
      </c>
      <c r="K1086" s="158" t="s">
        <v>235</v>
      </c>
    </row>
    <row r="1087" spans="4:11">
      <c r="D1087" s="158">
        <v>163966</v>
      </c>
      <c r="E1087" s="158">
        <v>11948</v>
      </c>
      <c r="F1087" s="158">
        <v>2062</v>
      </c>
      <c r="G1087" s="158">
        <v>3.8</v>
      </c>
      <c r="H1087" s="158">
        <v>5.64</v>
      </c>
      <c r="I1087" s="158">
        <v>0</v>
      </c>
      <c r="J1087" s="158">
        <v>5.64</v>
      </c>
      <c r="K1087" s="158" t="s">
        <v>235</v>
      </c>
    </row>
    <row r="1088" spans="4:11">
      <c r="D1088" s="158">
        <v>163967</v>
      </c>
      <c r="E1088" s="158">
        <v>11948</v>
      </c>
      <c r="F1088" s="158">
        <v>1014</v>
      </c>
      <c r="G1088" s="158">
        <v>3.9</v>
      </c>
      <c r="H1088" s="158">
        <v>3.15</v>
      </c>
      <c r="I1088" s="158">
        <v>0</v>
      </c>
      <c r="J1088" s="158">
        <v>3.15</v>
      </c>
      <c r="K1088" s="158" t="s">
        <v>235</v>
      </c>
    </row>
    <row r="1089" spans="4:11">
      <c r="D1089" s="158">
        <v>163968</v>
      </c>
      <c r="E1089" s="158">
        <v>11948</v>
      </c>
      <c r="F1089" s="158">
        <v>2062</v>
      </c>
      <c r="G1089" s="158">
        <v>3.8</v>
      </c>
      <c r="H1089" s="158">
        <v>1.5</v>
      </c>
      <c r="I1089" s="158">
        <v>0</v>
      </c>
      <c r="J1089" s="158">
        <v>1.5</v>
      </c>
      <c r="K1089" s="158" t="s">
        <v>235</v>
      </c>
    </row>
    <row r="1090" spans="4:11">
      <c r="D1090" s="158">
        <v>163970</v>
      </c>
      <c r="E1090" s="158">
        <v>11948</v>
      </c>
      <c r="F1090" s="158">
        <v>1738</v>
      </c>
      <c r="G1090" s="158">
        <v>4.7</v>
      </c>
      <c r="H1090" s="158">
        <v>0.3</v>
      </c>
      <c r="I1090" s="158">
        <v>0</v>
      </c>
      <c r="J1090" s="158">
        <v>0.3</v>
      </c>
      <c r="K1090" s="158" t="s">
        <v>235</v>
      </c>
    </row>
    <row r="1091" spans="4:11">
      <c r="D1091" s="158">
        <v>163971</v>
      </c>
      <c r="E1091" s="158">
        <v>11948</v>
      </c>
      <c r="F1091" s="158">
        <v>2062</v>
      </c>
      <c r="G1091" s="158">
        <v>4.7</v>
      </c>
      <c r="H1091" s="158">
        <v>0</v>
      </c>
      <c r="I1091" s="158">
        <v>0</v>
      </c>
      <c r="J1091" s="158">
        <v>0</v>
      </c>
      <c r="K1091" s="158" t="s">
        <v>235</v>
      </c>
    </row>
    <row r="1092" spans="4:11">
      <c r="D1092" s="158">
        <v>163972</v>
      </c>
      <c r="E1092" s="158">
        <v>11948</v>
      </c>
      <c r="F1092" s="158">
        <v>2062</v>
      </c>
      <c r="G1092" s="158">
        <v>4.7</v>
      </c>
      <c r="H1092" s="158">
        <v>0</v>
      </c>
      <c r="I1092" s="158">
        <v>0.2</v>
      </c>
      <c r="J1092" s="158">
        <v>0.2</v>
      </c>
      <c r="K1092" s="158" t="s">
        <v>235</v>
      </c>
    </row>
    <row r="1093" spans="4:11">
      <c r="D1093" s="158">
        <v>163973</v>
      </c>
      <c r="E1093" s="158">
        <v>11948</v>
      </c>
      <c r="F1093" s="158">
        <v>1738</v>
      </c>
      <c r="G1093" s="158">
        <v>2.6</v>
      </c>
      <c r="H1093" s="158">
        <v>0.05</v>
      </c>
      <c r="I1093" s="158">
        <v>0</v>
      </c>
      <c r="J1093" s="158">
        <v>0.05</v>
      </c>
      <c r="K1093" s="158" t="s">
        <v>235</v>
      </c>
    </row>
    <row r="1094" spans="4:11">
      <c r="D1094" s="158">
        <v>163974</v>
      </c>
      <c r="E1094" s="158">
        <v>11948</v>
      </c>
      <c r="F1094" s="158">
        <v>1738</v>
      </c>
      <c r="G1094" s="158">
        <v>2.6</v>
      </c>
      <c r="H1094" s="158">
        <v>0</v>
      </c>
      <c r="I1094" s="158">
        <v>0</v>
      </c>
      <c r="J1094" s="158">
        <v>0</v>
      </c>
      <c r="K1094" s="158" t="s">
        <v>235</v>
      </c>
    </row>
    <row r="1095" spans="4:11">
      <c r="D1095" s="158">
        <v>163975</v>
      </c>
      <c r="E1095" s="158">
        <v>11948</v>
      </c>
      <c r="F1095" s="158">
        <v>1738</v>
      </c>
      <c r="G1095" s="158">
        <v>2.6</v>
      </c>
      <c r="H1095" s="158">
        <v>0.2</v>
      </c>
      <c r="I1095" s="158">
        <v>0</v>
      </c>
      <c r="J1095" s="158">
        <v>0.2</v>
      </c>
      <c r="K1095" s="158" t="s">
        <v>235</v>
      </c>
    </row>
    <row r="1096" spans="4:11">
      <c r="D1096" s="158">
        <v>163980</v>
      </c>
      <c r="E1096" s="158">
        <v>11948</v>
      </c>
      <c r="F1096" s="158">
        <v>197</v>
      </c>
      <c r="G1096" s="158">
        <v>2.6</v>
      </c>
      <c r="H1096" s="158">
        <v>2</v>
      </c>
      <c r="I1096" s="158">
        <v>0</v>
      </c>
      <c r="J1096" s="158">
        <v>2</v>
      </c>
      <c r="K1096" s="158" t="s">
        <v>235</v>
      </c>
    </row>
    <row r="1097" spans="4:11">
      <c r="D1097" s="158">
        <v>163981</v>
      </c>
      <c r="E1097" s="158">
        <v>11948</v>
      </c>
      <c r="F1097" s="158">
        <v>197</v>
      </c>
      <c r="G1097" s="158">
        <v>2.6</v>
      </c>
      <c r="H1097" s="158">
        <v>2.5</v>
      </c>
      <c r="I1097" s="158">
        <v>0</v>
      </c>
      <c r="J1097" s="158">
        <v>2.5</v>
      </c>
      <c r="K1097" s="158" t="s">
        <v>235</v>
      </c>
    </row>
    <row r="1098" spans="4:11">
      <c r="D1098" s="158">
        <v>163982</v>
      </c>
      <c r="E1098" s="158">
        <v>11948</v>
      </c>
      <c r="F1098" s="158">
        <v>197</v>
      </c>
      <c r="G1098" s="158">
        <v>2.6</v>
      </c>
      <c r="H1098" s="158">
        <v>2.75</v>
      </c>
      <c r="I1098" s="158">
        <v>0.8</v>
      </c>
      <c r="J1098" s="158">
        <v>3.55</v>
      </c>
      <c r="K1098" s="158" t="s">
        <v>235</v>
      </c>
    </row>
    <row r="1099" spans="4:11">
      <c r="D1099" s="158">
        <v>163984</v>
      </c>
      <c r="E1099" s="158">
        <v>11948</v>
      </c>
      <c r="F1099" s="158">
        <v>1821</v>
      </c>
      <c r="G1099" s="158">
        <v>2.6</v>
      </c>
      <c r="H1099" s="158">
        <v>1.5</v>
      </c>
      <c r="I1099" s="158">
        <v>0</v>
      </c>
      <c r="J1099" s="158">
        <v>1.5</v>
      </c>
      <c r="K1099" s="158" t="s">
        <v>235</v>
      </c>
    </row>
    <row r="1100" spans="4:11">
      <c r="D1100" s="158">
        <v>163985</v>
      </c>
      <c r="E1100" s="158">
        <v>11948</v>
      </c>
      <c r="F1100" s="158">
        <v>1821</v>
      </c>
      <c r="G1100" s="158">
        <v>2.6</v>
      </c>
      <c r="H1100" s="158">
        <v>1</v>
      </c>
      <c r="I1100" s="158">
        <v>0</v>
      </c>
      <c r="J1100" s="158">
        <v>1</v>
      </c>
      <c r="K1100" s="158" t="s">
        <v>235</v>
      </c>
    </row>
    <row r="1101" spans="4:11">
      <c r="D1101" s="158">
        <v>163986</v>
      </c>
      <c r="E1101" s="158">
        <v>11948</v>
      </c>
      <c r="F1101" s="158">
        <v>1821</v>
      </c>
      <c r="G1101" s="158">
        <v>2.6</v>
      </c>
      <c r="H1101" s="158">
        <v>1</v>
      </c>
      <c r="I1101" s="158">
        <v>0.1</v>
      </c>
      <c r="J1101" s="158">
        <v>1.1000000000000001</v>
      </c>
      <c r="K1101" s="158" t="s">
        <v>235</v>
      </c>
    </row>
    <row r="1102" spans="4:11">
      <c r="D1102" s="158">
        <v>163987</v>
      </c>
      <c r="E1102" s="158">
        <v>11948</v>
      </c>
      <c r="F1102" s="158">
        <v>1821</v>
      </c>
      <c r="G1102" s="158">
        <v>2.6</v>
      </c>
      <c r="H1102" s="158">
        <v>0</v>
      </c>
      <c r="I1102" s="158">
        <v>0</v>
      </c>
      <c r="J1102" s="158">
        <v>0</v>
      </c>
      <c r="K1102" s="158" t="s">
        <v>235</v>
      </c>
    </row>
    <row r="1103" spans="4:11">
      <c r="D1103" s="158">
        <v>163988</v>
      </c>
      <c r="E1103" s="158">
        <v>11948</v>
      </c>
      <c r="F1103" s="158">
        <v>1821</v>
      </c>
      <c r="G1103" s="158">
        <v>2.6</v>
      </c>
      <c r="H1103" s="158">
        <v>0</v>
      </c>
      <c r="I1103" s="158">
        <v>0</v>
      </c>
      <c r="J1103" s="158">
        <v>0</v>
      </c>
      <c r="K1103" s="158" t="s">
        <v>235</v>
      </c>
    </row>
    <row r="1104" spans="4:11">
      <c r="D1104" s="158">
        <v>163989</v>
      </c>
      <c r="E1104" s="158">
        <v>11213</v>
      </c>
      <c r="F1104" s="158">
        <v>2177</v>
      </c>
      <c r="G1104" s="158">
        <v>12.4</v>
      </c>
      <c r="H1104" s="158">
        <v>0</v>
      </c>
      <c r="I1104" s="158">
        <v>0</v>
      </c>
      <c r="J1104" s="158">
        <v>0</v>
      </c>
      <c r="K1104" s="158" t="s">
        <v>235</v>
      </c>
    </row>
    <row r="1105" spans="4:11">
      <c r="D1105" s="158">
        <v>163990</v>
      </c>
      <c r="E1105" s="158">
        <v>11213</v>
      </c>
      <c r="F1105" s="158">
        <v>2177</v>
      </c>
      <c r="G1105" s="158">
        <v>18.600000000000001</v>
      </c>
      <c r="H1105" s="158">
        <v>0</v>
      </c>
      <c r="I1105" s="158">
        <v>0</v>
      </c>
      <c r="J1105" s="158">
        <v>0</v>
      </c>
      <c r="K1105" s="158" t="s">
        <v>235</v>
      </c>
    </row>
    <row r="1106" spans="4:11">
      <c r="D1106" s="158">
        <v>163991</v>
      </c>
      <c r="E1106" s="158">
        <v>11213</v>
      </c>
      <c r="F1106" s="158">
        <v>2177</v>
      </c>
      <c r="G1106" s="158">
        <v>18.600000000000001</v>
      </c>
      <c r="K1106" s="158" t="s">
        <v>235</v>
      </c>
    </row>
    <row r="1107" spans="4:11">
      <c r="D1107" s="158">
        <v>163992</v>
      </c>
      <c r="E1107" s="158">
        <v>11213</v>
      </c>
      <c r="F1107" s="158">
        <v>2177</v>
      </c>
      <c r="G1107" s="158">
        <v>6.2</v>
      </c>
      <c r="H1107" s="158">
        <v>0</v>
      </c>
      <c r="I1107" s="158">
        <v>0</v>
      </c>
      <c r="J1107" s="158">
        <v>0</v>
      </c>
      <c r="K1107" s="158" t="s">
        <v>235</v>
      </c>
    </row>
    <row r="1108" spans="4:11">
      <c r="D1108" s="158">
        <v>163993</v>
      </c>
      <c r="E1108" s="158">
        <v>11213</v>
      </c>
      <c r="F1108" s="158">
        <v>2177</v>
      </c>
      <c r="G1108" s="158">
        <v>6.2</v>
      </c>
      <c r="K1108" s="158" t="s">
        <v>235</v>
      </c>
    </row>
    <row r="1109" spans="4:11">
      <c r="D1109" s="158">
        <v>163994</v>
      </c>
      <c r="E1109" s="158">
        <v>11213</v>
      </c>
      <c r="F1109" s="158">
        <v>2177</v>
      </c>
      <c r="G1109" s="158">
        <v>12.4</v>
      </c>
      <c r="H1109" s="158">
        <v>0</v>
      </c>
      <c r="I1109" s="158">
        <v>0</v>
      </c>
      <c r="J1109" s="158">
        <v>0</v>
      </c>
      <c r="K1109" s="158" t="s">
        <v>235</v>
      </c>
    </row>
    <row r="1110" spans="4:11">
      <c r="D1110" s="158">
        <v>163995</v>
      </c>
      <c r="E1110" s="158">
        <v>11213</v>
      </c>
      <c r="F1110" s="158">
        <v>2177</v>
      </c>
      <c r="G1110" s="158">
        <v>12.4</v>
      </c>
      <c r="K1110" s="158" t="s">
        <v>235</v>
      </c>
    </row>
    <row r="1111" spans="4:11">
      <c r="D1111" s="158">
        <v>163996</v>
      </c>
      <c r="E1111" s="158">
        <v>11213</v>
      </c>
      <c r="F1111" s="158">
        <v>2177</v>
      </c>
      <c r="G1111" s="158">
        <v>6.2</v>
      </c>
      <c r="K1111" s="158" t="s">
        <v>235</v>
      </c>
    </row>
    <row r="1112" spans="4:11">
      <c r="D1112" s="158">
        <v>163997</v>
      </c>
      <c r="E1112" s="158">
        <v>11213</v>
      </c>
      <c r="F1112" s="158">
        <v>2177</v>
      </c>
      <c r="G1112" s="158">
        <v>12.4</v>
      </c>
      <c r="K1112" s="158" t="s">
        <v>235</v>
      </c>
    </row>
    <row r="1113" spans="4:11">
      <c r="D1113" s="158">
        <v>164020</v>
      </c>
      <c r="E1113" s="158">
        <v>10639</v>
      </c>
      <c r="F1113" s="158">
        <v>2181</v>
      </c>
      <c r="H1113" s="158">
        <v>0.3</v>
      </c>
      <c r="I1113" s="158">
        <v>0</v>
      </c>
      <c r="J1113" s="158">
        <v>0.3</v>
      </c>
      <c r="K1113" s="158" t="s">
        <v>235</v>
      </c>
    </row>
    <row r="1114" spans="4:11">
      <c r="D1114" s="158">
        <v>164021</v>
      </c>
      <c r="E1114" s="158">
        <v>11950</v>
      </c>
      <c r="F1114" s="158">
        <v>1795</v>
      </c>
      <c r="G1114" s="158">
        <v>4</v>
      </c>
      <c r="H1114" s="158">
        <v>5</v>
      </c>
      <c r="I1114" s="158">
        <v>0</v>
      </c>
      <c r="J1114" s="158">
        <v>5</v>
      </c>
      <c r="K1114" s="158" t="s">
        <v>235</v>
      </c>
    </row>
    <row r="1115" spans="4:11">
      <c r="D1115" s="158">
        <v>164022</v>
      </c>
      <c r="E1115" s="158">
        <v>11950</v>
      </c>
      <c r="F1115" s="158">
        <v>1795</v>
      </c>
      <c r="G1115" s="158">
        <v>14.3</v>
      </c>
      <c r="H1115" s="158">
        <v>8.25</v>
      </c>
      <c r="I1115" s="158">
        <v>0</v>
      </c>
      <c r="J1115" s="158">
        <v>8.25</v>
      </c>
      <c r="K1115" s="158" t="s">
        <v>235</v>
      </c>
    </row>
    <row r="1116" spans="4:11">
      <c r="D1116" s="158">
        <v>164023</v>
      </c>
      <c r="E1116" s="158">
        <v>11950</v>
      </c>
      <c r="F1116" s="158">
        <v>1795</v>
      </c>
      <c r="G1116" s="158">
        <v>5</v>
      </c>
      <c r="H1116" s="158">
        <v>7.5</v>
      </c>
      <c r="I1116" s="158">
        <v>0</v>
      </c>
      <c r="J1116" s="158">
        <v>7.5</v>
      </c>
      <c r="K1116" s="158" t="s">
        <v>235</v>
      </c>
    </row>
    <row r="1117" spans="4:11">
      <c r="D1117" s="158">
        <v>164024</v>
      </c>
      <c r="E1117" s="158">
        <v>11950</v>
      </c>
      <c r="F1117" s="158">
        <v>2188</v>
      </c>
      <c r="G1117" s="158">
        <v>2.8</v>
      </c>
      <c r="H1117" s="158">
        <v>0.75</v>
      </c>
      <c r="I1117" s="158">
        <v>0</v>
      </c>
      <c r="J1117" s="158">
        <v>0.75</v>
      </c>
      <c r="K1117" s="158" t="s">
        <v>235</v>
      </c>
    </row>
    <row r="1118" spans="4:11">
      <c r="D1118" s="158">
        <v>164025</v>
      </c>
      <c r="E1118" s="158">
        <v>11950</v>
      </c>
      <c r="F1118" s="158">
        <v>2188</v>
      </c>
      <c r="G1118" s="158">
        <v>1.2</v>
      </c>
      <c r="H1118" s="158">
        <v>1.75</v>
      </c>
      <c r="I1118" s="158">
        <v>0</v>
      </c>
      <c r="J1118" s="158">
        <v>1.75</v>
      </c>
      <c r="K1118" s="158" t="s">
        <v>235</v>
      </c>
    </row>
    <row r="1119" spans="4:11">
      <c r="D1119" s="158">
        <v>164026</v>
      </c>
      <c r="E1119" s="158">
        <v>11950</v>
      </c>
      <c r="F1119" s="158">
        <v>2188</v>
      </c>
      <c r="G1119" s="158">
        <v>1</v>
      </c>
      <c r="H1119" s="158">
        <v>0</v>
      </c>
      <c r="I1119" s="158">
        <v>0</v>
      </c>
      <c r="J1119" s="158">
        <v>0</v>
      </c>
      <c r="K1119" s="158" t="s">
        <v>235</v>
      </c>
    </row>
    <row r="1120" spans="4:11">
      <c r="D1120" s="158">
        <v>164027</v>
      </c>
      <c r="E1120" s="158">
        <v>11950</v>
      </c>
      <c r="F1120" s="158">
        <v>1795</v>
      </c>
      <c r="G1120" s="158">
        <v>4</v>
      </c>
      <c r="H1120" s="158">
        <v>7.5</v>
      </c>
      <c r="I1120" s="158">
        <v>0</v>
      </c>
      <c r="J1120" s="158">
        <v>7.5</v>
      </c>
      <c r="K1120" s="158" t="s">
        <v>235</v>
      </c>
    </row>
    <row r="1121" spans="4:11">
      <c r="D1121" s="158">
        <v>164028</v>
      </c>
      <c r="E1121" s="158">
        <v>11950</v>
      </c>
      <c r="F1121" s="158">
        <v>2188</v>
      </c>
      <c r="G1121" s="158">
        <v>2.35</v>
      </c>
      <c r="H1121" s="158">
        <v>0.75</v>
      </c>
      <c r="I1121" s="158">
        <v>0</v>
      </c>
      <c r="J1121" s="158">
        <v>0.75</v>
      </c>
      <c r="K1121" s="158" t="s">
        <v>235</v>
      </c>
    </row>
    <row r="1122" spans="4:11">
      <c r="D1122" s="158">
        <v>164029</v>
      </c>
      <c r="E1122" s="158">
        <v>11950</v>
      </c>
      <c r="F1122" s="158">
        <v>2028</v>
      </c>
      <c r="G1122" s="158">
        <v>0.25</v>
      </c>
      <c r="H1122" s="158">
        <v>1.5</v>
      </c>
      <c r="I1122" s="158">
        <v>0</v>
      </c>
      <c r="J1122" s="158">
        <v>1.5</v>
      </c>
      <c r="K1122" s="158" t="s">
        <v>235</v>
      </c>
    </row>
    <row r="1123" spans="4:11">
      <c r="D1123" s="158">
        <v>164031</v>
      </c>
      <c r="E1123" s="158">
        <v>10692</v>
      </c>
      <c r="F1123" s="158">
        <v>1795</v>
      </c>
      <c r="G1123" s="158">
        <v>0.5</v>
      </c>
      <c r="H1123" s="158">
        <v>0.5</v>
      </c>
      <c r="I1123" s="158">
        <v>0</v>
      </c>
      <c r="J1123" s="158">
        <v>0.5</v>
      </c>
      <c r="K1123" s="158" t="s">
        <v>235</v>
      </c>
    </row>
    <row r="1124" spans="4:11">
      <c r="D1124" s="158">
        <v>164032</v>
      </c>
      <c r="E1124" s="158">
        <v>10692</v>
      </c>
      <c r="F1124" s="158">
        <v>2188</v>
      </c>
      <c r="G1124" s="158">
        <v>1.6</v>
      </c>
      <c r="H1124" s="158">
        <v>1.5</v>
      </c>
      <c r="I1124" s="158">
        <v>0</v>
      </c>
      <c r="J1124" s="158">
        <v>1.5</v>
      </c>
      <c r="K1124" s="158" t="s">
        <v>235</v>
      </c>
    </row>
    <row r="1125" spans="4:11">
      <c r="D1125" s="158">
        <v>164034</v>
      </c>
      <c r="E1125" s="158">
        <v>10692</v>
      </c>
      <c r="F1125" s="158">
        <v>2188</v>
      </c>
      <c r="G1125" s="158">
        <v>6.2</v>
      </c>
      <c r="H1125" s="158">
        <v>6</v>
      </c>
      <c r="I1125" s="158">
        <v>0</v>
      </c>
      <c r="J1125" s="158">
        <v>6</v>
      </c>
      <c r="K1125" s="158" t="s">
        <v>235</v>
      </c>
    </row>
    <row r="1126" spans="4:11">
      <c r="D1126" s="158">
        <v>164035</v>
      </c>
      <c r="E1126" s="158">
        <v>10692</v>
      </c>
      <c r="F1126" s="158">
        <v>1795</v>
      </c>
      <c r="G1126" s="158">
        <v>0.5</v>
      </c>
      <c r="H1126" s="158">
        <v>0.5</v>
      </c>
      <c r="I1126" s="158">
        <v>0</v>
      </c>
      <c r="J1126" s="158">
        <v>0.5</v>
      </c>
      <c r="K1126" s="158" t="s">
        <v>235</v>
      </c>
    </row>
    <row r="1127" spans="4:11">
      <c r="D1127" s="158">
        <v>164036</v>
      </c>
      <c r="E1127" s="158">
        <v>10692</v>
      </c>
      <c r="F1127" s="158">
        <v>2188</v>
      </c>
      <c r="G1127" s="158">
        <v>5.7</v>
      </c>
      <c r="H1127" s="158">
        <v>5.75</v>
      </c>
      <c r="I1127" s="158">
        <v>0</v>
      </c>
      <c r="J1127" s="158">
        <v>5.75</v>
      </c>
      <c r="K1127" s="158" t="s">
        <v>235</v>
      </c>
    </row>
    <row r="1128" spans="4:11">
      <c r="D1128" s="158">
        <v>164083</v>
      </c>
      <c r="E1128" s="158">
        <v>11307</v>
      </c>
      <c r="F1128" s="158">
        <v>2135</v>
      </c>
      <c r="G1128" s="158">
        <v>10.7</v>
      </c>
      <c r="H1128" s="158">
        <v>10</v>
      </c>
      <c r="I1128" s="158">
        <v>0</v>
      </c>
      <c r="J1128" s="158">
        <v>10</v>
      </c>
      <c r="K1128" s="158" t="s">
        <v>236</v>
      </c>
    </row>
    <row r="1129" spans="4:11">
      <c r="D1129" s="158">
        <v>164090</v>
      </c>
      <c r="E1129" s="158">
        <v>11308</v>
      </c>
      <c r="F1129" s="158">
        <v>362</v>
      </c>
      <c r="G1129" s="158">
        <v>3.25</v>
      </c>
      <c r="H1129" s="158">
        <v>3.25</v>
      </c>
      <c r="I1129" s="158">
        <v>0</v>
      </c>
      <c r="J1129" s="158">
        <v>3.25</v>
      </c>
      <c r="K1129" s="158" t="s">
        <v>236</v>
      </c>
    </row>
    <row r="1130" spans="4:11">
      <c r="D1130" s="158">
        <v>164091</v>
      </c>
      <c r="E1130" s="158">
        <v>11309</v>
      </c>
      <c r="F1130" s="158">
        <v>362</v>
      </c>
      <c r="G1130" s="158">
        <v>3</v>
      </c>
      <c r="H1130" s="158">
        <v>2</v>
      </c>
      <c r="I1130" s="158">
        <v>0</v>
      </c>
      <c r="J1130" s="158">
        <v>2</v>
      </c>
      <c r="K1130" s="158" t="s">
        <v>236</v>
      </c>
    </row>
    <row r="1131" spans="4:11">
      <c r="D1131" s="158">
        <v>164236</v>
      </c>
      <c r="E1131" s="158">
        <v>10795</v>
      </c>
      <c r="F1131" s="158">
        <v>300</v>
      </c>
      <c r="G1131" s="158">
        <v>0</v>
      </c>
      <c r="H1131" s="158">
        <v>14.5</v>
      </c>
      <c r="I1131" s="158">
        <v>0</v>
      </c>
      <c r="J1131" s="158">
        <v>14.5</v>
      </c>
      <c r="K1131" s="158" t="s">
        <v>235</v>
      </c>
    </row>
    <row r="1132" spans="4:11">
      <c r="D1132" s="158">
        <v>164240</v>
      </c>
      <c r="E1132" s="158">
        <v>11307</v>
      </c>
      <c r="F1132" s="158">
        <v>2135</v>
      </c>
      <c r="G1132" s="158">
        <v>7</v>
      </c>
      <c r="H1132" s="158">
        <v>9.25</v>
      </c>
      <c r="I1132" s="158">
        <v>0</v>
      </c>
      <c r="J1132" s="158">
        <v>9.25</v>
      </c>
      <c r="K1132" s="158" t="s">
        <v>236</v>
      </c>
    </row>
    <row r="1133" spans="4:11">
      <c r="D1133" s="158">
        <v>164241</v>
      </c>
      <c r="E1133" s="158">
        <v>11307</v>
      </c>
      <c r="F1133" s="158">
        <v>2200</v>
      </c>
      <c r="G1133" s="158">
        <v>8.6999999999999993</v>
      </c>
      <c r="H1133" s="158">
        <v>0</v>
      </c>
      <c r="I1133" s="158">
        <v>0</v>
      </c>
      <c r="J1133" s="158">
        <v>0</v>
      </c>
      <c r="K1133" s="158" t="s">
        <v>236</v>
      </c>
    </row>
    <row r="1134" spans="4:11">
      <c r="D1134" s="158">
        <v>164242</v>
      </c>
      <c r="E1134" s="158">
        <v>11308</v>
      </c>
      <c r="F1134" s="158">
        <v>2200</v>
      </c>
      <c r="G1134" s="158">
        <v>4.5999999999999996</v>
      </c>
      <c r="K1134" s="158" t="s">
        <v>236</v>
      </c>
    </row>
    <row r="1135" spans="4:11">
      <c r="D1135" s="158">
        <v>164246</v>
      </c>
      <c r="E1135" s="158">
        <v>11711</v>
      </c>
      <c r="F1135" s="158">
        <v>2120</v>
      </c>
      <c r="G1135" s="158">
        <v>4</v>
      </c>
      <c r="H1135" s="158">
        <v>9</v>
      </c>
      <c r="I1135" s="158">
        <v>0</v>
      </c>
      <c r="J1135" s="158">
        <v>9</v>
      </c>
      <c r="K1135" s="158" t="s">
        <v>235</v>
      </c>
    </row>
    <row r="1136" spans="4:11">
      <c r="D1136" s="158">
        <v>164247</v>
      </c>
      <c r="E1136" s="158">
        <v>11711</v>
      </c>
      <c r="F1136" s="158">
        <v>2184</v>
      </c>
      <c r="G1136" s="158">
        <v>1.2</v>
      </c>
      <c r="H1136" s="158">
        <v>1.5</v>
      </c>
      <c r="I1136" s="158">
        <v>0</v>
      </c>
      <c r="J1136" s="158">
        <v>1.5</v>
      </c>
      <c r="K1136" s="158" t="s">
        <v>235</v>
      </c>
    </row>
    <row r="1137" spans="4:11">
      <c r="D1137" s="158">
        <v>164249</v>
      </c>
      <c r="E1137" s="158">
        <v>11711</v>
      </c>
      <c r="F1137" s="158">
        <v>2122</v>
      </c>
      <c r="H1137" s="158">
        <v>0</v>
      </c>
      <c r="I1137" s="158">
        <v>0</v>
      </c>
      <c r="J1137" s="158">
        <v>0</v>
      </c>
      <c r="K1137" s="158" t="s">
        <v>235</v>
      </c>
    </row>
    <row r="1138" spans="4:11">
      <c r="D1138" s="158">
        <v>164250</v>
      </c>
      <c r="E1138" s="158">
        <v>11711</v>
      </c>
      <c r="F1138" s="158">
        <v>2120</v>
      </c>
      <c r="G1138" s="158">
        <v>6.2</v>
      </c>
      <c r="H1138" s="158">
        <v>6.75</v>
      </c>
      <c r="I1138" s="158">
        <v>0</v>
      </c>
      <c r="J1138" s="158">
        <v>6.75</v>
      </c>
      <c r="K1138" s="158" t="s">
        <v>235</v>
      </c>
    </row>
    <row r="1139" spans="4:11">
      <c r="D1139" s="158">
        <v>164251</v>
      </c>
      <c r="E1139" s="158">
        <v>11711</v>
      </c>
      <c r="F1139" s="158">
        <v>2122</v>
      </c>
      <c r="H1139" s="158">
        <v>0.5</v>
      </c>
      <c r="I1139" s="158">
        <v>0</v>
      </c>
      <c r="J1139" s="158">
        <v>0.5</v>
      </c>
      <c r="K1139" s="158" t="s">
        <v>235</v>
      </c>
    </row>
    <row r="1140" spans="4:11">
      <c r="D1140" s="158">
        <v>164252</v>
      </c>
      <c r="E1140" s="158">
        <v>11711</v>
      </c>
      <c r="F1140" s="158">
        <v>2120</v>
      </c>
      <c r="G1140" s="158">
        <v>4.0999999999999996</v>
      </c>
      <c r="H1140" s="158">
        <v>4</v>
      </c>
      <c r="I1140" s="158">
        <v>0</v>
      </c>
      <c r="J1140" s="158">
        <v>4</v>
      </c>
      <c r="K1140" s="158" t="s">
        <v>235</v>
      </c>
    </row>
    <row r="1141" spans="4:11">
      <c r="D1141" s="158">
        <v>164254</v>
      </c>
      <c r="E1141" s="158">
        <v>11214</v>
      </c>
      <c r="F1141" s="158">
        <v>938</v>
      </c>
      <c r="H1141" s="158">
        <v>0</v>
      </c>
      <c r="I1141" s="158">
        <v>0</v>
      </c>
      <c r="J1141" s="158">
        <v>0</v>
      </c>
      <c r="K1141" s="158" t="s">
        <v>235</v>
      </c>
    </row>
    <row r="1142" spans="4:11">
      <c r="D1142" s="158">
        <v>164255</v>
      </c>
      <c r="E1142" s="158">
        <v>11213</v>
      </c>
      <c r="F1142" s="158">
        <v>1505</v>
      </c>
      <c r="H1142" s="158">
        <v>0</v>
      </c>
      <c r="I1142" s="158">
        <v>0</v>
      </c>
      <c r="J1142" s="158">
        <v>0</v>
      </c>
      <c r="K1142" s="158" t="s">
        <v>235</v>
      </c>
    </row>
    <row r="1143" spans="4:11">
      <c r="D1143" s="158">
        <v>164256</v>
      </c>
      <c r="E1143" s="158">
        <v>10639</v>
      </c>
      <c r="F1143" s="158">
        <v>1251</v>
      </c>
      <c r="H1143" s="158">
        <v>1.5</v>
      </c>
      <c r="I1143" s="158">
        <v>0</v>
      </c>
      <c r="J1143" s="158">
        <v>1.5</v>
      </c>
      <c r="K1143" s="158" t="s">
        <v>235</v>
      </c>
    </row>
    <row r="1144" spans="4:11">
      <c r="D1144" s="158">
        <v>164258</v>
      </c>
      <c r="E1144" s="158">
        <v>11255</v>
      </c>
      <c r="F1144" s="158">
        <v>362</v>
      </c>
      <c r="H1144" s="158">
        <v>0.5</v>
      </c>
      <c r="I1144" s="158">
        <v>0</v>
      </c>
      <c r="J1144" s="158">
        <v>0.5</v>
      </c>
      <c r="K1144" s="158" t="s">
        <v>236</v>
      </c>
    </row>
    <row r="1145" spans="4:11">
      <c r="D1145" s="158">
        <v>164259</v>
      </c>
      <c r="E1145" s="158">
        <v>11255</v>
      </c>
      <c r="F1145" s="158">
        <v>2135</v>
      </c>
      <c r="H1145" s="158">
        <v>1.5</v>
      </c>
      <c r="I1145" s="158">
        <v>0</v>
      </c>
      <c r="J1145" s="158">
        <v>1.5</v>
      </c>
      <c r="K1145" s="158" t="s">
        <v>236</v>
      </c>
    </row>
    <row r="1146" spans="4:11">
      <c r="D1146" s="158">
        <v>164260</v>
      </c>
      <c r="E1146" s="158">
        <v>11255</v>
      </c>
      <c r="F1146" s="158">
        <v>2156</v>
      </c>
      <c r="H1146" s="158">
        <v>2</v>
      </c>
      <c r="I1146" s="158">
        <v>0</v>
      </c>
      <c r="J1146" s="158">
        <v>2</v>
      </c>
      <c r="K1146" s="158" t="s">
        <v>236</v>
      </c>
    </row>
    <row r="1147" spans="4:11">
      <c r="D1147" s="158">
        <v>164261</v>
      </c>
      <c r="E1147" s="158">
        <v>11213</v>
      </c>
      <c r="F1147" s="158">
        <v>1505</v>
      </c>
      <c r="H1147" s="158">
        <v>0</v>
      </c>
      <c r="I1147" s="158">
        <v>0</v>
      </c>
      <c r="J1147" s="158">
        <v>0</v>
      </c>
      <c r="K1147" s="158" t="s">
        <v>235</v>
      </c>
    </row>
    <row r="1148" spans="4:11">
      <c r="D1148" s="158">
        <v>164263</v>
      </c>
      <c r="E1148" s="158">
        <v>11213</v>
      </c>
      <c r="F1148" s="158">
        <v>1505</v>
      </c>
      <c r="H1148" s="158">
        <v>0</v>
      </c>
      <c r="I1148" s="158">
        <v>0</v>
      </c>
      <c r="J1148" s="158">
        <v>0</v>
      </c>
      <c r="K1148" s="158" t="s">
        <v>235</v>
      </c>
    </row>
    <row r="1149" spans="4:11">
      <c r="D1149" s="158">
        <v>164300</v>
      </c>
      <c r="E1149" s="158">
        <v>11334</v>
      </c>
      <c r="F1149" s="158">
        <v>2062</v>
      </c>
      <c r="G1149" s="158">
        <v>0.4</v>
      </c>
      <c r="H1149" s="158">
        <v>0.5</v>
      </c>
      <c r="I1149" s="158">
        <v>0</v>
      </c>
      <c r="J1149" s="158">
        <v>0.5</v>
      </c>
      <c r="K1149" s="158" t="s">
        <v>235</v>
      </c>
    </row>
    <row r="1150" spans="4:11">
      <c r="D1150" s="158">
        <v>164432</v>
      </c>
      <c r="E1150" s="158">
        <v>11221</v>
      </c>
      <c r="F1150" s="158">
        <v>938</v>
      </c>
      <c r="H1150" s="158">
        <v>0.25</v>
      </c>
      <c r="I1150" s="158">
        <v>0</v>
      </c>
      <c r="J1150" s="158">
        <v>0.25</v>
      </c>
      <c r="K1150" s="158" t="s">
        <v>235</v>
      </c>
    </row>
    <row r="1151" spans="4:11">
      <c r="D1151" s="158">
        <v>164433</v>
      </c>
      <c r="E1151" s="158">
        <v>11221</v>
      </c>
      <c r="F1151" s="158">
        <v>1738</v>
      </c>
      <c r="H1151" s="158">
        <v>0</v>
      </c>
      <c r="I1151" s="158">
        <v>0</v>
      </c>
      <c r="J1151" s="158">
        <v>0</v>
      </c>
      <c r="K1151" s="158" t="s">
        <v>235</v>
      </c>
    </row>
    <row r="1152" spans="4:11">
      <c r="D1152" s="158">
        <v>164434</v>
      </c>
      <c r="E1152" s="158">
        <v>11221</v>
      </c>
      <c r="F1152" s="158">
        <v>197</v>
      </c>
      <c r="H1152" s="158">
        <v>0.5</v>
      </c>
      <c r="I1152" s="158">
        <v>0</v>
      </c>
      <c r="J1152" s="158">
        <v>0.5</v>
      </c>
      <c r="K1152" s="158" t="s">
        <v>235</v>
      </c>
    </row>
    <row r="1153" spans="4:11">
      <c r="D1153" s="158">
        <v>164435</v>
      </c>
      <c r="E1153" s="158">
        <v>11221</v>
      </c>
      <c r="F1153" s="158">
        <v>1821</v>
      </c>
      <c r="H1153" s="158">
        <v>0</v>
      </c>
      <c r="I1153" s="158">
        <v>0</v>
      </c>
      <c r="J1153" s="158">
        <v>0</v>
      </c>
      <c r="K1153" s="158" t="s">
        <v>235</v>
      </c>
    </row>
    <row r="1154" spans="4:11">
      <c r="D1154" s="158">
        <v>164436</v>
      </c>
      <c r="E1154" s="158">
        <v>11221</v>
      </c>
      <c r="F1154" s="158">
        <v>2030</v>
      </c>
      <c r="H1154" s="158">
        <v>0.3</v>
      </c>
      <c r="I1154" s="158">
        <v>0</v>
      </c>
      <c r="J1154" s="158">
        <v>0.3</v>
      </c>
      <c r="K1154" s="158" t="s">
        <v>235</v>
      </c>
    </row>
    <row r="1155" spans="4:11">
      <c r="D1155" s="158">
        <v>164437</v>
      </c>
      <c r="E1155" s="158">
        <v>11221</v>
      </c>
      <c r="F1155" s="158">
        <v>222</v>
      </c>
      <c r="H1155" s="158">
        <v>0</v>
      </c>
      <c r="I1155" s="158">
        <v>0</v>
      </c>
      <c r="J1155" s="158">
        <v>0</v>
      </c>
      <c r="K1155" s="158" t="s">
        <v>235</v>
      </c>
    </row>
    <row r="1156" spans="4:11">
      <c r="D1156" s="158">
        <v>164438</v>
      </c>
      <c r="E1156" s="158">
        <v>11221</v>
      </c>
      <c r="F1156" s="158">
        <v>2062</v>
      </c>
      <c r="H1156" s="158">
        <v>0</v>
      </c>
      <c r="I1156" s="158">
        <v>0</v>
      </c>
      <c r="J1156" s="158">
        <v>0</v>
      </c>
      <c r="K1156" s="158" t="s">
        <v>235</v>
      </c>
    </row>
    <row r="1157" spans="4:11">
      <c r="D1157" s="158">
        <v>164439</v>
      </c>
      <c r="E1157" s="158">
        <v>11221</v>
      </c>
      <c r="F1157" s="158">
        <v>1014</v>
      </c>
      <c r="H1157" s="158">
        <v>0</v>
      </c>
      <c r="I1157" s="158">
        <v>0</v>
      </c>
      <c r="J1157" s="158">
        <v>0</v>
      </c>
      <c r="K1157" s="158" t="s">
        <v>235</v>
      </c>
    </row>
    <row r="1158" spans="4:11">
      <c r="D1158" s="158">
        <v>164440</v>
      </c>
      <c r="E1158" s="158">
        <v>11309</v>
      </c>
      <c r="F1158" s="158">
        <v>362</v>
      </c>
      <c r="G1158" s="158">
        <v>5</v>
      </c>
      <c r="H1158" s="158">
        <v>3.5</v>
      </c>
      <c r="I1158" s="158">
        <v>0</v>
      </c>
      <c r="J1158" s="158">
        <v>3.5</v>
      </c>
      <c r="K1158" s="158" t="s">
        <v>236</v>
      </c>
    </row>
    <row r="1159" spans="4:11">
      <c r="D1159" s="158">
        <v>164451</v>
      </c>
      <c r="E1159" s="158">
        <v>10639</v>
      </c>
      <c r="F1159" s="158">
        <v>2221</v>
      </c>
      <c r="H1159" s="158">
        <v>0</v>
      </c>
      <c r="I1159" s="158">
        <v>0</v>
      </c>
      <c r="J1159" s="158">
        <v>0</v>
      </c>
      <c r="K1159" s="158" t="s">
        <v>235</v>
      </c>
    </row>
    <row r="1160" spans="4:11">
      <c r="D1160" s="158">
        <v>164452</v>
      </c>
      <c r="E1160" s="158">
        <v>10816</v>
      </c>
      <c r="F1160" s="158">
        <v>2221</v>
      </c>
      <c r="G1160" s="158">
        <v>2.7</v>
      </c>
      <c r="H1160" s="158">
        <v>1.65</v>
      </c>
      <c r="I1160" s="158">
        <v>0</v>
      </c>
      <c r="J1160" s="158">
        <v>1.65</v>
      </c>
      <c r="K1160" s="158" t="s">
        <v>235</v>
      </c>
    </row>
    <row r="1161" spans="4:11">
      <c r="D1161" s="158">
        <v>164486</v>
      </c>
      <c r="E1161" s="158">
        <v>10763</v>
      </c>
      <c r="F1161" s="158">
        <v>828</v>
      </c>
      <c r="G1161" s="158">
        <v>0</v>
      </c>
      <c r="H1161" s="158">
        <v>1.25</v>
      </c>
      <c r="I1161" s="158">
        <v>0</v>
      </c>
      <c r="J1161" s="158">
        <v>1.25</v>
      </c>
      <c r="K1161" s="158" t="s">
        <v>235</v>
      </c>
    </row>
    <row r="1162" spans="4:11">
      <c r="D1162" s="158">
        <v>164487</v>
      </c>
      <c r="E1162" s="158">
        <v>11308</v>
      </c>
      <c r="F1162" s="158">
        <v>2156</v>
      </c>
      <c r="G1162" s="158">
        <v>4</v>
      </c>
      <c r="H1162" s="158">
        <v>3.5</v>
      </c>
      <c r="I1162" s="158">
        <v>0</v>
      </c>
      <c r="J1162" s="158">
        <v>3.5</v>
      </c>
      <c r="K1162" s="158" t="s">
        <v>236</v>
      </c>
    </row>
    <row r="1163" spans="4:11">
      <c r="D1163" s="158">
        <v>164488</v>
      </c>
      <c r="E1163" s="158">
        <v>11213</v>
      </c>
      <c r="F1163" s="158">
        <v>1505</v>
      </c>
      <c r="H1163" s="158">
        <v>0</v>
      </c>
      <c r="I1163" s="158">
        <v>0</v>
      </c>
      <c r="J1163" s="158">
        <v>0</v>
      </c>
      <c r="K1163" s="158" t="s">
        <v>235</v>
      </c>
    </row>
    <row r="1164" spans="4:11">
      <c r="D1164" s="158">
        <v>164489</v>
      </c>
      <c r="E1164" s="158">
        <v>11213</v>
      </c>
      <c r="F1164" s="158">
        <v>2030</v>
      </c>
      <c r="H1164" s="158">
        <v>0.7</v>
      </c>
      <c r="I1164" s="158">
        <v>0</v>
      </c>
      <c r="J1164" s="158">
        <v>0.7</v>
      </c>
      <c r="K1164" s="158" t="s">
        <v>235</v>
      </c>
    </row>
    <row r="1165" spans="4:11">
      <c r="D1165" s="158">
        <v>164490</v>
      </c>
      <c r="E1165" s="158">
        <v>11704</v>
      </c>
      <c r="F1165" s="158">
        <v>2184</v>
      </c>
      <c r="H1165" s="158">
        <v>3</v>
      </c>
      <c r="I1165" s="158">
        <v>0</v>
      </c>
      <c r="J1165" s="158">
        <v>3</v>
      </c>
      <c r="K1165" s="158" t="s">
        <v>235</v>
      </c>
    </row>
    <row r="1166" spans="4:11">
      <c r="D1166" s="158">
        <v>164492</v>
      </c>
      <c r="E1166" s="158">
        <v>11710</v>
      </c>
      <c r="F1166" s="158">
        <v>1084</v>
      </c>
      <c r="G1166" s="158">
        <v>3</v>
      </c>
      <c r="H1166" s="158">
        <v>4</v>
      </c>
      <c r="I1166" s="158">
        <v>0</v>
      </c>
      <c r="J1166" s="158">
        <v>4</v>
      </c>
      <c r="K1166" s="158" t="s">
        <v>235</v>
      </c>
    </row>
    <row r="1167" spans="4:11">
      <c r="D1167" s="158">
        <v>164493</v>
      </c>
      <c r="E1167" s="158">
        <v>11710</v>
      </c>
      <c r="F1167" s="158">
        <v>2184</v>
      </c>
      <c r="G1167" s="158">
        <v>2.1</v>
      </c>
      <c r="H1167" s="158">
        <v>3</v>
      </c>
      <c r="I1167" s="158">
        <v>0</v>
      </c>
      <c r="J1167" s="158">
        <v>3</v>
      </c>
      <c r="K1167" s="158" t="s">
        <v>235</v>
      </c>
    </row>
    <row r="1168" spans="4:11">
      <c r="D1168" s="158">
        <v>164494</v>
      </c>
      <c r="E1168" s="158">
        <v>11710</v>
      </c>
      <c r="F1168" s="158">
        <v>1084</v>
      </c>
      <c r="G1168" s="158">
        <v>0</v>
      </c>
      <c r="H1168" s="158">
        <v>0</v>
      </c>
      <c r="I1168" s="158">
        <v>0</v>
      </c>
      <c r="J1168" s="158">
        <v>0</v>
      </c>
      <c r="K1168" s="158" t="s">
        <v>235</v>
      </c>
    </row>
    <row r="1169" spans="4:11">
      <c r="D1169" s="158">
        <v>164495</v>
      </c>
      <c r="E1169" s="158">
        <v>11710</v>
      </c>
      <c r="F1169" s="158">
        <v>2184</v>
      </c>
      <c r="G1169" s="158">
        <v>4.0999999999999996</v>
      </c>
      <c r="H1169" s="158">
        <v>8.5</v>
      </c>
      <c r="I1169" s="158">
        <v>0</v>
      </c>
      <c r="J1169" s="158">
        <v>8.5</v>
      </c>
      <c r="K1169" s="158" t="s">
        <v>235</v>
      </c>
    </row>
    <row r="1170" spans="4:11">
      <c r="D1170" s="158">
        <v>164496</v>
      </c>
      <c r="E1170" s="158">
        <v>11710</v>
      </c>
      <c r="F1170" s="158">
        <v>1084</v>
      </c>
      <c r="G1170" s="158">
        <v>0</v>
      </c>
      <c r="H1170" s="158">
        <v>1</v>
      </c>
      <c r="I1170" s="158">
        <v>0</v>
      </c>
      <c r="J1170" s="158">
        <v>1</v>
      </c>
      <c r="K1170" s="158" t="s">
        <v>235</v>
      </c>
    </row>
    <row r="1171" spans="4:11">
      <c r="D1171" s="158">
        <v>164497</v>
      </c>
      <c r="E1171" s="158">
        <v>11309</v>
      </c>
      <c r="F1171" s="158">
        <v>2156</v>
      </c>
      <c r="G1171" s="158">
        <v>2</v>
      </c>
      <c r="H1171" s="158">
        <v>2</v>
      </c>
      <c r="I1171" s="158">
        <v>0</v>
      </c>
      <c r="J1171" s="158">
        <v>2</v>
      </c>
      <c r="K1171" s="158" t="s">
        <v>236</v>
      </c>
    </row>
    <row r="1172" spans="4:11">
      <c r="D1172" s="158">
        <v>164498</v>
      </c>
      <c r="E1172" s="158">
        <v>11710</v>
      </c>
      <c r="F1172" s="158">
        <v>2075</v>
      </c>
      <c r="H1172" s="158">
        <v>0</v>
      </c>
      <c r="I1172" s="158">
        <v>0</v>
      </c>
      <c r="J1172" s="158">
        <v>0</v>
      </c>
      <c r="K1172" s="158" t="s">
        <v>235</v>
      </c>
    </row>
    <row r="1173" spans="4:11">
      <c r="D1173" s="158">
        <v>164499</v>
      </c>
      <c r="E1173" s="158">
        <v>11710</v>
      </c>
      <c r="F1173" s="158">
        <v>2184</v>
      </c>
      <c r="G1173" s="158">
        <v>0.5</v>
      </c>
      <c r="H1173" s="158">
        <v>7</v>
      </c>
      <c r="I1173" s="158">
        <v>0</v>
      </c>
      <c r="J1173" s="158">
        <v>7</v>
      </c>
      <c r="K1173" s="158" t="s">
        <v>235</v>
      </c>
    </row>
    <row r="1174" spans="4:11">
      <c r="D1174" s="158">
        <v>164500</v>
      </c>
      <c r="E1174" s="158">
        <v>11710</v>
      </c>
      <c r="F1174" s="158">
        <v>1084</v>
      </c>
      <c r="G1174" s="158">
        <v>0.5</v>
      </c>
      <c r="H1174" s="158">
        <v>2</v>
      </c>
      <c r="I1174" s="158">
        <v>0</v>
      </c>
      <c r="J1174" s="158">
        <v>2</v>
      </c>
      <c r="K1174" s="158" t="s">
        <v>235</v>
      </c>
    </row>
    <row r="1175" spans="4:11">
      <c r="D1175" s="158">
        <v>164501</v>
      </c>
      <c r="E1175" s="158">
        <v>11708</v>
      </c>
      <c r="F1175" s="158">
        <v>2184</v>
      </c>
      <c r="G1175" s="158">
        <v>3.3</v>
      </c>
      <c r="H1175" s="158">
        <v>7.25</v>
      </c>
      <c r="I1175" s="158">
        <v>0</v>
      </c>
      <c r="J1175" s="158">
        <v>7.25</v>
      </c>
      <c r="K1175" s="158" t="s">
        <v>235</v>
      </c>
    </row>
    <row r="1176" spans="4:11">
      <c r="D1176" s="158">
        <v>164502</v>
      </c>
      <c r="E1176" s="158">
        <v>11708</v>
      </c>
      <c r="F1176" s="158">
        <v>1084</v>
      </c>
      <c r="G1176" s="158">
        <v>5</v>
      </c>
      <c r="H1176" s="158">
        <v>18</v>
      </c>
      <c r="I1176" s="158">
        <v>0</v>
      </c>
      <c r="J1176" s="158">
        <v>18</v>
      </c>
      <c r="K1176" s="158" t="s">
        <v>235</v>
      </c>
    </row>
    <row r="1177" spans="4:11">
      <c r="D1177" s="158">
        <v>164505</v>
      </c>
      <c r="E1177" s="158">
        <v>11044</v>
      </c>
      <c r="F1177" s="158">
        <v>2226</v>
      </c>
      <c r="G1177" s="158">
        <v>90</v>
      </c>
      <c r="H1177" s="158">
        <v>23.5</v>
      </c>
      <c r="I1177" s="158">
        <v>0</v>
      </c>
      <c r="J1177" s="158">
        <v>23.5</v>
      </c>
      <c r="K1177" s="158" t="s">
        <v>235</v>
      </c>
    </row>
    <row r="1178" spans="4:11">
      <c r="D1178" s="158">
        <v>164506</v>
      </c>
      <c r="E1178" s="158">
        <v>11715</v>
      </c>
      <c r="F1178" s="158">
        <v>300</v>
      </c>
      <c r="G1178" s="158">
        <v>1</v>
      </c>
      <c r="H1178" s="158">
        <v>13.5</v>
      </c>
      <c r="I1178" s="158">
        <v>0</v>
      </c>
      <c r="J1178" s="158">
        <v>13.5</v>
      </c>
      <c r="K1178" s="158" t="s">
        <v>235</v>
      </c>
    </row>
    <row r="1179" spans="4:11">
      <c r="D1179" s="158">
        <v>164507</v>
      </c>
      <c r="E1179" s="158">
        <v>11948</v>
      </c>
      <c r="F1179" s="158">
        <v>1014</v>
      </c>
      <c r="G1179" s="158">
        <v>2.6</v>
      </c>
      <c r="H1179" s="158">
        <v>2.95</v>
      </c>
      <c r="I1179" s="158">
        <v>0</v>
      </c>
      <c r="J1179" s="158">
        <v>2.95</v>
      </c>
      <c r="K1179" s="158" t="s">
        <v>235</v>
      </c>
    </row>
    <row r="1180" spans="4:11">
      <c r="D1180" s="158">
        <v>164508</v>
      </c>
      <c r="E1180" s="158">
        <v>11948</v>
      </c>
      <c r="F1180" s="158">
        <v>1014</v>
      </c>
      <c r="G1180" s="158">
        <v>2.6</v>
      </c>
      <c r="H1180" s="158">
        <v>0</v>
      </c>
      <c r="I1180" s="158">
        <v>0</v>
      </c>
      <c r="J1180" s="158">
        <v>0</v>
      </c>
      <c r="K1180" s="158" t="s">
        <v>235</v>
      </c>
    </row>
    <row r="1181" spans="4:11">
      <c r="D1181" s="158">
        <v>164509</v>
      </c>
      <c r="E1181" s="158">
        <v>11948</v>
      </c>
      <c r="F1181" s="158">
        <v>1014</v>
      </c>
      <c r="G1181" s="158">
        <v>2.6</v>
      </c>
      <c r="H1181" s="158">
        <v>0</v>
      </c>
      <c r="I1181" s="158">
        <v>0</v>
      </c>
      <c r="J1181" s="158">
        <v>0</v>
      </c>
      <c r="K1181" s="158" t="s">
        <v>235</v>
      </c>
    </row>
    <row r="1182" spans="4:11">
      <c r="D1182" s="158">
        <v>164512</v>
      </c>
      <c r="E1182" s="158">
        <v>11213</v>
      </c>
      <c r="F1182" s="158">
        <v>2062</v>
      </c>
      <c r="H1182" s="158">
        <v>0.75</v>
      </c>
      <c r="I1182" s="158">
        <v>0</v>
      </c>
      <c r="J1182" s="158">
        <v>0.75</v>
      </c>
      <c r="K1182" s="158" t="s">
        <v>235</v>
      </c>
    </row>
    <row r="1183" spans="4:11">
      <c r="D1183" s="158">
        <v>164535</v>
      </c>
      <c r="E1183" s="158">
        <v>10816</v>
      </c>
      <c r="F1183" s="158">
        <v>2221</v>
      </c>
      <c r="G1183" s="158">
        <v>4.3</v>
      </c>
      <c r="H1183" s="158">
        <v>4.25</v>
      </c>
      <c r="I1183" s="158">
        <v>0</v>
      </c>
      <c r="J1183" s="158">
        <v>4.25</v>
      </c>
      <c r="K1183" s="158" t="s">
        <v>235</v>
      </c>
    </row>
    <row r="1184" spans="4:11">
      <c r="D1184" s="158">
        <v>164536</v>
      </c>
      <c r="E1184" s="158">
        <v>10816</v>
      </c>
      <c r="F1184" s="158">
        <v>2122</v>
      </c>
      <c r="G1184" s="158">
        <v>4</v>
      </c>
      <c r="H1184" s="158">
        <v>4.5</v>
      </c>
      <c r="I1184" s="158">
        <v>0</v>
      </c>
      <c r="J1184" s="158">
        <v>4.5</v>
      </c>
      <c r="K1184" s="158" t="s">
        <v>235</v>
      </c>
    </row>
    <row r="1185" spans="4:11">
      <c r="D1185" s="158">
        <v>164547</v>
      </c>
      <c r="E1185" s="158">
        <v>10100</v>
      </c>
      <c r="F1185" s="158">
        <v>229</v>
      </c>
      <c r="G1185" s="158">
        <v>0</v>
      </c>
      <c r="H1185" s="158">
        <v>4.4000000000000004</v>
      </c>
      <c r="I1185" s="158">
        <v>1</v>
      </c>
      <c r="J1185" s="158">
        <v>5.4</v>
      </c>
      <c r="K1185" s="158" t="s">
        <v>237</v>
      </c>
    </row>
    <row r="1186" spans="4:11">
      <c r="D1186" s="158">
        <v>164549</v>
      </c>
      <c r="E1186" s="158">
        <v>10100</v>
      </c>
      <c r="F1186" s="158">
        <v>180</v>
      </c>
      <c r="H1186" s="158">
        <v>0</v>
      </c>
      <c r="I1186" s="158">
        <v>0</v>
      </c>
      <c r="J1186" s="158">
        <v>0</v>
      </c>
      <c r="K1186" s="158" t="s">
        <v>237</v>
      </c>
    </row>
    <row r="1187" spans="4:11">
      <c r="D1187" s="158">
        <v>164610</v>
      </c>
      <c r="E1187" s="158">
        <v>11706</v>
      </c>
      <c r="F1187" s="158">
        <v>1084</v>
      </c>
      <c r="G1187" s="158">
        <v>2.1</v>
      </c>
      <c r="H1187" s="158">
        <v>2</v>
      </c>
      <c r="I1187" s="158">
        <v>0</v>
      </c>
      <c r="J1187" s="158">
        <v>2</v>
      </c>
      <c r="K1187" s="158" t="s">
        <v>235</v>
      </c>
    </row>
    <row r="1188" spans="4:11">
      <c r="D1188" s="158">
        <v>164621</v>
      </c>
      <c r="E1188" s="158">
        <v>10639</v>
      </c>
      <c r="F1188" s="158">
        <v>2220</v>
      </c>
      <c r="H1188" s="158">
        <v>1.25</v>
      </c>
      <c r="I1188" s="158">
        <v>0</v>
      </c>
      <c r="J1188" s="158">
        <v>1.25</v>
      </c>
      <c r="K1188" s="158" t="s">
        <v>235</v>
      </c>
    </row>
    <row r="1189" spans="4:11">
      <c r="D1189" s="158">
        <v>166069</v>
      </c>
      <c r="E1189" s="158">
        <v>10772</v>
      </c>
      <c r="F1189" s="158">
        <v>1738</v>
      </c>
      <c r="G1189" s="158">
        <v>0</v>
      </c>
      <c r="H1189" s="158">
        <v>1.1499999999999999</v>
      </c>
      <c r="I1189" s="158">
        <v>0</v>
      </c>
      <c r="J1189" s="158">
        <v>1.1499999999999999</v>
      </c>
      <c r="K1189" s="158" t="s">
        <v>235</v>
      </c>
    </row>
    <row r="1190" spans="4:11">
      <c r="D1190" s="158">
        <v>166091</v>
      </c>
      <c r="E1190" s="158">
        <v>10011</v>
      </c>
      <c r="F1190" s="158">
        <v>1036</v>
      </c>
      <c r="G1190" s="158">
        <v>0</v>
      </c>
      <c r="H1190" s="158">
        <v>22.65</v>
      </c>
      <c r="I1190" s="158">
        <v>0</v>
      </c>
      <c r="J1190" s="158">
        <v>22.65</v>
      </c>
      <c r="K1190" s="158" t="s">
        <v>238</v>
      </c>
    </row>
    <row r="1191" spans="4:11">
      <c r="D1191" s="158">
        <v>166102</v>
      </c>
      <c r="E1191" s="158">
        <v>11213</v>
      </c>
      <c r="F1191" s="158">
        <v>2177</v>
      </c>
      <c r="G1191" s="158">
        <v>12.4</v>
      </c>
      <c r="H1191" s="158">
        <v>0</v>
      </c>
      <c r="I1191" s="158">
        <v>0</v>
      </c>
      <c r="J1191" s="158">
        <v>0</v>
      </c>
      <c r="K1191" s="158" t="s">
        <v>235</v>
      </c>
    </row>
    <row r="1192" spans="4:11">
      <c r="D1192" s="158">
        <v>166103</v>
      </c>
      <c r="E1192" s="158">
        <v>11213</v>
      </c>
      <c r="F1192" s="158">
        <v>2177</v>
      </c>
      <c r="G1192" s="158">
        <v>6.2</v>
      </c>
      <c r="H1192" s="158">
        <v>0</v>
      </c>
      <c r="I1192" s="158">
        <v>0</v>
      </c>
      <c r="J1192" s="158">
        <v>0</v>
      </c>
      <c r="K1192" s="158" t="s">
        <v>235</v>
      </c>
    </row>
    <row r="1193" spans="4:11">
      <c r="D1193" s="158">
        <v>166104</v>
      </c>
      <c r="E1193" s="158">
        <v>11214</v>
      </c>
      <c r="F1193" s="158">
        <v>2177</v>
      </c>
      <c r="G1193" s="158">
        <v>6.2</v>
      </c>
      <c r="H1193" s="158">
        <v>0</v>
      </c>
      <c r="I1193" s="158">
        <v>1.8</v>
      </c>
      <c r="J1193" s="158">
        <v>1.8</v>
      </c>
      <c r="K1193" s="158" t="s">
        <v>235</v>
      </c>
    </row>
    <row r="1194" spans="4:11">
      <c r="D1194" s="158">
        <v>166105</v>
      </c>
      <c r="E1194" s="158">
        <v>10727</v>
      </c>
      <c r="F1194" s="158">
        <v>1738</v>
      </c>
      <c r="G1194" s="158">
        <v>9.3000000000000007</v>
      </c>
      <c r="H1194" s="158">
        <v>1.8</v>
      </c>
      <c r="I1194" s="158">
        <v>3</v>
      </c>
      <c r="J1194" s="158">
        <v>4.8</v>
      </c>
      <c r="K1194" s="158" t="s">
        <v>235</v>
      </c>
    </row>
    <row r="1195" spans="4:11">
      <c r="D1195" s="158">
        <v>166112</v>
      </c>
      <c r="E1195" s="158">
        <v>10764</v>
      </c>
      <c r="F1195" s="158">
        <v>2062</v>
      </c>
      <c r="G1195" s="158">
        <v>9.3000000000000007</v>
      </c>
      <c r="H1195" s="158">
        <v>3.15</v>
      </c>
      <c r="I1195" s="158">
        <v>0</v>
      </c>
      <c r="J1195" s="158">
        <v>3.15</v>
      </c>
      <c r="K1195" s="158" t="s">
        <v>235</v>
      </c>
    </row>
    <row r="1196" spans="4:11">
      <c r="D1196" s="158">
        <v>166113</v>
      </c>
      <c r="E1196" s="158">
        <v>10761</v>
      </c>
      <c r="F1196" s="158">
        <v>1014</v>
      </c>
      <c r="G1196" s="158">
        <v>12.9</v>
      </c>
      <c r="H1196" s="158">
        <v>4</v>
      </c>
      <c r="I1196" s="158">
        <v>0</v>
      </c>
      <c r="J1196" s="158">
        <v>4</v>
      </c>
      <c r="K1196" s="158" t="s">
        <v>235</v>
      </c>
    </row>
    <row r="1197" spans="4:11">
      <c r="D1197" s="158">
        <v>166115</v>
      </c>
      <c r="E1197" s="158">
        <v>10725</v>
      </c>
      <c r="F1197" s="158">
        <v>1738</v>
      </c>
      <c r="G1197" s="158">
        <v>2.5</v>
      </c>
      <c r="H1197" s="158">
        <v>0.75</v>
      </c>
      <c r="I1197" s="158">
        <v>0</v>
      </c>
      <c r="J1197" s="158">
        <v>0.75</v>
      </c>
      <c r="K1197" s="158" t="s">
        <v>235</v>
      </c>
    </row>
    <row r="1198" spans="4:11">
      <c r="D1198" s="158">
        <v>166116</v>
      </c>
      <c r="E1198" s="158">
        <v>10725</v>
      </c>
      <c r="F1198" s="158">
        <v>1738</v>
      </c>
      <c r="G1198" s="158">
        <v>2.5</v>
      </c>
      <c r="H1198" s="158">
        <v>0</v>
      </c>
      <c r="I1198" s="158">
        <v>2</v>
      </c>
      <c r="J1198" s="158">
        <v>2</v>
      </c>
      <c r="K1198" s="158" t="s">
        <v>235</v>
      </c>
    </row>
    <row r="1199" spans="4:11">
      <c r="D1199" s="158">
        <v>166117</v>
      </c>
      <c r="E1199" s="158">
        <v>11948</v>
      </c>
      <c r="F1199" s="158">
        <v>197</v>
      </c>
      <c r="G1199" s="158">
        <v>2.6</v>
      </c>
      <c r="H1199" s="158">
        <v>0</v>
      </c>
      <c r="I1199" s="158">
        <v>0</v>
      </c>
      <c r="J1199" s="158">
        <v>0</v>
      </c>
      <c r="K1199" s="158" t="s">
        <v>235</v>
      </c>
    </row>
    <row r="1200" spans="4:11">
      <c r="D1200" s="158">
        <v>166118</v>
      </c>
      <c r="E1200" s="158">
        <v>11948</v>
      </c>
      <c r="F1200" s="158">
        <v>1821</v>
      </c>
      <c r="G1200" s="158">
        <v>2.6</v>
      </c>
      <c r="H1200" s="158">
        <v>0</v>
      </c>
      <c r="I1200" s="158">
        <v>0</v>
      </c>
      <c r="J1200" s="158">
        <v>0</v>
      </c>
      <c r="K1200" s="158" t="s">
        <v>235</v>
      </c>
    </row>
    <row r="1201" spans="4:11">
      <c r="D1201" s="158">
        <v>166119</v>
      </c>
      <c r="E1201" s="158">
        <v>11948</v>
      </c>
      <c r="F1201" s="158">
        <v>1821</v>
      </c>
      <c r="G1201" s="158">
        <v>2.6</v>
      </c>
      <c r="H1201" s="158">
        <v>0</v>
      </c>
      <c r="I1201" s="158">
        <v>0</v>
      </c>
      <c r="J1201" s="158">
        <v>0</v>
      </c>
      <c r="K1201" s="158" t="s">
        <v>235</v>
      </c>
    </row>
    <row r="1202" spans="4:11">
      <c r="D1202" s="158">
        <v>166230</v>
      </c>
      <c r="E1202" s="158">
        <v>10763</v>
      </c>
      <c r="F1202" s="158">
        <v>1505</v>
      </c>
      <c r="H1202" s="158">
        <v>0</v>
      </c>
      <c r="I1202" s="158">
        <v>0</v>
      </c>
      <c r="J1202" s="158">
        <v>0</v>
      </c>
      <c r="K1202" s="158" t="s">
        <v>235</v>
      </c>
    </row>
    <row r="1203" spans="4:11">
      <c r="D1203" s="158">
        <v>166240</v>
      </c>
      <c r="E1203" s="158">
        <v>10814</v>
      </c>
      <c r="F1203" s="158">
        <v>1251</v>
      </c>
      <c r="G1203" s="158">
        <v>6.2</v>
      </c>
      <c r="H1203" s="158">
        <v>6.4</v>
      </c>
      <c r="I1203" s="158">
        <v>0</v>
      </c>
      <c r="J1203" s="158">
        <v>6.4</v>
      </c>
      <c r="K1203" s="158" t="s">
        <v>235</v>
      </c>
    </row>
    <row r="1204" spans="4:11">
      <c r="D1204" s="158">
        <v>166267</v>
      </c>
      <c r="E1204" s="158">
        <v>10020</v>
      </c>
      <c r="F1204" s="158">
        <v>1667</v>
      </c>
      <c r="G1204" s="158">
        <v>6.25</v>
      </c>
      <c r="H1204" s="158">
        <v>5</v>
      </c>
      <c r="I1204" s="158">
        <v>0</v>
      </c>
      <c r="J1204" s="158">
        <v>5</v>
      </c>
      <c r="K1204" s="158" t="s">
        <v>238</v>
      </c>
    </row>
    <row r="1205" spans="4:11">
      <c r="D1205" s="158">
        <v>166269</v>
      </c>
      <c r="E1205" s="158">
        <v>10020</v>
      </c>
      <c r="F1205" s="158">
        <v>229</v>
      </c>
      <c r="G1205" s="158">
        <v>0.4</v>
      </c>
      <c r="H1205" s="158">
        <v>0.5</v>
      </c>
      <c r="I1205" s="158">
        <v>0</v>
      </c>
      <c r="J1205" s="158">
        <v>0.5</v>
      </c>
      <c r="K1205" s="158" t="s">
        <v>238</v>
      </c>
    </row>
    <row r="1206" spans="4:11">
      <c r="D1206" s="158">
        <v>166270</v>
      </c>
      <c r="E1206" s="158">
        <v>10020</v>
      </c>
      <c r="F1206" s="158">
        <v>402</v>
      </c>
      <c r="G1206" s="158">
        <v>0.3</v>
      </c>
      <c r="H1206" s="158">
        <v>0</v>
      </c>
      <c r="I1206" s="158">
        <v>0</v>
      </c>
      <c r="J1206" s="158">
        <v>0</v>
      </c>
      <c r="K1206" s="158" t="s">
        <v>238</v>
      </c>
    </row>
    <row r="1207" spans="4:11">
      <c r="D1207" s="158">
        <v>166271</v>
      </c>
      <c r="E1207" s="158">
        <v>10692</v>
      </c>
      <c r="F1207" s="158">
        <v>2123</v>
      </c>
      <c r="G1207" s="158">
        <v>7.8</v>
      </c>
      <c r="H1207" s="158">
        <v>8.5</v>
      </c>
      <c r="I1207" s="158">
        <v>0</v>
      </c>
      <c r="J1207" s="158">
        <v>8.5</v>
      </c>
      <c r="K1207" s="158" t="s">
        <v>235</v>
      </c>
    </row>
    <row r="1208" spans="4:11">
      <c r="D1208" s="158">
        <v>166273</v>
      </c>
      <c r="E1208" s="158">
        <v>10636</v>
      </c>
      <c r="F1208" s="158">
        <v>1795</v>
      </c>
      <c r="G1208" s="158">
        <v>0</v>
      </c>
      <c r="H1208" s="158">
        <v>2</v>
      </c>
      <c r="I1208" s="158">
        <v>0</v>
      </c>
      <c r="J1208" s="158">
        <v>2</v>
      </c>
      <c r="K1208" s="158" t="s">
        <v>235</v>
      </c>
    </row>
    <row r="1209" spans="4:11">
      <c r="D1209" s="158">
        <v>166275</v>
      </c>
      <c r="E1209" s="158">
        <v>10816</v>
      </c>
      <c r="F1209" s="158">
        <v>2221</v>
      </c>
      <c r="G1209" s="158">
        <v>1.9</v>
      </c>
      <c r="H1209" s="158">
        <v>0.5</v>
      </c>
      <c r="I1209" s="158">
        <v>0</v>
      </c>
      <c r="J1209" s="158">
        <v>0.5</v>
      </c>
      <c r="K1209" s="158" t="s">
        <v>235</v>
      </c>
    </row>
    <row r="1210" spans="4:11">
      <c r="D1210" s="158">
        <v>166276</v>
      </c>
      <c r="E1210" s="158">
        <v>10816</v>
      </c>
      <c r="F1210" s="158">
        <v>2122</v>
      </c>
      <c r="G1210" s="158">
        <v>1.2</v>
      </c>
      <c r="H1210" s="158">
        <v>1.25</v>
      </c>
      <c r="I1210" s="158">
        <v>0</v>
      </c>
      <c r="J1210" s="158">
        <v>1.25</v>
      </c>
      <c r="K1210" s="158" t="s">
        <v>235</v>
      </c>
    </row>
    <row r="1211" spans="4:11">
      <c r="D1211" s="158">
        <v>166344</v>
      </c>
      <c r="E1211" s="158">
        <v>11715</v>
      </c>
      <c r="F1211" s="158">
        <v>2203</v>
      </c>
      <c r="G1211" s="158">
        <v>2.2999999999999998</v>
      </c>
      <c r="H1211" s="158">
        <v>0</v>
      </c>
      <c r="I1211" s="158">
        <v>0</v>
      </c>
      <c r="J1211" s="158">
        <v>0</v>
      </c>
      <c r="K1211" s="158" t="s">
        <v>235</v>
      </c>
    </row>
    <row r="1212" spans="4:11">
      <c r="D1212" s="158">
        <v>166346</v>
      </c>
      <c r="E1212" s="158">
        <v>11711</v>
      </c>
      <c r="F1212" s="158">
        <v>2075</v>
      </c>
      <c r="H1212" s="158">
        <v>4.3</v>
      </c>
      <c r="I1212" s="158">
        <v>0</v>
      </c>
      <c r="J1212" s="158">
        <v>4.3</v>
      </c>
      <c r="K1212" s="158" t="s">
        <v>235</v>
      </c>
    </row>
    <row r="1213" spans="4:11">
      <c r="D1213" s="158">
        <v>166367</v>
      </c>
      <c r="E1213" s="158">
        <v>11214</v>
      </c>
      <c r="F1213" s="158">
        <v>2030</v>
      </c>
      <c r="H1213" s="158">
        <v>0.5</v>
      </c>
      <c r="I1213" s="158">
        <v>0</v>
      </c>
      <c r="J1213" s="158">
        <v>0.5</v>
      </c>
      <c r="K1213" s="158" t="s">
        <v>235</v>
      </c>
    </row>
    <row r="1214" spans="4:11">
      <c r="D1214" s="158">
        <v>166429</v>
      </c>
      <c r="E1214" s="158">
        <v>11307</v>
      </c>
      <c r="F1214" s="158">
        <v>362</v>
      </c>
      <c r="G1214" s="158">
        <v>9</v>
      </c>
      <c r="H1214" s="158">
        <v>8.25</v>
      </c>
      <c r="I1214" s="158">
        <v>0</v>
      </c>
      <c r="J1214" s="158">
        <v>8.25</v>
      </c>
      <c r="K1214" s="158" t="s">
        <v>236</v>
      </c>
    </row>
    <row r="1215" spans="4:11">
      <c r="D1215" s="158">
        <v>166481</v>
      </c>
      <c r="E1215" s="158">
        <v>11213</v>
      </c>
      <c r="F1215" s="158">
        <v>1014</v>
      </c>
      <c r="H1215" s="158">
        <v>0.9</v>
      </c>
      <c r="I1215" s="158">
        <v>0</v>
      </c>
      <c r="J1215" s="158">
        <v>0.9</v>
      </c>
      <c r="K1215" s="158" t="s">
        <v>235</v>
      </c>
    </row>
    <row r="1216" spans="4:11">
      <c r="D1216" s="158">
        <v>166495</v>
      </c>
      <c r="E1216" s="158">
        <v>10764</v>
      </c>
      <c r="F1216" s="158">
        <v>1014</v>
      </c>
      <c r="H1216" s="158">
        <v>0.5</v>
      </c>
      <c r="I1216" s="158">
        <v>0</v>
      </c>
      <c r="J1216" s="158">
        <v>0.5</v>
      </c>
      <c r="K1216" s="158" t="s">
        <v>235</v>
      </c>
    </row>
    <row r="1217" spans="4:11">
      <c r="D1217" s="158">
        <v>166504</v>
      </c>
      <c r="E1217" s="158">
        <v>11255</v>
      </c>
      <c r="F1217" s="158">
        <v>2156</v>
      </c>
      <c r="H1217" s="158">
        <v>6.1</v>
      </c>
      <c r="I1217" s="158">
        <v>0</v>
      </c>
      <c r="J1217" s="158">
        <v>6.1</v>
      </c>
      <c r="K1217" s="158" t="s">
        <v>236</v>
      </c>
    </row>
    <row r="1218" spans="4:11">
      <c r="D1218" s="158">
        <v>166506</v>
      </c>
      <c r="E1218" s="158">
        <v>10815</v>
      </c>
      <c r="F1218" s="158">
        <v>1251</v>
      </c>
      <c r="G1218" s="158">
        <v>2</v>
      </c>
      <c r="H1218" s="158">
        <v>2.6</v>
      </c>
      <c r="I1218" s="158">
        <v>0</v>
      </c>
      <c r="J1218" s="158">
        <v>2.6</v>
      </c>
      <c r="K1218" s="158" t="s">
        <v>235</v>
      </c>
    </row>
    <row r="1219" spans="4:11">
      <c r="D1219" s="158">
        <v>166507</v>
      </c>
      <c r="E1219" s="158">
        <v>10639</v>
      </c>
      <c r="F1219" s="158">
        <v>1999</v>
      </c>
      <c r="H1219" s="158">
        <v>5.2</v>
      </c>
      <c r="I1219" s="158">
        <v>0</v>
      </c>
      <c r="J1219" s="158">
        <v>5.2</v>
      </c>
      <c r="K1219" s="158" t="s">
        <v>235</v>
      </c>
    </row>
    <row r="1220" spans="4:11">
      <c r="D1220" s="158">
        <v>166510</v>
      </c>
      <c r="E1220" s="158">
        <v>10783</v>
      </c>
      <c r="F1220" s="158">
        <v>938</v>
      </c>
      <c r="H1220" s="158">
        <v>0.15</v>
      </c>
      <c r="I1220" s="158">
        <v>0</v>
      </c>
      <c r="J1220" s="158">
        <v>0.15</v>
      </c>
      <c r="K1220" s="158" t="s">
        <v>235</v>
      </c>
    </row>
    <row r="1221" spans="4:11">
      <c r="D1221" s="158">
        <v>166516</v>
      </c>
      <c r="E1221" s="158">
        <v>11213</v>
      </c>
      <c r="F1221" s="158">
        <v>828</v>
      </c>
      <c r="H1221" s="158">
        <v>0</v>
      </c>
      <c r="I1221" s="158">
        <v>0</v>
      </c>
      <c r="J1221" s="158">
        <v>0</v>
      </c>
      <c r="K1221" s="158" t="s">
        <v>235</v>
      </c>
    </row>
    <row r="1222" spans="4:11">
      <c r="D1222" s="158">
        <v>166517</v>
      </c>
      <c r="E1222" s="158">
        <v>11213</v>
      </c>
      <c r="F1222" s="158">
        <v>2177</v>
      </c>
      <c r="G1222" s="158">
        <v>6.2</v>
      </c>
      <c r="H1222" s="158">
        <v>0</v>
      </c>
      <c r="I1222" s="158">
        <v>0</v>
      </c>
      <c r="J1222" s="158">
        <v>0</v>
      </c>
      <c r="K1222" s="158" t="s">
        <v>235</v>
      </c>
    </row>
    <row r="1223" spans="4:11">
      <c r="D1223" s="158">
        <v>166518</v>
      </c>
      <c r="E1223" s="158">
        <v>11213</v>
      </c>
      <c r="F1223" s="158">
        <v>1821</v>
      </c>
      <c r="H1223" s="158">
        <v>0</v>
      </c>
      <c r="I1223" s="158">
        <v>0</v>
      </c>
      <c r="J1223" s="158">
        <v>0</v>
      </c>
      <c r="K1223" s="158" t="s">
        <v>235</v>
      </c>
    </row>
    <row r="1224" spans="4:11">
      <c r="D1224" s="158">
        <v>166519</v>
      </c>
      <c r="E1224" s="158">
        <v>11213</v>
      </c>
      <c r="F1224" s="158">
        <v>197</v>
      </c>
      <c r="H1224" s="158">
        <v>0</v>
      </c>
      <c r="I1224" s="158">
        <v>0</v>
      </c>
      <c r="J1224" s="158">
        <v>0</v>
      </c>
      <c r="K1224" s="158" t="s">
        <v>235</v>
      </c>
    </row>
    <row r="1225" spans="4:11">
      <c r="D1225" s="158">
        <v>166520</v>
      </c>
      <c r="E1225" s="158">
        <v>11213</v>
      </c>
      <c r="F1225" s="158">
        <v>2062</v>
      </c>
      <c r="H1225" s="158">
        <v>0.3</v>
      </c>
      <c r="I1225" s="158">
        <v>0</v>
      </c>
      <c r="J1225" s="158">
        <v>0.3</v>
      </c>
      <c r="K1225" s="158" t="s">
        <v>235</v>
      </c>
    </row>
    <row r="1226" spans="4:11">
      <c r="D1226" s="158">
        <v>166521</v>
      </c>
      <c r="E1226" s="158">
        <v>11213</v>
      </c>
      <c r="F1226" s="158">
        <v>1014</v>
      </c>
      <c r="H1226" s="158">
        <v>0</v>
      </c>
      <c r="I1226" s="158">
        <v>0</v>
      </c>
      <c r="J1226" s="158">
        <v>0</v>
      </c>
      <c r="K1226" s="158" t="s">
        <v>235</v>
      </c>
    </row>
    <row r="1227" spans="4:11">
      <c r="D1227" s="158">
        <v>166522</v>
      </c>
      <c r="E1227" s="158">
        <v>11213</v>
      </c>
      <c r="F1227" s="158">
        <v>222</v>
      </c>
      <c r="H1227" s="158">
        <v>0</v>
      </c>
      <c r="I1227" s="158">
        <v>0</v>
      </c>
      <c r="J1227" s="158">
        <v>0</v>
      </c>
      <c r="K1227" s="158" t="s">
        <v>235</v>
      </c>
    </row>
    <row r="1228" spans="4:11">
      <c r="D1228" s="158">
        <v>166523</v>
      </c>
      <c r="E1228" s="158">
        <v>11213</v>
      </c>
      <c r="F1228" s="158">
        <v>828</v>
      </c>
      <c r="H1228" s="158">
        <v>0</v>
      </c>
      <c r="I1228" s="158">
        <v>0</v>
      </c>
      <c r="J1228" s="158">
        <v>0</v>
      </c>
      <c r="K1228" s="158" t="s">
        <v>235</v>
      </c>
    </row>
    <row r="1229" spans="4:11">
      <c r="D1229" s="158">
        <v>166524</v>
      </c>
      <c r="E1229" s="158">
        <v>11213</v>
      </c>
      <c r="F1229" s="158">
        <v>1821</v>
      </c>
      <c r="G1229" s="158">
        <v>0</v>
      </c>
      <c r="H1229" s="158">
        <v>0</v>
      </c>
      <c r="I1229" s="158">
        <v>0</v>
      </c>
      <c r="J1229" s="158">
        <v>0</v>
      </c>
      <c r="K1229" s="158" t="s">
        <v>235</v>
      </c>
    </row>
    <row r="1230" spans="4:11">
      <c r="D1230" s="158">
        <v>166525</v>
      </c>
      <c r="E1230" s="158">
        <v>11213</v>
      </c>
      <c r="F1230" s="158">
        <v>1738</v>
      </c>
      <c r="G1230" s="158">
        <v>6.2</v>
      </c>
      <c r="H1230" s="158">
        <v>0</v>
      </c>
      <c r="I1230" s="158">
        <v>0</v>
      </c>
      <c r="J1230" s="158">
        <v>0</v>
      </c>
      <c r="K1230" s="158" t="s">
        <v>235</v>
      </c>
    </row>
    <row r="1231" spans="4:11">
      <c r="D1231" s="158">
        <v>166526</v>
      </c>
      <c r="E1231" s="158">
        <v>11213</v>
      </c>
      <c r="F1231" s="158">
        <v>938</v>
      </c>
      <c r="H1231" s="158">
        <v>0</v>
      </c>
      <c r="I1231" s="158">
        <v>0</v>
      </c>
      <c r="J1231" s="158">
        <v>0</v>
      </c>
      <c r="K1231" s="158" t="s">
        <v>235</v>
      </c>
    </row>
    <row r="1232" spans="4:11">
      <c r="D1232" s="158">
        <v>166527</v>
      </c>
      <c r="E1232" s="158">
        <v>11213</v>
      </c>
      <c r="F1232" s="158">
        <v>197</v>
      </c>
      <c r="H1232" s="158">
        <v>0</v>
      </c>
      <c r="I1232" s="158">
        <v>0</v>
      </c>
      <c r="J1232" s="158">
        <v>0</v>
      </c>
      <c r="K1232" s="158" t="s">
        <v>235</v>
      </c>
    </row>
    <row r="1233" spans="4:11">
      <c r="D1233" s="158">
        <v>166528</v>
      </c>
      <c r="E1233" s="158">
        <v>11213</v>
      </c>
      <c r="F1233" s="158">
        <v>2062</v>
      </c>
      <c r="H1233" s="158">
        <v>0</v>
      </c>
      <c r="I1233" s="158">
        <v>0</v>
      </c>
      <c r="J1233" s="158">
        <v>0</v>
      </c>
      <c r="K1233" s="158" t="s">
        <v>235</v>
      </c>
    </row>
    <row r="1234" spans="4:11">
      <c r="D1234" s="158">
        <v>166529</v>
      </c>
      <c r="E1234" s="158">
        <v>11213</v>
      </c>
      <c r="F1234" s="158">
        <v>1014</v>
      </c>
      <c r="G1234" s="158">
        <v>0</v>
      </c>
      <c r="H1234" s="158">
        <v>0</v>
      </c>
      <c r="I1234" s="158">
        <v>0</v>
      </c>
      <c r="J1234" s="158">
        <v>0</v>
      </c>
      <c r="K1234" s="158" t="s">
        <v>235</v>
      </c>
    </row>
    <row r="1235" spans="4:11">
      <c r="D1235" s="158">
        <v>166532</v>
      </c>
      <c r="E1235" s="158">
        <v>11213</v>
      </c>
      <c r="F1235" s="158">
        <v>2177</v>
      </c>
      <c r="G1235" s="158">
        <v>0</v>
      </c>
      <c r="H1235" s="158">
        <v>0</v>
      </c>
      <c r="I1235" s="158">
        <v>0</v>
      </c>
      <c r="J1235" s="158">
        <v>0</v>
      </c>
      <c r="K1235" s="158" t="s">
        <v>235</v>
      </c>
    </row>
    <row r="1236" spans="4:11">
      <c r="D1236" s="158">
        <v>166533</v>
      </c>
      <c r="E1236" s="158">
        <v>11214</v>
      </c>
      <c r="F1236" s="158">
        <v>1738</v>
      </c>
      <c r="H1236" s="158">
        <v>0.5</v>
      </c>
      <c r="I1236" s="158">
        <v>0</v>
      </c>
      <c r="J1236" s="158">
        <v>0.5</v>
      </c>
      <c r="K1236" s="158" t="s">
        <v>235</v>
      </c>
    </row>
    <row r="1237" spans="4:11">
      <c r="D1237" s="158">
        <v>166535</v>
      </c>
      <c r="E1237" s="158">
        <v>10816</v>
      </c>
      <c r="F1237" s="158">
        <v>1999</v>
      </c>
      <c r="G1237" s="158">
        <v>8.3000000000000007</v>
      </c>
      <c r="H1237" s="158">
        <v>9.1999999999999993</v>
      </c>
      <c r="I1237" s="158">
        <v>0</v>
      </c>
      <c r="J1237" s="158">
        <v>9.1999999999999993</v>
      </c>
      <c r="K1237" s="158" t="s">
        <v>235</v>
      </c>
    </row>
    <row r="1238" spans="4:11">
      <c r="D1238" s="158">
        <v>166538</v>
      </c>
      <c r="E1238" s="158">
        <v>10692</v>
      </c>
      <c r="F1238" s="158">
        <v>2142</v>
      </c>
      <c r="H1238" s="158">
        <v>0.25</v>
      </c>
      <c r="I1238" s="158">
        <v>0</v>
      </c>
      <c r="J1238" s="158">
        <v>0.25</v>
      </c>
      <c r="K1238" s="158" t="s">
        <v>235</v>
      </c>
    </row>
    <row r="1239" spans="4:11">
      <c r="D1239" s="158">
        <v>166644</v>
      </c>
      <c r="E1239" s="158">
        <v>11213</v>
      </c>
      <c r="F1239" s="158">
        <v>1014</v>
      </c>
      <c r="H1239" s="158">
        <v>0</v>
      </c>
      <c r="I1239" s="158">
        <v>0</v>
      </c>
      <c r="J1239" s="158">
        <v>0</v>
      </c>
      <c r="K1239" s="158" t="s">
        <v>235</v>
      </c>
    </row>
    <row r="1240" spans="4:11">
      <c r="D1240" s="158">
        <v>166645</v>
      </c>
      <c r="E1240" s="158">
        <v>11213</v>
      </c>
      <c r="F1240" s="158">
        <v>222</v>
      </c>
      <c r="H1240" s="158">
        <v>2.5</v>
      </c>
      <c r="I1240" s="158">
        <v>0</v>
      </c>
      <c r="J1240" s="158">
        <v>2.5</v>
      </c>
      <c r="K1240" s="158" t="s">
        <v>235</v>
      </c>
    </row>
    <row r="1241" spans="4:11">
      <c r="D1241" s="158">
        <v>166646</v>
      </c>
      <c r="E1241" s="158">
        <v>11213</v>
      </c>
      <c r="F1241" s="158">
        <v>2030</v>
      </c>
      <c r="H1241" s="158">
        <v>0</v>
      </c>
      <c r="I1241" s="158">
        <v>0</v>
      </c>
      <c r="J1241" s="158">
        <v>0</v>
      </c>
      <c r="K1241" s="158" t="s">
        <v>235</v>
      </c>
    </row>
    <row r="1242" spans="4:11">
      <c r="D1242" s="158">
        <v>166647</v>
      </c>
      <c r="E1242" s="158">
        <v>11213</v>
      </c>
      <c r="F1242" s="158">
        <v>1821</v>
      </c>
      <c r="H1242" s="158">
        <v>0</v>
      </c>
      <c r="I1242" s="158">
        <v>0</v>
      </c>
      <c r="J1242" s="158">
        <v>0</v>
      </c>
      <c r="K1242" s="158" t="s">
        <v>235</v>
      </c>
    </row>
    <row r="1243" spans="4:11">
      <c r="D1243" s="158">
        <v>166648</v>
      </c>
      <c r="E1243" s="158">
        <v>11213</v>
      </c>
      <c r="F1243" s="158">
        <v>197</v>
      </c>
      <c r="H1243" s="158">
        <v>1.75</v>
      </c>
      <c r="I1243" s="158">
        <v>0</v>
      </c>
      <c r="J1243" s="158">
        <v>1.75</v>
      </c>
      <c r="K1243" s="158" t="s">
        <v>235</v>
      </c>
    </row>
    <row r="1244" spans="4:11">
      <c r="D1244" s="158">
        <v>166649</v>
      </c>
      <c r="E1244" s="158">
        <v>11213</v>
      </c>
      <c r="F1244" s="158">
        <v>2177</v>
      </c>
      <c r="G1244" s="158">
        <v>12.4</v>
      </c>
      <c r="H1244" s="158">
        <v>0</v>
      </c>
      <c r="I1244" s="158">
        <v>10.8</v>
      </c>
      <c r="J1244" s="158">
        <v>10.8</v>
      </c>
      <c r="K1244" s="158" t="s">
        <v>235</v>
      </c>
    </row>
    <row r="1245" spans="4:11">
      <c r="D1245" s="158">
        <v>166650</v>
      </c>
      <c r="E1245" s="158">
        <v>11213</v>
      </c>
      <c r="F1245" s="158">
        <v>1014</v>
      </c>
      <c r="G1245" s="158">
        <v>0</v>
      </c>
      <c r="H1245" s="158">
        <v>0.55000000000000004</v>
      </c>
      <c r="I1245" s="158">
        <v>0</v>
      </c>
      <c r="J1245" s="158">
        <v>0.55000000000000004</v>
      </c>
      <c r="K1245" s="158" t="s">
        <v>235</v>
      </c>
    </row>
    <row r="1246" spans="4:11">
      <c r="D1246" s="158">
        <v>166651</v>
      </c>
      <c r="E1246" s="158">
        <v>11213</v>
      </c>
      <c r="F1246" s="158">
        <v>2062</v>
      </c>
      <c r="G1246" s="158">
        <v>0</v>
      </c>
      <c r="H1246" s="158">
        <v>0.1</v>
      </c>
      <c r="I1246" s="158">
        <v>0</v>
      </c>
      <c r="J1246" s="158">
        <v>0.1</v>
      </c>
      <c r="K1246" s="158" t="s">
        <v>235</v>
      </c>
    </row>
    <row r="1247" spans="4:11">
      <c r="D1247" s="158">
        <v>166652</v>
      </c>
      <c r="E1247" s="158">
        <v>11213</v>
      </c>
      <c r="F1247" s="158">
        <v>1821</v>
      </c>
      <c r="H1247" s="158">
        <v>0</v>
      </c>
      <c r="I1247" s="158">
        <v>0</v>
      </c>
      <c r="J1247" s="158">
        <v>0</v>
      </c>
      <c r="K1247" s="158" t="s">
        <v>235</v>
      </c>
    </row>
    <row r="1248" spans="4:11">
      <c r="D1248" s="158">
        <v>166653</v>
      </c>
      <c r="E1248" s="158">
        <v>11213</v>
      </c>
      <c r="F1248" s="158">
        <v>1738</v>
      </c>
      <c r="G1248" s="158">
        <v>0</v>
      </c>
      <c r="H1248" s="158">
        <v>0</v>
      </c>
      <c r="I1248" s="158">
        <v>0</v>
      </c>
      <c r="J1248" s="158">
        <v>0</v>
      </c>
      <c r="K1248" s="158" t="s">
        <v>235</v>
      </c>
    </row>
    <row r="1249" spans="4:11">
      <c r="D1249" s="158">
        <v>166654</v>
      </c>
      <c r="E1249" s="158">
        <v>11213</v>
      </c>
      <c r="F1249" s="158">
        <v>222</v>
      </c>
      <c r="G1249" s="158">
        <v>0</v>
      </c>
      <c r="H1249" s="158">
        <v>0</v>
      </c>
      <c r="I1249" s="158">
        <v>0</v>
      </c>
      <c r="J1249" s="158">
        <v>0</v>
      </c>
      <c r="K1249" s="158" t="s">
        <v>235</v>
      </c>
    </row>
    <row r="1250" spans="4:11">
      <c r="D1250" s="158">
        <v>166655</v>
      </c>
      <c r="E1250" s="158">
        <v>11213</v>
      </c>
      <c r="F1250" s="158">
        <v>2030</v>
      </c>
      <c r="H1250" s="158">
        <v>0.8</v>
      </c>
      <c r="I1250" s="158">
        <v>0</v>
      </c>
      <c r="J1250" s="158">
        <v>0.8</v>
      </c>
      <c r="K1250" s="158" t="s">
        <v>235</v>
      </c>
    </row>
    <row r="1251" spans="4:11">
      <c r="D1251" s="158">
        <v>166656</v>
      </c>
      <c r="E1251" s="158">
        <v>11213</v>
      </c>
      <c r="F1251" s="158">
        <v>197</v>
      </c>
      <c r="G1251" s="158">
        <v>0</v>
      </c>
      <c r="H1251" s="158">
        <v>1.5</v>
      </c>
      <c r="I1251" s="158">
        <v>0</v>
      </c>
      <c r="J1251" s="158">
        <v>1.5</v>
      </c>
      <c r="K1251" s="158" t="s">
        <v>235</v>
      </c>
    </row>
    <row r="1252" spans="4:11">
      <c r="D1252" s="158">
        <v>166657</v>
      </c>
      <c r="E1252" s="158">
        <v>11214</v>
      </c>
      <c r="F1252" s="158">
        <v>2177</v>
      </c>
      <c r="G1252" s="158">
        <v>6.2</v>
      </c>
      <c r="H1252" s="158">
        <v>0</v>
      </c>
      <c r="I1252" s="158">
        <v>0</v>
      </c>
      <c r="J1252" s="158">
        <v>0</v>
      </c>
      <c r="K1252" s="158" t="s">
        <v>235</v>
      </c>
    </row>
    <row r="1253" spans="4:11">
      <c r="D1253" s="158">
        <v>166658</v>
      </c>
      <c r="E1253" s="158">
        <v>11214</v>
      </c>
      <c r="F1253" s="158">
        <v>2177</v>
      </c>
      <c r="G1253" s="158">
        <v>6.2</v>
      </c>
      <c r="H1253" s="158">
        <v>0</v>
      </c>
      <c r="I1253" s="158">
        <v>0</v>
      </c>
      <c r="J1253" s="158">
        <v>0</v>
      </c>
      <c r="K1253" s="158" t="s">
        <v>235</v>
      </c>
    </row>
    <row r="1254" spans="4:11">
      <c r="D1254" s="158">
        <v>166660</v>
      </c>
      <c r="E1254" s="158">
        <v>11214</v>
      </c>
      <c r="F1254" s="158">
        <v>1505</v>
      </c>
      <c r="H1254" s="158">
        <v>0</v>
      </c>
      <c r="I1254" s="158">
        <v>0</v>
      </c>
      <c r="J1254" s="158">
        <v>0</v>
      </c>
      <c r="K1254" s="158" t="s">
        <v>235</v>
      </c>
    </row>
    <row r="1255" spans="4:11">
      <c r="D1255" s="158">
        <v>166661</v>
      </c>
      <c r="E1255" s="158">
        <v>11214</v>
      </c>
      <c r="F1255" s="158">
        <v>197</v>
      </c>
      <c r="G1255" s="158">
        <v>0</v>
      </c>
      <c r="H1255" s="158">
        <v>1.75</v>
      </c>
      <c r="I1255" s="158">
        <v>0</v>
      </c>
      <c r="J1255" s="158">
        <v>1.75</v>
      </c>
      <c r="K1255" s="158" t="s">
        <v>235</v>
      </c>
    </row>
    <row r="1256" spans="4:11">
      <c r="D1256" s="158">
        <v>166662</v>
      </c>
      <c r="E1256" s="158">
        <v>11214</v>
      </c>
      <c r="F1256" s="158">
        <v>2062</v>
      </c>
      <c r="H1256" s="158">
        <v>1.35</v>
      </c>
      <c r="I1256" s="158">
        <v>0</v>
      </c>
      <c r="J1256" s="158">
        <v>1.35</v>
      </c>
      <c r="K1256" s="158" t="s">
        <v>235</v>
      </c>
    </row>
    <row r="1257" spans="4:11">
      <c r="D1257" s="158">
        <v>166666</v>
      </c>
      <c r="E1257" s="158">
        <v>11214</v>
      </c>
      <c r="F1257" s="158">
        <v>222</v>
      </c>
      <c r="H1257" s="158">
        <v>2</v>
      </c>
      <c r="I1257" s="158">
        <v>0</v>
      </c>
      <c r="J1257" s="158">
        <v>2</v>
      </c>
      <c r="K1257" s="158" t="s">
        <v>235</v>
      </c>
    </row>
    <row r="1258" spans="4:11">
      <c r="D1258" s="158">
        <v>166670</v>
      </c>
      <c r="E1258" s="158">
        <v>11214</v>
      </c>
      <c r="F1258" s="158">
        <v>938</v>
      </c>
      <c r="H1258" s="158">
        <v>0</v>
      </c>
      <c r="I1258" s="158">
        <v>0</v>
      </c>
      <c r="J1258" s="158">
        <v>0</v>
      </c>
      <c r="K1258" s="158" t="s">
        <v>235</v>
      </c>
    </row>
    <row r="1259" spans="4:11">
      <c r="D1259" s="158">
        <v>166672</v>
      </c>
      <c r="E1259" s="158">
        <v>11214</v>
      </c>
      <c r="F1259" s="158">
        <v>1505</v>
      </c>
      <c r="H1259" s="158">
        <v>0</v>
      </c>
      <c r="I1259" s="158">
        <v>0</v>
      </c>
      <c r="J1259" s="158">
        <v>0</v>
      </c>
      <c r="K1259" s="158" t="s">
        <v>235</v>
      </c>
    </row>
    <row r="1260" spans="4:11">
      <c r="D1260" s="158">
        <v>166673</v>
      </c>
      <c r="E1260" s="158">
        <v>11214</v>
      </c>
      <c r="F1260" s="158">
        <v>1738</v>
      </c>
      <c r="H1260" s="158">
        <v>1.95</v>
      </c>
      <c r="I1260" s="158">
        <v>0</v>
      </c>
      <c r="J1260" s="158">
        <v>1.95</v>
      </c>
      <c r="K1260" s="158" t="s">
        <v>235</v>
      </c>
    </row>
    <row r="1261" spans="4:11">
      <c r="D1261" s="158">
        <v>166674</v>
      </c>
      <c r="E1261" s="158">
        <v>11214</v>
      </c>
      <c r="F1261" s="158">
        <v>2062</v>
      </c>
      <c r="H1261" s="158">
        <v>0.4</v>
      </c>
      <c r="I1261" s="158">
        <v>0</v>
      </c>
      <c r="J1261" s="158">
        <v>0.4</v>
      </c>
      <c r="K1261" s="158" t="s">
        <v>235</v>
      </c>
    </row>
    <row r="1262" spans="4:11">
      <c r="D1262" s="158">
        <v>166679</v>
      </c>
      <c r="E1262" s="158">
        <v>11214</v>
      </c>
      <c r="F1262" s="158">
        <v>222</v>
      </c>
      <c r="H1262" s="158">
        <v>0.5</v>
      </c>
      <c r="I1262" s="158">
        <v>0</v>
      </c>
      <c r="J1262" s="158">
        <v>0.5</v>
      </c>
      <c r="K1262" s="158" t="s">
        <v>235</v>
      </c>
    </row>
    <row r="1263" spans="4:11">
      <c r="D1263" s="158">
        <v>166680</v>
      </c>
      <c r="E1263" s="158">
        <v>11214</v>
      </c>
      <c r="F1263" s="158">
        <v>197</v>
      </c>
      <c r="H1263" s="158">
        <v>1.75</v>
      </c>
      <c r="I1263" s="158">
        <v>0</v>
      </c>
      <c r="J1263" s="158">
        <v>1.75</v>
      </c>
      <c r="K1263" s="158" t="s">
        <v>235</v>
      </c>
    </row>
    <row r="1264" spans="4:11">
      <c r="D1264" s="158">
        <v>166682</v>
      </c>
      <c r="E1264" s="158">
        <v>11214</v>
      </c>
      <c r="F1264" s="158">
        <v>1738</v>
      </c>
      <c r="G1264" s="158">
        <v>0</v>
      </c>
      <c r="H1264" s="158">
        <v>0</v>
      </c>
      <c r="I1264" s="158">
        <v>0</v>
      </c>
      <c r="J1264" s="158">
        <v>0</v>
      </c>
      <c r="K1264" s="158" t="s">
        <v>235</v>
      </c>
    </row>
    <row r="1265" spans="4:11">
      <c r="D1265" s="158">
        <v>166683</v>
      </c>
      <c r="E1265" s="158">
        <v>11214</v>
      </c>
      <c r="F1265" s="158">
        <v>1014</v>
      </c>
      <c r="G1265" s="158">
        <v>0</v>
      </c>
      <c r="H1265" s="158">
        <v>0.32</v>
      </c>
      <c r="I1265" s="158">
        <v>0</v>
      </c>
      <c r="J1265" s="158">
        <v>0.32</v>
      </c>
      <c r="K1265" s="158" t="s">
        <v>235</v>
      </c>
    </row>
    <row r="1266" spans="4:11">
      <c r="D1266" s="158">
        <v>166684</v>
      </c>
      <c r="E1266" s="158">
        <v>11214</v>
      </c>
      <c r="F1266" s="158">
        <v>2062</v>
      </c>
      <c r="G1266" s="158">
        <v>0</v>
      </c>
      <c r="H1266" s="158">
        <v>1.7</v>
      </c>
      <c r="I1266" s="158">
        <v>0</v>
      </c>
      <c r="J1266" s="158">
        <v>1.7</v>
      </c>
      <c r="K1266" s="158" t="s">
        <v>235</v>
      </c>
    </row>
    <row r="1267" spans="4:11">
      <c r="D1267" s="158">
        <v>166685</v>
      </c>
      <c r="E1267" s="158">
        <v>11214</v>
      </c>
      <c r="F1267" s="158">
        <v>2030</v>
      </c>
      <c r="H1267" s="158">
        <v>0</v>
      </c>
      <c r="I1267" s="158">
        <v>0</v>
      </c>
      <c r="J1267" s="158">
        <v>0</v>
      </c>
      <c r="K1267" s="158" t="s">
        <v>235</v>
      </c>
    </row>
    <row r="1268" spans="4:11">
      <c r="D1268" s="158">
        <v>166686</v>
      </c>
      <c r="E1268" s="158">
        <v>11214</v>
      </c>
      <c r="F1268" s="158">
        <v>222</v>
      </c>
      <c r="G1268" s="158">
        <v>0</v>
      </c>
      <c r="H1268" s="158">
        <v>0.65</v>
      </c>
      <c r="I1268" s="158">
        <v>0</v>
      </c>
      <c r="J1268" s="158">
        <v>0.65</v>
      </c>
      <c r="K1268" s="158" t="s">
        <v>235</v>
      </c>
    </row>
    <row r="1269" spans="4:11">
      <c r="D1269" s="158">
        <v>166687</v>
      </c>
      <c r="E1269" s="158">
        <v>11214</v>
      </c>
      <c r="F1269" s="158">
        <v>1821</v>
      </c>
      <c r="H1269" s="158">
        <v>0</v>
      </c>
      <c r="I1269" s="158">
        <v>0</v>
      </c>
      <c r="J1269" s="158">
        <v>0</v>
      </c>
      <c r="K1269" s="158" t="s">
        <v>235</v>
      </c>
    </row>
    <row r="1270" spans="4:11">
      <c r="D1270" s="158">
        <v>166688</v>
      </c>
      <c r="E1270" s="158">
        <v>11214</v>
      </c>
      <c r="F1270" s="158">
        <v>197</v>
      </c>
      <c r="G1270" s="158">
        <v>0</v>
      </c>
      <c r="H1270" s="158">
        <v>1</v>
      </c>
      <c r="I1270" s="158">
        <v>0</v>
      </c>
      <c r="J1270" s="158">
        <v>1</v>
      </c>
      <c r="K1270" s="158" t="s">
        <v>235</v>
      </c>
    </row>
    <row r="1271" spans="4:11">
      <c r="D1271" s="158">
        <v>166691</v>
      </c>
      <c r="E1271" s="158">
        <v>11221</v>
      </c>
      <c r="F1271" s="158">
        <v>1505</v>
      </c>
      <c r="H1271" s="158">
        <v>0</v>
      </c>
      <c r="I1271" s="158">
        <v>0</v>
      </c>
      <c r="J1271" s="158">
        <v>0</v>
      </c>
      <c r="K1271" s="158" t="s">
        <v>235</v>
      </c>
    </row>
    <row r="1272" spans="4:11">
      <c r="D1272" s="158">
        <v>166693</v>
      </c>
      <c r="E1272" s="158">
        <v>11213</v>
      </c>
      <c r="F1272" s="158">
        <v>222</v>
      </c>
      <c r="H1272" s="158">
        <v>0</v>
      </c>
      <c r="I1272" s="158">
        <v>0</v>
      </c>
      <c r="J1272" s="158">
        <v>0</v>
      </c>
      <c r="K1272" s="158" t="s">
        <v>235</v>
      </c>
    </row>
    <row r="1273" spans="4:11">
      <c r="D1273" s="158">
        <v>166694</v>
      </c>
      <c r="E1273" s="158">
        <v>11213</v>
      </c>
      <c r="F1273" s="158">
        <v>2030</v>
      </c>
      <c r="H1273" s="158">
        <v>0.9</v>
      </c>
      <c r="I1273" s="158">
        <v>0</v>
      </c>
      <c r="J1273" s="158">
        <v>0.9</v>
      </c>
      <c r="K1273" s="158" t="s">
        <v>235</v>
      </c>
    </row>
    <row r="1274" spans="4:11">
      <c r="D1274" s="158">
        <v>166698</v>
      </c>
      <c r="E1274" s="158">
        <v>11213</v>
      </c>
      <c r="F1274" s="158">
        <v>1505</v>
      </c>
      <c r="H1274" s="158">
        <v>0</v>
      </c>
      <c r="I1274" s="158">
        <v>0</v>
      </c>
      <c r="J1274" s="158">
        <v>0</v>
      </c>
      <c r="K1274" s="158" t="s">
        <v>235</v>
      </c>
    </row>
    <row r="1275" spans="4:11">
      <c r="D1275" s="158">
        <v>166701</v>
      </c>
      <c r="E1275" s="158">
        <v>10100</v>
      </c>
      <c r="F1275" s="158">
        <v>229</v>
      </c>
      <c r="H1275" s="158">
        <v>6.8</v>
      </c>
      <c r="I1275" s="158">
        <v>0</v>
      </c>
      <c r="J1275" s="158">
        <v>6.8</v>
      </c>
      <c r="K1275" s="158" t="s">
        <v>237</v>
      </c>
    </row>
    <row r="1276" spans="4:11">
      <c r="D1276" s="158">
        <v>166702</v>
      </c>
      <c r="E1276" s="158">
        <v>10100</v>
      </c>
      <c r="F1276" s="158">
        <v>180</v>
      </c>
      <c r="H1276" s="158">
        <v>0.12</v>
      </c>
      <c r="I1276" s="158">
        <v>0</v>
      </c>
      <c r="J1276" s="158">
        <v>0.12</v>
      </c>
      <c r="K1276" s="158" t="s">
        <v>237</v>
      </c>
    </row>
    <row r="1277" spans="4:11">
      <c r="D1277" s="158">
        <v>166704</v>
      </c>
      <c r="E1277" s="158">
        <v>10020</v>
      </c>
      <c r="F1277" s="158">
        <v>1667</v>
      </c>
      <c r="G1277" s="158">
        <v>1.25</v>
      </c>
      <c r="H1277" s="158">
        <v>2.0499999999999998</v>
      </c>
      <c r="I1277" s="158">
        <v>0</v>
      </c>
      <c r="J1277" s="158">
        <v>2.0499999999999998</v>
      </c>
      <c r="K1277" s="158" t="s">
        <v>238</v>
      </c>
    </row>
    <row r="1278" spans="4:11">
      <c r="D1278" s="158">
        <v>166705</v>
      </c>
      <c r="E1278" s="158">
        <v>10020</v>
      </c>
      <c r="F1278" s="158">
        <v>402</v>
      </c>
      <c r="G1278" s="158">
        <v>6.25</v>
      </c>
      <c r="H1278" s="158">
        <v>5.7</v>
      </c>
      <c r="I1278" s="158">
        <v>0</v>
      </c>
      <c r="J1278" s="158">
        <v>5.7</v>
      </c>
      <c r="K1278" s="158" t="s">
        <v>238</v>
      </c>
    </row>
    <row r="1279" spans="4:11">
      <c r="D1279" s="158">
        <v>166707</v>
      </c>
      <c r="E1279" s="158">
        <v>10101</v>
      </c>
      <c r="F1279" s="158">
        <v>229</v>
      </c>
      <c r="H1279" s="158">
        <v>0</v>
      </c>
      <c r="I1279" s="158">
        <v>0</v>
      </c>
      <c r="J1279" s="158">
        <v>0</v>
      </c>
      <c r="K1279" s="158" t="s">
        <v>237</v>
      </c>
    </row>
    <row r="1280" spans="4:11">
      <c r="D1280" s="158">
        <v>166709</v>
      </c>
      <c r="E1280" s="158">
        <v>11308</v>
      </c>
      <c r="F1280" s="158">
        <v>2156</v>
      </c>
      <c r="G1280" s="158">
        <v>4</v>
      </c>
      <c r="H1280" s="158">
        <v>3</v>
      </c>
      <c r="I1280" s="158">
        <v>0</v>
      </c>
      <c r="J1280" s="158">
        <v>3</v>
      </c>
      <c r="K1280" s="158" t="s">
        <v>236</v>
      </c>
    </row>
    <row r="1281" spans="4:11">
      <c r="D1281" s="158">
        <v>166710</v>
      </c>
      <c r="E1281" s="158">
        <v>11308</v>
      </c>
      <c r="F1281" s="158">
        <v>2178</v>
      </c>
      <c r="G1281" s="158">
        <v>5.3</v>
      </c>
      <c r="H1281" s="158">
        <v>0</v>
      </c>
      <c r="I1281" s="158">
        <v>0</v>
      </c>
      <c r="J1281" s="158">
        <v>0</v>
      </c>
      <c r="K1281" s="158" t="s">
        <v>236</v>
      </c>
    </row>
    <row r="1282" spans="4:11">
      <c r="D1282" s="158">
        <v>166711</v>
      </c>
      <c r="E1282" s="158">
        <v>11213</v>
      </c>
      <c r="F1282" s="158">
        <v>2177</v>
      </c>
      <c r="G1282" s="158">
        <v>6.2</v>
      </c>
      <c r="H1282" s="158">
        <v>0</v>
      </c>
      <c r="I1282" s="158">
        <v>0</v>
      </c>
      <c r="J1282" s="158">
        <v>0</v>
      </c>
      <c r="K1282" s="158" t="s">
        <v>235</v>
      </c>
    </row>
    <row r="1283" spans="4:11">
      <c r="D1283" s="158">
        <v>166712</v>
      </c>
      <c r="E1283" s="158">
        <v>11213</v>
      </c>
      <c r="F1283" s="158">
        <v>2177</v>
      </c>
      <c r="G1283" s="158">
        <v>6.2</v>
      </c>
      <c r="H1283" s="158">
        <v>0</v>
      </c>
      <c r="I1283" s="158">
        <v>0</v>
      </c>
      <c r="J1283" s="158">
        <v>0</v>
      </c>
      <c r="K1283" s="158" t="s">
        <v>235</v>
      </c>
    </row>
    <row r="1284" spans="4:11">
      <c r="D1284" s="158">
        <v>166713</v>
      </c>
      <c r="E1284" s="158">
        <v>11214</v>
      </c>
      <c r="F1284" s="158">
        <v>2177</v>
      </c>
      <c r="G1284" s="158">
        <v>9.3000000000000007</v>
      </c>
      <c r="H1284" s="158">
        <v>0</v>
      </c>
      <c r="I1284" s="158">
        <v>0</v>
      </c>
      <c r="J1284" s="158">
        <v>0</v>
      </c>
      <c r="K1284" s="158" t="s">
        <v>235</v>
      </c>
    </row>
    <row r="1285" spans="4:11">
      <c r="D1285" s="158">
        <v>166714</v>
      </c>
      <c r="E1285" s="158">
        <v>11213</v>
      </c>
      <c r="F1285" s="158">
        <v>2177</v>
      </c>
      <c r="G1285" s="158">
        <v>6.2</v>
      </c>
      <c r="H1285" s="158">
        <v>0</v>
      </c>
      <c r="I1285" s="158">
        <v>0</v>
      </c>
      <c r="J1285" s="158">
        <v>0</v>
      </c>
      <c r="K1285" s="158" t="s">
        <v>235</v>
      </c>
    </row>
    <row r="1286" spans="4:11">
      <c r="D1286" s="158">
        <v>166715</v>
      </c>
      <c r="E1286" s="158">
        <v>11308</v>
      </c>
      <c r="F1286" s="158">
        <v>362</v>
      </c>
      <c r="G1286" s="158">
        <v>0.5</v>
      </c>
      <c r="H1286" s="158">
        <v>1</v>
      </c>
      <c r="I1286" s="158">
        <v>0</v>
      </c>
      <c r="J1286" s="158">
        <v>1</v>
      </c>
      <c r="K1286" s="158" t="s">
        <v>236</v>
      </c>
    </row>
    <row r="1287" spans="4:11">
      <c r="D1287" s="158">
        <v>166716</v>
      </c>
      <c r="E1287" s="158">
        <v>11213</v>
      </c>
      <c r="F1287" s="158">
        <v>2177</v>
      </c>
      <c r="G1287" s="158">
        <v>6.2</v>
      </c>
      <c r="H1287" s="158">
        <v>0</v>
      </c>
      <c r="I1287" s="158">
        <v>0</v>
      </c>
      <c r="J1287" s="158">
        <v>0</v>
      </c>
      <c r="K1287" s="158" t="s">
        <v>235</v>
      </c>
    </row>
    <row r="1288" spans="4:11">
      <c r="D1288" s="158">
        <v>166717</v>
      </c>
      <c r="E1288" s="158">
        <v>11213</v>
      </c>
      <c r="F1288" s="158">
        <v>2177</v>
      </c>
      <c r="G1288" s="158">
        <v>6.2</v>
      </c>
      <c r="H1288" s="158">
        <v>0</v>
      </c>
      <c r="I1288" s="158">
        <v>0</v>
      </c>
      <c r="J1288" s="158">
        <v>0</v>
      </c>
      <c r="K1288" s="158" t="s">
        <v>235</v>
      </c>
    </row>
    <row r="1289" spans="4:11">
      <c r="D1289" s="158">
        <v>166718</v>
      </c>
      <c r="E1289" s="158">
        <v>11213</v>
      </c>
      <c r="F1289" s="158">
        <v>2177</v>
      </c>
      <c r="G1289" s="158">
        <v>18.600000000000001</v>
      </c>
      <c r="H1289" s="158">
        <v>0</v>
      </c>
      <c r="I1289" s="158">
        <v>3.6</v>
      </c>
      <c r="J1289" s="158">
        <v>3.6</v>
      </c>
      <c r="K1289" s="158" t="s">
        <v>235</v>
      </c>
    </row>
    <row r="1290" spans="4:11">
      <c r="D1290" s="158">
        <v>166719</v>
      </c>
      <c r="E1290" s="158">
        <v>11213</v>
      </c>
      <c r="F1290" s="158">
        <v>2177</v>
      </c>
      <c r="G1290" s="158">
        <v>12.4</v>
      </c>
      <c r="H1290" s="158">
        <v>0</v>
      </c>
      <c r="I1290" s="158">
        <v>0</v>
      </c>
      <c r="J1290" s="158">
        <v>0</v>
      </c>
      <c r="K1290" s="158" t="s">
        <v>235</v>
      </c>
    </row>
    <row r="1291" spans="4:11">
      <c r="D1291" s="158">
        <v>166720</v>
      </c>
      <c r="E1291" s="158">
        <v>10721</v>
      </c>
      <c r="F1291" s="158">
        <v>2177</v>
      </c>
      <c r="G1291" s="158">
        <v>12.9</v>
      </c>
      <c r="I1291" s="158">
        <v>12.9</v>
      </c>
      <c r="J1291" s="158">
        <v>12.9</v>
      </c>
      <c r="K1291" s="158" t="s">
        <v>235</v>
      </c>
    </row>
    <row r="1292" spans="4:11">
      <c r="D1292" s="158">
        <v>166721</v>
      </c>
      <c r="E1292" s="158">
        <v>10776</v>
      </c>
      <c r="F1292" s="158">
        <v>2062</v>
      </c>
      <c r="G1292" s="158">
        <v>6.4</v>
      </c>
      <c r="H1292" s="158">
        <v>0</v>
      </c>
      <c r="I1292" s="158">
        <v>0</v>
      </c>
      <c r="J1292" s="158">
        <v>0</v>
      </c>
      <c r="K1292" s="158" t="s">
        <v>235</v>
      </c>
    </row>
    <row r="1293" spans="4:11">
      <c r="D1293" s="158">
        <v>166722</v>
      </c>
      <c r="E1293" s="158">
        <v>10769</v>
      </c>
      <c r="F1293" s="158">
        <v>2062</v>
      </c>
      <c r="G1293" s="158">
        <v>2.5</v>
      </c>
      <c r="H1293" s="158">
        <v>0.7</v>
      </c>
      <c r="I1293" s="158">
        <v>0</v>
      </c>
      <c r="J1293" s="158">
        <v>0.7</v>
      </c>
      <c r="K1293" s="158" t="s">
        <v>235</v>
      </c>
    </row>
    <row r="1294" spans="4:11">
      <c r="D1294" s="158">
        <v>166723</v>
      </c>
      <c r="E1294" s="158">
        <v>10768</v>
      </c>
      <c r="F1294" s="158">
        <v>1014</v>
      </c>
      <c r="G1294" s="158">
        <v>2.5</v>
      </c>
      <c r="H1294" s="158">
        <v>1</v>
      </c>
      <c r="I1294" s="158">
        <v>0</v>
      </c>
      <c r="J1294" s="158">
        <v>1</v>
      </c>
      <c r="K1294" s="158" t="s">
        <v>235</v>
      </c>
    </row>
    <row r="1295" spans="4:11">
      <c r="D1295" s="158">
        <v>166725</v>
      </c>
      <c r="E1295" s="158">
        <v>10721</v>
      </c>
      <c r="F1295" s="158">
        <v>2177</v>
      </c>
      <c r="G1295" s="158">
        <v>10</v>
      </c>
      <c r="H1295" s="158">
        <v>0</v>
      </c>
      <c r="I1295" s="158">
        <v>0</v>
      </c>
      <c r="J1295" s="158">
        <v>0</v>
      </c>
      <c r="K1295" s="158" t="s">
        <v>235</v>
      </c>
    </row>
    <row r="1296" spans="4:11">
      <c r="D1296" s="158">
        <v>166728</v>
      </c>
      <c r="E1296" s="158">
        <v>10815</v>
      </c>
      <c r="F1296" s="158">
        <v>2220</v>
      </c>
      <c r="G1296" s="158">
        <v>3.5</v>
      </c>
      <c r="H1296" s="158">
        <v>2.9979200000000001</v>
      </c>
      <c r="I1296" s="158">
        <v>0</v>
      </c>
      <c r="J1296" s="158">
        <v>2.9979200000000001</v>
      </c>
      <c r="K1296" s="158" t="s">
        <v>235</v>
      </c>
    </row>
    <row r="1297" spans="4:11">
      <c r="D1297" s="158">
        <v>166730</v>
      </c>
      <c r="E1297" s="158">
        <v>10815</v>
      </c>
      <c r="F1297" s="158">
        <v>2383</v>
      </c>
      <c r="G1297" s="158">
        <v>1.2</v>
      </c>
      <c r="H1297" s="158">
        <v>2.1</v>
      </c>
      <c r="I1297" s="158">
        <v>0</v>
      </c>
      <c r="J1297" s="158">
        <v>2.1</v>
      </c>
      <c r="K1297" s="158" t="s">
        <v>235</v>
      </c>
    </row>
    <row r="1298" spans="4:11">
      <c r="D1298" s="158">
        <v>166824</v>
      </c>
      <c r="E1298" s="158">
        <v>11255</v>
      </c>
      <c r="F1298" s="158">
        <v>2266</v>
      </c>
      <c r="G1298" s="158">
        <v>0</v>
      </c>
      <c r="H1298" s="158">
        <v>26</v>
      </c>
      <c r="I1298" s="158">
        <v>0</v>
      </c>
      <c r="J1298" s="158">
        <v>26</v>
      </c>
      <c r="K1298" s="158" t="s">
        <v>236</v>
      </c>
    </row>
    <row r="1299" spans="4:11">
      <c r="D1299" s="158">
        <v>166887</v>
      </c>
      <c r="E1299" s="158">
        <v>10020</v>
      </c>
      <c r="F1299" s="158">
        <v>402</v>
      </c>
      <c r="G1299" s="158">
        <v>0.3</v>
      </c>
      <c r="H1299" s="158">
        <v>0.3</v>
      </c>
      <c r="I1299" s="158">
        <v>0</v>
      </c>
      <c r="J1299" s="158">
        <v>0.3</v>
      </c>
      <c r="K1299" s="158" t="s">
        <v>238</v>
      </c>
    </row>
    <row r="1300" spans="4:11">
      <c r="D1300" s="158">
        <v>166889</v>
      </c>
      <c r="E1300" s="158">
        <v>10020</v>
      </c>
      <c r="F1300" s="158">
        <v>1667</v>
      </c>
      <c r="G1300" s="158">
        <v>6.25</v>
      </c>
      <c r="H1300" s="158">
        <v>5.9</v>
      </c>
      <c r="I1300" s="158">
        <v>0</v>
      </c>
      <c r="J1300" s="158">
        <v>5.9</v>
      </c>
      <c r="K1300" s="158" t="s">
        <v>238</v>
      </c>
    </row>
    <row r="1301" spans="4:11">
      <c r="D1301" s="158">
        <v>166890</v>
      </c>
      <c r="E1301" s="158">
        <v>10020</v>
      </c>
      <c r="F1301" s="158">
        <v>229</v>
      </c>
      <c r="G1301" s="158">
        <v>0.4</v>
      </c>
      <c r="H1301" s="158">
        <v>0.5</v>
      </c>
      <c r="I1301" s="158">
        <v>0</v>
      </c>
      <c r="J1301" s="158">
        <v>0.5</v>
      </c>
      <c r="K1301" s="158" t="s">
        <v>238</v>
      </c>
    </row>
    <row r="1302" spans="4:11">
      <c r="D1302" s="158">
        <v>166998</v>
      </c>
      <c r="E1302" s="158">
        <v>10099</v>
      </c>
      <c r="F1302" s="158">
        <v>965</v>
      </c>
      <c r="G1302" s="158">
        <v>4</v>
      </c>
      <c r="H1302" s="158">
        <v>4</v>
      </c>
      <c r="I1302" s="158">
        <v>0</v>
      </c>
      <c r="J1302" s="158">
        <v>4</v>
      </c>
      <c r="K1302" s="158" t="s">
        <v>237</v>
      </c>
    </row>
    <row r="1303" spans="4:11">
      <c r="D1303" s="158">
        <v>167018</v>
      </c>
      <c r="E1303" s="158">
        <v>10726</v>
      </c>
      <c r="F1303" s="158">
        <v>1738</v>
      </c>
      <c r="G1303" s="158">
        <v>0</v>
      </c>
      <c r="H1303" s="158">
        <v>1.2</v>
      </c>
      <c r="I1303" s="158">
        <v>0</v>
      </c>
      <c r="J1303" s="158">
        <v>1.2</v>
      </c>
      <c r="K1303" s="158" t="s">
        <v>235</v>
      </c>
    </row>
    <row r="1304" spans="4:11">
      <c r="D1304" s="158">
        <v>167044</v>
      </c>
      <c r="E1304" s="158">
        <v>10639</v>
      </c>
      <c r="F1304" s="158">
        <v>2120</v>
      </c>
      <c r="H1304" s="158">
        <v>0</v>
      </c>
      <c r="I1304" s="158">
        <v>0</v>
      </c>
      <c r="J1304" s="158">
        <v>0</v>
      </c>
      <c r="K1304" s="158" t="s">
        <v>235</v>
      </c>
    </row>
    <row r="1305" spans="4:11">
      <c r="D1305" s="158">
        <v>167049</v>
      </c>
      <c r="E1305" s="158">
        <v>10772</v>
      </c>
      <c r="F1305" s="158">
        <v>306</v>
      </c>
      <c r="H1305" s="158">
        <v>1</v>
      </c>
      <c r="I1305" s="158">
        <v>0</v>
      </c>
      <c r="J1305" s="158">
        <v>1</v>
      </c>
      <c r="K1305" s="158" t="s">
        <v>235</v>
      </c>
    </row>
    <row r="1306" spans="4:11">
      <c r="D1306" s="158">
        <v>167051</v>
      </c>
      <c r="E1306" s="158">
        <v>10769</v>
      </c>
      <c r="F1306" s="158">
        <v>1014</v>
      </c>
      <c r="H1306" s="158">
        <v>0</v>
      </c>
      <c r="I1306" s="158">
        <v>0</v>
      </c>
      <c r="J1306" s="158">
        <v>0</v>
      </c>
      <c r="K1306" s="158" t="s">
        <v>235</v>
      </c>
    </row>
    <row r="1307" spans="4:11">
      <c r="D1307" s="158">
        <v>167062</v>
      </c>
      <c r="E1307" s="158">
        <v>11599</v>
      </c>
      <c r="F1307" s="158">
        <v>1039</v>
      </c>
      <c r="H1307" s="158">
        <v>1.6</v>
      </c>
      <c r="I1307" s="158">
        <v>0</v>
      </c>
      <c r="J1307" s="158">
        <v>1.6</v>
      </c>
      <c r="K1307" s="158" t="s">
        <v>237</v>
      </c>
    </row>
    <row r="1308" spans="4:11">
      <c r="D1308" s="158">
        <v>167130</v>
      </c>
      <c r="E1308" s="158">
        <v>11715</v>
      </c>
      <c r="F1308" s="158">
        <v>2142</v>
      </c>
      <c r="G1308" s="158">
        <v>2</v>
      </c>
      <c r="H1308" s="158">
        <v>3.5</v>
      </c>
      <c r="I1308" s="158">
        <v>0</v>
      </c>
      <c r="J1308" s="158">
        <v>3.5</v>
      </c>
      <c r="K1308" s="158" t="s">
        <v>235</v>
      </c>
    </row>
    <row r="1309" spans="4:11">
      <c r="D1309" s="158">
        <v>167271</v>
      </c>
      <c r="E1309" s="158">
        <v>10636</v>
      </c>
      <c r="F1309" s="158">
        <v>2188</v>
      </c>
      <c r="H1309" s="158">
        <v>7.25</v>
      </c>
      <c r="I1309" s="158">
        <v>0</v>
      </c>
      <c r="J1309" s="158">
        <v>7.25</v>
      </c>
      <c r="K1309" s="158" t="s">
        <v>235</v>
      </c>
    </row>
    <row r="1310" spans="4:11">
      <c r="D1310" s="158">
        <v>167273</v>
      </c>
      <c r="E1310" s="158">
        <v>10690</v>
      </c>
      <c r="F1310" s="158">
        <v>2188</v>
      </c>
      <c r="G1310" s="158">
        <v>0.5</v>
      </c>
      <c r="H1310" s="158">
        <v>0.5</v>
      </c>
      <c r="I1310" s="158">
        <v>0</v>
      </c>
      <c r="J1310" s="158">
        <v>0.5</v>
      </c>
      <c r="K1310" s="158" t="s">
        <v>235</v>
      </c>
    </row>
    <row r="1311" spans="4:11">
      <c r="D1311" s="158">
        <v>167274</v>
      </c>
      <c r="E1311" s="158">
        <v>10100</v>
      </c>
      <c r="F1311" s="158">
        <v>180</v>
      </c>
      <c r="G1311" s="158">
        <v>0</v>
      </c>
      <c r="H1311" s="158">
        <v>4.2</v>
      </c>
      <c r="I1311" s="158">
        <v>0</v>
      </c>
      <c r="J1311" s="158">
        <v>4.2</v>
      </c>
      <c r="K1311" s="158" t="s">
        <v>237</v>
      </c>
    </row>
    <row r="1312" spans="4:11">
      <c r="D1312" s="158">
        <v>167275</v>
      </c>
      <c r="E1312" s="158">
        <v>10100</v>
      </c>
      <c r="F1312" s="158">
        <v>229</v>
      </c>
      <c r="G1312" s="158">
        <v>0</v>
      </c>
      <c r="H1312" s="158">
        <v>0</v>
      </c>
      <c r="I1312" s="158">
        <v>0</v>
      </c>
      <c r="J1312" s="158">
        <v>0</v>
      </c>
      <c r="K1312" s="158" t="s">
        <v>237</v>
      </c>
    </row>
    <row r="1313" spans="4:11">
      <c r="D1313" s="158">
        <v>167313</v>
      </c>
      <c r="E1313" s="158">
        <v>10688</v>
      </c>
      <c r="F1313" s="158">
        <v>2075</v>
      </c>
      <c r="G1313" s="158">
        <v>1</v>
      </c>
      <c r="H1313" s="158">
        <v>0.7</v>
      </c>
      <c r="I1313" s="158">
        <v>0</v>
      </c>
      <c r="J1313" s="158">
        <v>0.7</v>
      </c>
      <c r="K1313" s="158" t="s">
        <v>235</v>
      </c>
    </row>
    <row r="1314" spans="4:11">
      <c r="D1314" s="158">
        <v>167355</v>
      </c>
      <c r="E1314" s="158">
        <v>10753</v>
      </c>
      <c r="F1314" s="158">
        <v>222</v>
      </c>
      <c r="G1314" s="158">
        <v>5</v>
      </c>
      <c r="H1314" s="158">
        <v>2.2000000000000002</v>
      </c>
      <c r="I1314" s="158">
        <v>0</v>
      </c>
      <c r="J1314" s="158">
        <v>2.2000000000000002</v>
      </c>
      <c r="K1314" s="158" t="s">
        <v>235</v>
      </c>
    </row>
    <row r="1315" spans="4:11">
      <c r="D1315" s="158">
        <v>167356</v>
      </c>
      <c r="E1315" s="158">
        <v>10763</v>
      </c>
      <c r="F1315" s="158">
        <v>306</v>
      </c>
      <c r="G1315" s="158">
        <v>9.8000000000000007</v>
      </c>
      <c r="H1315" s="158">
        <v>0</v>
      </c>
      <c r="I1315" s="158">
        <v>0</v>
      </c>
      <c r="J1315" s="158">
        <v>0</v>
      </c>
      <c r="K1315" s="158" t="s">
        <v>235</v>
      </c>
    </row>
    <row r="1316" spans="4:11">
      <c r="D1316" s="158">
        <v>167366</v>
      </c>
      <c r="E1316" s="158">
        <v>11307</v>
      </c>
      <c r="F1316" s="158">
        <v>2178</v>
      </c>
      <c r="G1316" s="158">
        <v>0</v>
      </c>
      <c r="H1316" s="158">
        <v>0</v>
      </c>
      <c r="I1316" s="158">
        <v>0</v>
      </c>
      <c r="J1316" s="158">
        <v>0</v>
      </c>
      <c r="K1316" s="158" t="s">
        <v>236</v>
      </c>
    </row>
    <row r="1317" spans="4:11">
      <c r="D1317" s="158">
        <v>167368</v>
      </c>
      <c r="E1317" s="158">
        <v>10783</v>
      </c>
      <c r="F1317" s="158">
        <v>1251</v>
      </c>
      <c r="H1317" s="158">
        <v>2</v>
      </c>
      <c r="I1317" s="158">
        <v>0</v>
      </c>
      <c r="J1317" s="158">
        <v>2</v>
      </c>
      <c r="K1317" s="158" t="s">
        <v>235</v>
      </c>
    </row>
    <row r="1318" spans="4:11">
      <c r="D1318" s="158">
        <v>167370</v>
      </c>
      <c r="E1318" s="158">
        <v>11715</v>
      </c>
      <c r="F1318" s="158">
        <v>2181</v>
      </c>
      <c r="G1318" s="158">
        <v>5.6</v>
      </c>
      <c r="H1318" s="158">
        <v>8.1</v>
      </c>
      <c r="I1318" s="158">
        <v>0</v>
      </c>
      <c r="J1318" s="158">
        <v>8.1</v>
      </c>
      <c r="K1318" s="158" t="s">
        <v>235</v>
      </c>
    </row>
    <row r="1319" spans="4:11">
      <c r="D1319" s="158">
        <v>167382</v>
      </c>
      <c r="E1319" s="158">
        <v>11710</v>
      </c>
      <c r="F1319" s="158">
        <v>300</v>
      </c>
      <c r="G1319" s="158">
        <v>0.3</v>
      </c>
      <c r="H1319" s="158">
        <v>0.5</v>
      </c>
      <c r="I1319" s="158">
        <v>0</v>
      </c>
      <c r="J1319" s="158">
        <v>0.5</v>
      </c>
      <c r="K1319" s="158" t="s">
        <v>235</v>
      </c>
    </row>
    <row r="1320" spans="4:11">
      <c r="D1320" s="158">
        <v>167454</v>
      </c>
      <c r="E1320" s="158">
        <v>11309</v>
      </c>
      <c r="F1320" s="158">
        <v>362</v>
      </c>
      <c r="G1320" s="158">
        <v>6</v>
      </c>
      <c r="H1320" s="158">
        <v>4.5</v>
      </c>
      <c r="I1320" s="158">
        <v>0</v>
      </c>
      <c r="J1320" s="158">
        <v>4.5</v>
      </c>
      <c r="K1320" s="158" t="s">
        <v>236</v>
      </c>
    </row>
    <row r="1321" spans="4:11">
      <c r="D1321" s="158">
        <v>167455</v>
      </c>
      <c r="E1321" s="158">
        <v>11309</v>
      </c>
      <c r="F1321" s="158">
        <v>2178</v>
      </c>
      <c r="G1321" s="158">
        <v>0.9</v>
      </c>
      <c r="H1321" s="158">
        <v>0</v>
      </c>
      <c r="I1321" s="158">
        <v>0</v>
      </c>
      <c r="J1321" s="158">
        <v>0</v>
      </c>
      <c r="K1321" s="158" t="s">
        <v>236</v>
      </c>
    </row>
    <row r="1322" spans="4:11">
      <c r="D1322" s="158">
        <v>167456</v>
      </c>
      <c r="E1322" s="158">
        <v>10816</v>
      </c>
      <c r="F1322" s="158">
        <v>2221</v>
      </c>
      <c r="G1322" s="158">
        <v>11.75</v>
      </c>
      <c r="H1322" s="158">
        <v>15.95</v>
      </c>
      <c r="I1322" s="158">
        <v>0</v>
      </c>
      <c r="J1322" s="158">
        <v>15.95</v>
      </c>
      <c r="K1322" s="158" t="s">
        <v>235</v>
      </c>
    </row>
    <row r="1323" spans="4:11">
      <c r="D1323" s="158">
        <v>167457</v>
      </c>
      <c r="E1323" s="158">
        <v>10816</v>
      </c>
      <c r="F1323" s="158">
        <v>2122</v>
      </c>
      <c r="G1323" s="158">
        <v>5.6</v>
      </c>
      <c r="H1323" s="158">
        <v>9.5</v>
      </c>
      <c r="I1323" s="158">
        <v>0</v>
      </c>
      <c r="J1323" s="158">
        <v>9.5</v>
      </c>
      <c r="K1323" s="158" t="s">
        <v>235</v>
      </c>
    </row>
    <row r="1324" spans="4:11">
      <c r="D1324" s="158">
        <v>167483</v>
      </c>
      <c r="E1324" s="158">
        <v>10814</v>
      </c>
      <c r="F1324" s="158">
        <v>2220</v>
      </c>
      <c r="G1324" s="158">
        <v>5.2</v>
      </c>
      <c r="H1324" s="158">
        <v>5</v>
      </c>
      <c r="I1324" s="158">
        <v>0</v>
      </c>
      <c r="J1324" s="158">
        <v>5</v>
      </c>
      <c r="K1324" s="158" t="s">
        <v>235</v>
      </c>
    </row>
    <row r="1325" spans="4:11">
      <c r="D1325" s="158">
        <v>167484</v>
      </c>
      <c r="E1325" s="158">
        <v>11214</v>
      </c>
      <c r="F1325" s="158">
        <v>1014</v>
      </c>
      <c r="H1325" s="158">
        <v>0.75</v>
      </c>
      <c r="I1325" s="158">
        <v>4.5</v>
      </c>
      <c r="J1325" s="158">
        <v>5.25</v>
      </c>
      <c r="K1325" s="158" t="s">
        <v>235</v>
      </c>
    </row>
    <row r="1326" spans="4:11">
      <c r="D1326" s="158">
        <v>167485</v>
      </c>
      <c r="E1326" s="158">
        <v>11214</v>
      </c>
      <c r="F1326" s="158">
        <v>2062</v>
      </c>
      <c r="H1326" s="158">
        <v>4.3499999999999996</v>
      </c>
      <c r="I1326" s="158">
        <v>0</v>
      </c>
      <c r="J1326" s="158">
        <v>4.3499999999999996</v>
      </c>
      <c r="K1326" s="158" t="s">
        <v>235</v>
      </c>
    </row>
    <row r="1327" spans="4:11">
      <c r="D1327" s="158">
        <v>167486</v>
      </c>
      <c r="E1327" s="158">
        <v>11214</v>
      </c>
      <c r="F1327" s="158">
        <v>2177</v>
      </c>
      <c r="G1327" s="158">
        <v>6.2</v>
      </c>
      <c r="H1327" s="158">
        <v>0</v>
      </c>
      <c r="I1327" s="158">
        <v>0</v>
      </c>
      <c r="J1327" s="158">
        <v>0</v>
      </c>
      <c r="K1327" s="158" t="s">
        <v>235</v>
      </c>
    </row>
    <row r="1328" spans="4:11">
      <c r="D1328" s="158">
        <v>167491</v>
      </c>
      <c r="E1328" s="158">
        <v>11214</v>
      </c>
      <c r="F1328" s="158">
        <v>2030</v>
      </c>
      <c r="H1328" s="158">
        <v>0</v>
      </c>
      <c r="I1328" s="158">
        <v>0</v>
      </c>
      <c r="J1328" s="158">
        <v>0</v>
      </c>
      <c r="K1328" s="158" t="s">
        <v>235</v>
      </c>
    </row>
    <row r="1329" spans="4:11">
      <c r="D1329" s="158">
        <v>167492</v>
      </c>
      <c r="E1329" s="158">
        <v>11214</v>
      </c>
      <c r="F1329" s="158">
        <v>1014</v>
      </c>
      <c r="H1329" s="158">
        <v>0</v>
      </c>
      <c r="I1329" s="158">
        <v>0</v>
      </c>
      <c r="J1329" s="158">
        <v>0</v>
      </c>
      <c r="K1329" s="158" t="s">
        <v>235</v>
      </c>
    </row>
    <row r="1330" spans="4:11">
      <c r="D1330" s="158">
        <v>167493</v>
      </c>
      <c r="E1330" s="158">
        <v>11214</v>
      </c>
      <c r="F1330" s="158">
        <v>828</v>
      </c>
      <c r="H1330" s="158">
        <v>0</v>
      </c>
      <c r="I1330" s="158">
        <v>0</v>
      </c>
      <c r="J1330" s="158">
        <v>0</v>
      </c>
      <c r="K1330" s="158" t="s">
        <v>235</v>
      </c>
    </row>
    <row r="1331" spans="4:11">
      <c r="D1331" s="158">
        <v>167509</v>
      </c>
      <c r="E1331" s="158">
        <v>11214</v>
      </c>
      <c r="F1331" s="158">
        <v>2062</v>
      </c>
      <c r="H1331" s="158">
        <v>0.2</v>
      </c>
      <c r="I1331" s="158">
        <v>0</v>
      </c>
      <c r="J1331" s="158">
        <v>0.2</v>
      </c>
      <c r="K1331" s="158" t="s">
        <v>235</v>
      </c>
    </row>
    <row r="1332" spans="4:11">
      <c r="D1332" s="158">
        <v>167510</v>
      </c>
      <c r="E1332" s="158">
        <v>10639</v>
      </c>
      <c r="F1332" s="158">
        <v>2221</v>
      </c>
      <c r="H1332" s="158">
        <v>0</v>
      </c>
      <c r="I1332" s="158">
        <v>0</v>
      </c>
      <c r="J1332" s="158">
        <v>0</v>
      </c>
      <c r="K1332" s="158" t="s">
        <v>235</v>
      </c>
    </row>
    <row r="1333" spans="4:11">
      <c r="D1333" s="158">
        <v>167511</v>
      </c>
      <c r="E1333" s="158">
        <v>10763</v>
      </c>
      <c r="F1333" s="158">
        <v>2028</v>
      </c>
      <c r="G1333" s="158">
        <v>1</v>
      </c>
      <c r="H1333" s="158">
        <v>1</v>
      </c>
      <c r="I1333" s="158">
        <v>0</v>
      </c>
      <c r="J1333" s="158">
        <v>1</v>
      </c>
      <c r="K1333" s="158" t="s">
        <v>235</v>
      </c>
    </row>
    <row r="1334" spans="4:11">
      <c r="D1334" s="158">
        <v>167513</v>
      </c>
      <c r="E1334" s="158">
        <v>10763</v>
      </c>
      <c r="F1334" s="158">
        <v>2028</v>
      </c>
      <c r="G1334" s="158">
        <v>1</v>
      </c>
      <c r="H1334" s="158">
        <v>1</v>
      </c>
      <c r="I1334" s="158">
        <v>0</v>
      </c>
      <c r="J1334" s="158">
        <v>1</v>
      </c>
      <c r="K1334" s="158" t="s">
        <v>235</v>
      </c>
    </row>
    <row r="1335" spans="4:11">
      <c r="D1335" s="158">
        <v>167514</v>
      </c>
      <c r="E1335" s="158">
        <v>10763</v>
      </c>
      <c r="F1335" s="158">
        <v>2028</v>
      </c>
      <c r="G1335" s="158">
        <v>1</v>
      </c>
      <c r="H1335" s="158">
        <v>1</v>
      </c>
      <c r="I1335" s="158">
        <v>0</v>
      </c>
      <c r="J1335" s="158">
        <v>1</v>
      </c>
      <c r="K1335" s="158" t="s">
        <v>235</v>
      </c>
    </row>
    <row r="1336" spans="4:11">
      <c r="D1336" s="158">
        <v>167515</v>
      </c>
      <c r="E1336" s="158">
        <v>10763</v>
      </c>
      <c r="F1336" s="158">
        <v>2028</v>
      </c>
      <c r="G1336" s="158">
        <v>1</v>
      </c>
      <c r="H1336" s="158">
        <v>0</v>
      </c>
      <c r="I1336" s="158">
        <v>1</v>
      </c>
      <c r="J1336" s="158">
        <v>1</v>
      </c>
      <c r="K1336" s="158" t="s">
        <v>235</v>
      </c>
    </row>
    <row r="1337" spans="4:11">
      <c r="D1337" s="158">
        <v>167516</v>
      </c>
      <c r="E1337" s="158">
        <v>10763</v>
      </c>
      <c r="F1337" s="158">
        <v>2028</v>
      </c>
      <c r="G1337" s="158">
        <v>1</v>
      </c>
      <c r="H1337" s="158">
        <v>0</v>
      </c>
      <c r="I1337" s="158">
        <v>1</v>
      </c>
      <c r="J1337" s="158">
        <v>1</v>
      </c>
      <c r="K1337" s="158" t="s">
        <v>235</v>
      </c>
    </row>
    <row r="1338" spans="4:11">
      <c r="D1338" s="158">
        <v>167517</v>
      </c>
      <c r="E1338" s="158">
        <v>10763</v>
      </c>
      <c r="F1338" s="158">
        <v>2028</v>
      </c>
      <c r="G1338" s="158">
        <v>1</v>
      </c>
      <c r="H1338" s="158">
        <v>0</v>
      </c>
      <c r="I1338" s="158">
        <v>0</v>
      </c>
      <c r="J1338" s="158">
        <v>0</v>
      </c>
      <c r="K1338" s="158" t="s">
        <v>235</v>
      </c>
    </row>
    <row r="1339" spans="4:11">
      <c r="D1339" s="158">
        <v>167544</v>
      </c>
      <c r="E1339" s="158">
        <v>11213</v>
      </c>
      <c r="F1339" s="158">
        <v>197</v>
      </c>
      <c r="H1339" s="158">
        <v>1.5</v>
      </c>
      <c r="I1339" s="158">
        <v>0</v>
      </c>
      <c r="J1339" s="158">
        <v>1.5</v>
      </c>
      <c r="K1339" s="158" t="s">
        <v>235</v>
      </c>
    </row>
    <row r="1340" spans="4:11">
      <c r="D1340" s="158">
        <v>167546</v>
      </c>
      <c r="E1340" s="158">
        <v>10742</v>
      </c>
      <c r="F1340" s="158">
        <v>2177</v>
      </c>
      <c r="G1340" s="158">
        <v>2.5</v>
      </c>
      <c r="H1340" s="158">
        <v>0</v>
      </c>
      <c r="I1340" s="158">
        <v>0</v>
      </c>
      <c r="J1340" s="158">
        <v>0</v>
      </c>
      <c r="K1340" s="158" t="s">
        <v>235</v>
      </c>
    </row>
    <row r="1341" spans="4:11">
      <c r="D1341" s="158">
        <v>167580</v>
      </c>
      <c r="E1341" s="158">
        <v>10101</v>
      </c>
      <c r="F1341" s="158">
        <v>229</v>
      </c>
      <c r="H1341" s="158">
        <v>0</v>
      </c>
      <c r="I1341" s="158">
        <v>0</v>
      </c>
      <c r="J1341" s="158">
        <v>0</v>
      </c>
      <c r="K1341" s="158" t="s">
        <v>237</v>
      </c>
    </row>
    <row r="1342" spans="4:11">
      <c r="D1342" s="158">
        <v>167624</v>
      </c>
      <c r="E1342" s="158">
        <v>10720</v>
      </c>
      <c r="F1342" s="158">
        <v>2177</v>
      </c>
      <c r="G1342" s="158">
        <v>10</v>
      </c>
      <c r="H1342" s="158">
        <v>0</v>
      </c>
      <c r="I1342" s="158">
        <v>0</v>
      </c>
      <c r="J1342" s="158">
        <v>0</v>
      </c>
      <c r="K1342" s="158" t="s">
        <v>235</v>
      </c>
    </row>
    <row r="1343" spans="4:11">
      <c r="D1343" s="158">
        <v>167626</v>
      </c>
      <c r="E1343" s="158">
        <v>10753</v>
      </c>
      <c r="F1343" s="158">
        <v>2030</v>
      </c>
      <c r="H1343" s="158">
        <v>0.5</v>
      </c>
      <c r="I1343" s="158">
        <v>0</v>
      </c>
      <c r="J1343" s="158">
        <v>0.5</v>
      </c>
      <c r="K1343" s="158" t="s">
        <v>235</v>
      </c>
    </row>
    <row r="1344" spans="4:11">
      <c r="D1344" s="158">
        <v>167628</v>
      </c>
      <c r="E1344" s="158">
        <v>10814</v>
      </c>
      <c r="F1344" s="158">
        <v>2156</v>
      </c>
      <c r="G1344" s="158">
        <v>3.5</v>
      </c>
      <c r="H1344" s="158">
        <v>4</v>
      </c>
      <c r="I1344" s="158">
        <v>0</v>
      </c>
      <c r="J1344" s="158">
        <v>4</v>
      </c>
      <c r="K1344" s="158" t="s">
        <v>235</v>
      </c>
    </row>
    <row r="1345" spans="4:11">
      <c r="D1345" s="158">
        <v>167629</v>
      </c>
      <c r="E1345" s="158">
        <v>10814</v>
      </c>
      <c r="F1345" s="158">
        <v>1251</v>
      </c>
      <c r="G1345" s="158">
        <v>1.7</v>
      </c>
      <c r="H1345" s="158">
        <v>3</v>
      </c>
      <c r="I1345" s="158">
        <v>0</v>
      </c>
      <c r="J1345" s="158">
        <v>3</v>
      </c>
      <c r="K1345" s="158" t="s">
        <v>235</v>
      </c>
    </row>
    <row r="1346" spans="4:11">
      <c r="D1346" s="158">
        <v>167631</v>
      </c>
      <c r="E1346" s="158">
        <v>10814</v>
      </c>
      <c r="F1346" s="158">
        <v>1251</v>
      </c>
      <c r="G1346" s="158">
        <v>6.2</v>
      </c>
      <c r="H1346" s="158">
        <v>6.3</v>
      </c>
      <c r="I1346" s="158">
        <v>0</v>
      </c>
      <c r="J1346" s="158">
        <v>6.3</v>
      </c>
      <c r="K1346" s="158" t="s">
        <v>235</v>
      </c>
    </row>
    <row r="1347" spans="4:11">
      <c r="D1347" s="158">
        <v>167633</v>
      </c>
      <c r="E1347" s="158">
        <v>10814</v>
      </c>
      <c r="F1347" s="158">
        <v>2220</v>
      </c>
      <c r="G1347" s="158">
        <v>10.3</v>
      </c>
      <c r="H1347" s="158">
        <v>17</v>
      </c>
      <c r="I1347" s="158">
        <v>0</v>
      </c>
      <c r="J1347" s="158">
        <v>17</v>
      </c>
      <c r="K1347" s="158" t="s">
        <v>235</v>
      </c>
    </row>
    <row r="1348" spans="4:11">
      <c r="D1348" s="158">
        <v>167634</v>
      </c>
      <c r="E1348" s="158">
        <v>10814</v>
      </c>
      <c r="F1348" s="158">
        <v>2220</v>
      </c>
      <c r="G1348" s="158">
        <v>6.2</v>
      </c>
      <c r="H1348" s="158">
        <v>6.5</v>
      </c>
      <c r="I1348" s="158">
        <v>0</v>
      </c>
      <c r="J1348" s="158">
        <v>6.5</v>
      </c>
      <c r="K1348" s="158" t="s">
        <v>235</v>
      </c>
    </row>
    <row r="1349" spans="4:11">
      <c r="D1349" s="158">
        <v>167635</v>
      </c>
      <c r="E1349" s="158">
        <v>10814</v>
      </c>
      <c r="F1349" s="158">
        <v>2220</v>
      </c>
      <c r="G1349" s="158">
        <v>15.6</v>
      </c>
      <c r="H1349" s="158">
        <v>10.5</v>
      </c>
      <c r="I1349" s="158">
        <v>0</v>
      </c>
      <c r="J1349" s="158">
        <v>10.5</v>
      </c>
      <c r="K1349" s="158" t="s">
        <v>235</v>
      </c>
    </row>
    <row r="1350" spans="4:11">
      <c r="D1350" s="158">
        <v>167636</v>
      </c>
      <c r="E1350" s="158">
        <v>10639</v>
      </c>
      <c r="F1350" s="158">
        <v>2220</v>
      </c>
      <c r="G1350" s="158">
        <v>38</v>
      </c>
      <c r="H1350" s="158">
        <v>2.5</v>
      </c>
      <c r="I1350" s="158">
        <v>0</v>
      </c>
      <c r="J1350" s="158">
        <v>2.5</v>
      </c>
      <c r="K1350" s="158" t="s">
        <v>235</v>
      </c>
    </row>
    <row r="1351" spans="4:11">
      <c r="D1351" s="158">
        <v>167639</v>
      </c>
      <c r="E1351" s="158">
        <v>10020</v>
      </c>
      <c r="F1351" s="158">
        <v>1667</v>
      </c>
      <c r="G1351" s="158">
        <v>6.25</v>
      </c>
      <c r="H1351" s="158">
        <v>6.15</v>
      </c>
      <c r="I1351" s="158">
        <v>0</v>
      </c>
      <c r="J1351" s="158">
        <v>6.15</v>
      </c>
      <c r="K1351" s="158" t="s">
        <v>238</v>
      </c>
    </row>
    <row r="1352" spans="4:11">
      <c r="D1352" s="158">
        <v>167641</v>
      </c>
      <c r="E1352" s="158">
        <v>10020</v>
      </c>
      <c r="F1352" s="158">
        <v>229</v>
      </c>
      <c r="G1352" s="158">
        <v>0.35</v>
      </c>
      <c r="H1352" s="158">
        <v>0.5</v>
      </c>
      <c r="I1352" s="158">
        <v>0</v>
      </c>
      <c r="J1352" s="158">
        <v>0.5</v>
      </c>
      <c r="K1352" s="158" t="s">
        <v>238</v>
      </c>
    </row>
    <row r="1353" spans="4:11">
      <c r="D1353" s="158">
        <v>167657</v>
      </c>
      <c r="E1353" s="158">
        <v>10688</v>
      </c>
      <c r="F1353" s="158">
        <v>2120</v>
      </c>
      <c r="G1353" s="158">
        <v>8.3000000000000007</v>
      </c>
      <c r="H1353" s="158">
        <v>2</v>
      </c>
      <c r="I1353" s="158">
        <v>0</v>
      </c>
      <c r="J1353" s="158">
        <v>2</v>
      </c>
      <c r="K1353" s="158" t="s">
        <v>235</v>
      </c>
    </row>
    <row r="1354" spans="4:11">
      <c r="D1354" s="158">
        <v>167658</v>
      </c>
      <c r="E1354" s="158">
        <v>10688</v>
      </c>
      <c r="F1354" s="158">
        <v>2120</v>
      </c>
      <c r="G1354" s="158">
        <v>4.0999999999999996</v>
      </c>
      <c r="H1354" s="158">
        <v>2</v>
      </c>
      <c r="I1354" s="158">
        <v>0</v>
      </c>
      <c r="J1354" s="158">
        <v>2</v>
      </c>
      <c r="K1354" s="158" t="s">
        <v>235</v>
      </c>
    </row>
    <row r="1355" spans="4:11">
      <c r="D1355" s="158">
        <v>167659</v>
      </c>
      <c r="E1355" s="158">
        <v>10688</v>
      </c>
      <c r="F1355" s="158">
        <v>2120</v>
      </c>
      <c r="G1355" s="158">
        <v>15.5</v>
      </c>
      <c r="H1355" s="158">
        <v>13</v>
      </c>
      <c r="I1355" s="158">
        <v>0</v>
      </c>
      <c r="J1355" s="158">
        <v>13</v>
      </c>
      <c r="K1355" s="158" t="s">
        <v>235</v>
      </c>
    </row>
    <row r="1356" spans="4:11">
      <c r="D1356" s="158">
        <v>167660</v>
      </c>
      <c r="E1356" s="158">
        <v>10688</v>
      </c>
      <c r="F1356" s="158">
        <v>2120</v>
      </c>
      <c r="G1356" s="158">
        <v>1.2</v>
      </c>
      <c r="H1356" s="158">
        <v>6</v>
      </c>
      <c r="I1356" s="158">
        <v>0</v>
      </c>
      <c r="J1356" s="158">
        <v>6</v>
      </c>
      <c r="K1356" s="158" t="s">
        <v>235</v>
      </c>
    </row>
    <row r="1357" spans="4:11">
      <c r="D1357" s="158">
        <v>167661</v>
      </c>
      <c r="E1357" s="158">
        <v>11775</v>
      </c>
      <c r="F1357" s="158">
        <v>2123</v>
      </c>
      <c r="G1357" s="158">
        <v>2.1</v>
      </c>
      <c r="H1357" s="158">
        <v>3</v>
      </c>
      <c r="I1357" s="158">
        <v>0</v>
      </c>
      <c r="J1357" s="158">
        <v>3</v>
      </c>
      <c r="K1357" s="158" t="s">
        <v>235</v>
      </c>
    </row>
    <row r="1358" spans="4:11">
      <c r="D1358" s="158">
        <v>167662</v>
      </c>
      <c r="E1358" s="158">
        <v>11775</v>
      </c>
      <c r="F1358" s="158">
        <v>2123</v>
      </c>
      <c r="G1358" s="158">
        <v>4.0999999999999996</v>
      </c>
      <c r="H1358" s="158">
        <v>0.5</v>
      </c>
      <c r="I1358" s="158">
        <v>0</v>
      </c>
      <c r="J1358" s="158">
        <v>0.5</v>
      </c>
      <c r="K1358" s="158" t="s">
        <v>235</v>
      </c>
    </row>
    <row r="1359" spans="4:11">
      <c r="D1359" s="158">
        <v>167663</v>
      </c>
      <c r="E1359" s="158">
        <v>11775</v>
      </c>
      <c r="F1359" s="158">
        <v>2123</v>
      </c>
      <c r="G1359" s="158">
        <v>4.0999999999999996</v>
      </c>
      <c r="H1359" s="158">
        <v>4.5</v>
      </c>
      <c r="I1359" s="158">
        <v>0</v>
      </c>
      <c r="J1359" s="158">
        <v>4.5</v>
      </c>
      <c r="K1359" s="158" t="s">
        <v>235</v>
      </c>
    </row>
    <row r="1360" spans="4:11">
      <c r="D1360" s="158">
        <v>167664</v>
      </c>
      <c r="E1360" s="158">
        <v>11775</v>
      </c>
      <c r="F1360" s="158">
        <v>2123</v>
      </c>
      <c r="G1360" s="158">
        <v>4.0999999999999996</v>
      </c>
      <c r="H1360" s="158">
        <v>4</v>
      </c>
      <c r="I1360" s="158">
        <v>0</v>
      </c>
      <c r="J1360" s="158">
        <v>4</v>
      </c>
      <c r="K1360" s="158" t="s">
        <v>235</v>
      </c>
    </row>
    <row r="1361" spans="4:11">
      <c r="D1361" s="158">
        <v>167665</v>
      </c>
      <c r="E1361" s="158">
        <v>11775</v>
      </c>
      <c r="F1361" s="158">
        <v>2123</v>
      </c>
      <c r="G1361" s="158">
        <v>2.5</v>
      </c>
      <c r="H1361" s="158">
        <v>1.5</v>
      </c>
      <c r="I1361" s="158">
        <v>0</v>
      </c>
      <c r="J1361" s="158">
        <v>1.5</v>
      </c>
      <c r="K1361" s="158" t="s">
        <v>235</v>
      </c>
    </row>
    <row r="1362" spans="4:11">
      <c r="D1362" s="158">
        <v>167671</v>
      </c>
      <c r="E1362" s="158">
        <v>10691</v>
      </c>
      <c r="F1362" s="158">
        <v>2028</v>
      </c>
      <c r="H1362" s="158">
        <v>0</v>
      </c>
      <c r="I1362" s="158">
        <v>0</v>
      </c>
      <c r="J1362" s="158">
        <v>0</v>
      </c>
      <c r="K1362" s="158" t="s">
        <v>235</v>
      </c>
    </row>
    <row r="1363" spans="4:11">
      <c r="D1363" s="158">
        <v>167672</v>
      </c>
      <c r="E1363" s="158">
        <v>10688</v>
      </c>
      <c r="F1363" s="158">
        <v>2028</v>
      </c>
      <c r="G1363" s="158">
        <v>1</v>
      </c>
      <c r="H1363" s="158">
        <v>1</v>
      </c>
      <c r="I1363" s="158">
        <v>0</v>
      </c>
      <c r="J1363" s="158">
        <v>1</v>
      </c>
      <c r="K1363" s="158" t="s">
        <v>235</v>
      </c>
    </row>
    <row r="1364" spans="4:11">
      <c r="D1364" s="158">
        <v>167675</v>
      </c>
      <c r="E1364" s="158">
        <v>10720</v>
      </c>
      <c r="F1364" s="158">
        <v>2030</v>
      </c>
      <c r="H1364" s="158">
        <v>0</v>
      </c>
      <c r="I1364" s="158">
        <v>0</v>
      </c>
      <c r="J1364" s="158">
        <v>0</v>
      </c>
      <c r="K1364" s="158" t="s">
        <v>235</v>
      </c>
    </row>
    <row r="1365" spans="4:11">
      <c r="D1365" s="158">
        <v>167676</v>
      </c>
      <c r="E1365" s="158">
        <v>10720</v>
      </c>
      <c r="F1365" s="158">
        <v>2030</v>
      </c>
      <c r="H1365" s="158">
        <v>5.3</v>
      </c>
      <c r="I1365" s="158">
        <v>0</v>
      </c>
      <c r="J1365" s="158">
        <v>5.3</v>
      </c>
      <c r="K1365" s="158" t="s">
        <v>235</v>
      </c>
    </row>
    <row r="1366" spans="4:11">
      <c r="D1366" s="158">
        <v>167677</v>
      </c>
      <c r="E1366" s="158">
        <v>10720</v>
      </c>
      <c r="F1366" s="158">
        <v>1014</v>
      </c>
      <c r="H1366" s="158">
        <v>15.45</v>
      </c>
      <c r="I1366" s="158">
        <v>0</v>
      </c>
      <c r="J1366" s="158">
        <v>15.45</v>
      </c>
      <c r="K1366" s="158" t="s">
        <v>235</v>
      </c>
    </row>
    <row r="1367" spans="4:11">
      <c r="D1367" s="158">
        <v>167678</v>
      </c>
      <c r="E1367" s="158">
        <v>10720</v>
      </c>
      <c r="F1367" s="158">
        <v>1014</v>
      </c>
      <c r="H1367" s="158">
        <v>0</v>
      </c>
      <c r="I1367" s="158">
        <v>0</v>
      </c>
      <c r="J1367" s="158">
        <v>0</v>
      </c>
      <c r="K1367" s="158" t="s">
        <v>235</v>
      </c>
    </row>
    <row r="1368" spans="4:11">
      <c r="D1368" s="158">
        <v>167679</v>
      </c>
      <c r="E1368" s="158">
        <v>10720</v>
      </c>
      <c r="F1368" s="158">
        <v>2030</v>
      </c>
      <c r="G1368" s="158">
        <v>5.6</v>
      </c>
      <c r="H1368" s="158">
        <v>8.1</v>
      </c>
      <c r="I1368" s="158">
        <v>2</v>
      </c>
      <c r="J1368" s="158">
        <v>10.1</v>
      </c>
      <c r="K1368" s="158" t="s">
        <v>235</v>
      </c>
    </row>
    <row r="1369" spans="4:11">
      <c r="D1369" s="158">
        <v>167680</v>
      </c>
      <c r="E1369" s="158">
        <v>10720</v>
      </c>
      <c r="F1369" s="158">
        <v>1014</v>
      </c>
      <c r="G1369" s="158">
        <v>9</v>
      </c>
      <c r="H1369" s="158">
        <v>0.25</v>
      </c>
      <c r="I1369" s="158">
        <v>2</v>
      </c>
      <c r="J1369" s="158">
        <v>2.25</v>
      </c>
      <c r="K1369" s="158" t="s">
        <v>235</v>
      </c>
    </row>
    <row r="1370" spans="4:11">
      <c r="D1370" s="158">
        <v>167683</v>
      </c>
      <c r="E1370" s="158">
        <v>10720</v>
      </c>
      <c r="F1370" s="158">
        <v>2030</v>
      </c>
      <c r="H1370" s="158">
        <v>0</v>
      </c>
      <c r="I1370" s="158">
        <v>0</v>
      </c>
      <c r="J1370" s="158">
        <v>0</v>
      </c>
      <c r="K1370" s="158" t="s">
        <v>235</v>
      </c>
    </row>
    <row r="1371" spans="4:11">
      <c r="D1371" s="158">
        <v>167684</v>
      </c>
      <c r="E1371" s="158">
        <v>10720</v>
      </c>
      <c r="F1371" s="158">
        <v>1014</v>
      </c>
      <c r="H1371" s="158">
        <v>0</v>
      </c>
      <c r="I1371" s="158">
        <v>0</v>
      </c>
      <c r="J1371" s="158">
        <v>0</v>
      </c>
      <c r="K1371" s="158" t="s">
        <v>235</v>
      </c>
    </row>
    <row r="1372" spans="4:11">
      <c r="D1372" s="158">
        <v>167686</v>
      </c>
      <c r="E1372" s="158">
        <v>11950</v>
      </c>
      <c r="F1372" s="158">
        <v>1795</v>
      </c>
      <c r="G1372" s="158">
        <v>1.85</v>
      </c>
      <c r="H1372" s="158">
        <v>2</v>
      </c>
      <c r="I1372" s="158">
        <v>0</v>
      </c>
      <c r="J1372" s="158">
        <v>2</v>
      </c>
      <c r="K1372" s="158" t="s">
        <v>235</v>
      </c>
    </row>
    <row r="1373" spans="4:11">
      <c r="D1373" s="158">
        <v>167688</v>
      </c>
      <c r="E1373" s="158">
        <v>10020</v>
      </c>
      <c r="F1373" s="158">
        <v>1667</v>
      </c>
      <c r="G1373" s="158">
        <v>0.7</v>
      </c>
      <c r="H1373" s="158">
        <v>0.75</v>
      </c>
      <c r="I1373" s="158">
        <v>0</v>
      </c>
      <c r="J1373" s="158">
        <v>0.75</v>
      </c>
      <c r="K1373" s="158" t="s">
        <v>238</v>
      </c>
    </row>
    <row r="1374" spans="4:11">
      <c r="D1374" s="158">
        <v>167689</v>
      </c>
      <c r="E1374" s="158">
        <v>10020</v>
      </c>
      <c r="F1374" s="158">
        <v>180</v>
      </c>
      <c r="G1374" s="158">
        <v>6.25</v>
      </c>
      <c r="H1374" s="158">
        <v>6.96</v>
      </c>
      <c r="I1374" s="158">
        <v>0</v>
      </c>
      <c r="J1374" s="158">
        <v>6.96</v>
      </c>
      <c r="K1374" s="158" t="s">
        <v>238</v>
      </c>
    </row>
    <row r="1375" spans="4:11">
      <c r="D1375" s="158">
        <v>167696</v>
      </c>
      <c r="E1375" s="158">
        <v>11044</v>
      </c>
      <c r="F1375" s="158">
        <v>2226</v>
      </c>
      <c r="H1375" s="158">
        <v>121.5</v>
      </c>
      <c r="I1375" s="158">
        <v>0</v>
      </c>
      <c r="J1375" s="158">
        <v>121.5</v>
      </c>
      <c r="K1375" s="158" t="s">
        <v>235</v>
      </c>
    </row>
    <row r="1376" spans="4:11">
      <c r="D1376" s="158">
        <v>167697</v>
      </c>
      <c r="E1376" s="158">
        <v>11044</v>
      </c>
      <c r="F1376" s="158">
        <v>1111</v>
      </c>
      <c r="G1376" s="158">
        <v>45</v>
      </c>
      <c r="H1376" s="158">
        <v>60.5</v>
      </c>
      <c r="I1376" s="158">
        <v>0</v>
      </c>
      <c r="J1376" s="158">
        <v>60.5</v>
      </c>
      <c r="K1376" s="158" t="s">
        <v>235</v>
      </c>
    </row>
    <row r="1377" spans="4:11">
      <c r="D1377" s="158">
        <v>167698</v>
      </c>
      <c r="E1377" s="158">
        <v>11044</v>
      </c>
      <c r="F1377" s="158">
        <v>2127</v>
      </c>
      <c r="G1377" s="158">
        <v>45</v>
      </c>
      <c r="H1377" s="158">
        <v>98</v>
      </c>
      <c r="I1377" s="158">
        <v>0</v>
      </c>
      <c r="J1377" s="158">
        <v>98</v>
      </c>
      <c r="K1377" s="158" t="s">
        <v>235</v>
      </c>
    </row>
    <row r="1378" spans="4:11">
      <c r="D1378" s="158">
        <v>167700</v>
      </c>
      <c r="E1378" s="158">
        <v>10763</v>
      </c>
      <c r="F1378" s="158">
        <v>2120</v>
      </c>
      <c r="H1378" s="158">
        <v>0.5</v>
      </c>
      <c r="I1378" s="158">
        <v>0</v>
      </c>
      <c r="J1378" s="158">
        <v>0.5</v>
      </c>
      <c r="K1378" s="158" t="s">
        <v>235</v>
      </c>
    </row>
    <row r="1379" spans="4:11">
      <c r="D1379" s="158">
        <v>167707</v>
      </c>
      <c r="E1379" s="158">
        <v>11307</v>
      </c>
      <c r="F1379" s="158">
        <v>2156</v>
      </c>
      <c r="G1379" s="158">
        <v>0</v>
      </c>
      <c r="H1379" s="158">
        <v>1.5</v>
      </c>
      <c r="I1379" s="158">
        <v>0</v>
      </c>
      <c r="J1379" s="158">
        <v>1.5</v>
      </c>
      <c r="K1379" s="158" t="s">
        <v>236</v>
      </c>
    </row>
    <row r="1380" spans="4:11">
      <c r="D1380" s="158">
        <v>167709</v>
      </c>
      <c r="E1380" s="158">
        <v>11309</v>
      </c>
      <c r="F1380" s="158">
        <v>2135</v>
      </c>
      <c r="G1380" s="158">
        <v>7.7</v>
      </c>
      <c r="H1380" s="158">
        <v>8</v>
      </c>
      <c r="I1380" s="158">
        <v>0</v>
      </c>
      <c r="J1380" s="158">
        <v>8</v>
      </c>
      <c r="K1380" s="158" t="s">
        <v>236</v>
      </c>
    </row>
    <row r="1381" spans="4:11">
      <c r="D1381" s="158">
        <v>167912</v>
      </c>
      <c r="E1381" s="158">
        <v>11307</v>
      </c>
      <c r="F1381" s="158">
        <v>362</v>
      </c>
      <c r="G1381" s="158">
        <v>3</v>
      </c>
      <c r="H1381" s="158">
        <v>1</v>
      </c>
      <c r="I1381" s="158">
        <v>0</v>
      </c>
      <c r="J1381" s="158">
        <v>1</v>
      </c>
      <c r="K1381" s="158" t="s">
        <v>236</v>
      </c>
    </row>
    <row r="1382" spans="4:11">
      <c r="D1382" s="158">
        <v>167913</v>
      </c>
      <c r="E1382" s="158">
        <v>11307</v>
      </c>
      <c r="F1382" s="158">
        <v>2178</v>
      </c>
      <c r="G1382" s="158">
        <v>4.3</v>
      </c>
      <c r="H1382" s="158">
        <v>0</v>
      </c>
      <c r="I1382" s="158">
        <v>0</v>
      </c>
      <c r="J1382" s="158">
        <v>0</v>
      </c>
      <c r="K1382" s="158" t="s">
        <v>236</v>
      </c>
    </row>
    <row r="1383" spans="4:11">
      <c r="D1383" s="158">
        <v>167914</v>
      </c>
      <c r="E1383" s="158">
        <v>10639</v>
      </c>
      <c r="F1383" s="158">
        <v>2221</v>
      </c>
      <c r="H1383" s="158">
        <v>0.4</v>
      </c>
      <c r="I1383" s="158">
        <v>0.3</v>
      </c>
      <c r="J1383" s="158">
        <v>0.7</v>
      </c>
      <c r="K1383" s="158" t="s">
        <v>235</v>
      </c>
    </row>
    <row r="1384" spans="4:11">
      <c r="D1384" s="158">
        <v>167938</v>
      </c>
      <c r="E1384" s="158">
        <v>10020</v>
      </c>
      <c r="F1384" s="158">
        <v>180</v>
      </c>
      <c r="G1384" s="158">
        <v>0.7</v>
      </c>
      <c r="H1384" s="158">
        <v>0.71</v>
      </c>
      <c r="I1384" s="158">
        <v>0</v>
      </c>
      <c r="J1384" s="158">
        <v>0.71</v>
      </c>
      <c r="K1384" s="158" t="s">
        <v>238</v>
      </c>
    </row>
    <row r="1385" spans="4:11">
      <c r="D1385" s="158">
        <v>167955</v>
      </c>
      <c r="E1385" s="158">
        <v>10688</v>
      </c>
      <c r="F1385" s="158">
        <v>2028</v>
      </c>
      <c r="H1385" s="158">
        <v>0</v>
      </c>
      <c r="I1385" s="158">
        <v>0</v>
      </c>
      <c r="J1385" s="158">
        <v>0</v>
      </c>
      <c r="K1385" s="158" t="s">
        <v>235</v>
      </c>
    </row>
    <row r="1386" spans="4:11">
      <c r="D1386" s="158">
        <v>168034</v>
      </c>
      <c r="E1386" s="158">
        <v>10795</v>
      </c>
      <c r="F1386" s="158">
        <v>2181</v>
      </c>
      <c r="H1386" s="158">
        <v>7.9</v>
      </c>
      <c r="I1386" s="158">
        <v>0</v>
      </c>
      <c r="J1386" s="158">
        <v>7.9</v>
      </c>
      <c r="K1386" s="158" t="s">
        <v>235</v>
      </c>
    </row>
    <row r="1387" spans="4:11">
      <c r="D1387" s="158">
        <v>168035</v>
      </c>
      <c r="E1387" s="158">
        <v>11717</v>
      </c>
      <c r="F1387" s="158">
        <v>2181</v>
      </c>
      <c r="G1387" s="158">
        <v>6.2</v>
      </c>
      <c r="H1387" s="158">
        <v>6.3</v>
      </c>
      <c r="I1387" s="158">
        <v>0</v>
      </c>
      <c r="J1387" s="158">
        <v>6.3</v>
      </c>
      <c r="K1387" s="158" t="s">
        <v>235</v>
      </c>
    </row>
    <row r="1388" spans="4:11">
      <c r="D1388" s="158">
        <v>168087</v>
      </c>
      <c r="E1388" s="158">
        <v>11307</v>
      </c>
      <c r="F1388" s="158">
        <v>2156</v>
      </c>
      <c r="G1388" s="158">
        <v>5</v>
      </c>
      <c r="H1388" s="158">
        <v>6</v>
      </c>
      <c r="I1388" s="158">
        <v>0</v>
      </c>
      <c r="J1388" s="158">
        <v>6</v>
      </c>
      <c r="K1388" s="158" t="s">
        <v>236</v>
      </c>
    </row>
    <row r="1389" spans="4:11">
      <c r="D1389" s="158">
        <v>168091</v>
      </c>
      <c r="E1389" s="158">
        <v>10816</v>
      </c>
      <c r="F1389" s="158">
        <v>2221</v>
      </c>
      <c r="G1389" s="158">
        <v>1.8</v>
      </c>
      <c r="H1389" s="158">
        <v>5.5</v>
      </c>
      <c r="I1389" s="158">
        <v>0</v>
      </c>
      <c r="J1389" s="158">
        <v>5.5</v>
      </c>
      <c r="K1389" s="158" t="s">
        <v>235</v>
      </c>
    </row>
    <row r="1390" spans="4:11">
      <c r="D1390" s="158">
        <v>168092</v>
      </c>
      <c r="E1390" s="158">
        <v>10816</v>
      </c>
      <c r="F1390" s="158">
        <v>1999</v>
      </c>
      <c r="G1390" s="158">
        <v>8.3000000000000007</v>
      </c>
      <c r="H1390" s="158">
        <v>9.6</v>
      </c>
      <c r="I1390" s="158">
        <v>0</v>
      </c>
      <c r="J1390" s="158">
        <v>9.6</v>
      </c>
      <c r="K1390" s="158" t="s">
        <v>235</v>
      </c>
    </row>
    <row r="1391" spans="4:11">
      <c r="D1391" s="158">
        <v>168096</v>
      </c>
      <c r="E1391" s="158">
        <v>11716</v>
      </c>
      <c r="F1391" s="158">
        <v>2181</v>
      </c>
      <c r="G1391" s="158">
        <v>6.3</v>
      </c>
      <c r="H1391" s="158">
        <v>2</v>
      </c>
      <c r="I1391" s="158">
        <v>0</v>
      </c>
      <c r="J1391" s="158">
        <v>2</v>
      </c>
      <c r="K1391" s="158" t="s">
        <v>235</v>
      </c>
    </row>
    <row r="1392" spans="4:11">
      <c r="D1392" s="158">
        <v>168097</v>
      </c>
      <c r="E1392" s="158">
        <v>11716</v>
      </c>
      <c r="F1392" s="158">
        <v>2181</v>
      </c>
      <c r="G1392" s="158">
        <v>6.2</v>
      </c>
      <c r="H1392" s="158">
        <v>3.4</v>
      </c>
      <c r="I1392" s="158">
        <v>0</v>
      </c>
      <c r="J1392" s="158">
        <v>3.4</v>
      </c>
      <c r="K1392" s="158" t="s">
        <v>235</v>
      </c>
    </row>
    <row r="1393" spans="4:11">
      <c r="D1393" s="158">
        <v>168107</v>
      </c>
      <c r="E1393" s="158">
        <v>11717</v>
      </c>
      <c r="F1393" s="158">
        <v>2181</v>
      </c>
      <c r="G1393" s="158">
        <v>8.3000000000000007</v>
      </c>
      <c r="H1393" s="158">
        <v>5.2</v>
      </c>
      <c r="I1393" s="158">
        <v>0</v>
      </c>
      <c r="J1393" s="158">
        <v>5.2</v>
      </c>
      <c r="K1393" s="158" t="s">
        <v>235</v>
      </c>
    </row>
    <row r="1394" spans="4:11">
      <c r="D1394" s="158">
        <v>168108</v>
      </c>
      <c r="E1394" s="158">
        <v>11717</v>
      </c>
      <c r="F1394" s="158">
        <v>2181</v>
      </c>
      <c r="G1394" s="158">
        <v>5</v>
      </c>
      <c r="H1394" s="158">
        <v>7.2</v>
      </c>
      <c r="I1394" s="158">
        <v>0</v>
      </c>
      <c r="J1394" s="158">
        <v>7.2</v>
      </c>
      <c r="K1394" s="158" t="s">
        <v>235</v>
      </c>
    </row>
    <row r="1395" spans="4:11">
      <c r="D1395" s="158">
        <v>168109</v>
      </c>
      <c r="E1395" s="158">
        <v>11717</v>
      </c>
      <c r="F1395" s="158">
        <v>2181</v>
      </c>
      <c r="G1395" s="158">
        <v>0.55000000000000004</v>
      </c>
      <c r="H1395" s="158">
        <v>0.8</v>
      </c>
      <c r="I1395" s="158">
        <v>0</v>
      </c>
      <c r="J1395" s="158">
        <v>0.8</v>
      </c>
      <c r="K1395" s="158" t="s">
        <v>235</v>
      </c>
    </row>
    <row r="1396" spans="4:11">
      <c r="D1396" s="158">
        <v>168110</v>
      </c>
      <c r="E1396" s="158">
        <v>11717</v>
      </c>
      <c r="F1396" s="158">
        <v>2181</v>
      </c>
      <c r="G1396" s="158">
        <v>2.5</v>
      </c>
      <c r="H1396" s="158">
        <v>3.4</v>
      </c>
      <c r="I1396" s="158">
        <v>0</v>
      </c>
      <c r="J1396" s="158">
        <v>3.4</v>
      </c>
      <c r="K1396" s="158" t="s">
        <v>235</v>
      </c>
    </row>
    <row r="1397" spans="4:11">
      <c r="D1397" s="158">
        <v>168111</v>
      </c>
      <c r="E1397" s="158">
        <v>11717</v>
      </c>
      <c r="F1397" s="158">
        <v>2181</v>
      </c>
      <c r="G1397" s="158">
        <v>2</v>
      </c>
      <c r="H1397" s="158">
        <v>3</v>
      </c>
      <c r="I1397" s="158">
        <v>0</v>
      </c>
      <c r="J1397" s="158">
        <v>3</v>
      </c>
      <c r="K1397" s="158" t="s">
        <v>235</v>
      </c>
    </row>
    <row r="1398" spans="4:11">
      <c r="D1398" s="158">
        <v>168113</v>
      </c>
      <c r="E1398" s="158">
        <v>11717</v>
      </c>
      <c r="F1398" s="158">
        <v>2142</v>
      </c>
      <c r="G1398" s="158">
        <v>2.2000000000000002</v>
      </c>
      <c r="H1398" s="158">
        <v>6</v>
      </c>
      <c r="I1398" s="158">
        <v>0</v>
      </c>
      <c r="J1398" s="158">
        <v>6</v>
      </c>
      <c r="K1398" s="158" t="s">
        <v>235</v>
      </c>
    </row>
    <row r="1399" spans="4:11">
      <c r="D1399" s="158">
        <v>168114</v>
      </c>
      <c r="E1399" s="158">
        <v>11717</v>
      </c>
      <c r="F1399" s="158">
        <v>300</v>
      </c>
      <c r="G1399" s="158">
        <v>2</v>
      </c>
      <c r="H1399" s="158">
        <v>9.5</v>
      </c>
      <c r="I1399" s="158">
        <v>0</v>
      </c>
      <c r="J1399" s="158">
        <v>9.5</v>
      </c>
      <c r="K1399" s="158" t="s">
        <v>235</v>
      </c>
    </row>
    <row r="1400" spans="4:11">
      <c r="D1400" s="158">
        <v>168116</v>
      </c>
      <c r="E1400" s="158">
        <v>11716</v>
      </c>
      <c r="F1400" s="158">
        <v>300</v>
      </c>
      <c r="G1400" s="158">
        <v>2</v>
      </c>
      <c r="H1400" s="158">
        <v>5</v>
      </c>
      <c r="I1400" s="158">
        <v>0</v>
      </c>
      <c r="J1400" s="158">
        <v>5</v>
      </c>
      <c r="K1400" s="158" t="s">
        <v>235</v>
      </c>
    </row>
    <row r="1401" spans="4:11">
      <c r="D1401" s="158">
        <v>168117</v>
      </c>
      <c r="E1401" s="158">
        <v>11716</v>
      </c>
      <c r="F1401" s="158">
        <v>300</v>
      </c>
      <c r="G1401" s="158">
        <v>2.5</v>
      </c>
      <c r="H1401" s="158">
        <v>9</v>
      </c>
      <c r="I1401" s="158">
        <v>0</v>
      </c>
      <c r="J1401" s="158">
        <v>9</v>
      </c>
      <c r="K1401" s="158" t="s">
        <v>235</v>
      </c>
    </row>
    <row r="1402" spans="4:11">
      <c r="D1402" s="158">
        <v>168118</v>
      </c>
      <c r="E1402" s="158">
        <v>11716</v>
      </c>
      <c r="F1402" s="158">
        <v>2181</v>
      </c>
      <c r="G1402" s="158">
        <v>2.5</v>
      </c>
      <c r="H1402" s="158">
        <v>4.7</v>
      </c>
      <c r="I1402" s="158">
        <v>0</v>
      </c>
      <c r="J1402" s="158">
        <v>4.7</v>
      </c>
      <c r="K1402" s="158" t="s">
        <v>235</v>
      </c>
    </row>
    <row r="1403" spans="4:11">
      <c r="D1403" s="158">
        <v>168242</v>
      </c>
      <c r="E1403" s="158">
        <v>11716</v>
      </c>
      <c r="F1403" s="158">
        <v>2181</v>
      </c>
      <c r="G1403" s="158">
        <v>2.2000000000000002</v>
      </c>
      <c r="H1403" s="158">
        <v>3.5</v>
      </c>
      <c r="I1403" s="158">
        <v>0</v>
      </c>
      <c r="J1403" s="158">
        <v>3.5</v>
      </c>
      <c r="K1403" s="158" t="s">
        <v>235</v>
      </c>
    </row>
    <row r="1404" spans="4:11">
      <c r="D1404" s="158">
        <v>168243</v>
      </c>
      <c r="E1404" s="158">
        <v>11716</v>
      </c>
      <c r="F1404" s="158">
        <v>300</v>
      </c>
      <c r="G1404" s="158">
        <v>2</v>
      </c>
      <c r="H1404" s="158">
        <v>1.5</v>
      </c>
      <c r="I1404" s="158">
        <v>0</v>
      </c>
      <c r="J1404" s="158">
        <v>1.5</v>
      </c>
      <c r="K1404" s="158" t="s">
        <v>235</v>
      </c>
    </row>
    <row r="1405" spans="4:11">
      <c r="D1405" s="158">
        <v>168244</v>
      </c>
      <c r="E1405" s="158">
        <v>11716</v>
      </c>
      <c r="F1405" s="158">
        <v>2142</v>
      </c>
      <c r="G1405" s="158">
        <v>2</v>
      </c>
      <c r="H1405" s="158">
        <v>4</v>
      </c>
      <c r="I1405" s="158">
        <v>0</v>
      </c>
      <c r="J1405" s="158">
        <v>4</v>
      </c>
      <c r="K1405" s="158" t="s">
        <v>235</v>
      </c>
    </row>
    <row r="1406" spans="4:11">
      <c r="D1406" s="158">
        <v>168245</v>
      </c>
      <c r="E1406" s="158">
        <v>11716</v>
      </c>
      <c r="F1406" s="158">
        <v>300</v>
      </c>
      <c r="G1406" s="158">
        <v>1.5</v>
      </c>
      <c r="H1406" s="158">
        <v>2</v>
      </c>
      <c r="I1406" s="158">
        <v>0</v>
      </c>
      <c r="J1406" s="158">
        <v>2</v>
      </c>
      <c r="K1406" s="158" t="s">
        <v>235</v>
      </c>
    </row>
    <row r="1407" spans="4:11">
      <c r="D1407" s="158">
        <v>168246</v>
      </c>
      <c r="E1407" s="158">
        <v>11716</v>
      </c>
      <c r="F1407" s="158">
        <v>2181</v>
      </c>
      <c r="G1407" s="158">
        <v>1</v>
      </c>
      <c r="H1407" s="158">
        <v>0.5</v>
      </c>
      <c r="I1407" s="158">
        <v>0</v>
      </c>
      <c r="J1407" s="158">
        <v>0.5</v>
      </c>
      <c r="K1407" s="158" t="s">
        <v>235</v>
      </c>
    </row>
    <row r="1408" spans="4:11">
      <c r="D1408" s="158">
        <v>168249</v>
      </c>
      <c r="E1408" s="158">
        <v>11716</v>
      </c>
      <c r="F1408" s="158">
        <v>2181</v>
      </c>
      <c r="G1408" s="158">
        <v>0.55000000000000004</v>
      </c>
      <c r="H1408" s="158">
        <v>0.2</v>
      </c>
      <c r="I1408" s="158">
        <v>0</v>
      </c>
      <c r="J1408" s="158">
        <v>0.2</v>
      </c>
      <c r="K1408" s="158" t="s">
        <v>235</v>
      </c>
    </row>
    <row r="1409" spans="4:11">
      <c r="D1409" s="158">
        <v>168393</v>
      </c>
      <c r="E1409" s="158">
        <v>10720</v>
      </c>
      <c r="F1409" s="158">
        <v>828</v>
      </c>
      <c r="H1409" s="158">
        <v>0</v>
      </c>
      <c r="I1409" s="158">
        <v>0</v>
      </c>
      <c r="J1409" s="158">
        <v>0</v>
      </c>
      <c r="K1409" s="158" t="s">
        <v>235</v>
      </c>
    </row>
    <row r="1410" spans="4:11">
      <c r="D1410" s="158">
        <v>168394</v>
      </c>
      <c r="E1410" s="158">
        <v>10720</v>
      </c>
      <c r="F1410" s="158">
        <v>828</v>
      </c>
      <c r="H1410" s="158">
        <v>1</v>
      </c>
      <c r="I1410" s="158">
        <v>0</v>
      </c>
      <c r="J1410" s="158">
        <v>1</v>
      </c>
      <c r="K1410" s="158" t="s">
        <v>235</v>
      </c>
    </row>
    <row r="1411" spans="4:11">
      <c r="D1411" s="158">
        <v>168395</v>
      </c>
      <c r="E1411" s="158">
        <v>10720</v>
      </c>
      <c r="F1411" s="158">
        <v>828</v>
      </c>
      <c r="H1411" s="158">
        <v>0</v>
      </c>
      <c r="I1411" s="158">
        <v>0</v>
      </c>
      <c r="J1411" s="158">
        <v>0</v>
      </c>
      <c r="K1411" s="158" t="s">
        <v>235</v>
      </c>
    </row>
    <row r="1412" spans="4:11">
      <c r="D1412" s="158">
        <v>168418</v>
      </c>
      <c r="E1412" s="158">
        <v>11715</v>
      </c>
      <c r="F1412" s="158">
        <v>2181</v>
      </c>
      <c r="G1412" s="158">
        <v>4.0999999999999996</v>
      </c>
      <c r="H1412" s="158">
        <v>7.8</v>
      </c>
      <c r="I1412" s="158">
        <v>0</v>
      </c>
      <c r="J1412" s="158">
        <v>7.8</v>
      </c>
      <c r="K1412" s="158" t="s">
        <v>235</v>
      </c>
    </row>
    <row r="1413" spans="4:11">
      <c r="D1413" s="158">
        <v>168419</v>
      </c>
      <c r="E1413" s="158">
        <v>11715</v>
      </c>
      <c r="F1413" s="158">
        <v>2142</v>
      </c>
      <c r="G1413" s="158">
        <v>0</v>
      </c>
      <c r="H1413" s="158">
        <v>2</v>
      </c>
      <c r="I1413" s="158">
        <v>0</v>
      </c>
      <c r="J1413" s="158">
        <v>2</v>
      </c>
      <c r="K1413" s="158" t="s">
        <v>235</v>
      </c>
    </row>
    <row r="1414" spans="4:11">
      <c r="D1414" s="158">
        <v>168424</v>
      </c>
      <c r="E1414" s="158">
        <v>11719</v>
      </c>
      <c r="F1414" s="158">
        <v>2142</v>
      </c>
      <c r="G1414" s="158">
        <v>6.2</v>
      </c>
      <c r="H1414" s="158">
        <v>5</v>
      </c>
      <c r="I1414" s="158">
        <v>0</v>
      </c>
      <c r="J1414" s="158">
        <v>5</v>
      </c>
      <c r="K1414" s="158" t="s">
        <v>235</v>
      </c>
    </row>
    <row r="1415" spans="4:11">
      <c r="D1415" s="158">
        <v>168450</v>
      </c>
      <c r="E1415" s="158">
        <v>10814</v>
      </c>
      <c r="F1415" s="158">
        <v>1251</v>
      </c>
      <c r="G1415" s="158">
        <v>2.5</v>
      </c>
      <c r="H1415" s="158">
        <v>5.9</v>
      </c>
      <c r="I1415" s="158">
        <v>0</v>
      </c>
      <c r="J1415" s="158">
        <v>5.9</v>
      </c>
      <c r="K1415" s="158" t="s">
        <v>235</v>
      </c>
    </row>
    <row r="1416" spans="4:11">
      <c r="D1416" s="158">
        <v>168452</v>
      </c>
      <c r="E1416" s="158">
        <v>10814</v>
      </c>
      <c r="F1416" s="158">
        <v>1251</v>
      </c>
      <c r="G1416" s="158">
        <v>3</v>
      </c>
      <c r="H1416" s="158">
        <v>2.1</v>
      </c>
      <c r="I1416" s="158">
        <v>0</v>
      </c>
      <c r="J1416" s="158">
        <v>2.1</v>
      </c>
      <c r="K1416" s="158" t="s">
        <v>235</v>
      </c>
    </row>
    <row r="1417" spans="4:11">
      <c r="D1417" s="158">
        <v>168453</v>
      </c>
      <c r="E1417" s="158">
        <v>10814</v>
      </c>
      <c r="F1417" s="158">
        <v>2220</v>
      </c>
      <c r="G1417" s="158">
        <v>2.2000000000000002</v>
      </c>
      <c r="H1417" s="158">
        <v>2</v>
      </c>
      <c r="I1417" s="158">
        <v>0</v>
      </c>
      <c r="J1417" s="158">
        <v>2</v>
      </c>
      <c r="K1417" s="158" t="s">
        <v>235</v>
      </c>
    </row>
    <row r="1418" spans="4:11">
      <c r="D1418" s="158">
        <v>168467</v>
      </c>
      <c r="E1418" s="158">
        <v>10814</v>
      </c>
      <c r="F1418" s="158">
        <v>1251</v>
      </c>
      <c r="G1418" s="158">
        <v>5.2</v>
      </c>
      <c r="H1418" s="158">
        <v>5</v>
      </c>
      <c r="I1418" s="158">
        <v>0</v>
      </c>
      <c r="J1418" s="158">
        <v>5</v>
      </c>
      <c r="K1418" s="158" t="s">
        <v>235</v>
      </c>
    </row>
    <row r="1419" spans="4:11">
      <c r="D1419" s="158">
        <v>168492</v>
      </c>
      <c r="E1419" s="158">
        <v>11213</v>
      </c>
      <c r="F1419" s="158">
        <v>2177</v>
      </c>
      <c r="G1419" s="158">
        <v>6.2</v>
      </c>
      <c r="H1419" s="158">
        <v>0</v>
      </c>
      <c r="I1419" s="158">
        <v>0</v>
      </c>
      <c r="J1419" s="158">
        <v>0</v>
      </c>
      <c r="K1419" s="158" t="s">
        <v>235</v>
      </c>
    </row>
    <row r="1420" spans="4:11">
      <c r="D1420" s="158">
        <v>168493</v>
      </c>
      <c r="E1420" s="158">
        <v>11214</v>
      </c>
      <c r="F1420" s="158">
        <v>2177</v>
      </c>
      <c r="G1420" s="158">
        <v>6.2</v>
      </c>
      <c r="H1420" s="158">
        <v>0</v>
      </c>
      <c r="I1420" s="158">
        <v>0</v>
      </c>
      <c r="J1420" s="158">
        <v>0</v>
      </c>
      <c r="K1420" s="158" t="s">
        <v>235</v>
      </c>
    </row>
    <row r="1421" spans="4:11">
      <c r="D1421" s="158">
        <v>168495</v>
      </c>
      <c r="E1421" s="158">
        <v>11214</v>
      </c>
      <c r="F1421" s="158">
        <v>2177</v>
      </c>
      <c r="G1421" s="158">
        <v>6.2</v>
      </c>
      <c r="H1421" s="158">
        <v>0.2</v>
      </c>
      <c r="I1421" s="158">
        <v>3</v>
      </c>
      <c r="J1421" s="158">
        <v>3.2</v>
      </c>
      <c r="K1421" s="158" t="s">
        <v>235</v>
      </c>
    </row>
    <row r="1422" spans="4:11">
      <c r="D1422" s="158">
        <v>168496</v>
      </c>
      <c r="E1422" s="158">
        <v>11213</v>
      </c>
      <c r="F1422" s="158">
        <v>2177</v>
      </c>
      <c r="G1422" s="158">
        <v>6.2</v>
      </c>
      <c r="H1422" s="158">
        <v>0</v>
      </c>
      <c r="I1422" s="158">
        <v>1.2</v>
      </c>
      <c r="J1422" s="158">
        <v>1.2</v>
      </c>
      <c r="K1422" s="158" t="s">
        <v>235</v>
      </c>
    </row>
    <row r="1423" spans="4:11">
      <c r="D1423" s="158">
        <v>168509</v>
      </c>
      <c r="E1423" s="158">
        <v>11213</v>
      </c>
      <c r="F1423" s="158">
        <v>2062</v>
      </c>
      <c r="H1423" s="158">
        <v>2.9</v>
      </c>
      <c r="I1423" s="158">
        <v>0</v>
      </c>
      <c r="J1423" s="158">
        <v>2.9</v>
      </c>
      <c r="K1423" s="158" t="s">
        <v>235</v>
      </c>
    </row>
    <row r="1424" spans="4:11">
      <c r="D1424" s="158">
        <v>168517</v>
      </c>
      <c r="E1424" s="158">
        <v>11711</v>
      </c>
      <c r="F1424" s="158">
        <v>2188</v>
      </c>
      <c r="G1424" s="158">
        <v>4.0999999999999996</v>
      </c>
      <c r="H1424" s="158">
        <v>7.5</v>
      </c>
      <c r="I1424" s="158">
        <v>0</v>
      </c>
      <c r="J1424" s="158">
        <v>7.5</v>
      </c>
      <c r="K1424" s="158" t="s">
        <v>235</v>
      </c>
    </row>
    <row r="1425" spans="4:11">
      <c r="D1425" s="158">
        <v>168518</v>
      </c>
      <c r="E1425" s="158">
        <v>11711</v>
      </c>
      <c r="F1425" s="158">
        <v>2188</v>
      </c>
      <c r="G1425" s="158">
        <v>6.2</v>
      </c>
      <c r="H1425" s="158">
        <v>13.75</v>
      </c>
      <c r="I1425" s="158">
        <v>0</v>
      </c>
      <c r="J1425" s="158">
        <v>13.75</v>
      </c>
      <c r="K1425" s="158" t="s">
        <v>235</v>
      </c>
    </row>
    <row r="1426" spans="4:11">
      <c r="D1426" s="158">
        <v>168519</v>
      </c>
      <c r="E1426" s="158">
        <v>11711</v>
      </c>
      <c r="F1426" s="158">
        <v>2188</v>
      </c>
      <c r="G1426" s="158">
        <v>2.5</v>
      </c>
      <c r="H1426" s="158">
        <v>4</v>
      </c>
      <c r="I1426" s="158">
        <v>0</v>
      </c>
      <c r="J1426" s="158">
        <v>4</v>
      </c>
      <c r="K1426" s="158" t="s">
        <v>235</v>
      </c>
    </row>
    <row r="1427" spans="4:11">
      <c r="D1427" s="158">
        <v>168521</v>
      </c>
      <c r="E1427" s="158">
        <v>10816</v>
      </c>
      <c r="F1427" s="158">
        <v>2221</v>
      </c>
      <c r="G1427" s="158">
        <v>5</v>
      </c>
      <c r="H1427" s="158">
        <v>5.55</v>
      </c>
      <c r="I1427" s="158">
        <v>0</v>
      </c>
      <c r="J1427" s="158">
        <v>5.55</v>
      </c>
      <c r="K1427" s="158" t="s">
        <v>235</v>
      </c>
    </row>
    <row r="1428" spans="4:11">
      <c r="D1428" s="158">
        <v>168522</v>
      </c>
      <c r="E1428" s="158">
        <v>10816</v>
      </c>
      <c r="F1428" s="158">
        <v>2221</v>
      </c>
      <c r="G1428" s="158">
        <v>4.0999999999999996</v>
      </c>
      <c r="H1428" s="158">
        <v>4.2</v>
      </c>
      <c r="I1428" s="158">
        <v>0</v>
      </c>
      <c r="J1428" s="158">
        <v>4.2</v>
      </c>
      <c r="K1428" s="158" t="s">
        <v>235</v>
      </c>
    </row>
    <row r="1429" spans="4:11">
      <c r="D1429" s="158">
        <v>168544</v>
      </c>
      <c r="E1429" s="158">
        <v>10639</v>
      </c>
      <c r="F1429" s="158">
        <v>2075</v>
      </c>
      <c r="H1429" s="158">
        <v>3</v>
      </c>
      <c r="I1429" s="158">
        <v>0</v>
      </c>
      <c r="J1429" s="158">
        <v>3</v>
      </c>
      <c r="K1429" s="158" t="s">
        <v>235</v>
      </c>
    </row>
    <row r="1430" spans="4:11">
      <c r="D1430" s="158">
        <v>168545</v>
      </c>
      <c r="E1430" s="158">
        <v>11708</v>
      </c>
      <c r="F1430" s="158">
        <v>2184</v>
      </c>
      <c r="G1430" s="158">
        <v>11.9</v>
      </c>
      <c r="H1430" s="158">
        <v>5.25</v>
      </c>
      <c r="I1430" s="158">
        <v>0</v>
      </c>
      <c r="J1430" s="158">
        <v>5.25</v>
      </c>
      <c r="K1430" s="158" t="s">
        <v>235</v>
      </c>
    </row>
    <row r="1431" spans="4:11">
      <c r="D1431" s="158">
        <v>168574</v>
      </c>
      <c r="E1431" s="158">
        <v>10010</v>
      </c>
      <c r="F1431" s="158">
        <v>2264</v>
      </c>
      <c r="H1431" s="158">
        <v>6.76</v>
      </c>
      <c r="I1431" s="158">
        <v>0</v>
      </c>
      <c r="J1431" s="158">
        <v>6.76</v>
      </c>
      <c r="K1431" s="158" t="s">
        <v>238</v>
      </c>
    </row>
    <row r="1432" spans="4:11">
      <c r="D1432" s="158">
        <v>168575</v>
      </c>
      <c r="E1432" s="158">
        <v>10011</v>
      </c>
      <c r="F1432" s="158">
        <v>2264</v>
      </c>
      <c r="H1432" s="158">
        <v>0.2</v>
      </c>
      <c r="I1432" s="158">
        <v>0</v>
      </c>
      <c r="J1432" s="158">
        <v>0.2</v>
      </c>
      <c r="K1432" s="158" t="s">
        <v>238</v>
      </c>
    </row>
    <row r="1433" spans="4:11">
      <c r="D1433" s="158">
        <v>168576</v>
      </c>
      <c r="E1433" s="158">
        <v>10011</v>
      </c>
      <c r="F1433" s="158">
        <v>2264</v>
      </c>
      <c r="H1433" s="158">
        <v>32.700000000000003</v>
      </c>
      <c r="I1433" s="158">
        <v>0</v>
      </c>
      <c r="J1433" s="158">
        <v>32.700000000000003</v>
      </c>
      <c r="K1433" s="158" t="s">
        <v>238</v>
      </c>
    </row>
    <row r="1434" spans="4:11">
      <c r="D1434" s="158">
        <v>168577</v>
      </c>
      <c r="E1434" s="158">
        <v>10011</v>
      </c>
      <c r="F1434" s="158">
        <v>2264</v>
      </c>
      <c r="H1434" s="158">
        <v>0.75</v>
      </c>
      <c r="I1434" s="158">
        <v>0</v>
      </c>
      <c r="J1434" s="158">
        <v>0.75</v>
      </c>
      <c r="K1434" s="158" t="s">
        <v>238</v>
      </c>
    </row>
    <row r="1435" spans="4:11">
      <c r="D1435" s="158">
        <v>168578</v>
      </c>
      <c r="E1435" s="158">
        <v>10011</v>
      </c>
      <c r="F1435" s="158">
        <v>2264</v>
      </c>
      <c r="H1435" s="158">
        <v>0.4</v>
      </c>
      <c r="I1435" s="158">
        <v>0</v>
      </c>
      <c r="J1435" s="158">
        <v>0.4</v>
      </c>
      <c r="K1435" s="158" t="s">
        <v>238</v>
      </c>
    </row>
    <row r="1436" spans="4:11">
      <c r="D1436" s="158">
        <v>168579</v>
      </c>
      <c r="E1436" s="158">
        <v>10099</v>
      </c>
      <c r="F1436" s="158">
        <v>2001</v>
      </c>
      <c r="G1436" s="158">
        <v>5</v>
      </c>
      <c r="H1436" s="158">
        <v>5</v>
      </c>
      <c r="I1436" s="158">
        <v>0</v>
      </c>
      <c r="J1436" s="158">
        <v>5</v>
      </c>
      <c r="K1436" s="158" t="s">
        <v>237</v>
      </c>
    </row>
    <row r="1437" spans="4:11">
      <c r="D1437" s="158">
        <v>168580</v>
      </c>
      <c r="E1437" s="158">
        <v>10012</v>
      </c>
      <c r="F1437" s="158">
        <v>2264</v>
      </c>
      <c r="H1437" s="158">
        <v>0</v>
      </c>
      <c r="I1437" s="158">
        <v>0</v>
      </c>
      <c r="J1437" s="158">
        <v>0</v>
      </c>
      <c r="K1437" s="158" t="s">
        <v>238</v>
      </c>
    </row>
    <row r="1438" spans="4:11">
      <c r="D1438" s="158">
        <v>168581</v>
      </c>
      <c r="E1438" s="158">
        <v>10013</v>
      </c>
      <c r="F1438" s="158">
        <v>2264</v>
      </c>
      <c r="H1438" s="158">
        <v>0</v>
      </c>
      <c r="I1438" s="158">
        <v>0</v>
      </c>
      <c r="J1438" s="158">
        <v>0</v>
      </c>
      <c r="K1438" s="158" t="s">
        <v>238</v>
      </c>
    </row>
    <row r="1439" spans="4:11">
      <c r="D1439" s="158">
        <v>168582</v>
      </c>
      <c r="E1439" s="158">
        <v>10014</v>
      </c>
      <c r="F1439" s="158">
        <v>2264</v>
      </c>
      <c r="H1439" s="158">
        <v>0</v>
      </c>
      <c r="I1439" s="158">
        <v>0</v>
      </c>
      <c r="J1439" s="158">
        <v>0</v>
      </c>
      <c r="K1439" s="158" t="s">
        <v>238</v>
      </c>
    </row>
    <row r="1440" spans="4:11">
      <c r="D1440" s="158">
        <v>168583</v>
      </c>
      <c r="E1440" s="158">
        <v>10014</v>
      </c>
      <c r="F1440" s="158">
        <v>2264</v>
      </c>
      <c r="H1440" s="158">
        <v>1.55</v>
      </c>
      <c r="I1440" s="158">
        <v>0</v>
      </c>
      <c r="J1440" s="158">
        <v>1.55</v>
      </c>
      <c r="K1440" s="158" t="s">
        <v>238</v>
      </c>
    </row>
    <row r="1441" spans="4:11">
      <c r="D1441" s="158">
        <v>168584</v>
      </c>
      <c r="E1441" s="158">
        <v>10015</v>
      </c>
      <c r="F1441" s="158">
        <v>2264</v>
      </c>
      <c r="H1441" s="158">
        <v>0</v>
      </c>
      <c r="I1441" s="158">
        <v>0</v>
      </c>
      <c r="J1441" s="158">
        <v>0</v>
      </c>
      <c r="K1441" s="158" t="s">
        <v>238</v>
      </c>
    </row>
    <row r="1442" spans="4:11">
      <c r="D1442" s="158">
        <v>168585</v>
      </c>
      <c r="E1442" s="158">
        <v>10015</v>
      </c>
      <c r="F1442" s="158">
        <v>2264</v>
      </c>
      <c r="H1442" s="158">
        <v>1.35</v>
      </c>
      <c r="I1442" s="158">
        <v>0</v>
      </c>
      <c r="J1442" s="158">
        <v>1.35</v>
      </c>
      <c r="K1442" s="158" t="s">
        <v>238</v>
      </c>
    </row>
    <row r="1443" spans="4:11">
      <c r="D1443" s="158">
        <v>168586</v>
      </c>
      <c r="E1443" s="158">
        <v>10015</v>
      </c>
      <c r="F1443" s="158">
        <v>2264</v>
      </c>
      <c r="H1443" s="158">
        <v>0</v>
      </c>
      <c r="I1443" s="158">
        <v>0</v>
      </c>
      <c r="J1443" s="158">
        <v>0</v>
      </c>
      <c r="K1443" s="158" t="s">
        <v>238</v>
      </c>
    </row>
    <row r="1444" spans="4:11">
      <c r="D1444" s="158">
        <v>168587</v>
      </c>
      <c r="E1444" s="158">
        <v>10015</v>
      </c>
      <c r="F1444" s="158">
        <v>2264</v>
      </c>
      <c r="H1444" s="158">
        <v>7.62</v>
      </c>
      <c r="I1444" s="158">
        <v>0</v>
      </c>
      <c r="J1444" s="158">
        <v>7.62</v>
      </c>
      <c r="K1444" s="158" t="s">
        <v>238</v>
      </c>
    </row>
    <row r="1445" spans="4:11">
      <c r="D1445" s="158">
        <v>168588</v>
      </c>
      <c r="E1445" s="158">
        <v>10015</v>
      </c>
      <c r="F1445" s="158">
        <v>2264</v>
      </c>
      <c r="H1445" s="158">
        <v>0</v>
      </c>
      <c r="I1445" s="158">
        <v>0</v>
      </c>
      <c r="J1445" s="158">
        <v>0</v>
      </c>
      <c r="K1445" s="158" t="s">
        <v>238</v>
      </c>
    </row>
    <row r="1446" spans="4:11">
      <c r="D1446" s="158">
        <v>168664</v>
      </c>
      <c r="E1446" s="158">
        <v>10816</v>
      </c>
      <c r="F1446" s="158">
        <v>2028</v>
      </c>
      <c r="G1446" s="158">
        <v>0.25</v>
      </c>
      <c r="H1446" s="158">
        <v>0.5</v>
      </c>
      <c r="I1446" s="158">
        <v>0</v>
      </c>
      <c r="J1446" s="158">
        <v>0.5</v>
      </c>
      <c r="K1446" s="158" t="s">
        <v>235</v>
      </c>
    </row>
    <row r="1447" spans="4:11">
      <c r="D1447" s="158">
        <v>168678</v>
      </c>
      <c r="E1447" s="158">
        <v>11308</v>
      </c>
      <c r="F1447" s="158">
        <v>2156</v>
      </c>
      <c r="G1447" s="158">
        <v>7.8</v>
      </c>
      <c r="H1447" s="158">
        <v>8.6</v>
      </c>
      <c r="I1447" s="158">
        <v>0</v>
      </c>
      <c r="J1447" s="158">
        <v>8.6</v>
      </c>
      <c r="K1447" s="158" t="s">
        <v>236</v>
      </c>
    </row>
    <row r="1448" spans="4:11">
      <c r="D1448" s="158">
        <v>168832</v>
      </c>
      <c r="E1448" s="158">
        <v>10816</v>
      </c>
      <c r="F1448" s="158">
        <v>2122</v>
      </c>
      <c r="G1448" s="158">
        <v>0</v>
      </c>
      <c r="H1448" s="158">
        <v>1.75</v>
      </c>
      <c r="I1448" s="158">
        <v>0</v>
      </c>
      <c r="J1448" s="158">
        <v>1.75</v>
      </c>
      <c r="K1448" s="158" t="s">
        <v>235</v>
      </c>
    </row>
    <row r="1449" spans="4:11">
      <c r="D1449" s="158">
        <v>168834</v>
      </c>
      <c r="E1449" s="158">
        <v>10814</v>
      </c>
      <c r="F1449" s="158">
        <v>2122</v>
      </c>
      <c r="G1449" s="158">
        <v>0</v>
      </c>
      <c r="H1449" s="158">
        <v>2.25</v>
      </c>
      <c r="I1449" s="158">
        <v>0</v>
      </c>
      <c r="J1449" s="158">
        <v>2.25</v>
      </c>
      <c r="K1449" s="158" t="s">
        <v>235</v>
      </c>
    </row>
    <row r="1450" spans="4:11">
      <c r="D1450" s="158">
        <v>168880</v>
      </c>
      <c r="E1450" s="158">
        <v>10763</v>
      </c>
      <c r="F1450" s="158">
        <v>306</v>
      </c>
      <c r="G1450" s="158">
        <v>38.200000000000003</v>
      </c>
      <c r="H1450" s="158">
        <v>29</v>
      </c>
      <c r="I1450" s="158">
        <v>0</v>
      </c>
      <c r="J1450" s="158">
        <v>29</v>
      </c>
      <c r="K1450" s="158" t="s">
        <v>235</v>
      </c>
    </row>
    <row r="1451" spans="4:11">
      <c r="D1451" s="158">
        <v>168882</v>
      </c>
      <c r="E1451" s="158">
        <v>11308</v>
      </c>
      <c r="F1451" s="158">
        <v>2156</v>
      </c>
      <c r="G1451" s="158">
        <v>2</v>
      </c>
      <c r="H1451" s="158">
        <v>2</v>
      </c>
      <c r="I1451" s="158">
        <v>0</v>
      </c>
      <c r="J1451" s="158">
        <v>2</v>
      </c>
      <c r="K1451" s="158" t="s">
        <v>236</v>
      </c>
    </row>
    <row r="1452" spans="4:11">
      <c r="D1452" s="158">
        <v>168890</v>
      </c>
      <c r="E1452" s="158">
        <v>11710</v>
      </c>
      <c r="F1452" s="158">
        <v>2142</v>
      </c>
      <c r="H1452" s="158">
        <v>0.25</v>
      </c>
      <c r="I1452" s="158">
        <v>0</v>
      </c>
      <c r="J1452" s="158">
        <v>0.25</v>
      </c>
      <c r="K1452" s="158" t="s">
        <v>235</v>
      </c>
    </row>
    <row r="1453" spans="4:11">
      <c r="D1453" s="158">
        <v>168891</v>
      </c>
      <c r="E1453" s="158">
        <v>11710</v>
      </c>
      <c r="F1453" s="158">
        <v>2142</v>
      </c>
      <c r="G1453" s="158">
        <v>2</v>
      </c>
      <c r="H1453" s="158">
        <v>0.25</v>
      </c>
      <c r="I1453" s="158">
        <v>0</v>
      </c>
      <c r="J1453" s="158">
        <v>0.25</v>
      </c>
      <c r="K1453" s="158" t="s">
        <v>235</v>
      </c>
    </row>
    <row r="1454" spans="4:11">
      <c r="D1454" s="158">
        <v>168892</v>
      </c>
      <c r="E1454" s="158">
        <v>11710</v>
      </c>
      <c r="F1454" s="158">
        <v>2142</v>
      </c>
      <c r="G1454" s="158">
        <v>0</v>
      </c>
      <c r="H1454" s="158">
        <v>1.5</v>
      </c>
      <c r="I1454" s="158">
        <v>0</v>
      </c>
      <c r="J1454" s="158">
        <v>1.5</v>
      </c>
      <c r="K1454" s="158" t="s">
        <v>235</v>
      </c>
    </row>
    <row r="1455" spans="4:11">
      <c r="D1455" s="158">
        <v>168893</v>
      </c>
      <c r="E1455" s="158">
        <v>11710</v>
      </c>
      <c r="F1455" s="158">
        <v>2142</v>
      </c>
      <c r="H1455" s="158">
        <v>0</v>
      </c>
      <c r="I1455" s="158">
        <v>0</v>
      </c>
      <c r="J1455" s="158">
        <v>0</v>
      </c>
      <c r="K1455" s="158" t="s">
        <v>235</v>
      </c>
    </row>
    <row r="1456" spans="4:11">
      <c r="D1456" s="158">
        <v>168896</v>
      </c>
      <c r="E1456" s="158">
        <v>10719</v>
      </c>
      <c r="F1456" s="158">
        <v>1014</v>
      </c>
      <c r="H1456" s="158">
        <v>1.6</v>
      </c>
      <c r="I1456" s="158">
        <v>0</v>
      </c>
      <c r="J1456" s="158">
        <v>1.6</v>
      </c>
      <c r="K1456" s="158" t="s">
        <v>235</v>
      </c>
    </row>
    <row r="1457" spans="4:11">
      <c r="D1457" s="158">
        <v>168897</v>
      </c>
      <c r="E1457" s="158">
        <v>10719</v>
      </c>
      <c r="F1457" s="158">
        <v>2226</v>
      </c>
      <c r="H1457" s="158">
        <v>0</v>
      </c>
      <c r="I1457" s="158">
        <v>0</v>
      </c>
      <c r="J1457" s="158">
        <v>0</v>
      </c>
      <c r="K1457" s="158" t="s">
        <v>235</v>
      </c>
    </row>
    <row r="1458" spans="4:11">
      <c r="D1458" s="158">
        <v>168898</v>
      </c>
      <c r="E1458" s="158">
        <v>11775</v>
      </c>
      <c r="F1458" s="158">
        <v>2142</v>
      </c>
      <c r="H1458" s="158">
        <v>1.25</v>
      </c>
      <c r="I1458" s="158">
        <v>0</v>
      </c>
      <c r="J1458" s="158">
        <v>1.25</v>
      </c>
      <c r="K1458" s="158" t="s">
        <v>235</v>
      </c>
    </row>
    <row r="1459" spans="4:11">
      <c r="D1459" s="158">
        <v>168899</v>
      </c>
      <c r="E1459" s="158">
        <v>11775</v>
      </c>
      <c r="F1459" s="158">
        <v>2142</v>
      </c>
      <c r="H1459" s="158">
        <v>0</v>
      </c>
      <c r="I1459" s="158">
        <v>0</v>
      </c>
      <c r="J1459" s="158">
        <v>0</v>
      </c>
      <c r="K1459" s="158" t="s">
        <v>235</v>
      </c>
    </row>
    <row r="1460" spans="4:11">
      <c r="D1460" s="158">
        <v>168900</v>
      </c>
      <c r="E1460" s="158">
        <v>11775</v>
      </c>
      <c r="F1460" s="158">
        <v>2142</v>
      </c>
      <c r="H1460" s="158">
        <v>0</v>
      </c>
      <c r="I1460" s="158">
        <v>0</v>
      </c>
      <c r="J1460" s="158">
        <v>0</v>
      </c>
      <c r="K1460" s="158" t="s">
        <v>235</v>
      </c>
    </row>
    <row r="1461" spans="4:11">
      <c r="D1461" s="158">
        <v>168901</v>
      </c>
      <c r="E1461" s="158">
        <v>11775</v>
      </c>
      <c r="F1461" s="158">
        <v>2142</v>
      </c>
      <c r="H1461" s="158">
        <v>0.25</v>
      </c>
      <c r="I1461" s="158">
        <v>0</v>
      </c>
      <c r="J1461" s="158">
        <v>0.25</v>
      </c>
      <c r="K1461" s="158" t="s">
        <v>235</v>
      </c>
    </row>
    <row r="1462" spans="4:11">
      <c r="D1462" s="158">
        <v>168902</v>
      </c>
      <c r="E1462" s="158">
        <v>11775</v>
      </c>
      <c r="F1462" s="158">
        <v>2142</v>
      </c>
      <c r="H1462" s="158">
        <v>2.5</v>
      </c>
      <c r="I1462" s="158">
        <v>0</v>
      </c>
      <c r="J1462" s="158">
        <v>2.5</v>
      </c>
      <c r="K1462" s="158" t="s">
        <v>235</v>
      </c>
    </row>
    <row r="1463" spans="4:11">
      <c r="D1463" s="158">
        <v>168903</v>
      </c>
      <c r="E1463" s="158">
        <v>11707</v>
      </c>
      <c r="F1463" s="158">
        <v>1084</v>
      </c>
      <c r="G1463" s="158">
        <v>10</v>
      </c>
      <c r="H1463" s="158">
        <v>12</v>
      </c>
      <c r="I1463" s="158">
        <v>0</v>
      </c>
      <c r="J1463" s="158">
        <v>12</v>
      </c>
      <c r="K1463" s="158" t="s">
        <v>235</v>
      </c>
    </row>
    <row r="1464" spans="4:11">
      <c r="D1464" s="158">
        <v>168904</v>
      </c>
      <c r="E1464" s="158">
        <v>11707</v>
      </c>
      <c r="F1464" s="158">
        <v>2142</v>
      </c>
      <c r="G1464" s="158">
        <v>3</v>
      </c>
      <c r="H1464" s="158">
        <v>0.5</v>
      </c>
      <c r="I1464" s="158">
        <v>0</v>
      </c>
      <c r="J1464" s="158">
        <v>0.5</v>
      </c>
      <c r="K1464" s="158" t="s">
        <v>235</v>
      </c>
    </row>
    <row r="1465" spans="4:11">
      <c r="D1465" s="158">
        <v>168905</v>
      </c>
      <c r="E1465" s="158">
        <v>11707</v>
      </c>
      <c r="F1465" s="158">
        <v>2184</v>
      </c>
      <c r="G1465" s="158">
        <v>3.6</v>
      </c>
      <c r="H1465" s="158">
        <v>1</v>
      </c>
      <c r="I1465" s="158">
        <v>0</v>
      </c>
      <c r="J1465" s="158">
        <v>1</v>
      </c>
      <c r="K1465" s="158" t="s">
        <v>235</v>
      </c>
    </row>
    <row r="1466" spans="4:11">
      <c r="D1466" s="158">
        <v>168906</v>
      </c>
      <c r="E1466" s="158">
        <v>11707</v>
      </c>
      <c r="F1466" s="158">
        <v>2142</v>
      </c>
      <c r="G1466" s="158">
        <v>4.3</v>
      </c>
      <c r="H1466" s="158">
        <v>4.25</v>
      </c>
      <c r="I1466" s="158">
        <v>0</v>
      </c>
      <c r="J1466" s="158">
        <v>4.25</v>
      </c>
      <c r="K1466" s="158" t="s">
        <v>235</v>
      </c>
    </row>
    <row r="1467" spans="4:11">
      <c r="D1467" s="158">
        <v>168907</v>
      </c>
      <c r="E1467" s="158">
        <v>11707</v>
      </c>
      <c r="F1467" s="158">
        <v>2120</v>
      </c>
      <c r="G1467" s="158">
        <v>4</v>
      </c>
      <c r="H1467" s="158">
        <v>3.5</v>
      </c>
      <c r="I1467" s="158">
        <v>0</v>
      </c>
      <c r="J1467" s="158">
        <v>3.5</v>
      </c>
      <c r="K1467" s="158" t="s">
        <v>235</v>
      </c>
    </row>
    <row r="1468" spans="4:11">
      <c r="D1468" s="158">
        <v>168908</v>
      </c>
      <c r="E1468" s="158">
        <v>11707</v>
      </c>
      <c r="F1468" s="158">
        <v>2142</v>
      </c>
      <c r="G1468" s="158">
        <v>1.2</v>
      </c>
      <c r="H1468" s="158">
        <v>0.5</v>
      </c>
      <c r="I1468" s="158">
        <v>0</v>
      </c>
      <c r="J1468" s="158">
        <v>0.5</v>
      </c>
      <c r="K1468" s="158" t="s">
        <v>235</v>
      </c>
    </row>
    <row r="1469" spans="4:11">
      <c r="D1469" s="158">
        <v>168909</v>
      </c>
      <c r="E1469" s="158">
        <v>11707</v>
      </c>
      <c r="F1469" s="158">
        <v>2184</v>
      </c>
      <c r="G1469" s="158">
        <v>5</v>
      </c>
      <c r="H1469" s="158">
        <v>8</v>
      </c>
      <c r="I1469" s="158">
        <v>0</v>
      </c>
      <c r="J1469" s="158">
        <v>8</v>
      </c>
      <c r="K1469" s="158" t="s">
        <v>235</v>
      </c>
    </row>
    <row r="1470" spans="4:11">
      <c r="D1470" s="158">
        <v>168911</v>
      </c>
      <c r="E1470" s="158">
        <v>11707</v>
      </c>
      <c r="F1470" s="158">
        <v>2184</v>
      </c>
      <c r="G1470" s="158">
        <v>0</v>
      </c>
      <c r="H1470" s="158">
        <v>0.5</v>
      </c>
      <c r="I1470" s="158">
        <v>0</v>
      </c>
      <c r="J1470" s="158">
        <v>0.5</v>
      </c>
      <c r="K1470" s="158" t="s">
        <v>235</v>
      </c>
    </row>
    <row r="1471" spans="4:11">
      <c r="D1471" s="158">
        <v>168913</v>
      </c>
      <c r="E1471" s="158">
        <v>11708</v>
      </c>
      <c r="F1471" s="158">
        <v>2028</v>
      </c>
      <c r="G1471" s="158">
        <v>0.25</v>
      </c>
      <c r="H1471" s="158">
        <v>0.25</v>
      </c>
      <c r="I1471" s="158">
        <v>0</v>
      </c>
      <c r="J1471" s="158">
        <v>0.25</v>
      </c>
      <c r="K1471" s="158" t="s">
        <v>235</v>
      </c>
    </row>
    <row r="1472" spans="4:11">
      <c r="D1472" s="158">
        <v>168915</v>
      </c>
      <c r="E1472" s="158">
        <v>11711</v>
      </c>
      <c r="F1472" s="158">
        <v>2188</v>
      </c>
      <c r="G1472" s="158">
        <v>2.7</v>
      </c>
      <c r="H1472" s="158">
        <v>8</v>
      </c>
      <c r="I1472" s="158">
        <v>0</v>
      </c>
      <c r="J1472" s="158">
        <v>8</v>
      </c>
      <c r="K1472" s="158" t="s">
        <v>235</v>
      </c>
    </row>
    <row r="1473" spans="4:11">
      <c r="D1473" s="158">
        <v>168916</v>
      </c>
      <c r="E1473" s="158">
        <v>11711</v>
      </c>
      <c r="F1473" s="158">
        <v>2120</v>
      </c>
      <c r="G1473" s="158">
        <v>2.5</v>
      </c>
      <c r="H1473" s="158">
        <v>0</v>
      </c>
      <c r="I1473" s="158">
        <v>0</v>
      </c>
      <c r="J1473" s="158">
        <v>0</v>
      </c>
      <c r="K1473" s="158" t="s">
        <v>235</v>
      </c>
    </row>
    <row r="1474" spans="4:11">
      <c r="D1474" s="158">
        <v>168917</v>
      </c>
      <c r="E1474" s="158">
        <v>11711</v>
      </c>
      <c r="F1474" s="158">
        <v>2188</v>
      </c>
      <c r="G1474" s="158">
        <v>6.2</v>
      </c>
      <c r="H1474" s="158">
        <v>4.25</v>
      </c>
      <c r="I1474" s="158">
        <v>0</v>
      </c>
      <c r="J1474" s="158">
        <v>4.25</v>
      </c>
      <c r="K1474" s="158" t="s">
        <v>235</v>
      </c>
    </row>
    <row r="1475" spans="4:11">
      <c r="D1475" s="158">
        <v>168918</v>
      </c>
      <c r="E1475" s="158">
        <v>11711</v>
      </c>
      <c r="F1475" s="158">
        <v>2123</v>
      </c>
      <c r="G1475" s="158">
        <v>4.0999999999999996</v>
      </c>
      <c r="H1475" s="158">
        <v>4.0999999999999996</v>
      </c>
      <c r="I1475" s="158">
        <v>0</v>
      </c>
      <c r="J1475" s="158">
        <v>4.0999999999999996</v>
      </c>
      <c r="K1475" s="158" t="s">
        <v>235</v>
      </c>
    </row>
    <row r="1476" spans="4:11">
      <c r="D1476" s="158">
        <v>168923</v>
      </c>
      <c r="E1476" s="158">
        <v>11213</v>
      </c>
      <c r="F1476" s="158">
        <v>1014</v>
      </c>
      <c r="H1476" s="158">
        <v>0.9</v>
      </c>
      <c r="I1476" s="158">
        <v>0</v>
      </c>
      <c r="J1476" s="158">
        <v>0.9</v>
      </c>
      <c r="K1476" s="158" t="s">
        <v>235</v>
      </c>
    </row>
    <row r="1477" spans="4:11">
      <c r="D1477" s="158">
        <v>168924</v>
      </c>
      <c r="E1477" s="158">
        <v>11213</v>
      </c>
      <c r="F1477" s="158">
        <v>2062</v>
      </c>
      <c r="H1477" s="158">
        <v>0.7</v>
      </c>
      <c r="I1477" s="158">
        <v>0</v>
      </c>
      <c r="J1477" s="158">
        <v>0.7</v>
      </c>
      <c r="K1477" s="158" t="s">
        <v>235</v>
      </c>
    </row>
    <row r="1478" spans="4:11">
      <c r="D1478" s="158">
        <v>168925</v>
      </c>
      <c r="E1478" s="158">
        <v>11213</v>
      </c>
      <c r="F1478" s="158">
        <v>1821</v>
      </c>
      <c r="H1478" s="158">
        <v>0</v>
      </c>
      <c r="I1478" s="158">
        <v>0</v>
      </c>
      <c r="J1478" s="158">
        <v>0</v>
      </c>
      <c r="K1478" s="158" t="s">
        <v>235</v>
      </c>
    </row>
    <row r="1479" spans="4:11">
      <c r="D1479" s="158">
        <v>168926</v>
      </c>
      <c r="E1479" s="158">
        <v>11213</v>
      </c>
      <c r="F1479" s="158">
        <v>197</v>
      </c>
      <c r="H1479" s="158">
        <v>1</v>
      </c>
      <c r="I1479" s="158">
        <v>0</v>
      </c>
      <c r="J1479" s="158">
        <v>1</v>
      </c>
      <c r="K1479" s="158" t="s">
        <v>235</v>
      </c>
    </row>
    <row r="1480" spans="4:11">
      <c r="D1480" s="158">
        <v>168927</v>
      </c>
      <c r="E1480" s="158">
        <v>11213</v>
      </c>
      <c r="F1480" s="158">
        <v>1738</v>
      </c>
      <c r="H1480" s="158">
        <v>0</v>
      </c>
      <c r="I1480" s="158">
        <v>0</v>
      </c>
      <c r="J1480" s="158">
        <v>0</v>
      </c>
      <c r="K1480" s="158" t="s">
        <v>235</v>
      </c>
    </row>
    <row r="1481" spans="4:11">
      <c r="D1481" s="158">
        <v>168928</v>
      </c>
      <c r="E1481" s="158">
        <v>11213</v>
      </c>
      <c r="F1481" s="158">
        <v>2030</v>
      </c>
      <c r="H1481" s="158">
        <v>0</v>
      </c>
      <c r="I1481" s="158">
        <v>0</v>
      </c>
      <c r="J1481" s="158">
        <v>0</v>
      </c>
      <c r="K1481" s="158" t="s">
        <v>235</v>
      </c>
    </row>
    <row r="1482" spans="4:11">
      <c r="D1482" s="158">
        <v>168929</v>
      </c>
      <c r="E1482" s="158">
        <v>11213</v>
      </c>
      <c r="F1482" s="158">
        <v>222</v>
      </c>
      <c r="H1482" s="158">
        <v>0.75</v>
      </c>
      <c r="I1482" s="158">
        <v>0</v>
      </c>
      <c r="J1482" s="158">
        <v>0.75</v>
      </c>
      <c r="K1482" s="158" t="s">
        <v>235</v>
      </c>
    </row>
    <row r="1483" spans="4:11">
      <c r="D1483" s="158">
        <v>168930</v>
      </c>
      <c r="E1483" s="158">
        <v>11213</v>
      </c>
      <c r="F1483" s="158">
        <v>828</v>
      </c>
      <c r="H1483" s="158">
        <v>0</v>
      </c>
      <c r="I1483" s="158">
        <v>0</v>
      </c>
      <c r="J1483" s="158">
        <v>0</v>
      </c>
      <c r="K1483" s="158" t="s">
        <v>235</v>
      </c>
    </row>
    <row r="1484" spans="4:11">
      <c r="D1484" s="158">
        <v>168949</v>
      </c>
      <c r="E1484" s="158">
        <v>10816</v>
      </c>
      <c r="F1484" s="158">
        <v>2122</v>
      </c>
      <c r="G1484" s="158">
        <v>3.3</v>
      </c>
      <c r="H1484" s="158">
        <v>0.75</v>
      </c>
      <c r="I1484" s="158">
        <v>0</v>
      </c>
      <c r="J1484" s="158">
        <v>0.75</v>
      </c>
      <c r="K1484" s="158" t="s">
        <v>235</v>
      </c>
    </row>
    <row r="1485" spans="4:11">
      <c r="D1485" s="158">
        <v>168950</v>
      </c>
      <c r="E1485" s="158">
        <v>10816</v>
      </c>
      <c r="F1485" s="158">
        <v>1999</v>
      </c>
      <c r="G1485" s="158">
        <v>2.2999999999999998</v>
      </c>
      <c r="H1485" s="158">
        <v>1.3</v>
      </c>
      <c r="I1485" s="158">
        <v>0</v>
      </c>
      <c r="J1485" s="158">
        <v>1.3</v>
      </c>
      <c r="K1485" s="158" t="s">
        <v>235</v>
      </c>
    </row>
    <row r="1486" spans="4:11">
      <c r="D1486" s="158">
        <v>168954</v>
      </c>
      <c r="E1486" s="158">
        <v>10814</v>
      </c>
      <c r="F1486" s="158">
        <v>2220</v>
      </c>
      <c r="G1486" s="158">
        <v>5</v>
      </c>
      <c r="H1486" s="158">
        <v>2.02</v>
      </c>
      <c r="I1486" s="158">
        <v>0</v>
      </c>
      <c r="J1486" s="158">
        <v>2.02</v>
      </c>
      <c r="K1486" s="158" t="s">
        <v>235</v>
      </c>
    </row>
    <row r="1487" spans="4:11">
      <c r="D1487" s="158">
        <v>168955</v>
      </c>
      <c r="E1487" s="158">
        <v>10814</v>
      </c>
      <c r="F1487" s="158">
        <v>1251</v>
      </c>
      <c r="G1487" s="158">
        <v>1.2</v>
      </c>
      <c r="H1487" s="158">
        <v>4.5999999999999996</v>
      </c>
      <c r="I1487" s="158">
        <v>0</v>
      </c>
      <c r="J1487" s="158">
        <v>4.5999999999999996</v>
      </c>
      <c r="K1487" s="158" t="s">
        <v>235</v>
      </c>
    </row>
    <row r="1488" spans="4:11">
      <c r="D1488" s="158">
        <v>168956</v>
      </c>
      <c r="E1488" s="158">
        <v>11213</v>
      </c>
      <c r="F1488" s="158">
        <v>828</v>
      </c>
      <c r="H1488" s="158">
        <v>5.75</v>
      </c>
      <c r="I1488" s="158">
        <v>0</v>
      </c>
      <c r="J1488" s="158">
        <v>5.75</v>
      </c>
      <c r="K1488" s="158" t="s">
        <v>235</v>
      </c>
    </row>
    <row r="1489" spans="4:11">
      <c r="D1489" s="158">
        <v>168963</v>
      </c>
      <c r="E1489" s="158">
        <v>11707</v>
      </c>
      <c r="F1489" s="158">
        <v>2075</v>
      </c>
      <c r="G1489" s="158">
        <v>6</v>
      </c>
      <c r="H1489" s="158">
        <v>7</v>
      </c>
      <c r="I1489" s="158">
        <v>0</v>
      </c>
      <c r="J1489" s="158">
        <v>7</v>
      </c>
      <c r="K1489" s="158" t="s">
        <v>235</v>
      </c>
    </row>
    <row r="1490" spans="4:11">
      <c r="D1490" s="158">
        <v>168964</v>
      </c>
      <c r="E1490" s="158">
        <v>11707</v>
      </c>
      <c r="F1490" s="158">
        <v>2184</v>
      </c>
      <c r="G1490" s="158">
        <v>5.4</v>
      </c>
      <c r="H1490" s="158">
        <v>7.25</v>
      </c>
      <c r="I1490" s="158">
        <v>0</v>
      </c>
      <c r="J1490" s="158">
        <v>7.25</v>
      </c>
      <c r="K1490" s="158" t="s">
        <v>235</v>
      </c>
    </row>
    <row r="1491" spans="4:11">
      <c r="D1491" s="158">
        <v>168965</v>
      </c>
      <c r="E1491" s="158">
        <v>11707</v>
      </c>
      <c r="F1491" s="158">
        <v>2142</v>
      </c>
      <c r="G1491" s="158">
        <v>0.5</v>
      </c>
      <c r="H1491" s="158">
        <v>0.5</v>
      </c>
      <c r="I1491" s="158">
        <v>0</v>
      </c>
      <c r="J1491" s="158">
        <v>0.5</v>
      </c>
      <c r="K1491" s="158" t="s">
        <v>235</v>
      </c>
    </row>
    <row r="1492" spans="4:11">
      <c r="D1492" s="158">
        <v>168982</v>
      </c>
      <c r="E1492" s="158">
        <v>11950</v>
      </c>
      <c r="F1492" s="158">
        <v>2123</v>
      </c>
      <c r="H1492" s="158">
        <v>1</v>
      </c>
      <c r="I1492" s="158">
        <v>0</v>
      </c>
      <c r="J1492" s="158">
        <v>1</v>
      </c>
      <c r="K1492" s="158" t="s">
        <v>235</v>
      </c>
    </row>
    <row r="1493" spans="4:11">
      <c r="D1493" s="158">
        <v>169056</v>
      </c>
      <c r="E1493" s="158">
        <v>10738</v>
      </c>
      <c r="F1493" s="158">
        <v>1821</v>
      </c>
      <c r="H1493" s="158">
        <v>2</v>
      </c>
      <c r="I1493" s="158">
        <v>0</v>
      </c>
      <c r="J1493" s="158">
        <v>2</v>
      </c>
      <c r="K1493" s="158" t="s">
        <v>235</v>
      </c>
    </row>
    <row r="1494" spans="4:11">
      <c r="D1494" s="158">
        <v>169093</v>
      </c>
      <c r="E1494" s="158">
        <v>10020</v>
      </c>
      <c r="F1494" s="158">
        <v>180</v>
      </c>
      <c r="G1494" s="158">
        <v>0.3</v>
      </c>
      <c r="H1494" s="158">
        <v>0.36</v>
      </c>
      <c r="I1494" s="158">
        <v>0</v>
      </c>
      <c r="J1494" s="158">
        <v>0.36</v>
      </c>
      <c r="K1494" s="158" t="s">
        <v>238</v>
      </c>
    </row>
    <row r="1495" spans="4:11">
      <c r="D1495" s="158">
        <v>169258</v>
      </c>
      <c r="E1495" s="158">
        <v>10020</v>
      </c>
      <c r="F1495" s="158">
        <v>402</v>
      </c>
      <c r="G1495" s="158">
        <v>6.15</v>
      </c>
      <c r="H1495" s="158">
        <v>6.8</v>
      </c>
      <c r="I1495" s="158">
        <v>0</v>
      </c>
      <c r="J1495" s="158">
        <v>6.8</v>
      </c>
      <c r="K1495" s="158" t="s">
        <v>238</v>
      </c>
    </row>
    <row r="1496" spans="4:11">
      <c r="D1496" s="158">
        <v>169259</v>
      </c>
      <c r="E1496" s="158">
        <v>10020</v>
      </c>
      <c r="F1496" s="158">
        <v>1667</v>
      </c>
      <c r="G1496" s="158">
        <v>0.4</v>
      </c>
      <c r="H1496" s="158">
        <v>0.6</v>
      </c>
      <c r="I1496" s="158">
        <v>0</v>
      </c>
      <c r="J1496" s="158">
        <v>0.6</v>
      </c>
      <c r="K1496" s="158" t="s">
        <v>238</v>
      </c>
    </row>
    <row r="1497" spans="4:11">
      <c r="D1497" s="158">
        <v>169260</v>
      </c>
      <c r="E1497" s="158">
        <v>10020</v>
      </c>
      <c r="F1497" s="158">
        <v>229</v>
      </c>
      <c r="G1497" s="158">
        <v>0.4</v>
      </c>
      <c r="H1497" s="158">
        <v>0.5</v>
      </c>
      <c r="I1497" s="158">
        <v>0</v>
      </c>
      <c r="J1497" s="158">
        <v>0.5</v>
      </c>
      <c r="K1497" s="158" t="s">
        <v>238</v>
      </c>
    </row>
    <row r="1498" spans="4:11">
      <c r="D1498" s="158">
        <v>169261</v>
      </c>
      <c r="E1498" s="158">
        <v>10020</v>
      </c>
      <c r="F1498" s="158">
        <v>1667</v>
      </c>
      <c r="G1498" s="158">
        <v>1.55</v>
      </c>
      <c r="H1498" s="158">
        <v>1.55</v>
      </c>
      <c r="I1498" s="158">
        <v>0</v>
      </c>
      <c r="J1498" s="158">
        <v>1.55</v>
      </c>
      <c r="K1498" s="158" t="s">
        <v>238</v>
      </c>
    </row>
    <row r="1499" spans="4:11">
      <c r="D1499" s="158">
        <v>169322</v>
      </c>
      <c r="E1499" s="158">
        <v>10763</v>
      </c>
      <c r="F1499" s="158">
        <v>1738</v>
      </c>
      <c r="G1499" s="158">
        <v>1</v>
      </c>
      <c r="H1499" s="158">
        <v>0.5</v>
      </c>
      <c r="I1499" s="158">
        <v>0</v>
      </c>
      <c r="J1499" s="158">
        <v>0.5</v>
      </c>
      <c r="K1499" s="158" t="s">
        <v>235</v>
      </c>
    </row>
    <row r="1500" spans="4:11">
      <c r="D1500" s="158">
        <v>169323</v>
      </c>
      <c r="E1500" s="158">
        <v>10814</v>
      </c>
      <c r="F1500" s="158">
        <v>2220</v>
      </c>
      <c r="G1500" s="158">
        <v>2</v>
      </c>
      <c r="H1500" s="158">
        <v>0</v>
      </c>
      <c r="I1500" s="158">
        <v>0</v>
      </c>
      <c r="J1500" s="158">
        <v>0</v>
      </c>
      <c r="K1500" s="158" t="s">
        <v>235</v>
      </c>
    </row>
    <row r="1501" spans="4:11">
      <c r="D1501" s="158">
        <v>169324</v>
      </c>
      <c r="E1501" s="158">
        <v>10729</v>
      </c>
      <c r="F1501" s="158">
        <v>1821</v>
      </c>
      <c r="G1501" s="158">
        <v>4.8</v>
      </c>
      <c r="H1501" s="158">
        <v>3.25</v>
      </c>
      <c r="I1501" s="158">
        <v>0</v>
      </c>
      <c r="J1501" s="158">
        <v>3.25</v>
      </c>
      <c r="K1501" s="158" t="s">
        <v>235</v>
      </c>
    </row>
    <row r="1502" spans="4:11">
      <c r="D1502" s="158">
        <v>169325</v>
      </c>
      <c r="E1502" s="158">
        <v>10729</v>
      </c>
      <c r="F1502" s="158">
        <v>2030</v>
      </c>
      <c r="G1502" s="158">
        <v>4.5</v>
      </c>
      <c r="H1502" s="158">
        <v>0</v>
      </c>
      <c r="I1502" s="158">
        <v>0</v>
      </c>
      <c r="J1502" s="158">
        <v>0</v>
      </c>
      <c r="K1502" s="158" t="s">
        <v>235</v>
      </c>
    </row>
    <row r="1503" spans="4:11">
      <c r="D1503" s="158">
        <v>169326</v>
      </c>
      <c r="E1503" s="158">
        <v>10763</v>
      </c>
      <c r="F1503" s="158">
        <v>2028</v>
      </c>
      <c r="H1503" s="158">
        <v>0</v>
      </c>
      <c r="I1503" s="158">
        <v>0</v>
      </c>
      <c r="J1503" s="158">
        <v>0</v>
      </c>
      <c r="K1503" s="158" t="s">
        <v>235</v>
      </c>
    </row>
    <row r="1504" spans="4:11">
      <c r="D1504" s="158">
        <v>169327</v>
      </c>
      <c r="E1504" s="158">
        <v>11214</v>
      </c>
      <c r="F1504" s="158">
        <v>2177</v>
      </c>
      <c r="G1504" s="158">
        <v>6.2</v>
      </c>
      <c r="H1504" s="158">
        <v>0</v>
      </c>
      <c r="I1504" s="158">
        <v>0.6</v>
      </c>
      <c r="J1504" s="158">
        <v>0.6</v>
      </c>
      <c r="K1504" s="158" t="s">
        <v>235</v>
      </c>
    </row>
    <row r="1505" spans="4:11">
      <c r="D1505" s="158">
        <v>169328</v>
      </c>
      <c r="E1505" s="158">
        <v>11213</v>
      </c>
      <c r="F1505" s="158">
        <v>2177</v>
      </c>
      <c r="G1505" s="158">
        <v>6.2</v>
      </c>
      <c r="H1505" s="158">
        <v>0</v>
      </c>
      <c r="I1505" s="158">
        <v>0</v>
      </c>
      <c r="J1505" s="158">
        <v>0</v>
      </c>
      <c r="K1505" s="158" t="s">
        <v>235</v>
      </c>
    </row>
    <row r="1506" spans="4:11">
      <c r="D1506" s="158">
        <v>169329</v>
      </c>
      <c r="E1506" s="158">
        <v>11213</v>
      </c>
      <c r="F1506" s="158">
        <v>2177</v>
      </c>
      <c r="G1506" s="158">
        <v>12.4</v>
      </c>
      <c r="H1506" s="158">
        <v>0</v>
      </c>
      <c r="I1506" s="158">
        <v>0</v>
      </c>
      <c r="J1506" s="158">
        <v>0</v>
      </c>
      <c r="K1506" s="158" t="s">
        <v>235</v>
      </c>
    </row>
    <row r="1507" spans="4:11">
      <c r="D1507" s="158">
        <v>169331</v>
      </c>
      <c r="E1507" s="158">
        <v>10103</v>
      </c>
      <c r="F1507" s="158">
        <v>180</v>
      </c>
      <c r="H1507" s="158">
        <v>3.45</v>
      </c>
      <c r="I1507" s="158">
        <v>0</v>
      </c>
      <c r="J1507" s="158">
        <v>3.45</v>
      </c>
      <c r="K1507" s="158" t="s">
        <v>237</v>
      </c>
    </row>
    <row r="1508" spans="4:11">
      <c r="D1508" s="158">
        <v>169332</v>
      </c>
      <c r="E1508" s="158">
        <v>10814</v>
      </c>
      <c r="F1508" s="158">
        <v>2122</v>
      </c>
      <c r="H1508" s="158">
        <v>2.5</v>
      </c>
      <c r="I1508" s="158">
        <v>0</v>
      </c>
      <c r="J1508" s="158">
        <v>2.5</v>
      </c>
      <c r="K1508" s="158" t="s">
        <v>235</v>
      </c>
    </row>
    <row r="1509" spans="4:11">
      <c r="D1509" s="158">
        <v>169333</v>
      </c>
      <c r="E1509" s="158">
        <v>11664</v>
      </c>
      <c r="F1509" s="158">
        <v>1003</v>
      </c>
      <c r="H1509" s="158">
        <v>21.5</v>
      </c>
      <c r="I1509" s="158">
        <v>3</v>
      </c>
      <c r="J1509" s="158">
        <v>24.5</v>
      </c>
      <c r="K1509" s="158" t="s">
        <v>236</v>
      </c>
    </row>
    <row r="1510" spans="4:11">
      <c r="D1510" s="158">
        <v>169338</v>
      </c>
      <c r="E1510" s="158">
        <v>11775</v>
      </c>
      <c r="F1510" s="158">
        <v>2123</v>
      </c>
      <c r="G1510" s="158">
        <v>1.85</v>
      </c>
      <c r="H1510" s="158">
        <v>4</v>
      </c>
      <c r="I1510" s="158">
        <v>0</v>
      </c>
      <c r="J1510" s="158">
        <v>4</v>
      </c>
      <c r="K1510" s="158" t="s">
        <v>235</v>
      </c>
    </row>
    <row r="1511" spans="4:11">
      <c r="D1511" s="158">
        <v>169339</v>
      </c>
      <c r="E1511" s="158">
        <v>11775</v>
      </c>
      <c r="F1511" s="158">
        <v>2028</v>
      </c>
      <c r="G1511" s="158">
        <v>0.25</v>
      </c>
      <c r="H1511" s="158">
        <v>0.25</v>
      </c>
      <c r="I1511" s="158">
        <v>0</v>
      </c>
      <c r="J1511" s="158">
        <v>0.25</v>
      </c>
      <c r="K1511" s="158" t="s">
        <v>235</v>
      </c>
    </row>
    <row r="1512" spans="4:11">
      <c r="D1512" s="158">
        <v>169350</v>
      </c>
      <c r="E1512" s="158">
        <v>10814</v>
      </c>
      <c r="F1512" s="158">
        <v>1251</v>
      </c>
      <c r="G1512" s="158">
        <v>8.5</v>
      </c>
      <c r="H1512" s="158">
        <v>9</v>
      </c>
      <c r="I1512" s="158">
        <v>0</v>
      </c>
      <c r="J1512" s="158">
        <v>9</v>
      </c>
      <c r="K1512" s="158" t="s">
        <v>235</v>
      </c>
    </row>
    <row r="1513" spans="4:11">
      <c r="D1513" s="158">
        <v>169352</v>
      </c>
      <c r="E1513" s="158">
        <v>10639</v>
      </c>
      <c r="F1513" s="158">
        <v>2120</v>
      </c>
      <c r="H1513" s="158">
        <v>10</v>
      </c>
      <c r="I1513" s="158">
        <v>2.5</v>
      </c>
      <c r="J1513" s="158">
        <v>12.5</v>
      </c>
      <c r="K1513" s="158" t="s">
        <v>235</v>
      </c>
    </row>
    <row r="1514" spans="4:11">
      <c r="D1514" s="158">
        <v>169353</v>
      </c>
      <c r="E1514" s="158">
        <v>10639</v>
      </c>
      <c r="F1514" s="158">
        <v>2123</v>
      </c>
      <c r="H1514" s="158">
        <v>4</v>
      </c>
      <c r="I1514" s="158">
        <v>0.5</v>
      </c>
      <c r="J1514" s="158">
        <v>4.5</v>
      </c>
      <c r="K1514" s="158" t="s">
        <v>235</v>
      </c>
    </row>
    <row r="1515" spans="4:11">
      <c r="D1515" s="158">
        <v>169354</v>
      </c>
      <c r="E1515" s="158">
        <v>10016</v>
      </c>
      <c r="F1515" s="158">
        <v>290</v>
      </c>
      <c r="H1515" s="158">
        <v>0</v>
      </c>
      <c r="J1515" s="158">
        <v>0</v>
      </c>
      <c r="K1515" s="158" t="s">
        <v>238</v>
      </c>
    </row>
    <row r="1516" spans="4:11">
      <c r="D1516" s="158">
        <v>169355</v>
      </c>
      <c r="E1516" s="158">
        <v>11711</v>
      </c>
      <c r="F1516" s="158">
        <v>2142</v>
      </c>
      <c r="H1516" s="158">
        <v>2.75</v>
      </c>
      <c r="I1516" s="158">
        <v>0</v>
      </c>
      <c r="J1516" s="158">
        <v>2.75</v>
      </c>
      <c r="K1516" s="158" t="s">
        <v>235</v>
      </c>
    </row>
    <row r="1517" spans="4:11">
      <c r="D1517" s="158">
        <v>169356</v>
      </c>
      <c r="E1517" s="158">
        <v>11711</v>
      </c>
      <c r="F1517" s="158">
        <v>2142</v>
      </c>
      <c r="H1517" s="158">
        <v>0.25</v>
      </c>
      <c r="I1517" s="158">
        <v>0</v>
      </c>
      <c r="J1517" s="158">
        <v>0.25</v>
      </c>
      <c r="K1517" s="158" t="s">
        <v>235</v>
      </c>
    </row>
    <row r="1518" spans="4:11">
      <c r="D1518" s="158">
        <v>169359</v>
      </c>
      <c r="E1518" s="158">
        <v>11213</v>
      </c>
      <c r="F1518" s="158">
        <v>2177</v>
      </c>
      <c r="G1518" s="158">
        <v>31</v>
      </c>
      <c r="H1518" s="158">
        <v>0</v>
      </c>
      <c r="I1518" s="158">
        <v>0</v>
      </c>
      <c r="J1518" s="158">
        <v>0</v>
      </c>
      <c r="K1518" s="158" t="s">
        <v>235</v>
      </c>
    </row>
    <row r="1519" spans="4:11">
      <c r="D1519" s="158">
        <v>169360</v>
      </c>
      <c r="E1519" s="158">
        <v>11213</v>
      </c>
      <c r="F1519" s="158">
        <v>2177</v>
      </c>
      <c r="I1519" s="158">
        <v>0</v>
      </c>
      <c r="J1519" s="158">
        <v>0</v>
      </c>
      <c r="K1519" s="158" t="s">
        <v>235</v>
      </c>
    </row>
    <row r="1520" spans="4:11">
      <c r="D1520" s="158">
        <v>169361</v>
      </c>
      <c r="E1520" s="158">
        <v>11664</v>
      </c>
      <c r="F1520" s="158">
        <v>2178</v>
      </c>
      <c r="G1520" s="158">
        <v>16</v>
      </c>
      <c r="I1520" s="158">
        <v>0</v>
      </c>
      <c r="J1520" s="158">
        <v>0</v>
      </c>
      <c r="K1520" s="158" t="s">
        <v>236</v>
      </c>
    </row>
    <row r="1521" spans="4:11">
      <c r="D1521" s="158">
        <v>169462</v>
      </c>
      <c r="E1521" s="158">
        <v>10816</v>
      </c>
      <c r="F1521" s="158">
        <v>2221</v>
      </c>
      <c r="G1521" s="158">
        <v>2.2000000000000002</v>
      </c>
      <c r="H1521" s="158">
        <v>2.15</v>
      </c>
      <c r="I1521" s="158">
        <v>0</v>
      </c>
      <c r="J1521" s="158">
        <v>2.15</v>
      </c>
      <c r="K1521" s="158" t="s">
        <v>235</v>
      </c>
    </row>
    <row r="1522" spans="4:11">
      <c r="D1522" s="158">
        <v>169463</v>
      </c>
      <c r="E1522" s="158">
        <v>10816</v>
      </c>
      <c r="F1522" s="158">
        <v>1999</v>
      </c>
      <c r="H1522" s="158">
        <v>1.7</v>
      </c>
      <c r="I1522" s="158">
        <v>0</v>
      </c>
      <c r="J1522" s="158">
        <v>1.7</v>
      </c>
      <c r="K1522" s="158" t="s">
        <v>235</v>
      </c>
    </row>
    <row r="1523" spans="4:11">
      <c r="D1523" s="158">
        <v>169464</v>
      </c>
      <c r="E1523" s="158">
        <v>11711</v>
      </c>
      <c r="F1523" s="158">
        <v>2120</v>
      </c>
      <c r="G1523" s="158">
        <v>1</v>
      </c>
      <c r="H1523" s="158">
        <v>0.25</v>
      </c>
      <c r="I1523" s="158">
        <v>0</v>
      </c>
      <c r="J1523" s="158">
        <v>0.25</v>
      </c>
      <c r="K1523" s="158" t="s">
        <v>235</v>
      </c>
    </row>
    <row r="1524" spans="4:11">
      <c r="D1524" s="158">
        <v>169465</v>
      </c>
      <c r="E1524" s="158">
        <v>11711</v>
      </c>
      <c r="F1524" s="158">
        <v>2188</v>
      </c>
      <c r="G1524" s="158">
        <v>1.5</v>
      </c>
      <c r="H1524" s="158">
        <v>0.5</v>
      </c>
      <c r="I1524" s="158">
        <v>0</v>
      </c>
      <c r="J1524" s="158">
        <v>0.5</v>
      </c>
      <c r="K1524" s="158" t="s">
        <v>235</v>
      </c>
    </row>
    <row r="1525" spans="4:11">
      <c r="D1525" s="158">
        <v>169467</v>
      </c>
      <c r="E1525" s="158">
        <v>10100</v>
      </c>
      <c r="F1525" s="158">
        <v>180</v>
      </c>
      <c r="G1525" s="158">
        <v>0.5</v>
      </c>
      <c r="H1525" s="158">
        <v>0</v>
      </c>
      <c r="I1525" s="158">
        <v>0.5</v>
      </c>
      <c r="J1525" s="158">
        <v>0.5</v>
      </c>
      <c r="K1525" s="158" t="s">
        <v>237</v>
      </c>
    </row>
    <row r="1526" spans="4:11">
      <c r="D1526" s="158">
        <v>169550</v>
      </c>
      <c r="E1526" s="158">
        <v>11710</v>
      </c>
      <c r="F1526" s="158">
        <v>2184</v>
      </c>
      <c r="G1526" s="158">
        <v>0</v>
      </c>
      <c r="H1526" s="158">
        <v>2.75</v>
      </c>
      <c r="I1526" s="158">
        <v>0</v>
      </c>
      <c r="J1526" s="158">
        <v>2.75</v>
      </c>
      <c r="K1526" s="158" t="s">
        <v>235</v>
      </c>
    </row>
    <row r="1527" spans="4:11">
      <c r="D1527" s="158">
        <v>169601</v>
      </c>
      <c r="E1527" s="158">
        <v>10020</v>
      </c>
      <c r="F1527" s="158">
        <v>402</v>
      </c>
      <c r="G1527" s="158">
        <v>6.15</v>
      </c>
      <c r="H1527" s="158">
        <v>7.7</v>
      </c>
      <c r="I1527" s="158">
        <v>0</v>
      </c>
      <c r="J1527" s="158">
        <v>7.7</v>
      </c>
      <c r="K1527" s="158" t="s">
        <v>238</v>
      </c>
    </row>
    <row r="1528" spans="4:11">
      <c r="D1528" s="158">
        <v>169603</v>
      </c>
      <c r="E1528" s="158">
        <v>10020</v>
      </c>
      <c r="F1528" s="158">
        <v>229</v>
      </c>
      <c r="G1528" s="158">
        <v>0.4</v>
      </c>
      <c r="H1528" s="158">
        <v>0</v>
      </c>
      <c r="I1528" s="158">
        <v>0</v>
      </c>
      <c r="J1528" s="158">
        <v>0</v>
      </c>
      <c r="K1528" s="158" t="s">
        <v>238</v>
      </c>
    </row>
    <row r="1529" spans="4:11">
      <c r="D1529" s="158">
        <v>169604</v>
      </c>
      <c r="E1529" s="158">
        <v>10020</v>
      </c>
      <c r="F1529" s="158">
        <v>1667</v>
      </c>
      <c r="G1529" s="158">
        <v>0.4</v>
      </c>
      <c r="H1529" s="158">
        <v>1.1000000000000001</v>
      </c>
      <c r="I1529" s="158">
        <v>0</v>
      </c>
      <c r="J1529" s="158">
        <v>1.1000000000000001</v>
      </c>
      <c r="K1529" s="158" t="s">
        <v>238</v>
      </c>
    </row>
    <row r="1530" spans="4:11">
      <c r="D1530" s="158">
        <v>169668</v>
      </c>
      <c r="E1530" s="158">
        <v>10099</v>
      </c>
      <c r="F1530" s="158">
        <v>2001</v>
      </c>
      <c r="G1530" s="158">
        <v>5</v>
      </c>
      <c r="H1530" s="158">
        <v>5</v>
      </c>
      <c r="I1530" s="158">
        <v>0</v>
      </c>
      <c r="J1530" s="158">
        <v>5</v>
      </c>
      <c r="K1530" s="158" t="s">
        <v>237</v>
      </c>
    </row>
    <row r="1531" spans="4:11">
      <c r="D1531" s="158">
        <v>169695</v>
      </c>
      <c r="E1531" s="158">
        <v>10639</v>
      </c>
      <c r="F1531" s="158">
        <v>1795</v>
      </c>
      <c r="H1531" s="158">
        <v>0.5</v>
      </c>
      <c r="I1531" s="158">
        <v>0.5</v>
      </c>
      <c r="J1531" s="158">
        <v>1</v>
      </c>
      <c r="K1531" s="158" t="s">
        <v>235</v>
      </c>
    </row>
    <row r="1532" spans="4:11">
      <c r="D1532" s="158">
        <v>169754</v>
      </c>
      <c r="E1532" s="158">
        <v>11214</v>
      </c>
      <c r="F1532" s="158">
        <v>222</v>
      </c>
      <c r="H1532" s="158">
        <v>0.5</v>
      </c>
      <c r="I1532" s="158">
        <v>0</v>
      </c>
      <c r="J1532" s="158">
        <v>0.5</v>
      </c>
      <c r="K1532" s="158" t="s">
        <v>235</v>
      </c>
    </row>
    <row r="1533" spans="4:11">
      <c r="D1533" s="158">
        <v>169755</v>
      </c>
      <c r="E1533" s="158">
        <v>11213</v>
      </c>
      <c r="F1533" s="158">
        <v>222</v>
      </c>
      <c r="H1533" s="158">
        <v>3.25</v>
      </c>
      <c r="I1533" s="158">
        <v>0</v>
      </c>
      <c r="J1533" s="158">
        <v>3.25</v>
      </c>
      <c r="K1533" s="158" t="s">
        <v>235</v>
      </c>
    </row>
    <row r="1534" spans="4:11">
      <c r="D1534" s="158">
        <v>169756</v>
      </c>
      <c r="E1534" s="158">
        <v>11948</v>
      </c>
      <c r="F1534" s="158">
        <v>197</v>
      </c>
      <c r="H1534" s="158">
        <v>0.5</v>
      </c>
      <c r="I1534" s="158">
        <v>0</v>
      </c>
      <c r="J1534" s="158">
        <v>0.5</v>
      </c>
      <c r="K1534" s="158" t="s">
        <v>235</v>
      </c>
    </row>
    <row r="1535" spans="4:11">
      <c r="D1535" s="158">
        <v>169830</v>
      </c>
      <c r="E1535" s="158">
        <v>10759</v>
      </c>
      <c r="F1535" s="158">
        <v>2177</v>
      </c>
      <c r="G1535" s="158">
        <v>5</v>
      </c>
      <c r="H1535" s="158">
        <v>0</v>
      </c>
      <c r="I1535" s="158">
        <v>0</v>
      </c>
      <c r="J1535" s="158">
        <v>5</v>
      </c>
      <c r="K1535" s="158" t="s">
        <v>235</v>
      </c>
    </row>
    <row r="1536" spans="4:11">
      <c r="D1536" s="158">
        <v>169831</v>
      </c>
      <c r="E1536" s="158">
        <v>11307</v>
      </c>
      <c r="F1536" s="158">
        <v>2135</v>
      </c>
      <c r="G1536" s="158">
        <v>1</v>
      </c>
      <c r="H1536" s="158">
        <v>1</v>
      </c>
      <c r="I1536" s="158">
        <v>0</v>
      </c>
      <c r="J1536" s="158">
        <v>1</v>
      </c>
      <c r="K1536" s="158" t="s">
        <v>236</v>
      </c>
    </row>
    <row r="1537" spans="4:11">
      <c r="D1537" s="158">
        <v>169833</v>
      </c>
      <c r="E1537" s="158">
        <v>11307</v>
      </c>
      <c r="F1537" s="158">
        <v>2156</v>
      </c>
      <c r="G1537" s="158">
        <v>8</v>
      </c>
      <c r="H1537" s="158">
        <v>11</v>
      </c>
      <c r="I1537" s="158">
        <v>0</v>
      </c>
      <c r="J1537" s="158">
        <v>11</v>
      </c>
      <c r="K1537" s="158" t="s">
        <v>236</v>
      </c>
    </row>
    <row r="1538" spans="4:11">
      <c r="D1538" s="158">
        <v>169885</v>
      </c>
      <c r="E1538" s="158">
        <v>10720</v>
      </c>
      <c r="F1538" s="158">
        <v>2075</v>
      </c>
      <c r="H1538" s="158">
        <v>0</v>
      </c>
      <c r="I1538" s="158">
        <v>0</v>
      </c>
      <c r="J1538" s="158">
        <v>0</v>
      </c>
      <c r="K1538" s="158" t="s">
        <v>235</v>
      </c>
    </row>
    <row r="1539" spans="4:11">
      <c r="D1539" s="158">
        <v>169886</v>
      </c>
      <c r="E1539" s="158">
        <v>10720</v>
      </c>
      <c r="F1539" s="158">
        <v>2075</v>
      </c>
      <c r="H1539" s="158">
        <v>3.5</v>
      </c>
      <c r="I1539" s="158">
        <v>0</v>
      </c>
      <c r="J1539" s="158">
        <v>3.5</v>
      </c>
      <c r="K1539" s="158" t="s">
        <v>235</v>
      </c>
    </row>
    <row r="1540" spans="4:11">
      <c r="D1540" s="158">
        <v>169887</v>
      </c>
      <c r="E1540" s="158">
        <v>10720</v>
      </c>
      <c r="F1540" s="158">
        <v>2075</v>
      </c>
      <c r="H1540" s="158">
        <v>0</v>
      </c>
      <c r="I1540" s="158">
        <v>0</v>
      </c>
      <c r="J1540" s="158">
        <v>0</v>
      </c>
      <c r="K1540" s="158" t="s">
        <v>235</v>
      </c>
    </row>
    <row r="1541" spans="4:11">
      <c r="D1541" s="158">
        <v>169888</v>
      </c>
      <c r="E1541" s="158">
        <v>10720</v>
      </c>
      <c r="F1541" s="158">
        <v>2075</v>
      </c>
      <c r="H1541" s="158">
        <v>23.3</v>
      </c>
      <c r="I1541" s="158">
        <v>0</v>
      </c>
      <c r="J1541" s="158">
        <v>23.3</v>
      </c>
      <c r="K1541" s="158" t="s">
        <v>235</v>
      </c>
    </row>
    <row r="1542" spans="4:11">
      <c r="D1542" s="158">
        <v>169906</v>
      </c>
      <c r="E1542" s="158">
        <v>10690</v>
      </c>
      <c r="F1542" s="158">
        <v>2184</v>
      </c>
      <c r="G1542" s="158">
        <v>2.1</v>
      </c>
      <c r="H1542" s="158">
        <v>1</v>
      </c>
      <c r="I1542" s="158">
        <v>0</v>
      </c>
      <c r="J1542" s="158">
        <v>1</v>
      </c>
      <c r="K1542" s="158" t="s">
        <v>235</v>
      </c>
    </row>
    <row r="1543" spans="4:11">
      <c r="D1543" s="158">
        <v>169907</v>
      </c>
      <c r="E1543" s="158">
        <v>10690</v>
      </c>
      <c r="F1543" s="158">
        <v>2184</v>
      </c>
      <c r="G1543" s="158">
        <v>4.0999999999999996</v>
      </c>
      <c r="H1543" s="158">
        <v>3</v>
      </c>
      <c r="I1543" s="158">
        <v>0</v>
      </c>
      <c r="J1543" s="158">
        <v>3</v>
      </c>
      <c r="K1543" s="158" t="s">
        <v>235</v>
      </c>
    </row>
    <row r="1544" spans="4:11">
      <c r="D1544" s="158">
        <v>169908</v>
      </c>
      <c r="E1544" s="158">
        <v>10690</v>
      </c>
      <c r="F1544" s="158">
        <v>2184</v>
      </c>
      <c r="G1544" s="158">
        <v>4.0999999999999996</v>
      </c>
      <c r="H1544" s="158">
        <v>3.25</v>
      </c>
      <c r="I1544" s="158">
        <v>0</v>
      </c>
      <c r="J1544" s="158">
        <v>3.25</v>
      </c>
      <c r="K1544" s="158" t="s">
        <v>235</v>
      </c>
    </row>
    <row r="1545" spans="4:11">
      <c r="D1545" s="158">
        <v>169909</v>
      </c>
      <c r="E1545" s="158">
        <v>10690</v>
      </c>
      <c r="F1545" s="158">
        <v>2184</v>
      </c>
      <c r="G1545" s="158">
        <v>2.5</v>
      </c>
      <c r="H1545" s="158">
        <v>0</v>
      </c>
      <c r="I1545" s="158">
        <v>0</v>
      </c>
      <c r="J1545" s="158">
        <v>0</v>
      </c>
      <c r="K1545" s="158" t="s">
        <v>235</v>
      </c>
    </row>
    <row r="1546" spans="4:11">
      <c r="D1546" s="158">
        <v>169912</v>
      </c>
      <c r="E1546" s="158">
        <v>10100</v>
      </c>
      <c r="F1546" s="158">
        <v>229</v>
      </c>
      <c r="G1546" s="158">
        <v>4.5999999999999996</v>
      </c>
      <c r="H1546" s="158">
        <v>6.4</v>
      </c>
      <c r="I1546" s="158">
        <v>1</v>
      </c>
      <c r="J1546" s="158">
        <v>7.4</v>
      </c>
      <c r="K1546" s="158" t="s">
        <v>237</v>
      </c>
    </row>
    <row r="1547" spans="4:11">
      <c r="D1547" s="158">
        <v>169913</v>
      </c>
      <c r="E1547" s="158">
        <v>10101</v>
      </c>
      <c r="F1547" s="158">
        <v>229</v>
      </c>
      <c r="H1547" s="158">
        <v>0</v>
      </c>
      <c r="J1547" s="158">
        <v>0</v>
      </c>
      <c r="K1547" s="158" t="s">
        <v>237</v>
      </c>
    </row>
    <row r="1548" spans="4:11">
      <c r="D1548" s="158">
        <v>169915</v>
      </c>
      <c r="E1548" s="158">
        <v>10101</v>
      </c>
      <c r="F1548" s="158">
        <v>229</v>
      </c>
      <c r="H1548" s="158">
        <v>0</v>
      </c>
      <c r="J1548" s="158">
        <v>0</v>
      </c>
      <c r="K1548" s="158" t="s">
        <v>237</v>
      </c>
    </row>
    <row r="1549" spans="4:11">
      <c r="D1549" s="158">
        <v>169917</v>
      </c>
      <c r="E1549" s="158">
        <v>11751</v>
      </c>
      <c r="F1549" s="158">
        <v>2142</v>
      </c>
      <c r="G1549" s="158">
        <v>2</v>
      </c>
      <c r="H1549" s="158">
        <v>0</v>
      </c>
      <c r="I1549" s="158">
        <v>0</v>
      </c>
      <c r="J1549" s="158">
        <v>0</v>
      </c>
      <c r="K1549" s="158" t="s">
        <v>235</v>
      </c>
    </row>
    <row r="1550" spans="4:11">
      <c r="D1550" s="158">
        <v>169918</v>
      </c>
      <c r="E1550" s="158">
        <v>11751</v>
      </c>
      <c r="F1550" s="158">
        <v>2123</v>
      </c>
      <c r="G1550" s="158">
        <v>2</v>
      </c>
      <c r="H1550" s="158">
        <v>0</v>
      </c>
      <c r="I1550" s="158">
        <v>0</v>
      </c>
      <c r="J1550" s="158">
        <v>0</v>
      </c>
      <c r="K1550" s="158" t="s">
        <v>235</v>
      </c>
    </row>
    <row r="1551" spans="4:11">
      <c r="D1551" s="158">
        <v>169919</v>
      </c>
      <c r="E1551" s="158">
        <v>11751</v>
      </c>
      <c r="F1551" s="158">
        <v>1795</v>
      </c>
      <c r="H1551" s="158">
        <v>0</v>
      </c>
      <c r="I1551" s="158">
        <v>0</v>
      </c>
      <c r="J1551" s="158">
        <v>0</v>
      </c>
      <c r="K1551" s="158" t="s">
        <v>235</v>
      </c>
    </row>
    <row r="1552" spans="4:11">
      <c r="D1552" s="158">
        <v>169932</v>
      </c>
      <c r="E1552" s="158">
        <v>11307</v>
      </c>
      <c r="F1552" s="158">
        <v>2156</v>
      </c>
      <c r="G1552" s="158">
        <v>1</v>
      </c>
      <c r="H1552" s="158">
        <v>1</v>
      </c>
      <c r="I1552" s="158">
        <v>0</v>
      </c>
      <c r="J1552" s="158">
        <v>1</v>
      </c>
      <c r="K1552" s="158" t="s">
        <v>236</v>
      </c>
    </row>
    <row r="1553" spans="4:11">
      <c r="D1553" s="158">
        <v>169933</v>
      </c>
      <c r="E1553" s="158">
        <v>11308</v>
      </c>
      <c r="F1553" s="158">
        <v>2178</v>
      </c>
      <c r="G1553" s="158">
        <v>0.9</v>
      </c>
      <c r="H1553" s="158">
        <v>0</v>
      </c>
      <c r="I1553" s="158">
        <v>0</v>
      </c>
      <c r="J1553" s="158">
        <v>0</v>
      </c>
      <c r="K1553" s="158" t="s">
        <v>236</v>
      </c>
    </row>
    <row r="1554" spans="4:11">
      <c r="D1554" s="158">
        <v>169934</v>
      </c>
      <c r="E1554" s="158">
        <v>11308</v>
      </c>
      <c r="F1554" s="158">
        <v>362</v>
      </c>
      <c r="G1554" s="158">
        <v>2</v>
      </c>
      <c r="H1554" s="158">
        <v>2</v>
      </c>
      <c r="I1554" s="158">
        <v>0</v>
      </c>
      <c r="J1554" s="158">
        <v>2</v>
      </c>
      <c r="K1554" s="158" t="s">
        <v>236</v>
      </c>
    </row>
    <row r="1555" spans="4:11">
      <c r="D1555" s="158">
        <v>169935</v>
      </c>
      <c r="E1555" s="158">
        <v>11308</v>
      </c>
      <c r="F1555" s="158">
        <v>2266</v>
      </c>
      <c r="G1555" s="158">
        <v>2</v>
      </c>
      <c r="H1555" s="158">
        <v>1</v>
      </c>
      <c r="I1555" s="158">
        <v>0</v>
      </c>
      <c r="J1555" s="158">
        <v>1</v>
      </c>
      <c r="K1555" s="158" t="s">
        <v>236</v>
      </c>
    </row>
    <row r="1556" spans="4:11">
      <c r="D1556" s="158">
        <v>169937</v>
      </c>
      <c r="E1556" s="158">
        <v>11307</v>
      </c>
      <c r="F1556" s="158">
        <v>2156</v>
      </c>
      <c r="G1556" s="158">
        <v>2</v>
      </c>
      <c r="H1556" s="158">
        <v>2</v>
      </c>
      <c r="I1556" s="158">
        <v>0</v>
      </c>
      <c r="J1556" s="158">
        <v>2</v>
      </c>
      <c r="K1556" s="158" t="s">
        <v>236</v>
      </c>
    </row>
    <row r="1557" spans="4:11">
      <c r="D1557" s="158">
        <v>169938</v>
      </c>
      <c r="E1557" s="158">
        <v>11307</v>
      </c>
      <c r="F1557" s="158">
        <v>2156</v>
      </c>
      <c r="G1557" s="158">
        <v>2</v>
      </c>
      <c r="H1557" s="158">
        <v>2</v>
      </c>
      <c r="I1557" s="158">
        <v>0</v>
      </c>
      <c r="J1557" s="158">
        <v>2</v>
      </c>
      <c r="K1557" s="158" t="s">
        <v>236</v>
      </c>
    </row>
    <row r="1558" spans="4:11">
      <c r="D1558" s="158">
        <v>169939</v>
      </c>
      <c r="E1558" s="158">
        <v>11307</v>
      </c>
      <c r="F1558" s="158">
        <v>2178</v>
      </c>
      <c r="G1558" s="158">
        <v>5.7</v>
      </c>
      <c r="H1558" s="158">
        <v>0</v>
      </c>
      <c r="I1558" s="158">
        <v>0</v>
      </c>
      <c r="J1558" s="158">
        <v>0</v>
      </c>
      <c r="K1558" s="158" t="s">
        <v>236</v>
      </c>
    </row>
    <row r="1559" spans="4:11">
      <c r="D1559" s="158">
        <v>169940</v>
      </c>
      <c r="E1559" s="158">
        <v>10814</v>
      </c>
      <c r="F1559" s="158">
        <v>1251</v>
      </c>
      <c r="G1559" s="158">
        <v>4.0999999999999996</v>
      </c>
      <c r="H1559" s="158">
        <v>3.2</v>
      </c>
      <c r="I1559" s="158">
        <v>0</v>
      </c>
      <c r="J1559" s="158">
        <v>3.2</v>
      </c>
      <c r="K1559" s="158" t="s">
        <v>235</v>
      </c>
    </row>
    <row r="1560" spans="4:11">
      <c r="D1560" s="158">
        <v>169941</v>
      </c>
      <c r="E1560" s="158">
        <v>10814</v>
      </c>
      <c r="F1560" s="158">
        <v>1251</v>
      </c>
      <c r="G1560" s="158">
        <v>5</v>
      </c>
      <c r="H1560" s="158">
        <v>4.5</v>
      </c>
      <c r="I1560" s="158">
        <v>0</v>
      </c>
      <c r="J1560" s="158">
        <v>4.5</v>
      </c>
      <c r="K1560" s="158" t="s">
        <v>235</v>
      </c>
    </row>
    <row r="1561" spans="4:11">
      <c r="D1561" s="158">
        <v>169942</v>
      </c>
      <c r="E1561" s="158">
        <v>10814</v>
      </c>
      <c r="F1561" s="158">
        <v>1251</v>
      </c>
      <c r="G1561" s="158">
        <v>7.5</v>
      </c>
      <c r="H1561" s="158">
        <v>8.3000000000000007</v>
      </c>
      <c r="I1561" s="158">
        <v>0</v>
      </c>
      <c r="J1561" s="158">
        <v>8.3000000000000007</v>
      </c>
      <c r="K1561" s="158" t="s">
        <v>235</v>
      </c>
    </row>
    <row r="1562" spans="4:11">
      <c r="D1562" s="158">
        <v>169962</v>
      </c>
      <c r="E1562" s="158">
        <v>10816</v>
      </c>
      <c r="F1562" s="158">
        <v>1999</v>
      </c>
      <c r="H1562" s="158">
        <v>1</v>
      </c>
      <c r="I1562" s="158">
        <v>0</v>
      </c>
      <c r="J1562" s="158">
        <v>1</v>
      </c>
      <c r="K1562" s="158" t="s">
        <v>235</v>
      </c>
    </row>
    <row r="1563" spans="4:11">
      <c r="D1563" s="158">
        <v>169963</v>
      </c>
      <c r="E1563" s="158">
        <v>10816</v>
      </c>
      <c r="F1563" s="158">
        <v>1999</v>
      </c>
      <c r="H1563" s="158">
        <v>0.5</v>
      </c>
      <c r="I1563" s="158">
        <v>0</v>
      </c>
      <c r="J1563" s="158">
        <v>0.5</v>
      </c>
      <c r="K1563" s="158" t="s">
        <v>235</v>
      </c>
    </row>
    <row r="1564" spans="4:11">
      <c r="D1564" s="158">
        <v>169966</v>
      </c>
      <c r="E1564" s="158">
        <v>10814</v>
      </c>
      <c r="F1564" s="158">
        <v>2122</v>
      </c>
      <c r="H1564" s="158">
        <v>2.5</v>
      </c>
      <c r="I1564" s="158">
        <v>0</v>
      </c>
      <c r="J1564" s="158">
        <v>2.5</v>
      </c>
      <c r="K1564" s="158" t="s">
        <v>235</v>
      </c>
    </row>
    <row r="1565" spans="4:11">
      <c r="D1565" s="158">
        <v>169968</v>
      </c>
      <c r="E1565" s="158">
        <v>10695</v>
      </c>
      <c r="F1565" s="158">
        <v>2142</v>
      </c>
      <c r="G1565" s="158">
        <v>2</v>
      </c>
      <c r="H1565" s="158">
        <v>0.75</v>
      </c>
      <c r="I1565" s="158">
        <v>0</v>
      </c>
      <c r="J1565" s="158">
        <v>0.75</v>
      </c>
      <c r="K1565" s="158" t="s">
        <v>235</v>
      </c>
    </row>
    <row r="1566" spans="4:11">
      <c r="D1566" s="158">
        <v>169969</v>
      </c>
      <c r="E1566" s="158">
        <v>10695</v>
      </c>
      <c r="F1566" s="158">
        <v>2184</v>
      </c>
      <c r="G1566" s="158">
        <v>2.1</v>
      </c>
      <c r="H1566" s="158">
        <v>0.5</v>
      </c>
      <c r="I1566" s="158">
        <v>0</v>
      </c>
      <c r="J1566" s="158">
        <v>0.5</v>
      </c>
      <c r="K1566" s="158" t="s">
        <v>235</v>
      </c>
    </row>
    <row r="1567" spans="4:11">
      <c r="D1567" s="158">
        <v>169984</v>
      </c>
      <c r="E1567" s="158">
        <v>11751</v>
      </c>
      <c r="F1567" s="158">
        <v>2204</v>
      </c>
      <c r="G1567" s="158">
        <v>12</v>
      </c>
      <c r="H1567" s="158">
        <v>0</v>
      </c>
      <c r="I1567" s="158">
        <v>0</v>
      </c>
      <c r="J1567" s="158">
        <v>0</v>
      </c>
      <c r="K1567" s="158" t="s">
        <v>235</v>
      </c>
    </row>
    <row r="1568" spans="4:11">
      <c r="D1568" s="158">
        <v>169988</v>
      </c>
      <c r="E1568" s="158">
        <v>10814</v>
      </c>
      <c r="F1568" s="158">
        <v>2202</v>
      </c>
      <c r="G1568" s="158">
        <v>1.9</v>
      </c>
      <c r="K1568" s="158" t="s">
        <v>235</v>
      </c>
    </row>
    <row r="1569" spans="4:11">
      <c r="D1569" s="158">
        <v>169989</v>
      </c>
      <c r="E1569" s="158">
        <v>10814</v>
      </c>
      <c r="F1569" s="158">
        <v>2202</v>
      </c>
      <c r="G1569" s="158">
        <v>6.2</v>
      </c>
      <c r="H1569" s="158">
        <v>0</v>
      </c>
      <c r="I1569" s="158">
        <v>0</v>
      </c>
      <c r="J1569" s="158">
        <v>0</v>
      </c>
      <c r="K1569" s="158" t="s">
        <v>235</v>
      </c>
    </row>
    <row r="1570" spans="4:11">
      <c r="D1570" s="158">
        <v>169990</v>
      </c>
      <c r="E1570" s="158">
        <v>10814</v>
      </c>
      <c r="F1570" s="158">
        <v>2202</v>
      </c>
      <c r="G1570" s="158">
        <v>3.2</v>
      </c>
      <c r="H1570" s="158">
        <v>0</v>
      </c>
      <c r="I1570" s="158">
        <v>0</v>
      </c>
      <c r="J1570" s="158">
        <v>0</v>
      </c>
      <c r="K1570" s="158" t="s">
        <v>235</v>
      </c>
    </row>
    <row r="1571" spans="4:11">
      <c r="D1571" s="158">
        <v>170037</v>
      </c>
      <c r="E1571" s="158">
        <v>11948</v>
      </c>
      <c r="F1571" s="158">
        <v>222</v>
      </c>
      <c r="H1571" s="158">
        <v>0.5</v>
      </c>
      <c r="I1571" s="158">
        <v>0</v>
      </c>
      <c r="J1571" s="158">
        <v>0.5</v>
      </c>
      <c r="K1571" s="158" t="s">
        <v>235</v>
      </c>
    </row>
    <row r="1572" spans="4:11">
      <c r="D1572" s="158">
        <v>170038</v>
      </c>
      <c r="E1572" s="158">
        <v>11948</v>
      </c>
      <c r="F1572" s="158">
        <v>1014</v>
      </c>
      <c r="H1572" s="158">
        <v>0.2</v>
      </c>
      <c r="I1572" s="158">
        <v>0</v>
      </c>
      <c r="J1572" s="158">
        <v>0.2</v>
      </c>
      <c r="K1572" s="158" t="s">
        <v>235</v>
      </c>
    </row>
    <row r="1573" spans="4:11">
      <c r="D1573" s="158">
        <v>170041</v>
      </c>
      <c r="E1573" s="158">
        <v>10720</v>
      </c>
      <c r="F1573" s="158">
        <v>2062</v>
      </c>
      <c r="H1573" s="158">
        <v>6.65</v>
      </c>
      <c r="I1573" s="158">
        <v>0</v>
      </c>
      <c r="J1573" s="158">
        <v>6.65</v>
      </c>
      <c r="K1573" s="158" t="s">
        <v>235</v>
      </c>
    </row>
    <row r="1574" spans="4:11">
      <c r="D1574" s="158">
        <v>170042</v>
      </c>
      <c r="E1574" s="158">
        <v>10773</v>
      </c>
      <c r="F1574" s="158">
        <v>2062</v>
      </c>
      <c r="G1574" s="158">
        <v>0</v>
      </c>
      <c r="H1574" s="158">
        <v>1.5</v>
      </c>
      <c r="I1574" s="158">
        <v>0</v>
      </c>
      <c r="J1574" s="158">
        <v>1.5</v>
      </c>
      <c r="K1574" s="158" t="s">
        <v>235</v>
      </c>
    </row>
    <row r="1575" spans="4:11">
      <c r="D1575" s="158">
        <v>170043</v>
      </c>
      <c r="E1575" s="158">
        <v>10763</v>
      </c>
      <c r="F1575" s="158">
        <v>2062</v>
      </c>
      <c r="H1575" s="158">
        <v>0</v>
      </c>
      <c r="I1575" s="158">
        <v>0</v>
      </c>
      <c r="J1575" s="158">
        <v>0</v>
      </c>
      <c r="K1575" s="158" t="s">
        <v>235</v>
      </c>
    </row>
    <row r="1576" spans="4:11">
      <c r="D1576" s="158">
        <v>170047</v>
      </c>
      <c r="E1576" s="158">
        <v>11309</v>
      </c>
      <c r="F1576" s="158">
        <v>362</v>
      </c>
      <c r="G1576" s="158">
        <v>2</v>
      </c>
      <c r="H1576" s="158">
        <v>2</v>
      </c>
      <c r="I1576" s="158">
        <v>0</v>
      </c>
      <c r="J1576" s="158">
        <v>2</v>
      </c>
      <c r="K1576" s="158" t="s">
        <v>236</v>
      </c>
    </row>
    <row r="1577" spans="4:11">
      <c r="D1577" s="158">
        <v>170048</v>
      </c>
      <c r="E1577" s="158">
        <v>11309</v>
      </c>
      <c r="F1577" s="158">
        <v>2200</v>
      </c>
      <c r="G1577" s="158">
        <v>1.9</v>
      </c>
      <c r="H1577" s="158">
        <v>0</v>
      </c>
      <c r="I1577" s="158">
        <v>0</v>
      </c>
      <c r="J1577" s="158">
        <v>0</v>
      </c>
      <c r="K1577" s="158" t="s">
        <v>236</v>
      </c>
    </row>
    <row r="1578" spans="4:11">
      <c r="D1578" s="158">
        <v>170147</v>
      </c>
      <c r="E1578" s="158">
        <v>11307</v>
      </c>
      <c r="F1578" s="158">
        <v>2156</v>
      </c>
      <c r="G1578" s="158">
        <v>3</v>
      </c>
      <c r="H1578" s="158">
        <v>3</v>
      </c>
      <c r="I1578" s="158">
        <v>0</v>
      </c>
      <c r="J1578" s="158">
        <v>3</v>
      </c>
      <c r="K1578" s="158" t="s">
        <v>236</v>
      </c>
    </row>
    <row r="1579" spans="4:11">
      <c r="D1579" s="158">
        <v>170186</v>
      </c>
      <c r="E1579" s="158">
        <v>10020</v>
      </c>
      <c r="F1579" s="158">
        <v>402</v>
      </c>
      <c r="G1579" s="158">
        <v>0.3</v>
      </c>
      <c r="H1579" s="158">
        <v>0</v>
      </c>
      <c r="I1579" s="158">
        <v>0</v>
      </c>
      <c r="J1579" s="158">
        <v>0</v>
      </c>
      <c r="K1579" s="158" t="s">
        <v>238</v>
      </c>
    </row>
    <row r="1580" spans="4:11">
      <c r="D1580" s="158">
        <v>170187</v>
      </c>
      <c r="E1580" s="158">
        <v>10020</v>
      </c>
      <c r="F1580" s="158">
        <v>1667</v>
      </c>
      <c r="G1580" s="158">
        <v>6.25</v>
      </c>
      <c r="H1580" s="158">
        <v>5.4</v>
      </c>
      <c r="I1580" s="158">
        <v>0</v>
      </c>
      <c r="J1580" s="158">
        <v>5.4</v>
      </c>
      <c r="K1580" s="158" t="s">
        <v>238</v>
      </c>
    </row>
    <row r="1581" spans="4:11">
      <c r="D1581" s="158">
        <v>170188</v>
      </c>
      <c r="E1581" s="158">
        <v>10020</v>
      </c>
      <c r="F1581" s="158">
        <v>229</v>
      </c>
      <c r="G1581" s="158">
        <v>0.4</v>
      </c>
      <c r="H1581" s="158">
        <v>0</v>
      </c>
      <c r="I1581" s="158">
        <v>0</v>
      </c>
      <c r="J1581" s="158">
        <v>0</v>
      </c>
      <c r="K1581" s="158" t="s">
        <v>238</v>
      </c>
    </row>
    <row r="1582" spans="4:11">
      <c r="D1582" s="158">
        <v>170216</v>
      </c>
      <c r="E1582" s="158">
        <v>10011</v>
      </c>
      <c r="F1582" s="158">
        <v>396</v>
      </c>
      <c r="H1582" s="158">
        <v>0.5</v>
      </c>
      <c r="I1582" s="158">
        <v>0</v>
      </c>
      <c r="J1582" s="158">
        <v>0.5</v>
      </c>
      <c r="K1582" s="158" t="s">
        <v>238</v>
      </c>
    </row>
    <row r="1583" spans="4:11">
      <c r="D1583" s="158">
        <v>170239</v>
      </c>
      <c r="E1583" s="158">
        <v>10816</v>
      </c>
      <c r="F1583" s="158">
        <v>2290</v>
      </c>
      <c r="G1583" s="158">
        <v>19.600000000000001</v>
      </c>
      <c r="H1583" s="158">
        <v>9</v>
      </c>
      <c r="I1583" s="158">
        <v>0</v>
      </c>
      <c r="J1583" s="158">
        <v>9</v>
      </c>
      <c r="K1583" s="158" t="s">
        <v>235</v>
      </c>
    </row>
    <row r="1584" spans="4:11">
      <c r="D1584" s="158">
        <v>170249</v>
      </c>
      <c r="E1584" s="158">
        <v>10689</v>
      </c>
      <c r="F1584" s="158">
        <v>2290</v>
      </c>
      <c r="G1584" s="158">
        <v>3.1</v>
      </c>
      <c r="H1584" s="158">
        <v>8</v>
      </c>
      <c r="I1584" s="158">
        <v>0</v>
      </c>
      <c r="J1584" s="158">
        <v>8</v>
      </c>
      <c r="K1584" s="158" t="s">
        <v>235</v>
      </c>
    </row>
    <row r="1585" spans="4:11">
      <c r="D1585" s="158">
        <v>170250</v>
      </c>
      <c r="E1585" s="158">
        <v>10688</v>
      </c>
      <c r="F1585" s="158">
        <v>2291</v>
      </c>
      <c r="H1585" s="158">
        <v>3</v>
      </c>
      <c r="I1585" s="158">
        <v>0</v>
      </c>
      <c r="J1585" s="158">
        <v>3</v>
      </c>
      <c r="K1585" s="158" t="s">
        <v>235</v>
      </c>
    </row>
    <row r="1586" spans="4:11">
      <c r="D1586" s="158">
        <v>170260</v>
      </c>
      <c r="E1586" s="158">
        <v>10688</v>
      </c>
      <c r="F1586" s="158">
        <v>2291</v>
      </c>
      <c r="H1586" s="158">
        <v>4</v>
      </c>
      <c r="I1586" s="158">
        <v>0</v>
      </c>
      <c r="J1586" s="158">
        <v>4</v>
      </c>
      <c r="K1586" s="158" t="s">
        <v>235</v>
      </c>
    </row>
    <row r="1587" spans="4:11">
      <c r="D1587" s="158">
        <v>170261</v>
      </c>
      <c r="E1587" s="158">
        <v>11705</v>
      </c>
      <c r="F1587" s="158">
        <v>2295</v>
      </c>
      <c r="H1587" s="158">
        <v>3</v>
      </c>
      <c r="I1587" s="158">
        <v>0</v>
      </c>
      <c r="J1587" s="158">
        <v>3</v>
      </c>
      <c r="K1587" s="158" t="s">
        <v>235</v>
      </c>
    </row>
    <row r="1588" spans="4:11">
      <c r="D1588" s="158">
        <v>170271</v>
      </c>
      <c r="E1588" s="158">
        <v>10691</v>
      </c>
      <c r="F1588" s="158">
        <v>2295</v>
      </c>
      <c r="H1588" s="158">
        <v>1</v>
      </c>
      <c r="I1588" s="158">
        <v>0</v>
      </c>
      <c r="J1588" s="158">
        <v>1</v>
      </c>
      <c r="K1588" s="158" t="s">
        <v>235</v>
      </c>
    </row>
    <row r="1589" spans="4:11">
      <c r="D1589" s="158">
        <v>170272</v>
      </c>
      <c r="E1589" s="158">
        <v>10691</v>
      </c>
      <c r="F1589" s="158">
        <v>2295</v>
      </c>
      <c r="H1589" s="158">
        <v>4</v>
      </c>
      <c r="I1589" s="158">
        <v>0</v>
      </c>
      <c r="J1589" s="158">
        <v>4</v>
      </c>
      <c r="K1589" s="158" t="s">
        <v>235</v>
      </c>
    </row>
    <row r="1590" spans="4:11">
      <c r="D1590" s="158">
        <v>170273</v>
      </c>
      <c r="E1590" s="158">
        <v>10691</v>
      </c>
      <c r="F1590" s="158">
        <v>2295</v>
      </c>
      <c r="H1590" s="158">
        <v>4.5</v>
      </c>
      <c r="I1590" s="158">
        <v>0</v>
      </c>
      <c r="J1590" s="158">
        <v>4.5</v>
      </c>
      <c r="K1590" s="158" t="s">
        <v>235</v>
      </c>
    </row>
    <row r="1591" spans="4:11">
      <c r="D1591" s="158">
        <v>170274</v>
      </c>
      <c r="E1591" s="158">
        <v>11706</v>
      </c>
      <c r="F1591" s="158">
        <v>2296</v>
      </c>
      <c r="H1591" s="158">
        <v>14</v>
      </c>
      <c r="I1591" s="158">
        <v>0</v>
      </c>
      <c r="J1591" s="158">
        <v>14</v>
      </c>
      <c r="K1591" s="158" t="s">
        <v>235</v>
      </c>
    </row>
    <row r="1592" spans="4:11">
      <c r="D1592" s="158">
        <v>170296</v>
      </c>
      <c r="E1592" s="158">
        <v>10796</v>
      </c>
      <c r="F1592" s="158">
        <v>2294</v>
      </c>
      <c r="H1592" s="158">
        <v>19</v>
      </c>
      <c r="I1592" s="158">
        <v>0</v>
      </c>
      <c r="J1592" s="158">
        <v>19</v>
      </c>
      <c r="K1592" s="158" t="s">
        <v>235</v>
      </c>
    </row>
    <row r="1593" spans="4:11">
      <c r="D1593" s="158">
        <v>170308</v>
      </c>
      <c r="E1593" s="158">
        <v>11044</v>
      </c>
      <c r="F1593" s="158">
        <v>2297</v>
      </c>
      <c r="H1593" s="158">
        <v>26</v>
      </c>
      <c r="I1593" s="158">
        <v>0</v>
      </c>
      <c r="J1593" s="158">
        <v>26</v>
      </c>
      <c r="K1593" s="158" t="s">
        <v>235</v>
      </c>
    </row>
    <row r="1594" spans="4:11">
      <c r="D1594" s="158">
        <v>170320</v>
      </c>
      <c r="E1594" s="158">
        <v>10746</v>
      </c>
      <c r="F1594" s="158">
        <v>2028</v>
      </c>
      <c r="G1594" s="158">
        <v>0.25</v>
      </c>
      <c r="H1594" s="158">
        <v>0.25</v>
      </c>
      <c r="I1594" s="158">
        <v>0</v>
      </c>
      <c r="J1594" s="158">
        <v>0.25</v>
      </c>
      <c r="K1594" s="158" t="s">
        <v>235</v>
      </c>
    </row>
    <row r="1595" spans="4:11">
      <c r="D1595" s="158">
        <v>170322</v>
      </c>
      <c r="E1595" s="158">
        <v>10761</v>
      </c>
      <c r="F1595" s="158">
        <v>2028</v>
      </c>
      <c r="G1595" s="158">
        <v>0.25</v>
      </c>
      <c r="H1595" s="158">
        <v>0</v>
      </c>
      <c r="I1595" s="158">
        <v>0.25</v>
      </c>
      <c r="J1595" s="158">
        <v>0.25</v>
      </c>
      <c r="K1595" s="158" t="s">
        <v>235</v>
      </c>
    </row>
    <row r="1596" spans="4:11">
      <c r="D1596" s="158">
        <v>170324</v>
      </c>
      <c r="E1596" s="158">
        <v>10726</v>
      </c>
      <c r="F1596" s="158">
        <v>2028</v>
      </c>
      <c r="G1596" s="158">
        <v>0.25</v>
      </c>
      <c r="H1596" s="158">
        <v>0.25</v>
      </c>
      <c r="I1596" s="158">
        <v>0</v>
      </c>
      <c r="J1596" s="158">
        <v>0.25</v>
      </c>
      <c r="K1596" s="158" t="s">
        <v>235</v>
      </c>
    </row>
    <row r="1597" spans="4:11">
      <c r="D1597" s="158">
        <v>170325</v>
      </c>
      <c r="E1597" s="158">
        <v>10732</v>
      </c>
      <c r="F1597" s="158">
        <v>2028</v>
      </c>
      <c r="G1597" s="158">
        <v>0.25</v>
      </c>
      <c r="H1597" s="158">
        <v>0</v>
      </c>
      <c r="I1597" s="158">
        <v>0.25</v>
      </c>
      <c r="J1597" s="158">
        <v>0.25</v>
      </c>
      <c r="K1597" s="158" t="s">
        <v>235</v>
      </c>
    </row>
    <row r="1598" spans="4:11">
      <c r="D1598" s="158">
        <v>170326</v>
      </c>
      <c r="E1598" s="158">
        <v>10740</v>
      </c>
      <c r="F1598" s="158">
        <v>2028</v>
      </c>
      <c r="G1598" s="158">
        <v>0.5</v>
      </c>
      <c r="H1598" s="158">
        <v>0.5</v>
      </c>
      <c r="I1598" s="158">
        <v>0</v>
      </c>
      <c r="J1598" s="158">
        <v>0.5</v>
      </c>
      <c r="K1598" s="158" t="s">
        <v>235</v>
      </c>
    </row>
    <row r="1599" spans="4:11">
      <c r="D1599" s="158">
        <v>170327</v>
      </c>
      <c r="E1599" s="158">
        <v>10738</v>
      </c>
      <c r="F1599" s="158">
        <v>2028</v>
      </c>
      <c r="G1599" s="158">
        <v>0.25</v>
      </c>
      <c r="H1599" s="158">
        <v>0.25</v>
      </c>
      <c r="I1599" s="158">
        <v>0</v>
      </c>
      <c r="J1599" s="158">
        <v>0.25</v>
      </c>
      <c r="K1599" s="158" t="s">
        <v>235</v>
      </c>
    </row>
    <row r="1600" spans="4:11">
      <c r="D1600" s="158">
        <v>170464</v>
      </c>
      <c r="E1600" s="158">
        <v>10816</v>
      </c>
      <c r="F1600" s="158">
        <v>1999</v>
      </c>
      <c r="G1600" s="158">
        <v>2</v>
      </c>
      <c r="H1600" s="158">
        <v>3</v>
      </c>
      <c r="I1600" s="158">
        <v>0</v>
      </c>
      <c r="J1600" s="158">
        <v>3</v>
      </c>
      <c r="K1600" s="158" t="s">
        <v>235</v>
      </c>
    </row>
    <row r="1601" spans="4:11">
      <c r="D1601" s="158">
        <v>170465</v>
      </c>
      <c r="E1601" s="158">
        <v>10816</v>
      </c>
      <c r="F1601" s="158">
        <v>2122</v>
      </c>
      <c r="G1601" s="158">
        <v>2</v>
      </c>
      <c r="H1601" s="158">
        <v>1.25</v>
      </c>
      <c r="I1601" s="158">
        <v>0</v>
      </c>
      <c r="J1601" s="158">
        <v>1.25</v>
      </c>
      <c r="K1601" s="158" t="s">
        <v>235</v>
      </c>
    </row>
    <row r="1602" spans="4:11">
      <c r="D1602" s="158">
        <v>170476</v>
      </c>
      <c r="E1602" s="158">
        <v>10815</v>
      </c>
      <c r="F1602" s="158">
        <v>2220</v>
      </c>
      <c r="G1602" s="158">
        <v>2</v>
      </c>
      <c r="H1602" s="158">
        <v>2</v>
      </c>
      <c r="I1602" s="158">
        <v>0</v>
      </c>
      <c r="J1602" s="158">
        <v>2</v>
      </c>
      <c r="K1602" s="158" t="s">
        <v>235</v>
      </c>
    </row>
    <row r="1603" spans="4:11">
      <c r="D1603" s="158">
        <v>170477</v>
      </c>
      <c r="E1603" s="158">
        <v>10815</v>
      </c>
      <c r="F1603" s="158">
        <v>2220</v>
      </c>
      <c r="G1603" s="158">
        <v>6</v>
      </c>
      <c r="H1603" s="158">
        <v>3.98</v>
      </c>
      <c r="I1603" s="158">
        <v>0</v>
      </c>
      <c r="J1603" s="158">
        <v>3.98</v>
      </c>
      <c r="K1603" s="158" t="s">
        <v>235</v>
      </c>
    </row>
    <row r="1604" spans="4:11">
      <c r="D1604" s="158">
        <v>170478</v>
      </c>
      <c r="E1604" s="158">
        <v>10814</v>
      </c>
      <c r="F1604" s="158">
        <v>1999</v>
      </c>
      <c r="G1604" s="158">
        <v>2</v>
      </c>
      <c r="H1604" s="158">
        <v>2</v>
      </c>
      <c r="I1604" s="158">
        <v>0</v>
      </c>
      <c r="J1604" s="158">
        <v>2</v>
      </c>
      <c r="K1604" s="158" t="s">
        <v>235</v>
      </c>
    </row>
    <row r="1605" spans="4:11">
      <c r="D1605" s="158">
        <v>170479</v>
      </c>
      <c r="E1605" s="158">
        <v>10760</v>
      </c>
      <c r="F1605" s="158">
        <v>1795</v>
      </c>
      <c r="G1605" s="158">
        <v>0</v>
      </c>
      <c r="H1605" s="158">
        <v>0.25</v>
      </c>
      <c r="I1605" s="158">
        <v>0</v>
      </c>
      <c r="J1605" s="158">
        <v>0.25</v>
      </c>
      <c r="K1605" s="158" t="s">
        <v>235</v>
      </c>
    </row>
    <row r="1606" spans="4:11">
      <c r="D1606" s="158">
        <v>170521</v>
      </c>
      <c r="E1606" s="158">
        <v>10816</v>
      </c>
      <c r="F1606" s="158">
        <v>2221</v>
      </c>
      <c r="G1606" s="158">
        <v>13</v>
      </c>
      <c r="H1606" s="158">
        <v>14.4</v>
      </c>
      <c r="I1606" s="158">
        <v>0</v>
      </c>
      <c r="J1606" s="158">
        <v>14.4</v>
      </c>
      <c r="K1606" s="158" t="s">
        <v>235</v>
      </c>
    </row>
    <row r="1607" spans="4:11">
      <c r="D1607" s="158">
        <v>170546</v>
      </c>
      <c r="E1607" s="158">
        <v>11950</v>
      </c>
      <c r="F1607" s="158">
        <v>2028</v>
      </c>
      <c r="G1607" s="158">
        <v>0.25</v>
      </c>
      <c r="H1607" s="158">
        <v>0.25</v>
      </c>
      <c r="I1607" s="158">
        <v>0</v>
      </c>
      <c r="J1607" s="158">
        <v>0.25</v>
      </c>
      <c r="K1607" s="158" t="s">
        <v>235</v>
      </c>
    </row>
    <row r="1608" spans="4:11">
      <c r="D1608" s="158">
        <v>170547</v>
      </c>
      <c r="E1608" s="158">
        <v>11716</v>
      </c>
      <c r="F1608" s="158">
        <v>2028</v>
      </c>
      <c r="G1608" s="158">
        <v>0.25</v>
      </c>
      <c r="H1608" s="158">
        <v>0.25</v>
      </c>
      <c r="I1608" s="158">
        <v>0</v>
      </c>
      <c r="J1608" s="158">
        <v>0.25</v>
      </c>
      <c r="K1608" s="158" t="s">
        <v>235</v>
      </c>
    </row>
    <row r="1609" spans="4:11">
      <c r="D1609" s="158">
        <v>170548</v>
      </c>
      <c r="E1609" s="158">
        <v>11715</v>
      </c>
      <c r="F1609" s="158">
        <v>2028</v>
      </c>
      <c r="G1609" s="158">
        <v>0.25</v>
      </c>
      <c r="H1609" s="158">
        <v>0.25</v>
      </c>
      <c r="I1609" s="158">
        <v>0</v>
      </c>
      <c r="J1609" s="158">
        <v>0.25</v>
      </c>
      <c r="K1609" s="158" t="s">
        <v>235</v>
      </c>
    </row>
    <row r="1610" spans="4:11">
      <c r="D1610" s="158">
        <v>170549</v>
      </c>
      <c r="E1610" s="158">
        <v>11717</v>
      </c>
      <c r="F1610" s="158">
        <v>2028</v>
      </c>
      <c r="G1610" s="158">
        <v>0.25</v>
      </c>
      <c r="H1610" s="158">
        <v>0.25</v>
      </c>
      <c r="I1610" s="158">
        <v>0</v>
      </c>
      <c r="J1610" s="158">
        <v>0.25</v>
      </c>
      <c r="K1610" s="158" t="s">
        <v>235</v>
      </c>
    </row>
    <row r="1611" spans="4:11">
      <c r="D1611" s="158">
        <v>170550</v>
      </c>
      <c r="E1611" s="158">
        <v>10816</v>
      </c>
      <c r="F1611" s="158">
        <v>2028</v>
      </c>
      <c r="G1611" s="158">
        <v>0</v>
      </c>
      <c r="H1611" s="158">
        <v>0.25</v>
      </c>
      <c r="I1611" s="158">
        <v>0</v>
      </c>
      <c r="J1611" s="158">
        <v>0.25</v>
      </c>
      <c r="K1611" s="158" t="s">
        <v>235</v>
      </c>
    </row>
    <row r="1612" spans="4:11">
      <c r="D1612" s="158">
        <v>170551</v>
      </c>
      <c r="E1612" s="158">
        <v>11710</v>
      </c>
      <c r="F1612" s="158">
        <v>2028</v>
      </c>
      <c r="G1612" s="158">
        <v>0.8</v>
      </c>
      <c r="H1612" s="158">
        <v>0.75</v>
      </c>
      <c r="I1612" s="158">
        <v>0</v>
      </c>
      <c r="J1612" s="158">
        <v>0.75</v>
      </c>
      <c r="K1612" s="158" t="s">
        <v>235</v>
      </c>
    </row>
    <row r="1613" spans="4:11">
      <c r="D1613" s="158">
        <v>170552</v>
      </c>
      <c r="E1613" s="158">
        <v>11731</v>
      </c>
      <c r="F1613" s="158">
        <v>2123</v>
      </c>
      <c r="G1613" s="158">
        <v>1</v>
      </c>
      <c r="H1613" s="158">
        <v>1</v>
      </c>
      <c r="I1613" s="158">
        <v>0</v>
      </c>
      <c r="J1613" s="158">
        <v>1</v>
      </c>
      <c r="K1613" s="158" t="s">
        <v>235</v>
      </c>
    </row>
    <row r="1614" spans="4:11">
      <c r="D1614" s="158">
        <v>170554</v>
      </c>
      <c r="E1614" s="158">
        <v>11731</v>
      </c>
      <c r="F1614" s="158">
        <v>2123</v>
      </c>
      <c r="G1614" s="158">
        <v>2.5</v>
      </c>
      <c r="H1614" s="158">
        <v>2.5</v>
      </c>
      <c r="I1614" s="158">
        <v>0</v>
      </c>
      <c r="J1614" s="158">
        <v>2.5</v>
      </c>
      <c r="K1614" s="158" t="s">
        <v>235</v>
      </c>
    </row>
    <row r="1615" spans="4:11">
      <c r="D1615" s="158">
        <v>170555</v>
      </c>
      <c r="E1615" s="158">
        <v>11731</v>
      </c>
      <c r="F1615" s="158">
        <v>2123</v>
      </c>
      <c r="G1615" s="158">
        <v>0.5</v>
      </c>
      <c r="H1615" s="158">
        <v>0.5</v>
      </c>
      <c r="I1615" s="158">
        <v>0</v>
      </c>
      <c r="J1615" s="158">
        <v>0.5</v>
      </c>
      <c r="K1615" s="158" t="s">
        <v>235</v>
      </c>
    </row>
    <row r="1616" spans="4:11">
      <c r="D1616" s="158">
        <v>170556</v>
      </c>
      <c r="E1616" s="158">
        <v>11731</v>
      </c>
      <c r="F1616" s="158">
        <v>2123</v>
      </c>
      <c r="G1616" s="158">
        <v>3.3</v>
      </c>
      <c r="H1616" s="158">
        <v>1.75</v>
      </c>
      <c r="I1616" s="158">
        <v>0</v>
      </c>
      <c r="J1616" s="158">
        <v>1.75</v>
      </c>
      <c r="K1616" s="158" t="s">
        <v>235</v>
      </c>
    </row>
    <row r="1617" spans="4:11">
      <c r="D1617" s="158">
        <v>170557</v>
      </c>
      <c r="E1617" s="158">
        <v>11731</v>
      </c>
      <c r="F1617" s="158">
        <v>2123</v>
      </c>
      <c r="G1617" s="158">
        <v>0.25</v>
      </c>
      <c r="H1617" s="158">
        <v>0.25</v>
      </c>
      <c r="I1617" s="158">
        <v>0</v>
      </c>
      <c r="J1617" s="158">
        <v>0.25</v>
      </c>
      <c r="K1617" s="158" t="s">
        <v>235</v>
      </c>
    </row>
    <row r="1618" spans="4:11">
      <c r="D1618" s="158">
        <v>170558</v>
      </c>
      <c r="E1618" s="158">
        <v>10694</v>
      </c>
      <c r="F1618" s="158">
        <v>2174</v>
      </c>
      <c r="G1618" s="158">
        <v>3.3</v>
      </c>
      <c r="H1618" s="158">
        <v>0</v>
      </c>
      <c r="I1618" s="158">
        <v>3.3</v>
      </c>
      <c r="J1618" s="158">
        <v>3.3</v>
      </c>
      <c r="K1618" s="158" t="s">
        <v>235</v>
      </c>
    </row>
    <row r="1619" spans="4:11">
      <c r="D1619" s="158">
        <v>170559</v>
      </c>
      <c r="E1619" s="158">
        <v>11735</v>
      </c>
      <c r="F1619" s="158">
        <v>2188</v>
      </c>
      <c r="G1619" s="158">
        <v>5</v>
      </c>
      <c r="H1619" s="158">
        <v>3</v>
      </c>
      <c r="I1619" s="158">
        <v>2</v>
      </c>
      <c r="J1619" s="158">
        <v>5</v>
      </c>
      <c r="K1619" s="158" t="s">
        <v>235</v>
      </c>
    </row>
    <row r="1620" spans="4:11">
      <c r="D1620" s="158">
        <v>170560</v>
      </c>
      <c r="E1620" s="158">
        <v>11736</v>
      </c>
      <c r="F1620" s="158">
        <v>2362</v>
      </c>
      <c r="G1620" s="158">
        <v>8.3000000000000007</v>
      </c>
      <c r="H1620" s="158">
        <v>13.25</v>
      </c>
      <c r="I1620" s="158">
        <v>0</v>
      </c>
      <c r="J1620" s="158">
        <v>13.25</v>
      </c>
      <c r="K1620" s="158" t="s">
        <v>235</v>
      </c>
    </row>
    <row r="1621" spans="4:11">
      <c r="D1621" s="158">
        <v>170561</v>
      </c>
      <c r="E1621" s="158">
        <v>11736</v>
      </c>
      <c r="F1621" s="158">
        <v>2362</v>
      </c>
      <c r="G1621" s="158">
        <v>3.2</v>
      </c>
      <c r="H1621" s="158">
        <v>5.95</v>
      </c>
      <c r="I1621" s="158">
        <v>0</v>
      </c>
      <c r="J1621" s="158">
        <v>5.95</v>
      </c>
      <c r="K1621" s="158" t="s">
        <v>235</v>
      </c>
    </row>
    <row r="1622" spans="4:11">
      <c r="D1622" s="158">
        <v>170562</v>
      </c>
      <c r="E1622" s="158">
        <v>11736</v>
      </c>
      <c r="F1622" s="158">
        <v>2362</v>
      </c>
      <c r="G1622" s="158">
        <v>4.0999999999999996</v>
      </c>
      <c r="H1622" s="158">
        <v>3.95</v>
      </c>
      <c r="I1622" s="158">
        <v>0</v>
      </c>
      <c r="J1622" s="158">
        <v>3.95</v>
      </c>
      <c r="K1622" s="158" t="s">
        <v>235</v>
      </c>
    </row>
    <row r="1623" spans="4:11">
      <c r="D1623" s="158">
        <v>170563</v>
      </c>
      <c r="E1623" s="158">
        <v>11736</v>
      </c>
      <c r="F1623" s="158">
        <v>2362</v>
      </c>
      <c r="G1623" s="158">
        <v>9.5</v>
      </c>
      <c r="H1623" s="158">
        <v>11.2</v>
      </c>
      <c r="I1623" s="158">
        <v>0</v>
      </c>
      <c r="J1623" s="158">
        <v>11.2</v>
      </c>
      <c r="K1623" s="158" t="s">
        <v>235</v>
      </c>
    </row>
    <row r="1624" spans="4:11">
      <c r="D1624" s="158">
        <v>170564</v>
      </c>
      <c r="E1624" s="158">
        <v>11736</v>
      </c>
      <c r="F1624" s="158">
        <v>2362</v>
      </c>
      <c r="G1624" s="158">
        <v>6.3</v>
      </c>
      <c r="H1624" s="158">
        <v>6.3</v>
      </c>
      <c r="I1624" s="158">
        <v>0</v>
      </c>
      <c r="J1624" s="158">
        <v>6.3</v>
      </c>
      <c r="K1624" s="158" t="s">
        <v>235</v>
      </c>
    </row>
    <row r="1625" spans="4:11">
      <c r="D1625" s="158">
        <v>170565</v>
      </c>
      <c r="E1625" s="158">
        <v>11736</v>
      </c>
      <c r="F1625" s="158">
        <v>2362</v>
      </c>
      <c r="G1625" s="158">
        <v>6.35</v>
      </c>
      <c r="H1625" s="158">
        <v>14.75</v>
      </c>
      <c r="I1625" s="158">
        <v>0</v>
      </c>
      <c r="J1625" s="158">
        <v>14.75</v>
      </c>
      <c r="K1625" s="158" t="s">
        <v>235</v>
      </c>
    </row>
    <row r="1626" spans="4:11">
      <c r="D1626" s="158">
        <v>170566</v>
      </c>
      <c r="E1626" s="158">
        <v>10691</v>
      </c>
      <c r="F1626" s="158">
        <v>2142</v>
      </c>
      <c r="G1626" s="158">
        <v>4.5</v>
      </c>
      <c r="H1626" s="158">
        <v>4</v>
      </c>
      <c r="I1626" s="158">
        <v>0</v>
      </c>
      <c r="J1626" s="158">
        <v>4</v>
      </c>
      <c r="K1626" s="158" t="s">
        <v>235</v>
      </c>
    </row>
    <row r="1627" spans="4:11">
      <c r="D1627" s="158">
        <v>170567</v>
      </c>
      <c r="E1627" s="158">
        <v>10691</v>
      </c>
      <c r="F1627" s="158">
        <v>2142</v>
      </c>
      <c r="G1627" s="158">
        <v>1</v>
      </c>
      <c r="H1627" s="158">
        <v>0.75</v>
      </c>
      <c r="I1627" s="158">
        <v>0</v>
      </c>
      <c r="J1627" s="158">
        <v>0.75</v>
      </c>
      <c r="K1627" s="158" t="s">
        <v>235</v>
      </c>
    </row>
    <row r="1628" spans="4:11">
      <c r="D1628" s="158">
        <v>170569</v>
      </c>
      <c r="E1628" s="158">
        <v>10691</v>
      </c>
      <c r="F1628" s="158">
        <v>2174</v>
      </c>
      <c r="G1628" s="158">
        <v>13.3</v>
      </c>
      <c r="H1628" s="158">
        <v>0</v>
      </c>
      <c r="I1628" s="158">
        <v>0</v>
      </c>
      <c r="J1628" s="158">
        <v>0</v>
      </c>
      <c r="K1628" s="158" t="s">
        <v>235</v>
      </c>
    </row>
    <row r="1629" spans="4:11">
      <c r="D1629" s="158">
        <v>170570</v>
      </c>
      <c r="E1629" s="158">
        <v>10691</v>
      </c>
      <c r="F1629" s="158">
        <v>2142</v>
      </c>
      <c r="G1629" s="158">
        <v>15.5</v>
      </c>
      <c r="H1629" s="158">
        <v>0.75</v>
      </c>
      <c r="I1629" s="158">
        <v>0</v>
      </c>
      <c r="J1629" s="158">
        <v>0.75</v>
      </c>
      <c r="K1629" s="158" t="s">
        <v>235</v>
      </c>
    </row>
    <row r="1630" spans="4:11">
      <c r="D1630" s="158">
        <v>170571</v>
      </c>
      <c r="E1630" s="158">
        <v>10691</v>
      </c>
      <c r="F1630" s="158">
        <v>2188</v>
      </c>
      <c r="G1630" s="158">
        <v>15.5</v>
      </c>
      <c r="H1630" s="158">
        <v>0</v>
      </c>
      <c r="I1630" s="158">
        <v>10</v>
      </c>
      <c r="J1630" s="158">
        <v>10</v>
      </c>
      <c r="K1630" s="158" t="s">
        <v>235</v>
      </c>
    </row>
    <row r="1631" spans="4:11">
      <c r="D1631" s="158">
        <v>170572</v>
      </c>
      <c r="E1631" s="158">
        <v>10691</v>
      </c>
      <c r="F1631" s="158">
        <v>2188</v>
      </c>
      <c r="G1631" s="158">
        <v>5</v>
      </c>
      <c r="H1631" s="158">
        <v>0</v>
      </c>
      <c r="I1631" s="158">
        <v>0</v>
      </c>
      <c r="J1631" s="158">
        <v>0</v>
      </c>
      <c r="K1631" s="158" t="s">
        <v>235</v>
      </c>
    </row>
    <row r="1632" spans="4:11">
      <c r="D1632" s="158">
        <v>170573</v>
      </c>
      <c r="E1632" s="158">
        <v>11775</v>
      </c>
      <c r="F1632" s="158">
        <v>2123</v>
      </c>
      <c r="G1632" s="158">
        <v>6.4</v>
      </c>
      <c r="H1632" s="158">
        <v>3.5</v>
      </c>
      <c r="I1632" s="158">
        <v>0</v>
      </c>
      <c r="J1632" s="158">
        <v>3.5</v>
      </c>
      <c r="K1632" s="158" t="s">
        <v>235</v>
      </c>
    </row>
    <row r="1633" spans="4:11">
      <c r="D1633" s="158">
        <v>170574</v>
      </c>
      <c r="E1633" s="158">
        <v>10691</v>
      </c>
      <c r="F1633" s="158">
        <v>2123</v>
      </c>
      <c r="G1633" s="158">
        <v>2.5</v>
      </c>
      <c r="H1633" s="158">
        <v>2.25</v>
      </c>
      <c r="I1633" s="158">
        <v>0</v>
      </c>
      <c r="J1633" s="158">
        <v>2.25</v>
      </c>
      <c r="K1633" s="158" t="s">
        <v>235</v>
      </c>
    </row>
    <row r="1634" spans="4:11">
      <c r="D1634" s="158">
        <v>170576</v>
      </c>
      <c r="E1634" s="158">
        <v>10691</v>
      </c>
      <c r="F1634" s="158">
        <v>2301</v>
      </c>
      <c r="G1634" s="158">
        <v>11.6</v>
      </c>
      <c r="H1634" s="158">
        <v>0</v>
      </c>
      <c r="I1634" s="158">
        <v>0</v>
      </c>
      <c r="J1634" s="158">
        <v>0</v>
      </c>
      <c r="K1634" s="158" t="s">
        <v>235</v>
      </c>
    </row>
    <row r="1635" spans="4:11">
      <c r="D1635" s="158">
        <v>170577</v>
      </c>
      <c r="E1635" s="158">
        <v>10691</v>
      </c>
      <c r="F1635" s="158">
        <v>2123</v>
      </c>
      <c r="G1635" s="158">
        <v>3.5</v>
      </c>
      <c r="H1635" s="158">
        <v>3.25</v>
      </c>
      <c r="I1635" s="158">
        <v>0</v>
      </c>
      <c r="J1635" s="158">
        <v>3.25</v>
      </c>
      <c r="K1635" s="158" t="s">
        <v>235</v>
      </c>
    </row>
    <row r="1636" spans="4:11">
      <c r="D1636" s="158">
        <v>170578</v>
      </c>
      <c r="E1636" s="158">
        <v>10691</v>
      </c>
      <c r="F1636" s="158">
        <v>2142</v>
      </c>
      <c r="G1636" s="158">
        <v>4.8</v>
      </c>
      <c r="H1636" s="158">
        <v>0</v>
      </c>
      <c r="I1636" s="158">
        <v>4.8</v>
      </c>
      <c r="J1636" s="158">
        <v>4.8</v>
      </c>
      <c r="K1636" s="158" t="s">
        <v>235</v>
      </c>
    </row>
    <row r="1637" spans="4:11">
      <c r="D1637" s="158">
        <v>170579</v>
      </c>
      <c r="E1637" s="158">
        <v>10691</v>
      </c>
      <c r="F1637" s="158">
        <v>2123</v>
      </c>
      <c r="G1637" s="158">
        <v>5.6</v>
      </c>
      <c r="H1637" s="158">
        <v>0</v>
      </c>
      <c r="I1637" s="158">
        <v>0</v>
      </c>
      <c r="J1637" s="158">
        <v>0</v>
      </c>
      <c r="K1637" s="158" t="s">
        <v>235</v>
      </c>
    </row>
    <row r="1638" spans="4:11">
      <c r="D1638" s="158">
        <v>170580</v>
      </c>
      <c r="E1638" s="158">
        <v>10691</v>
      </c>
      <c r="F1638" s="158">
        <v>2123</v>
      </c>
      <c r="G1638" s="158">
        <v>1.7</v>
      </c>
      <c r="H1638" s="158">
        <v>2.25</v>
      </c>
      <c r="I1638" s="158">
        <v>0</v>
      </c>
      <c r="J1638" s="158">
        <v>2.25</v>
      </c>
      <c r="K1638" s="158" t="s">
        <v>235</v>
      </c>
    </row>
    <row r="1639" spans="4:11">
      <c r="D1639" s="158">
        <v>170581</v>
      </c>
      <c r="E1639" s="158">
        <v>10691</v>
      </c>
      <c r="F1639" s="158">
        <v>2123</v>
      </c>
      <c r="G1639" s="158">
        <v>8.9</v>
      </c>
      <c r="H1639" s="158">
        <v>8.25</v>
      </c>
      <c r="I1639" s="158">
        <v>0</v>
      </c>
      <c r="J1639" s="158">
        <v>8.25</v>
      </c>
      <c r="K1639" s="158" t="s">
        <v>235</v>
      </c>
    </row>
    <row r="1640" spans="4:11">
      <c r="D1640" s="158">
        <v>170582</v>
      </c>
      <c r="E1640" s="158">
        <v>11751</v>
      </c>
      <c r="F1640" s="158">
        <v>2204</v>
      </c>
      <c r="G1640" s="158">
        <v>4</v>
      </c>
      <c r="H1640" s="158">
        <v>0</v>
      </c>
      <c r="I1640" s="158">
        <v>4</v>
      </c>
      <c r="J1640" s="158">
        <v>4</v>
      </c>
      <c r="K1640" s="158" t="s">
        <v>235</v>
      </c>
    </row>
    <row r="1641" spans="4:11">
      <c r="D1641" s="158">
        <v>170583</v>
      </c>
      <c r="E1641" s="158">
        <v>11751</v>
      </c>
      <c r="F1641" s="158">
        <v>2301</v>
      </c>
      <c r="G1641" s="158">
        <v>4</v>
      </c>
      <c r="H1641" s="158">
        <v>0</v>
      </c>
      <c r="I1641" s="158">
        <v>4</v>
      </c>
      <c r="J1641" s="158">
        <v>4</v>
      </c>
      <c r="K1641" s="158" t="s">
        <v>235</v>
      </c>
    </row>
    <row r="1642" spans="4:11">
      <c r="D1642" s="158">
        <v>170584</v>
      </c>
      <c r="E1642" s="158">
        <v>11751</v>
      </c>
      <c r="F1642" s="158">
        <v>2204</v>
      </c>
      <c r="G1642" s="158">
        <v>2</v>
      </c>
      <c r="H1642" s="158">
        <v>0</v>
      </c>
      <c r="I1642" s="158">
        <v>0</v>
      </c>
      <c r="J1642" s="158">
        <v>0</v>
      </c>
      <c r="K1642" s="158" t="s">
        <v>235</v>
      </c>
    </row>
    <row r="1643" spans="4:11">
      <c r="D1643" s="158">
        <v>170586</v>
      </c>
      <c r="E1643" s="158">
        <v>11751</v>
      </c>
      <c r="F1643" s="158">
        <v>2204</v>
      </c>
      <c r="G1643" s="158">
        <v>12</v>
      </c>
      <c r="H1643" s="158">
        <v>0</v>
      </c>
      <c r="I1643" s="158">
        <v>0</v>
      </c>
      <c r="J1643" s="158">
        <v>0</v>
      </c>
      <c r="K1643" s="158" t="s">
        <v>235</v>
      </c>
    </row>
    <row r="1644" spans="4:11">
      <c r="D1644" s="158">
        <v>170587</v>
      </c>
      <c r="E1644" s="158">
        <v>11751</v>
      </c>
      <c r="F1644" s="158">
        <v>2174</v>
      </c>
      <c r="G1644" s="158">
        <v>12</v>
      </c>
      <c r="H1644" s="158">
        <v>0</v>
      </c>
      <c r="I1644" s="158">
        <v>0</v>
      </c>
      <c r="J1644" s="158">
        <v>0</v>
      </c>
      <c r="K1644" s="158" t="s">
        <v>235</v>
      </c>
    </row>
    <row r="1645" spans="4:11">
      <c r="D1645" s="158">
        <v>170590</v>
      </c>
      <c r="E1645" s="158">
        <v>11921</v>
      </c>
      <c r="F1645" s="158">
        <v>2188</v>
      </c>
      <c r="G1645" s="158">
        <v>1.5</v>
      </c>
      <c r="H1645" s="158">
        <v>1.5</v>
      </c>
      <c r="I1645" s="158">
        <v>0</v>
      </c>
      <c r="J1645" s="158">
        <v>1.5</v>
      </c>
      <c r="K1645" s="158" t="s">
        <v>235</v>
      </c>
    </row>
    <row r="1646" spans="4:11">
      <c r="D1646" s="158">
        <v>170591</v>
      </c>
      <c r="E1646" s="158">
        <v>11921</v>
      </c>
      <c r="F1646" s="158">
        <v>2188</v>
      </c>
      <c r="G1646" s="158">
        <v>4.3</v>
      </c>
      <c r="H1646" s="158">
        <v>3.75</v>
      </c>
      <c r="I1646" s="158">
        <v>0</v>
      </c>
      <c r="J1646" s="158">
        <v>3.75</v>
      </c>
      <c r="K1646" s="158" t="s">
        <v>235</v>
      </c>
    </row>
    <row r="1647" spans="4:11">
      <c r="D1647" s="158">
        <v>170593</v>
      </c>
      <c r="E1647" s="158">
        <v>11921</v>
      </c>
      <c r="F1647" s="158">
        <v>2188</v>
      </c>
      <c r="G1647" s="158">
        <v>24.9</v>
      </c>
      <c r="H1647" s="158">
        <v>3.75</v>
      </c>
      <c r="I1647" s="158">
        <v>0</v>
      </c>
      <c r="J1647" s="158">
        <v>3.75</v>
      </c>
      <c r="K1647" s="158" t="s">
        <v>235</v>
      </c>
    </row>
    <row r="1648" spans="4:11">
      <c r="D1648" s="158">
        <v>170594</v>
      </c>
      <c r="E1648" s="158">
        <v>11921</v>
      </c>
      <c r="F1648" s="158">
        <v>2188</v>
      </c>
      <c r="G1648" s="158">
        <v>12.75</v>
      </c>
      <c r="H1648" s="158">
        <v>12</v>
      </c>
      <c r="I1648" s="158">
        <v>0.75</v>
      </c>
      <c r="J1648" s="158">
        <v>12.75</v>
      </c>
      <c r="K1648" s="158" t="s">
        <v>235</v>
      </c>
    </row>
    <row r="1649" spans="4:11">
      <c r="D1649" s="158">
        <v>170595</v>
      </c>
      <c r="E1649" s="158">
        <v>11921</v>
      </c>
      <c r="F1649" s="158">
        <v>2188</v>
      </c>
      <c r="G1649" s="158">
        <v>7.8</v>
      </c>
      <c r="H1649" s="158">
        <v>5.75</v>
      </c>
      <c r="I1649" s="158">
        <v>1.05</v>
      </c>
      <c r="J1649" s="158">
        <v>6.8</v>
      </c>
      <c r="K1649" s="158" t="s">
        <v>235</v>
      </c>
    </row>
    <row r="1650" spans="4:11">
      <c r="D1650" s="158">
        <v>170596</v>
      </c>
      <c r="E1650" s="158">
        <v>10692</v>
      </c>
      <c r="F1650" s="158">
        <v>2188</v>
      </c>
      <c r="G1650" s="158">
        <v>4</v>
      </c>
      <c r="H1650" s="158">
        <v>2.25</v>
      </c>
      <c r="I1650" s="158">
        <v>1.75</v>
      </c>
      <c r="J1650" s="158">
        <v>4</v>
      </c>
      <c r="K1650" s="158" t="s">
        <v>235</v>
      </c>
    </row>
    <row r="1651" spans="4:11">
      <c r="D1651" s="158">
        <v>170597</v>
      </c>
      <c r="E1651" s="158">
        <v>11921</v>
      </c>
      <c r="F1651" s="158">
        <v>2362</v>
      </c>
      <c r="G1651" s="158">
        <v>3.2</v>
      </c>
      <c r="H1651" s="158">
        <v>2.15</v>
      </c>
      <c r="I1651" s="158">
        <v>1</v>
      </c>
      <c r="J1651" s="158">
        <v>3.15</v>
      </c>
      <c r="K1651" s="158" t="s">
        <v>235</v>
      </c>
    </row>
    <row r="1652" spans="4:11">
      <c r="D1652" s="158">
        <v>170598</v>
      </c>
      <c r="E1652" s="158">
        <v>10692</v>
      </c>
      <c r="F1652" s="158">
        <v>2188</v>
      </c>
      <c r="G1652" s="158">
        <v>24.9</v>
      </c>
      <c r="H1652" s="158">
        <v>4.75</v>
      </c>
      <c r="I1652" s="158">
        <v>3</v>
      </c>
      <c r="J1652" s="158">
        <v>7.75</v>
      </c>
      <c r="K1652" s="158" t="s">
        <v>235</v>
      </c>
    </row>
    <row r="1653" spans="4:11">
      <c r="D1653" s="158">
        <v>170599</v>
      </c>
      <c r="E1653" s="158">
        <v>10692</v>
      </c>
      <c r="F1653" s="158">
        <v>2174</v>
      </c>
      <c r="G1653" s="158">
        <v>39.9</v>
      </c>
      <c r="H1653" s="158">
        <v>0</v>
      </c>
      <c r="I1653" s="158">
        <v>0</v>
      </c>
      <c r="J1653" s="158">
        <v>0</v>
      </c>
      <c r="K1653" s="158" t="s">
        <v>235</v>
      </c>
    </row>
    <row r="1654" spans="4:11">
      <c r="D1654" s="158">
        <v>170602</v>
      </c>
      <c r="E1654" s="158">
        <v>11712</v>
      </c>
      <c r="F1654" s="158">
        <v>2123</v>
      </c>
      <c r="G1654" s="158">
        <v>2.5</v>
      </c>
      <c r="H1654" s="158">
        <v>1</v>
      </c>
      <c r="I1654" s="158">
        <v>0</v>
      </c>
      <c r="J1654" s="158">
        <v>1</v>
      </c>
      <c r="K1654" s="158" t="s">
        <v>235</v>
      </c>
    </row>
    <row r="1655" spans="4:11">
      <c r="D1655" s="158">
        <v>170604</v>
      </c>
      <c r="E1655" s="158">
        <v>11712</v>
      </c>
      <c r="F1655" s="158">
        <v>2123</v>
      </c>
      <c r="G1655" s="158">
        <v>4.0999999999999996</v>
      </c>
      <c r="H1655" s="158">
        <v>0</v>
      </c>
      <c r="I1655" s="158">
        <v>0</v>
      </c>
      <c r="J1655" s="158">
        <v>0</v>
      </c>
      <c r="K1655" s="158" t="s">
        <v>235</v>
      </c>
    </row>
    <row r="1656" spans="4:11">
      <c r="D1656" s="158">
        <v>170607</v>
      </c>
      <c r="E1656" s="158">
        <v>11712</v>
      </c>
      <c r="F1656" s="158">
        <v>2123</v>
      </c>
      <c r="G1656" s="158">
        <v>2.1</v>
      </c>
      <c r="H1656" s="158">
        <v>2</v>
      </c>
      <c r="I1656" s="158">
        <v>0</v>
      </c>
      <c r="J1656" s="158">
        <v>2</v>
      </c>
      <c r="K1656" s="158" t="s">
        <v>235</v>
      </c>
    </row>
    <row r="1657" spans="4:11">
      <c r="D1657" s="158">
        <v>170613</v>
      </c>
      <c r="E1657" s="158">
        <v>11711</v>
      </c>
      <c r="F1657" s="158">
        <v>2188</v>
      </c>
      <c r="G1657" s="158">
        <v>5.2</v>
      </c>
      <c r="H1657" s="158">
        <v>5.25</v>
      </c>
      <c r="I1657" s="158">
        <v>0</v>
      </c>
      <c r="J1657" s="158">
        <v>5.25</v>
      </c>
      <c r="K1657" s="158" t="s">
        <v>235</v>
      </c>
    </row>
    <row r="1658" spans="4:11">
      <c r="D1658" s="158">
        <v>170617</v>
      </c>
      <c r="E1658" s="158">
        <v>11953</v>
      </c>
      <c r="F1658" s="158">
        <v>2122</v>
      </c>
      <c r="G1658" s="158">
        <v>6.2</v>
      </c>
      <c r="H1658" s="158">
        <v>4</v>
      </c>
      <c r="I1658" s="158">
        <v>0</v>
      </c>
      <c r="J1658" s="158">
        <v>4</v>
      </c>
      <c r="K1658" s="158" t="s">
        <v>235</v>
      </c>
    </row>
    <row r="1659" spans="4:11">
      <c r="D1659" s="158">
        <v>170618</v>
      </c>
      <c r="E1659" s="158">
        <v>10689</v>
      </c>
      <c r="F1659" s="158">
        <v>2120</v>
      </c>
      <c r="G1659" s="158">
        <v>2.1</v>
      </c>
      <c r="H1659" s="158">
        <v>1.05</v>
      </c>
      <c r="I1659" s="158">
        <v>1.05</v>
      </c>
      <c r="J1659" s="158">
        <v>2.1</v>
      </c>
      <c r="K1659" s="158" t="s">
        <v>235</v>
      </c>
    </row>
    <row r="1660" spans="4:11">
      <c r="D1660" s="158">
        <v>170619</v>
      </c>
      <c r="E1660" s="158">
        <v>10720</v>
      </c>
      <c r="F1660" s="158">
        <v>2175</v>
      </c>
      <c r="G1660" s="158">
        <v>9.3000000000000007</v>
      </c>
      <c r="H1660" s="158">
        <v>0</v>
      </c>
      <c r="I1660" s="158">
        <v>0</v>
      </c>
      <c r="J1660" s="158">
        <v>0</v>
      </c>
      <c r="K1660" s="158" t="s">
        <v>235</v>
      </c>
    </row>
    <row r="1661" spans="4:11">
      <c r="D1661" s="158">
        <v>170620</v>
      </c>
      <c r="E1661" s="158">
        <v>10689</v>
      </c>
      <c r="F1661" s="158">
        <v>2123</v>
      </c>
      <c r="G1661" s="158">
        <v>7.9</v>
      </c>
      <c r="H1661" s="158">
        <v>3.5</v>
      </c>
      <c r="I1661" s="158">
        <v>4.4000000000000004</v>
      </c>
      <c r="J1661" s="158">
        <v>7.9</v>
      </c>
      <c r="K1661" s="158" t="s">
        <v>235</v>
      </c>
    </row>
    <row r="1662" spans="4:11">
      <c r="D1662" s="158">
        <v>170621</v>
      </c>
      <c r="E1662" s="158">
        <v>11713</v>
      </c>
      <c r="F1662" s="158">
        <v>2120</v>
      </c>
      <c r="G1662" s="158">
        <v>4.0999999999999996</v>
      </c>
      <c r="H1662" s="158">
        <v>0.1</v>
      </c>
      <c r="I1662" s="158">
        <v>4</v>
      </c>
      <c r="J1662" s="158">
        <v>4.0999999999999996</v>
      </c>
      <c r="K1662" s="158" t="s">
        <v>235</v>
      </c>
    </row>
    <row r="1663" spans="4:11">
      <c r="D1663" s="158">
        <v>170622</v>
      </c>
      <c r="E1663" s="158">
        <v>11713</v>
      </c>
      <c r="F1663" s="158">
        <v>2120</v>
      </c>
      <c r="G1663" s="158">
        <v>4.0999999999999996</v>
      </c>
      <c r="H1663" s="158">
        <v>1.4</v>
      </c>
      <c r="I1663" s="158">
        <v>2.7</v>
      </c>
      <c r="J1663" s="158">
        <v>4.0999999999999996</v>
      </c>
      <c r="K1663" s="158" t="s">
        <v>235</v>
      </c>
    </row>
    <row r="1664" spans="4:11">
      <c r="D1664" s="158">
        <v>170623</v>
      </c>
      <c r="E1664" s="158">
        <v>11713</v>
      </c>
      <c r="F1664" s="158">
        <v>2123</v>
      </c>
      <c r="G1664" s="158">
        <v>2.5</v>
      </c>
      <c r="H1664" s="158">
        <v>1.5</v>
      </c>
      <c r="I1664" s="158">
        <v>1</v>
      </c>
      <c r="J1664" s="158">
        <v>2.5</v>
      </c>
      <c r="K1664" s="158" t="s">
        <v>235</v>
      </c>
    </row>
    <row r="1665" spans="4:11">
      <c r="D1665" s="158">
        <v>170624</v>
      </c>
      <c r="E1665" s="158">
        <v>10693</v>
      </c>
      <c r="F1665" s="158">
        <v>1795</v>
      </c>
      <c r="G1665" s="158">
        <v>1.1000000000000001</v>
      </c>
      <c r="H1665" s="158">
        <v>3</v>
      </c>
      <c r="I1665" s="158">
        <v>0</v>
      </c>
      <c r="J1665" s="158">
        <v>3</v>
      </c>
      <c r="K1665" s="158" t="s">
        <v>235</v>
      </c>
    </row>
    <row r="1666" spans="4:11">
      <c r="D1666" s="158">
        <v>170625</v>
      </c>
      <c r="E1666" s="158">
        <v>10693</v>
      </c>
      <c r="F1666" s="158">
        <v>1795</v>
      </c>
      <c r="G1666" s="158">
        <v>3</v>
      </c>
      <c r="H1666" s="158">
        <v>4.5999999999999996</v>
      </c>
      <c r="I1666" s="158">
        <v>0</v>
      </c>
      <c r="J1666" s="158">
        <v>4.5999999999999996</v>
      </c>
      <c r="K1666" s="158" t="s">
        <v>235</v>
      </c>
    </row>
    <row r="1667" spans="4:11">
      <c r="D1667" s="158">
        <v>170626</v>
      </c>
      <c r="E1667" s="158">
        <v>10693</v>
      </c>
      <c r="F1667" s="158">
        <v>1795</v>
      </c>
      <c r="G1667" s="158">
        <v>0.85</v>
      </c>
      <c r="H1667" s="158">
        <v>1</v>
      </c>
      <c r="I1667" s="158">
        <v>0</v>
      </c>
      <c r="J1667" s="158">
        <v>1</v>
      </c>
      <c r="K1667" s="158" t="s">
        <v>235</v>
      </c>
    </row>
    <row r="1668" spans="4:11">
      <c r="D1668" s="158">
        <v>170629</v>
      </c>
      <c r="E1668" s="158">
        <v>10695</v>
      </c>
      <c r="F1668" s="158">
        <v>2188</v>
      </c>
      <c r="G1668" s="158">
        <v>7.8</v>
      </c>
      <c r="H1668" s="158">
        <v>0</v>
      </c>
      <c r="I1668" s="158">
        <v>0</v>
      </c>
      <c r="J1668" s="158">
        <v>0</v>
      </c>
      <c r="K1668" s="158" t="s">
        <v>235</v>
      </c>
    </row>
    <row r="1669" spans="4:11">
      <c r="D1669" s="158">
        <v>170630</v>
      </c>
      <c r="E1669" s="158">
        <v>11951</v>
      </c>
      <c r="F1669" s="158">
        <v>2188</v>
      </c>
      <c r="G1669" s="158">
        <v>5</v>
      </c>
      <c r="H1669" s="158">
        <v>5</v>
      </c>
      <c r="I1669" s="158">
        <v>0</v>
      </c>
      <c r="J1669" s="158">
        <v>5</v>
      </c>
      <c r="K1669" s="158" t="s">
        <v>235</v>
      </c>
    </row>
    <row r="1670" spans="4:11">
      <c r="D1670" s="158">
        <v>170631</v>
      </c>
      <c r="E1670" s="158">
        <v>11951</v>
      </c>
      <c r="F1670" s="158">
        <v>2188</v>
      </c>
      <c r="G1670" s="158">
        <v>6.75</v>
      </c>
      <c r="H1670" s="158">
        <v>6.75</v>
      </c>
      <c r="I1670" s="158">
        <v>0</v>
      </c>
      <c r="J1670" s="158">
        <v>6.75</v>
      </c>
      <c r="K1670" s="158" t="s">
        <v>235</v>
      </c>
    </row>
    <row r="1671" spans="4:11">
      <c r="D1671" s="158">
        <v>170632</v>
      </c>
      <c r="E1671" s="158">
        <v>11780</v>
      </c>
      <c r="F1671" s="158">
        <v>300</v>
      </c>
      <c r="G1671" s="158">
        <v>8.3000000000000007</v>
      </c>
      <c r="H1671" s="158">
        <v>21.5</v>
      </c>
      <c r="I1671" s="158">
        <v>0</v>
      </c>
      <c r="J1671" s="158">
        <v>21.5</v>
      </c>
      <c r="K1671" s="158" t="s">
        <v>235</v>
      </c>
    </row>
    <row r="1672" spans="4:11">
      <c r="D1672" s="158">
        <v>170633</v>
      </c>
      <c r="E1672" s="158">
        <v>11780</v>
      </c>
      <c r="F1672" s="158">
        <v>1999</v>
      </c>
      <c r="G1672" s="158">
        <v>8.3000000000000007</v>
      </c>
      <c r="H1672" s="158">
        <v>9.8000000000000007</v>
      </c>
      <c r="I1672" s="158">
        <v>0</v>
      </c>
      <c r="J1672" s="158">
        <v>9.8000000000000007</v>
      </c>
      <c r="K1672" s="158" t="s">
        <v>235</v>
      </c>
    </row>
    <row r="1673" spans="4:11">
      <c r="D1673" s="158">
        <v>170634</v>
      </c>
      <c r="E1673" s="158">
        <v>11780</v>
      </c>
      <c r="F1673" s="158">
        <v>1999</v>
      </c>
      <c r="G1673" s="158">
        <v>12</v>
      </c>
      <c r="H1673" s="158">
        <v>13.1</v>
      </c>
      <c r="I1673" s="158">
        <v>0</v>
      </c>
      <c r="J1673" s="158">
        <v>13.1</v>
      </c>
      <c r="K1673" s="158" t="s">
        <v>235</v>
      </c>
    </row>
    <row r="1674" spans="4:11">
      <c r="D1674" s="158">
        <v>170635</v>
      </c>
      <c r="E1674" s="158">
        <v>11780</v>
      </c>
      <c r="F1674" s="158">
        <v>1999</v>
      </c>
      <c r="G1674" s="158">
        <v>12.8</v>
      </c>
      <c r="H1674" s="158">
        <v>12.8</v>
      </c>
      <c r="I1674" s="158">
        <v>0</v>
      </c>
      <c r="J1674" s="158">
        <v>12.8</v>
      </c>
      <c r="K1674" s="158" t="s">
        <v>235</v>
      </c>
    </row>
    <row r="1675" spans="4:11">
      <c r="D1675" s="158">
        <v>170636</v>
      </c>
      <c r="E1675" s="158">
        <v>11780</v>
      </c>
      <c r="F1675" s="158">
        <v>2184</v>
      </c>
      <c r="G1675" s="158">
        <v>1.85</v>
      </c>
      <c r="H1675" s="158">
        <v>1.75</v>
      </c>
      <c r="I1675" s="158">
        <v>0.1</v>
      </c>
      <c r="J1675" s="158">
        <v>1.85</v>
      </c>
      <c r="K1675" s="158" t="s">
        <v>235</v>
      </c>
    </row>
    <row r="1676" spans="4:11">
      <c r="D1676" s="158">
        <v>170649</v>
      </c>
      <c r="E1676" s="158">
        <v>11741</v>
      </c>
      <c r="F1676" s="158">
        <v>300</v>
      </c>
      <c r="G1676" s="158">
        <v>2.5</v>
      </c>
      <c r="H1676" s="158">
        <v>2.5</v>
      </c>
      <c r="I1676" s="158">
        <v>0</v>
      </c>
      <c r="J1676" s="158">
        <v>2.5</v>
      </c>
      <c r="K1676" s="158" t="s">
        <v>235</v>
      </c>
    </row>
    <row r="1677" spans="4:11">
      <c r="D1677" s="158">
        <v>170651</v>
      </c>
      <c r="E1677" s="158">
        <v>11741</v>
      </c>
      <c r="F1677" s="158">
        <v>2181</v>
      </c>
      <c r="G1677" s="158">
        <v>5</v>
      </c>
      <c r="H1677" s="158">
        <v>12.4</v>
      </c>
      <c r="I1677" s="158">
        <v>0</v>
      </c>
      <c r="J1677" s="158">
        <v>12.4</v>
      </c>
      <c r="K1677" s="158" t="s">
        <v>235</v>
      </c>
    </row>
    <row r="1678" spans="4:11">
      <c r="D1678" s="158">
        <v>170652</v>
      </c>
      <c r="E1678" s="158">
        <v>11741</v>
      </c>
      <c r="F1678" s="158">
        <v>2142</v>
      </c>
      <c r="G1678" s="158">
        <v>4.2</v>
      </c>
      <c r="H1678" s="158">
        <v>1.5</v>
      </c>
      <c r="I1678" s="158">
        <v>0</v>
      </c>
      <c r="J1678" s="158">
        <v>1.5</v>
      </c>
      <c r="K1678" s="158" t="s">
        <v>235</v>
      </c>
    </row>
    <row r="1679" spans="4:11">
      <c r="D1679" s="158">
        <v>170653</v>
      </c>
      <c r="E1679" s="158">
        <v>11741</v>
      </c>
      <c r="F1679" s="158">
        <v>2142</v>
      </c>
      <c r="G1679" s="158">
        <v>1.5</v>
      </c>
      <c r="H1679" s="158">
        <v>2.5</v>
      </c>
      <c r="I1679" s="158">
        <v>0</v>
      </c>
      <c r="J1679" s="158">
        <v>2.5</v>
      </c>
      <c r="K1679" s="158" t="s">
        <v>235</v>
      </c>
    </row>
    <row r="1680" spans="4:11">
      <c r="D1680" s="158">
        <v>170654</v>
      </c>
      <c r="E1680" s="158">
        <v>11741</v>
      </c>
      <c r="F1680" s="158">
        <v>2181</v>
      </c>
      <c r="G1680" s="158">
        <v>0.55000000000000004</v>
      </c>
      <c r="H1680" s="158">
        <v>0.1</v>
      </c>
      <c r="I1680" s="158">
        <v>0.45</v>
      </c>
      <c r="J1680" s="158">
        <v>0.55000000000000004</v>
      </c>
      <c r="K1680" s="158" t="s">
        <v>235</v>
      </c>
    </row>
    <row r="1681" spans="4:11">
      <c r="D1681" s="158">
        <v>170655</v>
      </c>
      <c r="E1681" s="158">
        <v>11744</v>
      </c>
      <c r="F1681" s="158">
        <v>2302</v>
      </c>
      <c r="G1681" s="158">
        <v>8.3000000000000007</v>
      </c>
      <c r="H1681" s="158">
        <v>0</v>
      </c>
      <c r="I1681" s="158">
        <v>0</v>
      </c>
      <c r="J1681" s="158">
        <v>0</v>
      </c>
      <c r="K1681" s="158" t="s">
        <v>235</v>
      </c>
    </row>
    <row r="1682" spans="4:11">
      <c r="D1682" s="158">
        <v>170656</v>
      </c>
      <c r="E1682" s="158">
        <v>11744</v>
      </c>
      <c r="F1682" s="158">
        <v>2302</v>
      </c>
      <c r="G1682" s="158">
        <v>8.3000000000000007</v>
      </c>
      <c r="H1682" s="158">
        <v>0</v>
      </c>
      <c r="I1682" s="158">
        <v>0</v>
      </c>
      <c r="J1682" s="158">
        <v>0</v>
      </c>
      <c r="K1682" s="158" t="s">
        <v>235</v>
      </c>
    </row>
    <row r="1683" spans="4:11">
      <c r="D1683" s="158">
        <v>170657</v>
      </c>
      <c r="E1683" s="158">
        <v>11744</v>
      </c>
      <c r="F1683" s="158">
        <v>2302</v>
      </c>
      <c r="G1683" s="158">
        <v>5</v>
      </c>
      <c r="H1683" s="158">
        <v>0</v>
      </c>
      <c r="I1683" s="158">
        <v>0</v>
      </c>
      <c r="J1683" s="158">
        <v>0</v>
      </c>
      <c r="K1683" s="158" t="s">
        <v>235</v>
      </c>
    </row>
    <row r="1684" spans="4:11">
      <c r="D1684" s="158">
        <v>170658</v>
      </c>
      <c r="E1684" s="158">
        <v>11744</v>
      </c>
      <c r="F1684" s="158">
        <v>2302</v>
      </c>
      <c r="G1684" s="158">
        <v>15.5</v>
      </c>
      <c r="H1684" s="158">
        <v>0</v>
      </c>
      <c r="I1684" s="158">
        <v>0</v>
      </c>
      <c r="J1684" s="158">
        <v>0</v>
      </c>
      <c r="K1684" s="158" t="s">
        <v>235</v>
      </c>
    </row>
    <row r="1685" spans="4:11">
      <c r="D1685" s="158">
        <v>170659</v>
      </c>
      <c r="E1685" s="158">
        <v>11744</v>
      </c>
      <c r="F1685" s="158">
        <v>2302</v>
      </c>
      <c r="G1685" s="158">
        <v>7.8</v>
      </c>
      <c r="H1685" s="158">
        <v>0</v>
      </c>
      <c r="I1685" s="158">
        <v>0</v>
      </c>
      <c r="J1685" s="158">
        <v>0</v>
      </c>
      <c r="K1685" s="158" t="s">
        <v>235</v>
      </c>
    </row>
    <row r="1686" spans="4:11">
      <c r="D1686" s="158">
        <v>170660</v>
      </c>
      <c r="E1686" s="158">
        <v>11744</v>
      </c>
      <c r="F1686" s="158">
        <v>2302</v>
      </c>
      <c r="G1686" s="158">
        <v>2.1</v>
      </c>
      <c r="H1686" s="158">
        <v>0</v>
      </c>
      <c r="I1686" s="158">
        <v>0</v>
      </c>
      <c r="J1686" s="158">
        <v>0</v>
      </c>
      <c r="K1686" s="158" t="s">
        <v>235</v>
      </c>
    </row>
    <row r="1687" spans="4:11">
      <c r="D1687" s="158">
        <v>170662</v>
      </c>
      <c r="E1687" s="158">
        <v>11742</v>
      </c>
      <c r="F1687" s="158">
        <v>300</v>
      </c>
      <c r="G1687" s="158">
        <v>4.0999999999999996</v>
      </c>
      <c r="H1687" s="158">
        <v>0</v>
      </c>
      <c r="I1687" s="158">
        <v>4.0999999999999996</v>
      </c>
      <c r="J1687" s="158">
        <v>4.0999999999999996</v>
      </c>
      <c r="K1687" s="158" t="s">
        <v>235</v>
      </c>
    </row>
    <row r="1688" spans="4:11">
      <c r="D1688" s="158">
        <v>170663</v>
      </c>
      <c r="E1688" s="158">
        <v>11742</v>
      </c>
      <c r="F1688" s="158">
        <v>2181</v>
      </c>
      <c r="G1688" s="158">
        <v>5</v>
      </c>
      <c r="H1688" s="158">
        <v>2.2000000000000002</v>
      </c>
      <c r="I1688" s="158">
        <v>2.8</v>
      </c>
      <c r="J1688" s="158">
        <v>5</v>
      </c>
      <c r="K1688" s="158" t="s">
        <v>235</v>
      </c>
    </row>
    <row r="1689" spans="4:11">
      <c r="D1689" s="158">
        <v>170664</v>
      </c>
      <c r="E1689" s="158">
        <v>11742</v>
      </c>
      <c r="F1689" s="158">
        <v>300</v>
      </c>
      <c r="G1689" s="158">
        <v>3.1</v>
      </c>
      <c r="H1689" s="158">
        <v>1</v>
      </c>
      <c r="I1689" s="158">
        <v>2.1</v>
      </c>
      <c r="J1689" s="158">
        <v>3.1</v>
      </c>
      <c r="K1689" s="158" t="s">
        <v>235</v>
      </c>
    </row>
    <row r="1690" spans="4:11">
      <c r="D1690" s="158">
        <v>170665</v>
      </c>
      <c r="E1690" s="158">
        <v>11742</v>
      </c>
      <c r="F1690" s="158">
        <v>2181</v>
      </c>
      <c r="G1690" s="158">
        <v>2.5</v>
      </c>
      <c r="H1690" s="158">
        <v>0</v>
      </c>
      <c r="I1690" s="158">
        <v>2.5</v>
      </c>
      <c r="J1690" s="158">
        <v>2.5</v>
      </c>
      <c r="K1690" s="158" t="s">
        <v>235</v>
      </c>
    </row>
    <row r="1691" spans="4:11">
      <c r="D1691" s="158">
        <v>170666</v>
      </c>
      <c r="E1691" s="158">
        <v>11742</v>
      </c>
      <c r="F1691" s="158">
        <v>2302</v>
      </c>
      <c r="G1691" s="158">
        <v>0.8</v>
      </c>
      <c r="H1691" s="158">
        <v>0</v>
      </c>
      <c r="I1691" s="158">
        <v>0</v>
      </c>
      <c r="J1691" s="158">
        <v>0</v>
      </c>
      <c r="K1691" s="158" t="s">
        <v>235</v>
      </c>
    </row>
    <row r="1692" spans="4:11">
      <c r="D1692" s="158">
        <v>170667</v>
      </c>
      <c r="E1692" s="158">
        <v>11743</v>
      </c>
      <c r="F1692" s="158">
        <v>300</v>
      </c>
      <c r="G1692" s="158">
        <v>2.1</v>
      </c>
      <c r="H1692" s="158">
        <v>0</v>
      </c>
      <c r="I1692" s="158">
        <v>2.1</v>
      </c>
      <c r="J1692" s="158">
        <v>2.1</v>
      </c>
      <c r="K1692" s="158" t="s">
        <v>235</v>
      </c>
    </row>
    <row r="1693" spans="4:11">
      <c r="D1693" s="158">
        <v>170668</v>
      </c>
      <c r="E1693" s="158">
        <v>11743</v>
      </c>
      <c r="F1693" s="158">
        <v>300</v>
      </c>
      <c r="G1693" s="158">
        <v>4</v>
      </c>
      <c r="H1693" s="158">
        <v>4.5</v>
      </c>
      <c r="I1693" s="158">
        <v>0</v>
      </c>
      <c r="J1693" s="158">
        <v>4.5</v>
      </c>
      <c r="K1693" s="158" t="s">
        <v>235</v>
      </c>
    </row>
    <row r="1694" spans="4:11">
      <c r="D1694" s="158">
        <v>170669</v>
      </c>
      <c r="E1694" s="158">
        <v>11743</v>
      </c>
      <c r="F1694" s="158">
        <v>2181</v>
      </c>
      <c r="G1694" s="158">
        <v>5</v>
      </c>
      <c r="H1694" s="158">
        <v>1.9</v>
      </c>
      <c r="I1694" s="158">
        <v>3.1</v>
      </c>
      <c r="J1694" s="158">
        <v>5</v>
      </c>
      <c r="K1694" s="158" t="s">
        <v>235</v>
      </c>
    </row>
    <row r="1695" spans="4:11">
      <c r="D1695" s="158">
        <v>170670</v>
      </c>
      <c r="E1695" s="158">
        <v>11743</v>
      </c>
      <c r="F1695" s="158">
        <v>300</v>
      </c>
      <c r="G1695" s="158">
        <v>3.1</v>
      </c>
      <c r="H1695" s="158">
        <v>0</v>
      </c>
      <c r="I1695" s="158">
        <v>3.1</v>
      </c>
      <c r="J1695" s="158">
        <v>3.1</v>
      </c>
      <c r="K1695" s="158" t="s">
        <v>235</v>
      </c>
    </row>
    <row r="1696" spans="4:11">
      <c r="D1696" s="158">
        <v>170671</v>
      </c>
      <c r="E1696" s="158">
        <v>11743</v>
      </c>
      <c r="F1696" s="158">
        <v>2181</v>
      </c>
      <c r="G1696" s="158">
        <v>1.5</v>
      </c>
      <c r="H1696" s="158">
        <v>0</v>
      </c>
      <c r="I1696" s="158">
        <v>1.5</v>
      </c>
      <c r="J1696" s="158">
        <v>1.5</v>
      </c>
      <c r="K1696" s="158" t="s">
        <v>235</v>
      </c>
    </row>
    <row r="1697" spans="4:11">
      <c r="D1697" s="158">
        <v>170672</v>
      </c>
      <c r="E1697" s="158">
        <v>11743</v>
      </c>
      <c r="F1697" s="158">
        <v>2181</v>
      </c>
      <c r="G1697" s="158">
        <v>0.6</v>
      </c>
      <c r="H1697" s="158">
        <v>0.6</v>
      </c>
      <c r="I1697" s="158">
        <v>0</v>
      </c>
      <c r="J1697" s="158">
        <v>0.6</v>
      </c>
      <c r="K1697" s="158" t="s">
        <v>235</v>
      </c>
    </row>
    <row r="1698" spans="4:11">
      <c r="D1698" s="158">
        <v>170673</v>
      </c>
      <c r="E1698" s="158">
        <v>11747</v>
      </c>
      <c r="F1698" s="158">
        <v>1795</v>
      </c>
      <c r="G1698" s="158">
        <v>6.2</v>
      </c>
      <c r="H1698" s="158">
        <v>8.1999999999999993</v>
      </c>
      <c r="I1698" s="158">
        <v>0</v>
      </c>
      <c r="J1698" s="158">
        <v>8.1999999999999993</v>
      </c>
      <c r="K1698" s="158" t="s">
        <v>235</v>
      </c>
    </row>
    <row r="1699" spans="4:11">
      <c r="D1699" s="158">
        <v>170674</v>
      </c>
      <c r="E1699" s="158">
        <v>11747</v>
      </c>
      <c r="F1699" s="158">
        <v>1795</v>
      </c>
      <c r="G1699" s="158">
        <v>1.6</v>
      </c>
      <c r="H1699" s="158">
        <v>1.1000000000000001</v>
      </c>
      <c r="I1699" s="158">
        <v>0</v>
      </c>
      <c r="J1699" s="158">
        <v>1.1000000000000001</v>
      </c>
      <c r="K1699" s="158" t="s">
        <v>235</v>
      </c>
    </row>
    <row r="1700" spans="4:11">
      <c r="D1700" s="158">
        <v>170675</v>
      </c>
      <c r="E1700" s="158">
        <v>11747</v>
      </c>
      <c r="F1700" s="158">
        <v>1795</v>
      </c>
      <c r="G1700" s="158">
        <v>4</v>
      </c>
      <c r="H1700" s="158">
        <v>2.4500000000000002</v>
      </c>
      <c r="I1700" s="158">
        <v>0</v>
      </c>
      <c r="J1700" s="158">
        <v>2.4500000000000002</v>
      </c>
      <c r="K1700" s="158" t="s">
        <v>235</v>
      </c>
    </row>
    <row r="1701" spans="4:11">
      <c r="D1701" s="158">
        <v>170676</v>
      </c>
      <c r="E1701" s="158">
        <v>11747</v>
      </c>
      <c r="F1701" s="158">
        <v>1795</v>
      </c>
      <c r="G1701" s="158">
        <v>12.5</v>
      </c>
      <c r="H1701" s="158">
        <v>10</v>
      </c>
      <c r="I1701" s="158">
        <v>0</v>
      </c>
      <c r="J1701" s="158">
        <v>10</v>
      </c>
      <c r="K1701" s="158" t="s">
        <v>235</v>
      </c>
    </row>
    <row r="1702" spans="4:11">
      <c r="D1702" s="158">
        <v>170677</v>
      </c>
      <c r="E1702" s="158">
        <v>11747</v>
      </c>
      <c r="F1702" s="158">
        <v>1795</v>
      </c>
      <c r="G1702" s="158">
        <v>5.3</v>
      </c>
      <c r="H1702" s="158">
        <v>8.35</v>
      </c>
      <c r="I1702" s="158">
        <v>0</v>
      </c>
      <c r="J1702" s="158">
        <v>8.35</v>
      </c>
      <c r="K1702" s="158" t="s">
        <v>235</v>
      </c>
    </row>
    <row r="1703" spans="4:11">
      <c r="D1703" s="158">
        <v>170678</v>
      </c>
      <c r="E1703" s="158">
        <v>11747</v>
      </c>
      <c r="F1703" s="158">
        <v>1795</v>
      </c>
      <c r="G1703" s="158">
        <v>5.0999999999999996</v>
      </c>
      <c r="H1703" s="158">
        <v>13.15</v>
      </c>
      <c r="I1703" s="158">
        <v>0</v>
      </c>
      <c r="J1703" s="158">
        <v>13.15</v>
      </c>
      <c r="K1703" s="158" t="s">
        <v>235</v>
      </c>
    </row>
    <row r="1704" spans="4:11">
      <c r="D1704" s="158">
        <v>170679</v>
      </c>
      <c r="E1704" s="158">
        <v>11748</v>
      </c>
      <c r="F1704" s="158">
        <v>2120</v>
      </c>
      <c r="G1704" s="158">
        <v>2.25</v>
      </c>
      <c r="H1704" s="158">
        <v>3</v>
      </c>
      <c r="I1704" s="158">
        <v>0</v>
      </c>
      <c r="J1704" s="158">
        <v>3</v>
      </c>
      <c r="K1704" s="158" t="s">
        <v>235</v>
      </c>
    </row>
    <row r="1705" spans="4:11">
      <c r="D1705" s="158">
        <v>170680</v>
      </c>
      <c r="E1705" s="158">
        <v>11748</v>
      </c>
      <c r="F1705" s="158">
        <v>2184</v>
      </c>
      <c r="G1705" s="158">
        <v>4.0999999999999996</v>
      </c>
      <c r="H1705" s="158">
        <v>0.5</v>
      </c>
      <c r="I1705" s="158">
        <v>0</v>
      </c>
      <c r="J1705" s="158">
        <v>0.5</v>
      </c>
      <c r="K1705" s="158" t="s">
        <v>235</v>
      </c>
    </row>
    <row r="1706" spans="4:11">
      <c r="D1706" s="158">
        <v>170685</v>
      </c>
      <c r="E1706" s="158">
        <v>11749</v>
      </c>
      <c r="F1706" s="158">
        <v>2120</v>
      </c>
      <c r="G1706" s="158">
        <v>3.3</v>
      </c>
      <c r="H1706" s="158">
        <v>4</v>
      </c>
      <c r="I1706" s="158">
        <v>0</v>
      </c>
      <c r="J1706" s="158">
        <v>4</v>
      </c>
      <c r="K1706" s="158" t="s">
        <v>235</v>
      </c>
    </row>
    <row r="1707" spans="4:11">
      <c r="D1707" s="158">
        <v>170686</v>
      </c>
      <c r="E1707" s="158">
        <v>11749</v>
      </c>
      <c r="F1707" s="158">
        <v>2184</v>
      </c>
      <c r="G1707" s="158">
        <v>2.1</v>
      </c>
      <c r="H1707" s="158">
        <v>2</v>
      </c>
      <c r="I1707" s="158">
        <v>0</v>
      </c>
      <c r="J1707" s="158">
        <v>2</v>
      </c>
      <c r="K1707" s="158" t="s">
        <v>235</v>
      </c>
    </row>
    <row r="1708" spans="4:11">
      <c r="D1708" s="158">
        <v>170687</v>
      </c>
      <c r="E1708" s="158">
        <v>11749</v>
      </c>
      <c r="F1708" s="158">
        <v>2184</v>
      </c>
      <c r="G1708" s="158">
        <v>15.5</v>
      </c>
      <c r="H1708" s="158">
        <v>11</v>
      </c>
      <c r="I1708" s="158">
        <v>0</v>
      </c>
      <c r="J1708" s="158">
        <v>11</v>
      </c>
      <c r="K1708" s="158" t="s">
        <v>235</v>
      </c>
    </row>
    <row r="1709" spans="4:11">
      <c r="D1709" s="158">
        <v>170688</v>
      </c>
      <c r="E1709" s="158">
        <v>11749</v>
      </c>
      <c r="F1709" s="158">
        <v>2184</v>
      </c>
      <c r="G1709" s="158">
        <v>7.8</v>
      </c>
      <c r="H1709" s="158">
        <v>6</v>
      </c>
      <c r="I1709" s="158">
        <v>0</v>
      </c>
      <c r="J1709" s="158">
        <v>6</v>
      </c>
      <c r="K1709" s="158" t="s">
        <v>235</v>
      </c>
    </row>
    <row r="1710" spans="4:11">
      <c r="D1710" s="158">
        <v>170689</v>
      </c>
      <c r="E1710" s="158">
        <v>11749</v>
      </c>
      <c r="F1710" s="158">
        <v>2184</v>
      </c>
      <c r="G1710" s="158">
        <v>1.9</v>
      </c>
      <c r="H1710" s="158">
        <v>3</v>
      </c>
      <c r="I1710" s="158">
        <v>0</v>
      </c>
      <c r="J1710" s="158">
        <v>3</v>
      </c>
      <c r="K1710" s="158" t="s">
        <v>235</v>
      </c>
    </row>
    <row r="1711" spans="4:11">
      <c r="D1711" s="158">
        <v>170690</v>
      </c>
      <c r="E1711" s="158">
        <v>11746</v>
      </c>
      <c r="F1711" s="158">
        <v>1795</v>
      </c>
      <c r="G1711" s="158">
        <v>5.8</v>
      </c>
      <c r="H1711" s="158">
        <v>5.75</v>
      </c>
      <c r="I1711" s="158">
        <v>0</v>
      </c>
      <c r="J1711" s="158">
        <v>5.75</v>
      </c>
      <c r="K1711" s="158" t="s">
        <v>235</v>
      </c>
    </row>
    <row r="1712" spans="4:11">
      <c r="D1712" s="158">
        <v>170691</v>
      </c>
      <c r="E1712" s="158">
        <v>11746</v>
      </c>
      <c r="F1712" s="158">
        <v>1795</v>
      </c>
      <c r="G1712" s="158">
        <v>3.7</v>
      </c>
      <c r="H1712" s="158">
        <v>8.5</v>
      </c>
      <c r="I1712" s="158">
        <v>0</v>
      </c>
      <c r="J1712" s="158">
        <v>8.5</v>
      </c>
      <c r="K1712" s="158" t="s">
        <v>235</v>
      </c>
    </row>
    <row r="1713" spans="4:11">
      <c r="D1713" s="158">
        <v>170692</v>
      </c>
      <c r="E1713" s="158">
        <v>11746</v>
      </c>
      <c r="F1713" s="158">
        <v>1795</v>
      </c>
      <c r="G1713" s="158">
        <v>3.5</v>
      </c>
      <c r="H1713" s="158">
        <v>7.45</v>
      </c>
      <c r="I1713" s="158">
        <v>0</v>
      </c>
      <c r="J1713" s="158">
        <v>7.45</v>
      </c>
      <c r="K1713" s="158" t="s">
        <v>235</v>
      </c>
    </row>
    <row r="1714" spans="4:11">
      <c r="D1714" s="158">
        <v>170693</v>
      </c>
      <c r="E1714" s="158">
        <v>11746</v>
      </c>
      <c r="F1714" s="158">
        <v>1795</v>
      </c>
      <c r="G1714" s="158">
        <v>10.9</v>
      </c>
      <c r="H1714" s="158">
        <v>12.6</v>
      </c>
      <c r="I1714" s="158">
        <v>0</v>
      </c>
      <c r="J1714" s="158">
        <v>12.6</v>
      </c>
      <c r="K1714" s="158" t="s">
        <v>235</v>
      </c>
    </row>
    <row r="1715" spans="4:11">
      <c r="D1715" s="158">
        <v>170694</v>
      </c>
      <c r="E1715" s="158">
        <v>11746</v>
      </c>
      <c r="F1715" s="158">
        <v>1795</v>
      </c>
      <c r="G1715" s="158">
        <v>5.5</v>
      </c>
      <c r="H1715" s="158">
        <v>12.45</v>
      </c>
      <c r="I1715" s="158">
        <v>0</v>
      </c>
      <c r="J1715" s="158">
        <v>12.45</v>
      </c>
      <c r="K1715" s="158" t="s">
        <v>235</v>
      </c>
    </row>
    <row r="1716" spans="4:11">
      <c r="D1716" s="158">
        <v>170695</v>
      </c>
      <c r="E1716" s="158">
        <v>11746</v>
      </c>
      <c r="F1716" s="158">
        <v>1795</v>
      </c>
      <c r="G1716" s="158">
        <v>2.2000000000000002</v>
      </c>
      <c r="H1716" s="158">
        <v>6.95</v>
      </c>
      <c r="I1716" s="158">
        <v>0</v>
      </c>
      <c r="J1716" s="158">
        <v>6.95</v>
      </c>
      <c r="K1716" s="158" t="s">
        <v>235</v>
      </c>
    </row>
    <row r="1717" spans="4:11">
      <c r="D1717" s="158">
        <v>170696</v>
      </c>
      <c r="E1717" s="158">
        <v>11746</v>
      </c>
      <c r="F1717" s="158">
        <v>1795</v>
      </c>
      <c r="G1717" s="158">
        <v>1.9</v>
      </c>
      <c r="H1717" s="158">
        <v>2.4</v>
      </c>
      <c r="I1717" s="158">
        <v>0</v>
      </c>
      <c r="J1717" s="158">
        <v>2.4</v>
      </c>
      <c r="K1717" s="158" t="s">
        <v>235</v>
      </c>
    </row>
    <row r="1718" spans="4:11">
      <c r="D1718" s="158">
        <v>170698</v>
      </c>
      <c r="E1718" s="158">
        <v>10692</v>
      </c>
      <c r="F1718" s="158">
        <v>2174</v>
      </c>
      <c r="G1718" s="158">
        <v>3.4</v>
      </c>
      <c r="H1718" s="158">
        <v>0</v>
      </c>
      <c r="I1718" s="158">
        <v>0</v>
      </c>
      <c r="J1718" s="158">
        <v>0</v>
      </c>
      <c r="K1718" s="158" t="s">
        <v>235</v>
      </c>
    </row>
    <row r="1719" spans="4:11">
      <c r="D1719" s="158">
        <v>170736</v>
      </c>
      <c r="E1719" s="158">
        <v>11051</v>
      </c>
      <c r="F1719" s="158">
        <v>2075</v>
      </c>
      <c r="G1719" s="158">
        <v>3</v>
      </c>
      <c r="H1719" s="158">
        <v>4</v>
      </c>
      <c r="I1719" s="158">
        <v>0</v>
      </c>
      <c r="J1719" s="158">
        <v>4</v>
      </c>
      <c r="K1719" s="158" t="s">
        <v>235</v>
      </c>
    </row>
    <row r="1720" spans="4:11">
      <c r="D1720" s="158">
        <v>170737</v>
      </c>
      <c r="E1720" s="158">
        <v>11051</v>
      </c>
      <c r="F1720" s="158">
        <v>2075</v>
      </c>
      <c r="G1720" s="158">
        <v>3.3</v>
      </c>
      <c r="H1720" s="158">
        <v>8.5</v>
      </c>
      <c r="I1720" s="158">
        <v>0</v>
      </c>
      <c r="J1720" s="158">
        <v>8.5</v>
      </c>
      <c r="K1720" s="158" t="s">
        <v>235</v>
      </c>
    </row>
    <row r="1721" spans="4:11">
      <c r="D1721" s="158">
        <v>170740</v>
      </c>
      <c r="E1721" s="158">
        <v>10794</v>
      </c>
      <c r="F1721" s="158">
        <v>2075</v>
      </c>
      <c r="G1721" s="158">
        <v>3.6</v>
      </c>
      <c r="H1721" s="158">
        <v>2.6</v>
      </c>
      <c r="I1721" s="158">
        <v>1</v>
      </c>
      <c r="J1721" s="158">
        <v>3.6</v>
      </c>
      <c r="K1721" s="158" t="s">
        <v>235</v>
      </c>
    </row>
    <row r="1722" spans="4:11">
      <c r="D1722" s="158">
        <v>170742</v>
      </c>
      <c r="E1722" s="158">
        <v>10794</v>
      </c>
      <c r="F1722" s="158">
        <v>2075</v>
      </c>
      <c r="G1722" s="158">
        <v>3.2</v>
      </c>
      <c r="H1722" s="158">
        <v>0.2</v>
      </c>
      <c r="I1722" s="158">
        <v>3</v>
      </c>
      <c r="J1722" s="158">
        <v>3.2</v>
      </c>
      <c r="K1722" s="158" t="s">
        <v>235</v>
      </c>
    </row>
    <row r="1723" spans="4:11">
      <c r="D1723" s="158">
        <v>170744</v>
      </c>
      <c r="E1723" s="158">
        <v>11750</v>
      </c>
      <c r="F1723" s="158">
        <v>2075</v>
      </c>
      <c r="G1723" s="158">
        <v>1.5</v>
      </c>
      <c r="H1723" s="158">
        <v>0</v>
      </c>
      <c r="I1723" s="158">
        <v>1.5</v>
      </c>
      <c r="J1723" s="158">
        <v>1.5</v>
      </c>
      <c r="K1723" s="158" t="s">
        <v>235</v>
      </c>
    </row>
    <row r="1724" spans="4:11">
      <c r="D1724" s="158">
        <v>170745</v>
      </c>
      <c r="E1724" s="158">
        <v>11750</v>
      </c>
      <c r="F1724" s="158">
        <v>2075</v>
      </c>
      <c r="G1724" s="158">
        <v>0</v>
      </c>
      <c r="H1724" s="158">
        <v>0</v>
      </c>
      <c r="I1724" s="158">
        <v>0</v>
      </c>
      <c r="J1724" s="158">
        <v>0</v>
      </c>
      <c r="K1724" s="158" t="s">
        <v>235</v>
      </c>
    </row>
    <row r="1725" spans="4:11">
      <c r="D1725" s="158">
        <v>170746</v>
      </c>
      <c r="E1725" s="158">
        <v>11750</v>
      </c>
      <c r="F1725" s="158">
        <v>2075</v>
      </c>
      <c r="G1725" s="158">
        <v>2.5</v>
      </c>
      <c r="H1725" s="158">
        <v>2.5</v>
      </c>
      <c r="I1725" s="158">
        <v>0</v>
      </c>
      <c r="J1725" s="158">
        <v>2.5</v>
      </c>
      <c r="K1725" s="158" t="s">
        <v>235</v>
      </c>
    </row>
    <row r="1726" spans="4:11">
      <c r="D1726" s="158">
        <v>170747</v>
      </c>
      <c r="E1726" s="158">
        <v>11750</v>
      </c>
      <c r="F1726" s="158">
        <v>2075</v>
      </c>
      <c r="G1726" s="158">
        <v>2.5</v>
      </c>
      <c r="H1726" s="158">
        <v>2.5</v>
      </c>
      <c r="I1726" s="158">
        <v>0</v>
      </c>
      <c r="J1726" s="158">
        <v>2.5</v>
      </c>
      <c r="K1726" s="158" t="s">
        <v>235</v>
      </c>
    </row>
    <row r="1727" spans="4:11">
      <c r="D1727" s="158">
        <v>170748</v>
      </c>
      <c r="E1727" s="158">
        <v>11750</v>
      </c>
      <c r="F1727" s="158">
        <v>2075</v>
      </c>
      <c r="G1727" s="158">
        <v>2.5</v>
      </c>
      <c r="H1727" s="158">
        <v>2.5</v>
      </c>
      <c r="I1727" s="158">
        <v>0</v>
      </c>
      <c r="J1727" s="158">
        <v>2.5</v>
      </c>
      <c r="K1727" s="158" t="s">
        <v>235</v>
      </c>
    </row>
    <row r="1728" spans="4:11">
      <c r="D1728" s="158">
        <v>170749</v>
      </c>
      <c r="E1728" s="158">
        <v>11750</v>
      </c>
      <c r="F1728" s="158">
        <v>2075</v>
      </c>
      <c r="G1728" s="158">
        <v>2.5</v>
      </c>
      <c r="H1728" s="158">
        <v>2.5</v>
      </c>
      <c r="I1728" s="158">
        <v>0</v>
      </c>
      <c r="J1728" s="158">
        <v>2.5</v>
      </c>
      <c r="K1728" s="158" t="s">
        <v>235</v>
      </c>
    </row>
    <row r="1729" spans="4:11">
      <c r="D1729" s="158">
        <v>170750</v>
      </c>
      <c r="E1729" s="158">
        <v>11750</v>
      </c>
      <c r="F1729" s="158">
        <v>2075</v>
      </c>
      <c r="G1729" s="158">
        <v>2</v>
      </c>
      <c r="H1729" s="158">
        <v>2</v>
      </c>
      <c r="I1729" s="158">
        <v>0</v>
      </c>
      <c r="J1729" s="158">
        <v>2</v>
      </c>
      <c r="K1729" s="158" t="s">
        <v>235</v>
      </c>
    </row>
    <row r="1730" spans="4:11">
      <c r="D1730" s="158">
        <v>170752</v>
      </c>
      <c r="E1730" s="158">
        <v>10686</v>
      </c>
      <c r="F1730" s="158">
        <v>214</v>
      </c>
      <c r="G1730" s="158">
        <v>109.7</v>
      </c>
      <c r="H1730" s="158">
        <v>53</v>
      </c>
      <c r="I1730" s="158">
        <v>4</v>
      </c>
      <c r="J1730" s="158">
        <v>57</v>
      </c>
      <c r="K1730" s="158" t="s">
        <v>235</v>
      </c>
    </row>
    <row r="1731" spans="4:11">
      <c r="D1731" s="158">
        <v>170760</v>
      </c>
      <c r="E1731" s="158">
        <v>10816</v>
      </c>
      <c r="F1731" s="158">
        <v>881</v>
      </c>
      <c r="G1731" s="158">
        <v>0</v>
      </c>
      <c r="H1731" s="158">
        <v>0</v>
      </c>
      <c r="I1731" s="158">
        <v>0</v>
      </c>
      <c r="J1731" s="158">
        <v>0</v>
      </c>
      <c r="K1731" s="158" t="s">
        <v>235</v>
      </c>
    </row>
    <row r="1732" spans="4:11">
      <c r="D1732" s="158">
        <v>170762</v>
      </c>
      <c r="E1732" s="158">
        <v>10814</v>
      </c>
      <c r="F1732" s="158">
        <v>2176</v>
      </c>
      <c r="G1732" s="158">
        <v>1.2</v>
      </c>
      <c r="I1732" s="158">
        <v>0</v>
      </c>
      <c r="J1732" s="158">
        <v>0</v>
      </c>
      <c r="K1732" s="158" t="s">
        <v>235</v>
      </c>
    </row>
    <row r="1733" spans="4:11">
      <c r="D1733" s="158">
        <v>170763</v>
      </c>
      <c r="E1733" s="158">
        <v>10814</v>
      </c>
      <c r="F1733" s="158">
        <v>2176</v>
      </c>
      <c r="G1733" s="158">
        <v>0</v>
      </c>
      <c r="H1733" s="158">
        <v>0</v>
      </c>
      <c r="I1733" s="158">
        <v>0</v>
      </c>
      <c r="J1733" s="158">
        <v>0</v>
      </c>
      <c r="K1733" s="158" t="s">
        <v>235</v>
      </c>
    </row>
    <row r="1734" spans="4:11">
      <c r="D1734" s="158">
        <v>170764</v>
      </c>
      <c r="E1734" s="158">
        <v>10814</v>
      </c>
      <c r="F1734" s="158">
        <v>1999</v>
      </c>
      <c r="G1734" s="158">
        <v>0</v>
      </c>
      <c r="H1734" s="158">
        <v>1</v>
      </c>
      <c r="I1734" s="158">
        <v>0</v>
      </c>
      <c r="J1734" s="158">
        <v>1</v>
      </c>
      <c r="K1734" s="158" t="s">
        <v>235</v>
      </c>
    </row>
    <row r="1735" spans="4:11">
      <c r="D1735" s="158">
        <v>170765</v>
      </c>
      <c r="E1735" s="158">
        <v>10815</v>
      </c>
      <c r="F1735" s="158">
        <v>1251</v>
      </c>
      <c r="G1735" s="158">
        <v>1.7</v>
      </c>
      <c r="H1735" s="158">
        <v>2</v>
      </c>
      <c r="I1735" s="158">
        <v>0</v>
      </c>
      <c r="J1735" s="158">
        <v>2</v>
      </c>
      <c r="K1735" s="158" t="s">
        <v>235</v>
      </c>
    </row>
    <row r="1736" spans="4:11">
      <c r="D1736" s="158">
        <v>170766</v>
      </c>
      <c r="E1736" s="158">
        <v>10814</v>
      </c>
      <c r="F1736" s="158">
        <v>2176</v>
      </c>
      <c r="G1736" s="158">
        <v>0</v>
      </c>
      <c r="H1736" s="158">
        <v>0</v>
      </c>
      <c r="I1736" s="158">
        <v>0</v>
      </c>
      <c r="J1736" s="158">
        <v>0</v>
      </c>
      <c r="K1736" s="158" t="s">
        <v>235</v>
      </c>
    </row>
    <row r="1737" spans="4:11">
      <c r="D1737" s="158">
        <v>170768</v>
      </c>
      <c r="E1737" s="158">
        <v>11719</v>
      </c>
      <c r="F1737" s="158">
        <v>2142</v>
      </c>
      <c r="G1737" s="158">
        <v>4.0999999999999996</v>
      </c>
      <c r="H1737" s="158">
        <v>8.75</v>
      </c>
      <c r="I1737" s="158">
        <v>0</v>
      </c>
      <c r="J1737" s="158">
        <v>8.75</v>
      </c>
      <c r="K1737" s="158" t="s">
        <v>235</v>
      </c>
    </row>
    <row r="1738" spans="4:11">
      <c r="D1738" s="158">
        <v>170769</v>
      </c>
      <c r="E1738" s="158">
        <v>11719</v>
      </c>
      <c r="F1738" s="158">
        <v>2142</v>
      </c>
      <c r="G1738" s="158">
        <v>4.0999999999999996</v>
      </c>
      <c r="H1738" s="158">
        <v>2.75</v>
      </c>
      <c r="I1738" s="158">
        <v>1</v>
      </c>
      <c r="J1738" s="158">
        <v>3.75</v>
      </c>
      <c r="K1738" s="158" t="s">
        <v>235</v>
      </c>
    </row>
    <row r="1739" spans="4:11">
      <c r="D1739" s="158">
        <v>170770</v>
      </c>
      <c r="E1739" s="158">
        <v>10691</v>
      </c>
      <c r="F1739" s="158">
        <v>2362</v>
      </c>
      <c r="G1739" s="158">
        <v>7.8</v>
      </c>
      <c r="H1739" s="158">
        <v>3.05</v>
      </c>
      <c r="I1739" s="158">
        <v>4.75</v>
      </c>
      <c r="J1739" s="158">
        <v>7.8</v>
      </c>
      <c r="K1739" s="158" t="s">
        <v>235</v>
      </c>
    </row>
    <row r="1740" spans="4:11">
      <c r="D1740" s="158">
        <v>170771</v>
      </c>
      <c r="E1740" s="158">
        <v>10691</v>
      </c>
      <c r="F1740" s="158">
        <v>2362</v>
      </c>
      <c r="G1740" s="158">
        <v>1.85</v>
      </c>
      <c r="H1740" s="158">
        <v>2</v>
      </c>
      <c r="I1740" s="158">
        <v>0</v>
      </c>
      <c r="J1740" s="158">
        <v>2</v>
      </c>
      <c r="K1740" s="158" t="s">
        <v>235</v>
      </c>
    </row>
    <row r="1741" spans="4:11">
      <c r="D1741" s="158">
        <v>170772</v>
      </c>
      <c r="E1741" s="158">
        <v>10691</v>
      </c>
      <c r="F1741" s="158">
        <v>2123</v>
      </c>
      <c r="G1741" s="158">
        <v>4.3</v>
      </c>
      <c r="H1741" s="158">
        <v>3.75</v>
      </c>
      <c r="I1741" s="158">
        <v>0</v>
      </c>
      <c r="J1741" s="158">
        <v>3.75</v>
      </c>
      <c r="K1741" s="158" t="s">
        <v>235</v>
      </c>
    </row>
    <row r="1742" spans="4:11">
      <c r="D1742" s="158">
        <v>170775</v>
      </c>
      <c r="E1742" s="158">
        <v>11711</v>
      </c>
      <c r="F1742" s="158">
        <v>2188</v>
      </c>
      <c r="G1742" s="158">
        <v>2.1</v>
      </c>
      <c r="H1742" s="158">
        <v>5.25</v>
      </c>
      <c r="I1742" s="158">
        <v>0</v>
      </c>
      <c r="J1742" s="158">
        <v>5.25</v>
      </c>
      <c r="K1742" s="158" t="s">
        <v>235</v>
      </c>
    </row>
    <row r="1743" spans="4:11">
      <c r="D1743" s="158">
        <v>170776</v>
      </c>
      <c r="E1743" s="158">
        <v>10689</v>
      </c>
      <c r="F1743" s="158">
        <v>2123</v>
      </c>
      <c r="G1743" s="158">
        <v>4.0999999999999996</v>
      </c>
      <c r="H1743" s="158">
        <v>4</v>
      </c>
      <c r="I1743" s="158">
        <v>0</v>
      </c>
      <c r="J1743" s="158">
        <v>4</v>
      </c>
      <c r="K1743" s="158" t="s">
        <v>235</v>
      </c>
    </row>
    <row r="1744" spans="4:11">
      <c r="D1744" s="158">
        <v>170777</v>
      </c>
      <c r="E1744" s="158">
        <v>10691</v>
      </c>
      <c r="F1744" s="158">
        <v>2123</v>
      </c>
      <c r="G1744" s="158">
        <v>5.5</v>
      </c>
      <c r="H1744" s="158">
        <v>5.5</v>
      </c>
      <c r="I1744" s="158">
        <v>0</v>
      </c>
      <c r="J1744" s="158">
        <v>5.5</v>
      </c>
      <c r="K1744" s="158" t="s">
        <v>235</v>
      </c>
    </row>
    <row r="1745" spans="4:11">
      <c r="D1745" s="158">
        <v>170778</v>
      </c>
      <c r="E1745" s="158">
        <v>11746</v>
      </c>
      <c r="F1745" s="158">
        <v>2188</v>
      </c>
      <c r="G1745" s="158">
        <v>1.5</v>
      </c>
      <c r="H1745" s="158">
        <v>0</v>
      </c>
      <c r="I1745" s="158">
        <v>0</v>
      </c>
      <c r="J1745" s="158">
        <v>0</v>
      </c>
      <c r="K1745" s="158" t="s">
        <v>235</v>
      </c>
    </row>
    <row r="1746" spans="4:11">
      <c r="D1746" s="158">
        <v>170779</v>
      </c>
      <c r="E1746" s="158">
        <v>11746</v>
      </c>
      <c r="F1746" s="158">
        <v>2188</v>
      </c>
      <c r="G1746" s="158">
        <v>2.5</v>
      </c>
      <c r="H1746" s="158">
        <v>0.5</v>
      </c>
      <c r="I1746" s="158">
        <v>0</v>
      </c>
      <c r="J1746" s="158">
        <v>0.5</v>
      </c>
      <c r="K1746" s="158" t="s">
        <v>235</v>
      </c>
    </row>
    <row r="1747" spans="4:11">
      <c r="D1747" s="158">
        <v>170780</v>
      </c>
      <c r="E1747" s="158">
        <v>11746</v>
      </c>
      <c r="F1747" s="158">
        <v>2188</v>
      </c>
      <c r="G1747" s="158">
        <v>1.5</v>
      </c>
      <c r="H1747" s="158">
        <v>0</v>
      </c>
      <c r="I1747" s="158">
        <v>0</v>
      </c>
      <c r="J1747" s="158">
        <v>0</v>
      </c>
      <c r="K1747" s="158" t="s">
        <v>235</v>
      </c>
    </row>
    <row r="1748" spans="4:11">
      <c r="D1748" s="158">
        <v>170781</v>
      </c>
      <c r="E1748" s="158">
        <v>11746</v>
      </c>
      <c r="F1748" s="158">
        <v>2188</v>
      </c>
      <c r="G1748" s="158">
        <v>4.5999999999999996</v>
      </c>
      <c r="H1748" s="158">
        <v>0</v>
      </c>
      <c r="I1748" s="158">
        <v>0</v>
      </c>
      <c r="J1748" s="158">
        <v>0</v>
      </c>
      <c r="K1748" s="158" t="s">
        <v>235</v>
      </c>
    </row>
    <row r="1749" spans="4:11">
      <c r="D1749" s="158">
        <v>170782</v>
      </c>
      <c r="E1749" s="158">
        <v>11746</v>
      </c>
      <c r="F1749" s="158">
        <v>2188</v>
      </c>
      <c r="G1749" s="158">
        <v>2.2999999999999998</v>
      </c>
      <c r="H1749" s="158">
        <v>0</v>
      </c>
      <c r="I1749" s="158">
        <v>0</v>
      </c>
      <c r="J1749" s="158">
        <v>0</v>
      </c>
      <c r="K1749" s="158" t="s">
        <v>235</v>
      </c>
    </row>
    <row r="1750" spans="4:11">
      <c r="D1750" s="158">
        <v>170783</v>
      </c>
      <c r="E1750" s="158">
        <v>11746</v>
      </c>
      <c r="F1750" s="158">
        <v>2028</v>
      </c>
      <c r="G1750" s="158">
        <v>1.5</v>
      </c>
      <c r="H1750" s="158">
        <v>1.5</v>
      </c>
      <c r="I1750" s="158">
        <v>0</v>
      </c>
      <c r="J1750" s="158">
        <v>1.5</v>
      </c>
      <c r="K1750" s="158" t="s">
        <v>235</v>
      </c>
    </row>
    <row r="1751" spans="4:11">
      <c r="D1751" s="158">
        <v>170784</v>
      </c>
      <c r="E1751" s="158">
        <v>11746</v>
      </c>
      <c r="F1751" s="158">
        <v>2028</v>
      </c>
      <c r="G1751" s="158">
        <v>0.2</v>
      </c>
      <c r="H1751" s="158">
        <v>0.4</v>
      </c>
      <c r="I1751" s="158">
        <v>0</v>
      </c>
      <c r="J1751" s="158">
        <v>0.4</v>
      </c>
      <c r="K1751" s="158" t="s">
        <v>235</v>
      </c>
    </row>
    <row r="1752" spans="4:11">
      <c r="D1752" s="158">
        <v>170787</v>
      </c>
      <c r="E1752" s="158">
        <v>11749</v>
      </c>
      <c r="F1752" s="158">
        <v>2028</v>
      </c>
      <c r="G1752" s="158">
        <v>0.2</v>
      </c>
      <c r="H1752" s="158">
        <v>0.25</v>
      </c>
      <c r="I1752" s="158">
        <v>0</v>
      </c>
      <c r="J1752" s="158">
        <v>0.25</v>
      </c>
      <c r="K1752" s="158" t="s">
        <v>235</v>
      </c>
    </row>
    <row r="1753" spans="4:11">
      <c r="D1753" s="158">
        <v>170788</v>
      </c>
      <c r="E1753" s="158">
        <v>10816</v>
      </c>
      <c r="F1753" s="158">
        <v>1999</v>
      </c>
      <c r="H1753" s="158">
        <v>0.5</v>
      </c>
      <c r="I1753" s="158">
        <v>0</v>
      </c>
      <c r="J1753" s="158">
        <v>0.5</v>
      </c>
      <c r="K1753" s="158" t="s">
        <v>235</v>
      </c>
    </row>
    <row r="1754" spans="4:11">
      <c r="D1754" s="158">
        <v>170791</v>
      </c>
      <c r="E1754" s="158">
        <v>10766</v>
      </c>
      <c r="F1754" s="158">
        <v>2177</v>
      </c>
      <c r="G1754" s="158">
        <v>6.4</v>
      </c>
      <c r="H1754" s="158">
        <v>0</v>
      </c>
      <c r="I1754" s="158">
        <v>0</v>
      </c>
      <c r="J1754" s="158">
        <v>0</v>
      </c>
      <c r="K1754" s="158" t="s">
        <v>235</v>
      </c>
    </row>
    <row r="1755" spans="4:11">
      <c r="D1755" s="158">
        <v>170796</v>
      </c>
      <c r="E1755" s="158">
        <v>10020</v>
      </c>
      <c r="F1755" s="158">
        <v>402</v>
      </c>
      <c r="G1755" s="158">
        <v>0.35</v>
      </c>
      <c r="H1755" s="158">
        <v>0.5</v>
      </c>
      <c r="I1755" s="158">
        <v>0</v>
      </c>
      <c r="J1755" s="158">
        <v>0.5</v>
      </c>
      <c r="K1755" s="158" t="s">
        <v>238</v>
      </c>
    </row>
    <row r="1756" spans="4:11">
      <c r="D1756" s="158">
        <v>170802</v>
      </c>
      <c r="E1756" s="158">
        <v>10100</v>
      </c>
      <c r="F1756" s="158">
        <v>229</v>
      </c>
      <c r="G1756" s="158">
        <v>4</v>
      </c>
      <c r="H1756" s="158">
        <v>8</v>
      </c>
      <c r="I1756" s="158">
        <v>1</v>
      </c>
      <c r="J1756" s="158">
        <v>9</v>
      </c>
      <c r="K1756" s="158" t="s">
        <v>237</v>
      </c>
    </row>
    <row r="1757" spans="4:11">
      <c r="D1757" s="158">
        <v>170804</v>
      </c>
      <c r="E1757" s="158">
        <v>10100</v>
      </c>
      <c r="F1757" s="158">
        <v>180</v>
      </c>
      <c r="G1757" s="158">
        <v>0.5</v>
      </c>
      <c r="H1757" s="158">
        <v>0.82</v>
      </c>
      <c r="I1757" s="158">
        <v>0</v>
      </c>
      <c r="J1757" s="158">
        <v>0.82</v>
      </c>
      <c r="K1757" s="158" t="s">
        <v>237</v>
      </c>
    </row>
    <row r="1758" spans="4:11">
      <c r="D1758" s="158">
        <v>170806</v>
      </c>
      <c r="E1758" s="158">
        <v>11307</v>
      </c>
      <c r="F1758" s="158">
        <v>2156</v>
      </c>
      <c r="G1758" s="158">
        <v>1</v>
      </c>
      <c r="H1758" s="158">
        <v>0</v>
      </c>
      <c r="I1758" s="158">
        <v>0</v>
      </c>
      <c r="J1758" s="158">
        <v>0</v>
      </c>
      <c r="K1758" s="158" t="s">
        <v>236</v>
      </c>
    </row>
    <row r="1759" spans="4:11">
      <c r="D1759" s="158">
        <v>170807</v>
      </c>
      <c r="E1759" s="158">
        <v>11309</v>
      </c>
      <c r="F1759" s="158">
        <v>2200</v>
      </c>
      <c r="G1759" s="158">
        <v>1</v>
      </c>
      <c r="H1759" s="158">
        <v>0</v>
      </c>
      <c r="I1759" s="158">
        <v>0</v>
      </c>
      <c r="J1759" s="158">
        <v>0</v>
      </c>
      <c r="K1759" s="158" t="s">
        <v>236</v>
      </c>
    </row>
    <row r="1760" spans="4:11">
      <c r="D1760" s="158">
        <v>170809</v>
      </c>
      <c r="E1760" s="158">
        <v>10816</v>
      </c>
      <c r="F1760" s="158">
        <v>2221</v>
      </c>
      <c r="G1760" s="158">
        <v>3.1</v>
      </c>
      <c r="H1760" s="158">
        <v>1.45</v>
      </c>
      <c r="I1760" s="158">
        <v>0</v>
      </c>
      <c r="J1760" s="158">
        <v>1.45</v>
      </c>
      <c r="K1760" s="158" t="s">
        <v>235</v>
      </c>
    </row>
    <row r="1761" spans="4:11">
      <c r="D1761" s="158">
        <v>170811</v>
      </c>
      <c r="E1761" s="158">
        <v>11213</v>
      </c>
      <c r="F1761" s="158">
        <v>1505</v>
      </c>
      <c r="K1761" s="158" t="s">
        <v>235</v>
      </c>
    </row>
    <row r="1762" spans="4:11">
      <c r="D1762" s="158">
        <v>170813</v>
      </c>
      <c r="E1762" s="158">
        <v>10816</v>
      </c>
      <c r="F1762" s="158">
        <v>2122</v>
      </c>
      <c r="G1762" s="158">
        <v>4.3499999999999996</v>
      </c>
      <c r="H1762" s="158">
        <v>4.75</v>
      </c>
      <c r="I1762" s="158">
        <v>0</v>
      </c>
      <c r="J1762" s="158">
        <v>4.75</v>
      </c>
      <c r="K1762" s="158" t="s">
        <v>235</v>
      </c>
    </row>
    <row r="1763" spans="4:11">
      <c r="D1763" s="158">
        <v>170815</v>
      </c>
      <c r="E1763" s="158">
        <v>10720</v>
      </c>
      <c r="F1763" s="158">
        <v>2062</v>
      </c>
      <c r="G1763" s="158">
        <v>5</v>
      </c>
      <c r="H1763" s="158">
        <v>3.05</v>
      </c>
      <c r="I1763" s="158">
        <v>0</v>
      </c>
      <c r="J1763" s="158">
        <v>3.05</v>
      </c>
      <c r="K1763" s="158" t="s">
        <v>235</v>
      </c>
    </row>
    <row r="1764" spans="4:11">
      <c r="D1764" s="158">
        <v>170818</v>
      </c>
      <c r="E1764" s="158">
        <v>11711</v>
      </c>
      <c r="F1764" s="158">
        <v>2142</v>
      </c>
      <c r="G1764" s="158">
        <v>6.2</v>
      </c>
      <c r="H1764" s="158">
        <v>5.75</v>
      </c>
      <c r="I1764" s="158">
        <v>0</v>
      </c>
      <c r="J1764" s="158">
        <v>5.75</v>
      </c>
      <c r="K1764" s="158" t="s">
        <v>235</v>
      </c>
    </row>
    <row r="1765" spans="4:11">
      <c r="D1765" s="158">
        <v>170826</v>
      </c>
      <c r="E1765" s="158">
        <v>10753</v>
      </c>
      <c r="F1765" s="158">
        <v>222</v>
      </c>
      <c r="G1765" s="158">
        <v>0</v>
      </c>
      <c r="H1765" s="158">
        <v>0</v>
      </c>
      <c r="I1765" s="158">
        <v>0</v>
      </c>
      <c r="J1765" s="158">
        <v>0</v>
      </c>
      <c r="K1765" s="158" t="s">
        <v>235</v>
      </c>
    </row>
    <row r="1766" spans="4:11">
      <c r="D1766" s="158">
        <v>170829</v>
      </c>
      <c r="E1766" s="158">
        <v>10742</v>
      </c>
      <c r="F1766" s="158">
        <v>2177</v>
      </c>
      <c r="G1766" s="158">
        <v>2.5</v>
      </c>
      <c r="H1766" s="158">
        <v>0</v>
      </c>
      <c r="I1766" s="158">
        <v>0</v>
      </c>
      <c r="J1766" s="158">
        <v>0</v>
      </c>
      <c r="K1766" s="158" t="s">
        <v>235</v>
      </c>
    </row>
    <row r="1767" spans="4:11">
      <c r="D1767" s="158">
        <v>170846</v>
      </c>
      <c r="E1767" s="158">
        <v>10756</v>
      </c>
      <c r="F1767" s="158">
        <v>2030</v>
      </c>
      <c r="G1767" s="158">
        <v>12.9</v>
      </c>
      <c r="H1767" s="158">
        <v>0</v>
      </c>
      <c r="I1767" s="158">
        <v>12.9</v>
      </c>
      <c r="J1767" s="158">
        <v>12.9</v>
      </c>
      <c r="K1767" s="158" t="s">
        <v>235</v>
      </c>
    </row>
    <row r="1768" spans="4:11">
      <c r="D1768" s="158">
        <v>170847</v>
      </c>
      <c r="E1768" s="158">
        <v>11711</v>
      </c>
      <c r="F1768" s="158">
        <v>2142</v>
      </c>
      <c r="G1768" s="158">
        <v>2.1</v>
      </c>
      <c r="H1768" s="158">
        <v>0</v>
      </c>
      <c r="I1768" s="158">
        <v>0</v>
      </c>
      <c r="J1768" s="158">
        <v>0</v>
      </c>
      <c r="K1768" s="158" t="s">
        <v>235</v>
      </c>
    </row>
    <row r="1769" spans="4:11">
      <c r="D1769" s="158">
        <v>170848</v>
      </c>
      <c r="E1769" s="158">
        <v>11711</v>
      </c>
      <c r="F1769" s="158">
        <v>2142</v>
      </c>
      <c r="G1769" s="158">
        <v>2.5</v>
      </c>
      <c r="H1769" s="158">
        <v>0</v>
      </c>
      <c r="I1769" s="158">
        <v>0</v>
      </c>
      <c r="J1769" s="158">
        <v>0</v>
      </c>
      <c r="K1769" s="158" t="s">
        <v>235</v>
      </c>
    </row>
    <row r="1770" spans="4:11">
      <c r="D1770" s="158">
        <v>170852</v>
      </c>
      <c r="E1770" s="158">
        <v>10753</v>
      </c>
      <c r="F1770" s="158">
        <v>2324</v>
      </c>
      <c r="G1770" s="158">
        <v>2.5</v>
      </c>
      <c r="H1770" s="158">
        <v>3.55</v>
      </c>
      <c r="I1770" s="158">
        <v>0</v>
      </c>
      <c r="J1770" s="158">
        <v>3.55</v>
      </c>
      <c r="K1770" s="158" t="s">
        <v>235</v>
      </c>
    </row>
    <row r="1771" spans="4:11">
      <c r="D1771" s="158">
        <v>170859</v>
      </c>
      <c r="E1771" s="158">
        <v>10721</v>
      </c>
      <c r="F1771" s="158">
        <v>2305</v>
      </c>
      <c r="G1771" s="158">
        <v>12.9</v>
      </c>
      <c r="I1771" s="158">
        <v>0</v>
      </c>
      <c r="J1771" s="158">
        <v>12.9</v>
      </c>
      <c r="K1771" s="158" t="s">
        <v>235</v>
      </c>
    </row>
    <row r="1772" spans="4:11">
      <c r="D1772" s="158">
        <v>170860</v>
      </c>
      <c r="E1772" s="158">
        <v>10712</v>
      </c>
      <c r="F1772" s="158">
        <v>1738</v>
      </c>
      <c r="G1772" s="158">
        <v>6.4</v>
      </c>
      <c r="H1772" s="158">
        <v>0.55000000000000004</v>
      </c>
      <c r="I1772" s="158">
        <v>0</v>
      </c>
      <c r="J1772" s="158">
        <v>0.55000000000000004</v>
      </c>
      <c r="K1772" s="158" t="s">
        <v>235</v>
      </c>
    </row>
    <row r="1773" spans="4:11">
      <c r="D1773" s="158">
        <v>170861</v>
      </c>
      <c r="E1773" s="158">
        <v>10721</v>
      </c>
      <c r="F1773" s="158">
        <v>2305</v>
      </c>
      <c r="G1773" s="158">
        <v>6.4</v>
      </c>
      <c r="I1773" s="158">
        <v>0</v>
      </c>
      <c r="J1773" s="158">
        <v>0</v>
      </c>
      <c r="K1773" s="158" t="s">
        <v>235</v>
      </c>
    </row>
    <row r="1774" spans="4:11">
      <c r="D1774" s="158">
        <v>170867</v>
      </c>
      <c r="E1774" s="158">
        <v>10776</v>
      </c>
      <c r="F1774" s="158">
        <v>2062</v>
      </c>
      <c r="G1774" s="158">
        <v>6.4</v>
      </c>
      <c r="I1774" s="158">
        <v>4</v>
      </c>
      <c r="J1774" s="158">
        <v>4</v>
      </c>
      <c r="K1774" s="158" t="s">
        <v>235</v>
      </c>
    </row>
    <row r="1775" spans="4:11">
      <c r="D1775" s="158">
        <v>170873</v>
      </c>
      <c r="E1775" s="158">
        <v>10741</v>
      </c>
      <c r="F1775" s="158">
        <v>1821</v>
      </c>
      <c r="G1775" s="158">
        <v>2.5</v>
      </c>
      <c r="H1775" s="158">
        <v>2.75</v>
      </c>
      <c r="I1775" s="158">
        <v>0</v>
      </c>
      <c r="J1775" s="158">
        <v>2.75</v>
      </c>
      <c r="K1775" s="158" t="s">
        <v>235</v>
      </c>
    </row>
    <row r="1776" spans="4:11">
      <c r="D1776" s="158">
        <v>170878</v>
      </c>
      <c r="E1776" s="158">
        <v>10769</v>
      </c>
      <c r="F1776" s="158">
        <v>2062</v>
      </c>
      <c r="G1776" s="158">
        <v>2.25</v>
      </c>
      <c r="H1776" s="158">
        <v>0.2</v>
      </c>
      <c r="I1776" s="158">
        <v>0</v>
      </c>
      <c r="J1776" s="158">
        <v>0.2</v>
      </c>
      <c r="K1776" s="158" t="s">
        <v>235</v>
      </c>
    </row>
    <row r="1777" spans="4:11">
      <c r="D1777" s="158">
        <v>170882</v>
      </c>
      <c r="E1777" s="158">
        <v>10720</v>
      </c>
      <c r="F1777" s="158">
        <v>2177</v>
      </c>
      <c r="G1777" s="158">
        <v>6.4</v>
      </c>
      <c r="H1777" s="158">
        <v>0</v>
      </c>
      <c r="I1777" s="158">
        <v>0</v>
      </c>
      <c r="J1777" s="158">
        <v>0</v>
      </c>
      <c r="K1777" s="158" t="s">
        <v>235</v>
      </c>
    </row>
    <row r="1778" spans="4:11">
      <c r="D1778" s="158">
        <v>170890</v>
      </c>
      <c r="E1778" s="158">
        <v>10720</v>
      </c>
      <c r="F1778" s="158">
        <v>2030</v>
      </c>
      <c r="G1778" s="158">
        <v>16.7</v>
      </c>
      <c r="H1778" s="158">
        <v>14.35</v>
      </c>
      <c r="I1778" s="158">
        <v>0</v>
      </c>
      <c r="J1778" s="158">
        <v>14.35</v>
      </c>
      <c r="K1778" s="158" t="s">
        <v>235</v>
      </c>
    </row>
    <row r="1779" spans="4:11">
      <c r="D1779" s="158">
        <v>170919</v>
      </c>
      <c r="E1779" s="158">
        <v>11213</v>
      </c>
      <c r="F1779" s="158">
        <v>2030</v>
      </c>
      <c r="H1779" s="158">
        <v>0</v>
      </c>
      <c r="I1779" s="158">
        <v>0</v>
      </c>
      <c r="J1779" s="158">
        <v>0</v>
      </c>
      <c r="K1779" s="158" t="s">
        <v>235</v>
      </c>
    </row>
    <row r="1780" spans="4:11">
      <c r="D1780" s="158">
        <v>170967</v>
      </c>
      <c r="E1780" s="158">
        <v>11308</v>
      </c>
      <c r="F1780" s="158">
        <v>2156</v>
      </c>
      <c r="G1780" s="158">
        <v>2</v>
      </c>
      <c r="H1780" s="158">
        <v>2</v>
      </c>
      <c r="I1780" s="158">
        <v>0</v>
      </c>
      <c r="J1780" s="158">
        <v>2</v>
      </c>
      <c r="K1780" s="158" t="s">
        <v>236</v>
      </c>
    </row>
    <row r="1781" spans="4:11">
      <c r="D1781" s="158">
        <v>170968</v>
      </c>
      <c r="E1781" s="158">
        <v>11308</v>
      </c>
      <c r="F1781" s="158">
        <v>362</v>
      </c>
      <c r="G1781" s="158">
        <v>2</v>
      </c>
      <c r="H1781" s="158">
        <v>1</v>
      </c>
      <c r="I1781" s="158">
        <v>0</v>
      </c>
      <c r="J1781" s="158">
        <v>1</v>
      </c>
      <c r="K1781" s="158" t="s">
        <v>236</v>
      </c>
    </row>
    <row r="1782" spans="4:11">
      <c r="D1782" s="158">
        <v>170970</v>
      </c>
      <c r="E1782" s="158">
        <v>10010</v>
      </c>
      <c r="F1782" s="158">
        <v>2289</v>
      </c>
      <c r="H1782" s="158">
        <v>3.45</v>
      </c>
      <c r="I1782" s="158">
        <v>0</v>
      </c>
      <c r="J1782" s="158">
        <v>3.45</v>
      </c>
      <c r="K1782" s="158" t="s">
        <v>238</v>
      </c>
    </row>
    <row r="1783" spans="4:11">
      <c r="D1783" s="158">
        <v>170971</v>
      </c>
      <c r="E1783" s="158">
        <v>10011</v>
      </c>
      <c r="F1783" s="158">
        <v>2289</v>
      </c>
      <c r="H1783" s="158">
        <v>0</v>
      </c>
      <c r="I1783" s="158">
        <v>0</v>
      </c>
      <c r="J1783" s="158">
        <v>0</v>
      </c>
      <c r="K1783" s="158" t="s">
        <v>238</v>
      </c>
    </row>
    <row r="1784" spans="4:11">
      <c r="D1784" s="158">
        <v>170972</v>
      </c>
      <c r="E1784" s="158">
        <v>10011</v>
      </c>
      <c r="F1784" s="158">
        <v>2289</v>
      </c>
      <c r="H1784" s="158">
        <v>21.4</v>
      </c>
      <c r="I1784" s="158">
        <v>0</v>
      </c>
      <c r="J1784" s="158">
        <v>21.4</v>
      </c>
      <c r="K1784" s="158" t="s">
        <v>238</v>
      </c>
    </row>
    <row r="1785" spans="4:11">
      <c r="D1785" s="158">
        <v>170973</v>
      </c>
      <c r="E1785" s="158">
        <v>10011</v>
      </c>
      <c r="F1785" s="158">
        <v>2289</v>
      </c>
      <c r="H1785" s="158">
        <v>0</v>
      </c>
      <c r="I1785" s="158">
        <v>0</v>
      </c>
      <c r="J1785" s="158">
        <v>0</v>
      </c>
      <c r="K1785" s="158" t="s">
        <v>238</v>
      </c>
    </row>
    <row r="1786" spans="4:11">
      <c r="D1786" s="158">
        <v>170974</v>
      </c>
      <c r="E1786" s="158">
        <v>10011</v>
      </c>
      <c r="F1786" s="158">
        <v>2289</v>
      </c>
      <c r="H1786" s="158">
        <v>0</v>
      </c>
      <c r="I1786" s="158">
        <v>0</v>
      </c>
      <c r="J1786" s="158">
        <v>0</v>
      </c>
      <c r="K1786" s="158" t="s">
        <v>238</v>
      </c>
    </row>
    <row r="1787" spans="4:11">
      <c r="D1787" s="158">
        <v>170975</v>
      </c>
      <c r="E1787" s="158">
        <v>10012</v>
      </c>
      <c r="F1787" s="158">
        <v>2289</v>
      </c>
      <c r="H1787" s="158">
        <v>34.4</v>
      </c>
      <c r="I1787" s="158">
        <v>0</v>
      </c>
      <c r="J1787" s="158">
        <v>34.4</v>
      </c>
      <c r="K1787" s="158" t="s">
        <v>238</v>
      </c>
    </row>
    <row r="1788" spans="4:11">
      <c r="D1788" s="158">
        <v>170976</v>
      </c>
      <c r="E1788" s="158">
        <v>10013</v>
      </c>
      <c r="F1788" s="158">
        <v>2289</v>
      </c>
      <c r="H1788" s="158">
        <v>1.1000000000000001</v>
      </c>
      <c r="I1788" s="158">
        <v>0</v>
      </c>
      <c r="J1788" s="158">
        <v>1.1000000000000001</v>
      </c>
      <c r="K1788" s="158" t="s">
        <v>238</v>
      </c>
    </row>
    <row r="1789" spans="4:11">
      <c r="D1789" s="158">
        <v>170977</v>
      </c>
      <c r="E1789" s="158">
        <v>10014</v>
      </c>
      <c r="F1789" s="158">
        <v>2289</v>
      </c>
      <c r="H1789" s="158">
        <v>28.9</v>
      </c>
      <c r="I1789" s="158">
        <v>0</v>
      </c>
      <c r="J1789" s="158">
        <v>28.9</v>
      </c>
      <c r="K1789" s="158" t="s">
        <v>238</v>
      </c>
    </row>
    <row r="1790" spans="4:11">
      <c r="D1790" s="158">
        <v>170978</v>
      </c>
      <c r="E1790" s="158">
        <v>10014</v>
      </c>
      <c r="F1790" s="158">
        <v>2289</v>
      </c>
      <c r="H1790" s="158">
        <v>2.35</v>
      </c>
      <c r="I1790" s="158">
        <v>0</v>
      </c>
      <c r="J1790" s="158">
        <v>2.35</v>
      </c>
      <c r="K1790" s="158" t="s">
        <v>238</v>
      </c>
    </row>
    <row r="1791" spans="4:11">
      <c r="D1791" s="158">
        <v>170979</v>
      </c>
      <c r="E1791" s="158">
        <v>10015</v>
      </c>
      <c r="F1791" s="158">
        <v>2289</v>
      </c>
      <c r="H1791" s="158">
        <v>9.6</v>
      </c>
      <c r="I1791" s="158">
        <v>0</v>
      </c>
      <c r="J1791" s="158">
        <v>9.6</v>
      </c>
      <c r="K1791" s="158" t="s">
        <v>238</v>
      </c>
    </row>
    <row r="1792" spans="4:11">
      <c r="D1792" s="158">
        <v>170980</v>
      </c>
      <c r="E1792" s="158">
        <v>10015</v>
      </c>
      <c r="F1792" s="158">
        <v>2289</v>
      </c>
      <c r="H1792" s="158">
        <v>0.2</v>
      </c>
      <c r="I1792" s="158">
        <v>0</v>
      </c>
      <c r="J1792" s="158">
        <v>0.2</v>
      </c>
      <c r="K1792" s="158" t="s">
        <v>238</v>
      </c>
    </row>
    <row r="1793" spans="4:11">
      <c r="D1793" s="158">
        <v>170981</v>
      </c>
      <c r="E1793" s="158">
        <v>10015</v>
      </c>
      <c r="F1793" s="158">
        <v>2289</v>
      </c>
      <c r="H1793" s="158">
        <v>2.6</v>
      </c>
      <c r="I1793" s="158">
        <v>0</v>
      </c>
      <c r="J1793" s="158">
        <v>2.6</v>
      </c>
      <c r="K1793" s="158" t="s">
        <v>238</v>
      </c>
    </row>
    <row r="1794" spans="4:11">
      <c r="D1794" s="158">
        <v>170982</v>
      </c>
      <c r="E1794" s="158">
        <v>10015</v>
      </c>
      <c r="F1794" s="158">
        <v>2289</v>
      </c>
      <c r="H1794" s="158">
        <v>0</v>
      </c>
      <c r="I1794" s="158">
        <v>0</v>
      </c>
      <c r="J1794" s="158">
        <v>0</v>
      </c>
      <c r="K1794" s="158" t="s">
        <v>238</v>
      </c>
    </row>
    <row r="1795" spans="4:11">
      <c r="D1795" s="158">
        <v>170983</v>
      </c>
      <c r="E1795" s="158">
        <v>10015</v>
      </c>
      <c r="F1795" s="158">
        <v>2289</v>
      </c>
      <c r="H1795" s="158">
        <v>0</v>
      </c>
      <c r="I1795" s="158">
        <v>0</v>
      </c>
      <c r="J1795" s="158">
        <v>0</v>
      </c>
      <c r="K1795" s="158" t="s">
        <v>238</v>
      </c>
    </row>
    <row r="1796" spans="4:11">
      <c r="D1796" s="158">
        <v>170993</v>
      </c>
      <c r="E1796" s="158">
        <v>10097</v>
      </c>
      <c r="F1796" s="158">
        <v>2289</v>
      </c>
      <c r="H1796" s="158">
        <v>14.55</v>
      </c>
      <c r="I1796" s="158">
        <v>0</v>
      </c>
      <c r="J1796" s="158">
        <v>14.55</v>
      </c>
      <c r="K1796" s="158" t="s">
        <v>237</v>
      </c>
    </row>
    <row r="1797" spans="4:11">
      <c r="D1797" s="158">
        <v>170994</v>
      </c>
      <c r="E1797" s="158">
        <v>10099</v>
      </c>
      <c r="F1797" s="158">
        <v>2001</v>
      </c>
      <c r="G1797" s="158">
        <v>5</v>
      </c>
      <c r="H1797" s="158">
        <v>5</v>
      </c>
      <c r="I1797" s="158">
        <v>0</v>
      </c>
      <c r="J1797" s="158">
        <v>5</v>
      </c>
      <c r="K1797" s="158" t="s">
        <v>237</v>
      </c>
    </row>
    <row r="1798" spans="4:11">
      <c r="D1798" s="158">
        <v>170996</v>
      </c>
      <c r="E1798" s="158">
        <v>10720</v>
      </c>
      <c r="F1798" s="158">
        <v>2062</v>
      </c>
      <c r="G1798" s="158">
        <v>12.65</v>
      </c>
      <c r="H1798" s="158">
        <v>9.1</v>
      </c>
      <c r="I1798" s="158">
        <v>0</v>
      </c>
      <c r="J1798" s="158">
        <v>9.1</v>
      </c>
      <c r="K1798" s="158" t="s">
        <v>235</v>
      </c>
    </row>
    <row r="1799" spans="4:11">
      <c r="D1799" s="158">
        <v>170998</v>
      </c>
      <c r="E1799" s="158">
        <v>10103</v>
      </c>
      <c r="F1799" s="158">
        <v>1064</v>
      </c>
      <c r="H1799" s="158">
        <v>0</v>
      </c>
      <c r="I1799" s="158">
        <v>0</v>
      </c>
      <c r="J1799" s="158">
        <v>0</v>
      </c>
      <c r="K1799" s="158" t="s">
        <v>237</v>
      </c>
    </row>
    <row r="1800" spans="4:11">
      <c r="D1800" s="158">
        <v>170999</v>
      </c>
      <c r="E1800" s="158">
        <v>10103</v>
      </c>
      <c r="F1800" s="158">
        <v>1039</v>
      </c>
      <c r="H1800" s="158">
        <v>0.2</v>
      </c>
      <c r="I1800" s="158">
        <v>0</v>
      </c>
      <c r="J1800" s="158">
        <v>0.2</v>
      </c>
      <c r="K1800" s="158" t="s">
        <v>237</v>
      </c>
    </row>
    <row r="1801" spans="4:11">
      <c r="D1801" s="158">
        <v>171006</v>
      </c>
      <c r="E1801" s="158">
        <v>10695</v>
      </c>
      <c r="F1801" s="158">
        <v>2301</v>
      </c>
      <c r="G1801" s="158">
        <v>4</v>
      </c>
      <c r="H1801" s="158">
        <v>0</v>
      </c>
      <c r="I1801" s="158">
        <v>0</v>
      </c>
      <c r="J1801" s="158">
        <v>0</v>
      </c>
      <c r="K1801" s="158" t="s">
        <v>235</v>
      </c>
    </row>
    <row r="1802" spans="4:11">
      <c r="D1802" s="158">
        <v>171007</v>
      </c>
      <c r="E1802" s="158">
        <v>11953</v>
      </c>
      <c r="F1802" s="158">
        <v>2188</v>
      </c>
      <c r="G1802" s="158">
        <v>5.2</v>
      </c>
      <c r="H1802" s="158">
        <v>10</v>
      </c>
      <c r="I1802" s="158">
        <v>0</v>
      </c>
      <c r="J1802" s="158">
        <v>10</v>
      </c>
      <c r="K1802" s="158" t="s">
        <v>235</v>
      </c>
    </row>
    <row r="1803" spans="4:11">
      <c r="D1803" s="158">
        <v>171011</v>
      </c>
      <c r="E1803" s="158">
        <v>10690</v>
      </c>
      <c r="F1803" s="158">
        <v>2184</v>
      </c>
      <c r="G1803" s="158">
        <v>2.5</v>
      </c>
      <c r="H1803" s="158">
        <v>1</v>
      </c>
      <c r="I1803" s="158">
        <v>0</v>
      </c>
      <c r="J1803" s="158">
        <v>1</v>
      </c>
      <c r="K1803" s="158" t="s">
        <v>235</v>
      </c>
    </row>
    <row r="1804" spans="4:11">
      <c r="D1804" s="158">
        <v>171012</v>
      </c>
      <c r="E1804" s="158">
        <v>10690</v>
      </c>
      <c r="F1804" s="158">
        <v>2184</v>
      </c>
      <c r="G1804" s="158">
        <v>1.85</v>
      </c>
      <c r="H1804" s="158">
        <v>0.5</v>
      </c>
      <c r="I1804" s="158">
        <v>0</v>
      </c>
      <c r="J1804" s="158">
        <v>0.5</v>
      </c>
      <c r="K1804" s="158" t="s">
        <v>235</v>
      </c>
    </row>
    <row r="1805" spans="4:11">
      <c r="D1805" s="158">
        <v>171013</v>
      </c>
      <c r="E1805" s="158">
        <v>10690</v>
      </c>
      <c r="F1805" s="158">
        <v>2184</v>
      </c>
      <c r="G1805" s="158">
        <v>1.85</v>
      </c>
      <c r="H1805" s="158">
        <v>1</v>
      </c>
      <c r="I1805" s="158">
        <v>0</v>
      </c>
      <c r="J1805" s="158">
        <v>1</v>
      </c>
      <c r="K1805" s="158" t="s">
        <v>235</v>
      </c>
    </row>
    <row r="1806" spans="4:11">
      <c r="D1806" s="158">
        <v>171014</v>
      </c>
      <c r="E1806" s="158">
        <v>11307</v>
      </c>
      <c r="F1806" s="158">
        <v>2266</v>
      </c>
      <c r="G1806" s="158">
        <v>4</v>
      </c>
      <c r="H1806" s="158">
        <v>7</v>
      </c>
      <c r="I1806" s="158">
        <v>0</v>
      </c>
      <c r="J1806" s="158">
        <v>7</v>
      </c>
      <c r="K1806" s="158" t="s">
        <v>236</v>
      </c>
    </row>
    <row r="1807" spans="4:11">
      <c r="D1807" s="158">
        <v>171015</v>
      </c>
      <c r="E1807" s="158">
        <v>11307</v>
      </c>
      <c r="F1807" s="158">
        <v>2156</v>
      </c>
      <c r="G1807" s="158">
        <v>2</v>
      </c>
      <c r="H1807" s="158">
        <v>3</v>
      </c>
      <c r="I1807" s="158">
        <v>0</v>
      </c>
      <c r="J1807" s="158">
        <v>3</v>
      </c>
      <c r="K1807" s="158" t="s">
        <v>236</v>
      </c>
    </row>
    <row r="1808" spans="4:11">
      <c r="D1808" s="158">
        <v>171023</v>
      </c>
      <c r="E1808" s="158">
        <v>10020</v>
      </c>
      <c r="F1808" s="158">
        <v>229</v>
      </c>
      <c r="G1808" s="158">
        <v>0.4</v>
      </c>
      <c r="H1808" s="158">
        <v>0</v>
      </c>
      <c r="I1808" s="158">
        <v>0</v>
      </c>
      <c r="J1808" s="158">
        <v>0</v>
      </c>
      <c r="K1808" s="158" t="s">
        <v>238</v>
      </c>
    </row>
    <row r="1809" spans="4:11">
      <c r="D1809" s="158">
        <v>171025</v>
      </c>
      <c r="E1809" s="158">
        <v>10020</v>
      </c>
      <c r="F1809" s="158">
        <v>1667</v>
      </c>
      <c r="G1809" s="158">
        <v>6.15</v>
      </c>
      <c r="H1809" s="158">
        <v>6.6</v>
      </c>
      <c r="I1809" s="158">
        <v>0</v>
      </c>
      <c r="J1809" s="158">
        <v>6.6</v>
      </c>
      <c r="K1809" s="158" t="s">
        <v>238</v>
      </c>
    </row>
    <row r="1810" spans="4:11">
      <c r="D1810" s="158">
        <v>171027</v>
      </c>
      <c r="E1810" s="158">
        <v>10020</v>
      </c>
      <c r="F1810" s="158">
        <v>402</v>
      </c>
      <c r="G1810" s="158">
        <v>0.4</v>
      </c>
      <c r="H1810" s="158">
        <v>0</v>
      </c>
      <c r="I1810" s="158">
        <v>0</v>
      </c>
      <c r="J1810" s="158">
        <v>0</v>
      </c>
      <c r="K1810" s="158" t="s">
        <v>238</v>
      </c>
    </row>
    <row r="1811" spans="4:11">
      <c r="D1811" s="158">
        <v>171028</v>
      </c>
      <c r="E1811" s="158">
        <v>10020</v>
      </c>
      <c r="F1811" s="158">
        <v>229</v>
      </c>
      <c r="G1811" s="158">
        <v>0.4</v>
      </c>
      <c r="H1811" s="158">
        <v>0.5</v>
      </c>
      <c r="I1811" s="158">
        <v>0</v>
      </c>
      <c r="J1811" s="158">
        <v>0.5</v>
      </c>
      <c r="K1811" s="158" t="s">
        <v>238</v>
      </c>
    </row>
    <row r="1812" spans="4:11">
      <c r="D1812" s="158">
        <v>171191</v>
      </c>
      <c r="E1812" s="158">
        <v>11741</v>
      </c>
      <c r="F1812" s="158">
        <v>2181</v>
      </c>
      <c r="G1812" s="158">
        <v>8.3000000000000007</v>
      </c>
      <c r="H1812" s="158">
        <v>8.3000000000000007</v>
      </c>
      <c r="I1812" s="158">
        <v>0</v>
      </c>
      <c r="J1812" s="158">
        <v>8.3000000000000007</v>
      </c>
      <c r="K1812" s="158" t="s">
        <v>235</v>
      </c>
    </row>
    <row r="1813" spans="4:11">
      <c r="D1813" s="158">
        <v>171195</v>
      </c>
      <c r="E1813" s="158">
        <v>11742</v>
      </c>
      <c r="F1813" s="158">
        <v>2181</v>
      </c>
      <c r="G1813" s="158">
        <v>8.3000000000000007</v>
      </c>
      <c r="H1813" s="158">
        <v>2.6</v>
      </c>
      <c r="I1813" s="158">
        <v>5.7</v>
      </c>
      <c r="J1813" s="158">
        <v>8.3000000000000007</v>
      </c>
      <c r="K1813" s="158" t="s">
        <v>235</v>
      </c>
    </row>
    <row r="1814" spans="4:11">
      <c r="D1814" s="158">
        <v>171197</v>
      </c>
      <c r="E1814" s="158">
        <v>11743</v>
      </c>
      <c r="F1814" s="158">
        <v>2181</v>
      </c>
      <c r="G1814" s="158">
        <v>8.4</v>
      </c>
      <c r="H1814" s="158">
        <v>1.5</v>
      </c>
      <c r="I1814" s="158">
        <v>6.9</v>
      </c>
      <c r="J1814" s="158">
        <v>8.4</v>
      </c>
      <c r="K1814" s="158" t="s">
        <v>235</v>
      </c>
    </row>
    <row r="1815" spans="4:11">
      <c r="D1815" s="158">
        <v>171198</v>
      </c>
      <c r="E1815" s="158">
        <v>11743</v>
      </c>
      <c r="F1815" s="158">
        <v>300</v>
      </c>
      <c r="H1815" s="158">
        <v>0</v>
      </c>
      <c r="I1815" s="158">
        <v>0</v>
      </c>
      <c r="J1815" s="158">
        <v>0</v>
      </c>
      <c r="K1815" s="158" t="s">
        <v>235</v>
      </c>
    </row>
    <row r="1816" spans="4:11">
      <c r="D1816" s="158">
        <v>171199</v>
      </c>
      <c r="E1816" s="158">
        <v>11743</v>
      </c>
      <c r="F1816" s="158">
        <v>2181</v>
      </c>
      <c r="G1816" s="158">
        <v>3.1</v>
      </c>
      <c r="H1816" s="158">
        <v>0</v>
      </c>
      <c r="I1816" s="158">
        <v>3.1</v>
      </c>
      <c r="J1816" s="158">
        <v>3.1</v>
      </c>
      <c r="K1816" s="158" t="s">
        <v>235</v>
      </c>
    </row>
    <row r="1817" spans="4:11">
      <c r="D1817" s="158">
        <v>171200</v>
      </c>
      <c r="E1817" s="158">
        <v>11742</v>
      </c>
      <c r="F1817" s="158">
        <v>2181</v>
      </c>
      <c r="G1817" s="158">
        <v>3.1</v>
      </c>
      <c r="H1817" s="158">
        <v>3</v>
      </c>
      <c r="I1817" s="158">
        <v>0.1</v>
      </c>
      <c r="J1817" s="158">
        <v>3.1</v>
      </c>
      <c r="K1817" s="158" t="s">
        <v>235</v>
      </c>
    </row>
    <row r="1818" spans="4:11">
      <c r="D1818" s="158">
        <v>171205</v>
      </c>
      <c r="E1818" s="158">
        <v>11717</v>
      </c>
      <c r="F1818" s="158">
        <v>2142</v>
      </c>
      <c r="H1818" s="158">
        <v>0</v>
      </c>
      <c r="I1818" s="158">
        <v>0</v>
      </c>
      <c r="J1818" s="158">
        <v>0</v>
      </c>
      <c r="K1818" s="158" t="s">
        <v>235</v>
      </c>
    </row>
    <row r="1819" spans="4:11">
      <c r="D1819" s="158">
        <v>171206</v>
      </c>
      <c r="E1819" s="158">
        <v>10691</v>
      </c>
      <c r="F1819" s="158">
        <v>2142</v>
      </c>
      <c r="G1819" s="158">
        <v>13</v>
      </c>
      <c r="H1819" s="158">
        <v>12</v>
      </c>
      <c r="I1819" s="158">
        <v>0</v>
      </c>
      <c r="J1819" s="158">
        <v>12</v>
      </c>
      <c r="K1819" s="158" t="s">
        <v>235</v>
      </c>
    </row>
    <row r="1820" spans="4:11">
      <c r="D1820" s="158">
        <v>171208</v>
      </c>
      <c r="E1820" s="158">
        <v>10691</v>
      </c>
      <c r="F1820" s="158">
        <v>2174</v>
      </c>
      <c r="G1820" s="158">
        <v>19.899999999999999</v>
      </c>
      <c r="H1820" s="158">
        <v>0</v>
      </c>
      <c r="I1820" s="158">
        <v>0</v>
      </c>
      <c r="J1820" s="158">
        <v>0</v>
      </c>
      <c r="K1820" s="158" t="s">
        <v>235</v>
      </c>
    </row>
    <row r="1821" spans="4:11">
      <c r="D1821" s="158">
        <v>171209</v>
      </c>
      <c r="E1821" s="158">
        <v>10693</v>
      </c>
      <c r="F1821" s="158">
        <v>1795</v>
      </c>
      <c r="G1821" s="158">
        <v>15.4</v>
      </c>
      <c r="H1821" s="158">
        <v>0</v>
      </c>
      <c r="I1821" s="158">
        <v>0</v>
      </c>
      <c r="J1821" s="158">
        <v>0</v>
      </c>
      <c r="K1821" s="158" t="s">
        <v>235</v>
      </c>
    </row>
    <row r="1822" spans="4:11">
      <c r="D1822" s="158">
        <v>171210</v>
      </c>
      <c r="E1822" s="158">
        <v>10693</v>
      </c>
      <c r="F1822" s="158">
        <v>2174</v>
      </c>
      <c r="G1822" s="158">
        <v>8.3000000000000007</v>
      </c>
      <c r="H1822" s="158">
        <v>0</v>
      </c>
      <c r="I1822" s="158">
        <v>0</v>
      </c>
      <c r="J1822" s="158">
        <v>0</v>
      </c>
      <c r="K1822" s="158" t="s">
        <v>235</v>
      </c>
    </row>
    <row r="1823" spans="4:11">
      <c r="D1823" s="158">
        <v>171211</v>
      </c>
      <c r="E1823" s="158">
        <v>10688</v>
      </c>
      <c r="F1823" s="158">
        <v>2120</v>
      </c>
      <c r="G1823" s="158">
        <v>8.3000000000000007</v>
      </c>
      <c r="H1823" s="158">
        <v>7.5</v>
      </c>
      <c r="I1823" s="158">
        <v>0</v>
      </c>
      <c r="J1823" s="158">
        <v>7.5</v>
      </c>
      <c r="K1823" s="158" t="s">
        <v>235</v>
      </c>
    </row>
    <row r="1824" spans="4:11">
      <c r="D1824" s="158">
        <v>171212</v>
      </c>
      <c r="E1824" s="158">
        <v>10688</v>
      </c>
      <c r="F1824" s="158">
        <v>2120</v>
      </c>
      <c r="G1824" s="158">
        <v>5.2</v>
      </c>
      <c r="H1824" s="158">
        <v>4</v>
      </c>
      <c r="I1824" s="158">
        <v>0</v>
      </c>
      <c r="J1824" s="158">
        <v>4</v>
      </c>
      <c r="K1824" s="158" t="s">
        <v>235</v>
      </c>
    </row>
    <row r="1825" spans="4:11">
      <c r="D1825" s="158">
        <v>171213</v>
      </c>
      <c r="E1825" s="158">
        <v>10688</v>
      </c>
      <c r="F1825" s="158">
        <v>2120</v>
      </c>
      <c r="G1825" s="158">
        <v>15.5</v>
      </c>
      <c r="H1825" s="158">
        <v>8.5</v>
      </c>
      <c r="I1825" s="158">
        <v>0</v>
      </c>
      <c r="J1825" s="158">
        <v>8.5</v>
      </c>
      <c r="K1825" s="158" t="s">
        <v>235</v>
      </c>
    </row>
    <row r="1826" spans="4:11">
      <c r="D1826" s="158">
        <v>171214</v>
      </c>
      <c r="E1826" s="158">
        <v>10688</v>
      </c>
      <c r="F1826" s="158">
        <v>2120</v>
      </c>
      <c r="G1826" s="158">
        <v>4.0999999999999996</v>
      </c>
      <c r="H1826" s="158">
        <v>0</v>
      </c>
      <c r="I1826" s="158">
        <v>0</v>
      </c>
      <c r="J1826" s="158">
        <v>0</v>
      </c>
      <c r="K1826" s="158" t="s">
        <v>235</v>
      </c>
    </row>
    <row r="1827" spans="4:11">
      <c r="D1827" s="158">
        <v>171216</v>
      </c>
      <c r="E1827" s="158">
        <v>10688</v>
      </c>
      <c r="F1827" s="158">
        <v>2122</v>
      </c>
      <c r="G1827" s="158">
        <v>8.3000000000000007</v>
      </c>
      <c r="H1827" s="158">
        <v>4.25</v>
      </c>
      <c r="I1827" s="158">
        <v>0</v>
      </c>
      <c r="J1827" s="158">
        <v>4.25</v>
      </c>
      <c r="K1827" s="158" t="s">
        <v>235</v>
      </c>
    </row>
    <row r="1828" spans="4:11">
      <c r="D1828" s="158">
        <v>171218</v>
      </c>
      <c r="E1828" s="158">
        <v>10688</v>
      </c>
      <c r="F1828" s="158">
        <v>2122</v>
      </c>
      <c r="G1828" s="158">
        <v>5.5</v>
      </c>
      <c r="H1828" s="158">
        <v>5.5</v>
      </c>
      <c r="I1828" s="158">
        <v>0</v>
      </c>
      <c r="J1828" s="158">
        <v>5.5</v>
      </c>
      <c r="K1828" s="158" t="s">
        <v>235</v>
      </c>
    </row>
    <row r="1829" spans="4:11">
      <c r="D1829" s="158">
        <v>171419</v>
      </c>
      <c r="E1829" s="158">
        <v>10688</v>
      </c>
      <c r="F1829" s="158">
        <v>2120</v>
      </c>
      <c r="G1829" s="158">
        <v>15.5</v>
      </c>
      <c r="H1829" s="158">
        <v>17</v>
      </c>
      <c r="I1829" s="158">
        <v>0</v>
      </c>
      <c r="J1829" s="158">
        <v>17</v>
      </c>
      <c r="K1829" s="158" t="s">
        <v>235</v>
      </c>
    </row>
    <row r="1830" spans="4:11">
      <c r="D1830" s="158">
        <v>171420</v>
      </c>
      <c r="E1830" s="158">
        <v>11749</v>
      </c>
      <c r="F1830" s="158">
        <v>2120</v>
      </c>
      <c r="G1830" s="158">
        <v>2</v>
      </c>
      <c r="H1830" s="158">
        <v>2</v>
      </c>
      <c r="I1830" s="158">
        <v>0</v>
      </c>
      <c r="J1830" s="158">
        <v>2</v>
      </c>
      <c r="K1830" s="158" t="s">
        <v>235</v>
      </c>
    </row>
    <row r="1831" spans="4:11">
      <c r="D1831" s="158">
        <v>171469</v>
      </c>
      <c r="E1831" s="158">
        <v>10763</v>
      </c>
      <c r="F1831" s="158">
        <v>306</v>
      </c>
      <c r="G1831" s="158">
        <v>9</v>
      </c>
      <c r="H1831" s="158">
        <v>7.75</v>
      </c>
      <c r="I1831" s="158">
        <v>0</v>
      </c>
      <c r="J1831" s="158">
        <v>7.75</v>
      </c>
      <c r="K1831" s="158" t="s">
        <v>235</v>
      </c>
    </row>
    <row r="1832" spans="4:11">
      <c r="D1832" s="158">
        <v>171470</v>
      </c>
      <c r="E1832" s="158">
        <v>10763</v>
      </c>
      <c r="F1832" s="158">
        <v>2028</v>
      </c>
      <c r="G1832" s="158">
        <v>0.8</v>
      </c>
      <c r="H1832" s="158">
        <v>0.8</v>
      </c>
      <c r="I1832" s="158">
        <v>0</v>
      </c>
      <c r="J1832" s="158">
        <v>0.8</v>
      </c>
      <c r="K1832" s="158" t="s">
        <v>235</v>
      </c>
    </row>
    <row r="1833" spans="4:11">
      <c r="D1833" s="158">
        <v>171852</v>
      </c>
      <c r="E1833" s="158">
        <v>11309</v>
      </c>
      <c r="F1833" s="158">
        <v>2266</v>
      </c>
      <c r="G1833" s="158">
        <v>15</v>
      </c>
      <c r="H1833" s="158">
        <v>7</v>
      </c>
      <c r="I1833" s="158">
        <v>0</v>
      </c>
      <c r="J1833" s="158">
        <v>7</v>
      </c>
      <c r="K1833" s="158" t="s">
        <v>236</v>
      </c>
    </row>
    <row r="1834" spans="4:11">
      <c r="D1834" s="158">
        <v>171853</v>
      </c>
      <c r="E1834" s="158">
        <v>11309</v>
      </c>
      <c r="F1834" s="158">
        <v>362</v>
      </c>
      <c r="G1834" s="158">
        <v>5</v>
      </c>
      <c r="H1834" s="158">
        <v>4</v>
      </c>
      <c r="I1834" s="158">
        <v>0</v>
      </c>
      <c r="J1834" s="158">
        <v>4</v>
      </c>
      <c r="K1834" s="158" t="s">
        <v>236</v>
      </c>
    </row>
    <row r="1835" spans="4:11">
      <c r="D1835" s="158">
        <v>171876</v>
      </c>
      <c r="E1835" s="158">
        <v>10815</v>
      </c>
      <c r="F1835" s="158">
        <v>1999</v>
      </c>
      <c r="G1835" s="158">
        <v>8.4</v>
      </c>
      <c r="H1835" s="158">
        <v>8</v>
      </c>
      <c r="I1835" s="158">
        <v>0</v>
      </c>
      <c r="J1835" s="158">
        <v>8</v>
      </c>
      <c r="K1835" s="158" t="s">
        <v>235</v>
      </c>
    </row>
    <row r="1836" spans="4:11">
      <c r="D1836" s="158">
        <v>171877</v>
      </c>
      <c r="E1836" s="158">
        <v>10815</v>
      </c>
      <c r="F1836" s="158">
        <v>1999</v>
      </c>
      <c r="G1836" s="158">
        <v>4</v>
      </c>
      <c r="H1836" s="158">
        <v>4</v>
      </c>
      <c r="I1836" s="158">
        <v>0</v>
      </c>
      <c r="J1836" s="158">
        <v>4</v>
      </c>
      <c r="K1836" s="158" t="s">
        <v>235</v>
      </c>
    </row>
    <row r="1837" spans="4:11">
      <c r="D1837" s="158">
        <v>171881</v>
      </c>
      <c r="E1837" s="158">
        <v>11214</v>
      </c>
      <c r="F1837" s="158">
        <v>2062</v>
      </c>
      <c r="H1837" s="158">
        <v>2.8</v>
      </c>
      <c r="I1837" s="158">
        <v>0</v>
      </c>
      <c r="J1837" s="158">
        <v>2.8</v>
      </c>
      <c r="K1837" s="158" t="s">
        <v>235</v>
      </c>
    </row>
    <row r="1838" spans="4:11">
      <c r="D1838" s="158">
        <v>171903</v>
      </c>
      <c r="E1838" s="158">
        <v>11308</v>
      </c>
      <c r="F1838" s="158">
        <v>2266</v>
      </c>
      <c r="G1838" s="158">
        <v>2.75</v>
      </c>
      <c r="H1838" s="158">
        <v>1</v>
      </c>
      <c r="I1838" s="158">
        <v>0</v>
      </c>
      <c r="J1838" s="158">
        <v>1</v>
      </c>
      <c r="K1838" s="158" t="s">
        <v>236</v>
      </c>
    </row>
    <row r="1839" spans="4:11">
      <c r="D1839" s="158">
        <v>171904</v>
      </c>
      <c r="E1839" s="158">
        <v>11309</v>
      </c>
      <c r="F1839" s="158">
        <v>2266</v>
      </c>
      <c r="G1839" s="158">
        <v>0</v>
      </c>
      <c r="H1839" s="158">
        <v>0</v>
      </c>
      <c r="I1839" s="158">
        <v>0</v>
      </c>
      <c r="J1839" s="158">
        <v>0</v>
      </c>
      <c r="K1839" s="158" t="s">
        <v>236</v>
      </c>
    </row>
    <row r="1840" spans="4:11">
      <c r="D1840" s="158">
        <v>171905</v>
      </c>
      <c r="E1840" s="158">
        <v>11307</v>
      </c>
      <c r="F1840" s="158">
        <v>362</v>
      </c>
      <c r="G1840" s="158">
        <v>2</v>
      </c>
      <c r="H1840" s="158">
        <v>4</v>
      </c>
      <c r="I1840" s="158">
        <v>0</v>
      </c>
      <c r="J1840" s="158">
        <v>4</v>
      </c>
      <c r="K1840" s="158" t="s">
        <v>236</v>
      </c>
    </row>
    <row r="1841" spans="4:11">
      <c r="D1841" s="158">
        <v>171925</v>
      </c>
      <c r="E1841" s="158">
        <v>10816</v>
      </c>
      <c r="F1841" s="158">
        <v>2028</v>
      </c>
      <c r="G1841" s="158">
        <v>0.25</v>
      </c>
      <c r="H1841" s="158">
        <v>0.25</v>
      </c>
      <c r="I1841" s="158">
        <v>0</v>
      </c>
      <c r="J1841" s="158">
        <v>0.25</v>
      </c>
      <c r="K1841" s="158" t="s">
        <v>235</v>
      </c>
    </row>
    <row r="1842" spans="4:11">
      <c r="D1842" s="158">
        <v>171926</v>
      </c>
      <c r="E1842" s="158">
        <v>10815</v>
      </c>
      <c r="F1842" s="158">
        <v>2028</v>
      </c>
      <c r="G1842" s="158">
        <v>0.4</v>
      </c>
      <c r="H1842" s="158">
        <v>0.4</v>
      </c>
      <c r="I1842" s="158">
        <v>0</v>
      </c>
      <c r="J1842" s="158">
        <v>0.4</v>
      </c>
      <c r="K1842" s="158" t="s">
        <v>235</v>
      </c>
    </row>
    <row r="1843" spans="4:11">
      <c r="D1843" s="158">
        <v>171927</v>
      </c>
      <c r="E1843" s="158">
        <v>10815</v>
      </c>
      <c r="F1843" s="158">
        <v>2028</v>
      </c>
      <c r="H1843" s="158">
        <v>0</v>
      </c>
      <c r="I1843" s="158">
        <v>0</v>
      </c>
      <c r="J1843" s="158">
        <v>0</v>
      </c>
      <c r="K1843" s="158" t="s">
        <v>235</v>
      </c>
    </row>
    <row r="1844" spans="4:11">
      <c r="D1844" s="158">
        <v>171978</v>
      </c>
      <c r="E1844" s="158">
        <v>10020</v>
      </c>
      <c r="F1844" s="158">
        <v>402</v>
      </c>
      <c r="G1844" s="158">
        <v>0.3</v>
      </c>
      <c r="H1844" s="158">
        <v>0.3</v>
      </c>
      <c r="I1844" s="158">
        <v>0</v>
      </c>
      <c r="J1844" s="158">
        <v>0.3</v>
      </c>
      <c r="K1844" s="158" t="s">
        <v>238</v>
      </c>
    </row>
    <row r="1845" spans="4:11">
      <c r="D1845" s="158">
        <v>172011</v>
      </c>
      <c r="E1845" s="158">
        <v>11309</v>
      </c>
      <c r="F1845" s="158">
        <v>2156</v>
      </c>
      <c r="G1845" s="158">
        <v>1.1000000000000001</v>
      </c>
      <c r="H1845" s="158">
        <v>3</v>
      </c>
      <c r="I1845" s="158">
        <v>0</v>
      </c>
      <c r="J1845" s="158">
        <v>3</v>
      </c>
      <c r="K1845" s="158" t="s">
        <v>236</v>
      </c>
    </row>
    <row r="1846" spans="4:11">
      <c r="D1846" s="158">
        <v>172012</v>
      </c>
      <c r="E1846" s="158">
        <v>11309</v>
      </c>
      <c r="F1846" s="158">
        <v>2135</v>
      </c>
      <c r="G1846" s="158">
        <v>21.5</v>
      </c>
      <c r="H1846" s="158">
        <v>21.5</v>
      </c>
      <c r="I1846" s="158">
        <v>8</v>
      </c>
      <c r="J1846" s="158">
        <v>29.5</v>
      </c>
      <c r="K1846" s="158" t="s">
        <v>236</v>
      </c>
    </row>
    <row r="1847" spans="4:11">
      <c r="D1847" s="158">
        <v>172024</v>
      </c>
      <c r="E1847" s="158">
        <v>10020</v>
      </c>
      <c r="F1847" s="158">
        <v>1667</v>
      </c>
      <c r="G1847" s="158">
        <v>6.95</v>
      </c>
      <c r="H1847" s="158">
        <v>2.35</v>
      </c>
      <c r="I1847" s="158">
        <v>0.75</v>
      </c>
      <c r="J1847" s="158">
        <v>3.1</v>
      </c>
      <c r="K1847" s="158" t="s">
        <v>238</v>
      </c>
    </row>
    <row r="1848" spans="4:11">
      <c r="D1848" s="158">
        <v>172025</v>
      </c>
      <c r="E1848" s="158">
        <v>10020</v>
      </c>
      <c r="F1848" s="158">
        <v>1667</v>
      </c>
      <c r="G1848" s="158">
        <v>2.25</v>
      </c>
      <c r="H1848" s="158">
        <v>2.25</v>
      </c>
      <c r="I1848" s="158">
        <v>0</v>
      </c>
      <c r="J1848" s="158">
        <v>2.25</v>
      </c>
      <c r="K1848" s="158" t="s">
        <v>238</v>
      </c>
    </row>
    <row r="1849" spans="4:11">
      <c r="D1849" s="158">
        <v>172026</v>
      </c>
      <c r="E1849" s="158">
        <v>10020</v>
      </c>
      <c r="F1849" s="158">
        <v>402</v>
      </c>
      <c r="G1849" s="158">
        <v>0.3</v>
      </c>
      <c r="H1849" s="158">
        <v>0.6</v>
      </c>
      <c r="I1849" s="158">
        <v>0</v>
      </c>
      <c r="J1849" s="158">
        <v>0.6</v>
      </c>
      <c r="K1849" s="158" t="s">
        <v>238</v>
      </c>
    </row>
    <row r="1850" spans="4:11">
      <c r="D1850" s="158">
        <v>172122</v>
      </c>
      <c r="E1850" s="158">
        <v>10100</v>
      </c>
      <c r="F1850" s="158">
        <v>229</v>
      </c>
      <c r="G1850" s="158">
        <v>4.5</v>
      </c>
      <c r="H1850" s="158">
        <v>5.7</v>
      </c>
      <c r="I1850" s="158">
        <v>0</v>
      </c>
      <c r="J1850" s="158">
        <v>5.7</v>
      </c>
      <c r="K1850" s="158" t="s">
        <v>237</v>
      </c>
    </row>
    <row r="1851" spans="4:11">
      <c r="D1851" s="158">
        <v>172123</v>
      </c>
      <c r="E1851" s="158">
        <v>10100</v>
      </c>
      <c r="F1851" s="158">
        <v>180</v>
      </c>
      <c r="G1851" s="158">
        <v>0.6</v>
      </c>
      <c r="H1851" s="158">
        <v>0</v>
      </c>
      <c r="I1851" s="158">
        <v>0</v>
      </c>
      <c r="J1851" s="158">
        <v>0.6</v>
      </c>
      <c r="K1851" s="158" t="s">
        <v>237</v>
      </c>
    </row>
    <row r="1852" spans="4:11">
      <c r="D1852" s="158">
        <v>172126</v>
      </c>
      <c r="E1852" s="158">
        <v>10100</v>
      </c>
      <c r="F1852" s="158">
        <v>180</v>
      </c>
      <c r="G1852" s="158">
        <v>4.5</v>
      </c>
      <c r="H1852" s="158">
        <v>5.89</v>
      </c>
      <c r="I1852" s="158">
        <v>0</v>
      </c>
      <c r="J1852" s="158">
        <v>5.89</v>
      </c>
      <c r="K1852" s="158" t="s">
        <v>237</v>
      </c>
    </row>
    <row r="1853" spans="4:11">
      <c r="D1853" s="158">
        <v>172127</v>
      </c>
      <c r="E1853" s="158">
        <v>10100</v>
      </c>
      <c r="F1853" s="158">
        <v>229</v>
      </c>
      <c r="G1853" s="158">
        <v>0.6</v>
      </c>
      <c r="H1853" s="158">
        <v>0.4</v>
      </c>
      <c r="I1853" s="158">
        <v>0</v>
      </c>
      <c r="J1853" s="158">
        <v>0.4</v>
      </c>
      <c r="K1853" s="158" t="s">
        <v>237</v>
      </c>
    </row>
    <row r="1854" spans="4:11">
      <c r="D1854" s="158">
        <v>172133</v>
      </c>
      <c r="E1854" s="158">
        <v>10745</v>
      </c>
      <c r="F1854" s="158">
        <v>222</v>
      </c>
      <c r="G1854" s="158">
        <v>6.4</v>
      </c>
      <c r="H1854" s="158">
        <v>5.25</v>
      </c>
      <c r="I1854" s="158">
        <v>0</v>
      </c>
      <c r="J1854" s="158">
        <v>5.25</v>
      </c>
      <c r="K1854" s="158" t="s">
        <v>235</v>
      </c>
    </row>
    <row r="1855" spans="4:11">
      <c r="D1855" s="158">
        <v>172164</v>
      </c>
      <c r="E1855" s="158">
        <v>10814</v>
      </c>
      <c r="F1855" s="158">
        <v>1251</v>
      </c>
      <c r="G1855" s="158">
        <v>3</v>
      </c>
      <c r="H1855" s="158">
        <v>3.5</v>
      </c>
      <c r="I1855" s="158">
        <v>0</v>
      </c>
      <c r="J1855" s="158">
        <v>3.5</v>
      </c>
      <c r="K1855" s="158" t="s">
        <v>235</v>
      </c>
    </row>
    <row r="1856" spans="4:11">
      <c r="D1856" s="158">
        <v>172165</v>
      </c>
      <c r="E1856" s="158">
        <v>10814</v>
      </c>
      <c r="F1856" s="158">
        <v>1999</v>
      </c>
      <c r="G1856" s="158">
        <v>2</v>
      </c>
      <c r="H1856" s="158">
        <v>1</v>
      </c>
      <c r="I1856" s="158">
        <v>0</v>
      </c>
      <c r="J1856" s="158">
        <v>1</v>
      </c>
      <c r="K1856" s="158" t="s">
        <v>235</v>
      </c>
    </row>
    <row r="1857" spans="4:11">
      <c r="D1857" s="158">
        <v>172166</v>
      </c>
      <c r="E1857" s="158">
        <v>10814</v>
      </c>
      <c r="F1857" s="158">
        <v>2176</v>
      </c>
      <c r="G1857" s="158">
        <v>1.2</v>
      </c>
      <c r="I1857" s="158">
        <v>0</v>
      </c>
      <c r="J1857" s="158">
        <v>0</v>
      </c>
      <c r="K1857" s="158" t="s">
        <v>235</v>
      </c>
    </row>
    <row r="1858" spans="4:11">
      <c r="D1858" s="158">
        <v>172167</v>
      </c>
      <c r="E1858" s="158">
        <v>10814</v>
      </c>
      <c r="F1858" s="158">
        <v>2176</v>
      </c>
      <c r="G1858" s="158">
        <v>4.0999999999999996</v>
      </c>
      <c r="I1858" s="158">
        <v>0</v>
      </c>
      <c r="J1858" s="158">
        <v>0</v>
      </c>
      <c r="K1858" s="158" t="s">
        <v>235</v>
      </c>
    </row>
    <row r="1859" spans="4:11">
      <c r="D1859" s="158">
        <v>172183</v>
      </c>
      <c r="E1859" s="158">
        <v>10636</v>
      </c>
      <c r="F1859" s="158">
        <v>2184</v>
      </c>
      <c r="G1859" s="158">
        <v>4.0999999999999996</v>
      </c>
      <c r="H1859" s="158">
        <v>1</v>
      </c>
      <c r="I1859" s="158">
        <v>0</v>
      </c>
      <c r="J1859" s="158">
        <v>1</v>
      </c>
      <c r="K1859" s="158" t="s">
        <v>235</v>
      </c>
    </row>
    <row r="1860" spans="4:11">
      <c r="D1860" s="158">
        <v>172184</v>
      </c>
      <c r="E1860" s="158">
        <v>10101</v>
      </c>
      <c r="F1860" s="158">
        <v>229</v>
      </c>
      <c r="H1860" s="158">
        <v>1.5</v>
      </c>
      <c r="I1860" s="158">
        <v>0</v>
      </c>
      <c r="J1860" s="158">
        <v>1.5</v>
      </c>
      <c r="K1860" s="158" t="s">
        <v>237</v>
      </c>
    </row>
    <row r="1861" spans="4:11">
      <c r="D1861" s="158">
        <v>172185</v>
      </c>
      <c r="E1861" s="158">
        <v>10101</v>
      </c>
      <c r="F1861" s="158">
        <v>180</v>
      </c>
      <c r="H1861" s="158">
        <v>0</v>
      </c>
      <c r="I1861" s="158">
        <v>0</v>
      </c>
      <c r="J1861" s="158">
        <v>0</v>
      </c>
      <c r="K1861" s="158" t="s">
        <v>237</v>
      </c>
    </row>
    <row r="1862" spans="4:11">
      <c r="D1862" s="158">
        <v>172187</v>
      </c>
      <c r="E1862" s="158">
        <v>11213</v>
      </c>
      <c r="F1862" s="158">
        <v>2062</v>
      </c>
      <c r="H1862" s="158">
        <v>0</v>
      </c>
      <c r="I1862" s="158">
        <v>0</v>
      </c>
      <c r="J1862" s="158">
        <v>0</v>
      </c>
      <c r="K1862" s="158" t="s">
        <v>235</v>
      </c>
    </row>
    <row r="1863" spans="4:11">
      <c r="D1863" s="158">
        <v>172189</v>
      </c>
      <c r="E1863" s="158">
        <v>11213</v>
      </c>
      <c r="F1863" s="158">
        <v>197</v>
      </c>
      <c r="H1863" s="158">
        <v>7.5</v>
      </c>
      <c r="I1863" s="158">
        <v>0</v>
      </c>
      <c r="J1863" s="158">
        <v>7.5</v>
      </c>
      <c r="K1863" s="158" t="s">
        <v>235</v>
      </c>
    </row>
    <row r="1864" spans="4:11">
      <c r="D1864" s="158">
        <v>172190</v>
      </c>
      <c r="E1864" s="158">
        <v>10720</v>
      </c>
      <c r="F1864" s="158">
        <v>2062</v>
      </c>
      <c r="G1864" s="158">
        <v>18.600000000000001</v>
      </c>
      <c r="H1864" s="158">
        <v>0</v>
      </c>
      <c r="I1864" s="158">
        <v>0</v>
      </c>
      <c r="J1864" s="158">
        <v>0</v>
      </c>
      <c r="K1864" s="158" t="s">
        <v>235</v>
      </c>
    </row>
    <row r="1865" spans="4:11">
      <c r="D1865" s="158">
        <v>172191</v>
      </c>
      <c r="E1865" s="158">
        <v>10720</v>
      </c>
      <c r="F1865" s="158">
        <v>2062</v>
      </c>
      <c r="G1865" s="158">
        <v>6.4</v>
      </c>
      <c r="H1865" s="158">
        <v>4.5599999999999996</v>
      </c>
      <c r="I1865" s="158">
        <v>2</v>
      </c>
      <c r="J1865" s="158">
        <v>6.56</v>
      </c>
      <c r="K1865" s="158" t="s">
        <v>235</v>
      </c>
    </row>
    <row r="1866" spans="4:11">
      <c r="D1866" s="158">
        <v>172193</v>
      </c>
      <c r="E1866" s="158">
        <v>10101</v>
      </c>
      <c r="F1866" s="158">
        <v>229</v>
      </c>
      <c r="H1866" s="158">
        <v>0</v>
      </c>
      <c r="I1866" s="158">
        <v>0</v>
      </c>
      <c r="J1866" s="158">
        <v>0</v>
      </c>
      <c r="K1866" s="158" t="s">
        <v>237</v>
      </c>
    </row>
    <row r="1867" spans="4:11">
      <c r="D1867" s="158">
        <v>172195</v>
      </c>
      <c r="E1867" s="158">
        <v>10766</v>
      </c>
      <c r="F1867" s="158">
        <v>2062</v>
      </c>
      <c r="H1867" s="158">
        <v>1.95</v>
      </c>
      <c r="I1867" s="158">
        <v>0</v>
      </c>
      <c r="J1867" s="158">
        <v>1.95</v>
      </c>
      <c r="K1867" s="158" t="s">
        <v>235</v>
      </c>
    </row>
    <row r="1868" spans="4:11">
      <c r="D1868" s="158">
        <v>172196</v>
      </c>
      <c r="E1868" s="158">
        <v>10766</v>
      </c>
      <c r="F1868" s="158">
        <v>1014</v>
      </c>
      <c r="H1868" s="158">
        <v>1.1000000000000001</v>
      </c>
      <c r="I1868" s="158">
        <v>0</v>
      </c>
      <c r="J1868" s="158">
        <v>1.1000000000000001</v>
      </c>
      <c r="K1868" s="158" t="s">
        <v>235</v>
      </c>
    </row>
    <row r="1869" spans="4:11">
      <c r="D1869" s="158">
        <v>172201</v>
      </c>
      <c r="E1869" s="158">
        <v>11213</v>
      </c>
      <c r="F1869" s="158">
        <v>2177</v>
      </c>
      <c r="G1869" s="158">
        <v>31</v>
      </c>
      <c r="I1869" s="158">
        <v>0</v>
      </c>
      <c r="J1869" s="158">
        <v>0</v>
      </c>
      <c r="K1869" s="158" t="s">
        <v>235</v>
      </c>
    </row>
    <row r="1870" spans="4:11">
      <c r="D1870" s="158">
        <v>172203</v>
      </c>
      <c r="E1870" s="158">
        <v>10720</v>
      </c>
      <c r="F1870" s="158">
        <v>2062</v>
      </c>
      <c r="G1870" s="158">
        <v>9.3000000000000007</v>
      </c>
      <c r="H1870" s="158">
        <v>4.3499999999999996</v>
      </c>
      <c r="I1870" s="158">
        <v>4</v>
      </c>
      <c r="J1870" s="158">
        <v>8.35</v>
      </c>
      <c r="K1870" s="158" t="s">
        <v>235</v>
      </c>
    </row>
    <row r="1871" spans="4:11">
      <c r="D1871" s="158">
        <v>172204</v>
      </c>
      <c r="E1871" s="158">
        <v>10763</v>
      </c>
      <c r="F1871" s="158">
        <v>2177</v>
      </c>
      <c r="G1871" s="158">
        <v>9.8000000000000007</v>
      </c>
      <c r="H1871" s="158">
        <v>0</v>
      </c>
      <c r="I1871" s="158">
        <v>0</v>
      </c>
      <c r="J1871" s="158">
        <v>0</v>
      </c>
      <c r="K1871" s="158" t="s">
        <v>235</v>
      </c>
    </row>
    <row r="1872" spans="4:11">
      <c r="D1872" s="158">
        <v>172205</v>
      </c>
      <c r="E1872" s="158">
        <v>10688</v>
      </c>
      <c r="F1872" s="158">
        <v>2120</v>
      </c>
      <c r="G1872" s="158">
        <v>0.5</v>
      </c>
      <c r="H1872" s="158">
        <v>0</v>
      </c>
      <c r="I1872" s="158">
        <v>0</v>
      </c>
      <c r="J1872" s="158">
        <v>0</v>
      </c>
      <c r="K1872" s="158" t="s">
        <v>235</v>
      </c>
    </row>
    <row r="1873" spans="4:11">
      <c r="D1873" s="158">
        <v>172206</v>
      </c>
      <c r="E1873" s="158">
        <v>11309</v>
      </c>
      <c r="F1873" s="158">
        <v>2135</v>
      </c>
      <c r="G1873" s="158">
        <v>5.9</v>
      </c>
      <c r="H1873" s="158">
        <v>5.75</v>
      </c>
      <c r="I1873" s="158">
        <v>0</v>
      </c>
      <c r="J1873" s="158">
        <v>5.75</v>
      </c>
      <c r="K1873" s="158" t="s">
        <v>236</v>
      </c>
    </row>
    <row r="1874" spans="4:11">
      <c r="D1874" s="158">
        <v>172229</v>
      </c>
      <c r="E1874" s="158">
        <v>10720</v>
      </c>
      <c r="F1874" s="158">
        <v>2062</v>
      </c>
      <c r="H1874" s="158">
        <v>0.3</v>
      </c>
      <c r="I1874" s="158">
        <v>0</v>
      </c>
      <c r="J1874" s="158">
        <v>0.3</v>
      </c>
      <c r="K1874" s="158" t="s">
        <v>235</v>
      </c>
    </row>
    <row r="1875" spans="4:11">
      <c r="D1875" s="158">
        <v>172230</v>
      </c>
      <c r="E1875" s="158">
        <v>10720</v>
      </c>
      <c r="F1875" s="158">
        <v>1014</v>
      </c>
      <c r="H1875" s="158">
        <v>2.35</v>
      </c>
      <c r="J1875" s="158">
        <v>2.35</v>
      </c>
      <c r="K1875" s="158" t="s">
        <v>235</v>
      </c>
    </row>
    <row r="1876" spans="4:11">
      <c r="D1876" s="158">
        <v>172231</v>
      </c>
      <c r="E1876" s="158">
        <v>10720</v>
      </c>
      <c r="F1876" s="158">
        <v>2075</v>
      </c>
      <c r="H1876" s="158">
        <v>0</v>
      </c>
      <c r="I1876" s="158">
        <v>0</v>
      </c>
      <c r="J1876" s="158">
        <v>0</v>
      </c>
      <c r="K1876" s="158" t="s">
        <v>235</v>
      </c>
    </row>
    <row r="1877" spans="4:11">
      <c r="D1877" s="158">
        <v>172232</v>
      </c>
      <c r="E1877" s="158">
        <v>10720</v>
      </c>
      <c r="F1877" s="158">
        <v>1738</v>
      </c>
      <c r="H1877" s="158">
        <v>0</v>
      </c>
      <c r="I1877" s="158">
        <v>0</v>
      </c>
      <c r="J1877" s="158">
        <v>0</v>
      </c>
      <c r="K1877" s="158" t="s">
        <v>235</v>
      </c>
    </row>
    <row r="1878" spans="4:11">
      <c r="D1878" s="158">
        <v>172296</v>
      </c>
      <c r="E1878" s="158">
        <v>10720</v>
      </c>
      <c r="F1878" s="158">
        <v>2062</v>
      </c>
      <c r="G1878" s="158">
        <v>12.9</v>
      </c>
      <c r="H1878" s="158">
        <v>13.1</v>
      </c>
      <c r="I1878" s="158">
        <v>0</v>
      </c>
      <c r="J1878" s="158">
        <v>13.1</v>
      </c>
      <c r="K1878" s="158" t="s">
        <v>235</v>
      </c>
    </row>
    <row r="1879" spans="4:11">
      <c r="D1879" s="158">
        <v>172299</v>
      </c>
      <c r="E1879" s="158">
        <v>10816</v>
      </c>
      <c r="F1879" s="158">
        <v>2122</v>
      </c>
      <c r="H1879" s="158">
        <v>1</v>
      </c>
      <c r="I1879" s="158">
        <v>0</v>
      </c>
      <c r="J1879" s="158">
        <v>1</v>
      </c>
      <c r="K1879" s="158" t="s">
        <v>235</v>
      </c>
    </row>
    <row r="1880" spans="4:11">
      <c r="D1880" s="158">
        <v>172319</v>
      </c>
      <c r="E1880" s="158">
        <v>11708</v>
      </c>
      <c r="F1880" s="158">
        <v>2120</v>
      </c>
      <c r="G1880" s="158">
        <v>8.3000000000000007</v>
      </c>
      <c r="H1880" s="158">
        <v>7.25</v>
      </c>
      <c r="I1880" s="158">
        <v>0</v>
      </c>
      <c r="J1880" s="158">
        <v>7.25</v>
      </c>
      <c r="K1880" s="158" t="s">
        <v>235</v>
      </c>
    </row>
    <row r="1881" spans="4:11">
      <c r="D1881" s="158">
        <v>172320</v>
      </c>
      <c r="E1881" s="158">
        <v>11708</v>
      </c>
      <c r="F1881" s="158">
        <v>2120</v>
      </c>
      <c r="G1881" s="158">
        <v>1.75</v>
      </c>
      <c r="H1881" s="158">
        <v>1.75</v>
      </c>
      <c r="I1881" s="158">
        <v>0</v>
      </c>
      <c r="J1881" s="158">
        <v>1.75</v>
      </c>
      <c r="K1881" s="158" t="s">
        <v>235</v>
      </c>
    </row>
    <row r="1882" spans="4:11">
      <c r="D1882" s="158">
        <v>172321</v>
      </c>
      <c r="E1882" s="158">
        <v>11708</v>
      </c>
      <c r="F1882" s="158">
        <v>2184</v>
      </c>
      <c r="G1882" s="158">
        <v>1.5</v>
      </c>
      <c r="H1882" s="158">
        <v>1.5</v>
      </c>
      <c r="I1882" s="158">
        <v>0</v>
      </c>
      <c r="J1882" s="158">
        <v>1.5</v>
      </c>
      <c r="K1882" s="158" t="s">
        <v>235</v>
      </c>
    </row>
    <row r="1883" spans="4:11">
      <c r="D1883" s="158">
        <v>172323</v>
      </c>
      <c r="E1883" s="158">
        <v>11309</v>
      </c>
      <c r="F1883" s="158">
        <v>2266</v>
      </c>
      <c r="G1883" s="158">
        <v>1</v>
      </c>
      <c r="H1883" s="158">
        <v>1</v>
      </c>
      <c r="I1883" s="158">
        <v>0</v>
      </c>
      <c r="J1883" s="158">
        <v>1</v>
      </c>
      <c r="K1883" s="158" t="s">
        <v>236</v>
      </c>
    </row>
    <row r="1884" spans="4:11">
      <c r="D1884" s="158">
        <v>172324</v>
      </c>
      <c r="E1884" s="158">
        <v>11307</v>
      </c>
      <c r="F1884" s="158">
        <v>2266</v>
      </c>
      <c r="G1884" s="158">
        <v>1</v>
      </c>
      <c r="H1884" s="158">
        <v>1.5</v>
      </c>
      <c r="I1884" s="158">
        <v>0</v>
      </c>
      <c r="J1884" s="158">
        <v>1.5</v>
      </c>
      <c r="K1884" s="158" t="s">
        <v>236</v>
      </c>
    </row>
    <row r="1885" spans="4:11">
      <c r="D1885" s="158">
        <v>172329</v>
      </c>
      <c r="E1885" s="158">
        <v>10688</v>
      </c>
      <c r="F1885" s="158">
        <v>2120</v>
      </c>
      <c r="G1885" s="158">
        <v>4.95</v>
      </c>
      <c r="H1885" s="158">
        <v>3.5</v>
      </c>
      <c r="I1885" s="158">
        <v>0</v>
      </c>
      <c r="J1885" s="158">
        <v>3.5</v>
      </c>
      <c r="K1885" s="158" t="s">
        <v>235</v>
      </c>
    </row>
    <row r="1886" spans="4:11">
      <c r="D1886" s="158">
        <v>172330</v>
      </c>
      <c r="E1886" s="158">
        <v>11708</v>
      </c>
      <c r="F1886" s="158">
        <v>2028</v>
      </c>
      <c r="G1886" s="158">
        <v>0.5</v>
      </c>
      <c r="H1886" s="158">
        <v>0.5</v>
      </c>
      <c r="I1886" s="158">
        <v>0</v>
      </c>
      <c r="J1886" s="158">
        <v>0.5</v>
      </c>
      <c r="K1886" s="158" t="s">
        <v>235</v>
      </c>
    </row>
    <row r="1887" spans="4:11">
      <c r="D1887" s="158">
        <v>172331</v>
      </c>
      <c r="E1887" s="158">
        <v>11775</v>
      </c>
      <c r="F1887" s="158">
        <v>2028</v>
      </c>
      <c r="G1887" s="158">
        <v>0.2</v>
      </c>
      <c r="H1887" s="158">
        <v>0.2</v>
      </c>
      <c r="I1887" s="158">
        <v>0</v>
      </c>
      <c r="J1887" s="158">
        <v>0.2</v>
      </c>
      <c r="K1887" s="158" t="s">
        <v>235</v>
      </c>
    </row>
    <row r="1888" spans="4:11">
      <c r="D1888" s="158">
        <v>172332</v>
      </c>
      <c r="E1888" s="158">
        <v>10691</v>
      </c>
      <c r="F1888" s="158">
        <v>2028</v>
      </c>
      <c r="G1888" s="158">
        <v>0.2</v>
      </c>
      <c r="H1888" s="158">
        <v>0.2</v>
      </c>
      <c r="I1888" s="158">
        <v>0</v>
      </c>
      <c r="J1888" s="158">
        <v>0.2</v>
      </c>
      <c r="K1888" s="158" t="s">
        <v>235</v>
      </c>
    </row>
    <row r="1889" spans="4:11">
      <c r="D1889" s="158">
        <v>172333</v>
      </c>
      <c r="E1889" s="158">
        <v>10691</v>
      </c>
      <c r="F1889" s="158">
        <v>2028</v>
      </c>
      <c r="G1889" s="158">
        <v>1</v>
      </c>
      <c r="H1889" s="158">
        <v>1</v>
      </c>
      <c r="I1889" s="158">
        <v>0</v>
      </c>
      <c r="J1889" s="158">
        <v>1</v>
      </c>
      <c r="K1889" s="158" t="s">
        <v>235</v>
      </c>
    </row>
    <row r="1890" spans="4:11">
      <c r="D1890" s="158">
        <v>172334</v>
      </c>
      <c r="E1890" s="158">
        <v>11921</v>
      </c>
      <c r="F1890" s="158">
        <v>2028</v>
      </c>
      <c r="G1890" s="158">
        <v>0.5</v>
      </c>
      <c r="H1890" s="158">
        <v>0</v>
      </c>
      <c r="I1890" s="158">
        <v>0.5</v>
      </c>
      <c r="J1890" s="158">
        <v>0.5</v>
      </c>
      <c r="K1890" s="158" t="s">
        <v>235</v>
      </c>
    </row>
    <row r="1891" spans="4:11">
      <c r="D1891" s="158">
        <v>172335</v>
      </c>
      <c r="E1891" s="158">
        <v>11747</v>
      </c>
      <c r="F1891" s="158">
        <v>2028</v>
      </c>
      <c r="G1891" s="158">
        <v>1.5</v>
      </c>
      <c r="H1891" s="158">
        <v>1.5</v>
      </c>
      <c r="I1891" s="158">
        <v>0</v>
      </c>
      <c r="J1891" s="158">
        <v>1.5</v>
      </c>
      <c r="K1891" s="158" t="s">
        <v>235</v>
      </c>
    </row>
    <row r="1892" spans="4:11">
      <c r="D1892" s="158">
        <v>172336</v>
      </c>
      <c r="E1892" s="158">
        <v>10794</v>
      </c>
      <c r="F1892" s="158">
        <v>2028</v>
      </c>
      <c r="G1892" s="158">
        <v>1</v>
      </c>
      <c r="H1892" s="158">
        <v>0.5</v>
      </c>
      <c r="I1892" s="158">
        <v>1</v>
      </c>
      <c r="J1892" s="158">
        <v>1.5</v>
      </c>
      <c r="K1892" s="158" t="s">
        <v>235</v>
      </c>
    </row>
    <row r="1893" spans="4:11">
      <c r="D1893" s="158">
        <v>172337</v>
      </c>
      <c r="E1893" s="158">
        <v>10690</v>
      </c>
      <c r="F1893" s="158">
        <v>2028</v>
      </c>
      <c r="G1893" s="158">
        <v>0.25</v>
      </c>
      <c r="H1893" s="158">
        <v>0.25</v>
      </c>
      <c r="I1893" s="158">
        <v>0</v>
      </c>
      <c r="J1893" s="158">
        <v>0.25</v>
      </c>
      <c r="K1893" s="158" t="s">
        <v>235</v>
      </c>
    </row>
    <row r="1894" spans="4:11">
      <c r="D1894" s="158">
        <v>172340</v>
      </c>
      <c r="E1894" s="158">
        <v>11741</v>
      </c>
      <c r="F1894" s="158">
        <v>2028</v>
      </c>
      <c r="G1894" s="158">
        <v>0.25</v>
      </c>
      <c r="H1894" s="158">
        <v>0</v>
      </c>
      <c r="I1894" s="158">
        <v>0.25</v>
      </c>
      <c r="J1894" s="158">
        <v>0.25</v>
      </c>
      <c r="K1894" s="158" t="s">
        <v>235</v>
      </c>
    </row>
    <row r="1895" spans="4:11">
      <c r="D1895" s="158">
        <v>172344</v>
      </c>
      <c r="E1895" s="158">
        <v>11748</v>
      </c>
      <c r="F1895" s="158">
        <v>2028</v>
      </c>
      <c r="G1895" s="158">
        <v>0.25</v>
      </c>
      <c r="H1895" s="158">
        <v>0.25</v>
      </c>
      <c r="I1895" s="158">
        <v>0</v>
      </c>
      <c r="J1895" s="158">
        <v>0.25</v>
      </c>
      <c r="K1895" s="158" t="s">
        <v>235</v>
      </c>
    </row>
    <row r="1896" spans="4:11">
      <c r="D1896" s="158">
        <v>172345</v>
      </c>
      <c r="E1896" s="158">
        <v>11780</v>
      </c>
      <c r="F1896" s="158">
        <v>2028</v>
      </c>
      <c r="G1896" s="158">
        <v>0.25</v>
      </c>
      <c r="H1896" s="158">
        <v>0</v>
      </c>
      <c r="I1896" s="158">
        <v>0.25</v>
      </c>
      <c r="J1896" s="158">
        <v>0.25</v>
      </c>
      <c r="K1896" s="158" t="s">
        <v>235</v>
      </c>
    </row>
    <row r="1897" spans="4:11">
      <c r="D1897" s="158">
        <v>172346</v>
      </c>
      <c r="E1897" s="158">
        <v>10690</v>
      </c>
      <c r="F1897" s="158">
        <v>2028</v>
      </c>
      <c r="G1897" s="158">
        <v>0.25</v>
      </c>
      <c r="H1897" s="158">
        <v>0.25</v>
      </c>
      <c r="I1897" s="158">
        <v>0</v>
      </c>
      <c r="J1897" s="158">
        <v>0.25</v>
      </c>
      <c r="K1897" s="158" t="s">
        <v>235</v>
      </c>
    </row>
    <row r="1898" spans="4:11">
      <c r="D1898" s="158">
        <v>172365</v>
      </c>
      <c r="E1898" s="158">
        <v>10763</v>
      </c>
      <c r="F1898" s="158">
        <v>2177</v>
      </c>
      <c r="G1898" s="158">
        <v>9.8000000000000007</v>
      </c>
      <c r="I1898" s="158">
        <v>0</v>
      </c>
      <c r="J1898" s="158">
        <v>0</v>
      </c>
      <c r="K1898" s="158" t="s">
        <v>235</v>
      </c>
    </row>
    <row r="1899" spans="4:11">
      <c r="D1899" s="158">
        <v>172372</v>
      </c>
      <c r="E1899" s="158">
        <v>10695</v>
      </c>
      <c r="F1899" s="158">
        <v>2184</v>
      </c>
      <c r="G1899" s="158">
        <v>4</v>
      </c>
      <c r="H1899" s="158">
        <v>1</v>
      </c>
      <c r="I1899" s="158">
        <v>0</v>
      </c>
      <c r="J1899" s="158">
        <v>1</v>
      </c>
      <c r="K1899" s="158" t="s">
        <v>235</v>
      </c>
    </row>
    <row r="1900" spans="4:11">
      <c r="D1900" s="158">
        <v>172373</v>
      </c>
      <c r="E1900" s="158">
        <v>10695</v>
      </c>
      <c r="F1900" s="158">
        <v>2174</v>
      </c>
      <c r="G1900" s="158">
        <v>4</v>
      </c>
      <c r="I1900" s="158">
        <v>0</v>
      </c>
      <c r="J1900" s="158">
        <v>0</v>
      </c>
      <c r="K1900" s="158" t="s">
        <v>235</v>
      </c>
    </row>
    <row r="1901" spans="4:11">
      <c r="D1901" s="158">
        <v>172377</v>
      </c>
      <c r="E1901" s="158">
        <v>10697</v>
      </c>
      <c r="F1901" s="158">
        <v>2301</v>
      </c>
      <c r="G1901" s="158">
        <v>4.0999999999999996</v>
      </c>
      <c r="H1901" s="158">
        <v>0</v>
      </c>
      <c r="I1901" s="158">
        <v>0</v>
      </c>
      <c r="J1901" s="158">
        <v>0</v>
      </c>
      <c r="K1901" s="158" t="s">
        <v>235</v>
      </c>
    </row>
    <row r="1902" spans="4:11">
      <c r="D1902" s="158">
        <v>172378</v>
      </c>
      <c r="E1902" s="158">
        <v>10697</v>
      </c>
      <c r="F1902" s="158">
        <v>2301</v>
      </c>
      <c r="G1902" s="158">
        <v>7.8</v>
      </c>
      <c r="H1902" s="158">
        <v>0</v>
      </c>
      <c r="I1902" s="158">
        <v>0</v>
      </c>
      <c r="J1902" s="158">
        <v>0</v>
      </c>
      <c r="K1902" s="158" t="s">
        <v>235</v>
      </c>
    </row>
    <row r="1903" spans="4:11">
      <c r="D1903" s="158">
        <v>172383</v>
      </c>
      <c r="E1903" s="158">
        <v>10742</v>
      </c>
      <c r="F1903" s="158">
        <v>2177</v>
      </c>
      <c r="G1903" s="158">
        <v>2.5</v>
      </c>
      <c r="I1903" s="158">
        <v>0</v>
      </c>
      <c r="J1903" s="158">
        <v>0</v>
      </c>
      <c r="K1903" s="158" t="s">
        <v>235</v>
      </c>
    </row>
    <row r="1904" spans="4:11">
      <c r="D1904" s="158">
        <v>172385</v>
      </c>
      <c r="E1904" s="158">
        <v>10763</v>
      </c>
      <c r="F1904" s="158">
        <v>2062</v>
      </c>
      <c r="G1904" s="158">
        <v>4.8</v>
      </c>
      <c r="I1904" s="158">
        <v>4.8</v>
      </c>
      <c r="J1904" s="158">
        <v>4.8</v>
      </c>
      <c r="K1904" s="158" t="s">
        <v>235</v>
      </c>
    </row>
    <row r="1905" spans="4:11">
      <c r="D1905" s="158">
        <v>172387</v>
      </c>
      <c r="E1905" s="158">
        <v>10764</v>
      </c>
      <c r="F1905" s="158">
        <v>2062</v>
      </c>
      <c r="G1905" s="158">
        <v>9</v>
      </c>
      <c r="H1905" s="158">
        <v>2.7</v>
      </c>
      <c r="I1905" s="158">
        <v>0</v>
      </c>
      <c r="J1905" s="158">
        <v>2.7</v>
      </c>
      <c r="K1905" s="158" t="s">
        <v>235</v>
      </c>
    </row>
    <row r="1906" spans="4:11">
      <c r="D1906" s="158">
        <v>172388</v>
      </c>
      <c r="E1906" s="158">
        <v>10769</v>
      </c>
      <c r="F1906" s="158">
        <v>2062</v>
      </c>
      <c r="G1906" s="158">
        <v>2.5</v>
      </c>
      <c r="H1906" s="158">
        <v>0.3</v>
      </c>
      <c r="I1906" s="158">
        <v>0</v>
      </c>
      <c r="J1906" s="158">
        <v>0.3</v>
      </c>
      <c r="K1906" s="158" t="s">
        <v>235</v>
      </c>
    </row>
    <row r="1907" spans="4:11">
      <c r="D1907" s="158">
        <v>172389</v>
      </c>
      <c r="E1907" s="158">
        <v>11213</v>
      </c>
      <c r="F1907" s="158">
        <v>2177</v>
      </c>
      <c r="G1907" s="158">
        <v>4.2</v>
      </c>
      <c r="I1907" s="158">
        <v>0</v>
      </c>
      <c r="J1907" s="158">
        <v>0</v>
      </c>
      <c r="K1907" s="158" t="s">
        <v>235</v>
      </c>
    </row>
    <row r="1908" spans="4:11">
      <c r="D1908" s="158">
        <v>172475</v>
      </c>
      <c r="E1908" s="158">
        <v>10816</v>
      </c>
      <c r="F1908" s="158">
        <v>2221</v>
      </c>
      <c r="G1908" s="158">
        <v>6.2</v>
      </c>
      <c r="H1908" s="158">
        <v>1.5</v>
      </c>
      <c r="I1908" s="158">
        <v>0</v>
      </c>
      <c r="J1908" s="158">
        <v>1.5</v>
      </c>
      <c r="K1908" s="158" t="s">
        <v>235</v>
      </c>
    </row>
    <row r="1909" spans="4:11">
      <c r="D1909" s="158">
        <v>172514</v>
      </c>
      <c r="E1909" s="158">
        <v>10020</v>
      </c>
      <c r="F1909" s="158">
        <v>2264</v>
      </c>
      <c r="G1909" s="158">
        <v>4.7</v>
      </c>
      <c r="H1909" s="158">
        <v>5.55</v>
      </c>
      <c r="I1909" s="158">
        <v>0</v>
      </c>
      <c r="J1909" s="158">
        <v>5.55</v>
      </c>
      <c r="K1909" s="158" t="s">
        <v>238</v>
      </c>
    </row>
    <row r="1910" spans="4:11">
      <c r="D1910" s="158">
        <v>172517</v>
      </c>
      <c r="E1910" s="158">
        <v>10020</v>
      </c>
      <c r="F1910" s="158">
        <v>1667</v>
      </c>
      <c r="G1910" s="158">
        <v>0.4</v>
      </c>
      <c r="H1910" s="158">
        <v>0.95</v>
      </c>
      <c r="I1910" s="158">
        <v>0</v>
      </c>
      <c r="J1910" s="158">
        <v>0.95</v>
      </c>
      <c r="K1910" s="158" t="s">
        <v>238</v>
      </c>
    </row>
    <row r="1911" spans="4:11">
      <c r="D1911" s="158">
        <v>172518</v>
      </c>
      <c r="E1911" s="158">
        <v>10020</v>
      </c>
      <c r="F1911" s="158">
        <v>2264</v>
      </c>
      <c r="G1911" s="158">
        <v>6.15</v>
      </c>
      <c r="H1911" s="158">
        <v>5.45</v>
      </c>
      <c r="I1911" s="158">
        <v>0</v>
      </c>
      <c r="J1911" s="158">
        <v>5.45</v>
      </c>
      <c r="K1911" s="158" t="s">
        <v>238</v>
      </c>
    </row>
    <row r="1912" spans="4:11">
      <c r="D1912" s="158">
        <v>172521</v>
      </c>
      <c r="E1912" s="158">
        <v>10020</v>
      </c>
      <c r="F1912" s="158">
        <v>1667</v>
      </c>
      <c r="G1912" s="158">
        <v>0.4</v>
      </c>
      <c r="H1912" s="158">
        <v>0.5</v>
      </c>
      <c r="I1912" s="158">
        <v>0</v>
      </c>
      <c r="J1912" s="158">
        <v>0.5</v>
      </c>
      <c r="K1912" s="158" t="s">
        <v>238</v>
      </c>
    </row>
    <row r="1913" spans="4:11">
      <c r="D1913" s="158">
        <v>173271</v>
      </c>
      <c r="E1913" s="158">
        <v>10688</v>
      </c>
      <c r="F1913" s="158">
        <v>2122</v>
      </c>
      <c r="G1913" s="158">
        <v>3</v>
      </c>
      <c r="H1913" s="158">
        <v>0.25</v>
      </c>
      <c r="I1913" s="158">
        <v>0</v>
      </c>
      <c r="J1913" s="158">
        <v>0.25</v>
      </c>
      <c r="K1913" s="158" t="s">
        <v>235</v>
      </c>
    </row>
    <row r="1914" spans="4:11">
      <c r="D1914" s="158">
        <v>173294</v>
      </c>
      <c r="E1914" s="158">
        <v>10639</v>
      </c>
      <c r="F1914" s="158">
        <v>2324</v>
      </c>
      <c r="H1914" s="158">
        <v>24.2</v>
      </c>
      <c r="J1914" s="158">
        <v>24.2</v>
      </c>
      <c r="K1914" s="158" t="s">
        <v>235</v>
      </c>
    </row>
    <row r="1915" spans="4:11">
      <c r="D1915" s="158">
        <v>173314</v>
      </c>
      <c r="E1915" s="158">
        <v>10639</v>
      </c>
      <c r="F1915" s="158">
        <v>1551</v>
      </c>
      <c r="H1915" s="158">
        <v>23.5</v>
      </c>
      <c r="J1915" s="158">
        <v>23.5</v>
      </c>
      <c r="K1915" s="158" t="s">
        <v>235</v>
      </c>
    </row>
    <row r="1916" spans="4:11">
      <c r="D1916" s="158">
        <v>173778</v>
      </c>
      <c r="E1916" s="158">
        <v>10639</v>
      </c>
      <c r="F1916" s="158">
        <v>828</v>
      </c>
      <c r="H1916" s="158">
        <v>5</v>
      </c>
      <c r="I1916" s="158">
        <v>0</v>
      </c>
      <c r="J1916" s="158">
        <v>5</v>
      </c>
      <c r="K1916" s="158" t="s">
        <v>235</v>
      </c>
    </row>
    <row r="1917" spans="4:11">
      <c r="D1917" s="158">
        <v>173819</v>
      </c>
      <c r="E1917" s="158">
        <v>10814</v>
      </c>
      <c r="F1917" s="158">
        <v>1251</v>
      </c>
      <c r="G1917" s="158">
        <v>5.5</v>
      </c>
      <c r="H1917" s="158">
        <v>4.5</v>
      </c>
      <c r="I1917" s="158">
        <v>0</v>
      </c>
      <c r="J1917" s="158">
        <v>4.5</v>
      </c>
      <c r="K1917" s="158" t="s">
        <v>235</v>
      </c>
    </row>
    <row r="1918" spans="4:11">
      <c r="D1918" s="158">
        <v>173833</v>
      </c>
      <c r="E1918" s="158">
        <v>10100</v>
      </c>
      <c r="F1918" s="158">
        <v>229</v>
      </c>
      <c r="H1918" s="158">
        <v>6.1</v>
      </c>
      <c r="I1918" s="158">
        <v>0</v>
      </c>
      <c r="J1918" s="158">
        <v>6.1</v>
      </c>
      <c r="K1918" s="158" t="s">
        <v>237</v>
      </c>
    </row>
    <row r="1919" spans="4:11">
      <c r="D1919" s="158">
        <v>173837</v>
      </c>
      <c r="E1919" s="158">
        <v>11213</v>
      </c>
      <c r="F1919" s="158">
        <v>197</v>
      </c>
      <c r="H1919" s="158">
        <v>2.75</v>
      </c>
      <c r="I1919" s="158">
        <v>0</v>
      </c>
      <c r="J1919" s="158">
        <v>2.75</v>
      </c>
      <c r="K1919" s="158" t="s">
        <v>235</v>
      </c>
    </row>
    <row r="1920" spans="4:11">
      <c r="D1920" s="158">
        <v>173839</v>
      </c>
      <c r="E1920" s="158">
        <v>10103</v>
      </c>
      <c r="F1920" s="158">
        <v>2001</v>
      </c>
      <c r="H1920" s="158">
        <v>2</v>
      </c>
      <c r="I1920" s="158">
        <v>0</v>
      </c>
      <c r="J1920" s="158">
        <v>2</v>
      </c>
      <c r="K1920" s="158" t="s">
        <v>237</v>
      </c>
    </row>
    <row r="1921" spans="4:11">
      <c r="D1921" s="158">
        <v>173852</v>
      </c>
      <c r="E1921" s="158">
        <v>11213</v>
      </c>
      <c r="F1921" s="158">
        <v>197</v>
      </c>
      <c r="H1921" s="158">
        <v>1.5</v>
      </c>
      <c r="I1921" s="158">
        <v>0</v>
      </c>
      <c r="J1921" s="158">
        <v>1.5</v>
      </c>
      <c r="K1921" s="158" t="s">
        <v>235</v>
      </c>
    </row>
    <row r="1922" spans="4:11">
      <c r="D1922" s="158">
        <v>173866</v>
      </c>
      <c r="E1922" s="158">
        <v>10020</v>
      </c>
      <c r="F1922" s="158">
        <v>2264</v>
      </c>
      <c r="G1922" s="158">
        <v>4</v>
      </c>
      <c r="H1922" s="158">
        <v>4.2</v>
      </c>
      <c r="I1922" s="158">
        <v>0</v>
      </c>
      <c r="J1922" s="158">
        <v>4.2</v>
      </c>
      <c r="K1922" s="158" t="s">
        <v>238</v>
      </c>
    </row>
    <row r="1923" spans="4:11">
      <c r="D1923" s="158">
        <v>173878</v>
      </c>
      <c r="E1923" s="158">
        <v>10742</v>
      </c>
      <c r="F1923" s="158">
        <v>197</v>
      </c>
      <c r="H1923" s="158">
        <v>1.25</v>
      </c>
      <c r="I1923" s="158">
        <v>0</v>
      </c>
      <c r="J1923" s="158">
        <v>1.25</v>
      </c>
      <c r="K1923" s="158" t="s">
        <v>235</v>
      </c>
    </row>
    <row r="1924" spans="4:11">
      <c r="D1924" s="158">
        <v>173882</v>
      </c>
      <c r="E1924" s="158">
        <v>10753</v>
      </c>
      <c r="F1924" s="158">
        <v>2324</v>
      </c>
      <c r="H1924" s="158">
        <v>3.05</v>
      </c>
      <c r="J1924" s="158">
        <v>3.05</v>
      </c>
      <c r="K1924" s="158" t="s">
        <v>235</v>
      </c>
    </row>
    <row r="1925" spans="4:11">
      <c r="D1925" s="158">
        <v>173910</v>
      </c>
      <c r="E1925" s="158">
        <v>10816</v>
      </c>
      <c r="F1925" s="158">
        <v>2122</v>
      </c>
      <c r="G1925" s="158">
        <v>3.5</v>
      </c>
      <c r="H1925" s="158">
        <v>4.25</v>
      </c>
      <c r="I1925" s="158">
        <v>0</v>
      </c>
      <c r="J1925" s="158">
        <v>4.25</v>
      </c>
      <c r="K1925" s="158" t="s">
        <v>235</v>
      </c>
    </row>
    <row r="1926" spans="4:11">
      <c r="D1926" s="158">
        <v>173911</v>
      </c>
      <c r="E1926" s="158">
        <v>10816</v>
      </c>
      <c r="F1926" s="158">
        <v>2221</v>
      </c>
      <c r="G1926" s="158">
        <v>9</v>
      </c>
      <c r="H1926" s="158">
        <v>10.25</v>
      </c>
      <c r="I1926" s="158">
        <v>0</v>
      </c>
      <c r="J1926" s="158">
        <v>10.25</v>
      </c>
      <c r="K1926" s="158" t="s">
        <v>235</v>
      </c>
    </row>
    <row r="1927" spans="4:11">
      <c r="D1927" s="158">
        <v>173913</v>
      </c>
      <c r="E1927" s="158">
        <v>10816</v>
      </c>
      <c r="F1927" s="158">
        <v>2176</v>
      </c>
      <c r="G1927" s="158">
        <v>1</v>
      </c>
      <c r="I1927" s="158">
        <v>0</v>
      </c>
      <c r="J1927" s="158">
        <v>0</v>
      </c>
      <c r="K1927" s="158" t="s">
        <v>235</v>
      </c>
    </row>
    <row r="1928" spans="4:11">
      <c r="D1928" s="158">
        <v>173919</v>
      </c>
      <c r="E1928" s="158">
        <v>11948</v>
      </c>
      <c r="F1928" s="158">
        <v>1821</v>
      </c>
      <c r="G1928" s="158">
        <v>2.6</v>
      </c>
      <c r="H1928" s="158">
        <v>2.4</v>
      </c>
      <c r="I1928" s="158">
        <v>0</v>
      </c>
      <c r="J1928" s="158">
        <v>2.4</v>
      </c>
      <c r="K1928" s="158" t="s">
        <v>235</v>
      </c>
    </row>
    <row r="1929" spans="4:11">
      <c r="D1929" s="158">
        <v>173921</v>
      </c>
      <c r="E1929" s="158">
        <v>11948</v>
      </c>
      <c r="F1929" s="158">
        <v>1821</v>
      </c>
      <c r="G1929" s="158">
        <v>2.6</v>
      </c>
      <c r="I1929" s="158">
        <v>0</v>
      </c>
      <c r="J1929" s="158">
        <v>0</v>
      </c>
      <c r="K1929" s="158" t="s">
        <v>235</v>
      </c>
    </row>
    <row r="1930" spans="4:11">
      <c r="D1930" s="158">
        <v>173922</v>
      </c>
      <c r="E1930" s="158">
        <v>11948</v>
      </c>
      <c r="F1930" s="158">
        <v>1821</v>
      </c>
      <c r="G1930" s="158">
        <v>2.6</v>
      </c>
      <c r="H1930" s="158">
        <v>2.6</v>
      </c>
      <c r="I1930" s="158">
        <v>0</v>
      </c>
      <c r="J1930" s="158">
        <v>2.6</v>
      </c>
      <c r="K1930" s="158" t="s">
        <v>235</v>
      </c>
    </row>
    <row r="1931" spans="4:11">
      <c r="D1931" s="158">
        <v>173923</v>
      </c>
      <c r="E1931" s="158">
        <v>11948</v>
      </c>
      <c r="F1931" s="158">
        <v>1821</v>
      </c>
      <c r="G1931" s="158">
        <v>2.6</v>
      </c>
      <c r="H1931" s="158">
        <v>1</v>
      </c>
      <c r="I1931" s="158">
        <v>0</v>
      </c>
      <c r="J1931" s="158">
        <v>1</v>
      </c>
      <c r="K1931" s="158" t="s">
        <v>235</v>
      </c>
    </row>
    <row r="1932" spans="4:11">
      <c r="D1932" s="158">
        <v>173924</v>
      </c>
      <c r="E1932" s="158">
        <v>10741</v>
      </c>
      <c r="F1932" s="158">
        <v>197</v>
      </c>
      <c r="G1932" s="158">
        <v>0.5</v>
      </c>
      <c r="H1932" s="158">
        <v>0.5</v>
      </c>
      <c r="I1932" s="158">
        <v>0</v>
      </c>
      <c r="J1932" s="158">
        <v>0.5</v>
      </c>
      <c r="K1932" s="158" t="s">
        <v>235</v>
      </c>
    </row>
    <row r="1933" spans="4:11">
      <c r="D1933" s="158">
        <v>173930</v>
      </c>
      <c r="E1933" s="158">
        <v>11309</v>
      </c>
      <c r="F1933" s="158">
        <v>2266</v>
      </c>
      <c r="G1933" s="158">
        <v>3</v>
      </c>
      <c r="H1933" s="158">
        <v>3</v>
      </c>
      <c r="I1933" s="158">
        <v>0</v>
      </c>
      <c r="J1933" s="158">
        <v>3</v>
      </c>
      <c r="K1933" s="158" t="s">
        <v>236</v>
      </c>
    </row>
    <row r="1934" spans="4:11">
      <c r="D1934" s="158">
        <v>173955</v>
      </c>
      <c r="E1934" s="158">
        <v>10753</v>
      </c>
      <c r="F1934" s="158">
        <v>2324</v>
      </c>
      <c r="G1934" s="158">
        <v>2.5</v>
      </c>
      <c r="H1934" s="158">
        <v>1.1000000000000001</v>
      </c>
      <c r="I1934" s="158">
        <v>0.4</v>
      </c>
      <c r="J1934" s="158">
        <v>1.5</v>
      </c>
      <c r="K1934" s="158" t="s">
        <v>235</v>
      </c>
    </row>
    <row r="1935" spans="4:11">
      <c r="D1935" s="158">
        <v>173957</v>
      </c>
      <c r="E1935" s="158">
        <v>11308</v>
      </c>
      <c r="F1935" s="158">
        <v>2156</v>
      </c>
      <c r="G1935" s="158">
        <v>1</v>
      </c>
      <c r="H1935" s="158">
        <v>1</v>
      </c>
      <c r="I1935" s="158">
        <v>0</v>
      </c>
      <c r="J1935" s="158">
        <v>1</v>
      </c>
      <c r="K1935" s="158" t="s">
        <v>236</v>
      </c>
    </row>
    <row r="1936" spans="4:11">
      <c r="D1936" s="158">
        <v>173961</v>
      </c>
      <c r="E1936" s="158">
        <v>10753</v>
      </c>
      <c r="F1936" s="158">
        <v>2324</v>
      </c>
      <c r="G1936" s="158">
        <v>2.5</v>
      </c>
      <c r="H1936" s="158">
        <v>4.55</v>
      </c>
      <c r="I1936" s="158">
        <v>0</v>
      </c>
      <c r="J1936" s="158">
        <v>4.55</v>
      </c>
      <c r="K1936" s="158" t="s">
        <v>235</v>
      </c>
    </row>
    <row r="1937" spans="4:11">
      <c r="D1937" s="158">
        <v>173962</v>
      </c>
      <c r="E1937" s="158">
        <v>10753</v>
      </c>
      <c r="F1937" s="158">
        <v>222</v>
      </c>
      <c r="H1937" s="158">
        <v>3.55</v>
      </c>
      <c r="I1937" s="158">
        <v>0</v>
      </c>
      <c r="J1937" s="158">
        <v>3.55</v>
      </c>
      <c r="K1937" s="158" t="s">
        <v>235</v>
      </c>
    </row>
    <row r="1938" spans="4:11">
      <c r="D1938" s="158">
        <v>173994</v>
      </c>
      <c r="E1938" s="158">
        <v>10639</v>
      </c>
      <c r="F1938" s="158">
        <v>222</v>
      </c>
      <c r="H1938" s="158">
        <v>4</v>
      </c>
      <c r="J1938" s="158">
        <v>4</v>
      </c>
      <c r="K1938" s="158" t="s">
        <v>235</v>
      </c>
    </row>
    <row r="1939" spans="4:11">
      <c r="D1939" s="158">
        <v>173996</v>
      </c>
      <c r="E1939" s="158">
        <v>10814</v>
      </c>
      <c r="F1939" s="158">
        <v>2220</v>
      </c>
      <c r="G1939" s="158">
        <v>0.7</v>
      </c>
      <c r="I1939" s="158">
        <v>0</v>
      </c>
      <c r="J1939" s="158">
        <v>0</v>
      </c>
      <c r="K1939" s="158" t="s">
        <v>235</v>
      </c>
    </row>
    <row r="1940" spans="4:11">
      <c r="D1940" s="158">
        <v>174021</v>
      </c>
      <c r="E1940" s="158">
        <v>11214</v>
      </c>
      <c r="F1940" s="158">
        <v>2028</v>
      </c>
      <c r="G1940" s="158">
        <v>0</v>
      </c>
      <c r="I1940" s="158">
        <v>0</v>
      </c>
      <c r="J1940" s="158">
        <v>0</v>
      </c>
      <c r="K1940" s="158" t="s">
        <v>235</v>
      </c>
    </row>
    <row r="1941" spans="4:11">
      <c r="D1941" s="158">
        <v>174022</v>
      </c>
      <c r="E1941" s="158">
        <v>10720</v>
      </c>
      <c r="F1941" s="158">
        <v>2028</v>
      </c>
      <c r="G1941" s="158">
        <v>0.25</v>
      </c>
      <c r="H1941" s="158">
        <v>0.25</v>
      </c>
      <c r="I1941" s="158">
        <v>0</v>
      </c>
      <c r="J1941" s="158">
        <v>0.25</v>
      </c>
      <c r="K1941" s="158" t="s">
        <v>235</v>
      </c>
    </row>
    <row r="1942" spans="4:11">
      <c r="D1942" s="158">
        <v>174023</v>
      </c>
      <c r="E1942" s="158">
        <v>10720</v>
      </c>
      <c r="F1942" s="158">
        <v>2028</v>
      </c>
      <c r="G1942" s="158">
        <v>0.25</v>
      </c>
      <c r="H1942" s="158">
        <v>0.25</v>
      </c>
      <c r="I1942" s="158">
        <v>0</v>
      </c>
      <c r="J1942" s="158">
        <v>0.25</v>
      </c>
      <c r="K1942" s="158" t="s">
        <v>235</v>
      </c>
    </row>
    <row r="1943" spans="4:11">
      <c r="D1943" s="158">
        <v>174025</v>
      </c>
      <c r="E1943" s="158">
        <v>10720</v>
      </c>
      <c r="F1943" s="158">
        <v>2028</v>
      </c>
      <c r="G1943" s="158">
        <v>0.25</v>
      </c>
      <c r="H1943" s="158">
        <v>0.25</v>
      </c>
      <c r="I1943" s="158">
        <v>0</v>
      </c>
      <c r="J1943" s="158">
        <v>0.25</v>
      </c>
      <c r="K1943" s="158" t="s">
        <v>235</v>
      </c>
    </row>
    <row r="1944" spans="4:11">
      <c r="D1944" s="158">
        <v>174037</v>
      </c>
      <c r="E1944" s="158">
        <v>10763</v>
      </c>
      <c r="F1944" s="158">
        <v>828</v>
      </c>
      <c r="G1944" s="158">
        <v>9.3000000000000007</v>
      </c>
      <c r="I1944" s="158">
        <v>0</v>
      </c>
      <c r="J1944" s="158">
        <v>0</v>
      </c>
      <c r="K1944" s="158" t="s">
        <v>235</v>
      </c>
    </row>
    <row r="1945" spans="4:11">
      <c r="D1945" s="158">
        <v>174038</v>
      </c>
      <c r="E1945" s="158">
        <v>10763</v>
      </c>
      <c r="F1945" s="158">
        <v>828</v>
      </c>
      <c r="G1945" s="158">
        <v>12.4</v>
      </c>
      <c r="I1945" s="158">
        <v>0</v>
      </c>
      <c r="J1945" s="158">
        <v>0</v>
      </c>
      <c r="K1945" s="158" t="s">
        <v>235</v>
      </c>
    </row>
    <row r="1946" spans="4:11">
      <c r="D1946" s="158">
        <v>174076</v>
      </c>
      <c r="E1946" s="158">
        <v>10639</v>
      </c>
      <c r="F1946" s="158">
        <v>1014</v>
      </c>
      <c r="H1946" s="158">
        <v>0.4</v>
      </c>
      <c r="J1946" s="158">
        <v>0.4</v>
      </c>
      <c r="K1946" s="158" t="s">
        <v>235</v>
      </c>
    </row>
    <row r="1947" spans="4:11">
      <c r="D1947" s="158">
        <v>174085</v>
      </c>
      <c r="E1947" s="158">
        <v>10720</v>
      </c>
      <c r="F1947" s="158">
        <v>1014</v>
      </c>
      <c r="G1947" s="158">
        <v>19.3</v>
      </c>
      <c r="H1947" s="158">
        <v>20.7</v>
      </c>
      <c r="I1947" s="158">
        <v>0.5</v>
      </c>
      <c r="J1947" s="158">
        <v>21.2</v>
      </c>
      <c r="K1947" s="158" t="s">
        <v>235</v>
      </c>
    </row>
    <row r="1948" spans="4:11">
      <c r="D1948" s="158">
        <v>174086</v>
      </c>
      <c r="E1948" s="158">
        <v>11948</v>
      </c>
      <c r="F1948" s="158">
        <v>1014</v>
      </c>
      <c r="G1948" s="158">
        <v>2.35</v>
      </c>
      <c r="H1948" s="158">
        <v>0.2</v>
      </c>
      <c r="I1948" s="158">
        <v>0</v>
      </c>
      <c r="J1948" s="158">
        <v>2.35</v>
      </c>
      <c r="K1948" s="158" t="s">
        <v>235</v>
      </c>
    </row>
    <row r="1949" spans="4:11">
      <c r="D1949" s="158">
        <v>174087</v>
      </c>
      <c r="E1949" s="158">
        <v>11948</v>
      </c>
      <c r="F1949" s="158">
        <v>1014</v>
      </c>
      <c r="G1949" s="158">
        <v>2.6</v>
      </c>
      <c r="H1949" s="158">
        <v>1.3</v>
      </c>
      <c r="I1949" s="158">
        <v>0</v>
      </c>
      <c r="J1949" s="158">
        <v>1.3</v>
      </c>
      <c r="K1949" s="158" t="s">
        <v>235</v>
      </c>
    </row>
    <row r="1950" spans="4:11">
      <c r="D1950" s="158">
        <v>174089</v>
      </c>
      <c r="E1950" s="158">
        <v>10816</v>
      </c>
      <c r="F1950" s="158">
        <v>2122</v>
      </c>
      <c r="G1950" s="158">
        <v>5</v>
      </c>
      <c r="H1950" s="158">
        <v>11.75</v>
      </c>
      <c r="I1950" s="158">
        <v>0</v>
      </c>
      <c r="J1950" s="158">
        <v>11.75</v>
      </c>
      <c r="K1950" s="158" t="s">
        <v>235</v>
      </c>
    </row>
    <row r="1951" spans="4:11">
      <c r="D1951" s="158">
        <v>174090</v>
      </c>
      <c r="E1951" s="158">
        <v>10816</v>
      </c>
      <c r="F1951" s="158">
        <v>2221</v>
      </c>
      <c r="G1951" s="158">
        <v>12.9</v>
      </c>
      <c r="H1951" s="158">
        <v>4.3</v>
      </c>
      <c r="I1951" s="158">
        <v>0</v>
      </c>
      <c r="J1951" s="158">
        <v>4.3</v>
      </c>
      <c r="K1951" s="158" t="s">
        <v>235</v>
      </c>
    </row>
    <row r="1952" spans="4:11">
      <c r="D1952" s="158">
        <v>174168</v>
      </c>
      <c r="E1952" s="158">
        <v>11214</v>
      </c>
      <c r="F1952" s="158">
        <v>1821</v>
      </c>
      <c r="H1952" s="158">
        <v>0.5</v>
      </c>
      <c r="I1952" s="158">
        <v>0</v>
      </c>
      <c r="J1952" s="158">
        <v>0.5</v>
      </c>
      <c r="K1952" s="158" t="s">
        <v>235</v>
      </c>
    </row>
    <row r="1953" spans="4:11">
      <c r="D1953" s="158">
        <v>174169</v>
      </c>
      <c r="E1953" s="158">
        <v>10783</v>
      </c>
      <c r="F1953" s="158">
        <v>1551</v>
      </c>
      <c r="I1953" s="158">
        <v>2</v>
      </c>
      <c r="J1953" s="158">
        <v>2</v>
      </c>
      <c r="K1953" s="158" t="s">
        <v>235</v>
      </c>
    </row>
    <row r="1954" spans="4:11">
      <c r="D1954" s="158">
        <v>174170</v>
      </c>
      <c r="E1954" s="158">
        <v>10720</v>
      </c>
      <c r="F1954" s="158">
        <v>2028</v>
      </c>
      <c r="G1954" s="158">
        <v>0.25</v>
      </c>
      <c r="H1954" s="158">
        <v>0.25</v>
      </c>
      <c r="I1954" s="158">
        <v>0</v>
      </c>
      <c r="J1954" s="158">
        <v>0.25</v>
      </c>
      <c r="K1954" s="158" t="s">
        <v>235</v>
      </c>
    </row>
    <row r="1955" spans="4:11">
      <c r="D1955" s="158">
        <v>174171</v>
      </c>
      <c r="E1955" s="158">
        <v>10763</v>
      </c>
      <c r="F1955" s="158">
        <v>1551</v>
      </c>
      <c r="G1955" s="158">
        <v>18.600000000000001</v>
      </c>
      <c r="H1955" s="158">
        <v>0.5</v>
      </c>
      <c r="I1955" s="158">
        <v>25.5</v>
      </c>
      <c r="J1955" s="158">
        <v>26</v>
      </c>
      <c r="K1955" s="158" t="s">
        <v>235</v>
      </c>
    </row>
    <row r="1956" spans="4:11">
      <c r="D1956" s="158">
        <v>174173</v>
      </c>
      <c r="E1956" s="158">
        <v>11747</v>
      </c>
      <c r="F1956" s="158">
        <v>2181</v>
      </c>
      <c r="G1956" s="158">
        <v>2.1</v>
      </c>
      <c r="H1956" s="158">
        <v>2</v>
      </c>
      <c r="I1956" s="158">
        <v>0</v>
      </c>
      <c r="J1956" s="158">
        <v>2</v>
      </c>
      <c r="K1956" s="158" t="s">
        <v>235</v>
      </c>
    </row>
    <row r="1957" spans="4:11">
      <c r="D1957" s="158">
        <v>174174</v>
      </c>
      <c r="E1957" s="158">
        <v>10763</v>
      </c>
      <c r="F1957" s="158">
        <v>1551</v>
      </c>
      <c r="G1957" s="158">
        <v>18.600000000000001</v>
      </c>
      <c r="H1957" s="158">
        <v>46</v>
      </c>
      <c r="I1957" s="158">
        <v>0</v>
      </c>
      <c r="J1957" s="158">
        <v>46</v>
      </c>
      <c r="K1957" s="158" t="s">
        <v>235</v>
      </c>
    </row>
    <row r="1958" spans="4:11">
      <c r="D1958" s="158">
        <v>174280</v>
      </c>
      <c r="E1958" s="158">
        <v>10639</v>
      </c>
      <c r="F1958" s="158">
        <v>2062</v>
      </c>
      <c r="H1958" s="158">
        <v>0.5</v>
      </c>
      <c r="J1958" s="158">
        <v>0.5</v>
      </c>
      <c r="K1958" s="158" t="s">
        <v>235</v>
      </c>
    </row>
    <row r="1959" spans="4:11">
      <c r="D1959" s="158">
        <v>174282</v>
      </c>
      <c r="E1959" s="158">
        <v>11750</v>
      </c>
      <c r="F1959" s="158">
        <v>2123</v>
      </c>
      <c r="G1959" s="158">
        <v>2.5</v>
      </c>
      <c r="H1959" s="158">
        <v>4</v>
      </c>
      <c r="I1959" s="158">
        <v>0</v>
      </c>
      <c r="J1959" s="158">
        <v>4</v>
      </c>
      <c r="K1959" s="158" t="s">
        <v>235</v>
      </c>
    </row>
    <row r="1960" spans="4:11">
      <c r="D1960" s="158">
        <v>174283</v>
      </c>
      <c r="E1960" s="158">
        <v>11750</v>
      </c>
      <c r="F1960" s="158">
        <v>2123</v>
      </c>
      <c r="H1960" s="158">
        <v>1.5</v>
      </c>
      <c r="J1960" s="158">
        <v>1.5</v>
      </c>
      <c r="K1960" s="158" t="s">
        <v>235</v>
      </c>
    </row>
    <row r="1961" spans="4:11">
      <c r="D1961" s="158">
        <v>174380</v>
      </c>
      <c r="E1961" s="158">
        <v>11051</v>
      </c>
      <c r="F1961" s="158">
        <v>2075</v>
      </c>
      <c r="G1961" s="158">
        <v>11.9</v>
      </c>
      <c r="H1961" s="158">
        <v>15</v>
      </c>
      <c r="I1961" s="158">
        <v>0</v>
      </c>
      <c r="J1961" s="158">
        <v>15</v>
      </c>
      <c r="K1961" s="158" t="s">
        <v>235</v>
      </c>
    </row>
    <row r="1962" spans="4:11">
      <c r="D1962" s="158">
        <v>174383</v>
      </c>
      <c r="E1962" s="158">
        <v>11750</v>
      </c>
      <c r="F1962" s="158">
        <v>2123</v>
      </c>
      <c r="G1962" s="158">
        <v>0</v>
      </c>
      <c r="I1962" s="158">
        <v>0</v>
      </c>
      <c r="J1962" s="158">
        <v>0</v>
      </c>
      <c r="K1962" s="158" t="s">
        <v>235</v>
      </c>
    </row>
    <row r="1963" spans="4:11">
      <c r="D1963" s="158">
        <v>174384</v>
      </c>
      <c r="E1963" s="158">
        <v>11750</v>
      </c>
      <c r="F1963" s="158">
        <v>2075</v>
      </c>
      <c r="G1963" s="158">
        <v>2.5</v>
      </c>
      <c r="H1963" s="158">
        <v>2.5</v>
      </c>
      <c r="I1963" s="158">
        <v>0</v>
      </c>
      <c r="J1963" s="158">
        <v>2.5</v>
      </c>
      <c r="K1963" s="158" t="s">
        <v>235</v>
      </c>
    </row>
    <row r="1964" spans="4:11">
      <c r="D1964" s="158">
        <v>174385</v>
      </c>
      <c r="E1964" s="158">
        <v>11750</v>
      </c>
      <c r="F1964" s="158">
        <v>2075</v>
      </c>
      <c r="G1964" s="158">
        <v>2.5</v>
      </c>
      <c r="H1964" s="158">
        <v>2.5</v>
      </c>
      <c r="I1964" s="158">
        <v>0</v>
      </c>
      <c r="J1964" s="158">
        <v>2.5</v>
      </c>
      <c r="K1964" s="158" t="s">
        <v>235</v>
      </c>
    </row>
    <row r="1965" spans="4:11">
      <c r="D1965" s="158">
        <v>174386</v>
      </c>
      <c r="E1965" s="158">
        <v>11750</v>
      </c>
      <c r="F1965" s="158">
        <v>2075</v>
      </c>
      <c r="G1965" s="158">
        <v>2.5</v>
      </c>
      <c r="H1965" s="158">
        <v>2.5</v>
      </c>
      <c r="I1965" s="158">
        <v>0</v>
      </c>
      <c r="J1965" s="158">
        <v>2.5</v>
      </c>
      <c r="K1965" s="158" t="s">
        <v>235</v>
      </c>
    </row>
    <row r="1966" spans="4:11">
      <c r="D1966" s="158">
        <v>174387</v>
      </c>
      <c r="E1966" s="158">
        <v>11750</v>
      </c>
      <c r="F1966" s="158">
        <v>2075</v>
      </c>
      <c r="G1966" s="158">
        <v>2.5</v>
      </c>
      <c r="H1966" s="158">
        <v>4.5</v>
      </c>
      <c r="I1966" s="158">
        <v>0</v>
      </c>
      <c r="J1966" s="158">
        <v>4.5</v>
      </c>
      <c r="K1966" s="158" t="s">
        <v>235</v>
      </c>
    </row>
    <row r="1967" spans="4:11">
      <c r="D1967" s="158">
        <v>174388</v>
      </c>
      <c r="E1967" s="158">
        <v>11750</v>
      </c>
      <c r="F1967" s="158">
        <v>2075</v>
      </c>
      <c r="G1967" s="158">
        <v>1.5</v>
      </c>
      <c r="H1967" s="158">
        <v>0.5</v>
      </c>
      <c r="I1967" s="158">
        <v>1</v>
      </c>
      <c r="J1967" s="158">
        <v>1.5</v>
      </c>
      <c r="K1967" s="158" t="s">
        <v>235</v>
      </c>
    </row>
    <row r="1968" spans="4:11">
      <c r="D1968" s="158">
        <v>174389</v>
      </c>
      <c r="E1968" s="158">
        <v>11750</v>
      </c>
      <c r="F1968" s="158">
        <v>2075</v>
      </c>
      <c r="G1968" s="158">
        <v>1.5</v>
      </c>
      <c r="I1968" s="158">
        <v>1.5</v>
      </c>
      <c r="J1968" s="158">
        <v>1.5</v>
      </c>
      <c r="K1968" s="158" t="s">
        <v>235</v>
      </c>
    </row>
    <row r="1969" spans="4:11">
      <c r="D1969" s="158">
        <v>174390</v>
      </c>
      <c r="E1969" s="158">
        <v>10794</v>
      </c>
      <c r="F1969" s="158">
        <v>2075</v>
      </c>
      <c r="G1969" s="158">
        <v>1.5</v>
      </c>
      <c r="I1969" s="158">
        <v>1.5</v>
      </c>
      <c r="J1969" s="158">
        <v>1.5</v>
      </c>
      <c r="K1969" s="158" t="s">
        <v>235</v>
      </c>
    </row>
    <row r="1970" spans="4:11">
      <c r="D1970" s="158">
        <v>174391</v>
      </c>
      <c r="E1970" s="158">
        <v>10794</v>
      </c>
      <c r="F1970" s="158">
        <v>2075</v>
      </c>
      <c r="G1970" s="158">
        <v>4.0999999999999996</v>
      </c>
      <c r="H1970" s="158">
        <v>4.0999999999999996</v>
      </c>
      <c r="I1970" s="158">
        <v>0</v>
      </c>
      <c r="J1970" s="158">
        <v>4.0999999999999996</v>
      </c>
      <c r="K1970" s="158" t="s">
        <v>235</v>
      </c>
    </row>
    <row r="1971" spans="4:11">
      <c r="D1971" s="158">
        <v>174392</v>
      </c>
      <c r="E1971" s="158">
        <v>10794</v>
      </c>
      <c r="F1971" s="158">
        <v>2075</v>
      </c>
      <c r="G1971" s="158">
        <v>4.0999999999999996</v>
      </c>
      <c r="H1971" s="158">
        <v>4.0999999999999996</v>
      </c>
      <c r="I1971" s="158">
        <v>0</v>
      </c>
      <c r="J1971" s="158">
        <v>4.0999999999999996</v>
      </c>
      <c r="K1971" s="158" t="s">
        <v>235</v>
      </c>
    </row>
    <row r="1972" spans="4:11">
      <c r="D1972" s="158">
        <v>174574</v>
      </c>
      <c r="E1972" s="158">
        <v>10020</v>
      </c>
      <c r="F1972" s="158">
        <v>2264</v>
      </c>
      <c r="G1972" s="158">
        <v>6.96</v>
      </c>
      <c r="H1972" s="158">
        <v>7.76</v>
      </c>
      <c r="I1972" s="158">
        <v>0.18</v>
      </c>
      <c r="J1972" s="158">
        <v>7.94</v>
      </c>
      <c r="K1972" s="158" t="s">
        <v>238</v>
      </c>
    </row>
    <row r="1973" spans="4:11">
      <c r="D1973" s="158">
        <v>174576</v>
      </c>
      <c r="E1973" s="158">
        <v>10020</v>
      </c>
      <c r="F1973" s="158">
        <v>1667</v>
      </c>
      <c r="G1973" s="158">
        <v>0.55000000000000004</v>
      </c>
      <c r="H1973" s="158">
        <v>1.35</v>
      </c>
      <c r="I1973" s="158">
        <v>0</v>
      </c>
      <c r="J1973" s="158">
        <v>1.35</v>
      </c>
      <c r="K1973" s="158" t="s">
        <v>238</v>
      </c>
    </row>
    <row r="1974" spans="4:11">
      <c r="D1974" s="158">
        <v>174577</v>
      </c>
      <c r="E1974" s="158">
        <v>10020</v>
      </c>
      <c r="F1974" s="158">
        <v>229</v>
      </c>
      <c r="G1974" s="158">
        <v>0.4</v>
      </c>
      <c r="H1974" s="158">
        <v>0.7</v>
      </c>
      <c r="I1974" s="158">
        <v>0</v>
      </c>
      <c r="J1974" s="158">
        <v>0.7</v>
      </c>
      <c r="K1974" s="158" t="s">
        <v>238</v>
      </c>
    </row>
    <row r="1975" spans="4:11">
      <c r="D1975" s="158">
        <v>174597</v>
      </c>
      <c r="E1975" s="158">
        <v>10688</v>
      </c>
      <c r="F1975" s="158">
        <v>2122</v>
      </c>
      <c r="G1975" s="158">
        <v>4.3</v>
      </c>
      <c r="H1975" s="158">
        <v>4.25</v>
      </c>
      <c r="I1975" s="158">
        <v>0</v>
      </c>
      <c r="J1975" s="158">
        <v>4.25</v>
      </c>
      <c r="K1975" s="158" t="s">
        <v>235</v>
      </c>
    </row>
    <row r="1976" spans="4:11">
      <c r="D1976" s="158">
        <v>174605</v>
      </c>
      <c r="E1976" s="158">
        <v>11255</v>
      </c>
      <c r="F1976" s="158">
        <v>1120</v>
      </c>
      <c r="H1976" s="158">
        <v>12</v>
      </c>
      <c r="I1976" s="158">
        <v>0</v>
      </c>
      <c r="J1976" s="158">
        <v>12</v>
      </c>
      <c r="K1976" s="158" t="s">
        <v>236</v>
      </c>
    </row>
    <row r="1977" spans="4:11">
      <c r="D1977" s="158">
        <v>174683</v>
      </c>
      <c r="E1977" s="158">
        <v>10639</v>
      </c>
      <c r="F1977" s="158">
        <v>2120</v>
      </c>
      <c r="H1977" s="158">
        <v>0.25</v>
      </c>
      <c r="J1977" s="158">
        <v>0.25</v>
      </c>
      <c r="K1977" s="158" t="s">
        <v>235</v>
      </c>
    </row>
    <row r="1978" spans="4:11">
      <c r="D1978" s="158">
        <v>174686</v>
      </c>
      <c r="E1978" s="158">
        <v>11719</v>
      </c>
      <c r="F1978" s="158">
        <v>2142</v>
      </c>
      <c r="G1978" s="158">
        <v>0</v>
      </c>
      <c r="I1978" s="158">
        <v>0</v>
      </c>
      <c r="J1978" s="158">
        <v>0</v>
      </c>
      <c r="K1978" s="158" t="s">
        <v>235</v>
      </c>
    </row>
    <row r="1979" spans="4:11">
      <c r="D1979" s="158">
        <v>174687</v>
      </c>
      <c r="E1979" s="158">
        <v>11719</v>
      </c>
      <c r="F1979" s="158">
        <v>1999</v>
      </c>
      <c r="G1979" s="158">
        <v>2.1</v>
      </c>
      <c r="H1979" s="158">
        <v>2</v>
      </c>
      <c r="I1979" s="158">
        <v>0</v>
      </c>
      <c r="J1979" s="158">
        <v>2</v>
      </c>
      <c r="K1979" s="158" t="s">
        <v>235</v>
      </c>
    </row>
    <row r="1980" spans="4:11">
      <c r="D1980" s="158">
        <v>174688</v>
      </c>
      <c r="E1980" s="158">
        <v>11707</v>
      </c>
      <c r="F1980" s="158">
        <v>1999</v>
      </c>
      <c r="H1980" s="158">
        <v>6</v>
      </c>
      <c r="J1980" s="158">
        <v>6</v>
      </c>
      <c r="K1980" s="158" t="s">
        <v>235</v>
      </c>
    </row>
    <row r="1981" spans="4:11">
      <c r="D1981" s="158">
        <v>174689</v>
      </c>
      <c r="E1981" s="158">
        <v>11707</v>
      </c>
      <c r="F1981" s="158">
        <v>2301</v>
      </c>
      <c r="G1981" s="158">
        <v>1.85</v>
      </c>
      <c r="I1981" s="158">
        <v>0</v>
      </c>
      <c r="J1981" s="158">
        <v>0</v>
      </c>
      <c r="K1981" s="158" t="s">
        <v>235</v>
      </c>
    </row>
    <row r="1982" spans="4:11">
      <c r="D1982" s="158">
        <v>174690</v>
      </c>
      <c r="E1982" s="158">
        <v>11707</v>
      </c>
      <c r="F1982" s="158">
        <v>1999</v>
      </c>
      <c r="G1982" s="158">
        <v>2.1</v>
      </c>
      <c r="H1982" s="158">
        <v>6</v>
      </c>
      <c r="I1982" s="158">
        <v>0</v>
      </c>
      <c r="J1982" s="158">
        <v>6</v>
      </c>
      <c r="K1982" s="158" t="s">
        <v>235</v>
      </c>
    </row>
    <row r="1983" spans="4:11">
      <c r="D1983" s="158">
        <v>174691</v>
      </c>
      <c r="E1983" s="158">
        <v>11708</v>
      </c>
      <c r="F1983" s="158">
        <v>1999</v>
      </c>
      <c r="G1983" s="158">
        <v>1.85</v>
      </c>
      <c r="H1983" s="158">
        <v>7.3</v>
      </c>
      <c r="I1983" s="158">
        <v>0</v>
      </c>
      <c r="J1983" s="158">
        <v>7.3</v>
      </c>
      <c r="K1983" s="158" t="s">
        <v>235</v>
      </c>
    </row>
    <row r="1984" spans="4:11">
      <c r="D1984" s="158">
        <v>174692</v>
      </c>
      <c r="E1984" s="158">
        <v>11708</v>
      </c>
      <c r="F1984" s="158">
        <v>1999</v>
      </c>
      <c r="H1984" s="158">
        <v>1.5</v>
      </c>
      <c r="J1984" s="158">
        <v>1.5</v>
      </c>
      <c r="K1984" s="158" t="s">
        <v>235</v>
      </c>
    </row>
    <row r="1985" spans="4:11">
      <c r="D1985" s="158">
        <v>174694</v>
      </c>
      <c r="E1985" s="158">
        <v>11708</v>
      </c>
      <c r="F1985" s="158">
        <v>1999</v>
      </c>
      <c r="G1985" s="158">
        <v>1.6</v>
      </c>
      <c r="H1985" s="158">
        <v>2.1</v>
      </c>
      <c r="I1985" s="158">
        <v>0</v>
      </c>
      <c r="J1985" s="158">
        <v>2.1</v>
      </c>
      <c r="K1985" s="158" t="s">
        <v>235</v>
      </c>
    </row>
    <row r="1986" spans="4:11">
      <c r="D1986" s="158">
        <v>174695</v>
      </c>
      <c r="E1986" s="158">
        <v>11749</v>
      </c>
      <c r="F1986" s="158">
        <v>1999</v>
      </c>
      <c r="K1986" s="158" t="s">
        <v>235</v>
      </c>
    </row>
    <row r="1987" spans="4:11">
      <c r="D1987" s="158">
        <v>174696</v>
      </c>
      <c r="E1987" s="158">
        <v>11749</v>
      </c>
      <c r="F1987" s="158">
        <v>1999</v>
      </c>
      <c r="K1987" s="158" t="s">
        <v>235</v>
      </c>
    </row>
    <row r="1988" spans="4:11">
      <c r="D1988" s="158">
        <v>174697</v>
      </c>
      <c r="E1988" s="158">
        <v>11749</v>
      </c>
      <c r="F1988" s="158">
        <v>1999</v>
      </c>
      <c r="K1988" s="158" t="s">
        <v>235</v>
      </c>
    </row>
    <row r="1989" spans="4:11">
      <c r="D1989" s="158">
        <v>174698</v>
      </c>
      <c r="E1989" s="158">
        <v>11780</v>
      </c>
      <c r="F1989" s="158">
        <v>2184</v>
      </c>
      <c r="G1989" s="158">
        <v>1.85</v>
      </c>
      <c r="H1989" s="158">
        <v>0.25</v>
      </c>
      <c r="I1989" s="158">
        <v>1.6</v>
      </c>
      <c r="J1989" s="158">
        <v>1.85</v>
      </c>
      <c r="K1989" s="158" t="s">
        <v>235</v>
      </c>
    </row>
    <row r="1990" spans="4:11">
      <c r="D1990" s="158">
        <v>174699</v>
      </c>
      <c r="E1990" s="158">
        <v>11780</v>
      </c>
      <c r="F1990" s="158">
        <v>2174</v>
      </c>
      <c r="G1990" s="158">
        <v>10.15</v>
      </c>
      <c r="H1990" s="158">
        <v>0</v>
      </c>
      <c r="I1990" s="158">
        <v>0</v>
      </c>
      <c r="J1990" s="158">
        <v>0</v>
      </c>
      <c r="K1990" s="158" t="s">
        <v>235</v>
      </c>
    </row>
    <row r="1991" spans="4:11">
      <c r="D1991" s="158">
        <v>174700</v>
      </c>
      <c r="E1991" s="158">
        <v>11748</v>
      </c>
      <c r="F1991" s="158">
        <v>1999</v>
      </c>
      <c r="G1991" s="158">
        <v>6.2</v>
      </c>
      <c r="H1991" s="158">
        <v>8</v>
      </c>
      <c r="I1991" s="158">
        <v>0</v>
      </c>
      <c r="J1991" s="158">
        <v>8</v>
      </c>
      <c r="K1991" s="158" t="s">
        <v>235</v>
      </c>
    </row>
    <row r="1992" spans="4:11">
      <c r="D1992" s="158">
        <v>174701</v>
      </c>
      <c r="E1992" s="158">
        <v>11748</v>
      </c>
      <c r="F1992" s="158">
        <v>1999</v>
      </c>
      <c r="H1992" s="158">
        <v>6</v>
      </c>
      <c r="J1992" s="158">
        <v>6</v>
      </c>
      <c r="K1992" s="158" t="s">
        <v>235</v>
      </c>
    </row>
    <row r="1993" spans="4:11">
      <c r="D1993" s="158">
        <v>174702</v>
      </c>
      <c r="E1993" s="158">
        <v>11748</v>
      </c>
      <c r="F1993" s="158">
        <v>1999</v>
      </c>
      <c r="G1993" s="158">
        <v>5.55</v>
      </c>
      <c r="H1993" s="158">
        <v>5.2</v>
      </c>
      <c r="I1993" s="158">
        <v>0</v>
      </c>
      <c r="J1993" s="158">
        <v>5.2</v>
      </c>
      <c r="K1993" s="158" t="s">
        <v>235</v>
      </c>
    </row>
    <row r="1994" spans="4:11">
      <c r="D1994" s="158">
        <v>174703</v>
      </c>
      <c r="E1994" s="158">
        <v>11748</v>
      </c>
      <c r="F1994" s="158">
        <v>1999</v>
      </c>
      <c r="G1994" s="158">
        <v>1.85</v>
      </c>
      <c r="H1994" s="158">
        <v>3.1</v>
      </c>
      <c r="I1994" s="158">
        <v>0</v>
      </c>
      <c r="J1994" s="158">
        <v>3.1</v>
      </c>
      <c r="K1994" s="158" t="s">
        <v>235</v>
      </c>
    </row>
    <row r="1995" spans="4:11">
      <c r="D1995" s="158">
        <v>174708</v>
      </c>
      <c r="E1995" s="158">
        <v>11953</v>
      </c>
      <c r="F1995" s="158">
        <v>2122</v>
      </c>
      <c r="H1995" s="158">
        <v>1.5</v>
      </c>
      <c r="J1995" s="158">
        <v>1.5</v>
      </c>
      <c r="K1995" s="158" t="s">
        <v>235</v>
      </c>
    </row>
    <row r="1996" spans="4:11">
      <c r="D1996" s="158">
        <v>174709</v>
      </c>
      <c r="E1996" s="158">
        <v>10639</v>
      </c>
      <c r="F1996" s="158">
        <v>1999</v>
      </c>
      <c r="H1996" s="158">
        <v>5</v>
      </c>
      <c r="J1996" s="158">
        <v>5</v>
      </c>
      <c r="K1996" s="158" t="s">
        <v>235</v>
      </c>
    </row>
    <row r="1997" spans="4:11">
      <c r="D1997" s="158">
        <v>174713</v>
      </c>
      <c r="E1997" s="158">
        <v>10020</v>
      </c>
      <c r="F1997" s="158">
        <v>1667</v>
      </c>
      <c r="G1997" s="158">
        <v>6.25</v>
      </c>
      <c r="H1997" s="158">
        <v>5.0999999999999996</v>
      </c>
      <c r="I1997" s="158">
        <v>0</v>
      </c>
      <c r="J1997" s="158">
        <v>5.0999999999999996</v>
      </c>
      <c r="K1997" s="158" t="s">
        <v>238</v>
      </c>
    </row>
    <row r="1998" spans="4:11">
      <c r="D1998" s="158">
        <v>174714</v>
      </c>
      <c r="E1998" s="158">
        <v>10020</v>
      </c>
      <c r="F1998" s="158">
        <v>229</v>
      </c>
      <c r="G1998" s="158">
        <v>0.4</v>
      </c>
      <c r="I1998" s="158">
        <v>0</v>
      </c>
      <c r="J1998" s="158">
        <v>0</v>
      </c>
      <c r="K1998" s="158" t="s">
        <v>238</v>
      </c>
    </row>
    <row r="1999" spans="4:11">
      <c r="D1999" s="158">
        <v>174716</v>
      </c>
      <c r="E1999" s="158">
        <v>10020</v>
      </c>
      <c r="F1999" s="158">
        <v>402</v>
      </c>
      <c r="G1999" s="158">
        <v>0.3</v>
      </c>
      <c r="H1999" s="158">
        <v>0.3</v>
      </c>
      <c r="I1999" s="158">
        <v>0</v>
      </c>
      <c r="J1999" s="158">
        <v>0.3</v>
      </c>
      <c r="K1999" s="158" t="s">
        <v>238</v>
      </c>
    </row>
    <row r="2000" spans="4:11">
      <c r="D2000" s="158">
        <v>174857</v>
      </c>
      <c r="E2000" s="158">
        <v>11750</v>
      </c>
      <c r="F2000" s="158">
        <v>2075</v>
      </c>
      <c r="G2000" s="158">
        <v>1.7</v>
      </c>
      <c r="H2000" s="158">
        <v>0.5</v>
      </c>
      <c r="I2000" s="158">
        <v>0</v>
      </c>
      <c r="J2000" s="158">
        <v>0.5</v>
      </c>
      <c r="K2000" s="158" t="s">
        <v>235</v>
      </c>
    </row>
    <row r="2001" spans="4:11">
      <c r="D2001" s="158">
        <v>174861</v>
      </c>
      <c r="E2001" s="158">
        <v>11213</v>
      </c>
      <c r="F2001" s="158">
        <v>1821</v>
      </c>
      <c r="H2001" s="158">
        <v>2.5</v>
      </c>
      <c r="J2001" s="158">
        <v>2.5</v>
      </c>
      <c r="K2001" s="158" t="s">
        <v>235</v>
      </c>
    </row>
    <row r="2002" spans="4:11">
      <c r="D2002" s="158">
        <v>174862</v>
      </c>
      <c r="E2002" s="158">
        <v>11213</v>
      </c>
      <c r="F2002" s="158">
        <v>1821</v>
      </c>
      <c r="H2002" s="158">
        <v>0.5</v>
      </c>
      <c r="J2002" s="158">
        <v>0.5</v>
      </c>
      <c r="K2002" s="158" t="s">
        <v>235</v>
      </c>
    </row>
    <row r="2003" spans="4:11">
      <c r="D2003" s="158">
        <v>175095</v>
      </c>
      <c r="E2003" s="158">
        <v>11953</v>
      </c>
      <c r="F2003" s="158">
        <v>2188</v>
      </c>
      <c r="G2003" s="158">
        <v>5.2</v>
      </c>
      <c r="H2003" s="158">
        <v>5.5</v>
      </c>
      <c r="I2003" s="158">
        <v>0</v>
      </c>
      <c r="J2003" s="158">
        <v>5.5</v>
      </c>
      <c r="K2003" s="158" t="s">
        <v>235</v>
      </c>
    </row>
    <row r="2004" spans="4:11">
      <c r="D2004" s="158">
        <v>175096</v>
      </c>
      <c r="E2004" s="158">
        <v>11712</v>
      </c>
      <c r="F2004" s="158">
        <v>2188</v>
      </c>
      <c r="G2004" s="158">
        <v>2.5</v>
      </c>
      <c r="H2004" s="158">
        <v>0</v>
      </c>
      <c r="I2004" s="158">
        <v>0</v>
      </c>
      <c r="J2004" s="158">
        <v>0</v>
      </c>
      <c r="K2004" s="158" t="s">
        <v>235</v>
      </c>
    </row>
    <row r="2005" spans="4:11">
      <c r="D2005" s="158">
        <v>175097</v>
      </c>
      <c r="E2005" s="158">
        <v>11711</v>
      </c>
      <c r="F2005" s="158">
        <v>2188</v>
      </c>
      <c r="G2005" s="158">
        <v>5.2</v>
      </c>
      <c r="H2005" s="158">
        <v>0.5</v>
      </c>
      <c r="I2005" s="158">
        <v>0</v>
      </c>
      <c r="J2005" s="158">
        <v>0.5</v>
      </c>
      <c r="K2005" s="158" t="s">
        <v>235</v>
      </c>
    </row>
    <row r="2006" spans="4:11">
      <c r="D2006" s="158">
        <v>175098</v>
      </c>
      <c r="E2006" s="158">
        <v>10689</v>
      </c>
      <c r="F2006" s="158">
        <v>2176</v>
      </c>
      <c r="G2006" s="158">
        <v>4.0999999999999996</v>
      </c>
      <c r="I2006" s="158">
        <v>0</v>
      </c>
      <c r="J2006" s="158">
        <v>0</v>
      </c>
      <c r="K2006" s="158" t="s">
        <v>235</v>
      </c>
    </row>
    <row r="2007" spans="4:11">
      <c r="D2007" s="158">
        <v>175099</v>
      </c>
      <c r="E2007" s="158">
        <v>10689</v>
      </c>
      <c r="F2007" s="158">
        <v>2123</v>
      </c>
      <c r="G2007" s="158">
        <v>3.45</v>
      </c>
      <c r="H2007" s="158">
        <v>4</v>
      </c>
      <c r="I2007" s="158">
        <v>0</v>
      </c>
      <c r="J2007" s="158">
        <v>4</v>
      </c>
      <c r="K2007" s="158" t="s">
        <v>235</v>
      </c>
    </row>
    <row r="2008" spans="4:11">
      <c r="D2008" s="158">
        <v>175100</v>
      </c>
      <c r="E2008" s="158">
        <v>11712</v>
      </c>
      <c r="F2008" s="158">
        <v>2123</v>
      </c>
      <c r="G2008" s="158">
        <v>4.0999999999999996</v>
      </c>
      <c r="H2008" s="158">
        <v>1</v>
      </c>
      <c r="I2008" s="158">
        <v>1</v>
      </c>
      <c r="J2008" s="158">
        <v>2</v>
      </c>
      <c r="K2008" s="158" t="s">
        <v>235</v>
      </c>
    </row>
    <row r="2009" spans="4:11">
      <c r="D2009" s="158">
        <v>175101</v>
      </c>
      <c r="E2009" s="158">
        <v>11712</v>
      </c>
      <c r="F2009" s="158">
        <v>2123</v>
      </c>
      <c r="G2009" s="158">
        <v>4.0999999999999996</v>
      </c>
      <c r="H2009" s="158">
        <v>4</v>
      </c>
      <c r="I2009" s="158">
        <v>0</v>
      </c>
      <c r="J2009" s="158">
        <v>4</v>
      </c>
      <c r="K2009" s="158" t="s">
        <v>235</v>
      </c>
    </row>
    <row r="2010" spans="4:11">
      <c r="D2010" s="158">
        <v>175102</v>
      </c>
      <c r="E2010" s="158">
        <v>10689</v>
      </c>
      <c r="F2010" s="158">
        <v>2122</v>
      </c>
      <c r="G2010" s="158">
        <v>4.0999999999999996</v>
      </c>
      <c r="H2010" s="158">
        <v>2</v>
      </c>
      <c r="I2010" s="158">
        <v>0</v>
      </c>
      <c r="J2010" s="158">
        <v>2</v>
      </c>
      <c r="K2010" s="158" t="s">
        <v>235</v>
      </c>
    </row>
    <row r="2011" spans="4:11">
      <c r="D2011" s="158">
        <v>175103</v>
      </c>
      <c r="E2011" s="158">
        <v>10689</v>
      </c>
      <c r="F2011" s="158">
        <v>2188</v>
      </c>
      <c r="G2011" s="158">
        <v>6.2</v>
      </c>
      <c r="H2011" s="158">
        <v>2.5</v>
      </c>
      <c r="I2011" s="158">
        <v>0</v>
      </c>
      <c r="J2011" s="158">
        <v>2.5</v>
      </c>
      <c r="K2011" s="158" t="s">
        <v>235</v>
      </c>
    </row>
    <row r="2012" spans="4:11">
      <c r="D2012" s="158">
        <v>175104</v>
      </c>
      <c r="E2012" s="158">
        <v>10689</v>
      </c>
      <c r="F2012" s="158">
        <v>2176</v>
      </c>
      <c r="G2012" s="158">
        <v>2.1</v>
      </c>
      <c r="I2012" s="158">
        <v>0</v>
      </c>
      <c r="J2012" s="158">
        <v>0</v>
      </c>
      <c r="K2012" s="158" t="s">
        <v>235</v>
      </c>
    </row>
    <row r="2013" spans="4:11">
      <c r="D2013" s="158">
        <v>175105</v>
      </c>
      <c r="E2013" s="158">
        <v>11953</v>
      </c>
      <c r="F2013" s="158">
        <v>2122</v>
      </c>
      <c r="G2013" s="158">
        <v>4.0999999999999996</v>
      </c>
      <c r="H2013" s="158">
        <v>10</v>
      </c>
      <c r="I2013" s="158">
        <v>0</v>
      </c>
      <c r="J2013" s="158">
        <v>10</v>
      </c>
      <c r="K2013" s="158" t="s">
        <v>235</v>
      </c>
    </row>
    <row r="2014" spans="4:11">
      <c r="D2014" s="158">
        <v>175106</v>
      </c>
      <c r="E2014" s="158">
        <v>11712</v>
      </c>
      <c r="F2014" s="158">
        <v>2123</v>
      </c>
      <c r="G2014" s="158">
        <v>7.8</v>
      </c>
      <c r="H2014" s="158">
        <v>4.5</v>
      </c>
      <c r="I2014" s="158">
        <v>0</v>
      </c>
      <c r="J2014" s="158">
        <v>4.5</v>
      </c>
      <c r="K2014" s="158" t="s">
        <v>235</v>
      </c>
    </row>
    <row r="2015" spans="4:11">
      <c r="D2015" s="158">
        <v>175107</v>
      </c>
      <c r="E2015" s="158">
        <v>10689</v>
      </c>
      <c r="F2015" s="158">
        <v>2120</v>
      </c>
      <c r="G2015" s="158">
        <v>4.0999999999999996</v>
      </c>
      <c r="H2015" s="158">
        <v>3.1</v>
      </c>
      <c r="I2015" s="158">
        <v>1</v>
      </c>
      <c r="J2015" s="158">
        <v>4.0999999999999996</v>
      </c>
      <c r="K2015" s="158" t="s">
        <v>235</v>
      </c>
    </row>
    <row r="2016" spans="4:11">
      <c r="D2016" s="158">
        <v>175108</v>
      </c>
      <c r="E2016" s="158">
        <v>10689</v>
      </c>
      <c r="F2016" s="158">
        <v>2123</v>
      </c>
      <c r="G2016" s="158">
        <v>8.3000000000000007</v>
      </c>
      <c r="H2016" s="158">
        <v>8</v>
      </c>
      <c r="I2016" s="158">
        <v>0</v>
      </c>
      <c r="J2016" s="158">
        <v>8</v>
      </c>
      <c r="K2016" s="158" t="s">
        <v>235</v>
      </c>
    </row>
    <row r="2017" spans="4:11">
      <c r="D2017" s="158">
        <v>175109</v>
      </c>
      <c r="E2017" s="158">
        <v>10639</v>
      </c>
      <c r="F2017" s="158">
        <v>2062</v>
      </c>
      <c r="H2017" s="158">
        <v>1.3</v>
      </c>
      <c r="I2017" s="158">
        <v>0</v>
      </c>
      <c r="J2017" s="158">
        <v>1.3</v>
      </c>
      <c r="K2017" s="158" t="s">
        <v>235</v>
      </c>
    </row>
    <row r="2018" spans="4:11">
      <c r="D2018" s="158">
        <v>175110</v>
      </c>
      <c r="E2018" s="158">
        <v>10639</v>
      </c>
      <c r="F2018" s="158">
        <v>2124</v>
      </c>
      <c r="K2018" s="158" t="s">
        <v>235</v>
      </c>
    </row>
    <row r="2019" spans="4:11">
      <c r="D2019" s="158">
        <v>175111</v>
      </c>
      <c r="E2019" s="158">
        <v>10639</v>
      </c>
      <c r="F2019" s="158">
        <v>1821</v>
      </c>
      <c r="H2019" s="158">
        <v>11.5</v>
      </c>
      <c r="J2019" s="158">
        <v>11.5</v>
      </c>
      <c r="K2019" s="158" t="s">
        <v>235</v>
      </c>
    </row>
    <row r="2020" spans="4:11">
      <c r="D2020" s="158">
        <v>175112</v>
      </c>
      <c r="E2020" s="158">
        <v>10639</v>
      </c>
      <c r="F2020" s="158">
        <v>828</v>
      </c>
      <c r="H2020" s="158">
        <v>2</v>
      </c>
      <c r="J2020" s="158">
        <v>2</v>
      </c>
      <c r="K2020" s="158" t="s">
        <v>235</v>
      </c>
    </row>
    <row r="2021" spans="4:11">
      <c r="D2021" s="158">
        <v>175116</v>
      </c>
      <c r="E2021" s="158">
        <v>10639</v>
      </c>
      <c r="F2021" s="158">
        <v>2124</v>
      </c>
      <c r="K2021" s="158" t="s">
        <v>235</v>
      </c>
    </row>
    <row r="2022" spans="4:11">
      <c r="D2022" s="158">
        <v>175122</v>
      </c>
      <c r="E2022" s="158">
        <v>11213</v>
      </c>
      <c r="F2022" s="158">
        <v>2030</v>
      </c>
      <c r="H2022" s="158">
        <v>0.4</v>
      </c>
      <c r="J2022" s="158">
        <v>0.4</v>
      </c>
      <c r="K2022" s="158" t="s">
        <v>235</v>
      </c>
    </row>
    <row r="2023" spans="4:11">
      <c r="D2023" s="158">
        <v>175171</v>
      </c>
      <c r="E2023" s="158">
        <v>10814</v>
      </c>
      <c r="F2023" s="158">
        <v>1251</v>
      </c>
      <c r="G2023" s="158">
        <v>8</v>
      </c>
      <c r="H2023" s="158">
        <v>7</v>
      </c>
      <c r="I2023" s="158">
        <v>0</v>
      </c>
      <c r="J2023" s="158">
        <v>7</v>
      </c>
      <c r="K2023" s="158" t="s">
        <v>235</v>
      </c>
    </row>
    <row r="2024" spans="4:11">
      <c r="D2024" s="158">
        <v>175172</v>
      </c>
      <c r="E2024" s="158">
        <v>10814</v>
      </c>
      <c r="F2024" s="158">
        <v>2220</v>
      </c>
      <c r="G2024" s="158">
        <v>1.5</v>
      </c>
      <c r="I2024" s="158">
        <v>0</v>
      </c>
      <c r="J2024" s="158">
        <v>0</v>
      </c>
      <c r="K2024" s="158" t="s">
        <v>235</v>
      </c>
    </row>
    <row r="2025" spans="4:11">
      <c r="D2025" s="158">
        <v>175173</v>
      </c>
      <c r="E2025" s="158">
        <v>10814</v>
      </c>
      <c r="F2025" s="158">
        <v>2176</v>
      </c>
      <c r="G2025" s="158">
        <v>6.1</v>
      </c>
      <c r="I2025" s="158">
        <v>0</v>
      </c>
      <c r="J2025" s="158">
        <v>0</v>
      </c>
      <c r="K2025" s="158" t="s">
        <v>235</v>
      </c>
    </row>
    <row r="2026" spans="4:11">
      <c r="D2026" s="158">
        <v>175174</v>
      </c>
      <c r="E2026" s="158">
        <v>10814</v>
      </c>
      <c r="F2026" s="158">
        <v>1251</v>
      </c>
      <c r="G2026" s="158">
        <v>4.0999999999999996</v>
      </c>
      <c r="H2026" s="158">
        <v>0</v>
      </c>
      <c r="I2026" s="158">
        <v>0</v>
      </c>
      <c r="J2026" s="158">
        <v>0</v>
      </c>
      <c r="K2026" s="158" t="s">
        <v>235</v>
      </c>
    </row>
    <row r="2027" spans="4:11">
      <c r="D2027" s="158">
        <v>175175</v>
      </c>
      <c r="E2027" s="158">
        <v>10814</v>
      </c>
      <c r="F2027" s="158">
        <v>2383</v>
      </c>
      <c r="G2027" s="158">
        <v>7.8</v>
      </c>
      <c r="H2027" s="158">
        <v>2</v>
      </c>
      <c r="I2027" s="158">
        <v>0</v>
      </c>
      <c r="J2027" s="158">
        <v>2</v>
      </c>
      <c r="K2027" s="158" t="s">
        <v>235</v>
      </c>
    </row>
    <row r="2028" spans="4:11">
      <c r="D2028" s="158">
        <v>175291</v>
      </c>
      <c r="E2028" s="158">
        <v>10639</v>
      </c>
      <c r="F2028" s="158">
        <v>1014</v>
      </c>
      <c r="H2028" s="158">
        <v>0.3</v>
      </c>
      <c r="J2028" s="158">
        <v>0.3</v>
      </c>
      <c r="K2028" s="158" t="s">
        <v>235</v>
      </c>
    </row>
    <row r="2029" spans="4:11">
      <c r="D2029" s="158">
        <v>175292</v>
      </c>
      <c r="E2029" s="158">
        <v>10639</v>
      </c>
      <c r="F2029" s="158">
        <v>2123</v>
      </c>
      <c r="K2029" s="158" t="s">
        <v>235</v>
      </c>
    </row>
    <row r="2030" spans="4:11">
      <c r="D2030" s="158">
        <v>175293</v>
      </c>
      <c r="E2030" s="158">
        <v>10639</v>
      </c>
      <c r="F2030" s="158">
        <v>197</v>
      </c>
      <c r="H2030" s="158">
        <v>0.75</v>
      </c>
      <c r="J2030" s="158">
        <v>0.75</v>
      </c>
      <c r="K2030" s="158" t="s">
        <v>235</v>
      </c>
    </row>
    <row r="2031" spans="4:11">
      <c r="D2031" s="158">
        <v>175294</v>
      </c>
      <c r="E2031" s="158">
        <v>10639</v>
      </c>
      <c r="F2031" s="158">
        <v>2188</v>
      </c>
      <c r="K2031" s="158" t="s">
        <v>235</v>
      </c>
    </row>
    <row r="2032" spans="4:11">
      <c r="D2032" s="158">
        <v>175295</v>
      </c>
      <c r="E2032" s="158">
        <v>10639</v>
      </c>
      <c r="F2032" s="158">
        <v>2181</v>
      </c>
      <c r="K2032" s="158" t="s">
        <v>235</v>
      </c>
    </row>
    <row r="2033" spans="4:11">
      <c r="D2033" s="158">
        <v>175296</v>
      </c>
      <c r="E2033" s="158">
        <v>10639</v>
      </c>
      <c r="F2033" s="158">
        <v>300</v>
      </c>
      <c r="K2033" s="158" t="s">
        <v>235</v>
      </c>
    </row>
    <row r="2034" spans="4:11">
      <c r="D2034" s="158">
        <v>175346</v>
      </c>
      <c r="E2034" s="158">
        <v>10778</v>
      </c>
      <c r="F2034" s="158">
        <v>2028</v>
      </c>
      <c r="G2034" s="158">
        <v>0.4</v>
      </c>
      <c r="H2034" s="158">
        <v>0.5</v>
      </c>
      <c r="I2034" s="158">
        <v>0</v>
      </c>
      <c r="J2034" s="158">
        <v>0.5</v>
      </c>
      <c r="K2034" s="158" t="s">
        <v>235</v>
      </c>
    </row>
    <row r="2035" spans="4:11">
      <c r="D2035" s="158">
        <v>175347</v>
      </c>
      <c r="E2035" s="158">
        <v>10779</v>
      </c>
      <c r="F2035" s="158">
        <v>2028</v>
      </c>
      <c r="G2035" s="158">
        <v>0.25</v>
      </c>
      <c r="I2035" s="158">
        <v>0.25</v>
      </c>
      <c r="J2035" s="158">
        <v>0.25</v>
      </c>
      <c r="K2035" s="158" t="s">
        <v>235</v>
      </c>
    </row>
    <row r="2036" spans="4:11">
      <c r="D2036" s="158">
        <v>175348</v>
      </c>
      <c r="E2036" s="158">
        <v>10780</v>
      </c>
      <c r="F2036" s="158">
        <v>2028</v>
      </c>
      <c r="H2036" s="158">
        <v>0.25</v>
      </c>
      <c r="J2036" s="158">
        <v>0.25</v>
      </c>
      <c r="K2036" s="158" t="s">
        <v>235</v>
      </c>
    </row>
    <row r="2037" spans="4:11">
      <c r="D2037" s="158">
        <v>175349</v>
      </c>
      <c r="E2037" s="158">
        <v>10772</v>
      </c>
      <c r="F2037" s="158">
        <v>2062</v>
      </c>
      <c r="G2037" s="158">
        <v>2.5</v>
      </c>
      <c r="I2037" s="158">
        <v>0.7</v>
      </c>
      <c r="J2037" s="158">
        <v>0.7</v>
      </c>
      <c r="K2037" s="158" t="s">
        <v>235</v>
      </c>
    </row>
    <row r="2038" spans="4:11">
      <c r="D2038" s="158">
        <v>175350</v>
      </c>
      <c r="E2038" s="158">
        <v>10720</v>
      </c>
      <c r="F2038" s="158">
        <v>2062</v>
      </c>
      <c r="G2038" s="158">
        <v>9.3000000000000007</v>
      </c>
      <c r="H2038" s="158">
        <v>8.1</v>
      </c>
      <c r="I2038" s="158">
        <v>0</v>
      </c>
      <c r="J2038" s="158">
        <v>8.1</v>
      </c>
      <c r="K2038" s="158" t="s">
        <v>235</v>
      </c>
    </row>
    <row r="2039" spans="4:11">
      <c r="D2039" s="158">
        <v>175374</v>
      </c>
      <c r="E2039" s="158">
        <v>10732</v>
      </c>
      <c r="F2039" s="158">
        <v>1821</v>
      </c>
      <c r="G2039" s="158">
        <v>6.4</v>
      </c>
      <c r="H2039" s="158">
        <v>2.5</v>
      </c>
      <c r="I2039" s="158">
        <v>0</v>
      </c>
      <c r="J2039" s="158">
        <v>2.5</v>
      </c>
      <c r="K2039" s="158" t="s">
        <v>235</v>
      </c>
    </row>
    <row r="2040" spans="4:11">
      <c r="D2040" s="158">
        <v>175376</v>
      </c>
      <c r="E2040" s="158">
        <v>10733</v>
      </c>
      <c r="F2040" s="158">
        <v>1821</v>
      </c>
      <c r="G2040" s="158">
        <v>2.25</v>
      </c>
      <c r="H2040" s="158">
        <v>2</v>
      </c>
      <c r="I2040" s="158">
        <v>0</v>
      </c>
      <c r="J2040" s="158">
        <v>2</v>
      </c>
      <c r="K2040" s="158" t="s">
        <v>235</v>
      </c>
    </row>
    <row r="2041" spans="4:11">
      <c r="D2041" s="158">
        <v>175386</v>
      </c>
      <c r="E2041" s="158">
        <v>11719</v>
      </c>
      <c r="F2041" s="158">
        <v>300</v>
      </c>
      <c r="G2041" s="158">
        <v>3</v>
      </c>
      <c r="H2041" s="158">
        <v>3</v>
      </c>
      <c r="I2041" s="158">
        <v>0</v>
      </c>
      <c r="J2041" s="158">
        <v>3</v>
      </c>
      <c r="K2041" s="158" t="s">
        <v>235</v>
      </c>
    </row>
    <row r="2042" spans="4:11">
      <c r="D2042" s="158">
        <v>175391</v>
      </c>
      <c r="E2042" s="158">
        <v>10688</v>
      </c>
      <c r="F2042" s="158">
        <v>2120</v>
      </c>
      <c r="G2042" s="158">
        <v>5.2</v>
      </c>
      <c r="I2042" s="158">
        <v>0</v>
      </c>
      <c r="J2042" s="158">
        <v>0</v>
      </c>
      <c r="K2042" s="158" t="s">
        <v>235</v>
      </c>
    </row>
    <row r="2043" spans="4:11">
      <c r="D2043" s="158">
        <v>175393</v>
      </c>
      <c r="E2043" s="158">
        <v>10794</v>
      </c>
      <c r="F2043" s="158">
        <v>2075</v>
      </c>
      <c r="G2043" s="158">
        <v>8.3000000000000007</v>
      </c>
      <c r="H2043" s="158">
        <v>9.8000000000000007</v>
      </c>
      <c r="I2043" s="158">
        <v>0</v>
      </c>
      <c r="J2043" s="158">
        <v>9.8000000000000007</v>
      </c>
      <c r="K2043" s="158" t="s">
        <v>235</v>
      </c>
    </row>
    <row r="2044" spans="4:11">
      <c r="D2044" s="158">
        <v>175395</v>
      </c>
      <c r="E2044" s="158">
        <v>10816</v>
      </c>
      <c r="F2044" s="158">
        <v>2221</v>
      </c>
      <c r="G2044" s="158">
        <v>17.600000000000001</v>
      </c>
      <c r="H2044" s="158">
        <v>18.45</v>
      </c>
      <c r="I2044" s="158">
        <v>0</v>
      </c>
      <c r="J2044" s="158">
        <v>18.45</v>
      </c>
      <c r="K2044" s="158" t="s">
        <v>235</v>
      </c>
    </row>
    <row r="2045" spans="4:11">
      <c r="D2045" s="158">
        <v>175396</v>
      </c>
      <c r="E2045" s="158">
        <v>10816</v>
      </c>
      <c r="F2045" s="158">
        <v>2221</v>
      </c>
      <c r="G2045" s="158">
        <v>6.2</v>
      </c>
      <c r="H2045" s="158">
        <v>5.85</v>
      </c>
      <c r="I2045" s="158">
        <v>0</v>
      </c>
      <c r="J2045" s="158">
        <v>5.85</v>
      </c>
      <c r="K2045" s="158" t="s">
        <v>235</v>
      </c>
    </row>
    <row r="2046" spans="4:11">
      <c r="D2046" s="158">
        <v>175397</v>
      </c>
      <c r="E2046" s="158">
        <v>10816</v>
      </c>
      <c r="F2046" s="158">
        <v>2221</v>
      </c>
      <c r="G2046" s="158">
        <v>3.1</v>
      </c>
      <c r="H2046" s="158">
        <v>1.95</v>
      </c>
      <c r="I2046" s="158">
        <v>0</v>
      </c>
      <c r="J2046" s="158">
        <v>1.95</v>
      </c>
      <c r="K2046" s="158" t="s">
        <v>235</v>
      </c>
    </row>
    <row r="2047" spans="4:11">
      <c r="D2047" s="158">
        <v>175398</v>
      </c>
      <c r="E2047" s="158">
        <v>10816</v>
      </c>
      <c r="F2047" s="158">
        <v>2221</v>
      </c>
      <c r="G2047" s="158">
        <v>3.1</v>
      </c>
      <c r="H2047" s="158">
        <v>1.75</v>
      </c>
      <c r="I2047" s="158">
        <v>0</v>
      </c>
      <c r="J2047" s="158">
        <v>1.75</v>
      </c>
      <c r="K2047" s="158" t="s">
        <v>235</v>
      </c>
    </row>
    <row r="2048" spans="4:11">
      <c r="D2048" s="158">
        <v>175399</v>
      </c>
      <c r="E2048" s="158">
        <v>10816</v>
      </c>
      <c r="F2048" s="158">
        <v>2122</v>
      </c>
      <c r="G2048" s="158">
        <v>8.3000000000000007</v>
      </c>
      <c r="H2048" s="158">
        <v>5.75</v>
      </c>
      <c r="I2048" s="158">
        <v>2.5499999999999998</v>
      </c>
      <c r="J2048" s="158">
        <v>8.3000000000000007</v>
      </c>
      <c r="K2048" s="158" t="s">
        <v>235</v>
      </c>
    </row>
    <row r="2049" spans="4:11">
      <c r="D2049" s="158">
        <v>175400</v>
      </c>
      <c r="E2049" s="158">
        <v>10816</v>
      </c>
      <c r="F2049" s="158">
        <v>2221</v>
      </c>
      <c r="G2049" s="158">
        <v>8.3000000000000007</v>
      </c>
      <c r="H2049" s="158">
        <v>5.5</v>
      </c>
      <c r="I2049" s="158">
        <v>0</v>
      </c>
      <c r="J2049" s="158">
        <v>5.5</v>
      </c>
      <c r="K2049" s="158" t="s">
        <v>235</v>
      </c>
    </row>
    <row r="2050" spans="4:11">
      <c r="D2050" s="158">
        <v>175401</v>
      </c>
      <c r="E2050" s="158">
        <v>10816</v>
      </c>
      <c r="F2050" s="158">
        <v>2221</v>
      </c>
      <c r="G2050" s="158">
        <v>8.3000000000000007</v>
      </c>
      <c r="H2050" s="158">
        <v>2.15</v>
      </c>
      <c r="I2050" s="158">
        <v>6.15</v>
      </c>
      <c r="J2050" s="158">
        <v>8.3000000000000007</v>
      </c>
      <c r="K2050" s="158" t="s">
        <v>235</v>
      </c>
    </row>
    <row r="2051" spans="4:11">
      <c r="D2051" s="158">
        <v>175402</v>
      </c>
      <c r="E2051" s="158">
        <v>10816</v>
      </c>
      <c r="F2051" s="158">
        <v>2221</v>
      </c>
      <c r="G2051" s="158">
        <v>8.3000000000000007</v>
      </c>
      <c r="H2051" s="158">
        <v>5.75</v>
      </c>
      <c r="I2051" s="158">
        <v>0</v>
      </c>
      <c r="J2051" s="158">
        <v>5.75</v>
      </c>
      <c r="K2051" s="158" t="s">
        <v>235</v>
      </c>
    </row>
    <row r="2052" spans="4:11">
      <c r="D2052" s="158">
        <v>175403</v>
      </c>
      <c r="E2052" s="158">
        <v>10816</v>
      </c>
      <c r="F2052" s="158">
        <v>2221</v>
      </c>
      <c r="G2052" s="158">
        <v>17.600000000000001</v>
      </c>
      <c r="H2052" s="158">
        <v>16</v>
      </c>
      <c r="I2052" s="158">
        <v>0</v>
      </c>
      <c r="J2052" s="158">
        <v>16</v>
      </c>
      <c r="K2052" s="158" t="s">
        <v>235</v>
      </c>
    </row>
    <row r="2053" spans="4:11">
      <c r="D2053" s="158">
        <v>175404</v>
      </c>
      <c r="E2053" s="158">
        <v>10816</v>
      </c>
      <c r="F2053" s="158">
        <v>2221</v>
      </c>
      <c r="G2053" s="158">
        <v>17.600000000000001</v>
      </c>
      <c r="I2053" s="158">
        <v>0</v>
      </c>
      <c r="J2053" s="158">
        <v>0</v>
      </c>
      <c r="K2053" s="158" t="s">
        <v>235</v>
      </c>
    </row>
    <row r="2054" spans="4:11">
      <c r="D2054" s="158">
        <v>175405</v>
      </c>
      <c r="E2054" s="158">
        <v>10816</v>
      </c>
      <c r="F2054" s="158">
        <v>2221</v>
      </c>
      <c r="G2054" s="158">
        <v>17.600000000000001</v>
      </c>
      <c r="H2054" s="158">
        <v>4.3</v>
      </c>
      <c r="I2054" s="158">
        <v>6</v>
      </c>
      <c r="J2054" s="158">
        <v>10.3</v>
      </c>
      <c r="K2054" s="158" t="s">
        <v>235</v>
      </c>
    </row>
    <row r="2055" spans="4:11">
      <c r="D2055" s="158">
        <v>175406</v>
      </c>
      <c r="E2055" s="158">
        <v>10816</v>
      </c>
      <c r="F2055" s="158">
        <v>2221</v>
      </c>
      <c r="G2055" s="158">
        <v>17.600000000000001</v>
      </c>
      <c r="H2055" s="158">
        <v>13.4</v>
      </c>
      <c r="I2055" s="158">
        <v>0.6</v>
      </c>
      <c r="J2055" s="158">
        <v>14</v>
      </c>
      <c r="K2055" s="158" t="s">
        <v>235</v>
      </c>
    </row>
    <row r="2056" spans="4:11">
      <c r="D2056" s="158">
        <v>175407</v>
      </c>
      <c r="E2056" s="158">
        <v>10814</v>
      </c>
      <c r="F2056" s="158">
        <v>2339</v>
      </c>
      <c r="G2056" s="158">
        <v>15.6</v>
      </c>
      <c r="H2056" s="158">
        <v>6</v>
      </c>
      <c r="I2056" s="158">
        <v>1.6</v>
      </c>
      <c r="J2056" s="158">
        <v>7.6</v>
      </c>
      <c r="K2056" s="158" t="s">
        <v>235</v>
      </c>
    </row>
    <row r="2057" spans="4:11">
      <c r="D2057" s="158">
        <v>175408</v>
      </c>
      <c r="E2057" s="158">
        <v>10814</v>
      </c>
      <c r="F2057" s="158">
        <v>2383</v>
      </c>
      <c r="G2057" s="158">
        <v>6.2</v>
      </c>
      <c r="H2057" s="158">
        <v>6.2</v>
      </c>
      <c r="I2057" s="158">
        <v>0</v>
      </c>
      <c r="J2057" s="158">
        <v>6.2</v>
      </c>
      <c r="K2057" s="158" t="s">
        <v>235</v>
      </c>
    </row>
    <row r="2058" spans="4:11">
      <c r="D2058" s="158">
        <v>175409</v>
      </c>
      <c r="E2058" s="158">
        <v>10814</v>
      </c>
      <c r="F2058" s="158">
        <v>2339</v>
      </c>
      <c r="G2058" s="158">
        <v>10.3</v>
      </c>
      <c r="H2058" s="158">
        <v>10</v>
      </c>
      <c r="I2058" s="158">
        <v>0</v>
      </c>
      <c r="J2058" s="158">
        <v>10</v>
      </c>
      <c r="K2058" s="158" t="s">
        <v>235</v>
      </c>
    </row>
    <row r="2059" spans="4:11">
      <c r="D2059" s="158">
        <v>175410</v>
      </c>
      <c r="E2059" s="158">
        <v>10814</v>
      </c>
      <c r="F2059" s="158">
        <v>2383</v>
      </c>
      <c r="G2059" s="158">
        <v>10</v>
      </c>
      <c r="H2059" s="158">
        <v>20</v>
      </c>
      <c r="I2059" s="158">
        <v>0</v>
      </c>
      <c r="J2059" s="158">
        <v>20</v>
      </c>
      <c r="K2059" s="158" t="s">
        <v>235</v>
      </c>
    </row>
    <row r="2060" spans="4:11">
      <c r="D2060" s="158">
        <v>175411</v>
      </c>
      <c r="E2060" s="158">
        <v>10814</v>
      </c>
      <c r="F2060" s="158">
        <v>2339</v>
      </c>
      <c r="G2060" s="158">
        <v>12.4</v>
      </c>
      <c r="H2060" s="158">
        <v>4</v>
      </c>
      <c r="I2060" s="158">
        <v>0</v>
      </c>
      <c r="J2060" s="158">
        <v>4</v>
      </c>
      <c r="K2060" s="158" t="s">
        <v>235</v>
      </c>
    </row>
    <row r="2061" spans="4:11">
      <c r="D2061" s="158">
        <v>175412</v>
      </c>
      <c r="E2061" s="158">
        <v>10814</v>
      </c>
      <c r="F2061" s="158">
        <v>2339</v>
      </c>
      <c r="G2061" s="158">
        <v>11.6</v>
      </c>
      <c r="H2061" s="158">
        <v>2</v>
      </c>
      <c r="I2061" s="158">
        <v>0</v>
      </c>
      <c r="J2061" s="158">
        <v>2</v>
      </c>
      <c r="K2061" s="158" t="s">
        <v>235</v>
      </c>
    </row>
    <row r="2062" spans="4:11">
      <c r="D2062" s="158">
        <v>175413</v>
      </c>
      <c r="E2062" s="158">
        <v>10814</v>
      </c>
      <c r="F2062" s="158">
        <v>1251</v>
      </c>
      <c r="G2062" s="158">
        <v>15.6</v>
      </c>
      <c r="H2062" s="158">
        <v>3</v>
      </c>
      <c r="I2062" s="158">
        <v>0</v>
      </c>
      <c r="J2062" s="158">
        <v>3</v>
      </c>
      <c r="K2062" s="158" t="s">
        <v>235</v>
      </c>
    </row>
    <row r="2063" spans="4:11">
      <c r="D2063" s="158">
        <v>175414</v>
      </c>
      <c r="E2063" s="158">
        <v>10814</v>
      </c>
      <c r="F2063" s="158">
        <v>1251</v>
      </c>
      <c r="G2063" s="158">
        <v>12.4</v>
      </c>
      <c r="H2063" s="158">
        <v>4.5</v>
      </c>
      <c r="I2063" s="158">
        <v>0</v>
      </c>
      <c r="J2063" s="158">
        <v>4.5</v>
      </c>
      <c r="K2063" s="158" t="s">
        <v>235</v>
      </c>
    </row>
    <row r="2064" spans="4:11">
      <c r="D2064" s="158">
        <v>175415</v>
      </c>
      <c r="E2064" s="158">
        <v>10814</v>
      </c>
      <c r="F2064" s="158">
        <v>1251</v>
      </c>
      <c r="G2064" s="158">
        <v>16.600000000000001</v>
      </c>
      <c r="H2064" s="158">
        <v>8.8000000000000007</v>
      </c>
      <c r="I2064" s="158">
        <v>0</v>
      </c>
      <c r="J2064" s="158">
        <v>8.8000000000000007</v>
      </c>
      <c r="K2064" s="158" t="s">
        <v>235</v>
      </c>
    </row>
    <row r="2065" spans="4:11">
      <c r="D2065" s="158">
        <v>175416</v>
      </c>
      <c r="E2065" s="158">
        <v>10814</v>
      </c>
      <c r="F2065" s="158">
        <v>2383</v>
      </c>
      <c r="G2065" s="158">
        <v>8</v>
      </c>
      <c r="I2065" s="158">
        <v>0</v>
      </c>
      <c r="J2065" s="158">
        <v>0</v>
      </c>
      <c r="K2065" s="158" t="s">
        <v>235</v>
      </c>
    </row>
    <row r="2066" spans="4:11">
      <c r="D2066" s="158">
        <v>175417</v>
      </c>
      <c r="E2066" s="158">
        <v>10814</v>
      </c>
      <c r="F2066" s="158">
        <v>1251</v>
      </c>
      <c r="G2066" s="158">
        <v>3</v>
      </c>
      <c r="H2066" s="158">
        <v>2.9</v>
      </c>
      <c r="I2066" s="158">
        <v>0</v>
      </c>
      <c r="J2066" s="158">
        <v>2.9</v>
      </c>
      <c r="K2066" s="158" t="s">
        <v>235</v>
      </c>
    </row>
    <row r="2067" spans="4:11">
      <c r="D2067" s="158">
        <v>175418</v>
      </c>
      <c r="E2067" s="158">
        <v>10814</v>
      </c>
      <c r="F2067" s="158">
        <v>2220</v>
      </c>
      <c r="G2067" s="158">
        <v>16.600000000000001</v>
      </c>
      <c r="H2067" s="158">
        <v>1</v>
      </c>
      <c r="I2067" s="158">
        <v>0</v>
      </c>
      <c r="J2067" s="158">
        <v>1</v>
      </c>
      <c r="K2067" s="158" t="s">
        <v>235</v>
      </c>
    </row>
    <row r="2068" spans="4:11">
      <c r="D2068" s="158">
        <v>175422</v>
      </c>
      <c r="E2068" s="158">
        <v>10688</v>
      </c>
      <c r="F2068" s="158">
        <v>2120</v>
      </c>
      <c r="G2068" s="158">
        <v>6.2</v>
      </c>
      <c r="H2068" s="158">
        <v>5</v>
      </c>
      <c r="I2068" s="158">
        <v>0</v>
      </c>
      <c r="J2068" s="158">
        <v>5</v>
      </c>
      <c r="K2068" s="158" t="s">
        <v>235</v>
      </c>
    </row>
    <row r="2069" spans="4:11">
      <c r="D2069" s="158">
        <v>175424</v>
      </c>
      <c r="E2069" s="158">
        <v>10688</v>
      </c>
      <c r="F2069" s="158">
        <v>2120</v>
      </c>
      <c r="G2069" s="158">
        <v>8.3000000000000007</v>
      </c>
      <c r="H2069" s="158">
        <v>8</v>
      </c>
      <c r="I2069" s="158">
        <v>0</v>
      </c>
      <c r="J2069" s="158">
        <v>8</v>
      </c>
      <c r="K2069" s="158" t="s">
        <v>235</v>
      </c>
    </row>
    <row r="2070" spans="4:11">
      <c r="D2070" s="158">
        <v>175427</v>
      </c>
      <c r="E2070" s="158">
        <v>10688</v>
      </c>
      <c r="F2070" s="158">
        <v>2120</v>
      </c>
      <c r="G2070" s="158">
        <v>4.0999999999999996</v>
      </c>
      <c r="H2070" s="158">
        <v>4.0999999999999996</v>
      </c>
      <c r="I2070" s="158">
        <v>0</v>
      </c>
      <c r="J2070" s="158">
        <v>4.0999999999999996</v>
      </c>
      <c r="K2070" s="158" t="s">
        <v>235</v>
      </c>
    </row>
    <row r="2071" spans="4:11">
      <c r="D2071" s="158">
        <v>175428</v>
      </c>
      <c r="E2071" s="158">
        <v>10688</v>
      </c>
      <c r="F2071" s="158">
        <v>2120</v>
      </c>
      <c r="G2071" s="158">
        <v>6.2</v>
      </c>
      <c r="H2071" s="158">
        <v>5.05</v>
      </c>
      <c r="I2071" s="158">
        <v>0</v>
      </c>
      <c r="J2071" s="158">
        <v>5.05</v>
      </c>
      <c r="K2071" s="158" t="s">
        <v>235</v>
      </c>
    </row>
    <row r="2072" spans="4:11">
      <c r="D2072" s="158">
        <v>175429</v>
      </c>
      <c r="E2072" s="158">
        <v>10688</v>
      </c>
      <c r="F2072" s="158">
        <v>2120</v>
      </c>
      <c r="G2072" s="158">
        <v>2.1</v>
      </c>
      <c r="H2072" s="158">
        <v>0.1</v>
      </c>
      <c r="I2072" s="158">
        <v>0</v>
      </c>
      <c r="J2072" s="158">
        <v>0.1</v>
      </c>
      <c r="K2072" s="158" t="s">
        <v>235</v>
      </c>
    </row>
    <row r="2073" spans="4:11">
      <c r="D2073" s="158">
        <v>175443</v>
      </c>
      <c r="E2073" s="158">
        <v>11044</v>
      </c>
      <c r="F2073" s="158">
        <v>2226</v>
      </c>
      <c r="G2073" s="158">
        <v>36</v>
      </c>
      <c r="H2073" s="158">
        <v>18.5</v>
      </c>
      <c r="I2073" s="158">
        <v>15.75</v>
      </c>
      <c r="J2073" s="158">
        <v>34.25</v>
      </c>
      <c r="K2073" s="158" t="s">
        <v>235</v>
      </c>
    </row>
    <row r="2074" spans="4:11">
      <c r="D2074" s="158">
        <v>175444</v>
      </c>
      <c r="E2074" s="158">
        <v>11926</v>
      </c>
      <c r="F2074" s="158">
        <v>2175</v>
      </c>
      <c r="G2074" s="158">
        <v>31.1</v>
      </c>
      <c r="I2074" s="158">
        <v>0</v>
      </c>
      <c r="J2074" s="158">
        <v>0</v>
      </c>
      <c r="K2074" s="158" t="s">
        <v>235</v>
      </c>
    </row>
    <row r="2075" spans="4:11">
      <c r="D2075" s="158">
        <v>175445</v>
      </c>
      <c r="E2075" s="158">
        <v>11926</v>
      </c>
      <c r="F2075" s="158">
        <v>2175</v>
      </c>
      <c r="G2075" s="158">
        <v>31.1</v>
      </c>
      <c r="I2075" s="158">
        <v>0</v>
      </c>
      <c r="J2075" s="158">
        <v>0</v>
      </c>
      <c r="K2075" s="158" t="s">
        <v>235</v>
      </c>
    </row>
    <row r="2076" spans="4:11">
      <c r="D2076" s="158">
        <v>175447</v>
      </c>
      <c r="E2076" s="158">
        <v>10815</v>
      </c>
      <c r="F2076" s="158">
        <v>2202</v>
      </c>
      <c r="G2076" s="158">
        <v>15.5</v>
      </c>
      <c r="K2076" s="158" t="s">
        <v>235</v>
      </c>
    </row>
    <row r="2077" spans="4:11">
      <c r="D2077" s="158">
        <v>175448</v>
      </c>
      <c r="E2077" s="158">
        <v>10815</v>
      </c>
      <c r="F2077" s="158">
        <v>2202</v>
      </c>
      <c r="G2077" s="158">
        <v>11.9</v>
      </c>
      <c r="K2077" s="158" t="s">
        <v>235</v>
      </c>
    </row>
    <row r="2078" spans="4:11">
      <c r="D2078" s="158">
        <v>175449</v>
      </c>
      <c r="E2078" s="158">
        <v>10688</v>
      </c>
      <c r="F2078" s="158">
        <v>2120</v>
      </c>
      <c r="G2078" s="158">
        <v>6.2</v>
      </c>
      <c r="H2078" s="158">
        <v>4</v>
      </c>
      <c r="I2078" s="158">
        <v>0</v>
      </c>
      <c r="J2078" s="158">
        <v>4</v>
      </c>
      <c r="K2078" s="158" t="s">
        <v>235</v>
      </c>
    </row>
    <row r="2079" spans="4:11">
      <c r="D2079" s="158">
        <v>175450</v>
      </c>
      <c r="E2079" s="158">
        <v>10814</v>
      </c>
      <c r="F2079" s="158">
        <v>1251</v>
      </c>
      <c r="G2079" s="158">
        <v>6.4</v>
      </c>
      <c r="H2079" s="158">
        <v>5.3</v>
      </c>
      <c r="I2079" s="158">
        <v>0</v>
      </c>
      <c r="J2079" s="158">
        <v>5.3</v>
      </c>
      <c r="K2079" s="158" t="s">
        <v>235</v>
      </c>
    </row>
    <row r="2080" spans="4:11">
      <c r="D2080" s="158">
        <v>175451</v>
      </c>
      <c r="E2080" s="158">
        <v>11898</v>
      </c>
      <c r="F2080" s="158">
        <v>2324</v>
      </c>
      <c r="G2080" s="158">
        <v>13.5</v>
      </c>
      <c r="H2080" s="158">
        <v>0</v>
      </c>
      <c r="I2080" s="158">
        <v>0</v>
      </c>
      <c r="J2080" s="158">
        <v>0</v>
      </c>
      <c r="K2080" s="158" t="s">
        <v>235</v>
      </c>
    </row>
    <row r="2081" spans="4:11">
      <c r="D2081" s="158">
        <v>175452</v>
      </c>
      <c r="E2081" s="158">
        <v>11898</v>
      </c>
      <c r="F2081" s="158">
        <v>2305</v>
      </c>
      <c r="G2081" s="158">
        <v>6.8</v>
      </c>
      <c r="I2081" s="158">
        <v>0</v>
      </c>
      <c r="J2081" s="158">
        <v>0</v>
      </c>
      <c r="K2081" s="158" t="s">
        <v>235</v>
      </c>
    </row>
    <row r="2082" spans="4:11">
      <c r="D2082" s="158">
        <v>175453</v>
      </c>
      <c r="E2082" s="158">
        <v>10720</v>
      </c>
      <c r="F2082" s="158">
        <v>2062</v>
      </c>
      <c r="G2082" s="158">
        <v>6.4</v>
      </c>
      <c r="H2082" s="158">
        <v>2.75</v>
      </c>
      <c r="I2082" s="158">
        <v>0</v>
      </c>
      <c r="J2082" s="158">
        <v>2.75</v>
      </c>
      <c r="K2082" s="158" t="s">
        <v>235</v>
      </c>
    </row>
    <row r="2083" spans="4:11">
      <c r="D2083" s="158">
        <v>175455</v>
      </c>
      <c r="E2083" s="158">
        <v>10763</v>
      </c>
      <c r="F2083" s="158">
        <v>1551</v>
      </c>
      <c r="G2083" s="158">
        <v>9.5500000000000007</v>
      </c>
      <c r="I2083" s="158">
        <v>25</v>
      </c>
      <c r="J2083" s="158">
        <v>25</v>
      </c>
      <c r="K2083" s="158" t="s">
        <v>235</v>
      </c>
    </row>
    <row r="2084" spans="4:11">
      <c r="D2084" s="158">
        <v>175456</v>
      </c>
      <c r="E2084" s="158">
        <v>10745</v>
      </c>
      <c r="F2084" s="158">
        <v>222</v>
      </c>
      <c r="G2084" s="158">
        <v>5</v>
      </c>
      <c r="H2084" s="158">
        <v>0.5</v>
      </c>
      <c r="I2084" s="158">
        <v>1.5</v>
      </c>
      <c r="J2084" s="158">
        <v>2</v>
      </c>
      <c r="K2084" s="158" t="s">
        <v>235</v>
      </c>
    </row>
    <row r="2085" spans="4:11">
      <c r="D2085" s="158">
        <v>175457</v>
      </c>
      <c r="E2085" s="158">
        <v>10745</v>
      </c>
      <c r="F2085" s="158">
        <v>222</v>
      </c>
      <c r="G2085" s="158">
        <v>7.5</v>
      </c>
      <c r="H2085" s="158">
        <v>8.5</v>
      </c>
      <c r="I2085" s="158">
        <v>0</v>
      </c>
      <c r="J2085" s="158">
        <v>8.5</v>
      </c>
      <c r="K2085" s="158" t="s">
        <v>235</v>
      </c>
    </row>
    <row r="2086" spans="4:11">
      <c r="D2086" s="158">
        <v>175458</v>
      </c>
      <c r="E2086" s="158">
        <v>10721</v>
      </c>
      <c r="F2086" s="158">
        <v>2305</v>
      </c>
      <c r="G2086" s="158">
        <v>6.4</v>
      </c>
      <c r="I2086" s="158">
        <v>0</v>
      </c>
      <c r="J2086" s="158">
        <v>0</v>
      </c>
      <c r="K2086" s="158" t="s">
        <v>235</v>
      </c>
    </row>
    <row r="2087" spans="4:11">
      <c r="D2087" s="158">
        <v>175460</v>
      </c>
      <c r="E2087" s="158">
        <v>10814</v>
      </c>
      <c r="F2087" s="158">
        <v>1251</v>
      </c>
      <c r="G2087" s="158">
        <v>6.2</v>
      </c>
      <c r="H2087" s="158">
        <v>4.5</v>
      </c>
      <c r="I2087" s="158">
        <v>0</v>
      </c>
      <c r="J2087" s="158">
        <v>4.5</v>
      </c>
      <c r="K2087" s="158" t="s">
        <v>235</v>
      </c>
    </row>
    <row r="2088" spans="4:11">
      <c r="D2088" s="158">
        <v>175461</v>
      </c>
      <c r="E2088" s="158">
        <v>10691</v>
      </c>
      <c r="F2088" s="158">
        <v>2123</v>
      </c>
      <c r="G2088" s="158">
        <v>6.2</v>
      </c>
      <c r="H2088" s="158">
        <v>1</v>
      </c>
      <c r="I2088" s="158">
        <v>0</v>
      </c>
      <c r="J2088" s="158">
        <v>1</v>
      </c>
      <c r="K2088" s="158" t="s">
        <v>235</v>
      </c>
    </row>
    <row r="2089" spans="4:11">
      <c r="D2089" s="158">
        <v>175462</v>
      </c>
      <c r="E2089" s="158">
        <v>10691</v>
      </c>
      <c r="F2089" s="158">
        <v>2123</v>
      </c>
      <c r="G2089" s="158">
        <v>4.3</v>
      </c>
      <c r="H2089" s="158">
        <v>4.5</v>
      </c>
      <c r="I2089" s="158">
        <v>0</v>
      </c>
      <c r="J2089" s="158">
        <v>4.5</v>
      </c>
      <c r="K2089" s="158" t="s">
        <v>235</v>
      </c>
    </row>
    <row r="2090" spans="4:11">
      <c r="D2090" s="158">
        <v>175463</v>
      </c>
      <c r="E2090" s="158">
        <v>10691</v>
      </c>
      <c r="F2090" s="158">
        <v>2123</v>
      </c>
      <c r="G2090" s="158">
        <v>2.1</v>
      </c>
      <c r="I2090" s="158">
        <v>2.1</v>
      </c>
      <c r="J2090" s="158">
        <v>2.1</v>
      </c>
      <c r="K2090" s="158" t="s">
        <v>235</v>
      </c>
    </row>
    <row r="2091" spans="4:11">
      <c r="D2091" s="158">
        <v>175464</v>
      </c>
      <c r="E2091" s="158">
        <v>10691</v>
      </c>
      <c r="F2091" s="158">
        <v>2123</v>
      </c>
      <c r="G2091" s="158">
        <v>2.1</v>
      </c>
      <c r="I2091" s="158">
        <v>2.1</v>
      </c>
      <c r="J2091" s="158">
        <v>2.1</v>
      </c>
      <c r="K2091" s="158" t="s">
        <v>235</v>
      </c>
    </row>
    <row r="2092" spans="4:11">
      <c r="D2092" s="158">
        <v>175465</v>
      </c>
      <c r="E2092" s="158">
        <v>10691</v>
      </c>
      <c r="F2092" s="158">
        <v>2123</v>
      </c>
      <c r="G2092" s="158">
        <v>2.1</v>
      </c>
      <c r="I2092" s="158">
        <v>2.1</v>
      </c>
      <c r="J2092" s="158">
        <v>2.1</v>
      </c>
      <c r="K2092" s="158" t="s">
        <v>235</v>
      </c>
    </row>
    <row r="2093" spans="4:11">
      <c r="D2093" s="158">
        <v>175466</v>
      </c>
      <c r="E2093" s="158">
        <v>10691</v>
      </c>
      <c r="F2093" s="158">
        <v>2123</v>
      </c>
      <c r="G2093" s="158">
        <v>1.5</v>
      </c>
      <c r="I2093" s="158">
        <v>1.5</v>
      </c>
      <c r="J2093" s="158">
        <v>1.5</v>
      </c>
      <c r="K2093" s="158" t="s">
        <v>235</v>
      </c>
    </row>
    <row r="2094" spans="4:11">
      <c r="D2094" s="158">
        <v>175467</v>
      </c>
      <c r="E2094" s="158">
        <v>10691</v>
      </c>
      <c r="F2094" s="158">
        <v>2123</v>
      </c>
      <c r="G2094" s="158">
        <v>0.85</v>
      </c>
      <c r="I2094" s="158">
        <v>0.85</v>
      </c>
      <c r="J2094" s="158">
        <v>0.85</v>
      </c>
      <c r="K2094" s="158" t="s">
        <v>235</v>
      </c>
    </row>
    <row r="2095" spans="4:11">
      <c r="D2095" s="158">
        <v>175468</v>
      </c>
      <c r="E2095" s="158">
        <v>10763</v>
      </c>
      <c r="F2095" s="158">
        <v>306</v>
      </c>
      <c r="G2095" s="158">
        <v>0</v>
      </c>
      <c r="I2095" s="158">
        <v>0</v>
      </c>
      <c r="J2095" s="158">
        <v>0</v>
      </c>
      <c r="K2095" s="158" t="s">
        <v>235</v>
      </c>
    </row>
    <row r="2096" spans="4:11">
      <c r="D2096" s="158">
        <v>175469</v>
      </c>
      <c r="E2096" s="158">
        <v>10687</v>
      </c>
      <c r="F2096" s="158">
        <v>2301</v>
      </c>
      <c r="G2096" s="158">
        <v>8.3000000000000007</v>
      </c>
      <c r="I2096" s="158">
        <v>0</v>
      </c>
      <c r="J2096" s="158">
        <v>0</v>
      </c>
      <c r="K2096" s="158" t="s">
        <v>235</v>
      </c>
    </row>
    <row r="2097" spans="4:11">
      <c r="D2097" s="158">
        <v>175470</v>
      </c>
      <c r="E2097" s="158">
        <v>11926</v>
      </c>
      <c r="F2097" s="158">
        <v>2175</v>
      </c>
      <c r="G2097" s="158">
        <v>7.8</v>
      </c>
      <c r="K2097" s="158" t="s">
        <v>235</v>
      </c>
    </row>
    <row r="2098" spans="4:11">
      <c r="D2098" s="158">
        <v>175471</v>
      </c>
      <c r="E2098" s="158">
        <v>11926</v>
      </c>
      <c r="F2098" s="158">
        <v>2174</v>
      </c>
      <c r="G2098" s="158">
        <v>7.8</v>
      </c>
      <c r="K2098" s="158" t="s">
        <v>235</v>
      </c>
    </row>
    <row r="2099" spans="4:11">
      <c r="D2099" s="158">
        <v>175472</v>
      </c>
      <c r="E2099" s="158">
        <v>11926</v>
      </c>
      <c r="F2099" s="158">
        <v>2174</v>
      </c>
      <c r="G2099" s="158">
        <v>6.6</v>
      </c>
      <c r="K2099" s="158" t="s">
        <v>235</v>
      </c>
    </row>
    <row r="2100" spans="4:11">
      <c r="D2100" s="158">
        <v>175473</v>
      </c>
      <c r="E2100" s="158">
        <v>11926</v>
      </c>
      <c r="F2100" s="158">
        <v>2174</v>
      </c>
      <c r="G2100" s="158">
        <v>7.8</v>
      </c>
      <c r="K2100" s="158" t="s">
        <v>235</v>
      </c>
    </row>
    <row r="2101" spans="4:11">
      <c r="D2101" s="158">
        <v>175474</v>
      </c>
      <c r="E2101" s="158">
        <v>11780</v>
      </c>
      <c r="F2101" s="158">
        <v>2184</v>
      </c>
      <c r="G2101" s="158">
        <v>7.8</v>
      </c>
      <c r="H2101" s="158">
        <v>5</v>
      </c>
      <c r="I2101" s="158">
        <v>3.9</v>
      </c>
      <c r="J2101" s="158">
        <v>8.9</v>
      </c>
      <c r="K2101" s="158" t="s">
        <v>235</v>
      </c>
    </row>
    <row r="2102" spans="4:11">
      <c r="D2102" s="158">
        <v>175475</v>
      </c>
      <c r="E2102" s="158">
        <v>10687</v>
      </c>
      <c r="F2102" s="158">
        <v>2301</v>
      </c>
      <c r="G2102" s="158">
        <v>6.35</v>
      </c>
      <c r="I2102" s="158">
        <v>0</v>
      </c>
      <c r="J2102" s="158">
        <v>0</v>
      </c>
      <c r="K2102" s="158" t="s">
        <v>235</v>
      </c>
    </row>
    <row r="2103" spans="4:11">
      <c r="D2103" s="158">
        <v>175476</v>
      </c>
      <c r="E2103" s="158">
        <v>11948</v>
      </c>
      <c r="F2103" s="158">
        <v>1738</v>
      </c>
      <c r="G2103" s="158">
        <v>2.6</v>
      </c>
      <c r="H2103" s="158">
        <v>0.55000000000000004</v>
      </c>
      <c r="I2103" s="158">
        <v>2.8</v>
      </c>
      <c r="J2103" s="158">
        <v>3.35</v>
      </c>
      <c r="K2103" s="158" t="s">
        <v>235</v>
      </c>
    </row>
    <row r="2104" spans="4:11">
      <c r="D2104" s="158">
        <v>175477</v>
      </c>
      <c r="E2104" s="158">
        <v>10768</v>
      </c>
      <c r="F2104" s="158">
        <v>1014</v>
      </c>
      <c r="G2104" s="158">
        <v>2.5</v>
      </c>
      <c r="I2104" s="158">
        <v>0</v>
      </c>
      <c r="J2104" s="158">
        <v>0</v>
      </c>
      <c r="K2104" s="158" t="s">
        <v>235</v>
      </c>
    </row>
    <row r="2105" spans="4:11">
      <c r="D2105" s="158">
        <v>175478</v>
      </c>
      <c r="E2105" s="158">
        <v>11948</v>
      </c>
      <c r="F2105" s="158">
        <v>1821</v>
      </c>
      <c r="G2105" s="158">
        <v>2.6</v>
      </c>
      <c r="H2105" s="158">
        <v>0.5</v>
      </c>
      <c r="I2105" s="158">
        <v>0.1</v>
      </c>
      <c r="J2105" s="158">
        <v>0.6</v>
      </c>
      <c r="K2105" s="158" t="s">
        <v>235</v>
      </c>
    </row>
    <row r="2106" spans="4:11">
      <c r="D2106" s="158">
        <v>175479</v>
      </c>
      <c r="E2106" s="158">
        <v>10768</v>
      </c>
      <c r="F2106" s="158">
        <v>1014</v>
      </c>
      <c r="G2106" s="158">
        <v>2.25</v>
      </c>
      <c r="H2106" s="158">
        <v>1.3</v>
      </c>
      <c r="I2106" s="158">
        <v>0</v>
      </c>
      <c r="J2106" s="158">
        <v>1.3</v>
      </c>
      <c r="K2106" s="158" t="s">
        <v>235</v>
      </c>
    </row>
    <row r="2107" spans="4:11">
      <c r="D2107" s="158">
        <v>175480</v>
      </c>
      <c r="E2107" s="158">
        <v>10720</v>
      </c>
      <c r="F2107" s="158">
        <v>2062</v>
      </c>
      <c r="G2107" s="158">
        <v>2.5</v>
      </c>
      <c r="H2107" s="158">
        <v>0.65</v>
      </c>
      <c r="I2107" s="158">
        <v>1.05</v>
      </c>
      <c r="J2107" s="158">
        <v>1.7</v>
      </c>
      <c r="K2107" s="158" t="s">
        <v>235</v>
      </c>
    </row>
    <row r="2108" spans="4:11">
      <c r="D2108" s="158">
        <v>175481</v>
      </c>
      <c r="E2108" s="158">
        <v>10753</v>
      </c>
      <c r="F2108" s="158">
        <v>222</v>
      </c>
      <c r="G2108" s="158">
        <v>0</v>
      </c>
      <c r="I2108" s="158">
        <v>0</v>
      </c>
      <c r="J2108" s="158">
        <v>0</v>
      </c>
      <c r="K2108" s="158" t="s">
        <v>235</v>
      </c>
    </row>
    <row r="2109" spans="4:11">
      <c r="D2109" s="158">
        <v>175482</v>
      </c>
      <c r="E2109" s="158">
        <v>10759</v>
      </c>
      <c r="F2109" s="158">
        <v>2062</v>
      </c>
      <c r="G2109" s="158">
        <v>2.5</v>
      </c>
      <c r="I2109" s="158">
        <v>1</v>
      </c>
      <c r="J2109" s="158">
        <v>1</v>
      </c>
      <c r="K2109" s="158" t="s">
        <v>235</v>
      </c>
    </row>
    <row r="2110" spans="4:11">
      <c r="D2110" s="158">
        <v>175483</v>
      </c>
      <c r="E2110" s="158">
        <v>10689</v>
      </c>
      <c r="F2110" s="158">
        <v>2120</v>
      </c>
      <c r="G2110" s="158">
        <v>2.1</v>
      </c>
      <c r="H2110" s="158">
        <v>0.1</v>
      </c>
      <c r="I2110" s="158">
        <v>2</v>
      </c>
      <c r="J2110" s="158">
        <v>2.1</v>
      </c>
      <c r="K2110" s="158" t="s">
        <v>235</v>
      </c>
    </row>
    <row r="2111" spans="4:11">
      <c r="D2111" s="158">
        <v>175485</v>
      </c>
      <c r="E2111" s="158">
        <v>11748</v>
      </c>
      <c r="F2111" s="158">
        <v>1999</v>
      </c>
      <c r="G2111" s="158">
        <v>1.85</v>
      </c>
      <c r="H2111" s="158">
        <v>2.6</v>
      </c>
      <c r="I2111" s="158">
        <v>0</v>
      </c>
      <c r="J2111" s="158">
        <v>2.6</v>
      </c>
      <c r="K2111" s="158" t="s">
        <v>235</v>
      </c>
    </row>
    <row r="2112" spans="4:11">
      <c r="D2112" s="158">
        <v>175487</v>
      </c>
      <c r="E2112" s="158">
        <v>11926</v>
      </c>
      <c r="F2112" s="158">
        <v>2174</v>
      </c>
      <c r="G2112" s="158">
        <v>4</v>
      </c>
      <c r="K2112" s="158" t="s">
        <v>235</v>
      </c>
    </row>
    <row r="2113" spans="4:11">
      <c r="D2113" s="158">
        <v>175488</v>
      </c>
      <c r="E2113" s="158">
        <v>11926</v>
      </c>
      <c r="F2113" s="158">
        <v>2174</v>
      </c>
      <c r="G2113" s="158">
        <v>2.1</v>
      </c>
      <c r="K2113" s="158" t="s">
        <v>235</v>
      </c>
    </row>
    <row r="2114" spans="4:11">
      <c r="D2114" s="158">
        <v>175489</v>
      </c>
      <c r="E2114" s="158">
        <v>11926</v>
      </c>
      <c r="F2114" s="158">
        <v>2174</v>
      </c>
      <c r="G2114" s="158">
        <v>1</v>
      </c>
      <c r="K2114" s="158" t="s">
        <v>235</v>
      </c>
    </row>
    <row r="2115" spans="4:11">
      <c r="D2115" s="158">
        <v>175490</v>
      </c>
      <c r="E2115" s="158">
        <v>11926</v>
      </c>
      <c r="F2115" s="158">
        <v>2174</v>
      </c>
      <c r="G2115" s="158">
        <v>3.3</v>
      </c>
      <c r="K2115" s="158" t="s">
        <v>235</v>
      </c>
    </row>
    <row r="2116" spans="4:11">
      <c r="D2116" s="158">
        <v>175491</v>
      </c>
      <c r="E2116" s="158">
        <v>11926</v>
      </c>
      <c r="F2116" s="158">
        <v>2174</v>
      </c>
      <c r="G2116" s="158">
        <v>2.1</v>
      </c>
      <c r="K2116" s="158" t="s">
        <v>235</v>
      </c>
    </row>
    <row r="2117" spans="4:11">
      <c r="D2117" s="158">
        <v>175494</v>
      </c>
      <c r="E2117" s="158">
        <v>10020</v>
      </c>
      <c r="F2117" s="158">
        <v>2264</v>
      </c>
      <c r="G2117" s="158">
        <v>0.95</v>
      </c>
      <c r="H2117" s="158">
        <v>0.95</v>
      </c>
      <c r="I2117" s="158">
        <v>0</v>
      </c>
      <c r="J2117" s="158">
        <v>0.95</v>
      </c>
      <c r="K2117" s="158" t="s">
        <v>238</v>
      </c>
    </row>
    <row r="2118" spans="4:11">
      <c r="D2118" s="158">
        <v>175534</v>
      </c>
      <c r="E2118" s="158">
        <v>10639</v>
      </c>
      <c r="F2118" s="158">
        <v>2340</v>
      </c>
      <c r="H2118" s="158">
        <v>79</v>
      </c>
      <c r="I2118" s="158">
        <v>35</v>
      </c>
      <c r="J2118" s="158">
        <v>114</v>
      </c>
      <c r="K2118" s="158" t="s">
        <v>235</v>
      </c>
    </row>
    <row r="2119" spans="4:11">
      <c r="D2119" s="158">
        <v>175543</v>
      </c>
      <c r="E2119" s="158">
        <v>10688</v>
      </c>
      <c r="F2119" s="158">
        <v>2123</v>
      </c>
      <c r="G2119" s="158">
        <v>10</v>
      </c>
      <c r="H2119" s="158">
        <v>9.25</v>
      </c>
      <c r="I2119" s="158">
        <v>0</v>
      </c>
      <c r="J2119" s="158">
        <v>9.25</v>
      </c>
      <c r="K2119" s="158" t="s">
        <v>235</v>
      </c>
    </row>
    <row r="2120" spans="4:11">
      <c r="D2120" s="158">
        <v>175548</v>
      </c>
      <c r="E2120" s="158">
        <v>10726</v>
      </c>
      <c r="F2120" s="158">
        <v>235</v>
      </c>
      <c r="G2120" s="158">
        <v>2.25</v>
      </c>
      <c r="H2120" s="158">
        <v>3.4</v>
      </c>
      <c r="I2120" s="158">
        <v>0</v>
      </c>
      <c r="J2120" s="158">
        <v>3.4</v>
      </c>
      <c r="K2120" s="158" t="s">
        <v>235</v>
      </c>
    </row>
    <row r="2121" spans="4:11">
      <c r="D2121" s="158">
        <v>175559</v>
      </c>
      <c r="E2121" s="158">
        <v>10750</v>
      </c>
      <c r="F2121" s="158">
        <v>2177</v>
      </c>
      <c r="G2121" s="158">
        <v>3.4</v>
      </c>
      <c r="I2121" s="158">
        <v>0</v>
      </c>
      <c r="J2121" s="158">
        <v>0</v>
      </c>
      <c r="K2121" s="158" t="s">
        <v>235</v>
      </c>
    </row>
    <row r="2122" spans="4:11">
      <c r="D2122" s="158">
        <v>175560</v>
      </c>
      <c r="E2122" s="158">
        <v>10764</v>
      </c>
      <c r="F2122" s="158">
        <v>2062</v>
      </c>
      <c r="G2122" s="158">
        <v>2.5</v>
      </c>
      <c r="H2122" s="158">
        <v>1.1000000000000001</v>
      </c>
      <c r="I2122" s="158">
        <v>0</v>
      </c>
      <c r="J2122" s="158">
        <v>1.1000000000000001</v>
      </c>
      <c r="K2122" s="158" t="s">
        <v>235</v>
      </c>
    </row>
    <row r="2123" spans="4:11">
      <c r="D2123" s="158">
        <v>175561</v>
      </c>
      <c r="E2123" s="158">
        <v>10763</v>
      </c>
      <c r="F2123" s="158">
        <v>1551</v>
      </c>
      <c r="G2123" s="158">
        <v>18.600000000000001</v>
      </c>
      <c r="H2123" s="158">
        <v>28</v>
      </c>
      <c r="I2123" s="158">
        <v>0</v>
      </c>
      <c r="J2123" s="158">
        <v>28</v>
      </c>
      <c r="K2123" s="158" t="s">
        <v>235</v>
      </c>
    </row>
    <row r="2124" spans="4:11">
      <c r="D2124" s="158">
        <v>175562</v>
      </c>
      <c r="E2124" s="158">
        <v>11044</v>
      </c>
      <c r="F2124" s="158">
        <v>2315</v>
      </c>
      <c r="H2124" s="158">
        <v>88.5</v>
      </c>
      <c r="I2124" s="158">
        <v>0</v>
      </c>
      <c r="J2124" s="158">
        <v>88.5</v>
      </c>
      <c r="K2124" s="158" t="s">
        <v>235</v>
      </c>
    </row>
    <row r="2125" spans="4:11">
      <c r="D2125" s="158">
        <v>175563</v>
      </c>
      <c r="E2125" s="158">
        <v>11044</v>
      </c>
      <c r="F2125" s="158">
        <v>2315</v>
      </c>
      <c r="H2125" s="158">
        <v>19</v>
      </c>
      <c r="I2125" s="158">
        <v>15</v>
      </c>
      <c r="J2125" s="158">
        <v>34</v>
      </c>
      <c r="K2125" s="158" t="s">
        <v>235</v>
      </c>
    </row>
    <row r="2126" spans="4:11">
      <c r="D2126" s="158">
        <v>175570</v>
      </c>
      <c r="E2126" s="158">
        <v>10754</v>
      </c>
      <c r="F2126" s="158">
        <v>2030</v>
      </c>
      <c r="G2126" s="158">
        <v>7.5</v>
      </c>
      <c r="H2126" s="158">
        <v>0.85</v>
      </c>
      <c r="I2126" s="158">
        <v>4</v>
      </c>
      <c r="J2126" s="158">
        <v>4.8499999999999996</v>
      </c>
      <c r="K2126" s="158" t="s">
        <v>235</v>
      </c>
    </row>
    <row r="2127" spans="4:11">
      <c r="D2127" s="158">
        <v>175578</v>
      </c>
      <c r="E2127" s="158">
        <v>11309</v>
      </c>
      <c r="F2127" s="158">
        <v>2135</v>
      </c>
      <c r="G2127" s="158">
        <v>6.9</v>
      </c>
      <c r="H2127" s="158">
        <v>6.75</v>
      </c>
      <c r="I2127" s="158">
        <v>0</v>
      </c>
      <c r="J2127" s="158">
        <v>6.75</v>
      </c>
      <c r="K2127" s="158" t="s">
        <v>236</v>
      </c>
    </row>
    <row r="2128" spans="4:11">
      <c r="D2128" s="158">
        <v>175579</v>
      </c>
      <c r="E2128" s="158">
        <v>11309</v>
      </c>
      <c r="F2128" s="158">
        <v>2266</v>
      </c>
      <c r="G2128" s="158">
        <v>6.9</v>
      </c>
      <c r="H2128" s="158">
        <v>6.5</v>
      </c>
      <c r="I2128" s="158">
        <v>0</v>
      </c>
      <c r="J2128" s="158">
        <v>6.5</v>
      </c>
      <c r="K2128" s="158" t="s">
        <v>236</v>
      </c>
    </row>
    <row r="2129" spans="4:11">
      <c r="D2129" s="158">
        <v>175723</v>
      </c>
      <c r="E2129" s="158">
        <v>10720</v>
      </c>
      <c r="F2129" s="158">
        <v>2062</v>
      </c>
      <c r="G2129" s="158">
        <v>9.3000000000000007</v>
      </c>
      <c r="H2129" s="158">
        <v>5.15</v>
      </c>
      <c r="I2129" s="158">
        <v>0</v>
      </c>
      <c r="J2129" s="158">
        <v>5.15</v>
      </c>
      <c r="K2129" s="158" t="s">
        <v>235</v>
      </c>
    </row>
    <row r="2130" spans="4:11">
      <c r="D2130" s="158">
        <v>175724</v>
      </c>
      <c r="E2130" s="158">
        <v>10720</v>
      </c>
      <c r="F2130" s="158">
        <v>306</v>
      </c>
      <c r="H2130" s="158">
        <v>0.5</v>
      </c>
      <c r="J2130" s="158">
        <v>0.5</v>
      </c>
      <c r="K2130" s="158" t="s">
        <v>235</v>
      </c>
    </row>
    <row r="2131" spans="4:11">
      <c r="D2131" s="158">
        <v>175780</v>
      </c>
      <c r="E2131" s="158">
        <v>10691</v>
      </c>
      <c r="F2131" s="158">
        <v>2028</v>
      </c>
      <c r="G2131" s="158">
        <v>0.5</v>
      </c>
      <c r="H2131" s="158">
        <v>0.5</v>
      </c>
      <c r="I2131" s="158">
        <v>0</v>
      </c>
      <c r="J2131" s="158">
        <v>0.5</v>
      </c>
      <c r="K2131" s="158" t="s">
        <v>235</v>
      </c>
    </row>
    <row r="2132" spans="4:11">
      <c r="D2132" s="158">
        <v>175785</v>
      </c>
      <c r="E2132" s="158">
        <v>11213</v>
      </c>
      <c r="F2132" s="158">
        <v>2030</v>
      </c>
      <c r="H2132" s="158">
        <v>1.1499999999999999</v>
      </c>
      <c r="J2132" s="158">
        <v>1.1499999999999999</v>
      </c>
      <c r="K2132" s="158" t="s">
        <v>235</v>
      </c>
    </row>
    <row r="2133" spans="4:11">
      <c r="D2133" s="158">
        <v>175795</v>
      </c>
      <c r="E2133" s="158">
        <v>10720</v>
      </c>
      <c r="F2133" s="158">
        <v>2030</v>
      </c>
      <c r="G2133" s="158">
        <v>19.3</v>
      </c>
      <c r="H2133" s="158">
        <v>27.05</v>
      </c>
      <c r="I2133" s="158">
        <v>0</v>
      </c>
      <c r="J2133" s="158">
        <v>27.05</v>
      </c>
      <c r="K2133" s="158" t="s">
        <v>235</v>
      </c>
    </row>
    <row r="2134" spans="4:11">
      <c r="D2134" s="158">
        <v>175797</v>
      </c>
      <c r="E2134" s="158">
        <v>10720</v>
      </c>
      <c r="F2134" s="158">
        <v>2062</v>
      </c>
      <c r="G2134" s="158">
        <v>9.3000000000000007</v>
      </c>
      <c r="H2134" s="158">
        <v>7.8</v>
      </c>
      <c r="I2134" s="158">
        <v>0</v>
      </c>
      <c r="J2134" s="158">
        <v>7.8</v>
      </c>
      <c r="K2134" s="158" t="s">
        <v>235</v>
      </c>
    </row>
    <row r="2135" spans="4:11">
      <c r="D2135" s="158">
        <v>175801</v>
      </c>
      <c r="E2135" s="158">
        <v>10097</v>
      </c>
      <c r="F2135" s="158">
        <v>2264</v>
      </c>
      <c r="H2135" s="158">
        <v>11.15</v>
      </c>
      <c r="J2135" s="158">
        <v>11.15</v>
      </c>
      <c r="K2135" s="158" t="s">
        <v>237</v>
      </c>
    </row>
    <row r="2136" spans="4:11">
      <c r="D2136" s="158">
        <v>175803</v>
      </c>
      <c r="E2136" s="158">
        <v>10795</v>
      </c>
      <c r="F2136" s="158">
        <v>2142</v>
      </c>
      <c r="G2136" s="158">
        <v>6.35</v>
      </c>
      <c r="H2136" s="158">
        <v>8.75</v>
      </c>
      <c r="I2136" s="158">
        <v>0</v>
      </c>
      <c r="J2136" s="158">
        <v>8.75</v>
      </c>
      <c r="K2136" s="158" t="s">
        <v>235</v>
      </c>
    </row>
    <row r="2137" spans="4:11">
      <c r="D2137" s="158">
        <v>175804</v>
      </c>
      <c r="E2137" s="158">
        <v>10795</v>
      </c>
      <c r="F2137" s="158">
        <v>300</v>
      </c>
      <c r="G2137" s="158">
        <v>1.5</v>
      </c>
      <c r="H2137" s="158">
        <v>1.5</v>
      </c>
      <c r="I2137" s="158">
        <v>0</v>
      </c>
      <c r="J2137" s="158">
        <v>1.5</v>
      </c>
      <c r="K2137" s="158" t="s">
        <v>235</v>
      </c>
    </row>
    <row r="2138" spans="4:11">
      <c r="D2138" s="158">
        <v>175840</v>
      </c>
      <c r="E2138" s="158">
        <v>11707</v>
      </c>
      <c r="F2138" s="158">
        <v>2188</v>
      </c>
      <c r="H2138" s="158">
        <v>0.25</v>
      </c>
      <c r="J2138" s="158">
        <v>0.25</v>
      </c>
      <c r="K2138" s="158" t="s">
        <v>235</v>
      </c>
    </row>
    <row r="2139" spans="4:11">
      <c r="D2139" s="158">
        <v>175910</v>
      </c>
      <c r="E2139" s="158">
        <v>10720</v>
      </c>
      <c r="F2139" s="158">
        <v>2062</v>
      </c>
      <c r="G2139" s="158">
        <v>0</v>
      </c>
      <c r="I2139" s="158">
        <v>0</v>
      </c>
      <c r="J2139" s="158">
        <v>0</v>
      </c>
      <c r="K2139" s="158" t="s">
        <v>235</v>
      </c>
    </row>
    <row r="2140" spans="4:11">
      <c r="D2140" s="158">
        <v>175924</v>
      </c>
      <c r="E2140" s="158">
        <v>11308</v>
      </c>
      <c r="F2140" s="158">
        <v>2266</v>
      </c>
      <c r="G2140" s="158">
        <v>15.7</v>
      </c>
      <c r="H2140" s="158">
        <v>9</v>
      </c>
      <c r="I2140" s="158">
        <v>3</v>
      </c>
      <c r="J2140" s="158">
        <v>12</v>
      </c>
      <c r="K2140" s="158" t="s">
        <v>236</v>
      </c>
    </row>
    <row r="2141" spans="4:11">
      <c r="D2141" s="158">
        <v>175925</v>
      </c>
      <c r="E2141" s="158">
        <v>11308</v>
      </c>
      <c r="F2141" s="158">
        <v>2135</v>
      </c>
      <c r="G2141" s="158">
        <v>2</v>
      </c>
      <c r="I2141" s="158">
        <v>1</v>
      </c>
      <c r="J2141" s="158">
        <v>1</v>
      </c>
      <c r="K2141" s="158" t="s">
        <v>236</v>
      </c>
    </row>
    <row r="2142" spans="4:11">
      <c r="D2142" s="158">
        <v>175926</v>
      </c>
      <c r="E2142" s="158">
        <v>11309</v>
      </c>
      <c r="F2142" s="158">
        <v>2135</v>
      </c>
      <c r="G2142" s="158">
        <v>8</v>
      </c>
      <c r="H2142" s="158">
        <v>4</v>
      </c>
      <c r="I2142" s="158">
        <v>3</v>
      </c>
      <c r="J2142" s="158">
        <v>7</v>
      </c>
      <c r="K2142" s="158" t="s">
        <v>236</v>
      </c>
    </row>
    <row r="2143" spans="4:11">
      <c r="D2143" s="158">
        <v>175927</v>
      </c>
      <c r="E2143" s="158">
        <v>11309</v>
      </c>
      <c r="F2143" s="158">
        <v>2266</v>
      </c>
      <c r="G2143" s="158">
        <v>8</v>
      </c>
      <c r="H2143" s="158">
        <v>1.5</v>
      </c>
      <c r="I2143" s="158">
        <v>4.5</v>
      </c>
      <c r="J2143" s="158">
        <v>6</v>
      </c>
      <c r="K2143" s="158" t="s">
        <v>236</v>
      </c>
    </row>
    <row r="2144" spans="4:11">
      <c r="D2144" s="158">
        <v>175988</v>
      </c>
      <c r="E2144" s="158">
        <v>10816</v>
      </c>
      <c r="F2144" s="158">
        <v>881</v>
      </c>
      <c r="K2144" s="158" t="s">
        <v>235</v>
      </c>
    </row>
    <row r="2145" spans="4:11">
      <c r="D2145" s="158">
        <v>176000</v>
      </c>
      <c r="E2145" s="158">
        <v>10016</v>
      </c>
      <c r="F2145" s="158">
        <v>1039</v>
      </c>
      <c r="G2145" s="158">
        <v>5</v>
      </c>
      <c r="I2145" s="158">
        <v>0</v>
      </c>
      <c r="J2145" s="158">
        <v>0</v>
      </c>
      <c r="K2145" s="158" t="s">
        <v>238</v>
      </c>
    </row>
    <row r="2146" spans="4:11">
      <c r="D2146" s="158">
        <v>176028</v>
      </c>
      <c r="E2146" s="158">
        <v>11213</v>
      </c>
      <c r="F2146" s="158">
        <v>2030</v>
      </c>
      <c r="G2146" s="158">
        <v>31</v>
      </c>
      <c r="H2146" s="158">
        <v>0</v>
      </c>
      <c r="I2146" s="158">
        <v>0</v>
      </c>
      <c r="J2146" s="158">
        <v>0</v>
      </c>
      <c r="K2146" s="158" t="s">
        <v>235</v>
      </c>
    </row>
    <row r="2147" spans="4:11">
      <c r="D2147" s="158">
        <v>176031</v>
      </c>
      <c r="E2147" s="158">
        <v>10020</v>
      </c>
      <c r="F2147" s="158">
        <v>1667</v>
      </c>
      <c r="G2147" s="158">
        <v>5.3</v>
      </c>
      <c r="H2147" s="158">
        <v>5.45</v>
      </c>
      <c r="I2147" s="158">
        <v>0</v>
      </c>
      <c r="J2147" s="158">
        <v>5.45</v>
      </c>
      <c r="K2147" s="158" t="s">
        <v>238</v>
      </c>
    </row>
    <row r="2148" spans="4:11">
      <c r="D2148" s="158">
        <v>176032</v>
      </c>
      <c r="E2148" s="158">
        <v>10020</v>
      </c>
      <c r="F2148" s="158">
        <v>229</v>
      </c>
      <c r="G2148" s="158">
        <v>0.4</v>
      </c>
      <c r="H2148" s="158">
        <v>0.9</v>
      </c>
      <c r="I2148" s="158">
        <v>0</v>
      </c>
      <c r="J2148" s="158">
        <v>0.9</v>
      </c>
      <c r="K2148" s="158" t="s">
        <v>238</v>
      </c>
    </row>
    <row r="2149" spans="4:11">
      <c r="D2149" s="158">
        <v>176033</v>
      </c>
      <c r="E2149" s="158">
        <v>10020</v>
      </c>
      <c r="F2149" s="158">
        <v>402</v>
      </c>
      <c r="G2149" s="158">
        <v>0.3</v>
      </c>
      <c r="I2149" s="158">
        <v>0</v>
      </c>
      <c r="J2149" s="158">
        <v>0</v>
      </c>
      <c r="K2149" s="158" t="s">
        <v>238</v>
      </c>
    </row>
    <row r="2150" spans="4:11">
      <c r="D2150" s="158">
        <v>176034</v>
      </c>
      <c r="E2150" s="158">
        <v>10020</v>
      </c>
      <c r="F2150" s="158">
        <v>2264</v>
      </c>
      <c r="G2150" s="158">
        <v>6</v>
      </c>
      <c r="H2150" s="158">
        <v>6.8</v>
      </c>
      <c r="I2150" s="158">
        <v>0</v>
      </c>
      <c r="J2150" s="158">
        <v>6.8</v>
      </c>
      <c r="K2150" s="158" t="s">
        <v>238</v>
      </c>
    </row>
    <row r="2151" spans="4:11">
      <c r="D2151" s="158">
        <v>176035</v>
      </c>
      <c r="E2151" s="158">
        <v>10020</v>
      </c>
      <c r="F2151" s="158">
        <v>1667</v>
      </c>
      <c r="G2151" s="158">
        <v>0.55000000000000004</v>
      </c>
      <c r="H2151" s="158">
        <v>0.85</v>
      </c>
      <c r="I2151" s="158">
        <v>0</v>
      </c>
      <c r="J2151" s="158">
        <v>0.85</v>
      </c>
      <c r="K2151" s="158" t="s">
        <v>238</v>
      </c>
    </row>
    <row r="2152" spans="4:11">
      <c r="D2152" s="158">
        <v>176036</v>
      </c>
      <c r="E2152" s="158">
        <v>10020</v>
      </c>
      <c r="F2152" s="158">
        <v>402</v>
      </c>
      <c r="G2152" s="158">
        <v>0.3</v>
      </c>
      <c r="I2152" s="158">
        <v>0</v>
      </c>
      <c r="J2152" s="158">
        <v>0</v>
      </c>
      <c r="K2152" s="158" t="s">
        <v>238</v>
      </c>
    </row>
    <row r="2153" spans="4:11">
      <c r="D2153" s="158">
        <v>176039</v>
      </c>
      <c r="E2153" s="158">
        <v>11213</v>
      </c>
      <c r="F2153" s="158">
        <v>2062</v>
      </c>
      <c r="H2153" s="158">
        <v>0.85</v>
      </c>
      <c r="J2153" s="158">
        <v>0.85</v>
      </c>
      <c r="K2153" s="158" t="s">
        <v>235</v>
      </c>
    </row>
    <row r="2154" spans="4:11">
      <c r="D2154" s="158">
        <v>176040</v>
      </c>
      <c r="E2154" s="158">
        <v>11213</v>
      </c>
      <c r="F2154" s="158">
        <v>2062</v>
      </c>
      <c r="H2154" s="158">
        <v>0.1</v>
      </c>
      <c r="J2154" s="158">
        <v>0.1</v>
      </c>
      <c r="K2154" s="158" t="s">
        <v>235</v>
      </c>
    </row>
    <row r="2155" spans="4:11">
      <c r="D2155" s="158">
        <v>176041</v>
      </c>
      <c r="E2155" s="158">
        <v>10733</v>
      </c>
      <c r="F2155" s="158">
        <v>1821</v>
      </c>
      <c r="G2155" s="158">
        <v>2.5</v>
      </c>
      <c r="H2155" s="158">
        <v>2</v>
      </c>
      <c r="I2155" s="158">
        <v>0</v>
      </c>
      <c r="J2155" s="158">
        <v>2</v>
      </c>
      <c r="K2155" s="158" t="s">
        <v>235</v>
      </c>
    </row>
    <row r="2156" spans="4:11">
      <c r="D2156" s="158">
        <v>176044</v>
      </c>
      <c r="E2156" s="158">
        <v>10732</v>
      </c>
      <c r="F2156" s="158">
        <v>1821</v>
      </c>
      <c r="G2156" s="158">
        <v>6.4</v>
      </c>
      <c r="I2156" s="158">
        <v>3</v>
      </c>
      <c r="J2156" s="158">
        <v>3</v>
      </c>
      <c r="K2156" s="158" t="s">
        <v>235</v>
      </c>
    </row>
    <row r="2157" spans="4:11">
      <c r="D2157" s="158">
        <v>176111</v>
      </c>
      <c r="E2157" s="158">
        <v>11307</v>
      </c>
      <c r="F2157" s="158">
        <v>2135</v>
      </c>
      <c r="G2157" s="158">
        <v>6</v>
      </c>
      <c r="H2157" s="158">
        <v>5.5</v>
      </c>
      <c r="I2157" s="158">
        <v>0</v>
      </c>
      <c r="J2157" s="158">
        <v>5.5</v>
      </c>
      <c r="K2157" s="158" t="s">
        <v>236</v>
      </c>
    </row>
    <row r="2158" spans="4:11">
      <c r="D2158" s="158">
        <v>176113</v>
      </c>
      <c r="E2158" s="158">
        <v>11307</v>
      </c>
      <c r="F2158" s="158">
        <v>2135</v>
      </c>
      <c r="G2158" s="158">
        <v>6</v>
      </c>
      <c r="H2158" s="158">
        <v>4.5</v>
      </c>
      <c r="I2158" s="158">
        <v>0</v>
      </c>
      <c r="J2158" s="158">
        <v>4.5</v>
      </c>
      <c r="K2158" s="158" t="s">
        <v>236</v>
      </c>
    </row>
    <row r="2159" spans="4:11">
      <c r="D2159" s="158">
        <v>176114</v>
      </c>
      <c r="E2159" s="158">
        <v>11309</v>
      </c>
      <c r="F2159" s="158">
        <v>2266</v>
      </c>
      <c r="G2159" s="158">
        <v>5</v>
      </c>
      <c r="H2159" s="158">
        <v>6</v>
      </c>
      <c r="I2159" s="158">
        <v>0</v>
      </c>
      <c r="J2159" s="158">
        <v>6</v>
      </c>
      <c r="K2159" s="158" t="s">
        <v>236</v>
      </c>
    </row>
    <row r="2160" spans="4:11">
      <c r="D2160" s="158">
        <v>176115</v>
      </c>
      <c r="E2160" s="158">
        <v>11309</v>
      </c>
      <c r="F2160" s="158">
        <v>2135</v>
      </c>
      <c r="G2160" s="158">
        <v>1.9</v>
      </c>
      <c r="H2160" s="158">
        <v>0.5</v>
      </c>
      <c r="I2160" s="158">
        <v>0</v>
      </c>
      <c r="J2160" s="158">
        <v>0.5</v>
      </c>
      <c r="K2160" s="158" t="s">
        <v>236</v>
      </c>
    </row>
    <row r="2161" spans="4:11">
      <c r="D2161" s="158">
        <v>176143</v>
      </c>
      <c r="E2161" s="158">
        <v>11213</v>
      </c>
      <c r="F2161" s="158">
        <v>2062</v>
      </c>
      <c r="H2161" s="158">
        <v>0.1</v>
      </c>
      <c r="J2161" s="158">
        <v>0.1</v>
      </c>
      <c r="K2161" s="158" t="s">
        <v>235</v>
      </c>
    </row>
    <row r="2162" spans="4:11">
      <c r="D2162" s="158">
        <v>176238</v>
      </c>
      <c r="E2162" s="158">
        <v>10100</v>
      </c>
      <c r="F2162" s="158">
        <v>229</v>
      </c>
      <c r="G2162" s="158">
        <v>4.5</v>
      </c>
      <c r="H2162" s="158">
        <v>6.1</v>
      </c>
      <c r="I2162" s="158">
        <v>0</v>
      </c>
      <c r="J2162" s="158">
        <v>6.1</v>
      </c>
      <c r="K2162" s="158" t="s">
        <v>237</v>
      </c>
    </row>
    <row r="2163" spans="4:11">
      <c r="D2163" s="158">
        <v>176239</v>
      </c>
      <c r="E2163" s="158">
        <v>10100</v>
      </c>
      <c r="F2163" s="158">
        <v>180</v>
      </c>
      <c r="G2163" s="158">
        <v>0.5</v>
      </c>
      <c r="I2163" s="158">
        <v>0</v>
      </c>
      <c r="J2163" s="158">
        <v>0.5</v>
      </c>
      <c r="K2163" s="158" t="s">
        <v>237</v>
      </c>
    </row>
    <row r="2164" spans="4:11">
      <c r="D2164" s="158">
        <v>176242</v>
      </c>
      <c r="E2164" s="158">
        <v>10753</v>
      </c>
      <c r="F2164" s="158">
        <v>2324</v>
      </c>
      <c r="G2164" s="158">
        <v>2.5</v>
      </c>
      <c r="H2164" s="158">
        <v>3.7</v>
      </c>
      <c r="I2164" s="158">
        <v>0</v>
      </c>
      <c r="J2164" s="158">
        <v>3.7</v>
      </c>
      <c r="K2164" s="158" t="s">
        <v>235</v>
      </c>
    </row>
    <row r="2165" spans="4:11">
      <c r="D2165" s="158">
        <v>176243</v>
      </c>
      <c r="E2165" s="158">
        <v>11948</v>
      </c>
      <c r="F2165" s="158">
        <v>2324</v>
      </c>
      <c r="G2165" s="158">
        <v>4.7</v>
      </c>
      <c r="H2165" s="158">
        <v>6.55</v>
      </c>
      <c r="I2165" s="158">
        <v>0</v>
      </c>
      <c r="J2165" s="158">
        <v>6.55</v>
      </c>
      <c r="K2165" s="158" t="s">
        <v>235</v>
      </c>
    </row>
    <row r="2166" spans="4:11">
      <c r="D2166" s="158">
        <v>176244</v>
      </c>
      <c r="E2166" s="158">
        <v>10753</v>
      </c>
      <c r="F2166" s="158">
        <v>2324</v>
      </c>
      <c r="G2166" s="158">
        <v>2.5</v>
      </c>
      <c r="H2166" s="158">
        <v>1.5</v>
      </c>
      <c r="I2166" s="158">
        <v>1</v>
      </c>
      <c r="J2166" s="158">
        <v>2.5</v>
      </c>
      <c r="K2166" s="158" t="s">
        <v>235</v>
      </c>
    </row>
    <row r="2167" spans="4:11">
      <c r="D2167" s="158">
        <v>176260</v>
      </c>
      <c r="E2167" s="158">
        <v>11748</v>
      </c>
      <c r="F2167" s="158">
        <v>2184</v>
      </c>
      <c r="G2167" s="158">
        <v>1.05</v>
      </c>
      <c r="H2167" s="158">
        <v>1</v>
      </c>
      <c r="I2167" s="158">
        <v>0</v>
      </c>
      <c r="J2167" s="158">
        <v>1</v>
      </c>
      <c r="K2167" s="158" t="s">
        <v>235</v>
      </c>
    </row>
    <row r="2168" spans="4:11">
      <c r="D2168" s="158">
        <v>176262</v>
      </c>
      <c r="E2168" s="158">
        <v>11708</v>
      </c>
      <c r="F2168" s="158">
        <v>2184</v>
      </c>
      <c r="G2168" s="158">
        <v>3.45</v>
      </c>
      <c r="H2168" s="158">
        <v>2.5</v>
      </c>
      <c r="I2168" s="158">
        <v>0</v>
      </c>
      <c r="J2168" s="158">
        <v>2.5</v>
      </c>
      <c r="K2168" s="158" t="s">
        <v>235</v>
      </c>
    </row>
    <row r="2169" spans="4:11">
      <c r="D2169" s="158">
        <v>176278</v>
      </c>
      <c r="E2169" s="158">
        <v>11780</v>
      </c>
      <c r="F2169" s="158">
        <v>2184</v>
      </c>
      <c r="G2169" s="158">
        <v>10.1</v>
      </c>
      <c r="H2169" s="158">
        <v>9</v>
      </c>
      <c r="I2169" s="158">
        <v>0</v>
      </c>
      <c r="J2169" s="158">
        <v>9</v>
      </c>
      <c r="K2169" s="158" t="s">
        <v>235</v>
      </c>
    </row>
    <row r="2170" spans="4:11">
      <c r="D2170" s="158">
        <v>176294</v>
      </c>
      <c r="E2170" s="158">
        <v>11213</v>
      </c>
      <c r="F2170" s="158">
        <v>2124</v>
      </c>
      <c r="H2170" s="158">
        <v>0</v>
      </c>
      <c r="J2170" s="158">
        <v>0</v>
      </c>
      <c r="K2170" s="158" t="s">
        <v>235</v>
      </c>
    </row>
    <row r="2171" spans="4:11">
      <c r="D2171" s="158">
        <v>176295</v>
      </c>
      <c r="E2171" s="158">
        <v>11213</v>
      </c>
      <c r="F2171" s="158">
        <v>2124</v>
      </c>
      <c r="H2171" s="158">
        <v>0</v>
      </c>
      <c r="I2171" s="158">
        <v>0</v>
      </c>
      <c r="J2171" s="158">
        <v>0</v>
      </c>
      <c r="K2171" s="158" t="s">
        <v>235</v>
      </c>
    </row>
    <row r="2172" spans="4:11">
      <c r="D2172" s="158">
        <v>176296</v>
      </c>
      <c r="E2172" s="158">
        <v>11213</v>
      </c>
      <c r="F2172" s="158">
        <v>2124</v>
      </c>
      <c r="K2172" s="158" t="s">
        <v>235</v>
      </c>
    </row>
    <row r="2173" spans="4:11">
      <c r="D2173" s="158">
        <v>176299</v>
      </c>
      <c r="E2173" s="158">
        <v>10097</v>
      </c>
      <c r="F2173" s="158">
        <v>229</v>
      </c>
      <c r="H2173" s="158">
        <v>4.5</v>
      </c>
      <c r="J2173" s="158">
        <v>4.5</v>
      </c>
      <c r="K2173" s="158" t="s">
        <v>237</v>
      </c>
    </row>
    <row r="2174" spans="4:11">
      <c r="D2174" s="158">
        <v>176306</v>
      </c>
      <c r="E2174" s="158">
        <v>10686</v>
      </c>
      <c r="F2174" s="158">
        <v>2122</v>
      </c>
      <c r="G2174" s="158">
        <v>20.25</v>
      </c>
      <c r="H2174" s="158">
        <v>20.25</v>
      </c>
      <c r="I2174" s="158">
        <v>0</v>
      </c>
      <c r="J2174" s="158">
        <v>20.25</v>
      </c>
      <c r="K2174" s="158" t="s">
        <v>235</v>
      </c>
    </row>
    <row r="2175" spans="4:11">
      <c r="D2175" s="158">
        <v>176330</v>
      </c>
      <c r="E2175" s="158">
        <v>11213</v>
      </c>
      <c r="F2175" s="158">
        <v>2124</v>
      </c>
      <c r="H2175" s="158">
        <v>0</v>
      </c>
      <c r="I2175" s="158">
        <v>0</v>
      </c>
      <c r="J2175" s="158">
        <v>0</v>
      </c>
      <c r="K2175" s="158" t="s">
        <v>235</v>
      </c>
    </row>
    <row r="2176" spans="4:11">
      <c r="D2176" s="158">
        <v>176331</v>
      </c>
      <c r="E2176" s="158">
        <v>11213</v>
      </c>
      <c r="F2176" s="158">
        <v>2124</v>
      </c>
      <c r="H2176" s="158">
        <v>0</v>
      </c>
      <c r="I2176" s="158">
        <v>0</v>
      </c>
      <c r="J2176" s="158">
        <v>0</v>
      </c>
      <c r="K2176" s="158" t="s">
        <v>235</v>
      </c>
    </row>
    <row r="2177" spans="4:11">
      <c r="D2177" s="158">
        <v>176335</v>
      </c>
      <c r="E2177" s="158">
        <v>11213</v>
      </c>
      <c r="F2177" s="158">
        <v>2124</v>
      </c>
      <c r="K2177" s="158" t="s">
        <v>235</v>
      </c>
    </row>
    <row r="2178" spans="4:11">
      <c r="D2178" s="158">
        <v>176341</v>
      </c>
      <c r="E2178" s="158">
        <v>11213</v>
      </c>
      <c r="F2178" s="158">
        <v>2124</v>
      </c>
      <c r="H2178" s="158">
        <v>0</v>
      </c>
      <c r="I2178" s="158">
        <v>0</v>
      </c>
      <c r="J2178" s="158">
        <v>0</v>
      </c>
      <c r="K2178" s="158" t="s">
        <v>235</v>
      </c>
    </row>
    <row r="2179" spans="4:11">
      <c r="D2179" s="158">
        <v>176342</v>
      </c>
      <c r="E2179" s="158">
        <v>11214</v>
      </c>
      <c r="F2179" s="158">
        <v>2124</v>
      </c>
      <c r="K2179" s="158" t="s">
        <v>235</v>
      </c>
    </row>
    <row r="2180" spans="4:11">
      <c r="D2180" s="158">
        <v>176343</v>
      </c>
      <c r="E2180" s="158">
        <v>11218</v>
      </c>
      <c r="F2180" s="158">
        <v>2124</v>
      </c>
      <c r="K2180" s="158" t="s">
        <v>235</v>
      </c>
    </row>
    <row r="2181" spans="4:11">
      <c r="D2181" s="158">
        <v>176344</v>
      </c>
      <c r="E2181" s="158">
        <v>11218</v>
      </c>
      <c r="F2181" s="158">
        <v>2177</v>
      </c>
      <c r="H2181" s="158">
        <v>0</v>
      </c>
      <c r="I2181" s="158">
        <v>0</v>
      </c>
      <c r="J2181" s="158">
        <v>0</v>
      </c>
      <c r="K2181" s="158" t="s">
        <v>235</v>
      </c>
    </row>
    <row r="2182" spans="4:11">
      <c r="D2182" s="158">
        <v>176346</v>
      </c>
      <c r="E2182" s="158">
        <v>11214</v>
      </c>
      <c r="F2182" s="158">
        <v>222</v>
      </c>
      <c r="H2182" s="158">
        <v>1.25</v>
      </c>
      <c r="J2182" s="158">
        <v>1.25</v>
      </c>
      <c r="K2182" s="158" t="s">
        <v>235</v>
      </c>
    </row>
    <row r="2183" spans="4:11">
      <c r="D2183" s="158">
        <v>176372</v>
      </c>
      <c r="E2183" s="158">
        <v>10695</v>
      </c>
      <c r="F2183" s="158">
        <v>1795</v>
      </c>
      <c r="K2183" s="158" t="s">
        <v>235</v>
      </c>
    </row>
    <row r="2184" spans="4:11">
      <c r="D2184" s="158">
        <v>176384</v>
      </c>
      <c r="E2184" s="158">
        <v>11214</v>
      </c>
      <c r="F2184" s="158">
        <v>2324</v>
      </c>
      <c r="H2184" s="158">
        <v>0.4</v>
      </c>
      <c r="J2184" s="158">
        <v>0.4</v>
      </c>
      <c r="K2184" s="158" t="s">
        <v>235</v>
      </c>
    </row>
    <row r="2185" spans="4:11">
      <c r="D2185" s="158">
        <v>176389</v>
      </c>
      <c r="E2185" s="158">
        <v>10688</v>
      </c>
      <c r="F2185" s="158">
        <v>2120</v>
      </c>
      <c r="G2185" s="158">
        <v>0</v>
      </c>
      <c r="H2185" s="158">
        <v>1.25</v>
      </c>
      <c r="I2185" s="158">
        <v>0</v>
      </c>
      <c r="J2185" s="158">
        <v>1.25</v>
      </c>
      <c r="K2185" s="158" t="s">
        <v>235</v>
      </c>
    </row>
    <row r="2186" spans="4:11">
      <c r="D2186" s="158">
        <v>176457</v>
      </c>
      <c r="E2186" s="158">
        <v>11948</v>
      </c>
      <c r="F2186" s="158">
        <v>1014</v>
      </c>
      <c r="G2186" s="158">
        <v>2.6</v>
      </c>
      <c r="H2186" s="158">
        <v>0.7</v>
      </c>
      <c r="I2186" s="158">
        <v>0.8</v>
      </c>
      <c r="J2186" s="158">
        <v>1.5</v>
      </c>
      <c r="K2186" s="158" t="s">
        <v>235</v>
      </c>
    </row>
    <row r="2187" spans="4:11">
      <c r="D2187" s="158">
        <v>176458</v>
      </c>
      <c r="E2187" s="158">
        <v>11948</v>
      </c>
      <c r="F2187" s="158">
        <v>2030</v>
      </c>
      <c r="G2187" s="158">
        <v>2.6</v>
      </c>
      <c r="H2187" s="158">
        <v>1.8</v>
      </c>
      <c r="I2187" s="158">
        <v>0</v>
      </c>
      <c r="J2187" s="158">
        <v>1.8</v>
      </c>
      <c r="K2187" s="158" t="s">
        <v>235</v>
      </c>
    </row>
    <row r="2188" spans="4:11">
      <c r="D2188" s="158">
        <v>176461</v>
      </c>
      <c r="E2188" s="158">
        <v>10725</v>
      </c>
      <c r="F2188" s="158">
        <v>1014</v>
      </c>
      <c r="G2188" s="158">
        <v>0</v>
      </c>
      <c r="I2188" s="158">
        <v>0</v>
      </c>
      <c r="J2188" s="158">
        <v>0</v>
      </c>
      <c r="K2188" s="158" t="s">
        <v>235</v>
      </c>
    </row>
    <row r="2189" spans="4:11">
      <c r="D2189" s="158">
        <v>176462</v>
      </c>
      <c r="E2189" s="158">
        <v>10725</v>
      </c>
      <c r="F2189" s="158">
        <v>1014</v>
      </c>
      <c r="G2189" s="158">
        <v>0</v>
      </c>
      <c r="I2189" s="158">
        <v>0</v>
      </c>
      <c r="J2189" s="158">
        <v>0</v>
      </c>
      <c r="K2189" s="158" t="s">
        <v>235</v>
      </c>
    </row>
    <row r="2190" spans="4:11">
      <c r="D2190" s="158">
        <v>176464</v>
      </c>
      <c r="E2190" s="158">
        <v>11948</v>
      </c>
      <c r="F2190" s="158">
        <v>2030</v>
      </c>
      <c r="G2190" s="158">
        <v>2.35</v>
      </c>
      <c r="H2190" s="158">
        <v>0.2</v>
      </c>
      <c r="I2190" s="158">
        <v>0</v>
      </c>
      <c r="J2190" s="158">
        <v>2.35</v>
      </c>
      <c r="K2190" s="158" t="s">
        <v>235</v>
      </c>
    </row>
    <row r="2191" spans="4:11">
      <c r="D2191" s="158">
        <v>176465</v>
      </c>
      <c r="E2191" s="158">
        <v>11948</v>
      </c>
      <c r="F2191" s="158">
        <v>1014</v>
      </c>
      <c r="G2191" s="158">
        <v>2.35</v>
      </c>
      <c r="I2191" s="158">
        <v>0</v>
      </c>
      <c r="J2191" s="158">
        <v>2.35</v>
      </c>
      <c r="K2191" s="158" t="s">
        <v>235</v>
      </c>
    </row>
    <row r="2192" spans="4:11">
      <c r="D2192" s="158">
        <v>176466</v>
      </c>
      <c r="E2192" s="158">
        <v>11948</v>
      </c>
      <c r="F2192" s="158">
        <v>2030</v>
      </c>
      <c r="G2192" s="158">
        <v>2.35</v>
      </c>
      <c r="I2192" s="158">
        <v>0</v>
      </c>
      <c r="J2192" s="158">
        <v>2.35</v>
      </c>
      <c r="K2192" s="158" t="s">
        <v>235</v>
      </c>
    </row>
    <row r="2193" spans="4:11">
      <c r="D2193" s="158">
        <v>176468</v>
      </c>
      <c r="E2193" s="158">
        <v>10814</v>
      </c>
      <c r="F2193" s="158">
        <v>1251</v>
      </c>
      <c r="G2193" s="158">
        <v>0</v>
      </c>
      <c r="H2193" s="158">
        <v>4.3</v>
      </c>
      <c r="I2193" s="158">
        <v>0</v>
      </c>
      <c r="J2193" s="158">
        <v>4.3</v>
      </c>
      <c r="K2193" s="158" t="s">
        <v>235</v>
      </c>
    </row>
    <row r="2194" spans="4:11">
      <c r="D2194" s="158">
        <v>176503</v>
      </c>
      <c r="E2194" s="158">
        <v>10639</v>
      </c>
      <c r="F2194" s="158">
        <v>2339</v>
      </c>
      <c r="H2194" s="158">
        <v>10</v>
      </c>
      <c r="J2194" s="158">
        <v>10</v>
      </c>
      <c r="K2194" s="158" t="s">
        <v>235</v>
      </c>
    </row>
    <row r="2195" spans="4:11">
      <c r="D2195" s="158">
        <v>176506</v>
      </c>
      <c r="E2195" s="158">
        <v>10753</v>
      </c>
      <c r="F2195" s="158">
        <v>2324</v>
      </c>
      <c r="G2195" s="158">
        <v>2.5</v>
      </c>
      <c r="H2195" s="158">
        <v>0.6</v>
      </c>
      <c r="I2195" s="158">
        <v>1.5</v>
      </c>
      <c r="J2195" s="158">
        <v>2.1</v>
      </c>
      <c r="K2195" s="158" t="s">
        <v>235</v>
      </c>
    </row>
    <row r="2196" spans="4:11">
      <c r="D2196" s="158">
        <v>176567</v>
      </c>
      <c r="E2196" s="158">
        <v>11948</v>
      </c>
      <c r="F2196" s="158">
        <v>1821</v>
      </c>
      <c r="G2196" s="158">
        <v>2.6</v>
      </c>
      <c r="H2196" s="158">
        <v>1.5</v>
      </c>
      <c r="I2196" s="158">
        <v>0</v>
      </c>
      <c r="J2196" s="158">
        <v>1.5</v>
      </c>
      <c r="K2196" s="158" t="s">
        <v>235</v>
      </c>
    </row>
    <row r="2197" spans="4:11">
      <c r="D2197" s="158">
        <v>176569</v>
      </c>
      <c r="E2197" s="158">
        <v>10733</v>
      </c>
      <c r="F2197" s="158">
        <v>1821</v>
      </c>
      <c r="K2197" s="158" t="s">
        <v>235</v>
      </c>
    </row>
    <row r="2198" spans="4:11">
      <c r="D2198" s="158">
        <v>176599</v>
      </c>
      <c r="E2198" s="158">
        <v>11708</v>
      </c>
      <c r="F2198" s="158">
        <v>2075</v>
      </c>
      <c r="G2198" s="158">
        <v>6.3</v>
      </c>
      <c r="H2198" s="158">
        <v>4.7</v>
      </c>
      <c r="I2198" s="158">
        <v>0</v>
      </c>
      <c r="J2198" s="158">
        <v>4.7</v>
      </c>
      <c r="K2198" s="158" t="s">
        <v>235</v>
      </c>
    </row>
    <row r="2199" spans="4:11">
      <c r="D2199" s="158">
        <v>176627</v>
      </c>
      <c r="E2199" s="158">
        <v>10763</v>
      </c>
      <c r="F2199" s="158">
        <v>828</v>
      </c>
      <c r="G2199" s="158">
        <v>5</v>
      </c>
      <c r="I2199" s="158">
        <v>5</v>
      </c>
      <c r="J2199" s="158">
        <v>5</v>
      </c>
      <c r="K2199" s="158" t="s">
        <v>235</v>
      </c>
    </row>
    <row r="2200" spans="4:11">
      <c r="D2200" s="158">
        <v>176628</v>
      </c>
      <c r="E2200" s="158">
        <v>11898</v>
      </c>
      <c r="F2200" s="158">
        <v>197</v>
      </c>
      <c r="H2200" s="158">
        <v>3.5</v>
      </c>
      <c r="J2200" s="158">
        <v>3.5</v>
      </c>
      <c r="K2200" s="158" t="s">
        <v>235</v>
      </c>
    </row>
    <row r="2201" spans="4:11">
      <c r="D2201" s="158">
        <v>176629</v>
      </c>
      <c r="E2201" s="158">
        <v>11898</v>
      </c>
      <c r="F2201" s="158">
        <v>1014</v>
      </c>
      <c r="H2201" s="158">
        <v>2</v>
      </c>
      <c r="J2201" s="158">
        <v>2</v>
      </c>
      <c r="K2201" s="158" t="s">
        <v>235</v>
      </c>
    </row>
    <row r="2202" spans="4:11">
      <c r="D2202" s="158">
        <v>176630</v>
      </c>
      <c r="E2202" s="158">
        <v>11898</v>
      </c>
      <c r="F2202" s="158">
        <v>2062</v>
      </c>
      <c r="G2202" s="158">
        <v>0</v>
      </c>
      <c r="H2202" s="158">
        <v>1.3</v>
      </c>
      <c r="I2202" s="158">
        <v>0</v>
      </c>
      <c r="J2202" s="158">
        <v>1.3</v>
      </c>
      <c r="K2202" s="158" t="s">
        <v>235</v>
      </c>
    </row>
    <row r="2203" spans="4:11">
      <c r="D2203" s="158">
        <v>176631</v>
      </c>
      <c r="E2203" s="158">
        <v>11898</v>
      </c>
      <c r="F2203" s="158">
        <v>222</v>
      </c>
      <c r="K2203" s="158" t="s">
        <v>235</v>
      </c>
    </row>
    <row r="2204" spans="4:11">
      <c r="D2204" s="158">
        <v>176632</v>
      </c>
      <c r="E2204" s="158">
        <v>11898</v>
      </c>
      <c r="F2204" s="158">
        <v>2324</v>
      </c>
      <c r="H2204" s="158">
        <v>0.8</v>
      </c>
      <c r="J2204" s="158">
        <v>0.8</v>
      </c>
      <c r="K2204" s="158" t="s">
        <v>235</v>
      </c>
    </row>
    <row r="2205" spans="4:11">
      <c r="D2205" s="158">
        <v>176665</v>
      </c>
      <c r="E2205" s="158">
        <v>11898</v>
      </c>
      <c r="F2205" s="158">
        <v>2030</v>
      </c>
      <c r="H2205" s="158">
        <v>3.05</v>
      </c>
      <c r="J2205" s="158">
        <v>3.05</v>
      </c>
      <c r="K2205" s="158" t="s">
        <v>235</v>
      </c>
    </row>
    <row r="2206" spans="4:11">
      <c r="D2206" s="158">
        <v>176670</v>
      </c>
      <c r="E2206" s="158">
        <v>10795</v>
      </c>
      <c r="F2206" s="158">
        <v>2181</v>
      </c>
      <c r="G2206" s="158">
        <v>5.0999999999999996</v>
      </c>
      <c r="H2206" s="158">
        <v>5.0999999999999996</v>
      </c>
      <c r="I2206" s="158">
        <v>0</v>
      </c>
      <c r="J2206" s="158">
        <v>5.0999999999999996</v>
      </c>
      <c r="K2206" s="158" t="s">
        <v>235</v>
      </c>
    </row>
    <row r="2207" spans="4:11">
      <c r="D2207" s="158">
        <v>176792</v>
      </c>
      <c r="E2207" s="158">
        <v>10020</v>
      </c>
      <c r="F2207" s="158">
        <v>2264</v>
      </c>
      <c r="G2207" s="158">
        <v>1</v>
      </c>
      <c r="H2207" s="158">
        <v>1.3</v>
      </c>
      <c r="I2207" s="158">
        <v>0</v>
      </c>
      <c r="J2207" s="158">
        <v>1.3</v>
      </c>
      <c r="K2207" s="158" t="s">
        <v>238</v>
      </c>
    </row>
    <row r="2208" spans="4:11">
      <c r="D2208" s="158">
        <v>176794</v>
      </c>
      <c r="E2208" s="158">
        <v>10020</v>
      </c>
      <c r="F2208" s="158">
        <v>1667</v>
      </c>
      <c r="G2208" s="158">
        <v>5.25</v>
      </c>
      <c r="H2208" s="158">
        <v>4.95</v>
      </c>
      <c r="I2208" s="158">
        <v>0</v>
      </c>
      <c r="J2208" s="158">
        <v>4.95</v>
      </c>
      <c r="K2208" s="158" t="s">
        <v>238</v>
      </c>
    </row>
    <row r="2209" spans="4:11">
      <c r="D2209" s="158">
        <v>176795</v>
      </c>
      <c r="E2209" s="158">
        <v>10020</v>
      </c>
      <c r="F2209" s="158">
        <v>229</v>
      </c>
      <c r="G2209" s="158">
        <v>0.4</v>
      </c>
      <c r="I2209" s="158">
        <v>0</v>
      </c>
      <c r="J2209" s="158">
        <v>0</v>
      </c>
      <c r="K2209" s="158" t="s">
        <v>238</v>
      </c>
    </row>
    <row r="2210" spans="4:11">
      <c r="D2210" s="158">
        <v>176796</v>
      </c>
      <c r="E2210" s="158">
        <v>10020</v>
      </c>
      <c r="F2210" s="158">
        <v>402</v>
      </c>
      <c r="G2210" s="158">
        <v>0.3</v>
      </c>
      <c r="H2210" s="158">
        <v>0.3</v>
      </c>
      <c r="I2210" s="158">
        <v>0</v>
      </c>
      <c r="J2210" s="158">
        <v>0.3</v>
      </c>
      <c r="K2210" s="158" t="s">
        <v>238</v>
      </c>
    </row>
    <row r="2211" spans="4:11">
      <c r="D2211" s="158">
        <v>176802</v>
      </c>
      <c r="E2211" s="158">
        <v>11307</v>
      </c>
      <c r="F2211" s="158">
        <v>2266</v>
      </c>
      <c r="G2211" s="158">
        <v>1</v>
      </c>
      <c r="H2211" s="158">
        <v>1</v>
      </c>
      <c r="I2211" s="158">
        <v>0</v>
      </c>
      <c r="J2211" s="158">
        <v>1</v>
      </c>
      <c r="K2211" s="158" t="s">
        <v>236</v>
      </c>
    </row>
    <row r="2212" spans="4:11">
      <c r="D2212" s="158">
        <v>176803</v>
      </c>
      <c r="E2212" s="158">
        <v>11307</v>
      </c>
      <c r="F2212" s="158">
        <v>2266</v>
      </c>
      <c r="G2212" s="158">
        <v>1</v>
      </c>
      <c r="H2212" s="158">
        <v>1</v>
      </c>
      <c r="I2212" s="158">
        <v>0</v>
      </c>
      <c r="J2212" s="158">
        <v>1</v>
      </c>
      <c r="K2212" s="158" t="s">
        <v>236</v>
      </c>
    </row>
    <row r="2213" spans="4:11">
      <c r="D2213" s="158">
        <v>176805</v>
      </c>
      <c r="E2213" s="158">
        <v>11309</v>
      </c>
      <c r="F2213" s="158">
        <v>2135</v>
      </c>
      <c r="G2213" s="158">
        <v>13.8</v>
      </c>
      <c r="H2213" s="158">
        <v>9</v>
      </c>
      <c r="I2213" s="158">
        <v>0.5</v>
      </c>
      <c r="J2213" s="158">
        <v>9.5</v>
      </c>
      <c r="K2213" s="158" t="s">
        <v>236</v>
      </c>
    </row>
    <row r="2214" spans="4:11">
      <c r="D2214" s="158">
        <v>176813</v>
      </c>
      <c r="E2214" s="158">
        <v>10816</v>
      </c>
      <c r="F2214" s="158">
        <v>2122</v>
      </c>
      <c r="H2214" s="158">
        <v>1.75</v>
      </c>
      <c r="J2214" s="158">
        <v>1.75</v>
      </c>
      <c r="K2214" s="158" t="s">
        <v>235</v>
      </c>
    </row>
    <row r="2215" spans="4:11">
      <c r="D2215" s="158">
        <v>176825</v>
      </c>
      <c r="E2215" s="158">
        <v>10639</v>
      </c>
      <c r="F2215" s="158">
        <v>2340</v>
      </c>
      <c r="H2215" s="158">
        <v>20</v>
      </c>
      <c r="J2215" s="158">
        <v>20</v>
      </c>
      <c r="K2215" s="158" t="s">
        <v>235</v>
      </c>
    </row>
    <row r="2216" spans="4:11">
      <c r="D2216" s="158">
        <v>176867</v>
      </c>
      <c r="E2216" s="158">
        <v>10693</v>
      </c>
      <c r="F2216" s="158">
        <v>1795</v>
      </c>
      <c r="G2216" s="158">
        <v>3.9</v>
      </c>
      <c r="H2216" s="158">
        <v>3.9</v>
      </c>
      <c r="I2216" s="158">
        <v>0</v>
      </c>
      <c r="J2216" s="158">
        <v>3.9</v>
      </c>
      <c r="K2216" s="158" t="s">
        <v>235</v>
      </c>
    </row>
    <row r="2217" spans="4:11">
      <c r="D2217" s="158">
        <v>176924</v>
      </c>
      <c r="E2217" s="158">
        <v>10010</v>
      </c>
      <c r="F2217" s="158">
        <v>2001</v>
      </c>
      <c r="H2217" s="158">
        <v>0.2</v>
      </c>
      <c r="J2217" s="158">
        <v>0.2</v>
      </c>
      <c r="K2217" s="158" t="s">
        <v>238</v>
      </c>
    </row>
    <row r="2218" spans="4:11">
      <c r="D2218" s="158">
        <v>176925</v>
      </c>
      <c r="E2218" s="158">
        <v>10010</v>
      </c>
      <c r="F2218" s="158">
        <v>2001</v>
      </c>
      <c r="H2218" s="158">
        <v>1.35</v>
      </c>
      <c r="J2218" s="158">
        <v>1.35</v>
      </c>
      <c r="K2218" s="158" t="s">
        <v>238</v>
      </c>
    </row>
    <row r="2219" spans="4:11">
      <c r="D2219" s="158">
        <v>176926</v>
      </c>
      <c r="E2219" s="158">
        <v>10010</v>
      </c>
      <c r="F2219" s="158">
        <v>2001</v>
      </c>
      <c r="H2219" s="158">
        <v>14.83</v>
      </c>
      <c r="J2219" s="158">
        <v>14.83</v>
      </c>
      <c r="K2219" s="158" t="s">
        <v>238</v>
      </c>
    </row>
    <row r="2220" spans="4:11">
      <c r="D2220" s="158">
        <v>176931</v>
      </c>
      <c r="E2220" s="158">
        <v>10725</v>
      </c>
      <c r="F2220" s="158">
        <v>2030</v>
      </c>
      <c r="G2220" s="158">
        <v>2.25</v>
      </c>
      <c r="I2220" s="158">
        <v>1.5</v>
      </c>
      <c r="J2220" s="158">
        <v>1.5</v>
      </c>
      <c r="K2220" s="158" t="s">
        <v>235</v>
      </c>
    </row>
    <row r="2221" spans="4:11">
      <c r="D2221" s="158">
        <v>176932</v>
      </c>
      <c r="E2221" s="158">
        <v>11751</v>
      </c>
      <c r="F2221" s="158">
        <v>2123</v>
      </c>
      <c r="G2221" s="158">
        <v>5.8</v>
      </c>
      <c r="I2221" s="158">
        <v>5.8</v>
      </c>
      <c r="J2221" s="158">
        <v>5.8</v>
      </c>
      <c r="K2221" s="158" t="s">
        <v>235</v>
      </c>
    </row>
    <row r="2222" spans="4:11">
      <c r="D2222" s="158">
        <v>176935</v>
      </c>
      <c r="E2222" s="158">
        <v>11751</v>
      </c>
      <c r="F2222" s="158">
        <v>2174</v>
      </c>
      <c r="G2222" s="158">
        <v>4</v>
      </c>
      <c r="I2222" s="158">
        <v>0</v>
      </c>
      <c r="J2222" s="158">
        <v>0</v>
      </c>
      <c r="K2222" s="158" t="s">
        <v>235</v>
      </c>
    </row>
    <row r="2223" spans="4:11">
      <c r="D2223" s="158">
        <v>176936</v>
      </c>
      <c r="E2223" s="158">
        <v>10727</v>
      </c>
      <c r="F2223" s="158">
        <v>2030</v>
      </c>
      <c r="G2223" s="158">
        <v>9</v>
      </c>
      <c r="I2223" s="158">
        <v>0</v>
      </c>
      <c r="J2223" s="158">
        <v>0</v>
      </c>
      <c r="K2223" s="158" t="s">
        <v>235</v>
      </c>
    </row>
    <row r="2224" spans="4:11">
      <c r="D2224" s="158">
        <v>176937</v>
      </c>
      <c r="E2224" s="158">
        <v>10727</v>
      </c>
      <c r="F2224" s="158">
        <v>1014</v>
      </c>
      <c r="G2224" s="158">
        <v>0</v>
      </c>
      <c r="I2224" s="158">
        <v>0</v>
      </c>
      <c r="J2224" s="158">
        <v>0</v>
      </c>
      <c r="K2224" s="158" t="s">
        <v>235</v>
      </c>
    </row>
    <row r="2225" spans="4:11">
      <c r="D2225" s="158">
        <v>176944</v>
      </c>
      <c r="E2225" s="158">
        <v>11213</v>
      </c>
      <c r="F2225" s="158">
        <v>828</v>
      </c>
      <c r="H2225" s="158">
        <v>0.75</v>
      </c>
      <c r="J2225" s="158">
        <v>0.75</v>
      </c>
      <c r="K2225" s="158" t="s">
        <v>235</v>
      </c>
    </row>
    <row r="2226" spans="4:11">
      <c r="D2226" s="158">
        <v>176945</v>
      </c>
      <c r="E2226" s="158">
        <v>11213</v>
      </c>
      <c r="F2226" s="158">
        <v>222</v>
      </c>
      <c r="H2226" s="158">
        <v>0.5</v>
      </c>
      <c r="J2226" s="158">
        <v>0.5</v>
      </c>
      <c r="K2226" s="158" t="s">
        <v>235</v>
      </c>
    </row>
    <row r="2227" spans="4:11">
      <c r="D2227" s="158">
        <v>176949</v>
      </c>
      <c r="E2227" s="158">
        <v>10814</v>
      </c>
      <c r="F2227" s="158">
        <v>2122</v>
      </c>
      <c r="G2227" s="158">
        <v>5</v>
      </c>
      <c r="H2227" s="158">
        <v>3.5</v>
      </c>
      <c r="I2227" s="158">
        <v>0</v>
      </c>
      <c r="J2227" s="158">
        <v>3.5</v>
      </c>
      <c r="K2227" s="158" t="s">
        <v>235</v>
      </c>
    </row>
    <row r="2228" spans="4:11">
      <c r="D2228" s="158">
        <v>176971</v>
      </c>
      <c r="E2228" s="158">
        <v>11214</v>
      </c>
      <c r="F2228" s="158">
        <v>2177</v>
      </c>
      <c r="G2228" s="158">
        <v>6.2</v>
      </c>
      <c r="I2228" s="158">
        <v>0</v>
      </c>
      <c r="J2228" s="158">
        <v>0</v>
      </c>
      <c r="K2228" s="158" t="s">
        <v>235</v>
      </c>
    </row>
    <row r="2229" spans="4:11">
      <c r="D2229" s="158">
        <v>176972</v>
      </c>
      <c r="E2229" s="158">
        <v>10692</v>
      </c>
      <c r="F2229" s="158">
        <v>2204</v>
      </c>
      <c r="G2229" s="158">
        <v>30.7</v>
      </c>
      <c r="I2229" s="158">
        <v>0</v>
      </c>
      <c r="J2229" s="158">
        <v>0</v>
      </c>
      <c r="K2229" s="158" t="s">
        <v>235</v>
      </c>
    </row>
    <row r="2230" spans="4:11">
      <c r="D2230" s="158">
        <v>176976</v>
      </c>
      <c r="E2230" s="158">
        <v>11751</v>
      </c>
      <c r="F2230" s="158">
        <v>2174</v>
      </c>
      <c r="G2230" s="158">
        <v>2</v>
      </c>
      <c r="I2230" s="158">
        <v>0</v>
      </c>
      <c r="J2230" s="158">
        <v>0</v>
      </c>
      <c r="K2230" s="158" t="s">
        <v>235</v>
      </c>
    </row>
    <row r="2231" spans="4:11">
      <c r="D2231" s="158">
        <v>176978</v>
      </c>
      <c r="E2231" s="158">
        <v>11214</v>
      </c>
      <c r="F2231" s="158">
        <v>2177</v>
      </c>
      <c r="G2231" s="158">
        <v>9.3000000000000007</v>
      </c>
      <c r="I2231" s="158">
        <v>0</v>
      </c>
      <c r="J2231" s="158">
        <v>0</v>
      </c>
      <c r="K2231" s="158" t="s">
        <v>235</v>
      </c>
    </row>
    <row r="2232" spans="4:11">
      <c r="D2232" s="158">
        <v>176999</v>
      </c>
      <c r="E2232" s="158">
        <v>10639</v>
      </c>
      <c r="F2232" s="158">
        <v>2142</v>
      </c>
      <c r="G2232" s="158">
        <v>0</v>
      </c>
      <c r="H2232" s="158">
        <v>2.5</v>
      </c>
      <c r="I2232" s="158">
        <v>0</v>
      </c>
      <c r="J2232" s="158">
        <v>2.5</v>
      </c>
      <c r="K2232" s="158" t="s">
        <v>235</v>
      </c>
    </row>
    <row r="2233" spans="4:11">
      <c r="D2233" s="158">
        <v>177000</v>
      </c>
      <c r="E2233" s="158">
        <v>10639</v>
      </c>
      <c r="F2233" s="158">
        <v>2362</v>
      </c>
      <c r="G2233" s="158">
        <v>0</v>
      </c>
      <c r="H2233" s="158">
        <v>10</v>
      </c>
      <c r="I2233" s="158">
        <v>0</v>
      </c>
      <c r="J2233" s="158">
        <v>10</v>
      </c>
      <c r="K2233" s="158" t="s">
        <v>235</v>
      </c>
    </row>
    <row r="2234" spans="4:11">
      <c r="D2234" s="158">
        <v>177001</v>
      </c>
      <c r="E2234" s="158">
        <v>11213</v>
      </c>
      <c r="F2234" s="158">
        <v>2226</v>
      </c>
      <c r="G2234" s="158">
        <v>2</v>
      </c>
      <c r="H2234" s="158">
        <v>2</v>
      </c>
      <c r="I2234" s="158">
        <v>0</v>
      </c>
      <c r="J2234" s="158">
        <v>2</v>
      </c>
      <c r="K2234" s="158" t="s">
        <v>235</v>
      </c>
    </row>
    <row r="2235" spans="4:11">
      <c r="D2235" s="158">
        <v>177002</v>
      </c>
      <c r="E2235" s="158">
        <v>11213</v>
      </c>
      <c r="F2235" s="158">
        <v>2177</v>
      </c>
      <c r="G2235" s="158">
        <v>6.2</v>
      </c>
      <c r="I2235" s="158">
        <v>0</v>
      </c>
      <c r="J2235" s="158">
        <v>0</v>
      </c>
      <c r="K2235" s="158" t="s">
        <v>235</v>
      </c>
    </row>
    <row r="2236" spans="4:11">
      <c r="D2236" s="158">
        <v>177005</v>
      </c>
      <c r="E2236" s="158">
        <v>10011</v>
      </c>
      <c r="F2236" s="158">
        <v>2359</v>
      </c>
      <c r="H2236" s="158">
        <v>20</v>
      </c>
      <c r="J2236" s="158">
        <v>20</v>
      </c>
      <c r="K2236" s="158" t="s">
        <v>238</v>
      </c>
    </row>
    <row r="2237" spans="4:11">
      <c r="D2237" s="158">
        <v>177015</v>
      </c>
      <c r="E2237" s="158">
        <v>11712</v>
      </c>
      <c r="F2237" s="158">
        <v>2120</v>
      </c>
      <c r="G2237" s="158">
        <v>2</v>
      </c>
      <c r="H2237" s="158">
        <v>2</v>
      </c>
      <c r="I2237" s="158">
        <v>0</v>
      </c>
      <c r="J2237" s="158">
        <v>2</v>
      </c>
      <c r="K2237" s="158" t="s">
        <v>235</v>
      </c>
    </row>
    <row r="2238" spans="4:11">
      <c r="D2238" s="158">
        <v>177016</v>
      </c>
      <c r="E2238" s="158">
        <v>11712</v>
      </c>
      <c r="F2238" s="158">
        <v>2123</v>
      </c>
      <c r="G2238" s="158">
        <v>4.2</v>
      </c>
      <c r="I2238" s="158">
        <v>0</v>
      </c>
      <c r="J2238" s="158">
        <v>0</v>
      </c>
      <c r="K2238" s="158" t="s">
        <v>235</v>
      </c>
    </row>
    <row r="2239" spans="4:11">
      <c r="D2239" s="158">
        <v>177017</v>
      </c>
      <c r="E2239" s="158">
        <v>10763</v>
      </c>
      <c r="F2239" s="158">
        <v>2028</v>
      </c>
      <c r="K2239" s="158" t="s">
        <v>235</v>
      </c>
    </row>
    <row r="2240" spans="4:11">
      <c r="D2240" s="158">
        <v>177019</v>
      </c>
      <c r="E2240" s="158">
        <v>10763</v>
      </c>
      <c r="F2240" s="158">
        <v>2028</v>
      </c>
      <c r="K2240" s="158" t="s">
        <v>235</v>
      </c>
    </row>
    <row r="2241" spans="4:11">
      <c r="D2241" s="158">
        <v>177021</v>
      </c>
      <c r="E2241" s="158">
        <v>10763</v>
      </c>
      <c r="F2241" s="158">
        <v>2028</v>
      </c>
      <c r="G2241" s="158">
        <v>0.25</v>
      </c>
      <c r="I2241" s="158">
        <v>1</v>
      </c>
      <c r="J2241" s="158">
        <v>1</v>
      </c>
      <c r="K2241" s="158" t="s">
        <v>235</v>
      </c>
    </row>
    <row r="2242" spans="4:11">
      <c r="D2242" s="158">
        <v>177022</v>
      </c>
      <c r="E2242" s="158">
        <v>10763</v>
      </c>
      <c r="F2242" s="158">
        <v>2028</v>
      </c>
      <c r="G2242" s="158">
        <v>1</v>
      </c>
      <c r="H2242" s="158">
        <v>0.5</v>
      </c>
      <c r="I2242" s="158">
        <v>0</v>
      </c>
      <c r="J2242" s="158">
        <v>0.5</v>
      </c>
      <c r="K2242" s="158" t="s">
        <v>235</v>
      </c>
    </row>
    <row r="2243" spans="4:11">
      <c r="D2243" s="158">
        <v>177023</v>
      </c>
      <c r="E2243" s="158">
        <v>10763</v>
      </c>
      <c r="F2243" s="158">
        <v>2028</v>
      </c>
      <c r="K2243" s="158" t="s">
        <v>235</v>
      </c>
    </row>
    <row r="2244" spans="4:11">
      <c r="D2244" s="158">
        <v>177024</v>
      </c>
      <c r="E2244" s="158">
        <v>10763</v>
      </c>
      <c r="F2244" s="158">
        <v>2028</v>
      </c>
      <c r="G2244" s="158">
        <v>1</v>
      </c>
      <c r="I2244" s="158">
        <v>1</v>
      </c>
      <c r="J2244" s="158">
        <v>1</v>
      </c>
      <c r="K2244" s="158" t="s">
        <v>235</v>
      </c>
    </row>
    <row r="2245" spans="4:11">
      <c r="D2245" s="158">
        <v>177025</v>
      </c>
      <c r="E2245" s="158">
        <v>10745</v>
      </c>
      <c r="F2245" s="158">
        <v>2028</v>
      </c>
      <c r="G2245" s="158">
        <v>0.25</v>
      </c>
      <c r="H2245" s="158">
        <v>0.25</v>
      </c>
      <c r="I2245" s="158">
        <v>0</v>
      </c>
      <c r="J2245" s="158">
        <v>0.25</v>
      </c>
      <c r="K2245" s="158" t="s">
        <v>235</v>
      </c>
    </row>
    <row r="2246" spans="4:11">
      <c r="D2246" s="158">
        <v>177026</v>
      </c>
      <c r="E2246" s="158">
        <v>10739</v>
      </c>
      <c r="F2246" s="158">
        <v>2028</v>
      </c>
      <c r="G2246" s="158">
        <v>0.25</v>
      </c>
      <c r="H2246" s="158">
        <v>0.25</v>
      </c>
      <c r="I2246" s="158">
        <v>0</v>
      </c>
      <c r="J2246" s="158">
        <v>0.25</v>
      </c>
      <c r="K2246" s="158" t="s">
        <v>235</v>
      </c>
    </row>
    <row r="2247" spans="4:11">
      <c r="D2247" s="158">
        <v>177027</v>
      </c>
      <c r="E2247" s="158">
        <v>10735</v>
      </c>
      <c r="F2247" s="158">
        <v>2028</v>
      </c>
      <c r="G2247" s="158">
        <v>0.25</v>
      </c>
      <c r="H2247" s="158">
        <v>0.25</v>
      </c>
      <c r="I2247" s="158">
        <v>0</v>
      </c>
      <c r="J2247" s="158">
        <v>0.25</v>
      </c>
      <c r="K2247" s="158" t="s">
        <v>235</v>
      </c>
    </row>
    <row r="2248" spans="4:11">
      <c r="D2248" s="158">
        <v>177028</v>
      </c>
      <c r="E2248" s="158">
        <v>10733</v>
      </c>
      <c r="F2248" s="158">
        <v>2028</v>
      </c>
      <c r="G2248" s="158">
        <v>0.25</v>
      </c>
      <c r="H2248" s="158">
        <v>0.25</v>
      </c>
      <c r="I2248" s="158">
        <v>0</v>
      </c>
      <c r="J2248" s="158">
        <v>0.25</v>
      </c>
      <c r="K2248" s="158" t="s">
        <v>235</v>
      </c>
    </row>
    <row r="2249" spans="4:11">
      <c r="D2249" s="158">
        <v>177030</v>
      </c>
      <c r="E2249" s="158">
        <v>10768</v>
      </c>
      <c r="F2249" s="158">
        <v>2028</v>
      </c>
      <c r="K2249" s="158" t="s">
        <v>235</v>
      </c>
    </row>
    <row r="2250" spans="4:11">
      <c r="D2250" s="158">
        <v>177031</v>
      </c>
      <c r="E2250" s="158">
        <v>10768</v>
      </c>
      <c r="F2250" s="158">
        <v>2028</v>
      </c>
      <c r="G2250" s="158">
        <v>0.25</v>
      </c>
      <c r="H2250" s="158">
        <v>0.25</v>
      </c>
      <c r="I2250" s="158">
        <v>0</v>
      </c>
      <c r="J2250" s="158">
        <v>0.25</v>
      </c>
      <c r="K2250" s="158" t="s">
        <v>235</v>
      </c>
    </row>
    <row r="2251" spans="4:11">
      <c r="D2251" s="158">
        <v>177032</v>
      </c>
      <c r="E2251" s="158">
        <v>10758</v>
      </c>
      <c r="F2251" s="158">
        <v>2028</v>
      </c>
      <c r="G2251" s="158">
        <v>1</v>
      </c>
      <c r="H2251" s="158">
        <v>1</v>
      </c>
      <c r="I2251" s="158">
        <v>0</v>
      </c>
      <c r="J2251" s="158">
        <v>1</v>
      </c>
      <c r="K2251" s="158" t="s">
        <v>235</v>
      </c>
    </row>
    <row r="2252" spans="4:11">
      <c r="D2252" s="158">
        <v>177033</v>
      </c>
      <c r="E2252" s="158">
        <v>10754</v>
      </c>
      <c r="F2252" s="158">
        <v>2028</v>
      </c>
      <c r="G2252" s="158">
        <v>1.5</v>
      </c>
      <c r="I2252" s="158">
        <v>1.5</v>
      </c>
      <c r="J2252" s="158">
        <v>1.5</v>
      </c>
      <c r="K2252" s="158" t="s">
        <v>235</v>
      </c>
    </row>
    <row r="2253" spans="4:11">
      <c r="D2253" s="158">
        <v>177034</v>
      </c>
      <c r="E2253" s="158">
        <v>10759</v>
      </c>
      <c r="F2253" s="158">
        <v>2028</v>
      </c>
      <c r="G2253" s="158">
        <v>0.25</v>
      </c>
      <c r="H2253" s="158">
        <v>0.5</v>
      </c>
      <c r="I2253" s="158">
        <v>0</v>
      </c>
      <c r="J2253" s="158">
        <v>0.5</v>
      </c>
      <c r="K2253" s="158" t="s">
        <v>235</v>
      </c>
    </row>
    <row r="2254" spans="4:11">
      <c r="D2254" s="158">
        <v>177035</v>
      </c>
      <c r="E2254" s="158">
        <v>10734</v>
      </c>
      <c r="F2254" s="158">
        <v>2028</v>
      </c>
      <c r="G2254" s="158">
        <v>0.25</v>
      </c>
      <c r="H2254" s="158">
        <v>0.25</v>
      </c>
      <c r="I2254" s="158">
        <v>0</v>
      </c>
      <c r="J2254" s="158">
        <v>0.25</v>
      </c>
      <c r="K2254" s="158" t="s">
        <v>235</v>
      </c>
    </row>
    <row r="2255" spans="4:11">
      <c r="D2255" s="158">
        <v>177036</v>
      </c>
      <c r="E2255" s="158">
        <v>10725</v>
      </c>
      <c r="F2255" s="158">
        <v>2028</v>
      </c>
      <c r="G2255" s="158">
        <v>0.25</v>
      </c>
      <c r="I2255" s="158">
        <v>0.25</v>
      </c>
      <c r="J2255" s="158">
        <v>0.25</v>
      </c>
      <c r="K2255" s="158" t="s">
        <v>235</v>
      </c>
    </row>
    <row r="2256" spans="4:11">
      <c r="D2256" s="158">
        <v>177037</v>
      </c>
      <c r="E2256" s="158">
        <v>10750</v>
      </c>
      <c r="F2256" s="158">
        <v>2028</v>
      </c>
      <c r="G2256" s="158">
        <v>0.25</v>
      </c>
      <c r="H2256" s="158">
        <v>0.25</v>
      </c>
      <c r="I2256" s="158">
        <v>0</v>
      </c>
      <c r="J2256" s="158">
        <v>0.25</v>
      </c>
      <c r="K2256" s="158" t="s">
        <v>235</v>
      </c>
    </row>
    <row r="2257" spans="4:11">
      <c r="D2257" s="158">
        <v>177039</v>
      </c>
      <c r="E2257" s="158">
        <v>10764</v>
      </c>
      <c r="F2257" s="158">
        <v>2028</v>
      </c>
      <c r="G2257" s="158">
        <v>0.3</v>
      </c>
      <c r="H2257" s="158">
        <v>0.3</v>
      </c>
      <c r="I2257" s="158">
        <v>0</v>
      </c>
      <c r="J2257" s="158">
        <v>0.3</v>
      </c>
      <c r="K2257" s="158" t="s">
        <v>235</v>
      </c>
    </row>
    <row r="2258" spans="4:11">
      <c r="D2258" s="158">
        <v>177042</v>
      </c>
      <c r="E2258" s="158">
        <v>10727</v>
      </c>
      <c r="F2258" s="158">
        <v>2028</v>
      </c>
      <c r="G2258" s="158">
        <v>1</v>
      </c>
      <c r="I2258" s="158">
        <v>1</v>
      </c>
      <c r="J2258" s="158">
        <v>1</v>
      </c>
      <c r="K2258" s="158" t="s">
        <v>235</v>
      </c>
    </row>
    <row r="2259" spans="4:11">
      <c r="D2259" s="158">
        <v>177043</v>
      </c>
      <c r="E2259" s="158">
        <v>10010</v>
      </c>
      <c r="F2259" s="158">
        <v>2359</v>
      </c>
      <c r="H2259" s="158">
        <v>0.25</v>
      </c>
      <c r="J2259" s="158">
        <v>0.25</v>
      </c>
      <c r="K2259" s="158" t="s">
        <v>238</v>
      </c>
    </row>
    <row r="2260" spans="4:11">
      <c r="D2260" s="158">
        <v>177044</v>
      </c>
      <c r="E2260" s="158">
        <v>10688</v>
      </c>
      <c r="F2260" s="158">
        <v>2028</v>
      </c>
      <c r="G2260" s="158">
        <v>0</v>
      </c>
      <c r="H2260" s="158">
        <v>0.5</v>
      </c>
      <c r="I2260" s="158">
        <v>0</v>
      </c>
      <c r="J2260" s="158">
        <v>0.5</v>
      </c>
      <c r="K2260" s="158" t="s">
        <v>235</v>
      </c>
    </row>
    <row r="2261" spans="4:11">
      <c r="D2261" s="158">
        <v>177045</v>
      </c>
      <c r="E2261" s="158">
        <v>10011</v>
      </c>
      <c r="F2261" s="158">
        <v>2359</v>
      </c>
      <c r="K2261" s="158" t="s">
        <v>238</v>
      </c>
    </row>
    <row r="2262" spans="4:11">
      <c r="D2262" s="158">
        <v>177046</v>
      </c>
      <c r="E2262" s="158">
        <v>10011</v>
      </c>
      <c r="F2262" s="158">
        <v>2359</v>
      </c>
      <c r="K2262" s="158" t="s">
        <v>238</v>
      </c>
    </row>
    <row r="2263" spans="4:11">
      <c r="D2263" s="158">
        <v>177047</v>
      </c>
      <c r="E2263" s="158">
        <v>10012</v>
      </c>
      <c r="F2263" s="158">
        <v>2359</v>
      </c>
      <c r="H2263" s="158">
        <v>20.75</v>
      </c>
      <c r="J2263" s="158">
        <v>20.75</v>
      </c>
      <c r="K2263" s="158" t="s">
        <v>238</v>
      </c>
    </row>
    <row r="2264" spans="4:11">
      <c r="D2264" s="158">
        <v>177048</v>
      </c>
      <c r="E2264" s="158">
        <v>10013</v>
      </c>
      <c r="F2264" s="158">
        <v>2359</v>
      </c>
      <c r="K2264" s="158" t="s">
        <v>238</v>
      </c>
    </row>
    <row r="2265" spans="4:11">
      <c r="D2265" s="158">
        <v>177049</v>
      </c>
      <c r="E2265" s="158">
        <v>10014</v>
      </c>
      <c r="F2265" s="158">
        <v>2359</v>
      </c>
      <c r="H2265" s="158">
        <v>24.25</v>
      </c>
      <c r="J2265" s="158">
        <v>24.25</v>
      </c>
      <c r="K2265" s="158" t="s">
        <v>238</v>
      </c>
    </row>
    <row r="2266" spans="4:11">
      <c r="D2266" s="158">
        <v>177050</v>
      </c>
      <c r="E2266" s="158">
        <v>10014</v>
      </c>
      <c r="F2266" s="158">
        <v>2359</v>
      </c>
      <c r="H2266" s="158">
        <v>0.45</v>
      </c>
      <c r="J2266" s="158">
        <v>0.45</v>
      </c>
      <c r="K2266" s="158" t="s">
        <v>238</v>
      </c>
    </row>
    <row r="2267" spans="4:11">
      <c r="D2267" s="158">
        <v>177051</v>
      </c>
      <c r="E2267" s="158">
        <v>10015</v>
      </c>
      <c r="F2267" s="158">
        <v>2359</v>
      </c>
      <c r="H2267" s="158">
        <v>2</v>
      </c>
      <c r="J2267" s="158">
        <v>2</v>
      </c>
      <c r="K2267" s="158" t="s">
        <v>238</v>
      </c>
    </row>
    <row r="2268" spans="4:11">
      <c r="D2268" s="158">
        <v>177052</v>
      </c>
      <c r="E2268" s="158">
        <v>10015</v>
      </c>
      <c r="F2268" s="158">
        <v>2359</v>
      </c>
      <c r="H2268" s="158">
        <v>0.25</v>
      </c>
      <c r="J2268" s="158">
        <v>0.25</v>
      </c>
      <c r="K2268" s="158" t="s">
        <v>238</v>
      </c>
    </row>
    <row r="2269" spans="4:11">
      <c r="D2269" s="158">
        <v>177053</v>
      </c>
      <c r="E2269" s="158">
        <v>10015</v>
      </c>
      <c r="F2269" s="158">
        <v>2359</v>
      </c>
      <c r="H2269" s="158">
        <v>3.05</v>
      </c>
      <c r="J2269" s="158">
        <v>3.05</v>
      </c>
      <c r="K2269" s="158" t="s">
        <v>238</v>
      </c>
    </row>
    <row r="2270" spans="4:11">
      <c r="D2270" s="158">
        <v>177054</v>
      </c>
      <c r="E2270" s="158">
        <v>10015</v>
      </c>
      <c r="F2270" s="158">
        <v>2359</v>
      </c>
      <c r="H2270" s="158">
        <v>0.5</v>
      </c>
      <c r="J2270" s="158">
        <v>0.5</v>
      </c>
      <c r="K2270" s="158" t="s">
        <v>238</v>
      </c>
    </row>
    <row r="2271" spans="4:11">
      <c r="D2271" s="158">
        <v>177055</v>
      </c>
      <c r="E2271" s="158">
        <v>10015</v>
      </c>
      <c r="F2271" s="158">
        <v>2359</v>
      </c>
      <c r="K2271" s="158" t="s">
        <v>238</v>
      </c>
    </row>
    <row r="2272" spans="4:11">
      <c r="D2272" s="158">
        <v>177070</v>
      </c>
      <c r="E2272" s="158">
        <v>11214</v>
      </c>
      <c r="F2272" s="158">
        <v>197</v>
      </c>
      <c r="H2272" s="158">
        <v>1</v>
      </c>
      <c r="J2272" s="158">
        <v>1</v>
      </c>
      <c r="K2272" s="158" t="s">
        <v>235</v>
      </c>
    </row>
    <row r="2273" spans="4:11">
      <c r="D2273" s="158">
        <v>177087</v>
      </c>
      <c r="E2273" s="158">
        <v>11213</v>
      </c>
      <c r="F2273" s="158">
        <v>222</v>
      </c>
      <c r="H2273" s="158">
        <v>1.25</v>
      </c>
      <c r="J2273" s="158">
        <v>1.25</v>
      </c>
      <c r="K2273" s="158" t="s">
        <v>235</v>
      </c>
    </row>
    <row r="2274" spans="4:11">
      <c r="D2274" s="158">
        <v>177113</v>
      </c>
      <c r="E2274" s="158">
        <v>11213</v>
      </c>
      <c r="F2274" s="158">
        <v>2324</v>
      </c>
      <c r="H2274" s="158">
        <v>5.25</v>
      </c>
      <c r="I2274" s="158">
        <v>0</v>
      </c>
      <c r="J2274" s="158">
        <v>5.25</v>
      </c>
      <c r="K2274" s="158" t="s">
        <v>235</v>
      </c>
    </row>
    <row r="2275" spans="4:11">
      <c r="D2275" s="158">
        <v>177114</v>
      </c>
      <c r="E2275" s="158">
        <v>11213</v>
      </c>
      <c r="F2275" s="158">
        <v>2324</v>
      </c>
      <c r="H2275" s="158">
        <v>1.2</v>
      </c>
      <c r="I2275" s="158">
        <v>5.4</v>
      </c>
      <c r="J2275" s="158">
        <v>6.6</v>
      </c>
      <c r="K2275" s="158" t="s">
        <v>235</v>
      </c>
    </row>
    <row r="2276" spans="4:11">
      <c r="D2276" s="158">
        <v>177115</v>
      </c>
      <c r="E2276" s="158">
        <v>10783</v>
      </c>
      <c r="F2276" s="158">
        <v>2324</v>
      </c>
      <c r="H2276" s="158">
        <v>3</v>
      </c>
      <c r="I2276" s="158">
        <v>0</v>
      </c>
      <c r="J2276" s="158">
        <v>3</v>
      </c>
      <c r="K2276" s="158" t="s">
        <v>235</v>
      </c>
    </row>
    <row r="2277" spans="4:11">
      <c r="D2277" s="158">
        <v>177156</v>
      </c>
      <c r="E2277" s="158">
        <v>11213</v>
      </c>
      <c r="F2277" s="158">
        <v>197</v>
      </c>
      <c r="H2277" s="158">
        <v>4</v>
      </c>
      <c r="I2277" s="158">
        <v>0</v>
      </c>
      <c r="J2277" s="158">
        <v>4</v>
      </c>
      <c r="K2277" s="158" t="s">
        <v>235</v>
      </c>
    </row>
    <row r="2278" spans="4:11">
      <c r="D2278" s="158">
        <v>177162</v>
      </c>
      <c r="E2278" s="158">
        <v>10639</v>
      </c>
      <c r="F2278" s="158">
        <v>2366</v>
      </c>
      <c r="H2278" s="158">
        <v>84.5</v>
      </c>
      <c r="I2278" s="158">
        <v>0</v>
      </c>
      <c r="J2278" s="158">
        <v>84.5</v>
      </c>
      <c r="K2278" s="158" t="s">
        <v>235</v>
      </c>
    </row>
    <row r="2279" spans="4:11">
      <c r="D2279" s="158">
        <v>177173</v>
      </c>
      <c r="E2279" s="158">
        <v>11731</v>
      </c>
      <c r="F2279" s="158">
        <v>2028</v>
      </c>
      <c r="G2279" s="158">
        <v>0.5</v>
      </c>
      <c r="H2279" s="158">
        <v>0.25</v>
      </c>
      <c r="I2279" s="158">
        <v>0</v>
      </c>
      <c r="J2279" s="158">
        <v>0.25</v>
      </c>
      <c r="K2279" s="158" t="s">
        <v>235</v>
      </c>
    </row>
    <row r="2280" spans="4:11">
      <c r="D2280" s="158">
        <v>177174</v>
      </c>
      <c r="E2280" s="158">
        <v>11731</v>
      </c>
      <c r="F2280" s="158">
        <v>2028</v>
      </c>
      <c r="G2280" s="158">
        <v>0.5</v>
      </c>
      <c r="I2280" s="158">
        <v>0</v>
      </c>
      <c r="J2280" s="158">
        <v>0</v>
      </c>
      <c r="K2280" s="158" t="s">
        <v>235</v>
      </c>
    </row>
    <row r="2281" spans="4:11">
      <c r="D2281" s="158">
        <v>177181</v>
      </c>
      <c r="E2281" s="158">
        <v>10639</v>
      </c>
      <c r="F2281" s="158">
        <v>1795</v>
      </c>
      <c r="G2281" s="158">
        <v>2.25</v>
      </c>
      <c r="H2281" s="158">
        <v>2.25</v>
      </c>
      <c r="I2281" s="158">
        <v>0</v>
      </c>
      <c r="J2281" s="158">
        <v>2.25</v>
      </c>
      <c r="K2281" s="158" t="s">
        <v>235</v>
      </c>
    </row>
    <row r="2282" spans="4:11">
      <c r="D2282" s="158">
        <v>177182</v>
      </c>
      <c r="E2282" s="158">
        <v>10639</v>
      </c>
      <c r="F2282" s="158">
        <v>2028</v>
      </c>
      <c r="G2282" s="158">
        <v>14</v>
      </c>
      <c r="H2282" s="158">
        <v>7.25</v>
      </c>
      <c r="I2282" s="158">
        <v>0</v>
      </c>
      <c r="J2282" s="158">
        <v>7.25</v>
      </c>
      <c r="K2282" s="158" t="s">
        <v>235</v>
      </c>
    </row>
    <row r="2283" spans="4:11">
      <c r="D2283" s="158">
        <v>177183</v>
      </c>
      <c r="E2283" s="158">
        <v>11044</v>
      </c>
      <c r="F2283" s="158">
        <v>2127</v>
      </c>
      <c r="G2283" s="158">
        <v>0</v>
      </c>
      <c r="H2283" s="158">
        <v>5</v>
      </c>
      <c r="I2283" s="158">
        <v>0</v>
      </c>
      <c r="J2283" s="158">
        <v>5</v>
      </c>
      <c r="K2283" s="158" t="s">
        <v>235</v>
      </c>
    </row>
    <row r="2284" spans="4:11">
      <c r="D2284" s="158">
        <v>177198</v>
      </c>
      <c r="E2284" s="158">
        <v>10814</v>
      </c>
      <c r="F2284" s="158">
        <v>2339</v>
      </c>
      <c r="G2284" s="158">
        <v>9.4</v>
      </c>
      <c r="H2284" s="158">
        <v>7.5</v>
      </c>
      <c r="I2284" s="158">
        <v>0</v>
      </c>
      <c r="J2284" s="158">
        <v>7.5</v>
      </c>
      <c r="K2284" s="158" t="s">
        <v>235</v>
      </c>
    </row>
    <row r="2285" spans="4:11">
      <c r="D2285" s="158">
        <v>177199</v>
      </c>
      <c r="E2285" s="158">
        <v>10814</v>
      </c>
      <c r="F2285" s="158">
        <v>1251</v>
      </c>
      <c r="G2285" s="158">
        <v>4.0999999999999996</v>
      </c>
      <c r="H2285" s="158">
        <v>2.9</v>
      </c>
      <c r="I2285" s="158">
        <v>0</v>
      </c>
      <c r="J2285" s="158">
        <v>2.9</v>
      </c>
      <c r="K2285" s="158" t="s">
        <v>235</v>
      </c>
    </row>
    <row r="2286" spans="4:11">
      <c r="D2286" s="158">
        <v>177220</v>
      </c>
      <c r="E2286" s="158">
        <v>11308</v>
      </c>
      <c r="F2286" s="158">
        <v>2266</v>
      </c>
      <c r="G2286" s="158">
        <v>4</v>
      </c>
      <c r="H2286" s="158">
        <v>4</v>
      </c>
      <c r="I2286" s="158">
        <v>0</v>
      </c>
      <c r="J2286" s="158">
        <v>4</v>
      </c>
      <c r="K2286" s="158" t="s">
        <v>236</v>
      </c>
    </row>
    <row r="2287" spans="4:11">
      <c r="D2287" s="158">
        <v>177222</v>
      </c>
      <c r="E2287" s="158">
        <v>11308</v>
      </c>
      <c r="F2287" s="158">
        <v>2266</v>
      </c>
      <c r="G2287" s="158">
        <v>2</v>
      </c>
      <c r="H2287" s="158">
        <v>3</v>
      </c>
      <c r="I2287" s="158">
        <v>0</v>
      </c>
      <c r="J2287" s="158">
        <v>3</v>
      </c>
      <c r="K2287" s="158" t="s">
        <v>236</v>
      </c>
    </row>
    <row r="2288" spans="4:11">
      <c r="D2288" s="158">
        <v>177224</v>
      </c>
      <c r="E2288" s="158">
        <v>11308</v>
      </c>
      <c r="F2288" s="158">
        <v>2200</v>
      </c>
      <c r="G2288" s="158">
        <v>0.9</v>
      </c>
      <c r="K2288" s="158" t="s">
        <v>236</v>
      </c>
    </row>
    <row r="2289" spans="4:11">
      <c r="D2289" s="158">
        <v>177233</v>
      </c>
      <c r="E2289" s="158">
        <v>11949</v>
      </c>
      <c r="F2289" s="158">
        <v>1667</v>
      </c>
      <c r="G2289" s="158">
        <v>6.96</v>
      </c>
      <c r="I2289" s="158">
        <v>0</v>
      </c>
      <c r="J2289" s="158">
        <v>0</v>
      </c>
      <c r="K2289" s="158" t="s">
        <v>238</v>
      </c>
    </row>
    <row r="2290" spans="4:11">
      <c r="D2290" s="158">
        <v>177236</v>
      </c>
      <c r="E2290" s="158">
        <v>10101</v>
      </c>
      <c r="F2290" s="158">
        <v>229</v>
      </c>
      <c r="G2290" s="158">
        <v>0</v>
      </c>
      <c r="K2290" s="158" t="s">
        <v>237</v>
      </c>
    </row>
    <row r="2291" spans="4:11">
      <c r="D2291" s="158">
        <v>177237</v>
      </c>
      <c r="E2291" s="158">
        <v>10101</v>
      </c>
      <c r="F2291" s="158">
        <v>229</v>
      </c>
      <c r="G2291" s="158">
        <v>0</v>
      </c>
      <c r="K2291" s="158" t="s">
        <v>237</v>
      </c>
    </row>
    <row r="2292" spans="4:11">
      <c r="D2292" s="158">
        <v>177238</v>
      </c>
      <c r="E2292" s="158">
        <v>10101</v>
      </c>
      <c r="F2292" s="158">
        <v>229</v>
      </c>
      <c r="G2292" s="158">
        <v>0</v>
      </c>
      <c r="K2292" s="158" t="s">
        <v>237</v>
      </c>
    </row>
    <row r="2293" spans="4:11">
      <c r="D2293" s="158">
        <v>177245</v>
      </c>
      <c r="E2293" s="158">
        <v>11953</v>
      </c>
      <c r="F2293" s="158">
        <v>2122</v>
      </c>
      <c r="G2293" s="158">
        <v>5.2</v>
      </c>
      <c r="H2293" s="158">
        <v>5.25</v>
      </c>
      <c r="I2293" s="158">
        <v>0</v>
      </c>
      <c r="J2293" s="158">
        <v>5.25</v>
      </c>
      <c r="K2293" s="158" t="s">
        <v>235</v>
      </c>
    </row>
    <row r="2294" spans="4:11">
      <c r="D2294" s="158">
        <v>177246</v>
      </c>
      <c r="E2294" s="158">
        <v>11712</v>
      </c>
      <c r="F2294" s="158">
        <v>2123</v>
      </c>
      <c r="G2294" s="158">
        <v>5.2</v>
      </c>
      <c r="H2294" s="158">
        <v>3</v>
      </c>
      <c r="I2294" s="158">
        <v>0</v>
      </c>
      <c r="J2294" s="158">
        <v>3</v>
      </c>
      <c r="K2294" s="158" t="s">
        <v>235</v>
      </c>
    </row>
    <row r="2295" spans="4:11">
      <c r="D2295" s="158">
        <v>177247</v>
      </c>
      <c r="E2295" s="158">
        <v>11741</v>
      </c>
      <c r="F2295" s="158">
        <v>2181</v>
      </c>
      <c r="G2295" s="158">
        <v>5.8</v>
      </c>
      <c r="H2295" s="158">
        <v>5.6</v>
      </c>
      <c r="I2295" s="158">
        <v>0</v>
      </c>
      <c r="J2295" s="158">
        <v>5.6</v>
      </c>
      <c r="K2295" s="158" t="s">
        <v>235</v>
      </c>
    </row>
    <row r="2296" spans="4:11">
      <c r="D2296" s="158">
        <v>177289</v>
      </c>
      <c r="E2296" s="158">
        <v>11898</v>
      </c>
      <c r="F2296" s="158">
        <v>2177</v>
      </c>
      <c r="G2296" s="158">
        <v>10</v>
      </c>
      <c r="I2296" s="158">
        <v>10</v>
      </c>
      <c r="J2296" s="158">
        <v>10</v>
      </c>
      <c r="K2296" s="158" t="s">
        <v>235</v>
      </c>
    </row>
    <row r="2297" spans="4:11">
      <c r="D2297" s="158">
        <v>177291</v>
      </c>
      <c r="E2297" s="158">
        <v>10783</v>
      </c>
      <c r="F2297" s="158">
        <v>306</v>
      </c>
      <c r="H2297" s="158">
        <v>0.5</v>
      </c>
      <c r="I2297" s="158">
        <v>0</v>
      </c>
      <c r="J2297" s="158">
        <v>0.5</v>
      </c>
      <c r="K2297" s="158" t="s">
        <v>235</v>
      </c>
    </row>
    <row r="2298" spans="4:11">
      <c r="D2298" s="158">
        <v>177296</v>
      </c>
      <c r="E2298" s="158">
        <v>10783</v>
      </c>
      <c r="F2298" s="158">
        <v>2177</v>
      </c>
      <c r="I2298" s="158">
        <v>9</v>
      </c>
      <c r="J2298" s="158">
        <v>9</v>
      </c>
      <c r="K2298" s="158" t="s">
        <v>235</v>
      </c>
    </row>
    <row r="2299" spans="4:11">
      <c r="D2299" s="158">
        <v>177310</v>
      </c>
      <c r="E2299" s="158">
        <v>11213</v>
      </c>
      <c r="F2299" s="158">
        <v>2305</v>
      </c>
      <c r="I2299" s="158">
        <v>0</v>
      </c>
      <c r="J2299" s="158">
        <v>0</v>
      </c>
      <c r="K2299" s="158" t="s">
        <v>235</v>
      </c>
    </row>
    <row r="2300" spans="4:11">
      <c r="D2300" s="158">
        <v>177311</v>
      </c>
      <c r="E2300" s="158">
        <v>11214</v>
      </c>
      <c r="F2300" s="158">
        <v>2305</v>
      </c>
      <c r="I2300" s="158">
        <v>0</v>
      </c>
      <c r="J2300" s="158">
        <v>0</v>
      </c>
      <c r="K2300" s="158" t="s">
        <v>235</v>
      </c>
    </row>
    <row r="2301" spans="4:11">
      <c r="D2301" s="158">
        <v>177312</v>
      </c>
      <c r="E2301" s="158">
        <v>11213</v>
      </c>
      <c r="F2301" s="158">
        <v>2305</v>
      </c>
      <c r="I2301" s="158">
        <v>0</v>
      </c>
      <c r="J2301" s="158">
        <v>0</v>
      </c>
      <c r="K2301" s="158" t="s">
        <v>235</v>
      </c>
    </row>
    <row r="2302" spans="4:11">
      <c r="D2302" s="158">
        <v>177313</v>
      </c>
      <c r="E2302" s="158">
        <v>11213</v>
      </c>
      <c r="F2302" s="158">
        <v>2305</v>
      </c>
      <c r="I2302" s="158">
        <v>0</v>
      </c>
      <c r="J2302" s="158">
        <v>0</v>
      </c>
      <c r="K2302" s="158" t="s">
        <v>235</v>
      </c>
    </row>
    <row r="2303" spans="4:11">
      <c r="D2303" s="158">
        <v>177314</v>
      </c>
      <c r="E2303" s="158">
        <v>11214</v>
      </c>
      <c r="F2303" s="158">
        <v>2305</v>
      </c>
      <c r="I2303" s="158">
        <v>0</v>
      </c>
      <c r="J2303" s="158">
        <v>0</v>
      </c>
      <c r="K2303" s="158" t="s">
        <v>235</v>
      </c>
    </row>
    <row r="2304" spans="4:11">
      <c r="D2304" s="158">
        <v>177315</v>
      </c>
      <c r="E2304" s="158">
        <v>11214</v>
      </c>
      <c r="F2304" s="158">
        <v>2177</v>
      </c>
      <c r="I2304" s="158">
        <v>0</v>
      </c>
      <c r="J2304" s="158">
        <v>0</v>
      </c>
      <c r="K2304" s="158" t="s">
        <v>235</v>
      </c>
    </row>
    <row r="2305" spans="4:11">
      <c r="D2305" s="158">
        <v>177316</v>
      </c>
      <c r="E2305" s="158">
        <v>10720</v>
      </c>
      <c r="F2305" s="158">
        <v>1014</v>
      </c>
      <c r="G2305" s="158">
        <v>3</v>
      </c>
      <c r="H2305" s="158">
        <v>2.9</v>
      </c>
      <c r="I2305" s="158">
        <v>0</v>
      </c>
      <c r="J2305" s="158">
        <v>2.9</v>
      </c>
      <c r="K2305" s="158" t="s">
        <v>235</v>
      </c>
    </row>
    <row r="2306" spans="4:11">
      <c r="D2306" s="158">
        <v>177317</v>
      </c>
      <c r="E2306" s="158">
        <v>10720</v>
      </c>
      <c r="F2306" s="158">
        <v>2030</v>
      </c>
      <c r="G2306" s="158">
        <v>1</v>
      </c>
      <c r="H2306" s="158">
        <v>1.5</v>
      </c>
      <c r="I2306" s="158">
        <v>0</v>
      </c>
      <c r="J2306" s="158">
        <v>1.5</v>
      </c>
      <c r="K2306" s="158" t="s">
        <v>235</v>
      </c>
    </row>
    <row r="2307" spans="4:11">
      <c r="D2307" s="158">
        <v>177318</v>
      </c>
      <c r="E2307" s="158">
        <v>11898</v>
      </c>
      <c r="F2307" s="158">
        <v>1014</v>
      </c>
      <c r="G2307" s="158">
        <v>0</v>
      </c>
      <c r="I2307" s="158">
        <v>0.2</v>
      </c>
      <c r="J2307" s="158">
        <v>0.2</v>
      </c>
      <c r="K2307" s="158" t="s">
        <v>235</v>
      </c>
    </row>
    <row r="2308" spans="4:11">
      <c r="D2308" s="158">
        <v>177319</v>
      </c>
      <c r="E2308" s="158">
        <v>11898</v>
      </c>
      <c r="F2308" s="158">
        <v>197</v>
      </c>
      <c r="G2308" s="158">
        <v>0</v>
      </c>
      <c r="H2308" s="158">
        <v>3.5</v>
      </c>
      <c r="I2308" s="158">
        <v>1</v>
      </c>
      <c r="J2308" s="158">
        <v>4.5</v>
      </c>
      <c r="K2308" s="158" t="s">
        <v>235</v>
      </c>
    </row>
    <row r="2309" spans="4:11">
      <c r="D2309" s="158">
        <v>177320</v>
      </c>
      <c r="E2309" s="158">
        <v>11898</v>
      </c>
      <c r="F2309" s="158">
        <v>2030</v>
      </c>
      <c r="G2309" s="158">
        <v>0</v>
      </c>
      <c r="H2309" s="158">
        <v>0.2</v>
      </c>
      <c r="I2309" s="158">
        <v>0.2</v>
      </c>
      <c r="J2309" s="158">
        <v>0.4</v>
      </c>
      <c r="K2309" s="158" t="s">
        <v>235</v>
      </c>
    </row>
    <row r="2310" spans="4:11">
      <c r="D2310" s="158">
        <v>177321</v>
      </c>
      <c r="E2310" s="158">
        <v>11898</v>
      </c>
      <c r="F2310" s="158">
        <v>2062</v>
      </c>
      <c r="G2310" s="158">
        <v>0</v>
      </c>
      <c r="H2310" s="158">
        <v>1.65</v>
      </c>
      <c r="I2310" s="158">
        <v>0.2</v>
      </c>
      <c r="J2310" s="158">
        <v>1.85</v>
      </c>
      <c r="K2310" s="158" t="s">
        <v>235</v>
      </c>
    </row>
    <row r="2311" spans="4:11">
      <c r="D2311" s="158">
        <v>177325</v>
      </c>
      <c r="E2311" s="158">
        <v>10691</v>
      </c>
      <c r="F2311" s="158">
        <v>2362</v>
      </c>
      <c r="G2311" s="158">
        <v>3</v>
      </c>
      <c r="H2311" s="158">
        <v>3</v>
      </c>
      <c r="I2311" s="158">
        <v>0</v>
      </c>
      <c r="J2311" s="158">
        <v>3</v>
      </c>
      <c r="K2311" s="158" t="s">
        <v>235</v>
      </c>
    </row>
    <row r="2312" spans="4:11">
      <c r="D2312" s="158">
        <v>177493</v>
      </c>
      <c r="E2312" s="158">
        <v>10020</v>
      </c>
      <c r="F2312" s="158">
        <v>1667</v>
      </c>
      <c r="G2312" s="158">
        <v>0.6</v>
      </c>
      <c r="H2312" s="158">
        <v>0.8</v>
      </c>
      <c r="I2312" s="158">
        <v>0</v>
      </c>
      <c r="J2312" s="158">
        <v>0.8</v>
      </c>
      <c r="K2312" s="158" t="s">
        <v>238</v>
      </c>
    </row>
    <row r="2313" spans="4:11">
      <c r="D2313" s="158">
        <v>177494</v>
      </c>
      <c r="E2313" s="158">
        <v>10020</v>
      </c>
      <c r="F2313" s="158">
        <v>1667</v>
      </c>
      <c r="G2313" s="158">
        <v>6.15</v>
      </c>
      <c r="H2313" s="158">
        <v>3.75</v>
      </c>
      <c r="I2313" s="158">
        <v>2.4</v>
      </c>
      <c r="J2313" s="158">
        <v>6.15</v>
      </c>
      <c r="K2313" s="158" t="s">
        <v>238</v>
      </c>
    </row>
    <row r="2314" spans="4:11">
      <c r="D2314" s="158">
        <v>177495</v>
      </c>
      <c r="E2314" s="158">
        <v>10020</v>
      </c>
      <c r="F2314" s="158">
        <v>2264</v>
      </c>
      <c r="G2314" s="158">
        <v>0.4</v>
      </c>
      <c r="I2314" s="158">
        <v>0.4</v>
      </c>
      <c r="J2314" s="158">
        <v>0.4</v>
      </c>
      <c r="K2314" s="158" t="s">
        <v>238</v>
      </c>
    </row>
    <row r="2315" spans="4:11">
      <c r="D2315" s="158">
        <v>177496</v>
      </c>
      <c r="E2315" s="158">
        <v>10020</v>
      </c>
      <c r="F2315" s="158">
        <v>229</v>
      </c>
      <c r="G2315" s="158">
        <v>0.4</v>
      </c>
      <c r="I2315" s="158">
        <v>0.4</v>
      </c>
      <c r="J2315" s="158">
        <v>0.4</v>
      </c>
      <c r="K2315" s="158" t="s">
        <v>238</v>
      </c>
    </row>
    <row r="2316" spans="4:11">
      <c r="D2316" s="158">
        <v>177497</v>
      </c>
      <c r="E2316" s="158">
        <v>10020</v>
      </c>
      <c r="F2316" s="158">
        <v>2264</v>
      </c>
      <c r="G2316" s="158">
        <v>5.95</v>
      </c>
      <c r="H2316" s="158">
        <v>6.1</v>
      </c>
      <c r="I2316" s="158">
        <v>0</v>
      </c>
      <c r="J2316" s="158">
        <v>6.1</v>
      </c>
      <c r="K2316" s="158" t="s">
        <v>238</v>
      </c>
    </row>
    <row r="2317" spans="4:11">
      <c r="D2317" s="158">
        <v>177506</v>
      </c>
      <c r="E2317" s="158">
        <v>10020</v>
      </c>
      <c r="F2317" s="158">
        <v>1667</v>
      </c>
      <c r="G2317" s="158">
        <v>6.15</v>
      </c>
      <c r="H2317" s="158">
        <v>5.0999999999999996</v>
      </c>
      <c r="I2317" s="158">
        <v>0</v>
      </c>
      <c r="J2317" s="158">
        <v>5.0999999999999996</v>
      </c>
      <c r="K2317" s="158" t="s">
        <v>238</v>
      </c>
    </row>
    <row r="2318" spans="4:11">
      <c r="D2318" s="158">
        <v>177508</v>
      </c>
      <c r="E2318" s="158">
        <v>10020</v>
      </c>
      <c r="F2318" s="158">
        <v>2264</v>
      </c>
      <c r="G2318" s="158">
        <v>0.4</v>
      </c>
      <c r="H2318" s="158">
        <v>0.4</v>
      </c>
      <c r="I2318" s="158">
        <v>0</v>
      </c>
      <c r="J2318" s="158">
        <v>0.4</v>
      </c>
      <c r="K2318" s="158" t="s">
        <v>238</v>
      </c>
    </row>
    <row r="2319" spans="4:11">
      <c r="D2319" s="158">
        <v>177509</v>
      </c>
      <c r="E2319" s="158">
        <v>10020</v>
      </c>
      <c r="F2319" s="158">
        <v>229</v>
      </c>
      <c r="G2319" s="158">
        <v>0.4</v>
      </c>
      <c r="I2319" s="158">
        <v>0</v>
      </c>
      <c r="J2319" s="158">
        <v>0</v>
      </c>
      <c r="K2319" s="158" t="s">
        <v>238</v>
      </c>
    </row>
    <row r="2320" spans="4:11">
      <c r="D2320" s="158">
        <v>177513</v>
      </c>
      <c r="E2320" s="158">
        <v>10100</v>
      </c>
      <c r="F2320" s="158">
        <v>180</v>
      </c>
      <c r="G2320" s="158">
        <v>0.13</v>
      </c>
      <c r="H2320" s="158">
        <v>0.13</v>
      </c>
      <c r="I2320" s="158">
        <v>0</v>
      </c>
      <c r="J2320" s="158">
        <v>0.13</v>
      </c>
      <c r="K2320" s="158" t="s">
        <v>237</v>
      </c>
    </row>
    <row r="2321" spans="4:11">
      <c r="D2321" s="158">
        <v>177514</v>
      </c>
      <c r="E2321" s="158">
        <v>10100</v>
      </c>
      <c r="F2321" s="158">
        <v>180</v>
      </c>
      <c r="G2321" s="158">
        <v>4.5</v>
      </c>
      <c r="H2321" s="158">
        <v>7.9</v>
      </c>
      <c r="I2321" s="158">
        <v>0</v>
      </c>
      <c r="J2321" s="158">
        <v>7.9</v>
      </c>
      <c r="K2321" s="158" t="s">
        <v>237</v>
      </c>
    </row>
    <row r="2322" spans="4:11">
      <c r="D2322" s="158">
        <v>177560</v>
      </c>
      <c r="E2322" s="158">
        <v>10795</v>
      </c>
      <c r="F2322" s="158">
        <v>2028</v>
      </c>
      <c r="G2322" s="158">
        <v>0.25</v>
      </c>
      <c r="I2322" s="158">
        <v>0.25</v>
      </c>
      <c r="J2322" s="158">
        <v>0.25</v>
      </c>
      <c r="K2322" s="158" t="s">
        <v>235</v>
      </c>
    </row>
    <row r="2323" spans="4:11">
      <c r="D2323" s="158">
        <v>177561</v>
      </c>
      <c r="E2323" s="158">
        <v>11748</v>
      </c>
      <c r="F2323" s="158">
        <v>2028</v>
      </c>
      <c r="G2323" s="158">
        <v>0.25</v>
      </c>
      <c r="H2323" s="158">
        <v>0.25</v>
      </c>
      <c r="I2323" s="158">
        <v>0</v>
      </c>
      <c r="J2323" s="158">
        <v>0.25</v>
      </c>
      <c r="K2323" s="158" t="s">
        <v>235</v>
      </c>
    </row>
    <row r="2324" spans="4:11">
      <c r="D2324" s="158">
        <v>177562</v>
      </c>
      <c r="E2324" s="158">
        <v>11707</v>
      </c>
      <c r="F2324" s="158">
        <v>2028</v>
      </c>
      <c r="G2324" s="158">
        <v>0.25</v>
      </c>
      <c r="H2324" s="158">
        <v>0.25</v>
      </c>
      <c r="I2324" s="158">
        <v>0</v>
      </c>
      <c r="J2324" s="158">
        <v>0.25</v>
      </c>
      <c r="K2324" s="158" t="s">
        <v>235</v>
      </c>
    </row>
    <row r="2325" spans="4:11">
      <c r="D2325" s="158">
        <v>177565</v>
      </c>
      <c r="E2325" s="158">
        <v>11780</v>
      </c>
      <c r="F2325" s="158">
        <v>2028</v>
      </c>
      <c r="G2325" s="158">
        <v>0.25</v>
      </c>
      <c r="I2325" s="158">
        <v>0.25</v>
      </c>
      <c r="J2325" s="158">
        <v>0.25</v>
      </c>
      <c r="K2325" s="158" t="s">
        <v>235</v>
      </c>
    </row>
    <row r="2326" spans="4:11">
      <c r="D2326" s="158">
        <v>177566</v>
      </c>
      <c r="E2326" s="158">
        <v>11736</v>
      </c>
      <c r="F2326" s="158">
        <v>2028</v>
      </c>
      <c r="G2326" s="158">
        <v>0.25</v>
      </c>
      <c r="H2326" s="158">
        <v>0.25</v>
      </c>
      <c r="I2326" s="158">
        <v>0</v>
      </c>
      <c r="J2326" s="158">
        <v>0.25</v>
      </c>
      <c r="K2326" s="158" t="s">
        <v>235</v>
      </c>
    </row>
    <row r="2327" spans="4:11">
      <c r="D2327" s="158">
        <v>177567</v>
      </c>
      <c r="E2327" s="158">
        <v>10687</v>
      </c>
      <c r="F2327" s="158">
        <v>2028</v>
      </c>
      <c r="G2327" s="158">
        <v>0.25</v>
      </c>
      <c r="I2327" s="158">
        <v>0</v>
      </c>
      <c r="J2327" s="158">
        <v>0</v>
      </c>
      <c r="K2327" s="158" t="s">
        <v>235</v>
      </c>
    </row>
    <row r="2328" spans="4:11">
      <c r="D2328" s="158">
        <v>177568</v>
      </c>
      <c r="E2328" s="158">
        <v>10688</v>
      </c>
      <c r="F2328" s="158">
        <v>2028</v>
      </c>
      <c r="G2328" s="158">
        <v>0.25</v>
      </c>
      <c r="I2328" s="158">
        <v>0</v>
      </c>
      <c r="J2328" s="158">
        <v>0</v>
      </c>
      <c r="K2328" s="158" t="s">
        <v>235</v>
      </c>
    </row>
    <row r="2329" spans="4:11">
      <c r="D2329" s="158">
        <v>177569</v>
      </c>
      <c r="E2329" s="158">
        <v>10689</v>
      </c>
      <c r="F2329" s="158">
        <v>2028</v>
      </c>
      <c r="G2329" s="158">
        <v>0.25</v>
      </c>
      <c r="H2329" s="158">
        <v>0.25</v>
      </c>
      <c r="I2329" s="158">
        <v>0</v>
      </c>
      <c r="J2329" s="158">
        <v>0.25</v>
      </c>
      <c r="K2329" s="158" t="s">
        <v>235</v>
      </c>
    </row>
    <row r="2330" spans="4:11">
      <c r="D2330" s="158">
        <v>177644</v>
      </c>
      <c r="E2330" s="158">
        <v>11748</v>
      </c>
      <c r="F2330" s="158">
        <v>2142</v>
      </c>
      <c r="G2330" s="158">
        <v>2.25</v>
      </c>
      <c r="H2330" s="158">
        <v>2.25</v>
      </c>
      <c r="I2330" s="158">
        <v>0</v>
      </c>
      <c r="J2330" s="158">
        <v>2.25</v>
      </c>
      <c r="K2330" s="158" t="s">
        <v>235</v>
      </c>
    </row>
    <row r="2331" spans="4:11">
      <c r="D2331" s="158">
        <v>177646</v>
      </c>
      <c r="E2331" s="158">
        <v>11708</v>
      </c>
      <c r="F2331" s="158">
        <v>2142</v>
      </c>
      <c r="H2331" s="158">
        <v>0.5</v>
      </c>
      <c r="J2331" s="158">
        <v>0.5</v>
      </c>
      <c r="K2331" s="158" t="s">
        <v>235</v>
      </c>
    </row>
    <row r="2332" spans="4:11">
      <c r="D2332" s="158">
        <v>177653</v>
      </c>
      <c r="E2332" s="158">
        <v>11213</v>
      </c>
      <c r="F2332" s="158">
        <v>2324</v>
      </c>
      <c r="H2332" s="158">
        <v>7.3</v>
      </c>
      <c r="J2332" s="158">
        <v>7.3</v>
      </c>
      <c r="K2332" s="158" t="s">
        <v>235</v>
      </c>
    </row>
    <row r="2333" spans="4:11">
      <c r="D2333" s="158">
        <v>177654</v>
      </c>
      <c r="E2333" s="158">
        <v>11213</v>
      </c>
      <c r="F2333" s="158">
        <v>2324</v>
      </c>
      <c r="H2333" s="158">
        <v>0.35</v>
      </c>
      <c r="J2333" s="158">
        <v>0.35</v>
      </c>
      <c r="K2333" s="158" t="s">
        <v>235</v>
      </c>
    </row>
    <row r="2334" spans="4:11">
      <c r="D2334" s="158">
        <v>177690</v>
      </c>
      <c r="E2334" s="158">
        <v>11213</v>
      </c>
      <c r="F2334" s="158">
        <v>1014</v>
      </c>
      <c r="H2334" s="158">
        <v>0.2</v>
      </c>
      <c r="J2334" s="158">
        <v>0.2</v>
      </c>
      <c r="K2334" s="158" t="s">
        <v>235</v>
      </c>
    </row>
    <row r="2335" spans="4:11">
      <c r="D2335" s="158">
        <v>177700</v>
      </c>
      <c r="E2335" s="158">
        <v>10795</v>
      </c>
      <c r="F2335" s="158">
        <v>2142</v>
      </c>
      <c r="G2335" s="158">
        <v>3.1</v>
      </c>
      <c r="I2335" s="158">
        <v>1</v>
      </c>
      <c r="J2335" s="158">
        <v>1</v>
      </c>
      <c r="K2335" s="158" t="s">
        <v>235</v>
      </c>
    </row>
    <row r="2336" spans="4:11">
      <c r="D2336" s="158">
        <v>177704</v>
      </c>
      <c r="E2336" s="158">
        <v>10020</v>
      </c>
      <c r="F2336" s="158">
        <v>1667</v>
      </c>
      <c r="G2336" s="158">
        <v>6.15</v>
      </c>
      <c r="H2336" s="158">
        <v>8.15</v>
      </c>
      <c r="I2336" s="158">
        <v>0</v>
      </c>
      <c r="J2336" s="158">
        <v>8.15</v>
      </c>
      <c r="K2336" s="158" t="s">
        <v>238</v>
      </c>
    </row>
    <row r="2337" spans="4:11">
      <c r="D2337" s="158">
        <v>177706</v>
      </c>
      <c r="E2337" s="158">
        <v>10020</v>
      </c>
      <c r="F2337" s="158">
        <v>2264</v>
      </c>
      <c r="G2337" s="158">
        <v>0.4</v>
      </c>
      <c r="H2337" s="158">
        <v>0.2</v>
      </c>
      <c r="I2337" s="158">
        <v>0</v>
      </c>
      <c r="J2337" s="158">
        <v>0.2</v>
      </c>
      <c r="K2337" s="158" t="s">
        <v>238</v>
      </c>
    </row>
    <row r="2338" spans="4:11">
      <c r="D2338" s="158">
        <v>177707</v>
      </c>
      <c r="E2338" s="158">
        <v>10020</v>
      </c>
      <c r="F2338" s="158">
        <v>229</v>
      </c>
      <c r="G2338" s="158">
        <v>0.4</v>
      </c>
      <c r="H2338" s="158">
        <v>0.4</v>
      </c>
      <c r="I2338" s="158">
        <v>0</v>
      </c>
      <c r="J2338" s="158">
        <v>0.4</v>
      </c>
      <c r="K2338" s="158" t="s">
        <v>238</v>
      </c>
    </row>
    <row r="2339" spans="4:11">
      <c r="D2339" s="158">
        <v>177708</v>
      </c>
      <c r="E2339" s="158">
        <v>10020</v>
      </c>
      <c r="F2339" s="158">
        <v>2264</v>
      </c>
      <c r="G2339" s="158">
        <v>5.95</v>
      </c>
      <c r="H2339" s="158">
        <v>12.29</v>
      </c>
      <c r="I2339" s="158">
        <v>0.15</v>
      </c>
      <c r="J2339" s="158">
        <v>12.44</v>
      </c>
      <c r="K2339" s="158" t="s">
        <v>238</v>
      </c>
    </row>
    <row r="2340" spans="4:11">
      <c r="D2340" s="158">
        <v>177710</v>
      </c>
      <c r="E2340" s="158">
        <v>10020</v>
      </c>
      <c r="F2340" s="158">
        <v>1667</v>
      </c>
      <c r="G2340" s="158">
        <v>0.6</v>
      </c>
      <c r="H2340" s="158">
        <v>0.8</v>
      </c>
      <c r="I2340" s="158">
        <v>0</v>
      </c>
      <c r="J2340" s="158">
        <v>0.8</v>
      </c>
      <c r="K2340" s="158" t="s">
        <v>238</v>
      </c>
    </row>
    <row r="2341" spans="4:11">
      <c r="D2341" s="158">
        <v>177711</v>
      </c>
      <c r="E2341" s="158">
        <v>10020</v>
      </c>
      <c r="F2341" s="158">
        <v>229</v>
      </c>
      <c r="G2341" s="158">
        <v>0.4</v>
      </c>
      <c r="I2341" s="158">
        <v>0.4</v>
      </c>
      <c r="J2341" s="158">
        <v>0.4</v>
      </c>
      <c r="K2341" s="158" t="s">
        <v>238</v>
      </c>
    </row>
    <row r="2342" spans="4:11">
      <c r="D2342" s="158">
        <v>177719</v>
      </c>
      <c r="E2342" s="158">
        <v>11712</v>
      </c>
      <c r="F2342" s="158">
        <v>2123</v>
      </c>
      <c r="G2342" s="158">
        <v>3.7</v>
      </c>
      <c r="H2342" s="158">
        <v>6</v>
      </c>
      <c r="I2342" s="158">
        <v>0</v>
      </c>
      <c r="J2342" s="158">
        <v>6</v>
      </c>
      <c r="K2342" s="158" t="s">
        <v>235</v>
      </c>
    </row>
    <row r="2343" spans="4:11">
      <c r="D2343" s="158">
        <v>177720</v>
      </c>
      <c r="E2343" s="158">
        <v>11712</v>
      </c>
      <c r="F2343" s="158">
        <v>2188</v>
      </c>
      <c r="G2343" s="158">
        <v>2.5</v>
      </c>
      <c r="H2343" s="158">
        <v>2.5</v>
      </c>
      <c r="I2343" s="158">
        <v>0</v>
      </c>
      <c r="J2343" s="158">
        <v>2.5</v>
      </c>
      <c r="K2343" s="158" t="s">
        <v>235</v>
      </c>
    </row>
    <row r="2344" spans="4:11">
      <c r="D2344" s="158">
        <v>177721</v>
      </c>
      <c r="E2344" s="158">
        <v>10814</v>
      </c>
      <c r="F2344" s="158">
        <v>1251</v>
      </c>
      <c r="G2344" s="158">
        <v>5.2</v>
      </c>
      <c r="I2344" s="158">
        <v>0</v>
      </c>
      <c r="J2344" s="158">
        <v>0</v>
      </c>
      <c r="K2344" s="158" t="s">
        <v>235</v>
      </c>
    </row>
    <row r="2345" spans="4:11">
      <c r="D2345" s="158">
        <v>177722</v>
      </c>
      <c r="E2345" s="158">
        <v>10814</v>
      </c>
      <c r="F2345" s="158">
        <v>2339</v>
      </c>
      <c r="G2345" s="158">
        <v>7.6</v>
      </c>
      <c r="H2345" s="158">
        <v>11.5</v>
      </c>
      <c r="I2345" s="158">
        <v>0</v>
      </c>
      <c r="J2345" s="158">
        <v>11.5</v>
      </c>
      <c r="K2345" s="158" t="s">
        <v>235</v>
      </c>
    </row>
    <row r="2346" spans="4:11">
      <c r="D2346" s="158">
        <v>177741</v>
      </c>
      <c r="E2346" s="158">
        <v>10763</v>
      </c>
      <c r="F2346" s="158">
        <v>217</v>
      </c>
      <c r="G2346" s="158">
        <v>0</v>
      </c>
      <c r="H2346" s="158">
        <v>1.5</v>
      </c>
      <c r="I2346" s="158">
        <v>0</v>
      </c>
      <c r="J2346" s="158">
        <v>1.5</v>
      </c>
      <c r="K2346" s="158" t="s">
        <v>235</v>
      </c>
    </row>
    <row r="2347" spans="4:11">
      <c r="D2347" s="158">
        <v>177744</v>
      </c>
      <c r="E2347" s="158">
        <v>11214</v>
      </c>
      <c r="F2347" s="158">
        <v>2062</v>
      </c>
      <c r="H2347" s="158">
        <v>1.6</v>
      </c>
      <c r="J2347" s="158">
        <v>1.6</v>
      </c>
      <c r="K2347" s="158" t="s">
        <v>235</v>
      </c>
    </row>
    <row r="2348" spans="4:11">
      <c r="D2348" s="158">
        <v>177778</v>
      </c>
      <c r="E2348" s="158">
        <v>10691</v>
      </c>
      <c r="F2348" s="158">
        <v>2188</v>
      </c>
      <c r="G2348" s="158">
        <v>15</v>
      </c>
      <c r="H2348" s="158">
        <v>6.5</v>
      </c>
      <c r="I2348" s="158">
        <v>3.75</v>
      </c>
      <c r="J2348" s="158">
        <v>10.25</v>
      </c>
      <c r="K2348" s="158" t="s">
        <v>235</v>
      </c>
    </row>
    <row r="2349" spans="4:11">
      <c r="D2349" s="158">
        <v>177840</v>
      </c>
      <c r="E2349" s="158">
        <v>10688</v>
      </c>
      <c r="F2349" s="158">
        <v>2120</v>
      </c>
      <c r="G2349" s="158">
        <v>8.3000000000000007</v>
      </c>
      <c r="H2349" s="158">
        <v>2.5</v>
      </c>
      <c r="I2349" s="158">
        <v>0</v>
      </c>
      <c r="J2349" s="158">
        <v>2.5</v>
      </c>
      <c r="K2349" s="158" t="s">
        <v>235</v>
      </c>
    </row>
    <row r="2350" spans="4:11">
      <c r="D2350" s="158">
        <v>177841</v>
      </c>
      <c r="E2350" s="158">
        <v>10688</v>
      </c>
      <c r="F2350" s="158">
        <v>2120</v>
      </c>
      <c r="G2350" s="158">
        <v>6.2</v>
      </c>
      <c r="H2350" s="158">
        <v>1.5</v>
      </c>
      <c r="I2350" s="158">
        <v>0</v>
      </c>
      <c r="J2350" s="158">
        <v>1.5</v>
      </c>
      <c r="K2350" s="158" t="s">
        <v>235</v>
      </c>
    </row>
    <row r="2351" spans="4:11">
      <c r="D2351" s="158">
        <v>177842</v>
      </c>
      <c r="E2351" s="158">
        <v>10815</v>
      </c>
      <c r="F2351" s="158">
        <v>2339</v>
      </c>
      <c r="G2351" s="158">
        <v>11.9</v>
      </c>
      <c r="I2351" s="158">
        <v>11.9</v>
      </c>
      <c r="J2351" s="158">
        <v>11.9</v>
      </c>
      <c r="K2351" s="158" t="s">
        <v>235</v>
      </c>
    </row>
    <row r="2352" spans="4:11">
      <c r="D2352" s="158">
        <v>177843</v>
      </c>
      <c r="E2352" s="158">
        <v>10815</v>
      </c>
      <c r="F2352" s="158">
        <v>2339</v>
      </c>
      <c r="G2352" s="158">
        <v>15.5</v>
      </c>
      <c r="H2352" s="158">
        <v>16</v>
      </c>
      <c r="I2352" s="158">
        <v>0</v>
      </c>
      <c r="J2352" s="158">
        <v>16</v>
      </c>
      <c r="K2352" s="158" t="s">
        <v>235</v>
      </c>
    </row>
    <row r="2353" spans="4:11">
      <c r="D2353" s="158">
        <v>177844</v>
      </c>
      <c r="E2353" s="158">
        <v>10815</v>
      </c>
      <c r="F2353" s="158">
        <v>2383</v>
      </c>
      <c r="G2353" s="158">
        <v>5.2</v>
      </c>
      <c r="H2353" s="158">
        <v>4</v>
      </c>
      <c r="I2353" s="158">
        <v>0</v>
      </c>
      <c r="J2353" s="158">
        <v>4</v>
      </c>
      <c r="K2353" s="158" t="s">
        <v>235</v>
      </c>
    </row>
    <row r="2354" spans="4:11">
      <c r="D2354" s="158">
        <v>177845</v>
      </c>
      <c r="E2354" s="158">
        <v>10815</v>
      </c>
      <c r="F2354" s="158">
        <v>1251</v>
      </c>
      <c r="G2354" s="158">
        <v>7.8</v>
      </c>
      <c r="H2354" s="158">
        <v>9.1999999999999993</v>
      </c>
      <c r="I2354" s="158">
        <v>0</v>
      </c>
      <c r="J2354" s="158">
        <v>9.1999999999999993</v>
      </c>
      <c r="K2354" s="158" t="s">
        <v>235</v>
      </c>
    </row>
    <row r="2355" spans="4:11">
      <c r="D2355" s="158">
        <v>177864</v>
      </c>
      <c r="E2355" s="158">
        <v>11214</v>
      </c>
      <c r="F2355" s="158">
        <v>1821</v>
      </c>
      <c r="H2355" s="158">
        <v>0.5</v>
      </c>
      <c r="J2355" s="158">
        <v>0.5</v>
      </c>
      <c r="K2355" s="158" t="s">
        <v>235</v>
      </c>
    </row>
    <row r="2356" spans="4:11">
      <c r="D2356" s="158">
        <v>177955</v>
      </c>
      <c r="E2356" s="158">
        <v>11213</v>
      </c>
      <c r="F2356" s="158">
        <v>1014</v>
      </c>
      <c r="H2356" s="158">
        <v>0.7</v>
      </c>
      <c r="J2356" s="158">
        <v>0.7</v>
      </c>
      <c r="K2356" s="158" t="s">
        <v>235</v>
      </c>
    </row>
    <row r="2357" spans="4:11">
      <c r="D2357" s="158">
        <v>177962</v>
      </c>
      <c r="E2357" s="158">
        <v>10694</v>
      </c>
      <c r="F2357" s="158">
        <v>2188</v>
      </c>
      <c r="G2357" s="158">
        <v>8.3000000000000007</v>
      </c>
      <c r="H2357" s="158">
        <v>0.5</v>
      </c>
      <c r="I2357" s="158">
        <v>5.8</v>
      </c>
      <c r="J2357" s="158">
        <v>6.3</v>
      </c>
      <c r="K2357" s="158" t="s">
        <v>235</v>
      </c>
    </row>
    <row r="2358" spans="4:11">
      <c r="D2358" s="158">
        <v>177964</v>
      </c>
      <c r="E2358" s="158">
        <v>11731</v>
      </c>
      <c r="F2358" s="158">
        <v>2188</v>
      </c>
      <c r="G2358" s="158">
        <v>0.5</v>
      </c>
      <c r="H2358" s="158">
        <v>0.5</v>
      </c>
      <c r="I2358" s="158">
        <v>0</v>
      </c>
      <c r="J2358" s="158">
        <v>0.5</v>
      </c>
      <c r="K2358" s="158" t="s">
        <v>235</v>
      </c>
    </row>
    <row r="2359" spans="4:11">
      <c r="D2359" s="158">
        <v>177965</v>
      </c>
      <c r="E2359" s="158">
        <v>11731</v>
      </c>
      <c r="F2359" s="158">
        <v>2188</v>
      </c>
      <c r="G2359" s="158">
        <v>2.25</v>
      </c>
      <c r="H2359" s="158">
        <v>2.5</v>
      </c>
      <c r="I2359" s="158">
        <v>0</v>
      </c>
      <c r="J2359" s="158">
        <v>2.5</v>
      </c>
      <c r="K2359" s="158" t="s">
        <v>235</v>
      </c>
    </row>
    <row r="2360" spans="4:11">
      <c r="D2360" s="158">
        <v>177977</v>
      </c>
      <c r="E2360" s="158">
        <v>11309</v>
      </c>
      <c r="F2360" s="158">
        <v>2266</v>
      </c>
      <c r="G2360" s="158">
        <v>4</v>
      </c>
      <c r="H2360" s="158">
        <v>4</v>
      </c>
      <c r="I2360" s="158">
        <v>0</v>
      </c>
      <c r="J2360" s="158">
        <v>4</v>
      </c>
      <c r="K2360" s="158" t="s">
        <v>236</v>
      </c>
    </row>
    <row r="2361" spans="4:11">
      <c r="D2361" s="158">
        <v>177978</v>
      </c>
      <c r="E2361" s="158">
        <v>11309</v>
      </c>
      <c r="F2361" s="158">
        <v>1120</v>
      </c>
      <c r="G2361" s="158">
        <v>2.9</v>
      </c>
      <c r="H2361" s="158">
        <v>2.9</v>
      </c>
      <c r="I2361" s="158">
        <v>0</v>
      </c>
      <c r="J2361" s="158">
        <v>2.9</v>
      </c>
      <c r="K2361" s="158" t="s">
        <v>236</v>
      </c>
    </row>
    <row r="2362" spans="4:11">
      <c r="D2362" s="158">
        <v>177990</v>
      </c>
      <c r="E2362" s="158">
        <v>10100</v>
      </c>
      <c r="F2362" s="158">
        <v>180</v>
      </c>
      <c r="G2362" s="158">
        <v>0.5</v>
      </c>
      <c r="I2362" s="158">
        <v>0</v>
      </c>
      <c r="J2362" s="158">
        <v>0</v>
      </c>
      <c r="K2362" s="158" t="s">
        <v>237</v>
      </c>
    </row>
    <row r="2363" spans="4:11">
      <c r="D2363" s="158">
        <v>177991</v>
      </c>
      <c r="E2363" s="158">
        <v>10100</v>
      </c>
      <c r="F2363" s="158">
        <v>229</v>
      </c>
      <c r="G2363" s="158">
        <v>4.5</v>
      </c>
      <c r="H2363" s="158">
        <v>5.7</v>
      </c>
      <c r="I2363" s="158">
        <v>0.2</v>
      </c>
      <c r="J2363" s="158">
        <v>5.9</v>
      </c>
      <c r="K2363" s="158" t="s">
        <v>237</v>
      </c>
    </row>
    <row r="2364" spans="4:11">
      <c r="D2364" s="158">
        <v>177992</v>
      </c>
      <c r="E2364" s="158">
        <v>10101</v>
      </c>
      <c r="F2364" s="158">
        <v>229</v>
      </c>
      <c r="H2364" s="158">
        <v>2.5</v>
      </c>
      <c r="J2364" s="158">
        <v>2.5</v>
      </c>
      <c r="K2364" s="158" t="s">
        <v>237</v>
      </c>
    </row>
    <row r="2365" spans="4:11">
      <c r="D2365" s="158">
        <v>177995</v>
      </c>
      <c r="E2365" s="158">
        <v>10101</v>
      </c>
      <c r="F2365" s="158">
        <v>180</v>
      </c>
      <c r="K2365" s="158" t="s">
        <v>237</v>
      </c>
    </row>
    <row r="2366" spans="4:11">
      <c r="D2366" s="158">
        <v>178018</v>
      </c>
      <c r="E2366" s="158">
        <v>10814</v>
      </c>
      <c r="F2366" s="158">
        <v>1251</v>
      </c>
      <c r="G2366" s="158">
        <v>5.6</v>
      </c>
      <c r="H2366" s="158">
        <v>5.5</v>
      </c>
      <c r="I2366" s="158">
        <v>0</v>
      </c>
      <c r="J2366" s="158">
        <v>5.5</v>
      </c>
      <c r="K2366" s="158" t="s">
        <v>235</v>
      </c>
    </row>
    <row r="2367" spans="4:11">
      <c r="D2367" s="158">
        <v>178063</v>
      </c>
      <c r="E2367" s="158">
        <v>10742</v>
      </c>
      <c r="F2367" s="158">
        <v>2201</v>
      </c>
      <c r="I2367" s="158">
        <v>0</v>
      </c>
      <c r="J2367" s="158">
        <v>0</v>
      </c>
      <c r="K2367" s="158" t="s">
        <v>235</v>
      </c>
    </row>
    <row r="2368" spans="4:11">
      <c r="D2368" s="158">
        <v>178064</v>
      </c>
      <c r="E2368" s="158">
        <v>10764</v>
      </c>
      <c r="F2368" s="158">
        <v>2201</v>
      </c>
      <c r="I2368" s="158">
        <v>0</v>
      </c>
      <c r="J2368" s="158">
        <v>0</v>
      </c>
      <c r="K2368" s="158" t="s">
        <v>235</v>
      </c>
    </row>
    <row r="2369" spans="4:11">
      <c r="D2369" s="158">
        <v>178065</v>
      </c>
      <c r="E2369" s="158">
        <v>10769</v>
      </c>
      <c r="F2369" s="158">
        <v>2201</v>
      </c>
      <c r="I2369" s="158">
        <v>0</v>
      </c>
      <c r="J2369" s="158">
        <v>0</v>
      </c>
      <c r="K2369" s="158" t="s">
        <v>235</v>
      </c>
    </row>
    <row r="2370" spans="4:11">
      <c r="D2370" s="158">
        <v>178066</v>
      </c>
      <c r="E2370" s="158">
        <v>10764</v>
      </c>
      <c r="F2370" s="158">
        <v>2201</v>
      </c>
      <c r="I2370" s="158">
        <v>0.6</v>
      </c>
      <c r="J2370" s="158">
        <v>0.6</v>
      </c>
      <c r="K2370" s="158" t="s">
        <v>235</v>
      </c>
    </row>
    <row r="2371" spans="4:11">
      <c r="D2371" s="158">
        <v>178067</v>
      </c>
      <c r="E2371" s="158">
        <v>10769</v>
      </c>
      <c r="F2371" s="158">
        <v>2201</v>
      </c>
      <c r="I2371" s="158">
        <v>0</v>
      </c>
      <c r="J2371" s="158">
        <v>0</v>
      </c>
      <c r="K2371" s="158" t="s">
        <v>235</v>
      </c>
    </row>
    <row r="2372" spans="4:11">
      <c r="D2372" s="158">
        <v>178068</v>
      </c>
      <c r="E2372" s="158">
        <v>10768</v>
      </c>
      <c r="F2372" s="158">
        <v>2201</v>
      </c>
      <c r="I2372" s="158">
        <v>0.6</v>
      </c>
      <c r="J2372" s="158">
        <v>0.6</v>
      </c>
      <c r="K2372" s="158" t="s">
        <v>235</v>
      </c>
    </row>
    <row r="2373" spans="4:11">
      <c r="D2373" s="158">
        <v>178069</v>
      </c>
      <c r="E2373" s="158">
        <v>10759</v>
      </c>
      <c r="F2373" s="158">
        <v>2201</v>
      </c>
      <c r="I2373" s="158">
        <v>0</v>
      </c>
      <c r="J2373" s="158">
        <v>0</v>
      </c>
      <c r="K2373" s="158" t="s">
        <v>235</v>
      </c>
    </row>
    <row r="2374" spans="4:11">
      <c r="D2374" s="158">
        <v>178071</v>
      </c>
      <c r="E2374" s="158">
        <v>10778</v>
      </c>
      <c r="F2374" s="158">
        <v>2201</v>
      </c>
      <c r="I2374" s="158">
        <v>0</v>
      </c>
      <c r="J2374" s="158">
        <v>0</v>
      </c>
      <c r="K2374" s="158" t="s">
        <v>235</v>
      </c>
    </row>
    <row r="2375" spans="4:11">
      <c r="D2375" s="158">
        <v>178072</v>
      </c>
      <c r="E2375" s="158">
        <v>10768</v>
      </c>
      <c r="F2375" s="158">
        <v>2028</v>
      </c>
      <c r="G2375" s="158">
        <v>0.25</v>
      </c>
      <c r="I2375" s="158">
        <v>0</v>
      </c>
      <c r="J2375" s="158">
        <v>0</v>
      </c>
      <c r="K2375" s="158" t="s">
        <v>235</v>
      </c>
    </row>
    <row r="2376" spans="4:11">
      <c r="D2376" s="158">
        <v>178074</v>
      </c>
      <c r="E2376" s="158">
        <v>10768</v>
      </c>
      <c r="F2376" s="158">
        <v>2201</v>
      </c>
      <c r="I2376" s="158">
        <v>0</v>
      </c>
      <c r="J2376" s="158">
        <v>0</v>
      </c>
      <c r="K2376" s="158" t="s">
        <v>235</v>
      </c>
    </row>
    <row r="2377" spans="4:11">
      <c r="D2377" s="158">
        <v>178075</v>
      </c>
      <c r="E2377" s="158">
        <v>10758</v>
      </c>
      <c r="F2377" s="158">
        <v>2201</v>
      </c>
      <c r="I2377" s="158">
        <v>0</v>
      </c>
      <c r="J2377" s="158">
        <v>0</v>
      </c>
      <c r="K2377" s="158" t="s">
        <v>235</v>
      </c>
    </row>
    <row r="2378" spans="4:11">
      <c r="D2378" s="158">
        <v>178076</v>
      </c>
      <c r="E2378" s="158">
        <v>10759</v>
      </c>
      <c r="F2378" s="158">
        <v>2201</v>
      </c>
      <c r="I2378" s="158">
        <v>1.5</v>
      </c>
      <c r="J2378" s="158">
        <v>1.5</v>
      </c>
      <c r="K2378" s="158" t="s">
        <v>235</v>
      </c>
    </row>
    <row r="2379" spans="4:11">
      <c r="D2379" s="158">
        <v>178080</v>
      </c>
      <c r="E2379" s="158">
        <v>10738</v>
      </c>
      <c r="F2379" s="158">
        <v>2028</v>
      </c>
      <c r="G2379" s="158">
        <v>0</v>
      </c>
      <c r="H2379" s="158">
        <v>0.25</v>
      </c>
      <c r="I2379" s="158">
        <v>0</v>
      </c>
      <c r="J2379" s="158">
        <v>0.25</v>
      </c>
      <c r="K2379" s="158" t="s">
        <v>235</v>
      </c>
    </row>
    <row r="2380" spans="4:11">
      <c r="D2380" s="158">
        <v>178081</v>
      </c>
      <c r="E2380" s="158">
        <v>10738</v>
      </c>
      <c r="F2380" s="158">
        <v>2201</v>
      </c>
      <c r="G2380" s="158">
        <v>2.5</v>
      </c>
      <c r="I2380" s="158">
        <v>0</v>
      </c>
      <c r="J2380" s="158">
        <v>0</v>
      </c>
      <c r="K2380" s="158" t="s">
        <v>235</v>
      </c>
    </row>
    <row r="2381" spans="4:11">
      <c r="D2381" s="158">
        <v>178085</v>
      </c>
      <c r="E2381" s="158">
        <v>10733</v>
      </c>
      <c r="F2381" s="158">
        <v>2201</v>
      </c>
      <c r="I2381" s="158">
        <v>0</v>
      </c>
      <c r="J2381" s="158">
        <v>0</v>
      </c>
      <c r="K2381" s="158" t="s">
        <v>235</v>
      </c>
    </row>
    <row r="2382" spans="4:11">
      <c r="D2382" s="158">
        <v>178097</v>
      </c>
      <c r="E2382" s="158">
        <v>10639</v>
      </c>
      <c r="F2382" s="158">
        <v>2383</v>
      </c>
      <c r="G2382" s="158">
        <v>6</v>
      </c>
      <c r="H2382" s="158">
        <v>4</v>
      </c>
      <c r="I2382" s="158">
        <v>0</v>
      </c>
      <c r="J2382" s="158">
        <v>4</v>
      </c>
      <c r="K2382" s="158" t="s">
        <v>235</v>
      </c>
    </row>
    <row r="2383" spans="4:11">
      <c r="D2383" s="158">
        <v>178099</v>
      </c>
      <c r="E2383" s="158">
        <v>10815</v>
      </c>
      <c r="F2383" s="158">
        <v>2339</v>
      </c>
      <c r="G2383" s="158">
        <v>3</v>
      </c>
      <c r="I2383" s="158">
        <v>0</v>
      </c>
      <c r="J2383" s="158">
        <v>0</v>
      </c>
      <c r="K2383" s="158" t="s">
        <v>235</v>
      </c>
    </row>
    <row r="2384" spans="4:11">
      <c r="D2384" s="158">
        <v>178397</v>
      </c>
      <c r="E2384" s="158">
        <v>11307</v>
      </c>
      <c r="F2384" s="158">
        <v>1120</v>
      </c>
      <c r="G2384" s="158">
        <v>3.5</v>
      </c>
      <c r="H2384" s="158">
        <v>4.5</v>
      </c>
      <c r="I2384" s="158">
        <v>0</v>
      </c>
      <c r="J2384" s="158">
        <v>4.5</v>
      </c>
      <c r="K2384" s="158" t="s">
        <v>236</v>
      </c>
    </row>
    <row r="2385" spans="4:11">
      <c r="D2385" s="158">
        <v>178398</v>
      </c>
      <c r="E2385" s="158">
        <v>11307</v>
      </c>
      <c r="F2385" s="158">
        <v>2266</v>
      </c>
      <c r="G2385" s="158">
        <v>3.4</v>
      </c>
      <c r="H2385" s="158">
        <v>2.5</v>
      </c>
      <c r="I2385" s="158">
        <v>0</v>
      </c>
      <c r="J2385" s="158">
        <v>2.5</v>
      </c>
      <c r="K2385" s="158" t="s">
        <v>236</v>
      </c>
    </row>
    <row r="2386" spans="4:11">
      <c r="D2386" s="158">
        <v>178414</v>
      </c>
      <c r="E2386" s="158">
        <v>11711</v>
      </c>
      <c r="F2386" s="158">
        <v>2123</v>
      </c>
      <c r="I2386" s="158">
        <v>0</v>
      </c>
      <c r="J2386" s="158">
        <v>0</v>
      </c>
      <c r="K2386" s="158" t="s">
        <v>235</v>
      </c>
    </row>
    <row r="2387" spans="4:11">
      <c r="D2387" s="158">
        <v>178415</v>
      </c>
      <c r="E2387" s="158">
        <v>10753</v>
      </c>
      <c r="F2387" s="158">
        <v>2030</v>
      </c>
      <c r="H2387" s="158">
        <v>0</v>
      </c>
      <c r="J2387" s="158">
        <v>0</v>
      </c>
      <c r="K2387" s="158" t="s">
        <v>235</v>
      </c>
    </row>
    <row r="2388" spans="4:11">
      <c r="D2388" s="158">
        <v>178510</v>
      </c>
      <c r="E2388" s="158">
        <v>10020</v>
      </c>
      <c r="F2388" s="158">
        <v>2264</v>
      </c>
      <c r="G2388" s="158">
        <v>5.95</v>
      </c>
      <c r="H2388" s="158">
        <v>5.3</v>
      </c>
      <c r="I2388" s="158">
        <v>0</v>
      </c>
      <c r="J2388" s="158">
        <v>5.3</v>
      </c>
      <c r="K2388" s="158" t="s">
        <v>238</v>
      </c>
    </row>
    <row r="2389" spans="4:11">
      <c r="D2389" s="158">
        <v>178512</v>
      </c>
      <c r="E2389" s="158">
        <v>10020</v>
      </c>
      <c r="F2389" s="158">
        <v>1667</v>
      </c>
      <c r="G2389" s="158">
        <v>0.6</v>
      </c>
      <c r="H2389" s="158">
        <v>0.55000000000000004</v>
      </c>
      <c r="I2389" s="158">
        <v>0</v>
      </c>
      <c r="J2389" s="158">
        <v>0.55000000000000004</v>
      </c>
      <c r="K2389" s="158" t="s">
        <v>238</v>
      </c>
    </row>
    <row r="2390" spans="4:11">
      <c r="D2390" s="158">
        <v>178513</v>
      </c>
      <c r="E2390" s="158">
        <v>10020</v>
      </c>
      <c r="F2390" s="158">
        <v>402</v>
      </c>
      <c r="G2390" s="158">
        <v>0.4</v>
      </c>
      <c r="I2390" s="158">
        <v>0</v>
      </c>
      <c r="J2390" s="158">
        <v>0</v>
      </c>
      <c r="K2390" s="158" t="s">
        <v>238</v>
      </c>
    </row>
    <row r="2391" spans="4:11">
      <c r="D2391" s="158">
        <v>178525</v>
      </c>
      <c r="E2391" s="158">
        <v>11731</v>
      </c>
      <c r="F2391" s="158">
        <v>2184</v>
      </c>
      <c r="G2391" s="158">
        <v>6.8</v>
      </c>
      <c r="I2391" s="158">
        <v>0</v>
      </c>
      <c r="J2391" s="158">
        <v>0</v>
      </c>
      <c r="K2391" s="158" t="s">
        <v>235</v>
      </c>
    </row>
    <row r="2392" spans="4:11">
      <c r="D2392" s="158">
        <v>178527</v>
      </c>
      <c r="E2392" s="158">
        <v>11731</v>
      </c>
      <c r="F2392" s="158">
        <v>2184</v>
      </c>
      <c r="G2392" s="158">
        <v>3.5</v>
      </c>
      <c r="H2392" s="158">
        <v>5.5</v>
      </c>
      <c r="I2392" s="158">
        <v>0</v>
      </c>
      <c r="J2392" s="158">
        <v>5.5</v>
      </c>
      <c r="K2392" s="158" t="s">
        <v>235</v>
      </c>
    </row>
    <row r="2393" spans="4:11">
      <c r="D2393" s="158">
        <v>178528</v>
      </c>
      <c r="E2393" s="158">
        <v>11951</v>
      </c>
      <c r="F2393" s="158">
        <v>2184</v>
      </c>
      <c r="G2393" s="158">
        <v>18.149999999999999</v>
      </c>
      <c r="H2393" s="158">
        <v>11.5</v>
      </c>
      <c r="I2393" s="158">
        <v>0</v>
      </c>
      <c r="J2393" s="158">
        <v>11.5</v>
      </c>
      <c r="K2393" s="158" t="s">
        <v>235</v>
      </c>
    </row>
    <row r="2394" spans="4:11">
      <c r="D2394" s="158">
        <v>178529</v>
      </c>
      <c r="E2394" s="158">
        <v>11951</v>
      </c>
      <c r="F2394" s="158">
        <v>2184</v>
      </c>
      <c r="G2394" s="158">
        <v>8.75</v>
      </c>
      <c r="H2394" s="158">
        <v>8.25</v>
      </c>
      <c r="I2394" s="158">
        <v>0</v>
      </c>
      <c r="J2394" s="158">
        <v>8.25</v>
      </c>
      <c r="K2394" s="158" t="s">
        <v>235</v>
      </c>
    </row>
    <row r="2395" spans="4:11">
      <c r="D2395" s="158">
        <v>178531</v>
      </c>
      <c r="E2395" s="158">
        <v>10020</v>
      </c>
      <c r="F2395" s="158">
        <v>1667</v>
      </c>
      <c r="G2395" s="158">
        <v>5.75</v>
      </c>
      <c r="H2395" s="158">
        <v>5.2</v>
      </c>
      <c r="I2395" s="158">
        <v>0</v>
      </c>
      <c r="J2395" s="158">
        <v>5.2</v>
      </c>
      <c r="K2395" s="158" t="s">
        <v>238</v>
      </c>
    </row>
    <row r="2396" spans="4:11">
      <c r="D2396" s="158">
        <v>178533</v>
      </c>
      <c r="E2396" s="158">
        <v>10020</v>
      </c>
      <c r="F2396" s="158">
        <v>229</v>
      </c>
      <c r="G2396" s="158">
        <v>0.6</v>
      </c>
      <c r="H2396" s="158">
        <v>0.6</v>
      </c>
      <c r="I2396" s="158">
        <v>0</v>
      </c>
      <c r="J2396" s="158">
        <v>0.6</v>
      </c>
      <c r="K2396" s="158" t="s">
        <v>238</v>
      </c>
    </row>
    <row r="2397" spans="4:11">
      <c r="D2397" s="158">
        <v>178534</v>
      </c>
      <c r="E2397" s="158">
        <v>10020</v>
      </c>
      <c r="F2397" s="158">
        <v>402</v>
      </c>
      <c r="G2397" s="158">
        <v>0.3</v>
      </c>
      <c r="H2397" s="158">
        <v>0.5</v>
      </c>
      <c r="I2397" s="158">
        <v>0</v>
      </c>
      <c r="J2397" s="158">
        <v>0.5</v>
      </c>
      <c r="K2397" s="158" t="s">
        <v>238</v>
      </c>
    </row>
    <row r="2398" spans="4:11">
      <c r="D2398" s="158">
        <v>178550</v>
      </c>
      <c r="E2398" s="158">
        <v>11747</v>
      </c>
      <c r="F2398" s="158">
        <v>2188</v>
      </c>
      <c r="G2398" s="158">
        <v>0.5</v>
      </c>
      <c r="H2398" s="158">
        <v>0.25</v>
      </c>
      <c r="I2398" s="158">
        <v>0</v>
      </c>
      <c r="J2398" s="158">
        <v>0.25</v>
      </c>
      <c r="K2398" s="158" t="s">
        <v>235</v>
      </c>
    </row>
    <row r="2399" spans="4:11">
      <c r="D2399" s="158">
        <v>178551</v>
      </c>
      <c r="E2399" s="158">
        <v>11747</v>
      </c>
      <c r="F2399" s="158">
        <v>2188</v>
      </c>
      <c r="G2399" s="158">
        <v>1</v>
      </c>
      <c r="H2399" s="158">
        <v>2.5</v>
      </c>
      <c r="I2399" s="158">
        <v>0</v>
      </c>
      <c r="J2399" s="158">
        <v>2.5</v>
      </c>
      <c r="K2399" s="158" t="s">
        <v>235</v>
      </c>
    </row>
    <row r="2400" spans="4:11">
      <c r="D2400" s="158">
        <v>178552</v>
      </c>
      <c r="E2400" s="158">
        <v>11747</v>
      </c>
      <c r="F2400" s="158">
        <v>2188</v>
      </c>
      <c r="G2400" s="158">
        <v>3</v>
      </c>
      <c r="H2400" s="158">
        <v>3</v>
      </c>
      <c r="I2400" s="158">
        <v>0</v>
      </c>
      <c r="J2400" s="158">
        <v>3</v>
      </c>
      <c r="K2400" s="158" t="s">
        <v>235</v>
      </c>
    </row>
    <row r="2401" spans="4:11">
      <c r="D2401" s="158">
        <v>178553</v>
      </c>
      <c r="E2401" s="158">
        <v>11747</v>
      </c>
      <c r="F2401" s="158">
        <v>2188</v>
      </c>
      <c r="G2401" s="158">
        <v>2.5</v>
      </c>
      <c r="H2401" s="158">
        <v>3</v>
      </c>
      <c r="I2401" s="158">
        <v>0</v>
      </c>
      <c r="J2401" s="158">
        <v>3</v>
      </c>
      <c r="K2401" s="158" t="s">
        <v>235</v>
      </c>
    </row>
    <row r="2402" spans="4:11">
      <c r="D2402" s="158">
        <v>178555</v>
      </c>
      <c r="E2402" s="158">
        <v>11780</v>
      </c>
      <c r="F2402" s="158">
        <v>2184</v>
      </c>
      <c r="G2402" s="158">
        <v>3.25</v>
      </c>
      <c r="H2402" s="158">
        <v>3.75</v>
      </c>
      <c r="I2402" s="158">
        <v>0</v>
      </c>
      <c r="J2402" s="158">
        <v>3.75</v>
      </c>
      <c r="K2402" s="158" t="s">
        <v>235</v>
      </c>
    </row>
    <row r="2403" spans="4:11">
      <c r="D2403" s="158">
        <v>178566</v>
      </c>
      <c r="E2403" s="158">
        <v>11307</v>
      </c>
      <c r="F2403" s="158">
        <v>2135</v>
      </c>
      <c r="G2403" s="158">
        <v>9</v>
      </c>
      <c r="H2403" s="158">
        <v>5</v>
      </c>
      <c r="I2403" s="158">
        <v>3</v>
      </c>
      <c r="J2403" s="158">
        <v>8</v>
      </c>
      <c r="K2403" s="158" t="s">
        <v>236</v>
      </c>
    </row>
    <row r="2404" spans="4:11">
      <c r="D2404" s="158">
        <v>178567</v>
      </c>
      <c r="E2404" s="158">
        <v>11307</v>
      </c>
      <c r="F2404" s="158">
        <v>1120</v>
      </c>
      <c r="G2404" s="158">
        <v>6.7</v>
      </c>
      <c r="H2404" s="158">
        <v>7.45</v>
      </c>
      <c r="I2404" s="158">
        <v>0</v>
      </c>
      <c r="J2404" s="158">
        <v>7.45</v>
      </c>
      <c r="K2404" s="158" t="s">
        <v>236</v>
      </c>
    </row>
    <row r="2405" spans="4:11">
      <c r="D2405" s="158">
        <v>178568</v>
      </c>
      <c r="E2405" s="158">
        <v>11307</v>
      </c>
      <c r="F2405" s="158">
        <v>2266</v>
      </c>
      <c r="G2405" s="158">
        <v>7</v>
      </c>
      <c r="H2405" s="158">
        <v>4.25</v>
      </c>
      <c r="I2405" s="158">
        <v>0.75</v>
      </c>
      <c r="J2405" s="158">
        <v>5</v>
      </c>
      <c r="K2405" s="158" t="s">
        <v>236</v>
      </c>
    </row>
    <row r="2406" spans="4:11">
      <c r="D2406" s="158">
        <v>178594</v>
      </c>
      <c r="E2406" s="158">
        <v>10639</v>
      </c>
      <c r="F2406" s="158">
        <v>2122</v>
      </c>
      <c r="H2406" s="158">
        <v>4.25</v>
      </c>
      <c r="J2406" s="158">
        <v>4.25</v>
      </c>
      <c r="K2406" s="158" t="s">
        <v>235</v>
      </c>
    </row>
    <row r="2407" spans="4:11">
      <c r="D2407" s="158">
        <v>178598</v>
      </c>
      <c r="E2407" s="158">
        <v>10763</v>
      </c>
      <c r="F2407" s="158">
        <v>828</v>
      </c>
      <c r="H2407" s="158">
        <v>5</v>
      </c>
      <c r="I2407" s="158">
        <v>4</v>
      </c>
      <c r="J2407" s="158">
        <v>9</v>
      </c>
      <c r="K2407" s="158" t="s">
        <v>235</v>
      </c>
    </row>
    <row r="2408" spans="4:11">
      <c r="D2408" s="158">
        <v>178599</v>
      </c>
      <c r="E2408" s="158">
        <v>10763</v>
      </c>
      <c r="F2408" s="158">
        <v>2062</v>
      </c>
      <c r="H2408" s="158">
        <v>4.2</v>
      </c>
      <c r="I2408" s="158">
        <v>1.3</v>
      </c>
      <c r="J2408" s="158">
        <v>5.5</v>
      </c>
      <c r="K2408" s="158" t="s">
        <v>235</v>
      </c>
    </row>
    <row r="2409" spans="4:11">
      <c r="D2409" s="158">
        <v>178600</v>
      </c>
      <c r="E2409" s="158">
        <v>10763</v>
      </c>
      <c r="F2409" s="158">
        <v>195</v>
      </c>
      <c r="K2409" s="158" t="s">
        <v>235</v>
      </c>
    </row>
    <row r="2410" spans="4:11">
      <c r="D2410" s="158">
        <v>178601</v>
      </c>
      <c r="E2410" s="158">
        <v>11898</v>
      </c>
      <c r="F2410" s="158">
        <v>195</v>
      </c>
      <c r="K2410" s="158" t="s">
        <v>235</v>
      </c>
    </row>
    <row r="2411" spans="4:11">
      <c r="D2411" s="158">
        <v>178602</v>
      </c>
      <c r="E2411" s="158">
        <v>11898</v>
      </c>
      <c r="F2411" s="158">
        <v>828</v>
      </c>
      <c r="H2411" s="158">
        <v>0.5</v>
      </c>
      <c r="J2411" s="158">
        <v>0.5</v>
      </c>
      <c r="K2411" s="158" t="s">
        <v>235</v>
      </c>
    </row>
    <row r="2412" spans="4:11">
      <c r="D2412" s="158">
        <v>178603</v>
      </c>
      <c r="E2412" s="158">
        <v>11213</v>
      </c>
      <c r="F2412" s="158">
        <v>195</v>
      </c>
      <c r="K2412" s="158" t="s">
        <v>235</v>
      </c>
    </row>
    <row r="2413" spans="4:11">
      <c r="D2413" s="158">
        <v>178604</v>
      </c>
      <c r="E2413" s="158">
        <v>11213</v>
      </c>
      <c r="F2413" s="158">
        <v>2120</v>
      </c>
      <c r="H2413" s="158">
        <v>0.5</v>
      </c>
      <c r="J2413" s="158">
        <v>0.5</v>
      </c>
      <c r="K2413" s="158" t="s">
        <v>235</v>
      </c>
    </row>
    <row r="2414" spans="4:11">
      <c r="D2414" s="158">
        <v>178613</v>
      </c>
      <c r="E2414" s="158">
        <v>10816</v>
      </c>
      <c r="F2414" s="158">
        <v>2221</v>
      </c>
      <c r="G2414" s="158">
        <v>8.3000000000000007</v>
      </c>
      <c r="H2414" s="158">
        <v>7.8</v>
      </c>
      <c r="I2414" s="158">
        <v>0</v>
      </c>
      <c r="J2414" s="158">
        <v>7.8</v>
      </c>
      <c r="K2414" s="158" t="s">
        <v>235</v>
      </c>
    </row>
    <row r="2415" spans="4:11">
      <c r="D2415" s="158">
        <v>178623</v>
      </c>
      <c r="E2415" s="158">
        <v>11731</v>
      </c>
      <c r="F2415" s="158">
        <v>2184</v>
      </c>
      <c r="G2415" s="158">
        <v>1.45</v>
      </c>
      <c r="H2415" s="158">
        <v>1</v>
      </c>
      <c r="I2415" s="158">
        <v>0</v>
      </c>
      <c r="J2415" s="158">
        <v>1</v>
      </c>
      <c r="K2415" s="158" t="s">
        <v>235</v>
      </c>
    </row>
    <row r="2416" spans="4:11">
      <c r="D2416" s="158">
        <v>178624</v>
      </c>
      <c r="E2416" s="158">
        <v>10816</v>
      </c>
      <c r="F2416" s="158">
        <v>881</v>
      </c>
      <c r="K2416" s="158" t="s">
        <v>235</v>
      </c>
    </row>
    <row r="2417" spans="4:11">
      <c r="D2417" s="158">
        <v>178658</v>
      </c>
      <c r="E2417" s="158">
        <v>10693</v>
      </c>
      <c r="F2417" s="158">
        <v>1795</v>
      </c>
      <c r="G2417" s="158">
        <v>10</v>
      </c>
      <c r="H2417" s="158">
        <v>5.15</v>
      </c>
      <c r="I2417" s="158">
        <v>6</v>
      </c>
      <c r="J2417" s="158">
        <v>11.15</v>
      </c>
      <c r="K2417" s="158" t="s">
        <v>235</v>
      </c>
    </row>
    <row r="2418" spans="4:11">
      <c r="D2418" s="158">
        <v>178660</v>
      </c>
      <c r="E2418" s="158">
        <v>11308</v>
      </c>
      <c r="F2418" s="158">
        <v>1120</v>
      </c>
      <c r="G2418" s="158">
        <v>5</v>
      </c>
      <c r="H2418" s="158">
        <v>1.25</v>
      </c>
      <c r="I2418" s="158">
        <v>8.4499999999999993</v>
      </c>
      <c r="J2418" s="158">
        <v>9.6999999999999993</v>
      </c>
      <c r="K2418" s="158" t="s">
        <v>236</v>
      </c>
    </row>
    <row r="2419" spans="4:11">
      <c r="D2419" s="158">
        <v>178661</v>
      </c>
      <c r="E2419" s="158">
        <v>11307</v>
      </c>
      <c r="F2419" s="158">
        <v>2266</v>
      </c>
      <c r="G2419" s="158">
        <v>3</v>
      </c>
      <c r="H2419" s="158">
        <v>3</v>
      </c>
      <c r="I2419" s="158">
        <v>0</v>
      </c>
      <c r="J2419" s="158">
        <v>3</v>
      </c>
      <c r="K2419" s="158" t="s">
        <v>236</v>
      </c>
    </row>
    <row r="2420" spans="4:11">
      <c r="D2420" s="158">
        <v>178662</v>
      </c>
      <c r="E2420" s="158">
        <v>11307</v>
      </c>
      <c r="F2420" s="158">
        <v>1120</v>
      </c>
      <c r="G2420" s="158">
        <v>3</v>
      </c>
      <c r="H2420" s="158">
        <v>3</v>
      </c>
      <c r="I2420" s="158">
        <v>0</v>
      </c>
      <c r="J2420" s="158">
        <v>3</v>
      </c>
      <c r="K2420" s="158" t="s">
        <v>236</v>
      </c>
    </row>
    <row r="2421" spans="4:11">
      <c r="D2421" s="158">
        <v>178663</v>
      </c>
      <c r="E2421" s="158">
        <v>11307</v>
      </c>
      <c r="F2421" s="158">
        <v>1120</v>
      </c>
      <c r="G2421" s="158">
        <v>2</v>
      </c>
      <c r="H2421" s="158">
        <v>2</v>
      </c>
      <c r="I2421" s="158">
        <v>0</v>
      </c>
      <c r="J2421" s="158">
        <v>2</v>
      </c>
      <c r="K2421" s="158" t="s">
        <v>236</v>
      </c>
    </row>
    <row r="2422" spans="4:11">
      <c r="D2422" s="158">
        <v>178664</v>
      </c>
      <c r="E2422" s="158">
        <v>11307</v>
      </c>
      <c r="F2422" s="158">
        <v>2266</v>
      </c>
      <c r="G2422" s="158">
        <v>2</v>
      </c>
      <c r="H2422" s="158">
        <v>2</v>
      </c>
      <c r="I2422" s="158">
        <v>0</v>
      </c>
      <c r="J2422" s="158">
        <v>2</v>
      </c>
      <c r="K2422" s="158" t="s">
        <v>236</v>
      </c>
    </row>
    <row r="2423" spans="4:11">
      <c r="D2423" s="158">
        <v>178665</v>
      </c>
      <c r="E2423" s="158">
        <v>11307</v>
      </c>
      <c r="F2423" s="158">
        <v>2266</v>
      </c>
      <c r="G2423" s="158">
        <v>3</v>
      </c>
      <c r="H2423" s="158">
        <v>3</v>
      </c>
      <c r="I2423" s="158">
        <v>0</v>
      </c>
      <c r="J2423" s="158">
        <v>3</v>
      </c>
      <c r="K2423" s="158" t="s">
        <v>236</v>
      </c>
    </row>
    <row r="2424" spans="4:11">
      <c r="D2424" s="158">
        <v>178666</v>
      </c>
      <c r="E2424" s="158">
        <v>11307</v>
      </c>
      <c r="F2424" s="158">
        <v>1120</v>
      </c>
      <c r="G2424" s="158">
        <v>3</v>
      </c>
      <c r="H2424" s="158">
        <v>3</v>
      </c>
      <c r="I2424" s="158">
        <v>0</v>
      </c>
      <c r="J2424" s="158">
        <v>3</v>
      </c>
      <c r="K2424" s="158" t="s">
        <v>236</v>
      </c>
    </row>
    <row r="2425" spans="4:11">
      <c r="D2425" s="158">
        <v>178667</v>
      </c>
      <c r="E2425" s="158">
        <v>11307</v>
      </c>
      <c r="F2425" s="158">
        <v>1120</v>
      </c>
      <c r="G2425" s="158">
        <v>2.4</v>
      </c>
      <c r="H2425" s="158">
        <v>2.4</v>
      </c>
      <c r="I2425" s="158">
        <v>0</v>
      </c>
      <c r="J2425" s="158">
        <v>2.4</v>
      </c>
      <c r="K2425" s="158" t="s">
        <v>236</v>
      </c>
    </row>
    <row r="2426" spans="4:11">
      <c r="D2426" s="158">
        <v>178668</v>
      </c>
      <c r="E2426" s="158">
        <v>11307</v>
      </c>
      <c r="F2426" s="158">
        <v>2266</v>
      </c>
      <c r="G2426" s="158">
        <v>2.4</v>
      </c>
      <c r="H2426" s="158">
        <v>2.5</v>
      </c>
      <c r="I2426" s="158">
        <v>0</v>
      </c>
      <c r="J2426" s="158">
        <v>2.5</v>
      </c>
      <c r="K2426" s="158" t="s">
        <v>236</v>
      </c>
    </row>
    <row r="2427" spans="4:11">
      <c r="D2427" s="158">
        <v>178669</v>
      </c>
      <c r="E2427" s="158">
        <v>10753</v>
      </c>
      <c r="F2427" s="158">
        <v>2324</v>
      </c>
      <c r="H2427" s="158">
        <v>6.75</v>
      </c>
      <c r="I2427" s="158">
        <v>0</v>
      </c>
      <c r="J2427" s="158">
        <v>6.75</v>
      </c>
      <c r="K2427" s="158" t="s">
        <v>235</v>
      </c>
    </row>
    <row r="2428" spans="4:11">
      <c r="D2428" s="158">
        <v>178773</v>
      </c>
      <c r="E2428" s="158">
        <v>11214</v>
      </c>
      <c r="F2428" s="158">
        <v>222</v>
      </c>
      <c r="H2428" s="158">
        <v>0.5</v>
      </c>
      <c r="J2428" s="158">
        <v>0.5</v>
      </c>
      <c r="K2428" s="158" t="s">
        <v>235</v>
      </c>
    </row>
    <row r="2429" spans="4:11">
      <c r="D2429" s="158">
        <v>178779</v>
      </c>
      <c r="E2429" s="158">
        <v>10758</v>
      </c>
      <c r="F2429" s="158">
        <v>2075</v>
      </c>
      <c r="H2429" s="158">
        <v>0.5</v>
      </c>
      <c r="J2429" s="158">
        <v>0.5</v>
      </c>
      <c r="K2429" s="158" t="s">
        <v>235</v>
      </c>
    </row>
    <row r="2430" spans="4:11">
      <c r="D2430" s="158">
        <v>178931</v>
      </c>
      <c r="E2430" s="158">
        <v>10763</v>
      </c>
      <c r="F2430" s="158">
        <v>2177</v>
      </c>
      <c r="I2430" s="158">
        <v>0</v>
      </c>
      <c r="J2430" s="158">
        <v>0</v>
      </c>
      <c r="K2430" s="158" t="s">
        <v>235</v>
      </c>
    </row>
    <row r="2431" spans="4:11">
      <c r="D2431" s="158">
        <v>178932</v>
      </c>
      <c r="E2431" s="158">
        <v>11044</v>
      </c>
      <c r="F2431" s="158">
        <v>2226</v>
      </c>
      <c r="G2431" s="158">
        <v>12.4</v>
      </c>
      <c r="I2431" s="158">
        <v>0</v>
      </c>
      <c r="J2431" s="158">
        <v>0</v>
      </c>
      <c r="K2431" s="158" t="s">
        <v>235</v>
      </c>
    </row>
    <row r="2432" spans="4:11">
      <c r="D2432" s="158">
        <v>178933</v>
      </c>
      <c r="E2432" s="158">
        <v>11044</v>
      </c>
      <c r="F2432" s="158">
        <v>2226</v>
      </c>
      <c r="G2432" s="158">
        <v>6.2</v>
      </c>
      <c r="K2432" s="158" t="s">
        <v>235</v>
      </c>
    </row>
    <row r="2433" spans="4:11">
      <c r="D2433" s="158">
        <v>178934</v>
      </c>
      <c r="E2433" s="158">
        <v>11044</v>
      </c>
      <c r="F2433" s="158">
        <v>2226</v>
      </c>
      <c r="G2433" s="158">
        <v>6.2</v>
      </c>
      <c r="K2433" s="158" t="s">
        <v>235</v>
      </c>
    </row>
    <row r="2434" spans="4:11">
      <c r="D2434" s="158">
        <v>178936</v>
      </c>
      <c r="E2434" s="158">
        <v>10816</v>
      </c>
      <c r="F2434" s="158">
        <v>2221</v>
      </c>
      <c r="H2434" s="158">
        <v>0.25</v>
      </c>
      <c r="I2434" s="158">
        <v>0</v>
      </c>
      <c r="J2434" s="158">
        <v>0.25</v>
      </c>
      <c r="K2434" s="158" t="s">
        <v>235</v>
      </c>
    </row>
    <row r="2435" spans="4:11">
      <c r="D2435" s="158">
        <v>178938</v>
      </c>
      <c r="E2435" s="158">
        <v>10816</v>
      </c>
      <c r="F2435" s="158">
        <v>2176</v>
      </c>
      <c r="I2435" s="158">
        <v>0</v>
      </c>
      <c r="J2435" s="158">
        <v>0</v>
      </c>
      <c r="K2435" s="158" t="s">
        <v>235</v>
      </c>
    </row>
    <row r="2436" spans="4:11">
      <c r="D2436" s="158">
        <v>179040</v>
      </c>
      <c r="E2436" s="158">
        <v>11307</v>
      </c>
      <c r="F2436" s="158">
        <v>2200</v>
      </c>
      <c r="G2436" s="158">
        <v>5</v>
      </c>
      <c r="K2436" s="158" t="s">
        <v>236</v>
      </c>
    </row>
    <row r="2437" spans="4:11">
      <c r="D2437" s="158">
        <v>179041</v>
      </c>
      <c r="E2437" s="158">
        <v>11309</v>
      </c>
      <c r="F2437" s="158">
        <v>1120</v>
      </c>
      <c r="G2437" s="158">
        <v>6.7</v>
      </c>
      <c r="H2437" s="158">
        <v>7.95</v>
      </c>
      <c r="I2437" s="158">
        <v>0</v>
      </c>
      <c r="J2437" s="158">
        <v>7.95</v>
      </c>
      <c r="K2437" s="158" t="s">
        <v>236</v>
      </c>
    </row>
    <row r="2438" spans="4:11">
      <c r="D2438" s="158">
        <v>179042</v>
      </c>
      <c r="E2438" s="158">
        <v>11309</v>
      </c>
      <c r="F2438" s="158">
        <v>2200</v>
      </c>
      <c r="G2438" s="158">
        <v>5</v>
      </c>
      <c r="K2438" s="158" t="s">
        <v>236</v>
      </c>
    </row>
    <row r="2439" spans="4:11">
      <c r="D2439" s="158">
        <v>179043</v>
      </c>
      <c r="E2439" s="158">
        <v>11308</v>
      </c>
      <c r="F2439" s="158">
        <v>2200</v>
      </c>
      <c r="G2439" s="158">
        <v>5</v>
      </c>
      <c r="K2439" s="158" t="s">
        <v>236</v>
      </c>
    </row>
    <row r="2440" spans="4:11">
      <c r="D2440" s="158">
        <v>179076</v>
      </c>
      <c r="E2440" s="158">
        <v>10103</v>
      </c>
      <c r="F2440" s="158">
        <v>2001</v>
      </c>
      <c r="K2440" s="158" t="s">
        <v>237</v>
      </c>
    </row>
    <row r="2441" spans="4:11">
      <c r="D2441" s="158">
        <v>179085</v>
      </c>
      <c r="E2441" s="158">
        <v>10103</v>
      </c>
      <c r="F2441" s="158">
        <v>2001</v>
      </c>
      <c r="K2441" s="158" t="s">
        <v>237</v>
      </c>
    </row>
    <row r="2442" spans="4:11">
      <c r="D2442" s="158">
        <v>179126</v>
      </c>
      <c r="E2442" s="158">
        <v>10753</v>
      </c>
      <c r="F2442" s="158">
        <v>2030</v>
      </c>
      <c r="H2442" s="158">
        <v>0.6</v>
      </c>
      <c r="J2442" s="158">
        <v>0.6</v>
      </c>
      <c r="K2442" s="158" t="s">
        <v>235</v>
      </c>
    </row>
    <row r="2443" spans="4:11">
      <c r="D2443" s="158">
        <v>179133</v>
      </c>
      <c r="E2443" s="158">
        <v>10010</v>
      </c>
      <c r="F2443" s="158">
        <v>2405</v>
      </c>
      <c r="H2443" s="158">
        <v>0.45</v>
      </c>
      <c r="J2443" s="158">
        <v>0.45</v>
      </c>
      <c r="K2443" s="158" t="s">
        <v>238</v>
      </c>
    </row>
    <row r="2444" spans="4:11">
      <c r="D2444" s="158">
        <v>179134</v>
      </c>
      <c r="E2444" s="158">
        <v>10011</v>
      </c>
      <c r="F2444" s="158">
        <v>2405</v>
      </c>
      <c r="H2444" s="158">
        <v>17.149999999999999</v>
      </c>
      <c r="J2444" s="158">
        <v>17.149999999999999</v>
      </c>
      <c r="K2444" s="158" t="s">
        <v>238</v>
      </c>
    </row>
    <row r="2445" spans="4:11">
      <c r="D2445" s="158">
        <v>179135</v>
      </c>
      <c r="E2445" s="158">
        <v>10011</v>
      </c>
      <c r="F2445" s="158">
        <v>2359</v>
      </c>
      <c r="K2445" s="158" t="s">
        <v>238</v>
      </c>
    </row>
    <row r="2446" spans="4:11">
      <c r="D2446" s="158">
        <v>179136</v>
      </c>
      <c r="E2446" s="158">
        <v>10011</v>
      </c>
      <c r="F2446" s="158">
        <v>2405</v>
      </c>
      <c r="K2446" s="158" t="s">
        <v>238</v>
      </c>
    </row>
    <row r="2447" spans="4:11">
      <c r="D2447" s="158">
        <v>179137</v>
      </c>
      <c r="E2447" s="158">
        <v>10011</v>
      </c>
      <c r="F2447" s="158">
        <v>2405</v>
      </c>
      <c r="K2447" s="158" t="s">
        <v>238</v>
      </c>
    </row>
    <row r="2448" spans="4:11">
      <c r="D2448" s="158">
        <v>179138</v>
      </c>
      <c r="E2448" s="158">
        <v>10012</v>
      </c>
      <c r="F2448" s="158">
        <v>2405</v>
      </c>
      <c r="H2448" s="158">
        <v>14.55</v>
      </c>
      <c r="J2448" s="158">
        <v>14.55</v>
      </c>
      <c r="K2448" s="158" t="s">
        <v>238</v>
      </c>
    </row>
    <row r="2449" spans="4:11">
      <c r="D2449" s="158">
        <v>179139</v>
      </c>
      <c r="E2449" s="158">
        <v>10013</v>
      </c>
      <c r="F2449" s="158">
        <v>2405</v>
      </c>
      <c r="H2449" s="158">
        <v>0.5</v>
      </c>
      <c r="J2449" s="158">
        <v>0.5</v>
      </c>
      <c r="K2449" s="158" t="s">
        <v>238</v>
      </c>
    </row>
    <row r="2450" spans="4:11">
      <c r="D2450" s="158">
        <v>179140</v>
      </c>
      <c r="E2450" s="158">
        <v>10014</v>
      </c>
      <c r="F2450" s="158">
        <v>2405</v>
      </c>
      <c r="H2450" s="158">
        <v>5.85</v>
      </c>
      <c r="J2450" s="158">
        <v>5.85</v>
      </c>
      <c r="K2450" s="158" t="s">
        <v>238</v>
      </c>
    </row>
    <row r="2451" spans="4:11">
      <c r="D2451" s="158">
        <v>179141</v>
      </c>
      <c r="E2451" s="158">
        <v>10014</v>
      </c>
      <c r="F2451" s="158">
        <v>2405</v>
      </c>
      <c r="H2451" s="158">
        <v>3.5</v>
      </c>
      <c r="J2451" s="158">
        <v>3.5</v>
      </c>
      <c r="K2451" s="158" t="s">
        <v>238</v>
      </c>
    </row>
    <row r="2452" spans="4:11">
      <c r="D2452" s="158">
        <v>179142</v>
      </c>
      <c r="E2452" s="158">
        <v>10015</v>
      </c>
      <c r="F2452" s="158">
        <v>2405</v>
      </c>
      <c r="H2452" s="158">
        <v>4.3</v>
      </c>
      <c r="J2452" s="158">
        <v>4.3</v>
      </c>
      <c r="K2452" s="158" t="s">
        <v>238</v>
      </c>
    </row>
    <row r="2453" spans="4:11">
      <c r="D2453" s="158">
        <v>179143</v>
      </c>
      <c r="E2453" s="158">
        <v>10015</v>
      </c>
      <c r="F2453" s="158">
        <v>2405</v>
      </c>
      <c r="H2453" s="158">
        <v>7.3</v>
      </c>
      <c r="J2453" s="158">
        <v>7.3</v>
      </c>
      <c r="K2453" s="158" t="s">
        <v>238</v>
      </c>
    </row>
    <row r="2454" spans="4:11">
      <c r="D2454" s="158">
        <v>179144</v>
      </c>
      <c r="E2454" s="158">
        <v>10015</v>
      </c>
      <c r="F2454" s="158">
        <v>2405</v>
      </c>
      <c r="H2454" s="158">
        <v>1.95</v>
      </c>
      <c r="J2454" s="158">
        <v>1.95</v>
      </c>
      <c r="K2454" s="158" t="s">
        <v>238</v>
      </c>
    </row>
    <row r="2455" spans="4:11">
      <c r="D2455" s="158">
        <v>179145</v>
      </c>
      <c r="E2455" s="158">
        <v>10015</v>
      </c>
      <c r="F2455" s="158">
        <v>2405</v>
      </c>
      <c r="H2455" s="158">
        <v>2.5499999999999998</v>
      </c>
      <c r="J2455" s="158">
        <v>2.5499999999999998</v>
      </c>
      <c r="K2455" s="158" t="s">
        <v>238</v>
      </c>
    </row>
    <row r="2456" spans="4:11">
      <c r="D2456" s="158">
        <v>179146</v>
      </c>
      <c r="E2456" s="158">
        <v>10019</v>
      </c>
      <c r="F2456" s="158">
        <v>2405</v>
      </c>
      <c r="K2456" s="158" t="s">
        <v>238</v>
      </c>
    </row>
    <row r="2457" spans="4:11">
      <c r="D2457" s="158">
        <v>179311</v>
      </c>
      <c r="E2457" s="158">
        <v>11307</v>
      </c>
      <c r="F2457" s="158">
        <v>2135</v>
      </c>
      <c r="G2457" s="158">
        <v>20.8</v>
      </c>
      <c r="H2457" s="158">
        <v>22.5</v>
      </c>
      <c r="I2457" s="158">
        <v>0</v>
      </c>
      <c r="J2457" s="158">
        <v>22.5</v>
      </c>
      <c r="K2457" s="158" t="s">
        <v>236</v>
      </c>
    </row>
    <row r="2458" spans="4:11">
      <c r="D2458" s="158">
        <v>179312</v>
      </c>
      <c r="E2458" s="158">
        <v>11307</v>
      </c>
      <c r="F2458" s="158">
        <v>2266</v>
      </c>
      <c r="G2458" s="158">
        <v>0</v>
      </c>
      <c r="H2458" s="158">
        <v>4</v>
      </c>
      <c r="I2458" s="158">
        <v>0</v>
      </c>
      <c r="J2458" s="158">
        <v>4</v>
      </c>
      <c r="K2458" s="158" t="s">
        <v>236</v>
      </c>
    </row>
    <row r="2459" spans="4:11">
      <c r="D2459" s="158">
        <v>179324</v>
      </c>
      <c r="E2459" s="158">
        <v>11214</v>
      </c>
      <c r="F2459" s="158">
        <v>2062</v>
      </c>
      <c r="H2459" s="158">
        <v>0.6</v>
      </c>
      <c r="J2459" s="158">
        <v>0.6</v>
      </c>
      <c r="K2459" s="158" t="s">
        <v>235</v>
      </c>
    </row>
    <row r="2460" spans="4:11">
      <c r="D2460" s="158">
        <v>179810</v>
      </c>
      <c r="E2460" s="158">
        <v>11213</v>
      </c>
      <c r="F2460" s="158">
        <v>1014</v>
      </c>
      <c r="H2460" s="158">
        <v>0.7</v>
      </c>
      <c r="J2460" s="158">
        <v>0.7</v>
      </c>
      <c r="K2460" s="158" t="s">
        <v>235</v>
      </c>
    </row>
    <row r="2461" spans="4:11">
      <c r="D2461" s="158">
        <v>179811</v>
      </c>
      <c r="E2461" s="158">
        <v>11214</v>
      </c>
      <c r="F2461" s="158">
        <v>1014</v>
      </c>
      <c r="H2461" s="158">
        <v>0.35</v>
      </c>
      <c r="J2461" s="158">
        <v>0.35</v>
      </c>
      <c r="K2461" s="158" t="s">
        <v>235</v>
      </c>
    </row>
    <row r="2462" spans="4:11">
      <c r="D2462" s="158">
        <v>179812</v>
      </c>
      <c r="E2462" s="158">
        <v>10100</v>
      </c>
      <c r="F2462" s="158">
        <v>229</v>
      </c>
      <c r="G2462" s="158">
        <v>4.5</v>
      </c>
      <c r="H2462" s="158">
        <v>5.4</v>
      </c>
      <c r="I2462" s="158">
        <v>0</v>
      </c>
      <c r="J2462" s="158">
        <v>5.4</v>
      </c>
      <c r="K2462" s="158" t="s">
        <v>237</v>
      </c>
    </row>
    <row r="2463" spans="4:11">
      <c r="D2463" s="158">
        <v>179867</v>
      </c>
      <c r="E2463" s="158">
        <v>11736</v>
      </c>
      <c r="F2463" s="158">
        <v>2142</v>
      </c>
      <c r="G2463" s="158">
        <v>2</v>
      </c>
      <c r="H2463" s="158">
        <v>2</v>
      </c>
      <c r="I2463" s="158">
        <v>0</v>
      </c>
      <c r="J2463" s="158">
        <v>2</v>
      </c>
      <c r="K2463" s="158" t="s">
        <v>235</v>
      </c>
    </row>
    <row r="2464" spans="4:11">
      <c r="D2464" s="158">
        <v>179868</v>
      </c>
      <c r="E2464" s="158">
        <v>11736</v>
      </c>
      <c r="F2464" s="158">
        <v>2142</v>
      </c>
      <c r="G2464" s="158">
        <v>6.5</v>
      </c>
      <c r="H2464" s="158">
        <v>6.5</v>
      </c>
      <c r="I2464" s="158">
        <v>0</v>
      </c>
      <c r="J2464" s="158">
        <v>6.5</v>
      </c>
      <c r="K2464" s="158" t="s">
        <v>235</v>
      </c>
    </row>
    <row r="2465" spans="4:11">
      <c r="D2465" s="158">
        <v>179869</v>
      </c>
      <c r="E2465" s="158">
        <v>11736</v>
      </c>
      <c r="F2465" s="158">
        <v>2142</v>
      </c>
      <c r="G2465" s="158">
        <v>6</v>
      </c>
      <c r="H2465" s="158">
        <v>6</v>
      </c>
      <c r="I2465" s="158">
        <v>0</v>
      </c>
      <c r="J2465" s="158">
        <v>6</v>
      </c>
      <c r="K2465" s="158" t="s">
        <v>235</v>
      </c>
    </row>
    <row r="2466" spans="4:11">
      <c r="D2466" s="158">
        <v>179870</v>
      </c>
      <c r="E2466" s="158">
        <v>11736</v>
      </c>
      <c r="F2466" s="158">
        <v>2142</v>
      </c>
      <c r="G2466" s="158">
        <v>5.6</v>
      </c>
      <c r="H2466" s="158">
        <v>7.5</v>
      </c>
      <c r="I2466" s="158">
        <v>0</v>
      </c>
      <c r="J2466" s="158">
        <v>7.5</v>
      </c>
      <c r="K2466" s="158" t="s">
        <v>235</v>
      </c>
    </row>
    <row r="2467" spans="4:11">
      <c r="D2467" s="158">
        <v>179871</v>
      </c>
      <c r="E2467" s="158">
        <v>10814</v>
      </c>
      <c r="F2467" s="158">
        <v>2339</v>
      </c>
      <c r="H2467" s="158">
        <v>15</v>
      </c>
      <c r="I2467" s="158">
        <v>0</v>
      </c>
      <c r="J2467" s="158">
        <v>15</v>
      </c>
      <c r="K2467" s="158" t="s">
        <v>235</v>
      </c>
    </row>
    <row r="2468" spans="4:11">
      <c r="D2468" s="158">
        <v>179904</v>
      </c>
      <c r="E2468" s="158">
        <v>10708</v>
      </c>
      <c r="F2468" s="158">
        <v>2028</v>
      </c>
      <c r="H2468" s="158">
        <v>0.25</v>
      </c>
      <c r="J2468" s="158">
        <v>0.25</v>
      </c>
      <c r="K2468" s="158" t="s">
        <v>235</v>
      </c>
    </row>
    <row r="2469" spans="4:11">
      <c r="D2469" s="158">
        <v>179973</v>
      </c>
      <c r="E2469" s="158">
        <v>10816</v>
      </c>
      <c r="F2469" s="158">
        <v>2028</v>
      </c>
      <c r="G2469" s="158">
        <v>0</v>
      </c>
      <c r="I2469" s="158">
        <v>0</v>
      </c>
      <c r="J2469" s="158">
        <v>0</v>
      </c>
      <c r="K2469" s="158" t="s">
        <v>235</v>
      </c>
    </row>
    <row r="2470" spans="4:11">
      <c r="D2470" s="158">
        <v>179978</v>
      </c>
      <c r="E2470" s="158">
        <v>11308</v>
      </c>
      <c r="F2470" s="158">
        <v>1120</v>
      </c>
      <c r="H2470" s="158">
        <v>2</v>
      </c>
      <c r="I2470" s="158">
        <v>0</v>
      </c>
      <c r="J2470" s="158">
        <v>2</v>
      </c>
      <c r="K2470" s="158" t="s">
        <v>236</v>
      </c>
    </row>
    <row r="2471" spans="4:11">
      <c r="D2471" s="158">
        <v>179979</v>
      </c>
      <c r="E2471" s="158">
        <v>11214</v>
      </c>
      <c r="F2471" s="158">
        <v>197</v>
      </c>
      <c r="H2471" s="158">
        <v>2.25</v>
      </c>
      <c r="I2471" s="158">
        <v>0</v>
      </c>
      <c r="J2471" s="158">
        <v>2.25</v>
      </c>
      <c r="K2471" s="158" t="s">
        <v>235</v>
      </c>
    </row>
    <row r="2472" spans="4:11">
      <c r="D2472" s="158">
        <v>179995</v>
      </c>
      <c r="E2472" s="158">
        <v>10020</v>
      </c>
      <c r="F2472" s="158">
        <v>2264</v>
      </c>
      <c r="G2472" s="158">
        <v>0.3</v>
      </c>
      <c r="H2472" s="158">
        <v>0.45</v>
      </c>
      <c r="I2472" s="158">
        <v>0</v>
      </c>
      <c r="J2472" s="158">
        <v>0.45</v>
      </c>
      <c r="K2472" s="158" t="s">
        <v>238</v>
      </c>
    </row>
    <row r="2473" spans="4:11">
      <c r="D2473" s="158">
        <v>179996</v>
      </c>
      <c r="E2473" s="158">
        <v>11309</v>
      </c>
      <c r="F2473" s="158">
        <v>881</v>
      </c>
      <c r="K2473" s="158" t="s">
        <v>236</v>
      </c>
    </row>
    <row r="2474" spans="4:11">
      <c r="D2474" s="158">
        <v>179997</v>
      </c>
      <c r="E2474" s="158">
        <v>11307</v>
      </c>
      <c r="F2474" s="158">
        <v>881</v>
      </c>
      <c r="H2474" s="158">
        <v>0</v>
      </c>
      <c r="I2474" s="158">
        <v>0</v>
      </c>
      <c r="J2474" s="158">
        <v>0</v>
      </c>
      <c r="K2474" s="158" t="s">
        <v>236</v>
      </c>
    </row>
    <row r="2475" spans="4:11">
      <c r="D2475" s="158">
        <v>179998</v>
      </c>
      <c r="E2475" s="158">
        <v>11711</v>
      </c>
      <c r="F2475" s="158">
        <v>2176</v>
      </c>
      <c r="G2475" s="158">
        <v>16.600000000000001</v>
      </c>
      <c r="K2475" s="158" t="s">
        <v>235</v>
      </c>
    </row>
    <row r="2476" spans="4:11">
      <c r="D2476" s="158">
        <v>179999</v>
      </c>
      <c r="E2476" s="158">
        <v>11711</v>
      </c>
      <c r="F2476" s="158">
        <v>2176</v>
      </c>
      <c r="G2476" s="158">
        <v>6.2</v>
      </c>
      <c r="K2476" s="158" t="s">
        <v>235</v>
      </c>
    </row>
    <row r="2477" spans="4:11">
      <c r="D2477" s="158">
        <v>180000</v>
      </c>
      <c r="E2477" s="158">
        <v>11711</v>
      </c>
      <c r="F2477" s="158">
        <v>2176</v>
      </c>
      <c r="G2477" s="158">
        <v>4.0999999999999996</v>
      </c>
      <c r="K2477" s="158" t="s">
        <v>235</v>
      </c>
    </row>
    <row r="2478" spans="4:11">
      <c r="D2478" s="158">
        <v>180006</v>
      </c>
      <c r="E2478" s="158">
        <v>10763</v>
      </c>
      <c r="F2478" s="158">
        <v>2408</v>
      </c>
      <c r="G2478" s="158">
        <v>10</v>
      </c>
      <c r="H2478" s="158">
        <v>58.4</v>
      </c>
      <c r="I2478" s="158">
        <v>25.6</v>
      </c>
      <c r="J2478" s="158">
        <v>84</v>
      </c>
      <c r="K2478" s="158" t="s">
        <v>235</v>
      </c>
    </row>
    <row r="2479" spans="4:11">
      <c r="D2479" s="158">
        <v>180136</v>
      </c>
      <c r="E2479" s="158">
        <v>11926</v>
      </c>
      <c r="F2479" s="158">
        <v>2174</v>
      </c>
      <c r="G2479" s="158">
        <v>31.1</v>
      </c>
      <c r="K2479" s="158" t="s">
        <v>235</v>
      </c>
    </row>
    <row r="2480" spans="4:11">
      <c r="D2480" s="158">
        <v>180154</v>
      </c>
      <c r="E2480" s="158">
        <v>10755</v>
      </c>
      <c r="F2480" s="158">
        <v>2030</v>
      </c>
      <c r="G2480" s="158">
        <v>2.5</v>
      </c>
      <c r="H2480" s="158">
        <v>1</v>
      </c>
      <c r="I2480" s="158">
        <v>0</v>
      </c>
      <c r="J2480" s="158">
        <v>1</v>
      </c>
      <c r="K2480" s="158" t="s">
        <v>235</v>
      </c>
    </row>
    <row r="2481" spans="4:11">
      <c r="D2481" s="158">
        <v>180456</v>
      </c>
      <c r="E2481" s="158">
        <v>10732</v>
      </c>
      <c r="F2481" s="158">
        <v>2028</v>
      </c>
      <c r="H2481" s="158">
        <v>0.25</v>
      </c>
      <c r="J2481" s="158">
        <v>0.25</v>
      </c>
      <c r="K2481" s="158" t="s">
        <v>235</v>
      </c>
    </row>
    <row r="2482" spans="4:11">
      <c r="D2482" s="158">
        <v>180468</v>
      </c>
      <c r="E2482" s="158">
        <v>10814</v>
      </c>
      <c r="F2482" s="158">
        <v>2339</v>
      </c>
      <c r="H2482" s="158">
        <v>1.5</v>
      </c>
      <c r="I2482" s="158">
        <v>0</v>
      </c>
      <c r="J2482" s="158">
        <v>1.5</v>
      </c>
      <c r="K2482" s="158" t="s">
        <v>235</v>
      </c>
    </row>
    <row r="2483" spans="4:11">
      <c r="D2483" s="158">
        <v>180469</v>
      </c>
      <c r="E2483" s="158">
        <v>10814</v>
      </c>
      <c r="F2483" s="158">
        <v>2339</v>
      </c>
      <c r="H2483" s="158">
        <v>1.5</v>
      </c>
      <c r="I2483" s="158">
        <v>0</v>
      </c>
      <c r="J2483" s="158">
        <v>1.5</v>
      </c>
      <c r="K2483" s="158" t="s">
        <v>235</v>
      </c>
    </row>
    <row r="2484" spans="4:11">
      <c r="D2484" s="158">
        <v>180471</v>
      </c>
      <c r="E2484" s="158">
        <v>11214</v>
      </c>
      <c r="F2484" s="158">
        <v>222</v>
      </c>
      <c r="H2484" s="158">
        <v>1.5</v>
      </c>
      <c r="J2484" s="158">
        <v>1.5</v>
      </c>
      <c r="K2484" s="158" t="s">
        <v>235</v>
      </c>
    </row>
    <row r="2485" spans="4:11">
      <c r="D2485" s="158">
        <v>180472</v>
      </c>
      <c r="E2485" s="158">
        <v>11921</v>
      </c>
      <c r="F2485" s="158">
        <v>2362</v>
      </c>
      <c r="G2485" s="158">
        <v>1.8</v>
      </c>
      <c r="H2485" s="158">
        <v>4.8</v>
      </c>
      <c r="I2485" s="158">
        <v>0</v>
      </c>
      <c r="J2485" s="158">
        <v>4.8</v>
      </c>
      <c r="K2485" s="158" t="s">
        <v>235</v>
      </c>
    </row>
    <row r="2486" spans="4:11">
      <c r="D2486" s="158">
        <v>180473</v>
      </c>
      <c r="E2486" s="158">
        <v>11921</v>
      </c>
      <c r="F2486" s="158">
        <v>2362</v>
      </c>
      <c r="G2486" s="158">
        <v>3</v>
      </c>
      <c r="H2486" s="158">
        <v>1</v>
      </c>
      <c r="I2486" s="158">
        <v>0</v>
      </c>
      <c r="J2486" s="158">
        <v>1</v>
      </c>
      <c r="K2486" s="158" t="s">
        <v>235</v>
      </c>
    </row>
    <row r="2487" spans="4:11">
      <c r="D2487" s="158">
        <v>180475</v>
      </c>
      <c r="E2487" s="158">
        <v>11921</v>
      </c>
      <c r="F2487" s="158">
        <v>2362</v>
      </c>
      <c r="G2487" s="158">
        <v>2.75</v>
      </c>
      <c r="H2487" s="158">
        <v>2.75</v>
      </c>
      <c r="I2487" s="158">
        <v>0</v>
      </c>
      <c r="J2487" s="158">
        <v>2.75</v>
      </c>
      <c r="K2487" s="158" t="s">
        <v>235</v>
      </c>
    </row>
    <row r="2488" spans="4:11">
      <c r="D2488" s="158">
        <v>180477</v>
      </c>
      <c r="E2488" s="158">
        <v>11213</v>
      </c>
      <c r="F2488" s="158">
        <v>2030</v>
      </c>
      <c r="H2488" s="158">
        <v>0.15</v>
      </c>
      <c r="J2488" s="158">
        <v>0.15</v>
      </c>
      <c r="K2488" s="158" t="s">
        <v>235</v>
      </c>
    </row>
    <row r="2489" spans="4:11">
      <c r="D2489" s="158">
        <v>180478</v>
      </c>
      <c r="E2489" s="158">
        <v>10097</v>
      </c>
      <c r="F2489" s="158">
        <v>2359</v>
      </c>
      <c r="H2489" s="158">
        <v>1</v>
      </c>
      <c r="J2489" s="158">
        <v>1</v>
      </c>
      <c r="K2489" s="158" t="s">
        <v>237</v>
      </c>
    </row>
    <row r="2490" spans="4:11">
      <c r="D2490" s="158">
        <v>180480</v>
      </c>
      <c r="E2490" s="158">
        <v>10010</v>
      </c>
      <c r="F2490" s="158">
        <v>2416</v>
      </c>
      <c r="K2490" s="158" t="s">
        <v>238</v>
      </c>
    </row>
    <row r="2491" spans="4:11">
      <c r="D2491" s="158">
        <v>180496</v>
      </c>
      <c r="E2491" s="158">
        <v>11214</v>
      </c>
      <c r="F2491" s="158">
        <v>1821</v>
      </c>
      <c r="H2491" s="158">
        <v>0</v>
      </c>
      <c r="I2491" s="158">
        <v>0</v>
      </c>
      <c r="J2491" s="158">
        <v>0</v>
      </c>
      <c r="K2491" s="158" t="s">
        <v>235</v>
      </c>
    </row>
    <row r="2492" spans="4:11">
      <c r="D2492" s="158">
        <v>180497</v>
      </c>
      <c r="E2492" s="158">
        <v>10100</v>
      </c>
      <c r="F2492" s="158">
        <v>229</v>
      </c>
      <c r="G2492" s="158">
        <v>2</v>
      </c>
      <c r="H2492" s="158">
        <v>2.9</v>
      </c>
      <c r="I2492" s="158">
        <v>0.5</v>
      </c>
      <c r="J2492" s="158">
        <v>3.4</v>
      </c>
      <c r="K2492" s="158" t="s">
        <v>237</v>
      </c>
    </row>
    <row r="2493" spans="4:11">
      <c r="D2493" s="158">
        <v>180498</v>
      </c>
      <c r="E2493" s="158">
        <v>10100</v>
      </c>
      <c r="F2493" s="158">
        <v>2359</v>
      </c>
      <c r="G2493" s="158">
        <v>2</v>
      </c>
      <c r="H2493" s="158">
        <v>1</v>
      </c>
      <c r="I2493" s="158">
        <v>0</v>
      </c>
      <c r="J2493" s="158">
        <v>1</v>
      </c>
      <c r="K2493" s="158" t="s">
        <v>237</v>
      </c>
    </row>
    <row r="2494" spans="4:11">
      <c r="D2494" s="158">
        <v>180519</v>
      </c>
      <c r="E2494" s="158">
        <v>10020</v>
      </c>
      <c r="F2494" s="158">
        <v>402</v>
      </c>
      <c r="G2494" s="158">
        <v>0.3</v>
      </c>
      <c r="H2494" s="158">
        <v>0.1</v>
      </c>
      <c r="I2494" s="158">
        <v>0</v>
      </c>
      <c r="J2494" s="158">
        <v>0.1</v>
      </c>
      <c r="K2494" s="158" t="s">
        <v>238</v>
      </c>
    </row>
    <row r="2495" spans="4:11">
      <c r="D2495" s="158">
        <v>180529</v>
      </c>
      <c r="E2495" s="158">
        <v>10020</v>
      </c>
      <c r="F2495" s="158">
        <v>402</v>
      </c>
      <c r="G2495" s="158">
        <v>6</v>
      </c>
      <c r="H2495" s="158">
        <v>6.4</v>
      </c>
      <c r="I2495" s="158">
        <v>0.3</v>
      </c>
      <c r="J2495" s="158">
        <v>6.7</v>
      </c>
      <c r="K2495" s="158" t="s">
        <v>238</v>
      </c>
    </row>
    <row r="2496" spans="4:11">
      <c r="D2496" s="158">
        <v>180530</v>
      </c>
      <c r="E2496" s="158">
        <v>10020</v>
      </c>
      <c r="F2496" s="158">
        <v>2264</v>
      </c>
      <c r="G2496" s="158">
        <v>0.35</v>
      </c>
      <c r="H2496" s="158">
        <v>0.3</v>
      </c>
      <c r="I2496" s="158">
        <v>0</v>
      </c>
      <c r="J2496" s="158">
        <v>0.3</v>
      </c>
      <c r="K2496" s="158" t="s">
        <v>238</v>
      </c>
    </row>
    <row r="2497" spans="4:11">
      <c r="D2497" s="158">
        <v>180531</v>
      </c>
      <c r="E2497" s="158">
        <v>10020</v>
      </c>
      <c r="F2497" s="158">
        <v>1667</v>
      </c>
      <c r="G2497" s="158">
        <v>0.6</v>
      </c>
      <c r="H2497" s="158">
        <v>1.3</v>
      </c>
      <c r="I2497" s="158">
        <v>0</v>
      </c>
      <c r="J2497" s="158">
        <v>1.3</v>
      </c>
      <c r="K2497" s="158" t="s">
        <v>238</v>
      </c>
    </row>
    <row r="2498" spans="4:11">
      <c r="D2498" s="158">
        <v>180532</v>
      </c>
      <c r="E2498" s="158">
        <v>10020</v>
      </c>
      <c r="F2498" s="158">
        <v>2264</v>
      </c>
      <c r="G2498" s="158">
        <v>6</v>
      </c>
      <c r="H2498" s="158">
        <v>6.4</v>
      </c>
      <c r="I2498" s="158">
        <v>0</v>
      </c>
      <c r="J2498" s="158">
        <v>6.4</v>
      </c>
      <c r="K2498" s="158" t="s">
        <v>238</v>
      </c>
    </row>
    <row r="2499" spans="4:11">
      <c r="D2499" s="158">
        <v>180535</v>
      </c>
      <c r="E2499" s="158">
        <v>10020</v>
      </c>
      <c r="F2499" s="158">
        <v>1667</v>
      </c>
      <c r="G2499" s="158">
        <v>0.6</v>
      </c>
      <c r="H2499" s="158">
        <v>1.25</v>
      </c>
      <c r="I2499" s="158">
        <v>0</v>
      </c>
      <c r="J2499" s="158">
        <v>1.25</v>
      </c>
      <c r="K2499" s="158" t="s">
        <v>238</v>
      </c>
    </row>
    <row r="2500" spans="4:11">
      <c r="D2500" s="158">
        <v>180549</v>
      </c>
      <c r="E2500" s="158">
        <v>10769</v>
      </c>
      <c r="F2500" s="158">
        <v>942</v>
      </c>
      <c r="H2500" s="158">
        <v>0.5</v>
      </c>
      <c r="J2500" s="158">
        <v>0.5</v>
      </c>
      <c r="K2500" s="158" t="s">
        <v>235</v>
      </c>
    </row>
    <row r="2501" spans="4:11">
      <c r="D2501" s="158">
        <v>180559</v>
      </c>
      <c r="E2501" s="158">
        <v>11719</v>
      </c>
      <c r="F2501" s="158">
        <v>2075</v>
      </c>
      <c r="G2501" s="158">
        <v>1</v>
      </c>
      <c r="H2501" s="158">
        <v>1</v>
      </c>
      <c r="I2501" s="158">
        <v>0</v>
      </c>
      <c r="J2501" s="158">
        <v>1</v>
      </c>
      <c r="K2501" s="158" t="s">
        <v>235</v>
      </c>
    </row>
    <row r="2502" spans="4:11">
      <c r="D2502" s="158">
        <v>180596</v>
      </c>
      <c r="E2502" s="158">
        <v>10759</v>
      </c>
      <c r="F2502" s="158">
        <v>2028</v>
      </c>
      <c r="H2502" s="158">
        <v>0.25</v>
      </c>
      <c r="J2502" s="158">
        <v>0.25</v>
      </c>
      <c r="K2502" s="158" t="s">
        <v>235</v>
      </c>
    </row>
    <row r="2503" spans="4:11">
      <c r="D2503" s="158">
        <v>180597</v>
      </c>
      <c r="E2503" s="158">
        <v>10769</v>
      </c>
      <c r="F2503" s="158">
        <v>2028</v>
      </c>
      <c r="H2503" s="158">
        <v>0.25</v>
      </c>
      <c r="J2503" s="158">
        <v>0.25</v>
      </c>
      <c r="K2503" s="158" t="s">
        <v>235</v>
      </c>
    </row>
    <row r="2504" spans="4:11">
      <c r="D2504" s="158">
        <v>180598</v>
      </c>
      <c r="E2504" s="158">
        <v>10764</v>
      </c>
      <c r="F2504" s="158">
        <v>2028</v>
      </c>
      <c r="H2504" s="158">
        <v>0.25</v>
      </c>
      <c r="J2504" s="158">
        <v>0.25</v>
      </c>
      <c r="K2504" s="158" t="s">
        <v>235</v>
      </c>
    </row>
    <row r="2505" spans="4:11">
      <c r="D2505" s="158">
        <v>180599</v>
      </c>
      <c r="E2505" s="158">
        <v>10720</v>
      </c>
      <c r="F2505" s="158">
        <v>2177</v>
      </c>
      <c r="G2505" s="158">
        <v>2.5</v>
      </c>
      <c r="I2505" s="158">
        <v>0</v>
      </c>
      <c r="J2505" s="158">
        <v>0</v>
      </c>
      <c r="K2505" s="158" t="s">
        <v>235</v>
      </c>
    </row>
    <row r="2506" spans="4:11">
      <c r="D2506" s="158">
        <v>180619</v>
      </c>
      <c r="E2506" s="158">
        <v>10758</v>
      </c>
      <c r="F2506" s="158">
        <v>235</v>
      </c>
      <c r="H2506" s="158">
        <v>4.2</v>
      </c>
      <c r="I2506" s="158">
        <v>0</v>
      </c>
      <c r="J2506" s="158">
        <v>4.2</v>
      </c>
      <c r="K2506" s="158" t="s">
        <v>235</v>
      </c>
    </row>
    <row r="2507" spans="4:11">
      <c r="D2507" s="158">
        <v>180736</v>
      </c>
      <c r="E2507" s="158">
        <v>10639</v>
      </c>
      <c r="F2507" s="158">
        <v>2362</v>
      </c>
      <c r="H2507" s="158">
        <v>0.5</v>
      </c>
      <c r="I2507" s="158">
        <v>0.5</v>
      </c>
      <c r="J2507" s="158">
        <v>1</v>
      </c>
      <c r="K2507" s="158" t="s">
        <v>235</v>
      </c>
    </row>
    <row r="2508" spans="4:11">
      <c r="D2508" s="158">
        <v>180750</v>
      </c>
      <c r="E2508" s="158">
        <v>10759</v>
      </c>
      <c r="F2508" s="158">
        <v>235</v>
      </c>
      <c r="H2508" s="158">
        <v>1.7</v>
      </c>
      <c r="J2508" s="158">
        <v>1.7</v>
      </c>
      <c r="K2508" s="158" t="s">
        <v>235</v>
      </c>
    </row>
    <row r="2509" spans="4:11">
      <c r="D2509" s="158">
        <v>180751</v>
      </c>
      <c r="E2509" s="158">
        <v>10769</v>
      </c>
      <c r="F2509" s="158">
        <v>235</v>
      </c>
      <c r="H2509" s="158">
        <v>2.4</v>
      </c>
      <c r="J2509" s="158">
        <v>2.4</v>
      </c>
      <c r="K2509" s="158" t="s">
        <v>235</v>
      </c>
    </row>
    <row r="2510" spans="4:11">
      <c r="D2510" s="158">
        <v>180752</v>
      </c>
      <c r="E2510" s="158">
        <v>10759</v>
      </c>
      <c r="F2510" s="158">
        <v>235</v>
      </c>
      <c r="K2510" s="158" t="s">
        <v>235</v>
      </c>
    </row>
    <row r="2511" spans="4:11">
      <c r="D2511" s="158">
        <v>180766</v>
      </c>
      <c r="E2511" s="158">
        <v>11213</v>
      </c>
      <c r="F2511" s="158">
        <v>235</v>
      </c>
      <c r="H2511" s="158">
        <v>8.4</v>
      </c>
      <c r="I2511" s="158">
        <v>0</v>
      </c>
      <c r="J2511" s="158">
        <v>8.4</v>
      </c>
      <c r="K2511" s="158" t="s">
        <v>235</v>
      </c>
    </row>
    <row r="2512" spans="4:11">
      <c r="D2512" s="158">
        <v>180807</v>
      </c>
      <c r="E2512" s="158">
        <v>11213</v>
      </c>
      <c r="F2512" s="158">
        <v>235</v>
      </c>
      <c r="H2512" s="158">
        <v>2.9</v>
      </c>
      <c r="I2512" s="158">
        <v>0</v>
      </c>
      <c r="J2512" s="158">
        <v>2.9</v>
      </c>
      <c r="K2512" s="158" t="s">
        <v>235</v>
      </c>
    </row>
    <row r="2513" spans="4:11">
      <c r="D2513" s="158">
        <v>180808</v>
      </c>
      <c r="E2513" s="158">
        <v>11213</v>
      </c>
      <c r="F2513" s="158">
        <v>235</v>
      </c>
      <c r="H2513" s="158">
        <v>3.3</v>
      </c>
      <c r="J2513" s="158">
        <v>3.3</v>
      </c>
      <c r="K2513" s="158" t="s">
        <v>235</v>
      </c>
    </row>
    <row r="2514" spans="4:11">
      <c r="D2514" s="158">
        <v>180815</v>
      </c>
      <c r="E2514" s="158">
        <v>11213</v>
      </c>
      <c r="F2514" s="158">
        <v>235</v>
      </c>
      <c r="H2514" s="158">
        <v>0.5</v>
      </c>
      <c r="I2514" s="158">
        <v>11.4</v>
      </c>
      <c r="J2514" s="158">
        <v>11.9</v>
      </c>
      <c r="K2514" s="158" t="s">
        <v>235</v>
      </c>
    </row>
    <row r="2515" spans="4:11">
      <c r="D2515" s="158">
        <v>180841</v>
      </c>
      <c r="E2515" s="158">
        <v>11051</v>
      </c>
      <c r="F2515" s="158">
        <v>2075</v>
      </c>
      <c r="G2515" s="158">
        <v>7.8</v>
      </c>
      <c r="H2515" s="158">
        <v>10</v>
      </c>
      <c r="I2515" s="158">
        <v>0</v>
      </c>
      <c r="J2515" s="158">
        <v>10</v>
      </c>
      <c r="K2515" s="158" t="s">
        <v>235</v>
      </c>
    </row>
    <row r="2516" spans="4:11">
      <c r="D2516" s="158">
        <v>180934</v>
      </c>
      <c r="E2516" s="158">
        <v>10011</v>
      </c>
      <c r="F2516" s="158">
        <v>2416</v>
      </c>
      <c r="K2516" s="158" t="s">
        <v>238</v>
      </c>
    </row>
    <row r="2517" spans="4:11">
      <c r="D2517" s="158">
        <v>180935</v>
      </c>
      <c r="E2517" s="158">
        <v>10012</v>
      </c>
      <c r="F2517" s="158">
        <v>2416</v>
      </c>
      <c r="H2517" s="158">
        <v>9.93</v>
      </c>
      <c r="J2517" s="158">
        <v>9.93</v>
      </c>
      <c r="K2517" s="158" t="s">
        <v>238</v>
      </c>
    </row>
    <row r="2518" spans="4:11">
      <c r="D2518" s="158">
        <v>180936</v>
      </c>
      <c r="E2518" s="158">
        <v>10014</v>
      </c>
      <c r="F2518" s="158">
        <v>2416</v>
      </c>
      <c r="H2518" s="158">
        <v>9.6999999999999993</v>
      </c>
      <c r="J2518" s="158">
        <v>9.6999999999999993</v>
      </c>
      <c r="K2518" s="158" t="s">
        <v>238</v>
      </c>
    </row>
    <row r="2519" spans="4:11">
      <c r="D2519" s="158">
        <v>180937</v>
      </c>
      <c r="E2519" s="158">
        <v>10014</v>
      </c>
      <c r="F2519" s="158">
        <v>2416</v>
      </c>
      <c r="H2519" s="158">
        <v>7.0000000000000007E-2</v>
      </c>
      <c r="J2519" s="158">
        <v>7.0000000000000007E-2</v>
      </c>
      <c r="K2519" s="158" t="s">
        <v>238</v>
      </c>
    </row>
    <row r="2520" spans="4:11">
      <c r="D2520" s="158">
        <v>180938</v>
      </c>
      <c r="E2520" s="158">
        <v>10015</v>
      </c>
      <c r="F2520" s="158">
        <v>2416</v>
      </c>
      <c r="H2520" s="158">
        <v>6.94</v>
      </c>
      <c r="J2520" s="158">
        <v>6.94</v>
      </c>
      <c r="K2520" s="158" t="s">
        <v>238</v>
      </c>
    </row>
    <row r="2521" spans="4:11">
      <c r="D2521" s="158">
        <v>180939</v>
      </c>
      <c r="E2521" s="158">
        <v>10015</v>
      </c>
      <c r="F2521" s="158">
        <v>2416</v>
      </c>
      <c r="K2521" s="158" t="s">
        <v>238</v>
      </c>
    </row>
    <row r="2522" spans="4:11">
      <c r="D2522" s="158">
        <v>180940</v>
      </c>
      <c r="E2522" s="158">
        <v>10015</v>
      </c>
      <c r="F2522" s="158">
        <v>2405</v>
      </c>
      <c r="K2522" s="158" t="s">
        <v>238</v>
      </c>
    </row>
    <row r="2523" spans="4:11">
      <c r="D2523" s="158">
        <v>180941</v>
      </c>
      <c r="E2523" s="158">
        <v>10015</v>
      </c>
      <c r="F2523" s="158">
        <v>2416</v>
      </c>
      <c r="H2523" s="158">
        <v>10.25</v>
      </c>
      <c r="J2523" s="158">
        <v>10.25</v>
      </c>
      <c r="K2523" s="158" t="s">
        <v>238</v>
      </c>
    </row>
    <row r="2524" spans="4:11">
      <c r="D2524" s="158">
        <v>180942</v>
      </c>
      <c r="E2524" s="158">
        <v>10015</v>
      </c>
      <c r="F2524" s="158">
        <v>2416</v>
      </c>
      <c r="H2524" s="158">
        <v>0.69</v>
      </c>
      <c r="J2524" s="158">
        <v>0.69</v>
      </c>
      <c r="K2524" s="158" t="s">
        <v>238</v>
      </c>
    </row>
    <row r="2525" spans="4:11">
      <c r="D2525" s="158">
        <v>180943</v>
      </c>
      <c r="E2525" s="158">
        <v>10015</v>
      </c>
      <c r="F2525" s="158">
        <v>2416</v>
      </c>
      <c r="H2525" s="158">
        <v>0.37</v>
      </c>
      <c r="J2525" s="158">
        <v>0.37</v>
      </c>
      <c r="K2525" s="158" t="s">
        <v>238</v>
      </c>
    </row>
    <row r="2526" spans="4:11">
      <c r="D2526" s="158">
        <v>180944</v>
      </c>
      <c r="E2526" s="158">
        <v>10097</v>
      </c>
      <c r="F2526" s="158">
        <v>2416</v>
      </c>
      <c r="H2526" s="158">
        <v>3.57</v>
      </c>
      <c r="J2526" s="158">
        <v>3.57</v>
      </c>
      <c r="K2526" s="158" t="s">
        <v>237</v>
      </c>
    </row>
    <row r="2527" spans="4:11">
      <c r="D2527" s="158">
        <v>180954</v>
      </c>
      <c r="E2527" s="158">
        <v>11214</v>
      </c>
      <c r="F2527" s="158">
        <v>2030</v>
      </c>
      <c r="H2527" s="158">
        <v>0.55000000000000004</v>
      </c>
      <c r="J2527" s="158">
        <v>0.55000000000000004</v>
      </c>
      <c r="K2527" s="158" t="s">
        <v>235</v>
      </c>
    </row>
    <row r="2528" spans="4:11">
      <c r="D2528" s="158">
        <v>181246</v>
      </c>
      <c r="E2528" s="158">
        <v>10100</v>
      </c>
      <c r="F2528" s="158">
        <v>2359</v>
      </c>
      <c r="H2528" s="158">
        <v>9.75</v>
      </c>
      <c r="I2528" s="158">
        <v>0.5</v>
      </c>
      <c r="J2528" s="158">
        <v>10.25</v>
      </c>
      <c r="K2528" s="158" t="s">
        <v>237</v>
      </c>
    </row>
    <row r="2529" spans="4:11">
      <c r="D2529" s="158">
        <v>182144</v>
      </c>
      <c r="E2529" s="158">
        <v>10100</v>
      </c>
      <c r="F2529" s="158">
        <v>229</v>
      </c>
      <c r="G2529" s="158">
        <v>4.37</v>
      </c>
      <c r="I2529" s="158">
        <v>0</v>
      </c>
      <c r="J2529" s="158">
        <v>0</v>
      </c>
      <c r="K2529" s="158" t="s">
        <v>237</v>
      </c>
    </row>
    <row r="2530" spans="4:11">
      <c r="D2530" s="158">
        <v>182145</v>
      </c>
      <c r="E2530" s="158">
        <v>10100</v>
      </c>
      <c r="F2530" s="158">
        <v>229</v>
      </c>
      <c r="G2530" s="158">
        <v>0.5</v>
      </c>
      <c r="H2530" s="158">
        <v>3.5</v>
      </c>
      <c r="I2530" s="158">
        <v>0.4</v>
      </c>
      <c r="J2530" s="158">
        <v>3.9</v>
      </c>
      <c r="K2530" s="158" t="s">
        <v>237</v>
      </c>
    </row>
    <row r="2531" spans="4:11">
      <c r="D2531" s="158">
        <v>182146</v>
      </c>
      <c r="E2531" s="158">
        <v>10020</v>
      </c>
      <c r="F2531" s="158">
        <v>229</v>
      </c>
      <c r="H2531" s="158">
        <v>0.5</v>
      </c>
      <c r="J2531" s="158">
        <v>0.5</v>
      </c>
      <c r="K2531" s="158" t="s">
        <v>238</v>
      </c>
    </row>
    <row r="2532" spans="4:11">
      <c r="D2532" s="158">
        <v>182147</v>
      </c>
      <c r="E2532" s="158">
        <v>11707</v>
      </c>
      <c r="F2532" s="158">
        <v>2184</v>
      </c>
      <c r="G2532" s="158">
        <v>1.85</v>
      </c>
      <c r="I2532" s="158">
        <v>1.85</v>
      </c>
      <c r="J2532" s="158">
        <v>1.85</v>
      </c>
      <c r="K2532" s="158" t="s">
        <v>235</v>
      </c>
    </row>
    <row r="2533" spans="4:11">
      <c r="D2533" s="158">
        <v>182148</v>
      </c>
      <c r="E2533" s="158">
        <v>11708</v>
      </c>
      <c r="F2533" s="158">
        <v>1999</v>
      </c>
      <c r="G2533" s="158">
        <v>0.75</v>
      </c>
      <c r="I2533" s="158">
        <v>0</v>
      </c>
      <c r="J2533" s="158">
        <v>0</v>
      </c>
      <c r="K2533" s="158" t="s">
        <v>235</v>
      </c>
    </row>
    <row r="2534" spans="4:11">
      <c r="D2534" s="158">
        <v>182149</v>
      </c>
      <c r="E2534" s="158">
        <v>10816</v>
      </c>
      <c r="F2534" s="158">
        <v>2122</v>
      </c>
      <c r="H2534" s="158">
        <v>1</v>
      </c>
      <c r="I2534" s="158">
        <v>0</v>
      </c>
      <c r="J2534" s="158">
        <v>1</v>
      </c>
      <c r="K2534" s="158" t="s">
        <v>235</v>
      </c>
    </row>
    <row r="2535" spans="4:11">
      <c r="D2535" s="158">
        <v>182150</v>
      </c>
      <c r="E2535" s="158">
        <v>10011</v>
      </c>
      <c r="F2535" s="158">
        <v>2430</v>
      </c>
      <c r="H2535" s="158">
        <v>5</v>
      </c>
      <c r="J2535" s="158">
        <v>5</v>
      </c>
      <c r="K2535" s="158" t="s">
        <v>238</v>
      </c>
    </row>
    <row r="2536" spans="4:11">
      <c r="D2536" s="158">
        <v>182151</v>
      </c>
      <c r="E2536" s="158">
        <v>10019</v>
      </c>
      <c r="F2536" s="158">
        <v>2430</v>
      </c>
      <c r="H2536" s="158">
        <v>19</v>
      </c>
      <c r="J2536" s="158">
        <v>19</v>
      </c>
      <c r="K2536" s="158" t="s">
        <v>238</v>
      </c>
    </row>
    <row r="2537" spans="4:11">
      <c r="D2537" s="158">
        <v>182152</v>
      </c>
      <c r="E2537" s="158">
        <v>10019</v>
      </c>
      <c r="F2537" s="158">
        <v>2430</v>
      </c>
      <c r="H2537" s="158">
        <v>19</v>
      </c>
      <c r="I2537" s="158">
        <v>20.5</v>
      </c>
      <c r="J2537" s="158">
        <v>39.5</v>
      </c>
      <c r="K2537" s="158" t="s">
        <v>238</v>
      </c>
    </row>
    <row r="2538" spans="4:11">
      <c r="D2538" s="158">
        <v>182154</v>
      </c>
      <c r="E2538" s="158">
        <v>10814</v>
      </c>
      <c r="F2538" s="158">
        <v>2122</v>
      </c>
      <c r="H2538" s="158">
        <v>0.5</v>
      </c>
      <c r="I2538" s="158">
        <v>0</v>
      </c>
      <c r="J2538" s="158">
        <v>0.5</v>
      </c>
      <c r="K2538" s="158" t="s">
        <v>235</v>
      </c>
    </row>
    <row r="2539" spans="4:11">
      <c r="D2539" s="158">
        <v>182155</v>
      </c>
      <c r="E2539" s="158">
        <v>11711</v>
      </c>
      <c r="F2539" s="158">
        <v>2122</v>
      </c>
      <c r="H2539" s="158">
        <v>5</v>
      </c>
      <c r="I2539" s="158">
        <v>0</v>
      </c>
      <c r="J2539" s="158">
        <v>5</v>
      </c>
      <c r="K2539" s="158" t="s">
        <v>235</v>
      </c>
    </row>
    <row r="2540" spans="4:11">
      <c r="D2540" s="158">
        <v>182201</v>
      </c>
      <c r="E2540" s="158">
        <v>11741</v>
      </c>
      <c r="F2540" s="158">
        <v>2181</v>
      </c>
      <c r="G2540" s="158">
        <v>2</v>
      </c>
      <c r="H2540" s="158">
        <v>1.7</v>
      </c>
      <c r="I2540" s="158">
        <v>0</v>
      </c>
      <c r="J2540" s="158">
        <v>1.7</v>
      </c>
      <c r="K2540" s="158" t="s">
        <v>235</v>
      </c>
    </row>
    <row r="2541" spans="4:11">
      <c r="D2541" s="158">
        <v>182203</v>
      </c>
      <c r="E2541" s="158">
        <v>11741</v>
      </c>
      <c r="F2541" s="158">
        <v>2181</v>
      </c>
      <c r="G2541" s="158">
        <v>1</v>
      </c>
      <c r="H2541" s="158">
        <v>1.1000000000000001</v>
      </c>
      <c r="I2541" s="158">
        <v>0</v>
      </c>
      <c r="J2541" s="158">
        <v>1.1000000000000001</v>
      </c>
      <c r="K2541" s="158" t="s">
        <v>235</v>
      </c>
    </row>
    <row r="2542" spans="4:11">
      <c r="D2542" s="158">
        <v>182204</v>
      </c>
      <c r="E2542" s="158">
        <v>11719</v>
      </c>
      <c r="F2542" s="158">
        <v>2181</v>
      </c>
      <c r="G2542" s="158">
        <v>4.3</v>
      </c>
      <c r="H2542" s="158">
        <v>7.5</v>
      </c>
      <c r="I2542" s="158">
        <v>0</v>
      </c>
      <c r="J2542" s="158">
        <v>7.5</v>
      </c>
      <c r="K2542" s="158" t="s">
        <v>235</v>
      </c>
    </row>
    <row r="2543" spans="4:11">
      <c r="D2543" s="158">
        <v>182237</v>
      </c>
      <c r="E2543" s="158">
        <v>10763</v>
      </c>
      <c r="F2543" s="158">
        <v>2443</v>
      </c>
      <c r="H2543" s="158">
        <v>24</v>
      </c>
      <c r="I2543" s="158">
        <v>13.5</v>
      </c>
      <c r="J2543" s="158">
        <v>37.5</v>
      </c>
      <c r="K2543" s="158" t="s">
        <v>235</v>
      </c>
    </row>
    <row r="2544" spans="4:11">
      <c r="D2544" s="158">
        <v>182247</v>
      </c>
      <c r="E2544" s="158">
        <v>10763</v>
      </c>
      <c r="F2544" s="158">
        <v>2443</v>
      </c>
      <c r="G2544" s="158">
        <v>9.8000000000000007</v>
      </c>
      <c r="H2544" s="158">
        <v>2.1</v>
      </c>
      <c r="I2544" s="158">
        <v>0</v>
      </c>
      <c r="J2544" s="158">
        <v>2.1</v>
      </c>
      <c r="K2544" s="158" t="s">
        <v>235</v>
      </c>
    </row>
    <row r="2545" spans="4:11">
      <c r="D2545" s="158">
        <v>182291</v>
      </c>
      <c r="E2545" s="158">
        <v>10814</v>
      </c>
      <c r="F2545" s="158">
        <v>1251</v>
      </c>
      <c r="G2545" s="158">
        <v>0</v>
      </c>
      <c r="H2545" s="158">
        <v>3.5</v>
      </c>
      <c r="I2545" s="158">
        <v>0</v>
      </c>
      <c r="J2545" s="158">
        <v>3.5</v>
      </c>
      <c r="K2545" s="158" t="s">
        <v>235</v>
      </c>
    </row>
    <row r="2546" spans="4:11">
      <c r="D2546" s="158">
        <v>182292</v>
      </c>
      <c r="E2546" s="158">
        <v>10814</v>
      </c>
      <c r="F2546" s="158">
        <v>2383</v>
      </c>
      <c r="G2546" s="158">
        <v>6.2</v>
      </c>
      <c r="H2546" s="158">
        <v>5</v>
      </c>
      <c r="I2546" s="158">
        <v>0</v>
      </c>
      <c r="J2546" s="158">
        <v>5</v>
      </c>
      <c r="K2546" s="158" t="s">
        <v>235</v>
      </c>
    </row>
    <row r="2547" spans="4:11">
      <c r="D2547" s="158">
        <v>182293</v>
      </c>
      <c r="E2547" s="158">
        <v>10814</v>
      </c>
      <c r="F2547" s="158">
        <v>1251</v>
      </c>
      <c r="G2547" s="158">
        <v>3.85</v>
      </c>
      <c r="I2547" s="158">
        <v>0</v>
      </c>
      <c r="J2547" s="158">
        <v>0</v>
      </c>
      <c r="K2547" s="158" t="s">
        <v>235</v>
      </c>
    </row>
    <row r="2548" spans="4:11">
      <c r="D2548" s="158">
        <v>182294</v>
      </c>
      <c r="E2548" s="158">
        <v>10814</v>
      </c>
      <c r="F2548" s="158">
        <v>2339</v>
      </c>
      <c r="H2548" s="158">
        <v>1</v>
      </c>
      <c r="I2548" s="158">
        <v>0</v>
      </c>
      <c r="J2548" s="158">
        <v>1</v>
      </c>
      <c r="K2548" s="158" t="s">
        <v>235</v>
      </c>
    </row>
    <row r="2549" spans="4:11">
      <c r="D2549" s="158">
        <v>182295</v>
      </c>
      <c r="E2549" s="158">
        <v>10814</v>
      </c>
      <c r="F2549" s="158">
        <v>2339</v>
      </c>
      <c r="G2549" s="158">
        <v>0</v>
      </c>
      <c r="I2549" s="158">
        <v>0</v>
      </c>
      <c r="J2549" s="158">
        <v>0</v>
      </c>
      <c r="K2549" s="158" t="s">
        <v>235</v>
      </c>
    </row>
    <row r="2550" spans="4:11">
      <c r="D2550" s="158">
        <v>182296</v>
      </c>
      <c r="E2550" s="158">
        <v>10814</v>
      </c>
      <c r="F2550" s="158">
        <v>2383</v>
      </c>
      <c r="H2550" s="158">
        <v>5.5</v>
      </c>
      <c r="I2550" s="158">
        <v>0</v>
      </c>
      <c r="J2550" s="158">
        <v>5.5</v>
      </c>
      <c r="K2550" s="158" t="s">
        <v>235</v>
      </c>
    </row>
    <row r="2551" spans="4:11">
      <c r="D2551" s="158">
        <v>182297</v>
      </c>
      <c r="E2551" s="158">
        <v>10814</v>
      </c>
      <c r="F2551" s="158">
        <v>2383</v>
      </c>
      <c r="G2551" s="158">
        <v>0</v>
      </c>
      <c r="H2551" s="158">
        <v>3</v>
      </c>
      <c r="I2551" s="158">
        <v>0</v>
      </c>
      <c r="J2551" s="158">
        <v>3</v>
      </c>
      <c r="K2551" s="158" t="s">
        <v>235</v>
      </c>
    </row>
    <row r="2552" spans="4:11">
      <c r="D2552" s="158">
        <v>182949</v>
      </c>
      <c r="E2552" s="158">
        <v>11742</v>
      </c>
      <c r="F2552" s="158">
        <v>2181</v>
      </c>
      <c r="G2552" s="158">
        <v>8.3000000000000007</v>
      </c>
      <c r="H2552" s="158">
        <v>5.7</v>
      </c>
      <c r="I2552" s="158">
        <v>0</v>
      </c>
      <c r="J2552" s="158">
        <v>5.7</v>
      </c>
      <c r="K2552" s="158" t="s">
        <v>235</v>
      </c>
    </row>
    <row r="2553" spans="4:11">
      <c r="D2553" s="158">
        <v>182950</v>
      </c>
      <c r="E2553" s="158">
        <v>11743</v>
      </c>
      <c r="F2553" s="158">
        <v>2181</v>
      </c>
      <c r="G2553" s="158">
        <v>6.2</v>
      </c>
      <c r="H2553" s="158">
        <v>5.4</v>
      </c>
      <c r="I2553" s="158">
        <v>0.8</v>
      </c>
      <c r="J2553" s="158">
        <v>6.2</v>
      </c>
      <c r="K2553" s="158" t="s">
        <v>235</v>
      </c>
    </row>
    <row r="2554" spans="4:11">
      <c r="D2554" s="158">
        <v>182973</v>
      </c>
      <c r="E2554" s="158">
        <v>10011</v>
      </c>
      <c r="F2554" s="158">
        <v>2416</v>
      </c>
      <c r="H2554" s="158">
        <v>11.98</v>
      </c>
      <c r="J2554" s="158">
        <v>11.98</v>
      </c>
      <c r="K2554" s="158" t="s">
        <v>238</v>
      </c>
    </row>
    <row r="2555" spans="4:11">
      <c r="D2555" s="158">
        <v>183000</v>
      </c>
      <c r="E2555" s="158">
        <v>10100</v>
      </c>
      <c r="F2555" s="158">
        <v>229</v>
      </c>
      <c r="G2555" s="158">
        <v>4.5</v>
      </c>
      <c r="H2555" s="158">
        <v>2.6</v>
      </c>
      <c r="I2555" s="158">
        <v>0</v>
      </c>
      <c r="J2555" s="158">
        <v>2.6</v>
      </c>
      <c r="K2555" s="158" t="s">
        <v>237</v>
      </c>
    </row>
    <row r="2556" spans="4:11">
      <c r="D2556" s="158">
        <v>183002</v>
      </c>
      <c r="E2556" s="158">
        <v>10100</v>
      </c>
      <c r="F2556" s="158">
        <v>291</v>
      </c>
      <c r="G2556" s="158">
        <v>0.5</v>
      </c>
      <c r="I2556" s="158">
        <v>0</v>
      </c>
      <c r="J2556" s="158">
        <v>0</v>
      </c>
      <c r="K2556" s="158" t="s">
        <v>237</v>
      </c>
    </row>
    <row r="2557" spans="4:11">
      <c r="D2557" s="158">
        <v>183003</v>
      </c>
      <c r="E2557" s="158">
        <v>10100</v>
      </c>
      <c r="F2557" s="158">
        <v>229</v>
      </c>
      <c r="G2557" s="158">
        <v>0.5</v>
      </c>
      <c r="I2557" s="158">
        <v>0</v>
      </c>
      <c r="J2557" s="158">
        <v>0</v>
      </c>
      <c r="K2557" s="158" t="s">
        <v>237</v>
      </c>
    </row>
    <row r="2558" spans="4:11">
      <c r="D2558" s="158">
        <v>183024</v>
      </c>
      <c r="E2558" s="158">
        <v>10815</v>
      </c>
      <c r="F2558" s="158">
        <v>1251</v>
      </c>
      <c r="G2558" s="158">
        <v>3</v>
      </c>
      <c r="H2558" s="158">
        <v>3</v>
      </c>
      <c r="I2558" s="158">
        <v>0</v>
      </c>
      <c r="J2558" s="158">
        <v>3</v>
      </c>
      <c r="K2558" s="158" t="s">
        <v>235</v>
      </c>
    </row>
    <row r="2559" spans="4:11">
      <c r="D2559" s="158">
        <v>183036</v>
      </c>
      <c r="E2559" s="158">
        <v>11213</v>
      </c>
      <c r="F2559" s="158">
        <v>235</v>
      </c>
      <c r="H2559" s="158">
        <v>2.2000000000000002</v>
      </c>
      <c r="J2559" s="158">
        <v>2.2000000000000002</v>
      </c>
      <c r="K2559" s="158" t="s">
        <v>235</v>
      </c>
    </row>
    <row r="2560" spans="4:11">
      <c r="D2560" s="158">
        <v>183128</v>
      </c>
      <c r="E2560" s="158">
        <v>10689</v>
      </c>
      <c r="F2560" s="158">
        <v>2123</v>
      </c>
      <c r="H2560" s="158">
        <v>11.4</v>
      </c>
      <c r="I2560" s="158">
        <v>0</v>
      </c>
      <c r="J2560" s="158">
        <v>11.4</v>
      </c>
      <c r="K2560" s="158" t="s">
        <v>235</v>
      </c>
    </row>
    <row r="2561" spans="4:11">
      <c r="D2561" s="158">
        <v>183160</v>
      </c>
      <c r="E2561" s="158">
        <v>10096</v>
      </c>
      <c r="F2561" s="158">
        <v>2001</v>
      </c>
      <c r="H2561" s="158">
        <v>0.1</v>
      </c>
      <c r="J2561" s="158">
        <v>0.1</v>
      </c>
      <c r="K2561" s="158" t="s">
        <v>237</v>
      </c>
    </row>
    <row r="2562" spans="4:11">
      <c r="D2562" s="158">
        <v>183162</v>
      </c>
      <c r="E2562" s="158">
        <v>10720</v>
      </c>
      <c r="F2562" s="158">
        <v>1738</v>
      </c>
      <c r="G2562" s="158">
        <v>0</v>
      </c>
      <c r="H2562" s="158">
        <v>6</v>
      </c>
      <c r="I2562" s="158">
        <v>0</v>
      </c>
      <c r="J2562" s="158">
        <v>6</v>
      </c>
      <c r="K2562" s="158" t="s">
        <v>235</v>
      </c>
    </row>
    <row r="2563" spans="4:11">
      <c r="D2563" s="158">
        <v>183163</v>
      </c>
      <c r="E2563" s="158">
        <v>11213</v>
      </c>
      <c r="F2563" s="158">
        <v>2062</v>
      </c>
      <c r="H2563" s="158">
        <v>0.5</v>
      </c>
      <c r="J2563" s="158">
        <v>0.5</v>
      </c>
      <c r="K2563" s="158" t="s">
        <v>235</v>
      </c>
    </row>
    <row r="2564" spans="4:11">
      <c r="D2564" s="158">
        <v>183176</v>
      </c>
      <c r="E2564" s="158">
        <v>10020</v>
      </c>
      <c r="F2564" s="158">
        <v>1667</v>
      </c>
      <c r="G2564" s="158">
        <v>5.85</v>
      </c>
      <c r="H2564" s="158">
        <v>1</v>
      </c>
      <c r="I2564" s="158">
        <v>0</v>
      </c>
      <c r="J2564" s="158">
        <v>1</v>
      </c>
      <c r="K2564" s="158" t="s">
        <v>238</v>
      </c>
    </row>
    <row r="2565" spans="4:11">
      <c r="D2565" s="158">
        <v>183178</v>
      </c>
      <c r="E2565" s="158">
        <v>10020</v>
      </c>
      <c r="F2565" s="158">
        <v>2264</v>
      </c>
      <c r="G2565" s="158">
        <v>0.4</v>
      </c>
      <c r="I2565" s="158">
        <v>0.4</v>
      </c>
      <c r="J2565" s="158">
        <v>0.4</v>
      </c>
      <c r="K2565" s="158" t="s">
        <v>238</v>
      </c>
    </row>
    <row r="2566" spans="4:11">
      <c r="D2566" s="158">
        <v>183179</v>
      </c>
      <c r="E2566" s="158">
        <v>10020</v>
      </c>
      <c r="F2566" s="158">
        <v>229</v>
      </c>
      <c r="G2566" s="158">
        <v>0.4</v>
      </c>
      <c r="H2566" s="158">
        <v>0.3</v>
      </c>
      <c r="I2566" s="158">
        <v>0.1</v>
      </c>
      <c r="J2566" s="158">
        <v>0.4</v>
      </c>
      <c r="K2566" s="158" t="s">
        <v>238</v>
      </c>
    </row>
    <row r="2567" spans="4:11">
      <c r="D2567" s="158">
        <v>183183</v>
      </c>
      <c r="E2567" s="158">
        <v>10733</v>
      </c>
      <c r="F2567" s="158">
        <v>2443</v>
      </c>
      <c r="H2567" s="158">
        <v>0.5</v>
      </c>
      <c r="J2567" s="158">
        <v>0.5</v>
      </c>
      <c r="K2567" s="158" t="s">
        <v>235</v>
      </c>
    </row>
    <row r="2568" spans="4:11">
      <c r="D2568" s="158">
        <v>183184</v>
      </c>
      <c r="E2568" s="158">
        <v>10020</v>
      </c>
      <c r="F2568" s="158">
        <v>2264</v>
      </c>
      <c r="G2568" s="158">
        <v>0.3</v>
      </c>
      <c r="H2568" s="158">
        <v>3.9</v>
      </c>
      <c r="I2568" s="158">
        <v>1.3</v>
      </c>
      <c r="J2568" s="158">
        <v>5.2</v>
      </c>
      <c r="K2568" s="158" t="s">
        <v>238</v>
      </c>
    </row>
    <row r="2569" spans="4:11">
      <c r="D2569" s="158">
        <v>183185</v>
      </c>
      <c r="E2569" s="158">
        <v>11213</v>
      </c>
      <c r="F2569" s="158">
        <v>2324</v>
      </c>
      <c r="H2569" s="158">
        <v>6.9</v>
      </c>
      <c r="J2569" s="158">
        <v>6.9</v>
      </c>
      <c r="K2569" s="158" t="s">
        <v>235</v>
      </c>
    </row>
    <row r="2570" spans="4:11">
      <c r="D2570" s="158">
        <v>183200</v>
      </c>
      <c r="E2570" s="158">
        <v>10720</v>
      </c>
      <c r="F2570" s="158">
        <v>1014</v>
      </c>
      <c r="H2570" s="158">
        <v>13.8</v>
      </c>
      <c r="J2570" s="158">
        <v>13.8</v>
      </c>
      <c r="K2570" s="158" t="s">
        <v>235</v>
      </c>
    </row>
    <row r="2571" spans="4:11">
      <c r="D2571" s="158">
        <v>183202</v>
      </c>
      <c r="E2571" s="158">
        <v>10732</v>
      </c>
      <c r="F2571" s="158">
        <v>2443</v>
      </c>
      <c r="H2571" s="158">
        <v>4.9000000000000004</v>
      </c>
      <c r="J2571" s="158">
        <v>4.9000000000000004</v>
      </c>
      <c r="K2571" s="158" t="s">
        <v>235</v>
      </c>
    </row>
    <row r="2572" spans="4:11">
      <c r="D2572" s="158">
        <v>183203</v>
      </c>
      <c r="E2572" s="158">
        <v>10733</v>
      </c>
      <c r="F2572" s="158">
        <v>2443</v>
      </c>
      <c r="H2572" s="158">
        <v>1</v>
      </c>
      <c r="J2572" s="158">
        <v>1</v>
      </c>
      <c r="K2572" s="158" t="s">
        <v>235</v>
      </c>
    </row>
    <row r="2573" spans="4:11">
      <c r="D2573" s="158">
        <v>183204</v>
      </c>
      <c r="E2573" s="158">
        <v>10732</v>
      </c>
      <c r="F2573" s="158">
        <v>2443</v>
      </c>
      <c r="H2573" s="158">
        <v>1.5</v>
      </c>
      <c r="I2573" s="158">
        <v>1.5</v>
      </c>
      <c r="J2573" s="158">
        <v>3</v>
      </c>
      <c r="K2573" s="158" t="s">
        <v>235</v>
      </c>
    </row>
    <row r="2574" spans="4:11">
      <c r="D2574" s="158">
        <v>183206</v>
      </c>
      <c r="E2574" s="158">
        <v>10783</v>
      </c>
      <c r="F2574" s="158">
        <v>264</v>
      </c>
      <c r="H2574" s="158">
        <v>1.25</v>
      </c>
      <c r="I2574" s="158">
        <v>0</v>
      </c>
      <c r="J2574" s="158">
        <v>1.25</v>
      </c>
      <c r="K2574" s="158" t="s">
        <v>235</v>
      </c>
    </row>
    <row r="2575" spans="4:11">
      <c r="D2575" s="158">
        <v>183209</v>
      </c>
      <c r="E2575" s="158">
        <v>10688</v>
      </c>
      <c r="F2575" s="158">
        <v>2120</v>
      </c>
      <c r="G2575" s="158">
        <v>4.0999999999999996</v>
      </c>
      <c r="I2575" s="158">
        <v>0</v>
      </c>
      <c r="J2575" s="158">
        <v>0</v>
      </c>
      <c r="K2575" s="158" t="s">
        <v>235</v>
      </c>
    </row>
    <row r="2576" spans="4:11">
      <c r="D2576" s="158">
        <v>183212</v>
      </c>
      <c r="E2576" s="158">
        <v>10738</v>
      </c>
      <c r="F2576" s="158">
        <v>2177</v>
      </c>
      <c r="G2576" s="158">
        <v>6.4</v>
      </c>
      <c r="K2576" s="158" t="s">
        <v>235</v>
      </c>
    </row>
    <row r="2577" spans="4:11">
      <c r="D2577" s="158">
        <v>183213</v>
      </c>
      <c r="E2577" s="158">
        <v>10755</v>
      </c>
      <c r="F2577" s="158">
        <v>2177</v>
      </c>
      <c r="G2577" s="158">
        <v>6.4</v>
      </c>
      <c r="I2577" s="158">
        <v>0</v>
      </c>
      <c r="J2577" s="158">
        <v>0</v>
      </c>
      <c r="K2577" s="158" t="s">
        <v>235</v>
      </c>
    </row>
    <row r="2578" spans="4:11">
      <c r="D2578" s="158">
        <v>183216</v>
      </c>
      <c r="E2578" s="158">
        <v>10763</v>
      </c>
      <c r="F2578" s="158">
        <v>2177</v>
      </c>
      <c r="G2578" s="158">
        <v>88.2</v>
      </c>
      <c r="I2578" s="158">
        <v>0</v>
      </c>
      <c r="J2578" s="158">
        <v>0</v>
      </c>
      <c r="K2578" s="158" t="s">
        <v>235</v>
      </c>
    </row>
    <row r="2579" spans="4:11">
      <c r="D2579" s="158">
        <v>183304</v>
      </c>
      <c r="E2579" s="158">
        <v>10725</v>
      </c>
      <c r="F2579" s="158">
        <v>2030</v>
      </c>
      <c r="H2579" s="158">
        <v>1</v>
      </c>
      <c r="I2579" s="158">
        <v>0</v>
      </c>
      <c r="J2579" s="158">
        <v>1</v>
      </c>
      <c r="K2579" s="158" t="s">
        <v>235</v>
      </c>
    </row>
    <row r="2580" spans="4:11">
      <c r="D2580" s="158">
        <v>183305</v>
      </c>
      <c r="E2580" s="158">
        <v>10725</v>
      </c>
      <c r="F2580" s="158">
        <v>1738</v>
      </c>
      <c r="G2580" s="158">
        <v>9.8000000000000007</v>
      </c>
      <c r="H2580" s="158">
        <v>1.55</v>
      </c>
      <c r="I2580" s="158">
        <v>0</v>
      </c>
      <c r="J2580" s="158">
        <v>1.55</v>
      </c>
      <c r="K2580" s="158" t="s">
        <v>235</v>
      </c>
    </row>
    <row r="2581" spans="4:11">
      <c r="D2581" s="158">
        <v>183391</v>
      </c>
      <c r="E2581" s="158">
        <v>10814</v>
      </c>
      <c r="F2581" s="158">
        <v>2383</v>
      </c>
      <c r="G2581" s="158">
        <v>6</v>
      </c>
      <c r="I2581" s="158">
        <v>0</v>
      </c>
      <c r="J2581" s="158">
        <v>0</v>
      </c>
      <c r="K2581" s="158" t="s">
        <v>235</v>
      </c>
    </row>
    <row r="2582" spans="4:11">
      <c r="D2582" s="158">
        <v>183431</v>
      </c>
      <c r="E2582" s="158">
        <v>11213</v>
      </c>
      <c r="F2582" s="158">
        <v>2062</v>
      </c>
      <c r="H2582" s="158">
        <v>0.6</v>
      </c>
      <c r="J2582" s="158">
        <v>0.6</v>
      </c>
      <c r="K2582" s="158" t="s">
        <v>235</v>
      </c>
    </row>
    <row r="2583" spans="4:11">
      <c r="D2583" s="158">
        <v>183498</v>
      </c>
      <c r="E2583" s="158">
        <v>11309</v>
      </c>
      <c r="F2583" s="158">
        <v>1120</v>
      </c>
      <c r="G2583" s="158">
        <v>5</v>
      </c>
      <c r="H2583" s="158">
        <v>5.8</v>
      </c>
      <c r="I2583" s="158">
        <v>0</v>
      </c>
      <c r="J2583" s="158">
        <v>5.8</v>
      </c>
      <c r="K2583" s="158" t="s">
        <v>236</v>
      </c>
    </row>
    <row r="2584" spans="4:11">
      <c r="D2584" s="158">
        <v>183499</v>
      </c>
      <c r="E2584" s="158">
        <v>11309</v>
      </c>
      <c r="F2584" s="158">
        <v>2266</v>
      </c>
      <c r="G2584" s="158">
        <v>2</v>
      </c>
      <c r="H2584" s="158">
        <v>1</v>
      </c>
      <c r="I2584" s="158">
        <v>0</v>
      </c>
      <c r="J2584" s="158">
        <v>1</v>
      </c>
      <c r="K2584" s="158" t="s">
        <v>236</v>
      </c>
    </row>
    <row r="2585" spans="4:11">
      <c r="D2585" s="158">
        <v>183509</v>
      </c>
      <c r="E2585" s="158">
        <v>10814</v>
      </c>
      <c r="F2585" s="158">
        <v>2028</v>
      </c>
      <c r="G2585" s="158">
        <v>0.25</v>
      </c>
      <c r="I2585" s="158">
        <v>0</v>
      </c>
      <c r="J2585" s="158">
        <v>0</v>
      </c>
      <c r="K2585" s="158" t="s">
        <v>235</v>
      </c>
    </row>
    <row r="2586" spans="4:11">
      <c r="D2586" s="158">
        <v>183514</v>
      </c>
      <c r="E2586" s="158">
        <v>10020</v>
      </c>
      <c r="F2586" s="158">
        <v>2264</v>
      </c>
      <c r="G2586" s="158">
        <v>6</v>
      </c>
      <c r="H2586" s="158">
        <v>4.32</v>
      </c>
      <c r="I2586" s="158">
        <v>1.48</v>
      </c>
      <c r="J2586" s="158">
        <v>5.8</v>
      </c>
      <c r="K2586" s="158" t="s">
        <v>238</v>
      </c>
    </row>
    <row r="2587" spans="4:11">
      <c r="D2587" s="158">
        <v>183517</v>
      </c>
      <c r="E2587" s="158">
        <v>10020</v>
      </c>
      <c r="F2587" s="158">
        <v>402</v>
      </c>
      <c r="G2587" s="158">
        <v>0.3</v>
      </c>
      <c r="I2587" s="158">
        <v>0.5</v>
      </c>
      <c r="J2587" s="158">
        <v>0.5</v>
      </c>
      <c r="K2587" s="158" t="s">
        <v>238</v>
      </c>
    </row>
    <row r="2588" spans="4:11">
      <c r="D2588" s="158">
        <v>183518</v>
      </c>
      <c r="E2588" s="158">
        <v>10020</v>
      </c>
      <c r="F2588" s="158">
        <v>1667</v>
      </c>
      <c r="G2588" s="158">
        <v>0.65</v>
      </c>
      <c r="H2588" s="158">
        <v>0.8</v>
      </c>
      <c r="I2588" s="158">
        <v>0</v>
      </c>
      <c r="J2588" s="158">
        <v>0.8</v>
      </c>
      <c r="K2588" s="158" t="s">
        <v>238</v>
      </c>
    </row>
    <row r="2589" spans="4:11">
      <c r="D2589" s="158">
        <v>183546</v>
      </c>
      <c r="E2589" s="158">
        <v>10639</v>
      </c>
      <c r="F2589" s="158">
        <v>2160</v>
      </c>
      <c r="H2589" s="158">
        <v>0.5</v>
      </c>
      <c r="J2589" s="158">
        <v>0.5</v>
      </c>
      <c r="K2589" s="158" t="s">
        <v>235</v>
      </c>
    </row>
    <row r="2590" spans="4:11">
      <c r="D2590" s="158">
        <v>183557</v>
      </c>
      <c r="E2590" s="158">
        <v>10719</v>
      </c>
      <c r="F2590" s="158">
        <v>222</v>
      </c>
      <c r="G2590" s="158">
        <v>0</v>
      </c>
      <c r="H2590" s="158">
        <v>0.25</v>
      </c>
      <c r="I2590" s="158">
        <v>0</v>
      </c>
      <c r="J2590" s="158">
        <v>0.25</v>
      </c>
      <c r="K2590" s="158" t="s">
        <v>235</v>
      </c>
    </row>
    <row r="2591" spans="4:11">
      <c r="D2591" s="158">
        <v>183558</v>
      </c>
      <c r="E2591" s="158">
        <v>11213</v>
      </c>
      <c r="F2591" s="158">
        <v>2124</v>
      </c>
      <c r="K2591" s="158" t="s">
        <v>235</v>
      </c>
    </row>
    <row r="2592" spans="4:11">
      <c r="D2592" s="158">
        <v>183572</v>
      </c>
      <c r="E2592" s="158">
        <v>11736</v>
      </c>
      <c r="F2592" s="158">
        <v>2408</v>
      </c>
      <c r="G2592" s="158">
        <v>1.8</v>
      </c>
      <c r="H2592" s="158">
        <v>1.8</v>
      </c>
      <c r="I2592" s="158">
        <v>0</v>
      </c>
      <c r="J2592" s="158">
        <v>1.8</v>
      </c>
      <c r="K2592" s="158" t="s">
        <v>235</v>
      </c>
    </row>
    <row r="2593" spans="4:11">
      <c r="D2593" s="158">
        <v>183630</v>
      </c>
      <c r="E2593" s="158">
        <v>11213</v>
      </c>
      <c r="F2593" s="158">
        <v>222</v>
      </c>
      <c r="H2593" s="158">
        <v>2.5</v>
      </c>
      <c r="J2593" s="158">
        <v>2.5</v>
      </c>
      <c r="K2593" s="158" t="s">
        <v>235</v>
      </c>
    </row>
    <row r="2594" spans="4:11">
      <c r="D2594" s="158">
        <v>183662</v>
      </c>
      <c r="E2594" s="158">
        <v>11213</v>
      </c>
      <c r="F2594" s="158">
        <v>2030</v>
      </c>
      <c r="H2594" s="158">
        <v>0.6</v>
      </c>
      <c r="J2594" s="158">
        <v>0.6</v>
      </c>
      <c r="K2594" s="158" t="s">
        <v>235</v>
      </c>
    </row>
    <row r="2595" spans="4:11">
      <c r="D2595" s="158">
        <v>183681</v>
      </c>
      <c r="E2595" s="158">
        <v>11308</v>
      </c>
      <c r="F2595" s="158">
        <v>881</v>
      </c>
      <c r="K2595" s="158" t="s">
        <v>236</v>
      </c>
    </row>
    <row r="2596" spans="4:11">
      <c r="D2596" s="158">
        <v>183719</v>
      </c>
      <c r="E2596" s="158">
        <v>11309</v>
      </c>
      <c r="F2596" s="158">
        <v>2266</v>
      </c>
      <c r="G2596" s="158">
        <v>2</v>
      </c>
      <c r="H2596" s="158">
        <v>2</v>
      </c>
      <c r="I2596" s="158">
        <v>0</v>
      </c>
      <c r="J2596" s="158">
        <v>2</v>
      </c>
      <c r="K2596" s="158" t="s">
        <v>236</v>
      </c>
    </row>
    <row r="2597" spans="4:11">
      <c r="D2597" s="158">
        <v>183720</v>
      </c>
      <c r="E2597" s="158">
        <v>11309</v>
      </c>
      <c r="F2597" s="158">
        <v>1120</v>
      </c>
      <c r="G2597" s="158">
        <v>4.9000000000000004</v>
      </c>
      <c r="H2597" s="158">
        <v>2.85</v>
      </c>
      <c r="I2597" s="158">
        <v>0</v>
      </c>
      <c r="J2597" s="158">
        <v>2.85</v>
      </c>
      <c r="K2597" s="158" t="s">
        <v>236</v>
      </c>
    </row>
    <row r="2598" spans="4:11">
      <c r="D2598" s="158">
        <v>183721</v>
      </c>
      <c r="E2598" s="158">
        <v>11309</v>
      </c>
      <c r="F2598" s="158">
        <v>1120</v>
      </c>
      <c r="G2598" s="158">
        <v>4</v>
      </c>
      <c r="I2598" s="158">
        <v>0</v>
      </c>
      <c r="J2598" s="158">
        <v>0</v>
      </c>
      <c r="K2598" s="158" t="s">
        <v>236</v>
      </c>
    </row>
    <row r="2599" spans="4:11">
      <c r="D2599" s="158">
        <v>183722</v>
      </c>
      <c r="E2599" s="158">
        <v>11309</v>
      </c>
      <c r="F2599" s="158">
        <v>2266</v>
      </c>
      <c r="G2599" s="158">
        <v>3</v>
      </c>
      <c r="H2599" s="158">
        <v>2</v>
      </c>
      <c r="I2599" s="158">
        <v>0</v>
      </c>
      <c r="J2599" s="158">
        <v>2</v>
      </c>
      <c r="K2599" s="158" t="s">
        <v>236</v>
      </c>
    </row>
    <row r="2600" spans="4:11">
      <c r="D2600" s="158">
        <v>183723</v>
      </c>
      <c r="E2600" s="158">
        <v>11309</v>
      </c>
      <c r="F2600" s="158">
        <v>1120</v>
      </c>
      <c r="G2600" s="158">
        <v>5</v>
      </c>
      <c r="H2600" s="158">
        <v>3.75</v>
      </c>
      <c r="I2600" s="158">
        <v>1.25</v>
      </c>
      <c r="J2600" s="158">
        <v>5</v>
      </c>
      <c r="K2600" s="158" t="s">
        <v>236</v>
      </c>
    </row>
    <row r="2601" spans="4:11">
      <c r="D2601" s="158">
        <v>183724</v>
      </c>
      <c r="E2601" s="158">
        <v>11309</v>
      </c>
      <c r="F2601" s="158">
        <v>2266</v>
      </c>
      <c r="G2601" s="158">
        <v>2</v>
      </c>
      <c r="I2601" s="158">
        <v>2</v>
      </c>
      <c r="J2601" s="158">
        <v>2</v>
      </c>
      <c r="K2601" s="158" t="s">
        <v>236</v>
      </c>
    </row>
    <row r="2602" spans="4:11">
      <c r="D2602" s="158">
        <v>183725</v>
      </c>
      <c r="E2602" s="158">
        <v>11309</v>
      </c>
      <c r="F2602" s="158">
        <v>2135</v>
      </c>
      <c r="G2602" s="158">
        <v>6.9</v>
      </c>
      <c r="H2602" s="158">
        <v>5</v>
      </c>
      <c r="I2602" s="158">
        <v>0</v>
      </c>
      <c r="J2602" s="158">
        <v>5</v>
      </c>
      <c r="K2602" s="158" t="s">
        <v>236</v>
      </c>
    </row>
    <row r="2603" spans="4:11">
      <c r="D2603" s="158">
        <v>183726</v>
      </c>
      <c r="E2603" s="158">
        <v>11308</v>
      </c>
      <c r="F2603" s="158">
        <v>1120</v>
      </c>
      <c r="G2603" s="158">
        <v>5.4</v>
      </c>
      <c r="H2603" s="158">
        <v>2.35</v>
      </c>
      <c r="I2603" s="158">
        <v>0</v>
      </c>
      <c r="J2603" s="158">
        <v>2.35</v>
      </c>
      <c r="K2603" s="158" t="s">
        <v>236</v>
      </c>
    </row>
    <row r="2604" spans="4:11">
      <c r="D2604" s="158">
        <v>183727</v>
      </c>
      <c r="E2604" s="158">
        <v>11308</v>
      </c>
      <c r="F2604" s="158">
        <v>2266</v>
      </c>
      <c r="G2604" s="158">
        <v>1.5</v>
      </c>
      <c r="I2604" s="158">
        <v>0</v>
      </c>
      <c r="J2604" s="158">
        <v>0</v>
      </c>
      <c r="K2604" s="158" t="s">
        <v>236</v>
      </c>
    </row>
    <row r="2605" spans="4:11">
      <c r="D2605" s="158">
        <v>183728</v>
      </c>
      <c r="E2605" s="158">
        <v>11308</v>
      </c>
      <c r="F2605" s="158">
        <v>2135</v>
      </c>
      <c r="G2605" s="158">
        <v>2</v>
      </c>
      <c r="H2605" s="158">
        <v>2</v>
      </c>
      <c r="I2605" s="158">
        <v>0</v>
      </c>
      <c r="J2605" s="158">
        <v>2</v>
      </c>
      <c r="K2605" s="158" t="s">
        <v>236</v>
      </c>
    </row>
    <row r="2606" spans="4:11">
      <c r="D2606" s="158">
        <v>183729</v>
      </c>
      <c r="E2606" s="158">
        <v>11308</v>
      </c>
      <c r="F2606" s="158">
        <v>2135</v>
      </c>
      <c r="G2606" s="158">
        <v>1</v>
      </c>
      <c r="H2606" s="158">
        <v>2.5</v>
      </c>
      <c r="I2606" s="158">
        <v>0</v>
      </c>
      <c r="J2606" s="158">
        <v>2.5</v>
      </c>
      <c r="K2606" s="158" t="s">
        <v>236</v>
      </c>
    </row>
    <row r="2607" spans="4:11">
      <c r="D2607" s="158">
        <v>183730</v>
      </c>
      <c r="E2607" s="158">
        <v>10814</v>
      </c>
      <c r="F2607" s="158">
        <v>2383</v>
      </c>
      <c r="G2607" s="158">
        <v>10.4</v>
      </c>
      <c r="H2607" s="158">
        <v>1</v>
      </c>
      <c r="I2607" s="158">
        <v>9.4</v>
      </c>
      <c r="J2607" s="158">
        <v>10.4</v>
      </c>
      <c r="K2607" s="158" t="s">
        <v>235</v>
      </c>
    </row>
    <row r="2608" spans="4:11">
      <c r="D2608" s="158">
        <v>183731</v>
      </c>
      <c r="E2608" s="158">
        <v>10814</v>
      </c>
      <c r="F2608" s="158">
        <v>2176</v>
      </c>
      <c r="G2608" s="158">
        <v>10.4</v>
      </c>
      <c r="I2608" s="158">
        <v>0</v>
      </c>
      <c r="J2608" s="158">
        <v>10.4</v>
      </c>
      <c r="K2608" s="158" t="s">
        <v>235</v>
      </c>
    </row>
    <row r="2609" spans="4:11">
      <c r="D2609" s="158">
        <v>183733</v>
      </c>
      <c r="E2609" s="158">
        <v>10814</v>
      </c>
      <c r="F2609" s="158">
        <v>1251</v>
      </c>
      <c r="G2609" s="158">
        <v>5.2</v>
      </c>
      <c r="I2609" s="158">
        <v>0</v>
      </c>
      <c r="J2609" s="158">
        <v>5.2</v>
      </c>
      <c r="K2609" s="158" t="s">
        <v>235</v>
      </c>
    </row>
    <row r="2610" spans="4:11">
      <c r="D2610" s="158">
        <v>183735</v>
      </c>
      <c r="E2610" s="158">
        <v>11051</v>
      </c>
      <c r="F2610" s="158">
        <v>300</v>
      </c>
      <c r="G2610" s="158">
        <v>8.9</v>
      </c>
      <c r="H2610" s="158">
        <v>21</v>
      </c>
      <c r="I2610" s="158">
        <v>0</v>
      </c>
      <c r="J2610" s="158">
        <v>21</v>
      </c>
      <c r="K2610" s="158" t="s">
        <v>235</v>
      </c>
    </row>
    <row r="2611" spans="4:11">
      <c r="D2611" s="158">
        <v>183737</v>
      </c>
      <c r="E2611" s="158">
        <v>11051</v>
      </c>
      <c r="F2611" s="158">
        <v>300</v>
      </c>
      <c r="G2611" s="158">
        <v>7.8</v>
      </c>
      <c r="H2611" s="158">
        <v>15</v>
      </c>
      <c r="I2611" s="158">
        <v>0</v>
      </c>
      <c r="J2611" s="158">
        <v>15</v>
      </c>
      <c r="K2611" s="158" t="s">
        <v>235</v>
      </c>
    </row>
    <row r="2612" spans="4:11">
      <c r="D2612" s="158">
        <v>183746</v>
      </c>
      <c r="E2612" s="158">
        <v>11731</v>
      </c>
      <c r="F2612" s="158">
        <v>2184</v>
      </c>
      <c r="G2612" s="158">
        <v>2.95</v>
      </c>
      <c r="H2612" s="158">
        <v>0</v>
      </c>
      <c r="I2612" s="158">
        <v>0</v>
      </c>
      <c r="J2612" s="158">
        <v>0</v>
      </c>
      <c r="K2612" s="158" t="s">
        <v>235</v>
      </c>
    </row>
    <row r="2613" spans="4:11">
      <c r="D2613" s="158">
        <v>183777</v>
      </c>
      <c r="E2613" s="158">
        <v>11743</v>
      </c>
      <c r="F2613" s="158">
        <v>2302</v>
      </c>
      <c r="G2613" s="158">
        <v>0.2</v>
      </c>
      <c r="I2613" s="158">
        <v>0</v>
      </c>
      <c r="J2613" s="158">
        <v>0</v>
      </c>
      <c r="K2613" s="158" t="s">
        <v>235</v>
      </c>
    </row>
    <row r="2614" spans="4:11">
      <c r="D2614" s="158">
        <v>183836</v>
      </c>
      <c r="E2614" s="158">
        <v>11308</v>
      </c>
      <c r="F2614" s="158">
        <v>2266</v>
      </c>
      <c r="G2614" s="158">
        <v>5.9</v>
      </c>
      <c r="H2614" s="158">
        <v>5.5</v>
      </c>
      <c r="I2614" s="158">
        <v>0</v>
      </c>
      <c r="J2614" s="158">
        <v>5.5</v>
      </c>
      <c r="K2614" s="158" t="s">
        <v>236</v>
      </c>
    </row>
    <row r="2615" spans="4:11">
      <c r="D2615" s="158">
        <v>184316</v>
      </c>
      <c r="E2615" s="158">
        <v>10769</v>
      </c>
      <c r="F2615" s="158">
        <v>2028</v>
      </c>
      <c r="H2615" s="158">
        <v>0.25</v>
      </c>
      <c r="J2615" s="158">
        <v>0.25</v>
      </c>
      <c r="K2615" s="158" t="s">
        <v>235</v>
      </c>
    </row>
    <row r="2616" spans="4:11">
      <c r="D2616" s="158">
        <v>184371</v>
      </c>
      <c r="E2616" s="158">
        <v>11731</v>
      </c>
      <c r="F2616" s="158">
        <v>2362</v>
      </c>
      <c r="G2616" s="158">
        <v>2.1</v>
      </c>
      <c r="H2616" s="158">
        <v>3.8</v>
      </c>
      <c r="I2616" s="158">
        <v>0</v>
      </c>
      <c r="J2616" s="158">
        <v>3.8</v>
      </c>
      <c r="K2616" s="158" t="s">
        <v>235</v>
      </c>
    </row>
    <row r="2617" spans="4:11">
      <c r="D2617" s="158">
        <v>184372</v>
      </c>
      <c r="E2617" s="158">
        <v>11921</v>
      </c>
      <c r="F2617" s="158">
        <v>2181</v>
      </c>
      <c r="G2617" s="158">
        <v>1</v>
      </c>
      <c r="H2617" s="158">
        <v>1.8</v>
      </c>
      <c r="I2617" s="158">
        <v>0</v>
      </c>
      <c r="J2617" s="158">
        <v>1.8</v>
      </c>
      <c r="K2617" s="158" t="s">
        <v>235</v>
      </c>
    </row>
    <row r="2618" spans="4:11">
      <c r="D2618" s="158">
        <v>184433</v>
      </c>
      <c r="E2618" s="158">
        <v>11751</v>
      </c>
      <c r="F2618" s="158">
        <v>2181</v>
      </c>
      <c r="G2618" s="158">
        <v>12</v>
      </c>
      <c r="H2618" s="158">
        <v>0.2</v>
      </c>
      <c r="I2618" s="158">
        <v>0</v>
      </c>
      <c r="J2618" s="158">
        <v>0.2</v>
      </c>
      <c r="K2618" s="158" t="s">
        <v>235</v>
      </c>
    </row>
    <row r="2619" spans="4:11">
      <c r="D2619" s="158">
        <v>184441</v>
      </c>
      <c r="E2619" s="158">
        <v>11780</v>
      </c>
      <c r="F2619" s="158">
        <v>2188</v>
      </c>
      <c r="G2619" s="158">
        <v>0.25</v>
      </c>
      <c r="H2619" s="158">
        <v>0.25</v>
      </c>
      <c r="I2619" s="158">
        <v>0</v>
      </c>
      <c r="J2619" s="158">
        <v>0.25</v>
      </c>
      <c r="K2619" s="158" t="s">
        <v>235</v>
      </c>
    </row>
    <row r="2620" spans="4:11">
      <c r="D2620" s="158">
        <v>184442</v>
      </c>
      <c r="E2620" s="158">
        <v>11214</v>
      </c>
      <c r="F2620" s="158">
        <v>2324</v>
      </c>
      <c r="H2620" s="158">
        <v>0.2</v>
      </c>
      <c r="J2620" s="158">
        <v>0.2</v>
      </c>
      <c r="K2620" s="158" t="s">
        <v>235</v>
      </c>
    </row>
    <row r="2621" spans="4:11">
      <c r="D2621" s="158">
        <v>184444</v>
      </c>
      <c r="E2621" s="158">
        <v>10720</v>
      </c>
      <c r="F2621" s="158">
        <v>1014</v>
      </c>
      <c r="G2621" s="158">
        <v>6.4</v>
      </c>
      <c r="H2621" s="158">
        <v>12.95</v>
      </c>
      <c r="I2621" s="158">
        <v>0</v>
      </c>
      <c r="J2621" s="158">
        <v>12.95</v>
      </c>
      <c r="K2621" s="158" t="s">
        <v>235</v>
      </c>
    </row>
    <row r="2622" spans="4:11">
      <c r="D2622" s="158">
        <v>184445</v>
      </c>
      <c r="E2622" s="158">
        <v>10720</v>
      </c>
      <c r="F2622" s="158">
        <v>2030</v>
      </c>
      <c r="G2622" s="158">
        <v>6.4</v>
      </c>
      <c r="H2622" s="158">
        <v>11.3</v>
      </c>
      <c r="I2622" s="158">
        <v>2</v>
      </c>
      <c r="J2622" s="158">
        <v>13.3</v>
      </c>
      <c r="K2622" s="158" t="s">
        <v>235</v>
      </c>
    </row>
    <row r="2623" spans="4:11">
      <c r="D2623" s="158">
        <v>184446</v>
      </c>
      <c r="E2623" s="158">
        <v>10720</v>
      </c>
      <c r="F2623" s="158">
        <v>1738</v>
      </c>
      <c r="G2623" s="158">
        <v>1</v>
      </c>
      <c r="H2623" s="158">
        <v>2.9</v>
      </c>
      <c r="I2623" s="158">
        <v>0</v>
      </c>
      <c r="J2623" s="158">
        <v>2.9</v>
      </c>
      <c r="K2623" s="158" t="s">
        <v>235</v>
      </c>
    </row>
    <row r="2624" spans="4:11">
      <c r="D2624" s="158">
        <v>184480</v>
      </c>
      <c r="E2624" s="158">
        <v>10100</v>
      </c>
      <c r="F2624" s="158">
        <v>229</v>
      </c>
      <c r="G2624" s="158">
        <v>2</v>
      </c>
      <c r="H2624" s="158">
        <v>0.4</v>
      </c>
      <c r="I2624" s="158">
        <v>1.6</v>
      </c>
      <c r="J2624" s="158">
        <v>2</v>
      </c>
      <c r="K2624" s="158" t="s">
        <v>237</v>
      </c>
    </row>
    <row r="2625" spans="4:11">
      <c r="D2625" s="158">
        <v>184481</v>
      </c>
      <c r="E2625" s="158">
        <v>10101</v>
      </c>
      <c r="F2625" s="158">
        <v>180</v>
      </c>
      <c r="K2625" s="158" t="s">
        <v>237</v>
      </c>
    </row>
    <row r="2626" spans="4:11">
      <c r="D2626" s="158">
        <v>184486</v>
      </c>
      <c r="E2626" s="158">
        <v>10693</v>
      </c>
      <c r="F2626" s="158">
        <v>2028</v>
      </c>
      <c r="G2626" s="158">
        <v>0.25</v>
      </c>
      <c r="I2626" s="158">
        <v>0.25</v>
      </c>
      <c r="J2626" s="158">
        <v>0.25</v>
      </c>
      <c r="K2626" s="158" t="s">
        <v>235</v>
      </c>
    </row>
    <row r="2627" spans="4:11">
      <c r="D2627" s="158">
        <v>184487</v>
      </c>
      <c r="E2627" s="158">
        <v>11707</v>
      </c>
      <c r="F2627" s="158">
        <v>2028</v>
      </c>
      <c r="G2627" s="158">
        <v>0.25</v>
      </c>
      <c r="I2627" s="158">
        <v>0.25</v>
      </c>
      <c r="J2627" s="158">
        <v>0.25</v>
      </c>
      <c r="K2627" s="158" t="s">
        <v>235</v>
      </c>
    </row>
    <row r="2628" spans="4:11">
      <c r="D2628" s="158">
        <v>184489</v>
      </c>
      <c r="E2628" s="158">
        <v>11708</v>
      </c>
      <c r="F2628" s="158">
        <v>2028</v>
      </c>
      <c r="G2628" s="158">
        <v>0.25</v>
      </c>
      <c r="I2628" s="158">
        <v>0</v>
      </c>
      <c r="J2628" s="158">
        <v>0</v>
      </c>
      <c r="K2628" s="158" t="s">
        <v>235</v>
      </c>
    </row>
    <row r="2629" spans="4:11">
      <c r="D2629" s="158">
        <v>184493</v>
      </c>
      <c r="E2629" s="158">
        <v>11213</v>
      </c>
      <c r="F2629" s="158">
        <v>2124</v>
      </c>
      <c r="H2629" s="158">
        <v>0</v>
      </c>
      <c r="I2629" s="158">
        <v>0</v>
      </c>
      <c r="J2629" s="158">
        <v>0</v>
      </c>
      <c r="K2629" s="158" t="s">
        <v>235</v>
      </c>
    </row>
    <row r="2630" spans="4:11">
      <c r="D2630" s="158">
        <v>184499</v>
      </c>
      <c r="E2630" s="158">
        <v>11213</v>
      </c>
      <c r="F2630" s="158">
        <v>197</v>
      </c>
      <c r="H2630" s="158">
        <v>0.25</v>
      </c>
      <c r="J2630" s="158">
        <v>0.25</v>
      </c>
      <c r="K2630" s="158" t="s">
        <v>235</v>
      </c>
    </row>
    <row r="2631" spans="4:11">
      <c r="D2631" s="158">
        <v>184506</v>
      </c>
      <c r="E2631" s="158">
        <v>10636</v>
      </c>
      <c r="F2631" s="158">
        <v>197</v>
      </c>
      <c r="K2631" s="158" t="s">
        <v>235</v>
      </c>
    </row>
    <row r="2632" spans="4:11">
      <c r="D2632" s="158">
        <v>184508</v>
      </c>
      <c r="E2632" s="158">
        <v>10759</v>
      </c>
      <c r="F2632" s="158">
        <v>235</v>
      </c>
      <c r="H2632" s="158">
        <v>2.8</v>
      </c>
      <c r="J2632" s="158">
        <v>2.8</v>
      </c>
      <c r="K2632" s="158" t="s">
        <v>235</v>
      </c>
    </row>
    <row r="2633" spans="4:11">
      <c r="D2633" s="158">
        <v>184509</v>
      </c>
      <c r="E2633" s="158">
        <v>11214</v>
      </c>
      <c r="F2633" s="158">
        <v>2062</v>
      </c>
      <c r="H2633" s="158">
        <v>0.1</v>
      </c>
      <c r="J2633" s="158">
        <v>0.1</v>
      </c>
      <c r="K2633" s="158" t="s">
        <v>235</v>
      </c>
    </row>
    <row r="2634" spans="4:11">
      <c r="D2634" s="158">
        <v>184510</v>
      </c>
      <c r="E2634" s="158">
        <v>11307</v>
      </c>
      <c r="F2634" s="158">
        <v>2266</v>
      </c>
      <c r="G2634" s="158">
        <v>3.8</v>
      </c>
      <c r="H2634" s="158">
        <v>1.5</v>
      </c>
      <c r="I2634" s="158">
        <v>0</v>
      </c>
      <c r="J2634" s="158">
        <v>1.5</v>
      </c>
      <c r="K2634" s="158" t="s">
        <v>236</v>
      </c>
    </row>
    <row r="2635" spans="4:11">
      <c r="D2635" s="158">
        <v>184511</v>
      </c>
      <c r="E2635" s="158">
        <v>11307</v>
      </c>
      <c r="F2635" s="158">
        <v>1120</v>
      </c>
      <c r="G2635" s="158">
        <v>10</v>
      </c>
      <c r="H2635" s="158">
        <v>12.05</v>
      </c>
      <c r="I2635" s="158">
        <v>0</v>
      </c>
      <c r="J2635" s="158">
        <v>12.05</v>
      </c>
      <c r="K2635" s="158" t="s">
        <v>236</v>
      </c>
    </row>
    <row r="2636" spans="4:11">
      <c r="D2636" s="158">
        <v>184512</v>
      </c>
      <c r="E2636" s="158">
        <v>11308</v>
      </c>
      <c r="F2636" s="158">
        <v>2266</v>
      </c>
      <c r="G2636" s="158">
        <v>6.9</v>
      </c>
      <c r="H2636" s="158">
        <v>5.5</v>
      </c>
      <c r="I2636" s="158">
        <v>0</v>
      </c>
      <c r="J2636" s="158">
        <v>5.5</v>
      </c>
      <c r="K2636" s="158" t="s">
        <v>236</v>
      </c>
    </row>
    <row r="2637" spans="4:11">
      <c r="D2637" s="158">
        <v>184513</v>
      </c>
      <c r="E2637" s="158">
        <v>11214</v>
      </c>
      <c r="F2637" s="158">
        <v>197</v>
      </c>
      <c r="H2637" s="158">
        <v>0.25</v>
      </c>
      <c r="J2637" s="158">
        <v>0.25</v>
      </c>
      <c r="K2637" s="158" t="s">
        <v>235</v>
      </c>
    </row>
    <row r="2638" spans="4:11">
      <c r="D2638" s="158">
        <v>184520</v>
      </c>
      <c r="E2638" s="158">
        <v>10725</v>
      </c>
      <c r="F2638" s="158">
        <v>235</v>
      </c>
      <c r="H2638" s="158">
        <v>3.2</v>
      </c>
      <c r="J2638" s="158">
        <v>3.2</v>
      </c>
      <c r="K2638" s="158" t="s">
        <v>235</v>
      </c>
    </row>
    <row r="2639" spans="4:11">
      <c r="D2639" s="158">
        <v>184599</v>
      </c>
      <c r="E2639" s="158">
        <v>10100</v>
      </c>
      <c r="F2639" s="158">
        <v>229</v>
      </c>
      <c r="G2639" s="158">
        <v>4.5</v>
      </c>
      <c r="H2639" s="158">
        <v>4.0999999999999996</v>
      </c>
      <c r="I2639" s="158">
        <v>1</v>
      </c>
      <c r="J2639" s="158">
        <v>5.0999999999999996</v>
      </c>
      <c r="K2639" s="158" t="s">
        <v>237</v>
      </c>
    </row>
    <row r="2640" spans="4:11">
      <c r="D2640" s="158">
        <v>184600</v>
      </c>
      <c r="E2640" s="158">
        <v>10100</v>
      </c>
      <c r="F2640" s="158">
        <v>229</v>
      </c>
      <c r="G2640" s="158">
        <v>0.5</v>
      </c>
      <c r="I2640" s="158">
        <v>0</v>
      </c>
      <c r="J2640" s="158">
        <v>0</v>
      </c>
      <c r="K2640" s="158" t="s">
        <v>237</v>
      </c>
    </row>
    <row r="2641" spans="4:11">
      <c r="D2641" s="158">
        <v>184601</v>
      </c>
      <c r="E2641" s="158">
        <v>11213</v>
      </c>
      <c r="F2641" s="158">
        <v>1014</v>
      </c>
      <c r="K2641" s="158" t="s">
        <v>235</v>
      </c>
    </row>
    <row r="2642" spans="4:11">
      <c r="D2642" s="158">
        <v>184636</v>
      </c>
      <c r="E2642" s="158">
        <v>10768</v>
      </c>
      <c r="F2642" s="158">
        <v>2028</v>
      </c>
      <c r="H2642" s="158">
        <v>0.25</v>
      </c>
      <c r="J2642" s="158">
        <v>0.25</v>
      </c>
      <c r="K2642" s="158" t="s">
        <v>235</v>
      </c>
    </row>
    <row r="2643" spans="4:11">
      <c r="D2643" s="158">
        <v>184637</v>
      </c>
      <c r="E2643" s="158">
        <v>10768</v>
      </c>
      <c r="F2643" s="158">
        <v>2028</v>
      </c>
      <c r="H2643" s="158">
        <v>0.25</v>
      </c>
      <c r="J2643" s="158">
        <v>0.25</v>
      </c>
      <c r="K2643" s="158" t="s">
        <v>235</v>
      </c>
    </row>
    <row r="2644" spans="4:11">
      <c r="D2644" s="158">
        <v>184654</v>
      </c>
      <c r="E2644" s="158">
        <v>10720</v>
      </c>
      <c r="F2644" s="158">
        <v>1738</v>
      </c>
      <c r="H2644" s="158">
        <v>14.5</v>
      </c>
      <c r="I2644" s="158">
        <v>3.5</v>
      </c>
      <c r="J2644" s="158">
        <v>18</v>
      </c>
      <c r="K2644" s="158" t="s">
        <v>235</v>
      </c>
    </row>
    <row r="2645" spans="4:11">
      <c r="D2645" s="158">
        <v>184662</v>
      </c>
      <c r="E2645" s="158">
        <v>10816</v>
      </c>
      <c r="F2645" s="158">
        <v>2028</v>
      </c>
      <c r="K2645" s="158" t="s">
        <v>235</v>
      </c>
    </row>
    <row r="2646" spans="4:11">
      <c r="D2646" s="158">
        <v>184663</v>
      </c>
      <c r="E2646" s="158">
        <v>11741</v>
      </c>
      <c r="F2646" s="158">
        <v>2181</v>
      </c>
      <c r="G2646" s="158">
        <v>12.4</v>
      </c>
      <c r="H2646" s="158">
        <v>8.5</v>
      </c>
      <c r="I2646" s="158">
        <v>0</v>
      </c>
      <c r="J2646" s="158">
        <v>8.5</v>
      </c>
      <c r="K2646" s="158" t="s">
        <v>235</v>
      </c>
    </row>
    <row r="2647" spans="4:11">
      <c r="D2647" s="158">
        <v>184664</v>
      </c>
      <c r="E2647" s="158">
        <v>11741</v>
      </c>
      <c r="F2647" s="158">
        <v>2181</v>
      </c>
      <c r="G2647" s="158">
        <v>12.4</v>
      </c>
      <c r="H2647" s="158">
        <v>6</v>
      </c>
      <c r="I2647" s="158">
        <v>0</v>
      </c>
      <c r="J2647" s="158">
        <v>6</v>
      </c>
      <c r="K2647" s="158" t="s">
        <v>235</v>
      </c>
    </row>
    <row r="2648" spans="4:11">
      <c r="D2648" s="158">
        <v>184666</v>
      </c>
      <c r="E2648" s="158">
        <v>11308</v>
      </c>
      <c r="F2648" s="158">
        <v>2266</v>
      </c>
      <c r="G2648" s="158">
        <v>4.9000000000000004</v>
      </c>
      <c r="H2648" s="158">
        <v>3</v>
      </c>
      <c r="I2648" s="158">
        <v>0</v>
      </c>
      <c r="J2648" s="158">
        <v>3</v>
      </c>
      <c r="K2648" s="158" t="s">
        <v>236</v>
      </c>
    </row>
    <row r="2649" spans="4:11">
      <c r="D2649" s="158">
        <v>184679</v>
      </c>
      <c r="E2649" s="158">
        <v>10691</v>
      </c>
      <c r="F2649" s="158">
        <v>2184</v>
      </c>
      <c r="G2649" s="158">
        <v>11.6</v>
      </c>
      <c r="H2649" s="158">
        <v>2</v>
      </c>
      <c r="I2649" s="158">
        <v>9.6</v>
      </c>
      <c r="J2649" s="158">
        <v>11.6</v>
      </c>
      <c r="K2649" s="158" t="s">
        <v>235</v>
      </c>
    </row>
    <row r="2650" spans="4:11">
      <c r="D2650" s="158">
        <v>184682</v>
      </c>
      <c r="E2650" s="158">
        <v>10691</v>
      </c>
      <c r="F2650" s="158">
        <v>2362</v>
      </c>
      <c r="G2650" s="158">
        <v>15</v>
      </c>
      <c r="H2650" s="158">
        <v>0</v>
      </c>
      <c r="I2650" s="158">
        <v>15</v>
      </c>
      <c r="J2650" s="158">
        <v>15</v>
      </c>
      <c r="K2650" s="158" t="s">
        <v>235</v>
      </c>
    </row>
    <row r="2651" spans="4:11">
      <c r="D2651" s="158">
        <v>184685</v>
      </c>
      <c r="E2651" s="158">
        <v>11214</v>
      </c>
      <c r="F2651" s="158">
        <v>1738</v>
      </c>
      <c r="H2651" s="158">
        <v>0.5</v>
      </c>
      <c r="J2651" s="158">
        <v>0.5</v>
      </c>
      <c r="K2651" s="158" t="s">
        <v>235</v>
      </c>
    </row>
    <row r="2652" spans="4:11">
      <c r="D2652" s="158">
        <v>184686</v>
      </c>
      <c r="E2652" s="158">
        <v>10750</v>
      </c>
      <c r="F2652" s="158">
        <v>1738</v>
      </c>
      <c r="G2652" s="158">
        <v>2.25</v>
      </c>
      <c r="H2652" s="158">
        <v>2.35</v>
      </c>
      <c r="I2652" s="158">
        <v>0</v>
      </c>
      <c r="J2652" s="158">
        <v>2.35</v>
      </c>
      <c r="K2652" s="158" t="s">
        <v>235</v>
      </c>
    </row>
    <row r="2653" spans="4:11">
      <c r="D2653" s="158">
        <v>184687</v>
      </c>
      <c r="E2653" s="158">
        <v>10639</v>
      </c>
      <c r="F2653" s="158">
        <v>2188</v>
      </c>
      <c r="G2653" s="158">
        <v>1.5</v>
      </c>
      <c r="H2653" s="158">
        <v>1.5</v>
      </c>
      <c r="I2653" s="158">
        <v>0</v>
      </c>
      <c r="J2653" s="158">
        <v>1.5</v>
      </c>
      <c r="K2653" s="158" t="s">
        <v>235</v>
      </c>
    </row>
    <row r="2654" spans="4:11">
      <c r="D2654" s="158">
        <v>184688</v>
      </c>
      <c r="E2654" s="158">
        <v>10639</v>
      </c>
      <c r="F2654" s="158">
        <v>2485</v>
      </c>
      <c r="G2654" s="158">
        <v>6.75</v>
      </c>
      <c r="H2654" s="158">
        <v>15.75</v>
      </c>
      <c r="I2654" s="158">
        <v>0</v>
      </c>
      <c r="J2654" s="158">
        <v>15.75</v>
      </c>
      <c r="K2654" s="158" t="s">
        <v>235</v>
      </c>
    </row>
    <row r="2655" spans="4:11">
      <c r="D2655" s="158">
        <v>184689</v>
      </c>
      <c r="E2655" s="158">
        <v>10816</v>
      </c>
      <c r="F2655" s="158">
        <v>881</v>
      </c>
      <c r="K2655" s="158" t="s">
        <v>235</v>
      </c>
    </row>
    <row r="2656" spans="4:11">
      <c r="D2656" s="158">
        <v>184690</v>
      </c>
      <c r="E2656" s="158">
        <v>10816</v>
      </c>
      <c r="F2656" s="158">
        <v>881</v>
      </c>
      <c r="K2656" s="158" t="s">
        <v>235</v>
      </c>
    </row>
    <row r="2657" spans="4:11">
      <c r="D2657" s="158">
        <v>184691</v>
      </c>
      <c r="E2657" s="158">
        <v>10100</v>
      </c>
      <c r="F2657" s="158">
        <v>229</v>
      </c>
      <c r="G2657" s="158">
        <v>4.5</v>
      </c>
      <c r="H2657" s="158">
        <v>4.4000000000000004</v>
      </c>
      <c r="I2657" s="158">
        <v>0.1</v>
      </c>
      <c r="J2657" s="158">
        <v>4.5</v>
      </c>
      <c r="K2657" s="158" t="s">
        <v>237</v>
      </c>
    </row>
    <row r="2658" spans="4:11">
      <c r="D2658" s="158">
        <v>184692</v>
      </c>
      <c r="E2658" s="158">
        <v>10100</v>
      </c>
      <c r="F2658" s="158">
        <v>229</v>
      </c>
      <c r="G2658" s="158">
        <v>0.5</v>
      </c>
      <c r="I2658" s="158">
        <v>0.5</v>
      </c>
      <c r="J2658" s="158">
        <v>0.5</v>
      </c>
      <c r="K2658" s="158" t="s">
        <v>237</v>
      </c>
    </row>
    <row r="2659" spans="4:11">
      <c r="D2659" s="158">
        <v>184713</v>
      </c>
      <c r="E2659" s="158">
        <v>10020</v>
      </c>
      <c r="F2659" s="158">
        <v>1667</v>
      </c>
      <c r="G2659" s="158">
        <v>6.05</v>
      </c>
      <c r="H2659" s="158">
        <v>1.8</v>
      </c>
      <c r="I2659" s="158">
        <v>4.25</v>
      </c>
      <c r="J2659" s="158">
        <v>6.05</v>
      </c>
      <c r="K2659" s="158" t="s">
        <v>238</v>
      </c>
    </row>
    <row r="2660" spans="4:11">
      <c r="D2660" s="158">
        <v>184715</v>
      </c>
      <c r="E2660" s="158">
        <v>10020</v>
      </c>
      <c r="F2660" s="158">
        <v>229</v>
      </c>
      <c r="G2660" s="158">
        <v>0.3</v>
      </c>
      <c r="H2660" s="158">
        <v>0.6</v>
      </c>
      <c r="I2660" s="158">
        <v>0</v>
      </c>
      <c r="J2660" s="158">
        <v>0.6</v>
      </c>
      <c r="K2660" s="158" t="s">
        <v>238</v>
      </c>
    </row>
    <row r="2661" spans="4:11">
      <c r="D2661" s="158">
        <v>184716</v>
      </c>
      <c r="E2661" s="158">
        <v>10020</v>
      </c>
      <c r="F2661" s="158">
        <v>2264</v>
      </c>
      <c r="G2661" s="158">
        <v>0.3</v>
      </c>
      <c r="H2661" s="158">
        <v>0.1</v>
      </c>
      <c r="I2661" s="158">
        <v>0.2</v>
      </c>
      <c r="J2661" s="158">
        <v>0.3</v>
      </c>
      <c r="K2661" s="158" t="s">
        <v>238</v>
      </c>
    </row>
    <row r="2662" spans="4:11">
      <c r="D2662" s="158">
        <v>184717</v>
      </c>
      <c r="E2662" s="158">
        <v>10020</v>
      </c>
      <c r="F2662" s="158">
        <v>402</v>
      </c>
      <c r="G2662" s="158">
        <v>0.3</v>
      </c>
      <c r="I2662" s="158">
        <v>0.3</v>
      </c>
      <c r="J2662" s="158">
        <v>0.3</v>
      </c>
      <c r="K2662" s="158" t="s">
        <v>238</v>
      </c>
    </row>
    <row r="2663" spans="4:11">
      <c r="D2663" s="158">
        <v>184718</v>
      </c>
      <c r="E2663" s="158">
        <v>10020</v>
      </c>
      <c r="F2663" s="158">
        <v>2264</v>
      </c>
      <c r="G2663" s="158">
        <v>6.95</v>
      </c>
      <c r="H2663" s="158">
        <v>3.62</v>
      </c>
      <c r="I2663" s="158">
        <v>2.83</v>
      </c>
      <c r="J2663" s="158">
        <v>6.45</v>
      </c>
      <c r="K2663" s="158" t="s">
        <v>238</v>
      </c>
    </row>
    <row r="2664" spans="4:11">
      <c r="D2664" s="158">
        <v>184723</v>
      </c>
      <c r="E2664" s="158">
        <v>10101</v>
      </c>
      <c r="F2664" s="158">
        <v>2359</v>
      </c>
      <c r="K2664" s="158" t="s">
        <v>237</v>
      </c>
    </row>
    <row r="2665" spans="4:11">
      <c r="D2665" s="158">
        <v>184724</v>
      </c>
      <c r="E2665" s="158">
        <v>10020</v>
      </c>
      <c r="F2665" s="158">
        <v>229</v>
      </c>
      <c r="G2665" s="158">
        <v>0.4</v>
      </c>
      <c r="H2665" s="158">
        <v>0.4</v>
      </c>
      <c r="I2665" s="158">
        <v>0</v>
      </c>
      <c r="J2665" s="158">
        <v>0.4</v>
      </c>
      <c r="K2665" s="158" t="s">
        <v>238</v>
      </c>
    </row>
    <row r="2666" spans="4:11">
      <c r="D2666" s="158">
        <v>184751</v>
      </c>
      <c r="E2666" s="158">
        <v>10098</v>
      </c>
      <c r="F2666" s="158">
        <v>2001</v>
      </c>
      <c r="G2666" s="158">
        <v>2.7</v>
      </c>
      <c r="H2666" s="158">
        <v>2.9</v>
      </c>
      <c r="I2666" s="158">
        <v>0.8</v>
      </c>
      <c r="J2666" s="158">
        <v>3.7</v>
      </c>
      <c r="K2666" s="158" t="s">
        <v>237</v>
      </c>
    </row>
    <row r="2667" spans="4:11">
      <c r="D2667" s="158">
        <v>184778</v>
      </c>
      <c r="E2667" s="158">
        <v>10754</v>
      </c>
      <c r="F2667" s="158">
        <v>2324</v>
      </c>
      <c r="H2667" s="158">
        <v>5.3</v>
      </c>
      <c r="I2667" s="158">
        <v>0.5</v>
      </c>
      <c r="J2667" s="158">
        <v>5.8</v>
      </c>
      <c r="K2667" s="158" t="s">
        <v>235</v>
      </c>
    </row>
    <row r="2668" spans="4:11">
      <c r="D2668" s="158">
        <v>184780</v>
      </c>
      <c r="E2668" s="158">
        <v>11951</v>
      </c>
      <c r="F2668" s="158">
        <v>2142</v>
      </c>
      <c r="G2668" s="158">
        <v>0.75</v>
      </c>
      <c r="H2668" s="158">
        <v>0.75</v>
      </c>
      <c r="I2668" s="158">
        <v>0</v>
      </c>
      <c r="J2668" s="158">
        <v>0.75</v>
      </c>
      <c r="K2668" s="158" t="s">
        <v>235</v>
      </c>
    </row>
    <row r="2669" spans="4:11">
      <c r="D2669" s="158">
        <v>184800</v>
      </c>
      <c r="E2669" s="158">
        <v>10010</v>
      </c>
      <c r="F2669" s="158">
        <v>2471</v>
      </c>
      <c r="H2669" s="158">
        <v>0.15</v>
      </c>
      <c r="J2669" s="158">
        <v>0.15</v>
      </c>
      <c r="K2669" s="158" t="s">
        <v>238</v>
      </c>
    </row>
    <row r="2670" spans="4:11">
      <c r="D2670" s="158">
        <v>184801</v>
      </c>
      <c r="E2670" s="158">
        <v>10011</v>
      </c>
      <c r="F2670" s="158">
        <v>2471</v>
      </c>
      <c r="K2670" s="158" t="s">
        <v>238</v>
      </c>
    </row>
    <row r="2671" spans="4:11">
      <c r="D2671" s="158">
        <v>184802</v>
      </c>
      <c r="E2671" s="158">
        <v>10011</v>
      </c>
      <c r="F2671" s="158">
        <v>2471</v>
      </c>
      <c r="H2671" s="158">
        <v>20</v>
      </c>
      <c r="J2671" s="158">
        <v>20</v>
      </c>
      <c r="K2671" s="158" t="s">
        <v>238</v>
      </c>
    </row>
    <row r="2672" spans="4:11">
      <c r="D2672" s="158">
        <v>184803</v>
      </c>
      <c r="E2672" s="158">
        <v>10012</v>
      </c>
      <c r="F2672" s="158">
        <v>2471</v>
      </c>
      <c r="H2672" s="158">
        <v>4.4000000000000004</v>
      </c>
      <c r="J2672" s="158">
        <v>4.4000000000000004</v>
      </c>
      <c r="K2672" s="158" t="s">
        <v>238</v>
      </c>
    </row>
    <row r="2673" spans="4:11">
      <c r="D2673" s="158">
        <v>184804</v>
      </c>
      <c r="E2673" s="158">
        <v>10013</v>
      </c>
      <c r="F2673" s="158">
        <v>2471</v>
      </c>
      <c r="H2673" s="158">
        <v>0</v>
      </c>
      <c r="J2673" s="158">
        <v>0</v>
      </c>
      <c r="K2673" s="158" t="s">
        <v>238</v>
      </c>
    </row>
    <row r="2674" spans="4:11">
      <c r="D2674" s="158">
        <v>184805</v>
      </c>
      <c r="E2674" s="158">
        <v>10013</v>
      </c>
      <c r="F2674" s="158">
        <v>2416</v>
      </c>
      <c r="K2674" s="158" t="s">
        <v>238</v>
      </c>
    </row>
    <row r="2675" spans="4:11">
      <c r="D2675" s="158">
        <v>184806</v>
      </c>
      <c r="E2675" s="158">
        <v>10014</v>
      </c>
      <c r="F2675" s="158">
        <v>2471</v>
      </c>
      <c r="H2675" s="158">
        <v>3.2</v>
      </c>
      <c r="J2675" s="158">
        <v>3.2</v>
      </c>
      <c r="K2675" s="158" t="s">
        <v>238</v>
      </c>
    </row>
    <row r="2676" spans="4:11">
      <c r="D2676" s="158">
        <v>184807</v>
      </c>
      <c r="E2676" s="158">
        <v>10014</v>
      </c>
      <c r="F2676" s="158">
        <v>2471</v>
      </c>
      <c r="H2676" s="158">
        <v>3.05</v>
      </c>
      <c r="J2676" s="158">
        <v>3.05</v>
      </c>
      <c r="K2676" s="158" t="s">
        <v>238</v>
      </c>
    </row>
    <row r="2677" spans="4:11">
      <c r="D2677" s="158">
        <v>184808</v>
      </c>
      <c r="E2677" s="158">
        <v>10015</v>
      </c>
      <c r="F2677" s="158">
        <v>2471</v>
      </c>
      <c r="H2677" s="158">
        <v>5.2</v>
      </c>
      <c r="J2677" s="158">
        <v>5.2</v>
      </c>
      <c r="K2677" s="158" t="s">
        <v>238</v>
      </c>
    </row>
    <row r="2678" spans="4:11">
      <c r="D2678" s="158">
        <v>184809</v>
      </c>
      <c r="E2678" s="158">
        <v>10015</v>
      </c>
      <c r="F2678" s="158">
        <v>2471</v>
      </c>
      <c r="H2678" s="158">
        <v>1</v>
      </c>
      <c r="J2678" s="158">
        <v>1</v>
      </c>
      <c r="K2678" s="158" t="s">
        <v>238</v>
      </c>
    </row>
    <row r="2679" spans="4:11">
      <c r="D2679" s="158">
        <v>184810</v>
      </c>
      <c r="E2679" s="158">
        <v>10015</v>
      </c>
      <c r="F2679" s="158">
        <v>2471</v>
      </c>
      <c r="H2679" s="158">
        <v>1.4</v>
      </c>
      <c r="J2679" s="158">
        <v>1.4</v>
      </c>
      <c r="K2679" s="158" t="s">
        <v>238</v>
      </c>
    </row>
    <row r="2680" spans="4:11">
      <c r="D2680" s="158">
        <v>184811</v>
      </c>
      <c r="E2680" s="158">
        <v>10015</v>
      </c>
      <c r="F2680" s="158">
        <v>2471</v>
      </c>
      <c r="H2680" s="158">
        <v>1.8</v>
      </c>
      <c r="J2680" s="158">
        <v>1.8</v>
      </c>
      <c r="K2680" s="158" t="s">
        <v>238</v>
      </c>
    </row>
    <row r="2681" spans="4:11">
      <c r="D2681" s="158">
        <v>184812</v>
      </c>
      <c r="E2681" s="158">
        <v>10015</v>
      </c>
      <c r="F2681" s="158">
        <v>2471</v>
      </c>
      <c r="H2681" s="158">
        <v>1</v>
      </c>
      <c r="J2681" s="158">
        <v>1</v>
      </c>
      <c r="K2681" s="158" t="s">
        <v>238</v>
      </c>
    </row>
    <row r="2682" spans="4:11">
      <c r="D2682" s="158">
        <v>184813</v>
      </c>
      <c r="E2682" s="158">
        <v>10097</v>
      </c>
      <c r="F2682" s="158">
        <v>2471</v>
      </c>
      <c r="H2682" s="158">
        <v>0.8</v>
      </c>
      <c r="J2682" s="158">
        <v>0.8</v>
      </c>
      <c r="K2682" s="158" t="s">
        <v>237</v>
      </c>
    </row>
    <row r="2683" spans="4:11">
      <c r="D2683" s="158">
        <v>184838</v>
      </c>
      <c r="E2683" s="158">
        <v>10759</v>
      </c>
      <c r="F2683" s="158">
        <v>2028</v>
      </c>
      <c r="H2683" s="158">
        <v>0.25</v>
      </c>
      <c r="J2683" s="158">
        <v>0.25</v>
      </c>
      <c r="K2683" s="158" t="s">
        <v>235</v>
      </c>
    </row>
    <row r="2684" spans="4:11">
      <c r="D2684" s="158">
        <v>185048</v>
      </c>
      <c r="E2684" s="158">
        <v>10639</v>
      </c>
      <c r="F2684" s="158">
        <v>2481</v>
      </c>
      <c r="H2684" s="158">
        <v>28</v>
      </c>
      <c r="I2684" s="158">
        <v>11</v>
      </c>
      <c r="J2684" s="158">
        <v>39</v>
      </c>
      <c r="K2684" s="158" t="s">
        <v>235</v>
      </c>
    </row>
    <row r="2685" spans="4:11">
      <c r="D2685" s="158">
        <v>185049</v>
      </c>
      <c r="E2685" s="158">
        <v>11255</v>
      </c>
      <c r="F2685" s="158">
        <v>2481</v>
      </c>
      <c r="H2685" s="158">
        <v>6</v>
      </c>
      <c r="I2685" s="158">
        <v>0</v>
      </c>
      <c r="J2685" s="158">
        <v>6</v>
      </c>
      <c r="K2685" s="158" t="s">
        <v>236</v>
      </c>
    </row>
    <row r="2686" spans="4:11">
      <c r="D2686" s="158">
        <v>185104</v>
      </c>
      <c r="E2686" s="158">
        <v>11742</v>
      </c>
      <c r="F2686" s="158">
        <v>2181</v>
      </c>
      <c r="G2686" s="158">
        <v>6.2</v>
      </c>
      <c r="H2686" s="158">
        <v>3.8</v>
      </c>
      <c r="I2686" s="158">
        <v>0</v>
      </c>
      <c r="J2686" s="158">
        <v>3.8</v>
      </c>
      <c r="K2686" s="158" t="s">
        <v>235</v>
      </c>
    </row>
    <row r="2687" spans="4:11">
      <c r="D2687" s="158">
        <v>185142</v>
      </c>
      <c r="E2687" s="158">
        <v>11712</v>
      </c>
      <c r="F2687" s="158">
        <v>2123</v>
      </c>
      <c r="G2687" s="158">
        <v>2.1</v>
      </c>
      <c r="H2687" s="158">
        <v>2</v>
      </c>
      <c r="I2687" s="158">
        <v>0</v>
      </c>
      <c r="J2687" s="158">
        <v>2</v>
      </c>
      <c r="K2687" s="158" t="s">
        <v>235</v>
      </c>
    </row>
    <row r="2688" spans="4:11">
      <c r="D2688" s="158">
        <v>185143</v>
      </c>
      <c r="E2688" s="158">
        <v>11712</v>
      </c>
      <c r="F2688" s="158">
        <v>2123</v>
      </c>
      <c r="G2688" s="158">
        <v>4.0999999999999996</v>
      </c>
      <c r="H2688" s="158">
        <v>4</v>
      </c>
      <c r="I2688" s="158">
        <v>0</v>
      </c>
      <c r="J2688" s="158">
        <v>4</v>
      </c>
      <c r="K2688" s="158" t="s">
        <v>235</v>
      </c>
    </row>
    <row r="2689" spans="4:11">
      <c r="D2689" s="158">
        <v>185225</v>
      </c>
      <c r="E2689" s="158">
        <v>10098</v>
      </c>
      <c r="F2689" s="158">
        <v>2001</v>
      </c>
      <c r="G2689" s="158">
        <v>5</v>
      </c>
      <c r="H2689" s="158">
        <v>2.1</v>
      </c>
      <c r="I2689" s="158">
        <v>2.9</v>
      </c>
      <c r="J2689" s="158">
        <v>5</v>
      </c>
      <c r="K2689" s="158" t="s">
        <v>237</v>
      </c>
    </row>
    <row r="2690" spans="4:11">
      <c r="D2690" s="158">
        <v>185245</v>
      </c>
      <c r="E2690" s="158">
        <v>10098</v>
      </c>
      <c r="F2690" s="158">
        <v>2001</v>
      </c>
      <c r="K2690" s="158" t="s">
        <v>237</v>
      </c>
    </row>
    <row r="2691" spans="4:11">
      <c r="D2691" s="158">
        <v>185247</v>
      </c>
      <c r="E2691" s="158">
        <v>10098</v>
      </c>
      <c r="F2691" s="158">
        <v>2001</v>
      </c>
      <c r="K2691" s="158" t="s">
        <v>237</v>
      </c>
    </row>
    <row r="2692" spans="4:11">
      <c r="D2692" s="158">
        <v>185248</v>
      </c>
      <c r="E2692" s="158">
        <v>10103</v>
      </c>
      <c r="F2692" s="158">
        <v>1039</v>
      </c>
      <c r="K2692" s="158" t="s">
        <v>237</v>
      </c>
    </row>
    <row r="2693" spans="4:11">
      <c r="D2693" s="158">
        <v>185262</v>
      </c>
      <c r="E2693" s="158">
        <v>11308</v>
      </c>
      <c r="F2693" s="158">
        <v>1120</v>
      </c>
      <c r="G2693" s="158">
        <v>6.9</v>
      </c>
      <c r="H2693" s="158">
        <v>3.75</v>
      </c>
      <c r="I2693" s="158">
        <v>3</v>
      </c>
      <c r="J2693" s="158">
        <v>6.75</v>
      </c>
      <c r="K2693" s="158" t="s">
        <v>236</v>
      </c>
    </row>
    <row r="2694" spans="4:11">
      <c r="D2694" s="158">
        <v>185264</v>
      </c>
      <c r="E2694" s="158">
        <v>10816</v>
      </c>
      <c r="F2694" s="158">
        <v>2122</v>
      </c>
      <c r="H2694" s="158">
        <v>7</v>
      </c>
      <c r="I2694" s="158">
        <v>5</v>
      </c>
      <c r="J2694" s="158">
        <v>12</v>
      </c>
      <c r="K2694" s="158" t="s">
        <v>235</v>
      </c>
    </row>
    <row r="2695" spans="4:11">
      <c r="D2695" s="158">
        <v>185265</v>
      </c>
      <c r="E2695" s="158">
        <v>10688</v>
      </c>
      <c r="F2695" s="158">
        <v>2028</v>
      </c>
      <c r="I2695" s="158">
        <v>0</v>
      </c>
      <c r="J2695" s="158">
        <v>0</v>
      </c>
      <c r="K2695" s="158" t="s">
        <v>235</v>
      </c>
    </row>
    <row r="2696" spans="4:11">
      <c r="D2696" s="158">
        <v>185266</v>
      </c>
      <c r="E2696" s="158">
        <v>10769</v>
      </c>
      <c r="F2696" s="158">
        <v>235</v>
      </c>
      <c r="H2696" s="158">
        <v>0.6</v>
      </c>
      <c r="J2696" s="158">
        <v>0.6</v>
      </c>
      <c r="K2696" s="158" t="s">
        <v>235</v>
      </c>
    </row>
    <row r="2697" spans="4:11">
      <c r="D2697" s="158">
        <v>185267</v>
      </c>
      <c r="E2697" s="158">
        <v>11214</v>
      </c>
      <c r="F2697" s="158">
        <v>2062</v>
      </c>
      <c r="H2697" s="158">
        <v>1</v>
      </c>
      <c r="J2697" s="158">
        <v>1</v>
      </c>
      <c r="K2697" s="158" t="s">
        <v>235</v>
      </c>
    </row>
    <row r="2698" spans="4:11">
      <c r="D2698" s="158">
        <v>185412</v>
      </c>
      <c r="E2698" s="158">
        <v>11213</v>
      </c>
      <c r="F2698" s="158">
        <v>2062</v>
      </c>
      <c r="H2698" s="158">
        <v>0.15</v>
      </c>
      <c r="J2698" s="158">
        <v>0.15</v>
      </c>
      <c r="K2698" s="158" t="s">
        <v>235</v>
      </c>
    </row>
    <row r="2699" spans="4:11">
      <c r="D2699" s="158">
        <v>185477</v>
      </c>
      <c r="E2699" s="158">
        <v>10020</v>
      </c>
      <c r="F2699" s="158">
        <v>1667</v>
      </c>
      <c r="G2699" s="158">
        <v>0.55000000000000004</v>
      </c>
      <c r="H2699" s="158">
        <v>0.3</v>
      </c>
      <c r="I2699" s="158">
        <v>0.35</v>
      </c>
      <c r="J2699" s="158">
        <v>0.65</v>
      </c>
      <c r="K2699" s="158" t="s">
        <v>238</v>
      </c>
    </row>
    <row r="2700" spans="4:11">
      <c r="D2700" s="158">
        <v>185479</v>
      </c>
      <c r="E2700" s="158">
        <v>10020</v>
      </c>
      <c r="F2700" s="158">
        <v>1667</v>
      </c>
      <c r="G2700" s="158">
        <v>0.5</v>
      </c>
      <c r="H2700" s="158">
        <v>0.4</v>
      </c>
      <c r="I2700" s="158">
        <v>0.1</v>
      </c>
      <c r="J2700" s="158">
        <v>0.5</v>
      </c>
      <c r="K2700" s="158" t="s">
        <v>238</v>
      </c>
    </row>
    <row r="2701" spans="4:11">
      <c r="D2701" s="158">
        <v>185482</v>
      </c>
      <c r="E2701" s="158">
        <v>10815</v>
      </c>
      <c r="F2701" s="158">
        <v>1251</v>
      </c>
      <c r="G2701" s="158">
        <v>2</v>
      </c>
      <c r="H2701" s="158">
        <v>2</v>
      </c>
      <c r="I2701" s="158">
        <v>0</v>
      </c>
      <c r="J2701" s="158">
        <v>2</v>
      </c>
      <c r="K2701" s="158" t="s">
        <v>235</v>
      </c>
    </row>
    <row r="2702" spans="4:11">
      <c r="D2702" s="158">
        <v>185679</v>
      </c>
      <c r="E2702" s="158">
        <v>11044</v>
      </c>
      <c r="F2702" s="158">
        <v>2573</v>
      </c>
      <c r="I2702" s="158">
        <v>15</v>
      </c>
      <c r="J2702" s="158">
        <v>15</v>
      </c>
      <c r="K2702" s="158" t="s">
        <v>235</v>
      </c>
    </row>
    <row r="2703" spans="4:11">
      <c r="D2703" s="158">
        <v>185683</v>
      </c>
      <c r="E2703" s="158">
        <v>10639</v>
      </c>
      <c r="F2703" s="158">
        <v>2533</v>
      </c>
      <c r="G2703" s="158">
        <v>9</v>
      </c>
      <c r="H2703" s="158">
        <v>10.75</v>
      </c>
      <c r="I2703" s="158">
        <v>0</v>
      </c>
      <c r="J2703" s="158">
        <v>10.75</v>
      </c>
      <c r="K2703" s="158" t="s">
        <v>235</v>
      </c>
    </row>
    <row r="2704" spans="4:11">
      <c r="D2704" s="158">
        <v>185685</v>
      </c>
      <c r="E2704" s="158">
        <v>10639</v>
      </c>
      <c r="F2704" s="158">
        <v>2542</v>
      </c>
      <c r="G2704" s="158">
        <v>8</v>
      </c>
      <c r="H2704" s="158">
        <v>14.5</v>
      </c>
      <c r="I2704" s="158">
        <v>0</v>
      </c>
      <c r="J2704" s="158">
        <v>14.5</v>
      </c>
      <c r="K2704" s="158" t="s">
        <v>235</v>
      </c>
    </row>
    <row r="2705" spans="4:11">
      <c r="D2705" s="158">
        <v>185686</v>
      </c>
      <c r="E2705" s="158">
        <v>10816</v>
      </c>
      <c r="F2705" s="158">
        <v>2176</v>
      </c>
      <c r="I2705" s="158">
        <v>0</v>
      </c>
      <c r="J2705" s="158">
        <v>0</v>
      </c>
      <c r="K2705" s="158" t="s">
        <v>235</v>
      </c>
    </row>
    <row r="2706" spans="4:11">
      <c r="D2706" s="158">
        <v>185687</v>
      </c>
      <c r="E2706" s="158">
        <v>10725</v>
      </c>
      <c r="F2706" s="158">
        <v>2030</v>
      </c>
      <c r="K2706" s="158" t="s">
        <v>235</v>
      </c>
    </row>
    <row r="2707" spans="4:11">
      <c r="D2707" s="158">
        <v>185691</v>
      </c>
      <c r="E2707" s="158">
        <v>10712</v>
      </c>
      <c r="F2707" s="158">
        <v>2028</v>
      </c>
      <c r="H2707" s="158">
        <v>0.25</v>
      </c>
      <c r="I2707" s="158">
        <v>0</v>
      </c>
      <c r="J2707" s="158">
        <v>0.25</v>
      </c>
      <c r="K2707" s="158" t="s">
        <v>235</v>
      </c>
    </row>
    <row r="2708" spans="4:11">
      <c r="D2708" s="158">
        <v>185697</v>
      </c>
      <c r="E2708" s="158">
        <v>10752</v>
      </c>
      <c r="F2708" s="158">
        <v>2028</v>
      </c>
      <c r="I2708" s="158">
        <v>0.25</v>
      </c>
      <c r="J2708" s="158">
        <v>0.25</v>
      </c>
      <c r="K2708" s="158" t="s">
        <v>235</v>
      </c>
    </row>
    <row r="2709" spans="4:11">
      <c r="D2709" s="158">
        <v>185700</v>
      </c>
      <c r="E2709" s="158">
        <v>10755</v>
      </c>
      <c r="F2709" s="158">
        <v>2030</v>
      </c>
      <c r="I2709" s="158">
        <v>4</v>
      </c>
      <c r="J2709" s="158">
        <v>4</v>
      </c>
      <c r="K2709" s="158" t="s">
        <v>235</v>
      </c>
    </row>
    <row r="2710" spans="4:11">
      <c r="D2710" s="158">
        <v>185712</v>
      </c>
      <c r="E2710" s="158">
        <v>11948</v>
      </c>
      <c r="F2710" s="158">
        <v>2443</v>
      </c>
      <c r="K2710" s="158" t="s">
        <v>235</v>
      </c>
    </row>
    <row r="2711" spans="4:11">
      <c r="D2711" s="158">
        <v>185713</v>
      </c>
      <c r="E2711" s="158">
        <v>11948</v>
      </c>
      <c r="F2711" s="158">
        <v>2443</v>
      </c>
      <c r="K2711" s="158" t="s">
        <v>235</v>
      </c>
    </row>
    <row r="2712" spans="4:11">
      <c r="D2712" s="158">
        <v>185714</v>
      </c>
      <c r="E2712" s="158">
        <v>11948</v>
      </c>
      <c r="F2712" s="158">
        <v>2443</v>
      </c>
      <c r="I2712" s="158">
        <v>0.8</v>
      </c>
      <c r="J2712" s="158">
        <v>0.8</v>
      </c>
      <c r="K2712" s="158" t="s">
        <v>235</v>
      </c>
    </row>
    <row r="2713" spans="4:11">
      <c r="D2713" s="158">
        <v>185715</v>
      </c>
      <c r="E2713" s="158">
        <v>11948</v>
      </c>
      <c r="F2713" s="158">
        <v>2443</v>
      </c>
      <c r="I2713" s="158">
        <v>0.8</v>
      </c>
      <c r="J2713" s="158">
        <v>0.8</v>
      </c>
      <c r="K2713" s="158" t="s">
        <v>235</v>
      </c>
    </row>
    <row r="2714" spans="4:11">
      <c r="D2714" s="158">
        <v>185720</v>
      </c>
      <c r="E2714" s="158">
        <v>10020</v>
      </c>
      <c r="F2714" s="158">
        <v>2264</v>
      </c>
      <c r="H2714" s="158">
        <v>2.77</v>
      </c>
      <c r="I2714" s="158">
        <v>3.23</v>
      </c>
      <c r="J2714" s="158">
        <v>6</v>
      </c>
      <c r="K2714" s="158" t="s">
        <v>238</v>
      </c>
    </row>
    <row r="2715" spans="4:11">
      <c r="D2715" s="158">
        <v>185721</v>
      </c>
      <c r="E2715" s="158">
        <v>10020</v>
      </c>
      <c r="F2715" s="158">
        <v>402</v>
      </c>
      <c r="G2715" s="158">
        <v>0.3</v>
      </c>
      <c r="I2715" s="158">
        <v>0.3</v>
      </c>
      <c r="J2715" s="158">
        <v>0.3</v>
      </c>
      <c r="K2715" s="158" t="s">
        <v>238</v>
      </c>
    </row>
    <row r="2716" spans="4:11">
      <c r="D2716" s="158">
        <v>185723</v>
      </c>
      <c r="E2716" s="158">
        <v>10020</v>
      </c>
      <c r="F2716" s="158">
        <v>2264</v>
      </c>
      <c r="G2716" s="158">
        <v>0.3</v>
      </c>
      <c r="I2716" s="158">
        <v>0.3</v>
      </c>
      <c r="J2716" s="158">
        <v>0.3</v>
      </c>
      <c r="K2716" s="158" t="s">
        <v>238</v>
      </c>
    </row>
    <row r="2717" spans="4:11">
      <c r="D2717" s="158">
        <v>185724</v>
      </c>
      <c r="E2717" s="158">
        <v>10020</v>
      </c>
      <c r="F2717" s="158">
        <v>402</v>
      </c>
      <c r="G2717" s="158">
        <v>0</v>
      </c>
      <c r="I2717" s="158">
        <v>0</v>
      </c>
      <c r="J2717" s="158">
        <v>0</v>
      </c>
      <c r="K2717" s="158" t="s">
        <v>238</v>
      </c>
    </row>
    <row r="2718" spans="4:11">
      <c r="D2718" s="158">
        <v>185725</v>
      </c>
      <c r="E2718" s="158">
        <v>10020</v>
      </c>
      <c r="F2718" s="158">
        <v>1667</v>
      </c>
      <c r="G2718" s="158">
        <v>0.65</v>
      </c>
      <c r="I2718" s="158">
        <v>0.65</v>
      </c>
      <c r="J2718" s="158">
        <v>0.65</v>
      </c>
      <c r="K2718" s="158" t="s">
        <v>238</v>
      </c>
    </row>
    <row r="2719" spans="4:11">
      <c r="D2719" s="158">
        <v>185747</v>
      </c>
      <c r="E2719" s="158">
        <v>10020</v>
      </c>
      <c r="F2719" s="158">
        <v>1667</v>
      </c>
      <c r="G2719" s="158">
        <v>6.25</v>
      </c>
      <c r="H2719" s="158">
        <v>0.55000000000000004</v>
      </c>
      <c r="I2719" s="158">
        <v>5.7</v>
      </c>
      <c r="J2719" s="158">
        <v>6.25</v>
      </c>
      <c r="K2719" s="158" t="s">
        <v>238</v>
      </c>
    </row>
    <row r="2720" spans="4:11">
      <c r="D2720" s="158">
        <v>185748</v>
      </c>
      <c r="E2720" s="158">
        <v>10020</v>
      </c>
      <c r="F2720" s="158">
        <v>2264</v>
      </c>
      <c r="G2720" s="158">
        <v>0.3</v>
      </c>
      <c r="I2720" s="158">
        <v>0.3</v>
      </c>
      <c r="J2720" s="158">
        <v>0.3</v>
      </c>
      <c r="K2720" s="158" t="s">
        <v>238</v>
      </c>
    </row>
    <row r="2721" spans="4:11">
      <c r="D2721" s="158">
        <v>185749</v>
      </c>
      <c r="E2721" s="158">
        <v>10020</v>
      </c>
      <c r="F2721" s="158">
        <v>229</v>
      </c>
      <c r="G2721" s="158">
        <v>0.4</v>
      </c>
      <c r="I2721" s="158">
        <v>0.4</v>
      </c>
      <c r="J2721" s="158">
        <v>0.4</v>
      </c>
      <c r="K2721" s="158" t="s">
        <v>238</v>
      </c>
    </row>
    <row r="2722" spans="4:11">
      <c r="D2722" s="158">
        <v>185751</v>
      </c>
      <c r="E2722" s="158">
        <v>10693</v>
      </c>
      <c r="F2722" s="158">
        <v>2485</v>
      </c>
      <c r="G2722" s="158">
        <v>2</v>
      </c>
      <c r="H2722" s="158">
        <v>5.25</v>
      </c>
      <c r="I2722" s="158">
        <v>0</v>
      </c>
      <c r="J2722" s="158">
        <v>5.25</v>
      </c>
      <c r="K2722" s="158" t="s">
        <v>235</v>
      </c>
    </row>
    <row r="2723" spans="4:11">
      <c r="D2723" s="158">
        <v>185752</v>
      </c>
      <c r="E2723" s="158">
        <v>10693</v>
      </c>
      <c r="F2723" s="158">
        <v>2485</v>
      </c>
      <c r="G2723" s="158">
        <v>1</v>
      </c>
      <c r="H2723" s="158">
        <v>1</v>
      </c>
      <c r="I2723" s="158">
        <v>0</v>
      </c>
      <c r="J2723" s="158">
        <v>1</v>
      </c>
      <c r="K2723" s="158" t="s">
        <v>235</v>
      </c>
    </row>
    <row r="2724" spans="4:11">
      <c r="D2724" s="158">
        <v>185753</v>
      </c>
      <c r="E2724" s="158">
        <v>10693</v>
      </c>
      <c r="F2724" s="158">
        <v>2485</v>
      </c>
      <c r="G2724" s="158">
        <v>1</v>
      </c>
      <c r="H2724" s="158">
        <v>6</v>
      </c>
      <c r="I2724" s="158">
        <v>0</v>
      </c>
      <c r="J2724" s="158">
        <v>6</v>
      </c>
      <c r="K2724" s="158" t="s">
        <v>235</v>
      </c>
    </row>
    <row r="2725" spans="4:11">
      <c r="D2725" s="158">
        <v>185786</v>
      </c>
      <c r="E2725" s="158">
        <v>10763</v>
      </c>
      <c r="F2725" s="158">
        <v>2408</v>
      </c>
      <c r="H2725" s="158">
        <v>2.2000000000000002</v>
      </c>
      <c r="I2725" s="158">
        <v>0</v>
      </c>
      <c r="J2725" s="158">
        <v>2.2000000000000002</v>
      </c>
      <c r="K2725" s="158" t="s">
        <v>235</v>
      </c>
    </row>
    <row r="2726" spans="4:11">
      <c r="D2726" s="158">
        <v>185831</v>
      </c>
      <c r="E2726" s="158">
        <v>11213</v>
      </c>
      <c r="F2726" s="158">
        <v>222</v>
      </c>
      <c r="H2726" s="158">
        <v>1.25</v>
      </c>
      <c r="J2726" s="158">
        <v>1.25</v>
      </c>
      <c r="K2726" s="158" t="s">
        <v>235</v>
      </c>
    </row>
    <row r="2727" spans="4:11">
      <c r="D2727" s="158">
        <v>185845</v>
      </c>
      <c r="E2727" s="158">
        <v>10100</v>
      </c>
      <c r="F2727" s="158">
        <v>229</v>
      </c>
      <c r="G2727" s="158">
        <v>0.5</v>
      </c>
      <c r="I2727" s="158">
        <v>0.5</v>
      </c>
      <c r="J2727" s="158">
        <v>0.5</v>
      </c>
      <c r="K2727" s="158" t="s">
        <v>237</v>
      </c>
    </row>
    <row r="2728" spans="4:11">
      <c r="D2728" s="158">
        <v>185846</v>
      </c>
      <c r="E2728" s="158">
        <v>10100</v>
      </c>
      <c r="F2728" s="158">
        <v>229</v>
      </c>
      <c r="G2728" s="158">
        <v>0.5</v>
      </c>
      <c r="I2728" s="158">
        <v>0.5</v>
      </c>
      <c r="J2728" s="158">
        <v>0.5</v>
      </c>
      <c r="K2728" s="158" t="s">
        <v>237</v>
      </c>
    </row>
    <row r="2729" spans="4:11">
      <c r="D2729" s="158">
        <v>185849</v>
      </c>
      <c r="E2729" s="158">
        <v>10720</v>
      </c>
      <c r="F2729" s="158">
        <v>1738</v>
      </c>
      <c r="H2729" s="158">
        <v>0.5</v>
      </c>
      <c r="I2729" s="158">
        <v>0</v>
      </c>
      <c r="J2729" s="158">
        <v>0.5</v>
      </c>
      <c r="K2729" s="158" t="s">
        <v>235</v>
      </c>
    </row>
    <row r="2730" spans="4:11">
      <c r="D2730" s="158">
        <v>185850</v>
      </c>
      <c r="E2730" s="158">
        <v>10764</v>
      </c>
      <c r="F2730" s="158">
        <v>235</v>
      </c>
      <c r="H2730" s="158">
        <v>1</v>
      </c>
      <c r="I2730" s="158">
        <v>1</v>
      </c>
      <c r="J2730" s="158">
        <v>2</v>
      </c>
      <c r="K2730" s="158" t="s">
        <v>235</v>
      </c>
    </row>
    <row r="2731" spans="4:11">
      <c r="D2731" s="158">
        <v>185868</v>
      </c>
      <c r="E2731" s="158">
        <v>10100</v>
      </c>
      <c r="F2731" s="158">
        <v>2359</v>
      </c>
      <c r="G2731" s="158">
        <v>4.5</v>
      </c>
      <c r="I2731" s="158">
        <v>4.5</v>
      </c>
      <c r="J2731" s="158">
        <v>4.5</v>
      </c>
      <c r="K2731" s="158" t="s">
        <v>237</v>
      </c>
    </row>
    <row r="2732" spans="4:11">
      <c r="D2732" s="158">
        <v>185869</v>
      </c>
      <c r="E2732" s="158">
        <v>10100</v>
      </c>
      <c r="F2732" s="158">
        <v>229</v>
      </c>
      <c r="G2732" s="158">
        <v>0.5</v>
      </c>
      <c r="I2732" s="158">
        <v>0.5</v>
      </c>
      <c r="J2732" s="158">
        <v>0.5</v>
      </c>
      <c r="K2732" s="158" t="s">
        <v>237</v>
      </c>
    </row>
    <row r="2733" spans="4:11">
      <c r="D2733" s="158">
        <v>185944</v>
      </c>
      <c r="E2733" s="158">
        <v>10018</v>
      </c>
      <c r="F2733" s="158">
        <v>290</v>
      </c>
      <c r="K2733" s="158" t="s">
        <v>238</v>
      </c>
    </row>
    <row r="2734" spans="4:11">
      <c r="D2734" s="158">
        <v>186063</v>
      </c>
      <c r="E2734" s="158">
        <v>10779</v>
      </c>
      <c r="F2734" s="158">
        <v>197</v>
      </c>
      <c r="G2734" s="158">
        <v>2.25</v>
      </c>
      <c r="H2734" s="158">
        <v>2.6</v>
      </c>
      <c r="I2734" s="158">
        <v>0</v>
      </c>
      <c r="J2734" s="158">
        <v>2.6</v>
      </c>
      <c r="K2734" s="158" t="s">
        <v>235</v>
      </c>
    </row>
    <row r="2735" spans="4:11">
      <c r="D2735" s="158">
        <v>186064</v>
      </c>
      <c r="E2735" s="158">
        <v>10100</v>
      </c>
      <c r="F2735" s="158">
        <v>229</v>
      </c>
      <c r="G2735" s="158">
        <v>4.5</v>
      </c>
      <c r="H2735" s="158">
        <v>4.0999999999999996</v>
      </c>
      <c r="I2735" s="158">
        <v>2</v>
      </c>
      <c r="J2735" s="158">
        <v>6.1</v>
      </c>
      <c r="K2735" s="158" t="s">
        <v>237</v>
      </c>
    </row>
    <row r="2736" spans="4:11">
      <c r="D2736" s="158">
        <v>186065</v>
      </c>
      <c r="E2736" s="158">
        <v>10100</v>
      </c>
      <c r="F2736" s="158">
        <v>229</v>
      </c>
      <c r="G2736" s="158">
        <v>0.5</v>
      </c>
      <c r="I2736" s="158">
        <v>0.5</v>
      </c>
      <c r="J2736" s="158">
        <v>0.5</v>
      </c>
      <c r="K2736" s="158" t="s">
        <v>237</v>
      </c>
    </row>
    <row r="2737" spans="4:11">
      <c r="D2737" s="158">
        <v>186066</v>
      </c>
      <c r="E2737" s="158">
        <v>10750</v>
      </c>
      <c r="F2737" s="158">
        <v>235</v>
      </c>
      <c r="G2737" s="158">
        <v>3</v>
      </c>
      <c r="H2737" s="158">
        <v>3.7</v>
      </c>
      <c r="I2737" s="158">
        <v>0</v>
      </c>
      <c r="J2737" s="158">
        <v>3.7</v>
      </c>
      <c r="K2737" s="158" t="s">
        <v>235</v>
      </c>
    </row>
    <row r="2738" spans="4:11">
      <c r="D2738" s="158">
        <v>186067</v>
      </c>
      <c r="E2738" s="158">
        <v>10750</v>
      </c>
      <c r="F2738" s="158">
        <v>1738</v>
      </c>
      <c r="H2738" s="158">
        <v>0.65</v>
      </c>
      <c r="J2738" s="158">
        <v>0.65</v>
      </c>
      <c r="K2738" s="158" t="s">
        <v>235</v>
      </c>
    </row>
    <row r="2739" spans="4:11">
      <c r="D2739" s="158">
        <v>186073</v>
      </c>
      <c r="E2739" s="158">
        <v>11307</v>
      </c>
      <c r="F2739" s="158">
        <v>1120</v>
      </c>
      <c r="H2739" s="158">
        <v>0</v>
      </c>
      <c r="I2739" s="158">
        <v>1.5</v>
      </c>
      <c r="J2739" s="158">
        <v>1.5</v>
      </c>
      <c r="K2739" s="158" t="s">
        <v>236</v>
      </c>
    </row>
    <row r="2740" spans="4:11">
      <c r="D2740" s="158">
        <v>186074</v>
      </c>
      <c r="E2740" s="158">
        <v>10735</v>
      </c>
      <c r="F2740" s="158">
        <v>2443</v>
      </c>
      <c r="H2740" s="158">
        <v>5.5</v>
      </c>
      <c r="J2740" s="158">
        <v>5.5</v>
      </c>
      <c r="K2740" s="158" t="s">
        <v>235</v>
      </c>
    </row>
    <row r="2741" spans="4:11">
      <c r="D2741" s="158">
        <v>186088</v>
      </c>
      <c r="E2741" s="158">
        <v>10010</v>
      </c>
      <c r="F2741" s="158">
        <v>402</v>
      </c>
      <c r="H2741" s="158">
        <v>2.7</v>
      </c>
      <c r="J2741" s="158">
        <v>2.7</v>
      </c>
      <c r="K2741" s="158" t="s">
        <v>238</v>
      </c>
    </row>
    <row r="2742" spans="4:11">
      <c r="D2742" s="158">
        <v>186096</v>
      </c>
      <c r="E2742" s="158">
        <v>11307</v>
      </c>
      <c r="F2742" s="158">
        <v>881</v>
      </c>
      <c r="K2742" s="158" t="s">
        <v>236</v>
      </c>
    </row>
    <row r="2743" spans="4:11">
      <c r="D2743" s="158">
        <v>186098</v>
      </c>
      <c r="E2743" s="158">
        <v>10020</v>
      </c>
      <c r="F2743" s="158">
        <v>402</v>
      </c>
      <c r="G2743" s="158">
        <v>0</v>
      </c>
      <c r="H2743" s="158">
        <v>1.2</v>
      </c>
      <c r="I2743" s="158">
        <v>0</v>
      </c>
      <c r="J2743" s="158">
        <v>1.2</v>
      </c>
      <c r="K2743" s="158" t="s">
        <v>238</v>
      </c>
    </row>
    <row r="2744" spans="4:11">
      <c r="D2744" s="158">
        <v>186138</v>
      </c>
      <c r="E2744" s="158">
        <v>10725</v>
      </c>
      <c r="F2744" s="158">
        <v>2028</v>
      </c>
      <c r="H2744" s="158">
        <v>0.25</v>
      </c>
      <c r="J2744" s="158">
        <v>0.25</v>
      </c>
      <c r="K2744" s="158" t="s">
        <v>235</v>
      </c>
    </row>
    <row r="2745" spans="4:11">
      <c r="D2745" s="158">
        <v>186150</v>
      </c>
      <c r="E2745" s="158">
        <v>10639</v>
      </c>
      <c r="F2745" s="158">
        <v>2362</v>
      </c>
      <c r="G2745" s="158">
        <v>1</v>
      </c>
      <c r="H2745" s="158">
        <v>1</v>
      </c>
      <c r="I2745" s="158">
        <v>0</v>
      </c>
      <c r="J2745" s="158">
        <v>1</v>
      </c>
      <c r="K2745" s="158" t="s">
        <v>235</v>
      </c>
    </row>
    <row r="2746" spans="4:11">
      <c r="D2746" s="158">
        <v>186151</v>
      </c>
      <c r="E2746" s="158">
        <v>10686</v>
      </c>
      <c r="F2746" s="158">
        <v>2533</v>
      </c>
      <c r="G2746" s="158">
        <v>2.25</v>
      </c>
      <c r="H2746" s="158">
        <v>2.25</v>
      </c>
      <c r="I2746" s="158">
        <v>0</v>
      </c>
      <c r="J2746" s="158">
        <v>2.25</v>
      </c>
      <c r="K2746" s="158" t="s">
        <v>235</v>
      </c>
    </row>
    <row r="2747" spans="4:11">
      <c r="D2747" s="158">
        <v>186152</v>
      </c>
      <c r="E2747" s="158">
        <v>10691</v>
      </c>
      <c r="F2747" s="158">
        <v>2533</v>
      </c>
      <c r="G2747" s="158">
        <v>1</v>
      </c>
      <c r="H2747" s="158">
        <v>0</v>
      </c>
      <c r="I2747" s="158">
        <v>1</v>
      </c>
      <c r="J2747" s="158">
        <v>1</v>
      </c>
      <c r="K2747" s="158" t="s">
        <v>235</v>
      </c>
    </row>
    <row r="2748" spans="4:11">
      <c r="D2748" s="158">
        <v>186153</v>
      </c>
      <c r="E2748" s="158">
        <v>10691</v>
      </c>
      <c r="F2748" s="158">
        <v>2028</v>
      </c>
      <c r="G2748" s="158">
        <v>0.25</v>
      </c>
      <c r="I2748" s="158">
        <v>0.25</v>
      </c>
      <c r="J2748" s="158">
        <v>0.25</v>
      </c>
      <c r="K2748" s="158" t="s">
        <v>235</v>
      </c>
    </row>
    <row r="2749" spans="4:11">
      <c r="D2749" s="158">
        <v>186154</v>
      </c>
      <c r="E2749" s="158">
        <v>10691</v>
      </c>
      <c r="F2749" s="158">
        <v>2533</v>
      </c>
      <c r="G2749" s="158">
        <v>1</v>
      </c>
      <c r="I2749" s="158">
        <v>1</v>
      </c>
      <c r="J2749" s="158">
        <v>1</v>
      </c>
      <c r="K2749" s="158" t="s">
        <v>235</v>
      </c>
    </row>
    <row r="2750" spans="4:11">
      <c r="D2750" s="158">
        <v>186155</v>
      </c>
      <c r="E2750" s="158">
        <v>10691</v>
      </c>
      <c r="F2750" s="158">
        <v>2533</v>
      </c>
      <c r="G2750" s="158">
        <v>2</v>
      </c>
      <c r="I2750" s="158">
        <v>2</v>
      </c>
      <c r="J2750" s="158">
        <v>2</v>
      </c>
      <c r="K2750" s="158" t="s">
        <v>235</v>
      </c>
    </row>
    <row r="2751" spans="4:11">
      <c r="D2751" s="158">
        <v>186156</v>
      </c>
      <c r="E2751" s="158">
        <v>10691</v>
      </c>
      <c r="F2751" s="158">
        <v>2533</v>
      </c>
      <c r="G2751" s="158">
        <v>2</v>
      </c>
      <c r="I2751" s="158">
        <v>2</v>
      </c>
      <c r="J2751" s="158">
        <v>2</v>
      </c>
      <c r="K2751" s="158" t="s">
        <v>235</v>
      </c>
    </row>
    <row r="2752" spans="4:11">
      <c r="D2752" s="158">
        <v>186157</v>
      </c>
      <c r="E2752" s="158">
        <v>10691</v>
      </c>
      <c r="F2752" s="158">
        <v>2533</v>
      </c>
      <c r="G2752" s="158">
        <v>2</v>
      </c>
      <c r="I2752" s="158">
        <v>2</v>
      </c>
      <c r="J2752" s="158">
        <v>2</v>
      </c>
      <c r="K2752" s="158" t="s">
        <v>235</v>
      </c>
    </row>
    <row r="2753" spans="4:11">
      <c r="D2753" s="158">
        <v>186158</v>
      </c>
      <c r="E2753" s="158">
        <v>10691</v>
      </c>
      <c r="F2753" s="158">
        <v>2533</v>
      </c>
      <c r="G2753" s="158">
        <v>4</v>
      </c>
      <c r="H2753" s="158">
        <v>6</v>
      </c>
      <c r="I2753" s="158">
        <v>0</v>
      </c>
      <c r="J2753" s="158">
        <v>6</v>
      </c>
      <c r="K2753" s="158" t="s">
        <v>235</v>
      </c>
    </row>
    <row r="2754" spans="4:11">
      <c r="D2754" s="158">
        <v>186160</v>
      </c>
      <c r="E2754" s="158">
        <v>10741</v>
      </c>
      <c r="F2754" s="158">
        <v>2028</v>
      </c>
      <c r="H2754" s="158">
        <v>0.25</v>
      </c>
      <c r="J2754" s="158">
        <v>0.25</v>
      </c>
      <c r="K2754" s="158" t="s">
        <v>235</v>
      </c>
    </row>
    <row r="2755" spans="4:11">
      <c r="D2755" s="158">
        <v>186168</v>
      </c>
      <c r="E2755" s="158">
        <v>11948</v>
      </c>
      <c r="F2755" s="158">
        <v>1738</v>
      </c>
      <c r="H2755" s="158">
        <v>0.6</v>
      </c>
      <c r="J2755" s="158">
        <v>0.6</v>
      </c>
      <c r="K2755" s="158" t="s">
        <v>235</v>
      </c>
    </row>
    <row r="2756" spans="4:11">
      <c r="D2756" s="158">
        <v>186184</v>
      </c>
      <c r="E2756" s="158">
        <v>10815</v>
      </c>
      <c r="F2756" s="158">
        <v>2383</v>
      </c>
      <c r="G2756" s="158">
        <v>2.2000000000000002</v>
      </c>
      <c r="H2756" s="158">
        <v>2.2000000000000002</v>
      </c>
      <c r="I2756" s="158">
        <v>0</v>
      </c>
      <c r="J2756" s="158">
        <v>2.2000000000000002</v>
      </c>
      <c r="K2756" s="158" t="s">
        <v>235</v>
      </c>
    </row>
    <row r="2757" spans="4:11">
      <c r="D2757" s="158">
        <v>186186</v>
      </c>
      <c r="E2757" s="158">
        <v>10814</v>
      </c>
      <c r="F2757" s="158">
        <v>1251</v>
      </c>
      <c r="G2757" s="158">
        <v>0</v>
      </c>
      <c r="H2757" s="158">
        <v>5</v>
      </c>
      <c r="I2757" s="158">
        <v>0</v>
      </c>
      <c r="J2757" s="158">
        <v>5</v>
      </c>
      <c r="K2757" s="158" t="s">
        <v>235</v>
      </c>
    </row>
    <row r="2758" spans="4:11">
      <c r="D2758" s="158">
        <v>186201</v>
      </c>
      <c r="E2758" s="158">
        <v>10639</v>
      </c>
      <c r="F2758" s="158">
        <v>2181</v>
      </c>
      <c r="G2758" s="158">
        <v>2</v>
      </c>
      <c r="H2758" s="158">
        <v>2</v>
      </c>
      <c r="I2758" s="158">
        <v>0</v>
      </c>
      <c r="J2758" s="158">
        <v>2</v>
      </c>
      <c r="K2758" s="158" t="s">
        <v>235</v>
      </c>
    </row>
    <row r="2759" spans="4:11">
      <c r="D2759" s="158">
        <v>186229</v>
      </c>
      <c r="E2759" s="158">
        <v>10100</v>
      </c>
      <c r="F2759" s="158">
        <v>2359</v>
      </c>
      <c r="G2759" s="158">
        <v>4.5</v>
      </c>
      <c r="H2759" s="158">
        <v>5.25</v>
      </c>
      <c r="I2759" s="158">
        <v>1</v>
      </c>
      <c r="J2759" s="158">
        <v>6.25</v>
      </c>
      <c r="K2759" s="158" t="s">
        <v>237</v>
      </c>
    </row>
    <row r="2760" spans="4:11">
      <c r="D2760" s="158">
        <v>186255</v>
      </c>
      <c r="E2760" s="158">
        <v>11044</v>
      </c>
      <c r="F2760" s="158">
        <v>2226</v>
      </c>
      <c r="G2760" s="158">
        <v>10.8</v>
      </c>
      <c r="I2760" s="158">
        <v>0</v>
      </c>
      <c r="J2760" s="158">
        <v>0</v>
      </c>
      <c r="K2760" s="158" t="s">
        <v>235</v>
      </c>
    </row>
    <row r="2761" spans="4:11">
      <c r="D2761" s="158">
        <v>186256</v>
      </c>
      <c r="E2761" s="158">
        <v>10741</v>
      </c>
      <c r="F2761" s="158">
        <v>2540</v>
      </c>
      <c r="H2761" s="158">
        <v>5</v>
      </c>
      <c r="J2761" s="158">
        <v>5</v>
      </c>
      <c r="K2761" s="158" t="s">
        <v>235</v>
      </c>
    </row>
    <row r="2762" spans="4:11">
      <c r="D2762" s="158">
        <v>186257</v>
      </c>
      <c r="E2762" s="158">
        <v>10740</v>
      </c>
      <c r="F2762" s="158">
        <v>2540</v>
      </c>
      <c r="I2762" s="158">
        <v>5</v>
      </c>
      <c r="J2762" s="158">
        <v>5</v>
      </c>
      <c r="K2762" s="158" t="s">
        <v>235</v>
      </c>
    </row>
    <row r="2763" spans="4:11">
      <c r="D2763" s="158">
        <v>186258</v>
      </c>
      <c r="E2763" s="158">
        <v>10779</v>
      </c>
      <c r="F2763" s="158">
        <v>2540</v>
      </c>
      <c r="K2763" s="158" t="s">
        <v>235</v>
      </c>
    </row>
    <row r="2764" spans="4:11">
      <c r="D2764" s="158">
        <v>186267</v>
      </c>
      <c r="E2764" s="158">
        <v>10764</v>
      </c>
      <c r="F2764" s="158">
        <v>2028</v>
      </c>
      <c r="G2764" s="158">
        <v>0.25</v>
      </c>
      <c r="H2764" s="158">
        <v>0.25</v>
      </c>
      <c r="I2764" s="158">
        <v>0</v>
      </c>
      <c r="J2764" s="158">
        <v>0.25</v>
      </c>
      <c r="K2764" s="158" t="s">
        <v>235</v>
      </c>
    </row>
    <row r="2765" spans="4:11">
      <c r="D2765" s="158">
        <v>186268</v>
      </c>
      <c r="E2765" s="158">
        <v>10769</v>
      </c>
      <c r="F2765" s="158">
        <v>2028</v>
      </c>
      <c r="G2765" s="158">
        <v>0.25</v>
      </c>
      <c r="H2765" s="158">
        <v>0.25</v>
      </c>
      <c r="I2765" s="158">
        <v>0</v>
      </c>
      <c r="J2765" s="158">
        <v>0.25</v>
      </c>
      <c r="K2765" s="158" t="s">
        <v>235</v>
      </c>
    </row>
    <row r="2766" spans="4:11">
      <c r="D2766" s="158">
        <v>186755</v>
      </c>
      <c r="E2766" s="158">
        <v>10738</v>
      </c>
      <c r="F2766" s="158">
        <v>235</v>
      </c>
      <c r="H2766" s="158">
        <v>0.6</v>
      </c>
      <c r="I2766" s="158">
        <v>1.4</v>
      </c>
      <c r="J2766" s="158">
        <v>2</v>
      </c>
      <c r="K2766" s="158" t="s">
        <v>235</v>
      </c>
    </row>
    <row r="2767" spans="4:11">
      <c r="D2767" s="158">
        <v>186756</v>
      </c>
      <c r="E2767" s="158">
        <v>10738</v>
      </c>
      <c r="F2767" s="158">
        <v>235</v>
      </c>
      <c r="K2767" s="158" t="s">
        <v>235</v>
      </c>
    </row>
    <row r="2768" spans="4:11">
      <c r="D2768" s="158">
        <v>186757</v>
      </c>
      <c r="E2768" s="158">
        <v>10727</v>
      </c>
      <c r="F2768" s="158">
        <v>235</v>
      </c>
      <c r="H2768" s="158">
        <v>6.9</v>
      </c>
      <c r="J2768" s="158">
        <v>6.9</v>
      </c>
      <c r="K2768" s="158" t="s">
        <v>235</v>
      </c>
    </row>
    <row r="2769" spans="4:11">
      <c r="D2769" s="158">
        <v>186763</v>
      </c>
      <c r="E2769" s="158">
        <v>10721</v>
      </c>
      <c r="F2769" s="158">
        <v>1014</v>
      </c>
      <c r="K2769" s="158" t="s">
        <v>235</v>
      </c>
    </row>
    <row r="2770" spans="4:11">
      <c r="D2770" s="158">
        <v>186764</v>
      </c>
      <c r="E2770" s="158">
        <v>10721</v>
      </c>
      <c r="F2770" s="158">
        <v>2540</v>
      </c>
      <c r="K2770" s="158" t="s">
        <v>235</v>
      </c>
    </row>
    <row r="2771" spans="4:11">
      <c r="D2771" s="158">
        <v>186777</v>
      </c>
      <c r="E2771" s="158">
        <v>10721</v>
      </c>
      <c r="F2771" s="158">
        <v>235</v>
      </c>
      <c r="H2771" s="158">
        <v>1</v>
      </c>
      <c r="J2771" s="158">
        <v>1</v>
      </c>
      <c r="K2771" s="158" t="s">
        <v>235</v>
      </c>
    </row>
    <row r="2772" spans="4:11">
      <c r="D2772" s="158">
        <v>186778</v>
      </c>
      <c r="E2772" s="158">
        <v>11309</v>
      </c>
      <c r="F2772" s="158">
        <v>2266</v>
      </c>
      <c r="G2772" s="158">
        <v>0</v>
      </c>
      <c r="H2772" s="158">
        <v>4</v>
      </c>
      <c r="I2772" s="158">
        <v>0</v>
      </c>
      <c r="J2772" s="158">
        <v>4</v>
      </c>
      <c r="K2772" s="158" t="s">
        <v>236</v>
      </c>
    </row>
    <row r="2773" spans="4:11">
      <c r="D2773" s="158">
        <v>186786</v>
      </c>
      <c r="E2773" s="158">
        <v>11213</v>
      </c>
      <c r="F2773" s="158">
        <v>1738</v>
      </c>
      <c r="H2773" s="158">
        <v>0.25</v>
      </c>
      <c r="I2773" s="158">
        <v>15</v>
      </c>
      <c r="J2773" s="158">
        <v>15.25</v>
      </c>
      <c r="K2773" s="158" t="s">
        <v>235</v>
      </c>
    </row>
    <row r="2774" spans="4:11">
      <c r="D2774" s="158">
        <v>186787</v>
      </c>
      <c r="E2774" s="158">
        <v>10795</v>
      </c>
      <c r="F2774" s="158">
        <v>2181</v>
      </c>
      <c r="G2774" s="158">
        <v>1</v>
      </c>
      <c r="I2774" s="158">
        <v>1</v>
      </c>
      <c r="J2774" s="158">
        <v>1</v>
      </c>
      <c r="K2774" s="158" t="s">
        <v>235</v>
      </c>
    </row>
    <row r="2775" spans="4:11">
      <c r="D2775" s="158">
        <v>186788</v>
      </c>
      <c r="E2775" s="158">
        <v>11213</v>
      </c>
      <c r="F2775" s="158">
        <v>222</v>
      </c>
      <c r="H2775" s="158">
        <v>0.5</v>
      </c>
      <c r="J2775" s="158">
        <v>0.5</v>
      </c>
      <c r="K2775" s="158" t="s">
        <v>235</v>
      </c>
    </row>
    <row r="2776" spans="4:11">
      <c r="D2776" s="158">
        <v>186794</v>
      </c>
      <c r="E2776" s="158">
        <v>10763</v>
      </c>
      <c r="F2776" s="158">
        <v>828</v>
      </c>
      <c r="H2776" s="158">
        <v>1.75</v>
      </c>
      <c r="J2776" s="158">
        <v>1.75</v>
      </c>
      <c r="K2776" s="158" t="s">
        <v>235</v>
      </c>
    </row>
    <row r="2777" spans="4:11">
      <c r="D2777" s="158">
        <v>186796</v>
      </c>
      <c r="E2777" s="158">
        <v>11213</v>
      </c>
      <c r="F2777" s="158">
        <v>235</v>
      </c>
      <c r="H2777" s="158">
        <v>0.2</v>
      </c>
      <c r="J2777" s="158">
        <v>0.2</v>
      </c>
      <c r="K2777" s="158" t="s">
        <v>235</v>
      </c>
    </row>
    <row r="2778" spans="4:11">
      <c r="D2778" s="158">
        <v>186797</v>
      </c>
      <c r="E2778" s="158">
        <v>11213</v>
      </c>
      <c r="F2778" s="158">
        <v>2324</v>
      </c>
      <c r="H2778" s="158">
        <v>0.3</v>
      </c>
      <c r="J2778" s="158">
        <v>0.3</v>
      </c>
      <c r="K2778" s="158" t="s">
        <v>235</v>
      </c>
    </row>
    <row r="2779" spans="4:11">
      <c r="D2779" s="158">
        <v>186798</v>
      </c>
      <c r="E2779" s="158">
        <v>10020</v>
      </c>
      <c r="F2779" s="158">
        <v>2264</v>
      </c>
      <c r="G2779" s="158">
        <v>0.01</v>
      </c>
      <c r="H2779" s="158">
        <v>3.05</v>
      </c>
      <c r="I2779" s="158">
        <v>2.72</v>
      </c>
      <c r="J2779" s="158">
        <v>5.77</v>
      </c>
      <c r="K2779" s="158" t="s">
        <v>238</v>
      </c>
    </row>
    <row r="2780" spans="4:11">
      <c r="D2780" s="158">
        <v>186799</v>
      </c>
      <c r="E2780" s="158">
        <v>10814</v>
      </c>
      <c r="F2780" s="158">
        <v>2383</v>
      </c>
      <c r="G2780" s="158">
        <v>5.2</v>
      </c>
      <c r="H2780" s="158">
        <v>5</v>
      </c>
      <c r="I2780" s="158">
        <v>0</v>
      </c>
      <c r="J2780" s="158">
        <v>5</v>
      </c>
      <c r="K2780" s="158" t="s">
        <v>235</v>
      </c>
    </row>
    <row r="2781" spans="4:11">
      <c r="D2781" s="158">
        <v>186801</v>
      </c>
      <c r="E2781" s="158">
        <v>10814</v>
      </c>
      <c r="F2781" s="158">
        <v>2383</v>
      </c>
      <c r="G2781" s="158">
        <v>6.2</v>
      </c>
      <c r="H2781" s="158">
        <v>5</v>
      </c>
      <c r="I2781" s="158">
        <v>1.2</v>
      </c>
      <c r="J2781" s="158">
        <v>6.2</v>
      </c>
      <c r="K2781" s="158" t="s">
        <v>235</v>
      </c>
    </row>
    <row r="2782" spans="4:11">
      <c r="D2782" s="158">
        <v>186802</v>
      </c>
      <c r="E2782" s="158">
        <v>10814</v>
      </c>
      <c r="F2782" s="158">
        <v>2383</v>
      </c>
      <c r="G2782" s="158">
        <v>7.8</v>
      </c>
      <c r="I2782" s="158">
        <v>7.8</v>
      </c>
      <c r="J2782" s="158">
        <v>7.8</v>
      </c>
      <c r="K2782" s="158" t="s">
        <v>235</v>
      </c>
    </row>
    <row r="2783" spans="4:11">
      <c r="D2783" s="158">
        <v>186803</v>
      </c>
      <c r="E2783" s="158">
        <v>10814</v>
      </c>
      <c r="F2783" s="158">
        <v>1251</v>
      </c>
      <c r="G2783" s="158">
        <v>5.2</v>
      </c>
      <c r="H2783" s="158">
        <v>2</v>
      </c>
      <c r="I2783" s="158">
        <v>3.2</v>
      </c>
      <c r="J2783" s="158">
        <v>5.2</v>
      </c>
      <c r="K2783" s="158" t="s">
        <v>235</v>
      </c>
    </row>
    <row r="2784" spans="4:11">
      <c r="D2784" s="158">
        <v>186804</v>
      </c>
      <c r="E2784" s="158">
        <v>10814</v>
      </c>
      <c r="F2784" s="158">
        <v>1251</v>
      </c>
      <c r="G2784" s="158">
        <v>6.2</v>
      </c>
      <c r="I2784" s="158">
        <v>6.2</v>
      </c>
      <c r="J2784" s="158">
        <v>6.2</v>
      </c>
      <c r="K2784" s="158" t="s">
        <v>235</v>
      </c>
    </row>
    <row r="2785" spans="4:11">
      <c r="D2785" s="158">
        <v>186805</v>
      </c>
      <c r="E2785" s="158">
        <v>10814</v>
      </c>
      <c r="F2785" s="158">
        <v>1251</v>
      </c>
      <c r="G2785" s="158">
        <v>7.8</v>
      </c>
      <c r="I2785" s="158">
        <v>7.8</v>
      </c>
      <c r="J2785" s="158">
        <v>7.8</v>
      </c>
      <c r="K2785" s="158" t="s">
        <v>235</v>
      </c>
    </row>
    <row r="2786" spans="4:11">
      <c r="D2786" s="158">
        <v>186826</v>
      </c>
      <c r="E2786" s="158">
        <v>11780</v>
      </c>
      <c r="F2786" s="158">
        <v>2142</v>
      </c>
      <c r="G2786" s="158">
        <v>1</v>
      </c>
      <c r="H2786" s="158">
        <v>0.5</v>
      </c>
      <c r="I2786" s="158">
        <v>0</v>
      </c>
      <c r="J2786" s="158">
        <v>0.5</v>
      </c>
      <c r="K2786" s="158" t="s">
        <v>235</v>
      </c>
    </row>
    <row r="2787" spans="4:11">
      <c r="D2787" s="158">
        <v>186841</v>
      </c>
      <c r="E2787" s="158">
        <v>11780</v>
      </c>
      <c r="F2787" s="158">
        <v>300</v>
      </c>
      <c r="G2787" s="158">
        <v>16.600000000000001</v>
      </c>
      <c r="H2787" s="158">
        <v>1</v>
      </c>
      <c r="I2787" s="158">
        <v>0.5</v>
      </c>
      <c r="J2787" s="158">
        <v>1.5</v>
      </c>
      <c r="K2787" s="158" t="s">
        <v>235</v>
      </c>
    </row>
    <row r="2788" spans="4:11">
      <c r="D2788" s="158">
        <v>186877</v>
      </c>
      <c r="E2788" s="158">
        <v>10018</v>
      </c>
      <c r="F2788" s="158">
        <v>1039</v>
      </c>
      <c r="K2788" s="158" t="s">
        <v>238</v>
      </c>
    </row>
    <row r="2789" spans="4:11">
      <c r="D2789" s="158">
        <v>186878</v>
      </c>
      <c r="E2789" s="158">
        <v>10018</v>
      </c>
      <c r="F2789" s="158">
        <v>416</v>
      </c>
      <c r="H2789" s="158">
        <v>1.95</v>
      </c>
      <c r="J2789" s="158">
        <v>1.95</v>
      </c>
      <c r="K2789" s="158" t="s">
        <v>238</v>
      </c>
    </row>
    <row r="2790" spans="4:11">
      <c r="D2790" s="158">
        <v>186879</v>
      </c>
      <c r="E2790" s="158">
        <v>10018</v>
      </c>
      <c r="F2790" s="158">
        <v>291</v>
      </c>
      <c r="H2790" s="158">
        <v>0.6</v>
      </c>
      <c r="J2790" s="158">
        <v>0.6</v>
      </c>
      <c r="K2790" s="158" t="s">
        <v>238</v>
      </c>
    </row>
    <row r="2791" spans="4:11">
      <c r="D2791" s="158">
        <v>186880</v>
      </c>
      <c r="E2791" s="158">
        <v>10018</v>
      </c>
      <c r="F2791" s="158">
        <v>257</v>
      </c>
      <c r="H2791" s="158">
        <v>0.3</v>
      </c>
      <c r="J2791" s="158">
        <v>0.3</v>
      </c>
      <c r="K2791" s="158" t="s">
        <v>238</v>
      </c>
    </row>
    <row r="2792" spans="4:11">
      <c r="D2792" s="158">
        <v>186881</v>
      </c>
      <c r="E2792" s="158">
        <v>10018</v>
      </c>
      <c r="F2792" s="158">
        <v>1164</v>
      </c>
      <c r="K2792" s="158" t="s">
        <v>238</v>
      </c>
    </row>
    <row r="2793" spans="4:11">
      <c r="D2793" s="158">
        <v>186931</v>
      </c>
      <c r="E2793" s="158">
        <v>10097</v>
      </c>
      <c r="F2793" s="158">
        <v>2405</v>
      </c>
      <c r="H2793" s="158">
        <v>2.65</v>
      </c>
      <c r="J2793" s="158">
        <v>2.65</v>
      </c>
      <c r="K2793" s="158" t="s">
        <v>237</v>
      </c>
    </row>
    <row r="2794" spans="4:11">
      <c r="D2794" s="158">
        <v>186941</v>
      </c>
      <c r="E2794" s="158">
        <v>10695</v>
      </c>
      <c r="F2794" s="158">
        <v>2184</v>
      </c>
      <c r="G2794" s="158">
        <v>2</v>
      </c>
      <c r="I2794" s="158">
        <v>2</v>
      </c>
      <c r="J2794" s="158">
        <v>2</v>
      </c>
      <c r="K2794" s="158" t="s">
        <v>235</v>
      </c>
    </row>
    <row r="2795" spans="4:11">
      <c r="D2795" s="158">
        <v>186943</v>
      </c>
      <c r="E2795" s="158">
        <v>10794</v>
      </c>
      <c r="F2795" s="158">
        <v>2542</v>
      </c>
      <c r="G2795" s="158">
        <v>1</v>
      </c>
      <c r="I2795" s="158">
        <v>1</v>
      </c>
      <c r="J2795" s="158">
        <v>1</v>
      </c>
      <c r="K2795" s="158" t="s">
        <v>235</v>
      </c>
    </row>
    <row r="2796" spans="4:11">
      <c r="D2796" s="158">
        <v>186944</v>
      </c>
      <c r="E2796" s="158">
        <v>11750</v>
      </c>
      <c r="F2796" s="158">
        <v>2542</v>
      </c>
      <c r="G2796" s="158">
        <v>1</v>
      </c>
      <c r="I2796" s="158">
        <v>1</v>
      </c>
      <c r="J2796" s="158">
        <v>1</v>
      </c>
      <c r="K2796" s="158" t="s">
        <v>235</v>
      </c>
    </row>
    <row r="2797" spans="4:11">
      <c r="D2797" s="158">
        <v>186945</v>
      </c>
      <c r="E2797" s="158">
        <v>11214</v>
      </c>
      <c r="F2797" s="158">
        <v>2030</v>
      </c>
      <c r="H2797" s="158">
        <v>0.3</v>
      </c>
      <c r="J2797" s="158">
        <v>0.3</v>
      </c>
      <c r="K2797" s="158" t="s">
        <v>235</v>
      </c>
    </row>
    <row r="2798" spans="4:11">
      <c r="D2798" s="158">
        <v>186946</v>
      </c>
      <c r="E2798" s="158">
        <v>11750</v>
      </c>
      <c r="F2798" s="158">
        <v>2542</v>
      </c>
      <c r="G2798" s="158">
        <v>1</v>
      </c>
      <c r="I2798" s="158">
        <v>1</v>
      </c>
      <c r="J2798" s="158">
        <v>1</v>
      </c>
      <c r="K2798" s="158" t="s">
        <v>235</v>
      </c>
    </row>
    <row r="2799" spans="4:11">
      <c r="D2799" s="158">
        <v>186947</v>
      </c>
      <c r="E2799" s="158">
        <v>10794</v>
      </c>
      <c r="F2799" s="158">
        <v>2542</v>
      </c>
      <c r="G2799" s="158">
        <v>2</v>
      </c>
      <c r="I2799" s="158">
        <v>2</v>
      </c>
      <c r="J2799" s="158">
        <v>2</v>
      </c>
      <c r="K2799" s="158" t="s">
        <v>235</v>
      </c>
    </row>
    <row r="2800" spans="4:11">
      <c r="D2800" s="158">
        <v>186948</v>
      </c>
      <c r="E2800" s="158">
        <v>10794</v>
      </c>
      <c r="F2800" s="158">
        <v>2542</v>
      </c>
      <c r="G2800" s="158">
        <v>2</v>
      </c>
      <c r="I2800" s="158">
        <v>2</v>
      </c>
      <c r="J2800" s="158">
        <v>2</v>
      </c>
      <c r="K2800" s="158" t="s">
        <v>235</v>
      </c>
    </row>
    <row r="2801" spans="4:11">
      <c r="D2801" s="158">
        <v>186949</v>
      </c>
      <c r="E2801" s="158">
        <v>11750</v>
      </c>
      <c r="F2801" s="158">
        <v>2542</v>
      </c>
      <c r="G2801" s="158">
        <v>1</v>
      </c>
      <c r="H2801" s="158">
        <v>1</v>
      </c>
      <c r="I2801" s="158">
        <v>0</v>
      </c>
      <c r="J2801" s="158">
        <v>1</v>
      </c>
      <c r="K2801" s="158" t="s">
        <v>235</v>
      </c>
    </row>
    <row r="2802" spans="4:11">
      <c r="D2802" s="158">
        <v>186971</v>
      </c>
      <c r="E2802" s="158">
        <v>10691</v>
      </c>
      <c r="F2802" s="158">
        <v>2028</v>
      </c>
      <c r="G2802" s="158">
        <v>0.25</v>
      </c>
      <c r="I2802" s="158">
        <v>0.25</v>
      </c>
      <c r="J2802" s="158">
        <v>0.25</v>
      </c>
      <c r="K2802" s="158" t="s">
        <v>235</v>
      </c>
    </row>
    <row r="2803" spans="4:11">
      <c r="D2803" s="158">
        <v>186988</v>
      </c>
      <c r="E2803" s="158">
        <v>10763</v>
      </c>
      <c r="F2803" s="158">
        <v>2028</v>
      </c>
      <c r="K2803" s="158" t="s">
        <v>235</v>
      </c>
    </row>
    <row r="2804" spans="4:11">
      <c r="D2804" s="158">
        <v>186989</v>
      </c>
      <c r="E2804" s="158">
        <v>10755</v>
      </c>
      <c r="F2804" s="158">
        <v>2028</v>
      </c>
      <c r="G2804" s="158">
        <v>0.25</v>
      </c>
      <c r="I2804" s="158">
        <v>0.25</v>
      </c>
      <c r="J2804" s="158">
        <v>0.25</v>
      </c>
      <c r="K2804" s="158" t="s">
        <v>235</v>
      </c>
    </row>
    <row r="2805" spans="4:11">
      <c r="D2805" s="158">
        <v>186990</v>
      </c>
      <c r="E2805" s="158">
        <v>10763</v>
      </c>
      <c r="F2805" s="158">
        <v>2028</v>
      </c>
      <c r="G2805" s="158">
        <v>1</v>
      </c>
      <c r="I2805" s="158">
        <v>1</v>
      </c>
      <c r="J2805" s="158">
        <v>1</v>
      </c>
      <c r="K2805" s="158" t="s">
        <v>235</v>
      </c>
    </row>
    <row r="2806" spans="4:11">
      <c r="D2806" s="158">
        <v>187008</v>
      </c>
      <c r="E2806" s="158">
        <v>11309</v>
      </c>
      <c r="F2806" s="158">
        <v>2266</v>
      </c>
      <c r="I2806" s="158">
        <v>5</v>
      </c>
      <c r="J2806" s="158">
        <v>5</v>
      </c>
      <c r="K2806" s="158" t="s">
        <v>236</v>
      </c>
    </row>
    <row r="2807" spans="4:11">
      <c r="D2807" s="158">
        <v>187031</v>
      </c>
      <c r="E2807" s="158">
        <v>11751</v>
      </c>
      <c r="F2807" s="158">
        <v>2533</v>
      </c>
      <c r="G2807" s="158">
        <v>4</v>
      </c>
      <c r="I2807" s="158">
        <v>4</v>
      </c>
      <c r="J2807" s="158">
        <v>4</v>
      </c>
      <c r="K2807" s="158" t="s">
        <v>235</v>
      </c>
    </row>
    <row r="2808" spans="4:11">
      <c r="D2808" s="158">
        <v>187032</v>
      </c>
      <c r="E2808" s="158">
        <v>11213</v>
      </c>
      <c r="F2808" s="158">
        <v>2062</v>
      </c>
      <c r="H2808" s="158">
        <v>0.9</v>
      </c>
      <c r="J2808" s="158">
        <v>0.9</v>
      </c>
      <c r="K2808" s="158" t="s">
        <v>235</v>
      </c>
    </row>
    <row r="2809" spans="4:11">
      <c r="D2809" s="158">
        <v>187046</v>
      </c>
      <c r="E2809" s="158">
        <v>10639</v>
      </c>
      <c r="F2809" s="158">
        <v>2533</v>
      </c>
      <c r="H2809" s="158">
        <v>0</v>
      </c>
      <c r="I2809" s="158">
        <v>1</v>
      </c>
      <c r="J2809" s="158">
        <v>1</v>
      </c>
      <c r="K2809" s="158" t="s">
        <v>235</v>
      </c>
    </row>
    <row r="2810" spans="4:11">
      <c r="D2810" s="158">
        <v>187048</v>
      </c>
      <c r="E2810" s="158">
        <v>10639</v>
      </c>
      <c r="F2810" s="158">
        <v>2408</v>
      </c>
      <c r="H2810" s="158">
        <v>0</v>
      </c>
      <c r="I2810" s="158">
        <v>0.5</v>
      </c>
      <c r="J2810" s="158">
        <v>0.5</v>
      </c>
      <c r="K2810" s="158" t="s">
        <v>235</v>
      </c>
    </row>
    <row r="2811" spans="4:11">
      <c r="D2811" s="158">
        <v>187051</v>
      </c>
      <c r="E2811" s="158">
        <v>10639</v>
      </c>
      <c r="F2811" s="158">
        <v>2485</v>
      </c>
      <c r="H2811" s="158">
        <v>0</v>
      </c>
      <c r="I2811" s="158">
        <v>0.5</v>
      </c>
      <c r="J2811" s="158">
        <v>0.5</v>
      </c>
      <c r="K2811" s="158" t="s">
        <v>235</v>
      </c>
    </row>
    <row r="2812" spans="4:11">
      <c r="D2812" s="158">
        <v>189096</v>
      </c>
      <c r="E2812" s="158">
        <v>11743</v>
      </c>
      <c r="F2812" s="158">
        <v>300</v>
      </c>
      <c r="G2812" s="158">
        <v>1</v>
      </c>
      <c r="I2812" s="158">
        <v>1</v>
      </c>
      <c r="J2812" s="158">
        <v>1</v>
      </c>
      <c r="K2812" s="158" t="s">
        <v>235</v>
      </c>
    </row>
    <row r="2813" spans="4:11">
      <c r="D2813" s="158">
        <v>189097</v>
      </c>
      <c r="E2813" s="158">
        <v>10639</v>
      </c>
      <c r="F2813" s="158">
        <v>2542</v>
      </c>
      <c r="H2813" s="158">
        <v>0</v>
      </c>
      <c r="I2813" s="158">
        <v>0.5</v>
      </c>
      <c r="J2813" s="158">
        <v>0.5</v>
      </c>
      <c r="K2813" s="158" t="s">
        <v>235</v>
      </c>
    </row>
    <row r="2814" spans="4:11">
      <c r="D2814" s="158">
        <v>189179</v>
      </c>
      <c r="E2814" s="158">
        <v>10750</v>
      </c>
      <c r="F2814" s="158">
        <v>2028</v>
      </c>
      <c r="H2814" s="158">
        <v>0.25</v>
      </c>
      <c r="J2814" s="158">
        <v>0.25</v>
      </c>
      <c r="K2814" s="158" t="s">
        <v>235</v>
      </c>
    </row>
    <row r="2815" spans="4:11">
      <c r="D2815" s="158">
        <v>189244</v>
      </c>
      <c r="E2815" s="158">
        <v>10639</v>
      </c>
      <c r="F2815" s="158">
        <v>2540</v>
      </c>
      <c r="G2815" s="158">
        <v>10</v>
      </c>
      <c r="H2815" s="158">
        <v>10</v>
      </c>
      <c r="I2815" s="158">
        <v>5</v>
      </c>
      <c r="J2815" s="158">
        <v>15</v>
      </c>
      <c r="K2815" s="158" t="s">
        <v>235</v>
      </c>
    </row>
    <row r="2816" spans="4:11">
      <c r="D2816" s="158">
        <v>189293</v>
      </c>
      <c r="E2816" s="158">
        <v>11213</v>
      </c>
      <c r="F2816" s="158">
        <v>2324</v>
      </c>
      <c r="H2816" s="158">
        <v>0.6</v>
      </c>
      <c r="J2816" s="158">
        <v>0.6</v>
      </c>
      <c r="K2816" s="158" t="s">
        <v>235</v>
      </c>
    </row>
    <row r="2817" spans="4:11">
      <c r="D2817" s="158">
        <v>189294</v>
      </c>
      <c r="E2817" s="158">
        <v>11213</v>
      </c>
      <c r="F2817" s="158">
        <v>2324</v>
      </c>
      <c r="H2817" s="158">
        <v>0.2</v>
      </c>
      <c r="J2817" s="158">
        <v>0.2</v>
      </c>
      <c r="K2817" s="158" t="s">
        <v>235</v>
      </c>
    </row>
    <row r="2818" spans="4:11">
      <c r="D2818" s="158">
        <v>189295</v>
      </c>
      <c r="E2818" s="158">
        <v>11213</v>
      </c>
      <c r="F2818" s="158">
        <v>2324</v>
      </c>
      <c r="H2818" s="158">
        <v>0.3</v>
      </c>
      <c r="J2818" s="158">
        <v>0.3</v>
      </c>
      <c r="K2818" s="158" t="s">
        <v>235</v>
      </c>
    </row>
    <row r="2819" spans="4:11">
      <c r="D2819" s="158">
        <v>189327</v>
      </c>
      <c r="E2819" s="158">
        <v>10639</v>
      </c>
      <c r="F2819" s="158">
        <v>2181</v>
      </c>
      <c r="H2819" s="158">
        <v>0</v>
      </c>
      <c r="I2819" s="158">
        <v>0.5</v>
      </c>
      <c r="J2819" s="158">
        <v>0.5</v>
      </c>
      <c r="K2819" s="158" t="s">
        <v>235</v>
      </c>
    </row>
    <row r="2820" spans="4:11">
      <c r="D2820" s="158">
        <v>189429</v>
      </c>
      <c r="E2820" s="158">
        <v>10815</v>
      </c>
      <c r="F2820" s="158">
        <v>2408</v>
      </c>
      <c r="G2820" s="158">
        <v>1.45</v>
      </c>
      <c r="H2820" s="158">
        <v>1.45</v>
      </c>
      <c r="I2820" s="158">
        <v>0</v>
      </c>
      <c r="J2820" s="158">
        <v>1.45</v>
      </c>
      <c r="K2820" s="158" t="s">
        <v>235</v>
      </c>
    </row>
    <row r="2821" spans="4:11">
      <c r="D2821" s="158">
        <v>189485</v>
      </c>
      <c r="E2821" s="158">
        <v>11750</v>
      </c>
      <c r="F2821" s="158">
        <v>2542</v>
      </c>
      <c r="G2821" s="158">
        <v>0.5</v>
      </c>
      <c r="H2821" s="158">
        <v>0.5</v>
      </c>
      <c r="I2821" s="158">
        <v>0</v>
      </c>
      <c r="J2821" s="158">
        <v>0.5</v>
      </c>
      <c r="K2821" s="158" t="s">
        <v>235</v>
      </c>
    </row>
    <row r="2822" spans="4:11">
      <c r="D2822" s="158">
        <v>189490</v>
      </c>
      <c r="E2822" s="158">
        <v>10693</v>
      </c>
      <c r="F2822" s="158">
        <v>2485</v>
      </c>
      <c r="G2822" s="158">
        <v>2.7</v>
      </c>
      <c r="I2822" s="158">
        <v>2.7</v>
      </c>
      <c r="J2822" s="158">
        <v>2.7</v>
      </c>
      <c r="K2822" s="158" t="s">
        <v>235</v>
      </c>
    </row>
    <row r="2823" spans="4:11">
      <c r="D2823" s="158">
        <v>189491</v>
      </c>
      <c r="E2823" s="158">
        <v>10693</v>
      </c>
      <c r="F2823" s="158">
        <v>2485</v>
      </c>
      <c r="G2823" s="158">
        <v>2</v>
      </c>
      <c r="I2823" s="158">
        <v>2</v>
      </c>
      <c r="J2823" s="158">
        <v>2</v>
      </c>
      <c r="K2823" s="158" t="s">
        <v>235</v>
      </c>
    </row>
    <row r="2824" spans="4:11">
      <c r="D2824" s="158">
        <v>189492</v>
      </c>
      <c r="E2824" s="158">
        <v>10695</v>
      </c>
      <c r="F2824" s="158">
        <v>1795</v>
      </c>
      <c r="G2824" s="158">
        <v>2</v>
      </c>
      <c r="I2824" s="158">
        <v>2</v>
      </c>
      <c r="J2824" s="158">
        <v>2</v>
      </c>
      <c r="K2824" s="158" t="s">
        <v>235</v>
      </c>
    </row>
    <row r="2825" spans="4:11">
      <c r="D2825" s="158">
        <v>189982</v>
      </c>
      <c r="E2825" s="158">
        <v>11898</v>
      </c>
      <c r="F2825" s="158">
        <v>235</v>
      </c>
      <c r="H2825" s="158">
        <v>0.7</v>
      </c>
      <c r="J2825" s="158">
        <v>0.7</v>
      </c>
      <c r="K2825" s="158" t="s">
        <v>235</v>
      </c>
    </row>
    <row r="2826" spans="4:11">
      <c r="D2826" s="158">
        <v>189983</v>
      </c>
      <c r="E2826" s="158">
        <v>11948</v>
      </c>
      <c r="F2826" s="158">
        <v>235</v>
      </c>
      <c r="K2826" s="158" t="s">
        <v>235</v>
      </c>
    </row>
    <row r="2827" spans="4:11">
      <c r="D2827" s="158">
        <v>189984</v>
      </c>
      <c r="E2827" s="158">
        <v>11948</v>
      </c>
      <c r="F2827" s="158">
        <v>235</v>
      </c>
      <c r="I2827" s="158">
        <v>1.1000000000000001</v>
      </c>
      <c r="J2827" s="158">
        <v>1.1000000000000001</v>
      </c>
      <c r="K2827" s="158" t="s">
        <v>235</v>
      </c>
    </row>
    <row r="2828" spans="4:11">
      <c r="D2828" s="158">
        <v>190118</v>
      </c>
      <c r="E2828" s="158">
        <v>10692</v>
      </c>
      <c r="F2828" s="158">
        <v>2533</v>
      </c>
      <c r="G2828" s="158">
        <v>0.5</v>
      </c>
      <c r="H2828" s="158">
        <v>1</v>
      </c>
      <c r="I2828" s="158">
        <v>0</v>
      </c>
      <c r="J2828" s="158">
        <v>1</v>
      </c>
      <c r="K2828" s="158" t="s">
        <v>235</v>
      </c>
    </row>
    <row r="2829" spans="4:11">
      <c r="D2829" s="158">
        <v>190119</v>
      </c>
      <c r="E2829" s="158">
        <v>10692</v>
      </c>
      <c r="F2829" s="158">
        <v>2120</v>
      </c>
      <c r="G2829" s="158">
        <v>2.5</v>
      </c>
      <c r="H2829" s="158">
        <v>2.5</v>
      </c>
      <c r="I2829" s="158">
        <v>0</v>
      </c>
      <c r="J2829" s="158">
        <v>2.5</v>
      </c>
      <c r="K2829" s="158" t="s">
        <v>235</v>
      </c>
    </row>
    <row r="2830" spans="4:11">
      <c r="D2830" s="158">
        <v>190120</v>
      </c>
      <c r="E2830" s="158">
        <v>10692</v>
      </c>
      <c r="F2830" s="158">
        <v>2362</v>
      </c>
      <c r="G2830" s="158">
        <v>0.5</v>
      </c>
      <c r="H2830" s="158">
        <v>0.5</v>
      </c>
      <c r="I2830" s="158">
        <v>0</v>
      </c>
      <c r="J2830" s="158">
        <v>0.5</v>
      </c>
      <c r="K2830" s="158" t="s">
        <v>235</v>
      </c>
    </row>
    <row r="2831" spans="4:11">
      <c r="D2831" s="158">
        <v>190121</v>
      </c>
      <c r="E2831" s="158">
        <v>10692</v>
      </c>
      <c r="F2831" s="158">
        <v>2408</v>
      </c>
      <c r="G2831" s="158">
        <v>0.5</v>
      </c>
      <c r="H2831" s="158">
        <v>0.5</v>
      </c>
      <c r="I2831" s="158">
        <v>0</v>
      </c>
      <c r="J2831" s="158">
        <v>0.5</v>
      </c>
      <c r="K2831" s="158" t="s">
        <v>235</v>
      </c>
    </row>
    <row r="2832" spans="4:11">
      <c r="D2832" s="158">
        <v>190122</v>
      </c>
      <c r="E2832" s="158">
        <v>10692</v>
      </c>
      <c r="F2832" s="158">
        <v>2221</v>
      </c>
      <c r="G2832" s="158">
        <v>0.3</v>
      </c>
      <c r="H2832" s="158">
        <v>0.3</v>
      </c>
      <c r="I2832" s="158">
        <v>0</v>
      </c>
      <c r="J2832" s="158">
        <v>0.3</v>
      </c>
      <c r="K2832" s="158" t="s">
        <v>235</v>
      </c>
    </row>
    <row r="2833" spans="4:11">
      <c r="D2833" s="158">
        <v>190123</v>
      </c>
      <c r="E2833" s="158">
        <v>10692</v>
      </c>
      <c r="F2833" s="158">
        <v>1795</v>
      </c>
      <c r="G2833" s="158">
        <v>0.5</v>
      </c>
      <c r="H2833" s="158">
        <v>0.5</v>
      </c>
      <c r="I2833" s="158">
        <v>0</v>
      </c>
      <c r="J2833" s="158">
        <v>0.5</v>
      </c>
      <c r="K2833" s="158" t="s">
        <v>235</v>
      </c>
    </row>
    <row r="2834" spans="4:11">
      <c r="D2834" s="158">
        <v>190124</v>
      </c>
      <c r="E2834" s="158">
        <v>10692</v>
      </c>
      <c r="F2834" s="158">
        <v>2485</v>
      </c>
      <c r="G2834" s="158">
        <v>0.5</v>
      </c>
      <c r="H2834" s="158">
        <v>0.5</v>
      </c>
      <c r="I2834" s="158">
        <v>0</v>
      </c>
      <c r="J2834" s="158">
        <v>0.5</v>
      </c>
      <c r="K2834" s="158" t="s">
        <v>235</v>
      </c>
    </row>
    <row r="2835" spans="4:11">
      <c r="D2835" s="158">
        <v>190125</v>
      </c>
      <c r="E2835" s="158">
        <v>10692</v>
      </c>
      <c r="F2835" s="158">
        <v>2542</v>
      </c>
      <c r="G2835" s="158">
        <v>0.5</v>
      </c>
      <c r="H2835" s="158">
        <v>0.5</v>
      </c>
      <c r="I2835" s="158">
        <v>0</v>
      </c>
      <c r="J2835" s="158">
        <v>0.5</v>
      </c>
      <c r="K2835" s="158" t="s">
        <v>235</v>
      </c>
    </row>
    <row r="2836" spans="4:11">
      <c r="D2836" s="158">
        <v>190126</v>
      </c>
      <c r="E2836" s="158">
        <v>10692</v>
      </c>
      <c r="F2836" s="158">
        <v>2181</v>
      </c>
      <c r="G2836" s="158">
        <v>0.5</v>
      </c>
      <c r="H2836" s="158">
        <v>0.5</v>
      </c>
      <c r="I2836" s="158">
        <v>0</v>
      </c>
      <c r="J2836" s="158">
        <v>0.5</v>
      </c>
      <c r="K2836" s="158" t="s">
        <v>235</v>
      </c>
    </row>
    <row r="2837" spans="4:11">
      <c r="D2837" s="158">
        <v>190127</v>
      </c>
      <c r="E2837" s="158">
        <v>10692</v>
      </c>
      <c r="F2837" s="158">
        <v>2123</v>
      </c>
      <c r="G2837" s="158">
        <v>0.5</v>
      </c>
      <c r="H2837" s="158">
        <v>0.5</v>
      </c>
      <c r="I2837" s="158">
        <v>0</v>
      </c>
      <c r="J2837" s="158">
        <v>0.5</v>
      </c>
      <c r="K2837" s="158" t="s">
        <v>235</v>
      </c>
    </row>
    <row r="2838" spans="4:11">
      <c r="D2838" s="158">
        <v>190141</v>
      </c>
      <c r="E2838" s="158">
        <v>10639</v>
      </c>
      <c r="F2838" s="158">
        <v>2124</v>
      </c>
      <c r="K2838" s="158" t="s">
        <v>235</v>
      </c>
    </row>
    <row r="2839" spans="4:11">
      <c r="D2839" s="158">
        <v>190142</v>
      </c>
      <c r="E2839" s="158">
        <v>10639</v>
      </c>
      <c r="F2839" s="158">
        <v>235</v>
      </c>
      <c r="H2839" s="158">
        <v>8</v>
      </c>
      <c r="J2839" s="158">
        <v>8</v>
      </c>
      <c r="K2839" s="158" t="s">
        <v>235</v>
      </c>
    </row>
    <row r="2840" spans="4:11">
      <c r="D2840" s="158">
        <v>190143</v>
      </c>
      <c r="E2840" s="158">
        <v>10639</v>
      </c>
      <c r="F2840" s="158">
        <v>197</v>
      </c>
      <c r="H2840" s="158">
        <v>1.9</v>
      </c>
      <c r="J2840" s="158">
        <v>1.9</v>
      </c>
      <c r="K2840" s="158" t="s">
        <v>235</v>
      </c>
    </row>
    <row r="2841" spans="4:11">
      <c r="D2841" s="158">
        <v>190147</v>
      </c>
      <c r="E2841" s="158">
        <v>10100</v>
      </c>
      <c r="F2841" s="158">
        <v>229</v>
      </c>
      <c r="G2841" s="158">
        <v>4.5</v>
      </c>
      <c r="I2841" s="158">
        <v>4.5</v>
      </c>
      <c r="J2841" s="158">
        <v>4.5</v>
      </c>
      <c r="K2841" s="158" t="s">
        <v>237</v>
      </c>
    </row>
    <row r="2842" spans="4:11">
      <c r="D2842" s="158">
        <v>190148</v>
      </c>
      <c r="E2842" s="158">
        <v>10100</v>
      </c>
      <c r="F2842" s="158">
        <v>229</v>
      </c>
      <c r="G2842" s="158">
        <v>0.5</v>
      </c>
      <c r="I2842" s="158">
        <v>0.5</v>
      </c>
      <c r="J2842" s="158">
        <v>0.5</v>
      </c>
      <c r="K2842" s="158" t="s">
        <v>237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0" tint="-0.499984740745262"/>
  </sheetPr>
  <dimension ref="D6:P952"/>
  <sheetViews>
    <sheetView topLeftCell="C1" workbookViewId="0">
      <selection activeCell="D6" sqref="D6:K952"/>
    </sheetView>
  </sheetViews>
  <sheetFormatPr baseColWidth="10" defaultRowHeight="15"/>
  <cols>
    <col min="4" max="4" width="23.42578125" customWidth="1"/>
    <col min="5" max="5" width="13.5703125" style="158" customWidth="1"/>
    <col min="6" max="6" width="11.42578125" style="158" customWidth="1"/>
    <col min="7" max="7" width="9" style="158" customWidth="1"/>
    <col min="8" max="8" width="7.5703125" style="158" customWidth="1"/>
    <col min="9" max="9" width="8.85546875" style="158" customWidth="1"/>
    <col min="10" max="10" width="6.85546875" style="158" customWidth="1"/>
    <col min="11" max="11" width="17.140625" style="158" customWidth="1"/>
    <col min="12" max="12" width="6.85546875" style="158" customWidth="1"/>
    <col min="13" max="13" width="9" style="158" bestFit="1" customWidth="1"/>
    <col min="14" max="14" width="7.5703125" style="158" bestFit="1" customWidth="1"/>
    <col min="15" max="15" width="8.85546875" style="158" bestFit="1" customWidth="1"/>
    <col min="16" max="16" width="6.85546875" style="158" bestFit="1" customWidth="1"/>
    <col min="17" max="17" width="10.5703125" bestFit="1" customWidth="1"/>
    <col min="18" max="18" width="17.42578125" bestFit="1" customWidth="1"/>
    <col min="19" max="19" width="8" bestFit="1" customWidth="1"/>
    <col min="20" max="20" width="12.5703125" bestFit="1" customWidth="1"/>
    <col min="21" max="21" width="14" bestFit="1" customWidth="1"/>
    <col min="22" max="22" width="8.5703125" bestFit="1" customWidth="1"/>
    <col min="23" max="23" width="10" bestFit="1" customWidth="1"/>
    <col min="24" max="24" width="12.42578125" bestFit="1" customWidth="1"/>
    <col min="25" max="25" width="9.5703125" bestFit="1" customWidth="1"/>
    <col min="26" max="26" width="11.42578125" bestFit="1" customWidth="1"/>
    <col min="27" max="27" width="15.140625" bestFit="1" customWidth="1"/>
    <col min="28" max="28" width="14.85546875" bestFit="1" customWidth="1"/>
    <col min="29" max="29" width="17" bestFit="1" customWidth="1"/>
    <col min="30" max="30" width="25" bestFit="1" customWidth="1"/>
    <col min="31" max="31" width="14.5703125" bestFit="1" customWidth="1"/>
    <col min="32" max="32" width="11.42578125" bestFit="1" customWidth="1"/>
    <col min="33" max="33" width="6.42578125" bestFit="1" customWidth="1"/>
    <col min="34" max="34" width="7.5703125" bestFit="1" customWidth="1"/>
    <col min="35" max="35" width="11.140625" bestFit="1" customWidth="1"/>
    <col min="36" max="36" width="10.140625" bestFit="1" customWidth="1"/>
    <col min="37" max="37" width="11.42578125" bestFit="1" customWidth="1"/>
    <col min="38" max="38" width="10.140625" bestFit="1" customWidth="1"/>
    <col min="39" max="39" width="14" bestFit="1" customWidth="1"/>
    <col min="40" max="40" width="11.42578125" bestFit="1" customWidth="1"/>
    <col min="41" max="41" width="11.140625" bestFit="1" customWidth="1"/>
    <col min="42" max="42" width="16.42578125" bestFit="1" customWidth="1"/>
    <col min="43" max="43" width="15.42578125" bestFit="1" customWidth="1"/>
    <col min="44" max="44" width="7.85546875" bestFit="1" customWidth="1"/>
    <col min="45" max="45" width="17" bestFit="1" customWidth="1"/>
    <col min="46" max="46" width="5.5703125" bestFit="1" customWidth="1"/>
    <col min="47" max="47" width="12.5703125" bestFit="1" customWidth="1"/>
    <col min="48" max="48" width="16.5703125" bestFit="1" customWidth="1"/>
    <col min="49" max="49" width="13.42578125" bestFit="1" customWidth="1"/>
    <col min="50" max="50" width="14.5703125" bestFit="1" customWidth="1"/>
    <col min="51" max="53" width="12.42578125" bestFit="1" customWidth="1"/>
    <col min="54" max="54" width="12.5703125" bestFit="1" customWidth="1"/>
    <col min="55" max="55" width="18.5703125" bestFit="1" customWidth="1"/>
  </cols>
  <sheetData>
    <row r="6" spans="4:16">
      <c r="D6" s="158" t="s">
        <v>242</v>
      </c>
      <c r="E6" s="158" t="s">
        <v>234</v>
      </c>
      <c r="F6" s="158" t="s">
        <v>243</v>
      </c>
      <c r="G6" s="158" t="s">
        <v>244</v>
      </c>
      <c r="H6" s="158" t="s">
        <v>245</v>
      </c>
      <c r="I6" s="158" t="s">
        <v>246</v>
      </c>
      <c r="J6" s="158" t="s">
        <v>247</v>
      </c>
      <c r="K6" s="158" t="s">
        <v>622</v>
      </c>
      <c r="L6"/>
      <c r="M6"/>
      <c r="N6"/>
      <c r="O6"/>
      <c r="P6"/>
    </row>
    <row r="7" spans="4:16">
      <c r="D7" s="158"/>
      <c r="E7" s="158" t="s">
        <v>235</v>
      </c>
      <c r="F7" s="1">
        <v>43144</v>
      </c>
      <c r="G7" s="158" t="s">
        <v>431</v>
      </c>
      <c r="H7" s="158" t="s">
        <v>370</v>
      </c>
      <c r="I7" s="158" t="s">
        <v>281</v>
      </c>
      <c r="J7" s="158" t="s">
        <v>261</v>
      </c>
      <c r="K7" s="158">
        <v>0.2</v>
      </c>
      <c r="L7"/>
      <c r="M7"/>
      <c r="N7"/>
      <c r="O7"/>
      <c r="P7"/>
    </row>
    <row r="8" spans="4:16">
      <c r="D8" s="158" t="s">
        <v>582</v>
      </c>
      <c r="E8" s="158" t="s">
        <v>235</v>
      </c>
      <c r="F8" s="1">
        <v>43180</v>
      </c>
      <c r="G8" s="158" t="s">
        <v>382</v>
      </c>
      <c r="H8" s="158" t="s">
        <v>335</v>
      </c>
      <c r="I8" s="158" t="s">
        <v>284</v>
      </c>
      <c r="J8" s="158" t="s">
        <v>261</v>
      </c>
      <c r="K8" s="158">
        <v>4.75</v>
      </c>
      <c r="L8"/>
      <c r="M8"/>
      <c r="N8"/>
      <c r="O8"/>
      <c r="P8"/>
    </row>
    <row r="9" spans="4:16">
      <c r="D9" s="158" t="s">
        <v>582</v>
      </c>
      <c r="E9" s="158" t="s">
        <v>235</v>
      </c>
      <c r="F9" s="1">
        <v>43193</v>
      </c>
      <c r="G9" s="158" t="s">
        <v>383</v>
      </c>
      <c r="H9" s="158" t="s">
        <v>340</v>
      </c>
      <c r="I9" s="158" t="s">
        <v>341</v>
      </c>
      <c r="J9" s="158" t="s">
        <v>261</v>
      </c>
      <c r="K9" s="158">
        <v>19</v>
      </c>
      <c r="L9"/>
      <c r="M9"/>
      <c r="N9"/>
      <c r="O9"/>
      <c r="P9"/>
    </row>
    <row r="10" spans="4:16">
      <c r="D10" s="158" t="s">
        <v>582</v>
      </c>
      <c r="E10" s="158" t="s">
        <v>235</v>
      </c>
      <c r="F10" s="1">
        <v>43245</v>
      </c>
      <c r="G10" s="158" t="s">
        <v>457</v>
      </c>
      <c r="H10" s="158" t="s">
        <v>354</v>
      </c>
      <c r="I10" s="158" t="s">
        <v>313</v>
      </c>
      <c r="J10" s="158" t="s">
        <v>261</v>
      </c>
      <c r="K10" s="158">
        <v>16.75</v>
      </c>
      <c r="L10"/>
      <c r="M10"/>
      <c r="N10"/>
      <c r="O10"/>
      <c r="P10"/>
    </row>
    <row r="11" spans="4:16">
      <c r="D11" s="158" t="s">
        <v>582</v>
      </c>
      <c r="E11" s="158" t="s">
        <v>235</v>
      </c>
      <c r="F11" s="1">
        <v>43259</v>
      </c>
      <c r="G11" s="158" t="s">
        <v>360</v>
      </c>
      <c r="H11" s="158" t="s">
        <v>359</v>
      </c>
      <c r="I11" s="158" t="s">
        <v>287</v>
      </c>
      <c r="J11" s="158" t="s">
        <v>261</v>
      </c>
      <c r="K11" s="158">
        <v>17</v>
      </c>
      <c r="L11"/>
      <c r="M11"/>
      <c r="N11"/>
      <c r="O11"/>
      <c r="P11"/>
    </row>
    <row r="12" spans="4:16">
      <c r="D12" s="158" t="s">
        <v>582</v>
      </c>
      <c r="E12" s="158" t="s">
        <v>235</v>
      </c>
      <c r="F12" s="1">
        <v>43292</v>
      </c>
      <c r="G12" s="158" t="s">
        <v>459</v>
      </c>
      <c r="H12" s="158" t="s">
        <v>460</v>
      </c>
      <c r="I12" s="158" t="s">
        <v>370</v>
      </c>
      <c r="J12" s="158" t="s">
        <v>261</v>
      </c>
      <c r="K12" s="158">
        <v>20</v>
      </c>
      <c r="L12"/>
      <c r="M12"/>
      <c r="N12"/>
      <c r="O12"/>
      <c r="P12"/>
    </row>
    <row r="13" spans="4:16">
      <c r="D13" s="158" t="s">
        <v>582</v>
      </c>
      <c r="E13" s="158" t="s">
        <v>235</v>
      </c>
      <c r="F13" s="1">
        <v>43325</v>
      </c>
      <c r="G13" s="158" t="s">
        <v>471</v>
      </c>
      <c r="H13" s="158" t="s">
        <v>293</v>
      </c>
      <c r="I13" s="158" t="s">
        <v>290</v>
      </c>
      <c r="J13" s="158" t="s">
        <v>261</v>
      </c>
      <c r="K13" s="158">
        <v>17</v>
      </c>
      <c r="L13"/>
      <c r="M13"/>
      <c r="N13"/>
      <c r="O13"/>
      <c r="P13"/>
    </row>
    <row r="14" spans="4:16">
      <c r="D14" s="158" t="s">
        <v>582</v>
      </c>
      <c r="E14" s="158" t="s">
        <v>235</v>
      </c>
      <c r="F14" s="1">
        <v>43346</v>
      </c>
      <c r="G14" s="158" t="s">
        <v>389</v>
      </c>
      <c r="H14" s="158" t="s">
        <v>390</v>
      </c>
      <c r="I14" s="158" t="s">
        <v>260</v>
      </c>
      <c r="J14" s="158" t="s">
        <v>261</v>
      </c>
      <c r="K14" s="158">
        <v>18</v>
      </c>
      <c r="L14"/>
      <c r="M14"/>
      <c r="N14"/>
      <c r="O14"/>
      <c r="P14"/>
    </row>
    <row r="15" spans="4:16">
      <c r="D15" s="158" t="s">
        <v>582</v>
      </c>
      <c r="E15" s="158" t="s">
        <v>235</v>
      </c>
      <c r="F15" s="1">
        <v>43377</v>
      </c>
      <c r="G15" s="158" t="s">
        <v>265</v>
      </c>
      <c r="H15" s="158" t="s">
        <v>263</v>
      </c>
      <c r="I15" s="158" t="s">
        <v>264</v>
      </c>
      <c r="J15" s="158" t="s">
        <v>261</v>
      </c>
      <c r="K15" s="158">
        <v>21</v>
      </c>
      <c r="L15"/>
      <c r="M15"/>
      <c r="N15"/>
      <c r="O15"/>
      <c r="P15"/>
    </row>
    <row r="16" spans="4:16">
      <c r="D16" s="158" t="s">
        <v>582</v>
      </c>
      <c r="E16" s="158" t="s">
        <v>235</v>
      </c>
      <c r="F16" s="1">
        <v>43409</v>
      </c>
      <c r="G16" s="158" t="s">
        <v>411</v>
      </c>
      <c r="H16" s="158" t="s">
        <v>298</v>
      </c>
      <c r="I16" s="158" t="s">
        <v>299</v>
      </c>
      <c r="J16" s="158" t="s">
        <v>261</v>
      </c>
      <c r="K16" s="158">
        <v>19</v>
      </c>
      <c r="L16"/>
      <c r="M16"/>
      <c r="N16"/>
      <c r="O16"/>
      <c r="P16"/>
    </row>
    <row r="17" spans="4:16">
      <c r="D17" s="158" t="s">
        <v>582</v>
      </c>
      <c r="E17" s="158" t="s">
        <v>235</v>
      </c>
      <c r="F17" s="1">
        <v>43437</v>
      </c>
      <c r="G17" s="158" t="s">
        <v>417</v>
      </c>
      <c r="H17" s="158" t="s">
        <v>418</v>
      </c>
      <c r="I17" s="158" t="s">
        <v>335</v>
      </c>
      <c r="J17" s="158" t="s">
        <v>261</v>
      </c>
      <c r="K17" s="158">
        <v>3</v>
      </c>
      <c r="L17"/>
      <c r="M17"/>
      <c r="N17"/>
      <c r="O17"/>
      <c r="P17"/>
    </row>
    <row r="18" spans="4:16">
      <c r="D18" s="158" t="s">
        <v>619</v>
      </c>
      <c r="E18" s="158" t="s">
        <v>235</v>
      </c>
      <c r="F18" s="1">
        <v>43409</v>
      </c>
      <c r="G18" s="158" t="s">
        <v>411</v>
      </c>
      <c r="H18" s="158" t="s">
        <v>298</v>
      </c>
      <c r="I18" s="158" t="s">
        <v>299</v>
      </c>
      <c r="J18" s="158" t="s">
        <v>261</v>
      </c>
      <c r="K18" s="158">
        <v>20</v>
      </c>
      <c r="L18"/>
      <c r="M18"/>
      <c r="N18"/>
      <c r="O18"/>
      <c r="P18"/>
    </row>
    <row r="19" spans="4:16">
      <c r="D19" s="158" t="s">
        <v>442</v>
      </c>
      <c r="E19" s="158" t="s">
        <v>238</v>
      </c>
      <c r="F19" s="1">
        <v>43108</v>
      </c>
      <c r="G19" s="158" t="s">
        <v>448</v>
      </c>
      <c r="H19" s="158" t="s">
        <v>281</v>
      </c>
      <c r="I19" s="158" t="s">
        <v>282</v>
      </c>
      <c r="J19" s="158" t="s">
        <v>261</v>
      </c>
      <c r="K19" s="158">
        <v>16.8</v>
      </c>
      <c r="L19"/>
      <c r="M19"/>
      <c r="N19"/>
      <c r="O19"/>
      <c r="P19"/>
    </row>
    <row r="20" spans="4:16">
      <c r="D20" s="158" t="s">
        <v>442</v>
      </c>
      <c r="E20" s="158" t="s">
        <v>237</v>
      </c>
      <c r="F20" s="1">
        <v>43105</v>
      </c>
      <c r="G20" s="158" t="s">
        <v>500</v>
      </c>
      <c r="H20" s="158" t="s">
        <v>282</v>
      </c>
      <c r="I20" s="158" t="s">
        <v>282</v>
      </c>
      <c r="J20" s="158" t="s">
        <v>261</v>
      </c>
      <c r="K20" s="158">
        <v>2.7</v>
      </c>
      <c r="L20"/>
      <c r="M20"/>
      <c r="N20"/>
      <c r="O20"/>
      <c r="P20"/>
    </row>
    <row r="21" spans="4:16">
      <c r="D21" s="158" t="s">
        <v>442</v>
      </c>
      <c r="E21" s="158" t="s">
        <v>238</v>
      </c>
      <c r="F21" s="1">
        <v>43150</v>
      </c>
      <c r="G21" s="158" t="s">
        <v>320</v>
      </c>
      <c r="H21" s="158" t="s">
        <v>290</v>
      </c>
      <c r="I21" s="158" t="s">
        <v>281</v>
      </c>
      <c r="J21" s="158" t="s">
        <v>261</v>
      </c>
      <c r="K21" s="158">
        <v>19</v>
      </c>
      <c r="L21"/>
      <c r="M21"/>
      <c r="N21"/>
      <c r="O21"/>
      <c r="P21"/>
    </row>
    <row r="22" spans="4:16">
      <c r="D22" s="158" t="s">
        <v>442</v>
      </c>
      <c r="E22" s="158" t="s">
        <v>238</v>
      </c>
      <c r="F22" s="1">
        <v>43164</v>
      </c>
      <c r="G22" s="158" t="s">
        <v>329</v>
      </c>
      <c r="H22" s="158" t="s">
        <v>264</v>
      </c>
      <c r="I22" s="158" t="s">
        <v>284</v>
      </c>
      <c r="J22" s="158" t="s">
        <v>261</v>
      </c>
      <c r="K22" s="158">
        <v>16.7</v>
      </c>
      <c r="L22"/>
      <c r="M22"/>
      <c r="N22"/>
      <c r="O22"/>
      <c r="P22"/>
    </row>
    <row r="23" spans="4:16">
      <c r="D23" s="158" t="s">
        <v>442</v>
      </c>
      <c r="E23" s="158" t="s">
        <v>237</v>
      </c>
      <c r="F23" s="1">
        <v>43187</v>
      </c>
      <c r="G23" s="158" t="s">
        <v>338</v>
      </c>
      <c r="H23" s="158" t="s">
        <v>337</v>
      </c>
      <c r="I23" s="158" t="s">
        <v>284</v>
      </c>
      <c r="J23" s="158" t="s">
        <v>261</v>
      </c>
      <c r="K23" s="158">
        <v>0.3</v>
      </c>
      <c r="L23"/>
      <c r="M23"/>
      <c r="N23"/>
      <c r="O23"/>
      <c r="P23"/>
    </row>
    <row r="24" spans="4:16">
      <c r="D24" s="158" t="s">
        <v>442</v>
      </c>
      <c r="E24" s="158" t="s">
        <v>238</v>
      </c>
      <c r="F24" s="1">
        <v>43199</v>
      </c>
      <c r="G24" s="158" t="s">
        <v>343</v>
      </c>
      <c r="H24" s="158" t="s">
        <v>344</v>
      </c>
      <c r="I24" s="158" t="s">
        <v>341</v>
      </c>
      <c r="J24" s="158" t="s">
        <v>261</v>
      </c>
      <c r="K24" s="158">
        <v>17.7</v>
      </c>
      <c r="L24"/>
      <c r="M24"/>
      <c r="N24"/>
      <c r="O24"/>
      <c r="P24"/>
    </row>
    <row r="25" spans="4:16">
      <c r="D25" s="158" t="s">
        <v>442</v>
      </c>
      <c r="E25" s="158" t="s">
        <v>237</v>
      </c>
      <c r="F25" s="1">
        <v>43213</v>
      </c>
      <c r="G25" s="158" t="s">
        <v>491</v>
      </c>
      <c r="H25" s="158" t="s">
        <v>348</v>
      </c>
      <c r="I25" s="158" t="s">
        <v>341</v>
      </c>
      <c r="J25" s="158" t="s">
        <v>261</v>
      </c>
      <c r="K25" s="158">
        <v>1.25</v>
      </c>
      <c r="L25"/>
      <c r="M25"/>
      <c r="N25"/>
      <c r="O25"/>
      <c r="P25"/>
    </row>
    <row r="26" spans="4:16">
      <c r="D26" s="158" t="s">
        <v>442</v>
      </c>
      <c r="E26" s="158" t="s">
        <v>238</v>
      </c>
      <c r="F26" s="1">
        <v>43248</v>
      </c>
      <c r="G26" s="158" t="s">
        <v>355</v>
      </c>
      <c r="H26" s="158" t="s">
        <v>356</v>
      </c>
      <c r="I26" s="158" t="s">
        <v>313</v>
      </c>
      <c r="J26" s="158" t="s">
        <v>261</v>
      </c>
      <c r="K26" s="158">
        <v>16.899999999999999</v>
      </c>
      <c r="L26"/>
      <c r="M26"/>
      <c r="N26"/>
      <c r="O26"/>
      <c r="P26"/>
    </row>
    <row r="27" spans="4:16">
      <c r="D27" s="158" t="s">
        <v>442</v>
      </c>
      <c r="E27" s="158" t="s">
        <v>237</v>
      </c>
      <c r="F27" s="1">
        <v>43234</v>
      </c>
      <c r="G27" s="158" t="s">
        <v>351</v>
      </c>
      <c r="H27" s="158" t="s">
        <v>352</v>
      </c>
      <c r="I27" s="158" t="s">
        <v>313</v>
      </c>
      <c r="J27" s="158" t="s">
        <v>261</v>
      </c>
      <c r="K27" s="158">
        <v>0.9</v>
      </c>
      <c r="L27"/>
      <c r="M27"/>
      <c r="N27"/>
      <c r="O27"/>
      <c r="P27"/>
    </row>
    <row r="28" spans="4:16">
      <c r="D28" s="158" t="s">
        <v>442</v>
      </c>
      <c r="E28" s="158" t="s">
        <v>238</v>
      </c>
      <c r="F28" s="1">
        <v>43255</v>
      </c>
      <c r="G28" s="158" t="s">
        <v>454</v>
      </c>
      <c r="H28" s="158" t="s">
        <v>359</v>
      </c>
      <c r="I28" s="158" t="s">
        <v>287</v>
      </c>
      <c r="J28" s="158" t="s">
        <v>261</v>
      </c>
      <c r="K28" s="158">
        <v>16.75</v>
      </c>
      <c r="L28"/>
      <c r="M28"/>
      <c r="N28"/>
      <c r="O28"/>
      <c r="P28"/>
    </row>
    <row r="29" spans="4:16">
      <c r="D29" s="158" t="s">
        <v>442</v>
      </c>
      <c r="E29" s="158" t="s">
        <v>237</v>
      </c>
      <c r="F29" s="1">
        <v>43264</v>
      </c>
      <c r="G29" s="158" t="s">
        <v>364</v>
      </c>
      <c r="H29" s="158" t="s">
        <v>362</v>
      </c>
      <c r="I29" s="158" t="s">
        <v>287</v>
      </c>
      <c r="J29" s="158" t="s">
        <v>261</v>
      </c>
      <c r="K29" s="158">
        <v>2.75</v>
      </c>
      <c r="L29"/>
      <c r="M29"/>
      <c r="N29"/>
      <c r="O29"/>
      <c r="P29"/>
    </row>
    <row r="30" spans="4:16">
      <c r="D30" s="158" t="s">
        <v>442</v>
      </c>
      <c r="E30" s="158" t="s">
        <v>238</v>
      </c>
      <c r="F30" s="1">
        <v>43283</v>
      </c>
      <c r="G30" s="158" t="s">
        <v>368</v>
      </c>
      <c r="H30" s="158" t="s">
        <v>369</v>
      </c>
      <c r="I30" s="158" t="s">
        <v>370</v>
      </c>
      <c r="J30" s="158" t="s">
        <v>261</v>
      </c>
      <c r="K30" s="158">
        <v>18.8</v>
      </c>
      <c r="L30"/>
      <c r="M30"/>
      <c r="N30"/>
      <c r="O30"/>
      <c r="P30"/>
    </row>
    <row r="31" spans="4:16">
      <c r="D31" s="158" t="s">
        <v>442</v>
      </c>
      <c r="E31" s="158" t="s">
        <v>237</v>
      </c>
      <c r="F31" s="1">
        <v>43285</v>
      </c>
      <c r="G31" s="158" t="s">
        <v>512</v>
      </c>
      <c r="H31" s="158" t="s">
        <v>369</v>
      </c>
      <c r="I31" s="158" t="s">
        <v>370</v>
      </c>
      <c r="J31" s="158" t="s">
        <v>261</v>
      </c>
      <c r="K31" s="158">
        <v>1.2</v>
      </c>
      <c r="L31"/>
      <c r="M31"/>
      <c r="N31"/>
      <c r="O31"/>
      <c r="P31"/>
    </row>
    <row r="32" spans="4:16">
      <c r="D32" s="158" t="s">
        <v>442</v>
      </c>
      <c r="E32" s="158" t="s">
        <v>238</v>
      </c>
      <c r="F32" s="1">
        <v>43318</v>
      </c>
      <c r="G32" s="158" t="s">
        <v>469</v>
      </c>
      <c r="H32" s="158" t="s">
        <v>289</v>
      </c>
      <c r="I32" s="158" t="s">
        <v>290</v>
      </c>
      <c r="J32" s="158" t="s">
        <v>261</v>
      </c>
      <c r="K32" s="158">
        <v>13.9</v>
      </c>
      <c r="L32"/>
      <c r="M32"/>
      <c r="N32"/>
      <c r="O32"/>
      <c r="P32"/>
    </row>
    <row r="33" spans="4:16">
      <c r="D33" s="158" t="s">
        <v>442</v>
      </c>
      <c r="E33" s="158" t="s">
        <v>237</v>
      </c>
      <c r="F33" s="1">
        <v>43318</v>
      </c>
      <c r="G33" s="158" t="s">
        <v>469</v>
      </c>
      <c r="H33" s="158" t="s">
        <v>289</v>
      </c>
      <c r="I33" s="158" t="s">
        <v>290</v>
      </c>
      <c r="J33" s="158" t="s">
        <v>261</v>
      </c>
      <c r="K33" s="158">
        <v>1.1000000000000001</v>
      </c>
      <c r="L33"/>
      <c r="M33"/>
      <c r="N33"/>
      <c r="O33"/>
      <c r="P33"/>
    </row>
    <row r="34" spans="4:16">
      <c r="D34" s="158" t="s">
        <v>442</v>
      </c>
      <c r="E34" s="158" t="s">
        <v>238</v>
      </c>
      <c r="F34" s="1">
        <v>43353</v>
      </c>
      <c r="G34" s="158" t="s">
        <v>456</v>
      </c>
      <c r="H34" s="158" t="s">
        <v>378</v>
      </c>
      <c r="I34" s="158" t="s">
        <v>260</v>
      </c>
      <c r="J34" s="158" t="s">
        <v>261</v>
      </c>
      <c r="K34" s="158">
        <v>17.649999999999999</v>
      </c>
      <c r="L34"/>
      <c r="M34"/>
      <c r="N34"/>
      <c r="O34"/>
      <c r="P34"/>
    </row>
    <row r="35" spans="4:16">
      <c r="D35" s="158" t="s">
        <v>442</v>
      </c>
      <c r="E35" s="158" t="s">
        <v>237</v>
      </c>
      <c r="F35" s="1">
        <v>43346</v>
      </c>
      <c r="G35" s="158" t="s">
        <v>389</v>
      </c>
      <c r="H35" s="158" t="s">
        <v>390</v>
      </c>
      <c r="I35" s="158" t="s">
        <v>260</v>
      </c>
      <c r="J35" s="158" t="s">
        <v>261</v>
      </c>
      <c r="K35" s="158">
        <v>0.85</v>
      </c>
      <c r="L35"/>
      <c r="M35"/>
      <c r="N35"/>
      <c r="O35"/>
      <c r="P35"/>
    </row>
    <row r="36" spans="4:16">
      <c r="D36" s="158" t="s">
        <v>442</v>
      </c>
      <c r="E36" s="158" t="s">
        <v>238</v>
      </c>
      <c r="F36" s="1">
        <v>43391</v>
      </c>
      <c r="G36" s="158" t="s">
        <v>486</v>
      </c>
      <c r="H36" s="158" t="s">
        <v>396</v>
      </c>
      <c r="I36" s="158" t="s">
        <v>264</v>
      </c>
      <c r="J36" s="158" t="s">
        <v>261</v>
      </c>
      <c r="K36" s="158">
        <v>21.6</v>
      </c>
      <c r="L36"/>
      <c r="M36"/>
      <c r="N36"/>
      <c r="O36"/>
      <c r="P36"/>
    </row>
    <row r="37" spans="4:16">
      <c r="D37" s="158" t="s">
        <v>442</v>
      </c>
      <c r="E37" s="158" t="s">
        <v>237</v>
      </c>
      <c r="F37" s="1">
        <v>43397</v>
      </c>
      <c r="G37" s="158" t="s">
        <v>310</v>
      </c>
      <c r="H37" s="158" t="s">
        <v>273</v>
      </c>
      <c r="I37" s="158" t="s">
        <v>264</v>
      </c>
      <c r="J37" s="158" t="s">
        <v>261</v>
      </c>
      <c r="K37" s="158">
        <v>0.4</v>
      </c>
      <c r="L37"/>
      <c r="M37"/>
      <c r="N37"/>
      <c r="O37"/>
      <c r="P37"/>
    </row>
    <row r="38" spans="4:16">
      <c r="D38" s="158" t="s">
        <v>442</v>
      </c>
      <c r="E38" s="158" t="s">
        <v>238</v>
      </c>
      <c r="F38" s="1">
        <v>43409</v>
      </c>
      <c r="G38" s="158" t="s">
        <v>411</v>
      </c>
      <c r="H38" s="158" t="s">
        <v>298</v>
      </c>
      <c r="I38" s="158" t="s">
        <v>299</v>
      </c>
      <c r="J38" s="158" t="s">
        <v>261</v>
      </c>
      <c r="K38" s="158">
        <v>18.649999999999999</v>
      </c>
      <c r="L38"/>
      <c r="M38"/>
      <c r="N38"/>
      <c r="O38"/>
      <c r="P38"/>
    </row>
    <row r="39" spans="4:16">
      <c r="D39" s="158" t="s">
        <v>442</v>
      </c>
      <c r="E39" s="158" t="s">
        <v>237</v>
      </c>
      <c r="F39" s="1">
        <v>43417</v>
      </c>
      <c r="G39" s="158" t="s">
        <v>301</v>
      </c>
      <c r="H39" s="158" t="s">
        <v>302</v>
      </c>
      <c r="I39" s="158" t="s">
        <v>299</v>
      </c>
      <c r="J39" s="158" t="s">
        <v>261</v>
      </c>
      <c r="K39" s="158">
        <v>1.35</v>
      </c>
      <c r="L39"/>
      <c r="M39"/>
      <c r="N39"/>
      <c r="O39"/>
      <c r="P39"/>
    </row>
    <row r="40" spans="4:16">
      <c r="D40" s="158" t="s">
        <v>442</v>
      </c>
      <c r="E40" s="158" t="s">
        <v>238</v>
      </c>
      <c r="F40" s="1">
        <v>43437</v>
      </c>
      <c r="G40" s="158" t="s">
        <v>417</v>
      </c>
      <c r="H40" s="158" t="s">
        <v>418</v>
      </c>
      <c r="I40" s="158" t="s">
        <v>335</v>
      </c>
      <c r="J40" s="158" t="s">
        <v>261</v>
      </c>
      <c r="K40" s="158">
        <v>2.9</v>
      </c>
      <c r="L40"/>
      <c r="M40"/>
      <c r="N40"/>
      <c r="O40"/>
      <c r="P40"/>
    </row>
    <row r="41" spans="4:16">
      <c r="D41" s="158" t="s">
        <v>442</v>
      </c>
      <c r="E41" s="158" t="s">
        <v>237</v>
      </c>
      <c r="F41" s="1">
        <v>43439</v>
      </c>
      <c r="G41" s="158" t="s">
        <v>538</v>
      </c>
      <c r="H41" s="158" t="s">
        <v>418</v>
      </c>
      <c r="I41" s="158" t="s">
        <v>335</v>
      </c>
      <c r="J41" s="158" t="s">
        <v>261</v>
      </c>
      <c r="K41" s="158">
        <v>0.1</v>
      </c>
      <c r="L41"/>
      <c r="M41"/>
      <c r="N41"/>
      <c r="O41"/>
      <c r="P41"/>
    </row>
    <row r="42" spans="4:16">
      <c r="D42" s="158" t="s">
        <v>586</v>
      </c>
      <c r="E42" s="158" t="s">
        <v>238</v>
      </c>
      <c r="F42" s="1">
        <v>43222</v>
      </c>
      <c r="G42" s="158" t="s">
        <v>504</v>
      </c>
      <c r="H42" s="158" t="s">
        <v>505</v>
      </c>
      <c r="I42" s="158" t="s">
        <v>313</v>
      </c>
      <c r="J42" s="158" t="s">
        <v>261</v>
      </c>
      <c r="K42" s="158">
        <v>19</v>
      </c>
      <c r="L42"/>
      <c r="M42"/>
      <c r="N42"/>
      <c r="O42"/>
      <c r="P42"/>
    </row>
    <row r="43" spans="4:16">
      <c r="D43" s="158" t="s">
        <v>586</v>
      </c>
      <c r="E43" s="158" t="s">
        <v>238</v>
      </c>
      <c r="F43" s="1">
        <v>43269</v>
      </c>
      <c r="G43" s="158" t="s">
        <v>436</v>
      </c>
      <c r="H43" s="158" t="s">
        <v>366</v>
      </c>
      <c r="I43" s="158" t="s">
        <v>287</v>
      </c>
      <c r="J43" s="158" t="s">
        <v>261</v>
      </c>
      <c r="K43" s="158">
        <v>20</v>
      </c>
      <c r="L43"/>
      <c r="M43"/>
      <c r="N43"/>
      <c r="O43"/>
      <c r="P43"/>
    </row>
    <row r="44" spans="4:16">
      <c r="D44" s="158" t="s">
        <v>586</v>
      </c>
      <c r="E44" s="158" t="s">
        <v>238</v>
      </c>
      <c r="F44" s="1">
        <v>43283</v>
      </c>
      <c r="G44" s="158" t="s">
        <v>368</v>
      </c>
      <c r="H44" s="158" t="s">
        <v>369</v>
      </c>
      <c r="I44" s="158" t="s">
        <v>370</v>
      </c>
      <c r="J44" s="158" t="s">
        <v>261</v>
      </c>
      <c r="K44" s="158">
        <v>16.25</v>
      </c>
      <c r="L44"/>
      <c r="M44"/>
      <c r="N44"/>
      <c r="O44"/>
      <c r="P44"/>
    </row>
    <row r="45" spans="4:16">
      <c r="D45" s="158" t="s">
        <v>586</v>
      </c>
      <c r="E45" s="158" t="s">
        <v>237</v>
      </c>
      <c r="F45" s="1">
        <v>43294</v>
      </c>
      <c r="G45" s="158" t="s">
        <v>531</v>
      </c>
      <c r="H45" s="158" t="s">
        <v>460</v>
      </c>
      <c r="I45" s="158" t="s">
        <v>370</v>
      </c>
      <c r="J45" s="158" t="s">
        <v>261</v>
      </c>
      <c r="K45" s="158">
        <v>5.25</v>
      </c>
      <c r="L45"/>
      <c r="M45"/>
      <c r="N45"/>
      <c r="O45"/>
      <c r="P45"/>
    </row>
    <row r="46" spans="4:16">
      <c r="D46" s="158" t="s">
        <v>586</v>
      </c>
      <c r="E46" s="158" t="s">
        <v>238</v>
      </c>
      <c r="F46" s="1">
        <v>43315</v>
      </c>
      <c r="G46" s="158" t="s">
        <v>527</v>
      </c>
      <c r="H46" s="158" t="s">
        <v>387</v>
      </c>
      <c r="I46" s="158" t="s">
        <v>290</v>
      </c>
      <c r="J46" s="158" t="s">
        <v>261</v>
      </c>
      <c r="K46" s="158">
        <v>17.55</v>
      </c>
      <c r="L46"/>
      <c r="M46"/>
      <c r="N46"/>
      <c r="O46"/>
      <c r="P46"/>
    </row>
    <row r="47" spans="4:16">
      <c r="D47" s="158" t="s">
        <v>586</v>
      </c>
      <c r="E47" s="158" t="s">
        <v>237</v>
      </c>
      <c r="F47" s="1">
        <v>43313</v>
      </c>
      <c r="G47" s="158" t="s">
        <v>388</v>
      </c>
      <c r="H47" s="158" t="s">
        <v>387</v>
      </c>
      <c r="I47" s="158" t="s">
        <v>290</v>
      </c>
      <c r="J47" s="158" t="s">
        <v>261</v>
      </c>
      <c r="K47" s="158">
        <v>3.95</v>
      </c>
      <c r="L47"/>
      <c r="M47"/>
      <c r="N47"/>
      <c r="O47"/>
      <c r="P47"/>
    </row>
    <row r="48" spans="4:16">
      <c r="D48" s="158" t="s">
        <v>586</v>
      </c>
      <c r="E48" s="158" t="s">
        <v>238</v>
      </c>
      <c r="F48" s="1">
        <v>43346</v>
      </c>
      <c r="G48" s="158" t="s">
        <v>389</v>
      </c>
      <c r="H48" s="158" t="s">
        <v>390</v>
      </c>
      <c r="I48" s="158" t="s">
        <v>260</v>
      </c>
      <c r="J48" s="158" t="s">
        <v>261</v>
      </c>
      <c r="K48" s="158">
        <v>17.600000000000001</v>
      </c>
      <c r="L48"/>
      <c r="M48"/>
      <c r="N48"/>
      <c r="O48"/>
      <c r="P48"/>
    </row>
    <row r="49" spans="4:16">
      <c r="D49" s="158" t="s">
        <v>586</v>
      </c>
      <c r="E49" s="158" t="s">
        <v>237</v>
      </c>
      <c r="F49" s="1">
        <v>43346</v>
      </c>
      <c r="G49" s="158" t="s">
        <v>389</v>
      </c>
      <c r="H49" s="158" t="s">
        <v>390</v>
      </c>
      <c r="I49" s="158" t="s">
        <v>260</v>
      </c>
      <c r="J49" s="158" t="s">
        <v>261</v>
      </c>
      <c r="K49" s="158">
        <v>1.4</v>
      </c>
      <c r="L49"/>
      <c r="M49"/>
      <c r="N49"/>
      <c r="O49"/>
      <c r="P49"/>
    </row>
    <row r="50" spans="4:16">
      <c r="D50" s="158" t="s">
        <v>586</v>
      </c>
      <c r="E50" s="158" t="s">
        <v>238</v>
      </c>
      <c r="F50" s="1">
        <v>43374</v>
      </c>
      <c r="G50" s="158" t="s">
        <v>392</v>
      </c>
      <c r="H50" s="158" t="s">
        <v>263</v>
      </c>
      <c r="I50" s="158" t="s">
        <v>264</v>
      </c>
      <c r="J50" s="158" t="s">
        <v>261</v>
      </c>
      <c r="K50" s="158">
        <v>20.2</v>
      </c>
      <c r="L50"/>
      <c r="M50"/>
      <c r="N50"/>
      <c r="O50"/>
      <c r="P50"/>
    </row>
    <row r="51" spans="4:16">
      <c r="D51" s="158" t="s">
        <v>586</v>
      </c>
      <c r="E51" s="158" t="s">
        <v>237</v>
      </c>
      <c r="F51" s="1">
        <v>43403</v>
      </c>
      <c r="G51" s="158" t="s">
        <v>522</v>
      </c>
      <c r="H51" s="158" t="s">
        <v>465</v>
      </c>
      <c r="I51" s="158" t="s">
        <v>264</v>
      </c>
      <c r="J51" s="158" t="s">
        <v>261</v>
      </c>
      <c r="K51" s="158">
        <v>0.2</v>
      </c>
      <c r="L51"/>
      <c r="M51"/>
      <c r="N51"/>
      <c r="O51"/>
      <c r="P51"/>
    </row>
    <row r="52" spans="4:16">
      <c r="D52" s="158" t="s">
        <v>586</v>
      </c>
      <c r="E52" s="158" t="s">
        <v>238</v>
      </c>
      <c r="F52" s="1">
        <v>43409</v>
      </c>
      <c r="G52" s="158" t="s">
        <v>411</v>
      </c>
      <c r="H52" s="158" t="s">
        <v>298</v>
      </c>
      <c r="I52" s="158" t="s">
        <v>299</v>
      </c>
      <c r="J52" s="158" t="s">
        <v>261</v>
      </c>
      <c r="K52" s="158">
        <v>19.2</v>
      </c>
      <c r="L52"/>
      <c r="M52"/>
      <c r="N52"/>
      <c r="O52"/>
      <c r="P52"/>
    </row>
    <row r="53" spans="4:16">
      <c r="D53" s="158" t="s">
        <v>586</v>
      </c>
      <c r="E53" s="158" t="s">
        <v>237</v>
      </c>
      <c r="F53" s="1">
        <v>43409</v>
      </c>
      <c r="G53" s="158" t="s">
        <v>411</v>
      </c>
      <c r="H53" s="158" t="s">
        <v>298</v>
      </c>
      <c r="I53" s="158" t="s">
        <v>299</v>
      </c>
      <c r="J53" s="158" t="s">
        <v>261</v>
      </c>
      <c r="K53" s="158">
        <v>0.35</v>
      </c>
      <c r="L53"/>
      <c r="M53"/>
      <c r="N53"/>
      <c r="O53"/>
      <c r="P53"/>
    </row>
    <row r="54" spans="4:16">
      <c r="D54" s="158" t="s">
        <v>586</v>
      </c>
      <c r="E54" s="158" t="s">
        <v>238</v>
      </c>
      <c r="F54" s="1">
        <v>43437</v>
      </c>
      <c r="G54" s="158" t="s">
        <v>417</v>
      </c>
      <c r="H54" s="158" t="s">
        <v>418</v>
      </c>
      <c r="I54" s="158" t="s">
        <v>335</v>
      </c>
      <c r="J54" s="158" t="s">
        <v>261</v>
      </c>
      <c r="K54" s="158">
        <v>2.74</v>
      </c>
      <c r="L54"/>
      <c r="M54"/>
      <c r="N54"/>
      <c r="O54"/>
      <c r="P54"/>
    </row>
    <row r="55" spans="4:16">
      <c r="D55" s="158" t="s">
        <v>576</v>
      </c>
      <c r="E55" s="158" t="s">
        <v>235</v>
      </c>
      <c r="F55" s="1">
        <v>43151</v>
      </c>
      <c r="G55" s="158" t="s">
        <v>502</v>
      </c>
      <c r="H55" s="158" t="s">
        <v>290</v>
      </c>
      <c r="I55" s="158" t="s">
        <v>281</v>
      </c>
      <c r="J55" s="158" t="s">
        <v>261</v>
      </c>
      <c r="K55" s="158">
        <v>8</v>
      </c>
      <c r="L55"/>
      <c r="M55"/>
      <c r="N55"/>
      <c r="O55"/>
      <c r="P55"/>
    </row>
    <row r="56" spans="4:16">
      <c r="D56" s="158" t="s">
        <v>576</v>
      </c>
      <c r="E56" s="158" t="s">
        <v>235</v>
      </c>
      <c r="F56" s="1">
        <v>43166</v>
      </c>
      <c r="G56" s="158" t="s">
        <v>331</v>
      </c>
      <c r="H56" s="158" t="s">
        <v>264</v>
      </c>
      <c r="I56" s="158" t="s">
        <v>284</v>
      </c>
      <c r="J56" s="158" t="s">
        <v>261</v>
      </c>
      <c r="K56" s="158">
        <v>21</v>
      </c>
      <c r="L56"/>
      <c r="M56"/>
      <c r="N56"/>
      <c r="O56"/>
      <c r="P56"/>
    </row>
    <row r="57" spans="4:16">
      <c r="D57" s="158" t="s">
        <v>576</v>
      </c>
      <c r="E57" s="158" t="s">
        <v>235</v>
      </c>
      <c r="F57" s="1">
        <v>43193</v>
      </c>
      <c r="G57" s="158" t="s">
        <v>383</v>
      </c>
      <c r="H57" s="158" t="s">
        <v>340</v>
      </c>
      <c r="I57" s="158" t="s">
        <v>341</v>
      </c>
      <c r="J57" s="158" t="s">
        <v>261</v>
      </c>
      <c r="K57" s="158">
        <v>19</v>
      </c>
      <c r="L57"/>
      <c r="M57"/>
      <c r="N57"/>
      <c r="O57"/>
      <c r="P57"/>
    </row>
    <row r="58" spans="4:16">
      <c r="D58" s="158" t="s">
        <v>576</v>
      </c>
      <c r="E58" s="158" t="s">
        <v>235</v>
      </c>
      <c r="F58" s="1">
        <v>43227</v>
      </c>
      <c r="G58" s="158" t="s">
        <v>524</v>
      </c>
      <c r="H58" s="158" t="s">
        <v>350</v>
      </c>
      <c r="I58" s="158" t="s">
        <v>313</v>
      </c>
      <c r="J58" s="158" t="s">
        <v>261</v>
      </c>
      <c r="K58" s="158">
        <v>19</v>
      </c>
      <c r="L58"/>
      <c r="M58"/>
      <c r="N58"/>
      <c r="O58"/>
      <c r="P58"/>
    </row>
    <row r="59" spans="4:16">
      <c r="D59" s="158" t="s">
        <v>576</v>
      </c>
      <c r="E59" s="158" t="s">
        <v>235</v>
      </c>
      <c r="F59" s="1">
        <v>43258</v>
      </c>
      <c r="G59" s="158" t="s">
        <v>358</v>
      </c>
      <c r="H59" s="158" t="s">
        <v>359</v>
      </c>
      <c r="I59" s="158" t="s">
        <v>287</v>
      </c>
      <c r="J59" s="158" t="s">
        <v>261</v>
      </c>
      <c r="K59" s="158">
        <v>20.75</v>
      </c>
      <c r="L59"/>
      <c r="M59"/>
      <c r="N59"/>
      <c r="O59"/>
      <c r="P59"/>
    </row>
    <row r="60" spans="4:16">
      <c r="D60" s="158" t="s">
        <v>576</v>
      </c>
      <c r="E60" s="158" t="s">
        <v>235</v>
      </c>
      <c r="F60" s="1">
        <v>43287</v>
      </c>
      <c r="G60" s="158" t="s">
        <v>458</v>
      </c>
      <c r="H60" s="158" t="s">
        <v>369</v>
      </c>
      <c r="I60" s="158" t="s">
        <v>370</v>
      </c>
      <c r="J60" s="158" t="s">
        <v>261</v>
      </c>
      <c r="K60" s="158">
        <v>22</v>
      </c>
      <c r="L60"/>
      <c r="M60"/>
      <c r="N60"/>
      <c r="O60"/>
      <c r="P60"/>
    </row>
    <row r="61" spans="4:16">
      <c r="D61" s="158" t="s">
        <v>576</v>
      </c>
      <c r="E61" s="158" t="s">
        <v>235</v>
      </c>
      <c r="F61" s="1">
        <v>43319</v>
      </c>
      <c r="G61" s="158" t="s">
        <v>514</v>
      </c>
      <c r="H61" s="158" t="s">
        <v>289</v>
      </c>
      <c r="I61" s="158" t="s">
        <v>290</v>
      </c>
      <c r="J61" s="158" t="s">
        <v>261</v>
      </c>
      <c r="K61" s="158">
        <v>12</v>
      </c>
      <c r="L61"/>
      <c r="M61"/>
      <c r="N61"/>
      <c r="O61"/>
      <c r="P61"/>
    </row>
    <row r="62" spans="4:16">
      <c r="D62" s="158" t="s">
        <v>576</v>
      </c>
      <c r="E62" s="158" t="s">
        <v>235</v>
      </c>
      <c r="F62" s="1">
        <v>43357</v>
      </c>
      <c r="G62" s="158" t="s">
        <v>391</v>
      </c>
      <c r="H62" s="158" t="s">
        <v>378</v>
      </c>
      <c r="I62" s="158" t="s">
        <v>260</v>
      </c>
      <c r="J62" s="158" t="s">
        <v>261</v>
      </c>
      <c r="K62" s="158">
        <v>18</v>
      </c>
      <c r="L62"/>
      <c r="M62"/>
      <c r="N62"/>
      <c r="O62"/>
      <c r="P62"/>
    </row>
    <row r="63" spans="4:16">
      <c r="D63" s="158" t="s">
        <v>576</v>
      </c>
      <c r="E63" s="158" t="s">
        <v>235</v>
      </c>
      <c r="F63" s="1">
        <v>43381</v>
      </c>
      <c r="G63" s="158" t="s">
        <v>266</v>
      </c>
      <c r="H63" s="158" t="s">
        <v>267</v>
      </c>
      <c r="I63" s="158" t="s">
        <v>264</v>
      </c>
      <c r="J63" s="158" t="s">
        <v>261</v>
      </c>
      <c r="K63" s="158">
        <v>10</v>
      </c>
      <c r="L63"/>
      <c r="M63"/>
      <c r="N63"/>
      <c r="O63"/>
      <c r="P63"/>
    </row>
    <row r="64" spans="4:16">
      <c r="D64" s="158" t="s">
        <v>576</v>
      </c>
      <c r="E64" s="158" t="s">
        <v>235</v>
      </c>
      <c r="F64" s="1">
        <v>43416</v>
      </c>
      <c r="G64" s="158" t="s">
        <v>474</v>
      </c>
      <c r="H64" s="158" t="s">
        <v>302</v>
      </c>
      <c r="I64" s="158" t="s">
        <v>299</v>
      </c>
      <c r="J64" s="158" t="s">
        <v>261</v>
      </c>
      <c r="K64" s="158">
        <v>13</v>
      </c>
      <c r="L64"/>
      <c r="M64"/>
      <c r="N64"/>
      <c r="O64"/>
      <c r="P64"/>
    </row>
    <row r="65" spans="4:16">
      <c r="D65" s="158" t="s">
        <v>576</v>
      </c>
      <c r="E65" s="158" t="s">
        <v>235</v>
      </c>
      <c r="F65" s="1">
        <v>43437</v>
      </c>
      <c r="G65" s="158" t="s">
        <v>417</v>
      </c>
      <c r="H65" s="158" t="s">
        <v>418</v>
      </c>
      <c r="I65" s="158" t="s">
        <v>335</v>
      </c>
      <c r="J65" s="158" t="s">
        <v>261</v>
      </c>
      <c r="K65" s="158">
        <v>5</v>
      </c>
      <c r="L65"/>
      <c r="M65"/>
      <c r="N65"/>
      <c r="O65"/>
      <c r="P65"/>
    </row>
    <row r="66" spans="4:16">
      <c r="D66" s="158" t="s">
        <v>600</v>
      </c>
      <c r="E66" s="158" t="s">
        <v>238</v>
      </c>
      <c r="F66" s="1">
        <v>43234</v>
      </c>
      <c r="G66" s="158" t="s">
        <v>351</v>
      </c>
      <c r="H66" s="158" t="s">
        <v>352</v>
      </c>
      <c r="I66" s="158" t="s">
        <v>313</v>
      </c>
      <c r="J66" s="158" t="s">
        <v>261</v>
      </c>
      <c r="K66" s="158">
        <v>13</v>
      </c>
      <c r="L66"/>
      <c r="M66"/>
      <c r="N66"/>
      <c r="O66"/>
      <c r="P66"/>
    </row>
    <row r="67" spans="4:16">
      <c r="D67" s="158" t="s">
        <v>600</v>
      </c>
      <c r="E67" s="158" t="s">
        <v>238</v>
      </c>
      <c r="F67" s="1">
        <v>43262</v>
      </c>
      <c r="G67" s="158" t="s">
        <v>361</v>
      </c>
      <c r="H67" s="158" t="s">
        <v>362</v>
      </c>
      <c r="I67" s="158" t="s">
        <v>287</v>
      </c>
      <c r="J67" s="158" t="s">
        <v>261</v>
      </c>
      <c r="K67" s="158">
        <v>16.850000000000001</v>
      </c>
      <c r="L67"/>
      <c r="M67"/>
      <c r="N67"/>
      <c r="O67"/>
      <c r="P67"/>
    </row>
    <row r="68" spans="4:16">
      <c r="D68" s="158" t="s">
        <v>600</v>
      </c>
      <c r="E68" s="158" t="s">
        <v>237</v>
      </c>
      <c r="F68" s="1">
        <v>43270</v>
      </c>
      <c r="G68" s="158" t="s">
        <v>365</v>
      </c>
      <c r="H68" s="158" t="s">
        <v>366</v>
      </c>
      <c r="I68" s="158" t="s">
        <v>287</v>
      </c>
      <c r="J68" s="158" t="s">
        <v>261</v>
      </c>
      <c r="K68" s="158">
        <v>3.7</v>
      </c>
      <c r="L68"/>
      <c r="M68"/>
      <c r="N68"/>
      <c r="O68"/>
      <c r="P68"/>
    </row>
    <row r="69" spans="4:16">
      <c r="D69" s="158" t="s">
        <v>600</v>
      </c>
      <c r="E69" s="158" t="s">
        <v>238</v>
      </c>
      <c r="F69" s="1">
        <v>43283</v>
      </c>
      <c r="G69" s="158" t="s">
        <v>368</v>
      </c>
      <c r="H69" s="158" t="s">
        <v>369</v>
      </c>
      <c r="I69" s="158" t="s">
        <v>370</v>
      </c>
      <c r="J69" s="158" t="s">
        <v>261</v>
      </c>
      <c r="K69" s="158">
        <v>19.3</v>
      </c>
      <c r="L69"/>
      <c r="M69"/>
      <c r="N69"/>
      <c r="O69"/>
      <c r="P69"/>
    </row>
    <row r="70" spans="4:16">
      <c r="D70" s="158" t="s">
        <v>600</v>
      </c>
      <c r="E70" s="158" t="s">
        <v>237</v>
      </c>
      <c r="F70" s="1">
        <v>43283</v>
      </c>
      <c r="G70" s="158" t="s">
        <v>368</v>
      </c>
      <c r="H70" s="158" t="s">
        <v>369</v>
      </c>
      <c r="I70" s="158" t="s">
        <v>370</v>
      </c>
      <c r="J70" s="158" t="s">
        <v>261</v>
      </c>
      <c r="K70" s="158">
        <v>1.7</v>
      </c>
      <c r="L70"/>
      <c r="M70"/>
      <c r="N70"/>
      <c r="O70"/>
      <c r="P70"/>
    </row>
    <row r="71" spans="4:16">
      <c r="D71" s="158" t="s">
        <v>600</v>
      </c>
      <c r="E71" s="158" t="s">
        <v>238</v>
      </c>
      <c r="F71" s="1">
        <v>43318</v>
      </c>
      <c r="G71" s="158" t="s">
        <v>469</v>
      </c>
      <c r="H71" s="158" t="s">
        <v>289</v>
      </c>
      <c r="I71" s="158" t="s">
        <v>290</v>
      </c>
      <c r="J71" s="158" t="s">
        <v>261</v>
      </c>
      <c r="K71" s="158">
        <v>15.15</v>
      </c>
      <c r="L71"/>
      <c r="M71"/>
      <c r="N71"/>
      <c r="O71"/>
      <c r="P71"/>
    </row>
    <row r="72" spans="4:16">
      <c r="D72" s="158" t="s">
        <v>600</v>
      </c>
      <c r="E72" s="158" t="s">
        <v>237</v>
      </c>
      <c r="F72" s="1">
        <v>43314</v>
      </c>
      <c r="G72" s="158" t="s">
        <v>526</v>
      </c>
      <c r="H72" s="158" t="s">
        <v>387</v>
      </c>
      <c r="I72" s="158" t="s">
        <v>290</v>
      </c>
      <c r="J72" s="158" t="s">
        <v>261</v>
      </c>
      <c r="K72" s="158">
        <v>5.85</v>
      </c>
      <c r="L72"/>
      <c r="M72"/>
      <c r="N72"/>
      <c r="O72"/>
      <c r="P72"/>
    </row>
    <row r="73" spans="4:16">
      <c r="D73" s="158" t="s">
        <v>600</v>
      </c>
      <c r="E73" s="158" t="s">
        <v>238</v>
      </c>
      <c r="F73" s="1">
        <v>43346</v>
      </c>
      <c r="G73" s="158" t="s">
        <v>389</v>
      </c>
      <c r="H73" s="158" t="s">
        <v>390</v>
      </c>
      <c r="I73" s="158" t="s">
        <v>260</v>
      </c>
      <c r="J73" s="158" t="s">
        <v>261</v>
      </c>
      <c r="K73" s="158">
        <v>18</v>
      </c>
      <c r="L73"/>
      <c r="M73"/>
      <c r="N73"/>
      <c r="O73"/>
      <c r="P73"/>
    </row>
    <row r="74" spans="4:16">
      <c r="D74" s="158" t="s">
        <v>600</v>
      </c>
      <c r="E74" s="158" t="s">
        <v>237</v>
      </c>
      <c r="F74" s="1">
        <v>43353</v>
      </c>
      <c r="G74" s="158" t="s">
        <v>456</v>
      </c>
      <c r="H74" s="158" t="s">
        <v>378</v>
      </c>
      <c r="I74" s="158" t="s">
        <v>260</v>
      </c>
      <c r="J74" s="158" t="s">
        <v>261</v>
      </c>
      <c r="K74" s="158">
        <v>1</v>
      </c>
      <c r="L74"/>
      <c r="M74"/>
      <c r="N74"/>
      <c r="O74"/>
      <c r="P74"/>
    </row>
    <row r="75" spans="4:16">
      <c r="D75" s="158" t="s">
        <v>600</v>
      </c>
      <c r="E75" s="158" t="s">
        <v>238</v>
      </c>
      <c r="F75" s="1">
        <v>43374</v>
      </c>
      <c r="G75" s="158" t="s">
        <v>392</v>
      </c>
      <c r="H75" s="158" t="s">
        <v>263</v>
      </c>
      <c r="I75" s="158" t="s">
        <v>264</v>
      </c>
      <c r="J75" s="158" t="s">
        <v>261</v>
      </c>
      <c r="K75" s="158">
        <v>20.7</v>
      </c>
      <c r="L75"/>
      <c r="M75"/>
      <c r="N75"/>
      <c r="O75"/>
      <c r="P75"/>
    </row>
    <row r="76" spans="4:16">
      <c r="D76" s="158" t="s">
        <v>600</v>
      </c>
      <c r="E76" s="158" t="s">
        <v>237</v>
      </c>
      <c r="F76" s="1">
        <v>43377</v>
      </c>
      <c r="G76" s="158" t="s">
        <v>265</v>
      </c>
      <c r="H76" s="158" t="s">
        <v>263</v>
      </c>
      <c r="I76" s="158" t="s">
        <v>264</v>
      </c>
      <c r="J76" s="158" t="s">
        <v>261</v>
      </c>
      <c r="K76" s="158">
        <v>2.2999999999999998</v>
      </c>
      <c r="L76"/>
      <c r="M76"/>
      <c r="N76"/>
      <c r="O76"/>
      <c r="P76"/>
    </row>
    <row r="77" spans="4:16">
      <c r="D77" s="158" t="s">
        <v>600</v>
      </c>
      <c r="E77" s="158" t="s">
        <v>238</v>
      </c>
      <c r="F77" s="1">
        <v>43406</v>
      </c>
      <c r="G77" s="158" t="s">
        <v>483</v>
      </c>
      <c r="H77" s="158" t="s">
        <v>465</v>
      </c>
      <c r="I77" s="158" t="s">
        <v>299</v>
      </c>
      <c r="J77" s="158" t="s">
        <v>261</v>
      </c>
      <c r="K77" s="158">
        <v>1</v>
      </c>
      <c r="L77"/>
      <c r="M77"/>
      <c r="N77"/>
      <c r="O77"/>
      <c r="P77"/>
    </row>
    <row r="78" spans="4:16">
      <c r="D78" s="158" t="s">
        <v>567</v>
      </c>
      <c r="E78" s="158" t="s">
        <v>235</v>
      </c>
      <c r="F78" s="1">
        <v>43110</v>
      </c>
      <c r="G78" s="158" t="s">
        <v>280</v>
      </c>
      <c r="H78" s="158" t="s">
        <v>281</v>
      </c>
      <c r="I78" s="158" t="s">
        <v>282</v>
      </c>
      <c r="J78" s="158" t="s">
        <v>261</v>
      </c>
      <c r="K78" s="158">
        <v>0.5</v>
      </c>
      <c r="L78"/>
      <c r="M78"/>
      <c r="N78"/>
      <c r="O78"/>
      <c r="P78"/>
    </row>
    <row r="79" spans="4:16">
      <c r="D79" s="158" t="s">
        <v>567</v>
      </c>
      <c r="E79" s="158" t="s">
        <v>238</v>
      </c>
      <c r="F79" s="1">
        <v>43136</v>
      </c>
      <c r="G79" s="158" t="s">
        <v>315</v>
      </c>
      <c r="H79" s="158" t="s">
        <v>287</v>
      </c>
      <c r="I79" s="158" t="s">
        <v>281</v>
      </c>
      <c r="J79" s="158" t="s">
        <v>261</v>
      </c>
      <c r="K79" s="158">
        <v>0.5</v>
      </c>
      <c r="L79"/>
      <c r="M79"/>
      <c r="N79"/>
      <c r="O79"/>
      <c r="P79"/>
    </row>
    <row r="80" spans="4:16">
      <c r="D80" s="158" t="s">
        <v>567</v>
      </c>
      <c r="E80" s="158" t="s">
        <v>235</v>
      </c>
      <c r="F80" s="1">
        <v>43199</v>
      </c>
      <c r="G80" s="158" t="s">
        <v>343</v>
      </c>
      <c r="H80" s="158" t="s">
        <v>344</v>
      </c>
      <c r="I80" s="158" t="s">
        <v>341</v>
      </c>
      <c r="J80" s="158" t="s">
        <v>261</v>
      </c>
      <c r="K80" s="158">
        <v>0.5</v>
      </c>
      <c r="L80"/>
      <c r="M80"/>
      <c r="N80"/>
      <c r="O80"/>
      <c r="P80"/>
    </row>
    <row r="81" spans="4:16">
      <c r="D81" s="158" t="s">
        <v>567</v>
      </c>
      <c r="E81" s="158" t="s">
        <v>235</v>
      </c>
      <c r="F81" s="1">
        <v>43227</v>
      </c>
      <c r="G81" s="158" t="s">
        <v>524</v>
      </c>
      <c r="H81" s="158" t="s">
        <v>350</v>
      </c>
      <c r="I81" s="158" t="s">
        <v>313</v>
      </c>
      <c r="J81" s="158" t="s">
        <v>261</v>
      </c>
      <c r="K81" s="158">
        <v>0.5</v>
      </c>
      <c r="L81"/>
      <c r="M81"/>
      <c r="N81"/>
      <c r="O81"/>
      <c r="P81"/>
    </row>
    <row r="82" spans="4:16">
      <c r="D82" s="158" t="s">
        <v>567</v>
      </c>
      <c r="E82" s="158" t="s">
        <v>238</v>
      </c>
      <c r="F82" s="1">
        <v>43257</v>
      </c>
      <c r="G82" s="158" t="s">
        <v>509</v>
      </c>
      <c r="H82" s="158" t="s">
        <v>359</v>
      </c>
      <c r="I82" s="158" t="s">
        <v>287</v>
      </c>
      <c r="J82" s="158" t="s">
        <v>261</v>
      </c>
      <c r="K82" s="158">
        <v>2</v>
      </c>
      <c r="L82"/>
      <c r="M82"/>
      <c r="N82"/>
      <c r="O82"/>
      <c r="P82"/>
    </row>
    <row r="83" spans="4:16">
      <c r="D83" s="158" t="s">
        <v>567</v>
      </c>
      <c r="E83" s="158" t="s">
        <v>235</v>
      </c>
      <c r="F83" s="1">
        <v>43430</v>
      </c>
      <c r="G83" s="158" t="s">
        <v>305</v>
      </c>
      <c r="H83" s="158" t="s">
        <v>306</v>
      </c>
      <c r="I83" s="158" t="s">
        <v>299</v>
      </c>
      <c r="J83" s="158" t="s">
        <v>261</v>
      </c>
      <c r="K83" s="158">
        <v>2</v>
      </c>
      <c r="L83"/>
      <c r="M83"/>
      <c r="N83"/>
      <c r="O83"/>
      <c r="P83"/>
    </row>
    <row r="84" spans="4:16">
      <c r="D84" s="158" t="s">
        <v>447</v>
      </c>
      <c r="E84" s="158" t="s">
        <v>238</v>
      </c>
      <c r="F84" s="1">
        <v>43108</v>
      </c>
      <c r="G84" s="158" t="s">
        <v>448</v>
      </c>
      <c r="H84" s="158" t="s">
        <v>281</v>
      </c>
      <c r="I84" s="158" t="s">
        <v>282</v>
      </c>
      <c r="J84" s="158" t="s">
        <v>261</v>
      </c>
      <c r="K84" s="158">
        <v>20.55</v>
      </c>
      <c r="L84"/>
      <c r="M84"/>
      <c r="N84"/>
      <c r="O84"/>
      <c r="P84"/>
    </row>
    <row r="85" spans="4:16">
      <c r="D85" s="158" t="s">
        <v>447</v>
      </c>
      <c r="E85" s="158" t="s">
        <v>237</v>
      </c>
      <c r="F85" s="1">
        <v>43126</v>
      </c>
      <c r="G85" s="158" t="s">
        <v>492</v>
      </c>
      <c r="H85" s="158" t="s">
        <v>341</v>
      </c>
      <c r="I85" s="158" t="s">
        <v>282</v>
      </c>
      <c r="J85" s="158" t="s">
        <v>261</v>
      </c>
      <c r="K85" s="158">
        <v>0.3</v>
      </c>
      <c r="L85"/>
      <c r="M85"/>
      <c r="N85"/>
      <c r="O85"/>
      <c r="P85"/>
    </row>
    <row r="86" spans="4:16">
      <c r="D86" s="158" t="s">
        <v>447</v>
      </c>
      <c r="E86" s="158" t="s">
        <v>238</v>
      </c>
      <c r="F86" s="1">
        <v>43136</v>
      </c>
      <c r="G86" s="158" t="s">
        <v>315</v>
      </c>
      <c r="H86" s="158" t="s">
        <v>287</v>
      </c>
      <c r="I86" s="158" t="s">
        <v>281</v>
      </c>
      <c r="J86" s="158" t="s">
        <v>261</v>
      </c>
      <c r="K86" s="158">
        <v>18.2</v>
      </c>
      <c r="L86"/>
      <c r="M86"/>
      <c r="N86"/>
      <c r="O86"/>
      <c r="P86"/>
    </row>
    <row r="87" spans="4:16">
      <c r="D87" s="158" t="s">
        <v>447</v>
      </c>
      <c r="E87" s="158" t="s">
        <v>237</v>
      </c>
      <c r="F87" s="1">
        <v>43144</v>
      </c>
      <c r="G87" s="158" t="s">
        <v>431</v>
      </c>
      <c r="H87" s="158" t="s">
        <v>370</v>
      </c>
      <c r="I87" s="158" t="s">
        <v>281</v>
      </c>
      <c r="J87" s="158" t="s">
        <v>261</v>
      </c>
      <c r="K87" s="158">
        <v>0.3</v>
      </c>
      <c r="L87"/>
      <c r="M87"/>
      <c r="N87"/>
      <c r="O87"/>
      <c r="P87"/>
    </row>
    <row r="88" spans="4:16">
      <c r="D88" s="158" t="s">
        <v>447</v>
      </c>
      <c r="E88" s="158" t="s">
        <v>238</v>
      </c>
      <c r="F88" s="1">
        <v>43171</v>
      </c>
      <c r="G88" s="158" t="s">
        <v>420</v>
      </c>
      <c r="H88" s="158" t="s">
        <v>299</v>
      </c>
      <c r="I88" s="158" t="s">
        <v>284</v>
      </c>
      <c r="J88" s="158" t="s">
        <v>261</v>
      </c>
      <c r="K88" s="158">
        <v>15.3</v>
      </c>
      <c r="L88"/>
      <c r="M88"/>
      <c r="N88"/>
      <c r="O88"/>
      <c r="P88"/>
    </row>
    <row r="89" spans="4:16">
      <c r="D89" s="158" t="s">
        <v>447</v>
      </c>
      <c r="E89" s="158" t="s">
        <v>237</v>
      </c>
      <c r="F89" s="1">
        <v>43179</v>
      </c>
      <c r="G89" s="158" t="s">
        <v>433</v>
      </c>
      <c r="H89" s="158" t="s">
        <v>335</v>
      </c>
      <c r="I89" s="158" t="s">
        <v>284</v>
      </c>
      <c r="J89" s="158" t="s">
        <v>261</v>
      </c>
      <c r="K89" s="158">
        <v>0.7</v>
      </c>
      <c r="L89"/>
      <c r="M89"/>
      <c r="N89"/>
      <c r="O89"/>
      <c r="P89"/>
    </row>
    <row r="90" spans="4:16">
      <c r="D90" s="158" t="s">
        <v>447</v>
      </c>
      <c r="E90" s="158" t="s">
        <v>238</v>
      </c>
      <c r="F90" s="1">
        <v>43199</v>
      </c>
      <c r="G90" s="158" t="s">
        <v>343</v>
      </c>
      <c r="H90" s="158" t="s">
        <v>344</v>
      </c>
      <c r="I90" s="158" t="s">
        <v>341</v>
      </c>
      <c r="J90" s="158" t="s">
        <v>261</v>
      </c>
      <c r="K90" s="158">
        <v>18.399999999999999</v>
      </c>
      <c r="L90"/>
      <c r="M90"/>
      <c r="N90"/>
      <c r="O90"/>
      <c r="P90"/>
    </row>
    <row r="91" spans="4:16">
      <c r="D91" s="158" t="s">
        <v>447</v>
      </c>
      <c r="E91" s="158" t="s">
        <v>237</v>
      </c>
      <c r="F91" s="1">
        <v>43194</v>
      </c>
      <c r="G91" s="158" t="s">
        <v>339</v>
      </c>
      <c r="H91" s="158" t="s">
        <v>340</v>
      </c>
      <c r="I91" s="158" t="s">
        <v>341</v>
      </c>
      <c r="J91" s="158" t="s">
        <v>261</v>
      </c>
      <c r="K91" s="158">
        <v>0.4</v>
      </c>
      <c r="L91"/>
      <c r="M91"/>
      <c r="N91"/>
      <c r="O91"/>
      <c r="P91"/>
    </row>
    <row r="92" spans="4:16">
      <c r="D92" s="158" t="s">
        <v>447</v>
      </c>
      <c r="E92" s="158" t="s">
        <v>238</v>
      </c>
      <c r="F92" s="1">
        <v>43234</v>
      </c>
      <c r="G92" s="158" t="s">
        <v>351</v>
      </c>
      <c r="H92" s="158" t="s">
        <v>352</v>
      </c>
      <c r="I92" s="158" t="s">
        <v>313</v>
      </c>
      <c r="J92" s="158" t="s">
        <v>261</v>
      </c>
      <c r="K92" s="158">
        <v>10.1</v>
      </c>
      <c r="L92"/>
      <c r="M92"/>
      <c r="N92"/>
      <c r="O92"/>
      <c r="P92"/>
    </row>
    <row r="93" spans="4:16">
      <c r="D93" s="158" t="s">
        <v>447</v>
      </c>
      <c r="E93" s="158" t="s">
        <v>237</v>
      </c>
      <c r="F93" s="1">
        <v>43236</v>
      </c>
      <c r="G93" s="158" t="s">
        <v>488</v>
      </c>
      <c r="H93" s="158" t="s">
        <v>352</v>
      </c>
      <c r="I93" s="158" t="s">
        <v>313</v>
      </c>
      <c r="J93" s="158" t="s">
        <v>261</v>
      </c>
      <c r="K93" s="158">
        <v>0.65</v>
      </c>
      <c r="L93"/>
      <c r="M93"/>
      <c r="N93"/>
      <c r="O93"/>
      <c r="P93"/>
    </row>
    <row r="94" spans="4:16">
      <c r="D94" s="158" t="s">
        <v>447</v>
      </c>
      <c r="E94" s="158" t="s">
        <v>238</v>
      </c>
      <c r="F94" s="1">
        <v>43252</v>
      </c>
      <c r="G94" s="158" t="s">
        <v>495</v>
      </c>
      <c r="H94" s="158" t="s">
        <v>356</v>
      </c>
      <c r="I94" s="158" t="s">
        <v>287</v>
      </c>
      <c r="J94" s="158" t="s">
        <v>261</v>
      </c>
      <c r="K94" s="158">
        <v>5.55</v>
      </c>
      <c r="L94"/>
      <c r="M94"/>
      <c r="N94"/>
      <c r="O94"/>
      <c r="P94"/>
    </row>
    <row r="95" spans="4:16">
      <c r="D95" s="158" t="s">
        <v>447</v>
      </c>
      <c r="E95" s="158" t="s">
        <v>238</v>
      </c>
      <c r="F95" s="1">
        <v>43299</v>
      </c>
      <c r="G95" s="158" t="s">
        <v>511</v>
      </c>
      <c r="H95" s="158" t="s">
        <v>439</v>
      </c>
      <c r="I95" s="158" t="s">
        <v>370</v>
      </c>
      <c r="J95" s="158" t="s">
        <v>261</v>
      </c>
      <c r="K95" s="158">
        <v>0.15</v>
      </c>
      <c r="L95"/>
      <c r="M95"/>
      <c r="N95"/>
      <c r="O95"/>
      <c r="P95"/>
    </row>
    <row r="96" spans="4:16">
      <c r="D96" s="158" t="s">
        <v>447</v>
      </c>
      <c r="E96" s="158" t="s">
        <v>238</v>
      </c>
      <c r="F96" s="1">
        <v>43332</v>
      </c>
      <c r="G96" s="158" t="s">
        <v>441</v>
      </c>
      <c r="H96" s="158" t="s">
        <v>375</v>
      </c>
      <c r="I96" s="158" t="s">
        <v>290</v>
      </c>
      <c r="J96" s="158" t="s">
        <v>261</v>
      </c>
      <c r="K96" s="158">
        <v>0.2</v>
      </c>
      <c r="L96"/>
      <c r="M96"/>
      <c r="N96"/>
      <c r="O96"/>
      <c r="P96"/>
    </row>
    <row r="97" spans="4:16">
      <c r="D97" s="158" t="s">
        <v>560</v>
      </c>
      <c r="E97" s="158" t="s">
        <v>235</v>
      </c>
      <c r="F97" s="1">
        <v>43129</v>
      </c>
      <c r="G97" s="158" t="s">
        <v>452</v>
      </c>
      <c r="H97" s="158" t="s">
        <v>313</v>
      </c>
      <c r="I97" s="158" t="s">
        <v>282</v>
      </c>
      <c r="J97" s="158" t="s">
        <v>261</v>
      </c>
      <c r="K97" s="158">
        <v>3.5</v>
      </c>
      <c r="L97"/>
      <c r="M97"/>
      <c r="N97"/>
      <c r="O97"/>
      <c r="P97"/>
    </row>
    <row r="98" spans="4:16">
      <c r="D98" s="158" t="s">
        <v>560</v>
      </c>
      <c r="E98" s="158" t="s">
        <v>235</v>
      </c>
      <c r="F98" s="1">
        <v>43133</v>
      </c>
      <c r="G98" s="158" t="s">
        <v>314</v>
      </c>
      <c r="H98" s="158" t="s">
        <v>313</v>
      </c>
      <c r="I98" s="158" t="s">
        <v>281</v>
      </c>
      <c r="J98" s="158" t="s">
        <v>261</v>
      </c>
      <c r="K98" s="158">
        <v>17.2</v>
      </c>
      <c r="L98"/>
      <c r="M98"/>
      <c r="N98"/>
      <c r="O98"/>
      <c r="P98"/>
    </row>
    <row r="99" spans="4:16">
      <c r="D99" s="158" t="s">
        <v>560</v>
      </c>
      <c r="E99" s="158" t="s">
        <v>235</v>
      </c>
      <c r="F99" s="1">
        <v>43178</v>
      </c>
      <c r="G99" s="158" t="s">
        <v>334</v>
      </c>
      <c r="H99" s="158" t="s">
        <v>335</v>
      </c>
      <c r="I99" s="158" t="s">
        <v>284</v>
      </c>
      <c r="J99" s="158" t="s">
        <v>261</v>
      </c>
      <c r="K99" s="158">
        <v>20.9</v>
      </c>
      <c r="L99"/>
      <c r="M99"/>
      <c r="N99"/>
      <c r="O99"/>
      <c r="P99"/>
    </row>
    <row r="100" spans="4:16">
      <c r="D100" s="158" t="s">
        <v>560</v>
      </c>
      <c r="E100" s="158" t="s">
        <v>235</v>
      </c>
      <c r="F100" s="1">
        <v>43202</v>
      </c>
      <c r="G100" s="158" t="s">
        <v>409</v>
      </c>
      <c r="H100" s="158" t="s">
        <v>344</v>
      </c>
      <c r="I100" s="158" t="s">
        <v>341</v>
      </c>
      <c r="J100" s="158" t="s">
        <v>261</v>
      </c>
      <c r="K100" s="158">
        <v>18</v>
      </c>
      <c r="L100"/>
      <c r="M100"/>
      <c r="N100"/>
      <c r="O100"/>
      <c r="P100"/>
    </row>
    <row r="101" spans="4:16">
      <c r="D101" s="158" t="s">
        <v>560</v>
      </c>
      <c r="E101" s="158" t="s">
        <v>235</v>
      </c>
      <c r="F101" s="1">
        <v>43222</v>
      </c>
      <c r="G101" s="158" t="s">
        <v>504</v>
      </c>
      <c r="H101" s="158" t="s">
        <v>505</v>
      </c>
      <c r="I101" s="158" t="s">
        <v>313</v>
      </c>
      <c r="J101" s="158" t="s">
        <v>261</v>
      </c>
      <c r="K101" s="158">
        <v>19</v>
      </c>
      <c r="L101"/>
      <c r="M101"/>
      <c r="N101"/>
      <c r="O101"/>
      <c r="P101"/>
    </row>
    <row r="102" spans="4:16">
      <c r="D102" s="158" t="s">
        <v>560</v>
      </c>
      <c r="E102" s="158" t="s">
        <v>235</v>
      </c>
      <c r="F102" s="1">
        <v>43270</v>
      </c>
      <c r="G102" s="158" t="s">
        <v>365</v>
      </c>
      <c r="H102" s="158" t="s">
        <v>366</v>
      </c>
      <c r="I102" s="158" t="s">
        <v>287</v>
      </c>
      <c r="J102" s="158" t="s">
        <v>261</v>
      </c>
      <c r="K102" s="158">
        <v>17</v>
      </c>
      <c r="L102"/>
      <c r="M102"/>
      <c r="N102"/>
      <c r="O102"/>
      <c r="P102"/>
    </row>
    <row r="103" spans="4:16">
      <c r="D103" s="158" t="s">
        <v>560</v>
      </c>
      <c r="E103" s="158" t="s">
        <v>235</v>
      </c>
      <c r="F103" s="1">
        <v>43290</v>
      </c>
      <c r="G103" s="158" t="s">
        <v>468</v>
      </c>
      <c r="H103" s="158" t="s">
        <v>460</v>
      </c>
      <c r="I103" s="158" t="s">
        <v>370</v>
      </c>
      <c r="J103" s="158" t="s">
        <v>261</v>
      </c>
      <c r="K103" s="158">
        <v>20.5</v>
      </c>
      <c r="L103"/>
      <c r="M103"/>
      <c r="N103"/>
      <c r="O103"/>
      <c r="P103"/>
    </row>
    <row r="104" spans="4:16">
      <c r="D104" s="158" t="s">
        <v>560</v>
      </c>
      <c r="E104" s="158" t="s">
        <v>235</v>
      </c>
      <c r="F104" s="1">
        <v>43328</v>
      </c>
      <c r="G104" s="158" t="s">
        <v>292</v>
      </c>
      <c r="H104" s="158" t="s">
        <v>293</v>
      </c>
      <c r="I104" s="158" t="s">
        <v>290</v>
      </c>
      <c r="J104" s="158" t="s">
        <v>261</v>
      </c>
      <c r="K104" s="158">
        <v>17</v>
      </c>
      <c r="L104"/>
      <c r="M104"/>
      <c r="N104"/>
      <c r="O104"/>
      <c r="P104"/>
    </row>
    <row r="105" spans="4:16">
      <c r="D105" s="158" t="s">
        <v>560</v>
      </c>
      <c r="E105" s="158" t="s">
        <v>235</v>
      </c>
      <c r="F105" s="1">
        <v>43350</v>
      </c>
      <c r="G105" s="158" t="s">
        <v>496</v>
      </c>
      <c r="H105" s="158" t="s">
        <v>390</v>
      </c>
      <c r="I105" s="158" t="s">
        <v>260</v>
      </c>
      <c r="J105" s="158" t="s">
        <v>261</v>
      </c>
      <c r="K105" s="158">
        <v>18</v>
      </c>
      <c r="L105"/>
      <c r="M105"/>
      <c r="N105"/>
      <c r="O105"/>
      <c r="P105"/>
    </row>
    <row r="106" spans="4:16">
      <c r="D106" s="158" t="s">
        <v>560</v>
      </c>
      <c r="E106" s="158" t="s">
        <v>235</v>
      </c>
      <c r="F106" s="1">
        <v>43402</v>
      </c>
      <c r="G106" s="158" t="s">
        <v>464</v>
      </c>
      <c r="H106" s="158" t="s">
        <v>465</v>
      </c>
      <c r="I106" s="158" t="s">
        <v>264</v>
      </c>
      <c r="J106" s="158" t="s">
        <v>261</v>
      </c>
      <c r="K106" s="158">
        <v>22.5</v>
      </c>
      <c r="L106"/>
      <c r="M106"/>
      <c r="N106"/>
      <c r="O106"/>
      <c r="P106"/>
    </row>
    <row r="107" spans="4:16">
      <c r="D107" s="158" t="s">
        <v>560</v>
      </c>
      <c r="E107" s="158" t="s">
        <v>235</v>
      </c>
      <c r="F107" s="1">
        <v>43423</v>
      </c>
      <c r="G107" s="158" t="s">
        <v>415</v>
      </c>
      <c r="H107" s="158" t="s">
        <v>400</v>
      </c>
      <c r="I107" s="158" t="s">
        <v>299</v>
      </c>
      <c r="J107" s="158" t="s">
        <v>261</v>
      </c>
      <c r="K107" s="158">
        <v>18.5</v>
      </c>
      <c r="L107"/>
      <c r="M107"/>
      <c r="N107"/>
      <c r="O107"/>
      <c r="P107"/>
    </row>
    <row r="108" spans="4:16">
      <c r="D108" s="158" t="s">
        <v>561</v>
      </c>
      <c r="E108" s="158" t="s">
        <v>235</v>
      </c>
      <c r="F108" s="1">
        <v>43129</v>
      </c>
      <c r="G108" s="158" t="s">
        <v>452</v>
      </c>
      <c r="H108" s="158" t="s">
        <v>313</v>
      </c>
      <c r="I108" s="158" t="s">
        <v>282</v>
      </c>
      <c r="J108" s="158" t="s">
        <v>261</v>
      </c>
      <c r="K108" s="158">
        <v>3.5</v>
      </c>
      <c r="L108"/>
      <c r="M108"/>
      <c r="N108"/>
      <c r="O108"/>
      <c r="P108"/>
    </row>
    <row r="109" spans="4:16">
      <c r="D109" s="158" t="s">
        <v>561</v>
      </c>
      <c r="E109" s="158" t="s">
        <v>235</v>
      </c>
      <c r="F109" s="1">
        <v>43133</v>
      </c>
      <c r="G109" s="158" t="s">
        <v>314</v>
      </c>
      <c r="H109" s="158" t="s">
        <v>313</v>
      </c>
      <c r="I109" s="158" t="s">
        <v>281</v>
      </c>
      <c r="J109" s="158" t="s">
        <v>261</v>
      </c>
      <c r="K109" s="158">
        <v>18.25</v>
      </c>
      <c r="L109"/>
      <c r="M109"/>
      <c r="N109"/>
      <c r="O109"/>
      <c r="P109"/>
    </row>
    <row r="110" spans="4:16">
      <c r="D110" s="158" t="s">
        <v>561</v>
      </c>
      <c r="E110" s="158" t="s">
        <v>235</v>
      </c>
      <c r="F110" s="1">
        <v>43174</v>
      </c>
      <c r="G110" s="158" t="s">
        <v>381</v>
      </c>
      <c r="H110" s="158" t="s">
        <v>299</v>
      </c>
      <c r="I110" s="158" t="s">
        <v>284</v>
      </c>
      <c r="J110" s="158" t="s">
        <v>261</v>
      </c>
      <c r="K110" s="158">
        <v>22</v>
      </c>
      <c r="L110"/>
      <c r="M110"/>
      <c r="N110"/>
      <c r="O110"/>
      <c r="P110"/>
    </row>
    <row r="111" spans="4:16">
      <c r="D111" s="158" t="s">
        <v>561</v>
      </c>
      <c r="E111" s="158" t="s">
        <v>235</v>
      </c>
      <c r="F111" s="1">
        <v>43193</v>
      </c>
      <c r="G111" s="158" t="s">
        <v>383</v>
      </c>
      <c r="H111" s="158" t="s">
        <v>340</v>
      </c>
      <c r="I111" s="158" t="s">
        <v>341</v>
      </c>
      <c r="J111" s="158" t="s">
        <v>261</v>
      </c>
      <c r="K111" s="158">
        <v>17</v>
      </c>
      <c r="L111"/>
      <c r="M111"/>
      <c r="N111"/>
      <c r="O111"/>
      <c r="P111"/>
    </row>
    <row r="112" spans="4:16">
      <c r="D112" s="158" t="s">
        <v>561</v>
      </c>
      <c r="E112" s="158" t="s">
        <v>235</v>
      </c>
      <c r="F112" s="1">
        <v>43222</v>
      </c>
      <c r="G112" s="158" t="s">
        <v>504</v>
      </c>
      <c r="H112" s="158" t="s">
        <v>505</v>
      </c>
      <c r="I112" s="158" t="s">
        <v>313</v>
      </c>
      <c r="J112" s="158" t="s">
        <v>261</v>
      </c>
      <c r="K112" s="158">
        <v>16</v>
      </c>
      <c r="L112"/>
      <c r="M112"/>
      <c r="N112"/>
      <c r="O112"/>
      <c r="P112"/>
    </row>
    <row r="113" spans="4:16">
      <c r="D113" s="158" t="s">
        <v>561</v>
      </c>
      <c r="E113" s="158" t="s">
        <v>235</v>
      </c>
      <c r="F113" s="1">
        <v>43252</v>
      </c>
      <c r="G113" s="158" t="s">
        <v>495</v>
      </c>
      <c r="H113" s="158" t="s">
        <v>356</v>
      </c>
      <c r="I113" s="158" t="s">
        <v>287</v>
      </c>
      <c r="J113" s="158" t="s">
        <v>261</v>
      </c>
      <c r="K113" s="158">
        <v>18</v>
      </c>
      <c r="L113"/>
      <c r="M113"/>
      <c r="N113"/>
      <c r="O113"/>
      <c r="P113"/>
    </row>
    <row r="114" spans="4:16">
      <c r="D114" s="158" t="s">
        <v>561</v>
      </c>
      <c r="E114" s="158" t="s">
        <v>235</v>
      </c>
      <c r="F114" s="1">
        <v>43292</v>
      </c>
      <c r="G114" s="158" t="s">
        <v>459</v>
      </c>
      <c r="H114" s="158" t="s">
        <v>460</v>
      </c>
      <c r="I114" s="158" t="s">
        <v>370</v>
      </c>
      <c r="J114" s="158" t="s">
        <v>261</v>
      </c>
      <c r="K114" s="158">
        <v>13.5</v>
      </c>
      <c r="L114"/>
      <c r="M114"/>
      <c r="N114"/>
      <c r="O114"/>
      <c r="P114"/>
    </row>
    <row r="115" spans="4:16">
      <c r="D115" s="158" t="s">
        <v>561</v>
      </c>
      <c r="E115" s="158" t="s">
        <v>235</v>
      </c>
      <c r="F115" s="1">
        <v>43340</v>
      </c>
      <c r="G115" s="158" t="s">
        <v>296</v>
      </c>
      <c r="H115" s="158" t="s">
        <v>295</v>
      </c>
      <c r="I115" s="158" t="s">
        <v>290</v>
      </c>
      <c r="J115" s="158" t="s">
        <v>261</v>
      </c>
      <c r="K115" s="158">
        <v>22</v>
      </c>
      <c r="L115"/>
      <c r="M115"/>
      <c r="N115"/>
      <c r="O115"/>
      <c r="P115"/>
    </row>
    <row r="116" spans="4:16">
      <c r="D116" s="158" t="s">
        <v>561</v>
      </c>
      <c r="E116" s="158" t="s">
        <v>235</v>
      </c>
      <c r="F116" s="1">
        <v>43370</v>
      </c>
      <c r="G116" s="158" t="s">
        <v>258</v>
      </c>
      <c r="H116" s="158" t="s">
        <v>259</v>
      </c>
      <c r="I116" s="158" t="s">
        <v>260</v>
      </c>
      <c r="J116" s="158" t="s">
        <v>261</v>
      </c>
      <c r="K116" s="158">
        <v>19</v>
      </c>
      <c r="L116"/>
      <c r="M116"/>
      <c r="N116"/>
      <c r="O116"/>
      <c r="P116"/>
    </row>
    <row r="117" spans="4:16">
      <c r="D117" s="158" t="s">
        <v>561</v>
      </c>
      <c r="E117" s="158" t="s">
        <v>235</v>
      </c>
      <c r="F117" s="1">
        <v>43374</v>
      </c>
      <c r="G117" s="158" t="s">
        <v>392</v>
      </c>
      <c r="H117" s="158" t="s">
        <v>263</v>
      </c>
      <c r="I117" s="158" t="s">
        <v>264</v>
      </c>
      <c r="J117" s="158" t="s">
        <v>261</v>
      </c>
      <c r="K117" s="158">
        <v>23</v>
      </c>
      <c r="L117"/>
      <c r="M117"/>
      <c r="N117"/>
      <c r="O117"/>
      <c r="P117"/>
    </row>
    <row r="118" spans="4:16">
      <c r="D118" s="158" t="s">
        <v>561</v>
      </c>
      <c r="E118" s="158" t="s">
        <v>235</v>
      </c>
      <c r="F118" s="1">
        <v>43409</v>
      </c>
      <c r="G118" s="158" t="s">
        <v>411</v>
      </c>
      <c r="H118" s="158" t="s">
        <v>298</v>
      </c>
      <c r="I118" s="158" t="s">
        <v>299</v>
      </c>
      <c r="J118" s="158" t="s">
        <v>261</v>
      </c>
      <c r="K118" s="158">
        <v>9</v>
      </c>
      <c r="L118"/>
      <c r="M118"/>
      <c r="N118"/>
      <c r="O118"/>
      <c r="P118"/>
    </row>
    <row r="119" spans="4:16">
      <c r="D119" s="158" t="s">
        <v>311</v>
      </c>
      <c r="E119" s="158" t="s">
        <v>238</v>
      </c>
      <c r="F119" s="1">
        <v>43108</v>
      </c>
      <c r="G119" s="158" t="s">
        <v>448</v>
      </c>
      <c r="H119" s="158" t="s">
        <v>281</v>
      </c>
      <c r="I119" s="158" t="s">
        <v>282</v>
      </c>
      <c r="J119" s="158" t="s">
        <v>261</v>
      </c>
      <c r="K119" s="158">
        <v>15.35</v>
      </c>
      <c r="L119"/>
      <c r="M119"/>
      <c r="N119"/>
      <c r="O119"/>
      <c r="P119"/>
    </row>
    <row r="120" spans="4:16">
      <c r="D120" s="158" t="s">
        <v>311</v>
      </c>
      <c r="E120" s="158" t="s">
        <v>237</v>
      </c>
      <c r="F120" s="1">
        <v>43103</v>
      </c>
      <c r="G120" s="158" t="s">
        <v>498</v>
      </c>
      <c r="H120" s="158" t="s">
        <v>282</v>
      </c>
      <c r="I120" s="158" t="s">
        <v>282</v>
      </c>
      <c r="J120" s="158" t="s">
        <v>261</v>
      </c>
      <c r="K120" s="158">
        <v>3.62</v>
      </c>
      <c r="L120"/>
      <c r="M120"/>
      <c r="N120"/>
      <c r="O120"/>
      <c r="P120"/>
    </row>
    <row r="121" spans="4:16">
      <c r="D121" s="158" t="s">
        <v>311</v>
      </c>
      <c r="E121" s="158" t="s">
        <v>238</v>
      </c>
      <c r="F121" s="1">
        <v>43132</v>
      </c>
      <c r="G121" s="158" t="s">
        <v>312</v>
      </c>
      <c r="H121" s="158" t="s">
        <v>313</v>
      </c>
      <c r="I121" s="158" t="s">
        <v>281</v>
      </c>
      <c r="J121" s="158" t="s">
        <v>261</v>
      </c>
      <c r="K121" s="158">
        <v>18.27</v>
      </c>
      <c r="L121"/>
      <c r="M121"/>
      <c r="N121"/>
      <c r="O121"/>
      <c r="P121"/>
    </row>
    <row r="122" spans="4:16">
      <c r="D122" s="158" t="s">
        <v>311</v>
      </c>
      <c r="E122" s="158" t="s">
        <v>237</v>
      </c>
      <c r="F122" s="1">
        <v>43147</v>
      </c>
      <c r="G122" s="158" t="s">
        <v>482</v>
      </c>
      <c r="H122" s="158" t="s">
        <v>370</v>
      </c>
      <c r="I122" s="158" t="s">
        <v>281</v>
      </c>
      <c r="J122" s="158" t="s">
        <v>261</v>
      </c>
      <c r="K122" s="158">
        <v>0.34</v>
      </c>
      <c r="L122"/>
      <c r="M122"/>
      <c r="N122"/>
      <c r="O122"/>
      <c r="P122"/>
    </row>
    <row r="123" spans="4:16">
      <c r="D123" s="158" t="s">
        <v>311</v>
      </c>
      <c r="E123" s="158" t="s">
        <v>238</v>
      </c>
      <c r="F123" s="1">
        <v>43160</v>
      </c>
      <c r="G123" s="158" t="s">
        <v>327</v>
      </c>
      <c r="H123" s="158" t="s">
        <v>260</v>
      </c>
      <c r="I123" s="158" t="s">
        <v>284</v>
      </c>
      <c r="J123" s="158" t="s">
        <v>261</v>
      </c>
      <c r="K123" s="158">
        <v>17.14</v>
      </c>
      <c r="L123"/>
      <c r="M123"/>
      <c r="N123"/>
      <c r="O123"/>
      <c r="P123"/>
    </row>
    <row r="124" spans="4:16">
      <c r="D124" s="158" t="s">
        <v>311</v>
      </c>
      <c r="E124" s="158" t="s">
        <v>237</v>
      </c>
      <c r="F124" s="1">
        <v>43160</v>
      </c>
      <c r="G124" s="158" t="s">
        <v>327</v>
      </c>
      <c r="H124" s="158" t="s">
        <v>260</v>
      </c>
      <c r="I124" s="158" t="s">
        <v>284</v>
      </c>
      <c r="J124" s="158" t="s">
        <v>261</v>
      </c>
      <c r="K124" s="158">
        <v>3.49</v>
      </c>
      <c r="L124"/>
      <c r="M124"/>
      <c r="N124"/>
      <c r="O124"/>
      <c r="P124"/>
    </row>
    <row r="125" spans="4:16">
      <c r="D125" s="158" t="s">
        <v>311</v>
      </c>
      <c r="E125" s="158" t="s">
        <v>238</v>
      </c>
      <c r="F125" s="1">
        <v>43194</v>
      </c>
      <c r="G125" s="158" t="s">
        <v>339</v>
      </c>
      <c r="H125" s="158" t="s">
        <v>340</v>
      </c>
      <c r="I125" s="158" t="s">
        <v>341</v>
      </c>
      <c r="J125" s="158" t="s">
        <v>261</v>
      </c>
      <c r="K125" s="158">
        <v>12.71</v>
      </c>
      <c r="L125"/>
      <c r="M125"/>
      <c r="N125"/>
      <c r="O125"/>
      <c r="P125"/>
    </row>
    <row r="126" spans="4:16">
      <c r="D126" s="158" t="s">
        <v>311</v>
      </c>
      <c r="E126" s="158" t="s">
        <v>237</v>
      </c>
      <c r="F126" s="1">
        <v>43199</v>
      </c>
      <c r="G126" s="158" t="s">
        <v>343</v>
      </c>
      <c r="H126" s="158" t="s">
        <v>344</v>
      </c>
      <c r="I126" s="158" t="s">
        <v>341</v>
      </c>
      <c r="J126" s="158" t="s">
        <v>261</v>
      </c>
      <c r="K126" s="158">
        <v>5.48</v>
      </c>
      <c r="L126"/>
      <c r="M126"/>
      <c r="N126"/>
      <c r="O126"/>
      <c r="P126"/>
    </row>
    <row r="127" spans="4:16">
      <c r="D127" s="158" t="s">
        <v>311</v>
      </c>
      <c r="E127" s="158" t="s">
        <v>238</v>
      </c>
      <c r="F127" s="1">
        <v>43231</v>
      </c>
      <c r="G127" s="158" t="s">
        <v>349</v>
      </c>
      <c r="H127" s="158" t="s">
        <v>350</v>
      </c>
      <c r="I127" s="158" t="s">
        <v>313</v>
      </c>
      <c r="J127" s="158" t="s">
        <v>261</v>
      </c>
      <c r="K127" s="158">
        <v>10.220000000000001</v>
      </c>
      <c r="L127"/>
      <c r="M127"/>
      <c r="N127"/>
      <c r="O127"/>
      <c r="P127"/>
    </row>
    <row r="128" spans="4:16">
      <c r="D128" s="158" t="s">
        <v>311</v>
      </c>
      <c r="E128" s="158" t="s">
        <v>237</v>
      </c>
      <c r="F128" s="1">
        <v>43238</v>
      </c>
      <c r="G128" s="158" t="s">
        <v>489</v>
      </c>
      <c r="H128" s="158" t="s">
        <v>352</v>
      </c>
      <c r="I128" s="158" t="s">
        <v>313</v>
      </c>
      <c r="J128" s="158" t="s">
        <v>261</v>
      </c>
      <c r="K128" s="158">
        <v>6.78</v>
      </c>
      <c r="L128"/>
      <c r="M128"/>
      <c r="N128"/>
      <c r="O128"/>
      <c r="P128"/>
    </row>
    <row r="129" spans="4:16">
      <c r="D129" s="158" t="s">
        <v>311</v>
      </c>
      <c r="E129" s="158" t="s">
        <v>238</v>
      </c>
      <c r="F129" s="1">
        <v>43258</v>
      </c>
      <c r="G129" s="158" t="s">
        <v>358</v>
      </c>
      <c r="H129" s="158" t="s">
        <v>359</v>
      </c>
      <c r="I129" s="158" t="s">
        <v>287</v>
      </c>
      <c r="J129" s="158" t="s">
        <v>261</v>
      </c>
      <c r="K129" s="158">
        <v>13.15</v>
      </c>
      <c r="L129"/>
      <c r="M129"/>
      <c r="N129"/>
      <c r="O129"/>
      <c r="P129"/>
    </row>
    <row r="130" spans="4:16">
      <c r="D130" s="158" t="s">
        <v>311</v>
      </c>
      <c r="E130" s="158" t="s">
        <v>237</v>
      </c>
      <c r="F130" s="1">
        <v>43256</v>
      </c>
      <c r="G130" s="158" t="s">
        <v>508</v>
      </c>
      <c r="H130" s="158" t="s">
        <v>359</v>
      </c>
      <c r="I130" s="158" t="s">
        <v>287</v>
      </c>
      <c r="J130" s="158" t="s">
        <v>261</v>
      </c>
      <c r="K130" s="158">
        <v>5.49</v>
      </c>
      <c r="L130"/>
      <c r="M130"/>
      <c r="N130"/>
      <c r="O130"/>
      <c r="P130"/>
    </row>
    <row r="131" spans="4:16">
      <c r="D131" s="158" t="s">
        <v>311</v>
      </c>
      <c r="E131" s="158" t="s">
        <v>238</v>
      </c>
      <c r="F131" s="1">
        <v>43283</v>
      </c>
      <c r="G131" s="158" t="s">
        <v>368</v>
      </c>
      <c r="H131" s="158" t="s">
        <v>369</v>
      </c>
      <c r="I131" s="158" t="s">
        <v>370</v>
      </c>
      <c r="J131" s="158" t="s">
        <v>261</v>
      </c>
      <c r="K131" s="158">
        <v>5.13</v>
      </c>
      <c r="L131"/>
      <c r="M131"/>
      <c r="N131"/>
      <c r="O131"/>
      <c r="P131"/>
    </row>
    <row r="132" spans="4:16">
      <c r="D132" s="158" t="s">
        <v>311</v>
      </c>
      <c r="E132" s="158" t="s">
        <v>237</v>
      </c>
      <c r="F132" s="1">
        <v>43312</v>
      </c>
      <c r="G132" s="158" t="s">
        <v>525</v>
      </c>
      <c r="H132" s="158" t="s">
        <v>387</v>
      </c>
      <c r="I132" s="158" t="s">
        <v>370</v>
      </c>
      <c r="J132" s="158" t="s">
        <v>261</v>
      </c>
      <c r="K132" s="158">
        <v>1.7</v>
      </c>
      <c r="L132"/>
      <c r="M132"/>
      <c r="N132"/>
      <c r="O132"/>
      <c r="P132"/>
    </row>
    <row r="133" spans="4:16">
      <c r="D133" s="158" t="s">
        <v>311</v>
      </c>
      <c r="E133" s="158" t="s">
        <v>238</v>
      </c>
      <c r="F133" s="1">
        <v>43326</v>
      </c>
      <c r="G133" s="158" t="s">
        <v>374</v>
      </c>
      <c r="H133" s="158" t="s">
        <v>293</v>
      </c>
      <c r="I133" s="158" t="s">
        <v>290</v>
      </c>
      <c r="J133" s="158" t="s">
        <v>261</v>
      </c>
      <c r="K133" s="158">
        <v>12.32</v>
      </c>
      <c r="L133"/>
      <c r="M133"/>
      <c r="N133"/>
      <c r="O133"/>
      <c r="P133"/>
    </row>
    <row r="134" spans="4:16">
      <c r="D134" s="158" t="s">
        <v>311</v>
      </c>
      <c r="E134" s="158" t="s">
        <v>237</v>
      </c>
      <c r="F134" s="1">
        <v>43320</v>
      </c>
      <c r="G134" s="158" t="s">
        <v>470</v>
      </c>
      <c r="H134" s="158" t="s">
        <v>289</v>
      </c>
      <c r="I134" s="158" t="s">
        <v>290</v>
      </c>
      <c r="J134" s="158" t="s">
        <v>261</v>
      </c>
      <c r="K134" s="158">
        <v>9.68</v>
      </c>
      <c r="L134"/>
      <c r="M134"/>
      <c r="N134"/>
      <c r="O134"/>
      <c r="P134"/>
    </row>
    <row r="135" spans="4:16">
      <c r="D135" s="158" t="s">
        <v>311</v>
      </c>
      <c r="E135" s="158" t="s">
        <v>238</v>
      </c>
      <c r="F135" s="1">
        <v>43354</v>
      </c>
      <c r="G135" s="158" t="s">
        <v>377</v>
      </c>
      <c r="H135" s="158" t="s">
        <v>378</v>
      </c>
      <c r="I135" s="158" t="s">
        <v>260</v>
      </c>
      <c r="J135" s="158" t="s">
        <v>261</v>
      </c>
      <c r="K135" s="158">
        <v>8.84</v>
      </c>
      <c r="L135"/>
      <c r="M135"/>
      <c r="N135"/>
      <c r="O135"/>
      <c r="P135"/>
    </row>
    <row r="136" spans="4:16">
      <c r="D136" s="158" t="s">
        <v>311</v>
      </c>
      <c r="E136" s="158" t="s">
        <v>237</v>
      </c>
      <c r="F136" s="1">
        <v>43346</v>
      </c>
      <c r="G136" s="158" t="s">
        <v>389</v>
      </c>
      <c r="H136" s="158" t="s">
        <v>390</v>
      </c>
      <c r="I136" s="158" t="s">
        <v>260</v>
      </c>
      <c r="J136" s="158" t="s">
        <v>261</v>
      </c>
      <c r="K136" s="158">
        <v>1.1599999999999999</v>
      </c>
      <c r="L136"/>
      <c r="M136"/>
      <c r="N136"/>
      <c r="O136"/>
      <c r="P136"/>
    </row>
    <row r="137" spans="4:16">
      <c r="D137" s="158" t="s">
        <v>602</v>
      </c>
      <c r="E137" s="158" t="s">
        <v>236</v>
      </c>
      <c r="F137" s="1">
        <v>43284</v>
      </c>
      <c r="G137" s="158" t="s">
        <v>485</v>
      </c>
      <c r="H137" s="158" t="s">
        <v>369</v>
      </c>
      <c r="I137" s="158" t="s">
        <v>370</v>
      </c>
      <c r="J137" s="158" t="s">
        <v>261</v>
      </c>
      <c r="K137" s="158">
        <v>2.5</v>
      </c>
      <c r="L137"/>
      <c r="M137"/>
      <c r="N137"/>
      <c r="O137"/>
      <c r="P137"/>
    </row>
    <row r="138" spans="4:16">
      <c r="D138" s="158" t="s">
        <v>602</v>
      </c>
      <c r="E138" s="158" t="s">
        <v>236</v>
      </c>
      <c r="F138" s="1">
        <v>43328</v>
      </c>
      <c r="G138" s="158" t="s">
        <v>292</v>
      </c>
      <c r="H138" s="158" t="s">
        <v>293</v>
      </c>
      <c r="I138" s="158" t="s">
        <v>290</v>
      </c>
      <c r="J138" s="158" t="s">
        <v>261</v>
      </c>
      <c r="K138" s="158">
        <v>9</v>
      </c>
      <c r="L138"/>
      <c r="M138"/>
      <c r="N138"/>
      <c r="O138"/>
      <c r="P138"/>
    </row>
    <row r="139" spans="4:16">
      <c r="D139" s="158" t="s">
        <v>602</v>
      </c>
      <c r="E139" s="158" t="s">
        <v>236</v>
      </c>
      <c r="F139" s="1">
        <v>43347</v>
      </c>
      <c r="G139" s="158" t="s">
        <v>517</v>
      </c>
      <c r="H139" s="158" t="s">
        <v>390</v>
      </c>
      <c r="I139" s="158" t="s">
        <v>260</v>
      </c>
      <c r="J139" s="158" t="s">
        <v>261</v>
      </c>
      <c r="K139" s="158">
        <v>20</v>
      </c>
      <c r="L139"/>
      <c r="M139"/>
      <c r="N139"/>
      <c r="O139"/>
      <c r="P139"/>
    </row>
    <row r="140" spans="4:16">
      <c r="D140" s="158" t="s">
        <v>602</v>
      </c>
      <c r="E140" s="158" t="s">
        <v>236</v>
      </c>
      <c r="F140" s="1">
        <v>43375</v>
      </c>
      <c r="G140" s="158" t="s">
        <v>393</v>
      </c>
      <c r="H140" s="158" t="s">
        <v>263</v>
      </c>
      <c r="I140" s="158" t="s">
        <v>264</v>
      </c>
      <c r="J140" s="158" t="s">
        <v>261</v>
      </c>
      <c r="K140" s="158">
        <v>23</v>
      </c>
      <c r="L140"/>
      <c r="M140"/>
      <c r="N140"/>
      <c r="O140"/>
      <c r="P140"/>
    </row>
    <row r="141" spans="4:16">
      <c r="D141" s="158" t="s">
        <v>602</v>
      </c>
      <c r="E141" s="158" t="s">
        <v>236</v>
      </c>
      <c r="F141" s="1">
        <v>43413</v>
      </c>
      <c r="G141" s="158" t="s">
        <v>300</v>
      </c>
      <c r="H141" s="158" t="s">
        <v>298</v>
      </c>
      <c r="I141" s="158" t="s">
        <v>299</v>
      </c>
      <c r="J141" s="158" t="s">
        <v>261</v>
      </c>
      <c r="K141" s="158">
        <v>19.5</v>
      </c>
      <c r="L141"/>
      <c r="M141"/>
      <c r="N141"/>
      <c r="O141"/>
      <c r="P141"/>
    </row>
    <row r="142" spans="4:16">
      <c r="D142" s="158" t="s">
        <v>602</v>
      </c>
      <c r="E142" s="158" t="s">
        <v>236</v>
      </c>
      <c r="F142" s="1">
        <v>43440</v>
      </c>
      <c r="G142" s="158" t="s">
        <v>540</v>
      </c>
      <c r="H142" s="158" t="s">
        <v>418</v>
      </c>
      <c r="I142" s="158" t="s">
        <v>335</v>
      </c>
      <c r="J142" s="158" t="s">
        <v>261</v>
      </c>
      <c r="K142" s="158">
        <v>5</v>
      </c>
      <c r="L142"/>
      <c r="M142"/>
      <c r="N142"/>
      <c r="O142"/>
      <c r="P142"/>
    </row>
    <row r="143" spans="4:16">
      <c r="D143" s="158" t="s">
        <v>569</v>
      </c>
      <c r="E143" s="158" t="s">
        <v>235</v>
      </c>
      <c r="F143" s="1">
        <v>43138</v>
      </c>
      <c r="G143" s="158" t="s">
        <v>317</v>
      </c>
      <c r="H143" s="158" t="s">
        <v>287</v>
      </c>
      <c r="I143" s="158" t="s">
        <v>281</v>
      </c>
      <c r="J143" s="158" t="s">
        <v>261</v>
      </c>
      <c r="K143" s="158">
        <v>2</v>
      </c>
      <c r="L143"/>
      <c r="M143"/>
      <c r="N143"/>
      <c r="O143"/>
      <c r="P143"/>
    </row>
    <row r="144" spans="4:16">
      <c r="D144" s="158" t="s">
        <v>569</v>
      </c>
      <c r="E144" s="158" t="s">
        <v>235</v>
      </c>
      <c r="F144" s="1">
        <v>43165</v>
      </c>
      <c r="G144" s="158" t="s">
        <v>330</v>
      </c>
      <c r="H144" s="158" t="s">
        <v>264</v>
      </c>
      <c r="I144" s="158" t="s">
        <v>284</v>
      </c>
      <c r="J144" s="158" t="s">
        <v>261</v>
      </c>
      <c r="K144" s="158">
        <v>17.5</v>
      </c>
      <c r="L144"/>
      <c r="M144"/>
      <c r="N144"/>
      <c r="O144"/>
      <c r="P144"/>
    </row>
    <row r="145" spans="4:16">
      <c r="D145" s="158" t="s">
        <v>569</v>
      </c>
      <c r="E145" s="158" t="s">
        <v>235</v>
      </c>
      <c r="F145" s="1">
        <v>43200</v>
      </c>
      <c r="G145" s="158" t="s">
        <v>345</v>
      </c>
      <c r="H145" s="158" t="s">
        <v>344</v>
      </c>
      <c r="I145" s="158" t="s">
        <v>341</v>
      </c>
      <c r="J145" s="158" t="s">
        <v>261</v>
      </c>
      <c r="K145" s="158">
        <v>11</v>
      </c>
      <c r="L145"/>
      <c r="M145"/>
      <c r="N145"/>
      <c r="O145"/>
      <c r="P145"/>
    </row>
    <row r="146" spans="4:16">
      <c r="D146" s="158" t="s">
        <v>569</v>
      </c>
      <c r="E146" s="158" t="s">
        <v>235</v>
      </c>
      <c r="F146" s="1">
        <v>43223</v>
      </c>
      <c r="G146" s="158" t="s">
        <v>528</v>
      </c>
      <c r="H146" s="158" t="s">
        <v>505</v>
      </c>
      <c r="I146" s="158" t="s">
        <v>313</v>
      </c>
      <c r="J146" s="158" t="s">
        <v>261</v>
      </c>
      <c r="K146" s="158">
        <v>13</v>
      </c>
      <c r="L146"/>
      <c r="M146"/>
      <c r="N146"/>
      <c r="O146"/>
      <c r="P146"/>
    </row>
    <row r="147" spans="4:16">
      <c r="D147" s="158" t="s">
        <v>569</v>
      </c>
      <c r="E147" s="158" t="s">
        <v>235</v>
      </c>
      <c r="F147" s="1">
        <v>43278</v>
      </c>
      <c r="G147" s="158" t="s">
        <v>385</v>
      </c>
      <c r="H147" s="158" t="s">
        <v>286</v>
      </c>
      <c r="I147" s="158" t="s">
        <v>287</v>
      </c>
      <c r="J147" s="158" t="s">
        <v>261</v>
      </c>
      <c r="K147" s="158">
        <v>16.5</v>
      </c>
      <c r="L147"/>
      <c r="M147"/>
      <c r="N147"/>
      <c r="O147"/>
      <c r="P147"/>
    </row>
    <row r="148" spans="4:16">
      <c r="D148" s="158" t="s">
        <v>569</v>
      </c>
      <c r="E148" s="158" t="s">
        <v>235</v>
      </c>
      <c r="F148" s="1">
        <v>43283</v>
      </c>
      <c r="G148" s="158" t="s">
        <v>368</v>
      </c>
      <c r="H148" s="158" t="s">
        <v>369</v>
      </c>
      <c r="I148" s="158" t="s">
        <v>370</v>
      </c>
      <c r="J148" s="158" t="s">
        <v>261</v>
      </c>
      <c r="K148" s="158">
        <v>15</v>
      </c>
      <c r="L148"/>
      <c r="M148"/>
      <c r="N148"/>
      <c r="O148"/>
      <c r="P148"/>
    </row>
    <row r="149" spans="4:16">
      <c r="D149" s="158" t="s">
        <v>569</v>
      </c>
      <c r="E149" s="158" t="s">
        <v>235</v>
      </c>
      <c r="F149" s="1">
        <v>43339</v>
      </c>
      <c r="G149" s="158" t="s">
        <v>294</v>
      </c>
      <c r="H149" s="158" t="s">
        <v>295</v>
      </c>
      <c r="I149" s="158" t="s">
        <v>290</v>
      </c>
      <c r="J149" s="158" t="s">
        <v>261</v>
      </c>
      <c r="K149" s="158">
        <v>5</v>
      </c>
      <c r="L149"/>
      <c r="M149"/>
      <c r="N149"/>
      <c r="O149"/>
      <c r="P149"/>
    </row>
    <row r="150" spans="4:16">
      <c r="D150" s="158" t="s">
        <v>569</v>
      </c>
      <c r="E150" s="158" t="s">
        <v>235</v>
      </c>
      <c r="F150" s="1">
        <v>43346</v>
      </c>
      <c r="G150" s="158" t="s">
        <v>389</v>
      </c>
      <c r="H150" s="158" t="s">
        <v>390</v>
      </c>
      <c r="I150" s="158" t="s">
        <v>260</v>
      </c>
      <c r="J150" s="158" t="s">
        <v>261</v>
      </c>
      <c r="K150" s="158">
        <v>19</v>
      </c>
      <c r="L150"/>
      <c r="M150"/>
      <c r="N150"/>
      <c r="O150"/>
      <c r="P150"/>
    </row>
    <row r="151" spans="4:16">
      <c r="D151" s="158" t="s">
        <v>569</v>
      </c>
      <c r="E151" s="158" t="s">
        <v>235</v>
      </c>
      <c r="F151" s="1">
        <v>43381</v>
      </c>
      <c r="G151" s="158" t="s">
        <v>266</v>
      </c>
      <c r="H151" s="158" t="s">
        <v>267</v>
      </c>
      <c r="I151" s="158" t="s">
        <v>264</v>
      </c>
      <c r="J151" s="158" t="s">
        <v>261</v>
      </c>
      <c r="K151" s="158">
        <v>21.5</v>
      </c>
      <c r="L151"/>
      <c r="M151"/>
      <c r="N151"/>
      <c r="O151"/>
      <c r="P151"/>
    </row>
    <row r="152" spans="4:16">
      <c r="D152" s="158" t="s">
        <v>569</v>
      </c>
      <c r="E152" s="158" t="s">
        <v>235</v>
      </c>
      <c r="F152" s="1">
        <v>43431</v>
      </c>
      <c r="G152" s="158" t="s">
        <v>307</v>
      </c>
      <c r="H152" s="158" t="s">
        <v>306</v>
      </c>
      <c r="I152" s="158" t="s">
        <v>299</v>
      </c>
      <c r="J152" s="158" t="s">
        <v>261</v>
      </c>
      <c r="K152" s="158">
        <v>19.5</v>
      </c>
      <c r="L152"/>
      <c r="M152"/>
      <c r="N152"/>
      <c r="O152"/>
      <c r="P152"/>
    </row>
    <row r="153" spans="4:16">
      <c r="D153" s="158" t="s">
        <v>569</v>
      </c>
      <c r="E153" s="158" t="s">
        <v>235</v>
      </c>
      <c r="F153" s="1">
        <v>43437</v>
      </c>
      <c r="G153" s="158" t="s">
        <v>417</v>
      </c>
      <c r="H153" s="158" t="s">
        <v>418</v>
      </c>
      <c r="I153" s="158" t="s">
        <v>335</v>
      </c>
      <c r="J153" s="158" t="s">
        <v>261</v>
      </c>
      <c r="K153" s="158">
        <v>4.5</v>
      </c>
      <c r="L153"/>
      <c r="M153"/>
      <c r="N153"/>
      <c r="O153"/>
      <c r="P153"/>
    </row>
    <row r="154" spans="4:16">
      <c r="D154" s="158" t="s">
        <v>466</v>
      </c>
      <c r="E154" s="158" t="s">
        <v>238</v>
      </c>
      <c r="F154" s="1">
        <v>43110</v>
      </c>
      <c r="G154" s="158" t="s">
        <v>280</v>
      </c>
      <c r="H154" s="158" t="s">
        <v>281</v>
      </c>
      <c r="I154" s="158" t="s">
        <v>282</v>
      </c>
      <c r="J154" s="158" t="s">
        <v>261</v>
      </c>
      <c r="K154" s="158">
        <v>12</v>
      </c>
      <c r="L154"/>
      <c r="M154"/>
      <c r="N154"/>
      <c r="O154"/>
      <c r="P154"/>
    </row>
    <row r="155" spans="4:16">
      <c r="D155" s="158" t="s">
        <v>466</v>
      </c>
      <c r="E155" s="158" t="s">
        <v>238</v>
      </c>
      <c r="F155" s="1">
        <v>43144</v>
      </c>
      <c r="G155" s="158" t="s">
        <v>431</v>
      </c>
      <c r="H155" s="158" t="s">
        <v>370</v>
      </c>
      <c r="I155" s="158" t="s">
        <v>281</v>
      </c>
      <c r="J155" s="158" t="s">
        <v>261</v>
      </c>
      <c r="K155" s="158">
        <v>10.8</v>
      </c>
      <c r="L155"/>
      <c r="M155"/>
      <c r="N155"/>
      <c r="O155"/>
      <c r="P155"/>
    </row>
    <row r="156" spans="4:16">
      <c r="D156" s="158" t="s">
        <v>466</v>
      </c>
      <c r="E156" s="158" t="s">
        <v>237</v>
      </c>
      <c r="F156" s="1">
        <v>43140</v>
      </c>
      <c r="G156" s="158" t="s">
        <v>319</v>
      </c>
      <c r="H156" s="158" t="s">
        <v>287</v>
      </c>
      <c r="I156" s="158" t="s">
        <v>281</v>
      </c>
      <c r="J156" s="158" t="s">
        <v>261</v>
      </c>
      <c r="K156" s="158">
        <v>1.2</v>
      </c>
      <c r="L156"/>
      <c r="M156"/>
      <c r="N156"/>
      <c r="O156"/>
      <c r="P156"/>
    </row>
    <row r="157" spans="4:16">
      <c r="D157" s="158" t="s">
        <v>466</v>
      </c>
      <c r="E157" s="158" t="s">
        <v>238</v>
      </c>
      <c r="F157" s="1">
        <v>43166</v>
      </c>
      <c r="G157" s="158" t="s">
        <v>331</v>
      </c>
      <c r="H157" s="158" t="s">
        <v>264</v>
      </c>
      <c r="I157" s="158" t="s">
        <v>284</v>
      </c>
      <c r="J157" s="158" t="s">
        <v>261</v>
      </c>
      <c r="K157" s="158">
        <v>5.7</v>
      </c>
      <c r="L157"/>
      <c r="M157"/>
      <c r="N157"/>
      <c r="O157"/>
      <c r="P157"/>
    </row>
    <row r="158" spans="4:16">
      <c r="D158" s="158" t="s">
        <v>380</v>
      </c>
      <c r="E158" s="158" t="s">
        <v>238</v>
      </c>
      <c r="F158" s="1">
        <v>43109</v>
      </c>
      <c r="G158" s="158" t="s">
        <v>476</v>
      </c>
      <c r="H158" s="158" t="s">
        <v>281</v>
      </c>
      <c r="I158" s="158" t="s">
        <v>282</v>
      </c>
      <c r="J158" s="158" t="s">
        <v>261</v>
      </c>
      <c r="K158" s="158">
        <v>4.9000000000000004</v>
      </c>
      <c r="L158"/>
      <c r="M158"/>
      <c r="N158"/>
      <c r="O158"/>
      <c r="P158"/>
    </row>
    <row r="159" spans="4:16">
      <c r="D159" s="158" t="s">
        <v>380</v>
      </c>
      <c r="E159" s="158" t="s">
        <v>237</v>
      </c>
      <c r="F159" s="1">
        <v>43126</v>
      </c>
      <c r="G159" s="158" t="s">
        <v>492</v>
      </c>
      <c r="H159" s="158" t="s">
        <v>341</v>
      </c>
      <c r="I159" s="158" t="s">
        <v>282</v>
      </c>
      <c r="J159" s="158" t="s">
        <v>261</v>
      </c>
      <c r="K159" s="158">
        <v>0.4</v>
      </c>
      <c r="L159"/>
      <c r="M159"/>
      <c r="N159"/>
      <c r="O159"/>
      <c r="P159"/>
    </row>
    <row r="160" spans="4:16">
      <c r="D160" s="158" t="s">
        <v>380</v>
      </c>
      <c r="E160" s="158" t="s">
        <v>238</v>
      </c>
      <c r="F160" s="1">
        <v>43132</v>
      </c>
      <c r="G160" s="158" t="s">
        <v>312</v>
      </c>
      <c r="H160" s="158" t="s">
        <v>313</v>
      </c>
      <c r="I160" s="158" t="s">
        <v>281</v>
      </c>
      <c r="J160" s="158" t="s">
        <v>261</v>
      </c>
      <c r="K160" s="158">
        <v>6.9</v>
      </c>
      <c r="L160"/>
      <c r="M160"/>
      <c r="N160"/>
      <c r="O160"/>
      <c r="P160"/>
    </row>
    <row r="161" spans="4:16">
      <c r="D161" s="158" t="s">
        <v>380</v>
      </c>
      <c r="E161" s="158" t="s">
        <v>237</v>
      </c>
      <c r="F161" s="1">
        <v>43136</v>
      </c>
      <c r="G161" s="158" t="s">
        <v>315</v>
      </c>
      <c r="H161" s="158" t="s">
        <v>287</v>
      </c>
      <c r="I161" s="158" t="s">
        <v>281</v>
      </c>
      <c r="J161" s="158" t="s">
        <v>261</v>
      </c>
      <c r="K161" s="158">
        <v>10.7</v>
      </c>
      <c r="L161"/>
      <c r="M161"/>
      <c r="N161"/>
      <c r="O161"/>
      <c r="P161"/>
    </row>
    <row r="162" spans="4:16">
      <c r="D162" s="158" t="s">
        <v>380</v>
      </c>
      <c r="E162" s="158" t="s">
        <v>238</v>
      </c>
      <c r="F162" s="1">
        <v>43160</v>
      </c>
      <c r="G162" s="158" t="s">
        <v>327</v>
      </c>
      <c r="H162" s="158" t="s">
        <v>260</v>
      </c>
      <c r="I162" s="158" t="s">
        <v>284</v>
      </c>
      <c r="J162" s="158" t="s">
        <v>261</v>
      </c>
      <c r="K162" s="158">
        <v>6.7</v>
      </c>
      <c r="L162"/>
      <c r="M162"/>
      <c r="N162"/>
      <c r="O162"/>
      <c r="P162"/>
    </row>
    <row r="163" spans="4:16">
      <c r="D163" s="158" t="s">
        <v>380</v>
      </c>
      <c r="E163" s="158" t="s">
        <v>237</v>
      </c>
      <c r="F163" s="1">
        <v>43161</v>
      </c>
      <c r="G163" s="158" t="s">
        <v>328</v>
      </c>
      <c r="H163" s="158" t="s">
        <v>260</v>
      </c>
      <c r="I163" s="158" t="s">
        <v>284</v>
      </c>
      <c r="J163" s="158" t="s">
        <v>261</v>
      </c>
      <c r="K163" s="158">
        <v>13.7</v>
      </c>
      <c r="L163"/>
      <c r="M163"/>
      <c r="N163"/>
      <c r="O163"/>
      <c r="P163"/>
    </row>
    <row r="164" spans="4:16">
      <c r="D164" s="158" t="s">
        <v>380</v>
      </c>
      <c r="E164" s="158" t="s">
        <v>238</v>
      </c>
      <c r="F164" s="1">
        <v>43193</v>
      </c>
      <c r="G164" s="158" t="s">
        <v>383</v>
      </c>
      <c r="H164" s="158" t="s">
        <v>340</v>
      </c>
      <c r="I164" s="158" t="s">
        <v>341</v>
      </c>
      <c r="J164" s="158" t="s">
        <v>261</v>
      </c>
      <c r="K164" s="158">
        <v>4.2</v>
      </c>
      <c r="L164"/>
      <c r="M164"/>
      <c r="N164"/>
      <c r="O164"/>
      <c r="P164"/>
    </row>
    <row r="165" spans="4:16">
      <c r="D165" s="158" t="s">
        <v>380</v>
      </c>
      <c r="E165" s="158" t="s">
        <v>237</v>
      </c>
      <c r="F165" s="1">
        <v>43207</v>
      </c>
      <c r="G165" s="158" t="s">
        <v>384</v>
      </c>
      <c r="H165" s="158" t="s">
        <v>347</v>
      </c>
      <c r="I165" s="158" t="s">
        <v>341</v>
      </c>
      <c r="J165" s="158" t="s">
        <v>261</v>
      </c>
      <c r="K165" s="158">
        <v>7.8</v>
      </c>
      <c r="L165"/>
      <c r="M165"/>
      <c r="N165"/>
      <c r="O165"/>
      <c r="P165"/>
    </row>
    <row r="166" spans="4:16">
      <c r="D166" s="158" t="s">
        <v>380</v>
      </c>
      <c r="E166" s="158" t="s">
        <v>238</v>
      </c>
      <c r="F166" s="1">
        <v>43242</v>
      </c>
      <c r="G166" s="158" t="s">
        <v>453</v>
      </c>
      <c r="H166" s="158" t="s">
        <v>354</v>
      </c>
      <c r="I166" s="158" t="s">
        <v>313</v>
      </c>
      <c r="J166" s="158" t="s">
        <v>261</v>
      </c>
      <c r="K166" s="158">
        <v>3.6</v>
      </c>
      <c r="L166"/>
      <c r="M166"/>
      <c r="N166"/>
      <c r="O166"/>
      <c r="P166"/>
    </row>
    <row r="167" spans="4:16">
      <c r="D167" s="158" t="s">
        <v>380</v>
      </c>
      <c r="E167" s="158" t="s">
        <v>237</v>
      </c>
      <c r="F167" s="1">
        <v>43236</v>
      </c>
      <c r="G167" s="158" t="s">
        <v>488</v>
      </c>
      <c r="H167" s="158" t="s">
        <v>352</v>
      </c>
      <c r="I167" s="158" t="s">
        <v>313</v>
      </c>
      <c r="J167" s="158" t="s">
        <v>261</v>
      </c>
      <c r="K167" s="158">
        <v>8.9</v>
      </c>
      <c r="L167"/>
      <c r="M167"/>
      <c r="N167"/>
      <c r="O167"/>
      <c r="P167"/>
    </row>
    <row r="168" spans="4:16">
      <c r="D168" s="158" t="s">
        <v>380</v>
      </c>
      <c r="E168" s="158" t="s">
        <v>238</v>
      </c>
      <c r="F168" s="1">
        <v>43258</v>
      </c>
      <c r="G168" s="158" t="s">
        <v>358</v>
      </c>
      <c r="H168" s="158" t="s">
        <v>359</v>
      </c>
      <c r="I168" s="158" t="s">
        <v>287</v>
      </c>
      <c r="J168" s="158" t="s">
        <v>261</v>
      </c>
      <c r="K168" s="158">
        <v>6.1</v>
      </c>
      <c r="L168"/>
      <c r="M168"/>
      <c r="N168"/>
      <c r="O168"/>
      <c r="P168"/>
    </row>
    <row r="169" spans="4:16">
      <c r="D169" s="158" t="s">
        <v>380</v>
      </c>
      <c r="E169" s="158" t="s">
        <v>237</v>
      </c>
      <c r="F169" s="1">
        <v>43255</v>
      </c>
      <c r="G169" s="158" t="s">
        <v>454</v>
      </c>
      <c r="H169" s="158" t="s">
        <v>359</v>
      </c>
      <c r="I169" s="158" t="s">
        <v>287</v>
      </c>
      <c r="J169" s="158" t="s">
        <v>261</v>
      </c>
      <c r="K169" s="158">
        <v>13.9</v>
      </c>
      <c r="L169"/>
      <c r="M169"/>
      <c r="N169"/>
      <c r="O169"/>
      <c r="P169"/>
    </row>
    <row r="170" spans="4:16">
      <c r="D170" s="158" t="s">
        <v>380</v>
      </c>
      <c r="E170" s="158" t="s">
        <v>238</v>
      </c>
      <c r="F170" s="1">
        <v>43306</v>
      </c>
      <c r="G170" s="158" t="s">
        <v>373</v>
      </c>
      <c r="H170" s="158" t="s">
        <v>372</v>
      </c>
      <c r="I170" s="158" t="s">
        <v>370</v>
      </c>
      <c r="J170" s="158" t="s">
        <v>261</v>
      </c>
      <c r="K170" s="158">
        <v>5.8</v>
      </c>
      <c r="L170"/>
      <c r="M170"/>
      <c r="N170"/>
      <c r="O170"/>
      <c r="P170"/>
    </row>
    <row r="171" spans="4:16">
      <c r="D171" s="158" t="s">
        <v>380</v>
      </c>
      <c r="E171" s="158" t="s">
        <v>237</v>
      </c>
      <c r="F171" s="1">
        <v>43300</v>
      </c>
      <c r="G171" s="158" t="s">
        <v>440</v>
      </c>
      <c r="H171" s="158" t="s">
        <v>439</v>
      </c>
      <c r="I171" s="158" t="s">
        <v>370</v>
      </c>
      <c r="J171" s="158" t="s">
        <v>261</v>
      </c>
      <c r="K171" s="158">
        <v>15.2</v>
      </c>
      <c r="L171"/>
      <c r="M171"/>
      <c r="N171"/>
      <c r="O171"/>
      <c r="P171"/>
    </row>
    <row r="172" spans="4:16">
      <c r="D172" s="158" t="s">
        <v>380</v>
      </c>
      <c r="E172" s="158" t="s">
        <v>238</v>
      </c>
      <c r="F172" s="1">
        <v>43313</v>
      </c>
      <c r="G172" s="158" t="s">
        <v>388</v>
      </c>
      <c r="H172" s="158" t="s">
        <v>387</v>
      </c>
      <c r="I172" s="158" t="s">
        <v>290</v>
      </c>
      <c r="J172" s="158" t="s">
        <v>261</v>
      </c>
      <c r="K172" s="158">
        <v>1</v>
      </c>
      <c r="L172"/>
      <c r="M172"/>
      <c r="N172"/>
      <c r="O172"/>
      <c r="P172"/>
    </row>
    <row r="173" spans="4:16">
      <c r="D173" s="158" t="s">
        <v>380</v>
      </c>
      <c r="E173" s="158" t="s">
        <v>237</v>
      </c>
      <c r="F173" s="1">
        <v>43314</v>
      </c>
      <c r="G173" s="158" t="s">
        <v>526</v>
      </c>
      <c r="H173" s="158" t="s">
        <v>387</v>
      </c>
      <c r="I173" s="158" t="s">
        <v>290</v>
      </c>
      <c r="J173" s="158" t="s">
        <v>261</v>
      </c>
      <c r="K173" s="158">
        <v>4</v>
      </c>
      <c r="L173"/>
      <c r="M173"/>
      <c r="N173"/>
      <c r="O173"/>
      <c r="P173"/>
    </row>
    <row r="174" spans="4:16">
      <c r="D174" s="158" t="s">
        <v>380</v>
      </c>
      <c r="E174" s="158" t="s">
        <v>238</v>
      </c>
      <c r="F174" s="1">
        <v>43346</v>
      </c>
      <c r="G174" s="158" t="s">
        <v>389</v>
      </c>
      <c r="H174" s="158" t="s">
        <v>390</v>
      </c>
      <c r="I174" s="158" t="s">
        <v>260</v>
      </c>
      <c r="J174" s="158" t="s">
        <v>261</v>
      </c>
      <c r="K174" s="158">
        <v>2.9</v>
      </c>
      <c r="L174"/>
      <c r="M174"/>
      <c r="N174"/>
      <c r="O174"/>
      <c r="P174"/>
    </row>
    <row r="175" spans="4:16">
      <c r="D175" s="158" t="s">
        <v>380</v>
      </c>
      <c r="E175" s="158" t="s">
        <v>237</v>
      </c>
      <c r="F175" s="1">
        <v>43354</v>
      </c>
      <c r="G175" s="158" t="s">
        <v>377</v>
      </c>
      <c r="H175" s="158" t="s">
        <v>378</v>
      </c>
      <c r="I175" s="158" t="s">
        <v>260</v>
      </c>
      <c r="J175" s="158" t="s">
        <v>261</v>
      </c>
      <c r="K175" s="158">
        <v>17.100000000000001</v>
      </c>
      <c r="L175"/>
      <c r="M175"/>
      <c r="N175"/>
      <c r="O175"/>
      <c r="P175"/>
    </row>
    <row r="176" spans="4:16">
      <c r="D176" s="158" t="s">
        <v>380</v>
      </c>
      <c r="E176" s="158" t="s">
        <v>238</v>
      </c>
      <c r="F176" s="1">
        <v>43374</v>
      </c>
      <c r="G176" s="158" t="s">
        <v>392</v>
      </c>
      <c r="H176" s="158" t="s">
        <v>263</v>
      </c>
      <c r="I176" s="158" t="s">
        <v>264</v>
      </c>
      <c r="J176" s="158" t="s">
        <v>261</v>
      </c>
      <c r="K176" s="158">
        <v>11.3</v>
      </c>
      <c r="L176"/>
      <c r="M176"/>
      <c r="N176"/>
      <c r="O176"/>
      <c r="P176"/>
    </row>
    <row r="177" spans="4:16">
      <c r="D177" s="158" t="s">
        <v>380</v>
      </c>
      <c r="E177" s="158" t="s">
        <v>237</v>
      </c>
      <c r="F177" s="1">
        <v>43381</v>
      </c>
      <c r="G177" s="158" t="s">
        <v>266</v>
      </c>
      <c r="H177" s="158" t="s">
        <v>267</v>
      </c>
      <c r="I177" s="158" t="s">
        <v>264</v>
      </c>
      <c r="J177" s="158" t="s">
        <v>261</v>
      </c>
      <c r="K177" s="158">
        <v>11.7</v>
      </c>
      <c r="L177"/>
      <c r="M177"/>
      <c r="N177"/>
      <c r="O177"/>
      <c r="P177"/>
    </row>
    <row r="178" spans="4:16">
      <c r="D178" s="158" t="s">
        <v>380</v>
      </c>
      <c r="E178" s="158" t="s">
        <v>238</v>
      </c>
      <c r="F178" s="1">
        <v>43411</v>
      </c>
      <c r="G178" s="158" t="s">
        <v>399</v>
      </c>
      <c r="H178" s="158" t="s">
        <v>298</v>
      </c>
      <c r="I178" s="158" t="s">
        <v>299</v>
      </c>
      <c r="J178" s="158" t="s">
        <v>261</v>
      </c>
      <c r="K178" s="158">
        <v>8.3000000000000007</v>
      </c>
      <c r="L178"/>
      <c r="M178"/>
      <c r="N178"/>
      <c r="O178"/>
      <c r="P178"/>
    </row>
    <row r="179" spans="4:16">
      <c r="D179" s="158" t="s">
        <v>380</v>
      </c>
      <c r="E179" s="158" t="s">
        <v>237</v>
      </c>
      <c r="F179" s="1">
        <v>43416</v>
      </c>
      <c r="G179" s="158" t="s">
        <v>474</v>
      </c>
      <c r="H179" s="158" t="s">
        <v>302</v>
      </c>
      <c r="I179" s="158" t="s">
        <v>299</v>
      </c>
      <c r="J179" s="158" t="s">
        <v>261</v>
      </c>
      <c r="K179" s="158">
        <v>11.7</v>
      </c>
      <c r="L179"/>
      <c r="M179"/>
      <c r="N179"/>
      <c r="O179"/>
      <c r="P179"/>
    </row>
    <row r="180" spans="4:16">
      <c r="D180" s="158" t="s">
        <v>585</v>
      </c>
      <c r="E180" s="158" t="s">
        <v>236</v>
      </c>
      <c r="F180" s="1">
        <v>43222</v>
      </c>
      <c r="G180" s="158" t="s">
        <v>504</v>
      </c>
      <c r="H180" s="158" t="s">
        <v>505</v>
      </c>
      <c r="I180" s="158" t="s">
        <v>313</v>
      </c>
      <c r="J180" s="158" t="s">
        <v>261</v>
      </c>
      <c r="K180" s="158">
        <v>17</v>
      </c>
      <c r="L180"/>
      <c r="M180"/>
      <c r="N180"/>
      <c r="O180"/>
      <c r="P180"/>
    </row>
    <row r="181" spans="4:16">
      <c r="D181" s="158" t="s">
        <v>585</v>
      </c>
      <c r="E181" s="158" t="s">
        <v>236</v>
      </c>
      <c r="F181" s="1">
        <v>43252</v>
      </c>
      <c r="G181" s="158" t="s">
        <v>495</v>
      </c>
      <c r="H181" s="158" t="s">
        <v>356</v>
      </c>
      <c r="I181" s="158" t="s">
        <v>287</v>
      </c>
      <c r="J181" s="158" t="s">
        <v>261</v>
      </c>
      <c r="K181" s="158">
        <v>20.5</v>
      </c>
      <c r="L181"/>
      <c r="M181"/>
      <c r="N181"/>
      <c r="O181"/>
      <c r="P181"/>
    </row>
    <row r="182" spans="4:16">
      <c r="D182" s="158" t="s">
        <v>585</v>
      </c>
      <c r="E182" s="158" t="s">
        <v>236</v>
      </c>
      <c r="F182" s="1">
        <v>43284</v>
      </c>
      <c r="G182" s="158" t="s">
        <v>485</v>
      </c>
      <c r="H182" s="158" t="s">
        <v>369</v>
      </c>
      <c r="I182" s="158" t="s">
        <v>370</v>
      </c>
      <c r="J182" s="158" t="s">
        <v>261</v>
      </c>
      <c r="K182" s="158">
        <v>20</v>
      </c>
      <c r="L182"/>
      <c r="M182"/>
      <c r="N182"/>
      <c r="O182"/>
      <c r="P182"/>
    </row>
    <row r="183" spans="4:16">
      <c r="D183" s="158" t="s">
        <v>585</v>
      </c>
      <c r="E183" s="158" t="s">
        <v>236</v>
      </c>
      <c r="F183" s="1">
        <v>43319</v>
      </c>
      <c r="G183" s="158" t="s">
        <v>514</v>
      </c>
      <c r="H183" s="158" t="s">
        <v>289</v>
      </c>
      <c r="I183" s="158" t="s">
        <v>290</v>
      </c>
      <c r="J183" s="158" t="s">
        <v>261</v>
      </c>
      <c r="K183" s="158">
        <v>22</v>
      </c>
      <c r="L183"/>
      <c r="M183"/>
      <c r="N183"/>
      <c r="O183"/>
      <c r="P183"/>
    </row>
    <row r="184" spans="4:16">
      <c r="D184" s="158" t="s">
        <v>585</v>
      </c>
      <c r="E184" s="158" t="s">
        <v>236</v>
      </c>
      <c r="F184" s="1">
        <v>43363</v>
      </c>
      <c r="G184" s="158" t="s">
        <v>520</v>
      </c>
      <c r="H184" s="158" t="s">
        <v>405</v>
      </c>
      <c r="I184" s="158" t="s">
        <v>260</v>
      </c>
      <c r="J184" s="158" t="s">
        <v>261</v>
      </c>
      <c r="K184" s="158">
        <v>19</v>
      </c>
      <c r="L184"/>
      <c r="M184"/>
      <c r="N184"/>
      <c r="O184"/>
      <c r="P184"/>
    </row>
    <row r="185" spans="4:16">
      <c r="D185" s="158" t="s">
        <v>585</v>
      </c>
      <c r="E185" s="158" t="s">
        <v>236</v>
      </c>
      <c r="F185" s="1">
        <v>43381</v>
      </c>
      <c r="G185" s="158" t="s">
        <v>266</v>
      </c>
      <c r="H185" s="158" t="s">
        <v>267</v>
      </c>
      <c r="I185" s="158" t="s">
        <v>264</v>
      </c>
      <c r="J185" s="158" t="s">
        <v>261</v>
      </c>
      <c r="K185" s="158">
        <v>22</v>
      </c>
      <c r="L185"/>
      <c r="M185"/>
      <c r="N185"/>
      <c r="O185"/>
      <c r="P185"/>
    </row>
    <row r="186" spans="4:16">
      <c r="D186" s="158" t="s">
        <v>585</v>
      </c>
      <c r="E186" s="158" t="s">
        <v>236</v>
      </c>
      <c r="F186" s="1">
        <v>43423</v>
      </c>
      <c r="G186" s="158" t="s">
        <v>415</v>
      </c>
      <c r="H186" s="158" t="s">
        <v>400</v>
      </c>
      <c r="I186" s="158" t="s">
        <v>299</v>
      </c>
      <c r="J186" s="158" t="s">
        <v>261</v>
      </c>
      <c r="K186" s="158">
        <v>8</v>
      </c>
      <c r="L186"/>
      <c r="M186"/>
      <c r="N186"/>
      <c r="O186"/>
      <c r="P186"/>
    </row>
    <row r="187" spans="4:16">
      <c r="D187" s="158" t="s">
        <v>585</v>
      </c>
      <c r="E187" s="158" t="s">
        <v>236</v>
      </c>
      <c r="F187" s="1">
        <v>43438</v>
      </c>
      <c r="G187" s="158" t="s">
        <v>533</v>
      </c>
      <c r="H187" s="158" t="s">
        <v>418</v>
      </c>
      <c r="I187" s="158" t="s">
        <v>335</v>
      </c>
      <c r="J187" s="158" t="s">
        <v>261</v>
      </c>
      <c r="K187" s="158">
        <v>0.75</v>
      </c>
      <c r="L187"/>
      <c r="M187"/>
      <c r="N187"/>
      <c r="O187"/>
      <c r="P187"/>
    </row>
    <row r="188" spans="4:16">
      <c r="D188" s="158" t="s">
        <v>573</v>
      </c>
      <c r="E188" s="158" t="s">
        <v>235</v>
      </c>
      <c r="F188" s="1">
        <v>43108</v>
      </c>
      <c r="G188" s="158" t="s">
        <v>448</v>
      </c>
      <c r="H188" s="158" t="s">
        <v>281</v>
      </c>
      <c r="I188" s="158" t="s">
        <v>282</v>
      </c>
      <c r="J188" s="158" t="s">
        <v>261</v>
      </c>
      <c r="K188" s="158">
        <v>16</v>
      </c>
      <c r="L188"/>
      <c r="M188"/>
      <c r="N188"/>
      <c r="O188"/>
      <c r="P188"/>
    </row>
    <row r="189" spans="4:16">
      <c r="D189" s="158" t="s">
        <v>573</v>
      </c>
      <c r="E189" s="158" t="s">
        <v>235</v>
      </c>
      <c r="F189" s="1">
        <v>43132</v>
      </c>
      <c r="G189" s="158" t="s">
        <v>312</v>
      </c>
      <c r="H189" s="158" t="s">
        <v>313</v>
      </c>
      <c r="I189" s="158" t="s">
        <v>281</v>
      </c>
      <c r="J189" s="158" t="s">
        <v>261</v>
      </c>
      <c r="K189" s="158">
        <v>20</v>
      </c>
      <c r="L189"/>
      <c r="M189"/>
      <c r="N189"/>
      <c r="O189"/>
      <c r="P189"/>
    </row>
    <row r="190" spans="4:16">
      <c r="D190" s="158" t="s">
        <v>573</v>
      </c>
      <c r="E190" s="158" t="s">
        <v>235</v>
      </c>
      <c r="F190" s="1">
        <v>43160</v>
      </c>
      <c r="G190" s="158" t="s">
        <v>327</v>
      </c>
      <c r="H190" s="158" t="s">
        <v>260</v>
      </c>
      <c r="I190" s="158" t="s">
        <v>284</v>
      </c>
      <c r="J190" s="158" t="s">
        <v>261</v>
      </c>
      <c r="K190" s="158">
        <v>22</v>
      </c>
      <c r="L190"/>
      <c r="M190"/>
      <c r="N190"/>
      <c r="O190"/>
      <c r="P190"/>
    </row>
    <row r="191" spans="4:16">
      <c r="D191" s="158" t="s">
        <v>573</v>
      </c>
      <c r="E191" s="158" t="s">
        <v>235</v>
      </c>
      <c r="F191" s="1">
        <v>43193</v>
      </c>
      <c r="G191" s="158" t="s">
        <v>383</v>
      </c>
      <c r="H191" s="158" t="s">
        <v>340</v>
      </c>
      <c r="I191" s="158" t="s">
        <v>341</v>
      </c>
      <c r="J191" s="158" t="s">
        <v>261</v>
      </c>
      <c r="K191" s="158">
        <v>19</v>
      </c>
      <c r="L191"/>
      <c r="M191"/>
      <c r="N191"/>
      <c r="O191"/>
      <c r="P191"/>
    </row>
    <row r="192" spans="4:16">
      <c r="D192" s="158" t="s">
        <v>573</v>
      </c>
      <c r="E192" s="158" t="s">
        <v>235</v>
      </c>
      <c r="F192" s="1">
        <v>43234</v>
      </c>
      <c r="G192" s="158" t="s">
        <v>351</v>
      </c>
      <c r="H192" s="158" t="s">
        <v>352</v>
      </c>
      <c r="I192" s="158" t="s">
        <v>313</v>
      </c>
      <c r="J192" s="158" t="s">
        <v>261</v>
      </c>
      <c r="K192" s="158">
        <v>12.5</v>
      </c>
      <c r="L192"/>
      <c r="M192"/>
      <c r="N192"/>
      <c r="O192"/>
      <c r="P192"/>
    </row>
    <row r="193" spans="4:16">
      <c r="D193" s="158" t="s">
        <v>573</v>
      </c>
      <c r="E193" s="158" t="s">
        <v>235</v>
      </c>
      <c r="F193" s="1">
        <v>43252</v>
      </c>
      <c r="G193" s="158" t="s">
        <v>495</v>
      </c>
      <c r="H193" s="158" t="s">
        <v>356</v>
      </c>
      <c r="I193" s="158" t="s">
        <v>287</v>
      </c>
      <c r="J193" s="158" t="s">
        <v>261</v>
      </c>
      <c r="K193" s="158">
        <v>21</v>
      </c>
      <c r="L193"/>
      <c r="M193"/>
      <c r="N193"/>
      <c r="O193"/>
      <c r="P193"/>
    </row>
    <row r="194" spans="4:16">
      <c r="D194" s="158" t="s">
        <v>573</v>
      </c>
      <c r="E194" s="158" t="s">
        <v>235</v>
      </c>
      <c r="F194" s="1">
        <v>43283</v>
      </c>
      <c r="G194" s="158" t="s">
        <v>368</v>
      </c>
      <c r="H194" s="158" t="s">
        <v>369</v>
      </c>
      <c r="I194" s="158" t="s">
        <v>370</v>
      </c>
      <c r="J194" s="158" t="s">
        <v>261</v>
      </c>
      <c r="K194" s="158">
        <v>22</v>
      </c>
      <c r="L194"/>
      <c r="M194"/>
      <c r="N194"/>
      <c r="O194"/>
      <c r="P194"/>
    </row>
    <row r="195" spans="4:16">
      <c r="D195" s="158" t="s">
        <v>556</v>
      </c>
      <c r="E195" s="158" t="s">
        <v>235</v>
      </c>
      <c r="F195" s="1">
        <v>43115</v>
      </c>
      <c r="G195" s="158" t="s">
        <v>449</v>
      </c>
      <c r="H195" s="158" t="s">
        <v>284</v>
      </c>
      <c r="I195" s="158" t="s">
        <v>282</v>
      </c>
      <c r="J195" s="158" t="s">
        <v>261</v>
      </c>
      <c r="K195" s="158">
        <v>18</v>
      </c>
      <c r="L195"/>
      <c r="M195"/>
      <c r="N195"/>
      <c r="O195"/>
      <c r="P195"/>
    </row>
    <row r="196" spans="4:16">
      <c r="D196" s="158" t="s">
        <v>556</v>
      </c>
      <c r="E196" s="158" t="s">
        <v>235</v>
      </c>
      <c r="F196" s="1">
        <v>43132</v>
      </c>
      <c r="G196" s="158" t="s">
        <v>312</v>
      </c>
      <c r="H196" s="158" t="s">
        <v>313</v>
      </c>
      <c r="I196" s="158" t="s">
        <v>281</v>
      </c>
      <c r="J196" s="158" t="s">
        <v>261</v>
      </c>
      <c r="K196" s="158">
        <v>20</v>
      </c>
      <c r="L196"/>
      <c r="M196"/>
      <c r="N196"/>
      <c r="O196"/>
      <c r="P196"/>
    </row>
    <row r="197" spans="4:16">
      <c r="D197" s="158" t="s">
        <v>556</v>
      </c>
      <c r="E197" s="158" t="s">
        <v>235</v>
      </c>
      <c r="F197" s="1">
        <v>43161</v>
      </c>
      <c r="G197" s="158" t="s">
        <v>328</v>
      </c>
      <c r="H197" s="158" t="s">
        <v>260</v>
      </c>
      <c r="I197" s="158" t="s">
        <v>284</v>
      </c>
      <c r="J197" s="158" t="s">
        <v>261</v>
      </c>
      <c r="K197" s="158">
        <v>20</v>
      </c>
      <c r="L197"/>
      <c r="M197"/>
      <c r="N197"/>
      <c r="O197"/>
      <c r="P197"/>
    </row>
    <row r="198" spans="4:16">
      <c r="D198" s="158" t="s">
        <v>556</v>
      </c>
      <c r="E198" s="158" t="s">
        <v>235</v>
      </c>
      <c r="F198" s="1">
        <v>43206</v>
      </c>
      <c r="G198" s="158" t="s">
        <v>427</v>
      </c>
      <c r="H198" s="158" t="s">
        <v>347</v>
      </c>
      <c r="I198" s="158" t="s">
        <v>341</v>
      </c>
      <c r="J198" s="158" t="s">
        <v>261</v>
      </c>
      <c r="K198" s="158">
        <v>19</v>
      </c>
      <c r="L198"/>
      <c r="M198"/>
      <c r="N198"/>
      <c r="O198"/>
      <c r="P198"/>
    </row>
    <row r="199" spans="4:16">
      <c r="D199" s="158" t="s">
        <v>556</v>
      </c>
      <c r="E199" s="158" t="s">
        <v>235</v>
      </c>
      <c r="F199" s="1">
        <v>43242</v>
      </c>
      <c r="G199" s="158" t="s">
        <v>453</v>
      </c>
      <c r="H199" s="158" t="s">
        <v>354</v>
      </c>
      <c r="I199" s="158" t="s">
        <v>313</v>
      </c>
      <c r="J199" s="158" t="s">
        <v>261</v>
      </c>
      <c r="K199" s="158">
        <v>16</v>
      </c>
      <c r="L199"/>
      <c r="M199"/>
      <c r="N199"/>
      <c r="O199"/>
      <c r="P199"/>
    </row>
    <row r="200" spans="4:16">
      <c r="D200" s="158" t="s">
        <v>556</v>
      </c>
      <c r="E200" s="158" t="s">
        <v>235</v>
      </c>
      <c r="F200" s="1">
        <v>43257</v>
      </c>
      <c r="G200" s="158" t="s">
        <v>509</v>
      </c>
      <c r="H200" s="158" t="s">
        <v>359</v>
      </c>
      <c r="I200" s="158" t="s">
        <v>287</v>
      </c>
      <c r="J200" s="158" t="s">
        <v>261</v>
      </c>
      <c r="K200" s="158">
        <v>21</v>
      </c>
      <c r="L200"/>
      <c r="M200"/>
      <c r="N200"/>
      <c r="O200"/>
      <c r="P200"/>
    </row>
    <row r="201" spans="4:16">
      <c r="D201" s="158" t="s">
        <v>556</v>
      </c>
      <c r="E201" s="158" t="s">
        <v>235</v>
      </c>
      <c r="F201" s="1">
        <v>43292</v>
      </c>
      <c r="G201" s="158" t="s">
        <v>459</v>
      </c>
      <c r="H201" s="158" t="s">
        <v>460</v>
      </c>
      <c r="I201" s="158" t="s">
        <v>370</v>
      </c>
      <c r="J201" s="158" t="s">
        <v>261</v>
      </c>
      <c r="K201" s="158">
        <v>22</v>
      </c>
      <c r="L201"/>
      <c r="M201"/>
      <c r="N201"/>
      <c r="O201"/>
      <c r="P201"/>
    </row>
    <row r="202" spans="4:16">
      <c r="D202" s="158" t="s">
        <v>556</v>
      </c>
      <c r="E202" s="158" t="s">
        <v>235</v>
      </c>
      <c r="F202" s="1">
        <v>43341</v>
      </c>
      <c r="G202" s="158" t="s">
        <v>376</v>
      </c>
      <c r="H202" s="158" t="s">
        <v>295</v>
      </c>
      <c r="I202" s="158" t="s">
        <v>290</v>
      </c>
      <c r="J202" s="158" t="s">
        <v>261</v>
      </c>
      <c r="K202" s="158">
        <v>13</v>
      </c>
      <c r="L202"/>
      <c r="M202"/>
      <c r="N202"/>
      <c r="O202"/>
      <c r="P202"/>
    </row>
    <row r="203" spans="4:16">
      <c r="D203" s="158" t="s">
        <v>556</v>
      </c>
      <c r="E203" s="158" t="s">
        <v>235</v>
      </c>
      <c r="F203" s="1">
        <v>43350</v>
      </c>
      <c r="G203" s="158" t="s">
        <v>496</v>
      </c>
      <c r="H203" s="158" t="s">
        <v>390</v>
      </c>
      <c r="I203" s="158" t="s">
        <v>260</v>
      </c>
      <c r="J203" s="158" t="s">
        <v>261</v>
      </c>
      <c r="K203" s="158">
        <v>20</v>
      </c>
      <c r="L203"/>
      <c r="M203"/>
      <c r="N203"/>
      <c r="O203"/>
      <c r="P203"/>
    </row>
    <row r="204" spans="4:16">
      <c r="D204" s="158" t="s">
        <v>556</v>
      </c>
      <c r="E204" s="158" t="s">
        <v>235</v>
      </c>
      <c r="F204" s="1">
        <v>43377</v>
      </c>
      <c r="G204" s="158" t="s">
        <v>265</v>
      </c>
      <c r="H204" s="158" t="s">
        <v>263</v>
      </c>
      <c r="I204" s="158" t="s">
        <v>264</v>
      </c>
      <c r="J204" s="158" t="s">
        <v>261</v>
      </c>
      <c r="K204" s="158">
        <v>23</v>
      </c>
      <c r="L204"/>
      <c r="M204"/>
      <c r="N204"/>
      <c r="O204"/>
      <c r="P204"/>
    </row>
    <row r="205" spans="4:16">
      <c r="D205" s="158" t="s">
        <v>556</v>
      </c>
      <c r="E205" s="158" t="s">
        <v>235</v>
      </c>
      <c r="F205" s="1">
        <v>43419</v>
      </c>
      <c r="G205" s="158" t="s">
        <v>304</v>
      </c>
      <c r="H205" s="158" t="s">
        <v>302</v>
      </c>
      <c r="I205" s="158" t="s">
        <v>299</v>
      </c>
      <c r="J205" s="158" t="s">
        <v>261</v>
      </c>
      <c r="K205" s="158">
        <v>20</v>
      </c>
      <c r="L205"/>
      <c r="M205"/>
      <c r="N205"/>
      <c r="O205"/>
      <c r="P205"/>
    </row>
    <row r="206" spans="4:16">
      <c r="D206" s="158" t="s">
        <v>556</v>
      </c>
      <c r="E206" s="158" t="s">
        <v>235</v>
      </c>
      <c r="F206" s="1">
        <v>43439</v>
      </c>
      <c r="G206" s="158" t="s">
        <v>538</v>
      </c>
      <c r="H206" s="158" t="s">
        <v>418</v>
      </c>
      <c r="I206" s="158" t="s">
        <v>335</v>
      </c>
      <c r="J206" s="158" t="s">
        <v>261</v>
      </c>
      <c r="K206" s="158">
        <v>3</v>
      </c>
      <c r="L206"/>
      <c r="M206"/>
      <c r="N206"/>
      <c r="O206"/>
      <c r="P206"/>
    </row>
    <row r="207" spans="4:16">
      <c r="D207" s="158" t="s">
        <v>554</v>
      </c>
      <c r="E207" s="158" t="s">
        <v>236</v>
      </c>
      <c r="F207" s="1">
        <v>43103</v>
      </c>
      <c r="G207" s="158" t="s">
        <v>498</v>
      </c>
      <c r="H207" s="158" t="s">
        <v>282</v>
      </c>
      <c r="I207" s="158" t="s">
        <v>282</v>
      </c>
      <c r="J207" s="158" t="s">
        <v>261</v>
      </c>
      <c r="K207" s="158">
        <v>21</v>
      </c>
      <c r="L207"/>
      <c r="M207"/>
      <c r="N207"/>
      <c r="O207"/>
      <c r="P207"/>
    </row>
    <row r="208" spans="4:16">
      <c r="D208" s="158" t="s">
        <v>554</v>
      </c>
      <c r="E208" s="158" t="s">
        <v>236</v>
      </c>
      <c r="F208" s="1">
        <v>43137</v>
      </c>
      <c r="G208" s="158" t="s">
        <v>316</v>
      </c>
      <c r="H208" s="158" t="s">
        <v>287</v>
      </c>
      <c r="I208" s="158" t="s">
        <v>281</v>
      </c>
      <c r="J208" s="158" t="s">
        <v>261</v>
      </c>
      <c r="K208" s="158">
        <v>17</v>
      </c>
      <c r="L208"/>
      <c r="M208"/>
      <c r="N208"/>
      <c r="O208"/>
      <c r="P208"/>
    </row>
    <row r="209" spans="4:16">
      <c r="D209" s="158" t="s">
        <v>554</v>
      </c>
      <c r="E209" s="158" t="s">
        <v>236</v>
      </c>
      <c r="F209" s="1">
        <v>43182</v>
      </c>
      <c r="G209" s="158" t="s">
        <v>336</v>
      </c>
      <c r="H209" s="158" t="s">
        <v>335</v>
      </c>
      <c r="I209" s="158" t="s">
        <v>284</v>
      </c>
      <c r="J209" s="158" t="s">
        <v>261</v>
      </c>
      <c r="K209" s="158">
        <v>19</v>
      </c>
      <c r="L209"/>
      <c r="M209"/>
      <c r="N209"/>
      <c r="O209"/>
      <c r="P209"/>
    </row>
    <row r="210" spans="4:16">
      <c r="D210" s="158" t="s">
        <v>554</v>
      </c>
      <c r="E210" s="158" t="s">
        <v>236</v>
      </c>
      <c r="F210" s="1">
        <v>43209</v>
      </c>
      <c r="G210" s="158" t="s">
        <v>403</v>
      </c>
      <c r="H210" s="158" t="s">
        <v>347</v>
      </c>
      <c r="I210" s="158" t="s">
        <v>341</v>
      </c>
      <c r="J210" s="158" t="s">
        <v>261</v>
      </c>
      <c r="K210" s="158">
        <v>17</v>
      </c>
      <c r="L210"/>
      <c r="M210"/>
      <c r="N210"/>
      <c r="O210"/>
      <c r="P210"/>
    </row>
    <row r="211" spans="4:16">
      <c r="D211" s="158" t="s">
        <v>554</v>
      </c>
      <c r="E211" s="158" t="s">
        <v>236</v>
      </c>
      <c r="F211" s="1">
        <v>43222</v>
      </c>
      <c r="G211" s="158" t="s">
        <v>504</v>
      </c>
      <c r="H211" s="158" t="s">
        <v>505</v>
      </c>
      <c r="I211" s="158" t="s">
        <v>313</v>
      </c>
      <c r="J211" s="158" t="s">
        <v>261</v>
      </c>
      <c r="K211" s="158">
        <v>12</v>
      </c>
      <c r="L211"/>
      <c r="M211"/>
      <c r="N211"/>
      <c r="O211"/>
      <c r="P211"/>
    </row>
    <row r="212" spans="4:16">
      <c r="D212" s="158" t="s">
        <v>554</v>
      </c>
      <c r="E212" s="158" t="s">
        <v>236</v>
      </c>
      <c r="F212" s="1">
        <v>43258</v>
      </c>
      <c r="G212" s="158" t="s">
        <v>358</v>
      </c>
      <c r="H212" s="158" t="s">
        <v>359</v>
      </c>
      <c r="I212" s="158" t="s">
        <v>287</v>
      </c>
      <c r="J212" s="158" t="s">
        <v>261</v>
      </c>
      <c r="K212" s="158">
        <v>11</v>
      </c>
      <c r="L212"/>
      <c r="M212"/>
      <c r="N212"/>
      <c r="O212"/>
      <c r="P212"/>
    </row>
    <row r="213" spans="4:16">
      <c r="D213" s="158" t="s">
        <v>580</v>
      </c>
      <c r="E213" s="158" t="s">
        <v>235</v>
      </c>
      <c r="F213" s="1">
        <v>43160</v>
      </c>
      <c r="G213" s="158" t="s">
        <v>327</v>
      </c>
      <c r="H213" s="158" t="s">
        <v>260</v>
      </c>
      <c r="I213" s="158" t="s">
        <v>284</v>
      </c>
      <c r="J213" s="158" t="s">
        <v>261</v>
      </c>
      <c r="K213" s="158">
        <v>22</v>
      </c>
      <c r="L213"/>
      <c r="M213"/>
      <c r="N213"/>
      <c r="O213"/>
      <c r="P213"/>
    </row>
    <row r="214" spans="4:16">
      <c r="D214" s="158" t="s">
        <v>580</v>
      </c>
      <c r="E214" s="158" t="s">
        <v>235</v>
      </c>
      <c r="F214" s="1">
        <v>43199</v>
      </c>
      <c r="G214" s="158" t="s">
        <v>343</v>
      </c>
      <c r="H214" s="158" t="s">
        <v>344</v>
      </c>
      <c r="I214" s="158" t="s">
        <v>341</v>
      </c>
      <c r="J214" s="158" t="s">
        <v>261</v>
      </c>
      <c r="K214" s="158">
        <v>19</v>
      </c>
      <c r="L214"/>
      <c r="M214"/>
      <c r="N214"/>
      <c r="O214"/>
      <c r="P214"/>
    </row>
    <row r="215" spans="4:16">
      <c r="D215" s="158" t="s">
        <v>580</v>
      </c>
      <c r="E215" s="158" t="s">
        <v>235</v>
      </c>
      <c r="F215" s="1">
        <v>43238</v>
      </c>
      <c r="G215" s="158" t="s">
        <v>489</v>
      </c>
      <c r="H215" s="158" t="s">
        <v>352</v>
      </c>
      <c r="I215" s="158" t="s">
        <v>313</v>
      </c>
      <c r="J215" s="158" t="s">
        <v>261</v>
      </c>
      <c r="K215" s="158">
        <v>19</v>
      </c>
      <c r="L215"/>
      <c r="M215"/>
      <c r="N215"/>
      <c r="O215"/>
      <c r="P215"/>
    </row>
    <row r="216" spans="4:16">
      <c r="D216" s="158" t="s">
        <v>580</v>
      </c>
      <c r="E216" s="158" t="s">
        <v>235</v>
      </c>
      <c r="F216" s="1">
        <v>43277</v>
      </c>
      <c r="G216" s="158" t="s">
        <v>437</v>
      </c>
      <c r="H216" s="158" t="s">
        <v>286</v>
      </c>
      <c r="I216" s="158" t="s">
        <v>287</v>
      </c>
      <c r="J216" s="158" t="s">
        <v>261</v>
      </c>
      <c r="K216" s="158">
        <v>19</v>
      </c>
      <c r="L216"/>
      <c r="M216"/>
      <c r="N216"/>
      <c r="O216"/>
      <c r="P216"/>
    </row>
    <row r="217" spans="4:16">
      <c r="D217" s="158" t="s">
        <v>580</v>
      </c>
      <c r="E217" s="158" t="s">
        <v>235</v>
      </c>
      <c r="F217" s="1">
        <v>43286</v>
      </c>
      <c r="G217" s="158" t="s">
        <v>530</v>
      </c>
      <c r="H217" s="158" t="s">
        <v>369</v>
      </c>
      <c r="I217" s="158" t="s">
        <v>370</v>
      </c>
      <c r="J217" s="158" t="s">
        <v>261</v>
      </c>
      <c r="K217" s="158">
        <v>14</v>
      </c>
      <c r="L217"/>
      <c r="M217"/>
      <c r="N217"/>
      <c r="O217"/>
      <c r="P217"/>
    </row>
    <row r="218" spans="4:16">
      <c r="D218" s="158" t="s">
        <v>580</v>
      </c>
      <c r="E218" s="158" t="s">
        <v>235</v>
      </c>
      <c r="F218" s="1">
        <v>43336</v>
      </c>
      <c r="G218" s="158" t="s">
        <v>536</v>
      </c>
      <c r="H218" s="158" t="s">
        <v>375</v>
      </c>
      <c r="I218" s="158" t="s">
        <v>290</v>
      </c>
      <c r="J218" s="158" t="s">
        <v>261</v>
      </c>
      <c r="K218" s="158">
        <v>19.5</v>
      </c>
      <c r="L218"/>
      <c r="M218"/>
      <c r="N218"/>
      <c r="O218"/>
      <c r="P218"/>
    </row>
    <row r="219" spans="4:16">
      <c r="D219" s="158" t="s">
        <v>580</v>
      </c>
      <c r="E219" s="158" t="s">
        <v>235</v>
      </c>
      <c r="F219" s="1">
        <v>43356</v>
      </c>
      <c r="G219" s="158" t="s">
        <v>379</v>
      </c>
      <c r="H219" s="158" t="s">
        <v>378</v>
      </c>
      <c r="I219" s="158" t="s">
        <v>260</v>
      </c>
      <c r="J219" s="158" t="s">
        <v>261</v>
      </c>
      <c r="K219" s="158">
        <v>20</v>
      </c>
      <c r="L219"/>
      <c r="M219"/>
      <c r="N219"/>
      <c r="O219"/>
      <c r="P219"/>
    </row>
    <row r="220" spans="4:16">
      <c r="D220" s="158" t="s">
        <v>580</v>
      </c>
      <c r="E220" s="158" t="s">
        <v>235</v>
      </c>
      <c r="F220" s="1">
        <v>43390</v>
      </c>
      <c r="G220" s="158" t="s">
        <v>406</v>
      </c>
      <c r="H220" s="158" t="s">
        <v>396</v>
      </c>
      <c r="I220" s="158" t="s">
        <v>264</v>
      </c>
      <c r="J220" s="158" t="s">
        <v>261</v>
      </c>
      <c r="K220" s="158">
        <v>23</v>
      </c>
      <c r="L220"/>
      <c r="M220"/>
      <c r="N220"/>
      <c r="O220"/>
      <c r="P220"/>
    </row>
    <row r="221" spans="4:16">
      <c r="D221" s="158" t="s">
        <v>580</v>
      </c>
      <c r="E221" s="158" t="s">
        <v>235</v>
      </c>
      <c r="F221" s="1">
        <v>43411</v>
      </c>
      <c r="G221" s="158" t="s">
        <v>399</v>
      </c>
      <c r="H221" s="158" t="s">
        <v>298</v>
      </c>
      <c r="I221" s="158" t="s">
        <v>299</v>
      </c>
      <c r="J221" s="158" t="s">
        <v>261</v>
      </c>
      <c r="K221" s="158">
        <v>20</v>
      </c>
      <c r="L221"/>
      <c r="M221"/>
      <c r="N221"/>
      <c r="O221"/>
      <c r="P221"/>
    </row>
    <row r="222" spans="4:16">
      <c r="D222" s="158" t="s">
        <v>550</v>
      </c>
      <c r="E222" s="158" t="s">
        <v>235</v>
      </c>
      <c r="F222" s="1">
        <v>43129</v>
      </c>
      <c r="G222" s="158" t="s">
        <v>452</v>
      </c>
      <c r="H222" s="158" t="s">
        <v>313</v>
      </c>
      <c r="I222" s="158" t="s">
        <v>282</v>
      </c>
      <c r="J222" s="158" t="s">
        <v>261</v>
      </c>
      <c r="K222" s="158">
        <v>8.25</v>
      </c>
      <c r="L222"/>
      <c r="M222"/>
      <c r="N222"/>
      <c r="O222"/>
      <c r="P222"/>
    </row>
    <row r="223" spans="4:16">
      <c r="D223" s="158" t="s">
        <v>550</v>
      </c>
      <c r="E223" s="158" t="s">
        <v>235</v>
      </c>
      <c r="F223" s="1">
        <v>43132</v>
      </c>
      <c r="G223" s="158" t="s">
        <v>312</v>
      </c>
      <c r="H223" s="158" t="s">
        <v>313</v>
      </c>
      <c r="I223" s="158" t="s">
        <v>281</v>
      </c>
      <c r="J223" s="158" t="s">
        <v>261</v>
      </c>
      <c r="K223" s="158">
        <v>14.7</v>
      </c>
      <c r="L223"/>
      <c r="M223"/>
      <c r="N223"/>
      <c r="O223"/>
      <c r="P223"/>
    </row>
    <row r="224" spans="4:16">
      <c r="D224" s="158" t="s">
        <v>550</v>
      </c>
      <c r="E224" s="158" t="s">
        <v>235</v>
      </c>
      <c r="F224" s="1">
        <v>43160</v>
      </c>
      <c r="G224" s="158" t="s">
        <v>327</v>
      </c>
      <c r="H224" s="158" t="s">
        <v>260</v>
      </c>
      <c r="I224" s="158" t="s">
        <v>284</v>
      </c>
      <c r="J224" s="158" t="s">
        <v>261</v>
      </c>
      <c r="K224" s="158">
        <v>22</v>
      </c>
      <c r="L224"/>
      <c r="M224"/>
      <c r="N224"/>
      <c r="O224"/>
      <c r="P224"/>
    </row>
    <row r="225" spans="4:16">
      <c r="D225" s="158" t="s">
        <v>550</v>
      </c>
      <c r="E225" s="158" t="s">
        <v>235</v>
      </c>
      <c r="F225" s="1">
        <v>43194</v>
      </c>
      <c r="G225" s="158" t="s">
        <v>339</v>
      </c>
      <c r="H225" s="158" t="s">
        <v>340</v>
      </c>
      <c r="I225" s="158" t="s">
        <v>341</v>
      </c>
      <c r="J225" s="158" t="s">
        <v>261</v>
      </c>
      <c r="K225" s="158">
        <v>17</v>
      </c>
      <c r="L225"/>
      <c r="M225"/>
      <c r="N225"/>
      <c r="O225"/>
      <c r="P225"/>
    </row>
    <row r="226" spans="4:16">
      <c r="D226" s="158" t="s">
        <v>550</v>
      </c>
      <c r="E226" s="158" t="s">
        <v>235</v>
      </c>
      <c r="F226" s="1">
        <v>43224</v>
      </c>
      <c r="G226" s="158" t="s">
        <v>529</v>
      </c>
      <c r="H226" s="158" t="s">
        <v>505</v>
      </c>
      <c r="I226" s="158" t="s">
        <v>313</v>
      </c>
      <c r="J226" s="158" t="s">
        <v>261</v>
      </c>
      <c r="K226" s="158">
        <v>15.5</v>
      </c>
      <c r="L226"/>
      <c r="M226"/>
      <c r="N226"/>
      <c r="O226"/>
      <c r="P226"/>
    </row>
    <row r="227" spans="4:16">
      <c r="D227" s="158" t="s">
        <v>550</v>
      </c>
      <c r="E227" s="158" t="s">
        <v>235</v>
      </c>
      <c r="F227" s="1">
        <v>43258</v>
      </c>
      <c r="G227" s="158" t="s">
        <v>358</v>
      </c>
      <c r="H227" s="158" t="s">
        <v>359</v>
      </c>
      <c r="I227" s="158" t="s">
        <v>287</v>
      </c>
      <c r="J227" s="158" t="s">
        <v>261</v>
      </c>
      <c r="K227" s="158">
        <v>18</v>
      </c>
      <c r="L227"/>
      <c r="M227"/>
      <c r="N227"/>
      <c r="O227"/>
      <c r="P227"/>
    </row>
    <row r="228" spans="4:16">
      <c r="D228" s="158" t="s">
        <v>550</v>
      </c>
      <c r="E228" s="158" t="s">
        <v>235</v>
      </c>
      <c r="F228" s="1">
        <v>43285</v>
      </c>
      <c r="G228" s="158" t="s">
        <v>512</v>
      </c>
      <c r="H228" s="158" t="s">
        <v>369</v>
      </c>
      <c r="I228" s="158" t="s">
        <v>370</v>
      </c>
      <c r="J228" s="158" t="s">
        <v>261</v>
      </c>
      <c r="K228" s="158">
        <v>20.77</v>
      </c>
      <c r="L228"/>
      <c r="M228"/>
      <c r="N228"/>
      <c r="O228"/>
      <c r="P228"/>
    </row>
    <row r="229" spans="4:16">
      <c r="D229" s="158" t="s">
        <v>550</v>
      </c>
      <c r="E229" s="158" t="s">
        <v>235</v>
      </c>
      <c r="F229" s="1">
        <v>43319</v>
      </c>
      <c r="G229" s="158" t="s">
        <v>514</v>
      </c>
      <c r="H229" s="158" t="s">
        <v>289</v>
      </c>
      <c r="I229" s="158" t="s">
        <v>290</v>
      </c>
      <c r="J229" s="158" t="s">
        <v>261</v>
      </c>
      <c r="K229" s="158">
        <v>14.5</v>
      </c>
      <c r="L229"/>
      <c r="M229"/>
      <c r="N229"/>
      <c r="O229"/>
      <c r="P229"/>
    </row>
    <row r="230" spans="4:16">
      <c r="D230" s="158" t="s">
        <v>550</v>
      </c>
      <c r="E230" s="158" t="s">
        <v>235</v>
      </c>
      <c r="F230" s="1">
        <v>43364</v>
      </c>
      <c r="G230" s="158" t="s">
        <v>481</v>
      </c>
      <c r="H230" s="158" t="s">
        <v>405</v>
      </c>
      <c r="I230" s="158" t="s">
        <v>260</v>
      </c>
      <c r="J230" s="158" t="s">
        <v>261</v>
      </c>
      <c r="K230" s="158">
        <v>15</v>
      </c>
      <c r="L230"/>
      <c r="M230"/>
      <c r="N230"/>
      <c r="O230"/>
      <c r="P230"/>
    </row>
    <row r="231" spans="4:16">
      <c r="D231" s="158" t="s">
        <v>550</v>
      </c>
      <c r="E231" s="158" t="s">
        <v>235</v>
      </c>
      <c r="F231" s="1">
        <v>43389</v>
      </c>
      <c r="G231" s="158" t="s">
        <v>397</v>
      </c>
      <c r="H231" s="158" t="s">
        <v>396</v>
      </c>
      <c r="I231" s="158" t="s">
        <v>264</v>
      </c>
      <c r="J231" s="158" t="s">
        <v>261</v>
      </c>
      <c r="K231" s="158">
        <v>23</v>
      </c>
      <c r="L231"/>
      <c r="M231"/>
      <c r="N231"/>
      <c r="O231"/>
      <c r="P231"/>
    </row>
    <row r="232" spans="4:16">
      <c r="D232" s="158" t="s">
        <v>550</v>
      </c>
      <c r="E232" s="158" t="s">
        <v>235</v>
      </c>
      <c r="F232" s="1">
        <v>43409</v>
      </c>
      <c r="G232" s="158" t="s">
        <v>411</v>
      </c>
      <c r="H232" s="158" t="s">
        <v>298</v>
      </c>
      <c r="I232" s="158" t="s">
        <v>299</v>
      </c>
      <c r="J232" s="158" t="s">
        <v>261</v>
      </c>
      <c r="K232" s="158">
        <v>18</v>
      </c>
      <c r="L232"/>
      <c r="M232"/>
      <c r="N232"/>
      <c r="O232"/>
      <c r="P232"/>
    </row>
    <row r="233" spans="4:16">
      <c r="D233" s="158" t="s">
        <v>402</v>
      </c>
      <c r="E233" s="158" t="s">
        <v>238</v>
      </c>
      <c r="F233" s="1">
        <v>43129</v>
      </c>
      <c r="G233" s="158" t="s">
        <v>452</v>
      </c>
      <c r="H233" s="158" t="s">
        <v>313</v>
      </c>
      <c r="I233" s="158" t="s">
        <v>282</v>
      </c>
      <c r="J233" s="158" t="s">
        <v>261</v>
      </c>
      <c r="K233" s="158">
        <v>18</v>
      </c>
      <c r="L233"/>
      <c r="M233"/>
      <c r="N233"/>
      <c r="O233"/>
      <c r="P233"/>
    </row>
    <row r="234" spans="4:16">
      <c r="D234" s="158" t="s">
        <v>402</v>
      </c>
      <c r="E234" s="158" t="s">
        <v>238</v>
      </c>
      <c r="F234" s="1">
        <v>43136</v>
      </c>
      <c r="G234" s="158" t="s">
        <v>315</v>
      </c>
      <c r="H234" s="158" t="s">
        <v>287</v>
      </c>
      <c r="I234" s="158" t="s">
        <v>281</v>
      </c>
      <c r="J234" s="158" t="s">
        <v>261</v>
      </c>
      <c r="K234" s="158">
        <v>20</v>
      </c>
      <c r="L234"/>
      <c r="M234"/>
      <c r="N234"/>
      <c r="O234"/>
      <c r="P234"/>
    </row>
    <row r="235" spans="4:16">
      <c r="D235" s="158" t="s">
        <v>402</v>
      </c>
      <c r="E235" s="158" t="s">
        <v>238</v>
      </c>
      <c r="F235" s="1">
        <v>43164</v>
      </c>
      <c r="G235" s="158" t="s">
        <v>329</v>
      </c>
      <c r="H235" s="158" t="s">
        <v>264</v>
      </c>
      <c r="I235" s="158" t="s">
        <v>284</v>
      </c>
      <c r="J235" s="158" t="s">
        <v>261</v>
      </c>
      <c r="K235" s="158">
        <v>22</v>
      </c>
      <c r="L235"/>
      <c r="M235"/>
      <c r="N235"/>
      <c r="O235"/>
      <c r="P235"/>
    </row>
    <row r="236" spans="4:16">
      <c r="D236" s="158" t="s">
        <v>402</v>
      </c>
      <c r="E236" s="158" t="s">
        <v>238</v>
      </c>
      <c r="F236" s="1">
        <v>43209</v>
      </c>
      <c r="G236" s="158" t="s">
        <v>403</v>
      </c>
      <c r="H236" s="158" t="s">
        <v>347</v>
      </c>
      <c r="I236" s="158" t="s">
        <v>341</v>
      </c>
      <c r="J236" s="158" t="s">
        <v>261</v>
      </c>
      <c r="K236" s="158">
        <v>16.7</v>
      </c>
      <c r="L236"/>
      <c r="M236"/>
      <c r="N236"/>
      <c r="O236"/>
      <c r="P236"/>
    </row>
    <row r="237" spans="4:16">
      <c r="D237" s="158" t="s">
        <v>402</v>
      </c>
      <c r="E237" s="158" t="s">
        <v>237</v>
      </c>
      <c r="F237" s="1">
        <v>43215</v>
      </c>
      <c r="G237" s="158" t="s">
        <v>503</v>
      </c>
      <c r="H237" s="158" t="s">
        <v>348</v>
      </c>
      <c r="I237" s="158" t="s">
        <v>341</v>
      </c>
      <c r="J237" s="158" t="s">
        <v>261</v>
      </c>
      <c r="K237" s="158">
        <v>1.3</v>
      </c>
      <c r="L237"/>
      <c r="M237"/>
      <c r="N237"/>
      <c r="O237"/>
      <c r="P237"/>
    </row>
    <row r="238" spans="4:16">
      <c r="D238" s="158" t="s">
        <v>402</v>
      </c>
      <c r="E238" s="158" t="s">
        <v>238</v>
      </c>
      <c r="F238" s="1">
        <v>43234</v>
      </c>
      <c r="G238" s="158" t="s">
        <v>351</v>
      </c>
      <c r="H238" s="158" t="s">
        <v>352</v>
      </c>
      <c r="I238" s="158" t="s">
        <v>313</v>
      </c>
      <c r="J238" s="158" t="s">
        <v>261</v>
      </c>
      <c r="K238" s="158">
        <v>19</v>
      </c>
      <c r="L238"/>
      <c r="M238"/>
      <c r="N238"/>
      <c r="O238"/>
      <c r="P238"/>
    </row>
    <row r="239" spans="4:16">
      <c r="D239" s="158" t="s">
        <v>402</v>
      </c>
      <c r="E239" s="158" t="s">
        <v>238</v>
      </c>
      <c r="F239" s="1">
        <v>43262</v>
      </c>
      <c r="G239" s="158" t="s">
        <v>361</v>
      </c>
      <c r="H239" s="158" t="s">
        <v>362</v>
      </c>
      <c r="I239" s="158" t="s">
        <v>287</v>
      </c>
      <c r="J239" s="158" t="s">
        <v>261</v>
      </c>
      <c r="K239" s="158">
        <v>21</v>
      </c>
      <c r="L239"/>
      <c r="M239"/>
      <c r="N239"/>
      <c r="O239"/>
      <c r="P239"/>
    </row>
    <row r="240" spans="4:16">
      <c r="D240" s="158" t="s">
        <v>402</v>
      </c>
      <c r="E240" s="158" t="s">
        <v>238</v>
      </c>
      <c r="F240" s="1">
        <v>43283</v>
      </c>
      <c r="G240" s="158" t="s">
        <v>368</v>
      </c>
      <c r="H240" s="158" t="s">
        <v>369</v>
      </c>
      <c r="I240" s="158" t="s">
        <v>370</v>
      </c>
      <c r="J240" s="158" t="s">
        <v>261</v>
      </c>
      <c r="K240" s="158">
        <v>10</v>
      </c>
      <c r="L240"/>
      <c r="M240"/>
      <c r="N240"/>
      <c r="O240"/>
      <c r="P240"/>
    </row>
    <row r="241" spans="4:16">
      <c r="D241" s="158" t="s">
        <v>402</v>
      </c>
      <c r="E241" s="158" t="s">
        <v>238</v>
      </c>
      <c r="F241" s="1">
        <v>43318</v>
      </c>
      <c r="G241" s="158" t="s">
        <v>469</v>
      </c>
      <c r="H241" s="158" t="s">
        <v>289</v>
      </c>
      <c r="I241" s="158" t="s">
        <v>290</v>
      </c>
      <c r="J241" s="158" t="s">
        <v>261</v>
      </c>
      <c r="K241" s="158">
        <v>18.5</v>
      </c>
      <c r="L241"/>
      <c r="M241"/>
      <c r="N241"/>
      <c r="O241"/>
      <c r="P241"/>
    </row>
    <row r="242" spans="4:16">
      <c r="D242" s="158" t="s">
        <v>402</v>
      </c>
      <c r="E242" s="158" t="s">
        <v>238</v>
      </c>
      <c r="F242" s="1">
        <v>43361</v>
      </c>
      <c r="G242" s="158" t="s">
        <v>404</v>
      </c>
      <c r="H242" s="158" t="s">
        <v>405</v>
      </c>
      <c r="I242" s="158" t="s">
        <v>260</v>
      </c>
      <c r="J242" s="158" t="s">
        <v>261</v>
      </c>
      <c r="K242" s="158">
        <v>17.5</v>
      </c>
      <c r="L242"/>
      <c r="M242"/>
      <c r="N242"/>
      <c r="O242"/>
      <c r="P242"/>
    </row>
    <row r="243" spans="4:16">
      <c r="D243" s="158" t="s">
        <v>402</v>
      </c>
      <c r="E243" s="158" t="s">
        <v>238</v>
      </c>
      <c r="F243" s="1">
        <v>43390</v>
      </c>
      <c r="G243" s="158" t="s">
        <v>406</v>
      </c>
      <c r="H243" s="158" t="s">
        <v>396</v>
      </c>
      <c r="I243" s="158" t="s">
        <v>264</v>
      </c>
      <c r="J243" s="158" t="s">
        <v>261</v>
      </c>
      <c r="K243" s="158">
        <v>20.8</v>
      </c>
      <c r="L243"/>
      <c r="M243"/>
      <c r="N243"/>
      <c r="O243"/>
      <c r="P243"/>
    </row>
    <row r="244" spans="4:16">
      <c r="D244" s="158" t="s">
        <v>402</v>
      </c>
      <c r="E244" s="158" t="s">
        <v>238</v>
      </c>
      <c r="F244" s="1">
        <v>43409</v>
      </c>
      <c r="G244" s="158" t="s">
        <v>411</v>
      </c>
      <c r="H244" s="158" t="s">
        <v>298</v>
      </c>
      <c r="I244" s="158" t="s">
        <v>299</v>
      </c>
      <c r="J244" s="158" t="s">
        <v>261</v>
      </c>
      <c r="K244" s="158">
        <v>21</v>
      </c>
      <c r="L244"/>
      <c r="M244"/>
      <c r="N244"/>
      <c r="O244"/>
      <c r="P244"/>
    </row>
    <row r="245" spans="4:16">
      <c r="D245" s="158" t="s">
        <v>555</v>
      </c>
      <c r="E245" s="158" t="s">
        <v>235</v>
      </c>
      <c r="F245" s="1">
        <v>43108</v>
      </c>
      <c r="G245" s="158" t="s">
        <v>448</v>
      </c>
      <c r="H245" s="158" t="s">
        <v>281</v>
      </c>
      <c r="I245" s="158" t="s">
        <v>282</v>
      </c>
      <c r="J245" s="158" t="s">
        <v>261</v>
      </c>
      <c r="K245" s="158">
        <v>18</v>
      </c>
      <c r="L245"/>
      <c r="M245"/>
      <c r="N245"/>
      <c r="O245"/>
      <c r="P245"/>
    </row>
    <row r="246" spans="4:16">
      <c r="D246" s="158" t="s">
        <v>555</v>
      </c>
      <c r="E246" s="158" t="s">
        <v>235</v>
      </c>
      <c r="F246" s="1">
        <v>43132</v>
      </c>
      <c r="G246" s="158" t="s">
        <v>312</v>
      </c>
      <c r="H246" s="158" t="s">
        <v>313</v>
      </c>
      <c r="I246" s="158" t="s">
        <v>281</v>
      </c>
      <c r="J246" s="158" t="s">
        <v>261</v>
      </c>
      <c r="K246" s="158">
        <v>17</v>
      </c>
      <c r="L246"/>
      <c r="M246"/>
      <c r="N246"/>
      <c r="O246"/>
      <c r="P246"/>
    </row>
    <row r="247" spans="4:16">
      <c r="D247" s="158" t="s">
        <v>555</v>
      </c>
      <c r="E247" s="158" t="s">
        <v>235</v>
      </c>
      <c r="F247" s="1">
        <v>43160</v>
      </c>
      <c r="G247" s="158" t="s">
        <v>327</v>
      </c>
      <c r="H247" s="158" t="s">
        <v>260</v>
      </c>
      <c r="I247" s="158" t="s">
        <v>284</v>
      </c>
      <c r="J247" s="158" t="s">
        <v>261</v>
      </c>
      <c r="K247" s="158">
        <v>22</v>
      </c>
      <c r="L247"/>
      <c r="M247"/>
      <c r="N247"/>
      <c r="O247"/>
      <c r="P247"/>
    </row>
    <row r="248" spans="4:16">
      <c r="D248" s="158" t="s">
        <v>555</v>
      </c>
      <c r="E248" s="158" t="s">
        <v>235</v>
      </c>
      <c r="F248" s="1">
        <v>43193</v>
      </c>
      <c r="G248" s="158" t="s">
        <v>383</v>
      </c>
      <c r="H248" s="158" t="s">
        <v>340</v>
      </c>
      <c r="I248" s="158" t="s">
        <v>341</v>
      </c>
      <c r="J248" s="158" t="s">
        <v>261</v>
      </c>
      <c r="K248" s="158">
        <v>19</v>
      </c>
      <c r="L248"/>
      <c r="M248"/>
      <c r="N248"/>
      <c r="O248"/>
      <c r="P248"/>
    </row>
    <row r="249" spans="4:16">
      <c r="D249" s="158" t="s">
        <v>555</v>
      </c>
      <c r="E249" s="158" t="s">
        <v>235</v>
      </c>
      <c r="F249" s="1">
        <v>43234</v>
      </c>
      <c r="G249" s="158" t="s">
        <v>351</v>
      </c>
      <c r="H249" s="158" t="s">
        <v>352</v>
      </c>
      <c r="I249" s="158" t="s">
        <v>313</v>
      </c>
      <c r="J249" s="158" t="s">
        <v>261</v>
      </c>
      <c r="K249" s="158">
        <v>9</v>
      </c>
      <c r="L249"/>
      <c r="M249"/>
      <c r="N249"/>
      <c r="O249"/>
      <c r="P249"/>
    </row>
    <row r="250" spans="4:16">
      <c r="D250" s="158" t="s">
        <v>555</v>
      </c>
      <c r="E250" s="158" t="s">
        <v>235</v>
      </c>
      <c r="F250" s="1">
        <v>43252</v>
      </c>
      <c r="G250" s="158" t="s">
        <v>495</v>
      </c>
      <c r="H250" s="158" t="s">
        <v>356</v>
      </c>
      <c r="I250" s="158" t="s">
        <v>287</v>
      </c>
      <c r="J250" s="158" t="s">
        <v>261</v>
      </c>
      <c r="K250" s="158">
        <v>21</v>
      </c>
      <c r="L250"/>
      <c r="M250"/>
      <c r="N250"/>
      <c r="O250"/>
      <c r="P250"/>
    </row>
    <row r="251" spans="4:16">
      <c r="D251" s="158" t="s">
        <v>555</v>
      </c>
      <c r="E251" s="158" t="s">
        <v>235</v>
      </c>
      <c r="F251" s="1">
        <v>43283</v>
      </c>
      <c r="G251" s="158" t="s">
        <v>368</v>
      </c>
      <c r="H251" s="158" t="s">
        <v>369</v>
      </c>
      <c r="I251" s="158" t="s">
        <v>370</v>
      </c>
      <c r="J251" s="158" t="s">
        <v>261</v>
      </c>
      <c r="K251" s="158">
        <v>20</v>
      </c>
      <c r="L251"/>
      <c r="M251"/>
      <c r="N251"/>
      <c r="O251"/>
      <c r="P251"/>
    </row>
    <row r="252" spans="4:16">
      <c r="D252" s="158" t="s">
        <v>555</v>
      </c>
      <c r="E252" s="158" t="s">
        <v>235</v>
      </c>
      <c r="F252" s="1">
        <v>43339</v>
      </c>
      <c r="G252" s="158" t="s">
        <v>294</v>
      </c>
      <c r="H252" s="158" t="s">
        <v>295</v>
      </c>
      <c r="I252" s="158" t="s">
        <v>290</v>
      </c>
      <c r="J252" s="158" t="s">
        <v>261</v>
      </c>
      <c r="K252" s="158">
        <v>5</v>
      </c>
      <c r="L252"/>
      <c r="M252"/>
      <c r="N252"/>
      <c r="O252"/>
      <c r="P252"/>
    </row>
    <row r="253" spans="4:16">
      <c r="D253" s="158" t="s">
        <v>555</v>
      </c>
      <c r="E253" s="158" t="s">
        <v>235</v>
      </c>
      <c r="F253" s="1">
        <v>43346</v>
      </c>
      <c r="G253" s="158" t="s">
        <v>389</v>
      </c>
      <c r="H253" s="158" t="s">
        <v>390</v>
      </c>
      <c r="I253" s="158" t="s">
        <v>260</v>
      </c>
      <c r="J253" s="158" t="s">
        <v>261</v>
      </c>
      <c r="K253" s="158">
        <v>19</v>
      </c>
      <c r="L253"/>
      <c r="M253"/>
      <c r="N253"/>
      <c r="O253"/>
      <c r="P253"/>
    </row>
    <row r="254" spans="4:16">
      <c r="D254" s="158" t="s">
        <v>555</v>
      </c>
      <c r="E254" s="158" t="s">
        <v>235</v>
      </c>
      <c r="F254" s="1">
        <v>43374</v>
      </c>
      <c r="G254" s="158" t="s">
        <v>392</v>
      </c>
      <c r="H254" s="158" t="s">
        <v>263</v>
      </c>
      <c r="I254" s="158" t="s">
        <v>264</v>
      </c>
      <c r="J254" s="158" t="s">
        <v>261</v>
      </c>
      <c r="K254" s="158">
        <v>22.5</v>
      </c>
      <c r="L254"/>
      <c r="M254"/>
      <c r="N254"/>
      <c r="O254"/>
      <c r="P254"/>
    </row>
    <row r="255" spans="4:16">
      <c r="D255" s="158" t="s">
        <v>555</v>
      </c>
      <c r="E255" s="158" t="s">
        <v>235</v>
      </c>
      <c r="F255" s="1">
        <v>43409</v>
      </c>
      <c r="G255" s="158" t="s">
        <v>411</v>
      </c>
      <c r="H255" s="158" t="s">
        <v>298</v>
      </c>
      <c r="I255" s="158" t="s">
        <v>299</v>
      </c>
      <c r="J255" s="158" t="s">
        <v>261</v>
      </c>
      <c r="K255" s="158">
        <v>20</v>
      </c>
      <c r="L255"/>
      <c r="M255"/>
      <c r="N255"/>
      <c r="O255"/>
      <c r="P255"/>
    </row>
    <row r="256" spans="4:16">
      <c r="D256" s="158" t="s">
        <v>596</v>
      </c>
      <c r="E256" s="158" t="s">
        <v>235</v>
      </c>
      <c r="F256" s="1">
        <v>43311</v>
      </c>
      <c r="G256" s="158" t="s">
        <v>386</v>
      </c>
      <c r="H256" s="158" t="s">
        <v>387</v>
      </c>
      <c r="I256" s="158" t="s">
        <v>370</v>
      </c>
      <c r="J256" s="158" t="s">
        <v>261</v>
      </c>
      <c r="K256" s="158">
        <v>2</v>
      </c>
      <c r="L256"/>
      <c r="M256"/>
      <c r="N256"/>
      <c r="O256"/>
      <c r="P256"/>
    </row>
    <row r="257" spans="4:16">
      <c r="D257" s="158" t="s">
        <v>596</v>
      </c>
      <c r="E257" s="158" t="s">
        <v>235</v>
      </c>
      <c r="F257" s="1">
        <v>43325</v>
      </c>
      <c r="G257" s="158" t="s">
        <v>471</v>
      </c>
      <c r="H257" s="158" t="s">
        <v>293</v>
      </c>
      <c r="I257" s="158" t="s">
        <v>290</v>
      </c>
      <c r="J257" s="158" t="s">
        <v>261</v>
      </c>
      <c r="K257" s="158">
        <v>22</v>
      </c>
      <c r="L257"/>
      <c r="M257"/>
      <c r="N257"/>
      <c r="O257"/>
      <c r="P257"/>
    </row>
    <row r="258" spans="4:16">
      <c r="D258" s="158" t="s">
        <v>596</v>
      </c>
      <c r="E258" s="158" t="s">
        <v>235</v>
      </c>
      <c r="F258" s="1">
        <v>43347</v>
      </c>
      <c r="G258" s="158" t="s">
        <v>517</v>
      </c>
      <c r="H258" s="158" t="s">
        <v>390</v>
      </c>
      <c r="I258" s="158" t="s">
        <v>260</v>
      </c>
      <c r="J258" s="158" t="s">
        <v>261</v>
      </c>
      <c r="K258" s="158">
        <v>19.25</v>
      </c>
      <c r="L258"/>
      <c r="M258"/>
      <c r="N258"/>
      <c r="O258"/>
      <c r="P258"/>
    </row>
    <row r="259" spans="4:16">
      <c r="D259" s="158" t="s">
        <v>596</v>
      </c>
      <c r="E259" s="158" t="s">
        <v>235</v>
      </c>
      <c r="F259" s="1">
        <v>43377</v>
      </c>
      <c r="G259" s="158" t="s">
        <v>265</v>
      </c>
      <c r="H259" s="158" t="s">
        <v>263</v>
      </c>
      <c r="I259" s="158" t="s">
        <v>264</v>
      </c>
      <c r="J259" s="158" t="s">
        <v>261</v>
      </c>
      <c r="K259" s="158">
        <v>23</v>
      </c>
      <c r="L259"/>
      <c r="M259"/>
      <c r="N259"/>
      <c r="O259"/>
      <c r="P259"/>
    </row>
    <row r="260" spans="4:16">
      <c r="D260" s="158" t="s">
        <v>596</v>
      </c>
      <c r="E260" s="158" t="s">
        <v>235</v>
      </c>
      <c r="F260" s="1">
        <v>43409</v>
      </c>
      <c r="G260" s="158" t="s">
        <v>411</v>
      </c>
      <c r="H260" s="158" t="s">
        <v>298</v>
      </c>
      <c r="I260" s="158" t="s">
        <v>299</v>
      </c>
      <c r="J260" s="158" t="s">
        <v>261</v>
      </c>
      <c r="K260" s="158">
        <v>21</v>
      </c>
      <c r="L260"/>
      <c r="M260"/>
      <c r="N260"/>
      <c r="O260"/>
      <c r="P260"/>
    </row>
    <row r="261" spans="4:16">
      <c r="D261" s="158" t="s">
        <v>596</v>
      </c>
      <c r="E261" s="158" t="s">
        <v>235</v>
      </c>
      <c r="F261" s="1">
        <v>43439</v>
      </c>
      <c r="G261" s="158" t="s">
        <v>538</v>
      </c>
      <c r="H261" s="158" t="s">
        <v>418</v>
      </c>
      <c r="I261" s="158" t="s">
        <v>335</v>
      </c>
      <c r="J261" s="158" t="s">
        <v>261</v>
      </c>
      <c r="K261" s="158">
        <v>4</v>
      </c>
      <c r="L261"/>
      <c r="M261"/>
      <c r="N261"/>
      <c r="O261"/>
      <c r="P261"/>
    </row>
    <row r="262" spans="4:16">
      <c r="D262" s="158" t="s">
        <v>574</v>
      </c>
      <c r="E262" s="158" t="s">
        <v>235</v>
      </c>
      <c r="F262" s="1">
        <v>43138</v>
      </c>
      <c r="G262" s="158" t="s">
        <v>317</v>
      </c>
      <c r="H262" s="158" t="s">
        <v>287</v>
      </c>
      <c r="I262" s="158" t="s">
        <v>281</v>
      </c>
      <c r="J262" s="158" t="s">
        <v>261</v>
      </c>
      <c r="K262" s="158">
        <v>16</v>
      </c>
      <c r="L262"/>
      <c r="M262"/>
      <c r="N262"/>
      <c r="O262"/>
      <c r="P262"/>
    </row>
    <row r="263" spans="4:16">
      <c r="D263" s="158" t="s">
        <v>574</v>
      </c>
      <c r="E263" s="158" t="s">
        <v>236</v>
      </c>
      <c r="F263" s="1">
        <v>43144</v>
      </c>
      <c r="G263" s="158" t="s">
        <v>431</v>
      </c>
      <c r="H263" s="158" t="s">
        <v>370</v>
      </c>
      <c r="I263" s="158" t="s">
        <v>281</v>
      </c>
      <c r="J263" s="158" t="s">
        <v>261</v>
      </c>
      <c r="K263" s="158">
        <v>2</v>
      </c>
      <c r="L263"/>
      <c r="M263"/>
      <c r="N263"/>
      <c r="O263"/>
      <c r="P263"/>
    </row>
    <row r="264" spans="4:16">
      <c r="D264" s="158" t="s">
        <v>574</v>
      </c>
      <c r="E264" s="158" t="s">
        <v>235</v>
      </c>
      <c r="F264" s="1">
        <v>43164</v>
      </c>
      <c r="G264" s="158" t="s">
        <v>329</v>
      </c>
      <c r="H264" s="158" t="s">
        <v>264</v>
      </c>
      <c r="I264" s="158" t="s">
        <v>284</v>
      </c>
      <c r="J264" s="158" t="s">
        <v>261</v>
      </c>
      <c r="K264" s="158">
        <v>9.9</v>
      </c>
      <c r="L264"/>
      <c r="M264"/>
      <c r="N264"/>
      <c r="O264"/>
      <c r="P264"/>
    </row>
    <row r="265" spans="4:16">
      <c r="D265" s="158" t="s">
        <v>574</v>
      </c>
      <c r="E265" s="158" t="s">
        <v>236</v>
      </c>
      <c r="F265" s="1">
        <v>43167</v>
      </c>
      <c r="G265" s="158" t="s">
        <v>332</v>
      </c>
      <c r="H265" s="158" t="s">
        <v>264</v>
      </c>
      <c r="I265" s="158" t="s">
        <v>284</v>
      </c>
      <c r="J265" s="158" t="s">
        <v>261</v>
      </c>
      <c r="K265" s="158">
        <v>11.1</v>
      </c>
      <c r="L265"/>
      <c r="M265"/>
      <c r="N265"/>
      <c r="O265"/>
      <c r="P265"/>
    </row>
    <row r="266" spans="4:16">
      <c r="D266" s="158" t="s">
        <v>574</v>
      </c>
      <c r="E266" s="158" t="s">
        <v>235</v>
      </c>
      <c r="F266" s="1">
        <v>43200</v>
      </c>
      <c r="G266" s="158" t="s">
        <v>345</v>
      </c>
      <c r="H266" s="158" t="s">
        <v>344</v>
      </c>
      <c r="I266" s="158" t="s">
        <v>341</v>
      </c>
      <c r="J266" s="158" t="s">
        <v>261</v>
      </c>
      <c r="K266" s="158">
        <v>8.9</v>
      </c>
      <c r="L266"/>
      <c r="M266"/>
      <c r="N266"/>
      <c r="O266"/>
      <c r="P266"/>
    </row>
    <row r="267" spans="4:16">
      <c r="D267" s="158" t="s">
        <v>574</v>
      </c>
      <c r="E267" s="158" t="s">
        <v>236</v>
      </c>
      <c r="F267" s="1">
        <v>43193</v>
      </c>
      <c r="G267" s="158" t="s">
        <v>383</v>
      </c>
      <c r="H267" s="158" t="s">
        <v>340</v>
      </c>
      <c r="I267" s="158" t="s">
        <v>341</v>
      </c>
      <c r="J267" s="158" t="s">
        <v>261</v>
      </c>
      <c r="K267" s="158">
        <v>11.1</v>
      </c>
      <c r="L267"/>
      <c r="M267"/>
      <c r="N267"/>
      <c r="O267"/>
      <c r="P267"/>
    </row>
    <row r="268" spans="4:16">
      <c r="D268" s="158" t="s">
        <v>574</v>
      </c>
      <c r="E268" s="158" t="s">
        <v>236</v>
      </c>
      <c r="F268" s="1">
        <v>43223</v>
      </c>
      <c r="G268" s="158" t="s">
        <v>528</v>
      </c>
      <c r="H268" s="158" t="s">
        <v>505</v>
      </c>
      <c r="I268" s="158" t="s">
        <v>313</v>
      </c>
      <c r="J268" s="158" t="s">
        <v>261</v>
      </c>
      <c r="K268" s="158">
        <v>18</v>
      </c>
      <c r="L268"/>
      <c r="M268"/>
      <c r="N268"/>
      <c r="O268"/>
      <c r="P268"/>
    </row>
    <row r="269" spans="4:16">
      <c r="D269" s="158" t="s">
        <v>574</v>
      </c>
      <c r="E269" s="158" t="s">
        <v>236</v>
      </c>
      <c r="F269" s="1">
        <v>43279</v>
      </c>
      <c r="G269" s="158" t="s">
        <v>285</v>
      </c>
      <c r="H269" s="158" t="s">
        <v>286</v>
      </c>
      <c r="I269" s="158" t="s">
        <v>287</v>
      </c>
      <c r="J269" s="158" t="s">
        <v>261</v>
      </c>
      <c r="K269" s="158">
        <v>18</v>
      </c>
      <c r="L269"/>
      <c r="M269"/>
      <c r="N269"/>
      <c r="O269"/>
      <c r="P269"/>
    </row>
    <row r="270" spans="4:16">
      <c r="D270" s="158" t="s">
        <v>574</v>
      </c>
      <c r="E270" s="158" t="s">
        <v>236</v>
      </c>
      <c r="F270" s="1">
        <v>43286</v>
      </c>
      <c r="G270" s="158" t="s">
        <v>530</v>
      </c>
      <c r="H270" s="158" t="s">
        <v>369</v>
      </c>
      <c r="I270" s="158" t="s">
        <v>370</v>
      </c>
      <c r="J270" s="158" t="s">
        <v>261</v>
      </c>
      <c r="K270" s="158">
        <v>4</v>
      </c>
      <c r="L270"/>
      <c r="M270"/>
      <c r="N270"/>
      <c r="O270"/>
      <c r="P270"/>
    </row>
    <row r="271" spans="4:16">
      <c r="D271" s="158" t="s">
        <v>575</v>
      </c>
      <c r="E271" s="158" t="s">
        <v>235</v>
      </c>
      <c r="F271" s="1">
        <v>43145</v>
      </c>
      <c r="G271" s="158" t="s">
        <v>432</v>
      </c>
      <c r="H271" s="158" t="s">
        <v>370</v>
      </c>
      <c r="I271" s="158" t="s">
        <v>281</v>
      </c>
      <c r="J271" s="158" t="s">
        <v>261</v>
      </c>
      <c r="K271" s="158">
        <v>11</v>
      </c>
      <c r="L271"/>
      <c r="M271"/>
      <c r="N271"/>
      <c r="O271"/>
      <c r="P271"/>
    </row>
    <row r="272" spans="4:16">
      <c r="D272" s="158" t="s">
        <v>575</v>
      </c>
      <c r="E272" s="158" t="s">
        <v>235</v>
      </c>
      <c r="F272" s="1">
        <v>43160</v>
      </c>
      <c r="G272" s="158" t="s">
        <v>327</v>
      </c>
      <c r="H272" s="158" t="s">
        <v>260</v>
      </c>
      <c r="I272" s="158" t="s">
        <v>284</v>
      </c>
      <c r="J272" s="158" t="s">
        <v>261</v>
      </c>
      <c r="K272" s="158">
        <v>22</v>
      </c>
      <c r="L272"/>
      <c r="M272"/>
      <c r="N272"/>
      <c r="O272"/>
      <c r="P272"/>
    </row>
    <row r="273" spans="4:16">
      <c r="D273" s="158" t="s">
        <v>575</v>
      </c>
      <c r="E273" s="158" t="s">
        <v>235</v>
      </c>
      <c r="F273" s="1">
        <v>43192</v>
      </c>
      <c r="G273" s="158" t="s">
        <v>467</v>
      </c>
      <c r="H273" s="158" t="s">
        <v>340</v>
      </c>
      <c r="I273" s="158" t="s">
        <v>341</v>
      </c>
      <c r="J273" s="158" t="s">
        <v>261</v>
      </c>
      <c r="K273" s="158">
        <v>20</v>
      </c>
      <c r="L273"/>
      <c r="M273"/>
      <c r="N273"/>
      <c r="O273"/>
      <c r="P273"/>
    </row>
    <row r="274" spans="4:16">
      <c r="D274" s="158" t="s">
        <v>575</v>
      </c>
      <c r="E274" s="158" t="s">
        <v>235</v>
      </c>
      <c r="F274" s="1">
        <v>43222</v>
      </c>
      <c r="G274" s="158" t="s">
        <v>504</v>
      </c>
      <c r="H274" s="158" t="s">
        <v>505</v>
      </c>
      <c r="I274" s="158" t="s">
        <v>313</v>
      </c>
      <c r="J274" s="158" t="s">
        <v>261</v>
      </c>
      <c r="K274" s="158">
        <v>17.75</v>
      </c>
      <c r="L274"/>
      <c r="M274"/>
      <c r="N274"/>
      <c r="O274"/>
      <c r="P274"/>
    </row>
    <row r="275" spans="4:16">
      <c r="D275" s="158" t="s">
        <v>575</v>
      </c>
      <c r="E275" s="158" t="s">
        <v>235</v>
      </c>
      <c r="F275" s="1">
        <v>43252</v>
      </c>
      <c r="G275" s="158" t="s">
        <v>495</v>
      </c>
      <c r="H275" s="158" t="s">
        <v>356</v>
      </c>
      <c r="I275" s="158" t="s">
        <v>287</v>
      </c>
      <c r="J275" s="158" t="s">
        <v>261</v>
      </c>
      <c r="K275" s="158">
        <v>16.5</v>
      </c>
      <c r="L275"/>
      <c r="M275"/>
      <c r="N275"/>
      <c r="O275"/>
      <c r="P275"/>
    </row>
    <row r="276" spans="4:16">
      <c r="D276" s="158" t="s">
        <v>575</v>
      </c>
      <c r="E276" s="158" t="s">
        <v>235</v>
      </c>
      <c r="F276" s="1">
        <v>43283</v>
      </c>
      <c r="G276" s="158" t="s">
        <v>368</v>
      </c>
      <c r="H276" s="158" t="s">
        <v>369</v>
      </c>
      <c r="I276" s="158" t="s">
        <v>370</v>
      </c>
      <c r="J276" s="158" t="s">
        <v>261</v>
      </c>
      <c r="K276" s="158">
        <v>9</v>
      </c>
      <c r="L276"/>
      <c r="M276"/>
      <c r="N276"/>
      <c r="O276"/>
      <c r="P276"/>
    </row>
    <row r="277" spans="4:16">
      <c r="D277" s="158" t="s">
        <v>575</v>
      </c>
      <c r="E277" s="158" t="s">
        <v>235</v>
      </c>
      <c r="F277" s="1">
        <v>43313</v>
      </c>
      <c r="G277" s="158" t="s">
        <v>388</v>
      </c>
      <c r="H277" s="158" t="s">
        <v>387</v>
      </c>
      <c r="I277" s="158" t="s">
        <v>290</v>
      </c>
      <c r="J277" s="158" t="s">
        <v>261</v>
      </c>
      <c r="K277" s="158">
        <v>13.15</v>
      </c>
      <c r="L277"/>
      <c r="M277"/>
      <c r="N277"/>
      <c r="O277"/>
      <c r="P277"/>
    </row>
    <row r="278" spans="4:16">
      <c r="D278" s="158" t="s">
        <v>575</v>
      </c>
      <c r="E278" s="158" t="s">
        <v>235</v>
      </c>
      <c r="F278" s="1">
        <v>43346</v>
      </c>
      <c r="G278" s="158" t="s">
        <v>389</v>
      </c>
      <c r="H278" s="158" t="s">
        <v>390</v>
      </c>
      <c r="I278" s="158" t="s">
        <v>260</v>
      </c>
      <c r="J278" s="158" t="s">
        <v>261</v>
      </c>
      <c r="K278" s="158">
        <v>10</v>
      </c>
      <c r="L278"/>
      <c r="M278"/>
      <c r="N278"/>
      <c r="O278"/>
      <c r="P278"/>
    </row>
    <row r="279" spans="4:16">
      <c r="D279" s="158" t="s">
        <v>575</v>
      </c>
      <c r="E279" s="158" t="s">
        <v>235</v>
      </c>
      <c r="F279" s="1">
        <v>43375</v>
      </c>
      <c r="G279" s="158" t="s">
        <v>393</v>
      </c>
      <c r="H279" s="158" t="s">
        <v>263</v>
      </c>
      <c r="I279" s="158" t="s">
        <v>264</v>
      </c>
      <c r="J279" s="158" t="s">
        <v>261</v>
      </c>
      <c r="K279" s="158">
        <v>12.5</v>
      </c>
      <c r="L279"/>
      <c r="M279"/>
      <c r="N279"/>
      <c r="O279"/>
      <c r="P279"/>
    </row>
    <row r="280" spans="4:16">
      <c r="D280" s="158" t="s">
        <v>575</v>
      </c>
      <c r="E280" s="158" t="s">
        <v>235</v>
      </c>
      <c r="F280" s="1">
        <v>43406</v>
      </c>
      <c r="G280" s="158" t="s">
        <v>483</v>
      </c>
      <c r="H280" s="158" t="s">
        <v>465</v>
      </c>
      <c r="I280" s="158" t="s">
        <v>299</v>
      </c>
      <c r="J280" s="158" t="s">
        <v>261</v>
      </c>
      <c r="K280" s="158">
        <v>10</v>
      </c>
      <c r="L280"/>
      <c r="M280"/>
      <c r="N280"/>
      <c r="O280"/>
      <c r="P280"/>
    </row>
    <row r="281" spans="4:16">
      <c r="D281" s="158" t="s">
        <v>575</v>
      </c>
      <c r="E281" s="158" t="s">
        <v>235</v>
      </c>
      <c r="F281" s="1">
        <v>43438</v>
      </c>
      <c r="G281" s="158" t="s">
        <v>533</v>
      </c>
      <c r="H281" s="158" t="s">
        <v>418</v>
      </c>
      <c r="I281" s="158" t="s">
        <v>335</v>
      </c>
      <c r="J281" s="158" t="s">
        <v>261</v>
      </c>
      <c r="K281" s="158">
        <v>1.25</v>
      </c>
      <c r="L281"/>
      <c r="M281"/>
      <c r="N281"/>
      <c r="O281"/>
      <c r="P281"/>
    </row>
    <row r="282" spans="4:16">
      <c r="D282" s="158" t="s">
        <v>593</v>
      </c>
      <c r="E282" s="158" t="s">
        <v>235</v>
      </c>
      <c r="F282" s="1">
        <v>43102</v>
      </c>
      <c r="G282" s="158" t="s">
        <v>590</v>
      </c>
      <c r="H282" s="158" t="s">
        <v>282</v>
      </c>
      <c r="I282" s="158" t="s">
        <v>282</v>
      </c>
      <c r="J282" s="158" t="s">
        <v>261</v>
      </c>
      <c r="K282" s="158">
        <v>14</v>
      </c>
      <c r="L282"/>
      <c r="M282"/>
      <c r="N282"/>
      <c r="O282"/>
      <c r="P282"/>
    </row>
    <row r="283" spans="4:16">
      <c r="D283" s="158" t="s">
        <v>594</v>
      </c>
      <c r="E283" s="158" t="s">
        <v>235</v>
      </c>
      <c r="F283" s="1">
        <v>43102</v>
      </c>
      <c r="G283" s="158" t="s">
        <v>590</v>
      </c>
      <c r="H283" s="158" t="s">
        <v>282</v>
      </c>
      <c r="I283" s="158" t="s">
        <v>282</v>
      </c>
      <c r="J283" s="158" t="s">
        <v>261</v>
      </c>
      <c r="K283" s="158">
        <v>10.5</v>
      </c>
      <c r="L283"/>
      <c r="M283"/>
      <c r="N283"/>
      <c r="O283"/>
      <c r="P283"/>
    </row>
    <row r="284" spans="4:16">
      <c r="D284" s="158" t="s">
        <v>594</v>
      </c>
      <c r="E284" s="158" t="s">
        <v>235</v>
      </c>
      <c r="F284" s="1">
        <v>43136</v>
      </c>
      <c r="G284" s="158" t="s">
        <v>315</v>
      </c>
      <c r="H284" s="158" t="s">
        <v>287</v>
      </c>
      <c r="I284" s="158" t="s">
        <v>281</v>
      </c>
      <c r="J284" s="158" t="s">
        <v>261</v>
      </c>
      <c r="K284" s="158">
        <v>8.5</v>
      </c>
      <c r="L284"/>
      <c r="M284"/>
      <c r="N284"/>
      <c r="O284"/>
      <c r="P284"/>
    </row>
    <row r="285" spans="4:16">
      <c r="D285" s="158" t="s">
        <v>589</v>
      </c>
      <c r="E285" s="158" t="s">
        <v>235</v>
      </c>
      <c r="F285" s="1">
        <v>43102</v>
      </c>
      <c r="G285" s="158" t="s">
        <v>590</v>
      </c>
      <c r="H285" s="158" t="s">
        <v>282</v>
      </c>
      <c r="I285" s="158" t="s">
        <v>282</v>
      </c>
      <c r="J285" s="158" t="s">
        <v>261</v>
      </c>
      <c r="K285" s="158">
        <v>17</v>
      </c>
      <c r="L285"/>
      <c r="M285"/>
      <c r="N285"/>
      <c r="O285"/>
      <c r="P285"/>
    </row>
    <row r="286" spans="4:16">
      <c r="D286" s="158" t="s">
        <v>591</v>
      </c>
      <c r="E286" s="158" t="s">
        <v>235</v>
      </c>
      <c r="F286" s="1">
        <v>43104</v>
      </c>
      <c r="G286" s="158" t="s">
        <v>499</v>
      </c>
      <c r="H286" s="158" t="s">
        <v>282</v>
      </c>
      <c r="I286" s="158" t="s">
        <v>282</v>
      </c>
      <c r="J286" s="158" t="s">
        <v>261</v>
      </c>
      <c r="K286" s="158">
        <v>7</v>
      </c>
      <c r="L286"/>
      <c r="M286"/>
      <c r="N286"/>
      <c r="O286"/>
      <c r="P286"/>
    </row>
    <row r="287" spans="4:16">
      <c r="D287" s="158" t="s">
        <v>592</v>
      </c>
      <c r="E287" s="158" t="s">
        <v>235</v>
      </c>
      <c r="F287" s="1">
        <v>43103</v>
      </c>
      <c r="G287" s="158" t="s">
        <v>498</v>
      </c>
      <c r="H287" s="158" t="s">
        <v>282</v>
      </c>
      <c r="I287" s="158" t="s">
        <v>282</v>
      </c>
      <c r="J287" s="158" t="s">
        <v>261</v>
      </c>
      <c r="K287" s="158">
        <v>12.5</v>
      </c>
      <c r="L287"/>
      <c r="M287"/>
      <c r="N287"/>
      <c r="O287"/>
      <c r="P287"/>
    </row>
    <row r="288" spans="4:16">
      <c r="D288" s="158" t="s">
        <v>595</v>
      </c>
      <c r="E288" s="158" t="s">
        <v>235</v>
      </c>
      <c r="F288" s="1">
        <v>43102</v>
      </c>
      <c r="G288" s="158" t="s">
        <v>590</v>
      </c>
      <c r="H288" s="158" t="s">
        <v>282</v>
      </c>
      <c r="I288" s="158" t="s">
        <v>282</v>
      </c>
      <c r="J288" s="158" t="s">
        <v>261</v>
      </c>
      <c r="K288" s="158">
        <v>12.5</v>
      </c>
      <c r="L288"/>
      <c r="M288"/>
      <c r="N288"/>
      <c r="O288"/>
      <c r="P288"/>
    </row>
    <row r="289" spans="4:16">
      <c r="D289" s="158" t="s">
        <v>595</v>
      </c>
      <c r="E289" s="158" t="s">
        <v>235</v>
      </c>
      <c r="F289" s="1">
        <v>43132</v>
      </c>
      <c r="G289" s="158" t="s">
        <v>312</v>
      </c>
      <c r="H289" s="158" t="s">
        <v>313</v>
      </c>
      <c r="I289" s="158" t="s">
        <v>281</v>
      </c>
      <c r="J289" s="158" t="s">
        <v>261</v>
      </c>
      <c r="K289" s="158">
        <v>13.5</v>
      </c>
      <c r="L289"/>
      <c r="M289"/>
      <c r="N289"/>
      <c r="O289"/>
      <c r="P289"/>
    </row>
    <row r="290" spans="4:16">
      <c r="D290" s="158" t="s">
        <v>544</v>
      </c>
      <c r="E290" s="158" t="s">
        <v>235</v>
      </c>
      <c r="F290" s="1">
        <v>43104</v>
      </c>
      <c r="G290" s="158" t="s">
        <v>499</v>
      </c>
      <c r="H290" s="158" t="s">
        <v>282</v>
      </c>
      <c r="I290" s="158" t="s">
        <v>282</v>
      </c>
      <c r="J290" s="158" t="s">
        <v>261</v>
      </c>
      <c r="K290" s="158">
        <v>20.5</v>
      </c>
      <c r="L290"/>
      <c r="M290"/>
      <c r="N290"/>
      <c r="O290"/>
      <c r="P290"/>
    </row>
    <row r="291" spans="4:16">
      <c r="D291" s="158" t="s">
        <v>544</v>
      </c>
      <c r="E291" s="158" t="s">
        <v>235</v>
      </c>
      <c r="F291" s="1">
        <v>43132</v>
      </c>
      <c r="G291" s="158" t="s">
        <v>312</v>
      </c>
      <c r="H291" s="158" t="s">
        <v>313</v>
      </c>
      <c r="I291" s="158" t="s">
        <v>281</v>
      </c>
      <c r="J291" s="158" t="s">
        <v>261</v>
      </c>
      <c r="K291" s="158">
        <v>20</v>
      </c>
      <c r="L291"/>
      <c r="M291"/>
      <c r="N291"/>
      <c r="O291"/>
      <c r="P291"/>
    </row>
    <row r="292" spans="4:16">
      <c r="D292" s="158" t="s">
        <v>544</v>
      </c>
      <c r="E292" s="158" t="s">
        <v>235</v>
      </c>
      <c r="F292" s="1">
        <v>43160</v>
      </c>
      <c r="G292" s="158" t="s">
        <v>327</v>
      </c>
      <c r="H292" s="158" t="s">
        <v>260</v>
      </c>
      <c r="I292" s="158" t="s">
        <v>284</v>
      </c>
      <c r="J292" s="158" t="s">
        <v>261</v>
      </c>
      <c r="K292" s="158">
        <v>15</v>
      </c>
      <c r="L292"/>
      <c r="M292"/>
      <c r="N292"/>
      <c r="O292"/>
      <c r="P292"/>
    </row>
    <row r="293" spans="4:16">
      <c r="D293" s="158" t="s">
        <v>544</v>
      </c>
      <c r="E293" s="158" t="s">
        <v>235</v>
      </c>
      <c r="F293" s="1">
        <v>43206</v>
      </c>
      <c r="G293" s="158" t="s">
        <v>427</v>
      </c>
      <c r="H293" s="158" t="s">
        <v>347</v>
      </c>
      <c r="I293" s="158" t="s">
        <v>341</v>
      </c>
      <c r="J293" s="158" t="s">
        <v>261</v>
      </c>
      <c r="K293" s="158">
        <v>9</v>
      </c>
      <c r="L293"/>
      <c r="M293"/>
      <c r="N293"/>
      <c r="O293"/>
      <c r="P293"/>
    </row>
    <row r="294" spans="4:16">
      <c r="D294" s="158" t="s">
        <v>544</v>
      </c>
      <c r="E294" s="158" t="s">
        <v>235</v>
      </c>
      <c r="F294" s="1">
        <v>43222</v>
      </c>
      <c r="G294" s="158" t="s">
        <v>504</v>
      </c>
      <c r="H294" s="158" t="s">
        <v>505</v>
      </c>
      <c r="I294" s="158" t="s">
        <v>313</v>
      </c>
      <c r="J294" s="158" t="s">
        <v>261</v>
      </c>
      <c r="K294" s="158">
        <v>13</v>
      </c>
      <c r="L294"/>
      <c r="M294"/>
      <c r="N294"/>
      <c r="O294"/>
      <c r="P294"/>
    </row>
    <row r="295" spans="4:16">
      <c r="D295" s="158" t="s">
        <v>544</v>
      </c>
      <c r="E295" s="158" t="s">
        <v>235</v>
      </c>
      <c r="F295" s="1">
        <v>43252</v>
      </c>
      <c r="G295" s="158" t="s">
        <v>495</v>
      </c>
      <c r="H295" s="158" t="s">
        <v>356</v>
      </c>
      <c r="I295" s="158" t="s">
        <v>287</v>
      </c>
      <c r="J295" s="158" t="s">
        <v>261</v>
      </c>
      <c r="K295" s="158">
        <v>17</v>
      </c>
      <c r="L295"/>
      <c r="M295"/>
      <c r="N295"/>
      <c r="O295"/>
      <c r="P295"/>
    </row>
    <row r="296" spans="4:16">
      <c r="D296" s="158" t="s">
        <v>544</v>
      </c>
      <c r="E296" s="158" t="s">
        <v>235</v>
      </c>
      <c r="F296" s="1">
        <v>43283</v>
      </c>
      <c r="G296" s="158" t="s">
        <v>368</v>
      </c>
      <c r="H296" s="158" t="s">
        <v>369</v>
      </c>
      <c r="I296" s="158" t="s">
        <v>370</v>
      </c>
      <c r="J296" s="158" t="s">
        <v>261</v>
      </c>
      <c r="K296" s="158">
        <v>22</v>
      </c>
      <c r="L296"/>
      <c r="M296"/>
      <c r="N296"/>
      <c r="O296"/>
      <c r="P296"/>
    </row>
    <row r="297" spans="4:16">
      <c r="D297" s="158" t="s">
        <v>544</v>
      </c>
      <c r="E297" s="158" t="s">
        <v>235</v>
      </c>
      <c r="F297" s="1">
        <v>43313</v>
      </c>
      <c r="G297" s="158" t="s">
        <v>388</v>
      </c>
      <c r="H297" s="158" t="s">
        <v>387</v>
      </c>
      <c r="I297" s="158" t="s">
        <v>290</v>
      </c>
      <c r="J297" s="158" t="s">
        <v>261</v>
      </c>
      <c r="K297" s="158">
        <v>12</v>
      </c>
      <c r="L297"/>
      <c r="M297"/>
      <c r="N297"/>
      <c r="O297"/>
      <c r="P297"/>
    </row>
    <row r="298" spans="4:16">
      <c r="D298" s="158" t="s">
        <v>614</v>
      </c>
      <c r="E298" s="158" t="s">
        <v>235</v>
      </c>
      <c r="F298" s="1">
        <v>43381</v>
      </c>
      <c r="G298" s="158" t="s">
        <v>266</v>
      </c>
      <c r="H298" s="158" t="s">
        <v>267</v>
      </c>
      <c r="I298" s="158" t="s">
        <v>264</v>
      </c>
      <c r="J298" s="158" t="s">
        <v>261</v>
      </c>
      <c r="K298" s="158">
        <v>18.5</v>
      </c>
      <c r="L298"/>
      <c r="M298"/>
      <c r="N298"/>
      <c r="O298"/>
      <c r="P298"/>
    </row>
    <row r="299" spans="4:16">
      <c r="D299" s="158" t="s">
        <v>614</v>
      </c>
      <c r="E299" s="158" t="s">
        <v>235</v>
      </c>
      <c r="F299" s="1">
        <v>43406</v>
      </c>
      <c r="G299" s="158" t="s">
        <v>483</v>
      </c>
      <c r="H299" s="158" t="s">
        <v>465</v>
      </c>
      <c r="I299" s="158" t="s">
        <v>299</v>
      </c>
      <c r="J299" s="158" t="s">
        <v>261</v>
      </c>
      <c r="K299" s="158">
        <v>21</v>
      </c>
      <c r="L299"/>
      <c r="M299"/>
      <c r="N299"/>
      <c r="O299"/>
      <c r="P299"/>
    </row>
    <row r="300" spans="4:16">
      <c r="D300" s="158" t="s">
        <v>545</v>
      </c>
      <c r="E300" s="158" t="s">
        <v>235</v>
      </c>
      <c r="F300" s="1">
        <v>43103</v>
      </c>
      <c r="G300" s="158" t="s">
        <v>498</v>
      </c>
      <c r="H300" s="158" t="s">
        <v>282</v>
      </c>
      <c r="I300" s="158" t="s">
        <v>282</v>
      </c>
      <c r="J300" s="158" t="s">
        <v>261</v>
      </c>
      <c r="K300" s="158">
        <v>21</v>
      </c>
      <c r="L300"/>
      <c r="M300"/>
      <c r="N300"/>
      <c r="O300"/>
      <c r="P300"/>
    </row>
    <row r="301" spans="4:16">
      <c r="D301" s="158" t="s">
        <v>545</v>
      </c>
      <c r="E301" s="158" t="s">
        <v>235</v>
      </c>
      <c r="F301" s="1">
        <v>43132</v>
      </c>
      <c r="G301" s="158" t="s">
        <v>312</v>
      </c>
      <c r="H301" s="158" t="s">
        <v>313</v>
      </c>
      <c r="I301" s="158" t="s">
        <v>281</v>
      </c>
      <c r="J301" s="158" t="s">
        <v>261</v>
      </c>
      <c r="K301" s="158">
        <v>19</v>
      </c>
      <c r="L301"/>
      <c r="M301"/>
      <c r="N301"/>
      <c r="O301"/>
      <c r="P301"/>
    </row>
    <row r="302" spans="4:16">
      <c r="D302" s="158" t="s">
        <v>545</v>
      </c>
      <c r="E302" s="158" t="s">
        <v>235</v>
      </c>
      <c r="F302" s="1">
        <v>43160</v>
      </c>
      <c r="G302" s="158" t="s">
        <v>327</v>
      </c>
      <c r="H302" s="158" t="s">
        <v>260</v>
      </c>
      <c r="I302" s="158" t="s">
        <v>284</v>
      </c>
      <c r="J302" s="158" t="s">
        <v>261</v>
      </c>
      <c r="K302" s="158">
        <v>22</v>
      </c>
      <c r="L302"/>
      <c r="M302"/>
      <c r="N302"/>
      <c r="O302"/>
      <c r="P302"/>
    </row>
    <row r="303" spans="4:16">
      <c r="D303" s="158" t="s">
        <v>545</v>
      </c>
      <c r="E303" s="158" t="s">
        <v>235</v>
      </c>
      <c r="F303" s="1">
        <v>43193</v>
      </c>
      <c r="G303" s="158" t="s">
        <v>383</v>
      </c>
      <c r="H303" s="158" t="s">
        <v>340</v>
      </c>
      <c r="I303" s="158" t="s">
        <v>341</v>
      </c>
      <c r="J303" s="158" t="s">
        <v>261</v>
      </c>
      <c r="K303" s="158">
        <v>20</v>
      </c>
      <c r="L303"/>
      <c r="M303"/>
      <c r="N303"/>
      <c r="O303"/>
      <c r="P303"/>
    </row>
    <row r="304" spans="4:16">
      <c r="D304" s="158" t="s">
        <v>545</v>
      </c>
      <c r="E304" s="158" t="s">
        <v>235</v>
      </c>
      <c r="F304" s="1">
        <v>43222</v>
      </c>
      <c r="G304" s="158" t="s">
        <v>504</v>
      </c>
      <c r="H304" s="158" t="s">
        <v>505</v>
      </c>
      <c r="I304" s="158" t="s">
        <v>313</v>
      </c>
      <c r="J304" s="158" t="s">
        <v>261</v>
      </c>
      <c r="K304" s="158">
        <v>16</v>
      </c>
      <c r="L304"/>
      <c r="M304"/>
      <c r="N304"/>
      <c r="O304"/>
      <c r="P304"/>
    </row>
    <row r="305" spans="4:16">
      <c r="D305" s="158" t="s">
        <v>545</v>
      </c>
      <c r="E305" s="158" t="s">
        <v>235</v>
      </c>
      <c r="F305" s="1">
        <v>43252</v>
      </c>
      <c r="G305" s="158" t="s">
        <v>495</v>
      </c>
      <c r="H305" s="158" t="s">
        <v>356</v>
      </c>
      <c r="I305" s="158" t="s">
        <v>287</v>
      </c>
      <c r="J305" s="158" t="s">
        <v>261</v>
      </c>
      <c r="K305" s="158">
        <v>1</v>
      </c>
      <c r="L305"/>
      <c r="M305"/>
      <c r="N305"/>
      <c r="O305"/>
      <c r="P305"/>
    </row>
    <row r="306" spans="4:16">
      <c r="D306" s="158" t="s">
        <v>558</v>
      </c>
      <c r="E306" s="158" t="s">
        <v>235</v>
      </c>
      <c r="F306" s="1">
        <v>43104</v>
      </c>
      <c r="G306" s="158" t="s">
        <v>499</v>
      </c>
      <c r="H306" s="158" t="s">
        <v>282</v>
      </c>
      <c r="I306" s="158" t="s">
        <v>282</v>
      </c>
      <c r="J306" s="158" t="s">
        <v>261</v>
      </c>
      <c r="K306" s="158">
        <v>13.25</v>
      </c>
      <c r="L306"/>
      <c r="M306"/>
      <c r="N306"/>
      <c r="O306"/>
      <c r="P306"/>
    </row>
    <row r="307" spans="4:16">
      <c r="D307" s="158" t="s">
        <v>558</v>
      </c>
      <c r="E307" s="158" t="s">
        <v>235</v>
      </c>
      <c r="F307" s="1">
        <v>43136</v>
      </c>
      <c r="G307" s="158" t="s">
        <v>315</v>
      </c>
      <c r="H307" s="158" t="s">
        <v>287</v>
      </c>
      <c r="I307" s="158" t="s">
        <v>281</v>
      </c>
      <c r="J307" s="158" t="s">
        <v>261</v>
      </c>
      <c r="K307" s="158">
        <v>13.25</v>
      </c>
      <c r="L307"/>
      <c r="M307"/>
      <c r="N307"/>
      <c r="O307"/>
      <c r="P307"/>
    </row>
    <row r="308" spans="4:16">
      <c r="D308" s="158" t="s">
        <v>558</v>
      </c>
      <c r="E308" s="158" t="s">
        <v>235</v>
      </c>
      <c r="F308" s="1">
        <v>43178</v>
      </c>
      <c r="G308" s="158" t="s">
        <v>334</v>
      </c>
      <c r="H308" s="158" t="s">
        <v>335</v>
      </c>
      <c r="I308" s="158" t="s">
        <v>284</v>
      </c>
      <c r="J308" s="158" t="s">
        <v>261</v>
      </c>
      <c r="K308" s="158">
        <v>16.5</v>
      </c>
      <c r="L308"/>
      <c r="M308"/>
      <c r="N308"/>
      <c r="O308"/>
      <c r="P308"/>
    </row>
    <row r="309" spans="4:16">
      <c r="D309" s="158" t="s">
        <v>558</v>
      </c>
      <c r="E309" s="158" t="s">
        <v>235</v>
      </c>
      <c r="F309" s="1">
        <v>43193</v>
      </c>
      <c r="G309" s="158" t="s">
        <v>383</v>
      </c>
      <c r="H309" s="158" t="s">
        <v>340</v>
      </c>
      <c r="I309" s="158" t="s">
        <v>341</v>
      </c>
      <c r="J309" s="158" t="s">
        <v>261</v>
      </c>
      <c r="K309" s="158">
        <v>11</v>
      </c>
      <c r="L309"/>
      <c r="M309"/>
      <c r="N309"/>
      <c r="O309"/>
      <c r="P309"/>
    </row>
    <row r="310" spans="4:16">
      <c r="D310" s="158" t="s">
        <v>558</v>
      </c>
      <c r="E310" s="158" t="s">
        <v>235</v>
      </c>
      <c r="F310" s="1">
        <v>43249</v>
      </c>
      <c r="G310" s="158" t="s">
        <v>507</v>
      </c>
      <c r="H310" s="158" t="s">
        <v>356</v>
      </c>
      <c r="I310" s="158" t="s">
        <v>313</v>
      </c>
      <c r="J310" s="158" t="s">
        <v>261</v>
      </c>
      <c r="K310" s="158">
        <v>12.5</v>
      </c>
      <c r="L310"/>
      <c r="M310"/>
      <c r="N310"/>
      <c r="O310"/>
      <c r="P310"/>
    </row>
    <row r="311" spans="4:16">
      <c r="D311" s="158" t="s">
        <v>558</v>
      </c>
      <c r="E311" s="158" t="s">
        <v>235</v>
      </c>
      <c r="F311" s="1">
        <v>43255</v>
      </c>
      <c r="G311" s="158" t="s">
        <v>454</v>
      </c>
      <c r="H311" s="158" t="s">
        <v>359</v>
      </c>
      <c r="I311" s="158" t="s">
        <v>287</v>
      </c>
      <c r="J311" s="158" t="s">
        <v>261</v>
      </c>
      <c r="K311" s="158">
        <v>15.5</v>
      </c>
      <c r="L311"/>
      <c r="M311"/>
      <c r="N311"/>
      <c r="O311"/>
      <c r="P311"/>
    </row>
    <row r="312" spans="4:16">
      <c r="D312" s="158" t="s">
        <v>558</v>
      </c>
      <c r="E312" s="158" t="s">
        <v>235</v>
      </c>
      <c r="F312" s="1">
        <v>43286</v>
      </c>
      <c r="G312" s="158" t="s">
        <v>530</v>
      </c>
      <c r="H312" s="158" t="s">
        <v>369</v>
      </c>
      <c r="I312" s="158" t="s">
        <v>370</v>
      </c>
      <c r="J312" s="158" t="s">
        <v>261</v>
      </c>
      <c r="K312" s="158">
        <v>17.75</v>
      </c>
      <c r="L312"/>
      <c r="M312"/>
      <c r="N312"/>
      <c r="O312"/>
      <c r="P312"/>
    </row>
    <row r="313" spans="4:16">
      <c r="D313" s="158" t="s">
        <v>558</v>
      </c>
      <c r="E313" s="158" t="s">
        <v>235</v>
      </c>
      <c r="F313" s="1">
        <v>43313</v>
      </c>
      <c r="G313" s="158" t="s">
        <v>388</v>
      </c>
      <c r="H313" s="158" t="s">
        <v>387</v>
      </c>
      <c r="I313" s="158" t="s">
        <v>290</v>
      </c>
      <c r="J313" s="158" t="s">
        <v>261</v>
      </c>
      <c r="K313" s="158">
        <v>6</v>
      </c>
      <c r="L313"/>
      <c r="M313"/>
      <c r="N313"/>
      <c r="O313"/>
      <c r="P313"/>
    </row>
    <row r="314" spans="4:16">
      <c r="D314" s="158" t="s">
        <v>558</v>
      </c>
      <c r="E314" s="158" t="s">
        <v>235</v>
      </c>
      <c r="F314" s="1">
        <v>43346</v>
      </c>
      <c r="G314" s="158" t="s">
        <v>389</v>
      </c>
      <c r="H314" s="158" t="s">
        <v>390</v>
      </c>
      <c r="I314" s="158" t="s">
        <v>260</v>
      </c>
      <c r="J314" s="158" t="s">
        <v>261</v>
      </c>
      <c r="K314" s="158">
        <v>16</v>
      </c>
      <c r="L314"/>
      <c r="M314"/>
      <c r="N314"/>
      <c r="O314"/>
      <c r="P314"/>
    </row>
    <row r="315" spans="4:16">
      <c r="D315" s="158" t="s">
        <v>558</v>
      </c>
      <c r="E315" s="158" t="s">
        <v>235</v>
      </c>
      <c r="F315" s="1">
        <v>43374</v>
      </c>
      <c r="G315" s="158" t="s">
        <v>392</v>
      </c>
      <c r="H315" s="158" t="s">
        <v>263</v>
      </c>
      <c r="I315" s="158" t="s">
        <v>264</v>
      </c>
      <c r="J315" s="158" t="s">
        <v>261</v>
      </c>
      <c r="K315" s="158">
        <v>18</v>
      </c>
      <c r="L315"/>
      <c r="M315"/>
      <c r="N315"/>
      <c r="O315"/>
      <c r="P315"/>
    </row>
    <row r="316" spans="4:16">
      <c r="D316" s="158" t="s">
        <v>558</v>
      </c>
      <c r="E316" s="158" t="s">
        <v>235</v>
      </c>
      <c r="F316" s="1">
        <v>43423</v>
      </c>
      <c r="G316" s="158" t="s">
        <v>415</v>
      </c>
      <c r="H316" s="158" t="s">
        <v>400</v>
      </c>
      <c r="I316" s="158" t="s">
        <v>299</v>
      </c>
      <c r="J316" s="158" t="s">
        <v>261</v>
      </c>
      <c r="K316" s="158">
        <v>12</v>
      </c>
      <c r="L316"/>
      <c r="M316"/>
      <c r="N316"/>
      <c r="O316"/>
      <c r="P316"/>
    </row>
    <row r="317" spans="4:16">
      <c r="D317" s="158" t="s">
        <v>618</v>
      </c>
      <c r="E317" s="158" t="s">
        <v>235</v>
      </c>
      <c r="F317" s="1">
        <v>43395</v>
      </c>
      <c r="G317" s="158" t="s">
        <v>272</v>
      </c>
      <c r="H317" s="158" t="s">
        <v>273</v>
      </c>
      <c r="I317" s="158" t="s">
        <v>264</v>
      </c>
      <c r="J317" s="158" t="s">
        <v>261</v>
      </c>
      <c r="K317" s="158">
        <v>8</v>
      </c>
      <c r="L317"/>
      <c r="M317"/>
      <c r="N317"/>
      <c r="O317"/>
      <c r="P317"/>
    </row>
    <row r="318" spans="4:16">
      <c r="D318" s="158" t="s">
        <v>618</v>
      </c>
      <c r="E318" s="158" t="s">
        <v>235</v>
      </c>
      <c r="F318" s="1">
        <v>43406</v>
      </c>
      <c r="G318" s="158" t="s">
        <v>483</v>
      </c>
      <c r="H318" s="158" t="s">
        <v>465</v>
      </c>
      <c r="I318" s="158" t="s">
        <v>299</v>
      </c>
      <c r="J318" s="158" t="s">
        <v>261</v>
      </c>
      <c r="K318" s="158">
        <v>18</v>
      </c>
      <c r="L318"/>
      <c r="M318"/>
      <c r="N318"/>
      <c r="O318"/>
      <c r="P318"/>
    </row>
    <row r="319" spans="4:16">
      <c r="D319" s="158" t="s">
        <v>618</v>
      </c>
      <c r="E319" s="158" t="s">
        <v>236</v>
      </c>
      <c r="F319" s="1">
        <v>43409</v>
      </c>
      <c r="G319" s="158" t="s">
        <v>411</v>
      </c>
      <c r="H319" s="158" t="s">
        <v>298</v>
      </c>
      <c r="I319" s="158" t="s">
        <v>299</v>
      </c>
      <c r="J319" s="158" t="s">
        <v>261</v>
      </c>
      <c r="K319" s="158">
        <v>3</v>
      </c>
      <c r="L319"/>
      <c r="M319"/>
      <c r="N319"/>
      <c r="O319"/>
      <c r="P319"/>
    </row>
    <row r="320" spans="4:16">
      <c r="D320" s="158" t="s">
        <v>618</v>
      </c>
      <c r="E320" s="158" t="s">
        <v>235</v>
      </c>
      <c r="F320" s="1">
        <v>43440</v>
      </c>
      <c r="G320" s="158" t="s">
        <v>540</v>
      </c>
      <c r="H320" s="158" t="s">
        <v>418</v>
      </c>
      <c r="I320" s="158" t="s">
        <v>335</v>
      </c>
      <c r="J320" s="158" t="s">
        <v>261</v>
      </c>
      <c r="K320" s="158">
        <v>2</v>
      </c>
      <c r="L320"/>
      <c r="M320"/>
      <c r="N320"/>
      <c r="O320"/>
      <c r="P320"/>
    </row>
    <row r="321" spans="4:16">
      <c r="D321" s="158" t="s">
        <v>618</v>
      </c>
      <c r="E321" s="158" t="s">
        <v>236</v>
      </c>
      <c r="F321" s="1">
        <v>43437</v>
      </c>
      <c r="G321" s="158" t="s">
        <v>417</v>
      </c>
      <c r="H321" s="158" t="s">
        <v>418</v>
      </c>
      <c r="I321" s="158" t="s">
        <v>335</v>
      </c>
      <c r="J321" s="158" t="s">
        <v>261</v>
      </c>
      <c r="K321" s="158">
        <v>3</v>
      </c>
      <c r="L321"/>
      <c r="M321"/>
      <c r="N321"/>
      <c r="O321"/>
      <c r="P321"/>
    </row>
    <row r="322" spans="4:16">
      <c r="D322" s="158" t="s">
        <v>407</v>
      </c>
      <c r="E322" s="158" t="s">
        <v>238</v>
      </c>
      <c r="F322" s="1">
        <v>43122</v>
      </c>
      <c r="G322" s="158" t="s">
        <v>450</v>
      </c>
      <c r="H322" s="158" t="s">
        <v>341</v>
      </c>
      <c r="I322" s="158" t="s">
        <v>282</v>
      </c>
      <c r="J322" s="158" t="s">
        <v>261</v>
      </c>
      <c r="K322" s="158">
        <v>19.2</v>
      </c>
      <c r="L322"/>
      <c r="M322"/>
      <c r="N322"/>
      <c r="O322"/>
      <c r="P322"/>
    </row>
    <row r="323" spans="4:16">
      <c r="D323" s="158" t="s">
        <v>407</v>
      </c>
      <c r="E323" s="158" t="s">
        <v>238</v>
      </c>
      <c r="F323" s="1">
        <v>43143</v>
      </c>
      <c r="G323" s="158" t="s">
        <v>430</v>
      </c>
      <c r="H323" s="158" t="s">
        <v>370</v>
      </c>
      <c r="I323" s="158" t="s">
        <v>281</v>
      </c>
      <c r="J323" s="158" t="s">
        <v>261</v>
      </c>
      <c r="K323" s="158">
        <v>15.8</v>
      </c>
      <c r="L323"/>
      <c r="M323"/>
      <c r="N323"/>
      <c r="O323"/>
      <c r="P323"/>
    </row>
    <row r="324" spans="4:16">
      <c r="D324" s="158" t="s">
        <v>407</v>
      </c>
      <c r="E324" s="158" t="s">
        <v>238</v>
      </c>
      <c r="F324" s="1">
        <v>43178</v>
      </c>
      <c r="G324" s="158" t="s">
        <v>334</v>
      </c>
      <c r="H324" s="158" t="s">
        <v>335</v>
      </c>
      <c r="I324" s="158" t="s">
        <v>284</v>
      </c>
      <c r="J324" s="158" t="s">
        <v>261</v>
      </c>
      <c r="K324" s="158">
        <v>19.600000000000001</v>
      </c>
      <c r="L324"/>
      <c r="M324"/>
      <c r="N324"/>
      <c r="O324"/>
      <c r="P324"/>
    </row>
    <row r="325" spans="4:16">
      <c r="D325" s="158" t="s">
        <v>407</v>
      </c>
      <c r="E325" s="158" t="s">
        <v>237</v>
      </c>
      <c r="F325" s="1">
        <v>43165</v>
      </c>
      <c r="G325" s="158" t="s">
        <v>330</v>
      </c>
      <c r="H325" s="158" t="s">
        <v>264</v>
      </c>
      <c r="I325" s="158" t="s">
        <v>284</v>
      </c>
      <c r="J325" s="158" t="s">
        <v>261</v>
      </c>
      <c r="K325" s="158">
        <v>0.6</v>
      </c>
      <c r="L325"/>
      <c r="M325"/>
      <c r="N325"/>
      <c r="O325"/>
      <c r="P325"/>
    </row>
    <row r="326" spans="4:16">
      <c r="D326" s="158" t="s">
        <v>407</v>
      </c>
      <c r="E326" s="158" t="s">
        <v>238</v>
      </c>
      <c r="F326" s="1">
        <v>43201</v>
      </c>
      <c r="G326" s="158" t="s">
        <v>408</v>
      </c>
      <c r="H326" s="158" t="s">
        <v>344</v>
      </c>
      <c r="I326" s="158" t="s">
        <v>341</v>
      </c>
      <c r="J326" s="158" t="s">
        <v>261</v>
      </c>
      <c r="K326" s="158">
        <v>18.399999999999999</v>
      </c>
      <c r="L326"/>
      <c r="M326"/>
      <c r="N326"/>
      <c r="O326"/>
      <c r="P326"/>
    </row>
    <row r="327" spans="4:16">
      <c r="D327" s="158" t="s">
        <v>407</v>
      </c>
      <c r="E327" s="158" t="s">
        <v>238</v>
      </c>
      <c r="F327" s="1">
        <v>43234</v>
      </c>
      <c r="G327" s="158" t="s">
        <v>351</v>
      </c>
      <c r="H327" s="158" t="s">
        <v>352</v>
      </c>
      <c r="I327" s="158" t="s">
        <v>313</v>
      </c>
      <c r="J327" s="158" t="s">
        <v>261</v>
      </c>
      <c r="K327" s="158">
        <v>11</v>
      </c>
      <c r="L327"/>
      <c r="M327"/>
      <c r="N327"/>
      <c r="O327"/>
      <c r="P327"/>
    </row>
    <row r="328" spans="4:16">
      <c r="D328" s="158" t="s">
        <v>407</v>
      </c>
      <c r="E328" s="158" t="s">
        <v>238</v>
      </c>
      <c r="F328" s="1">
        <v>43252</v>
      </c>
      <c r="G328" s="158" t="s">
        <v>495</v>
      </c>
      <c r="H328" s="158" t="s">
        <v>356</v>
      </c>
      <c r="I328" s="158" t="s">
        <v>287</v>
      </c>
      <c r="J328" s="158" t="s">
        <v>261</v>
      </c>
      <c r="K328" s="158">
        <v>21</v>
      </c>
      <c r="L328"/>
      <c r="M328"/>
      <c r="N328"/>
      <c r="O328"/>
      <c r="P328"/>
    </row>
    <row r="329" spans="4:16">
      <c r="D329" s="158" t="s">
        <v>407</v>
      </c>
      <c r="E329" s="158" t="s">
        <v>238</v>
      </c>
      <c r="F329" s="1">
        <v>43292</v>
      </c>
      <c r="G329" s="158" t="s">
        <v>459</v>
      </c>
      <c r="H329" s="158" t="s">
        <v>460</v>
      </c>
      <c r="I329" s="158" t="s">
        <v>370</v>
      </c>
      <c r="J329" s="158" t="s">
        <v>261</v>
      </c>
      <c r="K329" s="158">
        <v>21</v>
      </c>
      <c r="L329"/>
      <c r="M329"/>
      <c r="N329"/>
      <c r="O329"/>
      <c r="P329"/>
    </row>
    <row r="330" spans="4:16">
      <c r="D330" s="158" t="s">
        <v>407</v>
      </c>
      <c r="E330" s="158" t="s">
        <v>238</v>
      </c>
      <c r="F330" s="1">
        <v>43318</v>
      </c>
      <c r="G330" s="158" t="s">
        <v>469</v>
      </c>
      <c r="H330" s="158" t="s">
        <v>289</v>
      </c>
      <c r="I330" s="158" t="s">
        <v>290</v>
      </c>
      <c r="J330" s="158" t="s">
        <v>261</v>
      </c>
      <c r="K330" s="158">
        <v>12</v>
      </c>
      <c r="L330"/>
      <c r="M330"/>
      <c r="N330"/>
      <c r="O330"/>
      <c r="P330"/>
    </row>
    <row r="331" spans="4:16">
      <c r="D331" s="158" t="s">
        <v>407</v>
      </c>
      <c r="E331" s="158" t="s">
        <v>238</v>
      </c>
      <c r="F331" s="1">
        <v>43346</v>
      </c>
      <c r="G331" s="158" t="s">
        <v>389</v>
      </c>
      <c r="H331" s="158" t="s">
        <v>390</v>
      </c>
      <c r="I331" s="158" t="s">
        <v>260</v>
      </c>
      <c r="J331" s="158" t="s">
        <v>261</v>
      </c>
      <c r="K331" s="158">
        <v>8</v>
      </c>
      <c r="L331"/>
      <c r="M331"/>
      <c r="N331"/>
      <c r="O331"/>
      <c r="P331"/>
    </row>
    <row r="332" spans="4:16">
      <c r="D332" s="158" t="s">
        <v>407</v>
      </c>
      <c r="E332" s="158" t="s">
        <v>235</v>
      </c>
      <c r="F332" s="1">
        <v>43357</v>
      </c>
      <c r="G332" s="158" t="s">
        <v>391</v>
      </c>
      <c r="H332" s="158" t="s">
        <v>378</v>
      </c>
      <c r="I332" s="158" t="s">
        <v>260</v>
      </c>
      <c r="J332" s="158" t="s">
        <v>261</v>
      </c>
      <c r="K332" s="158">
        <v>11</v>
      </c>
      <c r="L332"/>
      <c r="M332"/>
      <c r="N332"/>
      <c r="O332"/>
      <c r="P332"/>
    </row>
    <row r="333" spans="4:16">
      <c r="D333" s="158" t="s">
        <v>407</v>
      </c>
      <c r="E333" s="158" t="s">
        <v>235</v>
      </c>
      <c r="F333" s="1">
        <v>43388</v>
      </c>
      <c r="G333" s="158" t="s">
        <v>395</v>
      </c>
      <c r="H333" s="158" t="s">
        <v>396</v>
      </c>
      <c r="I333" s="158" t="s">
        <v>264</v>
      </c>
      <c r="J333" s="158" t="s">
        <v>261</v>
      </c>
      <c r="K333" s="158">
        <v>22</v>
      </c>
      <c r="L333"/>
      <c r="M333"/>
      <c r="N333"/>
      <c r="O333"/>
      <c r="P333"/>
    </row>
    <row r="334" spans="4:16">
      <c r="D334" s="158" t="s">
        <v>407</v>
      </c>
      <c r="E334" s="158" t="s">
        <v>238</v>
      </c>
      <c r="F334" s="1">
        <v>43410</v>
      </c>
      <c r="G334" s="158" t="s">
        <v>297</v>
      </c>
      <c r="H334" s="158" t="s">
        <v>298</v>
      </c>
      <c r="I334" s="158" t="s">
        <v>299</v>
      </c>
      <c r="J334" s="158" t="s">
        <v>261</v>
      </c>
      <c r="K334" s="158">
        <v>0.3</v>
      </c>
      <c r="L334"/>
      <c r="M334"/>
      <c r="N334"/>
      <c r="O334"/>
      <c r="P334"/>
    </row>
    <row r="335" spans="4:16">
      <c r="D335" s="158" t="s">
        <v>407</v>
      </c>
      <c r="E335" s="158" t="s">
        <v>235</v>
      </c>
      <c r="F335" s="1">
        <v>43411</v>
      </c>
      <c r="G335" s="158" t="s">
        <v>399</v>
      </c>
      <c r="H335" s="158" t="s">
        <v>298</v>
      </c>
      <c r="I335" s="158" t="s">
        <v>299</v>
      </c>
      <c r="J335" s="158" t="s">
        <v>261</v>
      </c>
      <c r="K335" s="158">
        <v>20.7</v>
      </c>
      <c r="L335"/>
      <c r="M335"/>
      <c r="N335"/>
      <c r="O335"/>
      <c r="P335"/>
    </row>
    <row r="336" spans="4:16">
      <c r="D336" s="158" t="s">
        <v>407</v>
      </c>
      <c r="E336" s="158" t="s">
        <v>235</v>
      </c>
      <c r="F336" s="1">
        <v>43440</v>
      </c>
      <c r="G336" s="158" t="s">
        <v>540</v>
      </c>
      <c r="H336" s="158" t="s">
        <v>418</v>
      </c>
      <c r="I336" s="158" t="s">
        <v>335</v>
      </c>
      <c r="J336" s="158" t="s">
        <v>261</v>
      </c>
      <c r="K336" s="158">
        <v>4</v>
      </c>
      <c r="L336"/>
      <c r="M336"/>
      <c r="N336"/>
      <c r="O336"/>
      <c r="P336"/>
    </row>
    <row r="337" spans="4:16">
      <c r="D337" s="158" t="s">
        <v>475</v>
      </c>
      <c r="E337" s="158" t="s">
        <v>238</v>
      </c>
      <c r="F337" s="1">
        <v>43108</v>
      </c>
      <c r="G337" s="158" t="s">
        <v>448</v>
      </c>
      <c r="H337" s="158" t="s">
        <v>281</v>
      </c>
      <c r="I337" s="158" t="s">
        <v>282</v>
      </c>
      <c r="J337" s="158" t="s">
        <v>261</v>
      </c>
      <c r="K337" s="158">
        <v>18.8</v>
      </c>
      <c r="L337"/>
      <c r="M337"/>
      <c r="N337"/>
      <c r="O337"/>
      <c r="P337"/>
    </row>
    <row r="338" spans="4:16">
      <c r="D338" s="158" t="s">
        <v>475</v>
      </c>
      <c r="E338" s="158" t="s">
        <v>237</v>
      </c>
      <c r="F338" s="1">
        <v>43109</v>
      </c>
      <c r="G338" s="158" t="s">
        <v>476</v>
      </c>
      <c r="H338" s="158" t="s">
        <v>281</v>
      </c>
      <c r="I338" s="158" t="s">
        <v>282</v>
      </c>
      <c r="J338" s="158" t="s">
        <v>261</v>
      </c>
      <c r="K338" s="158">
        <v>0.2</v>
      </c>
      <c r="L338"/>
      <c r="M338"/>
      <c r="N338"/>
      <c r="O338"/>
      <c r="P338"/>
    </row>
    <row r="339" spans="4:16">
      <c r="D339" s="158" t="s">
        <v>475</v>
      </c>
      <c r="E339" s="158" t="s">
        <v>238</v>
      </c>
      <c r="F339" s="1">
        <v>43136</v>
      </c>
      <c r="G339" s="158" t="s">
        <v>315</v>
      </c>
      <c r="H339" s="158" t="s">
        <v>287</v>
      </c>
      <c r="I339" s="158" t="s">
        <v>281</v>
      </c>
      <c r="J339" s="158" t="s">
        <v>261</v>
      </c>
      <c r="K339" s="158">
        <v>17</v>
      </c>
      <c r="L339"/>
      <c r="M339"/>
      <c r="N339"/>
      <c r="O339"/>
      <c r="P339"/>
    </row>
    <row r="340" spans="4:16">
      <c r="D340" s="158" t="s">
        <v>475</v>
      </c>
      <c r="E340" s="158" t="s">
        <v>237</v>
      </c>
      <c r="F340" s="1">
        <v>43132</v>
      </c>
      <c r="G340" s="158" t="s">
        <v>312</v>
      </c>
      <c r="H340" s="158" t="s">
        <v>313</v>
      </c>
      <c r="I340" s="158" t="s">
        <v>281</v>
      </c>
      <c r="J340" s="158" t="s">
        <v>261</v>
      </c>
      <c r="K340" s="158">
        <v>1</v>
      </c>
      <c r="L340"/>
      <c r="M340"/>
      <c r="N340"/>
      <c r="O340"/>
      <c r="P340"/>
    </row>
    <row r="341" spans="4:16">
      <c r="D341" s="158" t="s">
        <v>475</v>
      </c>
      <c r="E341" s="158" t="s">
        <v>238</v>
      </c>
      <c r="F341" s="1">
        <v>43164</v>
      </c>
      <c r="G341" s="158" t="s">
        <v>329</v>
      </c>
      <c r="H341" s="158" t="s">
        <v>264</v>
      </c>
      <c r="I341" s="158" t="s">
        <v>284</v>
      </c>
      <c r="J341" s="158" t="s">
        <v>261</v>
      </c>
      <c r="K341" s="158">
        <v>16.5</v>
      </c>
      <c r="L341"/>
      <c r="M341"/>
      <c r="N341"/>
      <c r="O341"/>
      <c r="P341"/>
    </row>
    <row r="342" spans="4:16">
      <c r="D342" s="158" t="s">
        <v>475</v>
      </c>
      <c r="E342" s="158" t="s">
        <v>237</v>
      </c>
      <c r="F342" s="1">
        <v>43164</v>
      </c>
      <c r="G342" s="158" t="s">
        <v>329</v>
      </c>
      <c r="H342" s="158" t="s">
        <v>264</v>
      </c>
      <c r="I342" s="158" t="s">
        <v>284</v>
      </c>
      <c r="J342" s="158" t="s">
        <v>261</v>
      </c>
      <c r="K342" s="158">
        <v>3</v>
      </c>
      <c r="L342"/>
      <c r="M342"/>
      <c r="N342"/>
      <c r="O342"/>
      <c r="P342"/>
    </row>
    <row r="343" spans="4:16">
      <c r="D343" s="158" t="s">
        <v>475</v>
      </c>
      <c r="E343" s="158" t="s">
        <v>238</v>
      </c>
      <c r="F343" s="1">
        <v>43193</v>
      </c>
      <c r="G343" s="158" t="s">
        <v>383</v>
      </c>
      <c r="H343" s="158" t="s">
        <v>340</v>
      </c>
      <c r="I343" s="158" t="s">
        <v>341</v>
      </c>
      <c r="J343" s="158" t="s">
        <v>261</v>
      </c>
      <c r="K343" s="158">
        <v>18.2</v>
      </c>
      <c r="L343"/>
      <c r="M343"/>
      <c r="N343"/>
      <c r="O343"/>
      <c r="P343"/>
    </row>
    <row r="344" spans="4:16">
      <c r="D344" s="158" t="s">
        <v>475</v>
      </c>
      <c r="E344" s="158" t="s">
        <v>237</v>
      </c>
      <c r="F344" s="1">
        <v>43196</v>
      </c>
      <c r="G344" s="158" t="s">
        <v>342</v>
      </c>
      <c r="H344" s="158" t="s">
        <v>340</v>
      </c>
      <c r="I344" s="158" t="s">
        <v>341</v>
      </c>
      <c r="J344" s="158" t="s">
        <v>261</v>
      </c>
      <c r="K344" s="158">
        <v>1.8</v>
      </c>
      <c r="L344"/>
      <c r="M344"/>
      <c r="N344"/>
      <c r="O344"/>
      <c r="P344"/>
    </row>
    <row r="345" spans="4:16">
      <c r="D345" s="158" t="s">
        <v>475</v>
      </c>
      <c r="E345" s="158" t="s">
        <v>238</v>
      </c>
      <c r="F345" s="1">
        <v>43248</v>
      </c>
      <c r="G345" s="158" t="s">
        <v>355</v>
      </c>
      <c r="H345" s="158" t="s">
        <v>356</v>
      </c>
      <c r="I345" s="158" t="s">
        <v>313</v>
      </c>
      <c r="J345" s="158" t="s">
        <v>261</v>
      </c>
      <c r="K345" s="158">
        <v>15.8</v>
      </c>
      <c r="L345"/>
      <c r="M345"/>
      <c r="N345"/>
      <c r="O345"/>
      <c r="P345"/>
    </row>
    <row r="346" spans="4:16">
      <c r="D346" s="158" t="s">
        <v>475</v>
      </c>
      <c r="E346" s="158" t="s">
        <v>237</v>
      </c>
      <c r="F346" s="1">
        <v>43231</v>
      </c>
      <c r="G346" s="158" t="s">
        <v>349</v>
      </c>
      <c r="H346" s="158" t="s">
        <v>350</v>
      </c>
      <c r="I346" s="158" t="s">
        <v>313</v>
      </c>
      <c r="J346" s="158" t="s">
        <v>261</v>
      </c>
      <c r="K346" s="158">
        <v>2.7</v>
      </c>
      <c r="L346"/>
      <c r="M346"/>
      <c r="N346"/>
      <c r="O346"/>
      <c r="P346"/>
    </row>
    <row r="347" spans="4:16">
      <c r="D347" s="158" t="s">
        <v>475</v>
      </c>
      <c r="E347" s="158" t="s">
        <v>238</v>
      </c>
      <c r="F347" s="1">
        <v>43255</v>
      </c>
      <c r="G347" s="158" t="s">
        <v>454</v>
      </c>
      <c r="H347" s="158" t="s">
        <v>359</v>
      </c>
      <c r="I347" s="158" t="s">
        <v>287</v>
      </c>
      <c r="J347" s="158" t="s">
        <v>261</v>
      </c>
      <c r="K347" s="158">
        <v>12.1</v>
      </c>
      <c r="L347"/>
      <c r="M347"/>
      <c r="N347"/>
      <c r="O347"/>
      <c r="P347"/>
    </row>
    <row r="348" spans="4:16">
      <c r="D348" s="158" t="s">
        <v>475</v>
      </c>
      <c r="E348" s="158" t="s">
        <v>237</v>
      </c>
      <c r="F348" s="1">
        <v>43255</v>
      </c>
      <c r="G348" s="158" t="s">
        <v>454</v>
      </c>
      <c r="H348" s="158" t="s">
        <v>359</v>
      </c>
      <c r="I348" s="158" t="s">
        <v>287</v>
      </c>
      <c r="J348" s="158" t="s">
        <v>261</v>
      </c>
      <c r="K348" s="158">
        <v>0.4</v>
      </c>
      <c r="L348"/>
      <c r="M348"/>
      <c r="N348"/>
      <c r="O348"/>
      <c r="P348"/>
    </row>
    <row r="349" spans="4:16">
      <c r="D349" s="158" t="s">
        <v>557</v>
      </c>
      <c r="E349" s="158" t="s">
        <v>235</v>
      </c>
      <c r="F349" s="1">
        <v>43108</v>
      </c>
      <c r="G349" s="158" t="s">
        <v>448</v>
      </c>
      <c r="H349" s="158" t="s">
        <v>281</v>
      </c>
      <c r="I349" s="158" t="s">
        <v>282</v>
      </c>
      <c r="J349" s="158" t="s">
        <v>261</v>
      </c>
      <c r="K349" s="158">
        <v>13</v>
      </c>
      <c r="L349"/>
      <c r="M349"/>
      <c r="N349"/>
      <c r="O349"/>
      <c r="P349"/>
    </row>
    <row r="350" spans="4:16">
      <c r="D350" s="158" t="s">
        <v>557</v>
      </c>
      <c r="E350" s="158" t="s">
        <v>235</v>
      </c>
      <c r="F350" s="1">
        <v>43132</v>
      </c>
      <c r="G350" s="158" t="s">
        <v>312</v>
      </c>
      <c r="H350" s="158" t="s">
        <v>313</v>
      </c>
      <c r="I350" s="158" t="s">
        <v>281</v>
      </c>
      <c r="J350" s="158" t="s">
        <v>261</v>
      </c>
      <c r="K350" s="158">
        <v>16.95</v>
      </c>
      <c r="L350"/>
      <c r="M350"/>
      <c r="N350"/>
      <c r="O350"/>
      <c r="P350"/>
    </row>
    <row r="351" spans="4:16">
      <c r="D351" s="158" t="s">
        <v>557</v>
      </c>
      <c r="E351" s="158" t="s">
        <v>235</v>
      </c>
      <c r="F351" s="1">
        <v>43165</v>
      </c>
      <c r="G351" s="158" t="s">
        <v>330</v>
      </c>
      <c r="H351" s="158" t="s">
        <v>264</v>
      </c>
      <c r="I351" s="158" t="s">
        <v>284</v>
      </c>
      <c r="J351" s="158" t="s">
        <v>261</v>
      </c>
      <c r="K351" s="158">
        <v>20.5</v>
      </c>
      <c r="L351"/>
      <c r="M351"/>
      <c r="N351"/>
      <c r="O351"/>
      <c r="P351"/>
    </row>
    <row r="352" spans="4:16">
      <c r="D352" s="158" t="s">
        <v>557</v>
      </c>
      <c r="E352" s="158" t="s">
        <v>235</v>
      </c>
      <c r="F352" s="1">
        <v>43195</v>
      </c>
      <c r="G352" s="158" t="s">
        <v>421</v>
      </c>
      <c r="H352" s="158" t="s">
        <v>340</v>
      </c>
      <c r="I352" s="158" t="s">
        <v>341</v>
      </c>
      <c r="J352" s="158" t="s">
        <v>261</v>
      </c>
      <c r="K352" s="158">
        <v>19</v>
      </c>
      <c r="L352"/>
      <c r="M352"/>
      <c r="N352"/>
      <c r="O352"/>
      <c r="P352"/>
    </row>
    <row r="353" spans="4:16">
      <c r="D353" s="158" t="s">
        <v>557</v>
      </c>
      <c r="E353" s="158" t="s">
        <v>235</v>
      </c>
      <c r="F353" s="1">
        <v>43249</v>
      </c>
      <c r="G353" s="158" t="s">
        <v>507</v>
      </c>
      <c r="H353" s="158" t="s">
        <v>356</v>
      </c>
      <c r="I353" s="158" t="s">
        <v>313</v>
      </c>
      <c r="J353" s="158" t="s">
        <v>261</v>
      </c>
      <c r="K353" s="158">
        <v>6</v>
      </c>
      <c r="L353"/>
      <c r="M353"/>
      <c r="N353"/>
      <c r="O353"/>
      <c r="P353"/>
    </row>
    <row r="354" spans="4:16">
      <c r="D354" s="158" t="s">
        <v>557</v>
      </c>
      <c r="E354" s="158" t="s">
        <v>235</v>
      </c>
      <c r="F354" s="1">
        <v>43264</v>
      </c>
      <c r="G354" s="158" t="s">
        <v>364</v>
      </c>
      <c r="H354" s="158" t="s">
        <v>362</v>
      </c>
      <c r="I354" s="158" t="s">
        <v>287</v>
      </c>
      <c r="J354" s="158" t="s">
        <v>261</v>
      </c>
      <c r="K354" s="158">
        <v>20</v>
      </c>
      <c r="L354"/>
      <c r="M354"/>
      <c r="N354"/>
      <c r="O354"/>
      <c r="P354"/>
    </row>
    <row r="355" spans="4:16">
      <c r="D355" s="158" t="s">
        <v>557</v>
      </c>
      <c r="E355" s="158" t="s">
        <v>235</v>
      </c>
      <c r="F355" s="1">
        <v>43301</v>
      </c>
      <c r="G355" s="158" t="s">
        <v>532</v>
      </c>
      <c r="H355" s="158" t="s">
        <v>439</v>
      </c>
      <c r="I355" s="158" t="s">
        <v>370</v>
      </c>
      <c r="J355" s="158" t="s">
        <v>261</v>
      </c>
      <c r="K355" s="158">
        <v>19</v>
      </c>
      <c r="L355"/>
      <c r="M355"/>
      <c r="N355"/>
      <c r="O355"/>
      <c r="P355"/>
    </row>
    <row r="356" spans="4:16">
      <c r="D356" s="158" t="s">
        <v>557</v>
      </c>
      <c r="E356" s="158" t="s">
        <v>235</v>
      </c>
      <c r="F356" s="1">
        <v>43319</v>
      </c>
      <c r="G356" s="158" t="s">
        <v>514</v>
      </c>
      <c r="H356" s="158" t="s">
        <v>289</v>
      </c>
      <c r="I356" s="158" t="s">
        <v>290</v>
      </c>
      <c r="J356" s="158" t="s">
        <v>261</v>
      </c>
      <c r="K356" s="158">
        <v>15</v>
      </c>
      <c r="L356"/>
      <c r="M356"/>
      <c r="N356"/>
      <c r="O356"/>
      <c r="P356"/>
    </row>
    <row r="357" spans="4:16">
      <c r="D357" s="158" t="s">
        <v>557</v>
      </c>
      <c r="E357" s="158" t="s">
        <v>235</v>
      </c>
      <c r="F357" s="1">
        <v>43349</v>
      </c>
      <c r="G357" s="158" t="s">
        <v>518</v>
      </c>
      <c r="H357" s="158" t="s">
        <v>390</v>
      </c>
      <c r="I357" s="158" t="s">
        <v>260</v>
      </c>
      <c r="J357" s="158" t="s">
        <v>261</v>
      </c>
      <c r="K357" s="158">
        <v>20</v>
      </c>
      <c r="L357"/>
      <c r="M357"/>
      <c r="N357"/>
      <c r="O357"/>
      <c r="P357"/>
    </row>
    <row r="358" spans="4:16">
      <c r="D358" s="158" t="s">
        <v>557</v>
      </c>
      <c r="E358" s="158" t="s">
        <v>235</v>
      </c>
      <c r="F358" s="1">
        <v>43374</v>
      </c>
      <c r="G358" s="158" t="s">
        <v>392</v>
      </c>
      <c r="H358" s="158" t="s">
        <v>263</v>
      </c>
      <c r="I358" s="158" t="s">
        <v>264</v>
      </c>
      <c r="J358" s="158" t="s">
        <v>261</v>
      </c>
      <c r="K358" s="158">
        <v>23</v>
      </c>
      <c r="L358"/>
      <c r="M358"/>
      <c r="N358"/>
      <c r="O358"/>
      <c r="P358"/>
    </row>
    <row r="359" spans="4:16">
      <c r="D359" s="158" t="s">
        <v>557</v>
      </c>
      <c r="E359" s="158" t="s">
        <v>235</v>
      </c>
      <c r="F359" s="1">
        <v>43411</v>
      </c>
      <c r="G359" s="158" t="s">
        <v>399</v>
      </c>
      <c r="H359" s="158" t="s">
        <v>298</v>
      </c>
      <c r="I359" s="158" t="s">
        <v>299</v>
      </c>
      <c r="J359" s="158" t="s">
        <v>261</v>
      </c>
      <c r="K359" s="158">
        <v>20</v>
      </c>
      <c r="L359"/>
      <c r="M359"/>
      <c r="N359"/>
      <c r="O359"/>
      <c r="P359"/>
    </row>
    <row r="360" spans="4:16">
      <c r="D360" s="158" t="s">
        <v>557</v>
      </c>
      <c r="E360" s="158" t="s">
        <v>235</v>
      </c>
      <c r="F360" s="1">
        <v>43437</v>
      </c>
      <c r="G360" s="158" t="s">
        <v>417</v>
      </c>
      <c r="H360" s="158" t="s">
        <v>418</v>
      </c>
      <c r="I360" s="158" t="s">
        <v>335</v>
      </c>
      <c r="J360" s="158" t="s">
        <v>261</v>
      </c>
      <c r="K360" s="158">
        <v>1</v>
      </c>
      <c r="L360"/>
      <c r="M360"/>
      <c r="N360"/>
      <c r="O360"/>
      <c r="P360"/>
    </row>
    <row r="361" spans="4:16">
      <c r="D361" s="158" t="s">
        <v>479</v>
      </c>
      <c r="E361" s="158" t="s">
        <v>238</v>
      </c>
      <c r="F361" s="1">
        <v>43108</v>
      </c>
      <c r="G361" s="158" t="s">
        <v>448</v>
      </c>
      <c r="H361" s="158" t="s">
        <v>281</v>
      </c>
      <c r="I361" s="158" t="s">
        <v>282</v>
      </c>
      <c r="J361" s="158" t="s">
        <v>261</v>
      </c>
      <c r="K361" s="158">
        <v>21</v>
      </c>
      <c r="L361"/>
      <c r="M361"/>
      <c r="N361"/>
      <c r="O361"/>
      <c r="P361"/>
    </row>
    <row r="362" spans="4:16">
      <c r="D362" s="158" t="s">
        <v>479</v>
      </c>
      <c r="E362" s="158" t="s">
        <v>238</v>
      </c>
      <c r="F362" s="1">
        <v>43136</v>
      </c>
      <c r="G362" s="158" t="s">
        <v>315</v>
      </c>
      <c r="H362" s="158" t="s">
        <v>287</v>
      </c>
      <c r="I362" s="158" t="s">
        <v>281</v>
      </c>
      <c r="J362" s="158" t="s">
        <v>261</v>
      </c>
      <c r="K362" s="158">
        <v>18.5</v>
      </c>
      <c r="L362"/>
      <c r="M362"/>
      <c r="N362"/>
      <c r="O362"/>
      <c r="P362"/>
    </row>
    <row r="363" spans="4:16">
      <c r="D363" s="158" t="s">
        <v>479</v>
      </c>
      <c r="E363" s="158" t="s">
        <v>238</v>
      </c>
      <c r="F363" s="1">
        <v>43164</v>
      </c>
      <c r="G363" s="158" t="s">
        <v>329</v>
      </c>
      <c r="H363" s="158" t="s">
        <v>264</v>
      </c>
      <c r="I363" s="158" t="s">
        <v>284</v>
      </c>
      <c r="J363" s="158" t="s">
        <v>261</v>
      </c>
      <c r="K363" s="158">
        <v>16</v>
      </c>
      <c r="L363"/>
      <c r="M363"/>
      <c r="N363"/>
      <c r="O363"/>
      <c r="P363"/>
    </row>
    <row r="364" spans="4:16">
      <c r="D364" s="158" t="s">
        <v>479</v>
      </c>
      <c r="E364" s="158" t="s">
        <v>238</v>
      </c>
      <c r="F364" s="1">
        <v>43193</v>
      </c>
      <c r="G364" s="158" t="s">
        <v>383</v>
      </c>
      <c r="H364" s="158" t="s">
        <v>340</v>
      </c>
      <c r="I364" s="158" t="s">
        <v>341</v>
      </c>
      <c r="J364" s="158" t="s">
        <v>261</v>
      </c>
      <c r="K364" s="158">
        <v>16</v>
      </c>
      <c r="L364"/>
      <c r="M364"/>
      <c r="N364"/>
      <c r="O364"/>
      <c r="P364"/>
    </row>
    <row r="365" spans="4:16">
      <c r="D365" s="158" t="s">
        <v>479</v>
      </c>
      <c r="E365" s="158" t="s">
        <v>238</v>
      </c>
      <c r="F365" s="1">
        <v>43234</v>
      </c>
      <c r="G365" s="158" t="s">
        <v>351</v>
      </c>
      <c r="H365" s="158" t="s">
        <v>352</v>
      </c>
      <c r="I365" s="158" t="s">
        <v>313</v>
      </c>
      <c r="J365" s="158" t="s">
        <v>261</v>
      </c>
      <c r="K365" s="158">
        <v>14</v>
      </c>
      <c r="L365"/>
      <c r="M365"/>
      <c r="N365"/>
      <c r="O365"/>
      <c r="P365"/>
    </row>
    <row r="366" spans="4:16">
      <c r="D366" s="158" t="s">
        <v>479</v>
      </c>
      <c r="E366" s="158" t="s">
        <v>237</v>
      </c>
      <c r="F366" s="1">
        <v>43234</v>
      </c>
      <c r="G366" s="158" t="s">
        <v>351</v>
      </c>
      <c r="H366" s="158" t="s">
        <v>352</v>
      </c>
      <c r="I366" s="158" t="s">
        <v>313</v>
      </c>
      <c r="J366" s="158" t="s">
        <v>261</v>
      </c>
      <c r="K366" s="158">
        <v>5</v>
      </c>
      <c r="L366"/>
      <c r="M366"/>
      <c r="N366"/>
      <c r="O366"/>
      <c r="P366"/>
    </row>
    <row r="367" spans="4:16">
      <c r="D367" s="158" t="s">
        <v>479</v>
      </c>
      <c r="E367" s="158" t="s">
        <v>238</v>
      </c>
      <c r="F367" s="1">
        <v>43262</v>
      </c>
      <c r="G367" s="158" t="s">
        <v>361</v>
      </c>
      <c r="H367" s="158" t="s">
        <v>362</v>
      </c>
      <c r="I367" s="158" t="s">
        <v>287</v>
      </c>
      <c r="J367" s="158" t="s">
        <v>261</v>
      </c>
      <c r="K367" s="158">
        <v>21</v>
      </c>
      <c r="L367"/>
      <c r="M367"/>
      <c r="N367"/>
      <c r="O367"/>
      <c r="P367"/>
    </row>
    <row r="368" spans="4:16">
      <c r="D368" s="158" t="s">
        <v>603</v>
      </c>
      <c r="E368" s="158" t="s">
        <v>235</v>
      </c>
      <c r="F368" s="1">
        <v>43290</v>
      </c>
      <c r="G368" s="158" t="s">
        <v>468</v>
      </c>
      <c r="H368" s="158" t="s">
        <v>460</v>
      </c>
      <c r="I368" s="158" t="s">
        <v>370</v>
      </c>
      <c r="J368" s="158" t="s">
        <v>261</v>
      </c>
      <c r="K368" s="158">
        <v>10</v>
      </c>
      <c r="L368"/>
      <c r="M368"/>
      <c r="N368"/>
      <c r="O368"/>
      <c r="P368"/>
    </row>
    <row r="369" spans="4:16">
      <c r="D369" s="158" t="s">
        <v>603</v>
      </c>
      <c r="E369" s="158" t="s">
        <v>235</v>
      </c>
      <c r="F369" s="1">
        <v>43328</v>
      </c>
      <c r="G369" s="158" t="s">
        <v>292</v>
      </c>
      <c r="H369" s="158" t="s">
        <v>293</v>
      </c>
      <c r="I369" s="158" t="s">
        <v>290</v>
      </c>
      <c r="J369" s="158" t="s">
        <v>261</v>
      </c>
      <c r="K369" s="158">
        <v>19</v>
      </c>
      <c r="L369"/>
      <c r="M369"/>
      <c r="N369"/>
      <c r="O369"/>
      <c r="P369"/>
    </row>
    <row r="370" spans="4:16">
      <c r="D370" s="158" t="s">
        <v>603</v>
      </c>
      <c r="E370" s="158" t="s">
        <v>235</v>
      </c>
      <c r="F370" s="1">
        <v>43353</v>
      </c>
      <c r="G370" s="158" t="s">
        <v>456</v>
      </c>
      <c r="H370" s="158" t="s">
        <v>378</v>
      </c>
      <c r="I370" s="158" t="s">
        <v>260</v>
      </c>
      <c r="J370" s="158" t="s">
        <v>261</v>
      </c>
      <c r="K370" s="158">
        <v>15</v>
      </c>
      <c r="L370"/>
      <c r="M370"/>
      <c r="N370"/>
      <c r="O370"/>
      <c r="P370"/>
    </row>
    <row r="371" spans="4:16">
      <c r="D371" s="158" t="s">
        <v>603</v>
      </c>
      <c r="E371" s="158" t="s">
        <v>235</v>
      </c>
      <c r="F371" s="1">
        <v>43402</v>
      </c>
      <c r="G371" s="158" t="s">
        <v>464</v>
      </c>
      <c r="H371" s="158" t="s">
        <v>465</v>
      </c>
      <c r="I371" s="158" t="s">
        <v>264</v>
      </c>
      <c r="J371" s="158" t="s">
        <v>261</v>
      </c>
      <c r="K371" s="158">
        <v>23</v>
      </c>
      <c r="L371"/>
      <c r="M371"/>
      <c r="N371"/>
      <c r="O371"/>
      <c r="P371"/>
    </row>
    <row r="372" spans="4:16">
      <c r="D372" s="158" t="s">
        <v>603</v>
      </c>
      <c r="E372" s="158" t="s">
        <v>235</v>
      </c>
      <c r="F372" s="1">
        <v>43406</v>
      </c>
      <c r="G372" s="158" t="s">
        <v>483</v>
      </c>
      <c r="H372" s="158" t="s">
        <v>465</v>
      </c>
      <c r="I372" s="158" t="s">
        <v>299</v>
      </c>
      <c r="J372" s="158" t="s">
        <v>261</v>
      </c>
      <c r="K372" s="158">
        <v>19</v>
      </c>
      <c r="L372"/>
      <c r="M372"/>
      <c r="N372"/>
      <c r="O372"/>
      <c r="P372"/>
    </row>
    <row r="373" spans="4:16">
      <c r="D373" s="158" t="s">
        <v>308</v>
      </c>
      <c r="E373" s="158" t="s">
        <v>235</v>
      </c>
      <c r="F373" s="1">
        <v>43395</v>
      </c>
      <c r="G373" s="158" t="s">
        <v>272</v>
      </c>
      <c r="H373" s="158" t="s">
        <v>273</v>
      </c>
      <c r="I373" s="158" t="s">
        <v>264</v>
      </c>
      <c r="J373" s="158" t="s">
        <v>261</v>
      </c>
      <c r="K373" s="158">
        <v>3</v>
      </c>
      <c r="L373"/>
      <c r="M373"/>
      <c r="N373"/>
      <c r="O373"/>
      <c r="P373"/>
    </row>
    <row r="374" spans="4:16">
      <c r="D374" s="158" t="s">
        <v>609</v>
      </c>
      <c r="E374" s="158" t="s">
        <v>238</v>
      </c>
      <c r="F374" s="1">
        <v>43353</v>
      </c>
      <c r="G374" s="158" t="s">
        <v>456</v>
      </c>
      <c r="H374" s="158" t="s">
        <v>378</v>
      </c>
      <c r="I374" s="158" t="s">
        <v>260</v>
      </c>
      <c r="J374" s="158" t="s">
        <v>261</v>
      </c>
      <c r="K374" s="158">
        <v>15</v>
      </c>
      <c r="L374"/>
      <c r="M374"/>
      <c r="N374"/>
      <c r="O374"/>
      <c r="P374"/>
    </row>
    <row r="375" spans="4:16">
      <c r="D375" s="158" t="s">
        <v>609</v>
      </c>
      <c r="E375" s="158" t="s">
        <v>238</v>
      </c>
      <c r="F375" s="1">
        <v>43374</v>
      </c>
      <c r="G375" s="158" t="s">
        <v>392</v>
      </c>
      <c r="H375" s="158" t="s">
        <v>263</v>
      </c>
      <c r="I375" s="158" t="s">
        <v>264</v>
      </c>
      <c r="J375" s="158" t="s">
        <v>261</v>
      </c>
      <c r="K375" s="158">
        <v>23</v>
      </c>
      <c r="L375"/>
      <c r="M375"/>
      <c r="N375"/>
      <c r="O375"/>
      <c r="P375"/>
    </row>
    <row r="376" spans="4:16">
      <c r="D376" s="158" t="s">
        <v>609</v>
      </c>
      <c r="E376" s="158" t="s">
        <v>238</v>
      </c>
      <c r="F376" s="1">
        <v>43431</v>
      </c>
      <c r="G376" s="158" t="s">
        <v>307</v>
      </c>
      <c r="H376" s="158" t="s">
        <v>306</v>
      </c>
      <c r="I376" s="158" t="s">
        <v>299</v>
      </c>
      <c r="J376" s="158" t="s">
        <v>261</v>
      </c>
      <c r="K376" s="158">
        <v>17.350000000000001</v>
      </c>
      <c r="L376"/>
      <c r="M376"/>
      <c r="N376"/>
      <c r="O376"/>
      <c r="P376"/>
    </row>
    <row r="377" spans="4:16">
      <c r="D377" s="158" t="s">
        <v>609</v>
      </c>
      <c r="E377" s="158" t="s">
        <v>237</v>
      </c>
      <c r="F377" s="1">
        <v>43425</v>
      </c>
      <c r="G377" s="158" t="s">
        <v>537</v>
      </c>
      <c r="H377" s="158" t="s">
        <v>400</v>
      </c>
      <c r="I377" s="158" t="s">
        <v>299</v>
      </c>
      <c r="J377" s="158" t="s">
        <v>261</v>
      </c>
      <c r="K377" s="158">
        <v>2.4</v>
      </c>
      <c r="L377"/>
      <c r="M377"/>
      <c r="N377"/>
      <c r="O377"/>
      <c r="P377"/>
    </row>
    <row r="378" spans="4:16">
      <c r="D378" s="158" t="s">
        <v>609</v>
      </c>
      <c r="E378" s="158" t="s">
        <v>238</v>
      </c>
      <c r="F378" s="1">
        <v>43437</v>
      </c>
      <c r="G378" s="158" t="s">
        <v>417</v>
      </c>
      <c r="H378" s="158" t="s">
        <v>418</v>
      </c>
      <c r="I378" s="158" t="s">
        <v>335</v>
      </c>
      <c r="J378" s="158" t="s">
        <v>261</v>
      </c>
      <c r="K378" s="158">
        <v>2.75</v>
      </c>
      <c r="L378"/>
      <c r="M378"/>
      <c r="N378"/>
      <c r="O378"/>
      <c r="P378"/>
    </row>
    <row r="379" spans="4:16">
      <c r="D379" s="158" t="s">
        <v>609</v>
      </c>
      <c r="E379" s="158" t="s">
        <v>237</v>
      </c>
      <c r="F379" s="1">
        <v>43439</v>
      </c>
      <c r="G379" s="158" t="s">
        <v>538</v>
      </c>
      <c r="H379" s="158" t="s">
        <v>418</v>
      </c>
      <c r="I379" s="158" t="s">
        <v>335</v>
      </c>
      <c r="J379" s="158" t="s">
        <v>261</v>
      </c>
      <c r="K379" s="158">
        <v>0.25</v>
      </c>
      <c r="L379"/>
      <c r="M379"/>
      <c r="N379"/>
      <c r="O379"/>
      <c r="P379"/>
    </row>
    <row r="380" spans="4:16">
      <c r="D380" s="158" t="s">
        <v>581</v>
      </c>
      <c r="E380" s="158" t="s">
        <v>235</v>
      </c>
      <c r="F380" s="1">
        <v>43171</v>
      </c>
      <c r="G380" s="158" t="s">
        <v>420</v>
      </c>
      <c r="H380" s="158" t="s">
        <v>299</v>
      </c>
      <c r="I380" s="158" t="s">
        <v>284</v>
      </c>
      <c r="J380" s="158" t="s">
        <v>261</v>
      </c>
      <c r="K380" s="158">
        <v>15</v>
      </c>
      <c r="L380"/>
      <c r="M380"/>
      <c r="N380"/>
      <c r="O380"/>
      <c r="P380"/>
    </row>
    <row r="381" spans="4:16">
      <c r="D381" s="158" t="s">
        <v>581</v>
      </c>
      <c r="E381" s="158" t="s">
        <v>235</v>
      </c>
      <c r="F381" s="1">
        <v>43196</v>
      </c>
      <c r="G381" s="158" t="s">
        <v>342</v>
      </c>
      <c r="H381" s="158" t="s">
        <v>340</v>
      </c>
      <c r="I381" s="158" t="s">
        <v>341</v>
      </c>
      <c r="J381" s="158" t="s">
        <v>261</v>
      </c>
      <c r="K381" s="158">
        <v>19.997920000000001</v>
      </c>
      <c r="L381"/>
      <c r="M381"/>
      <c r="N381"/>
      <c r="O381"/>
      <c r="P381"/>
    </row>
    <row r="382" spans="4:16">
      <c r="D382" s="158" t="s">
        <v>581</v>
      </c>
      <c r="E382" s="158" t="s">
        <v>235</v>
      </c>
      <c r="F382" s="1">
        <v>43227</v>
      </c>
      <c r="G382" s="158" t="s">
        <v>524</v>
      </c>
      <c r="H382" s="158" t="s">
        <v>350</v>
      </c>
      <c r="I382" s="158" t="s">
        <v>313</v>
      </c>
      <c r="J382" s="158" t="s">
        <v>261</v>
      </c>
      <c r="K382" s="158">
        <v>18</v>
      </c>
      <c r="L382"/>
      <c r="M382"/>
      <c r="N382"/>
      <c r="O382"/>
      <c r="P382"/>
    </row>
    <row r="383" spans="4:16">
      <c r="D383" s="158" t="s">
        <v>581</v>
      </c>
      <c r="E383" s="158" t="s">
        <v>235</v>
      </c>
      <c r="F383" s="1">
        <v>43252</v>
      </c>
      <c r="G383" s="158" t="s">
        <v>495</v>
      </c>
      <c r="H383" s="158" t="s">
        <v>356</v>
      </c>
      <c r="I383" s="158" t="s">
        <v>287</v>
      </c>
      <c r="J383" s="158" t="s">
        <v>261</v>
      </c>
      <c r="K383" s="158">
        <v>21</v>
      </c>
      <c r="L383"/>
      <c r="M383"/>
      <c r="N383"/>
      <c r="O383"/>
      <c r="P383"/>
    </row>
    <row r="384" spans="4:16">
      <c r="D384" s="158" t="s">
        <v>581</v>
      </c>
      <c r="E384" s="158" t="s">
        <v>235</v>
      </c>
      <c r="F384" s="1">
        <v>43290</v>
      </c>
      <c r="G384" s="158" t="s">
        <v>468</v>
      </c>
      <c r="H384" s="158" t="s">
        <v>460</v>
      </c>
      <c r="I384" s="158" t="s">
        <v>370</v>
      </c>
      <c r="J384" s="158" t="s">
        <v>261</v>
      </c>
      <c r="K384" s="158">
        <v>14.5</v>
      </c>
      <c r="L384"/>
      <c r="M384"/>
      <c r="N384"/>
      <c r="O384"/>
      <c r="P384"/>
    </row>
    <row r="385" spans="4:16">
      <c r="D385" s="158" t="s">
        <v>413</v>
      </c>
      <c r="E385" s="158" t="s">
        <v>238</v>
      </c>
      <c r="F385" s="1">
        <v>43115</v>
      </c>
      <c r="G385" s="158" t="s">
        <v>449</v>
      </c>
      <c r="H385" s="158" t="s">
        <v>284</v>
      </c>
      <c r="I385" s="158" t="s">
        <v>282</v>
      </c>
      <c r="J385" s="158" t="s">
        <v>261</v>
      </c>
      <c r="K385" s="158">
        <v>12.15</v>
      </c>
      <c r="L385"/>
      <c r="M385"/>
      <c r="N385"/>
      <c r="O385"/>
      <c r="P385"/>
    </row>
    <row r="386" spans="4:16">
      <c r="D386" s="158" t="s">
        <v>413</v>
      </c>
      <c r="E386" s="158" t="s">
        <v>237</v>
      </c>
      <c r="F386" s="1">
        <v>43117</v>
      </c>
      <c r="G386" s="158" t="s">
        <v>501</v>
      </c>
      <c r="H386" s="158" t="s">
        <v>284</v>
      </c>
      <c r="I386" s="158" t="s">
        <v>282</v>
      </c>
      <c r="J386" s="158" t="s">
        <v>261</v>
      </c>
      <c r="K386" s="158">
        <v>0.85</v>
      </c>
      <c r="L386"/>
      <c r="M386"/>
      <c r="N386"/>
      <c r="O386"/>
      <c r="P386"/>
    </row>
    <row r="387" spans="4:16">
      <c r="D387" s="158" t="s">
        <v>413</v>
      </c>
      <c r="E387" s="158" t="s">
        <v>238</v>
      </c>
      <c r="F387" s="1">
        <v>43136</v>
      </c>
      <c r="G387" s="158" t="s">
        <v>315</v>
      </c>
      <c r="H387" s="158" t="s">
        <v>287</v>
      </c>
      <c r="I387" s="158" t="s">
        <v>281</v>
      </c>
      <c r="J387" s="158" t="s">
        <v>261</v>
      </c>
      <c r="K387" s="158">
        <v>12.75</v>
      </c>
      <c r="L387"/>
      <c r="M387"/>
      <c r="N387"/>
      <c r="O387"/>
      <c r="P387"/>
    </row>
    <row r="388" spans="4:16">
      <c r="D388" s="158" t="s">
        <v>413</v>
      </c>
      <c r="E388" s="158" t="s">
        <v>237</v>
      </c>
      <c r="F388" s="1">
        <v>43136</v>
      </c>
      <c r="G388" s="158" t="s">
        <v>315</v>
      </c>
      <c r="H388" s="158" t="s">
        <v>287</v>
      </c>
      <c r="I388" s="158" t="s">
        <v>281</v>
      </c>
      <c r="J388" s="158" t="s">
        <v>261</v>
      </c>
      <c r="K388" s="158">
        <v>4.25</v>
      </c>
      <c r="L388"/>
      <c r="M388"/>
      <c r="N388"/>
      <c r="O388"/>
      <c r="P388"/>
    </row>
    <row r="389" spans="4:16">
      <c r="D389" s="158" t="s">
        <v>413</v>
      </c>
      <c r="E389" s="158" t="s">
        <v>238</v>
      </c>
      <c r="F389" s="1">
        <v>43164</v>
      </c>
      <c r="G389" s="158" t="s">
        <v>329</v>
      </c>
      <c r="H389" s="158" t="s">
        <v>264</v>
      </c>
      <c r="I389" s="158" t="s">
        <v>284</v>
      </c>
      <c r="J389" s="158" t="s">
        <v>261</v>
      </c>
      <c r="K389" s="158">
        <v>18.2</v>
      </c>
      <c r="L389"/>
      <c r="M389"/>
      <c r="N389"/>
      <c r="O389"/>
      <c r="P389"/>
    </row>
    <row r="390" spans="4:16">
      <c r="D390" s="158" t="s">
        <v>413</v>
      </c>
      <c r="E390" s="158" t="s">
        <v>237</v>
      </c>
      <c r="F390" s="1">
        <v>43164</v>
      </c>
      <c r="G390" s="158" t="s">
        <v>329</v>
      </c>
      <c r="H390" s="158" t="s">
        <v>264</v>
      </c>
      <c r="I390" s="158" t="s">
        <v>284</v>
      </c>
      <c r="J390" s="158" t="s">
        <v>261</v>
      </c>
      <c r="K390" s="158">
        <v>1.3</v>
      </c>
      <c r="L390"/>
      <c r="M390"/>
      <c r="N390"/>
      <c r="O390"/>
      <c r="P390"/>
    </row>
    <row r="391" spans="4:16">
      <c r="D391" s="158" t="s">
        <v>413</v>
      </c>
      <c r="E391" s="158" t="s">
        <v>238</v>
      </c>
      <c r="F391" s="1">
        <v>43210</v>
      </c>
      <c r="G391" s="158" t="s">
        <v>414</v>
      </c>
      <c r="H391" s="158" t="s">
        <v>347</v>
      </c>
      <c r="I391" s="158" t="s">
        <v>341</v>
      </c>
      <c r="J391" s="158" t="s">
        <v>261</v>
      </c>
      <c r="K391" s="158">
        <v>10.85</v>
      </c>
      <c r="L391"/>
      <c r="M391"/>
      <c r="N391"/>
      <c r="O391"/>
      <c r="P391"/>
    </row>
    <row r="392" spans="4:16">
      <c r="D392" s="158" t="s">
        <v>413</v>
      </c>
      <c r="E392" s="158" t="s">
        <v>237</v>
      </c>
      <c r="F392" s="1">
        <v>43194</v>
      </c>
      <c r="G392" s="158" t="s">
        <v>339</v>
      </c>
      <c r="H392" s="158" t="s">
        <v>340</v>
      </c>
      <c r="I392" s="158" t="s">
        <v>341</v>
      </c>
      <c r="J392" s="158" t="s">
        <v>261</v>
      </c>
      <c r="K392" s="158">
        <v>2.15</v>
      </c>
      <c r="L392"/>
      <c r="M392"/>
      <c r="N392"/>
      <c r="O392"/>
      <c r="P392"/>
    </row>
    <row r="393" spans="4:16">
      <c r="D393" s="158" t="s">
        <v>413</v>
      </c>
      <c r="E393" s="158" t="s">
        <v>238</v>
      </c>
      <c r="F393" s="1">
        <v>43244</v>
      </c>
      <c r="G393" s="158" t="s">
        <v>480</v>
      </c>
      <c r="H393" s="158" t="s">
        <v>354</v>
      </c>
      <c r="I393" s="158" t="s">
        <v>313</v>
      </c>
      <c r="J393" s="158" t="s">
        <v>261</v>
      </c>
      <c r="K393" s="158">
        <v>13.8</v>
      </c>
      <c r="L393"/>
      <c r="M393"/>
      <c r="N393"/>
      <c r="O393"/>
      <c r="P393"/>
    </row>
    <row r="394" spans="4:16">
      <c r="D394" s="158" t="s">
        <v>413</v>
      </c>
      <c r="E394" s="158" t="s">
        <v>237</v>
      </c>
      <c r="F394" s="1">
        <v>43237</v>
      </c>
      <c r="G394" s="158" t="s">
        <v>506</v>
      </c>
      <c r="H394" s="158" t="s">
        <v>352</v>
      </c>
      <c r="I394" s="158" t="s">
        <v>313</v>
      </c>
      <c r="J394" s="158" t="s">
        <v>261</v>
      </c>
      <c r="K394" s="158">
        <v>0.2</v>
      </c>
      <c r="L394"/>
      <c r="M394"/>
      <c r="N394"/>
      <c r="O394"/>
      <c r="P394"/>
    </row>
    <row r="395" spans="4:16">
      <c r="D395" s="158" t="s">
        <v>413</v>
      </c>
      <c r="E395" s="158" t="s">
        <v>238</v>
      </c>
      <c r="F395" s="1">
        <v>43255</v>
      </c>
      <c r="G395" s="158" t="s">
        <v>454</v>
      </c>
      <c r="H395" s="158" t="s">
        <v>359</v>
      </c>
      <c r="I395" s="158" t="s">
        <v>287</v>
      </c>
      <c r="J395" s="158" t="s">
        <v>261</v>
      </c>
      <c r="K395" s="158">
        <v>18.5</v>
      </c>
      <c r="L395"/>
      <c r="M395"/>
      <c r="N395"/>
      <c r="O395"/>
      <c r="P395"/>
    </row>
    <row r="396" spans="4:16">
      <c r="D396" s="158" t="s">
        <v>413</v>
      </c>
      <c r="E396" s="158" t="s">
        <v>237</v>
      </c>
      <c r="F396" s="1">
        <v>43256</v>
      </c>
      <c r="G396" s="158" t="s">
        <v>508</v>
      </c>
      <c r="H396" s="158" t="s">
        <v>359</v>
      </c>
      <c r="I396" s="158" t="s">
        <v>287</v>
      </c>
      <c r="J396" s="158" t="s">
        <v>261</v>
      </c>
      <c r="K396" s="158">
        <v>1.5</v>
      </c>
      <c r="L396"/>
      <c r="M396"/>
      <c r="N396"/>
      <c r="O396"/>
      <c r="P396"/>
    </row>
    <row r="397" spans="4:16">
      <c r="D397" s="158" t="s">
        <v>413</v>
      </c>
      <c r="E397" s="158" t="s">
        <v>238</v>
      </c>
      <c r="F397" s="1">
        <v>43283</v>
      </c>
      <c r="G397" s="158" t="s">
        <v>368</v>
      </c>
      <c r="H397" s="158" t="s">
        <v>369</v>
      </c>
      <c r="I397" s="158" t="s">
        <v>370</v>
      </c>
      <c r="J397" s="158" t="s">
        <v>261</v>
      </c>
      <c r="K397" s="158">
        <v>16.850000000000001</v>
      </c>
      <c r="L397"/>
      <c r="M397"/>
      <c r="N397"/>
      <c r="O397"/>
      <c r="P397"/>
    </row>
    <row r="398" spans="4:16">
      <c r="D398" s="158" t="s">
        <v>413</v>
      </c>
      <c r="E398" s="158" t="s">
        <v>237</v>
      </c>
      <c r="F398" s="1">
        <v>43286</v>
      </c>
      <c r="G398" s="158" t="s">
        <v>530</v>
      </c>
      <c r="H398" s="158" t="s">
        <v>369</v>
      </c>
      <c r="I398" s="158" t="s">
        <v>370</v>
      </c>
      <c r="J398" s="158" t="s">
        <v>261</v>
      </c>
      <c r="K398" s="158">
        <v>2.65</v>
      </c>
      <c r="L398"/>
      <c r="M398"/>
      <c r="N398"/>
      <c r="O398"/>
      <c r="P398"/>
    </row>
    <row r="399" spans="4:16">
      <c r="D399" s="158" t="s">
        <v>413</v>
      </c>
      <c r="E399" s="158" t="s">
        <v>238</v>
      </c>
      <c r="F399" s="1">
        <v>43346</v>
      </c>
      <c r="G399" s="158" t="s">
        <v>389</v>
      </c>
      <c r="H399" s="158" t="s">
        <v>390</v>
      </c>
      <c r="I399" s="158" t="s">
        <v>260</v>
      </c>
      <c r="J399" s="158" t="s">
        <v>261</v>
      </c>
      <c r="K399" s="158">
        <v>18.7</v>
      </c>
      <c r="L399"/>
      <c r="M399"/>
      <c r="N399"/>
      <c r="O399"/>
      <c r="P399"/>
    </row>
    <row r="400" spans="4:16">
      <c r="D400" s="158" t="s">
        <v>413</v>
      </c>
      <c r="E400" s="158" t="s">
        <v>237</v>
      </c>
      <c r="F400" s="1">
        <v>43363</v>
      </c>
      <c r="G400" s="158" t="s">
        <v>520</v>
      </c>
      <c r="H400" s="158" t="s">
        <v>405</v>
      </c>
      <c r="I400" s="158" t="s">
        <v>260</v>
      </c>
      <c r="J400" s="158" t="s">
        <v>261</v>
      </c>
      <c r="K400" s="158">
        <v>1.3</v>
      </c>
      <c r="L400"/>
      <c r="M400"/>
      <c r="N400"/>
      <c r="O400"/>
      <c r="P400"/>
    </row>
    <row r="401" spans="4:16">
      <c r="D401" s="158" t="s">
        <v>413</v>
      </c>
      <c r="E401" s="158" t="s">
        <v>238</v>
      </c>
      <c r="F401" s="1">
        <v>43374</v>
      </c>
      <c r="G401" s="158" t="s">
        <v>392</v>
      </c>
      <c r="H401" s="158" t="s">
        <v>263</v>
      </c>
      <c r="I401" s="158" t="s">
        <v>264</v>
      </c>
      <c r="J401" s="158" t="s">
        <v>261</v>
      </c>
      <c r="K401" s="158">
        <v>21.25</v>
      </c>
      <c r="L401"/>
      <c r="M401"/>
      <c r="N401"/>
      <c r="O401"/>
      <c r="P401"/>
    </row>
    <row r="402" spans="4:16">
      <c r="D402" s="158" t="s">
        <v>413</v>
      </c>
      <c r="E402" s="158" t="s">
        <v>237</v>
      </c>
      <c r="F402" s="1">
        <v>43404</v>
      </c>
      <c r="G402" s="158" t="s">
        <v>473</v>
      </c>
      <c r="H402" s="158" t="s">
        <v>465</v>
      </c>
      <c r="I402" s="158" t="s">
        <v>264</v>
      </c>
      <c r="J402" s="158" t="s">
        <v>261</v>
      </c>
      <c r="K402" s="158">
        <v>0.75</v>
      </c>
      <c r="L402"/>
      <c r="M402"/>
      <c r="N402"/>
      <c r="O402"/>
      <c r="P402"/>
    </row>
    <row r="403" spans="4:16">
      <c r="D403" s="158" t="s">
        <v>413</v>
      </c>
      <c r="E403" s="158" t="s">
        <v>238</v>
      </c>
      <c r="F403" s="1">
        <v>43423</v>
      </c>
      <c r="G403" s="158" t="s">
        <v>415</v>
      </c>
      <c r="H403" s="158" t="s">
        <v>400</v>
      </c>
      <c r="I403" s="158" t="s">
        <v>299</v>
      </c>
      <c r="J403" s="158" t="s">
        <v>261</v>
      </c>
      <c r="K403" s="158">
        <v>12</v>
      </c>
      <c r="L403"/>
      <c r="M403"/>
      <c r="N403"/>
      <c r="O403"/>
      <c r="P403"/>
    </row>
    <row r="404" spans="4:16">
      <c r="D404" s="158" t="s">
        <v>413</v>
      </c>
      <c r="E404" s="158" t="s">
        <v>237</v>
      </c>
      <c r="F404" s="1">
        <v>43406</v>
      </c>
      <c r="G404" s="158" t="s">
        <v>483</v>
      </c>
      <c r="H404" s="158" t="s">
        <v>465</v>
      </c>
      <c r="I404" s="158" t="s">
        <v>299</v>
      </c>
      <c r="J404" s="158" t="s">
        <v>261</v>
      </c>
      <c r="K404" s="158">
        <v>3</v>
      </c>
      <c r="L404"/>
      <c r="M404"/>
      <c r="N404"/>
      <c r="O404"/>
      <c r="P404"/>
    </row>
    <row r="405" spans="4:16">
      <c r="D405" s="158" t="s">
        <v>413</v>
      </c>
      <c r="E405" s="158" t="s">
        <v>238</v>
      </c>
      <c r="F405" s="1">
        <v>43437</v>
      </c>
      <c r="G405" s="158" t="s">
        <v>417</v>
      </c>
      <c r="H405" s="158" t="s">
        <v>418</v>
      </c>
      <c r="I405" s="158" t="s">
        <v>335</v>
      </c>
      <c r="J405" s="158" t="s">
        <v>261</v>
      </c>
      <c r="K405" s="158">
        <v>3.2</v>
      </c>
      <c r="L405"/>
      <c r="M405"/>
      <c r="N405"/>
      <c r="O405"/>
      <c r="P405"/>
    </row>
    <row r="406" spans="4:16">
      <c r="D406" s="158" t="s">
        <v>413</v>
      </c>
      <c r="E406" s="158" t="s">
        <v>237</v>
      </c>
      <c r="F406" s="1">
        <v>43438</v>
      </c>
      <c r="G406" s="158" t="s">
        <v>533</v>
      </c>
      <c r="H406" s="158" t="s">
        <v>418</v>
      </c>
      <c r="I406" s="158" t="s">
        <v>335</v>
      </c>
      <c r="J406" s="158" t="s">
        <v>261</v>
      </c>
      <c r="K406" s="158">
        <v>0.8</v>
      </c>
      <c r="L406"/>
      <c r="M406"/>
      <c r="N406"/>
      <c r="O406"/>
      <c r="P406"/>
    </row>
    <row r="407" spans="4:16">
      <c r="D407" s="158" t="s">
        <v>559</v>
      </c>
      <c r="E407" s="158" t="s">
        <v>235</v>
      </c>
      <c r="F407" s="1">
        <v>43103</v>
      </c>
      <c r="G407" s="158" t="s">
        <v>498</v>
      </c>
      <c r="H407" s="158" t="s">
        <v>282</v>
      </c>
      <c r="I407" s="158" t="s">
        <v>282</v>
      </c>
      <c r="J407" s="158" t="s">
        <v>261</v>
      </c>
      <c r="K407" s="158">
        <v>16.8</v>
      </c>
      <c r="L407"/>
      <c r="M407"/>
      <c r="N407"/>
      <c r="O407"/>
      <c r="P407"/>
    </row>
    <row r="408" spans="4:16">
      <c r="D408" s="158" t="s">
        <v>559</v>
      </c>
      <c r="E408" s="158" t="s">
        <v>235</v>
      </c>
      <c r="F408" s="1">
        <v>43133</v>
      </c>
      <c r="G408" s="158" t="s">
        <v>314</v>
      </c>
      <c r="H408" s="158" t="s">
        <v>313</v>
      </c>
      <c r="I408" s="158" t="s">
        <v>281</v>
      </c>
      <c r="J408" s="158" t="s">
        <v>261</v>
      </c>
      <c r="K408" s="158">
        <v>3.5</v>
      </c>
      <c r="L408"/>
      <c r="M408"/>
      <c r="N408"/>
      <c r="O408"/>
      <c r="P408"/>
    </row>
    <row r="409" spans="4:16">
      <c r="D409" s="158" t="s">
        <v>620</v>
      </c>
      <c r="E409" s="158" t="s">
        <v>235</v>
      </c>
      <c r="F409" s="1">
        <v>43416</v>
      </c>
      <c r="G409" s="158" t="s">
        <v>474</v>
      </c>
      <c r="H409" s="158" t="s">
        <v>302</v>
      </c>
      <c r="I409" s="158" t="s">
        <v>299</v>
      </c>
      <c r="J409" s="158" t="s">
        <v>261</v>
      </c>
      <c r="K409" s="158">
        <v>15</v>
      </c>
      <c r="L409"/>
      <c r="M409"/>
      <c r="N409"/>
      <c r="O409"/>
      <c r="P409"/>
    </row>
    <row r="410" spans="4:16">
      <c r="D410" s="158" t="s">
        <v>620</v>
      </c>
      <c r="E410" s="158" t="s">
        <v>235</v>
      </c>
      <c r="F410" s="1">
        <v>43438</v>
      </c>
      <c r="G410" s="158" t="s">
        <v>533</v>
      </c>
      <c r="H410" s="158" t="s">
        <v>418</v>
      </c>
      <c r="I410" s="158" t="s">
        <v>335</v>
      </c>
      <c r="J410" s="158" t="s">
        <v>261</v>
      </c>
      <c r="K410" s="158">
        <v>1.5</v>
      </c>
      <c r="L410"/>
      <c r="M410"/>
      <c r="N410"/>
      <c r="O410"/>
      <c r="P410"/>
    </row>
    <row r="411" spans="4:16">
      <c r="D411" s="158" t="s">
        <v>577</v>
      </c>
      <c r="E411" s="158" t="s">
        <v>235</v>
      </c>
      <c r="F411" s="1">
        <v>43153</v>
      </c>
      <c r="G411" s="158" t="s">
        <v>322</v>
      </c>
      <c r="H411" s="158" t="s">
        <v>290</v>
      </c>
      <c r="I411" s="158" t="s">
        <v>281</v>
      </c>
      <c r="J411" s="158" t="s">
        <v>261</v>
      </c>
      <c r="K411" s="158">
        <v>6</v>
      </c>
      <c r="L411"/>
      <c r="M411"/>
      <c r="N411"/>
      <c r="O411"/>
      <c r="P411"/>
    </row>
    <row r="412" spans="4:16">
      <c r="D412" s="158" t="s">
        <v>577</v>
      </c>
      <c r="E412" s="158" t="s">
        <v>235</v>
      </c>
      <c r="F412" s="1">
        <v>43160</v>
      </c>
      <c r="G412" s="158" t="s">
        <v>327</v>
      </c>
      <c r="H412" s="158" t="s">
        <v>260</v>
      </c>
      <c r="I412" s="158" t="s">
        <v>284</v>
      </c>
      <c r="J412" s="158" t="s">
        <v>261</v>
      </c>
      <c r="K412" s="158">
        <v>21</v>
      </c>
      <c r="L412"/>
      <c r="M412"/>
      <c r="N412"/>
      <c r="O412"/>
      <c r="P412"/>
    </row>
    <row r="413" spans="4:16">
      <c r="D413" s="158" t="s">
        <v>577</v>
      </c>
      <c r="E413" s="158" t="s">
        <v>235</v>
      </c>
      <c r="F413" s="1">
        <v>43193</v>
      </c>
      <c r="G413" s="158" t="s">
        <v>383</v>
      </c>
      <c r="H413" s="158" t="s">
        <v>340</v>
      </c>
      <c r="I413" s="158" t="s">
        <v>341</v>
      </c>
      <c r="J413" s="158" t="s">
        <v>261</v>
      </c>
      <c r="K413" s="158">
        <v>20</v>
      </c>
      <c r="L413"/>
      <c r="M413"/>
      <c r="N413"/>
      <c r="O413"/>
      <c r="P413"/>
    </row>
    <row r="414" spans="4:16">
      <c r="D414" s="158" t="s">
        <v>577</v>
      </c>
      <c r="E414" s="158" t="s">
        <v>235</v>
      </c>
      <c r="F414" s="1">
        <v>43229</v>
      </c>
      <c r="G414" s="158" t="s">
        <v>534</v>
      </c>
      <c r="H414" s="158" t="s">
        <v>350</v>
      </c>
      <c r="I414" s="158" t="s">
        <v>313</v>
      </c>
      <c r="J414" s="158" t="s">
        <v>261</v>
      </c>
      <c r="K414" s="158">
        <v>19</v>
      </c>
      <c r="L414"/>
      <c r="M414"/>
      <c r="N414"/>
      <c r="O414"/>
      <c r="P414"/>
    </row>
    <row r="415" spans="4:16">
      <c r="D415" s="158" t="s">
        <v>577</v>
      </c>
      <c r="E415" s="158" t="s">
        <v>235</v>
      </c>
      <c r="F415" s="1">
        <v>43255</v>
      </c>
      <c r="G415" s="158" t="s">
        <v>454</v>
      </c>
      <c r="H415" s="158" t="s">
        <v>359</v>
      </c>
      <c r="I415" s="158" t="s">
        <v>287</v>
      </c>
      <c r="J415" s="158" t="s">
        <v>261</v>
      </c>
      <c r="K415" s="158">
        <v>18</v>
      </c>
      <c r="L415"/>
      <c r="M415"/>
      <c r="N415"/>
      <c r="O415"/>
      <c r="P415"/>
    </row>
    <row r="416" spans="4:16">
      <c r="D416" s="158" t="s">
        <v>577</v>
      </c>
      <c r="E416" s="158" t="s">
        <v>235</v>
      </c>
      <c r="F416" s="1">
        <v>43283</v>
      </c>
      <c r="G416" s="158" t="s">
        <v>368</v>
      </c>
      <c r="H416" s="158" t="s">
        <v>369</v>
      </c>
      <c r="I416" s="158" t="s">
        <v>370</v>
      </c>
      <c r="J416" s="158" t="s">
        <v>261</v>
      </c>
      <c r="K416" s="158">
        <v>20</v>
      </c>
      <c r="L416"/>
      <c r="M416"/>
      <c r="N416"/>
      <c r="O416"/>
      <c r="P416"/>
    </row>
    <row r="417" spans="4:16">
      <c r="D417" s="158" t="s">
        <v>577</v>
      </c>
      <c r="E417" s="158" t="s">
        <v>235</v>
      </c>
      <c r="F417" s="1">
        <v>43318</v>
      </c>
      <c r="G417" s="158" t="s">
        <v>469</v>
      </c>
      <c r="H417" s="158" t="s">
        <v>289</v>
      </c>
      <c r="I417" s="158" t="s">
        <v>290</v>
      </c>
      <c r="J417" s="158" t="s">
        <v>261</v>
      </c>
      <c r="K417" s="158">
        <v>17</v>
      </c>
      <c r="L417"/>
      <c r="M417"/>
      <c r="N417"/>
      <c r="O417"/>
      <c r="P417"/>
    </row>
    <row r="418" spans="4:16">
      <c r="D418" s="158" t="s">
        <v>577</v>
      </c>
      <c r="E418" s="158" t="s">
        <v>235</v>
      </c>
      <c r="F418" s="1">
        <v>43348</v>
      </c>
      <c r="G418" s="158" t="s">
        <v>472</v>
      </c>
      <c r="H418" s="158" t="s">
        <v>390</v>
      </c>
      <c r="I418" s="158" t="s">
        <v>260</v>
      </c>
      <c r="J418" s="158" t="s">
        <v>261</v>
      </c>
      <c r="K418" s="158">
        <v>17.5</v>
      </c>
      <c r="L418"/>
      <c r="M418"/>
      <c r="N418"/>
      <c r="O418"/>
      <c r="P418"/>
    </row>
    <row r="419" spans="4:16">
      <c r="D419" s="158" t="s">
        <v>577</v>
      </c>
      <c r="E419" s="158" t="s">
        <v>235</v>
      </c>
      <c r="F419" s="1">
        <v>43376</v>
      </c>
      <c r="G419" s="158" t="s">
        <v>262</v>
      </c>
      <c r="H419" s="158" t="s">
        <v>263</v>
      </c>
      <c r="I419" s="158" t="s">
        <v>264</v>
      </c>
      <c r="J419" s="158" t="s">
        <v>261</v>
      </c>
      <c r="K419" s="158">
        <v>23</v>
      </c>
      <c r="L419"/>
      <c r="M419"/>
      <c r="N419"/>
      <c r="O419"/>
      <c r="P419"/>
    </row>
    <row r="420" spans="4:16">
      <c r="D420" s="158" t="s">
        <v>577</v>
      </c>
      <c r="E420" s="158" t="s">
        <v>235</v>
      </c>
      <c r="F420" s="1">
        <v>43423</v>
      </c>
      <c r="G420" s="158" t="s">
        <v>415</v>
      </c>
      <c r="H420" s="158" t="s">
        <v>400</v>
      </c>
      <c r="I420" s="158" t="s">
        <v>299</v>
      </c>
      <c r="J420" s="158" t="s">
        <v>261</v>
      </c>
      <c r="K420" s="158">
        <v>21</v>
      </c>
      <c r="L420"/>
      <c r="M420"/>
      <c r="N420"/>
      <c r="O420"/>
      <c r="P420"/>
    </row>
    <row r="421" spans="4:16">
      <c r="D421" s="158" t="s">
        <v>549</v>
      </c>
      <c r="E421" s="158" t="s">
        <v>235</v>
      </c>
      <c r="F421" s="1">
        <v>43123</v>
      </c>
      <c r="G421" s="158" t="s">
        <v>490</v>
      </c>
      <c r="H421" s="158" t="s">
        <v>341</v>
      </c>
      <c r="I421" s="158" t="s">
        <v>282</v>
      </c>
      <c r="J421" s="158" t="s">
        <v>261</v>
      </c>
      <c r="K421" s="158">
        <v>15.15</v>
      </c>
      <c r="L421"/>
      <c r="M421"/>
      <c r="N421"/>
      <c r="O421"/>
      <c r="P421"/>
    </row>
    <row r="422" spans="4:16">
      <c r="D422" s="158" t="s">
        <v>549</v>
      </c>
      <c r="E422" s="158" t="s">
        <v>235</v>
      </c>
      <c r="F422" s="1">
        <v>43133</v>
      </c>
      <c r="G422" s="158" t="s">
        <v>314</v>
      </c>
      <c r="H422" s="158" t="s">
        <v>313</v>
      </c>
      <c r="I422" s="158" t="s">
        <v>281</v>
      </c>
      <c r="J422" s="158" t="s">
        <v>261</v>
      </c>
      <c r="K422" s="158">
        <v>19.3</v>
      </c>
      <c r="L422"/>
      <c r="M422"/>
      <c r="N422"/>
      <c r="O422"/>
      <c r="P422"/>
    </row>
    <row r="423" spans="4:16">
      <c r="D423" s="158" t="s">
        <v>549</v>
      </c>
      <c r="E423" s="158" t="s">
        <v>235</v>
      </c>
      <c r="F423" s="1">
        <v>43164</v>
      </c>
      <c r="G423" s="158" t="s">
        <v>329</v>
      </c>
      <c r="H423" s="158" t="s">
        <v>264</v>
      </c>
      <c r="I423" s="158" t="s">
        <v>284</v>
      </c>
      <c r="J423" s="158" t="s">
        <v>261</v>
      </c>
      <c r="K423" s="158">
        <v>21.3</v>
      </c>
      <c r="L423"/>
      <c r="M423"/>
      <c r="N423"/>
      <c r="O423"/>
      <c r="P423"/>
    </row>
    <row r="424" spans="4:16">
      <c r="D424" s="158" t="s">
        <v>549</v>
      </c>
      <c r="E424" s="158" t="s">
        <v>235</v>
      </c>
      <c r="F424" s="1">
        <v>43193</v>
      </c>
      <c r="G424" s="158" t="s">
        <v>383</v>
      </c>
      <c r="H424" s="158" t="s">
        <v>340</v>
      </c>
      <c r="I424" s="158" t="s">
        <v>341</v>
      </c>
      <c r="J424" s="158" t="s">
        <v>261</v>
      </c>
      <c r="K424" s="158">
        <v>4</v>
      </c>
      <c r="L424"/>
      <c r="M424"/>
      <c r="N424"/>
      <c r="O424"/>
      <c r="P424"/>
    </row>
    <row r="425" spans="4:16">
      <c r="D425" s="158" t="s">
        <v>616</v>
      </c>
      <c r="E425" s="158" t="s">
        <v>235</v>
      </c>
      <c r="F425" s="1">
        <v>43395</v>
      </c>
      <c r="G425" s="158" t="s">
        <v>272</v>
      </c>
      <c r="H425" s="158" t="s">
        <v>273</v>
      </c>
      <c r="I425" s="158" t="s">
        <v>264</v>
      </c>
      <c r="J425" s="158" t="s">
        <v>261</v>
      </c>
      <c r="K425" s="158">
        <v>8</v>
      </c>
      <c r="L425"/>
      <c r="M425"/>
      <c r="N425"/>
      <c r="O425"/>
      <c r="P425"/>
    </row>
    <row r="426" spans="4:16">
      <c r="D426" s="158" t="s">
        <v>616</v>
      </c>
      <c r="E426" s="158" t="s">
        <v>235</v>
      </c>
      <c r="F426" s="1">
        <v>43406</v>
      </c>
      <c r="G426" s="158" t="s">
        <v>483</v>
      </c>
      <c r="H426" s="158" t="s">
        <v>465</v>
      </c>
      <c r="I426" s="158" t="s">
        <v>299</v>
      </c>
      <c r="J426" s="158" t="s">
        <v>261</v>
      </c>
      <c r="K426" s="158">
        <v>20.5</v>
      </c>
      <c r="L426"/>
      <c r="M426"/>
      <c r="N426"/>
      <c r="O426"/>
      <c r="P426"/>
    </row>
    <row r="427" spans="4:16">
      <c r="D427" s="158" t="s">
        <v>444</v>
      </c>
      <c r="E427" s="158" t="s">
        <v>238</v>
      </c>
      <c r="F427" s="1">
        <v>43103</v>
      </c>
      <c r="G427" s="158" t="s">
        <v>498</v>
      </c>
      <c r="H427" s="158" t="s">
        <v>282</v>
      </c>
      <c r="I427" s="158" t="s">
        <v>282</v>
      </c>
      <c r="J427" s="158" t="s">
        <v>261</v>
      </c>
      <c r="K427" s="158">
        <v>20</v>
      </c>
      <c r="L427"/>
      <c r="M427"/>
      <c r="N427"/>
      <c r="O427"/>
      <c r="P427"/>
    </row>
    <row r="428" spans="4:16">
      <c r="D428" s="158" t="s">
        <v>444</v>
      </c>
      <c r="E428" s="158" t="s">
        <v>238</v>
      </c>
      <c r="F428" s="1">
        <v>43136</v>
      </c>
      <c r="G428" s="158" t="s">
        <v>315</v>
      </c>
      <c r="H428" s="158" t="s">
        <v>287</v>
      </c>
      <c r="I428" s="158" t="s">
        <v>281</v>
      </c>
      <c r="J428" s="158" t="s">
        <v>261</v>
      </c>
      <c r="K428" s="158">
        <v>20</v>
      </c>
      <c r="L428"/>
      <c r="M428"/>
      <c r="N428"/>
      <c r="O428"/>
      <c r="P428"/>
    </row>
    <row r="429" spans="4:16">
      <c r="D429" s="158" t="s">
        <v>444</v>
      </c>
      <c r="E429" s="158" t="s">
        <v>238</v>
      </c>
      <c r="F429" s="1">
        <v>43164</v>
      </c>
      <c r="G429" s="158" t="s">
        <v>329</v>
      </c>
      <c r="H429" s="158" t="s">
        <v>264</v>
      </c>
      <c r="I429" s="158" t="s">
        <v>284</v>
      </c>
      <c r="J429" s="158" t="s">
        <v>261</v>
      </c>
      <c r="K429" s="158">
        <v>17.100000000000001</v>
      </c>
      <c r="L429"/>
      <c r="M429"/>
      <c r="N429"/>
      <c r="O429"/>
      <c r="P429"/>
    </row>
    <row r="430" spans="4:16">
      <c r="D430" s="158" t="s">
        <v>444</v>
      </c>
      <c r="E430" s="158" t="s">
        <v>237</v>
      </c>
      <c r="F430" s="1">
        <v>43161</v>
      </c>
      <c r="G430" s="158" t="s">
        <v>328</v>
      </c>
      <c r="H430" s="158" t="s">
        <v>260</v>
      </c>
      <c r="I430" s="158" t="s">
        <v>284</v>
      </c>
      <c r="J430" s="158" t="s">
        <v>261</v>
      </c>
      <c r="K430" s="158">
        <v>3.7</v>
      </c>
      <c r="L430"/>
      <c r="M430"/>
      <c r="N430"/>
      <c r="O430"/>
      <c r="P430"/>
    </row>
    <row r="431" spans="4:16">
      <c r="D431" s="158" t="s">
        <v>444</v>
      </c>
      <c r="E431" s="158" t="s">
        <v>238</v>
      </c>
      <c r="F431" s="1">
        <v>43193</v>
      </c>
      <c r="G431" s="158" t="s">
        <v>383</v>
      </c>
      <c r="H431" s="158" t="s">
        <v>340</v>
      </c>
      <c r="I431" s="158" t="s">
        <v>341</v>
      </c>
      <c r="J431" s="158" t="s">
        <v>261</v>
      </c>
      <c r="K431" s="158">
        <v>16.5</v>
      </c>
      <c r="L431"/>
      <c r="M431"/>
      <c r="N431"/>
      <c r="O431"/>
      <c r="P431"/>
    </row>
    <row r="432" spans="4:16">
      <c r="D432" s="158" t="s">
        <v>444</v>
      </c>
      <c r="E432" s="158" t="s">
        <v>237</v>
      </c>
      <c r="F432" s="1">
        <v>43200</v>
      </c>
      <c r="G432" s="158" t="s">
        <v>345</v>
      </c>
      <c r="H432" s="158" t="s">
        <v>344</v>
      </c>
      <c r="I432" s="158" t="s">
        <v>341</v>
      </c>
      <c r="J432" s="158" t="s">
        <v>261</v>
      </c>
      <c r="K432" s="158">
        <v>3</v>
      </c>
      <c r="L432"/>
      <c r="M432"/>
      <c r="N432"/>
      <c r="O432"/>
      <c r="P432"/>
    </row>
    <row r="433" spans="4:16">
      <c r="D433" s="158" t="s">
        <v>444</v>
      </c>
      <c r="E433" s="158" t="s">
        <v>238</v>
      </c>
      <c r="F433" s="1">
        <v>43234</v>
      </c>
      <c r="G433" s="158" t="s">
        <v>351</v>
      </c>
      <c r="H433" s="158" t="s">
        <v>352</v>
      </c>
      <c r="I433" s="158" t="s">
        <v>313</v>
      </c>
      <c r="J433" s="158" t="s">
        <v>261</v>
      </c>
      <c r="K433" s="158">
        <v>6.3</v>
      </c>
      <c r="L433"/>
      <c r="M433"/>
      <c r="N433"/>
      <c r="O433"/>
      <c r="P433"/>
    </row>
    <row r="434" spans="4:16">
      <c r="D434" s="158" t="s">
        <v>444</v>
      </c>
      <c r="E434" s="158" t="s">
        <v>237</v>
      </c>
      <c r="F434" s="1">
        <v>43223</v>
      </c>
      <c r="G434" s="158" t="s">
        <v>528</v>
      </c>
      <c r="H434" s="158" t="s">
        <v>505</v>
      </c>
      <c r="I434" s="158" t="s">
        <v>313</v>
      </c>
      <c r="J434" s="158" t="s">
        <v>261</v>
      </c>
      <c r="K434" s="158">
        <v>12.7</v>
      </c>
      <c r="L434"/>
      <c r="M434"/>
      <c r="N434"/>
      <c r="O434"/>
      <c r="P434"/>
    </row>
    <row r="435" spans="4:16">
      <c r="D435" s="158" t="s">
        <v>444</v>
      </c>
      <c r="E435" s="158" t="s">
        <v>238</v>
      </c>
      <c r="F435" s="1">
        <v>43255</v>
      </c>
      <c r="G435" s="158" t="s">
        <v>454</v>
      </c>
      <c r="H435" s="158" t="s">
        <v>359</v>
      </c>
      <c r="I435" s="158" t="s">
        <v>287</v>
      </c>
      <c r="J435" s="158" t="s">
        <v>261</v>
      </c>
      <c r="K435" s="158">
        <v>12.5</v>
      </c>
      <c r="L435"/>
      <c r="M435"/>
      <c r="N435"/>
      <c r="O435"/>
      <c r="P435"/>
    </row>
    <row r="436" spans="4:16">
      <c r="D436" s="158" t="s">
        <v>444</v>
      </c>
      <c r="E436" s="158" t="s">
        <v>237</v>
      </c>
      <c r="F436" s="1">
        <v>43257</v>
      </c>
      <c r="G436" s="158" t="s">
        <v>509</v>
      </c>
      <c r="H436" s="158" t="s">
        <v>359</v>
      </c>
      <c r="I436" s="158" t="s">
        <v>287</v>
      </c>
      <c r="J436" s="158" t="s">
        <v>261</v>
      </c>
      <c r="K436" s="158">
        <v>7.5</v>
      </c>
      <c r="L436"/>
      <c r="M436"/>
      <c r="N436"/>
      <c r="O436"/>
      <c r="P436"/>
    </row>
    <row r="437" spans="4:16">
      <c r="D437" s="158" t="s">
        <v>444</v>
      </c>
      <c r="E437" s="158" t="s">
        <v>238</v>
      </c>
      <c r="F437" s="1">
        <v>43283</v>
      </c>
      <c r="G437" s="158" t="s">
        <v>368</v>
      </c>
      <c r="H437" s="158" t="s">
        <v>369</v>
      </c>
      <c r="I437" s="158" t="s">
        <v>370</v>
      </c>
      <c r="J437" s="158" t="s">
        <v>261</v>
      </c>
      <c r="K437" s="158">
        <v>15.95</v>
      </c>
      <c r="L437"/>
      <c r="M437"/>
      <c r="N437"/>
      <c r="O437"/>
      <c r="P437"/>
    </row>
    <row r="438" spans="4:16">
      <c r="D438" s="158" t="s">
        <v>444</v>
      </c>
      <c r="E438" s="158" t="s">
        <v>237</v>
      </c>
      <c r="F438" s="1">
        <v>43290</v>
      </c>
      <c r="G438" s="158" t="s">
        <v>468</v>
      </c>
      <c r="H438" s="158" t="s">
        <v>460</v>
      </c>
      <c r="I438" s="158" t="s">
        <v>370</v>
      </c>
      <c r="J438" s="158" t="s">
        <v>261</v>
      </c>
      <c r="K438" s="158">
        <v>2.0499999999999998</v>
      </c>
      <c r="L438"/>
      <c r="M438"/>
      <c r="N438"/>
      <c r="O438"/>
      <c r="P438"/>
    </row>
    <row r="439" spans="4:16">
      <c r="D439" s="158" t="s">
        <v>444</v>
      </c>
      <c r="E439" s="158" t="s">
        <v>238</v>
      </c>
      <c r="F439" s="1">
        <v>43318</v>
      </c>
      <c r="G439" s="158" t="s">
        <v>469</v>
      </c>
      <c r="H439" s="158" t="s">
        <v>289</v>
      </c>
      <c r="I439" s="158" t="s">
        <v>290</v>
      </c>
      <c r="J439" s="158" t="s">
        <v>261</v>
      </c>
      <c r="K439" s="158">
        <v>19.399999999999999</v>
      </c>
      <c r="L439"/>
      <c r="M439"/>
      <c r="N439"/>
      <c r="O439"/>
      <c r="P439"/>
    </row>
    <row r="440" spans="4:16">
      <c r="D440" s="158" t="s">
        <v>444</v>
      </c>
      <c r="E440" s="158" t="s">
        <v>237</v>
      </c>
      <c r="F440" s="1">
        <v>43314</v>
      </c>
      <c r="G440" s="158" t="s">
        <v>526</v>
      </c>
      <c r="H440" s="158" t="s">
        <v>387</v>
      </c>
      <c r="I440" s="158" t="s">
        <v>290</v>
      </c>
      <c r="J440" s="158" t="s">
        <v>261</v>
      </c>
      <c r="K440" s="158">
        <v>0.6</v>
      </c>
      <c r="L440"/>
      <c r="M440"/>
      <c r="N440"/>
      <c r="O440"/>
      <c r="P440"/>
    </row>
    <row r="441" spans="4:16">
      <c r="D441" s="158" t="s">
        <v>444</v>
      </c>
      <c r="E441" s="158" t="s">
        <v>238</v>
      </c>
      <c r="F441" s="1">
        <v>43346</v>
      </c>
      <c r="G441" s="158" t="s">
        <v>389</v>
      </c>
      <c r="H441" s="158" t="s">
        <v>390</v>
      </c>
      <c r="I441" s="158" t="s">
        <v>260</v>
      </c>
      <c r="J441" s="158" t="s">
        <v>261</v>
      </c>
      <c r="K441" s="158">
        <v>14.6</v>
      </c>
      <c r="L441"/>
      <c r="M441"/>
      <c r="N441"/>
      <c r="O441"/>
      <c r="P441"/>
    </row>
    <row r="442" spans="4:16">
      <c r="D442" s="158" t="s">
        <v>444</v>
      </c>
      <c r="E442" s="158" t="s">
        <v>237</v>
      </c>
      <c r="F442" s="1">
        <v>43353</v>
      </c>
      <c r="G442" s="158" t="s">
        <v>456</v>
      </c>
      <c r="H442" s="158" t="s">
        <v>378</v>
      </c>
      <c r="I442" s="158" t="s">
        <v>260</v>
      </c>
      <c r="J442" s="158" t="s">
        <v>261</v>
      </c>
      <c r="K442" s="158">
        <v>0.4</v>
      </c>
      <c r="L442"/>
      <c r="M442"/>
      <c r="N442"/>
      <c r="O442"/>
      <c r="P442"/>
    </row>
    <row r="443" spans="4:16">
      <c r="D443" s="158" t="s">
        <v>444</v>
      </c>
      <c r="E443" s="158" t="s">
        <v>238</v>
      </c>
      <c r="F443" s="1">
        <v>43381</v>
      </c>
      <c r="G443" s="158" t="s">
        <v>266</v>
      </c>
      <c r="H443" s="158" t="s">
        <v>267</v>
      </c>
      <c r="I443" s="158" t="s">
        <v>264</v>
      </c>
      <c r="J443" s="158" t="s">
        <v>261</v>
      </c>
      <c r="K443" s="158">
        <v>15.5</v>
      </c>
      <c r="L443"/>
      <c r="M443"/>
      <c r="N443"/>
      <c r="O443"/>
      <c r="P443"/>
    </row>
    <row r="444" spans="4:16">
      <c r="D444" s="158" t="s">
        <v>444</v>
      </c>
      <c r="E444" s="158" t="s">
        <v>237</v>
      </c>
      <c r="F444" s="1">
        <v>43376</v>
      </c>
      <c r="G444" s="158" t="s">
        <v>262</v>
      </c>
      <c r="H444" s="158" t="s">
        <v>263</v>
      </c>
      <c r="I444" s="158" t="s">
        <v>264</v>
      </c>
      <c r="J444" s="158" t="s">
        <v>261</v>
      </c>
      <c r="K444" s="158">
        <v>5.5</v>
      </c>
      <c r="L444"/>
      <c r="M444"/>
      <c r="N444"/>
      <c r="O444"/>
      <c r="P444"/>
    </row>
    <row r="445" spans="4:16">
      <c r="D445" s="158" t="s">
        <v>444</v>
      </c>
      <c r="E445" s="158" t="s">
        <v>238</v>
      </c>
      <c r="F445" s="1">
        <v>43432</v>
      </c>
      <c r="G445" s="158" t="s">
        <v>401</v>
      </c>
      <c r="H445" s="158" t="s">
        <v>306</v>
      </c>
      <c r="I445" s="158" t="s">
        <v>299</v>
      </c>
      <c r="J445" s="158" t="s">
        <v>261</v>
      </c>
      <c r="K445" s="158">
        <v>17.55</v>
      </c>
      <c r="L445"/>
      <c r="M445"/>
      <c r="N445"/>
      <c r="O445"/>
      <c r="P445"/>
    </row>
    <row r="446" spans="4:16">
      <c r="D446" s="158" t="s">
        <v>444</v>
      </c>
      <c r="E446" s="158" t="s">
        <v>237</v>
      </c>
      <c r="F446" s="1">
        <v>43419</v>
      </c>
      <c r="G446" s="158" t="s">
        <v>304</v>
      </c>
      <c r="H446" s="158" t="s">
        <v>302</v>
      </c>
      <c r="I446" s="158" t="s">
        <v>299</v>
      </c>
      <c r="J446" s="158" t="s">
        <v>261</v>
      </c>
      <c r="K446" s="158">
        <v>2.95</v>
      </c>
      <c r="L446"/>
      <c r="M446"/>
      <c r="N446"/>
      <c r="O446"/>
      <c r="P446"/>
    </row>
    <row r="447" spans="4:16">
      <c r="D447" s="158" t="s">
        <v>547</v>
      </c>
      <c r="E447" s="158" t="s">
        <v>235</v>
      </c>
      <c r="F447" s="1">
        <v>43109</v>
      </c>
      <c r="G447" s="158" t="s">
        <v>476</v>
      </c>
      <c r="H447" s="158" t="s">
        <v>281</v>
      </c>
      <c r="I447" s="158" t="s">
        <v>282</v>
      </c>
      <c r="J447" s="158" t="s">
        <v>261</v>
      </c>
      <c r="K447" s="158">
        <v>16</v>
      </c>
      <c r="L447"/>
      <c r="M447"/>
      <c r="N447"/>
      <c r="O447"/>
      <c r="P447"/>
    </row>
    <row r="448" spans="4:16">
      <c r="D448" s="158" t="s">
        <v>547</v>
      </c>
      <c r="E448" s="158" t="s">
        <v>235</v>
      </c>
      <c r="F448" s="1">
        <v>43132</v>
      </c>
      <c r="G448" s="158" t="s">
        <v>312</v>
      </c>
      <c r="H448" s="158" t="s">
        <v>313</v>
      </c>
      <c r="I448" s="158" t="s">
        <v>281</v>
      </c>
      <c r="J448" s="158" t="s">
        <v>261</v>
      </c>
      <c r="K448" s="158">
        <v>15</v>
      </c>
      <c r="L448"/>
      <c r="M448"/>
      <c r="N448"/>
      <c r="O448"/>
      <c r="P448"/>
    </row>
    <row r="449" spans="4:16">
      <c r="D449" s="158" t="s">
        <v>547</v>
      </c>
      <c r="E449" s="158" t="s">
        <v>235</v>
      </c>
      <c r="F449" s="1">
        <v>43166</v>
      </c>
      <c r="G449" s="158" t="s">
        <v>331</v>
      </c>
      <c r="H449" s="158" t="s">
        <v>264</v>
      </c>
      <c r="I449" s="158" t="s">
        <v>284</v>
      </c>
      <c r="J449" s="158" t="s">
        <v>261</v>
      </c>
      <c r="K449" s="158">
        <v>20</v>
      </c>
      <c r="L449"/>
      <c r="M449"/>
      <c r="N449"/>
      <c r="O449"/>
      <c r="P449"/>
    </row>
    <row r="450" spans="4:16">
      <c r="D450" s="158" t="s">
        <v>547</v>
      </c>
      <c r="E450" s="158" t="s">
        <v>235</v>
      </c>
      <c r="F450" s="1">
        <v>43196</v>
      </c>
      <c r="G450" s="158" t="s">
        <v>342</v>
      </c>
      <c r="H450" s="158" t="s">
        <v>340</v>
      </c>
      <c r="I450" s="158" t="s">
        <v>341</v>
      </c>
      <c r="J450" s="158" t="s">
        <v>261</v>
      </c>
      <c r="K450" s="158">
        <v>18</v>
      </c>
      <c r="L450"/>
      <c r="M450"/>
      <c r="N450"/>
      <c r="O450"/>
      <c r="P450"/>
    </row>
    <row r="451" spans="4:16">
      <c r="D451" s="158" t="s">
        <v>547</v>
      </c>
      <c r="E451" s="158" t="s">
        <v>235</v>
      </c>
      <c r="F451" s="1">
        <v>43223</v>
      </c>
      <c r="G451" s="158" t="s">
        <v>528</v>
      </c>
      <c r="H451" s="158" t="s">
        <v>505</v>
      </c>
      <c r="I451" s="158" t="s">
        <v>313</v>
      </c>
      <c r="J451" s="158" t="s">
        <v>261</v>
      </c>
      <c r="K451" s="158">
        <v>17</v>
      </c>
      <c r="L451"/>
      <c r="M451"/>
      <c r="N451"/>
      <c r="O451"/>
      <c r="P451"/>
    </row>
    <row r="452" spans="4:16">
      <c r="D452" s="158" t="s">
        <v>547</v>
      </c>
      <c r="E452" s="158" t="s">
        <v>235</v>
      </c>
      <c r="F452" s="1">
        <v>43252</v>
      </c>
      <c r="G452" s="158" t="s">
        <v>495</v>
      </c>
      <c r="H452" s="158" t="s">
        <v>356</v>
      </c>
      <c r="I452" s="158" t="s">
        <v>287</v>
      </c>
      <c r="J452" s="158" t="s">
        <v>261</v>
      </c>
      <c r="K452" s="158">
        <v>18</v>
      </c>
      <c r="L452"/>
      <c r="M452"/>
      <c r="N452"/>
      <c r="O452"/>
      <c r="P452"/>
    </row>
    <row r="453" spans="4:16">
      <c r="D453" s="158" t="s">
        <v>547</v>
      </c>
      <c r="E453" s="158" t="s">
        <v>235</v>
      </c>
      <c r="F453" s="1">
        <v>43298</v>
      </c>
      <c r="G453" s="158" t="s">
        <v>438</v>
      </c>
      <c r="H453" s="158" t="s">
        <v>439</v>
      </c>
      <c r="I453" s="158" t="s">
        <v>370</v>
      </c>
      <c r="J453" s="158" t="s">
        <v>261</v>
      </c>
      <c r="K453" s="158">
        <v>16</v>
      </c>
      <c r="L453"/>
      <c r="M453"/>
      <c r="N453"/>
      <c r="O453"/>
      <c r="P453"/>
    </row>
    <row r="454" spans="4:16">
      <c r="D454" s="158" t="s">
        <v>547</v>
      </c>
      <c r="E454" s="158" t="s">
        <v>235</v>
      </c>
      <c r="F454" s="1">
        <v>43319</v>
      </c>
      <c r="G454" s="158" t="s">
        <v>514</v>
      </c>
      <c r="H454" s="158" t="s">
        <v>289</v>
      </c>
      <c r="I454" s="158" t="s">
        <v>290</v>
      </c>
      <c r="J454" s="158" t="s">
        <v>261</v>
      </c>
      <c r="K454" s="158">
        <v>21</v>
      </c>
      <c r="L454"/>
      <c r="M454"/>
      <c r="N454"/>
      <c r="O454"/>
      <c r="P454"/>
    </row>
    <row r="455" spans="4:16">
      <c r="D455" s="158" t="s">
        <v>547</v>
      </c>
      <c r="E455" s="158" t="s">
        <v>235</v>
      </c>
      <c r="F455" s="1">
        <v>43347</v>
      </c>
      <c r="G455" s="158" t="s">
        <v>517</v>
      </c>
      <c r="H455" s="158" t="s">
        <v>390</v>
      </c>
      <c r="I455" s="158" t="s">
        <v>260</v>
      </c>
      <c r="J455" s="158" t="s">
        <v>261</v>
      </c>
      <c r="K455" s="158">
        <v>18</v>
      </c>
      <c r="L455"/>
      <c r="M455"/>
      <c r="N455"/>
      <c r="O455"/>
      <c r="P455"/>
    </row>
    <row r="456" spans="4:16">
      <c r="D456" s="158" t="s">
        <v>547</v>
      </c>
      <c r="E456" s="158" t="s">
        <v>235</v>
      </c>
      <c r="F456" s="1">
        <v>43385</v>
      </c>
      <c r="G456" s="158" t="s">
        <v>394</v>
      </c>
      <c r="H456" s="158" t="s">
        <v>267</v>
      </c>
      <c r="I456" s="158" t="s">
        <v>264</v>
      </c>
      <c r="J456" s="158" t="s">
        <v>261</v>
      </c>
      <c r="K456" s="158">
        <v>17</v>
      </c>
      <c r="L456"/>
      <c r="M456"/>
      <c r="N456"/>
      <c r="O456"/>
      <c r="P456"/>
    </row>
    <row r="457" spans="4:16">
      <c r="D457" s="158" t="s">
        <v>547</v>
      </c>
      <c r="E457" s="158" t="s">
        <v>235</v>
      </c>
      <c r="F457" s="1">
        <v>43423</v>
      </c>
      <c r="G457" s="158" t="s">
        <v>415</v>
      </c>
      <c r="H457" s="158" t="s">
        <v>400</v>
      </c>
      <c r="I457" s="158" t="s">
        <v>299</v>
      </c>
      <c r="J457" s="158" t="s">
        <v>261</v>
      </c>
      <c r="K457" s="158">
        <v>20</v>
      </c>
      <c r="L457"/>
      <c r="M457"/>
      <c r="N457"/>
      <c r="O457"/>
      <c r="P457"/>
    </row>
    <row r="458" spans="4:16">
      <c r="D458" s="158" t="s">
        <v>547</v>
      </c>
      <c r="E458" s="158" t="s">
        <v>235</v>
      </c>
      <c r="F458" s="1">
        <v>43446</v>
      </c>
      <c r="G458" s="158" t="s">
        <v>597</v>
      </c>
      <c r="H458" s="158" t="s">
        <v>598</v>
      </c>
      <c r="I458" s="158" t="s">
        <v>335</v>
      </c>
      <c r="J458" s="158" t="s">
        <v>261</v>
      </c>
      <c r="K458" s="158">
        <v>5</v>
      </c>
      <c r="L458"/>
      <c r="M458"/>
      <c r="N458"/>
      <c r="O458"/>
      <c r="P458"/>
    </row>
    <row r="459" spans="4:16">
      <c r="D459" s="158" t="s">
        <v>541</v>
      </c>
      <c r="E459" s="158" t="s">
        <v>235</v>
      </c>
      <c r="F459" s="1">
        <v>43103</v>
      </c>
      <c r="G459" s="158" t="s">
        <v>498</v>
      </c>
      <c r="H459" s="158" t="s">
        <v>282</v>
      </c>
      <c r="I459" s="158" t="s">
        <v>282</v>
      </c>
      <c r="J459" s="158" t="s">
        <v>261</v>
      </c>
      <c r="K459" s="158">
        <v>19</v>
      </c>
      <c r="L459"/>
      <c r="M459"/>
      <c r="N459"/>
      <c r="O459"/>
      <c r="P459"/>
    </row>
    <row r="460" spans="4:16">
      <c r="D460" s="158" t="s">
        <v>541</v>
      </c>
      <c r="E460" s="158" t="s">
        <v>235</v>
      </c>
      <c r="F460" s="1">
        <v>43132</v>
      </c>
      <c r="G460" s="158" t="s">
        <v>312</v>
      </c>
      <c r="H460" s="158" t="s">
        <v>313</v>
      </c>
      <c r="I460" s="158" t="s">
        <v>281</v>
      </c>
      <c r="J460" s="158" t="s">
        <v>261</v>
      </c>
      <c r="K460" s="158">
        <v>16</v>
      </c>
      <c r="L460"/>
      <c r="M460"/>
      <c r="N460"/>
      <c r="O460"/>
      <c r="P460"/>
    </row>
    <row r="461" spans="4:16">
      <c r="D461" s="158" t="s">
        <v>541</v>
      </c>
      <c r="E461" s="158" t="s">
        <v>236</v>
      </c>
      <c r="F461" s="1">
        <v>43146</v>
      </c>
      <c r="G461" s="158" t="s">
        <v>487</v>
      </c>
      <c r="H461" s="158" t="s">
        <v>370</v>
      </c>
      <c r="I461" s="158" t="s">
        <v>281</v>
      </c>
      <c r="J461" s="158" t="s">
        <v>261</v>
      </c>
      <c r="K461" s="158">
        <v>2</v>
      </c>
      <c r="L461"/>
      <c r="M461"/>
      <c r="N461"/>
      <c r="O461"/>
      <c r="P461"/>
    </row>
    <row r="462" spans="4:16">
      <c r="D462" s="158" t="s">
        <v>541</v>
      </c>
      <c r="E462" s="158" t="s">
        <v>235</v>
      </c>
      <c r="F462" s="1">
        <v>43160</v>
      </c>
      <c r="G462" s="158" t="s">
        <v>327</v>
      </c>
      <c r="H462" s="158" t="s">
        <v>260</v>
      </c>
      <c r="I462" s="158" t="s">
        <v>284</v>
      </c>
      <c r="J462" s="158" t="s">
        <v>261</v>
      </c>
      <c r="K462" s="158">
        <v>16.5</v>
      </c>
      <c r="L462"/>
      <c r="M462"/>
      <c r="N462"/>
      <c r="O462"/>
      <c r="P462"/>
    </row>
    <row r="463" spans="4:16">
      <c r="D463" s="158" t="s">
        <v>541</v>
      </c>
      <c r="E463" s="158" t="s">
        <v>236</v>
      </c>
      <c r="F463" s="1">
        <v>43161</v>
      </c>
      <c r="G463" s="158" t="s">
        <v>328</v>
      </c>
      <c r="H463" s="158" t="s">
        <v>260</v>
      </c>
      <c r="I463" s="158" t="s">
        <v>284</v>
      </c>
      <c r="J463" s="158" t="s">
        <v>261</v>
      </c>
      <c r="K463" s="158">
        <v>4</v>
      </c>
      <c r="L463"/>
      <c r="M463"/>
      <c r="N463"/>
      <c r="O463"/>
      <c r="P463"/>
    </row>
    <row r="464" spans="4:16">
      <c r="D464" s="158" t="s">
        <v>541</v>
      </c>
      <c r="E464" s="158" t="s">
        <v>235</v>
      </c>
      <c r="F464" s="1">
        <v>43193</v>
      </c>
      <c r="G464" s="158" t="s">
        <v>383</v>
      </c>
      <c r="H464" s="158" t="s">
        <v>340</v>
      </c>
      <c r="I464" s="158" t="s">
        <v>341</v>
      </c>
      <c r="J464" s="158" t="s">
        <v>261</v>
      </c>
      <c r="K464" s="158">
        <v>14.5</v>
      </c>
      <c r="L464"/>
      <c r="M464"/>
      <c r="N464"/>
      <c r="O464"/>
      <c r="P464"/>
    </row>
    <row r="465" spans="4:16">
      <c r="D465" s="158" t="s">
        <v>541</v>
      </c>
      <c r="E465" s="158" t="s">
        <v>236</v>
      </c>
      <c r="F465" s="1">
        <v>43194</v>
      </c>
      <c r="G465" s="158" t="s">
        <v>339</v>
      </c>
      <c r="H465" s="158" t="s">
        <v>340</v>
      </c>
      <c r="I465" s="158" t="s">
        <v>341</v>
      </c>
      <c r="J465" s="158" t="s">
        <v>261</v>
      </c>
      <c r="K465" s="158">
        <v>2.5</v>
      </c>
      <c r="L465"/>
      <c r="M465"/>
      <c r="N465"/>
      <c r="O465"/>
      <c r="P465"/>
    </row>
    <row r="466" spans="4:16">
      <c r="D466" s="158" t="s">
        <v>541</v>
      </c>
      <c r="E466" s="158" t="s">
        <v>235</v>
      </c>
      <c r="F466" s="1">
        <v>43222</v>
      </c>
      <c r="G466" s="158" t="s">
        <v>504</v>
      </c>
      <c r="H466" s="158" t="s">
        <v>505</v>
      </c>
      <c r="I466" s="158" t="s">
        <v>313</v>
      </c>
      <c r="J466" s="158" t="s">
        <v>261</v>
      </c>
      <c r="K466" s="158">
        <v>10</v>
      </c>
      <c r="L466"/>
      <c r="M466"/>
      <c r="N466"/>
      <c r="O466"/>
      <c r="P466"/>
    </row>
    <row r="467" spans="4:16">
      <c r="D467" s="158" t="s">
        <v>541</v>
      </c>
      <c r="E467" s="158" t="s">
        <v>236</v>
      </c>
      <c r="F467" s="1">
        <v>43237</v>
      </c>
      <c r="G467" s="158" t="s">
        <v>506</v>
      </c>
      <c r="H467" s="158" t="s">
        <v>352</v>
      </c>
      <c r="I467" s="158" t="s">
        <v>313</v>
      </c>
      <c r="J467" s="158" t="s">
        <v>261</v>
      </c>
      <c r="K467" s="158">
        <v>0.5</v>
      </c>
      <c r="L467"/>
      <c r="M467"/>
      <c r="N467"/>
      <c r="O467"/>
      <c r="P467"/>
    </row>
    <row r="468" spans="4:16">
      <c r="D468" s="158" t="s">
        <v>541</v>
      </c>
      <c r="E468" s="158" t="s">
        <v>235</v>
      </c>
      <c r="F468" s="1">
        <v>43272</v>
      </c>
      <c r="G468" s="158" t="s">
        <v>424</v>
      </c>
      <c r="H468" s="158" t="s">
        <v>366</v>
      </c>
      <c r="I468" s="158" t="s">
        <v>287</v>
      </c>
      <c r="J468" s="158" t="s">
        <v>261</v>
      </c>
      <c r="K468" s="158">
        <v>5</v>
      </c>
      <c r="L468"/>
      <c r="M468"/>
      <c r="N468"/>
      <c r="O468"/>
      <c r="P468"/>
    </row>
    <row r="469" spans="4:16">
      <c r="D469" s="158" t="s">
        <v>541</v>
      </c>
      <c r="E469" s="158" t="s">
        <v>236</v>
      </c>
      <c r="F469" s="1">
        <v>43279</v>
      </c>
      <c r="G469" s="158" t="s">
        <v>285</v>
      </c>
      <c r="H469" s="158" t="s">
        <v>286</v>
      </c>
      <c r="I469" s="158" t="s">
        <v>287</v>
      </c>
      <c r="J469" s="158" t="s">
        <v>261</v>
      </c>
      <c r="K469" s="158">
        <v>2</v>
      </c>
      <c r="L469"/>
      <c r="M469"/>
      <c r="N469"/>
      <c r="O469"/>
      <c r="P469"/>
    </row>
    <row r="470" spans="4:16">
      <c r="D470" s="158" t="s">
        <v>541</v>
      </c>
      <c r="E470" s="158" t="s">
        <v>235</v>
      </c>
      <c r="F470" s="1">
        <v>43283</v>
      </c>
      <c r="G470" s="158" t="s">
        <v>368</v>
      </c>
      <c r="H470" s="158" t="s">
        <v>369</v>
      </c>
      <c r="I470" s="158" t="s">
        <v>370</v>
      </c>
      <c r="J470" s="158" t="s">
        <v>261</v>
      </c>
      <c r="K470" s="158">
        <v>15</v>
      </c>
      <c r="L470"/>
      <c r="M470"/>
      <c r="N470"/>
      <c r="O470"/>
      <c r="P470"/>
    </row>
    <row r="471" spans="4:16">
      <c r="D471" s="158" t="s">
        <v>541</v>
      </c>
      <c r="E471" s="158" t="s">
        <v>236</v>
      </c>
      <c r="F471" s="1">
        <v>43290</v>
      </c>
      <c r="G471" s="158" t="s">
        <v>468</v>
      </c>
      <c r="H471" s="158" t="s">
        <v>460</v>
      </c>
      <c r="I471" s="158" t="s">
        <v>370</v>
      </c>
      <c r="J471" s="158" t="s">
        <v>261</v>
      </c>
      <c r="K471" s="158">
        <v>5</v>
      </c>
      <c r="L471"/>
      <c r="M471"/>
      <c r="N471"/>
      <c r="O471"/>
      <c r="P471"/>
    </row>
    <row r="472" spans="4:16">
      <c r="D472" s="158" t="s">
        <v>541</v>
      </c>
      <c r="E472" s="158" t="s">
        <v>235</v>
      </c>
      <c r="F472" s="1">
        <v>43313</v>
      </c>
      <c r="G472" s="158" t="s">
        <v>388</v>
      </c>
      <c r="H472" s="158" t="s">
        <v>387</v>
      </c>
      <c r="I472" s="158" t="s">
        <v>290</v>
      </c>
      <c r="J472" s="158" t="s">
        <v>261</v>
      </c>
      <c r="K472" s="158">
        <v>18</v>
      </c>
      <c r="L472"/>
      <c r="M472"/>
      <c r="N472"/>
      <c r="O472"/>
      <c r="P472"/>
    </row>
    <row r="473" spans="4:16">
      <c r="D473" s="158" t="s">
        <v>541</v>
      </c>
      <c r="E473" s="158" t="s">
        <v>236</v>
      </c>
      <c r="F473" s="1">
        <v>43322</v>
      </c>
      <c r="G473" s="158" t="s">
        <v>291</v>
      </c>
      <c r="H473" s="158" t="s">
        <v>289</v>
      </c>
      <c r="I473" s="158" t="s">
        <v>290</v>
      </c>
      <c r="J473" s="158" t="s">
        <v>261</v>
      </c>
      <c r="K473" s="158">
        <v>2</v>
      </c>
      <c r="L473"/>
      <c r="M473"/>
      <c r="N473"/>
      <c r="O473"/>
      <c r="P473"/>
    </row>
    <row r="474" spans="4:16">
      <c r="D474" s="158" t="s">
        <v>541</v>
      </c>
      <c r="E474" s="158" t="s">
        <v>235</v>
      </c>
      <c r="F474" s="1">
        <v>43346</v>
      </c>
      <c r="G474" s="158" t="s">
        <v>389</v>
      </c>
      <c r="H474" s="158" t="s">
        <v>390</v>
      </c>
      <c r="I474" s="158" t="s">
        <v>260</v>
      </c>
      <c r="J474" s="158" t="s">
        <v>261</v>
      </c>
      <c r="K474" s="158">
        <v>18</v>
      </c>
      <c r="L474"/>
      <c r="M474"/>
      <c r="N474"/>
      <c r="O474"/>
      <c r="P474"/>
    </row>
    <row r="475" spans="4:16">
      <c r="D475" s="158" t="s">
        <v>541</v>
      </c>
      <c r="E475" s="158" t="s">
        <v>236</v>
      </c>
      <c r="F475" s="1">
        <v>43348</v>
      </c>
      <c r="G475" s="158" t="s">
        <v>472</v>
      </c>
      <c r="H475" s="158" t="s">
        <v>390</v>
      </c>
      <c r="I475" s="158" t="s">
        <v>260</v>
      </c>
      <c r="J475" s="158" t="s">
        <v>261</v>
      </c>
      <c r="K475" s="158">
        <v>2</v>
      </c>
      <c r="L475"/>
      <c r="M475"/>
      <c r="N475"/>
      <c r="O475"/>
      <c r="P475"/>
    </row>
    <row r="476" spans="4:16">
      <c r="D476" s="158" t="s">
        <v>541</v>
      </c>
      <c r="E476" s="158" t="s">
        <v>235</v>
      </c>
      <c r="F476" s="1">
        <v>43381</v>
      </c>
      <c r="G476" s="158" t="s">
        <v>266</v>
      </c>
      <c r="H476" s="158" t="s">
        <v>267</v>
      </c>
      <c r="I476" s="158" t="s">
        <v>264</v>
      </c>
      <c r="J476" s="158" t="s">
        <v>261</v>
      </c>
      <c r="K476" s="158">
        <v>14</v>
      </c>
      <c r="L476"/>
      <c r="M476"/>
      <c r="N476"/>
      <c r="O476"/>
      <c r="P476"/>
    </row>
    <row r="477" spans="4:16">
      <c r="D477" s="158" t="s">
        <v>541</v>
      </c>
      <c r="E477" s="158" t="s">
        <v>236</v>
      </c>
      <c r="F477" s="1">
        <v>43382</v>
      </c>
      <c r="G477" s="158" t="s">
        <v>268</v>
      </c>
      <c r="H477" s="158" t="s">
        <v>267</v>
      </c>
      <c r="I477" s="158" t="s">
        <v>264</v>
      </c>
      <c r="J477" s="158" t="s">
        <v>261</v>
      </c>
      <c r="K477" s="158">
        <v>3</v>
      </c>
      <c r="L477"/>
      <c r="M477"/>
      <c r="N477"/>
      <c r="O477"/>
      <c r="P477"/>
    </row>
    <row r="478" spans="4:16">
      <c r="D478" s="158" t="s">
        <v>541</v>
      </c>
      <c r="E478" s="158" t="s">
        <v>235</v>
      </c>
      <c r="F478" s="1">
        <v>43406</v>
      </c>
      <c r="G478" s="158" t="s">
        <v>483</v>
      </c>
      <c r="H478" s="158" t="s">
        <v>465</v>
      </c>
      <c r="I478" s="158" t="s">
        <v>299</v>
      </c>
      <c r="J478" s="158" t="s">
        <v>261</v>
      </c>
      <c r="K478" s="158">
        <v>17</v>
      </c>
      <c r="L478"/>
      <c r="M478"/>
      <c r="N478"/>
      <c r="O478"/>
      <c r="P478"/>
    </row>
    <row r="479" spans="4:16">
      <c r="D479" s="158" t="s">
        <v>541</v>
      </c>
      <c r="E479" s="158" t="s">
        <v>236</v>
      </c>
      <c r="F479" s="1">
        <v>43410</v>
      </c>
      <c r="G479" s="158" t="s">
        <v>297</v>
      </c>
      <c r="H479" s="158" t="s">
        <v>298</v>
      </c>
      <c r="I479" s="158" t="s">
        <v>299</v>
      </c>
      <c r="J479" s="158" t="s">
        <v>261</v>
      </c>
      <c r="K479" s="158">
        <v>2</v>
      </c>
      <c r="L479"/>
      <c r="M479"/>
      <c r="N479"/>
      <c r="O479"/>
      <c r="P479"/>
    </row>
    <row r="480" spans="4:16">
      <c r="D480" s="158" t="s">
        <v>546</v>
      </c>
      <c r="E480" s="158" t="s">
        <v>235</v>
      </c>
      <c r="F480" s="1">
        <v>43108</v>
      </c>
      <c r="G480" s="158" t="s">
        <v>448</v>
      </c>
      <c r="H480" s="158" t="s">
        <v>281</v>
      </c>
      <c r="I480" s="158" t="s">
        <v>282</v>
      </c>
      <c r="J480" s="158" t="s">
        <v>261</v>
      </c>
      <c r="K480" s="158">
        <v>18</v>
      </c>
      <c r="L480"/>
      <c r="M480"/>
      <c r="N480"/>
      <c r="O480"/>
      <c r="P480"/>
    </row>
    <row r="481" spans="4:16">
      <c r="D481" s="158" t="s">
        <v>546</v>
      </c>
      <c r="E481" s="158" t="s">
        <v>235</v>
      </c>
      <c r="F481" s="1">
        <v>43133</v>
      </c>
      <c r="G481" s="158" t="s">
        <v>314</v>
      </c>
      <c r="H481" s="158" t="s">
        <v>313</v>
      </c>
      <c r="I481" s="158" t="s">
        <v>281</v>
      </c>
      <c r="J481" s="158" t="s">
        <v>261</v>
      </c>
      <c r="K481" s="158">
        <v>19</v>
      </c>
      <c r="L481"/>
      <c r="M481"/>
      <c r="N481"/>
      <c r="O481"/>
      <c r="P481"/>
    </row>
    <row r="482" spans="4:16">
      <c r="D482" s="158" t="s">
        <v>546</v>
      </c>
      <c r="E482" s="158" t="s">
        <v>235</v>
      </c>
      <c r="F482" s="1">
        <v>43160</v>
      </c>
      <c r="G482" s="158" t="s">
        <v>327</v>
      </c>
      <c r="H482" s="158" t="s">
        <v>260</v>
      </c>
      <c r="I482" s="158" t="s">
        <v>284</v>
      </c>
      <c r="J482" s="158" t="s">
        <v>261</v>
      </c>
      <c r="K482" s="158">
        <v>22</v>
      </c>
      <c r="L482"/>
      <c r="M482"/>
      <c r="N482"/>
      <c r="O482"/>
      <c r="P482"/>
    </row>
    <row r="483" spans="4:16">
      <c r="D483" s="158" t="s">
        <v>546</v>
      </c>
      <c r="E483" s="158" t="s">
        <v>235</v>
      </c>
      <c r="F483" s="1">
        <v>43193</v>
      </c>
      <c r="G483" s="158" t="s">
        <v>383</v>
      </c>
      <c r="H483" s="158" t="s">
        <v>340</v>
      </c>
      <c r="I483" s="158" t="s">
        <v>341</v>
      </c>
      <c r="J483" s="158" t="s">
        <v>261</v>
      </c>
      <c r="K483" s="158">
        <v>19.5</v>
      </c>
      <c r="L483"/>
      <c r="M483"/>
      <c r="N483"/>
      <c r="O483"/>
      <c r="P483"/>
    </row>
    <row r="484" spans="4:16">
      <c r="D484" s="158" t="s">
        <v>546</v>
      </c>
      <c r="E484" s="158" t="s">
        <v>235</v>
      </c>
      <c r="F484" s="1">
        <v>43222</v>
      </c>
      <c r="G484" s="158" t="s">
        <v>504</v>
      </c>
      <c r="H484" s="158" t="s">
        <v>505</v>
      </c>
      <c r="I484" s="158" t="s">
        <v>313</v>
      </c>
      <c r="J484" s="158" t="s">
        <v>261</v>
      </c>
      <c r="K484" s="158">
        <v>12</v>
      </c>
      <c r="L484"/>
      <c r="M484"/>
      <c r="N484"/>
      <c r="O484"/>
      <c r="P484"/>
    </row>
    <row r="485" spans="4:16">
      <c r="D485" s="158" t="s">
        <v>546</v>
      </c>
      <c r="E485" s="158" t="s">
        <v>235</v>
      </c>
      <c r="F485" s="1">
        <v>43252</v>
      </c>
      <c r="G485" s="158" t="s">
        <v>495</v>
      </c>
      <c r="H485" s="158" t="s">
        <v>356</v>
      </c>
      <c r="I485" s="158" t="s">
        <v>287</v>
      </c>
      <c r="J485" s="158" t="s">
        <v>261</v>
      </c>
      <c r="K485" s="158">
        <v>20.5</v>
      </c>
      <c r="L485"/>
      <c r="M485"/>
      <c r="N485"/>
      <c r="O485"/>
      <c r="P485"/>
    </row>
    <row r="486" spans="4:16">
      <c r="D486" s="158" t="s">
        <v>546</v>
      </c>
      <c r="E486" s="158" t="s">
        <v>235</v>
      </c>
      <c r="F486" s="1">
        <v>43294</v>
      </c>
      <c r="G486" s="158" t="s">
        <v>531</v>
      </c>
      <c r="H486" s="158" t="s">
        <v>460</v>
      </c>
      <c r="I486" s="158" t="s">
        <v>370</v>
      </c>
      <c r="J486" s="158" t="s">
        <v>261</v>
      </c>
      <c r="K486" s="158">
        <v>19.5</v>
      </c>
      <c r="L486"/>
      <c r="M486"/>
      <c r="N486"/>
      <c r="O486"/>
      <c r="P486"/>
    </row>
    <row r="487" spans="4:16">
      <c r="D487" s="158" t="s">
        <v>546</v>
      </c>
      <c r="E487" s="158" t="s">
        <v>235</v>
      </c>
      <c r="F487" s="1">
        <v>43319</v>
      </c>
      <c r="G487" s="158" t="s">
        <v>514</v>
      </c>
      <c r="H487" s="158" t="s">
        <v>289</v>
      </c>
      <c r="I487" s="158" t="s">
        <v>290</v>
      </c>
      <c r="J487" s="158" t="s">
        <v>261</v>
      </c>
      <c r="K487" s="158">
        <v>20</v>
      </c>
      <c r="L487"/>
      <c r="M487"/>
      <c r="N487"/>
      <c r="O487"/>
      <c r="P487"/>
    </row>
    <row r="488" spans="4:16">
      <c r="D488" s="158" t="s">
        <v>546</v>
      </c>
      <c r="E488" s="158" t="s">
        <v>235</v>
      </c>
      <c r="F488" s="1">
        <v>43368</v>
      </c>
      <c r="G488" s="158" t="s">
        <v>521</v>
      </c>
      <c r="H488" s="158" t="s">
        <v>259</v>
      </c>
      <c r="I488" s="158" t="s">
        <v>260</v>
      </c>
      <c r="J488" s="158" t="s">
        <v>261</v>
      </c>
      <c r="K488" s="158">
        <v>20</v>
      </c>
      <c r="L488"/>
      <c r="M488"/>
      <c r="N488"/>
      <c r="O488"/>
      <c r="P488"/>
    </row>
    <row r="489" spans="4:16">
      <c r="D489" s="158" t="s">
        <v>546</v>
      </c>
      <c r="E489" s="158" t="s">
        <v>235</v>
      </c>
      <c r="F489" s="1">
        <v>43374</v>
      </c>
      <c r="G489" s="158" t="s">
        <v>392</v>
      </c>
      <c r="H489" s="158" t="s">
        <v>263</v>
      </c>
      <c r="I489" s="158" t="s">
        <v>264</v>
      </c>
      <c r="J489" s="158" t="s">
        <v>261</v>
      </c>
      <c r="K489" s="158">
        <v>22.75</v>
      </c>
      <c r="L489"/>
      <c r="M489"/>
      <c r="N489"/>
      <c r="O489"/>
      <c r="P489"/>
    </row>
    <row r="490" spans="4:16">
      <c r="D490" s="158" t="s">
        <v>546</v>
      </c>
      <c r="E490" s="158" t="s">
        <v>235</v>
      </c>
      <c r="F490" s="1">
        <v>43413</v>
      </c>
      <c r="G490" s="158" t="s">
        <v>300</v>
      </c>
      <c r="H490" s="158" t="s">
        <v>298</v>
      </c>
      <c r="I490" s="158" t="s">
        <v>299</v>
      </c>
      <c r="J490" s="158" t="s">
        <v>261</v>
      </c>
      <c r="K490" s="158">
        <v>20</v>
      </c>
      <c r="L490"/>
      <c r="M490"/>
      <c r="N490"/>
      <c r="O490"/>
      <c r="P490"/>
    </row>
    <row r="491" spans="4:16">
      <c r="D491" s="158" t="s">
        <v>584</v>
      </c>
      <c r="E491" s="158" t="s">
        <v>235</v>
      </c>
      <c r="F491" s="1">
        <v>43340</v>
      </c>
      <c r="G491" s="158" t="s">
        <v>296</v>
      </c>
      <c r="H491" s="158" t="s">
        <v>295</v>
      </c>
      <c r="I491" s="158" t="s">
        <v>290</v>
      </c>
      <c r="J491" s="158" t="s">
        <v>261</v>
      </c>
      <c r="K491" s="158">
        <v>4</v>
      </c>
      <c r="L491"/>
      <c r="M491"/>
      <c r="N491"/>
      <c r="O491"/>
      <c r="P491"/>
    </row>
    <row r="492" spans="4:16">
      <c r="D492" s="158" t="s">
        <v>584</v>
      </c>
      <c r="E492" s="158" t="s">
        <v>235</v>
      </c>
      <c r="F492" s="1">
        <v>43363</v>
      </c>
      <c r="G492" s="158" t="s">
        <v>520</v>
      </c>
      <c r="H492" s="158" t="s">
        <v>405</v>
      </c>
      <c r="I492" s="158" t="s">
        <v>260</v>
      </c>
      <c r="J492" s="158" t="s">
        <v>261</v>
      </c>
      <c r="K492" s="158">
        <v>19.5</v>
      </c>
      <c r="L492"/>
      <c r="M492"/>
      <c r="N492"/>
      <c r="O492"/>
      <c r="P492"/>
    </row>
    <row r="493" spans="4:16">
      <c r="D493" s="158" t="s">
        <v>584</v>
      </c>
      <c r="E493" s="158" t="s">
        <v>235</v>
      </c>
      <c r="F493" s="1">
        <v>43396</v>
      </c>
      <c r="G493" s="158" t="s">
        <v>309</v>
      </c>
      <c r="H493" s="158" t="s">
        <v>273</v>
      </c>
      <c r="I493" s="158" t="s">
        <v>264</v>
      </c>
      <c r="J493" s="158" t="s">
        <v>261</v>
      </c>
      <c r="K493" s="158">
        <v>21.5</v>
      </c>
      <c r="L493"/>
      <c r="M493"/>
      <c r="N493"/>
      <c r="O493"/>
      <c r="P493"/>
    </row>
    <row r="494" spans="4:16">
      <c r="D494" s="158" t="s">
        <v>584</v>
      </c>
      <c r="E494" s="158" t="s">
        <v>235</v>
      </c>
      <c r="F494" s="1">
        <v>43409</v>
      </c>
      <c r="G494" s="158" t="s">
        <v>411</v>
      </c>
      <c r="H494" s="158" t="s">
        <v>298</v>
      </c>
      <c r="I494" s="158" t="s">
        <v>299</v>
      </c>
      <c r="J494" s="158" t="s">
        <v>261</v>
      </c>
      <c r="K494" s="158">
        <v>20</v>
      </c>
      <c r="L494"/>
      <c r="M494"/>
      <c r="N494"/>
      <c r="O494"/>
      <c r="P494"/>
    </row>
    <row r="495" spans="4:16">
      <c r="D495" s="158" t="s">
        <v>621</v>
      </c>
      <c r="E495" s="158" t="s">
        <v>235</v>
      </c>
      <c r="F495" s="1">
        <v>43430</v>
      </c>
      <c r="G495" s="158" t="s">
        <v>305</v>
      </c>
      <c r="H495" s="158" t="s">
        <v>306</v>
      </c>
      <c r="I495" s="158" t="s">
        <v>299</v>
      </c>
      <c r="J495" s="158" t="s">
        <v>261</v>
      </c>
      <c r="K495" s="158">
        <v>15</v>
      </c>
      <c r="L495"/>
      <c r="M495"/>
      <c r="N495"/>
      <c r="O495"/>
      <c r="P495"/>
    </row>
    <row r="496" spans="4:16">
      <c r="D496" s="158" t="s">
        <v>543</v>
      </c>
      <c r="E496" s="158" t="s">
        <v>235</v>
      </c>
      <c r="F496" s="1">
        <v>43108</v>
      </c>
      <c r="G496" s="158" t="s">
        <v>448</v>
      </c>
      <c r="H496" s="158" t="s">
        <v>281</v>
      </c>
      <c r="I496" s="158" t="s">
        <v>282</v>
      </c>
      <c r="J496" s="158" t="s">
        <v>261</v>
      </c>
      <c r="K496" s="158">
        <v>17</v>
      </c>
      <c r="L496"/>
      <c r="M496"/>
      <c r="N496"/>
      <c r="O496"/>
      <c r="P496"/>
    </row>
    <row r="497" spans="4:16">
      <c r="D497" s="158" t="s">
        <v>543</v>
      </c>
      <c r="E497" s="158" t="s">
        <v>235</v>
      </c>
      <c r="F497" s="1">
        <v>43132</v>
      </c>
      <c r="G497" s="158" t="s">
        <v>312</v>
      </c>
      <c r="H497" s="158" t="s">
        <v>313</v>
      </c>
      <c r="I497" s="158" t="s">
        <v>281</v>
      </c>
      <c r="J497" s="158" t="s">
        <v>261</v>
      </c>
      <c r="K497" s="158">
        <v>8</v>
      </c>
      <c r="L497"/>
      <c r="M497"/>
      <c r="N497"/>
      <c r="O497"/>
      <c r="P497"/>
    </row>
    <row r="498" spans="4:16">
      <c r="D498" s="158" t="s">
        <v>543</v>
      </c>
      <c r="E498" s="158" t="s">
        <v>236</v>
      </c>
      <c r="F498" s="1">
        <v>43144</v>
      </c>
      <c r="G498" s="158" t="s">
        <v>431</v>
      </c>
      <c r="H498" s="158" t="s">
        <v>370</v>
      </c>
      <c r="I498" s="158" t="s">
        <v>281</v>
      </c>
      <c r="J498" s="158" t="s">
        <v>261</v>
      </c>
      <c r="K498" s="158">
        <v>12</v>
      </c>
      <c r="L498"/>
      <c r="M498"/>
      <c r="N498"/>
      <c r="O498"/>
      <c r="P498"/>
    </row>
    <row r="499" spans="4:16">
      <c r="D499" s="158" t="s">
        <v>543</v>
      </c>
      <c r="E499" s="158" t="s">
        <v>235</v>
      </c>
      <c r="F499" s="1">
        <v>43160</v>
      </c>
      <c r="G499" s="158" t="s">
        <v>327</v>
      </c>
      <c r="H499" s="158" t="s">
        <v>260</v>
      </c>
      <c r="I499" s="158" t="s">
        <v>284</v>
      </c>
      <c r="J499" s="158" t="s">
        <v>261</v>
      </c>
      <c r="K499" s="158">
        <v>13.5</v>
      </c>
      <c r="L499"/>
      <c r="M499"/>
      <c r="N499"/>
      <c r="O499"/>
      <c r="P499"/>
    </row>
    <row r="500" spans="4:16">
      <c r="D500" s="158" t="s">
        <v>543</v>
      </c>
      <c r="E500" s="158" t="s">
        <v>236</v>
      </c>
      <c r="F500" s="1">
        <v>43167</v>
      </c>
      <c r="G500" s="158" t="s">
        <v>332</v>
      </c>
      <c r="H500" s="158" t="s">
        <v>264</v>
      </c>
      <c r="I500" s="158" t="s">
        <v>284</v>
      </c>
      <c r="J500" s="158" t="s">
        <v>261</v>
      </c>
      <c r="K500" s="158">
        <v>6</v>
      </c>
      <c r="L500"/>
      <c r="M500"/>
      <c r="N500"/>
      <c r="O500"/>
      <c r="P500"/>
    </row>
    <row r="501" spans="4:16">
      <c r="D501" s="158" t="s">
        <v>543</v>
      </c>
      <c r="E501" s="158" t="s">
        <v>235</v>
      </c>
      <c r="F501" s="1">
        <v>43193</v>
      </c>
      <c r="G501" s="158" t="s">
        <v>383</v>
      </c>
      <c r="H501" s="158" t="s">
        <v>340</v>
      </c>
      <c r="I501" s="158" t="s">
        <v>341</v>
      </c>
      <c r="J501" s="158" t="s">
        <v>261</v>
      </c>
      <c r="K501" s="158">
        <v>11</v>
      </c>
      <c r="L501"/>
      <c r="M501"/>
      <c r="N501"/>
      <c r="O501"/>
      <c r="P501"/>
    </row>
    <row r="502" spans="4:16">
      <c r="D502" s="158" t="s">
        <v>543</v>
      </c>
      <c r="E502" s="158" t="s">
        <v>236</v>
      </c>
      <c r="F502" s="1">
        <v>43202</v>
      </c>
      <c r="G502" s="158" t="s">
        <v>409</v>
      </c>
      <c r="H502" s="158" t="s">
        <v>344</v>
      </c>
      <c r="I502" s="158" t="s">
        <v>341</v>
      </c>
      <c r="J502" s="158" t="s">
        <v>261</v>
      </c>
      <c r="K502" s="158">
        <v>6</v>
      </c>
      <c r="L502"/>
      <c r="M502"/>
      <c r="N502"/>
      <c r="O502"/>
      <c r="P502"/>
    </row>
    <row r="503" spans="4:16">
      <c r="D503" s="158" t="s">
        <v>543</v>
      </c>
      <c r="E503" s="158" t="s">
        <v>235</v>
      </c>
      <c r="F503" s="1">
        <v>43223</v>
      </c>
      <c r="G503" s="158" t="s">
        <v>528</v>
      </c>
      <c r="H503" s="158" t="s">
        <v>505</v>
      </c>
      <c r="I503" s="158" t="s">
        <v>313</v>
      </c>
      <c r="J503" s="158" t="s">
        <v>261</v>
      </c>
      <c r="K503" s="158">
        <v>6</v>
      </c>
      <c r="L503"/>
      <c r="M503"/>
      <c r="N503"/>
      <c r="O503"/>
      <c r="P503"/>
    </row>
    <row r="504" spans="4:16">
      <c r="D504" s="158" t="s">
        <v>543</v>
      </c>
      <c r="E504" s="158" t="s">
        <v>236</v>
      </c>
      <c r="F504" s="1">
        <v>43222</v>
      </c>
      <c r="G504" s="158" t="s">
        <v>504</v>
      </c>
      <c r="H504" s="158" t="s">
        <v>505</v>
      </c>
      <c r="I504" s="158" t="s">
        <v>313</v>
      </c>
      <c r="J504" s="158" t="s">
        <v>261</v>
      </c>
      <c r="K504" s="158">
        <v>5</v>
      </c>
      <c r="L504"/>
      <c r="M504"/>
      <c r="N504"/>
      <c r="O504"/>
      <c r="P504"/>
    </row>
    <row r="505" spans="4:16">
      <c r="D505" s="158" t="s">
        <v>543</v>
      </c>
      <c r="E505" s="158" t="s">
        <v>235</v>
      </c>
      <c r="F505" s="1">
        <v>43256</v>
      </c>
      <c r="G505" s="158" t="s">
        <v>508</v>
      </c>
      <c r="H505" s="158" t="s">
        <v>359</v>
      </c>
      <c r="I505" s="158" t="s">
        <v>287</v>
      </c>
      <c r="J505" s="158" t="s">
        <v>261</v>
      </c>
      <c r="K505" s="158">
        <v>12</v>
      </c>
      <c r="L505"/>
      <c r="M505"/>
      <c r="N505"/>
      <c r="O505"/>
      <c r="P505"/>
    </row>
    <row r="506" spans="4:16">
      <c r="D506" s="158" t="s">
        <v>543</v>
      </c>
      <c r="E506" s="158" t="s">
        <v>236</v>
      </c>
      <c r="F506" s="1">
        <v>43252</v>
      </c>
      <c r="G506" s="158" t="s">
        <v>495</v>
      </c>
      <c r="H506" s="158" t="s">
        <v>356</v>
      </c>
      <c r="I506" s="158" t="s">
        <v>287</v>
      </c>
      <c r="J506" s="158" t="s">
        <v>261</v>
      </c>
      <c r="K506" s="158">
        <v>6</v>
      </c>
      <c r="L506"/>
      <c r="M506"/>
      <c r="N506"/>
      <c r="O506"/>
      <c r="P506"/>
    </row>
    <row r="507" spans="4:16">
      <c r="D507" s="158" t="s">
        <v>543</v>
      </c>
      <c r="E507" s="158" t="s">
        <v>235</v>
      </c>
      <c r="F507" s="1">
        <v>43286</v>
      </c>
      <c r="G507" s="158" t="s">
        <v>530</v>
      </c>
      <c r="H507" s="158" t="s">
        <v>369</v>
      </c>
      <c r="I507" s="158" t="s">
        <v>370</v>
      </c>
      <c r="J507" s="158" t="s">
        <v>261</v>
      </c>
      <c r="K507" s="158">
        <v>8</v>
      </c>
      <c r="L507"/>
      <c r="M507"/>
      <c r="N507"/>
      <c r="O507"/>
      <c r="P507"/>
    </row>
    <row r="508" spans="4:16">
      <c r="D508" s="158" t="s">
        <v>543</v>
      </c>
      <c r="E508" s="158" t="s">
        <v>236</v>
      </c>
      <c r="F508" s="1">
        <v>43283</v>
      </c>
      <c r="G508" s="158" t="s">
        <v>368</v>
      </c>
      <c r="H508" s="158" t="s">
        <v>369</v>
      </c>
      <c r="I508" s="158" t="s">
        <v>370</v>
      </c>
      <c r="J508" s="158" t="s">
        <v>261</v>
      </c>
      <c r="K508" s="158">
        <v>11</v>
      </c>
      <c r="L508"/>
      <c r="M508"/>
      <c r="N508"/>
      <c r="O508"/>
      <c r="P508"/>
    </row>
    <row r="509" spans="4:16">
      <c r="D509" s="158" t="s">
        <v>543</v>
      </c>
      <c r="E509" s="158" t="s">
        <v>235</v>
      </c>
      <c r="F509" s="1">
        <v>43332</v>
      </c>
      <c r="G509" s="158" t="s">
        <v>441</v>
      </c>
      <c r="H509" s="158" t="s">
        <v>375</v>
      </c>
      <c r="I509" s="158" t="s">
        <v>290</v>
      </c>
      <c r="J509" s="158" t="s">
        <v>261</v>
      </c>
      <c r="K509" s="158">
        <v>9</v>
      </c>
      <c r="L509"/>
      <c r="M509"/>
      <c r="N509"/>
      <c r="O509"/>
      <c r="P509"/>
    </row>
    <row r="510" spans="4:16">
      <c r="D510" s="158" t="s">
        <v>543</v>
      </c>
      <c r="E510" s="158" t="s">
        <v>236</v>
      </c>
      <c r="F510" s="1">
        <v>43313</v>
      </c>
      <c r="G510" s="158" t="s">
        <v>388</v>
      </c>
      <c r="H510" s="158" t="s">
        <v>387</v>
      </c>
      <c r="I510" s="158" t="s">
        <v>290</v>
      </c>
      <c r="J510" s="158" t="s">
        <v>261</v>
      </c>
      <c r="K510" s="158">
        <v>6</v>
      </c>
      <c r="L510"/>
      <c r="M510"/>
      <c r="N510"/>
      <c r="O510"/>
      <c r="P510"/>
    </row>
    <row r="511" spans="4:16">
      <c r="D511" s="158" t="s">
        <v>543</v>
      </c>
      <c r="E511" s="158" t="s">
        <v>235</v>
      </c>
      <c r="F511" s="1">
        <v>43346</v>
      </c>
      <c r="G511" s="158" t="s">
        <v>389</v>
      </c>
      <c r="H511" s="158" t="s">
        <v>390</v>
      </c>
      <c r="I511" s="158" t="s">
        <v>260</v>
      </c>
      <c r="J511" s="158" t="s">
        <v>261</v>
      </c>
      <c r="K511" s="158">
        <v>15.5</v>
      </c>
      <c r="L511"/>
      <c r="M511"/>
      <c r="N511"/>
      <c r="O511"/>
      <c r="P511"/>
    </row>
    <row r="512" spans="4:16">
      <c r="D512" s="158" t="s">
        <v>543</v>
      </c>
      <c r="E512" s="158" t="s">
        <v>236</v>
      </c>
      <c r="F512" s="1">
        <v>43349</v>
      </c>
      <c r="G512" s="158" t="s">
        <v>518</v>
      </c>
      <c r="H512" s="158" t="s">
        <v>390</v>
      </c>
      <c r="I512" s="158" t="s">
        <v>260</v>
      </c>
      <c r="J512" s="158" t="s">
        <v>261</v>
      </c>
      <c r="K512" s="158">
        <v>1.5</v>
      </c>
      <c r="L512"/>
      <c r="M512"/>
      <c r="N512"/>
      <c r="O512"/>
      <c r="P512"/>
    </row>
    <row r="513" spans="4:16">
      <c r="D513" s="158" t="s">
        <v>543</v>
      </c>
      <c r="E513" s="158" t="s">
        <v>235</v>
      </c>
      <c r="F513" s="1">
        <v>43374</v>
      </c>
      <c r="G513" s="158" t="s">
        <v>392</v>
      </c>
      <c r="H513" s="158" t="s">
        <v>263</v>
      </c>
      <c r="I513" s="158" t="s">
        <v>264</v>
      </c>
      <c r="J513" s="158" t="s">
        <v>261</v>
      </c>
      <c r="K513" s="158">
        <v>19</v>
      </c>
      <c r="L513"/>
      <c r="M513"/>
      <c r="N513"/>
      <c r="O513"/>
      <c r="P513"/>
    </row>
    <row r="514" spans="4:16">
      <c r="D514" s="158" t="s">
        <v>543</v>
      </c>
      <c r="E514" s="158" t="s">
        <v>236</v>
      </c>
      <c r="F514" s="1">
        <v>43384</v>
      </c>
      <c r="G514" s="158" t="s">
        <v>271</v>
      </c>
      <c r="H514" s="158" t="s">
        <v>267</v>
      </c>
      <c r="I514" s="158" t="s">
        <v>264</v>
      </c>
      <c r="J514" s="158" t="s">
        <v>261</v>
      </c>
      <c r="K514" s="158">
        <v>4</v>
      </c>
      <c r="L514"/>
      <c r="M514"/>
      <c r="N514"/>
      <c r="O514"/>
      <c r="P514"/>
    </row>
    <row r="515" spans="4:16">
      <c r="D515" s="158" t="s">
        <v>543</v>
      </c>
      <c r="E515" s="158" t="s">
        <v>235</v>
      </c>
      <c r="F515" s="1">
        <v>43418</v>
      </c>
      <c r="G515" s="158" t="s">
        <v>303</v>
      </c>
      <c r="H515" s="158" t="s">
        <v>302</v>
      </c>
      <c r="I515" s="158" t="s">
        <v>299</v>
      </c>
      <c r="J515" s="158" t="s">
        <v>261</v>
      </c>
      <c r="K515" s="158">
        <v>12.5</v>
      </c>
      <c r="L515"/>
      <c r="M515"/>
      <c r="N515"/>
      <c r="O515"/>
      <c r="P515"/>
    </row>
    <row r="516" spans="4:16">
      <c r="D516" s="158" t="s">
        <v>543</v>
      </c>
      <c r="E516" s="158" t="s">
        <v>236</v>
      </c>
      <c r="F516" s="1">
        <v>43409</v>
      </c>
      <c r="G516" s="158" t="s">
        <v>411</v>
      </c>
      <c r="H516" s="158" t="s">
        <v>298</v>
      </c>
      <c r="I516" s="158" t="s">
        <v>299</v>
      </c>
      <c r="J516" s="158" t="s">
        <v>261</v>
      </c>
      <c r="K516" s="158">
        <v>5</v>
      </c>
      <c r="L516"/>
      <c r="M516"/>
      <c r="N516"/>
      <c r="O516"/>
      <c r="P516"/>
    </row>
    <row r="517" spans="4:16">
      <c r="D517" s="158" t="s">
        <v>612</v>
      </c>
      <c r="E517" s="158" t="s">
        <v>238</v>
      </c>
      <c r="F517" s="1">
        <v>43368</v>
      </c>
      <c r="G517" s="158" t="s">
        <v>521</v>
      </c>
      <c r="H517" s="158" t="s">
        <v>259</v>
      </c>
      <c r="I517" s="158" t="s">
        <v>260</v>
      </c>
      <c r="J517" s="158" t="s">
        <v>261</v>
      </c>
      <c r="K517" s="158">
        <v>10</v>
      </c>
      <c r="L517"/>
      <c r="M517"/>
      <c r="N517"/>
      <c r="O517"/>
      <c r="P517"/>
    </row>
    <row r="518" spans="4:16">
      <c r="D518" s="158" t="s">
        <v>612</v>
      </c>
      <c r="E518" s="158" t="s">
        <v>238</v>
      </c>
      <c r="F518" s="1">
        <v>43374</v>
      </c>
      <c r="G518" s="158" t="s">
        <v>392</v>
      </c>
      <c r="H518" s="158" t="s">
        <v>263</v>
      </c>
      <c r="I518" s="158" t="s">
        <v>264</v>
      </c>
      <c r="J518" s="158" t="s">
        <v>261</v>
      </c>
      <c r="K518" s="158">
        <v>21.47</v>
      </c>
      <c r="L518"/>
      <c r="M518"/>
      <c r="N518"/>
      <c r="O518"/>
      <c r="P518"/>
    </row>
    <row r="519" spans="4:16">
      <c r="D519" s="158" t="s">
        <v>612</v>
      </c>
      <c r="E519" s="158" t="s">
        <v>237</v>
      </c>
      <c r="F519" s="1">
        <v>43388</v>
      </c>
      <c r="G519" s="158" t="s">
        <v>395</v>
      </c>
      <c r="H519" s="158" t="s">
        <v>396</v>
      </c>
      <c r="I519" s="158" t="s">
        <v>264</v>
      </c>
      <c r="J519" s="158" t="s">
        <v>261</v>
      </c>
      <c r="K519" s="158">
        <v>1.53</v>
      </c>
      <c r="L519"/>
      <c r="M519"/>
      <c r="N519"/>
      <c r="O519"/>
      <c r="P519"/>
    </row>
    <row r="520" spans="4:16">
      <c r="D520" s="158" t="s">
        <v>612</v>
      </c>
      <c r="E520" s="158" t="s">
        <v>238</v>
      </c>
      <c r="F520" s="1">
        <v>43410</v>
      </c>
      <c r="G520" s="158" t="s">
        <v>297</v>
      </c>
      <c r="H520" s="158" t="s">
        <v>298</v>
      </c>
      <c r="I520" s="158" t="s">
        <v>299</v>
      </c>
      <c r="J520" s="158" t="s">
        <v>261</v>
      </c>
      <c r="K520" s="158">
        <v>18.46</v>
      </c>
      <c r="L520"/>
      <c r="M520"/>
      <c r="N520"/>
      <c r="O520"/>
      <c r="P520"/>
    </row>
    <row r="521" spans="4:16">
      <c r="D521" s="158" t="s">
        <v>612</v>
      </c>
      <c r="E521" s="158" t="s">
        <v>237</v>
      </c>
      <c r="F521" s="1">
        <v>43418</v>
      </c>
      <c r="G521" s="158" t="s">
        <v>303</v>
      </c>
      <c r="H521" s="158" t="s">
        <v>302</v>
      </c>
      <c r="I521" s="158" t="s">
        <v>299</v>
      </c>
      <c r="J521" s="158" t="s">
        <v>261</v>
      </c>
      <c r="K521" s="158">
        <v>2.04</v>
      </c>
      <c r="L521"/>
      <c r="M521"/>
      <c r="N521"/>
      <c r="O521"/>
      <c r="P521"/>
    </row>
    <row r="522" spans="4:16">
      <c r="D522" s="158" t="s">
        <v>570</v>
      </c>
      <c r="E522" s="158" t="s">
        <v>235</v>
      </c>
      <c r="F522" s="1">
        <v>43109</v>
      </c>
      <c r="G522" s="158" t="s">
        <v>476</v>
      </c>
      <c r="H522" s="158" t="s">
        <v>281</v>
      </c>
      <c r="I522" s="158" t="s">
        <v>282</v>
      </c>
      <c r="J522" s="158" t="s">
        <v>261</v>
      </c>
      <c r="K522" s="158">
        <v>16</v>
      </c>
      <c r="L522"/>
      <c r="M522"/>
      <c r="N522"/>
      <c r="O522"/>
      <c r="P522"/>
    </row>
    <row r="523" spans="4:16">
      <c r="D523" s="158" t="s">
        <v>570</v>
      </c>
      <c r="E523" s="158" t="s">
        <v>235</v>
      </c>
      <c r="F523" s="1">
        <v>43132</v>
      </c>
      <c r="G523" s="158" t="s">
        <v>312</v>
      </c>
      <c r="H523" s="158" t="s">
        <v>313</v>
      </c>
      <c r="I523" s="158" t="s">
        <v>281</v>
      </c>
      <c r="J523" s="158" t="s">
        <v>261</v>
      </c>
      <c r="K523" s="158">
        <v>20</v>
      </c>
      <c r="L523"/>
      <c r="M523"/>
      <c r="N523"/>
      <c r="O523"/>
      <c r="P523"/>
    </row>
    <row r="524" spans="4:16">
      <c r="D524" s="158" t="s">
        <v>570</v>
      </c>
      <c r="E524" s="158" t="s">
        <v>235</v>
      </c>
      <c r="F524" s="1">
        <v>43160</v>
      </c>
      <c r="G524" s="158" t="s">
        <v>327</v>
      </c>
      <c r="H524" s="158" t="s">
        <v>260</v>
      </c>
      <c r="I524" s="158" t="s">
        <v>284</v>
      </c>
      <c r="J524" s="158" t="s">
        <v>261</v>
      </c>
      <c r="K524" s="158">
        <v>22</v>
      </c>
      <c r="L524"/>
      <c r="M524"/>
      <c r="N524"/>
      <c r="O524"/>
      <c r="P524"/>
    </row>
    <row r="525" spans="4:16">
      <c r="D525" s="158" t="s">
        <v>570</v>
      </c>
      <c r="E525" s="158" t="s">
        <v>235</v>
      </c>
      <c r="F525" s="1">
        <v>43193</v>
      </c>
      <c r="G525" s="158" t="s">
        <v>383</v>
      </c>
      <c r="H525" s="158" t="s">
        <v>340</v>
      </c>
      <c r="I525" s="158" t="s">
        <v>341</v>
      </c>
      <c r="J525" s="158" t="s">
        <v>261</v>
      </c>
      <c r="K525" s="158">
        <v>17</v>
      </c>
      <c r="L525"/>
      <c r="M525"/>
      <c r="N525"/>
      <c r="O525"/>
      <c r="P525"/>
    </row>
    <row r="526" spans="4:16">
      <c r="D526" s="158" t="s">
        <v>570</v>
      </c>
      <c r="E526" s="158" t="s">
        <v>235</v>
      </c>
      <c r="F526" s="1">
        <v>43222</v>
      </c>
      <c r="G526" s="158" t="s">
        <v>504</v>
      </c>
      <c r="H526" s="158" t="s">
        <v>505</v>
      </c>
      <c r="I526" s="158" t="s">
        <v>313</v>
      </c>
      <c r="J526" s="158" t="s">
        <v>261</v>
      </c>
      <c r="K526" s="158">
        <v>15</v>
      </c>
      <c r="L526"/>
      <c r="M526"/>
      <c r="N526"/>
      <c r="O526"/>
      <c r="P526"/>
    </row>
    <row r="527" spans="4:16">
      <c r="D527" s="158" t="s">
        <v>570</v>
      </c>
      <c r="E527" s="158" t="s">
        <v>235</v>
      </c>
      <c r="F527" s="1">
        <v>43258</v>
      </c>
      <c r="G527" s="158" t="s">
        <v>358</v>
      </c>
      <c r="H527" s="158" t="s">
        <v>359</v>
      </c>
      <c r="I527" s="158" t="s">
        <v>287</v>
      </c>
      <c r="J527" s="158" t="s">
        <v>261</v>
      </c>
      <c r="K527" s="158">
        <v>4</v>
      </c>
      <c r="L527"/>
      <c r="M527"/>
      <c r="N527"/>
      <c r="O527"/>
      <c r="P527"/>
    </row>
    <row r="528" spans="4:16">
      <c r="D528" s="158" t="s">
        <v>570</v>
      </c>
      <c r="E528" s="158" t="s">
        <v>235</v>
      </c>
      <c r="F528" s="1">
        <v>43291</v>
      </c>
      <c r="G528" s="158" t="s">
        <v>513</v>
      </c>
      <c r="H528" s="158" t="s">
        <v>460</v>
      </c>
      <c r="I528" s="158" t="s">
        <v>370</v>
      </c>
      <c r="J528" s="158" t="s">
        <v>261</v>
      </c>
      <c r="K528" s="158">
        <v>15</v>
      </c>
      <c r="L528"/>
      <c r="M528"/>
      <c r="N528"/>
      <c r="O528"/>
      <c r="P528"/>
    </row>
    <row r="529" spans="4:16">
      <c r="D529" s="158" t="s">
        <v>570</v>
      </c>
      <c r="E529" s="158" t="s">
        <v>235</v>
      </c>
      <c r="F529" s="1">
        <v>43325</v>
      </c>
      <c r="G529" s="158" t="s">
        <v>471</v>
      </c>
      <c r="H529" s="158" t="s">
        <v>293</v>
      </c>
      <c r="I529" s="158" t="s">
        <v>290</v>
      </c>
      <c r="J529" s="158" t="s">
        <v>261</v>
      </c>
      <c r="K529" s="158">
        <v>13</v>
      </c>
      <c r="L529"/>
      <c r="M529"/>
      <c r="N529"/>
      <c r="O529"/>
      <c r="P529"/>
    </row>
    <row r="530" spans="4:16">
      <c r="D530" s="158" t="s">
        <v>570</v>
      </c>
      <c r="E530" s="158" t="s">
        <v>235</v>
      </c>
      <c r="F530" s="1">
        <v>43346</v>
      </c>
      <c r="G530" s="158" t="s">
        <v>389</v>
      </c>
      <c r="H530" s="158" t="s">
        <v>390</v>
      </c>
      <c r="I530" s="158" t="s">
        <v>260</v>
      </c>
      <c r="J530" s="158" t="s">
        <v>261</v>
      </c>
      <c r="K530" s="158">
        <v>20</v>
      </c>
      <c r="L530"/>
      <c r="M530"/>
      <c r="N530"/>
      <c r="O530"/>
      <c r="P530"/>
    </row>
    <row r="531" spans="4:16">
      <c r="D531" s="158" t="s">
        <v>570</v>
      </c>
      <c r="E531" s="158" t="s">
        <v>235</v>
      </c>
      <c r="F531" s="1">
        <v>43374</v>
      </c>
      <c r="G531" s="158" t="s">
        <v>392</v>
      </c>
      <c r="H531" s="158" t="s">
        <v>263</v>
      </c>
      <c r="I531" s="158" t="s">
        <v>264</v>
      </c>
      <c r="J531" s="158" t="s">
        <v>261</v>
      </c>
      <c r="K531" s="158">
        <v>22</v>
      </c>
      <c r="L531"/>
      <c r="M531"/>
      <c r="N531"/>
      <c r="O531"/>
      <c r="P531"/>
    </row>
    <row r="532" spans="4:16">
      <c r="D532" s="158" t="s">
        <v>570</v>
      </c>
      <c r="E532" s="158" t="s">
        <v>235</v>
      </c>
      <c r="F532" s="1">
        <v>43410</v>
      </c>
      <c r="G532" s="158" t="s">
        <v>297</v>
      </c>
      <c r="H532" s="158" t="s">
        <v>298</v>
      </c>
      <c r="I532" s="158" t="s">
        <v>299</v>
      </c>
      <c r="J532" s="158" t="s">
        <v>261</v>
      </c>
      <c r="K532" s="158">
        <v>9</v>
      </c>
      <c r="L532"/>
      <c r="M532"/>
      <c r="N532"/>
      <c r="O532"/>
      <c r="P532"/>
    </row>
    <row r="533" spans="4:16">
      <c r="D533" s="158" t="s">
        <v>551</v>
      </c>
      <c r="E533" s="158" t="s">
        <v>235</v>
      </c>
      <c r="F533" s="1">
        <v>43111</v>
      </c>
      <c r="G533" s="158" t="s">
        <v>283</v>
      </c>
      <c r="H533" s="158" t="s">
        <v>281</v>
      </c>
      <c r="I533" s="158" t="s">
        <v>282</v>
      </c>
      <c r="J533" s="158" t="s">
        <v>261</v>
      </c>
      <c r="K533" s="158">
        <v>13</v>
      </c>
      <c r="L533"/>
      <c r="M533"/>
      <c r="N533"/>
      <c r="O533"/>
      <c r="P533"/>
    </row>
    <row r="534" spans="4:16">
      <c r="D534" s="158" t="s">
        <v>551</v>
      </c>
      <c r="E534" s="158" t="s">
        <v>235</v>
      </c>
      <c r="F534" s="1">
        <v>43137</v>
      </c>
      <c r="G534" s="158" t="s">
        <v>316</v>
      </c>
      <c r="H534" s="158" t="s">
        <v>287</v>
      </c>
      <c r="I534" s="158" t="s">
        <v>281</v>
      </c>
      <c r="J534" s="158" t="s">
        <v>261</v>
      </c>
      <c r="K534" s="158">
        <v>18</v>
      </c>
      <c r="L534"/>
      <c r="M534"/>
      <c r="N534"/>
      <c r="O534"/>
      <c r="P534"/>
    </row>
    <row r="535" spans="4:16">
      <c r="D535" s="158" t="s">
        <v>551</v>
      </c>
      <c r="E535" s="158" t="s">
        <v>235</v>
      </c>
      <c r="F535" s="1">
        <v>43164</v>
      </c>
      <c r="G535" s="158" t="s">
        <v>329</v>
      </c>
      <c r="H535" s="158" t="s">
        <v>264</v>
      </c>
      <c r="I535" s="158" t="s">
        <v>284</v>
      </c>
      <c r="J535" s="158" t="s">
        <v>261</v>
      </c>
      <c r="K535" s="158">
        <v>18.5</v>
      </c>
      <c r="L535"/>
      <c r="M535"/>
      <c r="N535"/>
      <c r="O535"/>
      <c r="P535"/>
    </row>
    <row r="536" spans="4:16">
      <c r="D536" s="158" t="s">
        <v>551</v>
      </c>
      <c r="E536" s="158" t="s">
        <v>235</v>
      </c>
      <c r="F536" s="1">
        <v>43193</v>
      </c>
      <c r="G536" s="158" t="s">
        <v>383</v>
      </c>
      <c r="H536" s="158" t="s">
        <v>340</v>
      </c>
      <c r="I536" s="158" t="s">
        <v>341</v>
      </c>
      <c r="J536" s="158" t="s">
        <v>261</v>
      </c>
      <c r="K536" s="158">
        <v>20</v>
      </c>
      <c r="L536"/>
      <c r="M536"/>
      <c r="N536"/>
      <c r="O536"/>
      <c r="P536"/>
    </row>
    <row r="537" spans="4:16">
      <c r="D537" s="158" t="s">
        <v>551</v>
      </c>
      <c r="E537" s="158" t="s">
        <v>235</v>
      </c>
      <c r="F537" s="1">
        <v>43235</v>
      </c>
      <c r="G537" s="158" t="s">
        <v>353</v>
      </c>
      <c r="H537" s="158" t="s">
        <v>352</v>
      </c>
      <c r="I537" s="158" t="s">
        <v>313</v>
      </c>
      <c r="J537" s="158" t="s">
        <v>261</v>
      </c>
      <c r="K537" s="158">
        <v>11</v>
      </c>
      <c r="L537"/>
      <c r="M537"/>
      <c r="N537"/>
      <c r="O537"/>
      <c r="P537"/>
    </row>
    <row r="538" spans="4:16">
      <c r="D538" s="158" t="s">
        <v>551</v>
      </c>
      <c r="E538" s="158" t="s">
        <v>235</v>
      </c>
      <c r="F538" s="1">
        <v>43271</v>
      </c>
      <c r="G538" s="158" t="s">
        <v>367</v>
      </c>
      <c r="H538" s="158" t="s">
        <v>366</v>
      </c>
      <c r="I538" s="158" t="s">
        <v>287</v>
      </c>
      <c r="J538" s="158" t="s">
        <v>261</v>
      </c>
      <c r="K538" s="158">
        <v>10</v>
      </c>
      <c r="L538"/>
      <c r="M538"/>
      <c r="N538"/>
      <c r="O538"/>
      <c r="P538"/>
    </row>
    <row r="539" spans="4:16">
      <c r="D539" s="158" t="s">
        <v>551</v>
      </c>
      <c r="E539" s="158" t="s">
        <v>235</v>
      </c>
      <c r="F539" s="1">
        <v>43291</v>
      </c>
      <c r="G539" s="158" t="s">
        <v>513</v>
      </c>
      <c r="H539" s="158" t="s">
        <v>460</v>
      </c>
      <c r="I539" s="158" t="s">
        <v>370</v>
      </c>
      <c r="J539" s="158" t="s">
        <v>261</v>
      </c>
      <c r="K539" s="158">
        <v>21</v>
      </c>
      <c r="L539"/>
      <c r="M539"/>
      <c r="N539"/>
      <c r="O539"/>
      <c r="P539"/>
    </row>
    <row r="540" spans="4:16">
      <c r="D540" s="158" t="s">
        <v>551</v>
      </c>
      <c r="E540" s="158" t="s">
        <v>235</v>
      </c>
      <c r="F540" s="1">
        <v>43328</v>
      </c>
      <c r="G540" s="158" t="s">
        <v>292</v>
      </c>
      <c r="H540" s="158" t="s">
        <v>293</v>
      </c>
      <c r="I540" s="158" t="s">
        <v>290</v>
      </c>
      <c r="J540" s="158" t="s">
        <v>261</v>
      </c>
      <c r="K540" s="158">
        <v>19</v>
      </c>
      <c r="L540"/>
      <c r="M540"/>
      <c r="N540"/>
      <c r="O540"/>
      <c r="P540"/>
    </row>
    <row r="541" spans="4:16">
      <c r="D541" s="158" t="s">
        <v>551</v>
      </c>
      <c r="E541" s="158" t="s">
        <v>235</v>
      </c>
      <c r="F541" s="1">
        <v>43353</v>
      </c>
      <c r="G541" s="158" t="s">
        <v>456</v>
      </c>
      <c r="H541" s="158" t="s">
        <v>378</v>
      </c>
      <c r="I541" s="158" t="s">
        <v>260</v>
      </c>
      <c r="J541" s="158" t="s">
        <v>261</v>
      </c>
      <c r="K541" s="158">
        <v>20</v>
      </c>
      <c r="L541"/>
      <c r="M541"/>
      <c r="N541"/>
      <c r="O541"/>
      <c r="P541"/>
    </row>
    <row r="542" spans="4:16">
      <c r="D542" s="158" t="s">
        <v>551</v>
      </c>
      <c r="E542" s="158" t="s">
        <v>235</v>
      </c>
      <c r="F542" s="1">
        <v>43375</v>
      </c>
      <c r="G542" s="158" t="s">
        <v>393</v>
      </c>
      <c r="H542" s="158" t="s">
        <v>263</v>
      </c>
      <c r="I542" s="158" t="s">
        <v>264</v>
      </c>
      <c r="J542" s="158" t="s">
        <v>261</v>
      </c>
      <c r="K542" s="158">
        <v>23</v>
      </c>
      <c r="L542"/>
      <c r="M542"/>
      <c r="N542"/>
      <c r="O542"/>
      <c r="P542"/>
    </row>
    <row r="543" spans="4:16">
      <c r="D543" s="158" t="s">
        <v>551</v>
      </c>
      <c r="E543" s="158" t="s">
        <v>235</v>
      </c>
      <c r="F543" s="1">
        <v>43409</v>
      </c>
      <c r="G543" s="158" t="s">
        <v>411</v>
      </c>
      <c r="H543" s="158" t="s">
        <v>298</v>
      </c>
      <c r="I543" s="158" t="s">
        <v>299</v>
      </c>
      <c r="J543" s="158" t="s">
        <v>261</v>
      </c>
      <c r="K543" s="158">
        <v>10</v>
      </c>
      <c r="L543"/>
      <c r="M543"/>
      <c r="N543"/>
      <c r="O543"/>
      <c r="P543"/>
    </row>
    <row r="544" spans="4:16">
      <c r="D544" s="158" t="s">
        <v>410</v>
      </c>
      <c r="E544" s="158" t="s">
        <v>238</v>
      </c>
      <c r="F544" s="1">
        <v>43108</v>
      </c>
      <c r="G544" s="158" t="s">
        <v>448</v>
      </c>
      <c r="H544" s="158" t="s">
        <v>281</v>
      </c>
      <c r="I544" s="158" t="s">
        <v>282</v>
      </c>
      <c r="J544" s="158" t="s">
        <v>261</v>
      </c>
      <c r="K544" s="158">
        <v>16.05</v>
      </c>
      <c r="L544"/>
      <c r="M544"/>
      <c r="N544"/>
      <c r="O544"/>
      <c r="P544"/>
    </row>
    <row r="545" spans="4:16">
      <c r="D545" s="158" t="s">
        <v>410</v>
      </c>
      <c r="E545" s="158" t="s">
        <v>237</v>
      </c>
      <c r="F545" s="1">
        <v>43109</v>
      </c>
      <c r="G545" s="158" t="s">
        <v>476</v>
      </c>
      <c r="H545" s="158" t="s">
        <v>281</v>
      </c>
      <c r="I545" s="158" t="s">
        <v>282</v>
      </c>
      <c r="J545" s="158" t="s">
        <v>261</v>
      </c>
      <c r="K545" s="158">
        <v>1.45</v>
      </c>
      <c r="L545"/>
      <c r="M545"/>
      <c r="N545"/>
      <c r="O545"/>
      <c r="P545"/>
    </row>
    <row r="546" spans="4:16">
      <c r="D546" s="158" t="s">
        <v>410</v>
      </c>
      <c r="E546" s="158" t="s">
        <v>238</v>
      </c>
      <c r="F546" s="1">
        <v>43143</v>
      </c>
      <c r="G546" s="158" t="s">
        <v>430</v>
      </c>
      <c r="H546" s="158" t="s">
        <v>370</v>
      </c>
      <c r="I546" s="158" t="s">
        <v>281</v>
      </c>
      <c r="J546" s="158" t="s">
        <v>261</v>
      </c>
      <c r="K546" s="158">
        <v>16.399999999999999</v>
      </c>
      <c r="L546"/>
      <c r="M546"/>
      <c r="N546"/>
      <c r="O546"/>
      <c r="P546"/>
    </row>
    <row r="547" spans="4:16">
      <c r="D547" s="158" t="s">
        <v>410</v>
      </c>
      <c r="E547" s="158" t="s">
        <v>238</v>
      </c>
      <c r="F547" s="1">
        <v>43161</v>
      </c>
      <c r="G547" s="158" t="s">
        <v>328</v>
      </c>
      <c r="H547" s="158" t="s">
        <v>260</v>
      </c>
      <c r="I547" s="158" t="s">
        <v>284</v>
      </c>
      <c r="J547" s="158" t="s">
        <v>261</v>
      </c>
      <c r="K547" s="158">
        <v>18.899999999999999</v>
      </c>
      <c r="L547"/>
      <c r="M547"/>
      <c r="N547"/>
      <c r="O547"/>
      <c r="P547"/>
    </row>
    <row r="548" spans="4:16">
      <c r="D548" s="158" t="s">
        <v>410</v>
      </c>
      <c r="E548" s="158" t="s">
        <v>237</v>
      </c>
      <c r="F548" s="1">
        <v>43165</v>
      </c>
      <c r="G548" s="158" t="s">
        <v>330</v>
      </c>
      <c r="H548" s="158" t="s">
        <v>264</v>
      </c>
      <c r="I548" s="158" t="s">
        <v>284</v>
      </c>
      <c r="J548" s="158" t="s">
        <v>261</v>
      </c>
      <c r="K548" s="158">
        <v>1.1000000000000001</v>
      </c>
      <c r="L548"/>
      <c r="M548"/>
      <c r="N548"/>
      <c r="O548"/>
      <c r="P548"/>
    </row>
    <row r="549" spans="4:16">
      <c r="D549" s="158" t="s">
        <v>410</v>
      </c>
      <c r="E549" s="158" t="s">
        <v>238</v>
      </c>
      <c r="F549" s="1">
        <v>43193</v>
      </c>
      <c r="G549" s="158" t="s">
        <v>383</v>
      </c>
      <c r="H549" s="158" t="s">
        <v>340</v>
      </c>
      <c r="I549" s="158" t="s">
        <v>341</v>
      </c>
      <c r="J549" s="158" t="s">
        <v>261</v>
      </c>
      <c r="K549" s="158">
        <v>12</v>
      </c>
      <c r="L549"/>
      <c r="M549"/>
      <c r="N549"/>
      <c r="O549"/>
      <c r="P549"/>
    </row>
    <row r="550" spans="4:16">
      <c r="D550" s="158" t="s">
        <v>410</v>
      </c>
      <c r="E550" s="158" t="s">
        <v>238</v>
      </c>
      <c r="F550" s="1">
        <v>43409</v>
      </c>
      <c r="G550" s="158" t="s">
        <v>411</v>
      </c>
      <c r="H550" s="158" t="s">
        <v>298</v>
      </c>
      <c r="I550" s="158" t="s">
        <v>299</v>
      </c>
      <c r="J550" s="158" t="s">
        <v>261</v>
      </c>
      <c r="K550" s="158">
        <v>17</v>
      </c>
      <c r="L550"/>
      <c r="M550"/>
      <c r="N550"/>
      <c r="O550"/>
      <c r="P550"/>
    </row>
    <row r="551" spans="4:16">
      <c r="D551" s="158" t="s">
        <v>410</v>
      </c>
      <c r="E551" s="158" t="s">
        <v>238</v>
      </c>
      <c r="F551" s="1">
        <v>43437</v>
      </c>
      <c r="G551" s="158" t="s">
        <v>417</v>
      </c>
      <c r="H551" s="158" t="s">
        <v>418</v>
      </c>
      <c r="I551" s="158" t="s">
        <v>335</v>
      </c>
      <c r="J551" s="158" t="s">
        <v>261</v>
      </c>
      <c r="K551" s="158">
        <v>2.0499999999999998</v>
      </c>
      <c r="L551"/>
      <c r="M551"/>
      <c r="N551"/>
      <c r="O551"/>
      <c r="P551"/>
    </row>
    <row r="552" spans="4:16">
      <c r="D552" s="158" t="s">
        <v>607</v>
      </c>
      <c r="E552" s="158" t="s">
        <v>235</v>
      </c>
      <c r="F552" s="1">
        <v>43313</v>
      </c>
      <c r="G552" s="158" t="s">
        <v>388</v>
      </c>
      <c r="H552" s="158" t="s">
        <v>387</v>
      </c>
      <c r="I552" s="158" t="s">
        <v>290</v>
      </c>
      <c r="J552" s="158" t="s">
        <v>261</v>
      </c>
      <c r="K552" s="158">
        <v>22</v>
      </c>
      <c r="L552"/>
      <c r="M552"/>
      <c r="N552"/>
      <c r="O552"/>
      <c r="P552"/>
    </row>
    <row r="553" spans="4:16">
      <c r="D553" s="158" t="s">
        <v>607</v>
      </c>
      <c r="E553" s="158" t="s">
        <v>235</v>
      </c>
      <c r="F553" s="1">
        <v>43346</v>
      </c>
      <c r="G553" s="158" t="s">
        <v>389</v>
      </c>
      <c r="H553" s="158" t="s">
        <v>390</v>
      </c>
      <c r="I553" s="158" t="s">
        <v>260</v>
      </c>
      <c r="J553" s="158" t="s">
        <v>261</v>
      </c>
      <c r="K553" s="158">
        <v>19.5</v>
      </c>
      <c r="L553"/>
      <c r="M553"/>
      <c r="N553"/>
      <c r="O553"/>
      <c r="P553"/>
    </row>
    <row r="554" spans="4:16">
      <c r="D554" s="158" t="s">
        <v>607</v>
      </c>
      <c r="E554" s="158" t="s">
        <v>235</v>
      </c>
      <c r="F554" s="1">
        <v>43374</v>
      </c>
      <c r="G554" s="158" t="s">
        <v>392</v>
      </c>
      <c r="H554" s="158" t="s">
        <v>263</v>
      </c>
      <c r="I554" s="158" t="s">
        <v>264</v>
      </c>
      <c r="J554" s="158" t="s">
        <v>261</v>
      </c>
      <c r="K554" s="158">
        <v>18</v>
      </c>
      <c r="L554"/>
      <c r="M554"/>
      <c r="N554"/>
      <c r="O554"/>
      <c r="P554"/>
    </row>
    <row r="555" spans="4:16">
      <c r="D555" s="158" t="s">
        <v>607</v>
      </c>
      <c r="E555" s="158" t="s">
        <v>235</v>
      </c>
      <c r="F555" s="1">
        <v>43409</v>
      </c>
      <c r="G555" s="158" t="s">
        <v>411</v>
      </c>
      <c r="H555" s="158" t="s">
        <v>298</v>
      </c>
      <c r="I555" s="158" t="s">
        <v>299</v>
      </c>
      <c r="J555" s="158" t="s">
        <v>261</v>
      </c>
      <c r="K555" s="158">
        <v>20</v>
      </c>
      <c r="L555"/>
      <c r="M555"/>
      <c r="N555"/>
      <c r="O555"/>
      <c r="P555"/>
    </row>
    <row r="556" spans="4:16">
      <c r="D556" s="158" t="s">
        <v>607</v>
      </c>
      <c r="E556" s="158" t="s">
        <v>235</v>
      </c>
      <c r="F556" s="1">
        <v>43437</v>
      </c>
      <c r="G556" s="158" t="s">
        <v>417</v>
      </c>
      <c r="H556" s="158" t="s">
        <v>418</v>
      </c>
      <c r="I556" s="158" t="s">
        <v>335</v>
      </c>
      <c r="J556" s="158" t="s">
        <v>261</v>
      </c>
      <c r="K556" s="158">
        <v>5</v>
      </c>
      <c r="L556"/>
      <c r="M556"/>
      <c r="N556"/>
      <c r="O556"/>
      <c r="P556"/>
    </row>
    <row r="557" spans="4:16">
      <c r="D557" s="158" t="s">
        <v>553</v>
      </c>
      <c r="E557" s="158" t="s">
        <v>235</v>
      </c>
      <c r="F557" s="1">
        <v>43104</v>
      </c>
      <c r="G557" s="158" t="s">
        <v>499</v>
      </c>
      <c r="H557" s="158" t="s">
        <v>282</v>
      </c>
      <c r="I557" s="158" t="s">
        <v>282</v>
      </c>
      <c r="J557" s="158" t="s">
        <v>261</v>
      </c>
      <c r="K557" s="158">
        <v>9.5</v>
      </c>
      <c r="L557"/>
      <c r="M557"/>
      <c r="N557"/>
      <c r="O557"/>
      <c r="P557"/>
    </row>
    <row r="558" spans="4:16">
      <c r="D558" s="158" t="s">
        <v>553</v>
      </c>
      <c r="E558" s="158" t="s">
        <v>235</v>
      </c>
      <c r="F558" s="1">
        <v>43132</v>
      </c>
      <c r="G558" s="158" t="s">
        <v>312</v>
      </c>
      <c r="H558" s="158" t="s">
        <v>313</v>
      </c>
      <c r="I558" s="158" t="s">
        <v>281</v>
      </c>
      <c r="J558" s="158" t="s">
        <v>261</v>
      </c>
      <c r="K558" s="158">
        <v>20</v>
      </c>
      <c r="L558"/>
      <c r="M558"/>
      <c r="N558"/>
      <c r="O558"/>
      <c r="P558"/>
    </row>
    <row r="559" spans="4:16">
      <c r="D559" s="158" t="s">
        <v>553</v>
      </c>
      <c r="E559" s="158" t="s">
        <v>235</v>
      </c>
      <c r="F559" s="1">
        <v>43178</v>
      </c>
      <c r="G559" s="158" t="s">
        <v>334</v>
      </c>
      <c r="H559" s="158" t="s">
        <v>335</v>
      </c>
      <c r="I559" s="158" t="s">
        <v>284</v>
      </c>
      <c r="J559" s="158" t="s">
        <v>261</v>
      </c>
      <c r="K559" s="158">
        <v>21</v>
      </c>
      <c r="L559"/>
      <c r="M559"/>
      <c r="N559"/>
      <c r="O559"/>
      <c r="P559"/>
    </row>
    <row r="560" spans="4:16">
      <c r="D560" s="158" t="s">
        <v>553</v>
      </c>
      <c r="E560" s="158" t="s">
        <v>235</v>
      </c>
      <c r="F560" s="1">
        <v>43201</v>
      </c>
      <c r="G560" s="158" t="s">
        <v>408</v>
      </c>
      <c r="H560" s="158" t="s">
        <v>344</v>
      </c>
      <c r="I560" s="158" t="s">
        <v>341</v>
      </c>
      <c r="J560" s="158" t="s">
        <v>261</v>
      </c>
      <c r="K560" s="158">
        <v>20</v>
      </c>
      <c r="L560"/>
      <c r="M560"/>
      <c r="N560"/>
      <c r="O560"/>
      <c r="P560"/>
    </row>
    <row r="561" spans="4:16">
      <c r="D561" s="158" t="s">
        <v>553</v>
      </c>
      <c r="E561" s="158" t="s">
        <v>235</v>
      </c>
      <c r="F561" s="1">
        <v>43245</v>
      </c>
      <c r="G561" s="158" t="s">
        <v>457</v>
      </c>
      <c r="H561" s="158" t="s">
        <v>354</v>
      </c>
      <c r="I561" s="158" t="s">
        <v>313</v>
      </c>
      <c r="J561" s="158" t="s">
        <v>261</v>
      </c>
      <c r="K561" s="158">
        <v>18</v>
      </c>
      <c r="L561"/>
      <c r="M561"/>
      <c r="N561"/>
      <c r="O561"/>
      <c r="P561"/>
    </row>
    <row r="562" spans="4:16">
      <c r="D562" s="158" t="s">
        <v>553</v>
      </c>
      <c r="E562" s="158" t="s">
        <v>235</v>
      </c>
      <c r="F562" s="1">
        <v>43271</v>
      </c>
      <c r="G562" s="158" t="s">
        <v>367</v>
      </c>
      <c r="H562" s="158" t="s">
        <v>366</v>
      </c>
      <c r="I562" s="158" t="s">
        <v>287</v>
      </c>
      <c r="J562" s="158" t="s">
        <v>261</v>
      </c>
      <c r="K562" s="158">
        <v>18</v>
      </c>
      <c r="L562"/>
      <c r="M562"/>
      <c r="N562"/>
      <c r="O562"/>
      <c r="P562"/>
    </row>
    <row r="563" spans="4:16">
      <c r="D563" s="158" t="s">
        <v>553</v>
      </c>
      <c r="E563" s="158" t="s">
        <v>235</v>
      </c>
      <c r="F563" s="1">
        <v>43287</v>
      </c>
      <c r="G563" s="158" t="s">
        <v>458</v>
      </c>
      <c r="H563" s="158" t="s">
        <v>369</v>
      </c>
      <c r="I563" s="158" t="s">
        <v>370</v>
      </c>
      <c r="J563" s="158" t="s">
        <v>261</v>
      </c>
      <c r="K563" s="158">
        <v>19.5</v>
      </c>
      <c r="L563"/>
      <c r="M563"/>
      <c r="N563"/>
      <c r="O563"/>
      <c r="P563"/>
    </row>
    <row r="564" spans="4:16">
      <c r="D564" s="158" t="s">
        <v>553</v>
      </c>
      <c r="E564" s="158" t="s">
        <v>235</v>
      </c>
      <c r="F564" s="1">
        <v>43336</v>
      </c>
      <c r="G564" s="158" t="s">
        <v>536</v>
      </c>
      <c r="H564" s="158" t="s">
        <v>375</v>
      </c>
      <c r="I564" s="158" t="s">
        <v>290</v>
      </c>
      <c r="J564" s="158" t="s">
        <v>261</v>
      </c>
      <c r="K564" s="158">
        <v>15</v>
      </c>
      <c r="L564"/>
      <c r="M564"/>
      <c r="N564"/>
      <c r="O564"/>
      <c r="P564"/>
    </row>
    <row r="565" spans="4:16">
      <c r="D565" s="158" t="s">
        <v>553</v>
      </c>
      <c r="E565" s="158" t="s">
        <v>235</v>
      </c>
      <c r="F565" s="1">
        <v>43355</v>
      </c>
      <c r="G565" s="158" t="s">
        <v>497</v>
      </c>
      <c r="H565" s="158" t="s">
        <v>378</v>
      </c>
      <c r="I565" s="158" t="s">
        <v>260</v>
      </c>
      <c r="J565" s="158" t="s">
        <v>261</v>
      </c>
      <c r="K565" s="158">
        <v>10</v>
      </c>
      <c r="L565"/>
      <c r="M565"/>
      <c r="N565"/>
      <c r="O565"/>
      <c r="P565"/>
    </row>
    <row r="566" spans="4:16">
      <c r="D566" s="158" t="s">
        <v>553</v>
      </c>
      <c r="E566" s="158" t="s">
        <v>235</v>
      </c>
      <c r="F566" s="1">
        <v>43383</v>
      </c>
      <c r="G566" s="158" t="s">
        <v>270</v>
      </c>
      <c r="H566" s="158" t="s">
        <v>267</v>
      </c>
      <c r="I566" s="158" t="s">
        <v>264</v>
      </c>
      <c r="J566" s="158" t="s">
        <v>261</v>
      </c>
      <c r="K566" s="158">
        <v>23</v>
      </c>
      <c r="L566"/>
      <c r="M566"/>
      <c r="N566"/>
      <c r="O566"/>
      <c r="P566"/>
    </row>
    <row r="567" spans="4:16">
      <c r="D567" s="158" t="s">
        <v>553</v>
      </c>
      <c r="E567" s="158" t="s">
        <v>235</v>
      </c>
      <c r="F567" s="1">
        <v>43406</v>
      </c>
      <c r="G567" s="158" t="s">
        <v>483</v>
      </c>
      <c r="H567" s="158" t="s">
        <v>465</v>
      </c>
      <c r="I567" s="158" t="s">
        <v>299</v>
      </c>
      <c r="J567" s="158" t="s">
        <v>261</v>
      </c>
      <c r="K567" s="158">
        <v>21</v>
      </c>
      <c r="L567"/>
      <c r="M567"/>
      <c r="N567"/>
      <c r="O567"/>
      <c r="P567"/>
    </row>
    <row r="568" spans="4:16">
      <c r="D568" s="158" t="s">
        <v>443</v>
      </c>
      <c r="E568" s="158" t="s">
        <v>238</v>
      </c>
      <c r="F568" s="1">
        <v>43108</v>
      </c>
      <c r="G568" s="158" t="s">
        <v>448</v>
      </c>
      <c r="H568" s="158" t="s">
        <v>281</v>
      </c>
      <c r="I568" s="158" t="s">
        <v>282</v>
      </c>
      <c r="J568" s="158" t="s">
        <v>261</v>
      </c>
      <c r="K568" s="158">
        <v>19.25</v>
      </c>
      <c r="L568"/>
      <c r="M568"/>
      <c r="N568"/>
      <c r="O568"/>
      <c r="P568"/>
    </row>
    <row r="569" spans="4:16">
      <c r="D569" s="158" t="s">
        <v>443</v>
      </c>
      <c r="E569" s="158" t="s">
        <v>237</v>
      </c>
      <c r="F569" s="1">
        <v>43117</v>
      </c>
      <c r="G569" s="158" t="s">
        <v>501</v>
      </c>
      <c r="H569" s="158" t="s">
        <v>284</v>
      </c>
      <c r="I569" s="158" t="s">
        <v>282</v>
      </c>
      <c r="J569" s="158" t="s">
        <v>261</v>
      </c>
      <c r="K569" s="158">
        <v>1.75</v>
      </c>
      <c r="L569"/>
      <c r="M569"/>
      <c r="N569"/>
      <c r="O569"/>
      <c r="P569"/>
    </row>
    <row r="570" spans="4:16">
      <c r="D570" s="158" t="s">
        <v>443</v>
      </c>
      <c r="E570" s="158" t="s">
        <v>238</v>
      </c>
      <c r="F570" s="1">
        <v>43136</v>
      </c>
      <c r="G570" s="158" t="s">
        <v>315</v>
      </c>
      <c r="H570" s="158" t="s">
        <v>287</v>
      </c>
      <c r="I570" s="158" t="s">
        <v>281</v>
      </c>
      <c r="J570" s="158" t="s">
        <v>261</v>
      </c>
      <c r="K570" s="158">
        <v>18.3</v>
      </c>
      <c r="L570"/>
      <c r="M570"/>
      <c r="N570"/>
      <c r="O570"/>
      <c r="P570"/>
    </row>
    <row r="571" spans="4:16">
      <c r="D571" s="158" t="s">
        <v>443</v>
      </c>
      <c r="E571" s="158" t="s">
        <v>237</v>
      </c>
      <c r="F571" s="1">
        <v>43138</v>
      </c>
      <c r="G571" s="158" t="s">
        <v>317</v>
      </c>
      <c r="H571" s="158" t="s">
        <v>287</v>
      </c>
      <c r="I571" s="158" t="s">
        <v>281</v>
      </c>
      <c r="J571" s="158" t="s">
        <v>261</v>
      </c>
      <c r="K571" s="158">
        <v>1.7</v>
      </c>
      <c r="L571"/>
      <c r="M571"/>
      <c r="N571"/>
      <c r="O571"/>
      <c r="P571"/>
    </row>
    <row r="572" spans="4:16">
      <c r="D572" s="158" t="s">
        <v>443</v>
      </c>
      <c r="E572" s="158" t="s">
        <v>238</v>
      </c>
      <c r="F572" s="1">
        <v>43172</v>
      </c>
      <c r="G572" s="158" t="s">
        <v>333</v>
      </c>
      <c r="H572" s="158" t="s">
        <v>299</v>
      </c>
      <c r="I572" s="158" t="s">
        <v>284</v>
      </c>
      <c r="J572" s="158" t="s">
        <v>261</v>
      </c>
      <c r="K572" s="158">
        <v>21.15</v>
      </c>
      <c r="L572"/>
      <c r="M572"/>
      <c r="N572"/>
      <c r="O572"/>
      <c r="P572"/>
    </row>
    <row r="573" spans="4:16">
      <c r="D573" s="158" t="s">
        <v>443</v>
      </c>
      <c r="E573" s="158" t="s">
        <v>237</v>
      </c>
      <c r="F573" s="1">
        <v>43178</v>
      </c>
      <c r="G573" s="158" t="s">
        <v>334</v>
      </c>
      <c r="H573" s="158" t="s">
        <v>335</v>
      </c>
      <c r="I573" s="158" t="s">
        <v>284</v>
      </c>
      <c r="J573" s="158" t="s">
        <v>261</v>
      </c>
      <c r="K573" s="158">
        <v>0.85</v>
      </c>
      <c r="L573"/>
      <c r="M573"/>
      <c r="N573"/>
      <c r="O573"/>
      <c r="P573"/>
    </row>
    <row r="574" spans="4:16">
      <c r="D574" s="158" t="s">
        <v>443</v>
      </c>
      <c r="E574" s="158" t="s">
        <v>238</v>
      </c>
      <c r="F574" s="1">
        <v>43193</v>
      </c>
      <c r="G574" s="158" t="s">
        <v>383</v>
      </c>
      <c r="H574" s="158" t="s">
        <v>340</v>
      </c>
      <c r="I574" s="158" t="s">
        <v>341</v>
      </c>
      <c r="J574" s="158" t="s">
        <v>261</v>
      </c>
      <c r="K574" s="158">
        <v>16.8</v>
      </c>
      <c r="L574"/>
      <c r="M574"/>
      <c r="N574"/>
      <c r="O574"/>
      <c r="P574"/>
    </row>
    <row r="575" spans="4:16">
      <c r="D575" s="158" t="s">
        <v>443</v>
      </c>
      <c r="E575" s="158" t="s">
        <v>237</v>
      </c>
      <c r="F575" s="1">
        <v>43207</v>
      </c>
      <c r="G575" s="158" t="s">
        <v>384</v>
      </c>
      <c r="H575" s="158" t="s">
        <v>347</v>
      </c>
      <c r="I575" s="158" t="s">
        <v>341</v>
      </c>
      <c r="J575" s="158" t="s">
        <v>261</v>
      </c>
      <c r="K575" s="158">
        <v>1.7</v>
      </c>
      <c r="L575"/>
      <c r="M575"/>
      <c r="N575"/>
      <c r="O575"/>
      <c r="P575"/>
    </row>
    <row r="576" spans="4:16">
      <c r="D576" s="158" t="s">
        <v>443</v>
      </c>
      <c r="E576" s="158" t="s">
        <v>238</v>
      </c>
      <c r="F576" s="1">
        <v>43234</v>
      </c>
      <c r="G576" s="158" t="s">
        <v>351</v>
      </c>
      <c r="H576" s="158" t="s">
        <v>352</v>
      </c>
      <c r="I576" s="158" t="s">
        <v>313</v>
      </c>
      <c r="J576" s="158" t="s">
        <v>261</v>
      </c>
      <c r="K576" s="158">
        <v>15.15</v>
      </c>
      <c r="L576"/>
      <c r="M576"/>
      <c r="N576"/>
      <c r="O576"/>
      <c r="P576"/>
    </row>
    <row r="577" spans="4:16">
      <c r="D577" s="158" t="s">
        <v>443</v>
      </c>
      <c r="E577" s="158" t="s">
        <v>237</v>
      </c>
      <c r="F577" s="1">
        <v>43224</v>
      </c>
      <c r="G577" s="158" t="s">
        <v>529</v>
      </c>
      <c r="H577" s="158" t="s">
        <v>505</v>
      </c>
      <c r="I577" s="158" t="s">
        <v>313</v>
      </c>
      <c r="J577" s="158" t="s">
        <v>261</v>
      </c>
      <c r="K577" s="158">
        <v>2.85</v>
      </c>
      <c r="L577"/>
      <c r="M577"/>
      <c r="N577"/>
      <c r="O577"/>
      <c r="P577"/>
    </row>
    <row r="578" spans="4:16">
      <c r="D578" s="158" t="s">
        <v>443</v>
      </c>
      <c r="E578" s="158" t="s">
        <v>238</v>
      </c>
      <c r="F578" s="1">
        <v>43259</v>
      </c>
      <c r="G578" s="158" t="s">
        <v>360</v>
      </c>
      <c r="H578" s="158" t="s">
        <v>359</v>
      </c>
      <c r="I578" s="158" t="s">
        <v>287</v>
      </c>
      <c r="J578" s="158" t="s">
        <v>261</v>
      </c>
      <c r="K578" s="158">
        <v>13.65</v>
      </c>
      <c r="L578"/>
      <c r="M578"/>
      <c r="N578"/>
      <c r="O578"/>
      <c r="P578"/>
    </row>
    <row r="579" spans="4:16">
      <c r="D579" s="158" t="s">
        <v>443</v>
      </c>
      <c r="E579" s="158" t="s">
        <v>237</v>
      </c>
      <c r="F579" s="1">
        <v>43277</v>
      </c>
      <c r="G579" s="158" t="s">
        <v>437</v>
      </c>
      <c r="H579" s="158" t="s">
        <v>286</v>
      </c>
      <c r="I579" s="158" t="s">
        <v>287</v>
      </c>
      <c r="J579" s="158" t="s">
        <v>261</v>
      </c>
      <c r="K579" s="158">
        <v>0.35</v>
      </c>
      <c r="L579"/>
      <c r="M579"/>
      <c r="N579"/>
      <c r="O579"/>
      <c r="P579"/>
    </row>
    <row r="580" spans="4:16">
      <c r="D580" s="158" t="s">
        <v>443</v>
      </c>
      <c r="E580" s="158" t="s">
        <v>238</v>
      </c>
      <c r="F580" s="1">
        <v>43283</v>
      </c>
      <c r="G580" s="158" t="s">
        <v>368</v>
      </c>
      <c r="H580" s="158" t="s">
        <v>369</v>
      </c>
      <c r="I580" s="158" t="s">
        <v>370</v>
      </c>
      <c r="J580" s="158" t="s">
        <v>261</v>
      </c>
      <c r="K580" s="158">
        <v>20</v>
      </c>
      <c r="L580"/>
      <c r="M580"/>
      <c r="N580"/>
      <c r="O580"/>
      <c r="P580"/>
    </row>
    <row r="581" spans="4:16">
      <c r="D581" s="158" t="s">
        <v>443</v>
      </c>
      <c r="E581" s="158" t="s">
        <v>238</v>
      </c>
      <c r="F581" s="1">
        <v>43318</v>
      </c>
      <c r="G581" s="158" t="s">
        <v>469</v>
      </c>
      <c r="H581" s="158" t="s">
        <v>289</v>
      </c>
      <c r="I581" s="158" t="s">
        <v>290</v>
      </c>
      <c r="J581" s="158" t="s">
        <v>261</v>
      </c>
      <c r="K581" s="158">
        <v>14.2</v>
      </c>
      <c r="L581"/>
      <c r="M581"/>
      <c r="N581"/>
      <c r="O581"/>
      <c r="P581"/>
    </row>
    <row r="582" spans="4:16">
      <c r="D582" s="158" t="s">
        <v>443</v>
      </c>
      <c r="E582" s="158" t="s">
        <v>237</v>
      </c>
      <c r="F582" s="1">
        <v>43320</v>
      </c>
      <c r="G582" s="158" t="s">
        <v>470</v>
      </c>
      <c r="H582" s="158" t="s">
        <v>289</v>
      </c>
      <c r="I582" s="158" t="s">
        <v>290</v>
      </c>
      <c r="J582" s="158" t="s">
        <v>261</v>
      </c>
      <c r="K582" s="158">
        <v>1.8</v>
      </c>
      <c r="L582"/>
      <c r="M582"/>
      <c r="N582"/>
      <c r="O582"/>
      <c r="P582"/>
    </row>
    <row r="583" spans="4:16">
      <c r="D583" s="158" t="s">
        <v>608</v>
      </c>
      <c r="E583" s="158" t="s">
        <v>235</v>
      </c>
      <c r="F583" s="1">
        <v>43335</v>
      </c>
      <c r="G583" s="158" t="s">
        <v>535</v>
      </c>
      <c r="H583" s="158" t="s">
        <v>375</v>
      </c>
      <c r="I583" s="158" t="s">
        <v>290</v>
      </c>
      <c r="J583" s="158" t="s">
        <v>261</v>
      </c>
      <c r="K583" s="158">
        <v>1</v>
      </c>
      <c r="L583"/>
      <c r="M583"/>
      <c r="N583"/>
      <c r="O583"/>
      <c r="P583"/>
    </row>
    <row r="584" spans="4:16">
      <c r="D584" s="158" t="s">
        <v>608</v>
      </c>
      <c r="E584" s="158" t="s">
        <v>235</v>
      </c>
      <c r="F584" s="1">
        <v>43375</v>
      </c>
      <c r="G584" s="158" t="s">
        <v>393</v>
      </c>
      <c r="H584" s="158" t="s">
        <v>263</v>
      </c>
      <c r="I584" s="158" t="s">
        <v>264</v>
      </c>
      <c r="J584" s="158" t="s">
        <v>261</v>
      </c>
      <c r="K584" s="158">
        <v>0.5</v>
      </c>
      <c r="L584"/>
      <c r="M584"/>
      <c r="N584"/>
      <c r="O584"/>
      <c r="P584"/>
    </row>
    <row r="585" spans="4:16">
      <c r="D585" s="158" t="s">
        <v>568</v>
      </c>
      <c r="E585" s="158" t="s">
        <v>235</v>
      </c>
      <c r="F585" s="1">
        <v>43131</v>
      </c>
      <c r="G585" s="158" t="s">
        <v>493</v>
      </c>
      <c r="H585" s="158" t="s">
        <v>313</v>
      </c>
      <c r="I585" s="158" t="s">
        <v>282</v>
      </c>
      <c r="J585" s="158" t="s">
        <v>261</v>
      </c>
      <c r="K585" s="158">
        <v>3</v>
      </c>
      <c r="L585"/>
      <c r="M585"/>
      <c r="N585"/>
      <c r="O585"/>
      <c r="P585"/>
    </row>
    <row r="586" spans="4:16">
      <c r="D586" s="158" t="s">
        <v>568</v>
      </c>
      <c r="E586" s="158" t="s">
        <v>235</v>
      </c>
      <c r="F586" s="1">
        <v>43132</v>
      </c>
      <c r="G586" s="158" t="s">
        <v>312</v>
      </c>
      <c r="H586" s="158" t="s">
        <v>313</v>
      </c>
      <c r="I586" s="158" t="s">
        <v>281</v>
      </c>
      <c r="J586" s="158" t="s">
        <v>261</v>
      </c>
      <c r="K586" s="158">
        <v>20</v>
      </c>
      <c r="L586"/>
      <c r="M586"/>
      <c r="N586"/>
      <c r="O586"/>
      <c r="P586"/>
    </row>
    <row r="587" spans="4:16">
      <c r="D587" s="158" t="s">
        <v>568</v>
      </c>
      <c r="E587" s="158" t="s">
        <v>235</v>
      </c>
      <c r="F587" s="1">
        <v>43161</v>
      </c>
      <c r="G587" s="158" t="s">
        <v>328</v>
      </c>
      <c r="H587" s="158" t="s">
        <v>260</v>
      </c>
      <c r="I587" s="158" t="s">
        <v>284</v>
      </c>
      <c r="J587" s="158" t="s">
        <v>261</v>
      </c>
      <c r="K587" s="158">
        <v>22</v>
      </c>
      <c r="L587"/>
      <c r="M587"/>
      <c r="N587"/>
      <c r="O587"/>
      <c r="P587"/>
    </row>
    <row r="588" spans="4:16">
      <c r="D588" s="158" t="s">
        <v>568</v>
      </c>
      <c r="E588" s="158" t="s">
        <v>235</v>
      </c>
      <c r="F588" s="1">
        <v>43193</v>
      </c>
      <c r="G588" s="158" t="s">
        <v>383</v>
      </c>
      <c r="H588" s="158" t="s">
        <v>340</v>
      </c>
      <c r="I588" s="158" t="s">
        <v>341</v>
      </c>
      <c r="J588" s="158" t="s">
        <v>261</v>
      </c>
      <c r="K588" s="158">
        <v>20</v>
      </c>
      <c r="L588"/>
      <c r="M588"/>
      <c r="N588"/>
      <c r="O588"/>
      <c r="P588"/>
    </row>
    <row r="589" spans="4:16">
      <c r="D589" s="158" t="s">
        <v>568</v>
      </c>
      <c r="E589" s="158" t="s">
        <v>235</v>
      </c>
      <c r="F589" s="1">
        <v>43222</v>
      </c>
      <c r="G589" s="158" t="s">
        <v>504</v>
      </c>
      <c r="H589" s="158" t="s">
        <v>505</v>
      </c>
      <c r="I589" s="158" t="s">
        <v>313</v>
      </c>
      <c r="J589" s="158" t="s">
        <v>261</v>
      </c>
      <c r="K589" s="158">
        <v>17.75</v>
      </c>
      <c r="L589"/>
      <c r="M589"/>
      <c r="N589"/>
      <c r="O589"/>
      <c r="P589"/>
    </row>
    <row r="590" spans="4:16">
      <c r="D590" s="158" t="s">
        <v>568</v>
      </c>
      <c r="E590" s="158" t="s">
        <v>235</v>
      </c>
      <c r="F590" s="1">
        <v>43255</v>
      </c>
      <c r="G590" s="158" t="s">
        <v>454</v>
      </c>
      <c r="H590" s="158" t="s">
        <v>359</v>
      </c>
      <c r="I590" s="158" t="s">
        <v>287</v>
      </c>
      <c r="J590" s="158" t="s">
        <v>261</v>
      </c>
      <c r="K590" s="158">
        <v>18.5</v>
      </c>
      <c r="L590"/>
      <c r="M590"/>
      <c r="N590"/>
      <c r="O590"/>
      <c r="P590"/>
    </row>
    <row r="591" spans="4:16">
      <c r="D591" s="158" t="s">
        <v>568</v>
      </c>
      <c r="E591" s="158" t="s">
        <v>235</v>
      </c>
      <c r="F591" s="1">
        <v>43285</v>
      </c>
      <c r="G591" s="158" t="s">
        <v>512</v>
      </c>
      <c r="H591" s="158" t="s">
        <v>369</v>
      </c>
      <c r="I591" s="158" t="s">
        <v>370</v>
      </c>
      <c r="J591" s="158" t="s">
        <v>261</v>
      </c>
      <c r="K591" s="158">
        <v>17</v>
      </c>
      <c r="L591"/>
      <c r="M591"/>
      <c r="N591"/>
      <c r="O591"/>
      <c r="P591"/>
    </row>
    <row r="592" spans="4:16">
      <c r="D592" s="158" t="s">
        <v>568</v>
      </c>
      <c r="E592" s="158" t="s">
        <v>235</v>
      </c>
      <c r="F592" s="1">
        <v>43318</v>
      </c>
      <c r="G592" s="158" t="s">
        <v>469</v>
      </c>
      <c r="H592" s="158" t="s">
        <v>289</v>
      </c>
      <c r="I592" s="158" t="s">
        <v>290</v>
      </c>
      <c r="J592" s="158" t="s">
        <v>261</v>
      </c>
      <c r="K592" s="158">
        <v>22</v>
      </c>
      <c r="L592"/>
      <c r="M592"/>
      <c r="N592"/>
      <c r="O592"/>
      <c r="P592"/>
    </row>
    <row r="593" spans="4:16">
      <c r="D593" s="158" t="s">
        <v>568</v>
      </c>
      <c r="E593" s="158" t="s">
        <v>235</v>
      </c>
      <c r="F593" s="1">
        <v>43346</v>
      </c>
      <c r="G593" s="158" t="s">
        <v>389</v>
      </c>
      <c r="H593" s="158" t="s">
        <v>390</v>
      </c>
      <c r="I593" s="158" t="s">
        <v>260</v>
      </c>
      <c r="J593" s="158" t="s">
        <v>261</v>
      </c>
      <c r="K593" s="158">
        <v>18.75</v>
      </c>
      <c r="L593"/>
      <c r="M593"/>
      <c r="N593"/>
      <c r="O593"/>
      <c r="P593"/>
    </row>
    <row r="594" spans="4:16">
      <c r="D594" s="158" t="s">
        <v>568</v>
      </c>
      <c r="E594" s="158" t="s">
        <v>235</v>
      </c>
      <c r="F594" s="1">
        <v>43374</v>
      </c>
      <c r="G594" s="158" t="s">
        <v>392</v>
      </c>
      <c r="H594" s="158" t="s">
        <v>263</v>
      </c>
      <c r="I594" s="158" t="s">
        <v>264</v>
      </c>
      <c r="J594" s="158" t="s">
        <v>261</v>
      </c>
      <c r="K594" s="158">
        <v>23</v>
      </c>
      <c r="L594"/>
      <c r="M594"/>
      <c r="N594"/>
      <c r="O594"/>
      <c r="P594"/>
    </row>
    <row r="595" spans="4:16">
      <c r="D595" s="158" t="s">
        <v>568</v>
      </c>
      <c r="E595" s="158" t="s">
        <v>235</v>
      </c>
      <c r="F595" s="1">
        <v>43409</v>
      </c>
      <c r="G595" s="158" t="s">
        <v>411</v>
      </c>
      <c r="H595" s="158" t="s">
        <v>298</v>
      </c>
      <c r="I595" s="158" t="s">
        <v>299</v>
      </c>
      <c r="J595" s="158" t="s">
        <v>261</v>
      </c>
      <c r="K595" s="158">
        <v>19.5</v>
      </c>
      <c r="L595"/>
      <c r="M595"/>
      <c r="N595"/>
      <c r="O595"/>
      <c r="P595"/>
    </row>
    <row r="596" spans="4:16">
      <c r="D596" s="158" t="s">
        <v>274</v>
      </c>
      <c r="E596" s="158" t="s">
        <v>235</v>
      </c>
      <c r="F596" s="1">
        <v>43031</v>
      </c>
      <c r="G596" s="158" t="s">
        <v>275</v>
      </c>
      <c r="H596" s="158" t="s">
        <v>276</v>
      </c>
      <c r="I596" s="158" t="s">
        <v>277</v>
      </c>
      <c r="J596" s="158" t="s">
        <v>252</v>
      </c>
      <c r="K596" s="158">
        <v>2.5</v>
      </c>
      <c r="L596"/>
      <c r="M596"/>
      <c r="N596"/>
      <c r="O596"/>
      <c r="P596"/>
    </row>
    <row r="597" spans="4:16">
      <c r="D597" s="158" t="s">
        <v>274</v>
      </c>
      <c r="E597" s="158" t="s">
        <v>235</v>
      </c>
      <c r="F597" s="1">
        <v>43041</v>
      </c>
      <c r="G597" s="158" t="s">
        <v>279</v>
      </c>
      <c r="H597" s="158" t="s">
        <v>278</v>
      </c>
      <c r="I597" s="158" t="s">
        <v>251</v>
      </c>
      <c r="J597" s="158" t="s">
        <v>252</v>
      </c>
      <c r="K597" s="158">
        <v>3.25</v>
      </c>
      <c r="L597"/>
      <c r="M597"/>
      <c r="N597"/>
      <c r="O597"/>
      <c r="P597"/>
    </row>
    <row r="598" spans="4:16">
      <c r="D598" s="158" t="s">
        <v>274</v>
      </c>
      <c r="E598" s="158" t="s">
        <v>235</v>
      </c>
      <c r="F598" s="1">
        <v>43076</v>
      </c>
      <c r="G598" s="158" t="s">
        <v>269</v>
      </c>
      <c r="H598" s="158" t="s">
        <v>254</v>
      </c>
      <c r="I598" s="158" t="s">
        <v>255</v>
      </c>
      <c r="J598" s="158" t="s">
        <v>252</v>
      </c>
      <c r="K598" s="158">
        <v>1</v>
      </c>
      <c r="L598"/>
      <c r="M598"/>
      <c r="N598"/>
      <c r="O598"/>
      <c r="P598"/>
    </row>
    <row r="599" spans="4:16">
      <c r="D599" s="158" t="s">
        <v>274</v>
      </c>
      <c r="E599" s="158" t="s">
        <v>235</v>
      </c>
      <c r="F599" s="1">
        <v>43110</v>
      </c>
      <c r="G599" s="158" t="s">
        <v>280</v>
      </c>
      <c r="H599" s="158" t="s">
        <v>281</v>
      </c>
      <c r="I599" s="158" t="s">
        <v>282</v>
      </c>
      <c r="J599" s="158" t="s">
        <v>261</v>
      </c>
      <c r="K599" s="158">
        <v>19.75</v>
      </c>
      <c r="L599"/>
      <c r="M599"/>
      <c r="N599"/>
      <c r="O599"/>
      <c r="P599"/>
    </row>
    <row r="600" spans="4:16">
      <c r="D600" s="158" t="s">
        <v>274</v>
      </c>
      <c r="E600" s="158" t="s">
        <v>235</v>
      </c>
      <c r="F600" s="1">
        <v>43139</v>
      </c>
      <c r="G600" s="158" t="s">
        <v>318</v>
      </c>
      <c r="H600" s="158" t="s">
        <v>287</v>
      </c>
      <c r="I600" s="158" t="s">
        <v>281</v>
      </c>
      <c r="J600" s="158" t="s">
        <v>261</v>
      </c>
      <c r="K600" s="158">
        <v>19.5</v>
      </c>
      <c r="L600"/>
      <c r="M600"/>
      <c r="N600"/>
      <c r="O600"/>
      <c r="P600"/>
    </row>
    <row r="601" spans="4:16">
      <c r="D601" s="158" t="s">
        <v>274</v>
      </c>
      <c r="E601" s="158" t="s">
        <v>235</v>
      </c>
      <c r="F601" s="1">
        <v>43182</v>
      </c>
      <c r="G601" s="158" t="s">
        <v>336</v>
      </c>
      <c r="H601" s="158" t="s">
        <v>335</v>
      </c>
      <c r="I601" s="158" t="s">
        <v>284</v>
      </c>
      <c r="J601" s="158" t="s">
        <v>261</v>
      </c>
      <c r="K601" s="158">
        <v>22</v>
      </c>
      <c r="L601"/>
      <c r="M601"/>
      <c r="N601"/>
      <c r="O601"/>
      <c r="P601"/>
    </row>
    <row r="602" spans="4:16">
      <c r="D602" s="158" t="s">
        <v>274</v>
      </c>
      <c r="E602" s="158" t="s">
        <v>235</v>
      </c>
      <c r="F602" s="1">
        <v>43194</v>
      </c>
      <c r="G602" s="158" t="s">
        <v>339</v>
      </c>
      <c r="H602" s="158" t="s">
        <v>340</v>
      </c>
      <c r="I602" s="158" t="s">
        <v>341</v>
      </c>
      <c r="J602" s="158" t="s">
        <v>261</v>
      </c>
      <c r="K602" s="158">
        <v>19</v>
      </c>
      <c r="L602"/>
      <c r="M602"/>
      <c r="N602"/>
      <c r="O602"/>
      <c r="P602"/>
    </row>
    <row r="603" spans="4:16">
      <c r="D603" s="158" t="s">
        <v>274</v>
      </c>
      <c r="E603" s="158" t="s">
        <v>235</v>
      </c>
      <c r="F603" s="1">
        <v>43235</v>
      </c>
      <c r="G603" s="158" t="s">
        <v>353</v>
      </c>
      <c r="H603" s="158" t="s">
        <v>352</v>
      </c>
      <c r="I603" s="158" t="s">
        <v>313</v>
      </c>
      <c r="J603" s="158" t="s">
        <v>261</v>
      </c>
      <c r="K603" s="158">
        <v>1.5</v>
      </c>
      <c r="L603"/>
      <c r="M603"/>
      <c r="N603"/>
      <c r="O603"/>
      <c r="P603"/>
    </row>
    <row r="604" spans="4:16">
      <c r="D604" s="158" t="s">
        <v>274</v>
      </c>
      <c r="E604" s="158" t="s">
        <v>235</v>
      </c>
      <c r="F604" s="1">
        <v>43279</v>
      </c>
      <c r="G604" s="158" t="s">
        <v>285</v>
      </c>
      <c r="H604" s="158" t="s">
        <v>286</v>
      </c>
      <c r="I604" s="158" t="s">
        <v>287</v>
      </c>
      <c r="J604" s="158" t="s">
        <v>261</v>
      </c>
      <c r="K604" s="158">
        <v>21</v>
      </c>
      <c r="L604"/>
      <c r="M604"/>
      <c r="N604"/>
      <c r="O604"/>
      <c r="P604"/>
    </row>
    <row r="605" spans="4:16">
      <c r="D605" s="158" t="s">
        <v>274</v>
      </c>
      <c r="E605" s="158" t="s">
        <v>235</v>
      </c>
      <c r="F605" s="1">
        <v>43291</v>
      </c>
      <c r="G605" s="158" t="s">
        <v>513</v>
      </c>
      <c r="H605" s="158" t="s">
        <v>460</v>
      </c>
      <c r="I605" s="158" t="s">
        <v>370</v>
      </c>
      <c r="J605" s="158" t="s">
        <v>261</v>
      </c>
      <c r="K605" s="158">
        <v>20</v>
      </c>
      <c r="L605"/>
      <c r="M605"/>
      <c r="N605"/>
      <c r="O605"/>
      <c r="P605"/>
    </row>
    <row r="606" spans="4:16">
      <c r="D606" s="158" t="s">
        <v>274</v>
      </c>
      <c r="E606" s="158" t="s">
        <v>235</v>
      </c>
      <c r="F606" s="1">
        <v>43321</v>
      </c>
      <c r="G606" s="158" t="s">
        <v>288</v>
      </c>
      <c r="H606" s="158" t="s">
        <v>289</v>
      </c>
      <c r="I606" s="158" t="s">
        <v>290</v>
      </c>
      <c r="J606" s="158" t="s">
        <v>261</v>
      </c>
      <c r="K606" s="158">
        <v>15</v>
      </c>
      <c r="L606"/>
      <c r="M606"/>
      <c r="N606"/>
      <c r="O606"/>
      <c r="P606"/>
    </row>
    <row r="607" spans="4:16">
      <c r="D607" s="158" t="s">
        <v>274</v>
      </c>
      <c r="E607" s="158" t="s">
        <v>235</v>
      </c>
      <c r="F607" s="1">
        <v>43346</v>
      </c>
      <c r="G607" s="158" t="s">
        <v>389</v>
      </c>
      <c r="H607" s="158" t="s">
        <v>390</v>
      </c>
      <c r="I607" s="158" t="s">
        <v>260</v>
      </c>
      <c r="J607" s="158" t="s">
        <v>261</v>
      </c>
      <c r="K607" s="158">
        <v>20</v>
      </c>
      <c r="L607"/>
      <c r="M607"/>
      <c r="N607"/>
      <c r="O607"/>
      <c r="P607"/>
    </row>
    <row r="608" spans="4:16">
      <c r="D608" s="158" t="s">
        <v>274</v>
      </c>
      <c r="E608" s="158" t="s">
        <v>235</v>
      </c>
      <c r="F608" s="1">
        <v>43374</v>
      </c>
      <c r="G608" s="158" t="s">
        <v>392</v>
      </c>
      <c r="H608" s="158" t="s">
        <v>263</v>
      </c>
      <c r="I608" s="158" t="s">
        <v>264</v>
      </c>
      <c r="J608" s="158" t="s">
        <v>261</v>
      </c>
      <c r="K608" s="158">
        <v>21.5</v>
      </c>
      <c r="L608"/>
      <c r="M608"/>
      <c r="N608"/>
      <c r="O608"/>
      <c r="P608"/>
    </row>
    <row r="609" spans="4:16">
      <c r="D609" s="158" t="s">
        <v>274</v>
      </c>
      <c r="E609" s="158" t="s">
        <v>235</v>
      </c>
      <c r="F609" s="1">
        <v>43410</v>
      </c>
      <c r="G609" s="158" t="s">
        <v>297</v>
      </c>
      <c r="H609" s="158" t="s">
        <v>298</v>
      </c>
      <c r="I609" s="158" t="s">
        <v>299</v>
      </c>
      <c r="J609" s="158" t="s">
        <v>261</v>
      </c>
      <c r="K609" s="158">
        <v>19.5</v>
      </c>
      <c r="L609"/>
      <c r="M609"/>
      <c r="N609"/>
      <c r="O609"/>
      <c r="P609"/>
    </row>
    <row r="610" spans="4:16">
      <c r="D610" s="158" t="s">
        <v>565</v>
      </c>
      <c r="E610" s="158" t="s">
        <v>235</v>
      </c>
      <c r="F610" s="1">
        <v>43105</v>
      </c>
      <c r="G610" s="158" t="s">
        <v>500</v>
      </c>
      <c r="H610" s="158" t="s">
        <v>282</v>
      </c>
      <c r="I610" s="158" t="s">
        <v>282</v>
      </c>
      <c r="J610" s="158" t="s">
        <v>261</v>
      </c>
      <c r="K610" s="158">
        <v>2</v>
      </c>
      <c r="L610"/>
      <c r="M610"/>
      <c r="N610"/>
      <c r="O610"/>
      <c r="P610"/>
    </row>
    <row r="611" spans="4:16">
      <c r="D611" s="158" t="s">
        <v>565</v>
      </c>
      <c r="E611" s="158" t="s">
        <v>235</v>
      </c>
      <c r="F611" s="1">
        <v>43186</v>
      </c>
      <c r="G611" s="158" t="s">
        <v>484</v>
      </c>
      <c r="H611" s="158" t="s">
        <v>337</v>
      </c>
      <c r="I611" s="158" t="s">
        <v>284</v>
      </c>
      <c r="J611" s="158" t="s">
        <v>261</v>
      </c>
      <c r="K611" s="158">
        <v>3.5</v>
      </c>
      <c r="L611"/>
      <c r="M611"/>
      <c r="N611"/>
      <c r="O611"/>
      <c r="P611"/>
    </row>
    <row r="612" spans="4:16">
      <c r="D612" s="158" t="s">
        <v>587</v>
      </c>
      <c r="E612" s="158" t="s">
        <v>236</v>
      </c>
      <c r="F612" s="1">
        <v>43234</v>
      </c>
      <c r="G612" s="158" t="s">
        <v>351</v>
      </c>
      <c r="H612" s="158" t="s">
        <v>352</v>
      </c>
      <c r="I612" s="158" t="s">
        <v>313</v>
      </c>
      <c r="J612" s="158" t="s">
        <v>261</v>
      </c>
      <c r="K612" s="158">
        <v>2.5</v>
      </c>
      <c r="L612"/>
      <c r="M612"/>
      <c r="N612"/>
      <c r="O612"/>
      <c r="P612"/>
    </row>
    <row r="613" spans="4:16">
      <c r="D613" s="158" t="s">
        <v>587</v>
      </c>
      <c r="E613" s="158" t="s">
        <v>236</v>
      </c>
      <c r="F613" s="1">
        <v>43270</v>
      </c>
      <c r="G613" s="158" t="s">
        <v>365</v>
      </c>
      <c r="H613" s="158" t="s">
        <v>366</v>
      </c>
      <c r="I613" s="158" t="s">
        <v>287</v>
      </c>
      <c r="J613" s="158" t="s">
        <v>261</v>
      </c>
      <c r="K613" s="158">
        <v>3</v>
      </c>
      <c r="L613"/>
      <c r="M613"/>
      <c r="N613"/>
      <c r="O613"/>
      <c r="P613"/>
    </row>
    <row r="614" spans="4:16">
      <c r="D614" s="158" t="s">
        <v>587</v>
      </c>
      <c r="E614" s="158" t="s">
        <v>236</v>
      </c>
      <c r="F614" s="1">
        <v>43287</v>
      </c>
      <c r="G614" s="158" t="s">
        <v>458</v>
      </c>
      <c r="H614" s="158" t="s">
        <v>369</v>
      </c>
      <c r="I614" s="158" t="s">
        <v>370</v>
      </c>
      <c r="J614" s="158" t="s">
        <v>261</v>
      </c>
      <c r="K614" s="158">
        <v>3</v>
      </c>
      <c r="L614"/>
      <c r="M614"/>
      <c r="N614"/>
      <c r="O614"/>
      <c r="P614"/>
    </row>
    <row r="615" spans="4:16">
      <c r="D615" s="158" t="s">
        <v>587</v>
      </c>
      <c r="E615" s="158" t="s">
        <v>236</v>
      </c>
      <c r="F615" s="1">
        <v>43325</v>
      </c>
      <c r="G615" s="158" t="s">
        <v>471</v>
      </c>
      <c r="H615" s="158" t="s">
        <v>293</v>
      </c>
      <c r="I615" s="158" t="s">
        <v>290</v>
      </c>
      <c r="J615" s="158" t="s">
        <v>261</v>
      </c>
      <c r="K615" s="158">
        <v>4.5</v>
      </c>
      <c r="L615"/>
      <c r="M615"/>
      <c r="N615"/>
      <c r="O615"/>
      <c r="P615"/>
    </row>
    <row r="616" spans="4:16">
      <c r="D616" s="158" t="s">
        <v>587</v>
      </c>
      <c r="E616" s="158" t="s">
        <v>236</v>
      </c>
      <c r="F616" s="1">
        <v>43357</v>
      </c>
      <c r="G616" s="158" t="s">
        <v>391</v>
      </c>
      <c r="H616" s="158" t="s">
        <v>378</v>
      </c>
      <c r="I616" s="158" t="s">
        <v>260</v>
      </c>
      <c r="J616" s="158" t="s">
        <v>261</v>
      </c>
      <c r="K616" s="158">
        <v>2.5</v>
      </c>
      <c r="L616"/>
      <c r="M616"/>
      <c r="N616"/>
      <c r="O616"/>
      <c r="P616"/>
    </row>
    <row r="617" spans="4:16">
      <c r="D617" s="158" t="s">
        <v>587</v>
      </c>
      <c r="E617" s="158" t="s">
        <v>236</v>
      </c>
      <c r="F617" s="1">
        <v>43374</v>
      </c>
      <c r="G617" s="158" t="s">
        <v>392</v>
      </c>
      <c r="H617" s="158" t="s">
        <v>263</v>
      </c>
      <c r="I617" s="158" t="s">
        <v>264</v>
      </c>
      <c r="J617" s="158" t="s">
        <v>261</v>
      </c>
      <c r="K617" s="158">
        <v>4</v>
      </c>
      <c r="L617"/>
      <c r="M617"/>
      <c r="N617"/>
      <c r="O617"/>
      <c r="P617"/>
    </row>
    <row r="618" spans="4:16">
      <c r="D618" s="158" t="s">
        <v>587</v>
      </c>
      <c r="E618" s="158" t="s">
        <v>236</v>
      </c>
      <c r="F618" s="1">
        <v>43430</v>
      </c>
      <c r="G618" s="158" t="s">
        <v>305</v>
      </c>
      <c r="H618" s="158" t="s">
        <v>306</v>
      </c>
      <c r="I618" s="158" t="s">
        <v>299</v>
      </c>
      <c r="J618" s="158" t="s">
        <v>261</v>
      </c>
      <c r="K618" s="158">
        <v>2</v>
      </c>
      <c r="L618"/>
      <c r="M618"/>
      <c r="N618"/>
      <c r="O618"/>
      <c r="P618"/>
    </row>
    <row r="619" spans="4:16">
      <c r="D619" s="158" t="s">
        <v>571</v>
      </c>
      <c r="E619" s="158" t="s">
        <v>236</v>
      </c>
      <c r="F619" s="1">
        <v>43151</v>
      </c>
      <c r="G619" s="158" t="s">
        <v>502</v>
      </c>
      <c r="H619" s="158" t="s">
        <v>290</v>
      </c>
      <c r="I619" s="158" t="s">
        <v>281</v>
      </c>
      <c r="J619" s="158" t="s">
        <v>261</v>
      </c>
      <c r="K619" s="158">
        <v>18</v>
      </c>
      <c r="L619"/>
      <c r="M619"/>
      <c r="N619"/>
      <c r="O619"/>
      <c r="P619"/>
    </row>
    <row r="620" spans="4:16">
      <c r="D620" s="158" t="s">
        <v>571</v>
      </c>
      <c r="E620" s="158" t="s">
        <v>236</v>
      </c>
      <c r="F620" s="1">
        <v>43166</v>
      </c>
      <c r="G620" s="158" t="s">
        <v>331</v>
      </c>
      <c r="H620" s="158" t="s">
        <v>264</v>
      </c>
      <c r="I620" s="158" t="s">
        <v>284</v>
      </c>
      <c r="J620" s="158" t="s">
        <v>261</v>
      </c>
      <c r="K620" s="158">
        <v>13.5</v>
      </c>
      <c r="L620"/>
      <c r="M620"/>
      <c r="N620"/>
      <c r="O620"/>
      <c r="P620"/>
    </row>
    <row r="621" spans="4:16">
      <c r="D621" s="158" t="s">
        <v>428</v>
      </c>
      <c r="E621" s="158" t="s">
        <v>238</v>
      </c>
      <c r="F621" s="1">
        <v>43115</v>
      </c>
      <c r="G621" s="158" t="s">
        <v>449</v>
      </c>
      <c r="H621" s="158" t="s">
        <v>284</v>
      </c>
      <c r="I621" s="158" t="s">
        <v>282</v>
      </c>
      <c r="J621" s="158" t="s">
        <v>261</v>
      </c>
      <c r="K621" s="158">
        <v>15</v>
      </c>
      <c r="L621"/>
      <c r="M621"/>
      <c r="N621"/>
      <c r="O621"/>
      <c r="P621"/>
    </row>
    <row r="622" spans="4:16">
      <c r="D622" s="158" t="s">
        <v>428</v>
      </c>
      <c r="E622" s="158" t="s">
        <v>238</v>
      </c>
      <c r="F622" s="1">
        <v>43136</v>
      </c>
      <c r="G622" s="158" t="s">
        <v>315</v>
      </c>
      <c r="H622" s="158" t="s">
        <v>287</v>
      </c>
      <c r="I622" s="158" t="s">
        <v>281</v>
      </c>
      <c r="J622" s="158" t="s">
        <v>261</v>
      </c>
      <c r="K622" s="158">
        <v>17</v>
      </c>
      <c r="L622"/>
      <c r="M622"/>
      <c r="N622"/>
      <c r="O622"/>
      <c r="P622"/>
    </row>
    <row r="623" spans="4:16">
      <c r="D623" s="158" t="s">
        <v>428</v>
      </c>
      <c r="E623" s="158" t="s">
        <v>238</v>
      </c>
      <c r="F623" s="1">
        <v>43164</v>
      </c>
      <c r="G623" s="158" t="s">
        <v>329</v>
      </c>
      <c r="H623" s="158" t="s">
        <v>264</v>
      </c>
      <c r="I623" s="158" t="s">
        <v>284</v>
      </c>
      <c r="J623" s="158" t="s">
        <v>261</v>
      </c>
      <c r="K623" s="158">
        <v>20</v>
      </c>
      <c r="L623"/>
      <c r="M623"/>
      <c r="N623"/>
      <c r="O623"/>
      <c r="P623"/>
    </row>
    <row r="624" spans="4:16">
      <c r="D624" s="158" t="s">
        <v>428</v>
      </c>
      <c r="E624" s="158" t="s">
        <v>238</v>
      </c>
      <c r="F624" s="1">
        <v>43207</v>
      </c>
      <c r="G624" s="158" t="s">
        <v>384</v>
      </c>
      <c r="H624" s="158" t="s">
        <v>347</v>
      </c>
      <c r="I624" s="158" t="s">
        <v>341</v>
      </c>
      <c r="J624" s="158" t="s">
        <v>261</v>
      </c>
      <c r="K624" s="158">
        <v>14.5</v>
      </c>
      <c r="L624"/>
      <c r="M624"/>
      <c r="N624"/>
      <c r="O624"/>
      <c r="P624"/>
    </row>
    <row r="625" spans="4:16">
      <c r="D625" s="158" t="s">
        <v>428</v>
      </c>
      <c r="E625" s="158" t="s">
        <v>238</v>
      </c>
      <c r="F625" s="1">
        <v>43234</v>
      </c>
      <c r="G625" s="158" t="s">
        <v>351</v>
      </c>
      <c r="H625" s="158" t="s">
        <v>352</v>
      </c>
      <c r="I625" s="158" t="s">
        <v>313</v>
      </c>
      <c r="J625" s="158" t="s">
        <v>261</v>
      </c>
      <c r="K625" s="158">
        <v>16</v>
      </c>
      <c r="L625"/>
      <c r="M625"/>
      <c r="N625"/>
      <c r="O625"/>
      <c r="P625"/>
    </row>
    <row r="626" spans="4:16">
      <c r="D626" s="158" t="s">
        <v>428</v>
      </c>
      <c r="E626" s="158" t="s">
        <v>238</v>
      </c>
      <c r="F626" s="1">
        <v>43262</v>
      </c>
      <c r="G626" s="158" t="s">
        <v>361</v>
      </c>
      <c r="H626" s="158" t="s">
        <v>362</v>
      </c>
      <c r="I626" s="158" t="s">
        <v>287</v>
      </c>
      <c r="J626" s="158" t="s">
        <v>261</v>
      </c>
      <c r="K626" s="158">
        <v>19</v>
      </c>
      <c r="L626"/>
      <c r="M626"/>
      <c r="N626"/>
      <c r="O626"/>
      <c r="P626"/>
    </row>
    <row r="627" spans="4:16">
      <c r="D627" s="158" t="s">
        <v>428</v>
      </c>
      <c r="E627" s="158" t="s">
        <v>238</v>
      </c>
      <c r="F627" s="1">
        <v>43290</v>
      </c>
      <c r="G627" s="158" t="s">
        <v>468</v>
      </c>
      <c r="H627" s="158" t="s">
        <v>460</v>
      </c>
      <c r="I627" s="158" t="s">
        <v>370</v>
      </c>
      <c r="J627" s="158" t="s">
        <v>261</v>
      </c>
      <c r="K627" s="158">
        <v>15.5</v>
      </c>
      <c r="L627"/>
      <c r="M627"/>
      <c r="N627"/>
      <c r="O627"/>
      <c r="P627"/>
    </row>
    <row r="628" spans="4:16">
      <c r="D628" s="158" t="s">
        <v>428</v>
      </c>
      <c r="E628" s="158" t="s">
        <v>238</v>
      </c>
      <c r="F628" s="1">
        <v>43318</v>
      </c>
      <c r="G628" s="158" t="s">
        <v>469</v>
      </c>
      <c r="H628" s="158" t="s">
        <v>289</v>
      </c>
      <c r="I628" s="158" t="s">
        <v>290</v>
      </c>
      <c r="J628" s="158" t="s">
        <v>261</v>
      </c>
      <c r="K628" s="158">
        <v>11.5</v>
      </c>
      <c r="L628"/>
      <c r="M628"/>
      <c r="N628"/>
      <c r="O628"/>
      <c r="P628"/>
    </row>
    <row r="629" spans="4:16">
      <c r="D629" s="158" t="s">
        <v>428</v>
      </c>
      <c r="E629" s="158" t="s">
        <v>238</v>
      </c>
      <c r="F629" s="1">
        <v>43346</v>
      </c>
      <c r="G629" s="158" t="s">
        <v>389</v>
      </c>
      <c r="H629" s="158" t="s">
        <v>390</v>
      </c>
      <c r="I629" s="158" t="s">
        <v>260</v>
      </c>
      <c r="J629" s="158" t="s">
        <v>261</v>
      </c>
      <c r="K629" s="158">
        <v>19</v>
      </c>
      <c r="L629"/>
      <c r="M629"/>
      <c r="N629"/>
      <c r="O629"/>
      <c r="P629"/>
    </row>
    <row r="630" spans="4:16">
      <c r="D630" s="158" t="s">
        <v>428</v>
      </c>
      <c r="E630" s="158" t="s">
        <v>238</v>
      </c>
      <c r="F630" s="1">
        <v>43374</v>
      </c>
      <c r="G630" s="158" t="s">
        <v>392</v>
      </c>
      <c r="H630" s="158" t="s">
        <v>263</v>
      </c>
      <c r="I630" s="158" t="s">
        <v>264</v>
      </c>
      <c r="J630" s="158" t="s">
        <v>261</v>
      </c>
      <c r="K630" s="158">
        <v>17</v>
      </c>
      <c r="L630"/>
      <c r="M630"/>
      <c r="N630"/>
      <c r="O630"/>
      <c r="P630"/>
    </row>
    <row r="631" spans="4:16">
      <c r="D631" s="158" t="s">
        <v>428</v>
      </c>
      <c r="E631" s="158" t="s">
        <v>237</v>
      </c>
      <c r="F631" s="1">
        <v>43390</v>
      </c>
      <c r="G631" s="158" t="s">
        <v>406</v>
      </c>
      <c r="H631" s="158" t="s">
        <v>396</v>
      </c>
      <c r="I631" s="158" t="s">
        <v>264</v>
      </c>
      <c r="J631" s="158" t="s">
        <v>261</v>
      </c>
      <c r="K631" s="158">
        <v>1</v>
      </c>
      <c r="L631"/>
      <c r="M631"/>
      <c r="N631"/>
      <c r="O631"/>
      <c r="P631"/>
    </row>
    <row r="632" spans="4:16">
      <c r="D632" s="158" t="s">
        <v>428</v>
      </c>
      <c r="E632" s="158" t="s">
        <v>238</v>
      </c>
      <c r="F632" s="1">
        <v>43406</v>
      </c>
      <c r="G632" s="158" t="s">
        <v>483</v>
      </c>
      <c r="H632" s="158" t="s">
        <v>465</v>
      </c>
      <c r="I632" s="158" t="s">
        <v>299</v>
      </c>
      <c r="J632" s="158" t="s">
        <v>261</v>
      </c>
      <c r="K632" s="158">
        <v>19</v>
      </c>
      <c r="L632"/>
      <c r="M632"/>
      <c r="N632"/>
      <c r="O632"/>
      <c r="P632"/>
    </row>
    <row r="633" spans="4:16">
      <c r="D633" s="158" t="s">
        <v>428</v>
      </c>
      <c r="E633" s="158" t="s">
        <v>237</v>
      </c>
      <c r="F633" s="1">
        <v>43418</v>
      </c>
      <c r="G633" s="158" t="s">
        <v>303</v>
      </c>
      <c r="H633" s="158" t="s">
        <v>302</v>
      </c>
      <c r="I633" s="158" t="s">
        <v>299</v>
      </c>
      <c r="J633" s="158" t="s">
        <v>261</v>
      </c>
      <c r="K633" s="158">
        <v>2</v>
      </c>
      <c r="L633"/>
      <c r="M633"/>
      <c r="N633"/>
      <c r="O633"/>
      <c r="P633"/>
    </row>
    <row r="634" spans="4:16">
      <c r="D634" s="158" t="s">
        <v>428</v>
      </c>
      <c r="E634" s="158" t="s">
        <v>238</v>
      </c>
      <c r="F634" s="1">
        <v>43437</v>
      </c>
      <c r="G634" s="158" t="s">
        <v>417</v>
      </c>
      <c r="H634" s="158" t="s">
        <v>418</v>
      </c>
      <c r="I634" s="158" t="s">
        <v>335</v>
      </c>
      <c r="J634" s="158" t="s">
        <v>261</v>
      </c>
      <c r="K634" s="158">
        <v>3</v>
      </c>
      <c r="L634"/>
      <c r="M634"/>
      <c r="N634"/>
      <c r="O634"/>
      <c r="P634"/>
    </row>
    <row r="635" spans="4:16">
      <c r="D635" s="158" t="s">
        <v>572</v>
      </c>
      <c r="E635" s="158" t="s">
        <v>236</v>
      </c>
      <c r="F635" s="1">
        <v>43139</v>
      </c>
      <c r="G635" s="158" t="s">
        <v>318</v>
      </c>
      <c r="H635" s="158" t="s">
        <v>287</v>
      </c>
      <c r="I635" s="158" t="s">
        <v>281</v>
      </c>
      <c r="J635" s="158" t="s">
        <v>261</v>
      </c>
      <c r="K635" s="158">
        <v>18</v>
      </c>
      <c r="L635"/>
      <c r="M635"/>
      <c r="N635"/>
      <c r="O635"/>
      <c r="P635"/>
    </row>
    <row r="636" spans="4:16">
      <c r="D636" s="158" t="s">
        <v>572</v>
      </c>
      <c r="E636" s="158" t="s">
        <v>236</v>
      </c>
      <c r="F636" s="1">
        <v>43165</v>
      </c>
      <c r="G636" s="158" t="s">
        <v>330</v>
      </c>
      <c r="H636" s="158" t="s">
        <v>264</v>
      </c>
      <c r="I636" s="158" t="s">
        <v>284</v>
      </c>
      <c r="J636" s="158" t="s">
        <v>261</v>
      </c>
      <c r="K636" s="158">
        <v>22</v>
      </c>
      <c r="L636"/>
      <c r="M636"/>
      <c r="N636"/>
      <c r="O636"/>
      <c r="P636"/>
    </row>
    <row r="637" spans="4:16">
      <c r="D637" s="158" t="s">
        <v>572</v>
      </c>
      <c r="E637" s="158" t="s">
        <v>236</v>
      </c>
      <c r="F637" s="1">
        <v>43195</v>
      </c>
      <c r="G637" s="158" t="s">
        <v>421</v>
      </c>
      <c r="H637" s="158" t="s">
        <v>340</v>
      </c>
      <c r="I637" s="158" t="s">
        <v>341</v>
      </c>
      <c r="J637" s="158" t="s">
        <v>261</v>
      </c>
      <c r="K637" s="158">
        <v>19</v>
      </c>
      <c r="L637"/>
      <c r="M637"/>
      <c r="N637"/>
      <c r="O637"/>
      <c r="P637"/>
    </row>
    <row r="638" spans="4:16">
      <c r="D638" s="158" t="s">
        <v>572</v>
      </c>
      <c r="E638" s="158" t="s">
        <v>236</v>
      </c>
      <c r="F638" s="1">
        <v>43223</v>
      </c>
      <c r="G638" s="158" t="s">
        <v>528</v>
      </c>
      <c r="H638" s="158" t="s">
        <v>505</v>
      </c>
      <c r="I638" s="158" t="s">
        <v>313</v>
      </c>
      <c r="J638" s="158" t="s">
        <v>261</v>
      </c>
      <c r="K638" s="158">
        <v>18</v>
      </c>
      <c r="L638"/>
      <c r="M638"/>
      <c r="N638"/>
      <c r="O638"/>
      <c r="P638"/>
    </row>
    <row r="639" spans="4:16">
      <c r="D639" s="158" t="s">
        <v>572</v>
      </c>
      <c r="E639" s="158" t="s">
        <v>236</v>
      </c>
      <c r="F639" s="1">
        <v>43252</v>
      </c>
      <c r="G639" s="158" t="s">
        <v>495</v>
      </c>
      <c r="H639" s="158" t="s">
        <v>356</v>
      </c>
      <c r="I639" s="158" t="s">
        <v>287</v>
      </c>
      <c r="J639" s="158" t="s">
        <v>261</v>
      </c>
      <c r="K639" s="158">
        <v>19</v>
      </c>
      <c r="L639"/>
      <c r="M639"/>
      <c r="N639"/>
      <c r="O639"/>
      <c r="P639"/>
    </row>
    <row r="640" spans="4:16">
      <c r="D640" s="158" t="s">
        <v>572</v>
      </c>
      <c r="E640" s="158" t="s">
        <v>236</v>
      </c>
      <c r="F640" s="1">
        <v>43290</v>
      </c>
      <c r="G640" s="158" t="s">
        <v>468</v>
      </c>
      <c r="H640" s="158" t="s">
        <v>460</v>
      </c>
      <c r="I640" s="158" t="s">
        <v>370</v>
      </c>
      <c r="J640" s="158" t="s">
        <v>261</v>
      </c>
      <c r="K640" s="158">
        <v>16</v>
      </c>
      <c r="L640"/>
      <c r="M640"/>
      <c r="N640"/>
      <c r="O640"/>
      <c r="P640"/>
    </row>
    <row r="641" spans="4:16">
      <c r="D641" s="158" t="s">
        <v>572</v>
      </c>
      <c r="E641" s="158" t="s">
        <v>236</v>
      </c>
      <c r="F641" s="1">
        <v>43343</v>
      </c>
      <c r="G641" s="158" t="s">
        <v>516</v>
      </c>
      <c r="H641" s="158" t="s">
        <v>295</v>
      </c>
      <c r="I641" s="158" t="s">
        <v>290</v>
      </c>
      <c r="J641" s="158" t="s">
        <v>261</v>
      </c>
      <c r="K641" s="158">
        <v>20</v>
      </c>
      <c r="L641"/>
      <c r="M641"/>
      <c r="N641"/>
      <c r="O641"/>
      <c r="P641"/>
    </row>
    <row r="642" spans="4:16">
      <c r="D642" s="158" t="s">
        <v>572</v>
      </c>
      <c r="E642" s="158" t="s">
        <v>236</v>
      </c>
      <c r="F642" s="1">
        <v>43354</v>
      </c>
      <c r="G642" s="158" t="s">
        <v>377</v>
      </c>
      <c r="H642" s="158" t="s">
        <v>378</v>
      </c>
      <c r="I642" s="158" t="s">
        <v>260</v>
      </c>
      <c r="J642" s="158" t="s">
        <v>261</v>
      </c>
      <c r="K642" s="158">
        <v>18</v>
      </c>
      <c r="L642"/>
      <c r="M642"/>
      <c r="N642"/>
      <c r="O642"/>
      <c r="P642"/>
    </row>
    <row r="643" spans="4:16">
      <c r="D643" s="158" t="s">
        <v>572</v>
      </c>
      <c r="E643" s="158" t="s">
        <v>236</v>
      </c>
      <c r="F643" s="1">
        <v>43397</v>
      </c>
      <c r="G643" s="158" t="s">
        <v>310</v>
      </c>
      <c r="H643" s="158" t="s">
        <v>273</v>
      </c>
      <c r="I643" s="158" t="s">
        <v>264</v>
      </c>
      <c r="J643" s="158" t="s">
        <v>261</v>
      </c>
      <c r="K643" s="158">
        <v>19</v>
      </c>
      <c r="L643"/>
      <c r="M643"/>
      <c r="N643"/>
      <c r="O643"/>
      <c r="P643"/>
    </row>
    <row r="644" spans="4:16">
      <c r="D644" s="158" t="s">
        <v>572</v>
      </c>
      <c r="E644" s="158" t="s">
        <v>236</v>
      </c>
      <c r="F644" s="1">
        <v>43409</v>
      </c>
      <c r="G644" s="158" t="s">
        <v>411</v>
      </c>
      <c r="H644" s="158" t="s">
        <v>298</v>
      </c>
      <c r="I644" s="158" t="s">
        <v>299</v>
      </c>
      <c r="J644" s="158" t="s">
        <v>261</v>
      </c>
      <c r="K644" s="158">
        <v>21</v>
      </c>
      <c r="L644"/>
      <c r="M644"/>
      <c r="N644"/>
      <c r="O644"/>
      <c r="P644"/>
    </row>
    <row r="645" spans="4:16">
      <c r="D645" s="158" t="s">
        <v>572</v>
      </c>
      <c r="E645" s="158" t="s">
        <v>236</v>
      </c>
      <c r="F645" s="1">
        <v>43438</v>
      </c>
      <c r="G645" s="158" t="s">
        <v>533</v>
      </c>
      <c r="H645" s="158" t="s">
        <v>418</v>
      </c>
      <c r="I645" s="158" t="s">
        <v>335</v>
      </c>
      <c r="J645" s="158" t="s">
        <v>261</v>
      </c>
      <c r="K645" s="158">
        <v>3.5</v>
      </c>
      <c r="L645"/>
      <c r="M645"/>
      <c r="N645"/>
      <c r="O645"/>
      <c r="P645"/>
    </row>
    <row r="646" spans="4:16">
      <c r="D646" s="158" t="s">
        <v>604</v>
      </c>
      <c r="E646" s="158" t="s">
        <v>235</v>
      </c>
      <c r="F646" s="1">
        <v>43290</v>
      </c>
      <c r="G646" s="158" t="s">
        <v>468</v>
      </c>
      <c r="H646" s="158" t="s">
        <v>460</v>
      </c>
      <c r="I646" s="158" t="s">
        <v>370</v>
      </c>
      <c r="J646" s="158" t="s">
        <v>261</v>
      </c>
      <c r="K646" s="158">
        <v>17</v>
      </c>
      <c r="L646"/>
      <c r="M646"/>
      <c r="N646"/>
      <c r="O646"/>
      <c r="P646"/>
    </row>
    <row r="647" spans="4:16">
      <c r="D647" s="158" t="s">
        <v>604</v>
      </c>
      <c r="E647" s="158" t="s">
        <v>235</v>
      </c>
      <c r="F647" s="1">
        <v>43318</v>
      </c>
      <c r="G647" s="158" t="s">
        <v>469</v>
      </c>
      <c r="H647" s="158" t="s">
        <v>289</v>
      </c>
      <c r="I647" s="158" t="s">
        <v>290</v>
      </c>
      <c r="J647" s="158" t="s">
        <v>261</v>
      </c>
      <c r="K647" s="158">
        <v>20</v>
      </c>
      <c r="L647"/>
      <c r="M647"/>
      <c r="N647"/>
      <c r="O647"/>
      <c r="P647"/>
    </row>
    <row r="648" spans="4:16">
      <c r="D648" s="158" t="s">
        <v>604</v>
      </c>
      <c r="E648" s="158" t="s">
        <v>235</v>
      </c>
      <c r="F648" s="1">
        <v>43346</v>
      </c>
      <c r="G648" s="158" t="s">
        <v>389</v>
      </c>
      <c r="H648" s="158" t="s">
        <v>390</v>
      </c>
      <c r="I648" s="158" t="s">
        <v>260</v>
      </c>
      <c r="J648" s="158" t="s">
        <v>261</v>
      </c>
      <c r="K648" s="158">
        <v>20</v>
      </c>
      <c r="L648"/>
      <c r="M648"/>
      <c r="N648"/>
      <c r="O648"/>
      <c r="P648"/>
    </row>
    <row r="649" spans="4:16">
      <c r="D649" s="158" t="s">
        <v>604</v>
      </c>
      <c r="E649" s="158" t="s">
        <v>235</v>
      </c>
      <c r="F649" s="1">
        <v>43374</v>
      </c>
      <c r="G649" s="158" t="s">
        <v>392</v>
      </c>
      <c r="H649" s="158" t="s">
        <v>263</v>
      </c>
      <c r="I649" s="158" t="s">
        <v>264</v>
      </c>
      <c r="J649" s="158" t="s">
        <v>261</v>
      </c>
      <c r="K649" s="158">
        <v>22</v>
      </c>
      <c r="L649"/>
      <c r="M649"/>
      <c r="N649"/>
      <c r="O649"/>
      <c r="P649"/>
    </row>
    <row r="650" spans="4:16">
      <c r="D650" s="158" t="s">
        <v>604</v>
      </c>
      <c r="E650" s="158" t="s">
        <v>235</v>
      </c>
      <c r="F650" s="1">
        <v>43409</v>
      </c>
      <c r="G650" s="158" t="s">
        <v>411</v>
      </c>
      <c r="H650" s="158" t="s">
        <v>298</v>
      </c>
      <c r="I650" s="158" t="s">
        <v>299</v>
      </c>
      <c r="J650" s="158" t="s">
        <v>261</v>
      </c>
      <c r="K650" s="158">
        <v>20</v>
      </c>
      <c r="L650"/>
      <c r="M650"/>
      <c r="N650"/>
      <c r="O650"/>
      <c r="P650"/>
    </row>
    <row r="651" spans="4:16">
      <c r="D651" s="158" t="s">
        <v>419</v>
      </c>
      <c r="E651" s="158" t="s">
        <v>238</v>
      </c>
      <c r="F651" s="1">
        <v>43108</v>
      </c>
      <c r="G651" s="158" t="s">
        <v>448</v>
      </c>
      <c r="H651" s="158" t="s">
        <v>281</v>
      </c>
      <c r="I651" s="158" t="s">
        <v>282</v>
      </c>
      <c r="J651" s="158" t="s">
        <v>261</v>
      </c>
      <c r="K651" s="158">
        <v>20.5</v>
      </c>
      <c r="L651"/>
      <c r="M651"/>
      <c r="N651"/>
      <c r="O651"/>
      <c r="P651"/>
    </row>
    <row r="652" spans="4:16">
      <c r="D652" s="158" t="s">
        <v>419</v>
      </c>
      <c r="E652" s="158" t="s">
        <v>237</v>
      </c>
      <c r="F652" s="1">
        <v>43115</v>
      </c>
      <c r="G652" s="158" t="s">
        <v>449</v>
      </c>
      <c r="H652" s="158" t="s">
        <v>284</v>
      </c>
      <c r="I652" s="158" t="s">
        <v>282</v>
      </c>
      <c r="J652" s="158" t="s">
        <v>261</v>
      </c>
      <c r="K652" s="158">
        <v>0.5</v>
      </c>
      <c r="L652"/>
      <c r="M652"/>
      <c r="N652"/>
      <c r="O652"/>
      <c r="P652"/>
    </row>
    <row r="653" spans="4:16">
      <c r="D653" s="158" t="s">
        <v>419</v>
      </c>
      <c r="E653" s="158" t="s">
        <v>238</v>
      </c>
      <c r="F653" s="1">
        <v>43158</v>
      </c>
      <c r="G653" s="158" t="s">
        <v>325</v>
      </c>
      <c r="H653" s="158" t="s">
        <v>260</v>
      </c>
      <c r="I653" s="158" t="s">
        <v>281</v>
      </c>
      <c r="J653" s="158" t="s">
        <v>261</v>
      </c>
      <c r="K653" s="158">
        <v>19.2</v>
      </c>
      <c r="L653"/>
      <c r="M653"/>
      <c r="N653"/>
      <c r="O653"/>
      <c r="P653"/>
    </row>
    <row r="654" spans="4:16">
      <c r="D654" s="158" t="s">
        <v>419</v>
      </c>
      <c r="E654" s="158" t="s">
        <v>237</v>
      </c>
      <c r="F654" s="1">
        <v>43132</v>
      </c>
      <c r="G654" s="158" t="s">
        <v>312</v>
      </c>
      <c r="H654" s="158" t="s">
        <v>313</v>
      </c>
      <c r="I654" s="158" t="s">
        <v>281</v>
      </c>
      <c r="J654" s="158" t="s">
        <v>261</v>
      </c>
      <c r="K654" s="158">
        <v>0.3</v>
      </c>
      <c r="L654"/>
      <c r="M654"/>
      <c r="N654"/>
      <c r="O654"/>
      <c r="P654"/>
    </row>
    <row r="655" spans="4:16">
      <c r="D655" s="158" t="s">
        <v>419</v>
      </c>
      <c r="E655" s="158" t="s">
        <v>238</v>
      </c>
      <c r="F655" s="1">
        <v>43171</v>
      </c>
      <c r="G655" s="158" t="s">
        <v>420</v>
      </c>
      <c r="H655" s="158" t="s">
        <v>299</v>
      </c>
      <c r="I655" s="158" t="s">
        <v>284</v>
      </c>
      <c r="J655" s="158" t="s">
        <v>261</v>
      </c>
      <c r="K655" s="158">
        <v>19.3</v>
      </c>
      <c r="L655"/>
      <c r="M655"/>
      <c r="N655"/>
      <c r="O655"/>
      <c r="P655"/>
    </row>
    <row r="656" spans="4:16">
      <c r="D656" s="158" t="s">
        <v>419</v>
      </c>
      <c r="E656" s="158" t="s">
        <v>237</v>
      </c>
      <c r="F656" s="1">
        <v>43178</v>
      </c>
      <c r="G656" s="158" t="s">
        <v>334</v>
      </c>
      <c r="H656" s="158" t="s">
        <v>335</v>
      </c>
      <c r="I656" s="158" t="s">
        <v>284</v>
      </c>
      <c r="J656" s="158" t="s">
        <v>261</v>
      </c>
      <c r="K656" s="158">
        <v>0.7</v>
      </c>
      <c r="L656"/>
      <c r="M656"/>
      <c r="N656"/>
      <c r="O656"/>
      <c r="P656"/>
    </row>
    <row r="657" spans="4:16">
      <c r="D657" s="158" t="s">
        <v>419</v>
      </c>
      <c r="E657" s="158" t="s">
        <v>238</v>
      </c>
      <c r="F657" s="1">
        <v>43195</v>
      </c>
      <c r="G657" s="158" t="s">
        <v>421</v>
      </c>
      <c r="H657" s="158" t="s">
        <v>340</v>
      </c>
      <c r="I657" s="158" t="s">
        <v>341</v>
      </c>
      <c r="J657" s="158" t="s">
        <v>261</v>
      </c>
      <c r="K657" s="158">
        <v>7.2</v>
      </c>
      <c r="L657"/>
      <c r="M657"/>
      <c r="N657"/>
      <c r="O657"/>
      <c r="P657"/>
    </row>
    <row r="658" spans="4:16">
      <c r="D658" s="158" t="s">
        <v>419</v>
      </c>
      <c r="E658" s="158" t="s">
        <v>237</v>
      </c>
      <c r="F658" s="1">
        <v>43194</v>
      </c>
      <c r="G658" s="158" t="s">
        <v>339</v>
      </c>
      <c r="H658" s="158" t="s">
        <v>340</v>
      </c>
      <c r="I658" s="158" t="s">
        <v>341</v>
      </c>
      <c r="J658" s="158" t="s">
        <v>261</v>
      </c>
      <c r="K658" s="158">
        <v>1.8</v>
      </c>
      <c r="L658"/>
      <c r="M658"/>
      <c r="N658"/>
      <c r="O658"/>
      <c r="P658"/>
    </row>
    <row r="659" spans="4:16">
      <c r="D659" s="158" t="s">
        <v>419</v>
      </c>
      <c r="E659" s="158" t="s">
        <v>238</v>
      </c>
      <c r="F659" s="1">
        <v>43248</v>
      </c>
      <c r="G659" s="158" t="s">
        <v>355</v>
      </c>
      <c r="H659" s="158" t="s">
        <v>356</v>
      </c>
      <c r="I659" s="158" t="s">
        <v>313</v>
      </c>
      <c r="J659" s="158" t="s">
        <v>261</v>
      </c>
      <c r="K659" s="158">
        <v>8.8000000000000007</v>
      </c>
      <c r="L659"/>
      <c r="M659"/>
      <c r="N659"/>
      <c r="O659"/>
      <c r="P659"/>
    </row>
    <row r="660" spans="4:16">
      <c r="D660" s="158" t="s">
        <v>419</v>
      </c>
      <c r="E660" s="158" t="s">
        <v>237</v>
      </c>
      <c r="F660" s="1">
        <v>43250</v>
      </c>
      <c r="G660" s="158" t="s">
        <v>357</v>
      </c>
      <c r="H660" s="158" t="s">
        <v>356</v>
      </c>
      <c r="I660" s="158" t="s">
        <v>313</v>
      </c>
      <c r="J660" s="158" t="s">
        <v>261</v>
      </c>
      <c r="K660" s="158">
        <v>0.2</v>
      </c>
      <c r="L660"/>
      <c r="M660"/>
      <c r="N660"/>
      <c r="O660"/>
      <c r="P660"/>
    </row>
    <row r="661" spans="4:16">
      <c r="D661" s="158" t="s">
        <v>419</v>
      </c>
      <c r="E661" s="158" t="s">
        <v>238</v>
      </c>
      <c r="F661" s="1">
        <v>43262</v>
      </c>
      <c r="G661" s="158" t="s">
        <v>361</v>
      </c>
      <c r="H661" s="158" t="s">
        <v>362</v>
      </c>
      <c r="I661" s="158" t="s">
        <v>287</v>
      </c>
      <c r="J661" s="158" t="s">
        <v>261</v>
      </c>
      <c r="K661" s="158">
        <v>20.3</v>
      </c>
      <c r="L661"/>
      <c r="M661"/>
      <c r="N661"/>
      <c r="O661"/>
      <c r="P661"/>
    </row>
    <row r="662" spans="4:16">
      <c r="D662" s="158" t="s">
        <v>419</v>
      </c>
      <c r="E662" s="158" t="s">
        <v>237</v>
      </c>
      <c r="F662" s="1">
        <v>43259</v>
      </c>
      <c r="G662" s="158" t="s">
        <v>360</v>
      </c>
      <c r="H662" s="158" t="s">
        <v>359</v>
      </c>
      <c r="I662" s="158" t="s">
        <v>287</v>
      </c>
      <c r="J662" s="158" t="s">
        <v>261</v>
      </c>
      <c r="K662" s="158">
        <v>0.2</v>
      </c>
      <c r="L662"/>
      <c r="M662"/>
      <c r="N662"/>
      <c r="O662"/>
      <c r="P662"/>
    </row>
    <row r="663" spans="4:16">
      <c r="D663" s="158" t="s">
        <v>419</v>
      </c>
      <c r="E663" s="158" t="s">
        <v>238</v>
      </c>
      <c r="F663" s="1">
        <v>43283</v>
      </c>
      <c r="G663" s="158" t="s">
        <v>368</v>
      </c>
      <c r="H663" s="158" t="s">
        <v>369</v>
      </c>
      <c r="I663" s="158" t="s">
        <v>370</v>
      </c>
      <c r="J663" s="158" t="s">
        <v>261</v>
      </c>
      <c r="K663" s="158">
        <v>20</v>
      </c>
      <c r="L663"/>
      <c r="M663"/>
      <c r="N663"/>
      <c r="O663"/>
      <c r="P663"/>
    </row>
    <row r="664" spans="4:16">
      <c r="D664" s="158" t="s">
        <v>419</v>
      </c>
      <c r="E664" s="158" t="s">
        <v>238</v>
      </c>
      <c r="F664" s="1">
        <v>43318</v>
      </c>
      <c r="G664" s="158" t="s">
        <v>469</v>
      </c>
      <c r="H664" s="158" t="s">
        <v>289</v>
      </c>
      <c r="I664" s="158" t="s">
        <v>290</v>
      </c>
      <c r="J664" s="158" t="s">
        <v>261</v>
      </c>
      <c r="K664" s="158">
        <v>9</v>
      </c>
      <c r="L664"/>
      <c r="M664"/>
      <c r="N664"/>
      <c r="O664"/>
      <c r="P664"/>
    </row>
    <row r="665" spans="4:16">
      <c r="D665" s="158" t="s">
        <v>419</v>
      </c>
      <c r="E665" s="158" t="s">
        <v>238</v>
      </c>
      <c r="F665" s="1">
        <v>43353</v>
      </c>
      <c r="G665" s="158" t="s">
        <v>456</v>
      </c>
      <c r="H665" s="158" t="s">
        <v>378</v>
      </c>
      <c r="I665" s="158" t="s">
        <v>260</v>
      </c>
      <c r="J665" s="158" t="s">
        <v>261</v>
      </c>
      <c r="K665" s="158">
        <v>18</v>
      </c>
      <c r="L665"/>
      <c r="M665"/>
      <c r="N665"/>
      <c r="O665"/>
      <c r="P665"/>
    </row>
    <row r="666" spans="4:16">
      <c r="D666" s="158" t="s">
        <v>419</v>
      </c>
      <c r="E666" s="158" t="s">
        <v>238</v>
      </c>
      <c r="F666" s="1">
        <v>43395</v>
      </c>
      <c r="G666" s="158" t="s">
        <v>272</v>
      </c>
      <c r="H666" s="158" t="s">
        <v>273</v>
      </c>
      <c r="I666" s="158" t="s">
        <v>264</v>
      </c>
      <c r="J666" s="158" t="s">
        <v>261</v>
      </c>
      <c r="K666" s="158">
        <v>23</v>
      </c>
      <c r="L666"/>
      <c r="M666"/>
      <c r="N666"/>
      <c r="O666"/>
      <c r="P666"/>
    </row>
    <row r="667" spans="4:16">
      <c r="D667" s="158" t="s">
        <v>419</v>
      </c>
      <c r="E667" s="158" t="s">
        <v>238</v>
      </c>
      <c r="F667" s="1">
        <v>43406</v>
      </c>
      <c r="G667" s="158" t="s">
        <v>483</v>
      </c>
      <c r="H667" s="158" t="s">
        <v>465</v>
      </c>
      <c r="I667" s="158" t="s">
        <v>299</v>
      </c>
      <c r="J667" s="158" t="s">
        <v>261</v>
      </c>
      <c r="K667" s="158">
        <v>18</v>
      </c>
      <c r="L667"/>
      <c r="M667"/>
      <c r="N667"/>
      <c r="O667"/>
      <c r="P667"/>
    </row>
    <row r="668" spans="4:16">
      <c r="D668" s="158" t="s">
        <v>539</v>
      </c>
      <c r="E668" s="158" t="s">
        <v>238</v>
      </c>
      <c r="F668" s="1">
        <v>43103</v>
      </c>
      <c r="G668" s="158" t="s">
        <v>498</v>
      </c>
      <c r="H668" s="158" t="s">
        <v>282</v>
      </c>
      <c r="I668" s="158" t="s">
        <v>282</v>
      </c>
      <c r="J668" s="158" t="s">
        <v>261</v>
      </c>
      <c r="K668" s="158">
        <v>21</v>
      </c>
      <c r="L668"/>
      <c r="M668"/>
      <c r="N668"/>
      <c r="O668"/>
      <c r="P668"/>
    </row>
    <row r="669" spans="4:16">
      <c r="D669" s="158" t="s">
        <v>539</v>
      </c>
      <c r="E669" s="158" t="s">
        <v>238</v>
      </c>
      <c r="F669" s="1">
        <v>43132</v>
      </c>
      <c r="G669" s="158" t="s">
        <v>312</v>
      </c>
      <c r="H669" s="158" t="s">
        <v>313</v>
      </c>
      <c r="I669" s="158" t="s">
        <v>281</v>
      </c>
      <c r="J669" s="158" t="s">
        <v>261</v>
      </c>
      <c r="K669" s="158">
        <v>20</v>
      </c>
      <c r="L669"/>
      <c r="M669"/>
      <c r="N669"/>
      <c r="O669"/>
      <c r="P669"/>
    </row>
    <row r="670" spans="4:16">
      <c r="D670" s="158" t="s">
        <v>539</v>
      </c>
      <c r="E670" s="158" t="s">
        <v>238</v>
      </c>
      <c r="F670" s="1">
        <v>43160</v>
      </c>
      <c r="G670" s="158" t="s">
        <v>327</v>
      </c>
      <c r="H670" s="158" t="s">
        <v>260</v>
      </c>
      <c r="I670" s="158" t="s">
        <v>284</v>
      </c>
      <c r="J670" s="158" t="s">
        <v>261</v>
      </c>
      <c r="K670" s="158">
        <v>20.5</v>
      </c>
      <c r="L670"/>
      <c r="M670"/>
      <c r="N670"/>
      <c r="O670"/>
      <c r="P670"/>
    </row>
    <row r="671" spans="4:16">
      <c r="D671" s="158" t="s">
        <v>539</v>
      </c>
      <c r="E671" s="158" t="s">
        <v>238</v>
      </c>
      <c r="F671" s="1">
        <v>43193</v>
      </c>
      <c r="G671" s="158" t="s">
        <v>383</v>
      </c>
      <c r="H671" s="158" t="s">
        <v>340</v>
      </c>
      <c r="I671" s="158" t="s">
        <v>341</v>
      </c>
      <c r="J671" s="158" t="s">
        <v>261</v>
      </c>
      <c r="K671" s="158">
        <v>19</v>
      </c>
      <c r="L671"/>
      <c r="M671"/>
      <c r="N671"/>
      <c r="O671"/>
      <c r="P671"/>
    </row>
    <row r="672" spans="4:16">
      <c r="D672" s="158" t="s">
        <v>539</v>
      </c>
      <c r="E672" s="158" t="s">
        <v>238</v>
      </c>
      <c r="F672" s="1">
        <v>43222</v>
      </c>
      <c r="G672" s="158" t="s">
        <v>504</v>
      </c>
      <c r="H672" s="158" t="s">
        <v>505</v>
      </c>
      <c r="I672" s="158" t="s">
        <v>313</v>
      </c>
      <c r="J672" s="158" t="s">
        <v>261</v>
      </c>
      <c r="K672" s="158">
        <v>17.5</v>
      </c>
      <c r="L672"/>
      <c r="M672"/>
      <c r="N672"/>
      <c r="O672"/>
      <c r="P672"/>
    </row>
    <row r="673" spans="4:16">
      <c r="D673" s="158" t="s">
        <v>539</v>
      </c>
      <c r="E673" s="158" t="s">
        <v>238</v>
      </c>
      <c r="F673" s="1">
        <v>43252</v>
      </c>
      <c r="G673" s="158" t="s">
        <v>495</v>
      </c>
      <c r="H673" s="158" t="s">
        <v>356</v>
      </c>
      <c r="I673" s="158" t="s">
        <v>287</v>
      </c>
      <c r="J673" s="158" t="s">
        <v>261</v>
      </c>
      <c r="K673" s="158">
        <v>18.5</v>
      </c>
      <c r="L673"/>
      <c r="M673"/>
      <c r="N673"/>
      <c r="O673"/>
      <c r="P673"/>
    </row>
    <row r="674" spans="4:16">
      <c r="D674" s="158" t="s">
        <v>539</v>
      </c>
      <c r="E674" s="158" t="s">
        <v>238</v>
      </c>
      <c r="F674" s="1">
        <v>43283</v>
      </c>
      <c r="G674" s="158" t="s">
        <v>368</v>
      </c>
      <c r="H674" s="158" t="s">
        <v>369</v>
      </c>
      <c r="I674" s="158" t="s">
        <v>370</v>
      </c>
      <c r="J674" s="158" t="s">
        <v>261</v>
      </c>
      <c r="K674" s="158">
        <v>20</v>
      </c>
      <c r="L674"/>
      <c r="M674"/>
      <c r="N674"/>
      <c r="O674"/>
      <c r="P674"/>
    </row>
    <row r="675" spans="4:16">
      <c r="D675" s="158" t="s">
        <v>539</v>
      </c>
      <c r="E675" s="158" t="s">
        <v>238</v>
      </c>
      <c r="F675" s="1">
        <v>43313</v>
      </c>
      <c r="G675" s="158" t="s">
        <v>388</v>
      </c>
      <c r="H675" s="158" t="s">
        <v>387</v>
      </c>
      <c r="I675" s="158" t="s">
        <v>290</v>
      </c>
      <c r="J675" s="158" t="s">
        <v>261</v>
      </c>
      <c r="K675" s="158">
        <v>16</v>
      </c>
      <c r="L675"/>
      <c r="M675"/>
      <c r="N675"/>
      <c r="O675"/>
      <c r="P675"/>
    </row>
    <row r="676" spans="4:16">
      <c r="D676" s="158" t="s">
        <v>539</v>
      </c>
      <c r="E676" s="158" t="s">
        <v>238</v>
      </c>
      <c r="F676" s="1">
        <v>43346</v>
      </c>
      <c r="G676" s="158" t="s">
        <v>389</v>
      </c>
      <c r="H676" s="158" t="s">
        <v>390</v>
      </c>
      <c r="I676" s="158" t="s">
        <v>260</v>
      </c>
      <c r="J676" s="158" t="s">
        <v>261</v>
      </c>
      <c r="K676" s="158">
        <v>18</v>
      </c>
      <c r="L676"/>
      <c r="M676"/>
      <c r="N676"/>
      <c r="O676"/>
      <c r="P676"/>
    </row>
    <row r="677" spans="4:16">
      <c r="D677" s="158" t="s">
        <v>539</v>
      </c>
      <c r="E677" s="158" t="s">
        <v>238</v>
      </c>
      <c r="F677" s="1">
        <v>43374</v>
      </c>
      <c r="G677" s="158" t="s">
        <v>392</v>
      </c>
      <c r="H677" s="158" t="s">
        <v>263</v>
      </c>
      <c r="I677" s="158" t="s">
        <v>264</v>
      </c>
      <c r="J677" s="158" t="s">
        <v>261</v>
      </c>
      <c r="K677" s="158">
        <v>8</v>
      </c>
      <c r="L677"/>
      <c r="M677"/>
      <c r="N677"/>
      <c r="O677"/>
      <c r="P677"/>
    </row>
    <row r="678" spans="4:16">
      <c r="D678" s="158" t="s">
        <v>566</v>
      </c>
      <c r="E678" s="158" t="s">
        <v>238</v>
      </c>
      <c r="F678" s="1">
        <v>43109</v>
      </c>
      <c r="G678" s="158" t="s">
        <v>476</v>
      </c>
      <c r="H678" s="158" t="s">
        <v>281</v>
      </c>
      <c r="I678" s="158" t="s">
        <v>282</v>
      </c>
      <c r="J678" s="158" t="s">
        <v>261</v>
      </c>
      <c r="K678" s="158">
        <v>1</v>
      </c>
      <c r="L678"/>
      <c r="M678"/>
      <c r="N678"/>
      <c r="O678"/>
      <c r="P678"/>
    </row>
    <row r="679" spans="4:16">
      <c r="D679" s="158" t="s">
        <v>566</v>
      </c>
      <c r="E679" s="158" t="s">
        <v>237</v>
      </c>
      <c r="F679" s="1">
        <v>43108</v>
      </c>
      <c r="G679" s="158" t="s">
        <v>448</v>
      </c>
      <c r="H679" s="158" t="s">
        <v>281</v>
      </c>
      <c r="I679" s="158" t="s">
        <v>282</v>
      </c>
      <c r="J679" s="158" t="s">
        <v>261</v>
      </c>
      <c r="K679" s="158">
        <v>0.5</v>
      </c>
      <c r="L679"/>
      <c r="M679"/>
      <c r="N679"/>
      <c r="O679"/>
      <c r="P679"/>
    </row>
    <row r="680" spans="4:16">
      <c r="D680" s="158" t="s">
        <v>566</v>
      </c>
      <c r="E680" s="158" t="s">
        <v>235</v>
      </c>
      <c r="F680" s="1">
        <v>43130</v>
      </c>
      <c r="G680" s="158" t="s">
        <v>478</v>
      </c>
      <c r="H680" s="158" t="s">
        <v>313</v>
      </c>
      <c r="I680" s="158" t="s">
        <v>282</v>
      </c>
      <c r="J680" s="158" t="s">
        <v>261</v>
      </c>
      <c r="K680" s="158">
        <v>1</v>
      </c>
      <c r="L680"/>
      <c r="M680"/>
      <c r="N680"/>
      <c r="O680"/>
      <c r="P680"/>
    </row>
    <row r="681" spans="4:16">
      <c r="D681" s="158" t="s">
        <v>566</v>
      </c>
      <c r="E681" s="158" t="s">
        <v>238</v>
      </c>
      <c r="F681" s="1">
        <v>43137</v>
      </c>
      <c r="G681" s="158" t="s">
        <v>316</v>
      </c>
      <c r="H681" s="158" t="s">
        <v>287</v>
      </c>
      <c r="I681" s="158" t="s">
        <v>281</v>
      </c>
      <c r="J681" s="158" t="s">
        <v>261</v>
      </c>
      <c r="K681" s="158">
        <v>1</v>
      </c>
      <c r="L681"/>
      <c r="M681"/>
      <c r="N681"/>
      <c r="O681"/>
      <c r="P681"/>
    </row>
    <row r="682" spans="4:16">
      <c r="D682" s="158" t="s">
        <v>566</v>
      </c>
      <c r="E682" s="158" t="s">
        <v>235</v>
      </c>
      <c r="F682" s="1">
        <v>43133</v>
      </c>
      <c r="G682" s="158" t="s">
        <v>314</v>
      </c>
      <c r="H682" s="158" t="s">
        <v>313</v>
      </c>
      <c r="I682" s="158" t="s">
        <v>281</v>
      </c>
      <c r="J682" s="158" t="s">
        <v>261</v>
      </c>
      <c r="K682" s="158">
        <v>1</v>
      </c>
      <c r="L682"/>
      <c r="M682"/>
      <c r="N682"/>
      <c r="O682"/>
      <c r="P682"/>
    </row>
    <row r="683" spans="4:16">
      <c r="D683" s="158" t="s">
        <v>566</v>
      </c>
      <c r="E683" s="158" t="s">
        <v>238</v>
      </c>
      <c r="F683" s="1">
        <v>43167</v>
      </c>
      <c r="G683" s="158" t="s">
        <v>332</v>
      </c>
      <c r="H683" s="158" t="s">
        <v>264</v>
      </c>
      <c r="I683" s="158" t="s">
        <v>284</v>
      </c>
      <c r="J683" s="158" t="s">
        <v>261</v>
      </c>
      <c r="K683" s="158">
        <v>3</v>
      </c>
      <c r="L683"/>
      <c r="M683"/>
      <c r="N683"/>
      <c r="O683"/>
      <c r="P683"/>
    </row>
    <row r="684" spans="4:16">
      <c r="D684" s="158" t="s">
        <v>566</v>
      </c>
      <c r="E684" s="158" t="s">
        <v>235</v>
      </c>
      <c r="F684" s="1">
        <v>43165</v>
      </c>
      <c r="G684" s="158" t="s">
        <v>330</v>
      </c>
      <c r="H684" s="158" t="s">
        <v>264</v>
      </c>
      <c r="I684" s="158" t="s">
        <v>284</v>
      </c>
      <c r="J684" s="158" t="s">
        <v>261</v>
      </c>
      <c r="K684" s="158">
        <v>2</v>
      </c>
      <c r="L684"/>
      <c r="M684"/>
      <c r="N684"/>
      <c r="O684"/>
      <c r="P684"/>
    </row>
    <row r="685" spans="4:16">
      <c r="D685" s="158" t="s">
        <v>566</v>
      </c>
      <c r="E685" s="158" t="s">
        <v>238</v>
      </c>
      <c r="F685" s="1">
        <v>43202</v>
      </c>
      <c r="G685" s="158" t="s">
        <v>409</v>
      </c>
      <c r="H685" s="158" t="s">
        <v>344</v>
      </c>
      <c r="I685" s="158" t="s">
        <v>341</v>
      </c>
      <c r="J685" s="158" t="s">
        <v>261</v>
      </c>
      <c r="K685" s="158">
        <v>0.5</v>
      </c>
      <c r="L685"/>
      <c r="M685"/>
      <c r="N685"/>
      <c r="O685"/>
      <c r="P685"/>
    </row>
    <row r="686" spans="4:16">
      <c r="D686" s="158" t="s">
        <v>566</v>
      </c>
      <c r="E686" s="158" t="s">
        <v>235</v>
      </c>
      <c r="F686" s="1">
        <v>43199</v>
      </c>
      <c r="G686" s="158" t="s">
        <v>343</v>
      </c>
      <c r="H686" s="158" t="s">
        <v>344</v>
      </c>
      <c r="I686" s="158" t="s">
        <v>341</v>
      </c>
      <c r="J686" s="158" t="s">
        <v>261</v>
      </c>
      <c r="K686" s="158">
        <v>0.5</v>
      </c>
      <c r="L686"/>
      <c r="M686"/>
      <c r="N686"/>
      <c r="O686"/>
      <c r="P686"/>
    </row>
    <row r="687" spans="4:16">
      <c r="D687" s="158" t="s">
        <v>566</v>
      </c>
      <c r="E687" s="158" t="s">
        <v>238</v>
      </c>
      <c r="F687" s="1">
        <v>43244</v>
      </c>
      <c r="G687" s="158" t="s">
        <v>480</v>
      </c>
      <c r="H687" s="158" t="s">
        <v>354</v>
      </c>
      <c r="I687" s="158" t="s">
        <v>313</v>
      </c>
      <c r="J687" s="158" t="s">
        <v>261</v>
      </c>
      <c r="K687" s="158">
        <v>0.5</v>
      </c>
      <c r="L687"/>
      <c r="M687"/>
      <c r="N687"/>
      <c r="O687"/>
      <c r="P687"/>
    </row>
    <row r="688" spans="4:16">
      <c r="D688" s="158" t="s">
        <v>566</v>
      </c>
      <c r="E688" s="158" t="s">
        <v>235</v>
      </c>
      <c r="F688" s="1">
        <v>43222</v>
      </c>
      <c r="G688" s="158" t="s">
        <v>504</v>
      </c>
      <c r="H688" s="158" t="s">
        <v>505</v>
      </c>
      <c r="I688" s="158" t="s">
        <v>313</v>
      </c>
      <c r="J688" s="158" t="s">
        <v>261</v>
      </c>
      <c r="K688" s="158">
        <v>0.5</v>
      </c>
      <c r="L688"/>
      <c r="M688"/>
      <c r="N688"/>
      <c r="O688"/>
      <c r="P688"/>
    </row>
    <row r="689" spans="4:16">
      <c r="D689" s="158" t="s">
        <v>566</v>
      </c>
      <c r="E689" s="158" t="s">
        <v>238</v>
      </c>
      <c r="F689" s="1">
        <v>43252</v>
      </c>
      <c r="G689" s="158" t="s">
        <v>495</v>
      </c>
      <c r="H689" s="158" t="s">
        <v>356</v>
      </c>
      <c r="I689" s="158" t="s">
        <v>287</v>
      </c>
      <c r="J689" s="158" t="s">
        <v>261</v>
      </c>
      <c r="K689" s="158">
        <v>2</v>
      </c>
      <c r="L689"/>
      <c r="M689"/>
      <c r="N689"/>
      <c r="O689"/>
      <c r="P689"/>
    </row>
    <row r="690" spans="4:16">
      <c r="D690" s="158" t="s">
        <v>566</v>
      </c>
      <c r="E690" s="158" t="s">
        <v>237</v>
      </c>
      <c r="F690" s="1">
        <v>43346</v>
      </c>
      <c r="G690" s="158" t="s">
        <v>389</v>
      </c>
      <c r="H690" s="158" t="s">
        <v>390</v>
      </c>
      <c r="I690" s="158" t="s">
        <v>260</v>
      </c>
      <c r="J690" s="158" t="s">
        <v>261</v>
      </c>
      <c r="K690" s="158">
        <v>1.5</v>
      </c>
      <c r="L690"/>
      <c r="M690"/>
      <c r="N690"/>
      <c r="O690"/>
      <c r="P690"/>
    </row>
    <row r="691" spans="4:16">
      <c r="D691" s="158" t="s">
        <v>566</v>
      </c>
      <c r="E691" s="158" t="s">
        <v>237</v>
      </c>
      <c r="F691" s="1">
        <v>43374</v>
      </c>
      <c r="G691" s="158" t="s">
        <v>392</v>
      </c>
      <c r="H691" s="158" t="s">
        <v>263</v>
      </c>
      <c r="I691" s="158" t="s">
        <v>264</v>
      </c>
      <c r="J691" s="158" t="s">
        <v>261</v>
      </c>
      <c r="K691" s="158">
        <v>3.5</v>
      </c>
      <c r="L691"/>
      <c r="M691"/>
      <c r="N691"/>
      <c r="O691"/>
      <c r="P691"/>
    </row>
    <row r="692" spans="4:16">
      <c r="D692" s="158" t="s">
        <v>566</v>
      </c>
      <c r="E692" s="158" t="s">
        <v>238</v>
      </c>
      <c r="F692" s="1">
        <v>43409</v>
      </c>
      <c r="G692" s="158" t="s">
        <v>411</v>
      </c>
      <c r="H692" s="158" t="s">
        <v>298</v>
      </c>
      <c r="I692" s="158" t="s">
        <v>299</v>
      </c>
      <c r="J692" s="158" t="s">
        <v>261</v>
      </c>
      <c r="K692" s="158">
        <v>1</v>
      </c>
      <c r="L692"/>
      <c r="M692"/>
      <c r="N692"/>
      <c r="O692"/>
      <c r="P692"/>
    </row>
    <row r="693" spans="4:16">
      <c r="D693" s="158" t="s">
        <v>566</v>
      </c>
      <c r="E693" s="158" t="s">
        <v>235</v>
      </c>
      <c r="F693" s="1">
        <v>43417</v>
      </c>
      <c r="G693" s="158" t="s">
        <v>301</v>
      </c>
      <c r="H693" s="158" t="s">
        <v>302</v>
      </c>
      <c r="I693" s="158" t="s">
        <v>299</v>
      </c>
      <c r="J693" s="158" t="s">
        <v>261</v>
      </c>
      <c r="K693" s="158">
        <v>0.5</v>
      </c>
      <c r="L693"/>
      <c r="M693"/>
      <c r="N693"/>
      <c r="O693"/>
      <c r="P693"/>
    </row>
    <row r="694" spans="4:16">
      <c r="D694" s="158" t="s">
        <v>562</v>
      </c>
      <c r="E694" s="158" t="s">
        <v>235</v>
      </c>
      <c r="F694" s="1">
        <v>43117</v>
      </c>
      <c r="G694" s="158" t="s">
        <v>501</v>
      </c>
      <c r="H694" s="158" t="s">
        <v>284</v>
      </c>
      <c r="I694" s="158" t="s">
        <v>282</v>
      </c>
      <c r="J694" s="158" t="s">
        <v>261</v>
      </c>
      <c r="K694" s="158">
        <v>6</v>
      </c>
      <c r="L694"/>
      <c r="M694"/>
      <c r="N694"/>
      <c r="O694"/>
      <c r="P694"/>
    </row>
    <row r="695" spans="4:16">
      <c r="D695" s="158" t="s">
        <v>562</v>
      </c>
      <c r="E695" s="158" t="s">
        <v>235</v>
      </c>
      <c r="F695" s="1">
        <v>43133</v>
      </c>
      <c r="G695" s="158" t="s">
        <v>314</v>
      </c>
      <c r="H695" s="158" t="s">
        <v>313</v>
      </c>
      <c r="I695" s="158" t="s">
        <v>281</v>
      </c>
      <c r="J695" s="158" t="s">
        <v>261</v>
      </c>
      <c r="K695" s="158">
        <v>11</v>
      </c>
      <c r="L695"/>
      <c r="M695"/>
      <c r="N695"/>
      <c r="O695"/>
      <c r="P695"/>
    </row>
    <row r="696" spans="4:16">
      <c r="D696" s="158" t="s">
        <v>562</v>
      </c>
      <c r="E696" s="158" t="s">
        <v>235</v>
      </c>
      <c r="F696" s="1">
        <v>43165</v>
      </c>
      <c r="G696" s="158" t="s">
        <v>330</v>
      </c>
      <c r="H696" s="158" t="s">
        <v>264</v>
      </c>
      <c r="I696" s="158" t="s">
        <v>284</v>
      </c>
      <c r="J696" s="158" t="s">
        <v>261</v>
      </c>
      <c r="K696" s="158">
        <v>16</v>
      </c>
      <c r="L696"/>
      <c r="M696"/>
      <c r="N696"/>
      <c r="O696"/>
      <c r="P696"/>
    </row>
    <row r="697" spans="4:16">
      <c r="D697" s="158" t="s">
        <v>562</v>
      </c>
      <c r="E697" s="158" t="s">
        <v>235</v>
      </c>
      <c r="F697" s="1">
        <v>43193</v>
      </c>
      <c r="G697" s="158" t="s">
        <v>383</v>
      </c>
      <c r="H697" s="158" t="s">
        <v>340</v>
      </c>
      <c r="I697" s="158" t="s">
        <v>341</v>
      </c>
      <c r="J697" s="158" t="s">
        <v>261</v>
      </c>
      <c r="K697" s="158">
        <v>19</v>
      </c>
      <c r="L697"/>
      <c r="M697"/>
      <c r="N697"/>
      <c r="O697"/>
      <c r="P697"/>
    </row>
    <row r="698" spans="4:16">
      <c r="D698" s="158" t="s">
        <v>562</v>
      </c>
      <c r="E698" s="158" t="s">
        <v>235</v>
      </c>
      <c r="F698" s="1">
        <v>43222</v>
      </c>
      <c r="G698" s="158" t="s">
        <v>504</v>
      </c>
      <c r="H698" s="158" t="s">
        <v>505</v>
      </c>
      <c r="I698" s="158" t="s">
        <v>313</v>
      </c>
      <c r="J698" s="158" t="s">
        <v>261</v>
      </c>
      <c r="K698" s="158">
        <v>15.5</v>
      </c>
      <c r="L698"/>
      <c r="M698"/>
      <c r="N698"/>
      <c r="O698"/>
      <c r="P698"/>
    </row>
    <row r="699" spans="4:16">
      <c r="D699" s="158" t="s">
        <v>562</v>
      </c>
      <c r="E699" s="158" t="s">
        <v>235</v>
      </c>
      <c r="F699" s="1">
        <v>43269</v>
      </c>
      <c r="G699" s="158" t="s">
        <v>436</v>
      </c>
      <c r="H699" s="158" t="s">
        <v>366</v>
      </c>
      <c r="I699" s="158" t="s">
        <v>287</v>
      </c>
      <c r="J699" s="158" t="s">
        <v>261</v>
      </c>
      <c r="K699" s="158">
        <v>20</v>
      </c>
      <c r="L699"/>
      <c r="M699"/>
      <c r="N699"/>
      <c r="O699"/>
      <c r="P699"/>
    </row>
    <row r="700" spans="4:16">
      <c r="D700" s="158" t="s">
        <v>562</v>
      </c>
      <c r="E700" s="158" t="s">
        <v>235</v>
      </c>
      <c r="F700" s="1">
        <v>43283</v>
      </c>
      <c r="G700" s="158" t="s">
        <v>368</v>
      </c>
      <c r="H700" s="158" t="s">
        <v>369</v>
      </c>
      <c r="I700" s="158" t="s">
        <v>370</v>
      </c>
      <c r="J700" s="158" t="s">
        <v>261</v>
      </c>
      <c r="K700" s="158">
        <v>22</v>
      </c>
      <c r="L700"/>
      <c r="M700"/>
      <c r="N700"/>
      <c r="O700"/>
      <c r="P700"/>
    </row>
    <row r="701" spans="4:16">
      <c r="D701" s="158" t="s">
        <v>562</v>
      </c>
      <c r="E701" s="158" t="s">
        <v>235</v>
      </c>
      <c r="F701" s="1">
        <v>43342</v>
      </c>
      <c r="G701" s="158" t="s">
        <v>515</v>
      </c>
      <c r="H701" s="158" t="s">
        <v>295</v>
      </c>
      <c r="I701" s="158" t="s">
        <v>290</v>
      </c>
      <c r="J701" s="158" t="s">
        <v>261</v>
      </c>
      <c r="K701" s="158">
        <v>22</v>
      </c>
      <c r="L701"/>
      <c r="M701"/>
      <c r="N701"/>
      <c r="O701"/>
      <c r="P701"/>
    </row>
    <row r="702" spans="4:16">
      <c r="D702" s="158" t="s">
        <v>562</v>
      </c>
      <c r="E702" s="158" t="s">
        <v>235</v>
      </c>
      <c r="F702" s="1">
        <v>43346</v>
      </c>
      <c r="G702" s="158" t="s">
        <v>389</v>
      </c>
      <c r="H702" s="158" t="s">
        <v>390</v>
      </c>
      <c r="I702" s="158" t="s">
        <v>260</v>
      </c>
      <c r="J702" s="158" t="s">
        <v>261</v>
      </c>
      <c r="K702" s="158">
        <v>10</v>
      </c>
      <c r="L702"/>
      <c r="M702"/>
      <c r="N702"/>
      <c r="O702"/>
      <c r="P702"/>
    </row>
    <row r="703" spans="4:16">
      <c r="D703" s="158" t="s">
        <v>562</v>
      </c>
      <c r="E703" s="158" t="s">
        <v>235</v>
      </c>
      <c r="F703" s="1">
        <v>43388</v>
      </c>
      <c r="G703" s="158" t="s">
        <v>395</v>
      </c>
      <c r="H703" s="158" t="s">
        <v>396</v>
      </c>
      <c r="I703" s="158" t="s">
        <v>264</v>
      </c>
      <c r="J703" s="158" t="s">
        <v>261</v>
      </c>
      <c r="K703" s="158">
        <v>21</v>
      </c>
      <c r="L703"/>
      <c r="M703"/>
      <c r="N703"/>
      <c r="O703"/>
      <c r="P703"/>
    </row>
    <row r="704" spans="4:16">
      <c r="D704" s="158" t="s">
        <v>562</v>
      </c>
      <c r="E704" s="158" t="s">
        <v>235</v>
      </c>
      <c r="F704" s="1">
        <v>43411</v>
      </c>
      <c r="G704" s="158" t="s">
        <v>399</v>
      </c>
      <c r="H704" s="158" t="s">
        <v>298</v>
      </c>
      <c r="I704" s="158" t="s">
        <v>299</v>
      </c>
      <c r="J704" s="158" t="s">
        <v>261</v>
      </c>
      <c r="K704" s="158">
        <v>20</v>
      </c>
      <c r="L704"/>
      <c r="M704"/>
      <c r="N704"/>
      <c r="O704"/>
      <c r="P704"/>
    </row>
    <row r="705" spans="4:16">
      <c r="D705" s="158" t="s">
        <v>562</v>
      </c>
      <c r="E705" s="158" t="s">
        <v>235</v>
      </c>
      <c r="F705" s="1">
        <v>43437</v>
      </c>
      <c r="G705" s="158" t="s">
        <v>417</v>
      </c>
      <c r="H705" s="158" t="s">
        <v>418</v>
      </c>
      <c r="I705" s="158" t="s">
        <v>335</v>
      </c>
      <c r="J705" s="158" t="s">
        <v>261</v>
      </c>
      <c r="K705" s="158">
        <v>3</v>
      </c>
      <c r="L705"/>
      <c r="M705"/>
      <c r="N705"/>
      <c r="O705"/>
      <c r="P705"/>
    </row>
    <row r="706" spans="4:16">
      <c r="D706" s="158" t="s">
        <v>422</v>
      </c>
      <c r="E706" s="158" t="s">
        <v>238</v>
      </c>
      <c r="F706" s="1">
        <v>43108</v>
      </c>
      <c r="G706" s="158" t="s">
        <v>448</v>
      </c>
      <c r="H706" s="158" t="s">
        <v>281</v>
      </c>
      <c r="I706" s="158" t="s">
        <v>282</v>
      </c>
      <c r="J706" s="158" t="s">
        <v>261</v>
      </c>
      <c r="K706" s="158">
        <v>14</v>
      </c>
      <c r="L706"/>
      <c r="M706"/>
      <c r="N706"/>
      <c r="O706"/>
      <c r="P706"/>
    </row>
    <row r="707" spans="4:16">
      <c r="D707" s="158" t="s">
        <v>422</v>
      </c>
      <c r="E707" s="158" t="s">
        <v>238</v>
      </c>
      <c r="F707" s="1">
        <v>43159</v>
      </c>
      <c r="G707" s="158" t="s">
        <v>326</v>
      </c>
      <c r="H707" s="158" t="s">
        <v>260</v>
      </c>
      <c r="I707" s="158" t="s">
        <v>281</v>
      </c>
      <c r="J707" s="158" t="s">
        <v>261</v>
      </c>
      <c r="K707" s="158">
        <v>14</v>
      </c>
      <c r="L707"/>
      <c r="M707"/>
      <c r="N707"/>
      <c r="O707"/>
      <c r="P707"/>
    </row>
    <row r="708" spans="4:16">
      <c r="D708" s="158" t="s">
        <v>422</v>
      </c>
      <c r="E708" s="158" t="s">
        <v>238</v>
      </c>
      <c r="F708" s="1">
        <v>43171</v>
      </c>
      <c r="G708" s="158" t="s">
        <v>420</v>
      </c>
      <c r="H708" s="158" t="s">
        <v>299</v>
      </c>
      <c r="I708" s="158" t="s">
        <v>284</v>
      </c>
      <c r="J708" s="158" t="s">
        <v>261</v>
      </c>
      <c r="K708" s="158">
        <v>13</v>
      </c>
      <c r="L708"/>
      <c r="M708"/>
      <c r="N708"/>
      <c r="O708"/>
      <c r="P708"/>
    </row>
    <row r="709" spans="4:16">
      <c r="D709" s="158" t="s">
        <v>422</v>
      </c>
      <c r="E709" s="158" t="s">
        <v>238</v>
      </c>
      <c r="F709" s="1">
        <v>43193</v>
      </c>
      <c r="G709" s="158" t="s">
        <v>383</v>
      </c>
      <c r="H709" s="158" t="s">
        <v>340</v>
      </c>
      <c r="I709" s="158" t="s">
        <v>341</v>
      </c>
      <c r="J709" s="158" t="s">
        <v>261</v>
      </c>
      <c r="K709" s="158">
        <v>13</v>
      </c>
      <c r="L709"/>
      <c r="M709"/>
      <c r="N709"/>
      <c r="O709"/>
      <c r="P709"/>
    </row>
    <row r="710" spans="4:16">
      <c r="D710" s="158" t="s">
        <v>422</v>
      </c>
      <c r="E710" s="158" t="s">
        <v>238</v>
      </c>
      <c r="F710" s="1">
        <v>43234</v>
      </c>
      <c r="G710" s="158" t="s">
        <v>351</v>
      </c>
      <c r="H710" s="158" t="s">
        <v>352</v>
      </c>
      <c r="I710" s="158" t="s">
        <v>313</v>
      </c>
      <c r="J710" s="158" t="s">
        <v>261</v>
      </c>
      <c r="K710" s="158">
        <v>7</v>
      </c>
      <c r="L710"/>
      <c r="M710"/>
      <c r="N710"/>
      <c r="O710"/>
      <c r="P710"/>
    </row>
    <row r="711" spans="4:16">
      <c r="D711" s="158" t="s">
        <v>422</v>
      </c>
      <c r="E711" s="158" t="s">
        <v>238</v>
      </c>
      <c r="F711" s="1">
        <v>43262</v>
      </c>
      <c r="G711" s="158" t="s">
        <v>361</v>
      </c>
      <c r="H711" s="158" t="s">
        <v>362</v>
      </c>
      <c r="I711" s="158" t="s">
        <v>287</v>
      </c>
      <c r="J711" s="158" t="s">
        <v>261</v>
      </c>
      <c r="K711" s="158">
        <v>10</v>
      </c>
      <c r="L711"/>
      <c r="M711"/>
      <c r="N711"/>
      <c r="O711"/>
      <c r="P711"/>
    </row>
    <row r="712" spans="4:16">
      <c r="D712" s="158" t="s">
        <v>422</v>
      </c>
      <c r="E712" s="158" t="s">
        <v>238</v>
      </c>
      <c r="F712" s="1">
        <v>43290</v>
      </c>
      <c r="G712" s="158" t="s">
        <v>468</v>
      </c>
      <c r="H712" s="158" t="s">
        <v>460</v>
      </c>
      <c r="I712" s="158" t="s">
        <v>370</v>
      </c>
      <c r="J712" s="158" t="s">
        <v>261</v>
      </c>
      <c r="K712" s="158">
        <v>10</v>
      </c>
      <c r="L712"/>
      <c r="M712"/>
      <c r="N712"/>
      <c r="O712"/>
      <c r="P712"/>
    </row>
    <row r="713" spans="4:16">
      <c r="D713" s="158" t="s">
        <v>422</v>
      </c>
      <c r="E713" s="158" t="s">
        <v>238</v>
      </c>
      <c r="F713" s="1">
        <v>43318</v>
      </c>
      <c r="G713" s="158" t="s">
        <v>469</v>
      </c>
      <c r="H713" s="158" t="s">
        <v>289</v>
      </c>
      <c r="I713" s="158" t="s">
        <v>290</v>
      </c>
      <c r="J713" s="158" t="s">
        <v>261</v>
      </c>
      <c r="K713" s="158">
        <v>16</v>
      </c>
      <c r="L713"/>
      <c r="M713"/>
      <c r="N713"/>
      <c r="O713"/>
      <c r="P713"/>
    </row>
    <row r="714" spans="4:16">
      <c r="D714" s="158" t="s">
        <v>422</v>
      </c>
      <c r="E714" s="158" t="s">
        <v>238</v>
      </c>
      <c r="F714" s="1">
        <v>43346</v>
      </c>
      <c r="G714" s="158" t="s">
        <v>389</v>
      </c>
      <c r="H714" s="158" t="s">
        <v>390</v>
      </c>
      <c r="I714" s="158" t="s">
        <v>260</v>
      </c>
      <c r="J714" s="158" t="s">
        <v>261</v>
      </c>
      <c r="K714" s="158">
        <v>12</v>
      </c>
      <c r="L714"/>
      <c r="M714"/>
      <c r="N714"/>
      <c r="O714"/>
      <c r="P714"/>
    </row>
    <row r="715" spans="4:16">
      <c r="D715" s="158" t="s">
        <v>422</v>
      </c>
      <c r="E715" s="158" t="s">
        <v>238</v>
      </c>
      <c r="F715" s="1">
        <v>43381</v>
      </c>
      <c r="G715" s="158" t="s">
        <v>266</v>
      </c>
      <c r="H715" s="158" t="s">
        <v>267</v>
      </c>
      <c r="I715" s="158" t="s">
        <v>264</v>
      </c>
      <c r="J715" s="158" t="s">
        <v>261</v>
      </c>
      <c r="K715" s="158">
        <v>17</v>
      </c>
      <c r="L715"/>
      <c r="M715"/>
      <c r="N715"/>
      <c r="O715"/>
      <c r="P715"/>
    </row>
    <row r="716" spans="4:16">
      <c r="D716" s="158" t="s">
        <v>422</v>
      </c>
      <c r="E716" s="158" t="s">
        <v>238</v>
      </c>
      <c r="F716" s="1">
        <v>43409</v>
      </c>
      <c r="G716" s="158" t="s">
        <v>411</v>
      </c>
      <c r="H716" s="158" t="s">
        <v>298</v>
      </c>
      <c r="I716" s="158" t="s">
        <v>299</v>
      </c>
      <c r="J716" s="158" t="s">
        <v>261</v>
      </c>
      <c r="K716" s="158">
        <v>15</v>
      </c>
      <c r="L716"/>
      <c r="M716"/>
      <c r="N716"/>
      <c r="O716"/>
      <c r="P716"/>
    </row>
    <row r="717" spans="4:16">
      <c r="D717" s="158" t="s">
        <v>613</v>
      </c>
      <c r="E717" s="158" t="s">
        <v>238</v>
      </c>
      <c r="F717" s="1">
        <v>43374</v>
      </c>
      <c r="G717" s="158" t="s">
        <v>392</v>
      </c>
      <c r="H717" s="158" t="s">
        <v>263</v>
      </c>
      <c r="I717" s="158" t="s">
        <v>264</v>
      </c>
      <c r="J717" s="158" t="s">
        <v>261</v>
      </c>
      <c r="K717" s="158">
        <v>23</v>
      </c>
      <c r="L717"/>
      <c r="M717"/>
      <c r="N717"/>
      <c r="O717"/>
      <c r="P717"/>
    </row>
    <row r="718" spans="4:16">
      <c r="D718" s="158" t="s">
        <v>613</v>
      </c>
      <c r="E718" s="158" t="s">
        <v>238</v>
      </c>
      <c r="F718" s="1">
        <v>43406</v>
      </c>
      <c r="G718" s="158" t="s">
        <v>483</v>
      </c>
      <c r="H718" s="158" t="s">
        <v>465</v>
      </c>
      <c r="I718" s="158" t="s">
        <v>299</v>
      </c>
      <c r="J718" s="158" t="s">
        <v>261</v>
      </c>
      <c r="K718" s="158">
        <v>20</v>
      </c>
      <c r="L718"/>
      <c r="M718"/>
      <c r="N718"/>
      <c r="O718"/>
      <c r="P718"/>
    </row>
    <row r="719" spans="4:16">
      <c r="D719" s="158" t="s">
        <v>611</v>
      </c>
      <c r="E719" s="158" t="s">
        <v>235</v>
      </c>
      <c r="F719" s="1">
        <v>43362</v>
      </c>
      <c r="G719" s="158" t="s">
        <v>519</v>
      </c>
      <c r="H719" s="158" t="s">
        <v>405</v>
      </c>
      <c r="I719" s="158" t="s">
        <v>260</v>
      </c>
      <c r="J719" s="158" t="s">
        <v>261</v>
      </c>
      <c r="K719" s="158">
        <v>0.5</v>
      </c>
      <c r="L719"/>
      <c r="M719"/>
      <c r="N719"/>
      <c r="O719"/>
      <c r="P719"/>
    </row>
    <row r="720" spans="4:16">
      <c r="D720" s="158" t="s">
        <v>248</v>
      </c>
      <c r="E720" s="158" t="s">
        <v>235</v>
      </c>
      <c r="F720" s="1">
        <v>43052</v>
      </c>
      <c r="G720" s="158" t="s">
        <v>249</v>
      </c>
      <c r="H720" s="158" t="s">
        <v>250</v>
      </c>
      <c r="I720" s="158" t="s">
        <v>251</v>
      </c>
      <c r="J720" s="158" t="s">
        <v>252</v>
      </c>
      <c r="K720" s="158">
        <v>5</v>
      </c>
      <c r="L720"/>
      <c r="M720"/>
      <c r="N720"/>
      <c r="O720"/>
      <c r="P720"/>
    </row>
    <row r="721" spans="4:16">
      <c r="D721" s="158" t="s">
        <v>248</v>
      </c>
      <c r="E721" s="158" t="s">
        <v>235</v>
      </c>
      <c r="F721" s="1">
        <v>43073</v>
      </c>
      <c r="G721" s="158" t="s">
        <v>253</v>
      </c>
      <c r="H721" s="158" t="s">
        <v>254</v>
      </c>
      <c r="I721" s="158" t="s">
        <v>255</v>
      </c>
      <c r="J721" s="158" t="s">
        <v>252</v>
      </c>
      <c r="K721" s="158">
        <v>4</v>
      </c>
      <c r="L721"/>
      <c r="M721"/>
      <c r="N721"/>
      <c r="O721"/>
      <c r="P721"/>
    </row>
    <row r="722" spans="4:16">
      <c r="D722" s="158" t="s">
        <v>248</v>
      </c>
      <c r="E722" s="158" t="s">
        <v>235</v>
      </c>
      <c r="F722" s="1">
        <v>43108</v>
      </c>
      <c r="G722" s="158" t="s">
        <v>448</v>
      </c>
      <c r="H722" s="158" t="s">
        <v>281</v>
      </c>
      <c r="I722" s="158" t="s">
        <v>282</v>
      </c>
      <c r="J722" s="158" t="s">
        <v>261</v>
      </c>
      <c r="K722" s="158">
        <v>18</v>
      </c>
      <c r="L722"/>
      <c r="M722"/>
      <c r="N722"/>
      <c r="O722"/>
      <c r="P722"/>
    </row>
    <row r="723" spans="4:16">
      <c r="D723" s="158" t="s">
        <v>248</v>
      </c>
      <c r="E723" s="158" t="s">
        <v>235</v>
      </c>
      <c r="F723" s="1">
        <v>43132</v>
      </c>
      <c r="G723" s="158" t="s">
        <v>312</v>
      </c>
      <c r="H723" s="158" t="s">
        <v>313</v>
      </c>
      <c r="I723" s="158" t="s">
        <v>281</v>
      </c>
      <c r="J723" s="158" t="s">
        <v>261</v>
      </c>
      <c r="K723" s="158">
        <v>13</v>
      </c>
      <c r="L723"/>
      <c r="M723"/>
      <c r="N723"/>
      <c r="O723"/>
      <c r="P723"/>
    </row>
    <row r="724" spans="4:16">
      <c r="D724" s="158" t="s">
        <v>248</v>
      </c>
      <c r="E724" s="158" t="s">
        <v>235</v>
      </c>
      <c r="F724" s="1">
        <v>43188</v>
      </c>
      <c r="G724" s="158" t="s">
        <v>434</v>
      </c>
      <c r="H724" s="158" t="s">
        <v>337</v>
      </c>
      <c r="I724" s="158" t="s">
        <v>284</v>
      </c>
      <c r="J724" s="158" t="s">
        <v>261</v>
      </c>
      <c r="K724" s="158">
        <v>17</v>
      </c>
      <c r="L724"/>
      <c r="M724"/>
      <c r="N724"/>
      <c r="O724"/>
      <c r="P724"/>
    </row>
    <row r="725" spans="4:16">
      <c r="D725" s="158" t="s">
        <v>248</v>
      </c>
      <c r="E725" s="158" t="s">
        <v>235</v>
      </c>
      <c r="F725" s="1">
        <v>43213</v>
      </c>
      <c r="G725" s="158" t="s">
        <v>491</v>
      </c>
      <c r="H725" s="158" t="s">
        <v>348</v>
      </c>
      <c r="I725" s="158" t="s">
        <v>341</v>
      </c>
      <c r="J725" s="158" t="s">
        <v>261</v>
      </c>
      <c r="K725" s="158">
        <v>12.5</v>
      </c>
      <c r="L725"/>
      <c r="M725"/>
      <c r="N725"/>
      <c r="O725"/>
      <c r="P725"/>
    </row>
    <row r="726" spans="4:16">
      <c r="D726" s="158" t="s">
        <v>248</v>
      </c>
      <c r="E726" s="158" t="s">
        <v>235</v>
      </c>
      <c r="F726" s="1">
        <v>43235</v>
      </c>
      <c r="G726" s="158" t="s">
        <v>353</v>
      </c>
      <c r="H726" s="158" t="s">
        <v>352</v>
      </c>
      <c r="I726" s="158" t="s">
        <v>313</v>
      </c>
      <c r="J726" s="158" t="s">
        <v>261</v>
      </c>
      <c r="K726" s="158">
        <v>17.5</v>
      </c>
      <c r="L726"/>
      <c r="M726"/>
      <c r="N726"/>
      <c r="O726"/>
      <c r="P726"/>
    </row>
    <row r="727" spans="4:16">
      <c r="D727" s="158" t="s">
        <v>248</v>
      </c>
      <c r="E727" s="158" t="s">
        <v>235</v>
      </c>
      <c r="F727" s="1">
        <v>43256</v>
      </c>
      <c r="G727" s="158" t="s">
        <v>508</v>
      </c>
      <c r="H727" s="158" t="s">
        <v>359</v>
      </c>
      <c r="I727" s="158" t="s">
        <v>287</v>
      </c>
      <c r="J727" s="158" t="s">
        <v>261</v>
      </c>
      <c r="K727" s="158">
        <v>17.5</v>
      </c>
      <c r="L727"/>
      <c r="M727"/>
      <c r="N727"/>
      <c r="O727"/>
      <c r="P727"/>
    </row>
    <row r="728" spans="4:16">
      <c r="D728" s="158" t="s">
        <v>248</v>
      </c>
      <c r="E728" s="158" t="s">
        <v>235</v>
      </c>
      <c r="F728" s="1">
        <v>43284</v>
      </c>
      <c r="G728" s="158" t="s">
        <v>485</v>
      </c>
      <c r="H728" s="158" t="s">
        <v>369</v>
      </c>
      <c r="I728" s="158" t="s">
        <v>370</v>
      </c>
      <c r="J728" s="158" t="s">
        <v>261</v>
      </c>
      <c r="K728" s="158">
        <v>14.5</v>
      </c>
      <c r="L728"/>
      <c r="M728"/>
      <c r="N728"/>
      <c r="O728"/>
      <c r="P728"/>
    </row>
    <row r="729" spans="4:16">
      <c r="D729" s="158" t="s">
        <v>248</v>
      </c>
      <c r="E729" s="158" t="s">
        <v>235</v>
      </c>
      <c r="F729" s="1">
        <v>43313</v>
      </c>
      <c r="G729" s="158" t="s">
        <v>388</v>
      </c>
      <c r="H729" s="158" t="s">
        <v>387</v>
      </c>
      <c r="I729" s="158" t="s">
        <v>290</v>
      </c>
      <c r="J729" s="158" t="s">
        <v>261</v>
      </c>
      <c r="K729" s="158">
        <v>17</v>
      </c>
      <c r="L729"/>
      <c r="M729"/>
      <c r="N729"/>
      <c r="O729"/>
      <c r="P729"/>
    </row>
    <row r="730" spans="4:16">
      <c r="D730" s="158" t="s">
        <v>248</v>
      </c>
      <c r="E730" s="158" t="s">
        <v>235</v>
      </c>
      <c r="F730" s="1">
        <v>43370</v>
      </c>
      <c r="G730" s="158" t="s">
        <v>258</v>
      </c>
      <c r="H730" s="158" t="s">
        <v>259</v>
      </c>
      <c r="I730" s="158" t="s">
        <v>260</v>
      </c>
      <c r="J730" s="158" t="s">
        <v>261</v>
      </c>
      <c r="K730" s="158">
        <v>17.5</v>
      </c>
      <c r="L730"/>
      <c r="M730"/>
      <c r="N730"/>
      <c r="O730"/>
      <c r="P730"/>
    </row>
    <row r="731" spans="4:16">
      <c r="D731" s="158" t="s">
        <v>248</v>
      </c>
      <c r="E731" s="158" t="s">
        <v>235</v>
      </c>
      <c r="F731" s="1">
        <v>43376</v>
      </c>
      <c r="G731" s="158" t="s">
        <v>262</v>
      </c>
      <c r="H731" s="158" t="s">
        <v>263</v>
      </c>
      <c r="I731" s="158" t="s">
        <v>264</v>
      </c>
      <c r="J731" s="158" t="s">
        <v>261</v>
      </c>
      <c r="K731" s="158">
        <v>15.5</v>
      </c>
      <c r="L731"/>
      <c r="M731"/>
      <c r="N731"/>
      <c r="O731"/>
      <c r="P731"/>
    </row>
    <row r="732" spans="4:16">
      <c r="D732" s="158" t="s">
        <v>248</v>
      </c>
      <c r="E732" s="158" t="s">
        <v>235</v>
      </c>
      <c r="F732" s="1">
        <v>43406</v>
      </c>
      <c r="G732" s="158" t="s">
        <v>483</v>
      </c>
      <c r="H732" s="158" t="s">
        <v>465</v>
      </c>
      <c r="I732" s="158" t="s">
        <v>299</v>
      </c>
      <c r="J732" s="158" t="s">
        <v>261</v>
      </c>
      <c r="K732" s="158">
        <v>4</v>
      </c>
      <c r="L732"/>
      <c r="M732"/>
      <c r="N732"/>
      <c r="O732"/>
      <c r="P732"/>
    </row>
    <row r="733" spans="4:16">
      <c r="D733" s="158" t="s">
        <v>564</v>
      </c>
      <c r="E733" s="158" t="s">
        <v>235</v>
      </c>
      <c r="F733" s="1">
        <v>43129</v>
      </c>
      <c r="G733" s="158" t="s">
        <v>452</v>
      </c>
      <c r="H733" s="158" t="s">
        <v>313</v>
      </c>
      <c r="I733" s="158" t="s">
        <v>282</v>
      </c>
      <c r="J733" s="158" t="s">
        <v>261</v>
      </c>
      <c r="K733" s="158">
        <v>2</v>
      </c>
      <c r="L733"/>
      <c r="M733"/>
      <c r="N733"/>
      <c r="O733"/>
      <c r="P733"/>
    </row>
    <row r="734" spans="4:16">
      <c r="D734" s="158" t="s">
        <v>564</v>
      </c>
      <c r="E734" s="158" t="s">
        <v>235</v>
      </c>
      <c r="F734" s="1">
        <v>43146</v>
      </c>
      <c r="G734" s="158" t="s">
        <v>487</v>
      </c>
      <c r="H734" s="158" t="s">
        <v>370</v>
      </c>
      <c r="I734" s="158" t="s">
        <v>281</v>
      </c>
      <c r="J734" s="158" t="s">
        <v>261</v>
      </c>
      <c r="K734" s="158">
        <v>1</v>
      </c>
      <c r="L734"/>
      <c r="M734"/>
      <c r="N734"/>
      <c r="O734"/>
      <c r="P734"/>
    </row>
    <row r="735" spans="4:16">
      <c r="D735" s="158" t="s">
        <v>564</v>
      </c>
      <c r="E735" s="158" t="s">
        <v>235</v>
      </c>
      <c r="F735" s="1">
        <v>43164</v>
      </c>
      <c r="G735" s="158" t="s">
        <v>329</v>
      </c>
      <c r="H735" s="158" t="s">
        <v>264</v>
      </c>
      <c r="I735" s="158" t="s">
        <v>284</v>
      </c>
      <c r="J735" s="158" t="s">
        <v>261</v>
      </c>
      <c r="K735" s="158">
        <v>16.5</v>
      </c>
      <c r="L735"/>
      <c r="M735"/>
      <c r="N735"/>
      <c r="O735"/>
      <c r="P735"/>
    </row>
    <row r="736" spans="4:16">
      <c r="D736" s="158" t="s">
        <v>564</v>
      </c>
      <c r="E736" s="158" t="s">
        <v>235</v>
      </c>
      <c r="F736" s="1">
        <v>43194</v>
      </c>
      <c r="G736" s="158" t="s">
        <v>339</v>
      </c>
      <c r="H736" s="158" t="s">
        <v>340</v>
      </c>
      <c r="I736" s="158" t="s">
        <v>341</v>
      </c>
      <c r="J736" s="158" t="s">
        <v>261</v>
      </c>
      <c r="K736" s="158">
        <v>19</v>
      </c>
      <c r="L736"/>
      <c r="M736"/>
      <c r="N736"/>
      <c r="O736"/>
      <c r="P736"/>
    </row>
    <row r="737" spans="4:16">
      <c r="D737" s="158" t="s">
        <v>564</v>
      </c>
      <c r="E737" s="158" t="s">
        <v>235</v>
      </c>
      <c r="F737" s="1">
        <v>43223</v>
      </c>
      <c r="G737" s="158" t="s">
        <v>528</v>
      </c>
      <c r="H737" s="158" t="s">
        <v>505</v>
      </c>
      <c r="I737" s="158" t="s">
        <v>313</v>
      </c>
      <c r="J737" s="158" t="s">
        <v>261</v>
      </c>
      <c r="K737" s="158">
        <v>13</v>
      </c>
      <c r="L737"/>
      <c r="M737"/>
      <c r="N737"/>
      <c r="O737"/>
      <c r="P737"/>
    </row>
    <row r="738" spans="4:16">
      <c r="D738" s="158" t="s">
        <v>610</v>
      </c>
      <c r="E738" s="158" t="s">
        <v>235</v>
      </c>
      <c r="F738" s="1">
        <v>43347</v>
      </c>
      <c r="G738" s="158" t="s">
        <v>517</v>
      </c>
      <c r="H738" s="158" t="s">
        <v>390</v>
      </c>
      <c r="I738" s="158" t="s">
        <v>260</v>
      </c>
      <c r="J738" s="158" t="s">
        <v>261</v>
      </c>
      <c r="K738" s="158">
        <v>19</v>
      </c>
      <c r="L738"/>
      <c r="M738"/>
      <c r="N738"/>
      <c r="O738"/>
      <c r="P738"/>
    </row>
    <row r="739" spans="4:16">
      <c r="D739" s="158" t="s">
        <v>610</v>
      </c>
      <c r="E739" s="158" t="s">
        <v>235</v>
      </c>
      <c r="F739" s="1">
        <v>43374</v>
      </c>
      <c r="G739" s="158" t="s">
        <v>392</v>
      </c>
      <c r="H739" s="158" t="s">
        <v>263</v>
      </c>
      <c r="I739" s="158" t="s">
        <v>264</v>
      </c>
      <c r="J739" s="158" t="s">
        <v>261</v>
      </c>
      <c r="K739" s="158">
        <v>22.5</v>
      </c>
      <c r="L739"/>
      <c r="M739"/>
      <c r="N739"/>
      <c r="O739"/>
      <c r="P739"/>
    </row>
    <row r="740" spans="4:16">
      <c r="D740" s="158" t="s">
        <v>610</v>
      </c>
      <c r="E740" s="158" t="s">
        <v>235</v>
      </c>
      <c r="F740" s="1">
        <v>43406</v>
      </c>
      <c r="G740" s="158" t="s">
        <v>483</v>
      </c>
      <c r="H740" s="158" t="s">
        <v>465</v>
      </c>
      <c r="I740" s="158" t="s">
        <v>299</v>
      </c>
      <c r="J740" s="158" t="s">
        <v>261</v>
      </c>
      <c r="K740" s="158">
        <v>21</v>
      </c>
      <c r="L740"/>
      <c r="M740"/>
      <c r="N740"/>
      <c r="O740"/>
      <c r="P740"/>
    </row>
    <row r="741" spans="4:16">
      <c r="D741" s="158" t="s">
        <v>610</v>
      </c>
      <c r="E741" s="158" t="s">
        <v>235</v>
      </c>
      <c r="F741" s="1">
        <v>43437</v>
      </c>
      <c r="G741" s="158" t="s">
        <v>417</v>
      </c>
      <c r="H741" s="158" t="s">
        <v>418</v>
      </c>
      <c r="I741" s="158" t="s">
        <v>335</v>
      </c>
      <c r="J741" s="158" t="s">
        <v>261</v>
      </c>
      <c r="K741" s="158">
        <v>1.85</v>
      </c>
      <c r="L741"/>
      <c r="M741"/>
      <c r="N741"/>
      <c r="O741"/>
      <c r="P741"/>
    </row>
    <row r="742" spans="4:16">
      <c r="D742" s="158" t="s">
        <v>583</v>
      </c>
      <c r="E742" s="158" t="s">
        <v>235</v>
      </c>
      <c r="F742" s="1">
        <v>43178</v>
      </c>
      <c r="G742" s="158" t="s">
        <v>334</v>
      </c>
      <c r="H742" s="158" t="s">
        <v>335</v>
      </c>
      <c r="I742" s="158" t="s">
        <v>284</v>
      </c>
      <c r="J742" s="158" t="s">
        <v>261</v>
      </c>
      <c r="K742" s="158">
        <v>10</v>
      </c>
      <c r="L742"/>
      <c r="M742"/>
      <c r="N742"/>
      <c r="O742"/>
      <c r="P742"/>
    </row>
    <row r="743" spans="4:16">
      <c r="D743" s="158" t="s">
        <v>583</v>
      </c>
      <c r="E743" s="158" t="s">
        <v>235</v>
      </c>
      <c r="F743" s="1">
        <v>43193</v>
      </c>
      <c r="G743" s="158" t="s">
        <v>383</v>
      </c>
      <c r="H743" s="158" t="s">
        <v>340</v>
      </c>
      <c r="I743" s="158" t="s">
        <v>341</v>
      </c>
      <c r="J743" s="158" t="s">
        <v>261</v>
      </c>
      <c r="K743" s="158">
        <v>19.5</v>
      </c>
      <c r="L743"/>
      <c r="M743"/>
      <c r="N743"/>
      <c r="O743"/>
      <c r="P743"/>
    </row>
    <row r="744" spans="4:16">
      <c r="D744" s="158" t="s">
        <v>583</v>
      </c>
      <c r="E744" s="158" t="s">
        <v>235</v>
      </c>
      <c r="F744" s="1">
        <v>43222</v>
      </c>
      <c r="G744" s="158" t="s">
        <v>504</v>
      </c>
      <c r="H744" s="158" t="s">
        <v>505</v>
      </c>
      <c r="I744" s="158" t="s">
        <v>313</v>
      </c>
      <c r="J744" s="158" t="s">
        <v>261</v>
      </c>
      <c r="K744" s="158">
        <v>19</v>
      </c>
      <c r="L744"/>
      <c r="M744"/>
      <c r="N744"/>
      <c r="O744"/>
      <c r="P744"/>
    </row>
    <row r="745" spans="4:16">
      <c r="D745" s="158" t="s">
        <v>583</v>
      </c>
      <c r="E745" s="158" t="s">
        <v>235</v>
      </c>
      <c r="F745" s="1">
        <v>43252</v>
      </c>
      <c r="G745" s="158" t="s">
        <v>495</v>
      </c>
      <c r="H745" s="158" t="s">
        <v>356</v>
      </c>
      <c r="I745" s="158" t="s">
        <v>287</v>
      </c>
      <c r="J745" s="158" t="s">
        <v>261</v>
      </c>
      <c r="K745" s="158">
        <v>21</v>
      </c>
      <c r="L745"/>
      <c r="M745"/>
      <c r="N745"/>
      <c r="O745"/>
      <c r="P745"/>
    </row>
    <row r="746" spans="4:16">
      <c r="D746" s="158" t="s">
        <v>583</v>
      </c>
      <c r="E746" s="158" t="s">
        <v>235</v>
      </c>
      <c r="F746" s="1">
        <v>43283</v>
      </c>
      <c r="G746" s="158" t="s">
        <v>368</v>
      </c>
      <c r="H746" s="158" t="s">
        <v>369</v>
      </c>
      <c r="I746" s="158" t="s">
        <v>370</v>
      </c>
      <c r="J746" s="158" t="s">
        <v>261</v>
      </c>
      <c r="K746" s="158">
        <v>20</v>
      </c>
      <c r="L746"/>
      <c r="M746"/>
      <c r="N746"/>
      <c r="O746"/>
      <c r="P746"/>
    </row>
    <row r="747" spans="4:16">
      <c r="D747" s="158" t="s">
        <v>583</v>
      </c>
      <c r="E747" s="158" t="s">
        <v>235</v>
      </c>
      <c r="F747" s="1">
        <v>43313</v>
      </c>
      <c r="G747" s="158" t="s">
        <v>388</v>
      </c>
      <c r="H747" s="158" t="s">
        <v>387</v>
      </c>
      <c r="I747" s="158" t="s">
        <v>290</v>
      </c>
      <c r="J747" s="158" t="s">
        <v>261</v>
      </c>
      <c r="K747" s="158">
        <v>20.5</v>
      </c>
      <c r="L747"/>
      <c r="M747"/>
      <c r="N747"/>
      <c r="O747"/>
      <c r="P747"/>
    </row>
    <row r="748" spans="4:16">
      <c r="D748" s="158" t="s">
        <v>583</v>
      </c>
      <c r="E748" s="158" t="s">
        <v>235</v>
      </c>
      <c r="F748" s="1">
        <v>43346</v>
      </c>
      <c r="G748" s="158" t="s">
        <v>389</v>
      </c>
      <c r="H748" s="158" t="s">
        <v>390</v>
      </c>
      <c r="I748" s="158" t="s">
        <v>260</v>
      </c>
      <c r="J748" s="158" t="s">
        <v>261</v>
      </c>
      <c r="K748" s="158">
        <v>17.25</v>
      </c>
      <c r="L748"/>
      <c r="M748"/>
      <c r="N748"/>
      <c r="O748"/>
      <c r="P748"/>
    </row>
    <row r="749" spans="4:16">
      <c r="D749" s="158" t="s">
        <v>583</v>
      </c>
      <c r="E749" s="158" t="s">
        <v>235</v>
      </c>
      <c r="F749" s="1">
        <v>43374</v>
      </c>
      <c r="G749" s="158" t="s">
        <v>392</v>
      </c>
      <c r="H749" s="158" t="s">
        <v>263</v>
      </c>
      <c r="I749" s="158" t="s">
        <v>264</v>
      </c>
      <c r="J749" s="158" t="s">
        <v>261</v>
      </c>
      <c r="K749" s="158">
        <v>18.75</v>
      </c>
      <c r="L749"/>
      <c r="M749"/>
      <c r="N749"/>
      <c r="O749"/>
      <c r="P749"/>
    </row>
    <row r="750" spans="4:16">
      <c r="D750" s="158" t="s">
        <v>583</v>
      </c>
      <c r="E750" s="158" t="s">
        <v>235</v>
      </c>
      <c r="F750" s="1">
        <v>43406</v>
      </c>
      <c r="G750" s="158" t="s">
        <v>483</v>
      </c>
      <c r="H750" s="158" t="s">
        <v>465</v>
      </c>
      <c r="I750" s="158" t="s">
        <v>299</v>
      </c>
      <c r="J750" s="158" t="s">
        <v>261</v>
      </c>
      <c r="K750" s="158">
        <v>19.5</v>
      </c>
      <c r="L750"/>
      <c r="M750"/>
      <c r="N750"/>
      <c r="O750"/>
      <c r="P750"/>
    </row>
    <row r="751" spans="4:16">
      <c r="D751" s="158" t="s">
        <v>579</v>
      </c>
      <c r="E751" s="158" t="s">
        <v>235</v>
      </c>
      <c r="F751" s="1">
        <v>43276</v>
      </c>
      <c r="G751" s="158" t="s">
        <v>455</v>
      </c>
      <c r="H751" s="158" t="s">
        <v>286</v>
      </c>
      <c r="I751" s="158" t="s">
        <v>287</v>
      </c>
      <c r="J751" s="158" t="s">
        <v>261</v>
      </c>
      <c r="K751" s="158">
        <v>5</v>
      </c>
      <c r="L751"/>
      <c r="M751"/>
      <c r="N751"/>
      <c r="O751"/>
      <c r="P751"/>
    </row>
    <row r="752" spans="4:16">
      <c r="D752" s="158" t="s">
        <v>579</v>
      </c>
      <c r="E752" s="158" t="s">
        <v>235</v>
      </c>
      <c r="F752" s="1">
        <v>43283</v>
      </c>
      <c r="G752" s="158" t="s">
        <v>368</v>
      </c>
      <c r="H752" s="158" t="s">
        <v>369</v>
      </c>
      <c r="I752" s="158" t="s">
        <v>370</v>
      </c>
      <c r="J752" s="158" t="s">
        <v>261</v>
      </c>
      <c r="K752" s="158">
        <v>22</v>
      </c>
      <c r="L752"/>
      <c r="M752"/>
      <c r="N752"/>
      <c r="O752"/>
      <c r="P752"/>
    </row>
    <row r="753" spans="4:16">
      <c r="D753" s="158" t="s">
        <v>579</v>
      </c>
      <c r="E753" s="158" t="s">
        <v>235</v>
      </c>
      <c r="F753" s="1">
        <v>43314</v>
      </c>
      <c r="G753" s="158" t="s">
        <v>526</v>
      </c>
      <c r="H753" s="158" t="s">
        <v>387</v>
      </c>
      <c r="I753" s="158" t="s">
        <v>290</v>
      </c>
      <c r="J753" s="158" t="s">
        <v>261</v>
      </c>
      <c r="K753" s="158">
        <v>22</v>
      </c>
      <c r="L753"/>
      <c r="M753"/>
      <c r="N753"/>
      <c r="O753"/>
      <c r="P753"/>
    </row>
    <row r="754" spans="4:16">
      <c r="D754" s="158" t="s">
        <v>579</v>
      </c>
      <c r="E754" s="158" t="s">
        <v>235</v>
      </c>
      <c r="F754" s="1">
        <v>43367</v>
      </c>
      <c r="G754" s="158" t="s">
        <v>463</v>
      </c>
      <c r="H754" s="158" t="s">
        <v>259</v>
      </c>
      <c r="I754" s="158" t="s">
        <v>260</v>
      </c>
      <c r="J754" s="158" t="s">
        <v>261</v>
      </c>
      <c r="K754" s="158">
        <v>5</v>
      </c>
      <c r="L754"/>
      <c r="M754"/>
      <c r="N754"/>
      <c r="O754"/>
      <c r="P754"/>
    </row>
    <row r="755" spans="4:16">
      <c r="D755" s="158" t="s">
        <v>579</v>
      </c>
      <c r="E755" s="158" t="s">
        <v>235</v>
      </c>
      <c r="F755" s="1">
        <v>43374</v>
      </c>
      <c r="G755" s="158" t="s">
        <v>392</v>
      </c>
      <c r="H755" s="158" t="s">
        <v>263</v>
      </c>
      <c r="I755" s="158" t="s">
        <v>264</v>
      </c>
      <c r="J755" s="158" t="s">
        <v>261</v>
      </c>
      <c r="K755" s="158">
        <v>23</v>
      </c>
      <c r="L755"/>
      <c r="M755"/>
      <c r="N755"/>
      <c r="O755"/>
      <c r="P755"/>
    </row>
    <row r="756" spans="4:16">
      <c r="D756" s="158" t="s">
        <v>579</v>
      </c>
      <c r="E756" s="158" t="s">
        <v>235</v>
      </c>
      <c r="F756" s="1">
        <v>43409</v>
      </c>
      <c r="G756" s="158" t="s">
        <v>411</v>
      </c>
      <c r="H756" s="158" t="s">
        <v>298</v>
      </c>
      <c r="I756" s="158" t="s">
        <v>299</v>
      </c>
      <c r="J756" s="158" t="s">
        <v>261</v>
      </c>
      <c r="K756" s="158">
        <v>20</v>
      </c>
      <c r="L756"/>
      <c r="M756"/>
      <c r="N756"/>
      <c r="O756"/>
      <c r="P756"/>
    </row>
    <row r="757" spans="4:16">
      <c r="D757" s="158" t="s">
        <v>578</v>
      </c>
      <c r="E757" s="158" t="s">
        <v>238</v>
      </c>
      <c r="F757" s="1">
        <v>43154</v>
      </c>
      <c r="G757" s="158" t="s">
        <v>323</v>
      </c>
      <c r="H757" s="158" t="s">
        <v>290</v>
      </c>
      <c r="I757" s="158" t="s">
        <v>281</v>
      </c>
      <c r="J757" s="158" t="s">
        <v>261</v>
      </c>
      <c r="K757" s="158">
        <v>2</v>
      </c>
      <c r="L757"/>
      <c r="M757"/>
      <c r="N757"/>
      <c r="O757"/>
      <c r="P757"/>
    </row>
    <row r="758" spans="4:16">
      <c r="D758" s="158" t="s">
        <v>578</v>
      </c>
      <c r="E758" s="158" t="s">
        <v>238</v>
      </c>
      <c r="F758" s="1">
        <v>43160</v>
      </c>
      <c r="G758" s="158" t="s">
        <v>327</v>
      </c>
      <c r="H758" s="158" t="s">
        <v>260</v>
      </c>
      <c r="I758" s="158" t="s">
        <v>284</v>
      </c>
      <c r="J758" s="158" t="s">
        <v>261</v>
      </c>
      <c r="K758" s="158">
        <v>11.5</v>
      </c>
      <c r="L758"/>
      <c r="M758"/>
      <c r="N758"/>
      <c r="O758"/>
      <c r="P758"/>
    </row>
    <row r="759" spans="4:16">
      <c r="D759" s="158" t="s">
        <v>578</v>
      </c>
      <c r="E759" s="158" t="s">
        <v>238</v>
      </c>
      <c r="F759" s="1">
        <v>43194</v>
      </c>
      <c r="G759" s="158" t="s">
        <v>339</v>
      </c>
      <c r="H759" s="158" t="s">
        <v>340</v>
      </c>
      <c r="I759" s="158" t="s">
        <v>341</v>
      </c>
      <c r="J759" s="158" t="s">
        <v>261</v>
      </c>
      <c r="K759" s="158">
        <v>10.5</v>
      </c>
      <c r="L759"/>
      <c r="M759"/>
      <c r="N759"/>
      <c r="O759"/>
      <c r="P759"/>
    </row>
    <row r="760" spans="4:16">
      <c r="D760" s="158" t="s">
        <v>578</v>
      </c>
      <c r="E760" s="158" t="s">
        <v>238</v>
      </c>
      <c r="F760" s="1">
        <v>43227</v>
      </c>
      <c r="G760" s="158" t="s">
        <v>524</v>
      </c>
      <c r="H760" s="158" t="s">
        <v>350</v>
      </c>
      <c r="I760" s="158" t="s">
        <v>313</v>
      </c>
      <c r="J760" s="158" t="s">
        <v>261</v>
      </c>
      <c r="K760" s="158">
        <v>7</v>
      </c>
      <c r="L760"/>
      <c r="M760"/>
      <c r="N760"/>
      <c r="O760"/>
      <c r="P760"/>
    </row>
    <row r="761" spans="4:16">
      <c r="D761" s="158" t="s">
        <v>578</v>
      </c>
      <c r="E761" s="158" t="s">
        <v>238</v>
      </c>
      <c r="F761" s="1">
        <v>43252</v>
      </c>
      <c r="G761" s="158" t="s">
        <v>495</v>
      </c>
      <c r="H761" s="158" t="s">
        <v>356</v>
      </c>
      <c r="I761" s="158" t="s">
        <v>287</v>
      </c>
      <c r="J761" s="158" t="s">
        <v>261</v>
      </c>
      <c r="K761" s="158">
        <v>11</v>
      </c>
      <c r="L761"/>
      <c r="M761"/>
      <c r="N761"/>
      <c r="O761"/>
      <c r="P761"/>
    </row>
    <row r="762" spans="4:16">
      <c r="D762" s="158" t="s">
        <v>578</v>
      </c>
      <c r="E762" s="158" t="s">
        <v>238</v>
      </c>
      <c r="F762" s="1">
        <v>43285</v>
      </c>
      <c r="G762" s="158" t="s">
        <v>512</v>
      </c>
      <c r="H762" s="158" t="s">
        <v>369</v>
      </c>
      <c r="I762" s="158" t="s">
        <v>370</v>
      </c>
      <c r="J762" s="158" t="s">
        <v>261</v>
      </c>
      <c r="K762" s="158">
        <v>11</v>
      </c>
      <c r="L762"/>
      <c r="M762"/>
      <c r="N762"/>
      <c r="O762"/>
      <c r="P762"/>
    </row>
    <row r="763" spans="4:16">
      <c r="D763" s="158" t="s">
        <v>578</v>
      </c>
      <c r="E763" s="158" t="s">
        <v>238</v>
      </c>
      <c r="F763" s="1">
        <v>43315</v>
      </c>
      <c r="G763" s="158" t="s">
        <v>527</v>
      </c>
      <c r="H763" s="158" t="s">
        <v>387</v>
      </c>
      <c r="I763" s="158" t="s">
        <v>290</v>
      </c>
      <c r="J763" s="158" t="s">
        <v>261</v>
      </c>
      <c r="K763" s="158">
        <v>3.5</v>
      </c>
      <c r="L763"/>
      <c r="M763"/>
      <c r="N763"/>
      <c r="O763"/>
      <c r="P763"/>
    </row>
    <row r="764" spans="4:16">
      <c r="D764" s="158" t="s">
        <v>578</v>
      </c>
      <c r="E764" s="158" t="s">
        <v>238</v>
      </c>
      <c r="F764" s="1">
        <v>43346</v>
      </c>
      <c r="G764" s="158" t="s">
        <v>389</v>
      </c>
      <c r="H764" s="158" t="s">
        <v>390</v>
      </c>
      <c r="I764" s="158" t="s">
        <v>260</v>
      </c>
      <c r="J764" s="158" t="s">
        <v>261</v>
      </c>
      <c r="K764" s="158">
        <v>9.5</v>
      </c>
      <c r="L764"/>
      <c r="M764"/>
      <c r="N764"/>
      <c r="O764"/>
      <c r="P764"/>
    </row>
    <row r="765" spans="4:16">
      <c r="D765" s="158" t="s">
        <v>578</v>
      </c>
      <c r="E765" s="158" t="s">
        <v>238</v>
      </c>
      <c r="F765" s="1">
        <v>43374</v>
      </c>
      <c r="G765" s="158" t="s">
        <v>392</v>
      </c>
      <c r="H765" s="158" t="s">
        <v>263</v>
      </c>
      <c r="I765" s="158" t="s">
        <v>264</v>
      </c>
      <c r="J765" s="158" t="s">
        <v>261</v>
      </c>
      <c r="K765" s="158">
        <v>13</v>
      </c>
      <c r="L765"/>
      <c r="M765"/>
      <c r="N765"/>
      <c r="O765"/>
      <c r="P765"/>
    </row>
    <row r="766" spans="4:16">
      <c r="D766" s="158" t="s">
        <v>578</v>
      </c>
      <c r="E766" s="158" t="s">
        <v>238</v>
      </c>
      <c r="F766" s="1">
        <v>43409</v>
      </c>
      <c r="G766" s="158" t="s">
        <v>411</v>
      </c>
      <c r="H766" s="158" t="s">
        <v>298</v>
      </c>
      <c r="I766" s="158" t="s">
        <v>299</v>
      </c>
      <c r="J766" s="158" t="s">
        <v>261</v>
      </c>
      <c r="K766" s="158">
        <v>9</v>
      </c>
      <c r="L766"/>
      <c r="M766"/>
      <c r="N766"/>
      <c r="O766"/>
      <c r="P766"/>
    </row>
    <row r="767" spans="4:16">
      <c r="D767" s="158" t="s">
        <v>588</v>
      </c>
      <c r="E767" s="158" t="s">
        <v>238</v>
      </c>
      <c r="F767" s="1">
        <v>43235</v>
      </c>
      <c r="G767" s="158" t="s">
        <v>353</v>
      </c>
      <c r="H767" s="158" t="s">
        <v>352</v>
      </c>
      <c r="I767" s="158" t="s">
        <v>313</v>
      </c>
      <c r="J767" s="158" t="s">
        <v>261</v>
      </c>
      <c r="K767" s="158">
        <v>0.3</v>
      </c>
      <c r="L767"/>
      <c r="M767"/>
      <c r="N767"/>
      <c r="O767"/>
      <c r="P767"/>
    </row>
    <row r="768" spans="4:16">
      <c r="D768" s="158" t="s">
        <v>588</v>
      </c>
      <c r="E768" s="158" t="s">
        <v>238</v>
      </c>
      <c r="F768" s="1">
        <v>43306</v>
      </c>
      <c r="G768" s="158" t="s">
        <v>373</v>
      </c>
      <c r="H768" s="158" t="s">
        <v>372</v>
      </c>
      <c r="I768" s="158" t="s">
        <v>370</v>
      </c>
      <c r="J768" s="158" t="s">
        <v>261</v>
      </c>
      <c r="K768" s="158">
        <v>0.2</v>
      </c>
      <c r="L768"/>
      <c r="M768"/>
      <c r="N768"/>
      <c r="O768"/>
      <c r="P768"/>
    </row>
    <row r="769" spans="4:16">
      <c r="D769" s="158" t="s">
        <v>412</v>
      </c>
      <c r="E769" s="158" t="s">
        <v>238</v>
      </c>
      <c r="F769" s="1">
        <v>43125</v>
      </c>
      <c r="G769" s="158" t="s">
        <v>445</v>
      </c>
      <c r="H769" s="158" t="s">
        <v>341</v>
      </c>
      <c r="I769" s="158" t="s">
        <v>282</v>
      </c>
      <c r="J769" s="158" t="s">
        <v>261</v>
      </c>
      <c r="K769" s="158">
        <v>18.850000000000001</v>
      </c>
      <c r="L769"/>
      <c r="M769"/>
      <c r="N769"/>
      <c r="O769"/>
      <c r="P769"/>
    </row>
    <row r="770" spans="4:16">
      <c r="D770" s="158" t="s">
        <v>412</v>
      </c>
      <c r="E770" s="158" t="s">
        <v>237</v>
      </c>
      <c r="F770" s="1">
        <v>43103</v>
      </c>
      <c r="G770" s="158" t="s">
        <v>498</v>
      </c>
      <c r="H770" s="158" t="s">
        <v>282</v>
      </c>
      <c r="I770" s="158" t="s">
        <v>282</v>
      </c>
      <c r="J770" s="158" t="s">
        <v>261</v>
      </c>
      <c r="K770" s="158">
        <v>2.15</v>
      </c>
      <c r="L770"/>
      <c r="M770"/>
      <c r="N770"/>
      <c r="O770"/>
      <c r="P770"/>
    </row>
    <row r="771" spans="4:16">
      <c r="D771" s="158" t="s">
        <v>412</v>
      </c>
      <c r="E771" s="158" t="s">
        <v>238</v>
      </c>
      <c r="F771" s="1">
        <v>43152</v>
      </c>
      <c r="G771" s="158" t="s">
        <v>321</v>
      </c>
      <c r="H771" s="158" t="s">
        <v>290</v>
      </c>
      <c r="I771" s="158" t="s">
        <v>281</v>
      </c>
      <c r="J771" s="158" t="s">
        <v>261</v>
      </c>
      <c r="K771" s="158">
        <v>16.149999999999999</v>
      </c>
      <c r="L771"/>
      <c r="M771"/>
      <c r="N771"/>
      <c r="O771"/>
      <c r="P771"/>
    </row>
    <row r="772" spans="4:16">
      <c r="D772" s="158" t="s">
        <v>412</v>
      </c>
      <c r="E772" s="158" t="s">
        <v>237</v>
      </c>
      <c r="F772" s="1">
        <v>43157</v>
      </c>
      <c r="G772" s="158" t="s">
        <v>324</v>
      </c>
      <c r="H772" s="158" t="s">
        <v>260</v>
      </c>
      <c r="I772" s="158" t="s">
        <v>281</v>
      </c>
      <c r="J772" s="158" t="s">
        <v>261</v>
      </c>
      <c r="K772" s="158">
        <v>0.6</v>
      </c>
      <c r="L772"/>
      <c r="M772"/>
      <c r="N772"/>
      <c r="O772"/>
      <c r="P772"/>
    </row>
    <row r="773" spans="4:16">
      <c r="D773" s="158" t="s">
        <v>412</v>
      </c>
      <c r="E773" s="158" t="s">
        <v>238</v>
      </c>
      <c r="F773" s="1">
        <v>43166</v>
      </c>
      <c r="G773" s="158" t="s">
        <v>331</v>
      </c>
      <c r="H773" s="158" t="s">
        <v>264</v>
      </c>
      <c r="I773" s="158" t="s">
        <v>284</v>
      </c>
      <c r="J773" s="158" t="s">
        <v>261</v>
      </c>
      <c r="K773" s="158">
        <v>15.95</v>
      </c>
      <c r="P773"/>
    </row>
    <row r="774" spans="4:16">
      <c r="D774" s="158" t="s">
        <v>412</v>
      </c>
      <c r="E774" s="158" t="s">
        <v>237</v>
      </c>
      <c r="F774" s="1">
        <v>43160</v>
      </c>
      <c r="G774" s="158" t="s">
        <v>327</v>
      </c>
      <c r="H774" s="158" t="s">
        <v>260</v>
      </c>
      <c r="I774" s="158" t="s">
        <v>284</v>
      </c>
      <c r="J774" s="158" t="s">
        <v>261</v>
      </c>
      <c r="K774" s="158">
        <v>4.05</v>
      </c>
      <c r="P774"/>
    </row>
    <row r="775" spans="4:16">
      <c r="D775" s="158" t="s">
        <v>412</v>
      </c>
      <c r="E775" s="158" t="s">
        <v>238</v>
      </c>
      <c r="F775" s="1">
        <v>43201</v>
      </c>
      <c r="G775" s="158" t="s">
        <v>408</v>
      </c>
      <c r="H775" s="158" t="s">
        <v>344</v>
      </c>
      <c r="I775" s="158" t="s">
        <v>341</v>
      </c>
      <c r="J775" s="158" t="s">
        <v>261</v>
      </c>
      <c r="K775" s="158">
        <v>17.5</v>
      </c>
      <c r="P775"/>
    </row>
    <row r="776" spans="4:16">
      <c r="D776" s="158" t="s">
        <v>412</v>
      </c>
      <c r="E776" s="158" t="s">
        <v>237</v>
      </c>
      <c r="F776" s="1">
        <v>43201</v>
      </c>
      <c r="G776" s="158" t="s">
        <v>408</v>
      </c>
      <c r="H776" s="158" t="s">
        <v>344</v>
      </c>
      <c r="I776" s="158" t="s">
        <v>341</v>
      </c>
      <c r="J776" s="158" t="s">
        <v>261</v>
      </c>
      <c r="K776" s="158">
        <v>0.5</v>
      </c>
      <c r="P776"/>
    </row>
    <row r="777" spans="4:16">
      <c r="D777" s="158" t="s">
        <v>412</v>
      </c>
      <c r="E777" s="158" t="s">
        <v>238</v>
      </c>
      <c r="F777" s="1">
        <v>43242</v>
      </c>
      <c r="G777" s="158" t="s">
        <v>453</v>
      </c>
      <c r="H777" s="158" t="s">
        <v>354</v>
      </c>
      <c r="I777" s="158" t="s">
        <v>313</v>
      </c>
      <c r="J777" s="158" t="s">
        <v>261</v>
      </c>
      <c r="K777" s="158">
        <v>6.1</v>
      </c>
      <c r="P777"/>
    </row>
    <row r="778" spans="4:16">
      <c r="D778" s="158" t="s">
        <v>412</v>
      </c>
      <c r="E778" s="158" t="s">
        <v>237</v>
      </c>
      <c r="F778" s="1">
        <v>43242</v>
      </c>
      <c r="G778" s="158" t="s">
        <v>453</v>
      </c>
      <c r="H778" s="158" t="s">
        <v>354</v>
      </c>
      <c r="I778" s="158" t="s">
        <v>313</v>
      </c>
      <c r="J778" s="158" t="s">
        <v>261</v>
      </c>
      <c r="K778" s="158">
        <v>0.9</v>
      </c>
      <c r="P778"/>
    </row>
    <row r="779" spans="4:16">
      <c r="D779" s="158" t="s">
        <v>412</v>
      </c>
      <c r="E779" s="158" t="s">
        <v>238</v>
      </c>
      <c r="F779" s="1">
        <v>43255</v>
      </c>
      <c r="G779" s="158" t="s">
        <v>454</v>
      </c>
      <c r="H779" s="158" t="s">
        <v>359</v>
      </c>
      <c r="I779" s="158" t="s">
        <v>287</v>
      </c>
      <c r="J779" s="158" t="s">
        <v>261</v>
      </c>
      <c r="K779" s="158">
        <v>17.5</v>
      </c>
      <c r="P779"/>
    </row>
    <row r="780" spans="4:16">
      <c r="D780" s="158" t="s">
        <v>412</v>
      </c>
      <c r="E780" s="158" t="s">
        <v>237</v>
      </c>
      <c r="F780" s="1">
        <v>43273</v>
      </c>
      <c r="G780" s="158" t="s">
        <v>510</v>
      </c>
      <c r="H780" s="158" t="s">
        <v>366</v>
      </c>
      <c r="I780" s="158" t="s">
        <v>287</v>
      </c>
      <c r="J780" s="158" t="s">
        <v>261</v>
      </c>
      <c r="K780" s="158">
        <v>1.5</v>
      </c>
      <c r="P780"/>
    </row>
    <row r="781" spans="4:16">
      <c r="D781" s="158" t="s">
        <v>412</v>
      </c>
      <c r="E781" s="158" t="s">
        <v>238</v>
      </c>
      <c r="F781" s="1">
        <v>43290</v>
      </c>
      <c r="G781" s="158" t="s">
        <v>468</v>
      </c>
      <c r="H781" s="158" t="s">
        <v>460</v>
      </c>
      <c r="I781" s="158" t="s">
        <v>370</v>
      </c>
      <c r="J781" s="158" t="s">
        <v>261</v>
      </c>
      <c r="K781" s="158">
        <v>20</v>
      </c>
      <c r="P781"/>
    </row>
    <row r="782" spans="4:16">
      <c r="D782" s="158" t="s">
        <v>412</v>
      </c>
      <c r="E782" s="158" t="s">
        <v>237</v>
      </c>
      <c r="F782" s="1">
        <v>43286</v>
      </c>
      <c r="G782" s="158" t="s">
        <v>530</v>
      </c>
      <c r="H782" s="158" t="s">
        <v>369</v>
      </c>
      <c r="I782" s="158" t="s">
        <v>370</v>
      </c>
      <c r="J782" s="158" t="s">
        <v>261</v>
      </c>
      <c r="K782" s="158">
        <v>1.5</v>
      </c>
      <c r="P782"/>
    </row>
    <row r="783" spans="4:16">
      <c r="D783" s="158" t="s">
        <v>412</v>
      </c>
      <c r="E783" s="158" t="s">
        <v>238</v>
      </c>
      <c r="F783" s="1">
        <v>43325</v>
      </c>
      <c r="G783" s="158" t="s">
        <v>471</v>
      </c>
      <c r="H783" s="158" t="s">
        <v>293</v>
      </c>
      <c r="I783" s="158" t="s">
        <v>290</v>
      </c>
      <c r="J783" s="158" t="s">
        <v>261</v>
      </c>
      <c r="K783" s="158">
        <v>20.5</v>
      </c>
      <c r="P783"/>
    </row>
    <row r="784" spans="4:16">
      <c r="D784" s="158" t="s">
        <v>412</v>
      </c>
      <c r="E784" s="158" t="s">
        <v>237</v>
      </c>
      <c r="F784" s="1">
        <v>43313</v>
      </c>
      <c r="G784" s="158" t="s">
        <v>388</v>
      </c>
      <c r="H784" s="158" t="s">
        <v>387</v>
      </c>
      <c r="I784" s="158" t="s">
        <v>290</v>
      </c>
      <c r="J784" s="158" t="s">
        <v>261</v>
      </c>
      <c r="K784" s="158">
        <v>1.5</v>
      </c>
      <c r="P784"/>
    </row>
    <row r="785" spans="4:16">
      <c r="D785" s="158" t="s">
        <v>412</v>
      </c>
      <c r="E785" s="158" t="s">
        <v>238</v>
      </c>
      <c r="F785" s="1">
        <v>43360</v>
      </c>
      <c r="G785" s="158" t="s">
        <v>462</v>
      </c>
      <c r="H785" s="158" t="s">
        <v>405</v>
      </c>
      <c r="I785" s="158" t="s">
        <v>260</v>
      </c>
      <c r="J785" s="158" t="s">
        <v>261</v>
      </c>
      <c r="K785" s="158">
        <v>10</v>
      </c>
      <c r="P785"/>
    </row>
    <row r="786" spans="4:16">
      <c r="D786" s="158" t="s">
        <v>412</v>
      </c>
      <c r="E786" s="158" t="s">
        <v>237</v>
      </c>
      <c r="F786" s="1">
        <v>43360</v>
      </c>
      <c r="G786" s="158" t="s">
        <v>462</v>
      </c>
      <c r="H786" s="158" t="s">
        <v>405</v>
      </c>
      <c r="I786" s="158" t="s">
        <v>260</v>
      </c>
      <c r="J786" s="158" t="s">
        <v>261</v>
      </c>
      <c r="K786" s="158">
        <v>2</v>
      </c>
      <c r="P786"/>
    </row>
    <row r="787" spans="4:16">
      <c r="D787" s="158" t="s">
        <v>412</v>
      </c>
      <c r="E787" s="158" t="s">
        <v>238</v>
      </c>
      <c r="F787" s="1">
        <v>43382</v>
      </c>
      <c r="G787" s="158" t="s">
        <v>268</v>
      </c>
      <c r="H787" s="158" t="s">
        <v>267</v>
      </c>
      <c r="I787" s="158" t="s">
        <v>264</v>
      </c>
      <c r="J787" s="158" t="s">
        <v>261</v>
      </c>
      <c r="K787" s="158">
        <v>18.899999999999999</v>
      </c>
      <c r="P787"/>
    </row>
    <row r="788" spans="4:16">
      <c r="D788" s="158" t="s">
        <v>412</v>
      </c>
      <c r="E788" s="158" t="s">
        <v>237</v>
      </c>
      <c r="F788" s="1">
        <v>43392</v>
      </c>
      <c r="G788" s="158" t="s">
        <v>398</v>
      </c>
      <c r="H788" s="158" t="s">
        <v>396</v>
      </c>
      <c r="I788" s="158" t="s">
        <v>264</v>
      </c>
      <c r="J788" s="158" t="s">
        <v>261</v>
      </c>
      <c r="K788" s="158">
        <v>1.1000000000000001</v>
      </c>
      <c r="P788"/>
    </row>
    <row r="789" spans="4:16">
      <c r="D789" s="158" t="s">
        <v>412</v>
      </c>
      <c r="E789" s="158" t="s">
        <v>238</v>
      </c>
      <c r="F789" s="1">
        <v>43417</v>
      </c>
      <c r="G789" s="158" t="s">
        <v>301</v>
      </c>
      <c r="H789" s="158" t="s">
        <v>302</v>
      </c>
      <c r="I789" s="158" t="s">
        <v>299</v>
      </c>
      <c r="J789" s="158" t="s">
        <v>261</v>
      </c>
      <c r="K789" s="158">
        <v>19.05</v>
      </c>
      <c r="P789"/>
    </row>
    <row r="790" spans="4:16">
      <c r="D790" s="158" t="s">
        <v>412</v>
      </c>
      <c r="E790" s="158" t="s">
        <v>237</v>
      </c>
      <c r="F790" s="1">
        <v>43412</v>
      </c>
      <c r="G790" s="158" t="s">
        <v>523</v>
      </c>
      <c r="H790" s="158" t="s">
        <v>298</v>
      </c>
      <c r="I790" s="158" t="s">
        <v>299</v>
      </c>
      <c r="J790" s="158" t="s">
        <v>261</v>
      </c>
      <c r="K790" s="158">
        <v>1.45</v>
      </c>
      <c r="P790"/>
    </row>
    <row r="791" spans="4:16">
      <c r="D791" s="158" t="s">
        <v>542</v>
      </c>
      <c r="E791" s="158" t="s">
        <v>235</v>
      </c>
      <c r="F791" s="1">
        <v>43108</v>
      </c>
      <c r="G791" s="158" t="s">
        <v>448</v>
      </c>
      <c r="H791" s="158" t="s">
        <v>281</v>
      </c>
      <c r="I791" s="158" t="s">
        <v>282</v>
      </c>
      <c r="J791" s="158" t="s">
        <v>261</v>
      </c>
      <c r="K791" s="158">
        <v>15</v>
      </c>
      <c r="P791"/>
    </row>
    <row r="792" spans="4:16">
      <c r="D792" s="158" t="s">
        <v>542</v>
      </c>
      <c r="E792" s="158" t="s">
        <v>235</v>
      </c>
      <c r="F792" s="1">
        <v>43136</v>
      </c>
      <c r="G792" s="158" t="s">
        <v>315</v>
      </c>
      <c r="H792" s="158" t="s">
        <v>287</v>
      </c>
      <c r="I792" s="158" t="s">
        <v>281</v>
      </c>
      <c r="J792" s="158" t="s">
        <v>261</v>
      </c>
      <c r="K792" s="158">
        <v>18</v>
      </c>
      <c r="P792"/>
    </row>
    <row r="793" spans="4:16">
      <c r="D793" s="158" t="s">
        <v>542</v>
      </c>
      <c r="E793" s="158" t="s">
        <v>235</v>
      </c>
      <c r="F793" s="1">
        <v>43160</v>
      </c>
      <c r="G793" s="158" t="s">
        <v>327</v>
      </c>
      <c r="H793" s="158" t="s">
        <v>260</v>
      </c>
      <c r="I793" s="158" t="s">
        <v>284</v>
      </c>
      <c r="J793" s="158" t="s">
        <v>261</v>
      </c>
      <c r="K793" s="158">
        <v>22</v>
      </c>
      <c r="P793"/>
    </row>
    <row r="794" spans="4:16">
      <c r="D794" s="158" t="s">
        <v>542</v>
      </c>
      <c r="E794" s="158" t="s">
        <v>235</v>
      </c>
      <c r="F794" s="1">
        <v>43193</v>
      </c>
      <c r="G794" s="158" t="s">
        <v>383</v>
      </c>
      <c r="H794" s="158" t="s">
        <v>340</v>
      </c>
      <c r="I794" s="158" t="s">
        <v>341</v>
      </c>
      <c r="J794" s="158" t="s">
        <v>261</v>
      </c>
      <c r="K794" s="158">
        <v>20</v>
      </c>
      <c r="P794"/>
    </row>
    <row r="795" spans="4:16">
      <c r="D795" s="158" t="s">
        <v>542</v>
      </c>
      <c r="E795" s="158" t="s">
        <v>235</v>
      </c>
      <c r="F795" s="1">
        <v>43222</v>
      </c>
      <c r="G795" s="158" t="s">
        <v>504</v>
      </c>
      <c r="H795" s="158" t="s">
        <v>505</v>
      </c>
      <c r="I795" s="158" t="s">
        <v>313</v>
      </c>
      <c r="J795" s="158" t="s">
        <v>261</v>
      </c>
      <c r="K795" s="158">
        <v>18</v>
      </c>
      <c r="P795"/>
    </row>
    <row r="796" spans="4:16">
      <c r="D796" s="158" t="s">
        <v>542</v>
      </c>
      <c r="E796" s="158" t="s">
        <v>235</v>
      </c>
      <c r="F796" s="1">
        <v>43252</v>
      </c>
      <c r="G796" s="158" t="s">
        <v>495</v>
      </c>
      <c r="H796" s="158" t="s">
        <v>356</v>
      </c>
      <c r="I796" s="158" t="s">
        <v>287</v>
      </c>
      <c r="J796" s="158" t="s">
        <v>261</v>
      </c>
      <c r="K796" s="158">
        <v>21</v>
      </c>
      <c r="P796"/>
    </row>
    <row r="797" spans="4:16">
      <c r="D797" s="158" t="s">
        <v>542</v>
      </c>
      <c r="E797" s="158" t="s">
        <v>235</v>
      </c>
      <c r="F797" s="1">
        <v>43283</v>
      </c>
      <c r="G797" s="158" t="s">
        <v>368</v>
      </c>
      <c r="H797" s="158" t="s">
        <v>369</v>
      </c>
      <c r="I797" s="158" t="s">
        <v>370</v>
      </c>
      <c r="J797" s="158" t="s">
        <v>261</v>
      </c>
      <c r="K797" s="158">
        <v>22</v>
      </c>
      <c r="P797"/>
    </row>
    <row r="798" spans="4:16">
      <c r="D798" s="158" t="s">
        <v>542</v>
      </c>
      <c r="E798" s="158" t="s">
        <v>235</v>
      </c>
      <c r="F798" s="1">
        <v>43313</v>
      </c>
      <c r="G798" s="158" t="s">
        <v>388</v>
      </c>
      <c r="H798" s="158" t="s">
        <v>387</v>
      </c>
      <c r="I798" s="158" t="s">
        <v>290</v>
      </c>
      <c r="J798" s="158" t="s">
        <v>261</v>
      </c>
      <c r="K798" s="158">
        <v>11</v>
      </c>
      <c r="P798"/>
    </row>
    <row r="799" spans="4:16">
      <c r="D799" s="158" t="s">
        <v>542</v>
      </c>
      <c r="E799" s="158" t="s">
        <v>235</v>
      </c>
      <c r="F799" s="1">
        <v>43346</v>
      </c>
      <c r="G799" s="158" t="s">
        <v>389</v>
      </c>
      <c r="H799" s="158" t="s">
        <v>390</v>
      </c>
      <c r="I799" s="158" t="s">
        <v>260</v>
      </c>
      <c r="J799" s="158" t="s">
        <v>261</v>
      </c>
      <c r="K799" s="158">
        <v>20</v>
      </c>
      <c r="P799"/>
    </row>
    <row r="800" spans="4:16">
      <c r="D800" s="158" t="s">
        <v>542</v>
      </c>
      <c r="E800" s="158" t="s">
        <v>235</v>
      </c>
      <c r="F800" s="1">
        <v>43374</v>
      </c>
      <c r="G800" s="158" t="s">
        <v>392</v>
      </c>
      <c r="H800" s="158" t="s">
        <v>263</v>
      </c>
      <c r="I800" s="158" t="s">
        <v>264</v>
      </c>
      <c r="J800" s="158" t="s">
        <v>261</v>
      </c>
      <c r="K800" s="158">
        <v>23</v>
      </c>
      <c r="P800"/>
    </row>
    <row r="801" spans="4:16">
      <c r="D801" s="158" t="s">
        <v>542</v>
      </c>
      <c r="E801" s="158" t="s">
        <v>235</v>
      </c>
      <c r="F801" s="1">
        <v>43409</v>
      </c>
      <c r="G801" s="158" t="s">
        <v>411</v>
      </c>
      <c r="H801" s="158" t="s">
        <v>298</v>
      </c>
      <c r="I801" s="158" t="s">
        <v>299</v>
      </c>
      <c r="J801" s="158" t="s">
        <v>261</v>
      </c>
      <c r="K801" s="158">
        <v>19.5</v>
      </c>
      <c r="P801"/>
    </row>
    <row r="802" spans="4:16">
      <c r="D802" s="158" t="s">
        <v>542</v>
      </c>
      <c r="E802" s="158" t="s">
        <v>235</v>
      </c>
      <c r="F802" s="1">
        <v>43437</v>
      </c>
      <c r="G802" s="158" t="s">
        <v>417</v>
      </c>
      <c r="H802" s="158" t="s">
        <v>418</v>
      </c>
      <c r="I802" s="158" t="s">
        <v>335</v>
      </c>
      <c r="J802" s="158" t="s">
        <v>261</v>
      </c>
      <c r="K802" s="158">
        <v>2</v>
      </c>
      <c r="P802"/>
    </row>
    <row r="803" spans="4:16">
      <c r="D803" s="158" t="s">
        <v>606</v>
      </c>
      <c r="E803" s="158" t="s">
        <v>238</v>
      </c>
      <c r="F803" s="1">
        <v>43304</v>
      </c>
      <c r="G803" s="158" t="s">
        <v>461</v>
      </c>
      <c r="H803" s="158" t="s">
        <v>372</v>
      </c>
      <c r="I803" s="158" t="s">
        <v>370</v>
      </c>
      <c r="J803" s="158" t="s">
        <v>261</v>
      </c>
      <c r="K803" s="158">
        <v>7</v>
      </c>
      <c r="P803"/>
    </row>
    <row r="804" spans="4:16">
      <c r="D804" s="158" t="s">
        <v>606</v>
      </c>
      <c r="E804" s="158" t="s">
        <v>238</v>
      </c>
      <c r="F804" s="1">
        <v>43313</v>
      </c>
      <c r="G804" s="158" t="s">
        <v>388</v>
      </c>
      <c r="H804" s="158" t="s">
        <v>387</v>
      </c>
      <c r="I804" s="158" t="s">
        <v>290</v>
      </c>
      <c r="J804" s="158" t="s">
        <v>261</v>
      </c>
      <c r="K804" s="158">
        <v>20.5</v>
      </c>
      <c r="P804"/>
    </row>
    <row r="805" spans="4:16">
      <c r="D805" s="158" t="s">
        <v>606</v>
      </c>
      <c r="E805" s="158" t="s">
        <v>238</v>
      </c>
      <c r="F805" s="1">
        <v>43356</v>
      </c>
      <c r="G805" s="158" t="s">
        <v>379</v>
      </c>
      <c r="H805" s="158" t="s">
        <v>378</v>
      </c>
      <c r="I805" s="158" t="s">
        <v>260</v>
      </c>
      <c r="J805" s="158" t="s">
        <v>261</v>
      </c>
      <c r="K805" s="158">
        <v>17</v>
      </c>
      <c r="P805"/>
    </row>
    <row r="806" spans="4:16">
      <c r="D806" s="158" t="s">
        <v>606</v>
      </c>
      <c r="E806" s="158" t="s">
        <v>237</v>
      </c>
      <c r="F806" s="1">
        <v>43363</v>
      </c>
      <c r="G806" s="158" t="s">
        <v>520</v>
      </c>
      <c r="H806" s="158" t="s">
        <v>405</v>
      </c>
      <c r="I806" s="158" t="s">
        <v>260</v>
      </c>
      <c r="J806" s="158" t="s">
        <v>261</v>
      </c>
      <c r="K806" s="158">
        <v>3</v>
      </c>
      <c r="P806"/>
    </row>
    <row r="807" spans="4:16">
      <c r="D807" s="158" t="s">
        <v>606</v>
      </c>
      <c r="E807" s="158" t="s">
        <v>238</v>
      </c>
      <c r="F807" s="1">
        <v>43396</v>
      </c>
      <c r="G807" s="158" t="s">
        <v>309</v>
      </c>
      <c r="H807" s="158" t="s">
        <v>273</v>
      </c>
      <c r="I807" s="158" t="s">
        <v>264</v>
      </c>
      <c r="J807" s="158" t="s">
        <v>261</v>
      </c>
      <c r="K807" s="158">
        <v>12.75</v>
      </c>
      <c r="P807"/>
    </row>
    <row r="808" spans="4:16">
      <c r="D808" s="158" t="s">
        <v>606</v>
      </c>
      <c r="E808" s="158" t="s">
        <v>237</v>
      </c>
      <c r="F808" s="1">
        <v>43377</v>
      </c>
      <c r="G808" s="158" t="s">
        <v>265</v>
      </c>
      <c r="H808" s="158" t="s">
        <v>263</v>
      </c>
      <c r="I808" s="158" t="s">
        <v>264</v>
      </c>
      <c r="J808" s="158" t="s">
        <v>261</v>
      </c>
      <c r="K808" s="158">
        <v>8.25</v>
      </c>
      <c r="P808"/>
    </row>
    <row r="809" spans="4:16">
      <c r="D809" s="158" t="s">
        <v>606</v>
      </c>
      <c r="E809" s="158" t="s">
        <v>238</v>
      </c>
      <c r="F809" s="1">
        <v>43419</v>
      </c>
      <c r="G809" s="158" t="s">
        <v>304</v>
      </c>
      <c r="H809" s="158" t="s">
        <v>302</v>
      </c>
      <c r="I809" s="158" t="s">
        <v>299</v>
      </c>
      <c r="J809" s="158" t="s">
        <v>261</v>
      </c>
      <c r="K809" s="158">
        <v>14.25</v>
      </c>
      <c r="P809"/>
    </row>
    <row r="810" spans="4:16">
      <c r="D810" s="158" t="s">
        <v>606</v>
      </c>
      <c r="E810" s="158" t="s">
        <v>237</v>
      </c>
      <c r="F810" s="1">
        <v>43412</v>
      </c>
      <c r="G810" s="158" t="s">
        <v>523</v>
      </c>
      <c r="H810" s="158" t="s">
        <v>298</v>
      </c>
      <c r="I810" s="158" t="s">
        <v>299</v>
      </c>
      <c r="J810" s="158" t="s">
        <v>261</v>
      </c>
      <c r="K810" s="158">
        <v>5.75</v>
      </c>
      <c r="P810"/>
    </row>
    <row r="811" spans="4:16">
      <c r="D811" s="158" t="s">
        <v>446</v>
      </c>
      <c r="E811" s="158" t="s">
        <v>238</v>
      </c>
      <c r="F811" s="1">
        <v>43108</v>
      </c>
      <c r="G811" s="158" t="s">
        <v>448</v>
      </c>
      <c r="H811" s="158" t="s">
        <v>281</v>
      </c>
      <c r="I811" s="158" t="s">
        <v>282</v>
      </c>
      <c r="J811" s="158" t="s">
        <v>261</v>
      </c>
      <c r="K811" s="158">
        <v>18.7</v>
      </c>
      <c r="P811"/>
    </row>
    <row r="812" spans="4:16">
      <c r="D812" s="158" t="s">
        <v>446</v>
      </c>
      <c r="E812" s="158" t="s">
        <v>237</v>
      </c>
      <c r="F812" s="1">
        <v>43109</v>
      </c>
      <c r="G812" s="158" t="s">
        <v>476</v>
      </c>
      <c r="H812" s="158" t="s">
        <v>281</v>
      </c>
      <c r="I812" s="158" t="s">
        <v>282</v>
      </c>
      <c r="J812" s="158" t="s">
        <v>261</v>
      </c>
      <c r="K812" s="158">
        <v>2.2999999999999998</v>
      </c>
      <c r="P812"/>
    </row>
    <row r="813" spans="4:16">
      <c r="D813" s="158" t="s">
        <v>446</v>
      </c>
      <c r="E813" s="158" t="s">
        <v>238</v>
      </c>
      <c r="F813" s="1">
        <v>43137</v>
      </c>
      <c r="G813" s="158" t="s">
        <v>316</v>
      </c>
      <c r="H813" s="158" t="s">
        <v>287</v>
      </c>
      <c r="I813" s="158" t="s">
        <v>281</v>
      </c>
      <c r="J813" s="158" t="s">
        <v>261</v>
      </c>
      <c r="K813" s="158">
        <v>17.45</v>
      </c>
      <c r="P813"/>
    </row>
    <row r="814" spans="4:16">
      <c r="D814" s="158" t="s">
        <v>446</v>
      </c>
      <c r="E814" s="158" t="s">
        <v>237</v>
      </c>
      <c r="F814" s="1">
        <v>43144</v>
      </c>
      <c r="G814" s="158" t="s">
        <v>431</v>
      </c>
      <c r="H814" s="158" t="s">
        <v>370</v>
      </c>
      <c r="I814" s="158" t="s">
        <v>281</v>
      </c>
      <c r="J814" s="158" t="s">
        <v>261</v>
      </c>
      <c r="K814" s="158">
        <v>1.4</v>
      </c>
      <c r="P814"/>
    </row>
    <row r="815" spans="4:16">
      <c r="D815" s="158" t="s">
        <v>446</v>
      </c>
      <c r="E815" s="158" t="s">
        <v>238</v>
      </c>
      <c r="F815" s="1">
        <v>43171</v>
      </c>
      <c r="G815" s="158" t="s">
        <v>420</v>
      </c>
      <c r="H815" s="158" t="s">
        <v>299</v>
      </c>
      <c r="I815" s="158" t="s">
        <v>284</v>
      </c>
      <c r="J815" s="158" t="s">
        <v>261</v>
      </c>
      <c r="K815" s="158">
        <v>20.25</v>
      </c>
      <c r="P815"/>
    </row>
    <row r="816" spans="4:16">
      <c r="D816" s="158" t="s">
        <v>446</v>
      </c>
      <c r="E816" s="158" t="s">
        <v>237</v>
      </c>
      <c r="F816" s="1">
        <v>43161</v>
      </c>
      <c r="G816" s="158" t="s">
        <v>328</v>
      </c>
      <c r="H816" s="158" t="s">
        <v>260</v>
      </c>
      <c r="I816" s="158" t="s">
        <v>284</v>
      </c>
      <c r="J816" s="158" t="s">
        <v>261</v>
      </c>
      <c r="K816" s="158">
        <v>0.25</v>
      </c>
      <c r="P816"/>
    </row>
    <row r="817" spans="4:16">
      <c r="D817" s="158" t="s">
        <v>446</v>
      </c>
      <c r="E817" s="158" t="s">
        <v>238</v>
      </c>
      <c r="F817" s="1">
        <v>43207</v>
      </c>
      <c r="G817" s="158" t="s">
        <v>384</v>
      </c>
      <c r="H817" s="158" t="s">
        <v>347</v>
      </c>
      <c r="I817" s="158" t="s">
        <v>341</v>
      </c>
      <c r="J817" s="158" t="s">
        <v>261</v>
      </c>
      <c r="K817" s="158">
        <v>17.5</v>
      </c>
      <c r="P817"/>
    </row>
    <row r="818" spans="4:16">
      <c r="D818" s="158" t="s">
        <v>446</v>
      </c>
      <c r="E818" s="158" t="s">
        <v>238</v>
      </c>
      <c r="F818" s="1">
        <v>43234</v>
      </c>
      <c r="G818" s="158" t="s">
        <v>351</v>
      </c>
      <c r="H818" s="158" t="s">
        <v>352</v>
      </c>
      <c r="I818" s="158" t="s">
        <v>313</v>
      </c>
      <c r="J818" s="158" t="s">
        <v>261</v>
      </c>
      <c r="K818" s="158">
        <v>18.3</v>
      </c>
      <c r="P818"/>
    </row>
    <row r="819" spans="4:16">
      <c r="D819" s="158" t="s">
        <v>446</v>
      </c>
      <c r="E819" s="158" t="s">
        <v>237</v>
      </c>
      <c r="F819" s="1">
        <v>43248</v>
      </c>
      <c r="G819" s="158" t="s">
        <v>355</v>
      </c>
      <c r="H819" s="158" t="s">
        <v>356</v>
      </c>
      <c r="I819" s="158" t="s">
        <v>313</v>
      </c>
      <c r="J819" s="158" t="s">
        <v>261</v>
      </c>
      <c r="K819" s="158">
        <v>0.7</v>
      </c>
      <c r="P819"/>
    </row>
    <row r="820" spans="4:16">
      <c r="D820" s="158" t="s">
        <v>446</v>
      </c>
      <c r="E820" s="158" t="s">
        <v>238</v>
      </c>
      <c r="F820" s="1">
        <v>43255</v>
      </c>
      <c r="G820" s="158" t="s">
        <v>454</v>
      </c>
      <c r="H820" s="158" t="s">
        <v>359</v>
      </c>
      <c r="I820" s="158" t="s">
        <v>287</v>
      </c>
      <c r="J820" s="158" t="s">
        <v>261</v>
      </c>
      <c r="K820" s="158">
        <v>16</v>
      </c>
      <c r="P820"/>
    </row>
    <row r="821" spans="4:16">
      <c r="D821" s="158" t="s">
        <v>446</v>
      </c>
      <c r="E821" s="158" t="s">
        <v>237</v>
      </c>
      <c r="F821" s="1">
        <v>43258</v>
      </c>
      <c r="G821" s="158" t="s">
        <v>358</v>
      </c>
      <c r="H821" s="158" t="s">
        <v>359</v>
      </c>
      <c r="I821" s="158" t="s">
        <v>287</v>
      </c>
      <c r="J821" s="158" t="s">
        <v>261</v>
      </c>
      <c r="K821" s="158">
        <v>1</v>
      </c>
      <c r="P821"/>
    </row>
    <row r="822" spans="4:16">
      <c r="D822" s="158" t="s">
        <v>446</v>
      </c>
      <c r="E822" s="158" t="s">
        <v>238</v>
      </c>
      <c r="F822" s="1">
        <v>43287</v>
      </c>
      <c r="G822" s="158" t="s">
        <v>458</v>
      </c>
      <c r="H822" s="158" t="s">
        <v>369</v>
      </c>
      <c r="I822" s="158" t="s">
        <v>370</v>
      </c>
      <c r="J822" s="158" t="s">
        <v>261</v>
      </c>
      <c r="K822" s="158">
        <v>16.25</v>
      </c>
      <c r="P822"/>
    </row>
    <row r="823" spans="4:16">
      <c r="D823" s="158" t="s">
        <v>446</v>
      </c>
      <c r="E823" s="158" t="s">
        <v>237</v>
      </c>
      <c r="F823" s="1">
        <v>43287</v>
      </c>
      <c r="G823" s="158" t="s">
        <v>458</v>
      </c>
      <c r="H823" s="158" t="s">
        <v>369</v>
      </c>
      <c r="I823" s="158" t="s">
        <v>370</v>
      </c>
      <c r="J823" s="158" t="s">
        <v>261</v>
      </c>
      <c r="K823" s="158">
        <v>3.75</v>
      </c>
      <c r="P823"/>
    </row>
    <row r="824" spans="4:16">
      <c r="D824" s="158" t="s">
        <v>446</v>
      </c>
      <c r="E824" s="158" t="s">
        <v>238</v>
      </c>
      <c r="F824" s="1">
        <v>43313</v>
      </c>
      <c r="G824" s="158" t="s">
        <v>388</v>
      </c>
      <c r="H824" s="158" t="s">
        <v>387</v>
      </c>
      <c r="I824" s="158" t="s">
        <v>290</v>
      </c>
      <c r="J824" s="158" t="s">
        <v>261</v>
      </c>
      <c r="K824" s="158">
        <v>20</v>
      </c>
      <c r="P824"/>
    </row>
    <row r="825" spans="4:16">
      <c r="D825" s="158" t="s">
        <v>446</v>
      </c>
      <c r="E825" s="158" t="s">
        <v>237</v>
      </c>
      <c r="F825" s="1">
        <v>43342</v>
      </c>
      <c r="G825" s="158" t="s">
        <v>515</v>
      </c>
      <c r="H825" s="158" t="s">
        <v>295</v>
      </c>
      <c r="I825" s="158" t="s">
        <v>290</v>
      </c>
      <c r="J825" s="158" t="s">
        <v>261</v>
      </c>
      <c r="K825" s="158">
        <v>0.5</v>
      </c>
      <c r="P825"/>
    </row>
    <row r="826" spans="4:16">
      <c r="D826" s="158" t="s">
        <v>446</v>
      </c>
      <c r="E826" s="158" t="s">
        <v>238</v>
      </c>
      <c r="F826" s="1">
        <v>43346</v>
      </c>
      <c r="G826" s="158" t="s">
        <v>389</v>
      </c>
      <c r="H826" s="158" t="s">
        <v>390</v>
      </c>
      <c r="I826" s="158" t="s">
        <v>260</v>
      </c>
      <c r="J826" s="158" t="s">
        <v>261</v>
      </c>
      <c r="K826" s="158">
        <v>20</v>
      </c>
      <c r="P826"/>
    </row>
    <row r="827" spans="4:16">
      <c r="D827" s="158" t="s">
        <v>446</v>
      </c>
      <c r="E827" s="158" t="s">
        <v>238</v>
      </c>
      <c r="F827" s="1">
        <v>43374</v>
      </c>
      <c r="G827" s="158" t="s">
        <v>392</v>
      </c>
      <c r="H827" s="158" t="s">
        <v>263</v>
      </c>
      <c r="I827" s="158" t="s">
        <v>264</v>
      </c>
      <c r="J827" s="158" t="s">
        <v>261</v>
      </c>
      <c r="K827" s="158">
        <v>21</v>
      </c>
      <c r="P827"/>
    </row>
    <row r="828" spans="4:16">
      <c r="D828" s="158" t="s">
        <v>446</v>
      </c>
      <c r="E828" s="158" t="s">
        <v>237</v>
      </c>
      <c r="F828" s="1">
        <v>43383</v>
      </c>
      <c r="G828" s="158" t="s">
        <v>270</v>
      </c>
      <c r="H828" s="158" t="s">
        <v>267</v>
      </c>
      <c r="I828" s="158" t="s">
        <v>264</v>
      </c>
      <c r="J828" s="158" t="s">
        <v>261</v>
      </c>
      <c r="K828" s="158">
        <v>2</v>
      </c>
      <c r="P828"/>
    </row>
    <row r="829" spans="4:16">
      <c r="D829" s="158" t="s">
        <v>446</v>
      </c>
      <c r="E829" s="158" t="s">
        <v>238</v>
      </c>
      <c r="F829" s="1">
        <v>43423</v>
      </c>
      <c r="G829" s="158" t="s">
        <v>415</v>
      </c>
      <c r="H829" s="158" t="s">
        <v>400</v>
      </c>
      <c r="I829" s="158" t="s">
        <v>299</v>
      </c>
      <c r="J829" s="158" t="s">
        <v>261</v>
      </c>
      <c r="K829" s="158">
        <v>9.25</v>
      </c>
      <c r="P829"/>
    </row>
    <row r="830" spans="4:16">
      <c r="D830" s="158" t="s">
        <v>446</v>
      </c>
      <c r="E830" s="158" t="s">
        <v>237</v>
      </c>
      <c r="F830" s="1">
        <v>43430</v>
      </c>
      <c r="G830" s="158" t="s">
        <v>305</v>
      </c>
      <c r="H830" s="158" t="s">
        <v>306</v>
      </c>
      <c r="I830" s="158" t="s">
        <v>299</v>
      </c>
      <c r="J830" s="158" t="s">
        <v>261</v>
      </c>
      <c r="K830" s="158">
        <v>0.75</v>
      </c>
      <c r="P830"/>
    </row>
    <row r="831" spans="4:16">
      <c r="D831" s="158" t="s">
        <v>599</v>
      </c>
      <c r="E831" s="158" t="s">
        <v>235</v>
      </c>
      <c r="F831" s="1">
        <v>43292</v>
      </c>
      <c r="G831" s="158" t="s">
        <v>459</v>
      </c>
      <c r="H831" s="158" t="s">
        <v>460</v>
      </c>
      <c r="I831" s="158" t="s">
        <v>370</v>
      </c>
      <c r="J831" s="158" t="s">
        <v>261</v>
      </c>
      <c r="K831" s="158">
        <v>7</v>
      </c>
      <c r="P831"/>
    </row>
    <row r="832" spans="4:16">
      <c r="D832" s="158" t="s">
        <v>599</v>
      </c>
      <c r="E832" s="158" t="s">
        <v>235</v>
      </c>
      <c r="F832" s="1">
        <v>43313</v>
      </c>
      <c r="G832" s="158" t="s">
        <v>388</v>
      </c>
      <c r="H832" s="158" t="s">
        <v>387</v>
      </c>
      <c r="I832" s="158" t="s">
        <v>290</v>
      </c>
      <c r="J832" s="158" t="s">
        <v>261</v>
      </c>
      <c r="K832" s="158">
        <v>4</v>
      </c>
      <c r="P832"/>
    </row>
    <row r="833" spans="4:16">
      <c r="D833" s="158" t="s">
        <v>599</v>
      </c>
      <c r="E833" s="158" t="s">
        <v>235</v>
      </c>
      <c r="F833" s="1">
        <v>43346</v>
      </c>
      <c r="G833" s="158" t="s">
        <v>389</v>
      </c>
      <c r="H833" s="158" t="s">
        <v>390</v>
      </c>
      <c r="I833" s="158" t="s">
        <v>260</v>
      </c>
      <c r="J833" s="158" t="s">
        <v>261</v>
      </c>
      <c r="K833" s="158">
        <v>11</v>
      </c>
      <c r="P833"/>
    </row>
    <row r="834" spans="4:16">
      <c r="D834" s="158" t="s">
        <v>599</v>
      </c>
      <c r="E834" s="158" t="s">
        <v>235</v>
      </c>
      <c r="F834" s="1">
        <v>43377</v>
      </c>
      <c r="G834" s="158" t="s">
        <v>265</v>
      </c>
      <c r="H834" s="158" t="s">
        <v>263</v>
      </c>
      <c r="I834" s="158" t="s">
        <v>264</v>
      </c>
      <c r="J834" s="158" t="s">
        <v>261</v>
      </c>
      <c r="K834" s="158">
        <v>14</v>
      </c>
      <c r="P834"/>
    </row>
    <row r="835" spans="4:16">
      <c r="D835" s="158" t="s">
        <v>599</v>
      </c>
      <c r="E835" s="158" t="s">
        <v>235</v>
      </c>
      <c r="F835" s="1">
        <v>43409</v>
      </c>
      <c r="G835" s="158" t="s">
        <v>411</v>
      </c>
      <c r="H835" s="158" t="s">
        <v>298</v>
      </c>
      <c r="I835" s="158" t="s">
        <v>299</v>
      </c>
      <c r="J835" s="158" t="s">
        <v>261</v>
      </c>
      <c r="K835" s="158">
        <v>17</v>
      </c>
      <c r="P835"/>
    </row>
    <row r="836" spans="4:16">
      <c r="D836" s="158" t="s">
        <v>601</v>
      </c>
      <c r="E836" s="158" t="s">
        <v>235</v>
      </c>
      <c r="F836" s="1">
        <v>43263</v>
      </c>
      <c r="G836" s="158" t="s">
        <v>363</v>
      </c>
      <c r="H836" s="158" t="s">
        <v>362</v>
      </c>
      <c r="I836" s="158" t="s">
        <v>287</v>
      </c>
      <c r="J836" s="158" t="s">
        <v>261</v>
      </c>
      <c r="K836" s="158">
        <v>11.5</v>
      </c>
      <c r="P836"/>
    </row>
    <row r="837" spans="4:16">
      <c r="D837" s="158" t="s">
        <v>601</v>
      </c>
      <c r="E837" s="158" t="s">
        <v>235</v>
      </c>
      <c r="F837" s="1">
        <v>43283</v>
      </c>
      <c r="G837" s="158" t="s">
        <v>368</v>
      </c>
      <c r="H837" s="158" t="s">
        <v>369</v>
      </c>
      <c r="I837" s="158" t="s">
        <v>370</v>
      </c>
      <c r="J837" s="158" t="s">
        <v>261</v>
      </c>
      <c r="K837" s="158">
        <v>12</v>
      </c>
      <c r="P837"/>
    </row>
    <row r="838" spans="4:16">
      <c r="D838" s="158" t="s">
        <v>601</v>
      </c>
      <c r="E838" s="158" t="s">
        <v>235</v>
      </c>
      <c r="F838" s="1">
        <v>43328</v>
      </c>
      <c r="G838" s="158" t="s">
        <v>292</v>
      </c>
      <c r="H838" s="158" t="s">
        <v>293</v>
      </c>
      <c r="I838" s="158" t="s">
        <v>290</v>
      </c>
      <c r="J838" s="158" t="s">
        <v>261</v>
      </c>
      <c r="K838" s="158">
        <v>11</v>
      </c>
      <c r="P838"/>
    </row>
    <row r="839" spans="4:16">
      <c r="D839" s="158" t="s">
        <v>601</v>
      </c>
      <c r="E839" s="158" t="s">
        <v>235</v>
      </c>
      <c r="F839" s="1">
        <v>43346</v>
      </c>
      <c r="G839" s="158" t="s">
        <v>389</v>
      </c>
      <c r="H839" s="158" t="s">
        <v>390</v>
      </c>
      <c r="I839" s="158" t="s">
        <v>260</v>
      </c>
      <c r="J839" s="158" t="s">
        <v>261</v>
      </c>
      <c r="K839" s="158">
        <v>19.5</v>
      </c>
      <c r="P839"/>
    </row>
    <row r="840" spans="4:16">
      <c r="D840" s="158" t="s">
        <v>601</v>
      </c>
      <c r="E840" s="158" t="s">
        <v>235</v>
      </c>
      <c r="F840" s="1">
        <v>43376</v>
      </c>
      <c r="G840" s="158" t="s">
        <v>262</v>
      </c>
      <c r="H840" s="158" t="s">
        <v>263</v>
      </c>
      <c r="I840" s="158" t="s">
        <v>264</v>
      </c>
      <c r="J840" s="158" t="s">
        <v>261</v>
      </c>
      <c r="K840" s="158">
        <v>23</v>
      </c>
      <c r="P840"/>
    </row>
    <row r="841" spans="4:16">
      <c r="D841" s="158" t="s">
        <v>601</v>
      </c>
      <c r="E841" s="158" t="s">
        <v>235</v>
      </c>
      <c r="F841" s="1">
        <v>43433</v>
      </c>
      <c r="G841" s="158" t="s">
        <v>416</v>
      </c>
      <c r="H841" s="158" t="s">
        <v>306</v>
      </c>
      <c r="I841" s="158" t="s">
        <v>299</v>
      </c>
      <c r="J841" s="158" t="s">
        <v>261</v>
      </c>
      <c r="K841" s="158">
        <v>21</v>
      </c>
      <c r="P841"/>
    </row>
    <row r="842" spans="4:16">
      <c r="D842" s="158" t="s">
        <v>423</v>
      </c>
      <c r="E842" s="158" t="s">
        <v>238</v>
      </c>
      <c r="F842" s="1">
        <v>43088</v>
      </c>
      <c r="G842" s="158" t="s">
        <v>256</v>
      </c>
      <c r="H842" s="158" t="s">
        <v>257</v>
      </c>
      <c r="I842" s="158" t="s">
        <v>255</v>
      </c>
      <c r="J842" s="158" t="s">
        <v>252</v>
      </c>
      <c r="K842" s="158">
        <v>0.2</v>
      </c>
      <c r="P842"/>
    </row>
    <row r="843" spans="4:16">
      <c r="D843" s="158" t="s">
        <v>423</v>
      </c>
      <c r="E843" s="158" t="s">
        <v>238</v>
      </c>
      <c r="F843" s="1">
        <v>43108</v>
      </c>
      <c r="G843" s="158" t="s">
        <v>448</v>
      </c>
      <c r="H843" s="158" t="s">
        <v>281</v>
      </c>
      <c r="I843" s="158" t="s">
        <v>282</v>
      </c>
      <c r="J843" s="158" t="s">
        <v>261</v>
      </c>
      <c r="K843" s="158">
        <v>13.4</v>
      </c>
      <c r="P843"/>
    </row>
    <row r="844" spans="4:16">
      <c r="D844" s="158" t="s">
        <v>423</v>
      </c>
      <c r="E844" s="158" t="s">
        <v>237</v>
      </c>
      <c r="F844" s="1">
        <v>43109</v>
      </c>
      <c r="G844" s="158" t="s">
        <v>476</v>
      </c>
      <c r="H844" s="158" t="s">
        <v>281</v>
      </c>
      <c r="I844" s="158" t="s">
        <v>282</v>
      </c>
      <c r="J844" s="158" t="s">
        <v>261</v>
      </c>
      <c r="K844" s="158">
        <v>0.5</v>
      </c>
      <c r="P844"/>
    </row>
    <row r="845" spans="4:16">
      <c r="D845" s="158" t="s">
        <v>423</v>
      </c>
      <c r="E845" s="158" t="s">
        <v>238</v>
      </c>
      <c r="F845" s="1">
        <v>43136</v>
      </c>
      <c r="G845" s="158" t="s">
        <v>315</v>
      </c>
      <c r="H845" s="158" t="s">
        <v>287</v>
      </c>
      <c r="I845" s="158" t="s">
        <v>281</v>
      </c>
      <c r="J845" s="158" t="s">
        <v>261</v>
      </c>
      <c r="K845" s="158">
        <v>14.9</v>
      </c>
      <c r="P845"/>
    </row>
    <row r="846" spans="4:16">
      <c r="D846" s="158" t="s">
        <v>423</v>
      </c>
      <c r="E846" s="158" t="s">
        <v>237</v>
      </c>
      <c r="F846" s="1">
        <v>43132</v>
      </c>
      <c r="G846" s="158" t="s">
        <v>312</v>
      </c>
      <c r="H846" s="158" t="s">
        <v>313</v>
      </c>
      <c r="I846" s="158" t="s">
        <v>281</v>
      </c>
      <c r="J846" s="158" t="s">
        <v>261</v>
      </c>
      <c r="K846" s="158">
        <v>0.5</v>
      </c>
      <c r="P846"/>
    </row>
    <row r="847" spans="4:16">
      <c r="D847" s="158" t="s">
        <v>423</v>
      </c>
      <c r="E847" s="158" t="s">
        <v>238</v>
      </c>
      <c r="F847" s="1">
        <v>43171</v>
      </c>
      <c r="G847" s="158" t="s">
        <v>420</v>
      </c>
      <c r="H847" s="158" t="s">
        <v>299</v>
      </c>
      <c r="I847" s="158" t="s">
        <v>284</v>
      </c>
      <c r="J847" s="158" t="s">
        <v>261</v>
      </c>
      <c r="K847" s="158">
        <v>18</v>
      </c>
      <c r="P847"/>
    </row>
    <row r="848" spans="4:16">
      <c r="D848" s="158" t="s">
        <v>423</v>
      </c>
      <c r="E848" s="158" t="s">
        <v>237</v>
      </c>
      <c r="F848" s="1">
        <v>43173</v>
      </c>
      <c r="G848" s="158" t="s">
        <v>477</v>
      </c>
      <c r="H848" s="158" t="s">
        <v>299</v>
      </c>
      <c r="I848" s="158" t="s">
        <v>284</v>
      </c>
      <c r="J848" s="158" t="s">
        <v>261</v>
      </c>
      <c r="K848" s="158">
        <v>1.5</v>
      </c>
      <c r="P848"/>
    </row>
    <row r="849" spans="4:16">
      <c r="D849" s="158" t="s">
        <v>423</v>
      </c>
      <c r="E849" s="158" t="s">
        <v>238</v>
      </c>
      <c r="F849" s="1">
        <v>43199</v>
      </c>
      <c r="G849" s="158" t="s">
        <v>343</v>
      </c>
      <c r="H849" s="158" t="s">
        <v>344</v>
      </c>
      <c r="I849" s="158" t="s">
        <v>341</v>
      </c>
      <c r="J849" s="158" t="s">
        <v>261</v>
      </c>
      <c r="K849" s="158">
        <v>12.5</v>
      </c>
      <c r="P849"/>
    </row>
    <row r="850" spans="4:16">
      <c r="D850" s="158" t="s">
        <v>423</v>
      </c>
      <c r="E850" s="158" t="s">
        <v>238</v>
      </c>
      <c r="F850" s="1">
        <v>43242</v>
      </c>
      <c r="G850" s="158" t="s">
        <v>453</v>
      </c>
      <c r="H850" s="158" t="s">
        <v>354</v>
      </c>
      <c r="I850" s="158" t="s">
        <v>313</v>
      </c>
      <c r="J850" s="158" t="s">
        <v>261</v>
      </c>
      <c r="K850" s="158">
        <v>11</v>
      </c>
      <c r="P850"/>
    </row>
    <row r="851" spans="4:16">
      <c r="D851" s="158" t="s">
        <v>423</v>
      </c>
      <c r="E851" s="158" t="s">
        <v>238</v>
      </c>
      <c r="F851" s="1">
        <v>43272</v>
      </c>
      <c r="G851" s="158" t="s">
        <v>424</v>
      </c>
      <c r="H851" s="158" t="s">
        <v>366</v>
      </c>
      <c r="I851" s="158" t="s">
        <v>287</v>
      </c>
      <c r="J851" s="158" t="s">
        <v>261</v>
      </c>
      <c r="K851" s="158">
        <v>17.899999999999999</v>
      </c>
      <c r="P851"/>
    </row>
    <row r="852" spans="4:16">
      <c r="D852" s="158" t="s">
        <v>423</v>
      </c>
      <c r="E852" s="158" t="s">
        <v>237</v>
      </c>
      <c r="F852" s="1">
        <v>43256</v>
      </c>
      <c r="G852" s="158" t="s">
        <v>508</v>
      </c>
      <c r="H852" s="158" t="s">
        <v>359</v>
      </c>
      <c r="I852" s="158" t="s">
        <v>287</v>
      </c>
      <c r="J852" s="158" t="s">
        <v>261</v>
      </c>
      <c r="K852" s="158">
        <v>1.2</v>
      </c>
      <c r="P852"/>
    </row>
    <row r="853" spans="4:16">
      <c r="D853" s="158" t="s">
        <v>423</v>
      </c>
      <c r="E853" s="158" t="s">
        <v>238</v>
      </c>
      <c r="F853" s="1">
        <v>43283</v>
      </c>
      <c r="G853" s="158" t="s">
        <v>368</v>
      </c>
      <c r="H853" s="158" t="s">
        <v>369</v>
      </c>
      <c r="I853" s="158" t="s">
        <v>370</v>
      </c>
      <c r="J853" s="158" t="s">
        <v>261</v>
      </c>
      <c r="K853" s="158">
        <v>16.2</v>
      </c>
      <c r="P853"/>
    </row>
    <row r="854" spans="4:16">
      <c r="D854" s="158" t="s">
        <v>423</v>
      </c>
      <c r="E854" s="158" t="s">
        <v>237</v>
      </c>
      <c r="F854" s="1">
        <v>43305</v>
      </c>
      <c r="G854" s="158" t="s">
        <v>371</v>
      </c>
      <c r="H854" s="158" t="s">
        <v>372</v>
      </c>
      <c r="I854" s="158" t="s">
        <v>370</v>
      </c>
      <c r="J854" s="158" t="s">
        <v>261</v>
      </c>
      <c r="K854" s="158">
        <v>0.5</v>
      </c>
      <c r="P854"/>
    </row>
    <row r="855" spans="4:16">
      <c r="D855" s="158" t="s">
        <v>423</v>
      </c>
      <c r="E855" s="158" t="s">
        <v>238</v>
      </c>
      <c r="F855" s="1">
        <v>43318</v>
      </c>
      <c r="G855" s="158" t="s">
        <v>469</v>
      </c>
      <c r="H855" s="158" t="s">
        <v>289</v>
      </c>
      <c r="I855" s="158" t="s">
        <v>290</v>
      </c>
      <c r="J855" s="158" t="s">
        <v>261</v>
      </c>
      <c r="K855" s="158">
        <v>22</v>
      </c>
      <c r="P855"/>
    </row>
    <row r="856" spans="4:16">
      <c r="D856" s="158" t="s">
        <v>423</v>
      </c>
      <c r="E856" s="158" t="s">
        <v>238</v>
      </c>
      <c r="F856" s="1">
        <v>43346</v>
      </c>
      <c r="G856" s="158" t="s">
        <v>389</v>
      </c>
      <c r="H856" s="158" t="s">
        <v>390</v>
      </c>
      <c r="I856" s="158" t="s">
        <v>260</v>
      </c>
      <c r="J856" s="158" t="s">
        <v>261</v>
      </c>
      <c r="K856" s="158">
        <v>19.2</v>
      </c>
      <c r="P856"/>
    </row>
    <row r="857" spans="4:16">
      <c r="D857" s="158" t="s">
        <v>423</v>
      </c>
      <c r="E857" s="158" t="s">
        <v>237</v>
      </c>
      <c r="F857" s="1">
        <v>43347</v>
      </c>
      <c r="G857" s="158" t="s">
        <v>517</v>
      </c>
      <c r="H857" s="158" t="s">
        <v>390</v>
      </c>
      <c r="I857" s="158" t="s">
        <v>260</v>
      </c>
      <c r="J857" s="158" t="s">
        <v>261</v>
      </c>
      <c r="K857" s="158">
        <v>0.3</v>
      </c>
      <c r="P857"/>
    </row>
    <row r="858" spans="4:16">
      <c r="D858" s="158" t="s">
        <v>423</v>
      </c>
      <c r="E858" s="158" t="s">
        <v>238</v>
      </c>
      <c r="F858" s="1">
        <v>43374</v>
      </c>
      <c r="G858" s="158" t="s">
        <v>392</v>
      </c>
      <c r="H858" s="158" t="s">
        <v>263</v>
      </c>
      <c r="I858" s="158" t="s">
        <v>264</v>
      </c>
      <c r="J858" s="158" t="s">
        <v>261</v>
      </c>
      <c r="K858" s="158">
        <v>23</v>
      </c>
      <c r="P858"/>
    </row>
    <row r="859" spans="4:16">
      <c r="D859" s="158" t="s">
        <v>423</v>
      </c>
      <c r="E859" s="158" t="s">
        <v>238</v>
      </c>
      <c r="F859" s="1">
        <v>43423</v>
      </c>
      <c r="G859" s="158" t="s">
        <v>415</v>
      </c>
      <c r="H859" s="158" t="s">
        <v>400</v>
      </c>
      <c r="I859" s="158" t="s">
        <v>299</v>
      </c>
      <c r="J859" s="158" t="s">
        <v>261</v>
      </c>
      <c r="K859" s="158">
        <v>17.399999999999999</v>
      </c>
      <c r="P859"/>
    </row>
    <row r="860" spans="4:16">
      <c r="D860" s="158" t="s">
        <v>423</v>
      </c>
      <c r="E860" s="158" t="s">
        <v>237</v>
      </c>
      <c r="F860" s="1">
        <v>43406</v>
      </c>
      <c r="G860" s="158" t="s">
        <v>483</v>
      </c>
      <c r="H860" s="158" t="s">
        <v>465</v>
      </c>
      <c r="I860" s="158" t="s">
        <v>299</v>
      </c>
      <c r="J860" s="158" t="s">
        <v>261</v>
      </c>
      <c r="K860" s="158">
        <v>1.6</v>
      </c>
      <c r="P860"/>
    </row>
    <row r="861" spans="4:16">
      <c r="D861" s="158" t="s">
        <v>423</v>
      </c>
      <c r="E861" s="158" t="s">
        <v>238</v>
      </c>
      <c r="F861" s="1">
        <v>43437</v>
      </c>
      <c r="G861" s="158" t="s">
        <v>417</v>
      </c>
      <c r="H861" s="158" t="s">
        <v>418</v>
      </c>
      <c r="I861" s="158" t="s">
        <v>335</v>
      </c>
      <c r="J861" s="158" t="s">
        <v>261</v>
      </c>
      <c r="K861" s="158">
        <v>1</v>
      </c>
      <c r="P861"/>
    </row>
    <row r="862" spans="4:16">
      <c r="D862" s="158" t="s">
        <v>426</v>
      </c>
      <c r="E862" s="158" t="s">
        <v>238</v>
      </c>
      <c r="F862" s="1">
        <v>43115</v>
      </c>
      <c r="G862" s="158" t="s">
        <v>449</v>
      </c>
      <c r="H862" s="158" t="s">
        <v>284</v>
      </c>
      <c r="I862" s="158" t="s">
        <v>282</v>
      </c>
      <c r="J862" s="158" t="s">
        <v>261</v>
      </c>
      <c r="K862" s="158">
        <v>8.6999999999999993</v>
      </c>
      <c r="P862"/>
    </row>
    <row r="863" spans="4:16">
      <c r="D863" s="158" t="s">
        <v>426</v>
      </c>
      <c r="E863" s="158" t="s">
        <v>237</v>
      </c>
      <c r="F863" s="1">
        <v>43117</v>
      </c>
      <c r="G863" s="158" t="s">
        <v>501</v>
      </c>
      <c r="H863" s="158" t="s">
        <v>284</v>
      </c>
      <c r="I863" s="158" t="s">
        <v>282</v>
      </c>
      <c r="J863" s="158" t="s">
        <v>261</v>
      </c>
      <c r="K863" s="158">
        <v>0.8</v>
      </c>
      <c r="P863"/>
    </row>
    <row r="864" spans="4:16">
      <c r="D864" s="158" t="s">
        <v>426</v>
      </c>
      <c r="E864" s="158" t="s">
        <v>238</v>
      </c>
      <c r="F864" s="1">
        <v>43138</v>
      </c>
      <c r="G864" s="158" t="s">
        <v>317</v>
      </c>
      <c r="H864" s="158" t="s">
        <v>287</v>
      </c>
      <c r="I864" s="158" t="s">
        <v>281</v>
      </c>
      <c r="J864" s="158" t="s">
        <v>261</v>
      </c>
      <c r="K864" s="158">
        <v>13.9</v>
      </c>
      <c r="P864"/>
    </row>
    <row r="865" spans="4:16">
      <c r="D865" s="158" t="s">
        <v>426</v>
      </c>
      <c r="E865" s="158" t="s">
        <v>237</v>
      </c>
      <c r="F865" s="1">
        <v>43137</v>
      </c>
      <c r="G865" s="158" t="s">
        <v>316</v>
      </c>
      <c r="H865" s="158" t="s">
        <v>287</v>
      </c>
      <c r="I865" s="158" t="s">
        <v>281</v>
      </c>
      <c r="J865" s="158" t="s">
        <v>261</v>
      </c>
      <c r="K865" s="158">
        <v>4.0999999999999996</v>
      </c>
      <c r="P865"/>
    </row>
    <row r="866" spans="4:16">
      <c r="D866" s="158" t="s">
        <v>426</v>
      </c>
      <c r="E866" s="158" t="s">
        <v>238</v>
      </c>
      <c r="F866" s="1">
        <v>43164</v>
      </c>
      <c r="G866" s="158" t="s">
        <v>329</v>
      </c>
      <c r="H866" s="158" t="s">
        <v>264</v>
      </c>
      <c r="I866" s="158" t="s">
        <v>284</v>
      </c>
      <c r="J866" s="158" t="s">
        <v>261</v>
      </c>
      <c r="K866" s="158">
        <v>21.42</v>
      </c>
      <c r="P866"/>
    </row>
    <row r="867" spans="4:16">
      <c r="D867" s="158" t="s">
        <v>426</v>
      </c>
      <c r="E867" s="158" t="s">
        <v>237</v>
      </c>
      <c r="F867" s="1">
        <v>43175</v>
      </c>
      <c r="G867" s="158" t="s">
        <v>494</v>
      </c>
      <c r="H867" s="158" t="s">
        <v>299</v>
      </c>
      <c r="I867" s="158" t="s">
        <v>284</v>
      </c>
      <c r="J867" s="158" t="s">
        <v>261</v>
      </c>
      <c r="K867" s="158">
        <v>0.57999999999999996</v>
      </c>
      <c r="P867"/>
    </row>
    <row r="868" spans="4:16">
      <c r="D868" s="158" t="s">
        <v>426</v>
      </c>
      <c r="E868" s="158" t="s">
        <v>238</v>
      </c>
      <c r="F868" s="1">
        <v>43206</v>
      </c>
      <c r="G868" s="158" t="s">
        <v>427</v>
      </c>
      <c r="H868" s="158" t="s">
        <v>347</v>
      </c>
      <c r="I868" s="158" t="s">
        <v>341</v>
      </c>
      <c r="J868" s="158" t="s">
        <v>261</v>
      </c>
      <c r="K868" s="158">
        <v>16.78</v>
      </c>
      <c r="P868"/>
    </row>
    <row r="869" spans="4:16">
      <c r="D869" s="158" t="s">
        <v>426</v>
      </c>
      <c r="E869" s="158" t="s">
        <v>237</v>
      </c>
      <c r="F869" s="1">
        <v>43194</v>
      </c>
      <c r="G869" s="158" t="s">
        <v>339</v>
      </c>
      <c r="H869" s="158" t="s">
        <v>340</v>
      </c>
      <c r="I869" s="158" t="s">
        <v>341</v>
      </c>
      <c r="J869" s="158" t="s">
        <v>261</v>
      </c>
      <c r="K869" s="158">
        <v>2.5</v>
      </c>
      <c r="P869"/>
    </row>
    <row r="870" spans="4:16">
      <c r="D870" s="158" t="s">
        <v>426</v>
      </c>
      <c r="E870" s="158" t="s">
        <v>238</v>
      </c>
      <c r="F870" s="1">
        <v>43234</v>
      </c>
      <c r="G870" s="158" t="s">
        <v>351</v>
      </c>
      <c r="H870" s="158" t="s">
        <v>352</v>
      </c>
      <c r="I870" s="158" t="s">
        <v>313</v>
      </c>
      <c r="J870" s="158" t="s">
        <v>261</v>
      </c>
      <c r="K870" s="158">
        <v>16.2</v>
      </c>
      <c r="P870"/>
    </row>
    <row r="871" spans="4:16">
      <c r="D871" s="158" t="s">
        <v>426</v>
      </c>
      <c r="E871" s="158" t="s">
        <v>237</v>
      </c>
      <c r="F871" s="1">
        <v>43223</v>
      </c>
      <c r="G871" s="158" t="s">
        <v>528</v>
      </c>
      <c r="H871" s="158" t="s">
        <v>505</v>
      </c>
      <c r="I871" s="158" t="s">
        <v>313</v>
      </c>
      <c r="J871" s="158" t="s">
        <v>261</v>
      </c>
      <c r="K871" s="158">
        <v>1.8</v>
      </c>
      <c r="P871"/>
    </row>
    <row r="872" spans="4:16">
      <c r="D872" s="158" t="s">
        <v>426</v>
      </c>
      <c r="E872" s="158" t="s">
        <v>238</v>
      </c>
      <c r="F872" s="1">
        <v>43263</v>
      </c>
      <c r="G872" s="158" t="s">
        <v>363</v>
      </c>
      <c r="H872" s="158" t="s">
        <v>362</v>
      </c>
      <c r="I872" s="158" t="s">
        <v>287</v>
      </c>
      <c r="J872" s="158" t="s">
        <v>261</v>
      </c>
      <c r="K872" s="158">
        <v>18.23</v>
      </c>
      <c r="P872"/>
    </row>
    <row r="873" spans="4:16">
      <c r="D873" s="158" t="s">
        <v>426</v>
      </c>
      <c r="E873" s="158" t="s">
        <v>237</v>
      </c>
      <c r="F873" s="1">
        <v>43256</v>
      </c>
      <c r="G873" s="158" t="s">
        <v>508</v>
      </c>
      <c r="H873" s="158" t="s">
        <v>359</v>
      </c>
      <c r="I873" s="158" t="s">
        <v>287</v>
      </c>
      <c r="J873" s="158" t="s">
        <v>261</v>
      </c>
      <c r="K873" s="158">
        <v>1.77</v>
      </c>
      <c r="P873"/>
    </row>
    <row r="874" spans="4:16">
      <c r="D874" s="158" t="s">
        <v>426</v>
      </c>
      <c r="E874" s="158" t="s">
        <v>238</v>
      </c>
      <c r="F874" s="1">
        <v>43283</v>
      </c>
      <c r="G874" s="158" t="s">
        <v>368</v>
      </c>
      <c r="H874" s="158" t="s">
        <v>369</v>
      </c>
      <c r="I874" s="158" t="s">
        <v>370</v>
      </c>
      <c r="J874" s="158" t="s">
        <v>261</v>
      </c>
      <c r="K874" s="158">
        <v>14.67</v>
      </c>
      <c r="P874"/>
    </row>
    <row r="875" spans="4:16">
      <c r="D875" s="158" t="s">
        <v>426</v>
      </c>
      <c r="E875" s="158" t="s">
        <v>237</v>
      </c>
      <c r="F875" s="1">
        <v>43285</v>
      </c>
      <c r="G875" s="158" t="s">
        <v>512</v>
      </c>
      <c r="H875" s="158" t="s">
        <v>369</v>
      </c>
      <c r="I875" s="158" t="s">
        <v>370</v>
      </c>
      <c r="J875" s="158" t="s">
        <v>261</v>
      </c>
      <c r="K875" s="158">
        <v>2.33</v>
      </c>
      <c r="P875"/>
    </row>
    <row r="876" spans="4:16">
      <c r="D876" s="158" t="s">
        <v>426</v>
      </c>
      <c r="E876" s="158" t="s">
        <v>238</v>
      </c>
      <c r="F876" s="1">
        <v>43325</v>
      </c>
      <c r="G876" s="158" t="s">
        <v>471</v>
      </c>
      <c r="H876" s="158" t="s">
        <v>293</v>
      </c>
      <c r="I876" s="158" t="s">
        <v>290</v>
      </c>
      <c r="J876" s="158" t="s">
        <v>261</v>
      </c>
      <c r="K876" s="158">
        <v>17.29</v>
      </c>
      <c r="P876"/>
    </row>
    <row r="877" spans="4:16">
      <c r="D877" s="158" t="s">
        <v>426</v>
      </c>
      <c r="E877" s="158" t="s">
        <v>237</v>
      </c>
      <c r="F877" s="1">
        <v>43313</v>
      </c>
      <c r="G877" s="158" t="s">
        <v>388</v>
      </c>
      <c r="H877" s="158" t="s">
        <v>387</v>
      </c>
      <c r="I877" s="158" t="s">
        <v>290</v>
      </c>
      <c r="J877" s="158" t="s">
        <v>261</v>
      </c>
      <c r="K877" s="158">
        <v>1.71</v>
      </c>
      <c r="P877"/>
    </row>
    <row r="878" spans="4:16">
      <c r="D878" s="158" t="s">
        <v>426</v>
      </c>
      <c r="E878" s="158" t="s">
        <v>238</v>
      </c>
      <c r="F878" s="1">
        <v>43360</v>
      </c>
      <c r="G878" s="158" t="s">
        <v>462</v>
      </c>
      <c r="H878" s="158" t="s">
        <v>405</v>
      </c>
      <c r="I878" s="158" t="s">
        <v>260</v>
      </c>
      <c r="J878" s="158" t="s">
        <v>261</v>
      </c>
      <c r="K878" s="158">
        <v>19.14</v>
      </c>
      <c r="P878"/>
    </row>
    <row r="879" spans="4:16">
      <c r="D879" s="158" t="s">
        <v>426</v>
      </c>
      <c r="E879" s="158" t="s">
        <v>237</v>
      </c>
      <c r="F879" s="1">
        <v>43360</v>
      </c>
      <c r="G879" s="158" t="s">
        <v>462</v>
      </c>
      <c r="H879" s="158" t="s">
        <v>405</v>
      </c>
      <c r="I879" s="158" t="s">
        <v>260</v>
      </c>
      <c r="J879" s="158" t="s">
        <v>261</v>
      </c>
      <c r="K879" s="158">
        <v>0.86</v>
      </c>
      <c r="P879"/>
    </row>
    <row r="880" spans="4:16">
      <c r="D880" s="158" t="s">
        <v>426</v>
      </c>
      <c r="E880" s="158" t="s">
        <v>238</v>
      </c>
      <c r="F880" s="1">
        <v>43402</v>
      </c>
      <c r="G880" s="158" t="s">
        <v>464</v>
      </c>
      <c r="H880" s="158" t="s">
        <v>465</v>
      </c>
      <c r="I880" s="158" t="s">
        <v>264</v>
      </c>
      <c r="J880" s="158" t="s">
        <v>261</v>
      </c>
      <c r="K880" s="158">
        <v>8.64</v>
      </c>
      <c r="P880"/>
    </row>
    <row r="881" spans="4:16">
      <c r="D881" s="158" t="s">
        <v>426</v>
      </c>
      <c r="E881" s="158" t="s">
        <v>237</v>
      </c>
      <c r="F881" s="1">
        <v>43375</v>
      </c>
      <c r="G881" s="158" t="s">
        <v>393</v>
      </c>
      <c r="H881" s="158" t="s">
        <v>263</v>
      </c>
      <c r="I881" s="158" t="s">
        <v>264</v>
      </c>
      <c r="J881" s="158" t="s">
        <v>261</v>
      </c>
      <c r="K881" s="158">
        <v>1.36</v>
      </c>
      <c r="P881"/>
    </row>
    <row r="882" spans="4:16">
      <c r="D882" s="158" t="s">
        <v>426</v>
      </c>
      <c r="E882" s="158" t="s">
        <v>238</v>
      </c>
      <c r="F882" s="1">
        <v>43409</v>
      </c>
      <c r="G882" s="158" t="s">
        <v>411</v>
      </c>
      <c r="H882" s="158" t="s">
        <v>298</v>
      </c>
      <c r="I882" s="158" t="s">
        <v>299</v>
      </c>
      <c r="J882" s="158" t="s">
        <v>261</v>
      </c>
      <c r="K882" s="158">
        <v>18.32</v>
      </c>
      <c r="P882"/>
    </row>
    <row r="883" spans="4:16">
      <c r="D883" s="158" t="s">
        <v>426</v>
      </c>
      <c r="E883" s="158" t="s">
        <v>237</v>
      </c>
      <c r="F883" s="1">
        <v>43409</v>
      </c>
      <c r="G883" s="158" t="s">
        <v>411</v>
      </c>
      <c r="H883" s="158" t="s">
        <v>298</v>
      </c>
      <c r="I883" s="158" t="s">
        <v>299</v>
      </c>
      <c r="J883" s="158" t="s">
        <v>261</v>
      </c>
      <c r="K883" s="158">
        <v>1.68</v>
      </c>
      <c r="P883"/>
    </row>
    <row r="884" spans="4:16">
      <c r="D884" s="158" t="s">
        <v>429</v>
      </c>
      <c r="E884" s="158" t="s">
        <v>238</v>
      </c>
      <c r="F884" s="1">
        <v>43108</v>
      </c>
      <c r="G884" s="158" t="s">
        <v>448</v>
      </c>
      <c r="H884" s="158" t="s">
        <v>281</v>
      </c>
      <c r="I884" s="158" t="s">
        <v>282</v>
      </c>
      <c r="J884" s="158" t="s">
        <v>261</v>
      </c>
      <c r="K884" s="158">
        <v>12.3</v>
      </c>
      <c r="P884"/>
    </row>
    <row r="885" spans="4:16">
      <c r="D885" s="158" t="s">
        <v>429</v>
      </c>
      <c r="E885" s="158" t="s">
        <v>238</v>
      </c>
      <c r="F885" s="1">
        <v>43139</v>
      </c>
      <c r="G885" s="158" t="s">
        <v>318</v>
      </c>
      <c r="H885" s="158" t="s">
        <v>287</v>
      </c>
      <c r="I885" s="158" t="s">
        <v>281</v>
      </c>
      <c r="J885" s="158" t="s">
        <v>261</v>
      </c>
      <c r="K885" s="158">
        <v>16.95</v>
      </c>
      <c r="P885"/>
    </row>
    <row r="886" spans="4:16">
      <c r="D886" s="158" t="s">
        <v>429</v>
      </c>
      <c r="E886" s="158" t="s">
        <v>238</v>
      </c>
      <c r="F886" s="1">
        <v>43167</v>
      </c>
      <c r="G886" s="158" t="s">
        <v>332</v>
      </c>
      <c r="H886" s="158" t="s">
        <v>264</v>
      </c>
      <c r="I886" s="158" t="s">
        <v>284</v>
      </c>
      <c r="J886" s="158" t="s">
        <v>261</v>
      </c>
      <c r="K886" s="158">
        <v>20.8</v>
      </c>
      <c r="P886"/>
    </row>
    <row r="887" spans="4:16">
      <c r="D887" s="158" t="s">
        <v>429</v>
      </c>
      <c r="E887" s="158" t="s">
        <v>238</v>
      </c>
      <c r="F887" s="1">
        <v>43203</v>
      </c>
      <c r="G887" s="158" t="s">
        <v>435</v>
      </c>
      <c r="H887" s="158" t="s">
        <v>344</v>
      </c>
      <c r="I887" s="158" t="s">
        <v>341</v>
      </c>
      <c r="J887" s="158" t="s">
        <v>261</v>
      </c>
      <c r="K887" s="158">
        <v>17.2</v>
      </c>
      <c r="P887"/>
    </row>
    <row r="888" spans="4:16">
      <c r="D888" s="158" t="s">
        <v>429</v>
      </c>
      <c r="E888" s="158" t="s">
        <v>238</v>
      </c>
      <c r="F888" s="1">
        <v>43234</v>
      </c>
      <c r="G888" s="158" t="s">
        <v>351</v>
      </c>
      <c r="H888" s="158" t="s">
        <v>352</v>
      </c>
      <c r="I888" s="158" t="s">
        <v>313</v>
      </c>
      <c r="J888" s="158" t="s">
        <v>261</v>
      </c>
      <c r="K888" s="158">
        <v>18</v>
      </c>
      <c r="P888"/>
    </row>
    <row r="889" spans="4:16">
      <c r="D889" s="158" t="s">
        <v>429</v>
      </c>
      <c r="E889" s="158" t="s">
        <v>238</v>
      </c>
      <c r="F889" s="1">
        <v>43263</v>
      </c>
      <c r="G889" s="158" t="s">
        <v>363</v>
      </c>
      <c r="H889" s="158" t="s">
        <v>362</v>
      </c>
      <c r="I889" s="158" t="s">
        <v>287</v>
      </c>
      <c r="J889" s="158" t="s">
        <v>261</v>
      </c>
      <c r="K889" s="158">
        <v>21</v>
      </c>
      <c r="P889"/>
    </row>
    <row r="890" spans="4:16">
      <c r="D890" s="158" t="s">
        <v>429</v>
      </c>
      <c r="E890" s="158" t="s">
        <v>238</v>
      </c>
      <c r="F890" s="1">
        <v>43298</v>
      </c>
      <c r="G890" s="158" t="s">
        <v>438</v>
      </c>
      <c r="H890" s="158" t="s">
        <v>439</v>
      </c>
      <c r="I890" s="158" t="s">
        <v>370</v>
      </c>
      <c r="J890" s="158" t="s">
        <v>261</v>
      </c>
      <c r="K890" s="158">
        <v>16</v>
      </c>
      <c r="P890"/>
    </row>
    <row r="891" spans="4:16">
      <c r="D891" s="158" t="s">
        <v>429</v>
      </c>
      <c r="E891" s="158" t="s">
        <v>238</v>
      </c>
      <c r="F891" s="1">
        <v>43321</v>
      </c>
      <c r="G891" s="158" t="s">
        <v>288</v>
      </c>
      <c r="H891" s="158" t="s">
        <v>289</v>
      </c>
      <c r="I891" s="158" t="s">
        <v>290</v>
      </c>
      <c r="J891" s="158" t="s">
        <v>261</v>
      </c>
      <c r="K891" s="158">
        <v>18</v>
      </c>
      <c r="P891"/>
    </row>
    <row r="892" spans="4:16">
      <c r="D892" s="158" t="s">
        <v>429</v>
      </c>
      <c r="E892" s="158" t="s">
        <v>238</v>
      </c>
      <c r="F892" s="1">
        <v>43346</v>
      </c>
      <c r="G892" s="158" t="s">
        <v>389</v>
      </c>
      <c r="H892" s="158" t="s">
        <v>390</v>
      </c>
      <c r="I892" s="158" t="s">
        <v>260</v>
      </c>
      <c r="J892" s="158" t="s">
        <v>261</v>
      </c>
      <c r="K892" s="158">
        <v>18</v>
      </c>
      <c r="P892"/>
    </row>
    <row r="893" spans="4:16">
      <c r="D893" s="158" t="s">
        <v>429</v>
      </c>
      <c r="E893" s="158" t="s">
        <v>238</v>
      </c>
      <c r="F893" s="1">
        <v>43381</v>
      </c>
      <c r="G893" s="158" t="s">
        <v>266</v>
      </c>
      <c r="H893" s="158" t="s">
        <v>267</v>
      </c>
      <c r="I893" s="158" t="s">
        <v>264</v>
      </c>
      <c r="J893" s="158" t="s">
        <v>261</v>
      </c>
      <c r="K893" s="158">
        <v>22</v>
      </c>
      <c r="P893"/>
    </row>
    <row r="894" spans="4:16">
      <c r="D894" s="158" t="s">
        <v>429</v>
      </c>
      <c r="E894" s="158" t="s">
        <v>238</v>
      </c>
      <c r="F894" s="1">
        <v>43409</v>
      </c>
      <c r="G894" s="158" t="s">
        <v>411</v>
      </c>
      <c r="H894" s="158" t="s">
        <v>298</v>
      </c>
      <c r="I894" s="158" t="s">
        <v>299</v>
      </c>
      <c r="J894" s="158" t="s">
        <v>261</v>
      </c>
      <c r="K894" s="158">
        <v>11</v>
      </c>
      <c r="P894"/>
    </row>
    <row r="895" spans="4:16">
      <c r="D895" s="158" t="s">
        <v>615</v>
      </c>
      <c r="E895" s="158" t="s">
        <v>235</v>
      </c>
      <c r="F895" s="1">
        <v>43377</v>
      </c>
      <c r="G895" s="158" t="s">
        <v>265</v>
      </c>
      <c r="H895" s="158" t="s">
        <v>263</v>
      </c>
      <c r="I895" s="158" t="s">
        <v>264</v>
      </c>
      <c r="J895" s="158" t="s">
        <v>261</v>
      </c>
      <c r="K895" s="158">
        <v>0.5</v>
      </c>
      <c r="P895"/>
    </row>
    <row r="896" spans="4:16">
      <c r="D896" s="158" t="s">
        <v>605</v>
      </c>
      <c r="E896" s="158" t="s">
        <v>235</v>
      </c>
      <c r="F896" s="1">
        <v>43283</v>
      </c>
      <c r="G896" s="158" t="s">
        <v>368</v>
      </c>
      <c r="H896" s="158" t="s">
        <v>369</v>
      </c>
      <c r="I896" s="158" t="s">
        <v>370</v>
      </c>
      <c r="J896" s="158" t="s">
        <v>261</v>
      </c>
      <c r="K896" s="158">
        <v>21.5</v>
      </c>
      <c r="P896"/>
    </row>
    <row r="897" spans="4:16">
      <c r="D897" s="158" t="s">
        <v>605</v>
      </c>
      <c r="E897" s="158" t="s">
        <v>235</v>
      </c>
      <c r="F897" s="1">
        <v>43313</v>
      </c>
      <c r="G897" s="158" t="s">
        <v>388</v>
      </c>
      <c r="H897" s="158" t="s">
        <v>387</v>
      </c>
      <c r="I897" s="158" t="s">
        <v>290</v>
      </c>
      <c r="J897" s="158" t="s">
        <v>261</v>
      </c>
      <c r="K897" s="158">
        <v>22</v>
      </c>
      <c r="P897"/>
    </row>
    <row r="898" spans="4:16">
      <c r="D898" s="158" t="s">
        <v>605</v>
      </c>
      <c r="E898" s="158" t="s">
        <v>235</v>
      </c>
      <c r="F898" s="1">
        <v>43346</v>
      </c>
      <c r="G898" s="158" t="s">
        <v>389</v>
      </c>
      <c r="H898" s="158" t="s">
        <v>390</v>
      </c>
      <c r="I898" s="158" t="s">
        <v>260</v>
      </c>
      <c r="J898" s="158" t="s">
        <v>261</v>
      </c>
      <c r="K898" s="158">
        <v>20</v>
      </c>
      <c r="P898"/>
    </row>
    <row r="899" spans="4:16">
      <c r="D899" s="158" t="s">
        <v>605</v>
      </c>
      <c r="E899" s="158" t="s">
        <v>235</v>
      </c>
      <c r="F899" s="1">
        <v>43374</v>
      </c>
      <c r="G899" s="158" t="s">
        <v>392</v>
      </c>
      <c r="H899" s="158" t="s">
        <v>263</v>
      </c>
      <c r="I899" s="158" t="s">
        <v>264</v>
      </c>
      <c r="J899" s="158" t="s">
        <v>261</v>
      </c>
      <c r="K899" s="158">
        <v>23</v>
      </c>
      <c r="P899"/>
    </row>
    <row r="900" spans="4:16">
      <c r="D900" s="158" t="s">
        <v>605</v>
      </c>
      <c r="E900" s="158" t="s">
        <v>235</v>
      </c>
      <c r="F900" s="1">
        <v>43406</v>
      </c>
      <c r="G900" s="158" t="s">
        <v>483</v>
      </c>
      <c r="H900" s="158" t="s">
        <v>465</v>
      </c>
      <c r="I900" s="158" t="s">
        <v>299</v>
      </c>
      <c r="J900" s="158" t="s">
        <v>261</v>
      </c>
      <c r="K900" s="158">
        <v>21</v>
      </c>
      <c r="P900"/>
    </row>
    <row r="901" spans="4:16">
      <c r="D901" s="158" t="s">
        <v>563</v>
      </c>
      <c r="E901" s="158" t="s">
        <v>235</v>
      </c>
      <c r="F901" s="1">
        <v>43124</v>
      </c>
      <c r="G901" s="158" t="s">
        <v>451</v>
      </c>
      <c r="H901" s="158" t="s">
        <v>341</v>
      </c>
      <c r="I901" s="158" t="s">
        <v>282</v>
      </c>
      <c r="J901" s="158" t="s">
        <v>261</v>
      </c>
      <c r="K901" s="158">
        <v>5</v>
      </c>
      <c r="P901"/>
    </row>
    <row r="902" spans="4:16">
      <c r="D902" s="158" t="s">
        <v>563</v>
      </c>
      <c r="E902" s="158" t="s">
        <v>235</v>
      </c>
      <c r="F902" s="1">
        <v>43138</v>
      </c>
      <c r="G902" s="158" t="s">
        <v>317</v>
      </c>
      <c r="H902" s="158" t="s">
        <v>287</v>
      </c>
      <c r="I902" s="158" t="s">
        <v>281</v>
      </c>
      <c r="J902" s="158" t="s">
        <v>261</v>
      </c>
      <c r="K902" s="158">
        <v>15.75</v>
      </c>
      <c r="P902"/>
    </row>
    <row r="903" spans="4:16">
      <c r="D903" s="158" t="s">
        <v>563</v>
      </c>
      <c r="E903" s="158" t="s">
        <v>235</v>
      </c>
      <c r="F903" s="1">
        <v>43179</v>
      </c>
      <c r="G903" s="158" t="s">
        <v>433</v>
      </c>
      <c r="H903" s="158" t="s">
        <v>335</v>
      </c>
      <c r="I903" s="158" t="s">
        <v>284</v>
      </c>
      <c r="J903" s="158" t="s">
        <v>261</v>
      </c>
      <c r="K903" s="158">
        <v>22</v>
      </c>
      <c r="P903"/>
    </row>
    <row r="904" spans="4:16">
      <c r="D904" s="158" t="s">
        <v>563</v>
      </c>
      <c r="E904" s="158" t="s">
        <v>235</v>
      </c>
      <c r="F904" s="1">
        <v>43208</v>
      </c>
      <c r="G904" s="158" t="s">
        <v>346</v>
      </c>
      <c r="H904" s="158" t="s">
        <v>347</v>
      </c>
      <c r="I904" s="158" t="s">
        <v>341</v>
      </c>
      <c r="J904" s="158" t="s">
        <v>261</v>
      </c>
      <c r="K904" s="158">
        <v>20</v>
      </c>
      <c r="P904"/>
    </row>
    <row r="905" spans="4:16">
      <c r="D905" s="158" t="s">
        <v>563</v>
      </c>
      <c r="E905" s="158" t="s">
        <v>235</v>
      </c>
      <c r="F905" s="1">
        <v>43222</v>
      </c>
      <c r="G905" s="158" t="s">
        <v>504</v>
      </c>
      <c r="H905" s="158" t="s">
        <v>505</v>
      </c>
      <c r="I905" s="158" t="s">
        <v>313</v>
      </c>
      <c r="J905" s="158" t="s">
        <v>261</v>
      </c>
      <c r="K905" s="158">
        <v>16</v>
      </c>
      <c r="P905"/>
    </row>
    <row r="906" spans="4:16">
      <c r="D906" s="158" t="s">
        <v>563</v>
      </c>
      <c r="E906" s="158" t="s">
        <v>235</v>
      </c>
      <c r="F906" s="1">
        <v>43277</v>
      </c>
      <c r="G906" s="158" t="s">
        <v>437</v>
      </c>
      <c r="H906" s="158" t="s">
        <v>286</v>
      </c>
      <c r="I906" s="158" t="s">
        <v>287</v>
      </c>
      <c r="J906" s="158" t="s">
        <v>261</v>
      </c>
      <c r="K906" s="158">
        <v>20</v>
      </c>
      <c r="P906"/>
    </row>
    <row r="907" spans="4:16">
      <c r="D907" s="158" t="s">
        <v>563</v>
      </c>
      <c r="E907" s="158" t="s">
        <v>235</v>
      </c>
      <c r="F907" s="1">
        <v>43284</v>
      </c>
      <c r="G907" s="158" t="s">
        <v>485</v>
      </c>
      <c r="H907" s="158" t="s">
        <v>369</v>
      </c>
      <c r="I907" s="158" t="s">
        <v>370</v>
      </c>
      <c r="J907" s="158" t="s">
        <v>261</v>
      </c>
      <c r="K907" s="158">
        <v>21</v>
      </c>
      <c r="P907"/>
    </row>
    <row r="908" spans="4:16">
      <c r="D908" s="158" t="s">
        <v>563</v>
      </c>
      <c r="E908" s="158" t="s">
        <v>235</v>
      </c>
      <c r="F908" s="1">
        <v>43313</v>
      </c>
      <c r="G908" s="158" t="s">
        <v>388</v>
      </c>
      <c r="H908" s="158" t="s">
        <v>387</v>
      </c>
      <c r="I908" s="158" t="s">
        <v>290</v>
      </c>
      <c r="J908" s="158" t="s">
        <v>261</v>
      </c>
      <c r="K908" s="158">
        <v>11</v>
      </c>
      <c r="P908"/>
    </row>
    <row r="909" spans="4:16">
      <c r="D909" s="158" t="s">
        <v>563</v>
      </c>
      <c r="E909" s="158" t="s">
        <v>235</v>
      </c>
      <c r="F909" s="1">
        <v>43346</v>
      </c>
      <c r="G909" s="158" t="s">
        <v>389</v>
      </c>
      <c r="H909" s="158" t="s">
        <v>390</v>
      </c>
      <c r="I909" s="158" t="s">
        <v>260</v>
      </c>
      <c r="J909" s="158" t="s">
        <v>261</v>
      </c>
      <c r="K909" s="158">
        <v>20</v>
      </c>
      <c r="P909"/>
    </row>
    <row r="910" spans="4:16">
      <c r="D910" s="158" t="s">
        <v>563</v>
      </c>
      <c r="E910" s="158" t="s">
        <v>235</v>
      </c>
      <c r="F910" s="1">
        <v>43377</v>
      </c>
      <c r="G910" s="158" t="s">
        <v>265</v>
      </c>
      <c r="H910" s="158" t="s">
        <v>263</v>
      </c>
      <c r="I910" s="158" t="s">
        <v>264</v>
      </c>
      <c r="J910" s="158" t="s">
        <v>261</v>
      </c>
      <c r="K910" s="158">
        <v>21</v>
      </c>
      <c r="P910"/>
    </row>
    <row r="911" spans="4:16">
      <c r="D911" s="158" t="s">
        <v>563</v>
      </c>
      <c r="E911" s="158" t="s">
        <v>235</v>
      </c>
      <c r="F911" s="1">
        <v>43409</v>
      </c>
      <c r="G911" s="158" t="s">
        <v>411</v>
      </c>
      <c r="H911" s="158" t="s">
        <v>298</v>
      </c>
      <c r="I911" s="158" t="s">
        <v>299</v>
      </c>
      <c r="J911" s="158" t="s">
        <v>261</v>
      </c>
      <c r="K911" s="158">
        <v>20</v>
      </c>
      <c r="P911"/>
    </row>
    <row r="912" spans="4:16">
      <c r="D912" s="158" t="s">
        <v>425</v>
      </c>
      <c r="E912" s="158" t="s">
        <v>238</v>
      </c>
      <c r="F912" s="1">
        <v>43129</v>
      </c>
      <c r="G912" s="158" t="s">
        <v>452</v>
      </c>
      <c r="H912" s="158" t="s">
        <v>313</v>
      </c>
      <c r="I912" s="158" t="s">
        <v>282</v>
      </c>
      <c r="J912" s="158" t="s">
        <v>261</v>
      </c>
      <c r="K912" s="158">
        <v>13.45</v>
      </c>
      <c r="P912"/>
    </row>
    <row r="913" spans="4:16">
      <c r="D913" s="158" t="s">
        <v>425</v>
      </c>
      <c r="E913" s="158" t="s">
        <v>237</v>
      </c>
      <c r="F913" s="1">
        <v>43110</v>
      </c>
      <c r="G913" s="158" t="s">
        <v>280</v>
      </c>
      <c r="H913" s="158" t="s">
        <v>281</v>
      </c>
      <c r="I913" s="158" t="s">
        <v>282</v>
      </c>
      <c r="J913" s="158" t="s">
        <v>261</v>
      </c>
      <c r="K913" s="158">
        <v>0.55000000000000004</v>
      </c>
      <c r="P913"/>
    </row>
    <row r="914" spans="4:16">
      <c r="D914" s="158" t="s">
        <v>425</v>
      </c>
      <c r="E914" s="158" t="s">
        <v>238</v>
      </c>
      <c r="F914" s="1">
        <v>43138</v>
      </c>
      <c r="G914" s="158" t="s">
        <v>317</v>
      </c>
      <c r="H914" s="158" t="s">
        <v>287</v>
      </c>
      <c r="I914" s="158" t="s">
        <v>281</v>
      </c>
      <c r="J914" s="158" t="s">
        <v>261</v>
      </c>
      <c r="K914" s="158">
        <v>13.26</v>
      </c>
      <c r="P914"/>
    </row>
    <row r="915" spans="4:16">
      <c r="D915" s="158" t="s">
        <v>425</v>
      </c>
      <c r="E915" s="158" t="s">
        <v>237</v>
      </c>
      <c r="F915" s="1">
        <v>43145</v>
      </c>
      <c r="G915" s="158" t="s">
        <v>432</v>
      </c>
      <c r="H915" s="158" t="s">
        <v>370</v>
      </c>
      <c r="I915" s="158" t="s">
        <v>281</v>
      </c>
      <c r="J915" s="158" t="s">
        <v>261</v>
      </c>
      <c r="K915" s="158">
        <v>2.74</v>
      </c>
      <c r="P915"/>
    </row>
    <row r="916" spans="4:16">
      <c r="D916" s="158" t="s">
        <v>425</v>
      </c>
      <c r="E916" s="158" t="s">
        <v>238</v>
      </c>
      <c r="F916" s="1">
        <v>43172</v>
      </c>
      <c r="G916" s="158" t="s">
        <v>333</v>
      </c>
      <c r="H916" s="158" t="s">
        <v>299</v>
      </c>
      <c r="I916" s="158" t="s">
        <v>284</v>
      </c>
      <c r="J916" s="158" t="s">
        <v>261</v>
      </c>
      <c r="K916" s="158">
        <v>13.9</v>
      </c>
      <c r="P916"/>
    </row>
    <row r="917" spans="4:16">
      <c r="D917" s="158" t="s">
        <v>425</v>
      </c>
      <c r="E917" s="158" t="s">
        <v>237</v>
      </c>
      <c r="F917" s="1">
        <v>43178</v>
      </c>
      <c r="G917" s="158" t="s">
        <v>334</v>
      </c>
      <c r="H917" s="158" t="s">
        <v>335</v>
      </c>
      <c r="I917" s="158" t="s">
        <v>284</v>
      </c>
      <c r="J917" s="158" t="s">
        <v>261</v>
      </c>
      <c r="K917" s="158">
        <v>1.1000000000000001</v>
      </c>
      <c r="P917"/>
    </row>
    <row r="918" spans="4:16">
      <c r="D918" s="158" t="s">
        <v>425</v>
      </c>
      <c r="E918" s="158" t="s">
        <v>238</v>
      </c>
      <c r="F918" s="1">
        <v>43199</v>
      </c>
      <c r="G918" s="158" t="s">
        <v>343</v>
      </c>
      <c r="H918" s="158" t="s">
        <v>344</v>
      </c>
      <c r="I918" s="158" t="s">
        <v>341</v>
      </c>
      <c r="J918" s="158" t="s">
        <v>261</v>
      </c>
      <c r="K918" s="158">
        <v>11.87</v>
      </c>
      <c r="P918"/>
    </row>
    <row r="919" spans="4:16">
      <c r="D919" s="158" t="s">
        <v>425</v>
      </c>
      <c r="E919" s="158" t="s">
        <v>237</v>
      </c>
      <c r="F919" s="1">
        <v>43199</v>
      </c>
      <c r="G919" s="158" t="s">
        <v>343</v>
      </c>
      <c r="H919" s="158" t="s">
        <v>344</v>
      </c>
      <c r="I919" s="158" t="s">
        <v>341</v>
      </c>
      <c r="J919" s="158" t="s">
        <v>261</v>
      </c>
      <c r="K919" s="158">
        <v>1.73</v>
      </c>
      <c r="P919"/>
    </row>
    <row r="920" spans="4:16">
      <c r="D920" s="158" t="s">
        <v>425</v>
      </c>
      <c r="E920" s="158" t="s">
        <v>238</v>
      </c>
      <c r="F920" s="1">
        <v>43235</v>
      </c>
      <c r="G920" s="158" t="s">
        <v>353</v>
      </c>
      <c r="H920" s="158" t="s">
        <v>352</v>
      </c>
      <c r="I920" s="158" t="s">
        <v>313</v>
      </c>
      <c r="J920" s="158" t="s">
        <v>261</v>
      </c>
      <c r="K920" s="158">
        <v>10.5</v>
      </c>
      <c r="P920"/>
    </row>
    <row r="921" spans="4:16">
      <c r="D921" s="158" t="s">
        <v>425</v>
      </c>
      <c r="E921" s="158" t="s">
        <v>238</v>
      </c>
      <c r="F921" s="1">
        <v>43256</v>
      </c>
      <c r="G921" s="158" t="s">
        <v>508</v>
      </c>
      <c r="H921" s="158" t="s">
        <v>359</v>
      </c>
      <c r="I921" s="158" t="s">
        <v>287</v>
      </c>
      <c r="J921" s="158" t="s">
        <v>261</v>
      </c>
      <c r="K921" s="158">
        <v>14.37</v>
      </c>
      <c r="P921"/>
    </row>
    <row r="922" spans="4:16">
      <c r="D922" s="158" t="s">
        <v>425</v>
      </c>
      <c r="E922" s="158" t="s">
        <v>237</v>
      </c>
      <c r="F922" s="1">
        <v>43255</v>
      </c>
      <c r="G922" s="158" t="s">
        <v>454</v>
      </c>
      <c r="H922" s="158" t="s">
        <v>359</v>
      </c>
      <c r="I922" s="158" t="s">
        <v>287</v>
      </c>
      <c r="J922" s="158" t="s">
        <v>261</v>
      </c>
      <c r="K922" s="158">
        <v>0.63</v>
      </c>
      <c r="P922"/>
    </row>
    <row r="923" spans="4:16">
      <c r="D923" s="158" t="s">
        <v>425</v>
      </c>
      <c r="E923" s="158" t="s">
        <v>238</v>
      </c>
      <c r="F923" s="1">
        <v>43292</v>
      </c>
      <c r="G923" s="158" t="s">
        <v>459</v>
      </c>
      <c r="H923" s="158" t="s">
        <v>460</v>
      </c>
      <c r="I923" s="158" t="s">
        <v>370</v>
      </c>
      <c r="J923" s="158" t="s">
        <v>261</v>
      </c>
      <c r="K923" s="158">
        <v>18</v>
      </c>
      <c r="P923"/>
    </row>
    <row r="924" spans="4:16">
      <c r="D924" s="158" t="s">
        <v>425</v>
      </c>
      <c r="E924" s="158" t="s">
        <v>238</v>
      </c>
      <c r="F924" s="1">
        <v>43318</v>
      </c>
      <c r="G924" s="158" t="s">
        <v>469</v>
      </c>
      <c r="H924" s="158" t="s">
        <v>289</v>
      </c>
      <c r="I924" s="158" t="s">
        <v>290</v>
      </c>
      <c r="J924" s="158" t="s">
        <v>261</v>
      </c>
      <c r="K924" s="158">
        <v>6</v>
      </c>
      <c r="P924"/>
    </row>
    <row r="925" spans="4:16">
      <c r="D925" s="158" t="s">
        <v>425</v>
      </c>
      <c r="E925" s="158" t="s">
        <v>238</v>
      </c>
      <c r="F925" s="1">
        <v>43347</v>
      </c>
      <c r="G925" s="158" t="s">
        <v>517</v>
      </c>
      <c r="H925" s="158" t="s">
        <v>390</v>
      </c>
      <c r="I925" s="158" t="s">
        <v>260</v>
      </c>
      <c r="J925" s="158" t="s">
        <v>261</v>
      </c>
      <c r="K925" s="158">
        <v>15</v>
      </c>
      <c r="P925"/>
    </row>
    <row r="926" spans="4:16">
      <c r="D926" s="158" t="s">
        <v>425</v>
      </c>
      <c r="E926" s="158" t="s">
        <v>238</v>
      </c>
      <c r="F926" s="1">
        <v>43374</v>
      </c>
      <c r="G926" s="158" t="s">
        <v>392</v>
      </c>
      <c r="H926" s="158" t="s">
        <v>263</v>
      </c>
      <c r="I926" s="158" t="s">
        <v>264</v>
      </c>
      <c r="J926" s="158" t="s">
        <v>261</v>
      </c>
      <c r="K926" s="158">
        <v>14.77</v>
      </c>
      <c r="P926"/>
    </row>
    <row r="927" spans="4:16">
      <c r="D927" s="158" t="s">
        <v>425</v>
      </c>
      <c r="E927" s="158" t="s">
        <v>237</v>
      </c>
      <c r="F927" s="1">
        <v>43391</v>
      </c>
      <c r="G927" s="158" t="s">
        <v>486</v>
      </c>
      <c r="H927" s="158" t="s">
        <v>396</v>
      </c>
      <c r="I927" s="158" t="s">
        <v>264</v>
      </c>
      <c r="J927" s="158" t="s">
        <v>261</v>
      </c>
      <c r="K927" s="158">
        <v>0.73</v>
      </c>
      <c r="P927"/>
    </row>
    <row r="928" spans="4:16">
      <c r="D928" s="158" t="s">
        <v>425</v>
      </c>
      <c r="E928" s="158" t="s">
        <v>238</v>
      </c>
      <c r="F928" s="1">
        <v>43409</v>
      </c>
      <c r="G928" s="158" t="s">
        <v>411</v>
      </c>
      <c r="H928" s="158" t="s">
        <v>298</v>
      </c>
      <c r="I928" s="158" t="s">
        <v>299</v>
      </c>
      <c r="J928" s="158" t="s">
        <v>261</v>
      </c>
      <c r="K928" s="158">
        <v>11.7</v>
      </c>
      <c r="P928"/>
    </row>
    <row r="929" spans="4:16">
      <c r="D929" s="158" t="s">
        <v>425</v>
      </c>
      <c r="E929" s="158" t="s">
        <v>237</v>
      </c>
      <c r="F929" s="1">
        <v>43418</v>
      </c>
      <c r="G929" s="158" t="s">
        <v>303</v>
      </c>
      <c r="H929" s="158" t="s">
        <v>302</v>
      </c>
      <c r="I929" s="158" t="s">
        <v>299</v>
      </c>
      <c r="J929" s="158" t="s">
        <v>261</v>
      </c>
      <c r="K929" s="158">
        <v>0.8</v>
      </c>
      <c r="P929"/>
    </row>
    <row r="930" spans="4:16">
      <c r="D930" s="158" t="s">
        <v>552</v>
      </c>
      <c r="E930" s="158" t="s">
        <v>235</v>
      </c>
      <c r="F930" s="1">
        <v>43104</v>
      </c>
      <c r="G930" s="158" t="s">
        <v>499</v>
      </c>
      <c r="H930" s="158" t="s">
        <v>282</v>
      </c>
      <c r="I930" s="158" t="s">
        <v>282</v>
      </c>
      <c r="J930" s="158" t="s">
        <v>261</v>
      </c>
      <c r="K930" s="158">
        <v>18.8</v>
      </c>
      <c r="P930"/>
    </row>
    <row r="931" spans="4:16">
      <c r="D931" s="158" t="s">
        <v>552</v>
      </c>
      <c r="E931" s="158" t="s">
        <v>235</v>
      </c>
      <c r="F931" s="1">
        <v>43133</v>
      </c>
      <c r="G931" s="158" t="s">
        <v>314</v>
      </c>
      <c r="H931" s="158" t="s">
        <v>313</v>
      </c>
      <c r="I931" s="158" t="s">
        <v>281</v>
      </c>
      <c r="J931" s="158" t="s">
        <v>261</v>
      </c>
      <c r="K931" s="158">
        <v>19.8</v>
      </c>
      <c r="P931"/>
    </row>
    <row r="932" spans="4:16">
      <c r="D932" s="158" t="s">
        <v>552</v>
      </c>
      <c r="E932" s="158" t="s">
        <v>235</v>
      </c>
      <c r="F932" s="1">
        <v>43161</v>
      </c>
      <c r="G932" s="158" t="s">
        <v>328</v>
      </c>
      <c r="H932" s="158" t="s">
        <v>260</v>
      </c>
      <c r="I932" s="158" t="s">
        <v>284</v>
      </c>
      <c r="J932" s="158" t="s">
        <v>261</v>
      </c>
      <c r="K932" s="158">
        <v>22</v>
      </c>
      <c r="P932"/>
    </row>
    <row r="933" spans="4:16">
      <c r="D933" s="158" t="s">
        <v>552</v>
      </c>
      <c r="E933" s="158" t="s">
        <v>235</v>
      </c>
      <c r="F933" s="1">
        <v>43193</v>
      </c>
      <c r="G933" s="158" t="s">
        <v>383</v>
      </c>
      <c r="H933" s="158" t="s">
        <v>340</v>
      </c>
      <c r="I933" s="158" t="s">
        <v>341</v>
      </c>
      <c r="J933" s="158" t="s">
        <v>261</v>
      </c>
      <c r="K933" s="158">
        <v>19</v>
      </c>
      <c r="P933"/>
    </row>
    <row r="934" spans="4:16">
      <c r="D934" s="158" t="s">
        <v>552</v>
      </c>
      <c r="E934" s="158" t="s">
        <v>235</v>
      </c>
      <c r="F934" s="1">
        <v>43222</v>
      </c>
      <c r="G934" s="158" t="s">
        <v>504</v>
      </c>
      <c r="H934" s="158" t="s">
        <v>505</v>
      </c>
      <c r="I934" s="158" t="s">
        <v>313</v>
      </c>
      <c r="J934" s="158" t="s">
        <v>261</v>
      </c>
      <c r="K934" s="158">
        <v>19</v>
      </c>
      <c r="P934"/>
    </row>
    <row r="935" spans="4:16">
      <c r="D935" s="158" t="s">
        <v>552</v>
      </c>
      <c r="E935" s="158" t="s">
        <v>235</v>
      </c>
      <c r="F935" s="1">
        <v>43255</v>
      </c>
      <c r="G935" s="158" t="s">
        <v>454</v>
      </c>
      <c r="H935" s="158" t="s">
        <v>359</v>
      </c>
      <c r="I935" s="158" t="s">
        <v>287</v>
      </c>
      <c r="J935" s="158" t="s">
        <v>261</v>
      </c>
      <c r="K935" s="158">
        <v>6</v>
      </c>
      <c r="P935"/>
    </row>
    <row r="936" spans="4:16">
      <c r="D936" s="158" t="s">
        <v>552</v>
      </c>
      <c r="E936" s="158" t="s">
        <v>235</v>
      </c>
      <c r="F936" s="1">
        <v>43286</v>
      </c>
      <c r="G936" s="158" t="s">
        <v>530</v>
      </c>
      <c r="H936" s="158" t="s">
        <v>369</v>
      </c>
      <c r="I936" s="158" t="s">
        <v>370</v>
      </c>
      <c r="J936" s="158" t="s">
        <v>261</v>
      </c>
      <c r="K936" s="158">
        <v>20</v>
      </c>
      <c r="P936"/>
    </row>
    <row r="937" spans="4:16">
      <c r="D937" s="158" t="s">
        <v>552</v>
      </c>
      <c r="E937" s="158" t="s">
        <v>235</v>
      </c>
      <c r="F937" s="1">
        <v>43314</v>
      </c>
      <c r="G937" s="158" t="s">
        <v>526</v>
      </c>
      <c r="H937" s="158" t="s">
        <v>387</v>
      </c>
      <c r="I937" s="158" t="s">
        <v>290</v>
      </c>
      <c r="J937" s="158" t="s">
        <v>261</v>
      </c>
      <c r="K937" s="158">
        <v>19</v>
      </c>
      <c r="P937"/>
    </row>
    <row r="938" spans="4:16">
      <c r="D938" s="158" t="s">
        <v>552</v>
      </c>
      <c r="E938" s="158" t="s">
        <v>235</v>
      </c>
      <c r="F938" s="1">
        <v>43354</v>
      </c>
      <c r="G938" s="158" t="s">
        <v>377</v>
      </c>
      <c r="H938" s="158" t="s">
        <v>378</v>
      </c>
      <c r="I938" s="158" t="s">
        <v>260</v>
      </c>
      <c r="J938" s="158" t="s">
        <v>261</v>
      </c>
      <c r="K938" s="158">
        <v>15</v>
      </c>
      <c r="P938"/>
    </row>
    <row r="939" spans="4:16">
      <c r="D939" s="158" t="s">
        <v>552</v>
      </c>
      <c r="E939" s="158" t="s">
        <v>235</v>
      </c>
      <c r="F939" s="1">
        <v>43389</v>
      </c>
      <c r="G939" s="158" t="s">
        <v>397</v>
      </c>
      <c r="H939" s="158" t="s">
        <v>396</v>
      </c>
      <c r="I939" s="158" t="s">
        <v>264</v>
      </c>
      <c r="J939" s="158" t="s">
        <v>261</v>
      </c>
      <c r="K939" s="158">
        <v>23</v>
      </c>
      <c r="P939"/>
    </row>
    <row r="940" spans="4:16">
      <c r="D940" s="158" t="s">
        <v>552</v>
      </c>
      <c r="E940" s="158" t="s">
        <v>235</v>
      </c>
      <c r="F940" s="1">
        <v>43412</v>
      </c>
      <c r="G940" s="158" t="s">
        <v>523</v>
      </c>
      <c r="H940" s="158" t="s">
        <v>298</v>
      </c>
      <c r="I940" s="158" t="s">
        <v>299</v>
      </c>
      <c r="J940" s="158" t="s">
        <v>261</v>
      </c>
      <c r="K940" s="158">
        <v>21</v>
      </c>
      <c r="P940"/>
    </row>
    <row r="941" spans="4:16">
      <c r="D941" s="158" t="s">
        <v>617</v>
      </c>
      <c r="E941" s="158" t="s">
        <v>238</v>
      </c>
      <c r="F941" s="1">
        <v>43381</v>
      </c>
      <c r="G941" s="158" t="s">
        <v>266</v>
      </c>
      <c r="H941" s="158" t="s">
        <v>267</v>
      </c>
      <c r="I941" s="158" t="s">
        <v>264</v>
      </c>
      <c r="J941" s="158" t="s">
        <v>261</v>
      </c>
      <c r="K941" s="158">
        <v>18</v>
      </c>
      <c r="P941"/>
    </row>
    <row r="942" spans="4:16">
      <c r="D942" s="158" t="s">
        <v>617</v>
      </c>
      <c r="E942" s="158" t="s">
        <v>238</v>
      </c>
      <c r="F942" s="1">
        <v>43423</v>
      </c>
      <c r="G942" s="158" t="s">
        <v>415</v>
      </c>
      <c r="H942" s="158" t="s">
        <v>400</v>
      </c>
      <c r="I942" s="158" t="s">
        <v>299</v>
      </c>
      <c r="J942" s="158" t="s">
        <v>261</v>
      </c>
      <c r="K942" s="158">
        <v>21</v>
      </c>
      <c r="P942"/>
    </row>
    <row r="943" spans="4:16">
      <c r="D943" s="158" t="s">
        <v>617</v>
      </c>
      <c r="E943" s="158" t="s">
        <v>238</v>
      </c>
      <c r="F943" s="1">
        <v>43437</v>
      </c>
      <c r="G943" s="158" t="s">
        <v>417</v>
      </c>
      <c r="H943" s="158" t="s">
        <v>418</v>
      </c>
      <c r="I943" s="158" t="s">
        <v>335</v>
      </c>
      <c r="J943" s="158" t="s">
        <v>261</v>
      </c>
      <c r="K943" s="158">
        <v>2.2000000000000002</v>
      </c>
      <c r="P943"/>
    </row>
    <row r="944" spans="4:16">
      <c r="D944" s="158" t="s">
        <v>617</v>
      </c>
      <c r="E944" s="158" t="s">
        <v>237</v>
      </c>
      <c r="F944" s="1">
        <v>43439</v>
      </c>
      <c r="G944" s="158" t="s">
        <v>538</v>
      </c>
      <c r="H944" s="158" t="s">
        <v>418</v>
      </c>
      <c r="I944" s="158" t="s">
        <v>335</v>
      </c>
      <c r="J944" s="158" t="s">
        <v>261</v>
      </c>
      <c r="K944" s="158">
        <v>0.8</v>
      </c>
      <c r="P944"/>
    </row>
    <row r="945" spans="4:16">
      <c r="D945" s="158" t="s">
        <v>548</v>
      </c>
      <c r="E945" s="158" t="s">
        <v>235</v>
      </c>
      <c r="F945" s="1">
        <v>43103</v>
      </c>
      <c r="G945" s="158" t="s">
        <v>498</v>
      </c>
      <c r="H945" s="158" t="s">
        <v>282</v>
      </c>
      <c r="I945" s="158" t="s">
        <v>282</v>
      </c>
      <c r="J945" s="158" t="s">
        <v>261</v>
      </c>
      <c r="K945" s="158">
        <v>15.25</v>
      </c>
      <c r="P945"/>
    </row>
    <row r="946" spans="4:16">
      <c r="D946" s="158" t="s">
        <v>548</v>
      </c>
      <c r="E946" s="158" t="s">
        <v>235</v>
      </c>
      <c r="F946" s="1">
        <v>43137</v>
      </c>
      <c r="G946" s="158" t="s">
        <v>316</v>
      </c>
      <c r="H946" s="158" t="s">
        <v>287</v>
      </c>
      <c r="I946" s="158" t="s">
        <v>281</v>
      </c>
      <c r="J946" s="158" t="s">
        <v>261</v>
      </c>
      <c r="K946" s="158">
        <v>19.25</v>
      </c>
      <c r="P946"/>
    </row>
    <row r="947" spans="4:16">
      <c r="D947" s="158" t="s">
        <v>548</v>
      </c>
      <c r="E947" s="158" t="s">
        <v>235</v>
      </c>
      <c r="F947" s="1">
        <v>43165</v>
      </c>
      <c r="G947" s="158" t="s">
        <v>330</v>
      </c>
      <c r="H947" s="158" t="s">
        <v>264</v>
      </c>
      <c r="I947" s="158" t="s">
        <v>284</v>
      </c>
      <c r="J947" s="158" t="s">
        <v>261</v>
      </c>
      <c r="K947" s="158">
        <v>21</v>
      </c>
      <c r="P947"/>
    </row>
    <row r="948" spans="4:16">
      <c r="D948" s="158" t="s">
        <v>548</v>
      </c>
      <c r="E948" s="158" t="s">
        <v>235</v>
      </c>
      <c r="F948" s="1">
        <v>43195</v>
      </c>
      <c r="G948" s="158" t="s">
        <v>421</v>
      </c>
      <c r="H948" s="158" t="s">
        <v>340</v>
      </c>
      <c r="I948" s="158" t="s">
        <v>341</v>
      </c>
      <c r="J948" s="158" t="s">
        <v>261</v>
      </c>
      <c r="K948" s="158">
        <v>20</v>
      </c>
      <c r="P948"/>
    </row>
    <row r="949" spans="4:16">
      <c r="D949" s="158" t="s">
        <v>548</v>
      </c>
      <c r="E949" s="158" t="s">
        <v>235</v>
      </c>
      <c r="F949" s="1">
        <v>43223</v>
      </c>
      <c r="G949" s="158" t="s">
        <v>528</v>
      </c>
      <c r="H949" s="158" t="s">
        <v>505</v>
      </c>
      <c r="I949" s="158" t="s">
        <v>313</v>
      </c>
      <c r="J949" s="158" t="s">
        <v>261</v>
      </c>
      <c r="K949" s="158">
        <v>6</v>
      </c>
      <c r="P949"/>
    </row>
    <row r="950" spans="4:16">
      <c r="D950" s="158" t="s">
        <v>548</v>
      </c>
      <c r="E950" s="158" t="s">
        <v>235</v>
      </c>
      <c r="F950" s="1">
        <v>43361</v>
      </c>
      <c r="G950" s="158" t="s">
        <v>404</v>
      </c>
      <c r="H950" s="158" t="s">
        <v>405</v>
      </c>
      <c r="I950" s="158" t="s">
        <v>260</v>
      </c>
      <c r="J950" s="158" t="s">
        <v>261</v>
      </c>
      <c r="K950" s="158">
        <v>9</v>
      </c>
      <c r="P950"/>
    </row>
    <row r="951" spans="4:16">
      <c r="D951" s="158" t="s">
        <v>548</v>
      </c>
      <c r="E951" s="158" t="s">
        <v>235</v>
      </c>
      <c r="F951" s="1">
        <v>43396</v>
      </c>
      <c r="G951" s="158" t="s">
        <v>309</v>
      </c>
      <c r="H951" s="158" t="s">
        <v>273</v>
      </c>
      <c r="I951" s="158" t="s">
        <v>264</v>
      </c>
      <c r="J951" s="158" t="s">
        <v>261</v>
      </c>
      <c r="K951" s="158">
        <v>23</v>
      </c>
      <c r="P951"/>
    </row>
    <row r="952" spans="4:16">
      <c r="D952" s="158" t="s">
        <v>548</v>
      </c>
      <c r="E952" s="158" t="s">
        <v>235</v>
      </c>
      <c r="F952" s="1">
        <v>43409</v>
      </c>
      <c r="G952" s="158" t="s">
        <v>411</v>
      </c>
      <c r="H952" s="158" t="s">
        <v>298</v>
      </c>
      <c r="I952" s="158" t="s">
        <v>299</v>
      </c>
      <c r="J952" s="158" t="s">
        <v>261</v>
      </c>
      <c r="K952" s="158">
        <v>20</v>
      </c>
      <c r="P95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A1:J18"/>
  <sheetViews>
    <sheetView zoomScale="130" zoomScaleNormal="130" workbookViewId="0">
      <selection activeCell="D3" sqref="D3"/>
    </sheetView>
  </sheetViews>
  <sheetFormatPr baseColWidth="10" defaultColWidth="11.42578125" defaultRowHeight="15"/>
  <cols>
    <col min="1" max="3" width="11.42578125" style="26"/>
    <col min="4" max="4" width="15.42578125" style="26" bestFit="1" customWidth="1"/>
    <col min="5" max="5" width="11.42578125" style="26"/>
    <col min="6" max="6" width="11.5703125" style="26" bestFit="1" customWidth="1"/>
    <col min="7" max="7" width="11.42578125" style="26"/>
    <col min="8" max="8" width="12.85546875" style="26" customWidth="1"/>
    <col min="9" max="16384" width="11.42578125" style="26"/>
  </cols>
  <sheetData>
    <row r="1" spans="1:10" ht="15.75" thickBot="1"/>
    <row r="2" spans="1:10" ht="45.75" thickBot="1">
      <c r="D2" s="53" t="s">
        <v>48</v>
      </c>
      <c r="F2" s="52" t="s">
        <v>47</v>
      </c>
      <c r="H2" s="51" t="s">
        <v>46</v>
      </c>
    </row>
    <row r="3" spans="1:10" ht="15.75" thickBot="1">
      <c r="A3" s="50" t="s">
        <v>45</v>
      </c>
      <c r="B3" s="49">
        <v>43831</v>
      </c>
      <c r="C3" s="48">
        <v>43861</v>
      </c>
      <c r="D3" s="47">
        <f t="shared" ref="D3:D14" si="0">NETWORKDAYS(B3,C3, $H$3:$H$14)</f>
        <v>22</v>
      </c>
      <c r="H3" s="46">
        <v>43831</v>
      </c>
    </row>
    <row r="4" spans="1:10" ht="15.75" thickBot="1">
      <c r="A4" s="44" t="s">
        <v>44</v>
      </c>
      <c r="B4" s="43">
        <v>43862</v>
      </c>
      <c r="C4" s="42">
        <v>43890</v>
      </c>
      <c r="D4" s="47">
        <f>NETWORKDAYS(B4,C4, $H$3:$H$14)</f>
        <v>20</v>
      </c>
      <c r="H4" s="45">
        <v>43934</v>
      </c>
    </row>
    <row r="5" spans="1:10" ht="15.75" thickBot="1">
      <c r="A5" s="44" t="s">
        <v>18</v>
      </c>
      <c r="B5" s="43">
        <v>43891</v>
      </c>
      <c r="C5" s="42">
        <v>43921</v>
      </c>
      <c r="D5" s="47">
        <f t="shared" si="0"/>
        <v>22</v>
      </c>
      <c r="H5" s="45">
        <v>43952</v>
      </c>
    </row>
    <row r="6" spans="1:10" ht="15.75" thickBot="1">
      <c r="A6" s="44" t="s">
        <v>43</v>
      </c>
      <c r="B6" s="43">
        <v>43922</v>
      </c>
      <c r="C6" s="42">
        <v>43951</v>
      </c>
      <c r="D6" s="47">
        <f t="shared" si="0"/>
        <v>21</v>
      </c>
      <c r="H6" s="45">
        <v>43959</v>
      </c>
    </row>
    <row r="7" spans="1:10" ht="15.75" thickBot="1">
      <c r="A7" s="44" t="s">
        <v>42</v>
      </c>
      <c r="B7" s="43">
        <v>43952</v>
      </c>
      <c r="C7" s="42">
        <v>43982</v>
      </c>
      <c r="D7" s="47">
        <f t="shared" si="0"/>
        <v>18</v>
      </c>
      <c r="H7" s="45">
        <v>43972</v>
      </c>
      <c r="I7" s="1"/>
      <c r="J7" s="1"/>
    </row>
    <row r="8" spans="1:10" ht="15.75" thickBot="1">
      <c r="A8" s="44" t="s">
        <v>41</v>
      </c>
      <c r="B8" s="43">
        <v>43983</v>
      </c>
      <c r="C8" s="42">
        <v>44012</v>
      </c>
      <c r="D8" s="47">
        <f t="shared" si="0"/>
        <v>22</v>
      </c>
      <c r="H8" s="45">
        <v>43252</v>
      </c>
    </row>
    <row r="9" spans="1:10" ht="15.75" thickBot="1">
      <c r="A9" s="44" t="s">
        <v>40</v>
      </c>
      <c r="B9" s="43">
        <v>44013</v>
      </c>
      <c r="C9" s="42">
        <v>44043</v>
      </c>
      <c r="D9" s="47">
        <f t="shared" si="0"/>
        <v>22</v>
      </c>
      <c r="H9" s="45">
        <v>44026</v>
      </c>
    </row>
    <row r="10" spans="1:10" ht="15.75" thickBot="1">
      <c r="A10" s="44" t="s">
        <v>39</v>
      </c>
      <c r="B10" s="43">
        <v>44044</v>
      </c>
      <c r="C10" s="42">
        <v>44074</v>
      </c>
      <c r="D10" s="47">
        <f t="shared" si="0"/>
        <v>21</v>
      </c>
      <c r="H10" s="45">
        <v>44058</v>
      </c>
    </row>
    <row r="11" spans="1:10" ht="15.75" thickBot="1">
      <c r="A11" s="44" t="s">
        <v>38</v>
      </c>
      <c r="B11" s="43">
        <v>44075</v>
      </c>
      <c r="C11" s="42">
        <v>44104</v>
      </c>
      <c r="D11" s="47">
        <f t="shared" si="0"/>
        <v>22</v>
      </c>
      <c r="H11" s="45">
        <v>44136</v>
      </c>
    </row>
    <row r="12" spans="1:10" ht="15.75" thickBot="1">
      <c r="A12" s="44" t="s">
        <v>37</v>
      </c>
      <c r="B12" s="43">
        <v>44105</v>
      </c>
      <c r="C12" s="42">
        <v>44135</v>
      </c>
      <c r="D12" s="47">
        <f t="shared" si="0"/>
        <v>22</v>
      </c>
      <c r="H12" s="45">
        <v>44146</v>
      </c>
    </row>
    <row r="13" spans="1:10" ht="15.75" thickBot="1">
      <c r="A13" s="44" t="s">
        <v>36</v>
      </c>
      <c r="B13" s="43">
        <v>44136</v>
      </c>
      <c r="C13" s="42">
        <v>44165</v>
      </c>
      <c r="D13" s="47">
        <f t="shared" si="0"/>
        <v>20</v>
      </c>
      <c r="H13" s="41">
        <v>44190</v>
      </c>
      <c r="I13" s="1"/>
    </row>
    <row r="14" spans="1:10" ht="15.75" thickBot="1">
      <c r="A14" s="40" t="s">
        <v>35</v>
      </c>
      <c r="B14" s="39">
        <v>44166</v>
      </c>
      <c r="C14" s="38">
        <v>44196</v>
      </c>
      <c r="D14" s="47">
        <f t="shared" si="0"/>
        <v>22</v>
      </c>
      <c r="H14" s="41"/>
    </row>
    <row r="15" spans="1:10" ht="15.75" thickBot="1">
      <c r="H15" s="41"/>
    </row>
    <row r="16" spans="1:10" ht="15.75" thickBot="1">
      <c r="H16" s="41"/>
    </row>
    <row r="17" spans="8:8" ht="15.75" thickBot="1">
      <c r="H17" s="41"/>
    </row>
    <row r="18" spans="8:8" ht="15.75" thickBot="1">
      <c r="H18" s="41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2:S5"/>
  <sheetViews>
    <sheetView zoomScaleNormal="100" workbookViewId="0">
      <selection activeCell="B16" sqref="B16"/>
    </sheetView>
  </sheetViews>
  <sheetFormatPr baseColWidth="10" defaultRowHeight="15"/>
  <cols>
    <col min="1" max="1" width="103.85546875" bestFit="1" customWidth="1"/>
    <col min="2" max="4" width="30.42578125" bestFit="1" customWidth="1"/>
    <col min="5" max="5" width="9.42578125" bestFit="1" customWidth="1"/>
    <col min="6" max="6" width="9.42578125" customWidth="1"/>
    <col min="7" max="18" width="30.140625" customWidth="1"/>
    <col min="19" max="19" width="29.42578125" customWidth="1"/>
  </cols>
  <sheetData>
    <row r="2" spans="1:19">
      <c r="A2" s="174" t="s">
        <v>185</v>
      </c>
      <c r="B2" s="158" t="s">
        <v>204</v>
      </c>
    </row>
    <row r="3" spans="1:19">
      <c r="A3" s="174" t="s">
        <v>52</v>
      </c>
      <c r="B3" s="158" t="s">
        <v>204</v>
      </c>
    </row>
    <row r="5" spans="1:19">
      <c r="A5" s="174" t="s">
        <v>180</v>
      </c>
      <c r="B5" s="174" t="s">
        <v>182</v>
      </c>
      <c r="C5" s="174" t="s">
        <v>71</v>
      </c>
      <c r="D5" s="174" t="s">
        <v>3</v>
      </c>
      <c r="E5" s="174" t="s">
        <v>4</v>
      </c>
      <c r="F5" s="174" t="s">
        <v>6</v>
      </c>
      <c r="G5" s="158" t="s">
        <v>651</v>
      </c>
      <c r="H5" s="158" t="s">
        <v>652</v>
      </c>
      <c r="I5" s="158" t="s">
        <v>653</v>
      </c>
      <c r="J5" s="158" t="s">
        <v>654</v>
      </c>
      <c r="K5" s="158" t="s">
        <v>655</v>
      </c>
      <c r="L5" s="158" t="s">
        <v>656</v>
      </c>
      <c r="M5" s="158" t="s">
        <v>657</v>
      </c>
      <c r="N5" s="158" t="s">
        <v>658</v>
      </c>
      <c r="O5" s="158" t="s">
        <v>659</v>
      </c>
      <c r="P5" s="158" t="s">
        <v>660</v>
      </c>
      <c r="Q5" s="158" t="s">
        <v>661</v>
      </c>
      <c r="R5" s="158" t="s">
        <v>662</v>
      </c>
      <c r="S5" s="158" t="s">
        <v>684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K372"/>
  <sheetViews>
    <sheetView workbookViewId="0">
      <selection activeCell="E19" sqref="E19"/>
    </sheetView>
  </sheetViews>
  <sheetFormatPr baseColWidth="10" defaultRowHeight="15"/>
  <cols>
    <col min="1" max="1" width="1.5703125" style="288" customWidth="1"/>
    <col min="2" max="2" width="19.5703125" style="288" customWidth="1"/>
    <col min="3" max="3" width="44.85546875" style="288" customWidth="1"/>
    <col min="4" max="4" width="22.85546875" style="288" customWidth="1"/>
    <col min="5" max="5" width="15.42578125" style="288" customWidth="1"/>
    <col min="6" max="6" width="13.42578125" style="288" customWidth="1"/>
    <col min="7" max="7" width="12.140625" style="288" customWidth="1"/>
    <col min="8" max="8" width="13.5703125" style="288" customWidth="1"/>
    <col min="9" max="9" width="19.5703125" style="288" customWidth="1"/>
    <col min="10" max="10" width="39.140625" style="288" customWidth="1"/>
    <col min="11" max="11" width="1.5703125" style="288" customWidth="1"/>
  </cols>
  <sheetData>
    <row r="1" spans="1:11">
      <c r="A1" s="287"/>
      <c r="B1" s="571"/>
      <c r="C1" s="571"/>
      <c r="D1" s="571"/>
      <c r="E1" s="571"/>
      <c r="F1" s="571"/>
      <c r="G1" s="571"/>
      <c r="H1" s="571"/>
      <c r="I1" s="571"/>
      <c r="J1" s="571"/>
    </row>
    <row r="2" spans="1:11">
      <c r="A2" s="287"/>
      <c r="B2" s="289"/>
      <c r="C2" s="290"/>
      <c r="D2" s="291"/>
      <c r="E2" s="291"/>
      <c r="F2" s="291"/>
      <c r="G2" s="291"/>
      <c r="H2" s="291"/>
      <c r="I2" s="292"/>
      <c r="J2" s="293"/>
    </row>
    <row r="3" spans="1:11">
      <c r="A3" s="294"/>
      <c r="B3" s="572"/>
      <c r="C3" s="295"/>
      <c r="D3" s="296"/>
      <c r="E3" s="296"/>
      <c r="F3" s="296"/>
      <c r="G3" s="296"/>
      <c r="H3" s="296"/>
      <c r="I3" s="295"/>
      <c r="J3" s="297" t="s">
        <v>663</v>
      </c>
      <c r="K3" s="298"/>
    </row>
    <row r="4" spans="1:11" ht="14.45" customHeight="1">
      <c r="A4" s="294"/>
      <c r="B4" s="572"/>
      <c r="C4" s="573" t="s">
        <v>664</v>
      </c>
      <c r="D4" s="573"/>
      <c r="E4" s="573"/>
      <c r="F4" s="573"/>
      <c r="G4" s="573"/>
      <c r="H4" s="573"/>
      <c r="I4" s="573"/>
      <c r="J4" s="299"/>
      <c r="K4" s="298"/>
    </row>
    <row r="5" spans="1:11" ht="14.45" customHeight="1">
      <c r="A5" s="294"/>
      <c r="B5" s="572"/>
      <c r="C5" s="573"/>
      <c r="D5" s="573"/>
      <c r="E5" s="573"/>
      <c r="F5" s="573"/>
      <c r="G5" s="573"/>
      <c r="H5" s="573"/>
      <c r="I5" s="573"/>
      <c r="J5" s="297" t="s">
        <v>665</v>
      </c>
      <c r="K5" s="298"/>
    </row>
    <row r="6" spans="1:11">
      <c r="A6" s="294"/>
      <c r="B6" s="572"/>
      <c r="C6" s="573"/>
      <c r="D6" s="573"/>
      <c r="E6" s="573"/>
      <c r="F6" s="573"/>
      <c r="G6" s="573"/>
      <c r="H6" s="573"/>
      <c r="I6" s="573"/>
      <c r="J6" s="300"/>
      <c r="K6" s="298"/>
    </row>
    <row r="7" spans="1:11">
      <c r="A7" s="294"/>
      <c r="B7" s="301" t="s">
        <v>666</v>
      </c>
      <c r="C7" s="302"/>
      <c r="D7" s="302"/>
      <c r="E7" s="302"/>
      <c r="F7" s="302"/>
      <c r="G7" s="302"/>
      <c r="H7" s="302"/>
      <c r="I7" s="303" t="s">
        <v>667</v>
      </c>
      <c r="J7" s="304" t="s">
        <v>668</v>
      </c>
      <c r="K7" s="298"/>
    </row>
    <row r="8" spans="1:11">
      <c r="A8" s="287"/>
      <c r="B8" s="574"/>
      <c r="C8" s="574"/>
      <c r="D8" s="574"/>
      <c r="E8" s="574"/>
      <c r="F8" s="574"/>
      <c r="G8" s="574"/>
      <c r="H8" s="574"/>
      <c r="I8" s="574"/>
      <c r="J8" s="574"/>
    </row>
    <row r="9" spans="1:11">
      <c r="A9" s="287"/>
      <c r="B9" s="305" t="s">
        <v>669</v>
      </c>
      <c r="C9" s="306"/>
      <c r="D9" s="305"/>
      <c r="E9" s="305"/>
      <c r="F9" s="305"/>
      <c r="G9" s="305"/>
      <c r="H9" s="307" t="s">
        <v>683</v>
      </c>
      <c r="I9" s="325" t="s">
        <v>631</v>
      </c>
      <c r="J9" s="306"/>
    </row>
    <row r="10" spans="1:11">
      <c r="A10" s="287"/>
      <c r="B10" s="309"/>
      <c r="C10" s="309"/>
      <c r="D10" s="309"/>
      <c r="E10" s="309"/>
      <c r="F10" s="309"/>
      <c r="G10" s="309"/>
      <c r="H10" s="309"/>
      <c r="I10" s="310"/>
      <c r="J10" s="309"/>
    </row>
    <row r="11" spans="1:11">
      <c r="A11" s="287"/>
      <c r="B11" s="305" t="s">
        <v>670</v>
      </c>
      <c r="C11" s="306"/>
      <c r="D11" s="305"/>
      <c r="E11" s="305"/>
      <c r="F11" s="305"/>
      <c r="G11" s="305"/>
      <c r="H11" s="307" t="s">
        <v>671</v>
      </c>
      <c r="I11" s="308"/>
      <c r="J11" s="306"/>
    </row>
    <row r="12" spans="1:11">
      <c r="A12" s="287"/>
      <c r="B12" s="309"/>
      <c r="C12" s="309"/>
      <c r="D12" s="309"/>
      <c r="E12" s="309"/>
      <c r="F12" s="309"/>
      <c r="G12" s="309"/>
      <c r="H12" s="309"/>
      <c r="I12" s="310"/>
      <c r="J12" s="309"/>
    </row>
    <row r="13" spans="1:11">
      <c r="A13" s="287"/>
      <c r="B13" s="305" t="s">
        <v>672</v>
      </c>
      <c r="C13" s="306"/>
      <c r="D13" s="575" t="s">
        <v>673</v>
      </c>
      <c r="E13" s="575"/>
      <c r="F13" s="575"/>
      <c r="G13" s="575"/>
      <c r="H13" s="575"/>
      <c r="I13" s="308"/>
      <c r="J13" s="306"/>
    </row>
    <row r="14" spans="1:11">
      <c r="B14" s="311"/>
      <c r="C14" s="311"/>
      <c r="D14" s="311"/>
      <c r="E14" s="311"/>
      <c r="F14" s="311"/>
      <c r="G14" s="311"/>
      <c r="H14" s="311"/>
      <c r="I14" s="311"/>
      <c r="J14" s="311"/>
    </row>
    <row r="15" spans="1:11" ht="14.45" customHeight="1">
      <c r="B15" s="564" t="s">
        <v>674</v>
      </c>
      <c r="C15" s="564"/>
      <c r="D15" s="564"/>
      <c r="E15" s="564"/>
      <c r="F15" s="564"/>
      <c r="G15" s="564"/>
      <c r="H15" s="564"/>
      <c r="I15" s="564"/>
      <c r="J15" s="564"/>
    </row>
    <row r="16" spans="1:11">
      <c r="B16" s="312"/>
      <c r="C16" s="312"/>
      <c r="D16" s="312"/>
      <c r="E16" s="312"/>
      <c r="F16" s="312"/>
      <c r="G16" s="312"/>
      <c r="H16" s="312"/>
      <c r="I16" s="298"/>
      <c r="J16" s="298"/>
    </row>
    <row r="19" spans="2:10" ht="60">
      <c r="B19" s="313" t="s">
        <v>675</v>
      </c>
      <c r="C19" s="313" t="s">
        <v>676</v>
      </c>
      <c r="D19" s="313" t="s">
        <v>677</v>
      </c>
      <c r="E19" s="313" t="s">
        <v>678</v>
      </c>
      <c r="F19" s="313" t="s">
        <v>679</v>
      </c>
      <c r="G19" s="313" t="s">
        <v>680</v>
      </c>
      <c r="H19" s="313" t="s">
        <v>681</v>
      </c>
      <c r="I19" s="313" t="s">
        <v>682</v>
      </c>
      <c r="J19" s="313"/>
    </row>
    <row r="20" spans="2:10">
      <c r="B20" s="314">
        <f>BL_parametre!A6</f>
        <v>0</v>
      </c>
      <c r="C20" s="314">
        <f>BL_parametre!B6</f>
        <v>0</v>
      </c>
      <c r="D20" s="315">
        <f>BL_parametre!D6</f>
        <v>0</v>
      </c>
      <c r="E20" s="315">
        <f>BL_parametre!E6</f>
        <v>0</v>
      </c>
      <c r="F20" s="324">
        <f>BL_parametre!F6</f>
        <v>0</v>
      </c>
      <c r="G20" s="314" t="e">
        <f>GETPIVOTDATA(CONCATENATE("Nombre de Qté Réception ",$I$9,"/2019"),BL_parametre!$A$5,"Unique_AIB_ID","C000015087-11")</f>
        <v>#REF!</v>
      </c>
      <c r="H20" s="316" t="e">
        <f>GETPIVOTDATA("Somme de Total item réceptionné",BL_parametre!$A$5,"Unique_AIB_ID","C000015087-11")</f>
        <v>#REF!</v>
      </c>
      <c r="I20" s="314"/>
      <c r="J20" s="317"/>
    </row>
    <row r="21" spans="2:10">
      <c r="B21" s="314">
        <f>BL_parametre!A7</f>
        <v>0</v>
      </c>
      <c r="C21" s="314">
        <f>BL_parametre!B7</f>
        <v>0</v>
      </c>
      <c r="D21" s="315">
        <f>BL_parametre!D7</f>
        <v>0</v>
      </c>
      <c r="E21" s="315">
        <f>BL_parametre!E7</f>
        <v>0</v>
      </c>
      <c r="F21" s="324">
        <f>BL_parametre!F7</f>
        <v>0</v>
      </c>
      <c r="G21" s="314" t="e">
        <f>GETPIVOTDATA(CONCATENATE("Nombre de Qté Réception ",$I$9,"/2019"),BL_parametre!$A$5,"Unique_AIB_ID","C000015087-11")</f>
        <v>#REF!</v>
      </c>
      <c r="H21" s="316" t="e">
        <f>GETPIVOTDATA("Somme de Total item réceptionné",BL_parametre!$A$5,"Unique_AIB_ID","C000015087-11")</f>
        <v>#REF!</v>
      </c>
      <c r="I21" s="314"/>
      <c r="J21" s="317"/>
    </row>
    <row r="22" spans="2:10">
      <c r="B22" s="314">
        <f>BL_parametre!A8</f>
        <v>0</v>
      </c>
      <c r="C22" s="314">
        <f>BL_parametre!B8</f>
        <v>0</v>
      </c>
      <c r="D22" s="315">
        <f>BL_parametre!D8</f>
        <v>0</v>
      </c>
      <c r="E22" s="315">
        <f>BL_parametre!E8</f>
        <v>0</v>
      </c>
      <c r="F22" s="324">
        <f>BL_parametre!F8</f>
        <v>0</v>
      </c>
      <c r="G22" s="314" t="e">
        <f>GETPIVOTDATA(CONCATENATE("Nombre de Qté Réception ",$I$9,"/2019"),BL_parametre!$A$5,"Unique_AIB_ID","C000015087-11")</f>
        <v>#REF!</v>
      </c>
      <c r="H22" s="316" t="e">
        <f>GETPIVOTDATA("Somme de Total item réceptionné",BL_parametre!$A$5,"Unique_AIB_ID","C000015087-11")</f>
        <v>#REF!</v>
      </c>
      <c r="I22" s="314"/>
      <c r="J22" s="317"/>
    </row>
    <row r="23" spans="2:10">
      <c r="B23" s="314">
        <f>BL_parametre!A9</f>
        <v>0</v>
      </c>
      <c r="C23" s="314">
        <f>BL_parametre!B9</f>
        <v>0</v>
      </c>
      <c r="D23" s="315">
        <f>BL_parametre!D9</f>
        <v>0</v>
      </c>
      <c r="E23" s="315">
        <f>BL_parametre!E9</f>
        <v>0</v>
      </c>
      <c r="F23" s="324">
        <f>BL_parametre!F9</f>
        <v>0</v>
      </c>
      <c r="G23" s="314" t="e">
        <f>GETPIVOTDATA(CONCATENATE("Nombre de Qté Réception ",$I$9,"/2019"),BL_parametre!$A$5,"Unique_AIB_ID","C000015087-11")</f>
        <v>#REF!</v>
      </c>
      <c r="H23" s="316" t="e">
        <f>GETPIVOTDATA("Somme de Total item réceptionné",BL_parametre!$A$5,"Unique_AIB_ID","C000015087-11")</f>
        <v>#REF!</v>
      </c>
      <c r="I23" s="314"/>
      <c r="J23" s="317"/>
    </row>
    <row r="24" spans="2:10">
      <c r="B24" s="314">
        <f>BL_parametre!A10</f>
        <v>0</v>
      </c>
      <c r="C24" s="314">
        <f>BL_parametre!B10</f>
        <v>0</v>
      </c>
      <c r="D24" s="315">
        <f>BL_parametre!D10</f>
        <v>0</v>
      </c>
      <c r="E24" s="315">
        <f>BL_parametre!E10</f>
        <v>0</v>
      </c>
      <c r="F24" s="324">
        <f>BL_parametre!F10</f>
        <v>0</v>
      </c>
      <c r="G24" s="314" t="e">
        <f>GETPIVOTDATA(CONCATENATE("Nombre de Qté Réception ",$I$9,"/2019"),BL_parametre!$A$5,"Unique_AIB_ID","C000015087-11")</f>
        <v>#REF!</v>
      </c>
      <c r="H24" s="316" t="e">
        <f>GETPIVOTDATA("Somme de Total item réceptionné",BL_parametre!$A$5,"Unique_AIB_ID","C000015087-11")</f>
        <v>#REF!</v>
      </c>
      <c r="I24" s="314"/>
      <c r="J24" s="317"/>
    </row>
    <row r="25" spans="2:10">
      <c r="B25" s="314">
        <f>BL_parametre!A11</f>
        <v>0</v>
      </c>
      <c r="C25" s="314">
        <f>BL_parametre!B11</f>
        <v>0</v>
      </c>
      <c r="D25" s="315">
        <f>BL_parametre!D11</f>
        <v>0</v>
      </c>
      <c r="E25" s="315">
        <f>BL_parametre!E11</f>
        <v>0</v>
      </c>
      <c r="F25" s="324">
        <f>BL_parametre!F11</f>
        <v>0</v>
      </c>
      <c r="G25" s="314" t="e">
        <f>GETPIVOTDATA(CONCATENATE("Nombre de Qté Réception ",$I$9,"/2019"),BL_parametre!$A$5,"Unique_AIB_ID","C000015087-11")</f>
        <v>#REF!</v>
      </c>
      <c r="H25" s="316" t="e">
        <f>GETPIVOTDATA("Somme de Total item réceptionné",BL_parametre!$A$5,"Unique_AIB_ID","C000015087-11")</f>
        <v>#REF!</v>
      </c>
      <c r="I25" s="314"/>
      <c r="J25" s="317"/>
    </row>
    <row r="26" spans="2:10">
      <c r="B26" s="314">
        <f>BL_parametre!A12</f>
        <v>0</v>
      </c>
      <c r="C26" s="314">
        <f>BL_parametre!B12</f>
        <v>0</v>
      </c>
      <c r="D26" s="315">
        <f>BL_parametre!D12</f>
        <v>0</v>
      </c>
      <c r="E26" s="315">
        <f>BL_parametre!E12</f>
        <v>0</v>
      </c>
      <c r="F26" s="324">
        <f>BL_parametre!F12</f>
        <v>0</v>
      </c>
      <c r="G26" s="314" t="e">
        <f>GETPIVOTDATA(CONCATENATE("Nombre de Qté Réception ",$I$9,"/2019"),BL_parametre!$A$5,"Unique_AIB_ID","C000015087-11")</f>
        <v>#REF!</v>
      </c>
      <c r="H26" s="316" t="e">
        <f>GETPIVOTDATA("Somme de Total item réceptionné",BL_parametre!$A$5,"Unique_AIB_ID","C000015087-11")</f>
        <v>#REF!</v>
      </c>
      <c r="I26" s="314"/>
      <c r="J26" s="317"/>
    </row>
    <row r="27" spans="2:10">
      <c r="B27" s="314">
        <f>BL_parametre!A13</f>
        <v>0</v>
      </c>
      <c r="C27" s="314">
        <f>BL_parametre!B13</f>
        <v>0</v>
      </c>
      <c r="D27" s="315">
        <f>BL_parametre!D13</f>
        <v>0</v>
      </c>
      <c r="E27" s="315">
        <f>BL_parametre!E13</f>
        <v>0</v>
      </c>
      <c r="F27" s="324">
        <f>BL_parametre!F13</f>
        <v>0</v>
      </c>
      <c r="G27" s="314" t="e">
        <f>GETPIVOTDATA(CONCATENATE("Nombre de Qté Réception ",$I$9,"/2019"),BL_parametre!$A$5,"Unique_AIB_ID","C000015087-11")</f>
        <v>#REF!</v>
      </c>
      <c r="H27" s="316" t="e">
        <f>GETPIVOTDATA("Somme de Total item réceptionné",BL_parametre!$A$5,"Unique_AIB_ID","C000015087-11")</f>
        <v>#REF!</v>
      </c>
      <c r="I27" s="314"/>
      <c r="J27" s="317"/>
    </row>
    <row r="28" spans="2:10">
      <c r="B28" s="314">
        <f>BL_parametre!A14</f>
        <v>0</v>
      </c>
      <c r="C28" s="314">
        <f>BL_parametre!B14</f>
        <v>0</v>
      </c>
      <c r="D28" s="315">
        <f>BL_parametre!D14</f>
        <v>0</v>
      </c>
      <c r="E28" s="315">
        <f>BL_parametre!E14</f>
        <v>0</v>
      </c>
      <c r="F28" s="324">
        <f>BL_parametre!F14</f>
        <v>0</v>
      </c>
      <c r="G28" s="314" t="e">
        <f>GETPIVOTDATA(CONCATENATE("Nombre de Qté Réception ",$I$9,"/2019"),BL_parametre!$A$5,"Unique_AIB_ID","C000015087-11")</f>
        <v>#REF!</v>
      </c>
      <c r="H28" s="316" t="e">
        <f>GETPIVOTDATA("Somme de Total item réceptionné",BL_parametre!$A$5,"Unique_AIB_ID","C000015087-11")</f>
        <v>#REF!</v>
      </c>
      <c r="I28" s="314"/>
      <c r="J28" s="317"/>
    </row>
    <row r="29" spans="2:10">
      <c r="B29" s="314">
        <f>BL_parametre!A15</f>
        <v>0</v>
      </c>
      <c r="C29" s="314">
        <f>BL_parametre!B15</f>
        <v>0</v>
      </c>
      <c r="D29" s="315">
        <f>BL_parametre!D15</f>
        <v>0</v>
      </c>
      <c r="E29" s="315">
        <f>BL_parametre!E15</f>
        <v>0</v>
      </c>
      <c r="F29" s="324">
        <f>BL_parametre!F15</f>
        <v>0</v>
      </c>
      <c r="G29" s="314" t="e">
        <f>GETPIVOTDATA(CONCATENATE("Nombre de Qté Réception ",$I$9,"/2019"),BL_parametre!$A$5,"Unique_AIB_ID","C000015087-11")</f>
        <v>#REF!</v>
      </c>
      <c r="H29" s="316" t="e">
        <f>GETPIVOTDATA("Somme de Total item réceptionné",BL_parametre!$A$5,"Unique_AIB_ID","C000015087-11")</f>
        <v>#REF!</v>
      </c>
      <c r="I29" s="314"/>
      <c r="J29" s="317"/>
    </row>
    <row r="30" spans="2:10">
      <c r="B30" s="314">
        <f>BL_parametre!A16</f>
        <v>0</v>
      </c>
      <c r="C30" s="314">
        <f>BL_parametre!B16</f>
        <v>0</v>
      </c>
      <c r="D30" s="315">
        <f>BL_parametre!D16</f>
        <v>0</v>
      </c>
      <c r="E30" s="315">
        <f>BL_parametre!E16</f>
        <v>0</v>
      </c>
      <c r="F30" s="324">
        <f>BL_parametre!F16</f>
        <v>0</v>
      </c>
      <c r="G30" s="314" t="e">
        <f>GETPIVOTDATA(CONCATENATE("Nombre de Qté Réception ",$I$9,"/2019"),BL_parametre!$A$5,"Unique_AIB_ID","C000015087-11")</f>
        <v>#REF!</v>
      </c>
      <c r="H30" s="316" t="e">
        <f>GETPIVOTDATA("Somme de Total item réceptionné",BL_parametre!$A$5,"Unique_AIB_ID","C000015087-11")</f>
        <v>#REF!</v>
      </c>
      <c r="I30" s="314"/>
      <c r="J30" s="317"/>
    </row>
    <row r="31" spans="2:10">
      <c r="B31" s="314">
        <f>BL_parametre!A17</f>
        <v>0</v>
      </c>
      <c r="C31" s="314">
        <f>BL_parametre!B17</f>
        <v>0</v>
      </c>
      <c r="D31" s="315">
        <f>BL_parametre!D17</f>
        <v>0</v>
      </c>
      <c r="E31" s="315">
        <f>BL_parametre!E17</f>
        <v>0</v>
      </c>
      <c r="F31" s="324">
        <f>BL_parametre!F17</f>
        <v>0</v>
      </c>
      <c r="G31" s="314" t="e">
        <f>GETPIVOTDATA(CONCATENATE("Nombre de Qté Réception ",$I$9,"/2019"),BL_parametre!$A$5,"Unique_AIB_ID","C000015087-11")</f>
        <v>#REF!</v>
      </c>
      <c r="H31" s="316" t="e">
        <f>GETPIVOTDATA("Somme de Total item réceptionné",BL_parametre!$A$5,"Unique_AIB_ID","C000015087-11")</f>
        <v>#REF!</v>
      </c>
      <c r="I31" s="314"/>
      <c r="J31" s="317"/>
    </row>
    <row r="32" spans="2:10">
      <c r="B32" s="314">
        <f>BL_parametre!A18</f>
        <v>0</v>
      </c>
      <c r="C32" s="314">
        <f>BL_parametre!B18</f>
        <v>0</v>
      </c>
      <c r="D32" s="315">
        <f>BL_parametre!D18</f>
        <v>0</v>
      </c>
      <c r="E32" s="315">
        <f>BL_parametre!E18</f>
        <v>0</v>
      </c>
      <c r="F32" s="324">
        <f>BL_parametre!F18</f>
        <v>0</v>
      </c>
      <c r="G32" s="314" t="e">
        <f>GETPIVOTDATA(CONCATENATE("Nombre de Qté Réception ",$I$9,"/2019"),BL_parametre!$A$5,"Unique_AIB_ID","C000015087-11")</f>
        <v>#REF!</v>
      </c>
      <c r="H32" s="316" t="e">
        <f>GETPIVOTDATA("Somme de Total item réceptionné",BL_parametre!$A$5,"Unique_AIB_ID","C000015087-11")</f>
        <v>#REF!</v>
      </c>
      <c r="I32" s="314"/>
      <c r="J32" s="317"/>
    </row>
    <row r="33" spans="2:10">
      <c r="B33" s="314">
        <f>BL_parametre!A19</f>
        <v>0</v>
      </c>
      <c r="C33" s="314">
        <f>BL_parametre!B19</f>
        <v>0</v>
      </c>
      <c r="D33" s="315">
        <f>BL_parametre!D19</f>
        <v>0</v>
      </c>
      <c r="E33" s="315">
        <f>BL_parametre!E19</f>
        <v>0</v>
      </c>
      <c r="F33" s="324">
        <f>BL_parametre!F19</f>
        <v>0</v>
      </c>
      <c r="G33" s="314" t="e">
        <f>GETPIVOTDATA(CONCATENATE("Nombre de Qté Réception ",$I$9,"/2019"),BL_parametre!$A$5,"Unique_AIB_ID","C000015087-11")</f>
        <v>#REF!</v>
      </c>
      <c r="H33" s="316" t="e">
        <f>GETPIVOTDATA("Somme de Total item réceptionné",BL_parametre!$A$5,"Unique_AIB_ID","C000015087-11")</f>
        <v>#REF!</v>
      </c>
      <c r="I33" s="314"/>
      <c r="J33" s="317"/>
    </row>
    <row r="34" spans="2:10">
      <c r="B34" s="314">
        <f>BL_parametre!A20</f>
        <v>0</v>
      </c>
      <c r="C34" s="314">
        <f>BL_parametre!B20</f>
        <v>0</v>
      </c>
      <c r="D34" s="315">
        <f>BL_parametre!D20</f>
        <v>0</v>
      </c>
      <c r="E34" s="315">
        <f>BL_parametre!E20</f>
        <v>0</v>
      </c>
      <c r="F34" s="324">
        <f>BL_parametre!F20</f>
        <v>0</v>
      </c>
      <c r="G34" s="314" t="e">
        <f>GETPIVOTDATA(CONCATENATE("Nombre de Qté Réception ",$I$9,"/2019"),BL_parametre!$A$5,"Unique_AIB_ID","C000015087-11")</f>
        <v>#REF!</v>
      </c>
      <c r="H34" s="316" t="e">
        <f>GETPIVOTDATA("Somme de Total item réceptionné",BL_parametre!$A$5,"Unique_AIB_ID","C000015087-11")</f>
        <v>#REF!</v>
      </c>
      <c r="I34" s="314"/>
      <c r="J34" s="317"/>
    </row>
    <row r="35" spans="2:10">
      <c r="B35" s="314">
        <f>BL_parametre!A21</f>
        <v>0</v>
      </c>
      <c r="C35" s="314">
        <f>BL_parametre!B21</f>
        <v>0</v>
      </c>
      <c r="D35" s="315">
        <f>BL_parametre!D21</f>
        <v>0</v>
      </c>
      <c r="E35" s="315">
        <f>BL_parametre!E21</f>
        <v>0</v>
      </c>
      <c r="F35" s="324">
        <f>BL_parametre!F21</f>
        <v>0</v>
      </c>
      <c r="G35" s="314" t="e">
        <f>GETPIVOTDATA(CONCATENATE("Nombre de Qté Réception ",$I$9,"/2019"),BL_parametre!$A$5,"Unique_AIB_ID","C000015087-11")</f>
        <v>#REF!</v>
      </c>
      <c r="H35" s="316" t="e">
        <f>GETPIVOTDATA("Somme de Total item réceptionné",BL_parametre!$A$5,"Unique_AIB_ID","C000015087-11")</f>
        <v>#REF!</v>
      </c>
      <c r="I35" s="314"/>
      <c r="J35" s="317"/>
    </row>
    <row r="36" spans="2:10">
      <c r="B36" s="314">
        <f>BL_parametre!A22</f>
        <v>0</v>
      </c>
      <c r="C36" s="314">
        <f>BL_parametre!B22</f>
        <v>0</v>
      </c>
      <c r="D36" s="315">
        <f>BL_parametre!D22</f>
        <v>0</v>
      </c>
      <c r="E36" s="315">
        <f>BL_parametre!E22</f>
        <v>0</v>
      </c>
      <c r="F36" s="324">
        <f>BL_parametre!F22</f>
        <v>0</v>
      </c>
      <c r="G36" s="314" t="e">
        <f>GETPIVOTDATA(CONCATENATE("Nombre de Qté Réception ",$I$9,"/2019"),BL_parametre!$A$5,"Unique_AIB_ID","C000015087-11")</f>
        <v>#REF!</v>
      </c>
      <c r="H36" s="316" t="e">
        <f>GETPIVOTDATA("Somme de Total item réceptionné",BL_parametre!$A$5,"Unique_AIB_ID","C000015087-11")</f>
        <v>#REF!</v>
      </c>
      <c r="I36" s="314"/>
      <c r="J36" s="317"/>
    </row>
    <row r="37" spans="2:10">
      <c r="B37" s="314">
        <f>BL_parametre!A23</f>
        <v>0</v>
      </c>
      <c r="C37" s="314">
        <f>BL_parametre!B23</f>
        <v>0</v>
      </c>
      <c r="D37" s="315">
        <f>BL_parametre!D23</f>
        <v>0</v>
      </c>
      <c r="E37" s="315">
        <f>BL_parametre!E23</f>
        <v>0</v>
      </c>
      <c r="F37" s="324">
        <f>BL_parametre!F23</f>
        <v>0</v>
      </c>
      <c r="G37" s="314" t="e">
        <f>GETPIVOTDATA(CONCATENATE("Nombre de Qté Réception ",$I$9,"/2019"),BL_parametre!$A$5,"Unique_AIB_ID","C000015087-11")</f>
        <v>#REF!</v>
      </c>
      <c r="H37" s="316" t="e">
        <f>GETPIVOTDATA("Somme de Total item réceptionné",BL_parametre!$A$5,"Unique_AIB_ID","C000015087-11")</f>
        <v>#REF!</v>
      </c>
      <c r="I37" s="314"/>
      <c r="J37" s="317"/>
    </row>
    <row r="38" spans="2:10">
      <c r="B38" s="314">
        <f>BL_parametre!A24</f>
        <v>0</v>
      </c>
      <c r="C38" s="314">
        <f>BL_parametre!B24</f>
        <v>0</v>
      </c>
      <c r="D38" s="315">
        <f>BL_parametre!D24</f>
        <v>0</v>
      </c>
      <c r="E38" s="315">
        <f>BL_parametre!E24</f>
        <v>0</v>
      </c>
      <c r="F38" s="324">
        <f>BL_parametre!F24</f>
        <v>0</v>
      </c>
      <c r="G38" s="314" t="e">
        <f>GETPIVOTDATA(CONCATENATE("Nombre de Qté Réception ",$I$9,"/2019"),BL_parametre!$A$5,"Unique_AIB_ID","C000015087-11")</f>
        <v>#REF!</v>
      </c>
      <c r="H38" s="316" t="e">
        <f>GETPIVOTDATA("Somme de Total item réceptionné",BL_parametre!$A$5,"Unique_AIB_ID","C000015087-11")</f>
        <v>#REF!</v>
      </c>
      <c r="I38" s="314"/>
      <c r="J38" s="317"/>
    </row>
    <row r="39" spans="2:10">
      <c r="B39" s="314">
        <f>BL_parametre!A25</f>
        <v>0</v>
      </c>
      <c r="C39" s="314">
        <f>BL_parametre!B25</f>
        <v>0</v>
      </c>
      <c r="D39" s="315">
        <f>BL_parametre!D25</f>
        <v>0</v>
      </c>
      <c r="E39" s="315">
        <f>BL_parametre!E25</f>
        <v>0</v>
      </c>
      <c r="F39" s="324">
        <f>BL_parametre!F25</f>
        <v>0</v>
      </c>
      <c r="G39" s="314" t="e">
        <f>GETPIVOTDATA(CONCATENATE("Nombre de Qté Réception ",$I$9,"/2019"),BL_parametre!$A$5,"Unique_AIB_ID","C000015087-11")</f>
        <v>#REF!</v>
      </c>
      <c r="H39" s="316" t="e">
        <f>GETPIVOTDATA("Somme de Total item réceptionné",BL_parametre!$A$5,"Unique_AIB_ID","C000015087-11")</f>
        <v>#REF!</v>
      </c>
      <c r="I39" s="314"/>
      <c r="J39" s="317"/>
    </row>
    <row r="40" spans="2:10">
      <c r="B40" s="314">
        <f>BL_parametre!A26</f>
        <v>0</v>
      </c>
      <c r="C40" s="314">
        <f>BL_parametre!B26</f>
        <v>0</v>
      </c>
      <c r="D40" s="315">
        <f>BL_parametre!D26</f>
        <v>0</v>
      </c>
      <c r="E40" s="315">
        <f>BL_parametre!E26</f>
        <v>0</v>
      </c>
      <c r="F40" s="324">
        <f>BL_parametre!F26</f>
        <v>0</v>
      </c>
      <c r="G40" s="314" t="e">
        <f>GETPIVOTDATA(CONCATENATE("Nombre de Qté Réception ",$I$9,"/2019"),BL_parametre!$A$5,"Unique_AIB_ID","C000015087-11")</f>
        <v>#REF!</v>
      </c>
      <c r="H40" s="316" t="e">
        <f>GETPIVOTDATA("Somme de Total item réceptionné",BL_parametre!$A$5,"Unique_AIB_ID","C000015087-11")</f>
        <v>#REF!</v>
      </c>
      <c r="I40" s="314"/>
      <c r="J40" s="317"/>
    </row>
    <row r="41" spans="2:10">
      <c r="B41" s="314">
        <f>BL_parametre!A27</f>
        <v>0</v>
      </c>
      <c r="C41" s="314">
        <f>BL_parametre!B27</f>
        <v>0</v>
      </c>
      <c r="D41" s="315">
        <f>BL_parametre!D27</f>
        <v>0</v>
      </c>
      <c r="E41" s="315">
        <f>BL_parametre!E27</f>
        <v>0</v>
      </c>
      <c r="F41" s="324">
        <f>BL_parametre!F27</f>
        <v>0</v>
      </c>
      <c r="G41" s="314" t="e">
        <f>GETPIVOTDATA(CONCATENATE("Nombre de Qté Réception ",$I$9,"/2019"),BL_parametre!$A$5,"Unique_AIB_ID","C000015087-11")</f>
        <v>#REF!</v>
      </c>
      <c r="H41" s="316" t="e">
        <f>GETPIVOTDATA("Somme de Total item réceptionné",BL_parametre!$A$5,"Unique_AIB_ID","C000015087-11")</f>
        <v>#REF!</v>
      </c>
      <c r="I41" s="314"/>
      <c r="J41" s="317"/>
    </row>
    <row r="42" spans="2:10">
      <c r="B42" s="314">
        <f>BL_parametre!A28</f>
        <v>0</v>
      </c>
      <c r="C42" s="314">
        <f>BL_parametre!B28</f>
        <v>0</v>
      </c>
      <c r="D42" s="315">
        <f>BL_parametre!D28</f>
        <v>0</v>
      </c>
      <c r="E42" s="315">
        <f>BL_parametre!E28</f>
        <v>0</v>
      </c>
      <c r="F42" s="324">
        <f>BL_parametre!F28</f>
        <v>0</v>
      </c>
      <c r="G42" s="314" t="e">
        <f>GETPIVOTDATA(CONCATENATE("Nombre de Qté Réception ",$I$9,"/2019"),BL_parametre!$A$5,"Unique_AIB_ID","C000015087-11")</f>
        <v>#REF!</v>
      </c>
      <c r="H42" s="316" t="e">
        <f>GETPIVOTDATA("Somme de Total item réceptionné",BL_parametre!$A$5,"Unique_AIB_ID","C000015087-11")</f>
        <v>#REF!</v>
      </c>
      <c r="I42" s="314"/>
      <c r="J42" s="317"/>
    </row>
    <row r="43" spans="2:10">
      <c r="B43" s="314">
        <f>BL_parametre!A29</f>
        <v>0</v>
      </c>
      <c r="C43" s="314">
        <f>BL_parametre!B29</f>
        <v>0</v>
      </c>
      <c r="D43" s="315">
        <f>BL_parametre!D29</f>
        <v>0</v>
      </c>
      <c r="E43" s="315">
        <f>BL_parametre!E29</f>
        <v>0</v>
      </c>
      <c r="F43" s="324">
        <f>BL_parametre!F29</f>
        <v>0</v>
      </c>
      <c r="G43" s="314" t="e">
        <f>GETPIVOTDATA(CONCATENATE("Nombre de Qté Réception ",$I$9,"/2019"),BL_parametre!$A$5,"Unique_AIB_ID","C000015087-11")</f>
        <v>#REF!</v>
      </c>
      <c r="H43" s="316" t="e">
        <f>GETPIVOTDATA("Somme de Total item réceptionné",BL_parametre!$A$5,"Unique_AIB_ID","C000015087-11")</f>
        <v>#REF!</v>
      </c>
      <c r="I43" s="314"/>
      <c r="J43" s="317"/>
    </row>
    <row r="44" spans="2:10">
      <c r="B44" s="314">
        <f>BL_parametre!A30</f>
        <v>0</v>
      </c>
      <c r="C44" s="314">
        <f>BL_parametre!B30</f>
        <v>0</v>
      </c>
      <c r="D44" s="315">
        <f>BL_parametre!D30</f>
        <v>0</v>
      </c>
      <c r="E44" s="315">
        <f>BL_parametre!E30</f>
        <v>0</v>
      </c>
      <c r="F44" s="324">
        <f>BL_parametre!F30</f>
        <v>0</v>
      </c>
      <c r="G44" s="314" t="e">
        <f>GETPIVOTDATA(CONCATENATE("Nombre de Qté Réception ",$I$9,"/2019"),BL_parametre!$A$5,"Unique_AIB_ID","C000015087-11")</f>
        <v>#REF!</v>
      </c>
      <c r="H44" s="316" t="e">
        <f>GETPIVOTDATA("Somme de Total item réceptionné",BL_parametre!$A$5,"Unique_AIB_ID","C000015087-11")</f>
        <v>#REF!</v>
      </c>
      <c r="I44" s="314"/>
      <c r="J44" s="317"/>
    </row>
    <row r="45" spans="2:10">
      <c r="B45" s="314">
        <f>BL_parametre!A31</f>
        <v>0</v>
      </c>
      <c r="C45" s="314">
        <f>BL_parametre!B31</f>
        <v>0</v>
      </c>
      <c r="D45" s="315">
        <f>BL_parametre!D31</f>
        <v>0</v>
      </c>
      <c r="E45" s="315">
        <f>BL_parametre!E31</f>
        <v>0</v>
      </c>
      <c r="F45" s="324">
        <f>BL_parametre!F31</f>
        <v>0</v>
      </c>
      <c r="G45" s="314" t="e">
        <f>GETPIVOTDATA(CONCATENATE("Nombre de Qté Réception ",$I$9,"/2019"),BL_parametre!$A$5,"Unique_AIB_ID","C000015087-11")</f>
        <v>#REF!</v>
      </c>
      <c r="H45" s="316" t="e">
        <f>GETPIVOTDATA("Somme de Total item réceptionné",BL_parametre!$A$5,"Unique_AIB_ID","C000015087-11")</f>
        <v>#REF!</v>
      </c>
      <c r="I45" s="314"/>
      <c r="J45" s="317"/>
    </row>
    <row r="46" spans="2:10">
      <c r="B46" s="314">
        <f>BL_parametre!A32</f>
        <v>0</v>
      </c>
      <c r="C46" s="314">
        <f>BL_parametre!B32</f>
        <v>0</v>
      </c>
      <c r="D46" s="315">
        <f>BL_parametre!D32</f>
        <v>0</v>
      </c>
      <c r="E46" s="315">
        <f>BL_parametre!E32</f>
        <v>0</v>
      </c>
      <c r="F46" s="324">
        <f>BL_parametre!F32</f>
        <v>0</v>
      </c>
      <c r="G46" s="314" t="e">
        <f>GETPIVOTDATA(CONCATENATE("Nombre de Qté Réception ",$I$9,"/2019"),BL_parametre!$A$5,"Unique_AIB_ID","C000015087-11")</f>
        <v>#REF!</v>
      </c>
      <c r="H46" s="316" t="e">
        <f>GETPIVOTDATA("Somme de Total item réceptionné",BL_parametre!$A$5,"Unique_AIB_ID","C000015087-11")</f>
        <v>#REF!</v>
      </c>
      <c r="I46" s="314"/>
      <c r="J46" s="317"/>
    </row>
    <row r="47" spans="2:10">
      <c r="B47" s="314">
        <f>BL_parametre!A33</f>
        <v>0</v>
      </c>
      <c r="C47" s="314">
        <f>BL_parametre!B33</f>
        <v>0</v>
      </c>
      <c r="D47" s="315">
        <f>BL_parametre!D33</f>
        <v>0</v>
      </c>
      <c r="E47" s="315">
        <f>BL_parametre!E33</f>
        <v>0</v>
      </c>
      <c r="F47" s="324">
        <f>BL_parametre!F33</f>
        <v>0</v>
      </c>
      <c r="G47" s="314" t="e">
        <f>GETPIVOTDATA(CONCATENATE("Nombre de Qté Réception ",$I$9,"/2019"),BL_parametre!$A$5,"Unique_AIB_ID","C000015087-11")</f>
        <v>#REF!</v>
      </c>
      <c r="H47" s="316" t="e">
        <f>GETPIVOTDATA("Somme de Total item réceptionné",BL_parametre!$A$5,"Unique_AIB_ID","C000015087-11")</f>
        <v>#REF!</v>
      </c>
      <c r="I47" s="314"/>
      <c r="J47" s="317"/>
    </row>
    <row r="48" spans="2:10">
      <c r="B48" s="314">
        <f>BL_parametre!A34</f>
        <v>0</v>
      </c>
      <c r="C48" s="314">
        <f>BL_parametre!B34</f>
        <v>0</v>
      </c>
      <c r="D48" s="315">
        <f>BL_parametre!D34</f>
        <v>0</v>
      </c>
      <c r="E48" s="315">
        <f>BL_parametre!E34</f>
        <v>0</v>
      </c>
      <c r="F48" s="324">
        <f>BL_parametre!F34</f>
        <v>0</v>
      </c>
      <c r="G48" s="314" t="e">
        <f>GETPIVOTDATA(CONCATENATE("Nombre de Qté Réception ",$I$9,"/2019"),BL_parametre!$A$5,"Unique_AIB_ID","C000015087-11")</f>
        <v>#REF!</v>
      </c>
      <c r="H48" s="316" t="e">
        <f>GETPIVOTDATA("Somme de Total item réceptionné",BL_parametre!$A$5,"Unique_AIB_ID","C000015087-11")</f>
        <v>#REF!</v>
      </c>
      <c r="I48" s="314"/>
      <c r="J48" s="317"/>
    </row>
    <row r="49" spans="2:10">
      <c r="B49" s="314">
        <f>BL_parametre!A35</f>
        <v>0</v>
      </c>
      <c r="C49" s="314">
        <f>BL_parametre!B35</f>
        <v>0</v>
      </c>
      <c r="D49" s="315">
        <f>BL_parametre!D35</f>
        <v>0</v>
      </c>
      <c r="E49" s="315">
        <f>BL_parametre!E35</f>
        <v>0</v>
      </c>
      <c r="F49" s="324">
        <f>BL_parametre!F35</f>
        <v>0</v>
      </c>
      <c r="G49" s="314" t="e">
        <f>GETPIVOTDATA(CONCATENATE("Nombre de Qté Réception ",$I$9,"/2019"),BL_parametre!$A$5,"Unique_AIB_ID","C000015087-11")</f>
        <v>#REF!</v>
      </c>
      <c r="H49" s="316" t="e">
        <f>GETPIVOTDATA("Somme de Total item réceptionné",BL_parametre!$A$5,"Unique_AIB_ID","C000015087-11")</f>
        <v>#REF!</v>
      </c>
      <c r="I49" s="314"/>
      <c r="J49" s="317"/>
    </row>
    <row r="50" spans="2:10">
      <c r="B50" s="314">
        <f>BL_parametre!A36</f>
        <v>0</v>
      </c>
      <c r="C50" s="314">
        <f>BL_parametre!B36</f>
        <v>0</v>
      </c>
      <c r="D50" s="315">
        <f>BL_parametre!D36</f>
        <v>0</v>
      </c>
      <c r="E50" s="315">
        <f>BL_parametre!E36</f>
        <v>0</v>
      </c>
      <c r="F50" s="324">
        <f>BL_parametre!F36</f>
        <v>0</v>
      </c>
      <c r="G50" s="314" t="e">
        <f>GETPIVOTDATA(CONCATENATE("Nombre de Qté Réception ",$I$9,"/2019"),BL_parametre!$A$5,"Unique_AIB_ID","C000015087-11")</f>
        <v>#REF!</v>
      </c>
      <c r="H50" s="316" t="e">
        <f>GETPIVOTDATA("Somme de Total item réceptionné",BL_parametre!$A$5,"Unique_AIB_ID","C000015087-11")</f>
        <v>#REF!</v>
      </c>
      <c r="I50" s="314"/>
      <c r="J50" s="317"/>
    </row>
    <row r="51" spans="2:10">
      <c r="B51" s="314">
        <f>BL_parametre!A37</f>
        <v>0</v>
      </c>
      <c r="C51" s="314">
        <f>BL_parametre!B37</f>
        <v>0</v>
      </c>
      <c r="D51" s="315">
        <f>BL_parametre!D37</f>
        <v>0</v>
      </c>
      <c r="E51" s="315">
        <f>BL_parametre!E37</f>
        <v>0</v>
      </c>
      <c r="F51" s="324">
        <f>BL_parametre!F37</f>
        <v>0</v>
      </c>
      <c r="G51" s="314" t="e">
        <f>GETPIVOTDATA(CONCATENATE("Nombre de Qté Réception ",$I$9,"/2019"),BL_parametre!$A$5,"Unique_AIB_ID","C000015087-11")</f>
        <v>#REF!</v>
      </c>
      <c r="H51" s="316" t="e">
        <f>GETPIVOTDATA("Somme de Total item réceptionné",BL_parametre!$A$5,"Unique_AIB_ID","C000015087-11")</f>
        <v>#REF!</v>
      </c>
      <c r="I51" s="314"/>
      <c r="J51" s="317"/>
    </row>
    <row r="52" spans="2:10">
      <c r="B52" s="314"/>
      <c r="C52" s="314"/>
      <c r="D52" s="314"/>
      <c r="E52" s="315"/>
      <c r="F52" s="315"/>
      <c r="G52" s="314"/>
      <c r="H52" s="316"/>
      <c r="I52" s="314"/>
      <c r="J52" s="317"/>
    </row>
    <row r="53" spans="2:10">
      <c r="B53" s="314"/>
      <c r="C53" s="314"/>
      <c r="D53" s="314"/>
      <c r="E53" s="315"/>
      <c r="F53" s="315"/>
      <c r="G53" s="314"/>
      <c r="H53" s="316"/>
      <c r="I53" s="314"/>
      <c r="J53" s="317"/>
    </row>
    <row r="54" spans="2:10">
      <c r="B54" s="314"/>
      <c r="C54" s="314"/>
      <c r="D54" s="314"/>
      <c r="E54" s="315"/>
      <c r="F54" s="315"/>
      <c r="G54" s="314"/>
      <c r="H54" s="316"/>
      <c r="I54" s="314"/>
      <c r="J54" s="317"/>
    </row>
    <row r="55" spans="2:10">
      <c r="B55" s="314"/>
      <c r="C55" s="314"/>
      <c r="D55" s="314"/>
      <c r="E55" s="315"/>
      <c r="F55" s="315"/>
      <c r="G55" s="314"/>
      <c r="H55" s="316"/>
      <c r="I55" s="314"/>
      <c r="J55" s="317"/>
    </row>
    <row r="56" spans="2:10">
      <c r="B56" s="314"/>
      <c r="C56" s="314"/>
      <c r="D56" s="314"/>
      <c r="E56" s="315"/>
      <c r="F56" s="315"/>
      <c r="G56" s="314"/>
      <c r="H56" s="316"/>
      <c r="I56" s="314"/>
      <c r="J56" s="317"/>
    </row>
    <row r="57" spans="2:10">
      <c r="B57" s="314"/>
      <c r="C57" s="314"/>
      <c r="D57" s="314"/>
      <c r="E57" s="315"/>
      <c r="F57" s="315"/>
      <c r="G57" s="314"/>
      <c r="H57" s="316"/>
      <c r="I57" s="314"/>
      <c r="J57" s="317"/>
    </row>
    <row r="58" spans="2:10">
      <c r="B58" s="314"/>
      <c r="C58" s="314"/>
      <c r="D58" s="314"/>
      <c r="E58" s="315"/>
      <c r="F58" s="315"/>
      <c r="G58" s="314"/>
      <c r="H58" s="316"/>
      <c r="I58" s="314"/>
      <c r="J58" s="317"/>
    </row>
    <row r="59" spans="2:10">
      <c r="B59" s="314"/>
      <c r="C59" s="314"/>
      <c r="D59" s="314"/>
      <c r="E59" s="315"/>
      <c r="F59" s="315"/>
      <c r="G59" s="314"/>
      <c r="H59" s="316"/>
      <c r="I59" s="314"/>
      <c r="J59" s="317"/>
    </row>
    <row r="60" spans="2:10">
      <c r="B60" s="314"/>
      <c r="C60" s="314"/>
      <c r="D60" s="314"/>
      <c r="E60" s="315"/>
      <c r="F60" s="315"/>
      <c r="G60" s="314"/>
      <c r="H60" s="316"/>
      <c r="I60" s="314"/>
      <c r="J60" s="317"/>
    </row>
    <row r="61" spans="2:10">
      <c r="B61" s="314"/>
      <c r="C61" s="314"/>
      <c r="D61" s="314"/>
      <c r="E61" s="315"/>
      <c r="F61" s="315"/>
      <c r="G61" s="314"/>
      <c r="H61" s="316"/>
      <c r="I61" s="314"/>
      <c r="J61" s="317"/>
    </row>
    <row r="62" spans="2:10">
      <c r="B62" s="314"/>
      <c r="C62" s="314"/>
      <c r="D62" s="314"/>
      <c r="E62" s="315"/>
      <c r="F62" s="315"/>
      <c r="G62" s="314"/>
      <c r="H62" s="316"/>
      <c r="I62" s="314"/>
      <c r="J62" s="317"/>
    </row>
    <row r="63" spans="2:10">
      <c r="B63" s="314"/>
      <c r="C63" s="314"/>
      <c r="D63" s="314"/>
      <c r="E63" s="315"/>
      <c r="F63" s="315"/>
      <c r="G63" s="314"/>
      <c r="H63" s="316"/>
      <c r="I63" s="314"/>
      <c r="J63" s="317"/>
    </row>
    <row r="64" spans="2:10">
      <c r="B64" s="314"/>
      <c r="C64" s="314"/>
      <c r="D64" s="314"/>
      <c r="E64" s="315"/>
      <c r="F64" s="315"/>
      <c r="G64" s="314"/>
      <c r="H64" s="316"/>
      <c r="I64" s="314"/>
      <c r="J64" s="317"/>
    </row>
    <row r="65" spans="2:10">
      <c r="B65" s="314"/>
      <c r="C65" s="314"/>
      <c r="D65" s="314"/>
      <c r="E65" s="315"/>
      <c r="F65" s="315"/>
      <c r="G65" s="314"/>
      <c r="H65" s="316"/>
      <c r="I65" s="314"/>
      <c r="J65" s="317"/>
    </row>
    <row r="66" spans="2:10">
      <c r="B66" s="314"/>
      <c r="C66" s="314"/>
      <c r="D66" s="314"/>
      <c r="E66" s="315"/>
      <c r="F66" s="315"/>
      <c r="G66" s="314"/>
      <c r="H66" s="316"/>
      <c r="I66" s="314"/>
      <c r="J66" s="317"/>
    </row>
    <row r="67" spans="2:10">
      <c r="B67" s="314"/>
      <c r="C67" s="314"/>
      <c r="D67" s="314"/>
      <c r="E67" s="315"/>
      <c r="F67" s="315"/>
      <c r="G67" s="314"/>
      <c r="H67" s="316"/>
      <c r="I67" s="314"/>
      <c r="J67" s="317"/>
    </row>
    <row r="68" spans="2:10">
      <c r="B68" s="314"/>
      <c r="C68" s="314"/>
      <c r="D68" s="314"/>
      <c r="E68" s="315"/>
      <c r="F68" s="315"/>
      <c r="G68" s="314"/>
      <c r="H68" s="316"/>
      <c r="I68" s="314"/>
      <c r="J68" s="317"/>
    </row>
    <row r="69" spans="2:10">
      <c r="B69" s="314"/>
      <c r="C69" s="314"/>
      <c r="D69" s="314"/>
      <c r="E69" s="315"/>
      <c r="F69" s="315"/>
      <c r="G69" s="314"/>
      <c r="H69" s="316"/>
      <c r="I69" s="314"/>
      <c r="J69" s="317"/>
    </row>
    <row r="70" spans="2:10">
      <c r="B70" s="314"/>
      <c r="C70" s="314"/>
      <c r="D70" s="314"/>
      <c r="E70" s="315"/>
      <c r="F70" s="315"/>
      <c r="G70" s="314"/>
      <c r="H70" s="316"/>
      <c r="I70" s="314"/>
      <c r="J70" s="317"/>
    </row>
    <row r="71" spans="2:10">
      <c r="B71" s="314"/>
      <c r="C71" s="314"/>
      <c r="D71" s="314"/>
      <c r="E71" s="315"/>
      <c r="F71" s="315"/>
      <c r="G71" s="314"/>
      <c r="H71" s="316"/>
      <c r="I71" s="314"/>
      <c r="J71" s="317"/>
    </row>
    <row r="72" spans="2:10">
      <c r="B72" s="314"/>
      <c r="C72" s="314"/>
      <c r="D72" s="314"/>
      <c r="E72" s="315"/>
      <c r="F72" s="315"/>
      <c r="G72" s="314"/>
      <c r="H72" s="316"/>
      <c r="I72" s="314"/>
      <c r="J72" s="317"/>
    </row>
    <row r="73" spans="2:10">
      <c r="B73" s="314"/>
      <c r="C73" s="314"/>
      <c r="D73" s="314"/>
      <c r="E73" s="315"/>
      <c r="F73" s="315"/>
      <c r="G73" s="314"/>
      <c r="H73" s="316"/>
      <c r="I73" s="314"/>
      <c r="J73" s="317"/>
    </row>
    <row r="74" spans="2:10">
      <c r="B74" s="314"/>
      <c r="C74" s="314"/>
      <c r="D74" s="314"/>
      <c r="E74" s="315"/>
      <c r="F74" s="315"/>
      <c r="G74" s="314"/>
      <c r="H74" s="316"/>
      <c r="I74" s="314"/>
      <c r="J74" s="317"/>
    </row>
    <row r="75" spans="2:10">
      <c r="B75" s="314"/>
      <c r="C75" s="314"/>
      <c r="D75" s="314"/>
      <c r="E75" s="315"/>
      <c r="F75" s="315"/>
      <c r="G75" s="314"/>
      <c r="H75" s="316"/>
      <c r="I75" s="314"/>
      <c r="J75" s="317"/>
    </row>
    <row r="76" spans="2:10">
      <c r="B76" s="314"/>
      <c r="C76" s="314"/>
      <c r="D76" s="314"/>
      <c r="E76" s="315"/>
      <c r="F76" s="315"/>
      <c r="G76" s="314"/>
      <c r="H76" s="316"/>
      <c r="I76" s="314"/>
      <c r="J76" s="317"/>
    </row>
    <row r="77" spans="2:10">
      <c r="B77" s="314"/>
      <c r="C77" s="314"/>
      <c r="D77" s="314"/>
      <c r="E77" s="315"/>
      <c r="F77" s="315"/>
      <c r="G77" s="314"/>
      <c r="H77" s="316"/>
      <c r="I77" s="314"/>
      <c r="J77" s="317"/>
    </row>
    <row r="78" spans="2:10">
      <c r="B78" s="314"/>
      <c r="C78" s="314"/>
      <c r="D78" s="314"/>
      <c r="E78" s="315"/>
      <c r="F78" s="315"/>
      <c r="G78" s="314"/>
      <c r="H78" s="316"/>
      <c r="I78" s="314"/>
      <c r="J78" s="317"/>
    </row>
    <row r="79" spans="2:10">
      <c r="B79" s="314"/>
      <c r="C79" s="314"/>
      <c r="D79" s="314"/>
      <c r="E79" s="315"/>
      <c r="F79" s="315"/>
      <c r="G79" s="314"/>
      <c r="H79" s="316"/>
      <c r="I79" s="314"/>
      <c r="J79" s="317"/>
    </row>
    <row r="80" spans="2:10">
      <c r="B80" s="314"/>
      <c r="C80" s="314"/>
      <c r="D80" s="314"/>
      <c r="E80" s="315"/>
      <c r="F80" s="315"/>
      <c r="G80" s="314"/>
      <c r="H80" s="316"/>
      <c r="I80" s="314"/>
      <c r="J80" s="317"/>
    </row>
    <row r="81" spans="2:10">
      <c r="B81" s="314"/>
      <c r="C81" s="314"/>
      <c r="D81" s="314"/>
      <c r="E81" s="315"/>
      <c r="F81" s="315"/>
      <c r="G81" s="314"/>
      <c r="H81" s="316"/>
      <c r="I81" s="314"/>
      <c r="J81" s="317"/>
    </row>
    <row r="82" spans="2:10">
      <c r="B82" s="314"/>
      <c r="C82" s="314"/>
      <c r="D82" s="314"/>
      <c r="E82" s="315"/>
      <c r="F82" s="315"/>
      <c r="G82" s="314"/>
      <c r="H82" s="316"/>
      <c r="I82" s="314"/>
      <c r="J82" s="317"/>
    </row>
    <row r="83" spans="2:10">
      <c r="B83" s="314"/>
      <c r="C83" s="314"/>
      <c r="D83" s="314"/>
      <c r="E83" s="315"/>
      <c r="F83" s="315"/>
      <c r="G83" s="314"/>
      <c r="H83" s="316"/>
      <c r="I83" s="314"/>
      <c r="J83" s="317"/>
    </row>
    <row r="84" spans="2:10">
      <c r="B84" s="314"/>
      <c r="C84" s="314"/>
      <c r="D84" s="314"/>
      <c r="E84" s="315"/>
      <c r="F84" s="315"/>
      <c r="G84" s="314"/>
      <c r="H84" s="316"/>
      <c r="I84" s="314"/>
      <c r="J84" s="317"/>
    </row>
    <row r="85" spans="2:10">
      <c r="B85" s="314"/>
      <c r="C85" s="314"/>
      <c r="D85" s="314"/>
      <c r="E85" s="315"/>
      <c r="F85" s="315"/>
      <c r="G85" s="314"/>
      <c r="H85" s="316"/>
      <c r="I85" s="314"/>
      <c r="J85" s="317"/>
    </row>
    <row r="86" spans="2:10">
      <c r="B86" s="314"/>
      <c r="C86" s="314"/>
      <c r="D86" s="314"/>
      <c r="E86" s="315"/>
      <c r="F86" s="315"/>
      <c r="G86" s="314"/>
      <c r="H86" s="316"/>
      <c r="I86" s="314"/>
      <c r="J86" s="317"/>
    </row>
    <row r="87" spans="2:10">
      <c r="B87" s="314"/>
      <c r="C87" s="314"/>
      <c r="D87" s="314"/>
      <c r="E87" s="315"/>
      <c r="F87" s="315"/>
      <c r="G87" s="314"/>
      <c r="H87" s="316"/>
      <c r="I87" s="314"/>
      <c r="J87" s="317"/>
    </row>
    <row r="88" spans="2:10">
      <c r="B88" s="314"/>
      <c r="C88" s="314"/>
      <c r="D88" s="314"/>
      <c r="E88" s="315"/>
      <c r="F88" s="315"/>
      <c r="G88" s="314"/>
      <c r="H88" s="316"/>
      <c r="I88" s="314"/>
      <c r="J88" s="317"/>
    </row>
    <row r="89" spans="2:10">
      <c r="B89" s="314"/>
      <c r="C89" s="314"/>
      <c r="D89" s="314"/>
      <c r="E89" s="315"/>
      <c r="F89" s="315"/>
      <c r="G89" s="314"/>
      <c r="H89" s="316"/>
      <c r="I89" s="314"/>
      <c r="J89" s="317"/>
    </row>
    <row r="90" spans="2:10">
      <c r="B90" s="314"/>
      <c r="C90" s="314"/>
      <c r="D90" s="314"/>
      <c r="E90" s="315"/>
      <c r="F90" s="315"/>
      <c r="G90" s="314"/>
      <c r="H90" s="316"/>
      <c r="I90" s="314"/>
      <c r="J90" s="317"/>
    </row>
    <row r="91" spans="2:10">
      <c r="B91" s="314"/>
      <c r="C91" s="314"/>
      <c r="D91" s="314"/>
      <c r="E91" s="315"/>
      <c r="F91" s="315"/>
      <c r="G91" s="314"/>
      <c r="H91" s="316"/>
      <c r="I91" s="314"/>
      <c r="J91" s="317"/>
    </row>
    <row r="92" spans="2:10">
      <c r="B92" s="314"/>
      <c r="C92" s="314"/>
      <c r="D92" s="314"/>
      <c r="E92" s="315"/>
      <c r="F92" s="315"/>
      <c r="G92" s="314"/>
      <c r="H92" s="316"/>
      <c r="I92" s="314"/>
      <c r="J92" s="317"/>
    </row>
    <row r="93" spans="2:10">
      <c r="B93" s="314"/>
      <c r="C93" s="314"/>
      <c r="D93" s="314"/>
      <c r="E93" s="315"/>
      <c r="F93" s="315"/>
      <c r="G93" s="314"/>
      <c r="H93" s="316"/>
      <c r="I93" s="314"/>
      <c r="J93" s="317"/>
    </row>
    <row r="94" spans="2:10">
      <c r="B94" s="314"/>
      <c r="C94" s="314"/>
      <c r="D94" s="314"/>
      <c r="E94" s="315"/>
      <c r="F94" s="315"/>
      <c r="G94" s="314"/>
      <c r="H94" s="316"/>
      <c r="I94" s="314"/>
      <c r="J94" s="317"/>
    </row>
    <row r="95" spans="2:10">
      <c r="B95" s="314"/>
      <c r="C95" s="314"/>
      <c r="D95" s="314"/>
      <c r="E95" s="315"/>
      <c r="F95" s="315"/>
      <c r="G95" s="314"/>
      <c r="H95" s="316"/>
      <c r="I95" s="314"/>
      <c r="J95" s="317"/>
    </row>
    <row r="96" spans="2:10">
      <c r="B96" s="314"/>
      <c r="C96" s="314"/>
      <c r="D96" s="314"/>
      <c r="E96" s="315"/>
      <c r="F96" s="315"/>
      <c r="G96" s="314"/>
      <c r="H96" s="316"/>
      <c r="I96" s="314"/>
      <c r="J96" s="317"/>
    </row>
    <row r="97" spans="2:10">
      <c r="B97" s="314"/>
      <c r="C97" s="314"/>
      <c r="D97" s="314"/>
      <c r="E97" s="315"/>
      <c r="F97" s="315"/>
      <c r="G97" s="314"/>
      <c r="H97" s="316"/>
      <c r="I97" s="314"/>
      <c r="J97" s="317"/>
    </row>
    <row r="98" spans="2:10">
      <c r="B98" s="314"/>
      <c r="C98" s="314"/>
      <c r="D98" s="314"/>
      <c r="E98" s="315"/>
      <c r="F98" s="315"/>
      <c r="G98" s="314"/>
      <c r="H98" s="316"/>
      <c r="I98" s="314"/>
      <c r="J98" s="317"/>
    </row>
    <row r="99" spans="2:10">
      <c r="B99" s="314"/>
      <c r="C99" s="314"/>
      <c r="D99" s="314"/>
      <c r="E99" s="315"/>
      <c r="F99" s="315"/>
      <c r="G99" s="314"/>
      <c r="H99" s="316"/>
      <c r="I99" s="314"/>
      <c r="J99" s="317"/>
    </row>
    <row r="100" spans="2:10">
      <c r="B100" s="314"/>
      <c r="C100" s="314"/>
      <c r="D100" s="314"/>
      <c r="E100" s="315"/>
      <c r="F100" s="315"/>
      <c r="G100" s="314"/>
      <c r="H100" s="316"/>
      <c r="I100" s="314"/>
      <c r="J100" s="317"/>
    </row>
    <row r="101" spans="2:10">
      <c r="B101" s="314"/>
      <c r="C101" s="314"/>
      <c r="D101" s="314"/>
      <c r="E101" s="315"/>
      <c r="F101" s="315"/>
      <c r="G101" s="314"/>
      <c r="H101" s="316"/>
      <c r="I101" s="314"/>
      <c r="J101" s="317"/>
    </row>
    <row r="102" spans="2:10">
      <c r="B102" s="314"/>
      <c r="C102" s="314"/>
      <c r="D102" s="314"/>
      <c r="E102" s="315"/>
      <c r="F102" s="315"/>
      <c r="G102" s="314"/>
      <c r="H102" s="316"/>
      <c r="I102" s="314"/>
      <c r="J102" s="317"/>
    </row>
    <row r="103" spans="2:10">
      <c r="B103" s="314"/>
      <c r="C103" s="314"/>
      <c r="D103" s="314"/>
      <c r="E103" s="315"/>
      <c r="F103" s="315"/>
      <c r="G103" s="314"/>
      <c r="H103" s="316"/>
      <c r="I103" s="314"/>
      <c r="J103" s="317"/>
    </row>
    <row r="104" spans="2:10">
      <c r="B104" s="314"/>
      <c r="C104" s="314"/>
      <c r="D104" s="314"/>
      <c r="E104" s="315"/>
      <c r="F104" s="315"/>
      <c r="G104" s="314"/>
      <c r="H104" s="316"/>
      <c r="I104" s="314"/>
      <c r="J104" s="317"/>
    </row>
    <row r="105" spans="2:10">
      <c r="B105" s="314"/>
      <c r="C105" s="314"/>
      <c r="D105" s="314"/>
      <c r="E105" s="315"/>
      <c r="F105" s="315"/>
      <c r="G105" s="314"/>
      <c r="H105" s="316"/>
      <c r="I105" s="314"/>
      <c r="J105" s="317"/>
    </row>
    <row r="106" spans="2:10">
      <c r="B106" s="314"/>
      <c r="C106" s="314"/>
      <c r="D106" s="314"/>
      <c r="E106" s="315"/>
      <c r="F106" s="315"/>
      <c r="G106" s="314"/>
      <c r="H106" s="316"/>
      <c r="I106" s="314"/>
      <c r="J106" s="317"/>
    </row>
    <row r="107" spans="2:10">
      <c r="B107" s="314"/>
      <c r="C107" s="314"/>
      <c r="D107" s="314"/>
      <c r="E107" s="315"/>
      <c r="F107" s="315"/>
      <c r="G107" s="314"/>
      <c r="H107" s="316"/>
      <c r="I107" s="314"/>
      <c r="J107" s="317"/>
    </row>
    <row r="108" spans="2:10">
      <c r="B108" s="314"/>
      <c r="C108" s="314"/>
      <c r="D108" s="314"/>
      <c r="E108" s="315"/>
      <c r="F108" s="315"/>
      <c r="G108" s="314"/>
      <c r="H108" s="316"/>
      <c r="I108" s="314"/>
      <c r="J108" s="317"/>
    </row>
    <row r="109" spans="2:10">
      <c r="B109" s="314"/>
      <c r="C109" s="314"/>
      <c r="D109" s="314"/>
      <c r="E109" s="315"/>
      <c r="F109" s="315"/>
      <c r="G109" s="314"/>
      <c r="H109" s="316"/>
      <c r="I109" s="314"/>
      <c r="J109" s="317"/>
    </row>
    <row r="110" spans="2:10">
      <c r="B110" s="314"/>
      <c r="C110" s="314"/>
      <c r="D110" s="314"/>
      <c r="E110" s="315"/>
      <c r="F110" s="315"/>
      <c r="G110" s="314"/>
      <c r="H110" s="316"/>
      <c r="I110" s="314"/>
      <c r="J110" s="317"/>
    </row>
    <row r="111" spans="2:10">
      <c r="B111" s="314"/>
      <c r="C111" s="314"/>
      <c r="D111" s="314"/>
      <c r="E111" s="315"/>
      <c r="F111" s="315"/>
      <c r="G111" s="314"/>
      <c r="H111" s="316"/>
      <c r="I111" s="314"/>
      <c r="J111" s="317"/>
    </row>
    <row r="112" spans="2:10">
      <c r="B112" s="314"/>
      <c r="C112" s="314"/>
      <c r="D112" s="314"/>
      <c r="E112" s="315"/>
      <c r="F112" s="315"/>
      <c r="G112" s="314"/>
      <c r="H112" s="316"/>
      <c r="I112" s="314"/>
      <c r="J112" s="317"/>
    </row>
    <row r="113" spans="2:10">
      <c r="B113" s="314"/>
      <c r="C113" s="314"/>
      <c r="D113" s="314"/>
      <c r="E113" s="315"/>
      <c r="F113" s="315"/>
      <c r="G113" s="314"/>
      <c r="H113" s="316"/>
      <c r="I113" s="314"/>
      <c r="J113" s="317"/>
    </row>
    <row r="114" spans="2:10">
      <c r="B114" s="314"/>
      <c r="C114" s="314"/>
      <c r="D114" s="314"/>
      <c r="E114" s="315"/>
      <c r="F114" s="315"/>
      <c r="G114" s="314"/>
      <c r="H114" s="316"/>
      <c r="I114" s="314"/>
      <c r="J114" s="317"/>
    </row>
    <row r="115" spans="2:10">
      <c r="B115" s="314"/>
      <c r="C115" s="314"/>
      <c r="D115" s="314"/>
      <c r="E115" s="315"/>
      <c r="F115" s="315"/>
      <c r="G115" s="314"/>
      <c r="H115" s="316"/>
      <c r="I115" s="314"/>
      <c r="J115" s="317"/>
    </row>
    <row r="116" spans="2:10">
      <c r="B116" s="314"/>
      <c r="C116" s="314"/>
      <c r="D116" s="314"/>
      <c r="E116" s="315"/>
      <c r="F116" s="315"/>
      <c r="G116" s="314"/>
      <c r="H116" s="316"/>
      <c r="I116" s="314"/>
      <c r="J116" s="317"/>
    </row>
    <row r="117" spans="2:10">
      <c r="B117" s="314"/>
      <c r="C117" s="314"/>
      <c r="D117" s="314"/>
      <c r="E117" s="315"/>
      <c r="F117" s="315"/>
      <c r="G117" s="314"/>
      <c r="H117" s="316"/>
      <c r="I117" s="314"/>
      <c r="J117" s="317"/>
    </row>
    <row r="118" spans="2:10">
      <c r="B118" s="314"/>
      <c r="C118" s="314"/>
      <c r="D118" s="314"/>
      <c r="E118" s="315"/>
      <c r="F118" s="315"/>
      <c r="G118" s="314"/>
      <c r="H118" s="316"/>
      <c r="I118" s="314"/>
      <c r="J118" s="317"/>
    </row>
    <row r="119" spans="2:10">
      <c r="B119" s="314"/>
      <c r="C119" s="314"/>
      <c r="D119" s="314"/>
      <c r="E119" s="315"/>
      <c r="F119" s="315"/>
      <c r="G119" s="314"/>
      <c r="H119" s="316"/>
      <c r="I119" s="314"/>
      <c r="J119" s="317"/>
    </row>
    <row r="120" spans="2:10">
      <c r="B120" s="314"/>
      <c r="C120" s="314"/>
      <c r="D120" s="314"/>
      <c r="E120" s="315"/>
      <c r="F120" s="315"/>
      <c r="G120" s="314"/>
      <c r="H120" s="316"/>
      <c r="I120" s="314"/>
      <c r="J120" s="317"/>
    </row>
    <row r="121" spans="2:10">
      <c r="B121" s="314"/>
      <c r="C121" s="314"/>
      <c r="D121" s="314"/>
      <c r="E121" s="315"/>
      <c r="F121" s="315"/>
      <c r="G121" s="314"/>
      <c r="H121" s="316"/>
      <c r="I121" s="314"/>
      <c r="J121" s="317"/>
    </row>
    <row r="122" spans="2:10">
      <c r="B122" s="314"/>
      <c r="C122" s="314"/>
      <c r="D122" s="314"/>
      <c r="E122" s="315"/>
      <c r="F122" s="315"/>
      <c r="G122" s="314"/>
      <c r="H122" s="316"/>
      <c r="I122" s="314"/>
      <c r="J122" s="317"/>
    </row>
    <row r="123" spans="2:10">
      <c r="B123" s="314"/>
      <c r="C123" s="314"/>
      <c r="D123" s="314"/>
      <c r="E123" s="315"/>
      <c r="F123" s="315"/>
      <c r="G123" s="314"/>
      <c r="H123" s="316"/>
      <c r="I123" s="314"/>
      <c r="J123" s="317"/>
    </row>
    <row r="124" spans="2:10">
      <c r="B124" s="314"/>
      <c r="C124" s="314"/>
      <c r="D124" s="314"/>
      <c r="E124" s="315"/>
      <c r="F124" s="315"/>
      <c r="G124" s="314"/>
      <c r="H124" s="316"/>
      <c r="I124" s="314"/>
      <c r="J124" s="317"/>
    </row>
    <row r="125" spans="2:10">
      <c r="B125" s="314"/>
      <c r="C125" s="314"/>
      <c r="D125" s="314"/>
      <c r="E125" s="315"/>
      <c r="F125" s="315"/>
      <c r="G125" s="314"/>
      <c r="H125" s="316"/>
      <c r="I125" s="314"/>
      <c r="J125" s="317"/>
    </row>
    <row r="126" spans="2:10">
      <c r="B126" s="314"/>
      <c r="C126" s="314"/>
      <c r="D126" s="314"/>
      <c r="E126" s="315"/>
      <c r="F126" s="315"/>
      <c r="G126" s="314"/>
      <c r="H126" s="316"/>
      <c r="I126" s="314"/>
      <c r="J126" s="317"/>
    </row>
    <row r="127" spans="2:10">
      <c r="B127" s="314"/>
      <c r="C127" s="314"/>
      <c r="D127" s="314"/>
      <c r="E127" s="315"/>
      <c r="F127" s="315"/>
      <c r="G127" s="314"/>
      <c r="H127" s="316"/>
      <c r="I127" s="314"/>
      <c r="J127" s="317"/>
    </row>
    <row r="128" spans="2:10">
      <c r="B128" s="314"/>
      <c r="C128" s="314"/>
      <c r="D128" s="314"/>
      <c r="E128" s="315"/>
      <c r="F128" s="315"/>
      <c r="G128" s="314"/>
      <c r="H128" s="316"/>
      <c r="I128" s="314"/>
      <c r="J128" s="317"/>
    </row>
    <row r="129" spans="2:10">
      <c r="B129" s="314"/>
      <c r="C129" s="314"/>
      <c r="D129" s="314"/>
      <c r="E129" s="315"/>
      <c r="F129" s="315"/>
      <c r="G129" s="314"/>
      <c r="H129" s="316"/>
      <c r="I129" s="314"/>
      <c r="J129" s="317"/>
    </row>
    <row r="130" spans="2:10">
      <c r="B130" s="314"/>
      <c r="C130" s="314"/>
      <c r="D130" s="314"/>
      <c r="E130" s="315"/>
      <c r="F130" s="315"/>
      <c r="G130" s="314"/>
      <c r="H130" s="316"/>
      <c r="I130" s="314"/>
      <c r="J130" s="317"/>
    </row>
    <row r="131" spans="2:10">
      <c r="B131" s="314"/>
      <c r="C131" s="314"/>
      <c r="D131" s="314"/>
      <c r="E131" s="315"/>
      <c r="F131" s="315"/>
      <c r="G131" s="314"/>
      <c r="H131" s="316"/>
      <c r="I131" s="314"/>
      <c r="J131" s="317"/>
    </row>
    <row r="132" spans="2:10">
      <c r="B132" s="314"/>
      <c r="C132" s="314"/>
      <c r="D132" s="314"/>
      <c r="E132" s="315"/>
      <c r="F132" s="315"/>
      <c r="G132" s="314"/>
      <c r="H132" s="316"/>
      <c r="I132" s="314"/>
      <c r="J132" s="317"/>
    </row>
    <row r="133" spans="2:10">
      <c r="B133" s="314"/>
      <c r="C133" s="314"/>
      <c r="D133" s="314"/>
      <c r="E133" s="315"/>
      <c r="F133" s="315"/>
      <c r="G133" s="314"/>
      <c r="H133" s="316"/>
      <c r="I133" s="314"/>
      <c r="J133" s="317"/>
    </row>
    <row r="134" spans="2:10">
      <c r="B134" s="314"/>
      <c r="C134" s="314"/>
      <c r="D134" s="314"/>
      <c r="E134" s="315"/>
      <c r="F134" s="315"/>
      <c r="G134" s="314"/>
      <c r="H134" s="316"/>
      <c r="I134" s="314"/>
      <c r="J134" s="317"/>
    </row>
    <row r="135" spans="2:10">
      <c r="B135" s="314"/>
      <c r="C135" s="314"/>
      <c r="D135" s="314"/>
      <c r="E135" s="315"/>
      <c r="F135" s="315"/>
      <c r="G135" s="314"/>
      <c r="H135" s="316"/>
      <c r="I135" s="314"/>
      <c r="J135" s="317"/>
    </row>
    <row r="136" spans="2:10">
      <c r="B136" s="314"/>
      <c r="C136" s="314"/>
      <c r="D136" s="314"/>
      <c r="E136" s="315"/>
      <c r="F136" s="315"/>
      <c r="G136" s="314"/>
      <c r="H136" s="316"/>
      <c r="I136" s="314"/>
      <c r="J136" s="317"/>
    </row>
    <row r="137" spans="2:10">
      <c r="B137" s="314"/>
      <c r="C137" s="314"/>
      <c r="D137" s="314"/>
      <c r="E137" s="315"/>
      <c r="F137" s="315"/>
      <c r="G137" s="314"/>
      <c r="H137" s="316"/>
      <c r="I137" s="314"/>
      <c r="J137" s="317"/>
    </row>
    <row r="138" spans="2:10">
      <c r="B138" s="314"/>
      <c r="C138" s="314"/>
      <c r="D138" s="314"/>
      <c r="E138" s="315"/>
      <c r="F138" s="315"/>
      <c r="G138" s="314"/>
      <c r="H138" s="316"/>
      <c r="I138" s="314"/>
      <c r="J138" s="317"/>
    </row>
    <row r="139" spans="2:10">
      <c r="B139" s="314"/>
      <c r="C139" s="314"/>
      <c r="D139" s="314"/>
      <c r="E139" s="315"/>
      <c r="F139" s="315"/>
      <c r="G139" s="314"/>
      <c r="H139" s="316"/>
      <c r="I139" s="314"/>
      <c r="J139" s="317"/>
    </row>
    <row r="140" spans="2:10">
      <c r="B140" s="314"/>
      <c r="C140" s="314"/>
      <c r="D140" s="314"/>
      <c r="E140" s="315"/>
      <c r="F140" s="315"/>
      <c r="G140" s="314"/>
      <c r="H140" s="316"/>
      <c r="I140" s="314"/>
      <c r="J140" s="317"/>
    </row>
    <row r="141" spans="2:10">
      <c r="B141" s="314"/>
      <c r="C141" s="314"/>
      <c r="D141" s="314"/>
      <c r="E141" s="315"/>
      <c r="F141" s="315"/>
      <c r="G141" s="314"/>
      <c r="H141" s="316"/>
      <c r="I141" s="314"/>
      <c r="J141" s="317"/>
    </row>
    <row r="142" spans="2:10">
      <c r="B142" s="314"/>
      <c r="C142" s="314"/>
      <c r="D142" s="314"/>
      <c r="E142" s="315"/>
      <c r="F142" s="315"/>
      <c r="G142" s="314"/>
      <c r="H142" s="316"/>
      <c r="I142" s="314"/>
      <c r="J142" s="317"/>
    </row>
    <row r="143" spans="2:10">
      <c r="B143" s="314"/>
      <c r="C143" s="314"/>
      <c r="D143" s="314"/>
      <c r="E143" s="315"/>
      <c r="F143" s="315"/>
      <c r="G143" s="314"/>
      <c r="H143" s="316"/>
      <c r="I143" s="314"/>
      <c r="J143" s="317"/>
    </row>
    <row r="144" spans="2:10">
      <c r="B144" s="314"/>
      <c r="C144" s="314"/>
      <c r="D144" s="314"/>
      <c r="E144" s="315"/>
      <c r="F144" s="315"/>
      <c r="G144" s="314"/>
      <c r="H144" s="316"/>
      <c r="I144" s="314"/>
      <c r="J144" s="317"/>
    </row>
    <row r="145" spans="2:10">
      <c r="B145" s="314"/>
      <c r="C145" s="314"/>
      <c r="D145" s="314"/>
      <c r="E145" s="315"/>
      <c r="F145" s="315"/>
      <c r="G145" s="314"/>
      <c r="H145" s="316"/>
      <c r="I145" s="314"/>
      <c r="J145" s="317"/>
    </row>
    <row r="146" spans="2:10">
      <c r="B146" s="314"/>
      <c r="C146" s="314"/>
      <c r="D146" s="314"/>
      <c r="E146" s="315"/>
      <c r="F146" s="315"/>
      <c r="G146" s="314"/>
      <c r="H146" s="316"/>
      <c r="I146" s="314"/>
      <c r="J146" s="317"/>
    </row>
    <row r="147" spans="2:10">
      <c r="B147" s="314"/>
      <c r="C147" s="314"/>
      <c r="D147" s="314"/>
      <c r="E147" s="315"/>
      <c r="F147" s="315"/>
      <c r="G147" s="314"/>
      <c r="H147" s="316"/>
      <c r="I147" s="314"/>
      <c r="J147" s="317"/>
    </row>
    <row r="148" spans="2:10">
      <c r="B148" s="314"/>
      <c r="C148" s="314"/>
      <c r="D148" s="314"/>
      <c r="E148" s="315"/>
      <c r="F148" s="315"/>
      <c r="G148" s="314"/>
      <c r="H148" s="316"/>
      <c r="I148" s="314"/>
      <c r="J148" s="317"/>
    </row>
    <row r="149" spans="2:10">
      <c r="B149" s="314"/>
      <c r="C149" s="314"/>
      <c r="D149" s="314"/>
      <c r="E149" s="315"/>
      <c r="F149" s="315"/>
      <c r="G149" s="314"/>
      <c r="H149" s="316"/>
      <c r="I149" s="314"/>
      <c r="J149" s="317"/>
    </row>
    <row r="150" spans="2:10">
      <c r="B150" s="314"/>
      <c r="C150" s="314"/>
      <c r="D150" s="314"/>
      <c r="E150" s="315"/>
      <c r="F150" s="315"/>
      <c r="G150" s="314"/>
      <c r="H150" s="316"/>
      <c r="I150" s="314"/>
      <c r="J150" s="317"/>
    </row>
    <row r="151" spans="2:10">
      <c r="B151" s="314"/>
      <c r="C151" s="314"/>
      <c r="D151" s="314"/>
      <c r="E151" s="315"/>
      <c r="F151" s="315"/>
      <c r="G151" s="314"/>
      <c r="H151" s="316"/>
      <c r="I151" s="314"/>
      <c r="J151" s="317"/>
    </row>
    <row r="152" spans="2:10">
      <c r="B152" s="314"/>
      <c r="C152" s="314"/>
      <c r="D152" s="314"/>
      <c r="E152" s="315"/>
      <c r="F152" s="315"/>
      <c r="G152" s="314"/>
      <c r="H152" s="316"/>
      <c r="I152" s="314"/>
      <c r="J152" s="317"/>
    </row>
    <row r="153" spans="2:10">
      <c r="B153" s="314"/>
      <c r="C153" s="314"/>
      <c r="D153" s="314"/>
      <c r="E153" s="315"/>
      <c r="F153" s="315"/>
      <c r="G153" s="314"/>
      <c r="H153" s="316"/>
      <c r="I153" s="314"/>
      <c r="J153" s="317"/>
    </row>
    <row r="154" spans="2:10">
      <c r="B154" s="314"/>
      <c r="C154" s="314"/>
      <c r="D154" s="314"/>
      <c r="E154" s="315"/>
      <c r="F154" s="315"/>
      <c r="G154" s="314"/>
      <c r="H154" s="316"/>
      <c r="I154" s="314"/>
      <c r="J154" s="317"/>
    </row>
    <row r="155" spans="2:10">
      <c r="B155" s="314"/>
      <c r="C155" s="314"/>
      <c r="D155" s="314"/>
      <c r="E155" s="315"/>
      <c r="F155" s="315"/>
      <c r="G155" s="314"/>
      <c r="H155" s="316"/>
      <c r="I155" s="314"/>
      <c r="J155" s="317"/>
    </row>
    <row r="156" spans="2:10">
      <c r="B156" s="314"/>
      <c r="C156" s="314"/>
      <c r="D156" s="314"/>
      <c r="E156" s="315"/>
      <c r="F156" s="315"/>
      <c r="G156" s="314"/>
      <c r="H156" s="316"/>
      <c r="I156" s="314"/>
      <c r="J156" s="317"/>
    </row>
    <row r="157" spans="2:10">
      <c r="B157" s="314"/>
      <c r="C157" s="314"/>
      <c r="D157" s="314"/>
      <c r="E157" s="315"/>
      <c r="F157" s="315"/>
      <c r="G157" s="314"/>
      <c r="H157" s="316"/>
      <c r="I157" s="314"/>
      <c r="J157" s="317"/>
    </row>
    <row r="158" spans="2:10">
      <c r="B158" s="314"/>
      <c r="C158" s="314"/>
      <c r="D158" s="314"/>
      <c r="E158" s="315"/>
      <c r="F158" s="315"/>
      <c r="G158" s="314"/>
      <c r="H158" s="316"/>
      <c r="I158" s="314"/>
      <c r="J158" s="317"/>
    </row>
    <row r="159" spans="2:10">
      <c r="B159" s="314"/>
      <c r="C159" s="314"/>
      <c r="D159" s="314"/>
      <c r="E159" s="315"/>
      <c r="F159" s="315"/>
      <c r="G159" s="314"/>
      <c r="H159" s="316"/>
      <c r="I159" s="314"/>
      <c r="J159" s="317"/>
    </row>
    <row r="160" spans="2:10">
      <c r="B160" s="314"/>
      <c r="C160" s="314"/>
      <c r="D160" s="314"/>
      <c r="E160" s="315"/>
      <c r="F160" s="315"/>
      <c r="G160" s="314"/>
      <c r="H160" s="316"/>
      <c r="I160" s="314"/>
      <c r="J160" s="317"/>
    </row>
    <row r="161" spans="2:10">
      <c r="B161" s="314"/>
      <c r="C161" s="314"/>
      <c r="D161" s="314"/>
      <c r="E161" s="315"/>
      <c r="F161" s="315"/>
      <c r="G161" s="314"/>
      <c r="H161" s="316"/>
      <c r="I161" s="314"/>
      <c r="J161" s="317"/>
    </row>
    <row r="162" spans="2:10">
      <c r="B162" s="314"/>
      <c r="C162" s="314"/>
      <c r="D162" s="314"/>
      <c r="E162" s="315"/>
      <c r="F162" s="315"/>
      <c r="G162" s="314"/>
      <c r="H162" s="316"/>
      <c r="I162" s="314"/>
      <c r="J162" s="317"/>
    </row>
    <row r="163" spans="2:10">
      <c r="B163" s="314"/>
      <c r="C163" s="314"/>
      <c r="D163" s="314"/>
      <c r="E163" s="315"/>
      <c r="F163" s="315"/>
      <c r="G163" s="314"/>
      <c r="H163" s="316"/>
      <c r="I163" s="314"/>
      <c r="J163" s="317"/>
    </row>
    <row r="164" spans="2:10">
      <c r="B164" s="314"/>
      <c r="C164" s="314"/>
      <c r="D164" s="314"/>
      <c r="E164" s="315"/>
      <c r="F164" s="315"/>
      <c r="G164" s="314"/>
      <c r="H164" s="316"/>
      <c r="I164" s="314"/>
      <c r="J164" s="317"/>
    </row>
    <row r="165" spans="2:10">
      <c r="B165" s="314"/>
      <c r="C165" s="314"/>
      <c r="D165" s="314"/>
      <c r="E165" s="315"/>
      <c r="F165" s="315"/>
      <c r="G165" s="314"/>
      <c r="H165" s="316"/>
      <c r="I165" s="314"/>
      <c r="J165" s="317"/>
    </row>
    <row r="166" spans="2:10">
      <c r="B166" s="314"/>
      <c r="C166" s="314"/>
      <c r="D166" s="314"/>
      <c r="E166" s="315"/>
      <c r="F166" s="315"/>
      <c r="G166" s="314"/>
      <c r="H166" s="316"/>
      <c r="I166" s="314"/>
      <c r="J166" s="317"/>
    </row>
    <row r="167" spans="2:10">
      <c r="B167" s="314"/>
      <c r="C167" s="314"/>
      <c r="D167" s="314"/>
      <c r="E167" s="315"/>
      <c r="F167" s="315"/>
      <c r="G167" s="314"/>
      <c r="H167" s="316"/>
      <c r="I167" s="314"/>
      <c r="J167" s="317"/>
    </row>
    <row r="168" spans="2:10">
      <c r="B168" s="314"/>
      <c r="C168" s="314"/>
      <c r="D168" s="314"/>
      <c r="E168" s="315"/>
      <c r="F168" s="315"/>
      <c r="G168" s="314"/>
      <c r="H168" s="316"/>
      <c r="I168" s="314"/>
      <c r="J168" s="317"/>
    </row>
    <row r="169" spans="2:10">
      <c r="B169" s="314"/>
      <c r="C169" s="314"/>
      <c r="D169" s="314"/>
      <c r="E169" s="315"/>
      <c r="F169" s="315"/>
      <c r="G169" s="314"/>
      <c r="H169" s="316"/>
      <c r="I169" s="314"/>
      <c r="J169" s="317"/>
    </row>
    <row r="170" spans="2:10">
      <c r="B170" s="314"/>
      <c r="C170" s="314"/>
      <c r="D170" s="314"/>
      <c r="E170" s="315"/>
      <c r="F170" s="315"/>
      <c r="G170" s="314"/>
      <c r="H170" s="316"/>
      <c r="I170" s="314"/>
      <c r="J170" s="317"/>
    </row>
    <row r="171" spans="2:10">
      <c r="B171" s="314"/>
      <c r="C171" s="314"/>
      <c r="D171" s="314"/>
      <c r="E171" s="315"/>
      <c r="F171" s="315"/>
      <c r="G171" s="314"/>
      <c r="H171" s="316"/>
      <c r="I171" s="314"/>
      <c r="J171" s="317"/>
    </row>
    <row r="172" spans="2:10">
      <c r="B172" s="314"/>
      <c r="C172" s="314"/>
      <c r="D172" s="314"/>
      <c r="E172" s="315"/>
      <c r="F172" s="315"/>
      <c r="G172" s="314"/>
      <c r="H172" s="316"/>
      <c r="I172" s="314"/>
      <c r="J172" s="317"/>
    </row>
    <row r="173" spans="2:10">
      <c r="B173" s="314"/>
      <c r="C173" s="314"/>
      <c r="D173" s="314"/>
      <c r="E173" s="315"/>
      <c r="F173" s="315"/>
      <c r="G173" s="314"/>
      <c r="H173" s="316"/>
      <c r="I173" s="314"/>
      <c r="J173" s="317"/>
    </row>
    <row r="174" spans="2:10">
      <c r="B174" s="314"/>
      <c r="C174" s="314"/>
      <c r="D174" s="314"/>
      <c r="E174" s="315"/>
      <c r="F174" s="315"/>
      <c r="G174" s="314"/>
      <c r="H174" s="316"/>
      <c r="I174" s="314"/>
      <c r="J174" s="317"/>
    </row>
    <row r="175" spans="2:10">
      <c r="B175" s="314"/>
      <c r="C175" s="314"/>
      <c r="D175" s="314"/>
      <c r="E175" s="315"/>
      <c r="F175" s="315"/>
      <c r="G175" s="314"/>
      <c r="H175" s="316"/>
      <c r="I175" s="314"/>
      <c r="J175" s="317"/>
    </row>
    <row r="176" spans="2:10">
      <c r="B176" s="314"/>
      <c r="C176" s="314"/>
      <c r="D176" s="314"/>
      <c r="E176" s="315"/>
      <c r="F176" s="315"/>
      <c r="G176" s="314"/>
      <c r="H176" s="316"/>
      <c r="I176" s="314"/>
      <c r="J176" s="317"/>
    </row>
    <row r="177" spans="2:10">
      <c r="B177" s="314"/>
      <c r="C177" s="314"/>
      <c r="D177" s="314"/>
      <c r="E177" s="315"/>
      <c r="F177" s="315"/>
      <c r="G177" s="314"/>
      <c r="H177" s="316"/>
      <c r="I177" s="314"/>
      <c r="J177" s="317"/>
    </row>
    <row r="178" spans="2:10">
      <c r="B178" s="314"/>
      <c r="C178" s="314"/>
      <c r="D178" s="314"/>
      <c r="E178" s="315"/>
      <c r="F178" s="315"/>
      <c r="G178" s="314"/>
      <c r="H178" s="316"/>
      <c r="I178" s="314"/>
      <c r="J178" s="317"/>
    </row>
    <row r="179" spans="2:10">
      <c r="B179" s="314"/>
      <c r="C179" s="314"/>
      <c r="D179" s="314"/>
      <c r="E179" s="315"/>
      <c r="F179" s="315"/>
      <c r="G179" s="314"/>
      <c r="H179" s="316"/>
      <c r="I179" s="314"/>
      <c r="J179" s="317"/>
    </row>
    <row r="180" spans="2:10">
      <c r="B180" s="314"/>
      <c r="C180" s="314"/>
      <c r="D180" s="314"/>
      <c r="E180" s="315"/>
      <c r="F180" s="315"/>
      <c r="G180" s="314"/>
      <c r="H180" s="316"/>
      <c r="I180" s="314"/>
      <c r="J180" s="317"/>
    </row>
    <row r="181" spans="2:10">
      <c r="B181" s="314"/>
      <c r="C181" s="314"/>
      <c r="D181" s="314"/>
      <c r="E181" s="315"/>
      <c r="F181" s="315"/>
      <c r="G181" s="314"/>
      <c r="H181" s="316"/>
      <c r="I181" s="314"/>
      <c r="J181" s="317"/>
    </row>
    <row r="182" spans="2:10">
      <c r="B182" s="314"/>
      <c r="C182" s="314"/>
      <c r="D182" s="314"/>
      <c r="E182" s="315"/>
      <c r="F182" s="315"/>
      <c r="G182" s="314"/>
      <c r="H182" s="316"/>
      <c r="I182" s="314"/>
      <c r="J182" s="317"/>
    </row>
    <row r="183" spans="2:10">
      <c r="B183" s="314"/>
      <c r="C183" s="314"/>
      <c r="D183" s="314"/>
      <c r="E183" s="315"/>
      <c r="F183" s="315"/>
      <c r="G183" s="314"/>
      <c r="H183" s="316"/>
      <c r="I183" s="314"/>
      <c r="J183" s="317"/>
    </row>
    <row r="184" spans="2:10">
      <c r="B184" s="314"/>
      <c r="C184" s="314"/>
      <c r="D184" s="314"/>
      <c r="E184" s="315"/>
      <c r="F184" s="315"/>
      <c r="G184" s="314"/>
      <c r="H184" s="316"/>
      <c r="I184" s="314"/>
      <c r="J184" s="317"/>
    </row>
    <row r="185" spans="2:10">
      <c r="B185" s="314"/>
      <c r="C185" s="314"/>
      <c r="D185" s="314"/>
      <c r="E185" s="315"/>
      <c r="F185" s="315"/>
      <c r="G185" s="314"/>
      <c r="H185" s="316"/>
      <c r="I185" s="314"/>
      <c r="J185" s="317"/>
    </row>
    <row r="186" spans="2:10">
      <c r="B186" s="314"/>
      <c r="C186" s="314"/>
      <c r="D186" s="314"/>
      <c r="E186" s="315"/>
      <c r="F186" s="315"/>
      <c r="G186" s="314"/>
      <c r="H186" s="316"/>
      <c r="I186" s="314"/>
      <c r="J186" s="317"/>
    </row>
    <row r="187" spans="2:10">
      <c r="B187" s="314"/>
      <c r="C187" s="314"/>
      <c r="D187" s="314"/>
      <c r="E187" s="315"/>
      <c r="F187" s="315"/>
      <c r="G187" s="314"/>
      <c r="H187" s="316"/>
      <c r="I187" s="314"/>
      <c r="J187" s="317"/>
    </row>
    <row r="188" spans="2:10">
      <c r="B188" s="314"/>
      <c r="C188" s="314"/>
      <c r="D188" s="314"/>
      <c r="E188" s="315"/>
      <c r="F188" s="315"/>
      <c r="G188" s="314"/>
      <c r="H188" s="316"/>
      <c r="I188" s="314"/>
      <c r="J188" s="317"/>
    </row>
    <row r="189" spans="2:10">
      <c r="B189" s="314"/>
      <c r="C189" s="314"/>
      <c r="D189" s="314"/>
      <c r="E189" s="315"/>
      <c r="F189" s="315"/>
      <c r="G189" s="314"/>
      <c r="H189" s="316"/>
      <c r="I189" s="314"/>
      <c r="J189" s="317"/>
    </row>
    <row r="190" spans="2:10">
      <c r="B190" s="314"/>
      <c r="C190" s="314"/>
      <c r="D190" s="314"/>
      <c r="E190" s="315"/>
      <c r="F190" s="315"/>
      <c r="G190" s="314"/>
      <c r="H190" s="316"/>
      <c r="I190" s="314"/>
      <c r="J190" s="317"/>
    </row>
    <row r="191" spans="2:10">
      <c r="B191" s="314"/>
      <c r="C191" s="314"/>
      <c r="D191" s="314"/>
      <c r="E191" s="315"/>
      <c r="F191" s="315"/>
      <c r="G191" s="314"/>
      <c r="H191" s="316"/>
      <c r="I191" s="314"/>
      <c r="J191" s="317"/>
    </row>
    <row r="192" spans="2:10">
      <c r="B192" s="314"/>
      <c r="C192" s="314"/>
      <c r="D192" s="314"/>
      <c r="E192" s="315"/>
      <c r="F192" s="315"/>
      <c r="G192" s="314"/>
      <c r="H192" s="316"/>
      <c r="I192" s="314"/>
      <c r="J192" s="317"/>
    </row>
    <row r="193" spans="2:10">
      <c r="B193" s="314"/>
      <c r="C193" s="314"/>
      <c r="D193" s="314"/>
      <c r="E193" s="315"/>
      <c r="F193" s="315"/>
      <c r="G193" s="314"/>
      <c r="H193" s="316"/>
      <c r="I193" s="314"/>
      <c r="J193" s="317"/>
    </row>
    <row r="194" spans="2:10">
      <c r="B194" s="314"/>
      <c r="C194" s="314"/>
      <c r="D194" s="314"/>
      <c r="E194" s="315"/>
      <c r="F194" s="315"/>
      <c r="G194" s="314"/>
      <c r="H194" s="316"/>
      <c r="I194" s="314"/>
      <c r="J194" s="317"/>
    </row>
    <row r="195" spans="2:10">
      <c r="B195" s="314"/>
      <c r="C195" s="314"/>
      <c r="D195" s="314"/>
      <c r="E195" s="315"/>
      <c r="F195" s="315"/>
      <c r="G195" s="314"/>
      <c r="H195" s="316"/>
      <c r="I195" s="314"/>
      <c r="J195" s="317"/>
    </row>
    <row r="196" spans="2:10">
      <c r="B196" s="314"/>
      <c r="C196" s="314"/>
      <c r="D196" s="314"/>
      <c r="E196" s="315"/>
      <c r="F196" s="315"/>
      <c r="G196" s="314"/>
      <c r="H196" s="316"/>
      <c r="I196" s="314"/>
      <c r="J196" s="317"/>
    </row>
    <row r="197" spans="2:10">
      <c r="B197" s="314"/>
      <c r="C197" s="314"/>
      <c r="D197" s="314"/>
      <c r="E197" s="315"/>
      <c r="F197" s="315"/>
      <c r="G197" s="314"/>
      <c r="H197" s="316"/>
      <c r="I197" s="314"/>
      <c r="J197" s="317"/>
    </row>
    <row r="198" spans="2:10">
      <c r="B198" s="314"/>
      <c r="C198" s="314"/>
      <c r="D198" s="314"/>
      <c r="E198" s="315"/>
      <c r="F198" s="315"/>
      <c r="G198" s="314"/>
      <c r="H198" s="316"/>
      <c r="I198" s="314"/>
      <c r="J198" s="317"/>
    </row>
    <row r="199" spans="2:10">
      <c r="B199" s="314"/>
      <c r="C199" s="314"/>
      <c r="D199" s="314"/>
      <c r="E199" s="315"/>
      <c r="F199" s="315"/>
      <c r="G199" s="314"/>
      <c r="H199" s="316"/>
      <c r="I199" s="314"/>
      <c r="J199" s="317"/>
    </row>
    <row r="200" spans="2:10">
      <c r="B200" s="314"/>
      <c r="C200" s="314"/>
      <c r="D200" s="314"/>
      <c r="E200" s="315"/>
      <c r="F200" s="315"/>
      <c r="G200" s="314"/>
      <c r="H200" s="316"/>
      <c r="I200" s="314"/>
      <c r="J200" s="317"/>
    </row>
    <row r="201" spans="2:10">
      <c r="B201" s="314"/>
      <c r="C201" s="314"/>
      <c r="D201" s="314"/>
      <c r="E201" s="315"/>
      <c r="F201" s="315"/>
      <c r="G201" s="314"/>
      <c r="H201" s="316"/>
      <c r="I201" s="314"/>
      <c r="J201" s="317"/>
    </row>
    <row r="202" spans="2:10">
      <c r="B202" s="314"/>
      <c r="C202" s="314"/>
      <c r="D202" s="314"/>
      <c r="E202" s="315"/>
      <c r="F202" s="315"/>
      <c r="G202" s="314"/>
      <c r="H202" s="316"/>
      <c r="I202" s="314"/>
      <c r="J202" s="317"/>
    </row>
    <row r="203" spans="2:10">
      <c r="B203" s="314"/>
      <c r="C203" s="314"/>
      <c r="D203" s="314"/>
      <c r="E203" s="315"/>
      <c r="F203" s="315"/>
      <c r="G203" s="314"/>
      <c r="H203" s="316"/>
      <c r="I203" s="314"/>
      <c r="J203" s="317"/>
    </row>
    <row r="204" spans="2:10">
      <c r="B204" s="314"/>
      <c r="C204" s="314"/>
      <c r="D204" s="314"/>
      <c r="E204" s="315"/>
      <c r="F204" s="315"/>
      <c r="G204" s="314"/>
      <c r="H204" s="316"/>
      <c r="I204" s="314"/>
      <c r="J204" s="317"/>
    </row>
    <row r="205" spans="2:10">
      <c r="B205" s="314"/>
      <c r="C205" s="314"/>
      <c r="D205" s="314"/>
      <c r="E205" s="315"/>
      <c r="F205" s="315"/>
      <c r="G205" s="314"/>
      <c r="H205" s="316"/>
      <c r="I205" s="314"/>
      <c r="J205" s="317"/>
    </row>
    <row r="206" spans="2:10">
      <c r="B206" s="314"/>
      <c r="C206" s="314"/>
      <c r="D206" s="314"/>
      <c r="E206" s="315"/>
      <c r="F206" s="315"/>
      <c r="G206" s="314"/>
      <c r="H206" s="316"/>
      <c r="I206" s="314"/>
      <c r="J206" s="317"/>
    </row>
    <row r="207" spans="2:10">
      <c r="B207" s="314"/>
      <c r="C207" s="314"/>
      <c r="D207" s="314"/>
      <c r="E207" s="315"/>
      <c r="F207" s="315"/>
      <c r="G207" s="314"/>
      <c r="H207" s="316"/>
      <c r="I207" s="314"/>
      <c r="J207" s="317"/>
    </row>
    <row r="208" spans="2:10">
      <c r="B208" s="314"/>
      <c r="C208" s="314"/>
      <c r="D208" s="314"/>
      <c r="E208" s="315"/>
      <c r="F208" s="315"/>
      <c r="G208" s="314"/>
      <c r="H208" s="316"/>
      <c r="I208" s="314"/>
      <c r="J208" s="317"/>
    </row>
    <row r="209" spans="2:10">
      <c r="B209" s="314"/>
      <c r="C209" s="314"/>
      <c r="D209" s="314"/>
      <c r="E209" s="315"/>
      <c r="F209" s="315"/>
      <c r="G209" s="314"/>
      <c r="H209" s="316"/>
      <c r="I209" s="314"/>
      <c r="J209" s="317"/>
    </row>
    <row r="210" spans="2:10">
      <c r="B210" s="314"/>
      <c r="C210" s="314"/>
      <c r="D210" s="314"/>
      <c r="E210" s="315"/>
      <c r="F210" s="315"/>
      <c r="G210" s="314"/>
      <c r="H210" s="316"/>
      <c r="I210" s="314"/>
      <c r="J210" s="317"/>
    </row>
    <row r="211" spans="2:10">
      <c r="B211" s="314"/>
      <c r="C211" s="314"/>
      <c r="D211" s="314"/>
      <c r="E211" s="315"/>
      <c r="F211" s="315"/>
      <c r="G211" s="314"/>
      <c r="H211" s="316"/>
      <c r="I211" s="314"/>
      <c r="J211" s="317"/>
    </row>
    <row r="212" spans="2:10">
      <c r="B212" s="314"/>
      <c r="C212" s="314"/>
      <c r="D212" s="314"/>
      <c r="E212" s="315"/>
      <c r="F212" s="315"/>
      <c r="G212" s="314"/>
      <c r="H212" s="316"/>
      <c r="I212" s="314"/>
      <c r="J212" s="317"/>
    </row>
    <row r="213" spans="2:10">
      <c r="B213" s="314"/>
      <c r="C213" s="314"/>
      <c r="D213" s="314"/>
      <c r="E213" s="315"/>
      <c r="F213" s="315"/>
      <c r="G213" s="314"/>
      <c r="H213" s="316"/>
      <c r="I213" s="314"/>
      <c r="J213" s="317"/>
    </row>
    <row r="214" spans="2:10">
      <c r="B214" s="314"/>
      <c r="C214" s="314"/>
      <c r="D214" s="314"/>
      <c r="E214" s="315"/>
      <c r="F214" s="315"/>
      <c r="G214" s="314"/>
      <c r="H214" s="316"/>
      <c r="I214" s="314"/>
      <c r="J214" s="317"/>
    </row>
    <row r="215" spans="2:10">
      <c r="B215" s="314"/>
      <c r="C215" s="314"/>
      <c r="D215" s="314"/>
      <c r="E215" s="315"/>
      <c r="F215" s="315"/>
      <c r="G215" s="314"/>
      <c r="H215" s="316"/>
      <c r="I215" s="314"/>
      <c r="J215" s="317"/>
    </row>
    <row r="216" spans="2:10">
      <c r="B216" s="314"/>
      <c r="C216" s="314"/>
      <c r="D216" s="314"/>
      <c r="E216" s="315"/>
      <c r="F216" s="315"/>
      <c r="G216" s="314"/>
      <c r="H216" s="316"/>
      <c r="I216" s="314"/>
      <c r="J216" s="317"/>
    </row>
    <row r="217" spans="2:10">
      <c r="B217" s="314"/>
      <c r="C217" s="314"/>
      <c r="D217" s="314"/>
      <c r="E217" s="315"/>
      <c r="F217" s="315"/>
      <c r="G217" s="314"/>
      <c r="H217" s="316"/>
      <c r="I217" s="314"/>
      <c r="J217" s="317"/>
    </row>
    <row r="218" spans="2:10">
      <c r="B218" s="314"/>
      <c r="C218" s="314"/>
      <c r="D218" s="314"/>
      <c r="E218" s="315"/>
      <c r="F218" s="315"/>
      <c r="G218" s="314"/>
      <c r="H218" s="316"/>
      <c r="I218" s="314"/>
      <c r="J218" s="317"/>
    </row>
    <row r="219" spans="2:10">
      <c r="B219" s="314"/>
      <c r="C219" s="314"/>
      <c r="D219" s="314"/>
      <c r="E219" s="315"/>
      <c r="F219" s="315"/>
      <c r="G219" s="314"/>
      <c r="H219" s="316"/>
      <c r="I219" s="314"/>
      <c r="J219" s="317"/>
    </row>
    <row r="220" spans="2:10">
      <c r="B220" s="314"/>
      <c r="C220" s="314"/>
      <c r="D220" s="314"/>
      <c r="E220" s="315"/>
      <c r="F220" s="315"/>
      <c r="G220" s="314"/>
      <c r="H220" s="316"/>
      <c r="I220" s="314"/>
      <c r="J220" s="317"/>
    </row>
    <row r="221" spans="2:10">
      <c r="B221" s="314"/>
      <c r="C221" s="314"/>
      <c r="D221" s="314"/>
      <c r="E221" s="315"/>
      <c r="F221" s="315"/>
      <c r="G221" s="314"/>
      <c r="H221" s="316"/>
      <c r="I221" s="314"/>
      <c r="J221" s="317"/>
    </row>
    <row r="222" spans="2:10">
      <c r="B222" s="314"/>
      <c r="C222" s="314"/>
      <c r="D222" s="314"/>
      <c r="E222" s="315"/>
      <c r="F222" s="315"/>
      <c r="G222" s="314"/>
      <c r="H222" s="316"/>
      <c r="I222" s="314"/>
      <c r="J222" s="317"/>
    </row>
    <row r="223" spans="2:10">
      <c r="B223" s="314"/>
      <c r="C223" s="314"/>
      <c r="D223" s="314"/>
      <c r="E223" s="315"/>
      <c r="F223" s="315"/>
      <c r="G223" s="314"/>
      <c r="H223" s="316"/>
      <c r="I223" s="314"/>
      <c r="J223" s="317"/>
    </row>
    <row r="224" spans="2:10">
      <c r="B224" s="314"/>
      <c r="C224" s="314"/>
      <c r="D224" s="314"/>
      <c r="E224" s="315"/>
      <c r="F224" s="315"/>
      <c r="G224" s="314"/>
      <c r="H224" s="316"/>
      <c r="I224" s="314"/>
      <c r="J224" s="317"/>
    </row>
    <row r="225" spans="2:10">
      <c r="B225" s="314"/>
      <c r="C225" s="314"/>
      <c r="D225" s="314"/>
      <c r="E225" s="315"/>
      <c r="F225" s="315"/>
      <c r="G225" s="314"/>
      <c r="H225" s="316"/>
      <c r="I225" s="314"/>
      <c r="J225" s="317"/>
    </row>
    <row r="226" spans="2:10">
      <c r="B226" s="314"/>
      <c r="C226" s="314"/>
      <c r="D226" s="314"/>
      <c r="E226" s="315"/>
      <c r="F226" s="315"/>
      <c r="G226" s="314"/>
      <c r="H226" s="316"/>
      <c r="I226" s="314"/>
      <c r="J226" s="317"/>
    </row>
    <row r="227" spans="2:10">
      <c r="B227" s="314"/>
      <c r="C227" s="314"/>
      <c r="D227" s="314"/>
      <c r="E227" s="315"/>
      <c r="F227" s="315"/>
      <c r="G227" s="314"/>
      <c r="H227" s="316"/>
      <c r="I227" s="314"/>
      <c r="J227" s="317"/>
    </row>
    <row r="228" spans="2:10">
      <c r="B228" s="314"/>
      <c r="C228" s="314"/>
      <c r="D228" s="314"/>
      <c r="E228" s="315"/>
      <c r="F228" s="315"/>
      <c r="G228" s="314"/>
      <c r="H228" s="316"/>
      <c r="I228" s="314"/>
      <c r="J228" s="317"/>
    </row>
    <row r="229" spans="2:10">
      <c r="B229" s="314"/>
      <c r="C229" s="314"/>
      <c r="D229" s="314"/>
      <c r="E229" s="315"/>
      <c r="F229" s="315"/>
      <c r="G229" s="314"/>
      <c r="H229" s="316"/>
      <c r="I229" s="314"/>
      <c r="J229" s="317"/>
    </row>
    <row r="230" spans="2:10">
      <c r="B230" s="314"/>
      <c r="C230" s="314"/>
      <c r="D230" s="314"/>
      <c r="E230" s="315"/>
      <c r="F230" s="315"/>
      <c r="G230" s="314"/>
      <c r="H230" s="316"/>
      <c r="I230" s="314"/>
      <c r="J230" s="317"/>
    </row>
    <row r="231" spans="2:10">
      <c r="B231" s="314"/>
      <c r="C231" s="314"/>
      <c r="D231" s="314"/>
      <c r="E231" s="315"/>
      <c r="F231" s="315"/>
      <c r="G231" s="314"/>
      <c r="H231" s="316"/>
      <c r="I231" s="314"/>
      <c r="J231" s="317"/>
    </row>
    <row r="232" spans="2:10">
      <c r="B232" s="314"/>
      <c r="C232" s="314"/>
      <c r="D232" s="314"/>
      <c r="E232" s="315"/>
      <c r="F232" s="315"/>
      <c r="G232" s="314"/>
      <c r="H232" s="316"/>
      <c r="I232" s="314"/>
      <c r="J232" s="317"/>
    </row>
    <row r="233" spans="2:10">
      <c r="B233" s="314"/>
      <c r="C233" s="314"/>
      <c r="D233" s="314"/>
      <c r="E233" s="315"/>
      <c r="F233" s="315"/>
      <c r="G233" s="314"/>
      <c r="H233" s="316"/>
      <c r="I233" s="314"/>
      <c r="J233" s="317"/>
    </row>
    <row r="234" spans="2:10">
      <c r="B234" s="314"/>
      <c r="C234" s="314"/>
      <c r="D234" s="314"/>
      <c r="E234" s="315"/>
      <c r="F234" s="315"/>
      <c r="G234" s="314"/>
      <c r="H234" s="316"/>
      <c r="I234" s="314"/>
      <c r="J234" s="317"/>
    </row>
    <row r="235" spans="2:10">
      <c r="B235" s="314"/>
      <c r="C235" s="314"/>
      <c r="D235" s="314"/>
      <c r="E235" s="315"/>
      <c r="F235" s="315"/>
      <c r="G235" s="314"/>
      <c r="H235" s="316"/>
      <c r="I235" s="314"/>
      <c r="J235" s="317"/>
    </row>
    <row r="236" spans="2:10">
      <c r="B236" s="314"/>
      <c r="C236" s="314"/>
      <c r="D236" s="314"/>
      <c r="E236" s="315"/>
      <c r="F236" s="315"/>
      <c r="G236" s="314"/>
      <c r="H236" s="316"/>
      <c r="I236" s="314"/>
      <c r="J236" s="317"/>
    </row>
    <row r="237" spans="2:10">
      <c r="B237" s="314"/>
      <c r="C237" s="314"/>
      <c r="D237" s="314"/>
      <c r="E237" s="315"/>
      <c r="F237" s="315"/>
      <c r="G237" s="314"/>
      <c r="H237" s="316"/>
      <c r="I237" s="314"/>
      <c r="J237" s="317"/>
    </row>
    <row r="238" spans="2:10">
      <c r="B238" s="314"/>
      <c r="C238" s="314"/>
      <c r="D238" s="314"/>
      <c r="E238" s="315"/>
      <c r="F238" s="315"/>
      <c r="G238" s="314"/>
      <c r="H238" s="316"/>
      <c r="I238" s="314"/>
      <c r="J238" s="317"/>
    </row>
    <row r="239" spans="2:10">
      <c r="B239" s="314"/>
      <c r="C239" s="314"/>
      <c r="D239" s="314"/>
      <c r="E239" s="315"/>
      <c r="F239" s="315"/>
      <c r="G239" s="314"/>
      <c r="H239" s="316"/>
      <c r="I239" s="314"/>
      <c r="J239" s="317"/>
    </row>
    <row r="240" spans="2:10">
      <c r="B240" s="314"/>
      <c r="C240" s="314"/>
      <c r="D240" s="314"/>
      <c r="E240" s="315"/>
      <c r="F240" s="315"/>
      <c r="G240" s="314"/>
      <c r="H240" s="316"/>
      <c r="I240" s="314"/>
      <c r="J240" s="317"/>
    </row>
    <row r="241" spans="2:10">
      <c r="B241" s="314"/>
      <c r="C241" s="314"/>
      <c r="D241" s="314"/>
      <c r="E241" s="315"/>
      <c r="F241" s="315"/>
      <c r="G241" s="314"/>
      <c r="H241" s="316"/>
      <c r="I241" s="314"/>
      <c r="J241" s="317"/>
    </row>
    <row r="242" spans="2:10">
      <c r="B242" s="314"/>
      <c r="C242" s="314"/>
      <c r="D242" s="314"/>
      <c r="E242" s="315"/>
      <c r="F242" s="315"/>
      <c r="G242" s="314"/>
      <c r="H242" s="316"/>
      <c r="I242" s="314"/>
      <c r="J242" s="317"/>
    </row>
    <row r="243" spans="2:10">
      <c r="B243" s="314"/>
      <c r="C243" s="314"/>
      <c r="D243" s="314"/>
      <c r="E243" s="315"/>
      <c r="F243" s="315"/>
      <c r="G243" s="314"/>
      <c r="H243" s="316"/>
      <c r="I243" s="314"/>
      <c r="J243" s="317"/>
    </row>
    <row r="244" spans="2:10">
      <c r="B244" s="314"/>
      <c r="C244" s="314"/>
      <c r="D244" s="314"/>
      <c r="E244" s="315"/>
      <c r="F244" s="315"/>
      <c r="G244" s="314"/>
      <c r="H244" s="316"/>
      <c r="I244" s="314"/>
      <c r="J244" s="317"/>
    </row>
    <row r="245" spans="2:10">
      <c r="B245" s="314"/>
      <c r="C245" s="314"/>
      <c r="D245" s="314"/>
      <c r="E245" s="315"/>
      <c r="F245" s="315"/>
      <c r="G245" s="314"/>
      <c r="H245" s="316"/>
      <c r="I245" s="314"/>
      <c r="J245" s="317"/>
    </row>
    <row r="246" spans="2:10">
      <c r="B246" s="314"/>
      <c r="C246" s="314"/>
      <c r="D246" s="314"/>
      <c r="E246" s="315"/>
      <c r="F246" s="315"/>
      <c r="G246" s="314"/>
      <c r="H246" s="316"/>
      <c r="I246" s="314"/>
      <c r="J246" s="317"/>
    </row>
    <row r="247" spans="2:10">
      <c r="B247" s="314"/>
      <c r="C247" s="314"/>
      <c r="D247" s="314"/>
      <c r="E247" s="315"/>
      <c r="F247" s="315"/>
      <c r="G247" s="314"/>
      <c r="H247" s="316"/>
      <c r="I247" s="314"/>
      <c r="J247" s="317"/>
    </row>
    <row r="248" spans="2:10">
      <c r="B248" s="314"/>
      <c r="C248" s="314"/>
      <c r="D248" s="314"/>
      <c r="E248" s="315"/>
      <c r="F248" s="315"/>
      <c r="G248" s="314"/>
      <c r="H248" s="316"/>
      <c r="I248" s="314"/>
      <c r="J248" s="317"/>
    </row>
    <row r="249" spans="2:10">
      <c r="B249" s="314"/>
      <c r="C249" s="314"/>
      <c r="D249" s="314"/>
      <c r="E249" s="315"/>
      <c r="F249" s="315"/>
      <c r="G249" s="314"/>
      <c r="H249" s="316"/>
      <c r="I249" s="314"/>
      <c r="J249" s="317"/>
    </row>
    <row r="250" spans="2:10">
      <c r="B250" s="314"/>
      <c r="C250" s="314"/>
      <c r="D250" s="314"/>
      <c r="E250" s="315"/>
      <c r="F250" s="315"/>
      <c r="G250" s="314"/>
      <c r="H250" s="316"/>
      <c r="I250" s="314"/>
      <c r="J250" s="317"/>
    </row>
    <row r="251" spans="2:10">
      <c r="B251" s="314"/>
      <c r="C251" s="314"/>
      <c r="D251" s="314"/>
      <c r="E251" s="315"/>
      <c r="F251" s="315"/>
      <c r="G251" s="314"/>
      <c r="H251" s="316"/>
      <c r="I251" s="314"/>
      <c r="J251" s="317"/>
    </row>
    <row r="252" spans="2:10">
      <c r="B252" s="314"/>
      <c r="C252" s="314"/>
      <c r="D252" s="314"/>
      <c r="E252" s="315"/>
      <c r="F252" s="315"/>
      <c r="G252" s="314"/>
      <c r="H252" s="316"/>
      <c r="I252" s="314"/>
      <c r="J252" s="317"/>
    </row>
    <row r="253" spans="2:10">
      <c r="B253" s="314"/>
      <c r="C253" s="314"/>
      <c r="D253" s="314"/>
      <c r="E253" s="315"/>
      <c r="F253" s="315"/>
      <c r="G253" s="314"/>
      <c r="H253" s="316"/>
      <c r="I253" s="314"/>
      <c r="J253" s="317"/>
    </row>
    <row r="254" spans="2:10">
      <c r="B254" s="314"/>
      <c r="C254" s="314"/>
      <c r="D254" s="314"/>
      <c r="E254" s="315"/>
      <c r="F254" s="315"/>
      <c r="G254" s="314"/>
      <c r="H254" s="316"/>
      <c r="I254" s="314"/>
      <c r="J254" s="317"/>
    </row>
    <row r="255" spans="2:10">
      <c r="B255" s="314"/>
      <c r="C255" s="314"/>
      <c r="D255" s="314"/>
      <c r="E255" s="315"/>
      <c r="F255" s="315"/>
      <c r="G255" s="314"/>
      <c r="H255" s="316"/>
      <c r="I255" s="314"/>
      <c r="J255" s="317"/>
    </row>
    <row r="256" spans="2:10">
      <c r="B256" s="314"/>
      <c r="C256" s="314"/>
      <c r="D256" s="314"/>
      <c r="E256" s="315"/>
      <c r="F256" s="315"/>
      <c r="G256" s="314"/>
      <c r="H256" s="316"/>
      <c r="I256" s="314"/>
      <c r="J256" s="317"/>
    </row>
    <row r="257" spans="2:10">
      <c r="B257" s="314"/>
      <c r="C257" s="314"/>
      <c r="D257" s="314"/>
      <c r="E257" s="315"/>
      <c r="F257" s="315"/>
      <c r="G257" s="314"/>
      <c r="H257" s="316"/>
      <c r="I257" s="314"/>
      <c r="J257" s="317"/>
    </row>
    <row r="258" spans="2:10">
      <c r="B258" s="314"/>
      <c r="C258" s="314"/>
      <c r="D258" s="314"/>
      <c r="E258" s="315"/>
      <c r="F258" s="315"/>
      <c r="G258" s="314"/>
      <c r="H258" s="316"/>
      <c r="I258" s="314"/>
      <c r="J258" s="317"/>
    </row>
    <row r="259" spans="2:10">
      <c r="B259" s="314"/>
      <c r="C259" s="314"/>
      <c r="D259" s="314"/>
      <c r="E259" s="315"/>
      <c r="F259" s="315"/>
      <c r="G259" s="314"/>
      <c r="H259" s="316"/>
      <c r="I259" s="314"/>
      <c r="J259" s="317"/>
    </row>
    <row r="260" spans="2:10">
      <c r="B260" s="314"/>
      <c r="C260" s="314"/>
      <c r="D260" s="314"/>
      <c r="E260" s="315"/>
      <c r="F260" s="315"/>
      <c r="G260" s="314"/>
      <c r="H260" s="316"/>
      <c r="I260" s="314"/>
      <c r="J260" s="317"/>
    </row>
    <row r="261" spans="2:10">
      <c r="B261" s="314"/>
      <c r="C261" s="314"/>
      <c r="D261" s="314"/>
      <c r="E261" s="315"/>
      <c r="F261" s="315"/>
      <c r="G261" s="314"/>
      <c r="H261" s="316"/>
      <c r="I261" s="314"/>
      <c r="J261" s="317"/>
    </row>
    <row r="262" spans="2:10">
      <c r="B262" s="314"/>
      <c r="C262" s="314"/>
      <c r="D262" s="314"/>
      <c r="E262" s="315"/>
      <c r="F262" s="315"/>
      <c r="G262" s="314"/>
      <c r="H262" s="316"/>
      <c r="I262" s="314"/>
      <c r="J262" s="317"/>
    </row>
    <row r="263" spans="2:10">
      <c r="B263" s="314"/>
      <c r="C263" s="314"/>
      <c r="D263" s="314"/>
      <c r="E263" s="315"/>
      <c r="F263" s="315"/>
      <c r="G263" s="314"/>
      <c r="H263" s="316"/>
      <c r="I263" s="314"/>
      <c r="J263" s="317"/>
    </row>
    <row r="264" spans="2:10">
      <c r="B264" s="314"/>
      <c r="C264" s="314"/>
      <c r="D264" s="314"/>
      <c r="E264" s="315"/>
      <c r="F264" s="315"/>
      <c r="G264" s="314"/>
      <c r="H264" s="316"/>
      <c r="I264" s="314"/>
      <c r="J264" s="317"/>
    </row>
    <row r="265" spans="2:10">
      <c r="B265" s="314"/>
      <c r="C265" s="314"/>
      <c r="D265" s="314"/>
      <c r="E265" s="315"/>
      <c r="F265" s="315"/>
      <c r="G265" s="314"/>
      <c r="H265" s="316"/>
      <c r="I265" s="314"/>
      <c r="J265" s="317"/>
    </row>
    <row r="266" spans="2:10">
      <c r="B266" s="314"/>
      <c r="C266" s="314"/>
      <c r="D266" s="314"/>
      <c r="E266" s="315"/>
      <c r="F266" s="315"/>
      <c r="G266" s="314"/>
      <c r="H266" s="316"/>
      <c r="I266" s="314"/>
      <c r="J266" s="317"/>
    </row>
    <row r="267" spans="2:10">
      <c r="B267" s="314"/>
      <c r="C267" s="314"/>
      <c r="D267" s="314"/>
      <c r="E267" s="315"/>
      <c r="F267" s="315"/>
      <c r="G267" s="314"/>
      <c r="H267" s="316"/>
      <c r="I267" s="314"/>
      <c r="J267" s="317"/>
    </row>
    <row r="268" spans="2:10">
      <c r="B268" s="314"/>
      <c r="C268" s="314"/>
      <c r="D268" s="314"/>
      <c r="E268" s="315"/>
      <c r="F268" s="315"/>
      <c r="G268" s="314"/>
      <c r="H268" s="316"/>
      <c r="I268" s="314"/>
      <c r="J268" s="317"/>
    </row>
    <row r="269" spans="2:10">
      <c r="B269" s="314"/>
      <c r="C269" s="314"/>
      <c r="D269" s="314"/>
      <c r="E269" s="315"/>
      <c r="F269" s="315"/>
      <c r="G269" s="314"/>
      <c r="H269" s="316"/>
      <c r="I269" s="314"/>
      <c r="J269" s="317"/>
    </row>
    <row r="270" spans="2:10">
      <c r="B270" s="314"/>
      <c r="C270" s="314"/>
      <c r="D270" s="314"/>
      <c r="E270" s="315"/>
      <c r="F270" s="315"/>
      <c r="G270" s="314"/>
      <c r="H270" s="316"/>
      <c r="I270" s="314"/>
      <c r="J270" s="317"/>
    </row>
    <row r="271" spans="2:10">
      <c r="B271" s="314"/>
      <c r="C271" s="314"/>
      <c r="D271" s="314"/>
      <c r="E271" s="315"/>
      <c r="F271" s="315"/>
      <c r="G271" s="314"/>
      <c r="H271" s="316"/>
      <c r="I271" s="314"/>
      <c r="J271" s="317"/>
    </row>
    <row r="272" spans="2:10">
      <c r="B272" s="314"/>
      <c r="C272" s="314"/>
      <c r="D272" s="314"/>
      <c r="E272" s="315"/>
      <c r="F272" s="315"/>
      <c r="G272" s="314"/>
      <c r="H272" s="316"/>
      <c r="I272" s="314"/>
      <c r="J272" s="317"/>
    </row>
    <row r="273" spans="2:10">
      <c r="B273" s="314"/>
      <c r="C273" s="314"/>
      <c r="D273" s="314"/>
      <c r="E273" s="315"/>
      <c r="F273" s="315"/>
      <c r="G273" s="314"/>
      <c r="H273" s="316"/>
      <c r="I273" s="314"/>
      <c r="J273" s="317"/>
    </row>
    <row r="274" spans="2:10">
      <c r="B274" s="314"/>
      <c r="C274" s="314"/>
      <c r="D274" s="314"/>
      <c r="E274" s="315"/>
      <c r="F274" s="315"/>
      <c r="G274" s="314"/>
      <c r="H274" s="316"/>
      <c r="I274" s="314"/>
      <c r="J274" s="317"/>
    </row>
    <row r="275" spans="2:10">
      <c r="B275" s="314"/>
      <c r="C275" s="314"/>
      <c r="D275" s="314"/>
      <c r="E275" s="315"/>
      <c r="F275" s="315"/>
      <c r="G275" s="314"/>
      <c r="H275" s="316"/>
      <c r="I275" s="314"/>
      <c r="J275" s="317"/>
    </row>
    <row r="276" spans="2:10">
      <c r="B276" s="314"/>
      <c r="C276" s="314"/>
      <c r="D276" s="314"/>
      <c r="E276" s="315"/>
      <c r="F276" s="315"/>
      <c r="G276" s="314"/>
      <c r="H276" s="316"/>
      <c r="I276" s="314"/>
      <c r="J276" s="317"/>
    </row>
    <row r="277" spans="2:10">
      <c r="B277" s="314"/>
      <c r="C277" s="314"/>
      <c r="D277" s="314"/>
      <c r="E277" s="315"/>
      <c r="F277" s="315"/>
      <c r="G277" s="314"/>
      <c r="H277" s="316"/>
      <c r="I277" s="314"/>
      <c r="J277" s="317"/>
    </row>
    <row r="278" spans="2:10">
      <c r="B278" s="314"/>
      <c r="C278" s="314"/>
      <c r="D278" s="314"/>
      <c r="E278" s="315"/>
      <c r="F278" s="315"/>
      <c r="G278" s="314"/>
      <c r="H278" s="316"/>
      <c r="I278" s="314"/>
      <c r="J278" s="317"/>
    </row>
    <row r="279" spans="2:10">
      <c r="B279" s="314"/>
      <c r="C279" s="314"/>
      <c r="D279" s="314"/>
      <c r="E279" s="315"/>
      <c r="F279" s="315"/>
      <c r="G279" s="314"/>
      <c r="H279" s="316"/>
      <c r="I279" s="314"/>
      <c r="J279" s="317"/>
    </row>
    <row r="280" spans="2:10">
      <c r="B280" s="314"/>
      <c r="C280" s="314"/>
      <c r="D280" s="314"/>
      <c r="E280" s="315"/>
      <c r="F280" s="315"/>
      <c r="G280" s="314"/>
      <c r="H280" s="316"/>
      <c r="I280" s="314"/>
      <c r="J280" s="317"/>
    </row>
    <row r="281" spans="2:10">
      <c r="B281" s="314"/>
      <c r="C281" s="314"/>
      <c r="D281" s="314"/>
      <c r="E281" s="315"/>
      <c r="F281" s="315"/>
      <c r="G281" s="314"/>
      <c r="H281" s="316"/>
      <c r="I281" s="314"/>
      <c r="J281" s="317"/>
    </row>
    <row r="282" spans="2:10">
      <c r="B282" s="314"/>
      <c r="C282" s="314"/>
      <c r="D282" s="314"/>
      <c r="E282" s="315"/>
      <c r="F282" s="315"/>
      <c r="G282" s="314"/>
      <c r="H282" s="316"/>
      <c r="I282" s="314"/>
      <c r="J282" s="317"/>
    </row>
    <row r="283" spans="2:10">
      <c r="B283" s="314"/>
      <c r="C283" s="314"/>
      <c r="D283" s="314"/>
      <c r="E283" s="315"/>
      <c r="F283" s="315"/>
      <c r="G283" s="314"/>
      <c r="H283" s="316"/>
      <c r="I283" s="314"/>
      <c r="J283" s="317"/>
    </row>
    <row r="284" spans="2:10">
      <c r="B284" s="314"/>
      <c r="C284" s="314"/>
      <c r="D284" s="314"/>
      <c r="E284" s="315"/>
      <c r="F284" s="315"/>
      <c r="G284" s="314"/>
      <c r="H284" s="316"/>
      <c r="I284" s="314"/>
      <c r="J284" s="317"/>
    </row>
    <row r="285" spans="2:10">
      <c r="B285" s="314"/>
      <c r="C285" s="314"/>
      <c r="D285" s="314"/>
      <c r="E285" s="315"/>
      <c r="F285" s="315"/>
      <c r="G285" s="314"/>
      <c r="H285" s="316"/>
      <c r="I285" s="314"/>
      <c r="J285" s="317"/>
    </row>
    <row r="286" spans="2:10">
      <c r="B286" s="314"/>
      <c r="C286" s="314"/>
      <c r="D286" s="314"/>
      <c r="E286" s="315"/>
      <c r="F286" s="315"/>
      <c r="G286" s="314"/>
      <c r="H286" s="316"/>
      <c r="I286" s="314"/>
      <c r="J286" s="317"/>
    </row>
    <row r="287" spans="2:10">
      <c r="B287" s="314"/>
      <c r="C287" s="314"/>
      <c r="D287" s="314"/>
      <c r="E287" s="315"/>
      <c r="F287" s="315"/>
      <c r="G287" s="314"/>
      <c r="H287" s="316"/>
      <c r="I287" s="314"/>
      <c r="J287" s="317"/>
    </row>
    <row r="288" spans="2:10">
      <c r="B288" s="314"/>
      <c r="C288" s="314"/>
      <c r="D288" s="314"/>
      <c r="E288" s="315"/>
      <c r="F288" s="315"/>
      <c r="G288" s="314"/>
      <c r="H288" s="316"/>
      <c r="I288" s="314"/>
      <c r="J288" s="317"/>
    </row>
    <row r="289" spans="2:10">
      <c r="B289" s="314"/>
      <c r="C289" s="314"/>
      <c r="D289" s="314"/>
      <c r="E289" s="315"/>
      <c r="F289" s="315"/>
      <c r="G289" s="314"/>
      <c r="H289" s="316"/>
      <c r="I289" s="314"/>
      <c r="J289" s="317"/>
    </row>
    <row r="290" spans="2:10">
      <c r="B290" s="314"/>
      <c r="C290" s="314"/>
      <c r="D290" s="314"/>
      <c r="E290" s="315"/>
      <c r="F290" s="315"/>
      <c r="G290" s="314"/>
      <c r="H290" s="316"/>
      <c r="I290" s="314"/>
      <c r="J290" s="317"/>
    </row>
    <row r="291" spans="2:10">
      <c r="B291" s="314"/>
      <c r="C291" s="314"/>
      <c r="D291" s="314"/>
      <c r="E291" s="315"/>
      <c r="F291" s="315"/>
      <c r="G291" s="314"/>
      <c r="H291" s="316"/>
      <c r="I291" s="314"/>
      <c r="J291" s="317"/>
    </row>
    <row r="292" spans="2:10">
      <c r="B292" s="314"/>
      <c r="C292" s="314"/>
      <c r="D292" s="314"/>
      <c r="E292" s="315"/>
      <c r="F292" s="315"/>
      <c r="G292" s="314"/>
      <c r="H292" s="316"/>
      <c r="I292" s="314"/>
      <c r="J292" s="317"/>
    </row>
    <row r="293" spans="2:10">
      <c r="B293" s="314"/>
      <c r="C293" s="314"/>
      <c r="D293" s="314"/>
      <c r="E293" s="315"/>
      <c r="F293" s="315"/>
      <c r="G293" s="314"/>
      <c r="H293" s="316"/>
      <c r="I293" s="314"/>
      <c r="J293" s="317"/>
    </row>
    <row r="294" spans="2:10">
      <c r="B294" s="314"/>
      <c r="C294" s="314"/>
      <c r="D294" s="314"/>
      <c r="E294" s="315"/>
      <c r="F294" s="315"/>
      <c r="G294" s="314"/>
      <c r="H294" s="316"/>
      <c r="I294" s="314"/>
      <c r="J294" s="317"/>
    </row>
    <row r="295" spans="2:10">
      <c r="B295" s="314"/>
      <c r="C295" s="314"/>
      <c r="D295" s="314"/>
      <c r="E295" s="315"/>
      <c r="F295" s="315"/>
      <c r="G295" s="314"/>
      <c r="H295" s="316"/>
      <c r="I295" s="314"/>
      <c r="J295" s="317"/>
    </row>
    <row r="296" spans="2:10">
      <c r="B296" s="314"/>
      <c r="C296" s="314"/>
      <c r="D296" s="314"/>
      <c r="E296" s="315"/>
      <c r="F296" s="315"/>
      <c r="G296" s="314"/>
      <c r="H296" s="316"/>
      <c r="I296" s="314"/>
      <c r="J296" s="317"/>
    </row>
    <row r="297" spans="2:10">
      <c r="B297" s="314"/>
      <c r="C297" s="314"/>
      <c r="D297" s="314"/>
      <c r="E297" s="315"/>
      <c r="F297" s="315"/>
      <c r="G297" s="314"/>
      <c r="H297" s="316"/>
      <c r="I297" s="314"/>
      <c r="J297" s="317"/>
    </row>
    <row r="298" spans="2:10">
      <c r="B298" s="314"/>
      <c r="C298" s="314"/>
      <c r="D298" s="314"/>
      <c r="E298" s="315"/>
      <c r="F298" s="315"/>
      <c r="G298" s="314"/>
      <c r="H298" s="316"/>
      <c r="I298" s="314"/>
      <c r="J298" s="317"/>
    </row>
    <row r="299" spans="2:10">
      <c r="B299" s="314"/>
      <c r="C299" s="314"/>
      <c r="D299" s="314"/>
      <c r="E299" s="315"/>
      <c r="F299" s="315"/>
      <c r="G299" s="314"/>
      <c r="H299" s="316"/>
      <c r="I299" s="314"/>
      <c r="J299" s="317"/>
    </row>
    <row r="300" spans="2:10">
      <c r="B300" s="314"/>
      <c r="C300" s="314"/>
      <c r="D300" s="314"/>
      <c r="E300" s="315"/>
      <c r="F300" s="315"/>
      <c r="G300" s="314"/>
      <c r="H300" s="316"/>
      <c r="I300" s="314"/>
      <c r="J300" s="317"/>
    </row>
    <row r="301" spans="2:10">
      <c r="B301" s="314"/>
      <c r="C301" s="314"/>
      <c r="D301" s="314"/>
      <c r="E301" s="315"/>
      <c r="F301" s="315"/>
      <c r="G301" s="314"/>
      <c r="H301" s="316"/>
      <c r="I301" s="314"/>
      <c r="J301" s="317"/>
    </row>
    <row r="302" spans="2:10">
      <c r="B302" s="314"/>
      <c r="C302" s="314"/>
      <c r="D302" s="314"/>
      <c r="E302" s="315"/>
      <c r="F302" s="315"/>
      <c r="G302" s="314"/>
      <c r="H302" s="316"/>
      <c r="I302" s="314"/>
      <c r="J302" s="317"/>
    </row>
    <row r="303" spans="2:10">
      <c r="B303" s="314"/>
      <c r="C303" s="314"/>
      <c r="D303" s="314"/>
      <c r="E303" s="315"/>
      <c r="F303" s="315"/>
      <c r="G303" s="314"/>
      <c r="H303" s="316"/>
      <c r="I303" s="314"/>
      <c r="J303" s="317"/>
    </row>
    <row r="304" spans="2:10">
      <c r="B304" s="314"/>
      <c r="C304" s="314"/>
      <c r="D304" s="314"/>
      <c r="E304" s="315"/>
      <c r="F304" s="315"/>
      <c r="G304" s="314"/>
      <c r="H304" s="316"/>
      <c r="I304" s="314"/>
      <c r="J304" s="317"/>
    </row>
    <row r="305" spans="2:10">
      <c r="B305" s="314"/>
      <c r="C305" s="314"/>
      <c r="D305" s="314"/>
      <c r="E305" s="315"/>
      <c r="F305" s="315"/>
      <c r="G305" s="314"/>
      <c r="H305" s="316"/>
      <c r="I305" s="314"/>
      <c r="J305" s="317"/>
    </row>
    <row r="306" spans="2:10">
      <c r="B306" s="314"/>
      <c r="C306" s="314"/>
      <c r="D306" s="314"/>
      <c r="E306" s="315"/>
      <c r="F306" s="315"/>
      <c r="G306" s="314"/>
      <c r="H306" s="316"/>
      <c r="I306" s="314"/>
      <c r="J306" s="317"/>
    </row>
    <row r="307" spans="2:10">
      <c r="B307" s="314"/>
      <c r="C307" s="314"/>
      <c r="D307" s="314"/>
      <c r="E307" s="315"/>
      <c r="F307" s="315"/>
      <c r="G307" s="314"/>
      <c r="H307" s="316"/>
      <c r="I307" s="314"/>
      <c r="J307" s="317"/>
    </row>
    <row r="308" spans="2:10">
      <c r="B308" s="314"/>
      <c r="C308" s="314"/>
      <c r="D308" s="314"/>
      <c r="E308" s="315"/>
      <c r="F308" s="315"/>
      <c r="G308" s="314"/>
      <c r="H308" s="316"/>
      <c r="I308" s="314"/>
      <c r="J308" s="317"/>
    </row>
    <row r="309" spans="2:10">
      <c r="B309" s="314"/>
      <c r="C309" s="314"/>
      <c r="D309" s="314"/>
      <c r="E309" s="315"/>
      <c r="F309" s="315"/>
      <c r="G309" s="314"/>
      <c r="H309" s="316"/>
      <c r="I309" s="314"/>
      <c r="J309" s="317"/>
    </row>
    <row r="310" spans="2:10">
      <c r="B310" s="314"/>
      <c r="C310" s="314"/>
      <c r="D310" s="314"/>
      <c r="E310" s="315"/>
      <c r="F310" s="315"/>
      <c r="G310" s="314"/>
      <c r="H310" s="316"/>
      <c r="I310" s="314"/>
      <c r="J310" s="317"/>
    </row>
    <row r="311" spans="2:10">
      <c r="B311" s="314"/>
      <c r="C311" s="314"/>
      <c r="D311" s="314"/>
      <c r="E311" s="315"/>
      <c r="F311" s="315"/>
      <c r="G311" s="314"/>
      <c r="H311" s="316"/>
      <c r="I311" s="314"/>
      <c r="J311" s="317"/>
    </row>
    <row r="312" spans="2:10">
      <c r="B312" s="314"/>
      <c r="C312" s="314"/>
      <c r="D312" s="314"/>
      <c r="E312" s="315"/>
      <c r="F312" s="315"/>
      <c r="G312" s="314"/>
      <c r="H312" s="316"/>
      <c r="I312" s="314"/>
      <c r="J312" s="317"/>
    </row>
    <row r="313" spans="2:10">
      <c r="B313" s="314"/>
      <c r="C313" s="314"/>
      <c r="D313" s="314"/>
      <c r="E313" s="315"/>
      <c r="F313" s="315"/>
      <c r="G313" s="314"/>
      <c r="H313" s="316"/>
      <c r="I313" s="314"/>
      <c r="J313" s="317"/>
    </row>
    <row r="314" spans="2:10">
      <c r="B314" s="314"/>
      <c r="C314" s="314"/>
      <c r="D314" s="314"/>
      <c r="E314" s="315"/>
      <c r="F314" s="315"/>
      <c r="G314" s="314"/>
      <c r="H314" s="316"/>
      <c r="I314" s="314"/>
      <c r="J314" s="317"/>
    </row>
    <row r="315" spans="2:10">
      <c r="B315" s="314"/>
      <c r="C315" s="314"/>
      <c r="D315" s="314"/>
      <c r="E315" s="315"/>
      <c r="F315" s="315"/>
      <c r="G315" s="314"/>
      <c r="H315" s="316"/>
      <c r="I315" s="314"/>
      <c r="J315" s="317"/>
    </row>
    <row r="316" spans="2:10">
      <c r="B316" s="314"/>
      <c r="C316" s="314"/>
      <c r="D316" s="314"/>
      <c r="E316" s="315"/>
      <c r="F316" s="315"/>
      <c r="G316" s="314"/>
      <c r="H316" s="316"/>
      <c r="I316" s="314"/>
      <c r="J316" s="317"/>
    </row>
    <row r="317" spans="2:10">
      <c r="B317" s="314"/>
      <c r="C317" s="314"/>
      <c r="D317" s="314"/>
      <c r="E317" s="315"/>
      <c r="F317" s="315"/>
      <c r="G317" s="314"/>
      <c r="H317" s="316"/>
      <c r="I317" s="314"/>
      <c r="J317" s="317"/>
    </row>
    <row r="318" spans="2:10">
      <c r="B318" s="314"/>
      <c r="C318" s="314"/>
      <c r="D318" s="314"/>
      <c r="E318" s="315"/>
      <c r="F318" s="315"/>
      <c r="G318" s="314"/>
      <c r="H318" s="316"/>
      <c r="I318" s="314"/>
      <c r="J318" s="317"/>
    </row>
    <row r="319" spans="2:10">
      <c r="B319" s="314"/>
      <c r="C319" s="314"/>
      <c r="D319" s="314"/>
      <c r="E319" s="315"/>
      <c r="F319" s="315"/>
      <c r="G319" s="314"/>
      <c r="H319" s="316"/>
      <c r="I319" s="314"/>
      <c r="J319" s="317"/>
    </row>
    <row r="320" spans="2:10">
      <c r="B320" s="314"/>
      <c r="C320" s="314"/>
      <c r="D320" s="314"/>
      <c r="E320" s="315"/>
      <c r="F320" s="315"/>
      <c r="G320" s="314"/>
      <c r="H320" s="316"/>
      <c r="I320" s="314"/>
      <c r="J320" s="317"/>
    </row>
    <row r="321" spans="2:10">
      <c r="B321" s="314"/>
      <c r="C321" s="314"/>
      <c r="D321" s="314"/>
      <c r="E321" s="315"/>
      <c r="F321" s="315"/>
      <c r="G321" s="314"/>
      <c r="H321" s="316"/>
      <c r="I321" s="314"/>
      <c r="J321" s="317"/>
    </row>
    <row r="322" spans="2:10">
      <c r="B322" s="314"/>
      <c r="C322" s="314"/>
      <c r="D322" s="314"/>
      <c r="E322" s="315"/>
      <c r="F322" s="315"/>
      <c r="G322" s="314"/>
      <c r="H322" s="316"/>
      <c r="I322" s="314"/>
      <c r="J322" s="317"/>
    </row>
    <row r="323" spans="2:10">
      <c r="B323" s="314"/>
      <c r="C323" s="314"/>
      <c r="D323" s="314"/>
      <c r="E323" s="315"/>
      <c r="F323" s="315"/>
      <c r="G323" s="314"/>
      <c r="H323" s="316"/>
      <c r="I323" s="314"/>
      <c r="J323" s="317"/>
    </row>
    <row r="324" spans="2:10">
      <c r="B324" s="314"/>
      <c r="C324" s="314"/>
      <c r="D324" s="314"/>
      <c r="E324" s="315"/>
      <c r="F324" s="315"/>
      <c r="G324" s="314"/>
      <c r="H324" s="316"/>
      <c r="I324" s="314"/>
      <c r="J324" s="317"/>
    </row>
    <row r="325" spans="2:10">
      <c r="B325" s="314"/>
      <c r="C325" s="314"/>
      <c r="D325" s="314"/>
      <c r="E325" s="315"/>
      <c r="F325" s="315"/>
      <c r="G325" s="314"/>
      <c r="H325" s="316"/>
      <c r="I325" s="314"/>
      <c r="J325" s="317"/>
    </row>
    <row r="326" spans="2:10">
      <c r="B326" s="314"/>
      <c r="C326" s="314"/>
      <c r="D326" s="314"/>
      <c r="E326" s="315"/>
      <c r="F326" s="315"/>
      <c r="G326" s="314"/>
      <c r="H326" s="316"/>
      <c r="I326" s="314"/>
      <c r="J326" s="317"/>
    </row>
    <row r="327" spans="2:10">
      <c r="B327" s="314"/>
      <c r="C327" s="314"/>
      <c r="D327" s="314"/>
      <c r="E327" s="315"/>
      <c r="F327" s="315"/>
      <c r="G327" s="314"/>
      <c r="H327" s="316"/>
      <c r="I327" s="314"/>
      <c r="J327" s="317"/>
    </row>
    <row r="328" spans="2:10">
      <c r="B328" s="314"/>
      <c r="C328" s="314"/>
      <c r="D328" s="314"/>
      <c r="E328" s="315"/>
      <c r="F328" s="315"/>
      <c r="G328" s="314"/>
      <c r="H328" s="316"/>
      <c r="I328" s="314"/>
      <c r="J328" s="317"/>
    </row>
    <row r="329" spans="2:10">
      <c r="B329" s="314"/>
      <c r="C329" s="314"/>
      <c r="D329" s="314"/>
      <c r="E329" s="315"/>
      <c r="F329" s="315"/>
      <c r="G329" s="314"/>
      <c r="H329" s="316"/>
      <c r="I329" s="314"/>
      <c r="J329" s="317"/>
    </row>
    <row r="330" spans="2:10">
      <c r="B330" s="314"/>
      <c r="C330" s="314"/>
      <c r="D330" s="314"/>
      <c r="E330" s="315"/>
      <c r="F330" s="315"/>
      <c r="G330" s="314"/>
      <c r="H330" s="316"/>
      <c r="I330" s="314"/>
      <c r="J330" s="317"/>
    </row>
    <row r="331" spans="2:10">
      <c r="B331" s="314"/>
      <c r="C331" s="314"/>
      <c r="D331" s="314"/>
      <c r="E331" s="315"/>
      <c r="F331" s="315"/>
      <c r="G331" s="314"/>
      <c r="H331" s="316"/>
      <c r="I331" s="314"/>
      <c r="J331" s="317"/>
    </row>
    <row r="332" spans="2:10">
      <c r="B332" s="314"/>
      <c r="C332" s="314"/>
      <c r="D332" s="314"/>
      <c r="E332" s="315"/>
      <c r="F332" s="315"/>
      <c r="G332" s="314"/>
      <c r="H332" s="316"/>
      <c r="I332" s="314"/>
      <c r="J332" s="317"/>
    </row>
    <row r="333" spans="2:10">
      <c r="B333" s="314"/>
      <c r="C333" s="314"/>
      <c r="D333" s="314"/>
      <c r="E333" s="315"/>
      <c r="F333" s="315"/>
      <c r="G333" s="314"/>
      <c r="H333" s="316"/>
      <c r="I333" s="314"/>
      <c r="J333" s="317"/>
    </row>
    <row r="334" spans="2:10">
      <c r="B334" s="314"/>
      <c r="C334" s="314"/>
      <c r="D334" s="314"/>
      <c r="E334" s="315"/>
      <c r="F334" s="315"/>
      <c r="G334" s="314"/>
      <c r="H334" s="316"/>
      <c r="I334" s="314"/>
      <c r="J334" s="317"/>
    </row>
    <row r="335" spans="2:10">
      <c r="B335" s="314"/>
      <c r="C335" s="314"/>
      <c r="D335" s="314"/>
      <c r="E335" s="315"/>
      <c r="F335" s="315"/>
      <c r="G335" s="314"/>
      <c r="H335" s="316"/>
      <c r="I335" s="314"/>
      <c r="J335" s="317"/>
    </row>
    <row r="336" spans="2:10">
      <c r="B336" s="314"/>
      <c r="C336" s="314"/>
      <c r="D336" s="314"/>
      <c r="E336" s="315"/>
      <c r="F336" s="315"/>
      <c r="G336" s="314"/>
      <c r="H336" s="316"/>
      <c r="I336" s="314"/>
      <c r="J336" s="317"/>
    </row>
    <row r="337" spans="2:10">
      <c r="B337" s="314"/>
      <c r="C337" s="314"/>
      <c r="D337" s="314"/>
      <c r="E337" s="315"/>
      <c r="F337" s="315"/>
      <c r="G337" s="314"/>
      <c r="H337" s="316"/>
      <c r="I337" s="314"/>
      <c r="J337" s="317"/>
    </row>
    <row r="338" spans="2:10">
      <c r="B338" s="314"/>
      <c r="C338" s="314"/>
      <c r="D338" s="314"/>
      <c r="E338" s="315"/>
      <c r="F338" s="315"/>
      <c r="G338" s="314"/>
      <c r="H338" s="316"/>
      <c r="I338" s="314"/>
      <c r="J338" s="317"/>
    </row>
    <row r="339" spans="2:10">
      <c r="B339" s="314"/>
      <c r="C339" s="314"/>
      <c r="D339" s="314"/>
      <c r="E339" s="315"/>
      <c r="F339" s="315"/>
      <c r="G339" s="314"/>
      <c r="H339" s="316"/>
      <c r="I339" s="314"/>
      <c r="J339" s="317"/>
    </row>
    <row r="340" spans="2:10">
      <c r="B340" s="314"/>
      <c r="C340" s="314"/>
      <c r="D340" s="314"/>
      <c r="E340" s="315"/>
      <c r="F340" s="315"/>
      <c r="G340" s="314"/>
      <c r="H340" s="316"/>
      <c r="I340" s="314"/>
      <c r="J340" s="317"/>
    </row>
    <row r="341" spans="2:10">
      <c r="B341" s="314"/>
      <c r="C341" s="314"/>
      <c r="D341" s="314"/>
      <c r="E341" s="315"/>
      <c r="F341" s="315"/>
      <c r="G341" s="314"/>
      <c r="H341" s="316"/>
      <c r="I341" s="314"/>
      <c r="J341" s="317"/>
    </row>
    <row r="342" spans="2:10">
      <c r="B342" s="314"/>
      <c r="C342" s="314"/>
      <c r="D342" s="314"/>
      <c r="E342" s="315"/>
      <c r="F342" s="315"/>
      <c r="G342" s="314"/>
      <c r="H342" s="316"/>
      <c r="I342" s="314"/>
      <c r="J342" s="317"/>
    </row>
    <row r="343" spans="2:10">
      <c r="B343" s="314"/>
      <c r="C343" s="314"/>
      <c r="D343" s="314"/>
      <c r="E343" s="315"/>
      <c r="F343" s="315"/>
      <c r="G343" s="314"/>
      <c r="H343" s="316"/>
      <c r="I343" s="314"/>
      <c r="J343" s="317"/>
    </row>
    <row r="344" spans="2:10">
      <c r="B344" s="314"/>
      <c r="C344" s="314"/>
      <c r="D344" s="314"/>
      <c r="E344" s="315"/>
      <c r="F344" s="315"/>
      <c r="G344" s="314"/>
      <c r="H344" s="316"/>
      <c r="I344" s="314"/>
      <c r="J344" s="317"/>
    </row>
    <row r="345" spans="2:10">
      <c r="B345" s="314"/>
      <c r="C345" s="314"/>
      <c r="D345" s="314"/>
      <c r="E345" s="315"/>
      <c r="F345" s="315"/>
      <c r="G345" s="314"/>
      <c r="H345" s="316"/>
      <c r="I345" s="314"/>
      <c r="J345" s="317"/>
    </row>
    <row r="346" spans="2:10">
      <c r="B346" s="314"/>
      <c r="C346" s="314"/>
      <c r="D346" s="314"/>
      <c r="E346" s="315"/>
      <c r="F346" s="315"/>
      <c r="G346" s="314"/>
      <c r="H346" s="316"/>
      <c r="I346" s="314"/>
      <c r="J346" s="317"/>
    </row>
    <row r="347" spans="2:10">
      <c r="B347" s="314"/>
      <c r="C347" s="314"/>
      <c r="D347" s="314"/>
      <c r="E347" s="315"/>
      <c r="F347" s="315"/>
      <c r="G347" s="314"/>
      <c r="H347" s="316"/>
      <c r="I347" s="314"/>
      <c r="J347" s="317"/>
    </row>
    <row r="348" spans="2:10">
      <c r="B348" s="314"/>
      <c r="C348" s="314"/>
      <c r="D348" s="314"/>
      <c r="E348" s="315"/>
      <c r="F348" s="315"/>
      <c r="G348" s="314"/>
      <c r="H348" s="316"/>
      <c r="I348" s="314"/>
      <c r="J348" s="317"/>
    </row>
    <row r="349" spans="2:10">
      <c r="B349" s="314"/>
      <c r="C349" s="314"/>
      <c r="D349" s="314"/>
      <c r="E349" s="315"/>
      <c r="F349" s="315"/>
      <c r="G349" s="314"/>
      <c r="H349" s="316"/>
      <c r="I349" s="314"/>
      <c r="J349" s="317"/>
    </row>
    <row r="350" spans="2:10">
      <c r="B350" s="314"/>
      <c r="C350" s="314"/>
      <c r="D350" s="314"/>
      <c r="E350" s="315"/>
      <c r="F350" s="315"/>
      <c r="G350" s="314"/>
      <c r="H350" s="316"/>
      <c r="I350" s="314"/>
      <c r="J350" s="317"/>
    </row>
    <row r="351" spans="2:10">
      <c r="B351" s="314"/>
      <c r="C351" s="314"/>
      <c r="D351" s="314"/>
      <c r="E351" s="315"/>
      <c r="F351" s="315"/>
      <c r="G351" s="314"/>
      <c r="H351" s="316"/>
      <c r="I351" s="314"/>
      <c r="J351" s="317"/>
    </row>
    <row r="352" spans="2:10">
      <c r="B352" s="314"/>
      <c r="C352" s="314"/>
      <c r="D352" s="314"/>
      <c r="E352" s="315"/>
      <c r="F352" s="315"/>
      <c r="G352" s="314"/>
      <c r="H352" s="316"/>
      <c r="I352" s="314"/>
      <c r="J352" s="317"/>
    </row>
    <row r="353" spans="2:10">
      <c r="B353" s="314"/>
      <c r="C353" s="314"/>
      <c r="D353" s="314"/>
      <c r="E353" s="315"/>
      <c r="F353" s="315"/>
      <c r="G353" s="314"/>
      <c r="H353" s="316"/>
      <c r="I353" s="314"/>
      <c r="J353" s="317"/>
    </row>
    <row r="354" spans="2:10">
      <c r="B354" s="314"/>
      <c r="C354" s="314"/>
      <c r="D354" s="314"/>
      <c r="E354" s="315"/>
      <c r="F354" s="315"/>
      <c r="G354" s="314"/>
      <c r="H354" s="316"/>
      <c r="I354" s="314"/>
      <c r="J354" s="317"/>
    </row>
    <row r="355" spans="2:10">
      <c r="B355" s="314"/>
      <c r="C355" s="314"/>
      <c r="D355" s="314"/>
      <c r="E355" s="315"/>
      <c r="F355" s="315"/>
      <c r="G355" s="314"/>
      <c r="H355" s="316"/>
      <c r="I355" s="314"/>
      <c r="J355" s="317"/>
    </row>
    <row r="358" spans="2:10">
      <c r="B358" s="564"/>
      <c r="C358" s="564"/>
      <c r="D358" s="564"/>
      <c r="E358" s="564"/>
      <c r="F358" s="564"/>
      <c r="G358" s="564"/>
      <c r="H358" s="564"/>
      <c r="I358" s="564"/>
      <c r="J358" s="564"/>
    </row>
    <row r="360" spans="2:10">
      <c r="C360" s="318"/>
      <c r="D360" s="318"/>
      <c r="E360" s="318"/>
    </row>
    <row r="361" spans="2:10">
      <c r="C361" s="319"/>
      <c r="D361" s="320"/>
      <c r="E361" s="319"/>
    </row>
    <row r="363" spans="2:10">
      <c r="B363" s="565"/>
      <c r="C363" s="564"/>
      <c r="D363" s="564"/>
      <c r="E363" s="564"/>
      <c r="F363" s="564"/>
      <c r="G363" s="564"/>
      <c r="H363" s="564"/>
      <c r="I363" s="564"/>
      <c r="J363" s="564"/>
    </row>
    <row r="365" spans="2:10">
      <c r="C365" s="318"/>
      <c r="D365" s="318"/>
      <c r="E365" s="318"/>
      <c r="F365" s="318"/>
      <c r="G365" s="318"/>
    </row>
    <row r="366" spans="2:10">
      <c r="C366" s="566"/>
      <c r="D366" s="569"/>
      <c r="E366" s="321"/>
      <c r="F366" s="569"/>
      <c r="G366" s="322"/>
    </row>
    <row r="367" spans="2:10">
      <c r="C367" s="567"/>
      <c r="D367" s="569"/>
      <c r="E367" s="321"/>
      <c r="F367" s="569"/>
      <c r="G367" s="322"/>
    </row>
    <row r="368" spans="2:10">
      <c r="C368" s="567"/>
      <c r="D368" s="569"/>
      <c r="E368" s="321"/>
      <c r="F368" s="569"/>
      <c r="G368" s="322"/>
    </row>
    <row r="369" spans="3:7">
      <c r="C369" s="568"/>
      <c r="D369" s="569"/>
      <c r="E369" s="321"/>
      <c r="F369" s="569"/>
      <c r="G369" s="322"/>
    </row>
    <row r="371" spans="3:7">
      <c r="C371" s="570"/>
      <c r="D371" s="570"/>
      <c r="E371" s="570"/>
      <c r="F371" s="570"/>
      <c r="G371" s="318"/>
    </row>
    <row r="372" spans="3:7">
      <c r="C372" s="561"/>
      <c r="D372" s="562"/>
      <c r="E372" s="562"/>
      <c r="F372" s="563"/>
      <c r="G372" s="323"/>
    </row>
  </sheetData>
  <mergeCells count="13">
    <mergeCell ref="B15:J15"/>
    <mergeCell ref="B1:J1"/>
    <mergeCell ref="B3:B6"/>
    <mergeCell ref="C4:I6"/>
    <mergeCell ref="B8:J8"/>
    <mergeCell ref="D13:H13"/>
    <mergeCell ref="C372:F372"/>
    <mergeCell ref="B358:J358"/>
    <mergeCell ref="B363:J363"/>
    <mergeCell ref="C366:C369"/>
    <mergeCell ref="D366:D369"/>
    <mergeCell ref="F366:F369"/>
    <mergeCell ref="C371:F371"/>
  </mergeCells>
  <dataValidations count="1">
    <dataValidation type="list" allowBlank="1" showInputMessage="1" showErrorMessage="1" sqref="I9">
      <formula1>"01, 02, 03, 04, 05, 06, 07, 08, 09, 10, 11, 12"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6</vt:i4>
      </vt:variant>
    </vt:vector>
  </HeadingPairs>
  <TitlesOfParts>
    <vt:vector size="23" baseType="lpstr">
      <vt:lpstr>Révisions</vt:lpstr>
      <vt:lpstr>paramètres</vt:lpstr>
      <vt:lpstr>Catalogue</vt:lpstr>
      <vt:lpstr>Capacitaire </vt:lpstr>
      <vt:lpstr>UO_Operations</vt:lpstr>
      <vt:lpstr>prepa revue</vt:lpstr>
      <vt:lpstr>Feuille_temps_iPMP</vt:lpstr>
      <vt:lpstr>Check Capacitaire</vt:lpstr>
      <vt:lpstr>UO_Contract</vt:lpstr>
      <vt:lpstr>Graphiques CRM</vt:lpstr>
      <vt:lpstr>Co-contracting Follow-up</vt:lpstr>
      <vt:lpstr>iPMP_traitement_pointage</vt:lpstr>
      <vt:lpstr>iPMP_pointage</vt:lpstr>
      <vt:lpstr>iPMP_detail_pointage</vt:lpstr>
      <vt:lpstr>NB.JOURS.OUVRES</vt:lpstr>
      <vt:lpstr>BL_parametre</vt:lpstr>
      <vt:lpstr>auto_BL</vt:lpstr>
      <vt:lpstr>heures_an</vt:lpstr>
      <vt:lpstr>heures_jour</vt:lpstr>
      <vt:lpstr>jours_an</vt:lpstr>
      <vt:lpstr>Taux_Change_AIB</vt:lpstr>
      <vt:lpstr>Taux_Change_SII</vt:lpstr>
      <vt:lpstr>UO_Contract!Zone_d_impression</vt:lpstr>
    </vt:vector>
  </TitlesOfParts>
  <Company>SII Toulouse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LOPEZ</dc:creator>
  <cp:lastModifiedBy>Aurelien BEAUMONT</cp:lastModifiedBy>
  <cp:lastPrinted>2019-08-26T15:04:56Z</cp:lastPrinted>
  <dcterms:created xsi:type="dcterms:W3CDTF">2012-10-18T08:47:18Z</dcterms:created>
  <dcterms:modified xsi:type="dcterms:W3CDTF">2020-10-02T07:59:34Z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